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hidePivotFieldList="1" defaultThemeVersion="124226"/>
  <bookViews>
    <workbookView xWindow="0" yWindow="60" windowWidth="16275" windowHeight="13605"/>
  </bookViews>
  <sheets>
    <sheet name="Summary" sheetId="2" r:id="rId1"/>
    <sheet name="Detail" sheetId="1" r:id="rId2"/>
    <sheet name="Detail By AEA" sheetId="4" r:id="rId3"/>
  </sheets>
  <definedNames>
    <definedName name="AEA_Name">#REF!</definedName>
    <definedName name="_xlnm.Print_Area" localSheetId="1">Detail!$A$1:$AC$332</definedName>
    <definedName name="_xlnm.Print_Area" localSheetId="0">Summary!$A$1:$K$38</definedName>
    <definedName name="_xlnm.Print_Titles" localSheetId="1">Detail!$1:$2</definedName>
    <definedName name="_xlnm.Print_Titles" localSheetId="2">'Detail By AEA'!$A:$B,'Detail By AEA'!$4:$4</definedName>
    <definedName name="Slicer_AEA_Name">#N/A</definedName>
  </definedNames>
  <calcPr calcId="145621"/>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 i="4" l="1"/>
  <c r="I27" i="2" l="1"/>
  <c r="D27" i="2"/>
  <c r="E27" i="2"/>
  <c r="F27" i="2"/>
  <c r="G27" i="2"/>
  <c r="H27" i="2"/>
  <c r="C27" i="2"/>
  <c r="G14" i="2"/>
  <c r="H14" i="2"/>
  <c r="I14" i="2"/>
  <c r="J14" i="2"/>
  <c r="F14" i="2"/>
  <c r="E14" i="2"/>
  <c r="D14" i="2"/>
  <c r="C14" i="2"/>
  <c r="B15" i="2"/>
  <c r="B28" i="2" s="1"/>
  <c r="A15" i="2"/>
  <c r="A28" i="2" s="1"/>
  <c r="K1" i="2"/>
  <c r="J1" i="2"/>
  <c r="I1" i="2"/>
  <c r="H1" i="2"/>
  <c r="G1" i="2"/>
  <c r="F1" i="2"/>
  <c r="E1" i="2"/>
  <c r="D1" i="2"/>
  <c r="C1" i="2"/>
  <c r="A3" i="2" a="1"/>
  <c r="A3" i="2" s="1"/>
  <c r="J3" i="2" s="1"/>
  <c r="A4" i="2" l="1" a="1"/>
  <c r="A4" i="2" s="1"/>
  <c r="D4" i="2" s="1"/>
  <c r="E3" i="2"/>
  <c r="G3" i="2"/>
  <c r="I3" i="2"/>
  <c r="K3" i="2"/>
  <c r="A16" i="2"/>
  <c r="C16" i="2" s="1"/>
  <c r="D3" i="2"/>
  <c r="F3" i="2"/>
  <c r="H3" i="2"/>
  <c r="C3" i="2"/>
  <c r="B3" i="2"/>
  <c r="B16" i="2" s="1"/>
  <c r="B29" i="2" s="1"/>
  <c r="D16" i="2" l="1"/>
  <c r="A29" i="2"/>
  <c r="D29" i="2" s="1"/>
  <c r="G16" i="2"/>
  <c r="J16" i="2"/>
  <c r="F16" i="2"/>
  <c r="I16" i="2"/>
  <c r="E16" i="2"/>
  <c r="H16" i="2"/>
  <c r="A5" i="2" a="1"/>
  <c r="A5" i="2" s="1"/>
  <c r="B5" i="2" s="1"/>
  <c r="B18" i="2" s="1"/>
  <c r="B31" i="2" s="1"/>
  <c r="G4" i="2"/>
  <c r="J4" i="2"/>
  <c r="H4" i="2"/>
  <c r="C4" i="2"/>
  <c r="A17" i="2"/>
  <c r="F4" i="2"/>
  <c r="K4" i="2"/>
  <c r="I4" i="2"/>
  <c r="B4" i="2"/>
  <c r="B17" i="2" s="1"/>
  <c r="B30" i="2" s="1"/>
  <c r="E4" i="2"/>
  <c r="I29" i="2" l="1"/>
  <c r="H29" i="2"/>
  <c r="E29" i="2"/>
  <c r="G29" i="2"/>
  <c r="F29" i="2"/>
  <c r="C29" i="2"/>
  <c r="D17" i="2"/>
  <c r="A30" i="2"/>
  <c r="G17" i="2"/>
  <c r="C17" i="2"/>
  <c r="I17" i="2"/>
  <c r="F17" i="2"/>
  <c r="J17" i="2"/>
  <c r="E17" i="2"/>
  <c r="H17" i="2"/>
  <c r="A6" i="2" a="1"/>
  <c r="A6" i="2" s="1"/>
  <c r="B6" i="2" s="1"/>
  <c r="B19" i="2" s="1"/>
  <c r="B32" i="2" s="1"/>
  <c r="H5" i="2"/>
  <c r="I5" i="2"/>
  <c r="K5" i="2"/>
  <c r="G5" i="2"/>
  <c r="J5" i="2"/>
  <c r="A18" i="2"/>
  <c r="E5" i="2"/>
  <c r="C5" i="2"/>
  <c r="D5" i="2"/>
  <c r="F5" i="2"/>
  <c r="I30" i="2" l="1"/>
  <c r="H18" i="2"/>
  <c r="G18" i="2"/>
  <c r="C18" i="2"/>
  <c r="A31" i="2"/>
  <c r="D18" i="2"/>
  <c r="I18" i="2"/>
  <c r="E18" i="2"/>
  <c r="J18" i="2"/>
  <c r="F18" i="2"/>
  <c r="G30" i="2"/>
  <c r="C30" i="2"/>
  <c r="D30" i="2"/>
  <c r="H30" i="2"/>
  <c r="E30" i="2"/>
  <c r="F30" i="2"/>
  <c r="A7" i="2" a="1"/>
  <c r="A7" i="2" s="1"/>
  <c r="B7" i="2" s="1"/>
  <c r="B20" i="2" s="1"/>
  <c r="B33" i="2" s="1"/>
  <c r="C6" i="2"/>
  <c r="K6" i="2"/>
  <c r="D6" i="2"/>
  <c r="A19" i="2"/>
  <c r="J6" i="2"/>
  <c r="I6" i="2"/>
  <c r="G6" i="2"/>
  <c r="H6" i="2"/>
  <c r="F6" i="2"/>
  <c r="E6" i="2"/>
  <c r="I31" i="2" l="1"/>
  <c r="C19" i="2"/>
  <c r="A32" i="2"/>
  <c r="D19" i="2"/>
  <c r="G19" i="2"/>
  <c r="H19" i="2"/>
  <c r="F19" i="2"/>
  <c r="J19" i="2"/>
  <c r="E19" i="2"/>
  <c r="I19" i="2"/>
  <c r="F31" i="2"/>
  <c r="C31" i="2"/>
  <c r="G31" i="2"/>
  <c r="D31" i="2"/>
  <c r="H31" i="2"/>
  <c r="E31" i="2"/>
  <c r="A8" i="2" a="1"/>
  <c r="A8" i="2" s="1"/>
  <c r="A20" i="2"/>
  <c r="J7" i="2"/>
  <c r="D7" i="2"/>
  <c r="H7" i="2"/>
  <c r="I7" i="2"/>
  <c r="K7" i="2"/>
  <c r="C7" i="2"/>
  <c r="E7" i="2"/>
  <c r="G7" i="2"/>
  <c r="F7" i="2"/>
  <c r="I32" i="2" l="1"/>
  <c r="E32" i="2"/>
  <c r="G32" i="2"/>
  <c r="C32" i="2"/>
  <c r="D32" i="2"/>
  <c r="H32" i="2"/>
  <c r="F32" i="2"/>
  <c r="D20" i="2"/>
  <c r="C20" i="2"/>
  <c r="A33" i="2"/>
  <c r="J20" i="2"/>
  <c r="E20" i="2"/>
  <c r="G20" i="2"/>
  <c r="F20" i="2"/>
  <c r="H20" i="2"/>
  <c r="I20" i="2"/>
  <c r="H8" i="2"/>
  <c r="A21" i="2"/>
  <c r="C8" i="2"/>
  <c r="K8" i="2"/>
  <c r="J8" i="2"/>
  <c r="I8" i="2"/>
  <c r="G8" i="2"/>
  <c r="F8" i="2"/>
  <c r="E8" i="2"/>
  <c r="D8" i="2"/>
  <c r="B8" i="2"/>
  <c r="B21" i="2" s="1"/>
  <c r="B34" i="2" s="1"/>
  <c r="A9" i="2" a="1"/>
  <c r="A9" i="2" s="1"/>
  <c r="I33" i="2" l="1"/>
  <c r="D21" i="2"/>
  <c r="A34" i="2"/>
  <c r="G21" i="2"/>
  <c r="I21" i="2"/>
  <c r="C21" i="2"/>
  <c r="H21" i="2"/>
  <c r="F21" i="2"/>
  <c r="E21" i="2"/>
  <c r="J21" i="2"/>
  <c r="D33" i="2"/>
  <c r="C33" i="2"/>
  <c r="H33" i="2"/>
  <c r="E33" i="2"/>
  <c r="G33" i="2"/>
  <c r="F33" i="2"/>
  <c r="A10" i="2" a="1"/>
  <c r="A10" i="2" s="1"/>
  <c r="B10" i="2" s="1"/>
  <c r="B23" i="2" s="1"/>
  <c r="B36" i="2" s="1"/>
  <c r="I9" i="2"/>
  <c r="E9" i="2"/>
  <c r="K9" i="2"/>
  <c r="J9" i="2"/>
  <c r="A22" i="2"/>
  <c r="H9" i="2"/>
  <c r="C9" i="2"/>
  <c r="D9" i="2"/>
  <c r="G9" i="2"/>
  <c r="F9" i="2"/>
  <c r="B9" i="2"/>
  <c r="B22" i="2" s="1"/>
  <c r="B35" i="2" s="1"/>
  <c r="I34" i="2" l="1"/>
  <c r="G34" i="2"/>
  <c r="F34" i="2"/>
  <c r="H34" i="2"/>
  <c r="E34" i="2"/>
  <c r="C34" i="2"/>
  <c r="D34" i="2"/>
  <c r="G22" i="2"/>
  <c r="D22" i="2"/>
  <c r="A35" i="2"/>
  <c r="C22" i="2"/>
  <c r="E22" i="2"/>
  <c r="I22" i="2"/>
  <c r="J22" i="2"/>
  <c r="H22" i="2"/>
  <c r="F22" i="2"/>
  <c r="K10" i="2"/>
  <c r="A23" i="2"/>
  <c r="J10" i="2"/>
  <c r="I10" i="2"/>
  <c r="C10" i="2"/>
  <c r="D10" i="2"/>
  <c r="F10" i="2"/>
  <c r="G10" i="2"/>
  <c r="H10" i="2"/>
  <c r="E10" i="2"/>
  <c r="A11" i="2" a="1"/>
  <c r="A11" i="2" s="1"/>
  <c r="I35" i="2" l="1"/>
  <c r="C23" i="2"/>
  <c r="A36" i="2"/>
  <c r="G23" i="2"/>
  <c r="D23" i="2"/>
  <c r="I23" i="2"/>
  <c r="J23" i="2"/>
  <c r="F23" i="2"/>
  <c r="E23" i="2"/>
  <c r="H23" i="2"/>
  <c r="F35" i="2"/>
  <c r="G35" i="2"/>
  <c r="D35" i="2"/>
  <c r="E35" i="2"/>
  <c r="C35" i="2"/>
  <c r="H35" i="2"/>
  <c r="J11" i="2"/>
  <c r="H11" i="2"/>
  <c r="H12" i="2" s="1"/>
  <c r="I11" i="2"/>
  <c r="A24" i="2"/>
  <c r="K11" i="2"/>
  <c r="C11" i="2"/>
  <c r="C12" i="2" s="1"/>
  <c r="D11" i="2"/>
  <c r="D12" i="2" s="1"/>
  <c r="G11" i="2"/>
  <c r="G12" i="2" s="1"/>
  <c r="F11" i="2"/>
  <c r="F12" i="2" s="1"/>
  <c r="E11" i="2"/>
  <c r="E12" i="2" s="1"/>
  <c r="B11" i="2"/>
  <c r="B24" i="2" s="1"/>
  <c r="B37" i="2" s="1"/>
  <c r="I36" i="2" l="1"/>
  <c r="D24" i="2"/>
  <c r="C24" i="2"/>
  <c r="A37" i="2"/>
  <c r="G24" i="2"/>
  <c r="G25" i="2" s="1"/>
  <c r="J24" i="2"/>
  <c r="J25" i="2" s="1"/>
  <c r="E24" i="2"/>
  <c r="E25" i="2" s="1"/>
  <c r="I24" i="2"/>
  <c r="I25" i="2" s="1"/>
  <c r="F24" i="2"/>
  <c r="F25" i="2" s="1"/>
  <c r="H24" i="2"/>
  <c r="H25" i="2" s="1"/>
  <c r="E36" i="2"/>
  <c r="C36" i="2"/>
  <c r="F36" i="2"/>
  <c r="H36" i="2"/>
  <c r="G36" i="2"/>
  <c r="D36" i="2"/>
  <c r="I37" i="2" l="1"/>
  <c r="I38" i="2" s="1"/>
  <c r="H37" i="2"/>
  <c r="H38" i="2" s="1"/>
  <c r="D37" i="2"/>
  <c r="D38" i="2" s="1"/>
  <c r="C37" i="2"/>
  <c r="C38" i="2" s="1"/>
  <c r="G37" i="2"/>
  <c r="G38" i="2" s="1"/>
  <c r="E37" i="2"/>
  <c r="E38" i="2" s="1"/>
  <c r="F37" i="2"/>
  <c r="F38" i="2" s="1"/>
</calcChain>
</file>

<file path=xl/sharedStrings.xml><?xml version="1.0" encoding="utf-8"?>
<sst xmlns="http://schemas.openxmlformats.org/spreadsheetml/2006/main" count="2059" uniqueCount="750">
  <si>
    <t>01</t>
  </si>
  <si>
    <t>0135</t>
  </si>
  <si>
    <t>1080</t>
  </si>
  <si>
    <t>2763</t>
  </si>
  <si>
    <t>1638</t>
  </si>
  <si>
    <t>1863</t>
  </si>
  <si>
    <t>1972</t>
  </si>
  <si>
    <t>1989</t>
  </si>
  <si>
    <t>3029</t>
  </si>
  <si>
    <t>4043</t>
  </si>
  <si>
    <t>4419</t>
  </si>
  <si>
    <t>4662</t>
  </si>
  <si>
    <t>4774</t>
  </si>
  <si>
    <t>4787</t>
  </si>
  <si>
    <t>4869</t>
  </si>
  <si>
    <t>5310</t>
  </si>
  <si>
    <t>5508</t>
  </si>
  <si>
    <t>6100</t>
  </si>
  <si>
    <t>6175</t>
  </si>
  <si>
    <t>6509</t>
  </si>
  <si>
    <t>6943</t>
  </si>
  <si>
    <t>6950</t>
  </si>
  <si>
    <t>6961</t>
  </si>
  <si>
    <t>05</t>
  </si>
  <si>
    <t>0072</t>
  </si>
  <si>
    <t>0126</t>
  </si>
  <si>
    <t>0171</t>
  </si>
  <si>
    <t>1206</t>
  </si>
  <si>
    <t>1218</t>
  </si>
  <si>
    <t>1944</t>
  </si>
  <si>
    <t>6741</t>
  </si>
  <si>
    <t>2088</t>
  </si>
  <si>
    <t>2124</t>
  </si>
  <si>
    <t>2313</t>
  </si>
  <si>
    <t>2493</t>
  </si>
  <si>
    <t>2556</t>
  </si>
  <si>
    <t>3195</t>
  </si>
  <si>
    <t>2846</t>
  </si>
  <si>
    <t>3060</t>
  </si>
  <si>
    <t>3537</t>
  </si>
  <si>
    <t>3897</t>
  </si>
  <si>
    <t>4023</t>
  </si>
  <si>
    <t>4644</t>
  </si>
  <si>
    <t>4778</t>
  </si>
  <si>
    <t>0333</t>
  </si>
  <si>
    <t>4775</t>
  </si>
  <si>
    <t>4860</t>
  </si>
  <si>
    <t>4890</t>
  </si>
  <si>
    <t>5139</t>
  </si>
  <si>
    <t>5283</t>
  </si>
  <si>
    <t>5323</t>
  </si>
  <si>
    <t>5724</t>
  </si>
  <si>
    <t>5823</t>
  </si>
  <si>
    <t>6048</t>
  </si>
  <si>
    <t>6091</t>
  </si>
  <si>
    <t>6095</t>
  </si>
  <si>
    <t>6096</t>
  </si>
  <si>
    <t>6102</t>
  </si>
  <si>
    <t>6120</t>
  </si>
  <si>
    <t>6219</t>
  </si>
  <si>
    <t>6246</t>
  </si>
  <si>
    <t>6516</t>
  </si>
  <si>
    <t>6867</t>
  </si>
  <si>
    <t>6921</t>
  </si>
  <si>
    <t>07</t>
  </si>
  <si>
    <t>0009</t>
  </si>
  <si>
    <t>AGWSR</t>
  </si>
  <si>
    <t>0108</t>
  </si>
  <si>
    <t>0279</t>
  </si>
  <si>
    <t>0540</t>
  </si>
  <si>
    <t>BCLUW</t>
  </si>
  <si>
    <t>0594</t>
  </si>
  <si>
    <t>0846</t>
  </si>
  <si>
    <t>0916</t>
  </si>
  <si>
    <t>CAL</t>
  </si>
  <si>
    <t>1044</t>
  </si>
  <si>
    <t>4772</t>
  </si>
  <si>
    <t>1116</t>
  </si>
  <si>
    <t>1215</t>
  </si>
  <si>
    <t>1233</t>
  </si>
  <si>
    <t>1719</t>
  </si>
  <si>
    <t>1791</t>
  </si>
  <si>
    <t>1908</t>
  </si>
  <si>
    <t>1963</t>
  </si>
  <si>
    <t>3582</t>
  </si>
  <si>
    <t>2007</t>
  </si>
  <si>
    <t>2295</t>
  </si>
  <si>
    <t>2403</t>
  </si>
  <si>
    <t>2502</t>
  </si>
  <si>
    <t>2682</t>
  </si>
  <si>
    <t>GMG</t>
  </si>
  <si>
    <t>2709</t>
  </si>
  <si>
    <t>2727</t>
  </si>
  <si>
    <t>2781</t>
  </si>
  <si>
    <t>3033</t>
  </si>
  <si>
    <t>3042</t>
  </si>
  <si>
    <t>3105</t>
  </si>
  <si>
    <t>3150</t>
  </si>
  <si>
    <t>3186</t>
  </si>
  <si>
    <t>3204</t>
  </si>
  <si>
    <t>3420</t>
  </si>
  <si>
    <t>4104</t>
  </si>
  <si>
    <t>4131</t>
  </si>
  <si>
    <t>4437</t>
  </si>
  <si>
    <t>4599</t>
  </si>
  <si>
    <t>0153</t>
  </si>
  <si>
    <t>0873</t>
  </si>
  <si>
    <t>4785</t>
  </si>
  <si>
    <t>4788</t>
  </si>
  <si>
    <t>4995</t>
  </si>
  <si>
    <t>5697</t>
  </si>
  <si>
    <t>6098</t>
  </si>
  <si>
    <t>5751</t>
  </si>
  <si>
    <t>6273</t>
  </si>
  <si>
    <t>6471</t>
  </si>
  <si>
    <t>1935</t>
  </si>
  <si>
    <t>6762</t>
  </si>
  <si>
    <t>6795</t>
  </si>
  <si>
    <t>6840</t>
  </si>
  <si>
    <t>5922</t>
  </si>
  <si>
    <t>0819</t>
  </si>
  <si>
    <t>6985</t>
  </si>
  <si>
    <t>09</t>
  </si>
  <si>
    <t>0243</t>
  </si>
  <si>
    <t>0585</t>
  </si>
  <si>
    <t>0603</t>
  </si>
  <si>
    <t>0621</t>
  </si>
  <si>
    <t>0918</t>
  </si>
  <si>
    <t>0936</t>
  </si>
  <si>
    <t>1082</t>
  </si>
  <si>
    <t>1278</t>
  </si>
  <si>
    <t>1368</t>
  </si>
  <si>
    <t>1611</t>
  </si>
  <si>
    <t>1675</t>
  </si>
  <si>
    <t>1926</t>
  </si>
  <si>
    <t>1965</t>
  </si>
  <si>
    <t>3841</t>
  </si>
  <si>
    <t>4041</t>
  </si>
  <si>
    <t>4581</t>
  </si>
  <si>
    <t>4784</t>
  </si>
  <si>
    <t>4773</t>
  </si>
  <si>
    <t>5250</t>
  </si>
  <si>
    <t>6975</t>
  </si>
  <si>
    <t>7038</t>
  </si>
  <si>
    <t>10</t>
  </si>
  <si>
    <t>0099</t>
  </si>
  <si>
    <t>0234</t>
  </si>
  <si>
    <t>0576</t>
  </si>
  <si>
    <t>0609</t>
  </si>
  <si>
    <t>1053</t>
  </si>
  <si>
    <t>1062</t>
  </si>
  <si>
    <t>1089</t>
  </si>
  <si>
    <t>1221</t>
  </si>
  <si>
    <t>1337</t>
  </si>
  <si>
    <t>2097</t>
  </si>
  <si>
    <t>2977</t>
  </si>
  <si>
    <t>2766</t>
  </si>
  <si>
    <t>HLV</t>
  </si>
  <si>
    <t>3141</t>
  </si>
  <si>
    <t>3154</t>
  </si>
  <si>
    <t>3715</t>
  </si>
  <si>
    <t>3744</t>
  </si>
  <si>
    <t>3816</t>
  </si>
  <si>
    <t>4086</t>
  </si>
  <si>
    <t>4271</t>
  </si>
  <si>
    <t>4269</t>
  </si>
  <si>
    <t>4446</t>
  </si>
  <si>
    <t>4554</t>
  </si>
  <si>
    <t>3691</t>
  </si>
  <si>
    <t>4777</t>
  </si>
  <si>
    <t>4905</t>
  </si>
  <si>
    <t>6093</t>
  </si>
  <si>
    <t>6138</t>
  </si>
  <si>
    <t>6408</t>
  </si>
  <si>
    <t>6660</t>
  </si>
  <si>
    <t>6768</t>
  </si>
  <si>
    <t>6930</t>
  </si>
  <si>
    <t>7029</t>
  </si>
  <si>
    <t>11</t>
  </si>
  <si>
    <t>0018</t>
  </si>
  <si>
    <t>0027</t>
  </si>
  <si>
    <t>0225</t>
  </si>
  <si>
    <t>0261</t>
  </si>
  <si>
    <t>0414</t>
  </si>
  <si>
    <t>0472</t>
  </si>
  <si>
    <t>0513</t>
  </si>
  <si>
    <t>0720</t>
  </si>
  <si>
    <t>0729</t>
  </si>
  <si>
    <t>0981</t>
  </si>
  <si>
    <t>0999</t>
  </si>
  <si>
    <t>1332</t>
  </si>
  <si>
    <t>1350</t>
  </si>
  <si>
    <t>1359</t>
  </si>
  <si>
    <t>1413</t>
  </si>
  <si>
    <t>1576</t>
  </si>
  <si>
    <t>1737</t>
  </si>
  <si>
    <t>1953</t>
  </si>
  <si>
    <t>2151</t>
  </si>
  <si>
    <t>2466</t>
  </si>
  <si>
    <t>2520</t>
  </si>
  <si>
    <t>2754</t>
  </si>
  <si>
    <t>3114</t>
  </si>
  <si>
    <t>3119</t>
  </si>
  <si>
    <t>3231</t>
  </si>
  <si>
    <t>3375</t>
  </si>
  <si>
    <t>3906</t>
  </si>
  <si>
    <t>3942</t>
  </si>
  <si>
    <t>4122</t>
  </si>
  <si>
    <t>4212</t>
  </si>
  <si>
    <t>4617</t>
  </si>
  <si>
    <t>4725</t>
  </si>
  <si>
    <t>4779</t>
  </si>
  <si>
    <t>4797</t>
  </si>
  <si>
    <t>4878</t>
  </si>
  <si>
    <t>5121</t>
  </si>
  <si>
    <t>5319</t>
  </si>
  <si>
    <t>PCM</t>
  </si>
  <si>
    <t>5166</t>
  </si>
  <si>
    <t>5184</t>
  </si>
  <si>
    <t>5256</t>
  </si>
  <si>
    <t>5643</t>
  </si>
  <si>
    <t>5805</t>
  </si>
  <si>
    <t>6101</t>
  </si>
  <si>
    <t>6094</t>
  </si>
  <si>
    <t>6512</t>
  </si>
  <si>
    <t>6561</t>
  </si>
  <si>
    <t>6579</t>
  </si>
  <si>
    <t>6615</t>
  </si>
  <si>
    <t>6822</t>
  </si>
  <si>
    <t>6264</t>
  </si>
  <si>
    <t>6957</t>
  </si>
  <si>
    <t>7056</t>
  </si>
  <si>
    <t>7110</t>
  </si>
  <si>
    <t>12</t>
  </si>
  <si>
    <t>0063</t>
  </si>
  <si>
    <t>0355</t>
  </si>
  <si>
    <t>0747</t>
  </si>
  <si>
    <t>1095</t>
  </si>
  <si>
    <t>1134</t>
  </si>
  <si>
    <t>1152</t>
  </si>
  <si>
    <t>1701</t>
  </si>
  <si>
    <t>2376</t>
  </si>
  <si>
    <t>2457</t>
  </si>
  <si>
    <t>2862</t>
  </si>
  <si>
    <t>2988</t>
  </si>
  <si>
    <t>3348</t>
  </si>
  <si>
    <t>3555</t>
  </si>
  <si>
    <t>3600</t>
  </si>
  <si>
    <t>4033</t>
  </si>
  <si>
    <t>4068</t>
  </si>
  <si>
    <t>4149</t>
  </si>
  <si>
    <t>5486</t>
  </si>
  <si>
    <t>1975</t>
  </si>
  <si>
    <t>5607</t>
  </si>
  <si>
    <t>5832</t>
  </si>
  <si>
    <t>5877</t>
  </si>
  <si>
    <t>5949</t>
  </si>
  <si>
    <t>5994</t>
  </si>
  <si>
    <t>6030</t>
  </si>
  <si>
    <t>6039</t>
  </si>
  <si>
    <t>5157</t>
  </si>
  <si>
    <t>6983</t>
  </si>
  <si>
    <t>6987</t>
  </si>
  <si>
    <t>6990</t>
  </si>
  <si>
    <t>6992</t>
  </si>
  <si>
    <t>7002</t>
  </si>
  <si>
    <t>7098</t>
  </si>
  <si>
    <t>13</t>
  </si>
  <si>
    <t>0441</t>
  </si>
  <si>
    <t>0387</t>
  </si>
  <si>
    <t>0549</t>
  </si>
  <si>
    <t>1917</t>
  </si>
  <si>
    <t>0914</t>
  </si>
  <si>
    <t>CAM</t>
  </si>
  <si>
    <t>1093</t>
  </si>
  <si>
    <t>1197</t>
  </si>
  <si>
    <t>1211</t>
  </si>
  <si>
    <t>1431</t>
  </si>
  <si>
    <t>1476</t>
  </si>
  <si>
    <t>1503</t>
  </si>
  <si>
    <t>1782</t>
  </si>
  <si>
    <t>3978</t>
  </si>
  <si>
    <t>1970</t>
  </si>
  <si>
    <t>2113</t>
  </si>
  <si>
    <t>2369</t>
  </si>
  <si>
    <t>2511</t>
  </si>
  <si>
    <t>2718</t>
  </si>
  <si>
    <t>2772</t>
  </si>
  <si>
    <t>2826</t>
  </si>
  <si>
    <t>3168</t>
  </si>
  <si>
    <t>3465</t>
  </si>
  <si>
    <t>3609</t>
  </si>
  <si>
    <t>3645</t>
  </si>
  <si>
    <t>3798</t>
  </si>
  <si>
    <t>4356</t>
  </si>
  <si>
    <t>4505</t>
  </si>
  <si>
    <t>4527</t>
  </si>
  <si>
    <t>4572</t>
  </si>
  <si>
    <t>2673</t>
  </si>
  <si>
    <t>4978</t>
  </si>
  <si>
    <t>5463</t>
  </si>
  <si>
    <t>4824</t>
  </si>
  <si>
    <t>5976</t>
  </si>
  <si>
    <t>6003</t>
  </si>
  <si>
    <t>6097</t>
  </si>
  <si>
    <t>6165</t>
  </si>
  <si>
    <t>6453</t>
  </si>
  <si>
    <t>6460</t>
  </si>
  <si>
    <t>6534</t>
  </si>
  <si>
    <t>6651</t>
  </si>
  <si>
    <t>6969</t>
  </si>
  <si>
    <t>7092</t>
  </si>
  <si>
    <t>15</t>
  </si>
  <si>
    <t>0081</t>
  </si>
  <si>
    <t>0882</t>
  </si>
  <si>
    <t>0977</t>
  </si>
  <si>
    <t>1071</t>
  </si>
  <si>
    <t>1079</t>
  </si>
  <si>
    <t>1107</t>
  </si>
  <si>
    <t>1602</t>
  </si>
  <si>
    <t>1619</t>
  </si>
  <si>
    <t>0657</t>
  </si>
  <si>
    <t>2169</t>
  </si>
  <si>
    <t>2322</t>
  </si>
  <si>
    <t>2834</t>
  </si>
  <si>
    <t>3312</t>
  </si>
  <si>
    <t>3330</t>
  </si>
  <si>
    <t>4203</t>
  </si>
  <si>
    <t>4491</t>
  </si>
  <si>
    <t>4509</t>
  </si>
  <si>
    <t>4518</t>
  </si>
  <si>
    <t>4536</t>
  </si>
  <si>
    <t>4689</t>
  </si>
  <si>
    <t>4776</t>
  </si>
  <si>
    <t>5013</t>
  </si>
  <si>
    <t>5049</t>
  </si>
  <si>
    <t>5163</t>
  </si>
  <si>
    <t>5895</t>
  </si>
  <si>
    <t>6012</t>
  </si>
  <si>
    <t>6462</t>
  </si>
  <si>
    <t>6592</t>
  </si>
  <si>
    <t>6700</t>
  </si>
  <si>
    <t>6759</t>
  </si>
  <si>
    <t>6854</t>
  </si>
  <si>
    <t>6937</t>
  </si>
  <si>
    <t>7047</t>
  </si>
  <si>
    <t>Total Special Ed Weighting in Addition to 1.0</t>
  </si>
  <si>
    <t>Budget Enrollment</t>
  </si>
  <si>
    <t>AEA Weighted Enrollment</t>
  </si>
  <si>
    <t>AEA Supplementary Weight for Sharing</t>
  </si>
  <si>
    <t>Resident Accredited Nonpublic Students</t>
  </si>
  <si>
    <t>Shared-Time Nonpublic Pupils Counted in Line 1.1</t>
  </si>
  <si>
    <t>Total Enrollment Served - AEA Media and Ed Services</t>
  </si>
  <si>
    <t>AEA Special Ed Support Cost Per Pupil</t>
  </si>
  <si>
    <t>AEA Ed Services Cost Per Pupil</t>
  </si>
  <si>
    <t>AEA Teacher Salary Supplement District Cost Per Pupil</t>
  </si>
  <si>
    <t>Professional Development Supplement District Cost Per Pupil</t>
  </si>
  <si>
    <t>AEA Special Ed Support District Cost without Adjustment</t>
  </si>
  <si>
    <t>Special Education Total Cost</t>
  </si>
  <si>
    <t>AEA Media Services District Cost</t>
  </si>
  <si>
    <t>AEA Ed Services District Cost</t>
  </si>
  <si>
    <t>AEA Sharing District Cost</t>
  </si>
  <si>
    <t>AEA Teacher Salary Supplement District Cost</t>
  </si>
  <si>
    <t>Subtotal Budget</t>
  </si>
  <si>
    <t>AEA Statewide State Aid Reduction</t>
  </si>
  <si>
    <t>Total Budget</t>
  </si>
  <si>
    <t>State Aid Portion</t>
  </si>
  <si>
    <t>Property Tax Portion</t>
  </si>
  <si>
    <t>AEA</t>
  </si>
  <si>
    <t>AEA Name</t>
  </si>
  <si>
    <t>District</t>
  </si>
  <si>
    <t>AEA Media Cost Per Pupil</t>
  </si>
  <si>
    <t>AEA Special Ed Support Adjustment</t>
  </si>
  <si>
    <t>Special Ed Weights</t>
  </si>
  <si>
    <t>Weighted Enrollment</t>
  </si>
  <si>
    <t>Nonpublic</t>
  </si>
  <si>
    <t xml:space="preserve">Shared-Time  </t>
  </si>
  <si>
    <t>Media/Ed Served</t>
  </si>
  <si>
    <t>Support Cost PP</t>
  </si>
  <si>
    <t>Media Cost PP</t>
  </si>
  <si>
    <t>Ed Cost PP</t>
  </si>
  <si>
    <t>Teach Sal Cost PP</t>
  </si>
  <si>
    <t>Prof Dev Cost PP</t>
  </si>
  <si>
    <t>Spec ED Support</t>
  </si>
  <si>
    <t>Spec Ed Adjust</t>
  </si>
  <si>
    <t>Special Ed Total Cost</t>
  </si>
  <si>
    <t>Media Services</t>
  </si>
  <si>
    <t>Education Services</t>
  </si>
  <si>
    <t>Sharing Operations</t>
  </si>
  <si>
    <t>Teacher Salary Supplement</t>
  </si>
  <si>
    <t>Prorata Reduction</t>
  </si>
  <si>
    <t xml:space="preserve">State Aid  </t>
  </si>
  <si>
    <t xml:space="preserve">Property Tax  </t>
  </si>
  <si>
    <t>AEA Professional Development Supplement District Cost</t>
  </si>
  <si>
    <t>Professional Development Supplement</t>
  </si>
  <si>
    <t>Total Special Ed Weighting</t>
  </si>
  <si>
    <t xml:space="preserve">Budget Enrollment </t>
  </si>
  <si>
    <t xml:space="preserve">AEA Weighted Enrollment </t>
  </si>
  <si>
    <t xml:space="preserve">AEA Supplementary Weight for Sharing </t>
  </si>
  <si>
    <t xml:space="preserve">Resident Accredited Nonpublic Students </t>
  </si>
  <si>
    <t>Shared-Time Nonpublic Pupils</t>
  </si>
  <si>
    <t>AEA Total</t>
  </si>
  <si>
    <t xml:space="preserve">Total Enrollment Served - AEA Media and Ed Services </t>
  </si>
  <si>
    <t xml:space="preserve">AEA Special Ed Support District Cost without Adjustment </t>
  </si>
  <si>
    <t xml:space="preserve">AEA Special Ed Support Adjustment </t>
  </si>
  <si>
    <t xml:space="preserve">Special Education Total Cost </t>
  </si>
  <si>
    <t xml:space="preserve">AEA Media Services District Cost </t>
  </si>
  <si>
    <t xml:space="preserve">AEA Ed Services District Cost </t>
  </si>
  <si>
    <t xml:space="preserve">AEA Sharing District Cost </t>
  </si>
  <si>
    <t xml:space="preserve">AEA Teacher Salary Supplement District Cost </t>
  </si>
  <si>
    <t xml:space="preserve">AEA Professional Development Supplement District Cost </t>
  </si>
  <si>
    <t xml:space="preserve">Subtotal Budget </t>
  </si>
  <si>
    <t>AEA State Aid Reduction</t>
  </si>
  <si>
    <t xml:space="preserve">Total Budget </t>
  </si>
  <si>
    <t xml:space="preserve">State Aid Portion </t>
  </si>
  <si>
    <t xml:space="preserve">Property Tax Portion </t>
  </si>
  <si>
    <t>Allamakee</t>
  </si>
  <si>
    <t>Central Clayton</t>
  </si>
  <si>
    <t>Clayton Ridge</t>
  </si>
  <si>
    <t>Decorah</t>
  </si>
  <si>
    <t>Dubuque</t>
  </si>
  <si>
    <t>Eastern Allamakee</t>
  </si>
  <si>
    <t>Edgewood-Colesburg</t>
  </si>
  <si>
    <t>Howard-Winneshiek</t>
  </si>
  <si>
    <t>Maquoketa Valley</t>
  </si>
  <si>
    <t>MFL Mar Mac</t>
  </si>
  <si>
    <t>New Hampton</t>
  </si>
  <si>
    <t>North Fayette Valley</t>
  </si>
  <si>
    <t>North Winneshiek</t>
  </si>
  <si>
    <t>Oelwein</t>
  </si>
  <si>
    <t>Postville</t>
  </si>
  <si>
    <t>Riceville</t>
  </si>
  <si>
    <t>South Winneshiek</t>
  </si>
  <si>
    <t>Starmont</t>
  </si>
  <si>
    <t>Turkey Valley</t>
  </si>
  <si>
    <t>West Central</t>
  </si>
  <si>
    <t>West Delaware Co</t>
  </si>
  <si>
    <t>Western Dubuque Co</t>
  </si>
  <si>
    <t>Albert City-Truesdale</t>
  </si>
  <si>
    <t>Algona</t>
  </si>
  <si>
    <t>Alta-Aurelia</t>
  </si>
  <si>
    <t>Clarion-Goldfield-Dows</t>
  </si>
  <si>
    <t>Clay Central-Everly</t>
  </si>
  <si>
    <t>Eagle Grove</t>
  </si>
  <si>
    <t>East Sac County</t>
  </si>
  <si>
    <t>Emmetsburg</t>
  </si>
  <si>
    <t>Estherville-Lincoln Central</t>
  </si>
  <si>
    <t>Fort Dodge</t>
  </si>
  <si>
    <t>Gilmore City-Bradgate</t>
  </si>
  <si>
    <t>Graettinger-Terril</t>
  </si>
  <si>
    <t>Greene County</t>
  </si>
  <si>
    <t>Harris-Lake Park</t>
  </si>
  <si>
    <t>Humboldt</t>
  </si>
  <si>
    <t>Laurens-Marathon</t>
  </si>
  <si>
    <t>Lu Verne</t>
  </si>
  <si>
    <t>Manson-Northwest Webster</t>
  </si>
  <si>
    <t>Newell-Fonda</t>
  </si>
  <si>
    <t>North Kossuth</t>
  </si>
  <si>
    <t>North Union</t>
  </si>
  <si>
    <t>Northeast Hamilton</t>
  </si>
  <si>
    <t>Okoboji</t>
  </si>
  <si>
    <t>Paton-Churdan</t>
  </si>
  <si>
    <t>Pocahontas Area</t>
  </si>
  <si>
    <t>Prairie Valley</t>
  </si>
  <si>
    <t>Ruthven-Ayrshire</t>
  </si>
  <si>
    <t>Schaller-Crestland</t>
  </si>
  <si>
    <t>Sioux Central</t>
  </si>
  <si>
    <t>South Central Calhoun</t>
  </si>
  <si>
    <t>South Hamilton</t>
  </si>
  <si>
    <t>Southeast Webster-Grand</t>
  </si>
  <si>
    <t>Spencer</t>
  </si>
  <si>
    <t>Spirit Lake</t>
  </si>
  <si>
    <t>Storm Lake</t>
  </si>
  <si>
    <t>Stratford</t>
  </si>
  <si>
    <t>Twin Rivers</t>
  </si>
  <si>
    <t>Webster City</t>
  </si>
  <si>
    <t>West Bend-Mallard</t>
  </si>
  <si>
    <t>Alden</t>
  </si>
  <si>
    <t>Aplington-Parkersburg</t>
  </si>
  <si>
    <t>Belmond-Klemme</t>
  </si>
  <si>
    <t>Brooklyn-Guernsey-Malcom</t>
  </si>
  <si>
    <t>Cedar Falls</t>
  </si>
  <si>
    <t>Central Springs</t>
  </si>
  <si>
    <t>Charles City</t>
  </si>
  <si>
    <t>Clarksville</t>
  </si>
  <si>
    <t>Clear Lake</t>
  </si>
  <si>
    <t>Denver</t>
  </si>
  <si>
    <t>Dike-New Hartford</t>
  </si>
  <si>
    <t>Dunkerton</t>
  </si>
  <si>
    <t>East Buchanan</t>
  </si>
  <si>
    <t>East Marshall</t>
  </si>
  <si>
    <t>Eldora-New Providence</t>
  </si>
  <si>
    <t>Forest City</t>
  </si>
  <si>
    <t>Garner-Hayfield-Ventura</t>
  </si>
  <si>
    <t>Gladbrook-Reinbeck</t>
  </si>
  <si>
    <t>Grinnell-Newburg</t>
  </si>
  <si>
    <t>Grundy Center</t>
  </si>
  <si>
    <t>Hampton-Dumont</t>
  </si>
  <si>
    <t>Hubbard-Radcliffe</t>
  </si>
  <si>
    <t>Hudson</t>
  </si>
  <si>
    <t>Independence</t>
  </si>
  <si>
    <t>Iowa Falls</t>
  </si>
  <si>
    <t>Janesville</t>
  </si>
  <si>
    <t>Jesup</t>
  </si>
  <si>
    <t>Lake Mills</t>
  </si>
  <si>
    <t>Marshalltown</t>
  </si>
  <si>
    <t>Mason City</t>
  </si>
  <si>
    <t>Montezuma</t>
  </si>
  <si>
    <t>Nashua-Plainfield</t>
  </si>
  <si>
    <t>North Butler</t>
  </si>
  <si>
    <t>North Iowa</t>
  </si>
  <si>
    <t>North Tama</t>
  </si>
  <si>
    <t>Northwood-Kensett</t>
  </si>
  <si>
    <t>Osage</t>
  </si>
  <si>
    <t>Rudd-Rockford-Marble Rock</t>
  </si>
  <si>
    <t>South Tama</t>
  </si>
  <si>
    <t>St Ansgar</t>
  </si>
  <si>
    <t>Sumner-Fredericksburg</t>
  </si>
  <si>
    <t>Tripoli</t>
  </si>
  <si>
    <t>Union</t>
  </si>
  <si>
    <t>Wapsie Valley</t>
  </si>
  <si>
    <t>Waterloo</t>
  </si>
  <si>
    <t>Waverly-Shell Rock</t>
  </si>
  <si>
    <t>West Fork</t>
  </si>
  <si>
    <t>West Hancock</t>
  </si>
  <si>
    <t>West Marshall</t>
  </si>
  <si>
    <t>Andrew</t>
  </si>
  <si>
    <t>Bellevue</t>
  </si>
  <si>
    <t>Bennett</t>
  </si>
  <si>
    <t>Bettendorf</t>
  </si>
  <si>
    <t>Calamus-Wheatland</t>
  </si>
  <si>
    <t>Camanche</t>
  </si>
  <si>
    <t>Central De Witt</t>
  </si>
  <si>
    <t>Clinton</t>
  </si>
  <si>
    <t>Columbus</t>
  </si>
  <si>
    <t>Davenport</t>
  </si>
  <si>
    <t>Delwood</t>
  </si>
  <si>
    <t>Durant</t>
  </si>
  <si>
    <t>Easton Valley</t>
  </si>
  <si>
    <t>Louisa-Muscatine</t>
  </si>
  <si>
    <t>Maquoketa</t>
  </si>
  <si>
    <t>Muscatine</t>
  </si>
  <si>
    <t>North Scott</t>
  </si>
  <si>
    <t>Northeast</t>
  </si>
  <si>
    <t>Pleasant Valley</t>
  </si>
  <si>
    <t>West Liberty</t>
  </si>
  <si>
    <t>Wilton</t>
  </si>
  <si>
    <t>Alburnett</t>
  </si>
  <si>
    <t>Anamosa</t>
  </si>
  <si>
    <t>Belle Plaine</t>
  </si>
  <si>
    <t>Benton</t>
  </si>
  <si>
    <t>Cedar Rapids</t>
  </si>
  <si>
    <t>Center Point-Urbana</t>
  </si>
  <si>
    <t>Central City</t>
  </si>
  <si>
    <t>Clear Creek-Amana</t>
  </si>
  <si>
    <t>College Community</t>
  </si>
  <si>
    <t>English Valleys</t>
  </si>
  <si>
    <t>Highland</t>
  </si>
  <si>
    <t>Iowa City</t>
  </si>
  <si>
    <t>Iowa Valley</t>
  </si>
  <si>
    <t>Linn-Mar</t>
  </si>
  <si>
    <t>Lisbon</t>
  </si>
  <si>
    <t>Lone Tree</t>
  </si>
  <si>
    <t>Marion</t>
  </si>
  <si>
    <t>Mid-Prairie</t>
  </si>
  <si>
    <t>Midland</t>
  </si>
  <si>
    <t>Monticello</t>
  </si>
  <si>
    <t>Mount Vernon</t>
  </si>
  <si>
    <t>North Cedar</t>
  </si>
  <si>
    <t>North Linn</t>
  </si>
  <si>
    <t>Olin</t>
  </si>
  <si>
    <t>Solon</t>
  </si>
  <si>
    <t>Springville</t>
  </si>
  <si>
    <t>Tipton</t>
  </si>
  <si>
    <t>Vinton-Shellsburg</t>
  </si>
  <si>
    <t>Washington</t>
  </si>
  <si>
    <t>West Branch</t>
  </si>
  <si>
    <t>Williamsburg</t>
  </si>
  <si>
    <t>Adair-Casey</t>
  </si>
  <si>
    <t>Adel-Desoto-Minburn</t>
  </si>
  <si>
    <t>Ames</t>
  </si>
  <si>
    <t>Ankeny</t>
  </si>
  <si>
    <t>Audubon</t>
  </si>
  <si>
    <t>Ballard</t>
  </si>
  <si>
    <t>Baxter</t>
  </si>
  <si>
    <t>Bondurant-Farrar</t>
  </si>
  <si>
    <t>Boone</t>
  </si>
  <si>
    <t>Carlisle</t>
  </si>
  <si>
    <t>Carroll</t>
  </si>
  <si>
    <t>Colfax-Mingo</t>
  </si>
  <si>
    <t>Collins-Maxwell</t>
  </si>
  <si>
    <t>Colo-Nesco</t>
  </si>
  <si>
    <t>Coon Rapids-Bayard</t>
  </si>
  <si>
    <t>Dallas Center-Grimes</t>
  </si>
  <si>
    <t>Des Moines</t>
  </si>
  <si>
    <t>Earlham</t>
  </si>
  <si>
    <t>Exira-Elk Horn-Kimballton</t>
  </si>
  <si>
    <t>Gilbert</t>
  </si>
  <si>
    <t>Glidden-Ralston</t>
  </si>
  <si>
    <t>Guthrie Center</t>
  </si>
  <si>
    <t>Indianola</t>
  </si>
  <si>
    <t>Interstate 35</t>
  </si>
  <si>
    <t>Johnston</t>
  </si>
  <si>
    <t>Knoxville</t>
  </si>
  <si>
    <t>Lynnville-Sully</t>
  </si>
  <si>
    <t>Madrid</t>
  </si>
  <si>
    <t>Martensdale-St Marys</t>
  </si>
  <si>
    <t>Melcher-Dallas</t>
  </si>
  <si>
    <t>Nevada</t>
  </si>
  <si>
    <t>Newton</t>
  </si>
  <si>
    <t>North Polk</t>
  </si>
  <si>
    <t>Norwalk</t>
  </si>
  <si>
    <t>Ogden</t>
  </si>
  <si>
    <t>Panorama</t>
  </si>
  <si>
    <t>Pella</t>
  </si>
  <si>
    <t>Perry</t>
  </si>
  <si>
    <t>Pleasantville</t>
  </si>
  <si>
    <t>Roland-Story</t>
  </si>
  <si>
    <t>Saydel</t>
  </si>
  <si>
    <t>Southeast Polk</t>
  </si>
  <si>
    <t>Southeast Warren</t>
  </si>
  <si>
    <t>Twin Cedars</t>
  </si>
  <si>
    <t>United</t>
  </si>
  <si>
    <t>Urbandale</t>
  </si>
  <si>
    <t>Van Meter</t>
  </si>
  <si>
    <t>Waukee</t>
  </si>
  <si>
    <t>West Central Valley</t>
  </si>
  <si>
    <t>West Des Moines</t>
  </si>
  <si>
    <t>Winterset</t>
  </si>
  <si>
    <t>Woodward-Granger</t>
  </si>
  <si>
    <t>Akron-Westfield</t>
  </si>
  <si>
    <t>Ar-We-Va</t>
  </si>
  <si>
    <t>Boyden-Hull</t>
  </si>
  <si>
    <t>Central Lyon</t>
  </si>
  <si>
    <t>Charter Oak-Ute</t>
  </si>
  <si>
    <t>Cherokee</t>
  </si>
  <si>
    <t>Denison</t>
  </si>
  <si>
    <t>Galva-Holstein</t>
  </si>
  <si>
    <t>George-Little Rock</t>
  </si>
  <si>
    <t>Hartley-Melvin-Sanborn</t>
  </si>
  <si>
    <t>Hinton</t>
  </si>
  <si>
    <t>Kingsley-Pierson</t>
  </si>
  <si>
    <t>Lawton-Bronson</t>
  </si>
  <si>
    <t>Le Mars</t>
  </si>
  <si>
    <t>Maple Valley-Anthon Oto</t>
  </si>
  <si>
    <t>Marcus-Meriden Cleghorn</t>
  </si>
  <si>
    <t>Moc-Floyd Valley</t>
  </si>
  <si>
    <t>Odebolt Arthur Battle Creek Ida Grove</t>
  </si>
  <si>
    <t>Remsen-Union</t>
  </si>
  <si>
    <t>River Valley</t>
  </si>
  <si>
    <t>Rock Valley</t>
  </si>
  <si>
    <t>Schleswig</t>
  </si>
  <si>
    <t>Sergeant Bluff-Luton</t>
  </si>
  <si>
    <t>Sheldon</t>
  </si>
  <si>
    <t>Sibley-Ocheyedan</t>
  </si>
  <si>
    <t>Sioux Center</t>
  </si>
  <si>
    <t>Sioux City</t>
  </si>
  <si>
    <t>South O'Brien</t>
  </si>
  <si>
    <t>West Lyon</t>
  </si>
  <si>
    <t>West Monona</t>
  </si>
  <si>
    <t>West Sioux</t>
  </si>
  <si>
    <t>Westwood</t>
  </si>
  <si>
    <t>Whiting</t>
  </si>
  <si>
    <t>Woodbury Central</t>
  </si>
  <si>
    <t>AHSTW</t>
  </si>
  <si>
    <t>Atlantic</t>
  </si>
  <si>
    <t>Bedford</t>
  </si>
  <si>
    <t>Boyer Valley</t>
  </si>
  <si>
    <t>Central Decatur</t>
  </si>
  <si>
    <t>Clarinda</t>
  </si>
  <si>
    <t>Clarke</t>
  </si>
  <si>
    <t>Corning</t>
  </si>
  <si>
    <t>Council Bluffs</t>
  </si>
  <si>
    <t>Creston</t>
  </si>
  <si>
    <t>Diagonal</t>
  </si>
  <si>
    <t>East Mills</t>
  </si>
  <si>
    <t>East Union</t>
  </si>
  <si>
    <t>Essex</t>
  </si>
  <si>
    <t>Fremont-Mills</t>
  </si>
  <si>
    <t>Glenwood</t>
  </si>
  <si>
    <t>Griswold</t>
  </si>
  <si>
    <t>Hamburg</t>
  </si>
  <si>
    <t>Harlan</t>
  </si>
  <si>
    <t>IKM-Manning</t>
  </si>
  <si>
    <t>Lamoni</t>
  </si>
  <si>
    <t>Lenox</t>
  </si>
  <si>
    <t>Lewis Central</t>
  </si>
  <si>
    <t>Logan-Magnolia</t>
  </si>
  <si>
    <t>Missouri Valley</t>
  </si>
  <si>
    <t>Mormon Trail</t>
  </si>
  <si>
    <t>Mount Ayr</t>
  </si>
  <si>
    <t>Murray</t>
  </si>
  <si>
    <t>Nodaway Valley</t>
  </si>
  <si>
    <t>Orient-Macksburg</t>
  </si>
  <si>
    <t>Red Oak</t>
  </si>
  <si>
    <t>Riverside</t>
  </si>
  <si>
    <t>Shenandoah</t>
  </si>
  <si>
    <t>Sidney</t>
  </si>
  <si>
    <t>South Page</t>
  </si>
  <si>
    <t>Stanton</t>
  </si>
  <si>
    <t>Treynor</t>
  </si>
  <si>
    <t>Tri-Center</t>
  </si>
  <si>
    <t>Underwood</t>
  </si>
  <si>
    <t>Villisca</t>
  </si>
  <si>
    <t>West Harrison</t>
  </si>
  <si>
    <t>Woodbine</t>
  </si>
  <si>
    <t>Albia</t>
  </si>
  <si>
    <t>Burlington</t>
  </si>
  <si>
    <t>Cardinal</t>
  </si>
  <si>
    <t>Centerville</t>
  </si>
  <si>
    <t>Central Lee</t>
  </si>
  <si>
    <t>Chariton</t>
  </si>
  <si>
    <t>Danville</t>
  </si>
  <si>
    <t>Davis County</t>
  </si>
  <si>
    <t>Eddyville-Blakesburg-Fremont</t>
  </si>
  <si>
    <t>Fairfield</t>
  </si>
  <si>
    <t>Fort Madison</t>
  </si>
  <si>
    <t>Harmony</t>
  </si>
  <si>
    <t>Keokuk</t>
  </si>
  <si>
    <t>Keota</t>
  </si>
  <si>
    <t>Mediapolis</t>
  </si>
  <si>
    <t>Moravia</t>
  </si>
  <si>
    <t>Morning Sun</t>
  </si>
  <si>
    <t>Moulton-Udell</t>
  </si>
  <si>
    <t>Mount Pleasant</t>
  </si>
  <si>
    <t>New London</t>
  </si>
  <si>
    <t>North Mahaska</t>
  </si>
  <si>
    <t>Oskaloosa</t>
  </si>
  <si>
    <t>Ottumwa</t>
  </si>
  <si>
    <t>Pekin</t>
  </si>
  <si>
    <t>Seymour</t>
  </si>
  <si>
    <t>Sigourney</t>
  </si>
  <si>
    <t>Tri-County</t>
  </si>
  <si>
    <t>Van Buren</t>
  </si>
  <si>
    <t>Waco</t>
  </si>
  <si>
    <t>Wapello</t>
  </si>
  <si>
    <t>Wayne</t>
  </si>
  <si>
    <t>West Burlington</t>
  </si>
  <si>
    <t>Winfield-Mt Union</t>
  </si>
  <si>
    <t>FY 2019 AEA Weights and Costs Detail</t>
  </si>
  <si>
    <t>Dist</t>
  </si>
  <si>
    <t>Keystone AEA 1</t>
  </si>
  <si>
    <t>Prairie Lakes AEA 8</t>
  </si>
  <si>
    <t>Central Rivers</t>
  </si>
  <si>
    <t>Mississippi Bend AEA 9</t>
  </si>
  <si>
    <t>Grant Wood AEA 10</t>
  </si>
  <si>
    <t>Heartland AEA 11</t>
  </si>
  <si>
    <t>Northwest AEA</t>
  </si>
  <si>
    <t>Green Hills AEA 13</t>
  </si>
  <si>
    <t>Great Prairie AEA 15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</si>
</sst>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5"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right/>
      <top/>
      <bottom style="thin">
        <color indexed="64"/>
      </bottom>
      <diagonal/>
    </border>
    <border>
      <left/>
      <right/>
      <top style="thin">
        <color indexed="64"/>
      </top>
      <bottom style="double">
        <color indexed="64"/>
      </bottom>
      <diagonal/>
    </border>
  </borders>
  <cellStyleXfs count="1">
    <xf numFmtId="0" fontId="0" fillId="0" borderId="0"/>
  </cellStyleXfs>
  <cellXfs count="32">
    <xf numFmtId="0" fontId="0" fillId="0" borderId="0" xfId="0"/>
    <xf numFmtId="49" fontId="0" fillId="0" borderId="0" xfId="0" applyNumberFormat="1"/>
    <xf numFmtId="4" fontId="0" fillId="0" borderId="0" xfId="0" applyNumberFormat="1"/>
    <xf numFmtId="164" fontId="0" fillId="0" borderId="0" xfId="0" applyNumberFormat="1"/>
    <xf numFmtId="3" fontId="0" fillId="0" borderId="0" xfId="0" applyNumberFormat="1"/>
    <xf numFmtId="0" fontId="1" fillId="0" borderId="0" xfId="0" applyFont="1"/>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wrapText="1"/>
    </xf>
    <xf numFmtId="4" fontId="0" fillId="0" borderId="2" xfId="0" applyNumberFormat="1" applyBorder="1"/>
    <xf numFmtId="0" fontId="0" fillId="0" borderId="0" xfId="0" applyAlignment="1">
      <alignment wrapText="1"/>
    </xf>
    <xf numFmtId="0" fontId="0" fillId="0" borderId="0" xfId="0" applyAlignment="1">
      <alignment horizontal="center" wrapText="1"/>
    </xf>
    <xf numFmtId="3" fontId="0" fillId="0" borderId="2" xfId="0" applyNumberFormat="1" applyBorder="1"/>
    <xf numFmtId="0" fontId="0" fillId="2" borderId="0" xfId="0" applyFill="1" applyAlignment="1">
      <alignment wrapText="1"/>
    </xf>
    <xf numFmtId="0" fontId="0" fillId="2" borderId="0" xfId="0" applyFill="1"/>
    <xf numFmtId="0" fontId="1" fillId="0" borderId="1" xfId="0" applyFont="1" applyFill="1" applyBorder="1" applyAlignment="1">
      <alignment horizontal="center" wrapText="1"/>
    </xf>
    <xf numFmtId="0" fontId="1" fillId="0" borderId="0" xfId="0" applyFont="1" applyFill="1" applyBorder="1" applyAlignment="1">
      <alignment horizontal="center" wrapText="1"/>
    </xf>
    <xf numFmtId="0" fontId="0" fillId="0" borderId="0" xfId="0" applyFill="1" applyBorder="1" applyAlignment="1">
      <alignment wrapText="1"/>
    </xf>
    <xf numFmtId="3" fontId="0" fillId="0" borderId="0" xfId="0" applyNumberFormat="1" applyFill="1" applyBorder="1"/>
    <xf numFmtId="164" fontId="0" fillId="0" borderId="2" xfId="0" applyNumberFormat="1" applyBorder="1"/>
    <xf numFmtId="0" fontId="2" fillId="0" borderId="0" xfId="0" applyFont="1"/>
    <xf numFmtId="0" fontId="2" fillId="0" borderId="0" xfId="0" applyFont="1" applyAlignment="1">
      <alignment wrapText="1"/>
    </xf>
    <xf numFmtId="0" fontId="3" fillId="0" borderId="0" xfId="0" pivotButton="1" applyFont="1" applyAlignment="1">
      <alignment wrapText="1"/>
    </xf>
    <xf numFmtId="0" fontId="3" fillId="0" borderId="0" xfId="0" applyFont="1" applyAlignment="1">
      <alignment wrapText="1"/>
    </xf>
    <xf numFmtId="0" fontId="3" fillId="0" borderId="0" xfId="0" applyFont="1"/>
    <xf numFmtId="4" fontId="2" fillId="0" borderId="0" xfId="0" applyNumberFormat="1" applyFont="1"/>
    <xf numFmtId="4" fontId="3" fillId="0" borderId="0" xfId="0" applyNumberFormat="1" applyFont="1"/>
    <xf numFmtId="164" fontId="2" fillId="0" borderId="0" xfId="0" applyNumberFormat="1" applyFont="1"/>
    <xf numFmtId="164" fontId="3" fillId="0" borderId="0" xfId="0" applyNumberFormat="1" applyFont="1"/>
    <xf numFmtId="3" fontId="2" fillId="0" borderId="0" xfId="0" applyNumberFormat="1" applyFont="1"/>
    <xf numFmtId="3" fontId="3" fillId="0" borderId="0" xfId="0" applyNumberFormat="1" applyFont="1"/>
    <xf numFmtId="0" fontId="4" fillId="0" borderId="0" xfId="0" applyFont="1" applyAlignment="1">
      <alignment horizontal="center" wrapText="1"/>
    </xf>
  </cellXfs>
  <cellStyles count="1">
    <cellStyle name="Normal" xfId="0" builtinId="0"/>
  </cellStyles>
  <dxfs count="148">
    <dxf>
      <alignment wrapText="1" readingOrder="0"/>
    </dxf>
    <dxf>
      <alignment wrapText="1" readingOrder="0"/>
    </dxf>
    <dxf>
      <alignment wrapText="1" readingOrder="0"/>
    </dxf>
    <dxf>
      <font>
        <sz val="10"/>
      </font>
    </dxf>
    <dxf>
      <font>
        <b/>
      </font>
    </dxf>
    <dxf>
      <font>
        <b/>
      </font>
    </dxf>
    <dxf>
      <font>
        <b/>
      </font>
    </dxf>
    <dxf>
      <font>
        <b/>
      </font>
    </dxf>
    <dxf>
      <font>
        <b/>
      </font>
    </dxf>
    <dxf>
      <numFmt numFmtId="4" formatCode="#,##0.00"/>
    </dxf>
    <dxf>
      <numFmt numFmtId="164" formatCode="#,##0.0"/>
    </dxf>
    <dxf>
      <numFmt numFmtId="4" formatCode="#,##0.00"/>
    </dxf>
    <dxf>
      <numFmt numFmtId="4" formatCode="#,##0.00"/>
    </dxf>
    <dxf>
      <numFmt numFmtId="3" formatCode="#,##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wrapText="1" readingOrder="0"/>
    </dxf>
    <dxf>
      <alignment wrapText="1" readingOrder="0"/>
    </dxf>
    <dxf>
      <alignment wrapText="1" readingOrder="0"/>
    </dxf>
    <dxf>
      <font>
        <sz val="10"/>
      </font>
    </dxf>
    <dxf>
      <font>
        <b/>
      </font>
    </dxf>
    <dxf>
      <font>
        <b/>
      </font>
    </dxf>
    <dxf>
      <font>
        <b/>
      </font>
    </dxf>
    <dxf>
      <font>
        <b/>
      </font>
    </dxf>
    <dxf>
      <font>
        <b/>
      </font>
    </dxf>
    <dxf>
      <numFmt numFmtId="4" formatCode="#,##0.00"/>
    </dxf>
    <dxf>
      <numFmt numFmtId="164" formatCode="#,##0.0"/>
    </dxf>
    <dxf>
      <numFmt numFmtId="4" formatCode="#,##0.00"/>
    </dxf>
    <dxf>
      <numFmt numFmtId="4" formatCode="#,##0.00"/>
    </dxf>
    <dxf>
      <numFmt numFmtId="3" formatCode="#,##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wrapText="1" readingOrder="0"/>
    </dxf>
    <dxf>
      <alignment wrapText="1" readingOrder="0"/>
    </dxf>
    <dxf>
      <alignment wrapText="1" readingOrder="0"/>
    </dxf>
    <dxf>
      <font>
        <sz val="10"/>
      </font>
    </dxf>
    <dxf>
      <font>
        <b/>
      </font>
    </dxf>
    <dxf>
      <font>
        <b/>
      </font>
    </dxf>
    <dxf>
      <font>
        <b/>
      </font>
    </dxf>
    <dxf>
      <font>
        <b/>
      </font>
    </dxf>
    <dxf>
      <font>
        <b/>
      </font>
    </dxf>
    <dxf>
      <numFmt numFmtId="4" formatCode="#,##0.00"/>
    </dxf>
    <dxf>
      <numFmt numFmtId="164" formatCode="#,##0.0"/>
    </dxf>
    <dxf>
      <numFmt numFmtId="4" formatCode="#,##0.00"/>
    </dxf>
    <dxf>
      <numFmt numFmtId="4" formatCode="#,##0.00"/>
    </dxf>
    <dxf>
      <numFmt numFmtId="3" formatCode="#,##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3" formatCode="#,##0"/>
    </dxf>
    <dxf>
      <numFmt numFmtId="4" formatCode="#,##0.00"/>
    </dxf>
    <dxf>
      <numFmt numFmtId="4" formatCode="#,##0.00"/>
    </dxf>
    <dxf>
      <numFmt numFmtId="164" formatCode="#,##0.0"/>
    </dxf>
    <dxf>
      <numFmt numFmtId="4" formatCode="#,##0.00"/>
    </dxf>
    <dxf>
      <font>
        <b/>
      </font>
    </dxf>
    <dxf>
      <font>
        <b/>
      </font>
    </dxf>
    <dxf>
      <font>
        <b/>
      </font>
    </dxf>
    <dxf>
      <font>
        <b/>
      </font>
    </dxf>
    <dxf>
      <font>
        <b/>
      </font>
    </dxf>
    <dxf>
      <font>
        <sz val="10"/>
      </font>
    </dxf>
    <dxf>
      <alignment wrapText="1" readingOrder="0"/>
    </dxf>
    <dxf>
      <alignment wrapText="1" readingOrder="0"/>
    </dxf>
    <dxf>
      <alignment wrapText="1"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164" formatCode="#,##0.0"/>
    </dxf>
    <dxf>
      <numFmt numFmtId="3" formatCode="#,##0"/>
    </dxf>
    <dxf>
      <numFmt numFmtId="4" formatCode="#,##0.00"/>
    </dxf>
    <dxf>
      <numFmt numFmtId="4" formatCode="#,##0.00"/>
    </dxf>
    <dxf>
      <numFmt numFmtId="164" formatCode="#,##0.0"/>
    </dxf>
    <dxf>
      <numFmt numFmtId="4" formatCode="#,##0.00"/>
    </dxf>
    <dxf>
      <numFmt numFmtId="30" formatCode="@"/>
    </dxf>
    <dxf>
      <numFmt numFmtId="30" formatCode="@"/>
    </dxf>
    <dxf>
      <numFmt numFmtId="30" formatCode="@"/>
    </dxf>
    <dxf>
      <numFmt numFmtId="30" formatCode="@"/>
    </dxf>
    <dxf>
      <border>
        <bottom style="thin">
          <color indexed="64"/>
        </bottom>
      </border>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PivotTable Style 1" table="0" count="1">
      <tableStyleElement type="wholeTable" dxfId="14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6</xdr:col>
      <xdr:colOff>85725</xdr:colOff>
      <xdr:row>1</xdr:row>
      <xdr:rowOff>19050</xdr:rowOff>
    </xdr:from>
    <xdr:to>
      <xdr:col>8</xdr:col>
      <xdr:colOff>742951</xdr:colOff>
      <xdr:row>15</xdr:row>
      <xdr:rowOff>19050</xdr:rowOff>
    </xdr:to>
    <mc:AlternateContent xmlns:mc="http://schemas.openxmlformats.org/markup-compatibility/2006" xmlns:a14="http://schemas.microsoft.com/office/drawing/2010/main">
      <mc:Choice Requires="a14">
        <xdr:graphicFrame macro="">
          <xdr:nvGraphicFramePr>
            <xdr:cNvPr id="2" name="AEA Name"/>
            <xdr:cNvGraphicFramePr/>
          </xdr:nvGraphicFramePr>
          <xdr:xfrm>
            <a:off x="0" y="0"/>
            <a:ext cx="0" cy="0"/>
          </xdr:xfrm>
          <a:graphic>
            <a:graphicData uri="http://schemas.microsoft.com/office/drawing/2010/slicer">
              <sle:slicer xmlns:sle="http://schemas.microsoft.com/office/drawing/2010/slicer" name="AEA Name"/>
            </a:graphicData>
          </a:graphic>
        </xdr:graphicFrame>
      </mc:Choice>
      <mc:Fallback xmlns="">
        <xdr:sp macro="" textlink="">
          <xdr:nvSpPr>
            <xdr:cNvPr id="0" name=""/>
            <xdr:cNvSpPr>
              <a:spLocks noTextEdit="1"/>
            </xdr:cNvSpPr>
          </xdr:nvSpPr>
          <xdr:spPr>
            <a:xfrm>
              <a:off x="5657850" y="219075"/>
              <a:ext cx="2009776"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rker, John " refreshedDate="43272.453605208335" createdVersion="4" refreshedVersion="4" minRefreshableVersion="3" recordCount="330">
  <cacheSource type="worksheet">
    <worksheetSource name="Detail"/>
  </cacheSource>
  <cacheFields count="29">
    <cacheField name="AEA" numFmtId="49">
      <sharedItems/>
    </cacheField>
    <cacheField name="AEA Name" numFmtId="49">
      <sharedItems count="9">
        <s v="Keystone AEA 1"/>
        <s v="Prairie Lakes AEA 8"/>
        <s v="Central Rivers"/>
        <s v="Mississippi Bend AEA 9"/>
        <s v="Grant Wood AEA 10"/>
        <s v="Heartland AEA 11"/>
        <s v="Northwest AEA"/>
        <s v="Green Hills AEA 13"/>
        <s v="Great Prairie AEA 15"/>
      </sharedItems>
    </cacheField>
    <cacheField name="Dist" numFmtId="49">
      <sharedItems count="333">
        <s v="0135"/>
        <s v="1080"/>
        <s v="2763"/>
        <s v="1638"/>
        <s v="1863"/>
        <s v="1972"/>
        <s v="1989"/>
        <s v="3029"/>
        <s v="4419"/>
        <s v="4043"/>
        <s v="4662"/>
        <s v="4774"/>
        <s v="4787"/>
        <s v="4869"/>
        <s v="5310"/>
        <s v="5508"/>
        <s v="6100"/>
        <s v="6175"/>
        <s v="6509"/>
        <s v="6943"/>
        <s v="6950"/>
        <s v="6961"/>
        <s v="0072"/>
        <s v="0126"/>
        <s v="0171"/>
        <s v="1206"/>
        <s v="1218"/>
        <s v="1944"/>
        <s v="6741"/>
        <s v="2088"/>
        <s v="2124"/>
        <s v="2313"/>
        <s v="2493"/>
        <s v="2556"/>
        <s v="3195"/>
        <s v="2846"/>
        <s v="3060"/>
        <s v="3537"/>
        <s v="3897"/>
        <s v="4023"/>
        <s v="4644"/>
        <s v="4778"/>
        <s v="0333"/>
        <s v="4775"/>
        <s v="4890"/>
        <s v="5139"/>
        <s v="5283"/>
        <s v="5323"/>
        <s v="5724"/>
        <s v="5823"/>
        <s v="6048"/>
        <s v="6091"/>
        <s v="6095"/>
        <s v="6096"/>
        <s v="6102"/>
        <s v="6120"/>
        <s v="6219"/>
        <s v="6246"/>
        <s v="6516"/>
        <s v="6867"/>
        <s v="6921"/>
        <s v="0009"/>
        <s v="0108"/>
        <s v="0279"/>
        <s v="0540"/>
        <s v="0594"/>
        <s v="0846"/>
        <s v="0916"/>
        <s v="1044"/>
        <s v="4772"/>
        <s v="1116"/>
        <s v="1215"/>
        <s v="1233"/>
        <s v="1719"/>
        <s v="1791"/>
        <s v="1908"/>
        <s v="1963"/>
        <s v="3582"/>
        <s v="2007"/>
        <s v="2295"/>
        <s v="2682"/>
        <s v="2403"/>
        <s v="2502"/>
        <s v="2709"/>
        <s v="2727"/>
        <s v="2781"/>
        <s v="3033"/>
        <s v="3042"/>
        <s v="3105"/>
        <s v="3150"/>
        <s v="3186"/>
        <s v="3204"/>
        <s v="3420"/>
        <s v="4104"/>
        <s v="4131"/>
        <s v="4437"/>
        <s v="4599"/>
        <s v="0153"/>
        <s v="0873"/>
        <s v="4785"/>
        <s v="4788"/>
        <s v="4995"/>
        <s v="5697"/>
        <s v="6098"/>
        <s v="5751"/>
        <s v="6273"/>
        <s v="6471"/>
        <s v="1935"/>
        <s v="6762"/>
        <s v="6795"/>
        <s v="6840"/>
        <s v="5922"/>
        <s v="0819"/>
        <s v="6985"/>
        <s v="0243"/>
        <s v="0585"/>
        <s v="0603"/>
        <s v="0621"/>
        <s v="0918"/>
        <s v="0936"/>
        <s v="1082"/>
        <s v="1278"/>
        <s v="1368"/>
        <s v="1611"/>
        <s v="1675"/>
        <s v="1926"/>
        <s v="1965"/>
        <s v="3841"/>
        <s v="4041"/>
        <s v="4581"/>
        <s v="4784"/>
        <s v="4773"/>
        <s v="5250"/>
        <s v="6975"/>
        <s v="7038"/>
        <s v="0099"/>
        <s v="0234"/>
        <s v="0576"/>
        <s v="0609"/>
        <s v="1053"/>
        <s v="1062"/>
        <s v="1089"/>
        <s v="1221"/>
        <s v="1337"/>
        <s v="2097"/>
        <s v="2766"/>
        <s v="2977"/>
        <s v="3141"/>
        <s v="3154"/>
        <s v="3715"/>
        <s v="3744"/>
        <s v="3816"/>
        <s v="4086"/>
        <s v="4271"/>
        <s v="4269"/>
        <s v="4446"/>
        <s v="4554"/>
        <s v="3691"/>
        <s v="4777"/>
        <s v="4905"/>
        <s v="6093"/>
        <s v="6138"/>
        <s v="6408"/>
        <s v="6660"/>
        <s v="6768"/>
        <s v="6930"/>
        <s v="7029"/>
        <s v="0018"/>
        <s v="0027"/>
        <s v="0225"/>
        <s v="0261"/>
        <s v="0414"/>
        <s v="0472"/>
        <s v="0513"/>
        <s v="0720"/>
        <s v="0729"/>
        <s v="0981"/>
        <s v="0999"/>
        <s v="1332"/>
        <s v="1350"/>
        <s v="1359"/>
        <s v="1413"/>
        <s v="1576"/>
        <s v="1737"/>
        <s v="1953"/>
        <s v="2151"/>
        <s v="2466"/>
        <s v="2520"/>
        <s v="2754"/>
        <s v="3114"/>
        <s v="3119"/>
        <s v="3231"/>
        <s v="3375"/>
        <s v="3906"/>
        <s v="3942"/>
        <s v="4122"/>
        <s v="4212"/>
        <s v="4617"/>
        <s v="4725"/>
        <s v="4779"/>
        <s v="4797"/>
        <s v="4878"/>
        <s v="5319"/>
        <s v="5121"/>
        <s v="5166"/>
        <s v="5184"/>
        <s v="5256"/>
        <s v="5643"/>
        <s v="5805"/>
        <s v="6101"/>
        <s v="6094"/>
        <s v="6512"/>
        <s v="6561"/>
        <s v="6579"/>
        <s v="6615"/>
        <s v="6822"/>
        <s v="6264"/>
        <s v="6957"/>
        <s v="7056"/>
        <s v="7110"/>
        <s v="0063"/>
        <s v="0355"/>
        <s v="0747"/>
        <s v="1095"/>
        <s v="1134"/>
        <s v="1152"/>
        <s v="1701"/>
        <s v="2376"/>
        <s v="2457"/>
        <s v="2862"/>
        <s v="2988"/>
        <s v="3348"/>
        <s v="3555"/>
        <s v="3600"/>
        <s v="4033"/>
        <s v="4068"/>
        <s v="4149"/>
        <s v="4860"/>
        <s v="5486"/>
        <s v="1975"/>
        <s v="5607"/>
        <s v="5832"/>
        <s v="5877"/>
        <s v="5949"/>
        <s v="5994"/>
        <s v="6030"/>
        <s v="6039"/>
        <s v="5157"/>
        <s v="6983"/>
        <s v="6987"/>
        <s v="6990"/>
        <s v="6992"/>
        <s v="7002"/>
        <s v="7098"/>
        <s v="0441"/>
        <s v="0387"/>
        <s v="0549"/>
        <s v="1917"/>
        <s v="0914"/>
        <s v="1093"/>
        <s v="1197"/>
        <s v="1211"/>
        <s v="1431"/>
        <s v="1476"/>
        <s v="1503"/>
        <s v="1782"/>
        <s v="3978"/>
        <s v="1970"/>
        <s v="2113"/>
        <s v="2369"/>
        <s v="2511"/>
        <s v="2718"/>
        <s v="2772"/>
        <s v="2826"/>
        <s v="3168"/>
        <s v="3465"/>
        <s v="3609"/>
        <s v="3645"/>
        <s v="3798"/>
        <s v="4356"/>
        <s v="4505"/>
        <s v="4527"/>
        <s v="4572"/>
        <s v="2673"/>
        <s v="4978"/>
        <s v="5463"/>
        <s v="4824"/>
        <s v="5976"/>
        <s v="6003"/>
        <s v="6097"/>
        <s v="6165"/>
        <s v="6453"/>
        <s v="6460"/>
        <s v="6534"/>
        <s v="6651"/>
        <s v="6969"/>
        <s v="7092"/>
        <s v="0081"/>
        <s v="0882"/>
        <s v="0977"/>
        <s v="1071"/>
        <s v="1079"/>
        <s v="1107"/>
        <s v="1602"/>
        <s v="1619"/>
        <s v="0657"/>
        <s v="2169"/>
        <s v="2322"/>
        <s v="2834"/>
        <s v="3312"/>
        <s v="3330"/>
        <s v="4203"/>
        <s v="4491"/>
        <s v="4509"/>
        <s v="4518"/>
        <s v="4536"/>
        <s v="4689"/>
        <s v="4776"/>
        <s v="5013"/>
        <s v="5049"/>
        <s v="5163"/>
        <s v="5895"/>
        <s v="6012"/>
        <s v="6462"/>
        <s v="6592"/>
        <s v="6700"/>
        <s v="6759"/>
        <s v="6854"/>
        <s v="6937"/>
        <s v="7047"/>
        <s v="6591" u="1"/>
        <s v="0504" u="1"/>
        <s v="0423" u="1"/>
      </sharedItems>
    </cacheField>
    <cacheField name="District" numFmtId="49">
      <sharedItems count="354">
        <s v="Allamakee"/>
        <s v="Central Clayton"/>
        <s v="Clayton Ridge"/>
        <s v="Decorah"/>
        <s v="Dubuque"/>
        <s v="Eastern Allamakee"/>
        <s v="Edgewood-Colesburg"/>
        <s v="Howard-Winneshiek"/>
        <s v="MFL Mar Mac"/>
        <s v="Maquoketa Valley"/>
        <s v="New Hampton"/>
        <s v="North Fayette Valley"/>
        <s v="North Winneshiek"/>
        <s v="Oelwein"/>
        <s v="Postville"/>
        <s v="Riceville"/>
        <s v="South Winneshiek"/>
        <s v="Starmont"/>
        <s v="Turkey Valley"/>
        <s v="West Central"/>
        <s v="West Delaware Co"/>
        <s v="Western Dubuque Co"/>
        <s v="Albert City-Truesdale"/>
        <s v="Algona"/>
        <s v="Alta-Aurelia"/>
        <s v="Clarion-Goldfield-Dows"/>
        <s v="Clay Central-Everly"/>
        <s v="Eagle Grove"/>
        <s v="East Sac County"/>
        <s v="Emmetsburg"/>
        <s v="Estherville-Lincoln Central"/>
        <s v="Fort Dodge"/>
        <s v="Gilmore City-Bradgate"/>
        <s v="Graettinger-Terril"/>
        <s v="Greene County"/>
        <s v="Harris-Lake Park"/>
        <s v="Humboldt"/>
        <s v="Laurens-Marathon"/>
        <s v="Lu Verne"/>
        <s v="Manson-Northwest Webster"/>
        <s v="Newell-Fonda"/>
        <s v="North Kossuth"/>
        <s v="North Union"/>
        <s v="Northeast Hamilton"/>
        <s v="Okoboji"/>
        <s v="Paton-Churdan"/>
        <s v="Pocahontas Area"/>
        <s v="Prairie Valley"/>
        <s v="Ruthven-Ayrshire"/>
        <s v="Schaller-Crestland"/>
        <s v="Sioux Central"/>
        <s v="South Central Calhoun"/>
        <s v="South Hamilton"/>
        <s v="Southeast Webster-Grand"/>
        <s v="Spencer"/>
        <s v="Spirit Lake"/>
        <s v="Storm Lake"/>
        <s v="Stratford"/>
        <s v="Twin Rivers"/>
        <s v="Webster City"/>
        <s v="West Bend-Mallard"/>
        <s v="AGWSR"/>
        <s v="Alden"/>
        <s v="Aplington-Parkersburg"/>
        <s v="BCLUW"/>
        <s v="Belmond-Klemme"/>
        <s v="Brooklyn-Guernsey-Malcom"/>
        <s v="CAL"/>
        <s v="Cedar Falls"/>
        <s v="Central Springs"/>
        <s v="Charles City"/>
        <s v="Clarksville"/>
        <s v="Clear Lake"/>
        <s v="Denver"/>
        <s v="Dike-New Hartford"/>
        <s v="Dunkerton"/>
        <s v="East Buchanan"/>
        <s v="East Marshall"/>
        <s v="Eldora-New Providence"/>
        <s v="Forest City"/>
        <s v="GMG"/>
        <s v="Garner-Hayfield-Ventura"/>
        <s v="Gladbrook-Reinbeck"/>
        <s v="Grinnell-Newburg"/>
        <s v="Grundy Center"/>
        <s v="Hampton-Dumont"/>
        <s v="Hubbard-Radcliffe"/>
        <s v="Hudson"/>
        <s v="Independence"/>
        <s v="Iowa Falls"/>
        <s v="Janesville"/>
        <s v="Jesup"/>
        <s v="Lake Mills"/>
        <s v="Marshalltown"/>
        <s v="Mason City"/>
        <s v="Montezuma"/>
        <s v="Nashua-Plainfield"/>
        <s v="North Butler"/>
        <s v="North Iowa"/>
        <s v="North Tama"/>
        <s v="Northwood-Kensett"/>
        <s v="Osage"/>
        <s v="Rudd-Rockford-Marble Rock"/>
        <s v="South Tama"/>
        <s v="St Ansgar"/>
        <s v="Sumner-Fredericksburg"/>
        <s v="Tripoli"/>
        <s v="Union"/>
        <s v="Wapsie Valley"/>
        <s v="Waterloo"/>
        <s v="Waverly-Shell Rock"/>
        <s v="West Fork"/>
        <s v="West Hancock"/>
        <s v="West Marshall"/>
        <s v="Andrew"/>
        <s v="Bellevue"/>
        <s v="Bennett"/>
        <s v="Bettendorf"/>
        <s v="Calamus-Wheatland"/>
        <s v="Camanche"/>
        <s v="Central De Witt"/>
        <s v="Clinton"/>
        <s v="Columbus"/>
        <s v="Davenport"/>
        <s v="Delwood"/>
        <s v="Durant"/>
        <s v="Easton Valley"/>
        <s v="Louisa-Muscatine"/>
        <s v="Maquoketa"/>
        <s v="Muscatine"/>
        <s v="North Scott"/>
        <s v="Northeast"/>
        <s v="Pleasant Valley"/>
        <s v="West Liberty"/>
        <s v="Wilton"/>
        <s v="Alburnett"/>
        <s v="Anamosa"/>
        <s v="Belle Plaine"/>
        <s v="Benton"/>
        <s v="Cedar Rapids"/>
        <s v="Center Point-Urbana"/>
        <s v="Central City"/>
        <s v="Clear Creek-Amana"/>
        <s v="College Community"/>
        <s v="English Valleys"/>
        <s v="HLV"/>
        <s v="Highland"/>
        <s v="Iowa City"/>
        <s v="Iowa Valley"/>
        <s v="Linn-Mar"/>
        <s v="Lisbon"/>
        <s v="Lone Tree"/>
        <s v="Marion"/>
        <s v="Mid-Prairie"/>
        <s v="Midland"/>
        <s v="Monticello"/>
        <s v="Mount Vernon"/>
        <s v="North Cedar"/>
        <s v="North Linn"/>
        <s v="Olin"/>
        <s v="Solon"/>
        <s v="Springville"/>
        <s v="Tipton"/>
        <s v="Vinton-Shellsburg"/>
        <s v="Washington"/>
        <s v="West Branch"/>
        <s v="Williamsburg"/>
        <s v="Adair-Casey"/>
        <s v="Adel-Desoto-Minburn"/>
        <s v="Ames"/>
        <s v="Ankeny"/>
        <s v="Audubon"/>
        <s v="Ballard"/>
        <s v="Baxter"/>
        <s v="Bondurant-Farrar"/>
        <s v="Boone"/>
        <s v="Carlisle"/>
        <s v="Carroll"/>
        <s v="Colfax-Mingo"/>
        <s v="Collins-Maxwell"/>
        <s v="Colo-Nesco"/>
        <s v="Coon Rapids-Bayard"/>
        <s v="Dallas Center-Grimes"/>
        <s v="Des Moines"/>
        <s v="Earlham"/>
        <s v="Exira-Elk Horn-Kimballton"/>
        <s v="Gilbert"/>
        <s v="Glidden-Ralston"/>
        <s v="Guthrie Center"/>
        <s v="Indianola"/>
        <s v="Interstate 35"/>
        <s v="Johnston"/>
        <s v="Knoxville"/>
        <s v="Lynnville-Sully"/>
        <s v="Madrid"/>
        <s v="Martensdale-St Marys"/>
        <s v="Melcher-Dallas"/>
        <s v="Nevada"/>
        <s v="Newton"/>
        <s v="North Polk"/>
        <s v="Norwalk"/>
        <s v="Ogden"/>
        <s v="PCM"/>
        <s v="Panorama"/>
        <s v="Pella"/>
        <s v="Perry"/>
        <s v="Pleasantville"/>
        <s v="Roland-Story"/>
        <s v="Saydel"/>
        <s v="Southeast Polk"/>
        <s v="Southeast Warren"/>
        <s v="Twin Cedars"/>
        <s v="United"/>
        <s v="Urbandale"/>
        <s v="Van Meter"/>
        <s v="Waukee"/>
        <s v="West Central Valley"/>
        <s v="West Des Moines"/>
        <s v="Winterset"/>
        <s v="Woodward-Granger"/>
        <s v="Akron-Westfield"/>
        <s v="Ar-We-Va"/>
        <s v="Boyden-Hull"/>
        <s v="Central Lyon"/>
        <s v="Charter Oak-Ute"/>
        <s v="Cherokee"/>
        <s v="Denison"/>
        <s v="Galva-Holstein"/>
        <s v="George-Little Rock"/>
        <s v="Hartley-Melvin-Sanborn"/>
        <s v="Hinton"/>
        <s v="Kingsley-Pierson"/>
        <s v="Lawton-Bronson"/>
        <s v="Le Mars"/>
        <s v="Maple Valley-Anthon Oto"/>
        <s v="Marcus-Meriden Cleghorn"/>
        <s v="Moc-Floyd Valley"/>
        <s v="Odebolt Arthur Battle Creek Ida Grove"/>
        <s v="Remsen-Union"/>
        <s v="River Valley"/>
        <s v="Rock Valley"/>
        <s v="Schleswig"/>
        <s v="Sergeant Bluff-Luton"/>
        <s v="Sheldon"/>
        <s v="Sibley-Ocheyedan"/>
        <s v="Sioux Center"/>
        <s v="Sioux City"/>
        <s v="South O'Brien"/>
        <s v="West Lyon"/>
        <s v="West Monona"/>
        <s v="West Sioux"/>
        <s v="Westwood"/>
        <s v="Whiting"/>
        <s v="Woodbury Central"/>
        <s v="AHSTW"/>
        <s v="Atlantic"/>
        <s v="Bedford"/>
        <s v="Boyer Valley"/>
        <s v="CAM"/>
        <s v="Central Decatur"/>
        <s v="Clarinda"/>
        <s v="Clarke"/>
        <s v="Corning"/>
        <s v="Council Bluffs"/>
        <s v="Creston"/>
        <s v="Diagonal"/>
        <s v="East Mills"/>
        <s v="East Union"/>
        <s v="Essex"/>
        <s v="Fremont-Mills"/>
        <s v="Glenwood"/>
        <s v="Griswold"/>
        <s v="Hamburg"/>
        <s v="Harlan"/>
        <s v="IKM-Manning"/>
        <s v="Lamoni"/>
        <s v="Lenox"/>
        <s v="Lewis Central"/>
        <s v="Logan-Magnolia"/>
        <s v="Missouri Valley"/>
        <s v="Mormon Trail"/>
        <s v="Mount Ayr"/>
        <s v="Murray"/>
        <s v="Nodaway Valley"/>
        <s v="Orient-Macksburg"/>
        <s v="Red Oak"/>
        <s v="Riverside"/>
        <s v="Shenandoah"/>
        <s v="Sidney"/>
        <s v="South Page"/>
        <s v="Stanton"/>
        <s v="Treynor"/>
        <s v="Tri-Center"/>
        <s v="Underwood"/>
        <s v="Villisca"/>
        <s v="West Harrison"/>
        <s v="Woodbine"/>
        <s v="Albia"/>
        <s v="Burlington"/>
        <s v="Cardinal"/>
        <s v="Centerville"/>
        <s v="Central Lee"/>
        <s v="Chariton"/>
        <s v="Danville"/>
        <s v="Davis County"/>
        <s v="Eddyville-Blakesburg-Fremont"/>
        <s v="Fairfield"/>
        <s v="Fort Madison"/>
        <s v="Harmony"/>
        <s v="Keokuk"/>
        <s v="Keota"/>
        <s v="Mediapolis"/>
        <s v="Moravia"/>
        <s v="Morning Sun"/>
        <s v="Moulton-Udell"/>
        <s v="Mount Pleasant"/>
        <s v="New London"/>
        <s v="North Mahaska"/>
        <s v="Oskaloosa"/>
        <s v="Ottumwa"/>
        <s v="Pekin"/>
        <s v="Seymour"/>
        <s v="Sigourney"/>
        <s v="Tri-County"/>
        <s v="Van Buren"/>
        <s v="Waco"/>
        <s v="Wapello"/>
        <s v="Wayne"/>
        <s v="West Burlington"/>
        <s v="Winfield-Mt Union"/>
        <s v="CLARION-GOLDFIELD-DOWS (C" u="1"/>
        <s v="FOREST CITY(FOREST CITY)" u="1"/>
        <s v="COLLEGE" u="1"/>
        <s v="NORTH BUTLER (ALLISON BRI" u="1"/>
        <s v="NODAWAY VALLEY (GREENFIEL" u="1"/>
        <s v="ALGONA (ALGONA)" u="1"/>
        <s v="AHSTW (AHST)" u="1"/>
        <s v="MAPLE VALLEY-ANTHON OTO (" u="1"/>
        <s v="GREENE COUNTY (JEFFERSON-" u="1"/>
        <s v="NORTH UNION (ARMSTRONG-RI" u="1"/>
        <s v="ODEBOLT-ARTHUR" u="1"/>
        <s v="GARNER-HAYFIELD-VENTURA (" u="1"/>
        <s v="AURELIA" u="1"/>
        <s v="CLEAR CREEK-AMANA (CLEAR" u="1"/>
        <s v="EAST MILLS (MALVERN)" u="1"/>
        <s v="BATTLE CREEK-IDA GROVE" u="1"/>
        <s v="CALAMUS/WHEATLAND" u="1"/>
        <s v="ENGLISH VALLEYS (ENGLISH" u="1"/>
        <s v="ESTHERVILLE-LINCOLN CENTR" u="1"/>
        <s v="NORTH FAYETTE" u="1"/>
        <s v="EDDYVILLE-BLAKESBURG-FREM" u="1"/>
        <s v="ALTA" u="1"/>
        <s v="CRESTON (CRESTON)" u="1"/>
        <s v="VALLEY" u="1"/>
      </sharedItems>
    </cacheField>
    <cacheField name="Total Special Ed Weighting in Addition to 1.0" numFmtId="4">
      <sharedItems containsSemiMixedTypes="0" containsString="0" containsNumber="1" minValue="14.8" maxValue="6061.9"/>
    </cacheField>
    <cacheField name="Budget Enrollment" numFmtId="164">
      <sharedItems containsSemiMixedTypes="0" containsString="0" containsNumber="1" minValue="99" maxValue="33057.4"/>
    </cacheField>
    <cacheField name="AEA Weighted Enrollment" numFmtId="4">
      <sharedItems containsSemiMixedTypes="0" containsString="0" containsNumber="1" minValue="113.8" maxValue="39119.300000000003"/>
    </cacheField>
    <cacheField name="AEA Supplementary Weight for Sharing" numFmtId="4">
      <sharedItems containsSemiMixedTypes="0" containsString="0" containsNumber="1" minValue="0" maxValue="13.05"/>
    </cacheField>
    <cacheField name="Resident Accredited Nonpublic Students" numFmtId="3">
      <sharedItems containsSemiMixedTypes="0" containsString="0" containsNumber="1" containsInteger="1" minValue="0" maxValue="2578"/>
    </cacheField>
    <cacheField name="Shared-Time Nonpublic Pupils Counted in Line 1.1" numFmtId="164">
      <sharedItems containsSemiMixedTypes="0" containsString="0" containsNumber="1" minValue="0" maxValue="29.1"/>
    </cacheField>
    <cacheField name="Total Enrollment Served - AEA Media and Ed Services" numFmtId="3">
      <sharedItems containsSemiMixedTypes="0" containsString="0" containsNumber="1" containsInteger="1" minValue="100" maxValue="35634"/>
    </cacheField>
    <cacheField name="AEA Special Ed Support Cost Per Pupil" numFmtId="4">
      <sharedItems containsSemiMixedTypes="0" containsString="0" containsNumber="1" minValue="287.82" maxValue="310.08"/>
    </cacheField>
    <cacheField name="AEA Media Cost Per Pupil" numFmtId="4">
      <sharedItems containsSemiMixedTypes="0" containsString="0" containsNumber="1" minValue="54.89" maxValue="55.43"/>
    </cacheField>
    <cacheField name="AEA Ed Services Cost Per Pupil" numFmtId="4">
      <sharedItems containsSemiMixedTypes="0" containsString="0" containsNumber="1" minValue="59.9" maxValue="62.2"/>
    </cacheField>
    <cacheField name="AEA Teacher Salary Supplement District Cost Per Pupil" numFmtId="4">
      <sharedItems containsSemiMixedTypes="0" containsString="0" containsNumber="1" minValue="23.84" maxValue="37.79"/>
    </cacheField>
    <cacheField name="Professional Development Supplement District Cost Per Pupil" numFmtId="4">
      <sharedItems containsSemiMixedTypes="0" containsString="0" containsNumber="1" minValue="3.03" maxValue="4.3499999999999996"/>
    </cacheField>
    <cacheField name="AEA Special Ed Support District Cost without Adjustment" numFmtId="3">
      <sharedItems containsSemiMixedTypes="0" containsString="0" containsNumber="1" containsInteger="1" minValue="33671" maxValue="11259317"/>
    </cacheField>
    <cacheField name="AEA Special Ed Support Adjustment" numFmtId="3">
      <sharedItems containsSemiMixedTypes="0" containsString="0" containsNumber="1" containsInteger="1" minValue="0" maxValue="48289"/>
    </cacheField>
    <cacheField name="Special Education Total Cost" numFmtId="3">
      <sharedItems containsSemiMixedTypes="0" containsString="0" containsNumber="1" containsInteger="1" minValue="34533" maxValue="11259317"/>
    </cacheField>
    <cacheField name="AEA Media Services District Cost" numFmtId="3">
      <sharedItems containsSemiMixedTypes="0" containsString="0" containsNumber="1" containsInteger="1" minValue="5508" maxValue="1958088"/>
    </cacheField>
    <cacheField name="AEA Ed Services District Cost" numFmtId="3">
      <sharedItems containsSemiMixedTypes="0" containsString="0" containsNumber="1" containsInteger="1" minValue="6090" maxValue="2149443"/>
    </cacheField>
    <cacheField name="AEA Sharing District Cost" numFmtId="3">
      <sharedItems containsSemiMixedTypes="0" containsString="0" containsNumber="1" containsInteger="1" minValue="0" maxValue="3991"/>
    </cacheField>
    <cacheField name="AEA Teacher Salary Supplement District Cost" numFmtId="3">
      <sharedItems containsSemiMixedTypes="0" containsString="0" containsNumber="1" containsInteger="1" minValue="3546" maxValue="932604"/>
    </cacheField>
    <cacheField name="AEA Professional Development Supplement District Cost" numFmtId="3">
      <sharedItems containsSemiMixedTypes="0" containsString="0" containsNumber="1" containsInteger="1" minValue="378" maxValue="118531"/>
    </cacheField>
    <cacheField name="Subtotal Budget" numFmtId="3">
      <sharedItems containsSemiMixedTypes="0" containsString="0" containsNumber="1" containsInteger="1" minValue="50055" maxValue="16417983"/>
    </cacheField>
    <cacheField name="AEA Statewide State Aid Reduction" numFmtId="3">
      <sharedItems containsSemiMixedTypes="0" containsString="0" containsNumber="1" containsInteger="1" minValue="6461" maxValue="1502985"/>
    </cacheField>
    <cacheField name="Total Budget" numFmtId="3">
      <sharedItems containsSemiMixedTypes="0" containsString="0" containsNumber="1" containsInteger="1" minValue="43594" maxValue="14914998"/>
    </cacheField>
    <cacheField name="State Aid Portion" numFmtId="3">
      <sharedItems containsSemiMixedTypes="0" containsString="0" containsNumber="1" containsInteger="1" minValue="23978" maxValue="8662947"/>
    </cacheField>
    <cacheField name="Property Tax Portion" numFmtId="3">
      <sharedItems containsSemiMixedTypes="0" containsString="0" containsNumber="1" containsInteger="1" minValue="19616" maxValue="625205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30">
  <r>
    <s v="01"/>
    <x v="0"/>
    <x v="0"/>
    <x v="0"/>
    <n v="143.25"/>
    <n v="1094.2"/>
    <n v="1237.45"/>
    <n v="0"/>
    <n v="164"/>
    <n v="1.6"/>
    <n v="1257"/>
    <n v="310.08"/>
    <n v="55.35"/>
    <n v="61.73"/>
    <n v="30.56"/>
    <n v="3.29"/>
    <n v="383708"/>
    <n v="8646"/>
    <n v="392354"/>
    <n v="69575"/>
    <n v="77595"/>
    <n v="0"/>
    <n v="37816"/>
    <n v="4071"/>
    <n v="581411"/>
    <n v="73532"/>
    <n v="507879"/>
    <n v="256681"/>
    <n v="251198"/>
  </r>
  <r>
    <s v="01"/>
    <x v="0"/>
    <x v="1"/>
    <x v="1"/>
    <n v="52.58"/>
    <n v="418.6"/>
    <n v="471.18"/>
    <n v="0"/>
    <n v="1"/>
    <n v="0"/>
    <n v="420"/>
    <n v="310.08"/>
    <n v="55.35"/>
    <n v="61.73"/>
    <n v="30.56"/>
    <n v="3.29"/>
    <n v="146103"/>
    <n v="22893"/>
    <n v="168996"/>
    <n v="23247"/>
    <n v="25927"/>
    <n v="0"/>
    <n v="14702"/>
    <n v="1579"/>
    <n v="234451"/>
    <n v="29988"/>
    <n v="204463"/>
    <n v="96078"/>
    <n v="108385"/>
  </r>
  <r>
    <s v="01"/>
    <x v="0"/>
    <x v="2"/>
    <x v="2"/>
    <n v="57.31"/>
    <n v="571.4"/>
    <n v="628.71"/>
    <n v="0"/>
    <n v="68"/>
    <n v="3.4"/>
    <n v="636"/>
    <n v="310.08"/>
    <n v="55.35"/>
    <n v="61.73"/>
    <n v="30.56"/>
    <n v="3.29"/>
    <n v="194950"/>
    <n v="9872"/>
    <n v="204822"/>
    <n v="35203"/>
    <n v="39260"/>
    <n v="0"/>
    <n v="19220"/>
    <n v="2068"/>
    <n v="300573"/>
    <n v="39375"/>
    <n v="261198"/>
    <n v="128402"/>
    <n v="132796"/>
  </r>
  <r>
    <s v="01"/>
    <x v="0"/>
    <x v="3"/>
    <x v="3"/>
    <n v="121.77"/>
    <n v="1367.1"/>
    <n v="1488.87"/>
    <n v="0"/>
    <n v="98"/>
    <n v="0.4"/>
    <n v="1465"/>
    <n v="310.08"/>
    <n v="55.35"/>
    <n v="61.73"/>
    <n v="30.56"/>
    <n v="3.29"/>
    <n v="461669"/>
    <n v="0"/>
    <n v="461669"/>
    <n v="81088"/>
    <n v="90434"/>
    <n v="0"/>
    <n v="45500"/>
    <n v="4898"/>
    <n v="683589"/>
    <n v="75026"/>
    <n v="608563"/>
    <n v="322279"/>
    <n v="286284"/>
  </r>
  <r>
    <s v="01"/>
    <x v="0"/>
    <x v="4"/>
    <x v="4"/>
    <n v="1893.79"/>
    <n v="10506.8"/>
    <n v="12400.59"/>
    <n v="0"/>
    <n v="1638"/>
    <n v="1.3"/>
    <n v="12144"/>
    <n v="310.08"/>
    <n v="55.35"/>
    <n v="61.73"/>
    <n v="30.56"/>
    <n v="3.29"/>
    <n v="3845175"/>
    <n v="23462"/>
    <n v="3868637"/>
    <n v="672170"/>
    <n v="749649"/>
    <n v="0"/>
    <n v="381133"/>
    <n v="40935"/>
    <n v="5712524"/>
    <n v="514177"/>
    <n v="5198347"/>
    <n v="2797228"/>
    <n v="2401119"/>
  </r>
  <r>
    <s v="01"/>
    <x v="0"/>
    <x v="5"/>
    <x v="5"/>
    <n v="26.07"/>
    <n v="325.10000000000002"/>
    <n v="351.17"/>
    <n v="0"/>
    <n v="3"/>
    <n v="0"/>
    <n v="328"/>
    <n v="310.08"/>
    <n v="55.35"/>
    <n v="61.73"/>
    <n v="30.56"/>
    <n v="3.29"/>
    <n v="108891"/>
    <n v="19336"/>
    <n v="128227"/>
    <n v="18155"/>
    <n v="20247"/>
    <n v="0"/>
    <n v="11163"/>
    <n v="1199"/>
    <n v="178991"/>
    <n v="23749"/>
    <n v="155242"/>
    <n v="70436"/>
    <n v="84806"/>
  </r>
  <r>
    <s v="01"/>
    <x v="0"/>
    <x v="6"/>
    <x v="6"/>
    <n v="36.54"/>
    <n v="414"/>
    <n v="450.54"/>
    <n v="0"/>
    <n v="31"/>
    <n v="0"/>
    <n v="445"/>
    <n v="310.08"/>
    <n v="55.35"/>
    <n v="61.73"/>
    <n v="30.56"/>
    <n v="3.29"/>
    <n v="139703"/>
    <n v="3816"/>
    <n v="143519"/>
    <n v="24631"/>
    <n v="27470"/>
    <n v="0"/>
    <n v="13769"/>
    <n v="1482"/>
    <n v="210871"/>
    <n v="27107"/>
    <n v="183764"/>
    <n v="93120"/>
    <n v="90644"/>
  </r>
  <r>
    <s v="01"/>
    <x v="0"/>
    <x v="7"/>
    <x v="7"/>
    <n v="163.05000000000001"/>
    <n v="1160.4000000000001"/>
    <n v="1323.45"/>
    <n v="0"/>
    <n v="191"/>
    <n v="1.6"/>
    <n v="1350"/>
    <n v="310.08"/>
    <n v="55.35"/>
    <n v="61.73"/>
    <n v="30.56"/>
    <n v="3.29"/>
    <n v="410375"/>
    <n v="21555"/>
    <n v="431930"/>
    <n v="74723"/>
    <n v="83336"/>
    <n v="0"/>
    <n v="40931"/>
    <n v="4396"/>
    <n v="635316"/>
    <n v="74965"/>
    <n v="560351"/>
    <n v="278726"/>
    <n v="281625"/>
  </r>
  <r>
    <s v="01"/>
    <x v="0"/>
    <x v="8"/>
    <x v="8"/>
    <n v="93.46"/>
    <n v="757.5"/>
    <n v="850.96"/>
    <n v="0"/>
    <n v="0"/>
    <n v="0"/>
    <n v="758"/>
    <n v="310.08"/>
    <n v="55.35"/>
    <n v="61.73"/>
    <n v="30.56"/>
    <n v="3.29"/>
    <n v="263866"/>
    <n v="1621"/>
    <n v="265487"/>
    <n v="41955"/>
    <n v="46791"/>
    <n v="0"/>
    <n v="26146"/>
    <n v="2808"/>
    <n v="383187"/>
    <n v="49021"/>
    <n v="334166"/>
    <n v="178207"/>
    <n v="155959"/>
  </r>
  <r>
    <s v="01"/>
    <x v="0"/>
    <x v="9"/>
    <x v="9"/>
    <n v="46.31"/>
    <n v="672.4"/>
    <n v="718.71"/>
    <n v="0"/>
    <n v="27"/>
    <n v="0"/>
    <n v="699"/>
    <n v="310.08"/>
    <n v="55.35"/>
    <n v="61.73"/>
    <n v="30.56"/>
    <n v="3.29"/>
    <n v="222858"/>
    <n v="11942"/>
    <n v="234800"/>
    <n v="38690"/>
    <n v="43149"/>
    <n v="0"/>
    <n v="22346"/>
    <n v="2400"/>
    <n v="341385"/>
    <n v="45215"/>
    <n v="296170"/>
    <n v="146990"/>
    <n v="149180"/>
  </r>
  <r>
    <s v="01"/>
    <x v="0"/>
    <x v="10"/>
    <x v="10"/>
    <n v="123.43"/>
    <n v="959.6"/>
    <n v="1083.03"/>
    <n v="0"/>
    <n v="135"/>
    <n v="1.6"/>
    <n v="1093"/>
    <n v="310.08"/>
    <n v="55.35"/>
    <n v="61.73"/>
    <n v="30.56"/>
    <n v="3.29"/>
    <n v="335826"/>
    <n v="0"/>
    <n v="335826"/>
    <n v="60498"/>
    <n v="67471"/>
    <n v="0"/>
    <n v="33097"/>
    <n v="3563"/>
    <n v="500455"/>
    <n v="58022"/>
    <n v="442433"/>
    <n v="230984"/>
    <n v="211449"/>
  </r>
  <r>
    <s v="01"/>
    <x v="0"/>
    <x v="11"/>
    <x v="11"/>
    <n v="175.07"/>
    <n v="1134.0999999999999"/>
    <n v="1309.17"/>
    <n v="0"/>
    <n v="4"/>
    <n v="0"/>
    <n v="1138"/>
    <n v="310.08"/>
    <n v="55.35"/>
    <n v="61.73"/>
    <n v="30.56"/>
    <n v="3.29"/>
    <n v="405947"/>
    <n v="31025"/>
    <n v="436972"/>
    <n v="62988"/>
    <n v="70249"/>
    <n v="0"/>
    <n v="40008"/>
    <n v="4307"/>
    <n v="614524"/>
    <n v="80898"/>
    <n v="533626"/>
    <n v="268454"/>
    <n v="265172"/>
  </r>
  <r>
    <s v="01"/>
    <x v="0"/>
    <x v="12"/>
    <x v="12"/>
    <n v="29.74"/>
    <n v="276"/>
    <n v="305.74"/>
    <n v="0"/>
    <n v="11"/>
    <n v="0"/>
    <n v="287"/>
    <n v="310.08"/>
    <n v="55.35"/>
    <n v="61.73"/>
    <n v="30.56"/>
    <n v="3.29"/>
    <n v="94804"/>
    <n v="2975"/>
    <n v="97779"/>
    <n v="15885"/>
    <n v="17717"/>
    <n v="0"/>
    <n v="9402"/>
    <n v="1010"/>
    <n v="141793"/>
    <n v="17982"/>
    <n v="123811"/>
    <n v="63667"/>
    <n v="60144"/>
  </r>
  <r>
    <s v="01"/>
    <x v="0"/>
    <x v="13"/>
    <x v="13"/>
    <n v="246.24"/>
    <n v="1255.4000000000001"/>
    <n v="1501.64"/>
    <n v="0"/>
    <n v="80"/>
    <n v="3.6"/>
    <n v="1332"/>
    <n v="310.08"/>
    <n v="55.35"/>
    <n v="61.73"/>
    <n v="30.56"/>
    <n v="3.29"/>
    <n v="465629"/>
    <n v="0"/>
    <n v="465629"/>
    <n v="73726"/>
    <n v="82224"/>
    <n v="0"/>
    <n v="45890"/>
    <n v="4940"/>
    <n v="672409"/>
    <n v="78419"/>
    <n v="593990"/>
    <n v="322293"/>
    <n v="271697"/>
  </r>
  <r>
    <s v="01"/>
    <x v="0"/>
    <x v="14"/>
    <x v="14"/>
    <n v="87.75"/>
    <n v="730.9"/>
    <n v="818.65"/>
    <n v="0"/>
    <n v="10"/>
    <n v="0"/>
    <n v="741"/>
    <n v="310.08"/>
    <n v="55.35"/>
    <n v="61.73"/>
    <n v="30.56"/>
    <n v="3.29"/>
    <n v="253847"/>
    <n v="0"/>
    <n v="253847"/>
    <n v="41014"/>
    <n v="45742"/>
    <n v="0"/>
    <n v="25018"/>
    <n v="2693"/>
    <n v="368314"/>
    <n v="30686"/>
    <n v="337628"/>
    <n v="187770"/>
    <n v="149858"/>
  </r>
  <r>
    <s v="01"/>
    <x v="0"/>
    <x v="15"/>
    <x v="15"/>
    <n v="38.159999999999997"/>
    <n v="328.3"/>
    <n v="366.46"/>
    <n v="0"/>
    <n v="3"/>
    <n v="0"/>
    <n v="331"/>
    <n v="310.08"/>
    <n v="55.35"/>
    <n v="61.73"/>
    <n v="30.56"/>
    <n v="3.29"/>
    <n v="113632"/>
    <n v="0"/>
    <n v="113632"/>
    <n v="18321"/>
    <n v="20433"/>
    <n v="0"/>
    <n v="11199"/>
    <n v="1206"/>
    <n v="164791"/>
    <n v="21332"/>
    <n v="143459"/>
    <n v="76458"/>
    <n v="67001"/>
  </r>
  <r>
    <s v="01"/>
    <x v="0"/>
    <x v="16"/>
    <x v="16"/>
    <n v="97.54"/>
    <n v="497"/>
    <n v="594.54"/>
    <n v="0"/>
    <n v="195"/>
    <n v="3"/>
    <n v="689"/>
    <n v="310.08"/>
    <n v="55.35"/>
    <n v="61.73"/>
    <n v="30.56"/>
    <n v="3.29"/>
    <n v="184355"/>
    <n v="9180"/>
    <n v="193535"/>
    <n v="38136"/>
    <n v="42532"/>
    <n v="0"/>
    <n v="18239"/>
    <n v="1959"/>
    <n v="294401"/>
    <n v="37693"/>
    <n v="256708"/>
    <n v="121033"/>
    <n v="135675"/>
  </r>
  <r>
    <s v="01"/>
    <x v="0"/>
    <x v="17"/>
    <x v="17"/>
    <n v="87.56"/>
    <n v="619.4"/>
    <n v="706.96"/>
    <n v="0"/>
    <n v="0"/>
    <n v="0"/>
    <n v="619"/>
    <n v="310.08"/>
    <n v="55.35"/>
    <n v="61.73"/>
    <n v="30.56"/>
    <n v="3.29"/>
    <n v="219214"/>
    <n v="0"/>
    <n v="219214"/>
    <n v="34262"/>
    <n v="38211"/>
    <n v="0"/>
    <n v="21605"/>
    <n v="2326"/>
    <n v="315618"/>
    <n v="41746"/>
    <n v="273872"/>
    <n v="146907"/>
    <n v="126965"/>
  </r>
  <r>
    <s v="01"/>
    <x v="0"/>
    <x v="18"/>
    <x v="18"/>
    <n v="49.3"/>
    <n v="360.7"/>
    <n v="410"/>
    <n v="0"/>
    <n v="59"/>
    <n v="0"/>
    <n v="420"/>
    <n v="310.08"/>
    <n v="55.35"/>
    <n v="61.73"/>
    <n v="30.56"/>
    <n v="3.29"/>
    <n v="127133"/>
    <n v="19621"/>
    <n v="146754"/>
    <n v="23247"/>
    <n v="25927"/>
    <n v="0"/>
    <n v="12530"/>
    <n v="1349"/>
    <n v="209807"/>
    <n v="29583"/>
    <n v="180224"/>
    <n v="79826"/>
    <n v="100398"/>
  </r>
  <r>
    <s v="01"/>
    <x v="0"/>
    <x v="19"/>
    <x v="19"/>
    <n v="29.01"/>
    <n v="260.10000000000002"/>
    <n v="289.11"/>
    <n v="0"/>
    <n v="2"/>
    <n v="0"/>
    <n v="262"/>
    <n v="310.08"/>
    <n v="55.35"/>
    <n v="61.73"/>
    <n v="30.56"/>
    <n v="3.29"/>
    <n v="89647"/>
    <n v="8613"/>
    <n v="98260"/>
    <n v="14502"/>
    <n v="16173"/>
    <n v="0"/>
    <n v="8835"/>
    <n v="951"/>
    <n v="138721"/>
    <n v="16863"/>
    <n v="121858"/>
    <n v="60286"/>
    <n v="61572"/>
  </r>
  <r>
    <s v="01"/>
    <x v="0"/>
    <x v="20"/>
    <x v="20"/>
    <n v="167.88"/>
    <n v="1442.9"/>
    <n v="1610.78"/>
    <n v="0"/>
    <n v="151"/>
    <n v="0.7"/>
    <n v="1593"/>
    <n v="310.08"/>
    <n v="55.35"/>
    <n v="61.73"/>
    <n v="30.56"/>
    <n v="3.29"/>
    <n v="499471"/>
    <n v="12278"/>
    <n v="511749"/>
    <n v="88173"/>
    <n v="98336"/>
    <n v="0"/>
    <n v="50417"/>
    <n v="5415"/>
    <n v="754090"/>
    <n v="90517"/>
    <n v="663573"/>
    <n v="340627"/>
    <n v="322946"/>
  </r>
  <r>
    <s v="01"/>
    <x v="0"/>
    <x v="21"/>
    <x v="21"/>
    <n v="359.36"/>
    <n v="3099.5"/>
    <n v="3458.86"/>
    <n v="0"/>
    <n v="1280"/>
    <n v="4.5"/>
    <n v="4375"/>
    <n v="310.08"/>
    <n v="55.35"/>
    <n v="61.73"/>
    <n v="30.56"/>
    <n v="3.29"/>
    <n v="1072523"/>
    <n v="5008"/>
    <n v="1077531"/>
    <n v="242156"/>
    <n v="270069"/>
    <n v="0"/>
    <n v="106157"/>
    <n v="11402"/>
    <n v="1707315"/>
    <n v="140594"/>
    <n v="1566721"/>
    <n v="782879"/>
    <n v="783842"/>
  </r>
  <r>
    <s v="05"/>
    <x v="1"/>
    <x v="22"/>
    <x v="22"/>
    <n v="20.09"/>
    <n v="214.2"/>
    <n v="234.29"/>
    <n v="0.68"/>
    <n v="0"/>
    <n v="0"/>
    <n v="214"/>
    <n v="305.83"/>
    <n v="55.43"/>
    <n v="62.2"/>
    <n v="32.520000000000003"/>
    <n v="3.88"/>
    <n v="71653"/>
    <n v="2619"/>
    <n v="74272"/>
    <n v="11862"/>
    <n v="13311"/>
    <n v="208"/>
    <n v="7619"/>
    <n v="909"/>
    <n v="108181"/>
    <n v="14109"/>
    <n v="94072"/>
    <n v="49167"/>
    <n v="44905"/>
  </r>
  <r>
    <s v="05"/>
    <x v="1"/>
    <x v="23"/>
    <x v="23"/>
    <n v="210.6"/>
    <n v="1316.2"/>
    <n v="1526.8"/>
    <n v="4.41"/>
    <n v="383"/>
    <n v="13.8"/>
    <n v="1685"/>
    <n v="305.83"/>
    <n v="55.43"/>
    <n v="62.2"/>
    <n v="32.520000000000003"/>
    <n v="3.88"/>
    <n v="466941"/>
    <n v="0"/>
    <n v="466941"/>
    <n v="93400"/>
    <n v="104807"/>
    <n v="1349"/>
    <n v="49652"/>
    <n v="5924"/>
    <n v="722073"/>
    <n v="83780"/>
    <n v="638293"/>
    <n v="328568"/>
    <n v="309725"/>
  </r>
  <r>
    <s v="05"/>
    <x v="1"/>
    <x v="24"/>
    <x v="24"/>
    <n v="58.34"/>
    <n v="775"/>
    <n v="833.34"/>
    <n v="2.41"/>
    <n v="17"/>
    <n v="0"/>
    <n v="792"/>
    <n v="305.83"/>
    <n v="55.43"/>
    <n v="62.2"/>
    <n v="32.520000000000003"/>
    <n v="3.88"/>
    <n v="254860"/>
    <n v="2228"/>
    <n v="257088"/>
    <n v="43901"/>
    <n v="49262"/>
    <n v="737"/>
    <n v="27100"/>
    <n v="3233"/>
    <n v="381321"/>
    <n v="44685"/>
    <n v="336636"/>
    <n v="180378"/>
    <n v="156258"/>
  </r>
  <r>
    <s v="05"/>
    <x v="1"/>
    <x v="25"/>
    <x v="25"/>
    <n v="113.37"/>
    <n v="943.6"/>
    <n v="1056.97"/>
    <n v="3.05"/>
    <n v="3"/>
    <n v="0"/>
    <n v="947"/>
    <n v="305.83"/>
    <n v="55.43"/>
    <n v="62.2"/>
    <n v="32.520000000000003"/>
    <n v="3.88"/>
    <n v="323253"/>
    <n v="9610"/>
    <n v="332863"/>
    <n v="52492"/>
    <n v="58903"/>
    <n v="933"/>
    <n v="35407"/>
    <n v="4220"/>
    <n v="484818"/>
    <n v="52020"/>
    <n v="432798"/>
    <n v="234592"/>
    <n v="198206"/>
  </r>
  <r>
    <s v="05"/>
    <x v="1"/>
    <x v="26"/>
    <x v="26"/>
    <n v="53.13"/>
    <n v="332"/>
    <n v="385.13"/>
    <n v="1.1100000000000001"/>
    <n v="13"/>
    <n v="0"/>
    <n v="345"/>
    <n v="305.83"/>
    <n v="55.43"/>
    <n v="62.2"/>
    <n v="32.520000000000003"/>
    <n v="3.88"/>
    <n v="117784"/>
    <n v="7249"/>
    <n v="125033"/>
    <n v="19123"/>
    <n v="21459"/>
    <n v="339"/>
    <n v="12856"/>
    <n v="1532"/>
    <n v="180342"/>
    <n v="23296"/>
    <n v="157046"/>
    <n v="81086"/>
    <n v="75960"/>
  </r>
  <r>
    <s v="05"/>
    <x v="1"/>
    <x v="27"/>
    <x v="27"/>
    <n v="143.55000000000001"/>
    <n v="847.6"/>
    <n v="991.15"/>
    <n v="2.86"/>
    <n v="2"/>
    <n v="0"/>
    <n v="850"/>
    <n v="305.83"/>
    <n v="55.43"/>
    <n v="62.2"/>
    <n v="32.520000000000003"/>
    <n v="3.88"/>
    <n v="303123"/>
    <n v="0"/>
    <n v="303123"/>
    <n v="47116"/>
    <n v="52870"/>
    <n v="875"/>
    <n v="32232"/>
    <n v="3846"/>
    <n v="440062"/>
    <n v="45100"/>
    <n v="394962"/>
    <n v="222582"/>
    <n v="172380"/>
  </r>
  <r>
    <s v="05"/>
    <x v="1"/>
    <x v="28"/>
    <x v="28"/>
    <n v="100.24"/>
    <n v="845.9"/>
    <n v="946.14"/>
    <n v="2.73"/>
    <n v="51"/>
    <n v="0"/>
    <n v="897"/>
    <n v="305.83"/>
    <n v="55.43"/>
    <n v="62.2"/>
    <n v="32.520000000000003"/>
    <n v="3.88"/>
    <n v="289358"/>
    <n v="7392"/>
    <n v="296750"/>
    <n v="49721"/>
    <n v="55793"/>
    <n v="835"/>
    <n v="31223"/>
    <n v="3721"/>
    <n v="438043"/>
    <n v="51797"/>
    <n v="386246"/>
    <n v="204234"/>
    <n v="182012"/>
  </r>
  <r>
    <s v="05"/>
    <x v="1"/>
    <x v="29"/>
    <x v="29"/>
    <n v="93.72"/>
    <n v="699.2"/>
    <n v="792.92"/>
    <n v="2.29"/>
    <n v="82"/>
    <n v="3.7"/>
    <n v="778"/>
    <n v="305.83"/>
    <n v="55.43"/>
    <n v="62.2"/>
    <n v="32.520000000000003"/>
    <n v="3.88"/>
    <n v="242499"/>
    <n v="2590"/>
    <n v="245089"/>
    <n v="43125"/>
    <n v="48392"/>
    <n v="700"/>
    <n v="26070"/>
    <n v="3107"/>
    <n v="366483"/>
    <n v="39116"/>
    <n v="327367"/>
    <n v="175345"/>
    <n v="152022"/>
  </r>
  <r>
    <s v="05"/>
    <x v="1"/>
    <x v="30"/>
    <x v="30"/>
    <n v="149.32"/>
    <n v="1323.5"/>
    <n v="1472.82"/>
    <n v="4.25"/>
    <n v="5"/>
    <n v="0"/>
    <n v="1329"/>
    <n v="305.83"/>
    <n v="55.43"/>
    <n v="62.2"/>
    <n v="32.520000000000003"/>
    <n v="3.88"/>
    <n v="450433"/>
    <n v="16581"/>
    <n v="467014"/>
    <n v="73666"/>
    <n v="82664"/>
    <n v="1300"/>
    <n v="49677"/>
    <n v="5921"/>
    <n v="680242"/>
    <n v="70397"/>
    <n v="609845"/>
    <n v="329358"/>
    <n v="280487"/>
  </r>
  <r>
    <s v="05"/>
    <x v="1"/>
    <x v="31"/>
    <x v="31"/>
    <n v="720.32"/>
    <n v="3800.2"/>
    <n v="4520.5200000000004"/>
    <n v="13.05"/>
    <n v="729"/>
    <n v="3.4"/>
    <n v="4526"/>
    <n v="305.83"/>
    <n v="55.43"/>
    <n v="62.2"/>
    <n v="32.520000000000003"/>
    <n v="3.88"/>
    <n v="1382511"/>
    <n v="0"/>
    <n v="1382511"/>
    <n v="250876"/>
    <n v="281517"/>
    <n v="3991"/>
    <n v="147007"/>
    <n v="17540"/>
    <n v="2083442"/>
    <n v="212765"/>
    <n v="1870677"/>
    <n v="1008104"/>
    <n v="862573"/>
  </r>
  <r>
    <s v="05"/>
    <x v="1"/>
    <x v="32"/>
    <x v="32"/>
    <n v="25.07"/>
    <n v="146"/>
    <n v="171.07"/>
    <n v="0.49"/>
    <n v="8"/>
    <n v="0"/>
    <n v="154"/>
    <n v="305.83"/>
    <n v="55.43"/>
    <n v="62.2"/>
    <n v="32.520000000000003"/>
    <n v="3.88"/>
    <n v="52318"/>
    <n v="5741"/>
    <n v="58059"/>
    <n v="8536"/>
    <n v="9579"/>
    <n v="150"/>
    <n v="5563"/>
    <n v="664"/>
    <n v="82551"/>
    <n v="10845"/>
    <n v="71706"/>
    <n v="35355"/>
    <n v="36351"/>
  </r>
  <r>
    <s v="05"/>
    <x v="1"/>
    <x v="33"/>
    <x v="33"/>
    <n v="33.630000000000003"/>
    <n v="390"/>
    <n v="423.63"/>
    <n v="1.22"/>
    <n v="14"/>
    <n v="0"/>
    <n v="404"/>
    <n v="305.83"/>
    <n v="55.43"/>
    <n v="62.2"/>
    <n v="32.520000000000003"/>
    <n v="3.88"/>
    <n v="129559"/>
    <n v="0"/>
    <n v="129559"/>
    <n v="22394"/>
    <n v="25129"/>
    <n v="373"/>
    <n v="13776"/>
    <n v="1644"/>
    <n v="192875"/>
    <n v="23426"/>
    <n v="169449"/>
    <n v="90984"/>
    <n v="78465"/>
  </r>
  <r>
    <s v="05"/>
    <x v="1"/>
    <x v="34"/>
    <x v="34"/>
    <n v="182.96"/>
    <n v="1238.9000000000001"/>
    <n v="1421.86"/>
    <n v="4.1100000000000003"/>
    <n v="0"/>
    <n v="0"/>
    <n v="1239"/>
    <n v="305.83"/>
    <n v="55.43"/>
    <n v="62.2"/>
    <n v="32.520000000000003"/>
    <n v="3.88"/>
    <n v="434847"/>
    <n v="3075"/>
    <n v="437922"/>
    <n v="68678"/>
    <n v="77066"/>
    <n v="1257"/>
    <n v="46239"/>
    <n v="5517"/>
    <n v="636679"/>
    <n v="79359"/>
    <n v="557320"/>
    <n v="304648"/>
    <n v="252672"/>
  </r>
  <r>
    <s v="05"/>
    <x v="1"/>
    <x v="35"/>
    <x v="35"/>
    <n v="36.89"/>
    <n v="306.89999999999998"/>
    <n v="343.79"/>
    <n v="0.99"/>
    <n v="3"/>
    <n v="0"/>
    <n v="310"/>
    <n v="305.83"/>
    <n v="55.43"/>
    <n v="62.2"/>
    <n v="32.520000000000003"/>
    <n v="3.88"/>
    <n v="105141"/>
    <n v="1498"/>
    <n v="106639"/>
    <n v="17183"/>
    <n v="19282"/>
    <n v="303"/>
    <n v="11180"/>
    <n v="1334"/>
    <n v="155921"/>
    <n v="15519"/>
    <n v="140402"/>
    <n v="77329"/>
    <n v="63073"/>
  </r>
  <r>
    <s v="05"/>
    <x v="1"/>
    <x v="36"/>
    <x v="36"/>
    <n v="130.55000000000001"/>
    <n v="1203.0999999999999"/>
    <n v="1333.65"/>
    <n v="3.85"/>
    <n v="142"/>
    <n v="2.8"/>
    <n v="1342"/>
    <n v="305.83"/>
    <n v="55.43"/>
    <n v="62.2"/>
    <n v="32.520000000000003"/>
    <n v="3.88"/>
    <n v="407870"/>
    <n v="0"/>
    <n v="407870"/>
    <n v="74387"/>
    <n v="83472"/>
    <n v="1177"/>
    <n v="43370"/>
    <n v="5175"/>
    <n v="615451"/>
    <n v="61988"/>
    <n v="553463"/>
    <n v="298195"/>
    <n v="255268"/>
  </r>
  <r>
    <s v="05"/>
    <x v="1"/>
    <x v="37"/>
    <x v="37"/>
    <n v="44.93"/>
    <n v="281"/>
    <n v="325.93"/>
    <n v="0.94"/>
    <n v="0"/>
    <n v="0"/>
    <n v="281"/>
    <n v="305.83"/>
    <n v="55.43"/>
    <n v="62.2"/>
    <n v="32.520000000000003"/>
    <n v="3.88"/>
    <n v="99679"/>
    <n v="12586"/>
    <n v="112265"/>
    <n v="15576"/>
    <n v="17478"/>
    <n v="287"/>
    <n v="10628"/>
    <n v="1267"/>
    <n v="157501"/>
    <n v="21809"/>
    <n v="135692"/>
    <n v="66247"/>
    <n v="69445"/>
  </r>
  <r>
    <s v="05"/>
    <x v="1"/>
    <x v="38"/>
    <x v="38"/>
    <n v="28.58"/>
    <n v="165.2"/>
    <n v="193.78"/>
    <n v="0.56999999999999995"/>
    <n v="17"/>
    <n v="0"/>
    <n v="182"/>
    <n v="305.83"/>
    <n v="55.43"/>
    <n v="62.2"/>
    <n v="32.520000000000003"/>
    <n v="3.88"/>
    <n v="59264"/>
    <n v="0"/>
    <n v="59264"/>
    <n v="10088"/>
    <n v="11320"/>
    <n v="174"/>
    <n v="6302"/>
    <n v="752"/>
    <n v="87900"/>
    <n v="16136"/>
    <n v="71764"/>
    <n v="36202"/>
    <n v="35562"/>
  </r>
  <r>
    <s v="05"/>
    <x v="1"/>
    <x v="39"/>
    <x v="39"/>
    <n v="63.77"/>
    <n v="658"/>
    <n v="721.77"/>
    <n v="2.08"/>
    <n v="58"/>
    <n v="0"/>
    <n v="716"/>
    <n v="305.83"/>
    <n v="55.43"/>
    <n v="62.2"/>
    <n v="32.520000000000003"/>
    <n v="3.88"/>
    <n v="220739"/>
    <n v="0"/>
    <n v="220739"/>
    <n v="39688"/>
    <n v="44535"/>
    <n v="636"/>
    <n v="23472"/>
    <n v="2800"/>
    <n v="331870"/>
    <n v="38009"/>
    <n v="293861"/>
    <n v="156920"/>
    <n v="136941"/>
  </r>
  <r>
    <s v="05"/>
    <x v="1"/>
    <x v="40"/>
    <x v="40"/>
    <n v="43.82"/>
    <n v="442.4"/>
    <n v="486.22"/>
    <n v="1.4"/>
    <n v="10"/>
    <n v="0"/>
    <n v="452"/>
    <n v="305.83"/>
    <n v="55.43"/>
    <n v="62.2"/>
    <n v="32.520000000000003"/>
    <n v="3.88"/>
    <n v="148701"/>
    <n v="8350"/>
    <n v="157051"/>
    <n v="25054"/>
    <n v="28114"/>
    <n v="428"/>
    <n v="16706"/>
    <n v="1991"/>
    <n v="229344"/>
    <n v="22754"/>
    <n v="206590"/>
    <n v="109558"/>
    <n v="97032"/>
  </r>
  <r>
    <s v="05"/>
    <x v="1"/>
    <x v="41"/>
    <x v="41"/>
    <n v="63.61"/>
    <n v="281.8"/>
    <n v="345.41"/>
    <n v="1"/>
    <n v="10"/>
    <n v="0"/>
    <n v="292"/>
    <n v="305.83"/>
    <n v="55.43"/>
    <n v="62.2"/>
    <n v="32.520000000000003"/>
    <n v="3.88"/>
    <n v="105637"/>
    <n v="3384"/>
    <n v="109021"/>
    <n v="16186"/>
    <n v="18162"/>
    <n v="306"/>
    <n v="11233"/>
    <n v="1340"/>
    <n v="156248"/>
    <n v="21324"/>
    <n v="134924"/>
    <n v="71963"/>
    <n v="62961"/>
  </r>
  <r>
    <s v="05"/>
    <x v="1"/>
    <x v="42"/>
    <x v="42"/>
    <n v="49.19"/>
    <n v="413"/>
    <n v="462.19"/>
    <n v="1.33"/>
    <n v="5"/>
    <n v="0"/>
    <n v="418"/>
    <n v="305.83"/>
    <n v="55.43"/>
    <n v="62.2"/>
    <n v="32.520000000000003"/>
    <n v="3.88"/>
    <n v="141352"/>
    <n v="28883"/>
    <n v="170235"/>
    <n v="23170"/>
    <n v="26000"/>
    <n v="407"/>
    <n v="15492"/>
    <n v="1846"/>
    <n v="237150"/>
    <n v="31389"/>
    <n v="205761"/>
    <n v="93949"/>
    <n v="111812"/>
  </r>
  <r>
    <s v="05"/>
    <x v="1"/>
    <x v="43"/>
    <x v="43"/>
    <n v="22.05"/>
    <n v="190.8"/>
    <n v="212.85"/>
    <n v="0.62"/>
    <n v="2"/>
    <n v="0"/>
    <n v="193"/>
    <n v="305.83"/>
    <n v="55.43"/>
    <n v="62.2"/>
    <n v="32.520000000000003"/>
    <n v="3.88"/>
    <n v="65096"/>
    <n v="17662"/>
    <n v="82758"/>
    <n v="10698"/>
    <n v="12005"/>
    <n v="190"/>
    <n v="7041"/>
    <n v="839"/>
    <n v="113531"/>
    <n v="14615"/>
    <n v="98916"/>
    <n v="43004"/>
    <n v="55912"/>
  </r>
  <r>
    <s v="05"/>
    <x v="1"/>
    <x v="44"/>
    <x v="44"/>
    <n v="111.67"/>
    <n v="941.1"/>
    <n v="1052.77"/>
    <n v="3.06"/>
    <n v="10"/>
    <n v="0"/>
    <n v="951"/>
    <n v="305.83"/>
    <n v="55.43"/>
    <n v="62.2"/>
    <n v="32.520000000000003"/>
    <n v="3.88"/>
    <n v="321969"/>
    <n v="9949"/>
    <n v="331918"/>
    <n v="52714"/>
    <n v="59152"/>
    <n v="936"/>
    <n v="35307"/>
    <n v="4208"/>
    <n v="484235"/>
    <n v="46312"/>
    <n v="437923"/>
    <n v="239211"/>
    <n v="198712"/>
  </r>
  <r>
    <s v="05"/>
    <x v="1"/>
    <x v="45"/>
    <x v="45"/>
    <n v="18.77"/>
    <n v="208.3"/>
    <n v="227.07"/>
    <n v="0.66"/>
    <n v="0"/>
    <n v="0"/>
    <n v="208"/>
    <n v="305.83"/>
    <n v="55.43"/>
    <n v="62.2"/>
    <n v="32.520000000000003"/>
    <n v="3.88"/>
    <n v="69445"/>
    <n v="0"/>
    <n v="69445"/>
    <n v="11529"/>
    <n v="12938"/>
    <n v="202"/>
    <n v="7384"/>
    <n v="881"/>
    <n v="102379"/>
    <n v="10377"/>
    <n v="92002"/>
    <n v="50949"/>
    <n v="41053"/>
  </r>
  <r>
    <s v="05"/>
    <x v="1"/>
    <x v="46"/>
    <x v="46"/>
    <n v="90.72"/>
    <n v="681.9"/>
    <n v="772.62"/>
    <n v="2.23"/>
    <n v="84"/>
    <n v="7.4"/>
    <n v="759"/>
    <n v="305.83"/>
    <n v="55.43"/>
    <n v="62.2"/>
    <n v="32.520000000000003"/>
    <n v="3.88"/>
    <n v="236290"/>
    <n v="29757"/>
    <n v="266047"/>
    <n v="42071"/>
    <n v="47210"/>
    <n v="682"/>
    <n v="25126"/>
    <n v="2998"/>
    <n v="384134"/>
    <n v="52222"/>
    <n v="331912"/>
    <n v="156442"/>
    <n v="175470"/>
  </r>
  <r>
    <s v="05"/>
    <x v="1"/>
    <x v="47"/>
    <x v="47"/>
    <n v="63.84"/>
    <n v="578"/>
    <n v="641.84"/>
    <n v="1.85"/>
    <n v="0"/>
    <n v="0"/>
    <n v="578"/>
    <n v="305.83"/>
    <n v="55.43"/>
    <n v="62.2"/>
    <n v="32.520000000000003"/>
    <n v="3.88"/>
    <n v="196294"/>
    <n v="6136"/>
    <n v="202430"/>
    <n v="32039"/>
    <n v="35952"/>
    <n v="566"/>
    <n v="21038"/>
    <n v="2507"/>
    <n v="294532"/>
    <n v="38887"/>
    <n v="255645"/>
    <n v="134638"/>
    <n v="121007"/>
  </r>
  <r>
    <s v="05"/>
    <x v="1"/>
    <x v="48"/>
    <x v="48"/>
    <n v="38.71"/>
    <n v="222"/>
    <n v="260.70999999999998"/>
    <n v="0.75"/>
    <n v="14"/>
    <n v="0"/>
    <n v="236"/>
    <n v="305.83"/>
    <n v="55.43"/>
    <n v="62.2"/>
    <n v="32.520000000000003"/>
    <n v="3.88"/>
    <n v="79733"/>
    <n v="4279"/>
    <n v="84012"/>
    <n v="13081"/>
    <n v="14679"/>
    <n v="229"/>
    <n v="8516"/>
    <n v="1015"/>
    <n v="121532"/>
    <n v="13144"/>
    <n v="108388"/>
    <n v="57307"/>
    <n v="51081"/>
  </r>
  <r>
    <s v="05"/>
    <x v="1"/>
    <x v="49"/>
    <x v="49"/>
    <n v="42.54"/>
    <n v="349.1"/>
    <n v="391.64"/>
    <n v="1.1299999999999999"/>
    <n v="12"/>
    <n v="0"/>
    <n v="361"/>
    <n v="305.83"/>
    <n v="55.43"/>
    <n v="62.2"/>
    <n v="32.520000000000003"/>
    <n v="3.88"/>
    <n v="119775"/>
    <n v="992"/>
    <n v="120767"/>
    <n v="20010"/>
    <n v="22454"/>
    <n v="346"/>
    <n v="12838"/>
    <n v="1530"/>
    <n v="177945"/>
    <n v="23788"/>
    <n v="154157"/>
    <n v="82095"/>
    <n v="72062"/>
  </r>
  <r>
    <s v="05"/>
    <x v="1"/>
    <x v="50"/>
    <x v="50"/>
    <n v="62.85"/>
    <n v="491"/>
    <n v="553.85"/>
    <n v="1.6"/>
    <n v="1"/>
    <n v="0"/>
    <n v="492"/>
    <n v="305.83"/>
    <n v="55.43"/>
    <n v="62.2"/>
    <n v="32.520000000000003"/>
    <n v="3.88"/>
    <n v="169384"/>
    <n v="0"/>
    <n v="169384"/>
    <n v="27272"/>
    <n v="30602"/>
    <n v="489"/>
    <n v="18011"/>
    <n v="2149"/>
    <n v="247907"/>
    <n v="29208"/>
    <n v="218699"/>
    <n v="120372"/>
    <n v="98327"/>
  </r>
  <r>
    <s v="05"/>
    <x v="1"/>
    <x v="51"/>
    <x v="51"/>
    <n v="99.37"/>
    <n v="898.1"/>
    <n v="997.47"/>
    <n v="2.88"/>
    <n v="27"/>
    <n v="0"/>
    <n v="925"/>
    <n v="305.83"/>
    <n v="55.43"/>
    <n v="62.2"/>
    <n v="32.520000000000003"/>
    <n v="3.88"/>
    <n v="305056"/>
    <n v="6561"/>
    <n v="311617"/>
    <n v="51273"/>
    <n v="57535"/>
    <n v="881"/>
    <n v="33147"/>
    <n v="3951"/>
    <n v="458404"/>
    <n v="55190"/>
    <n v="403214"/>
    <n v="214990"/>
    <n v="188224"/>
  </r>
  <r>
    <s v="05"/>
    <x v="1"/>
    <x v="52"/>
    <x v="52"/>
    <n v="60.43"/>
    <n v="637.1"/>
    <n v="697.53"/>
    <n v="2.0099999999999998"/>
    <n v="0"/>
    <n v="0"/>
    <n v="637"/>
    <n v="305.83"/>
    <n v="55.43"/>
    <n v="62.2"/>
    <n v="32.520000000000003"/>
    <n v="3.88"/>
    <n v="213326"/>
    <n v="1785"/>
    <n v="215111"/>
    <n v="35309"/>
    <n v="39621"/>
    <n v="615"/>
    <n v="22684"/>
    <n v="2706"/>
    <n v="316046"/>
    <n v="35146"/>
    <n v="280900"/>
    <n v="153237"/>
    <n v="127663"/>
  </r>
  <r>
    <s v="05"/>
    <x v="1"/>
    <x v="53"/>
    <x v="53"/>
    <n v="75.5"/>
    <n v="550"/>
    <n v="625.5"/>
    <n v="1.8"/>
    <n v="10"/>
    <n v="0"/>
    <n v="560"/>
    <n v="305.83"/>
    <n v="55.43"/>
    <n v="62.2"/>
    <n v="32.520000000000003"/>
    <n v="3.88"/>
    <n v="191297"/>
    <n v="0"/>
    <n v="191297"/>
    <n v="31041"/>
    <n v="34832"/>
    <n v="550"/>
    <n v="20341"/>
    <n v="2427"/>
    <n v="280488"/>
    <n v="32474"/>
    <n v="248014"/>
    <n v="136455"/>
    <n v="111559"/>
  </r>
  <r>
    <s v="05"/>
    <x v="1"/>
    <x v="54"/>
    <x v="54"/>
    <n v="336.39"/>
    <n v="1897"/>
    <n v="2233.39"/>
    <n v="6.45"/>
    <n v="188"/>
    <n v="0.4"/>
    <n v="2085"/>
    <n v="305.83"/>
    <n v="55.43"/>
    <n v="62.2"/>
    <n v="32.520000000000003"/>
    <n v="3.88"/>
    <n v="683038"/>
    <n v="0"/>
    <n v="683038"/>
    <n v="115572"/>
    <n v="129687"/>
    <n v="1973"/>
    <n v="72630"/>
    <n v="8666"/>
    <n v="1011566"/>
    <n v="101066"/>
    <n v="910500"/>
    <n v="502113"/>
    <n v="408387"/>
  </r>
  <r>
    <s v="05"/>
    <x v="1"/>
    <x v="55"/>
    <x v="55"/>
    <n v="114.06"/>
    <n v="1161"/>
    <n v="1275.06"/>
    <n v="3.68"/>
    <n v="9"/>
    <n v="0"/>
    <n v="1170"/>
    <n v="305.83"/>
    <n v="55.43"/>
    <n v="62.2"/>
    <n v="32.520000000000003"/>
    <n v="3.88"/>
    <n v="389952"/>
    <n v="0"/>
    <n v="389952"/>
    <n v="64853"/>
    <n v="72774"/>
    <n v="1125"/>
    <n v="41465"/>
    <n v="4947"/>
    <n v="575116"/>
    <n v="56032"/>
    <n v="519084"/>
    <n v="288326"/>
    <n v="230758"/>
  </r>
  <r>
    <s v="05"/>
    <x v="1"/>
    <x v="56"/>
    <x v="56"/>
    <n v="303.82"/>
    <n v="2351"/>
    <n v="2654.82"/>
    <n v="7.66"/>
    <n v="267"/>
    <n v="2.8"/>
    <n v="2615"/>
    <n v="305.83"/>
    <n v="55.43"/>
    <n v="62.2"/>
    <n v="32.520000000000003"/>
    <n v="3.88"/>
    <n v="811924"/>
    <n v="0"/>
    <n v="811924"/>
    <n v="144949"/>
    <n v="162653"/>
    <n v="2343"/>
    <n v="86335"/>
    <n v="10301"/>
    <n v="1218505"/>
    <n v="89007"/>
    <n v="1129498"/>
    <n v="627987"/>
    <n v="501511"/>
  </r>
  <r>
    <s v="05"/>
    <x v="1"/>
    <x v="57"/>
    <x v="57"/>
    <n v="27.67"/>
    <n v="150.80000000000001"/>
    <n v="178.47"/>
    <n v="0.52"/>
    <n v="4"/>
    <n v="0"/>
    <n v="155"/>
    <n v="305.83"/>
    <n v="55.43"/>
    <n v="62.2"/>
    <n v="32.520000000000003"/>
    <n v="3.88"/>
    <n v="54581"/>
    <n v="8930"/>
    <n v="63511"/>
    <n v="8592"/>
    <n v="9641"/>
    <n v="159"/>
    <n v="5958"/>
    <n v="710"/>
    <n v="88571"/>
    <n v="10017"/>
    <n v="78554"/>
    <n v="38356"/>
    <n v="40198"/>
  </r>
  <r>
    <s v="05"/>
    <x v="1"/>
    <x v="58"/>
    <x v="58"/>
    <n v="20.14"/>
    <n v="143"/>
    <n v="163.13999999999999"/>
    <n v="0.47"/>
    <n v="15"/>
    <n v="0"/>
    <n v="158"/>
    <n v="305.83"/>
    <n v="55.43"/>
    <n v="62.2"/>
    <n v="32.520000000000003"/>
    <n v="3.88"/>
    <n v="49893"/>
    <n v="7882"/>
    <n v="57775"/>
    <n v="8758"/>
    <n v="9828"/>
    <n v="144"/>
    <n v="5848"/>
    <n v="697"/>
    <n v="83050"/>
    <n v="11565"/>
    <n v="71485"/>
    <n v="33101"/>
    <n v="38384"/>
  </r>
  <r>
    <s v="05"/>
    <x v="1"/>
    <x v="59"/>
    <x v="59"/>
    <n v="204.81"/>
    <n v="1506.9"/>
    <n v="1711.71"/>
    <n v="4.9400000000000004"/>
    <n v="79"/>
    <n v="0.3"/>
    <n v="1586"/>
    <n v="305.83"/>
    <n v="55.43"/>
    <n v="62.2"/>
    <n v="32.520000000000003"/>
    <n v="3.88"/>
    <n v="523492"/>
    <n v="4702"/>
    <n v="528194"/>
    <n v="87912"/>
    <n v="98649"/>
    <n v="1511"/>
    <n v="56185"/>
    <n v="6696"/>
    <n v="779147"/>
    <n v="79389"/>
    <n v="699758"/>
    <n v="383471"/>
    <n v="316287"/>
  </r>
  <r>
    <s v="05"/>
    <x v="1"/>
    <x v="60"/>
    <x v="60"/>
    <n v="46.68"/>
    <n v="286.2"/>
    <n v="332.88"/>
    <n v="0.96"/>
    <n v="31"/>
    <n v="0"/>
    <n v="317"/>
    <n v="305.83"/>
    <n v="55.43"/>
    <n v="62.2"/>
    <n v="32.520000000000003"/>
    <n v="3.88"/>
    <n v="101805"/>
    <n v="14174"/>
    <n v="115979"/>
    <n v="17571"/>
    <n v="19717"/>
    <n v="294"/>
    <n v="12094"/>
    <n v="1441"/>
    <n v="167096"/>
    <n v="19619"/>
    <n v="147477"/>
    <n v="71701"/>
    <n v="75776"/>
  </r>
  <r>
    <s v="07"/>
    <x v="2"/>
    <x v="61"/>
    <x v="61"/>
    <n v="86.39"/>
    <n v="626.29999999999995"/>
    <n v="712.69"/>
    <n v="0"/>
    <n v="9"/>
    <n v="0.2"/>
    <n v="635"/>
    <n v="299.2"/>
    <n v="55.38"/>
    <n v="61.82"/>
    <n v="37.79"/>
    <n v="4.3499999999999996"/>
    <n v="213237"/>
    <n v="0"/>
    <n v="213237"/>
    <n v="35166"/>
    <n v="39256"/>
    <n v="0"/>
    <n v="26933"/>
    <n v="3100"/>
    <n v="317692"/>
    <n v="41289"/>
    <n v="276403"/>
    <n v="154801"/>
    <n v="121602"/>
  </r>
  <r>
    <s v="07"/>
    <x v="2"/>
    <x v="62"/>
    <x v="62"/>
    <n v="29.43"/>
    <n v="268.7"/>
    <n v="298.13"/>
    <n v="0"/>
    <n v="0"/>
    <n v="0"/>
    <n v="269"/>
    <n v="299.2"/>
    <n v="55.38"/>
    <n v="61.82"/>
    <n v="37.79"/>
    <n v="4.3499999999999996"/>
    <n v="89200"/>
    <n v="1399"/>
    <n v="90599"/>
    <n v="14897"/>
    <n v="16630"/>
    <n v="0"/>
    <n v="11464"/>
    <n v="1318"/>
    <n v="134908"/>
    <n v="14957"/>
    <n v="119951"/>
    <n v="67289"/>
    <n v="52662"/>
  </r>
  <r>
    <s v="07"/>
    <x v="2"/>
    <x v="63"/>
    <x v="63"/>
    <n v="96.17"/>
    <n v="824.5"/>
    <n v="920.67"/>
    <n v="0"/>
    <n v="22"/>
    <n v="0"/>
    <n v="847"/>
    <n v="299.2"/>
    <n v="55.38"/>
    <n v="61.82"/>
    <n v="37.79"/>
    <n v="4.3499999999999996"/>
    <n v="275464"/>
    <n v="6656"/>
    <n v="282120"/>
    <n v="46907"/>
    <n v="52362"/>
    <n v="0"/>
    <n v="35699"/>
    <n v="4104"/>
    <n v="421192"/>
    <n v="39100"/>
    <n v="382092"/>
    <n v="215219"/>
    <n v="166873"/>
  </r>
  <r>
    <s v="07"/>
    <x v="2"/>
    <x v="64"/>
    <x v="64"/>
    <n v="67.22"/>
    <n v="531.29999999999995"/>
    <n v="598.52"/>
    <n v="0"/>
    <n v="1"/>
    <n v="0"/>
    <n v="532"/>
    <n v="299.2"/>
    <n v="55.38"/>
    <n v="61.82"/>
    <n v="37.79"/>
    <n v="4.3499999999999996"/>
    <n v="179077"/>
    <n v="7435"/>
    <n v="186512"/>
    <n v="29462"/>
    <n v="32888"/>
    <n v="0"/>
    <n v="23215"/>
    <n v="2669"/>
    <n v="274746"/>
    <n v="29783"/>
    <n v="244963"/>
    <n v="135556"/>
    <n v="109407"/>
  </r>
  <r>
    <s v="07"/>
    <x v="2"/>
    <x v="65"/>
    <x v="65"/>
    <n v="97.77"/>
    <n v="797.6"/>
    <n v="895.37"/>
    <n v="0"/>
    <n v="0"/>
    <n v="0"/>
    <n v="798"/>
    <n v="299.2"/>
    <n v="55.38"/>
    <n v="61.82"/>
    <n v="37.79"/>
    <n v="4.3499999999999996"/>
    <n v="267895"/>
    <n v="2825"/>
    <n v="270720"/>
    <n v="44193"/>
    <n v="49332"/>
    <n v="0"/>
    <n v="34257"/>
    <n v="3938"/>
    <n v="402440"/>
    <n v="39506"/>
    <n v="362934"/>
    <n v="207310"/>
    <n v="155624"/>
  </r>
  <r>
    <s v="07"/>
    <x v="2"/>
    <x v="66"/>
    <x v="66"/>
    <n v="64.930000000000007"/>
    <n v="563.1"/>
    <n v="628.03"/>
    <n v="0"/>
    <n v="3"/>
    <n v="0"/>
    <n v="566"/>
    <n v="299.2"/>
    <n v="55.38"/>
    <n v="61.82"/>
    <n v="37.79"/>
    <n v="4.3499999999999996"/>
    <n v="187907"/>
    <n v="0"/>
    <n v="187907"/>
    <n v="31345"/>
    <n v="34990"/>
    <n v="0"/>
    <n v="23733"/>
    <n v="2732"/>
    <n v="280707"/>
    <n v="29369"/>
    <n v="251338"/>
    <n v="143427"/>
    <n v="107911"/>
  </r>
  <r>
    <s v="07"/>
    <x v="2"/>
    <x v="67"/>
    <x v="67"/>
    <n v="54.67"/>
    <n v="256.8"/>
    <n v="311.47000000000003"/>
    <n v="0"/>
    <n v="15"/>
    <n v="0.2"/>
    <n v="272"/>
    <n v="299.2"/>
    <n v="55.38"/>
    <n v="61.82"/>
    <n v="37.79"/>
    <n v="4.3499999999999996"/>
    <n v="93192"/>
    <n v="6"/>
    <n v="93198"/>
    <n v="15063"/>
    <n v="16815"/>
    <n v="0"/>
    <n v="11793"/>
    <n v="1356"/>
    <n v="138225"/>
    <n v="14140"/>
    <n v="124085"/>
    <n v="71582"/>
    <n v="52503"/>
  </r>
  <r>
    <s v="07"/>
    <x v="2"/>
    <x v="68"/>
    <x v="68"/>
    <n v="693.64"/>
    <n v="5127.5"/>
    <n v="5821.14"/>
    <n v="0"/>
    <n v="314"/>
    <n v="1.6"/>
    <n v="5440"/>
    <n v="299.2"/>
    <n v="55.38"/>
    <n v="61.82"/>
    <n v="37.79"/>
    <n v="4.3499999999999996"/>
    <n v="1741685"/>
    <n v="0"/>
    <n v="1741685"/>
    <n v="301267"/>
    <n v="336301"/>
    <n v="0"/>
    <n v="219981"/>
    <n v="25322"/>
    <n v="2624556"/>
    <n v="198163"/>
    <n v="2426393"/>
    <n v="1403466"/>
    <n v="1022927"/>
  </r>
  <r>
    <s v="07"/>
    <x v="2"/>
    <x v="69"/>
    <x v="69"/>
    <n v="123.85"/>
    <n v="815"/>
    <n v="938.85"/>
    <n v="0"/>
    <n v="40"/>
    <n v="0"/>
    <n v="855"/>
    <n v="299.2"/>
    <n v="55.38"/>
    <n v="61.82"/>
    <n v="37.79"/>
    <n v="4.3499999999999996"/>
    <n v="280904"/>
    <n v="0"/>
    <n v="280904"/>
    <n v="47350"/>
    <n v="52856"/>
    <n v="0"/>
    <n v="35479"/>
    <n v="4084"/>
    <n v="420673"/>
    <n v="46457"/>
    <n v="374216"/>
    <n v="211858"/>
    <n v="162358"/>
  </r>
  <r>
    <s v="07"/>
    <x v="2"/>
    <x v="70"/>
    <x v="70"/>
    <n v="234.51"/>
    <n v="1501.7"/>
    <n v="1736.21"/>
    <n v="0"/>
    <n v="205"/>
    <n v="3.3"/>
    <n v="1703"/>
    <n v="299.2"/>
    <n v="55.38"/>
    <n v="61.82"/>
    <n v="37.79"/>
    <n v="4.3499999999999996"/>
    <n v="519474"/>
    <n v="0"/>
    <n v="519474"/>
    <n v="94312"/>
    <n v="105279"/>
    <n v="0"/>
    <n v="65611"/>
    <n v="7553"/>
    <n v="792229"/>
    <n v="82982"/>
    <n v="709247"/>
    <n v="394719"/>
    <n v="314528"/>
  </r>
  <r>
    <s v="07"/>
    <x v="2"/>
    <x v="71"/>
    <x v="71"/>
    <n v="41.7"/>
    <n v="315"/>
    <n v="356.7"/>
    <n v="0"/>
    <n v="5"/>
    <n v="0"/>
    <n v="320"/>
    <n v="299.2"/>
    <n v="55.38"/>
    <n v="61.82"/>
    <n v="37.79"/>
    <n v="4.3499999999999996"/>
    <n v="106725"/>
    <n v="11069"/>
    <n v="117794"/>
    <n v="17722"/>
    <n v="19782"/>
    <n v="0"/>
    <n v="13784"/>
    <n v="1585"/>
    <n v="170667"/>
    <n v="18545"/>
    <n v="152122"/>
    <n v="79935"/>
    <n v="72187"/>
  </r>
  <r>
    <s v="07"/>
    <x v="2"/>
    <x v="72"/>
    <x v="72"/>
    <n v="174.78"/>
    <n v="1233.9000000000001"/>
    <n v="1408.68"/>
    <n v="0"/>
    <n v="31"/>
    <n v="0"/>
    <n v="1265"/>
    <n v="299.2"/>
    <n v="55.38"/>
    <n v="61.82"/>
    <n v="37.79"/>
    <n v="4.3499999999999996"/>
    <n v="421477"/>
    <n v="0"/>
    <n v="421477"/>
    <n v="70056"/>
    <n v="78202"/>
    <n v="0"/>
    <n v="53234"/>
    <n v="6128"/>
    <n v="629097"/>
    <n v="69828"/>
    <n v="559269"/>
    <n v="317756"/>
    <n v="241513"/>
  </r>
  <r>
    <s v="07"/>
    <x v="2"/>
    <x v="73"/>
    <x v="73"/>
    <n v="65.53"/>
    <n v="750"/>
    <n v="815.53"/>
    <n v="0"/>
    <n v="5"/>
    <n v="0"/>
    <n v="755"/>
    <n v="299.2"/>
    <n v="55.38"/>
    <n v="61.82"/>
    <n v="37.79"/>
    <n v="4.3499999999999996"/>
    <n v="244007"/>
    <n v="0"/>
    <n v="244007"/>
    <n v="41812"/>
    <n v="46674"/>
    <n v="0"/>
    <n v="30819"/>
    <n v="3548"/>
    <n v="366860"/>
    <n v="32842"/>
    <n v="334018"/>
    <n v="191543"/>
    <n v="142475"/>
  </r>
  <r>
    <s v="07"/>
    <x v="2"/>
    <x v="74"/>
    <x v="74"/>
    <n v="117.38"/>
    <n v="882.2"/>
    <n v="999.58"/>
    <n v="0"/>
    <n v="9"/>
    <n v="0"/>
    <n v="891"/>
    <n v="299.2"/>
    <n v="55.38"/>
    <n v="61.82"/>
    <n v="37.79"/>
    <n v="4.3499999999999996"/>
    <n v="299074"/>
    <n v="2148"/>
    <n v="301222"/>
    <n v="49344"/>
    <n v="55082"/>
    <n v="0"/>
    <n v="37839"/>
    <n v="4350"/>
    <n v="447837"/>
    <n v="36304"/>
    <n v="411533"/>
    <n v="238787"/>
    <n v="172746"/>
  </r>
  <r>
    <s v="07"/>
    <x v="2"/>
    <x v="75"/>
    <x v="75"/>
    <n v="43.22"/>
    <n v="419.3"/>
    <n v="462.52"/>
    <n v="0"/>
    <n v="13"/>
    <n v="0"/>
    <n v="432"/>
    <n v="299.2"/>
    <n v="55.38"/>
    <n v="61.82"/>
    <n v="37.79"/>
    <n v="4.3499999999999996"/>
    <n v="138386"/>
    <n v="15296"/>
    <n v="153682"/>
    <n v="23924"/>
    <n v="26706"/>
    <n v="0"/>
    <n v="17479"/>
    <n v="2012"/>
    <n v="223803"/>
    <n v="22973"/>
    <n v="200830"/>
    <n v="104285"/>
    <n v="96545"/>
  </r>
  <r>
    <s v="07"/>
    <x v="2"/>
    <x v="76"/>
    <x v="76"/>
    <n v="96.53"/>
    <n v="567.9"/>
    <n v="664.43"/>
    <n v="0"/>
    <n v="6"/>
    <n v="0"/>
    <n v="574"/>
    <n v="299.2"/>
    <n v="55.38"/>
    <n v="61.82"/>
    <n v="37.79"/>
    <n v="4.3499999999999996"/>
    <n v="198797"/>
    <n v="895"/>
    <n v="199692"/>
    <n v="31788"/>
    <n v="35485"/>
    <n v="0"/>
    <n v="25269"/>
    <n v="2905"/>
    <n v="295139"/>
    <n v="28849"/>
    <n v="266290"/>
    <n v="154137"/>
    <n v="112153"/>
  </r>
  <r>
    <s v="07"/>
    <x v="2"/>
    <x v="77"/>
    <x v="77"/>
    <n v="80.48"/>
    <n v="562.29999999999995"/>
    <n v="642.78"/>
    <n v="0"/>
    <n v="3"/>
    <n v="0"/>
    <n v="565"/>
    <n v="299.2"/>
    <n v="55.38"/>
    <n v="61.82"/>
    <n v="37.79"/>
    <n v="4.3499999999999996"/>
    <n v="192320"/>
    <n v="23283"/>
    <n v="215603"/>
    <n v="31290"/>
    <n v="34928"/>
    <n v="0"/>
    <n v="24291"/>
    <n v="2796"/>
    <n v="308908"/>
    <n v="36691"/>
    <n v="272217"/>
    <n v="140164"/>
    <n v="132053"/>
  </r>
  <r>
    <s v="07"/>
    <x v="2"/>
    <x v="78"/>
    <x v="78"/>
    <n v="138.16999999999999"/>
    <n v="624.6"/>
    <n v="762.77"/>
    <n v="0"/>
    <n v="2"/>
    <n v="0"/>
    <n v="627"/>
    <n v="299.2"/>
    <n v="55.38"/>
    <n v="61.82"/>
    <n v="37.79"/>
    <n v="4.3499999999999996"/>
    <n v="228221"/>
    <n v="0"/>
    <n v="228221"/>
    <n v="34723"/>
    <n v="38761"/>
    <n v="0"/>
    <n v="28825"/>
    <n v="3318"/>
    <n v="333848"/>
    <n v="31253"/>
    <n v="302595"/>
    <n v="178615"/>
    <n v="123980"/>
  </r>
  <r>
    <s v="07"/>
    <x v="2"/>
    <x v="79"/>
    <x v="79"/>
    <n v="152.41999999999999"/>
    <n v="1092.5"/>
    <n v="1244.92"/>
    <n v="0"/>
    <n v="4"/>
    <n v="0"/>
    <n v="1097"/>
    <n v="299.2"/>
    <n v="55.38"/>
    <n v="61.82"/>
    <n v="37.79"/>
    <n v="4.3499999999999996"/>
    <n v="372480"/>
    <n v="48289"/>
    <n v="420769"/>
    <n v="60752"/>
    <n v="67817"/>
    <n v="0"/>
    <n v="47173"/>
    <n v="5423"/>
    <n v="601934"/>
    <n v="73519"/>
    <n v="528415"/>
    <n v="269143"/>
    <n v="259272"/>
  </r>
  <r>
    <s v="07"/>
    <x v="2"/>
    <x v="80"/>
    <x v="80"/>
    <n v="30.81"/>
    <n v="281.39999999999998"/>
    <n v="312.20999999999998"/>
    <n v="0"/>
    <n v="7"/>
    <n v="0"/>
    <n v="288"/>
    <n v="299.2"/>
    <n v="55.38"/>
    <n v="61.82"/>
    <n v="37.79"/>
    <n v="4.3499999999999996"/>
    <n v="93413"/>
    <n v="11962"/>
    <n v="105375"/>
    <n v="15949"/>
    <n v="17804"/>
    <n v="0"/>
    <n v="11876"/>
    <n v="1365"/>
    <n v="152369"/>
    <n v="17366"/>
    <n v="135003"/>
    <n v="68620"/>
    <n v="66383"/>
  </r>
  <r>
    <s v="07"/>
    <x v="2"/>
    <x v="81"/>
    <x v="81"/>
    <n v="89.38"/>
    <n v="882.1"/>
    <n v="971.48"/>
    <n v="0"/>
    <n v="3"/>
    <n v="0"/>
    <n v="885"/>
    <n v="299.2"/>
    <n v="55.38"/>
    <n v="61.82"/>
    <n v="37.79"/>
    <n v="4.3499999999999996"/>
    <n v="290667"/>
    <n v="45483"/>
    <n v="336150"/>
    <n v="49011"/>
    <n v="54711"/>
    <n v="0"/>
    <n v="36712"/>
    <n v="4226"/>
    <n v="480810"/>
    <n v="49755"/>
    <n v="431055"/>
    <n v="217538"/>
    <n v="213517"/>
  </r>
  <r>
    <s v="07"/>
    <x v="2"/>
    <x v="82"/>
    <x v="82"/>
    <n v="80.010000000000005"/>
    <n v="584.70000000000005"/>
    <n v="664.71"/>
    <n v="0"/>
    <n v="0"/>
    <n v="0"/>
    <n v="585"/>
    <n v="299.2"/>
    <n v="55.38"/>
    <n v="61.82"/>
    <n v="37.79"/>
    <n v="4.3499999999999996"/>
    <n v="198881"/>
    <n v="9734"/>
    <n v="208615"/>
    <n v="32397"/>
    <n v="36165"/>
    <n v="0"/>
    <n v="25119"/>
    <n v="2891"/>
    <n v="305187"/>
    <n v="38194"/>
    <n v="266993"/>
    <n v="144693"/>
    <n v="122300"/>
  </r>
  <r>
    <s v="07"/>
    <x v="2"/>
    <x v="83"/>
    <x v="83"/>
    <n v="245.33"/>
    <n v="1598.1"/>
    <n v="1843.43"/>
    <n v="0"/>
    <n v="36"/>
    <n v="2.4"/>
    <n v="1632"/>
    <n v="299.2"/>
    <n v="55.38"/>
    <n v="61.82"/>
    <n v="37.79"/>
    <n v="4.3499999999999996"/>
    <n v="551554"/>
    <n v="868"/>
    <n v="552422"/>
    <n v="90380"/>
    <n v="100890"/>
    <n v="0"/>
    <n v="69903"/>
    <n v="8036"/>
    <n v="821631"/>
    <n v="81962"/>
    <n v="739669"/>
    <n v="425496"/>
    <n v="314173"/>
  </r>
  <r>
    <s v="07"/>
    <x v="2"/>
    <x v="84"/>
    <x v="84"/>
    <n v="82.23"/>
    <n v="654.20000000000005"/>
    <n v="736.43"/>
    <n v="0"/>
    <n v="5"/>
    <n v="0"/>
    <n v="659"/>
    <n v="299.2"/>
    <n v="55.38"/>
    <n v="61.82"/>
    <n v="37.79"/>
    <n v="4.3499999999999996"/>
    <n v="220340"/>
    <n v="3616"/>
    <n v="223956"/>
    <n v="36495"/>
    <n v="40739"/>
    <n v="0"/>
    <n v="28339"/>
    <n v="3258"/>
    <n v="332787"/>
    <n v="29520"/>
    <n v="303267"/>
    <n v="173665"/>
    <n v="129602"/>
  </r>
  <r>
    <s v="07"/>
    <x v="2"/>
    <x v="85"/>
    <x v="85"/>
    <n v="183.99"/>
    <n v="1200.2"/>
    <n v="1384.19"/>
    <n v="0"/>
    <n v="10"/>
    <n v="0"/>
    <n v="1210"/>
    <n v="299.2"/>
    <n v="55.38"/>
    <n v="61.82"/>
    <n v="37.79"/>
    <n v="4.3499999999999996"/>
    <n v="414150"/>
    <n v="738"/>
    <n v="414888"/>
    <n v="67010"/>
    <n v="74802"/>
    <n v="0"/>
    <n v="52500"/>
    <n v="6036"/>
    <n v="615236"/>
    <n v="56126"/>
    <n v="559110"/>
    <n v="324926"/>
    <n v="234184"/>
  </r>
  <r>
    <s v="07"/>
    <x v="2"/>
    <x v="86"/>
    <x v="86"/>
    <n v="45.12"/>
    <n v="444.4"/>
    <n v="489.52"/>
    <n v="0"/>
    <n v="2"/>
    <n v="0"/>
    <n v="446"/>
    <n v="299.2"/>
    <n v="55.38"/>
    <n v="61.82"/>
    <n v="37.79"/>
    <n v="4.3499999999999996"/>
    <n v="146464"/>
    <n v="6690"/>
    <n v="153154"/>
    <n v="24699"/>
    <n v="27572"/>
    <n v="0"/>
    <n v="19380"/>
    <n v="2228"/>
    <n v="227033"/>
    <n v="23920"/>
    <n v="203113"/>
    <n v="111746"/>
    <n v="91367"/>
  </r>
  <r>
    <s v="07"/>
    <x v="2"/>
    <x v="87"/>
    <x v="87"/>
    <n v="92.59"/>
    <n v="677"/>
    <n v="769.59"/>
    <n v="0"/>
    <n v="11"/>
    <n v="0"/>
    <n v="688"/>
    <n v="299.2"/>
    <n v="55.38"/>
    <n v="61.82"/>
    <n v="37.79"/>
    <n v="4.3499999999999996"/>
    <n v="230261"/>
    <n v="0"/>
    <n v="230261"/>
    <n v="38101"/>
    <n v="42532"/>
    <n v="0"/>
    <n v="29083"/>
    <n v="3348"/>
    <n v="343325"/>
    <n v="34532"/>
    <n v="308793"/>
    <n v="177213"/>
    <n v="131580"/>
  </r>
  <r>
    <s v="07"/>
    <x v="2"/>
    <x v="88"/>
    <x v="88"/>
    <n v="196.48"/>
    <n v="1430.5"/>
    <n v="1626.98"/>
    <n v="0"/>
    <n v="142"/>
    <n v="5.3"/>
    <n v="1567"/>
    <n v="299.2"/>
    <n v="55.38"/>
    <n v="61.82"/>
    <n v="37.79"/>
    <n v="4.3499999999999996"/>
    <n v="486792"/>
    <n v="0"/>
    <n v="486792"/>
    <n v="86780"/>
    <n v="96872"/>
    <n v="0"/>
    <n v="61484"/>
    <n v="7077"/>
    <n v="739005"/>
    <n v="73977"/>
    <n v="665028"/>
    <n v="373670"/>
    <n v="291358"/>
  </r>
  <r>
    <s v="07"/>
    <x v="2"/>
    <x v="89"/>
    <x v="89"/>
    <n v="132.25"/>
    <n v="1097.2"/>
    <n v="1229.45"/>
    <n v="0"/>
    <n v="4"/>
    <n v="0"/>
    <n v="1101"/>
    <n v="299.2"/>
    <n v="55.38"/>
    <n v="61.82"/>
    <n v="37.79"/>
    <n v="4.3499999999999996"/>
    <n v="367851"/>
    <n v="0"/>
    <n v="367851"/>
    <n v="60973"/>
    <n v="68064"/>
    <n v="0"/>
    <n v="46461"/>
    <n v="5348"/>
    <n v="548697"/>
    <n v="49711"/>
    <n v="498986"/>
    <n v="288560"/>
    <n v="210426"/>
  </r>
  <r>
    <s v="07"/>
    <x v="2"/>
    <x v="90"/>
    <x v="90"/>
    <n v="49.09"/>
    <n v="403"/>
    <n v="452.09"/>
    <n v="0"/>
    <n v="16"/>
    <n v="0"/>
    <n v="419"/>
    <n v="299.2"/>
    <n v="55.38"/>
    <n v="61.82"/>
    <n v="37.79"/>
    <n v="4.3499999999999996"/>
    <n v="135265"/>
    <n v="0"/>
    <n v="135265"/>
    <n v="23204"/>
    <n v="25903"/>
    <n v="0"/>
    <n v="17084"/>
    <n v="1967"/>
    <n v="203423"/>
    <n v="15951"/>
    <n v="187472"/>
    <n v="108437"/>
    <n v="79035"/>
  </r>
  <r>
    <s v="07"/>
    <x v="2"/>
    <x v="91"/>
    <x v="91"/>
    <n v="90.71"/>
    <n v="908"/>
    <n v="998.71"/>
    <n v="0"/>
    <n v="111"/>
    <n v="0"/>
    <n v="1019"/>
    <n v="299.2"/>
    <n v="55.38"/>
    <n v="61.82"/>
    <n v="37.79"/>
    <n v="4.3499999999999996"/>
    <n v="298814"/>
    <n v="0"/>
    <n v="298814"/>
    <n v="56432"/>
    <n v="62995"/>
    <n v="0"/>
    <n v="37741"/>
    <n v="4344"/>
    <n v="460326"/>
    <n v="41079"/>
    <n v="419247"/>
    <n v="233705"/>
    <n v="185542"/>
  </r>
  <r>
    <s v="07"/>
    <x v="2"/>
    <x v="92"/>
    <x v="92"/>
    <n v="90.47"/>
    <n v="614.6"/>
    <n v="705.07"/>
    <n v="0"/>
    <n v="0"/>
    <n v="0"/>
    <n v="615"/>
    <n v="299.2"/>
    <n v="55.38"/>
    <n v="61.82"/>
    <n v="37.79"/>
    <n v="4.3499999999999996"/>
    <n v="210957"/>
    <n v="0"/>
    <n v="210957"/>
    <n v="34059"/>
    <n v="38019"/>
    <n v="0"/>
    <n v="26645"/>
    <n v="3067"/>
    <n v="312747"/>
    <n v="32934"/>
    <n v="279813"/>
    <n v="161059"/>
    <n v="118754"/>
  </r>
  <r>
    <s v="07"/>
    <x v="2"/>
    <x v="93"/>
    <x v="93"/>
    <n v="658.39"/>
    <n v="5458.4"/>
    <n v="6116.79"/>
    <n v="0"/>
    <n v="213"/>
    <n v="2.5"/>
    <n v="5669"/>
    <n v="299.2"/>
    <n v="55.38"/>
    <n v="61.82"/>
    <n v="37.79"/>
    <n v="4.3499999999999996"/>
    <n v="1830144"/>
    <n v="0"/>
    <n v="1830144"/>
    <n v="313949"/>
    <n v="350458"/>
    <n v="0"/>
    <n v="231153"/>
    <n v="26608"/>
    <n v="2752312"/>
    <n v="232815"/>
    <n v="2519497"/>
    <n v="1450158"/>
    <n v="1069339"/>
  </r>
  <r>
    <s v="07"/>
    <x v="2"/>
    <x v="94"/>
    <x v="94"/>
    <n v="632.05999999999995"/>
    <n v="3639.4"/>
    <n v="4271.46"/>
    <n v="0"/>
    <n v="442"/>
    <n v="5.9"/>
    <n v="4076"/>
    <n v="299.2"/>
    <n v="55.38"/>
    <n v="61.82"/>
    <n v="37.79"/>
    <n v="4.3499999999999996"/>
    <n v="1278021"/>
    <n v="26764"/>
    <n v="1304785"/>
    <n v="225729"/>
    <n v="251978"/>
    <n v="0"/>
    <n v="165107"/>
    <n v="18981"/>
    <n v="1966580"/>
    <n v="218724"/>
    <n v="1747856"/>
    <n v="960614"/>
    <n v="787242"/>
  </r>
  <r>
    <s v="07"/>
    <x v="2"/>
    <x v="95"/>
    <x v="95"/>
    <n v="42.74"/>
    <n v="497.1"/>
    <n v="539.84"/>
    <n v="0"/>
    <n v="3"/>
    <n v="0"/>
    <n v="500"/>
    <n v="299.2"/>
    <n v="55.38"/>
    <n v="61.82"/>
    <n v="37.79"/>
    <n v="4.3499999999999996"/>
    <n v="161520"/>
    <n v="12017"/>
    <n v="173537"/>
    <n v="27690"/>
    <n v="30910"/>
    <n v="0"/>
    <n v="21959"/>
    <n v="2525"/>
    <n v="256621"/>
    <n v="24738"/>
    <n v="231883"/>
    <n v="125529"/>
    <n v="106354"/>
  </r>
  <r>
    <s v="07"/>
    <x v="2"/>
    <x v="96"/>
    <x v="96"/>
    <n v="63.5"/>
    <n v="612.79999999999995"/>
    <n v="676.3"/>
    <n v="0"/>
    <n v="6"/>
    <n v="0"/>
    <n v="619"/>
    <n v="299.2"/>
    <n v="55.38"/>
    <n v="61.82"/>
    <n v="37.79"/>
    <n v="4.3499999999999996"/>
    <n v="202349"/>
    <n v="1483"/>
    <n v="203832"/>
    <n v="34280"/>
    <n v="38267"/>
    <n v="0"/>
    <n v="25613"/>
    <n v="2945"/>
    <n v="304937"/>
    <n v="37009"/>
    <n v="267928"/>
    <n v="149127"/>
    <n v="118801"/>
  </r>
  <r>
    <s v="07"/>
    <x v="2"/>
    <x v="97"/>
    <x v="97"/>
    <n v="68.55"/>
    <n v="586"/>
    <n v="654.54999999999995"/>
    <n v="0"/>
    <n v="1"/>
    <n v="0"/>
    <n v="587"/>
    <n v="299.2"/>
    <n v="55.38"/>
    <n v="61.82"/>
    <n v="37.79"/>
    <n v="4.3499999999999996"/>
    <n v="195841"/>
    <n v="12035"/>
    <n v="207876"/>
    <n v="32508"/>
    <n v="36288"/>
    <n v="0"/>
    <n v="24960"/>
    <n v="2870"/>
    <n v="304502"/>
    <n v="32769"/>
    <n v="271733"/>
    <n v="147571"/>
    <n v="124162"/>
  </r>
  <r>
    <s v="07"/>
    <x v="2"/>
    <x v="98"/>
    <x v="98"/>
    <n v="52.96"/>
    <n v="455.5"/>
    <n v="508.46"/>
    <n v="0"/>
    <n v="1"/>
    <n v="0"/>
    <n v="457"/>
    <n v="299.2"/>
    <n v="55.38"/>
    <n v="61.82"/>
    <n v="37.79"/>
    <n v="4.3499999999999996"/>
    <n v="152131"/>
    <n v="7991"/>
    <n v="160122"/>
    <n v="25309"/>
    <n v="28252"/>
    <n v="0"/>
    <n v="20262"/>
    <n v="2329"/>
    <n v="236274"/>
    <n v="29571"/>
    <n v="206703"/>
    <n v="111491"/>
    <n v="95212"/>
  </r>
  <r>
    <s v="07"/>
    <x v="2"/>
    <x v="99"/>
    <x v="99"/>
    <n v="61.86"/>
    <n v="445"/>
    <n v="506.86"/>
    <n v="0"/>
    <n v="0"/>
    <n v="0"/>
    <n v="445"/>
    <n v="299.2"/>
    <n v="55.38"/>
    <n v="61.82"/>
    <n v="37.79"/>
    <n v="4.3499999999999996"/>
    <n v="151653"/>
    <n v="8026"/>
    <n v="159679"/>
    <n v="24644"/>
    <n v="27510"/>
    <n v="0"/>
    <n v="19154"/>
    <n v="2205"/>
    <n v="233192"/>
    <n v="23815"/>
    <n v="209377"/>
    <n v="115642"/>
    <n v="93735"/>
  </r>
  <r>
    <s v="07"/>
    <x v="2"/>
    <x v="100"/>
    <x v="100"/>
    <n v="55.42"/>
    <n v="508.1"/>
    <n v="563.52"/>
    <n v="0"/>
    <n v="0"/>
    <n v="0"/>
    <n v="508"/>
    <n v="299.2"/>
    <n v="55.38"/>
    <n v="61.82"/>
    <n v="37.79"/>
    <n v="4.3499999999999996"/>
    <n v="168605"/>
    <n v="0"/>
    <n v="168605"/>
    <n v="28133"/>
    <n v="31405"/>
    <n v="0"/>
    <n v="21295"/>
    <n v="2451"/>
    <n v="251889"/>
    <n v="25116"/>
    <n v="226773"/>
    <n v="129930"/>
    <n v="96843"/>
  </r>
  <r>
    <s v="07"/>
    <x v="2"/>
    <x v="101"/>
    <x v="101"/>
    <n v="79.989999999999995"/>
    <n v="899.4"/>
    <n v="979.39"/>
    <n v="0"/>
    <n v="0"/>
    <n v="0"/>
    <n v="899"/>
    <n v="299.2"/>
    <n v="55.38"/>
    <n v="61.82"/>
    <n v="37.79"/>
    <n v="4.3499999999999996"/>
    <n v="293033"/>
    <n v="14384"/>
    <n v="307417"/>
    <n v="49787"/>
    <n v="55576"/>
    <n v="0"/>
    <n v="37581"/>
    <n v="4321"/>
    <n v="454682"/>
    <n v="47573"/>
    <n v="407109"/>
    <n v="222527"/>
    <n v="184582"/>
  </r>
  <r>
    <s v="07"/>
    <x v="2"/>
    <x v="102"/>
    <x v="102"/>
    <n v="62.25"/>
    <n v="418"/>
    <n v="480.25"/>
    <n v="0"/>
    <n v="6"/>
    <n v="0"/>
    <n v="424"/>
    <n v="299.2"/>
    <n v="55.38"/>
    <n v="61.82"/>
    <n v="37.79"/>
    <n v="4.3499999999999996"/>
    <n v="143691"/>
    <n v="14332"/>
    <n v="158023"/>
    <n v="23481"/>
    <n v="26212"/>
    <n v="0"/>
    <n v="18805"/>
    <n v="2162"/>
    <n v="228683"/>
    <n v="29454"/>
    <n v="199229"/>
    <n v="103411"/>
    <n v="95818"/>
  </r>
  <r>
    <s v="07"/>
    <x v="2"/>
    <x v="103"/>
    <x v="103"/>
    <n v="229.75"/>
    <n v="1541"/>
    <n v="1770.75"/>
    <n v="0"/>
    <n v="3"/>
    <n v="0"/>
    <n v="1544"/>
    <n v="299.2"/>
    <n v="55.38"/>
    <n v="61.82"/>
    <n v="37.79"/>
    <n v="4.3499999999999996"/>
    <n v="529808"/>
    <n v="6313"/>
    <n v="536121"/>
    <n v="85507"/>
    <n v="95450"/>
    <n v="0"/>
    <n v="67841"/>
    <n v="7799"/>
    <n v="792718"/>
    <n v="75549"/>
    <n v="717169"/>
    <n v="412676"/>
    <n v="304493"/>
  </r>
  <r>
    <s v="07"/>
    <x v="2"/>
    <x v="104"/>
    <x v="104"/>
    <n v="53.4"/>
    <n v="594.4"/>
    <n v="647.79999999999995"/>
    <n v="0"/>
    <n v="0"/>
    <n v="0"/>
    <n v="594"/>
    <n v="299.2"/>
    <n v="55.38"/>
    <n v="61.82"/>
    <n v="37.79"/>
    <n v="4.3499999999999996"/>
    <n v="193822"/>
    <n v="5450"/>
    <n v="199272"/>
    <n v="32896"/>
    <n v="36721"/>
    <n v="0"/>
    <n v="24511"/>
    <n v="2818"/>
    <n v="296218"/>
    <n v="34964"/>
    <n v="261254"/>
    <n v="143302"/>
    <n v="117952"/>
  </r>
  <r>
    <s v="07"/>
    <x v="2"/>
    <x v="105"/>
    <x v="105"/>
    <n v="110.6"/>
    <n v="809.4"/>
    <n v="920"/>
    <n v="0"/>
    <n v="2"/>
    <n v="0"/>
    <n v="811"/>
    <n v="299.2"/>
    <n v="55.38"/>
    <n v="61.82"/>
    <n v="37.79"/>
    <n v="4.3499999999999996"/>
    <n v="275264"/>
    <n v="124"/>
    <n v="275388"/>
    <n v="44913"/>
    <n v="50136"/>
    <n v="0"/>
    <n v="34845"/>
    <n v="4006"/>
    <n v="409288"/>
    <n v="48164"/>
    <n v="361124"/>
    <n v="205047"/>
    <n v="156077"/>
  </r>
  <r>
    <s v="07"/>
    <x v="2"/>
    <x v="106"/>
    <x v="106"/>
    <n v="51.48"/>
    <n v="422"/>
    <n v="473.48"/>
    <n v="0"/>
    <n v="5"/>
    <n v="0"/>
    <n v="427"/>
    <n v="299.2"/>
    <n v="55.38"/>
    <n v="61.82"/>
    <n v="37.79"/>
    <n v="4.3499999999999996"/>
    <n v="141665"/>
    <n v="10659"/>
    <n v="152324"/>
    <n v="23647"/>
    <n v="26397"/>
    <n v="0"/>
    <n v="18678"/>
    <n v="2147"/>
    <n v="223193"/>
    <n v="22675"/>
    <n v="200518"/>
    <n v="108471"/>
    <n v="92047"/>
  </r>
  <r>
    <s v="07"/>
    <x v="2"/>
    <x v="107"/>
    <x v="107"/>
    <n v="154.97"/>
    <n v="1053.5999999999999"/>
    <n v="1208.57"/>
    <n v="0"/>
    <n v="19"/>
    <n v="0"/>
    <n v="1073"/>
    <n v="299.2"/>
    <n v="55.38"/>
    <n v="61.82"/>
    <n v="37.79"/>
    <n v="4.3499999999999996"/>
    <n v="361604"/>
    <n v="28266"/>
    <n v="389870"/>
    <n v="59423"/>
    <n v="66333"/>
    <n v="0"/>
    <n v="47719"/>
    <n v="5486"/>
    <n v="568831"/>
    <n v="54340"/>
    <n v="514491"/>
    <n v="280462"/>
    <n v="234029"/>
  </r>
  <r>
    <s v="07"/>
    <x v="2"/>
    <x v="108"/>
    <x v="108"/>
    <n v="55.58"/>
    <n v="680.2"/>
    <n v="735.78"/>
    <n v="0"/>
    <n v="32"/>
    <n v="0"/>
    <n v="712"/>
    <n v="299.2"/>
    <n v="55.38"/>
    <n v="61.82"/>
    <n v="37.79"/>
    <n v="4.3499999999999996"/>
    <n v="220145"/>
    <n v="836"/>
    <n v="220981"/>
    <n v="39431"/>
    <n v="44016"/>
    <n v="0"/>
    <n v="27805"/>
    <n v="3201"/>
    <n v="335434"/>
    <n v="33496"/>
    <n v="301938"/>
    <n v="168947"/>
    <n v="132991"/>
  </r>
  <r>
    <s v="07"/>
    <x v="2"/>
    <x v="109"/>
    <x v="109"/>
    <n v="2235.64"/>
    <n v="10878.8"/>
    <n v="13114.44"/>
    <n v="0"/>
    <n v="1321"/>
    <n v="6.4"/>
    <n v="12193"/>
    <n v="299.2"/>
    <n v="55.38"/>
    <n v="61.82"/>
    <n v="37.79"/>
    <n v="4.3499999999999996"/>
    <n v="3923840"/>
    <n v="0"/>
    <n v="3923840"/>
    <n v="675248"/>
    <n v="753771"/>
    <n v="0"/>
    <n v="495595"/>
    <n v="57048"/>
    <n v="5905502"/>
    <n v="541622"/>
    <n v="5363880"/>
    <n v="3066686"/>
    <n v="2297194"/>
  </r>
  <r>
    <s v="07"/>
    <x v="2"/>
    <x v="110"/>
    <x v="110"/>
    <n v="254.63"/>
    <n v="2079.5"/>
    <n v="2334.13"/>
    <n v="0"/>
    <n v="196"/>
    <n v="1.7"/>
    <n v="2274"/>
    <n v="299.2"/>
    <n v="55.38"/>
    <n v="61.82"/>
    <n v="37.79"/>
    <n v="4.3499999999999996"/>
    <n v="698372"/>
    <n v="0"/>
    <n v="698372"/>
    <n v="125934"/>
    <n v="140579"/>
    <n v="0"/>
    <n v="88207"/>
    <n v="10153"/>
    <n v="1063245"/>
    <n v="88570"/>
    <n v="974675"/>
    <n v="553642"/>
    <n v="421033"/>
  </r>
  <r>
    <s v="07"/>
    <x v="2"/>
    <x v="111"/>
    <x v="111"/>
    <n v="111.64"/>
    <n v="700.9"/>
    <n v="812.54"/>
    <n v="0"/>
    <n v="48"/>
    <n v="0"/>
    <n v="749"/>
    <n v="299.2"/>
    <n v="55.38"/>
    <n v="61.82"/>
    <n v="37.79"/>
    <n v="4.3499999999999996"/>
    <n v="243112"/>
    <n v="0"/>
    <n v="243112"/>
    <n v="41480"/>
    <n v="46303"/>
    <n v="0"/>
    <n v="30706"/>
    <n v="3535"/>
    <n v="365136"/>
    <n v="44215"/>
    <n v="320921"/>
    <n v="179348"/>
    <n v="141573"/>
  </r>
  <r>
    <s v="07"/>
    <x v="2"/>
    <x v="112"/>
    <x v="112"/>
    <n v="41.87"/>
    <n v="544.70000000000005"/>
    <n v="586.57000000000005"/>
    <n v="0"/>
    <n v="22"/>
    <n v="0.5"/>
    <n v="566"/>
    <n v="299.2"/>
    <n v="55.38"/>
    <n v="61.82"/>
    <n v="37.79"/>
    <n v="4.3499999999999996"/>
    <n v="175502"/>
    <n v="16706"/>
    <n v="192208"/>
    <n v="31345"/>
    <n v="34990"/>
    <n v="0"/>
    <n v="22809"/>
    <n v="2622"/>
    <n v="283974"/>
    <n v="32056"/>
    <n v="251918"/>
    <n v="130046"/>
    <n v="121872"/>
  </r>
  <r>
    <s v="07"/>
    <x v="2"/>
    <x v="113"/>
    <x v="113"/>
    <n v="89.07"/>
    <n v="896.1"/>
    <n v="985.17"/>
    <n v="0"/>
    <n v="1"/>
    <n v="0"/>
    <n v="897"/>
    <n v="299.2"/>
    <n v="55.38"/>
    <n v="61.82"/>
    <n v="37.79"/>
    <n v="4.3499999999999996"/>
    <n v="294763"/>
    <n v="0"/>
    <n v="294763"/>
    <n v="49676"/>
    <n v="55453"/>
    <n v="0"/>
    <n v="37230"/>
    <n v="4285"/>
    <n v="441407"/>
    <n v="38932"/>
    <n v="402475"/>
    <n v="232128"/>
    <n v="170347"/>
  </r>
  <r>
    <s v="09"/>
    <x v="3"/>
    <x v="114"/>
    <x v="114"/>
    <n v="34.11"/>
    <n v="238.3"/>
    <n v="272.41000000000003"/>
    <n v="0"/>
    <n v="23"/>
    <n v="0"/>
    <n v="261"/>
    <n v="296.83999999999997"/>
    <n v="54.89"/>
    <n v="59.9"/>
    <n v="26.86"/>
    <n v="3.16"/>
    <n v="80862"/>
    <n v="12469"/>
    <n v="93331"/>
    <n v="14326"/>
    <n v="15634"/>
    <n v="0"/>
    <n v="7317"/>
    <n v="861"/>
    <n v="131469"/>
    <n v="16393"/>
    <n v="115076"/>
    <n v="55257"/>
    <n v="59819"/>
  </r>
  <r>
    <s v="09"/>
    <x v="3"/>
    <x v="115"/>
    <x v="115"/>
    <n v="66.569999999999993"/>
    <n v="581.20000000000005"/>
    <n v="647.77"/>
    <n v="0"/>
    <n v="167"/>
    <n v="4.2"/>
    <n v="744"/>
    <n v="296.83999999999997"/>
    <n v="54.89"/>
    <n v="59.9"/>
    <n v="26.86"/>
    <n v="3.16"/>
    <n v="192284"/>
    <n v="0"/>
    <n v="192284"/>
    <n v="40838"/>
    <n v="44566"/>
    <n v="0"/>
    <n v="17399"/>
    <n v="2047"/>
    <n v="297134"/>
    <n v="33230"/>
    <n v="263904"/>
    <n v="137146"/>
    <n v="126758"/>
  </r>
  <r>
    <s v="09"/>
    <x v="3"/>
    <x v="116"/>
    <x v="116"/>
    <n v="18.32"/>
    <n v="187.1"/>
    <n v="205.42"/>
    <n v="0"/>
    <n v="2"/>
    <n v="0"/>
    <n v="189"/>
    <n v="296.83999999999997"/>
    <n v="54.89"/>
    <n v="59.9"/>
    <n v="26.86"/>
    <n v="3.16"/>
    <n v="60977"/>
    <n v="1438"/>
    <n v="62415"/>
    <n v="10374"/>
    <n v="11321"/>
    <n v="0"/>
    <n v="5640"/>
    <n v="663"/>
    <n v="90413"/>
    <n v="11567"/>
    <n v="78846"/>
    <n v="42599"/>
    <n v="36247"/>
  </r>
  <r>
    <s v="09"/>
    <x v="3"/>
    <x v="117"/>
    <x v="117"/>
    <n v="482.44"/>
    <n v="4100"/>
    <n v="4582.4399999999996"/>
    <n v="0"/>
    <n v="241"/>
    <n v="0"/>
    <n v="4341"/>
    <n v="296.83999999999997"/>
    <n v="54.89"/>
    <n v="59.9"/>
    <n v="26.86"/>
    <n v="3.16"/>
    <n v="1360251"/>
    <n v="0"/>
    <n v="1360251"/>
    <n v="238277"/>
    <n v="260026"/>
    <n v="0"/>
    <n v="123084"/>
    <n v="14481"/>
    <n v="1996119"/>
    <n v="185946"/>
    <n v="1810173"/>
    <n v="1019328"/>
    <n v="790845"/>
  </r>
  <r>
    <s v="09"/>
    <x v="3"/>
    <x v="118"/>
    <x v="118"/>
    <n v="47.38"/>
    <n v="437.3"/>
    <n v="484.68"/>
    <n v="0"/>
    <n v="0"/>
    <n v="0"/>
    <n v="437"/>
    <n v="296.83999999999997"/>
    <n v="54.89"/>
    <n v="59.9"/>
    <n v="26.86"/>
    <n v="3.16"/>
    <n v="143872"/>
    <n v="11847"/>
    <n v="155719"/>
    <n v="23987"/>
    <n v="26176"/>
    <n v="0"/>
    <n v="13262"/>
    <n v="1558"/>
    <n v="220702"/>
    <n v="24342"/>
    <n v="196360"/>
    <n v="103408"/>
    <n v="92952"/>
  </r>
  <r>
    <s v="09"/>
    <x v="3"/>
    <x v="119"/>
    <x v="119"/>
    <n v="106.61"/>
    <n v="839.3"/>
    <n v="945.91"/>
    <n v="0"/>
    <n v="19"/>
    <n v="0"/>
    <n v="858"/>
    <n v="296.83999999999997"/>
    <n v="54.89"/>
    <n v="59.9"/>
    <n v="26.86"/>
    <n v="3.16"/>
    <n v="280784"/>
    <n v="870"/>
    <n v="281654"/>
    <n v="47096"/>
    <n v="51394"/>
    <n v="0"/>
    <n v="25407"/>
    <n v="2989"/>
    <n v="408540"/>
    <n v="41235"/>
    <n v="367305"/>
    <n v="207558"/>
    <n v="159747"/>
  </r>
  <r>
    <s v="09"/>
    <x v="3"/>
    <x v="120"/>
    <x v="120"/>
    <n v="164.48"/>
    <n v="1462.7"/>
    <n v="1627.18"/>
    <n v="0"/>
    <n v="160"/>
    <n v="0"/>
    <n v="1623"/>
    <n v="296.83999999999997"/>
    <n v="54.89"/>
    <n v="59.9"/>
    <n v="26.86"/>
    <n v="3.16"/>
    <n v="483012"/>
    <n v="0"/>
    <n v="483012"/>
    <n v="89086"/>
    <n v="97218"/>
    <n v="0"/>
    <n v="43706"/>
    <n v="5142"/>
    <n v="718164"/>
    <n v="77370"/>
    <n v="640794"/>
    <n v="350611"/>
    <n v="290183"/>
  </r>
  <r>
    <s v="09"/>
    <x v="3"/>
    <x v="121"/>
    <x v="121"/>
    <n v="740.4"/>
    <n v="3723.4"/>
    <n v="4463.8"/>
    <n v="0"/>
    <n v="158"/>
    <n v="0"/>
    <n v="3881"/>
    <n v="296.83999999999997"/>
    <n v="54.89"/>
    <n v="59.9"/>
    <n v="26.86"/>
    <n v="3.16"/>
    <n v="1325034"/>
    <n v="7555"/>
    <n v="1332589"/>
    <n v="213028"/>
    <n v="232472"/>
    <n v="0"/>
    <n v="119898"/>
    <n v="14106"/>
    <n v="1912093"/>
    <n v="219420"/>
    <n v="1692673"/>
    <n v="954649"/>
    <n v="738024"/>
  </r>
  <r>
    <s v="09"/>
    <x v="3"/>
    <x v="122"/>
    <x v="122"/>
    <n v="120.61"/>
    <n v="786.9"/>
    <n v="907.51"/>
    <n v="0"/>
    <n v="3"/>
    <n v="0"/>
    <n v="790"/>
    <n v="296.83999999999997"/>
    <n v="54.89"/>
    <n v="59.9"/>
    <n v="26.86"/>
    <n v="3.16"/>
    <n v="269385"/>
    <n v="29688"/>
    <n v="299073"/>
    <n v="43363"/>
    <n v="47321"/>
    <n v="0"/>
    <n v="24601"/>
    <n v="2890"/>
    <n v="417248"/>
    <n v="48308"/>
    <n v="368940"/>
    <n v="190633"/>
    <n v="178307"/>
  </r>
  <r>
    <s v="09"/>
    <x v="3"/>
    <x v="123"/>
    <x v="123"/>
    <n v="3546.66"/>
    <n v="15233.5"/>
    <n v="18780.16"/>
    <n v="0"/>
    <n v="1953"/>
    <n v="2.2000000000000002"/>
    <n v="17184"/>
    <n v="296.83999999999997"/>
    <n v="54.89"/>
    <n v="59.9"/>
    <n v="26.86"/>
    <n v="3.16"/>
    <n v="5574703"/>
    <n v="0"/>
    <n v="5574703"/>
    <n v="943230"/>
    <n v="1029322"/>
    <n v="0"/>
    <n v="504435"/>
    <n v="59345"/>
    <n v="8111035"/>
    <n v="800370"/>
    <n v="7310665"/>
    <n v="4139187"/>
    <n v="3171478"/>
  </r>
  <r>
    <s v="09"/>
    <x v="3"/>
    <x v="124"/>
    <x v="124"/>
    <n v="19.57"/>
    <n v="197.5"/>
    <n v="217.07"/>
    <n v="0"/>
    <n v="0"/>
    <n v="0"/>
    <n v="198"/>
    <n v="296.83999999999997"/>
    <n v="54.89"/>
    <n v="59.9"/>
    <n v="26.86"/>
    <n v="3.16"/>
    <n v="64435"/>
    <n v="10578"/>
    <n v="75013"/>
    <n v="10868"/>
    <n v="11860"/>
    <n v="0"/>
    <n v="5831"/>
    <n v="686"/>
    <n v="104258"/>
    <n v="13150"/>
    <n v="91108"/>
    <n v="43944"/>
    <n v="47164"/>
  </r>
  <r>
    <s v="09"/>
    <x v="3"/>
    <x v="125"/>
    <x v="125"/>
    <n v="69.53"/>
    <n v="563.1"/>
    <n v="632.63"/>
    <n v="0"/>
    <n v="4"/>
    <n v="0"/>
    <n v="567"/>
    <n v="296.83999999999997"/>
    <n v="54.89"/>
    <n v="59.9"/>
    <n v="26.86"/>
    <n v="3.16"/>
    <n v="187790"/>
    <n v="553"/>
    <n v="188343"/>
    <n v="31123"/>
    <n v="33963"/>
    <n v="0"/>
    <n v="17020"/>
    <n v="1999"/>
    <n v="272448"/>
    <n v="27628"/>
    <n v="244820"/>
    <n v="138794"/>
    <n v="106026"/>
  </r>
  <r>
    <s v="09"/>
    <x v="3"/>
    <x v="126"/>
    <x v="126"/>
    <n v="99.11"/>
    <n v="603.29999999999995"/>
    <n v="702.41"/>
    <n v="0"/>
    <n v="3"/>
    <n v="0"/>
    <n v="606"/>
    <n v="296.83999999999997"/>
    <n v="54.89"/>
    <n v="59.9"/>
    <n v="26.86"/>
    <n v="3.16"/>
    <n v="208503"/>
    <n v="10774"/>
    <n v="219277"/>
    <n v="33263"/>
    <n v="36299"/>
    <n v="0"/>
    <n v="18983"/>
    <n v="2230"/>
    <n v="310052"/>
    <n v="35711"/>
    <n v="274341"/>
    <n v="149164"/>
    <n v="125177"/>
  </r>
  <r>
    <s v="09"/>
    <x v="3"/>
    <x v="127"/>
    <x v="127"/>
    <n v="113.4"/>
    <n v="740"/>
    <n v="853.4"/>
    <n v="0"/>
    <n v="0"/>
    <n v="0"/>
    <n v="740"/>
    <n v="296.83999999999997"/>
    <n v="54.89"/>
    <n v="59.9"/>
    <n v="26.86"/>
    <n v="3.16"/>
    <n v="253323"/>
    <n v="0"/>
    <n v="253323"/>
    <n v="40619"/>
    <n v="44326"/>
    <n v="0"/>
    <n v="22922"/>
    <n v="2697"/>
    <n v="363887"/>
    <n v="39308"/>
    <n v="324579"/>
    <n v="185153"/>
    <n v="139426"/>
  </r>
  <r>
    <s v="09"/>
    <x v="3"/>
    <x v="128"/>
    <x v="128"/>
    <n v="322.64"/>
    <n v="1335.5"/>
    <n v="1658.14"/>
    <n v="0"/>
    <n v="110"/>
    <n v="0"/>
    <n v="1446"/>
    <n v="296.83999999999997"/>
    <n v="54.89"/>
    <n v="59.9"/>
    <n v="26.86"/>
    <n v="3.16"/>
    <n v="492202"/>
    <n v="0"/>
    <n v="492202"/>
    <n v="79371"/>
    <n v="86615"/>
    <n v="0"/>
    <n v="44538"/>
    <n v="5240"/>
    <n v="707966"/>
    <n v="74194"/>
    <n v="633772"/>
    <n v="361931"/>
    <n v="271841"/>
  </r>
  <r>
    <s v="09"/>
    <x v="3"/>
    <x v="129"/>
    <x v="129"/>
    <n v="769.7"/>
    <n v="4935.8"/>
    <n v="5705.5"/>
    <n v="0"/>
    <n v="180"/>
    <n v="0"/>
    <n v="5116"/>
    <n v="296.83999999999997"/>
    <n v="54.89"/>
    <n v="59.9"/>
    <n v="26.86"/>
    <n v="3.16"/>
    <n v="1693621"/>
    <n v="23166"/>
    <n v="1716787"/>
    <n v="280817"/>
    <n v="306448"/>
    <n v="0"/>
    <n v="154710"/>
    <n v="18174"/>
    <n v="2476936"/>
    <n v="253669"/>
    <n v="2223267"/>
    <n v="1248597"/>
    <n v="974670"/>
  </r>
  <r>
    <s v="09"/>
    <x v="3"/>
    <x v="130"/>
    <x v="130"/>
    <n v="313.41000000000003"/>
    <n v="3035.1"/>
    <n v="3348.51"/>
    <n v="0"/>
    <n v="56"/>
    <n v="0"/>
    <n v="3091"/>
    <n v="296.83999999999997"/>
    <n v="54.89"/>
    <n v="59.9"/>
    <n v="26.86"/>
    <n v="3.16"/>
    <n v="993972"/>
    <n v="784"/>
    <n v="994756"/>
    <n v="169665"/>
    <n v="185151"/>
    <n v="0"/>
    <n v="89941"/>
    <n v="10581"/>
    <n v="1450094"/>
    <n v="130713"/>
    <n v="1319381"/>
    <n v="750012"/>
    <n v="569369"/>
  </r>
  <r>
    <s v="09"/>
    <x v="3"/>
    <x v="131"/>
    <x v="131"/>
    <n v="49.1"/>
    <n v="516.29999999999995"/>
    <n v="565.4"/>
    <n v="0"/>
    <n v="5"/>
    <n v="0"/>
    <n v="521"/>
    <n v="296.83999999999997"/>
    <n v="54.89"/>
    <n v="59.9"/>
    <n v="26.86"/>
    <n v="3.16"/>
    <n v="167833"/>
    <n v="7372"/>
    <n v="175205"/>
    <n v="28598"/>
    <n v="31208"/>
    <n v="0"/>
    <n v="15428"/>
    <n v="1812"/>
    <n v="252251"/>
    <n v="30807"/>
    <n v="221444"/>
    <n v="118171"/>
    <n v="103273"/>
  </r>
  <r>
    <s v="09"/>
    <x v="3"/>
    <x v="132"/>
    <x v="132"/>
    <n v="317.92"/>
    <n v="4922.3999999999996"/>
    <n v="5240.32"/>
    <n v="0"/>
    <n v="130"/>
    <n v="0"/>
    <n v="5052"/>
    <n v="296.83999999999997"/>
    <n v="54.89"/>
    <n v="59.9"/>
    <n v="26.86"/>
    <n v="3.16"/>
    <n v="1555537"/>
    <n v="0"/>
    <n v="1555537"/>
    <n v="277304"/>
    <n v="302615"/>
    <n v="0"/>
    <n v="140755"/>
    <n v="16559"/>
    <n v="2292770"/>
    <n v="135851"/>
    <n v="2156919"/>
    <n v="1242458"/>
    <n v="914461"/>
  </r>
  <r>
    <s v="09"/>
    <x v="3"/>
    <x v="133"/>
    <x v="133"/>
    <n v="151.81"/>
    <n v="1377.1"/>
    <n v="1528.91"/>
    <n v="0"/>
    <n v="7"/>
    <n v="0"/>
    <n v="1384"/>
    <n v="296.83999999999997"/>
    <n v="54.89"/>
    <n v="59.9"/>
    <n v="26.86"/>
    <n v="3.16"/>
    <n v="453842"/>
    <n v="0"/>
    <n v="453842"/>
    <n v="75968"/>
    <n v="82902"/>
    <n v="0"/>
    <n v="41067"/>
    <n v="4831"/>
    <n v="658610"/>
    <n v="51632"/>
    <n v="606978"/>
    <n v="350502"/>
    <n v="256476"/>
  </r>
  <r>
    <s v="09"/>
    <x v="3"/>
    <x v="134"/>
    <x v="134"/>
    <n v="71.540000000000006"/>
    <n v="828.6"/>
    <n v="900.14"/>
    <n v="0"/>
    <n v="3"/>
    <n v="0"/>
    <n v="832"/>
    <n v="296.83999999999997"/>
    <n v="54.89"/>
    <n v="59.9"/>
    <n v="26.86"/>
    <n v="3.16"/>
    <n v="267198"/>
    <n v="0"/>
    <n v="267198"/>
    <n v="45668"/>
    <n v="49837"/>
    <n v="0"/>
    <n v="24178"/>
    <n v="2844"/>
    <n v="389725"/>
    <n v="40568"/>
    <n v="349157"/>
    <n v="196187"/>
    <n v="152970"/>
  </r>
  <r>
    <s v="10"/>
    <x v="4"/>
    <x v="135"/>
    <x v="135"/>
    <n v="47.66"/>
    <n v="525.29999999999995"/>
    <n v="572.96"/>
    <n v="0"/>
    <n v="22"/>
    <n v="0"/>
    <n v="547"/>
    <n v="294.92"/>
    <n v="55.07"/>
    <n v="60.5"/>
    <n v="27.61"/>
    <n v="3.22"/>
    <n v="168977"/>
    <n v="0"/>
    <n v="168977"/>
    <n v="30123"/>
    <n v="33094"/>
    <n v="0"/>
    <n v="15819"/>
    <n v="1845"/>
    <n v="249858"/>
    <n v="28260"/>
    <n v="221598"/>
    <n v="122904"/>
    <n v="98694"/>
  </r>
  <r>
    <s v="10"/>
    <x v="4"/>
    <x v="136"/>
    <x v="136"/>
    <n v="144.94"/>
    <n v="1278.2"/>
    <n v="1423.14"/>
    <n v="0"/>
    <n v="63"/>
    <n v="0.2"/>
    <n v="1341"/>
    <n v="294.92"/>
    <n v="55.07"/>
    <n v="60.5"/>
    <n v="27.61"/>
    <n v="3.22"/>
    <n v="419712"/>
    <n v="0"/>
    <n v="419712"/>
    <n v="73849"/>
    <n v="81131"/>
    <n v="0"/>
    <n v="39293"/>
    <n v="4583"/>
    <n v="618568"/>
    <n v="60223"/>
    <n v="558345"/>
    <n v="315245"/>
    <n v="243100"/>
  </r>
  <r>
    <s v="10"/>
    <x v="4"/>
    <x v="137"/>
    <x v="137"/>
    <n v="39.69"/>
    <n v="532.79999999999995"/>
    <n v="572.49"/>
    <n v="0"/>
    <n v="2"/>
    <n v="0"/>
    <n v="535"/>
    <n v="294.92"/>
    <n v="55.07"/>
    <n v="60.5"/>
    <n v="27.61"/>
    <n v="3.22"/>
    <n v="168839"/>
    <n v="5489"/>
    <n v="174328"/>
    <n v="29462"/>
    <n v="32368"/>
    <n v="0"/>
    <n v="15806"/>
    <n v="1843"/>
    <n v="253807"/>
    <n v="34138"/>
    <n v="219669"/>
    <n v="116901"/>
    <n v="102768"/>
  </r>
  <r>
    <s v="10"/>
    <x v="4"/>
    <x v="138"/>
    <x v="138"/>
    <n v="129.9"/>
    <n v="1486.7"/>
    <n v="1616.6"/>
    <n v="0"/>
    <n v="152"/>
    <n v="0"/>
    <n v="1639"/>
    <n v="294.92"/>
    <n v="55.07"/>
    <n v="60.5"/>
    <n v="27.61"/>
    <n v="3.22"/>
    <n v="476768"/>
    <n v="10230"/>
    <n v="486998"/>
    <n v="90260"/>
    <n v="99160"/>
    <n v="0"/>
    <n v="45549"/>
    <n v="5304"/>
    <n v="727271"/>
    <n v="79586"/>
    <n v="647685"/>
    <n v="347935"/>
    <n v="299750"/>
  </r>
  <r>
    <s v="10"/>
    <x v="4"/>
    <x v="139"/>
    <x v="139"/>
    <n v="2479.91"/>
    <n v="17129.400000000001"/>
    <n v="19609.310000000001"/>
    <n v="0"/>
    <n v="2047"/>
    <n v="24.6"/>
    <n v="19152"/>
    <n v="294.92"/>
    <n v="55.07"/>
    <n v="60.5"/>
    <n v="27.61"/>
    <n v="3.22"/>
    <n v="5783178"/>
    <n v="0"/>
    <n v="5783178"/>
    <n v="1054701"/>
    <n v="1158696"/>
    <n v="0"/>
    <n v="541413"/>
    <n v="63142"/>
    <n v="8601130"/>
    <n v="846317"/>
    <n v="7754813"/>
    <n v="4327207"/>
    <n v="3427606"/>
  </r>
  <r>
    <s v="10"/>
    <x v="4"/>
    <x v="140"/>
    <x v="140"/>
    <n v="125.89"/>
    <n v="1356.3"/>
    <n v="1482.19"/>
    <n v="0"/>
    <n v="8"/>
    <n v="0"/>
    <n v="1364"/>
    <n v="294.92"/>
    <n v="55.07"/>
    <n v="60.5"/>
    <n v="27.61"/>
    <n v="3.22"/>
    <n v="437127"/>
    <n v="0"/>
    <n v="437127"/>
    <n v="75115"/>
    <n v="82522"/>
    <n v="0"/>
    <n v="40923"/>
    <n v="4773"/>
    <n v="640460"/>
    <n v="46594"/>
    <n v="593866"/>
    <n v="344452"/>
    <n v="249414"/>
  </r>
  <r>
    <s v="10"/>
    <x v="4"/>
    <x v="141"/>
    <x v="141"/>
    <n v="48.49"/>
    <n v="473.6"/>
    <n v="522.09"/>
    <n v="0"/>
    <n v="2"/>
    <n v="0"/>
    <n v="476"/>
    <n v="294.92"/>
    <n v="55.07"/>
    <n v="60.5"/>
    <n v="27.61"/>
    <n v="3.22"/>
    <n v="153975"/>
    <n v="12"/>
    <n v="153987"/>
    <n v="26213"/>
    <n v="28798"/>
    <n v="0"/>
    <n v="14415"/>
    <n v="1681"/>
    <n v="225094"/>
    <n v="23775"/>
    <n v="201319"/>
    <n v="113968"/>
    <n v="87351"/>
  </r>
  <r>
    <s v="10"/>
    <x v="4"/>
    <x v="142"/>
    <x v="142"/>
    <n v="243.38"/>
    <n v="2191.6999999999998"/>
    <n v="2435.08"/>
    <n v="0"/>
    <n v="43"/>
    <n v="0"/>
    <n v="2235"/>
    <n v="294.92"/>
    <n v="55.07"/>
    <n v="60.5"/>
    <n v="27.61"/>
    <n v="3.22"/>
    <n v="718154"/>
    <n v="0"/>
    <n v="718154"/>
    <n v="123081"/>
    <n v="135218"/>
    <n v="0"/>
    <n v="67233"/>
    <n v="7841"/>
    <n v="1051527"/>
    <n v="54531"/>
    <n v="996996"/>
    <n v="587917"/>
    <n v="409079"/>
  </r>
  <r>
    <s v="10"/>
    <x v="4"/>
    <x v="143"/>
    <x v="143"/>
    <n v="598.49"/>
    <n v="5162.7"/>
    <n v="5761.19"/>
    <n v="0"/>
    <n v="141"/>
    <n v="0"/>
    <n v="5304"/>
    <n v="294.92"/>
    <n v="55.07"/>
    <n v="60.5"/>
    <n v="27.61"/>
    <n v="3.22"/>
    <n v="1699090"/>
    <n v="0"/>
    <n v="1699090"/>
    <n v="292091"/>
    <n v="320892"/>
    <n v="0"/>
    <n v="159066"/>
    <n v="18551"/>
    <n v="2489690"/>
    <n v="142066"/>
    <n v="2347624"/>
    <n v="1377908"/>
    <n v="969716"/>
  </r>
  <r>
    <s v="10"/>
    <x v="4"/>
    <x v="144"/>
    <x v="144"/>
    <n v="54.31"/>
    <n v="452.2"/>
    <n v="506.51"/>
    <n v="0"/>
    <n v="6"/>
    <n v="0"/>
    <n v="458"/>
    <n v="294.92"/>
    <n v="55.07"/>
    <n v="60.5"/>
    <n v="27.61"/>
    <n v="3.22"/>
    <n v="149380"/>
    <n v="25806"/>
    <n v="175186"/>
    <n v="25222"/>
    <n v="27709"/>
    <n v="0"/>
    <n v="13985"/>
    <n v="1631"/>
    <n v="243733"/>
    <n v="31450"/>
    <n v="212283"/>
    <n v="102183"/>
    <n v="110100"/>
  </r>
  <r>
    <s v="10"/>
    <x v="4"/>
    <x v="145"/>
    <x v="145"/>
    <n v="40.950000000000003"/>
    <n v="333.7"/>
    <n v="374.65"/>
    <n v="0"/>
    <n v="10"/>
    <n v="0"/>
    <n v="344"/>
    <n v="294.92"/>
    <n v="55.07"/>
    <n v="60.5"/>
    <n v="27.61"/>
    <n v="3.22"/>
    <n v="110492"/>
    <n v="1953"/>
    <n v="112445"/>
    <n v="18944"/>
    <n v="20812"/>
    <n v="0"/>
    <n v="10344"/>
    <n v="1206"/>
    <n v="163751"/>
    <n v="19800"/>
    <n v="143951"/>
    <n v="79043"/>
    <n v="64908"/>
  </r>
  <r>
    <s v="10"/>
    <x v="4"/>
    <x v="146"/>
    <x v="146"/>
    <n v="79.239999999999995"/>
    <n v="617.20000000000005"/>
    <n v="696.44"/>
    <n v="0"/>
    <n v="11"/>
    <n v="0"/>
    <n v="628"/>
    <n v="294.92"/>
    <n v="55.07"/>
    <n v="60.5"/>
    <n v="27.61"/>
    <n v="3.22"/>
    <n v="205394"/>
    <n v="1405"/>
    <n v="206799"/>
    <n v="34584"/>
    <n v="37994"/>
    <n v="0"/>
    <n v="19342"/>
    <n v="2252"/>
    <n v="300971"/>
    <n v="28769"/>
    <n v="272202"/>
    <n v="155096"/>
    <n v="117106"/>
  </r>
  <r>
    <s v="10"/>
    <x v="4"/>
    <x v="147"/>
    <x v="147"/>
    <n v="1362.63"/>
    <n v="14197.5"/>
    <n v="15560.13"/>
    <n v="0"/>
    <n v="987"/>
    <n v="2.8"/>
    <n v="15182"/>
    <n v="294.92"/>
    <n v="55.07"/>
    <n v="60.5"/>
    <n v="27.61"/>
    <n v="3.22"/>
    <n v="4588994"/>
    <n v="0"/>
    <n v="4588994"/>
    <n v="836073"/>
    <n v="918511"/>
    <n v="0"/>
    <n v="429615"/>
    <n v="50104"/>
    <n v="6823297"/>
    <n v="485100"/>
    <n v="6338197"/>
    <n v="3620129"/>
    <n v="2718068"/>
  </r>
  <r>
    <s v="10"/>
    <x v="4"/>
    <x v="148"/>
    <x v="148"/>
    <n v="56.5"/>
    <n v="544.70000000000005"/>
    <n v="601.20000000000005"/>
    <n v="0"/>
    <n v="0"/>
    <n v="0"/>
    <n v="545"/>
    <n v="294.92"/>
    <n v="55.07"/>
    <n v="60.5"/>
    <n v="27.61"/>
    <n v="3.22"/>
    <n v="177306"/>
    <n v="10302"/>
    <n v="187608"/>
    <n v="30013"/>
    <n v="32973"/>
    <n v="0"/>
    <n v="16599"/>
    <n v="1936"/>
    <n v="269129"/>
    <n v="30923"/>
    <n v="238206"/>
    <n v="127692"/>
    <n v="110514"/>
  </r>
  <r>
    <s v="10"/>
    <x v="4"/>
    <x v="149"/>
    <x v="149"/>
    <n v="705.41"/>
    <n v="7436.2"/>
    <n v="8141.61"/>
    <n v="0"/>
    <n v="462"/>
    <n v="0"/>
    <n v="7898"/>
    <n v="294.92"/>
    <n v="55.07"/>
    <n v="60.5"/>
    <n v="27.61"/>
    <n v="3.22"/>
    <n v="2401124"/>
    <n v="0"/>
    <n v="2401124"/>
    <n v="434943"/>
    <n v="477829"/>
    <n v="0"/>
    <n v="224790"/>
    <n v="26216"/>
    <n v="3564902"/>
    <n v="225812"/>
    <n v="3339090"/>
    <n v="1922189"/>
    <n v="1416901"/>
  </r>
  <r>
    <s v="10"/>
    <x v="4"/>
    <x v="150"/>
    <x v="150"/>
    <n v="31.09"/>
    <n v="645.5"/>
    <n v="676.59"/>
    <n v="0"/>
    <n v="8"/>
    <n v="0"/>
    <n v="654"/>
    <n v="294.92"/>
    <n v="55.07"/>
    <n v="60.5"/>
    <n v="27.61"/>
    <n v="3.22"/>
    <n v="199540"/>
    <n v="8604"/>
    <n v="208144"/>
    <n v="36016"/>
    <n v="39567"/>
    <n v="0"/>
    <n v="19040"/>
    <n v="2217"/>
    <n v="304984"/>
    <n v="27550"/>
    <n v="277434"/>
    <n v="151352"/>
    <n v="126082"/>
  </r>
  <r>
    <s v="10"/>
    <x v="4"/>
    <x v="151"/>
    <x v="151"/>
    <n v="30.65"/>
    <n v="366.1"/>
    <n v="396.75"/>
    <n v="0"/>
    <n v="5"/>
    <n v="0"/>
    <n v="371"/>
    <n v="294.92"/>
    <n v="55.07"/>
    <n v="60.5"/>
    <n v="27.61"/>
    <n v="3.22"/>
    <n v="117010"/>
    <n v="11588"/>
    <n v="128598"/>
    <n v="20431"/>
    <n v="22446"/>
    <n v="0"/>
    <n v="10954"/>
    <n v="1278"/>
    <n v="183707"/>
    <n v="18559"/>
    <n v="165148"/>
    <n v="86116"/>
    <n v="79032"/>
  </r>
  <r>
    <s v="10"/>
    <x v="4"/>
    <x v="152"/>
    <x v="152"/>
    <n v="215"/>
    <n v="1918.1"/>
    <n v="2133.1"/>
    <n v="0"/>
    <n v="83"/>
    <n v="0.3"/>
    <n v="2001"/>
    <n v="294.92"/>
    <n v="55.07"/>
    <n v="60.5"/>
    <n v="27.61"/>
    <n v="3.22"/>
    <n v="629094"/>
    <n v="0"/>
    <n v="629094"/>
    <n v="110195"/>
    <n v="121061"/>
    <n v="0"/>
    <n v="58895"/>
    <n v="6869"/>
    <n v="926114"/>
    <n v="80131"/>
    <n v="845983"/>
    <n v="482645"/>
    <n v="363338"/>
  </r>
  <r>
    <s v="10"/>
    <x v="4"/>
    <x v="153"/>
    <x v="153"/>
    <n v="154.69"/>
    <n v="1248.7"/>
    <n v="1403.39"/>
    <n v="0"/>
    <n v="52"/>
    <n v="0.2"/>
    <n v="1301"/>
    <n v="294.92"/>
    <n v="55.07"/>
    <n v="60.5"/>
    <n v="27.61"/>
    <n v="3.22"/>
    <n v="413888"/>
    <n v="0"/>
    <n v="413888"/>
    <n v="71646"/>
    <n v="78711"/>
    <n v="0"/>
    <n v="38748"/>
    <n v="4519"/>
    <n v="607512"/>
    <n v="55121"/>
    <n v="552391"/>
    <n v="315136"/>
    <n v="237255"/>
  </r>
  <r>
    <s v="10"/>
    <x v="4"/>
    <x v="154"/>
    <x v="154"/>
    <n v="65.42"/>
    <n v="535.1"/>
    <n v="600.52"/>
    <n v="0"/>
    <n v="10"/>
    <n v="0"/>
    <n v="545"/>
    <n v="294.92"/>
    <n v="55.07"/>
    <n v="60.5"/>
    <n v="27.61"/>
    <n v="3.22"/>
    <n v="177105"/>
    <n v="4143"/>
    <n v="181248"/>
    <n v="30013"/>
    <n v="32973"/>
    <n v="0"/>
    <n v="16860"/>
    <n v="1963"/>
    <n v="263057"/>
    <n v="35327"/>
    <n v="227730"/>
    <n v="123417"/>
    <n v="104313"/>
  </r>
  <r>
    <s v="10"/>
    <x v="4"/>
    <x v="155"/>
    <x v="155"/>
    <n v="125.9"/>
    <n v="993.6"/>
    <n v="1119.5"/>
    <n v="0"/>
    <n v="83"/>
    <n v="3"/>
    <n v="1074"/>
    <n v="294.92"/>
    <n v="55.07"/>
    <n v="60.5"/>
    <n v="27.61"/>
    <n v="3.22"/>
    <n v="330163"/>
    <n v="15550"/>
    <n v="345713"/>
    <n v="59145"/>
    <n v="64977"/>
    <n v="0"/>
    <n v="31978"/>
    <n v="3724"/>
    <n v="505537"/>
    <n v="48152"/>
    <n v="457385"/>
    <n v="248394"/>
    <n v="208991"/>
  </r>
  <r>
    <s v="10"/>
    <x v="4"/>
    <x v="156"/>
    <x v="156"/>
    <n v="69.62"/>
    <n v="1124"/>
    <n v="1193.6199999999999"/>
    <n v="0"/>
    <n v="25"/>
    <n v="0"/>
    <n v="1149"/>
    <n v="294.92"/>
    <n v="55.07"/>
    <n v="60.5"/>
    <n v="27.61"/>
    <n v="3.22"/>
    <n v="352022"/>
    <n v="0"/>
    <n v="352022"/>
    <n v="63275"/>
    <n v="69515"/>
    <n v="0"/>
    <n v="32956"/>
    <n v="3843"/>
    <n v="521611"/>
    <n v="45951"/>
    <n v="475660"/>
    <n v="268961"/>
    <n v="206699"/>
  </r>
  <r>
    <s v="10"/>
    <x v="4"/>
    <x v="157"/>
    <x v="157"/>
    <n v="113.26"/>
    <n v="815"/>
    <n v="928.26"/>
    <n v="0"/>
    <n v="3"/>
    <n v="0"/>
    <n v="818"/>
    <n v="294.92"/>
    <n v="55.07"/>
    <n v="60.5"/>
    <n v="27.61"/>
    <n v="3.22"/>
    <n v="273762"/>
    <n v="7262"/>
    <n v="281024"/>
    <n v="45047"/>
    <n v="49489"/>
    <n v="0"/>
    <n v="26085"/>
    <n v="3037"/>
    <n v="404682"/>
    <n v="44471"/>
    <n v="360211"/>
    <n v="200936"/>
    <n v="159275"/>
  </r>
  <r>
    <s v="10"/>
    <x v="4"/>
    <x v="158"/>
    <x v="158"/>
    <n v="41.8"/>
    <n v="609.20000000000005"/>
    <n v="651"/>
    <n v="0"/>
    <n v="2"/>
    <n v="0"/>
    <n v="611"/>
    <n v="294.92"/>
    <n v="55.07"/>
    <n v="60.5"/>
    <n v="27.61"/>
    <n v="3.22"/>
    <n v="191993"/>
    <n v="23776"/>
    <n v="215769"/>
    <n v="33648"/>
    <n v="36966"/>
    <n v="0"/>
    <n v="18906"/>
    <n v="2201"/>
    <n v="307490"/>
    <n v="34751"/>
    <n v="272739"/>
    <n v="138039"/>
    <n v="134700"/>
  </r>
  <r>
    <s v="10"/>
    <x v="4"/>
    <x v="159"/>
    <x v="159"/>
    <n v="30.17"/>
    <n v="206"/>
    <n v="236.17"/>
    <n v="0"/>
    <n v="5"/>
    <n v="0"/>
    <n v="211"/>
    <n v="294.92"/>
    <n v="55.07"/>
    <n v="60.5"/>
    <n v="27.61"/>
    <n v="3.22"/>
    <n v="69651"/>
    <n v="8851"/>
    <n v="78502"/>
    <n v="11620"/>
    <n v="12766"/>
    <n v="0"/>
    <n v="6774"/>
    <n v="789"/>
    <n v="110451"/>
    <n v="14596"/>
    <n v="95855"/>
    <n v="47995"/>
    <n v="47860"/>
  </r>
  <r>
    <s v="10"/>
    <x v="4"/>
    <x v="160"/>
    <x v="160"/>
    <n v="94.46"/>
    <n v="1351.8"/>
    <n v="1446.26"/>
    <n v="0"/>
    <n v="25"/>
    <n v="0"/>
    <n v="1377"/>
    <n v="294.92"/>
    <n v="55.07"/>
    <n v="60.5"/>
    <n v="27.61"/>
    <n v="3.22"/>
    <n v="426531"/>
    <n v="0"/>
    <n v="426531"/>
    <n v="75831"/>
    <n v="83309"/>
    <n v="0"/>
    <n v="39931"/>
    <n v="4657"/>
    <n v="630259"/>
    <n v="48951"/>
    <n v="581308"/>
    <n v="332616"/>
    <n v="248692"/>
  </r>
  <r>
    <s v="10"/>
    <x v="4"/>
    <x v="161"/>
    <x v="161"/>
    <n v="42.61"/>
    <n v="390.1"/>
    <n v="432.71"/>
    <n v="0"/>
    <n v="7"/>
    <n v="0"/>
    <n v="397"/>
    <n v="294.92"/>
    <n v="55.07"/>
    <n v="60.5"/>
    <n v="27.61"/>
    <n v="3.22"/>
    <n v="127615"/>
    <n v="1370"/>
    <n v="128985"/>
    <n v="21863"/>
    <n v="24019"/>
    <n v="0"/>
    <n v="11947"/>
    <n v="1393"/>
    <n v="188207"/>
    <n v="21853"/>
    <n v="166354"/>
    <n v="92308"/>
    <n v="74046"/>
  </r>
  <r>
    <s v="10"/>
    <x v="4"/>
    <x v="162"/>
    <x v="162"/>
    <n v="87.19"/>
    <n v="883.2"/>
    <n v="970.39"/>
    <n v="0"/>
    <n v="3"/>
    <n v="0"/>
    <n v="886"/>
    <n v="294.92"/>
    <n v="55.07"/>
    <n v="60.5"/>
    <n v="27.61"/>
    <n v="3.22"/>
    <n v="286187"/>
    <n v="617"/>
    <n v="286804"/>
    <n v="48792"/>
    <n v="53603"/>
    <n v="0"/>
    <n v="26825"/>
    <n v="3125"/>
    <n v="419149"/>
    <n v="38524"/>
    <n v="380625"/>
    <n v="217527"/>
    <n v="163098"/>
  </r>
  <r>
    <s v="10"/>
    <x v="4"/>
    <x v="163"/>
    <x v="163"/>
    <n v="224.18"/>
    <n v="1544"/>
    <n v="1768.18"/>
    <n v="0"/>
    <n v="22"/>
    <n v="0"/>
    <n v="1566"/>
    <n v="294.92"/>
    <n v="55.07"/>
    <n v="60.5"/>
    <n v="27.61"/>
    <n v="3.22"/>
    <n v="521472"/>
    <n v="15436"/>
    <n v="536908"/>
    <n v="86240"/>
    <n v="94743"/>
    <n v="0"/>
    <n v="48819"/>
    <n v="5694"/>
    <n v="772404"/>
    <n v="88383"/>
    <n v="684021"/>
    <n v="378116"/>
    <n v="305905"/>
  </r>
  <r>
    <s v="10"/>
    <x v="4"/>
    <x v="164"/>
    <x v="164"/>
    <n v="244.58"/>
    <n v="1778.1"/>
    <n v="2022.68"/>
    <n v="0"/>
    <n v="77"/>
    <n v="0.6"/>
    <n v="1855"/>
    <n v="294.92"/>
    <n v="55.07"/>
    <n v="60.5"/>
    <n v="27.61"/>
    <n v="3.22"/>
    <n v="596529"/>
    <n v="0"/>
    <n v="596529"/>
    <n v="102155"/>
    <n v="112228"/>
    <n v="0"/>
    <n v="55846"/>
    <n v="6513"/>
    <n v="873271"/>
    <n v="80503"/>
    <n v="792768"/>
    <n v="453140"/>
    <n v="339628"/>
  </r>
  <r>
    <s v="10"/>
    <x v="4"/>
    <x v="165"/>
    <x v="165"/>
    <n v="84.89"/>
    <n v="774.3"/>
    <n v="859.19"/>
    <n v="0"/>
    <n v="16"/>
    <n v="0"/>
    <n v="790"/>
    <n v="294.92"/>
    <n v="55.07"/>
    <n v="60.5"/>
    <n v="27.61"/>
    <n v="3.22"/>
    <n v="253392"/>
    <n v="0"/>
    <n v="253392"/>
    <n v="43505"/>
    <n v="47795"/>
    <n v="0"/>
    <n v="23722"/>
    <n v="2767"/>
    <n v="371181"/>
    <n v="35036"/>
    <n v="336145"/>
    <n v="191644"/>
    <n v="144501"/>
  </r>
  <r>
    <s v="10"/>
    <x v="4"/>
    <x v="166"/>
    <x v="166"/>
    <n v="86.2"/>
    <n v="1124.0999999999999"/>
    <n v="1210.3"/>
    <n v="0"/>
    <n v="70"/>
    <n v="1.7"/>
    <n v="1192"/>
    <n v="294.92"/>
    <n v="55.07"/>
    <n v="60.5"/>
    <n v="27.61"/>
    <n v="3.22"/>
    <n v="356942"/>
    <n v="0"/>
    <n v="356942"/>
    <n v="65643"/>
    <n v="72116"/>
    <n v="0"/>
    <n v="33416"/>
    <n v="3897"/>
    <n v="532014"/>
    <n v="51123"/>
    <n v="480891"/>
    <n v="268190"/>
    <n v="212701"/>
  </r>
  <r>
    <s v="11"/>
    <x v="5"/>
    <x v="167"/>
    <x v="167"/>
    <n v="35.4"/>
    <n v="300.3"/>
    <n v="335.7"/>
    <n v="0"/>
    <n v="0"/>
    <n v="0"/>
    <n v="300"/>
    <n v="287.82"/>
    <n v="54.95"/>
    <n v="60.32"/>
    <n v="23.84"/>
    <n v="3.03"/>
    <n v="96621"/>
    <n v="9702"/>
    <n v="106323"/>
    <n v="16485"/>
    <n v="18096"/>
    <n v="0"/>
    <n v="8003"/>
    <n v="1017"/>
    <n v="149924"/>
    <n v="16927"/>
    <n v="132997"/>
    <n v="70311"/>
    <n v="62686"/>
  </r>
  <r>
    <s v="11"/>
    <x v="5"/>
    <x v="168"/>
    <x v="168"/>
    <n v="167.46"/>
    <n v="1729.8"/>
    <n v="1897.26"/>
    <n v="0"/>
    <n v="27"/>
    <n v="0"/>
    <n v="1757"/>
    <n v="287.82"/>
    <n v="54.95"/>
    <n v="60.32"/>
    <n v="23.84"/>
    <n v="3.03"/>
    <n v="546069"/>
    <n v="0"/>
    <n v="546069"/>
    <n v="96547"/>
    <n v="105982"/>
    <n v="0"/>
    <n v="45231"/>
    <n v="5749"/>
    <n v="799578"/>
    <n v="62785"/>
    <n v="736793"/>
    <n v="430257"/>
    <n v="306536"/>
  </r>
  <r>
    <s v="11"/>
    <x v="5"/>
    <x v="169"/>
    <x v="169"/>
    <n v="395.58"/>
    <n v="4299.8"/>
    <n v="4695.38"/>
    <n v="0"/>
    <n v="144"/>
    <n v="0"/>
    <n v="4444"/>
    <n v="287.82"/>
    <n v="54.95"/>
    <n v="60.32"/>
    <n v="23.84"/>
    <n v="3.03"/>
    <n v="1351424"/>
    <n v="0"/>
    <n v="1351424"/>
    <n v="244198"/>
    <n v="268062"/>
    <n v="0"/>
    <n v="111938"/>
    <n v="14227"/>
    <n v="1989849"/>
    <n v="203105"/>
    <n v="1786744"/>
    <n v="1017084"/>
    <n v="769660"/>
  </r>
  <r>
    <s v="11"/>
    <x v="5"/>
    <x v="170"/>
    <x v="170"/>
    <n v="1025.55"/>
    <n v="11548.7"/>
    <n v="12574.25"/>
    <n v="0"/>
    <n v="461"/>
    <n v="0.4"/>
    <n v="12009"/>
    <n v="287.82"/>
    <n v="54.95"/>
    <n v="60.32"/>
    <n v="23.84"/>
    <n v="3.03"/>
    <n v="3619121"/>
    <n v="0"/>
    <n v="3619121"/>
    <n v="659895"/>
    <n v="724383"/>
    <n v="0"/>
    <n v="299770"/>
    <n v="38100"/>
    <n v="5341269"/>
    <n v="253394"/>
    <n v="5087875"/>
    <n v="3014276"/>
    <n v="2073599"/>
  </r>
  <r>
    <s v="11"/>
    <x v="5"/>
    <x v="171"/>
    <x v="171"/>
    <n v="57.76"/>
    <n v="491.1"/>
    <n v="548.86"/>
    <n v="0"/>
    <n v="3"/>
    <n v="0"/>
    <n v="494"/>
    <n v="287.82"/>
    <n v="54.95"/>
    <n v="60.32"/>
    <n v="23.84"/>
    <n v="3.03"/>
    <n v="157973"/>
    <n v="9454"/>
    <n v="167427"/>
    <n v="27145"/>
    <n v="29798"/>
    <n v="0"/>
    <n v="13177"/>
    <n v="1674"/>
    <n v="239221"/>
    <n v="31621"/>
    <n v="207600"/>
    <n v="111114"/>
    <n v="96486"/>
  </r>
  <r>
    <s v="11"/>
    <x v="5"/>
    <x v="172"/>
    <x v="172"/>
    <n v="143.91"/>
    <n v="1619.2"/>
    <n v="1763.11"/>
    <n v="0"/>
    <n v="13"/>
    <n v="0"/>
    <n v="1632"/>
    <n v="287.82"/>
    <n v="54.95"/>
    <n v="60.32"/>
    <n v="23.84"/>
    <n v="3.03"/>
    <n v="507458"/>
    <n v="0"/>
    <n v="507458"/>
    <n v="89678"/>
    <n v="98442"/>
    <n v="0"/>
    <n v="42033"/>
    <n v="5342"/>
    <n v="742953"/>
    <n v="53719"/>
    <n v="689234"/>
    <n v="404461"/>
    <n v="284773"/>
  </r>
  <r>
    <s v="11"/>
    <x v="5"/>
    <x v="173"/>
    <x v="173"/>
    <n v="35.950000000000003"/>
    <n v="315.39999999999998"/>
    <n v="351.35"/>
    <n v="0"/>
    <n v="0"/>
    <n v="0"/>
    <n v="315"/>
    <n v="287.82"/>
    <n v="54.95"/>
    <n v="60.32"/>
    <n v="23.84"/>
    <n v="3.03"/>
    <n v="101126"/>
    <n v="9422"/>
    <n v="110548"/>
    <n v="17309"/>
    <n v="19001"/>
    <n v="0"/>
    <n v="8617"/>
    <n v="1094"/>
    <n v="156569"/>
    <n v="14723"/>
    <n v="141846"/>
    <n v="76853"/>
    <n v="64993"/>
  </r>
  <r>
    <s v="11"/>
    <x v="5"/>
    <x v="174"/>
    <x v="174"/>
    <n v="210.9"/>
    <n v="1989.4"/>
    <n v="2200.3000000000002"/>
    <n v="0"/>
    <n v="34"/>
    <n v="0"/>
    <n v="2023"/>
    <n v="287.82"/>
    <n v="54.95"/>
    <n v="60.32"/>
    <n v="23.84"/>
    <n v="3.03"/>
    <n v="633290"/>
    <n v="0"/>
    <n v="633290"/>
    <n v="111164"/>
    <n v="122027"/>
    <n v="0"/>
    <n v="52455"/>
    <n v="6667"/>
    <n v="925603"/>
    <n v="39354"/>
    <n v="886249"/>
    <n v="532438"/>
    <n v="353811"/>
  </r>
  <r>
    <s v="11"/>
    <x v="5"/>
    <x v="175"/>
    <x v="175"/>
    <n v="325.02999999999997"/>
    <n v="2053.4"/>
    <n v="2378.4299999999998"/>
    <n v="0"/>
    <n v="194"/>
    <n v="3.5"/>
    <n v="2244"/>
    <n v="287.82"/>
    <n v="54.95"/>
    <n v="60.32"/>
    <n v="23.84"/>
    <n v="3.03"/>
    <n v="684560"/>
    <n v="0"/>
    <n v="684560"/>
    <n v="123308"/>
    <n v="135358"/>
    <n v="0"/>
    <n v="56702"/>
    <n v="7207"/>
    <n v="1007135"/>
    <n v="105619"/>
    <n v="901516"/>
    <n v="512464"/>
    <n v="389052"/>
  </r>
  <r>
    <s v="11"/>
    <x v="5"/>
    <x v="176"/>
    <x v="176"/>
    <n v="207.16"/>
    <n v="1943.7"/>
    <n v="2150.86"/>
    <n v="0"/>
    <n v="20"/>
    <n v="0"/>
    <n v="1964"/>
    <n v="287.82"/>
    <n v="54.95"/>
    <n v="60.32"/>
    <n v="23.84"/>
    <n v="3.03"/>
    <n v="619061"/>
    <n v="0"/>
    <n v="619061"/>
    <n v="107922"/>
    <n v="118468"/>
    <n v="0"/>
    <n v="51277"/>
    <n v="6517"/>
    <n v="903245"/>
    <n v="58812"/>
    <n v="844433"/>
    <n v="500132"/>
    <n v="344301"/>
  </r>
  <r>
    <s v="11"/>
    <x v="5"/>
    <x v="177"/>
    <x v="177"/>
    <n v="212.32"/>
    <n v="1701.1"/>
    <n v="1913.42"/>
    <n v="0"/>
    <n v="877"/>
    <n v="29.1"/>
    <n v="2549"/>
    <n v="287.82"/>
    <n v="54.95"/>
    <n v="60.32"/>
    <n v="23.84"/>
    <n v="3.03"/>
    <n v="550721"/>
    <n v="0"/>
    <n v="550721"/>
    <n v="140068"/>
    <n v="153756"/>
    <n v="0"/>
    <n v="45616"/>
    <n v="5798"/>
    <n v="895959"/>
    <n v="92884"/>
    <n v="803075"/>
    <n v="404357"/>
    <n v="398718"/>
  </r>
  <r>
    <s v="11"/>
    <x v="5"/>
    <x v="178"/>
    <x v="178"/>
    <n v="99.4"/>
    <n v="736.4"/>
    <n v="835.8"/>
    <n v="0"/>
    <n v="11"/>
    <n v="0"/>
    <n v="747"/>
    <n v="287.82"/>
    <n v="54.95"/>
    <n v="60.32"/>
    <n v="23.84"/>
    <n v="3.03"/>
    <n v="240560"/>
    <n v="0"/>
    <n v="240560"/>
    <n v="41048"/>
    <n v="45059"/>
    <n v="0"/>
    <n v="19925"/>
    <n v="2532"/>
    <n v="349124"/>
    <n v="41179"/>
    <n v="307945"/>
    <n v="176019"/>
    <n v="131926"/>
  </r>
  <r>
    <s v="11"/>
    <x v="5"/>
    <x v="179"/>
    <x v="179"/>
    <n v="55.1"/>
    <n v="459.2"/>
    <n v="514.29999999999995"/>
    <n v="0"/>
    <n v="5"/>
    <n v="0"/>
    <n v="464"/>
    <n v="287.82"/>
    <n v="54.95"/>
    <n v="60.32"/>
    <n v="23.84"/>
    <n v="3.03"/>
    <n v="148026"/>
    <n v="7125"/>
    <n v="155151"/>
    <n v="25497"/>
    <n v="27988"/>
    <n v="0"/>
    <n v="12820"/>
    <n v="1628"/>
    <n v="223084"/>
    <n v="23962"/>
    <n v="199122"/>
    <n v="110318"/>
    <n v="88804"/>
  </r>
  <r>
    <s v="11"/>
    <x v="5"/>
    <x v="180"/>
    <x v="180"/>
    <n v="43.52"/>
    <n v="512.70000000000005"/>
    <n v="556.22"/>
    <n v="0"/>
    <n v="2"/>
    <n v="0"/>
    <n v="515"/>
    <n v="287.82"/>
    <n v="54.95"/>
    <n v="60.32"/>
    <n v="23.84"/>
    <n v="3.03"/>
    <n v="160091"/>
    <n v="0"/>
    <n v="160091"/>
    <n v="28299"/>
    <n v="31065"/>
    <n v="0"/>
    <n v="13260"/>
    <n v="1685"/>
    <n v="234400"/>
    <n v="26655"/>
    <n v="207745"/>
    <n v="117889"/>
    <n v="89856"/>
  </r>
  <r>
    <s v="11"/>
    <x v="5"/>
    <x v="181"/>
    <x v="181"/>
    <n v="62.03"/>
    <n v="439"/>
    <n v="501.03"/>
    <n v="0"/>
    <n v="1"/>
    <n v="0"/>
    <n v="440"/>
    <n v="287.82"/>
    <n v="54.95"/>
    <n v="60.32"/>
    <n v="23.84"/>
    <n v="3.03"/>
    <n v="144206"/>
    <n v="0"/>
    <n v="144206"/>
    <n v="24178"/>
    <n v="26541"/>
    <n v="0"/>
    <n v="11945"/>
    <n v="1518"/>
    <n v="208388"/>
    <n v="24283"/>
    <n v="184105"/>
    <n v="105920"/>
    <n v="78185"/>
  </r>
  <r>
    <s v="11"/>
    <x v="5"/>
    <x v="182"/>
    <x v="182"/>
    <n v="222.05"/>
    <n v="2820.9"/>
    <n v="3042.95"/>
    <n v="0"/>
    <n v="65"/>
    <n v="0"/>
    <n v="2886"/>
    <n v="287.82"/>
    <n v="54.95"/>
    <n v="60.32"/>
    <n v="23.84"/>
    <n v="3.03"/>
    <n v="875822"/>
    <n v="0"/>
    <n v="875822"/>
    <n v="158586"/>
    <n v="174084"/>
    <n v="0"/>
    <n v="72544"/>
    <n v="9220"/>
    <n v="1290256"/>
    <n v="64515"/>
    <n v="1225741"/>
    <n v="726256"/>
    <n v="499485"/>
  </r>
  <r>
    <s v="11"/>
    <x v="5"/>
    <x v="183"/>
    <x v="183"/>
    <n v="6061.9"/>
    <n v="33057.4"/>
    <n v="39119.300000000003"/>
    <n v="0"/>
    <n v="2578"/>
    <n v="1.9"/>
    <n v="35634"/>
    <n v="287.82"/>
    <n v="54.95"/>
    <n v="60.32"/>
    <n v="23.84"/>
    <n v="3.03"/>
    <n v="11259317"/>
    <n v="0"/>
    <n v="11259317"/>
    <n v="1958088"/>
    <n v="2149443"/>
    <n v="0"/>
    <n v="932604"/>
    <n v="118531"/>
    <n v="16417983"/>
    <n v="1502985"/>
    <n v="14914998"/>
    <n v="8662947"/>
    <n v="6252051"/>
  </r>
  <r>
    <s v="11"/>
    <x v="5"/>
    <x v="184"/>
    <x v="184"/>
    <n v="45.68"/>
    <n v="575.1"/>
    <n v="620.78"/>
    <n v="0"/>
    <n v="3"/>
    <n v="0"/>
    <n v="578"/>
    <n v="287.82"/>
    <n v="54.95"/>
    <n v="60.32"/>
    <n v="23.84"/>
    <n v="3.03"/>
    <n v="178673"/>
    <n v="15140"/>
    <n v="193813"/>
    <n v="31761"/>
    <n v="34865"/>
    <n v="0"/>
    <n v="14799"/>
    <n v="1881"/>
    <n v="277119"/>
    <n v="22833"/>
    <n v="254286"/>
    <n v="138489"/>
    <n v="115797"/>
  </r>
  <r>
    <s v="11"/>
    <x v="5"/>
    <x v="185"/>
    <x v="185"/>
    <n v="66.97"/>
    <n v="413.8"/>
    <n v="480.77"/>
    <n v="0"/>
    <n v="0"/>
    <n v="0"/>
    <n v="414"/>
    <n v="287.82"/>
    <n v="54.95"/>
    <n v="60.32"/>
    <n v="23.84"/>
    <n v="3.03"/>
    <n v="138375"/>
    <n v="17156"/>
    <n v="155531"/>
    <n v="22749"/>
    <n v="24972"/>
    <n v="0"/>
    <n v="11884"/>
    <n v="1509"/>
    <n v="216645"/>
    <n v="29687"/>
    <n v="186958"/>
    <n v="95725"/>
    <n v="91233"/>
  </r>
  <r>
    <s v="11"/>
    <x v="5"/>
    <x v="186"/>
    <x v="186"/>
    <n v="104.53"/>
    <n v="1490.7"/>
    <n v="1595.23"/>
    <n v="0"/>
    <n v="44"/>
    <n v="0"/>
    <n v="1535"/>
    <n v="287.82"/>
    <n v="54.95"/>
    <n v="60.32"/>
    <n v="23.84"/>
    <n v="3.03"/>
    <n v="459139"/>
    <n v="0"/>
    <n v="459139"/>
    <n v="84348"/>
    <n v="92591"/>
    <n v="0"/>
    <n v="38030"/>
    <n v="4834"/>
    <n v="678942"/>
    <n v="38933"/>
    <n v="640009"/>
    <n v="375620"/>
    <n v="264389"/>
  </r>
  <r>
    <s v="11"/>
    <x v="5"/>
    <x v="187"/>
    <x v="187"/>
    <n v="26.54"/>
    <n v="278"/>
    <n v="304.54000000000002"/>
    <n v="0"/>
    <n v="13"/>
    <n v="0"/>
    <n v="291"/>
    <n v="287.82"/>
    <n v="54.95"/>
    <n v="60.32"/>
    <n v="23.84"/>
    <n v="3.03"/>
    <n v="87653"/>
    <n v="10377"/>
    <n v="98030"/>
    <n v="15990"/>
    <n v="17553"/>
    <n v="0"/>
    <n v="7260"/>
    <n v="923"/>
    <n v="139756"/>
    <n v="17419"/>
    <n v="122337"/>
    <n v="61722"/>
    <n v="60615"/>
  </r>
  <r>
    <s v="11"/>
    <x v="5"/>
    <x v="188"/>
    <x v="188"/>
    <n v="41.56"/>
    <n v="447.6"/>
    <n v="489.16"/>
    <n v="0"/>
    <n v="3"/>
    <n v="0"/>
    <n v="451"/>
    <n v="287.82"/>
    <n v="54.95"/>
    <n v="60.32"/>
    <n v="23.84"/>
    <n v="3.03"/>
    <n v="140790"/>
    <n v="9090"/>
    <n v="149880"/>
    <n v="24782"/>
    <n v="27204"/>
    <n v="0"/>
    <n v="12163"/>
    <n v="1545"/>
    <n v="215574"/>
    <n v="21657"/>
    <n v="193917"/>
    <n v="106025"/>
    <n v="87892"/>
  </r>
  <r>
    <s v="11"/>
    <x v="5"/>
    <x v="189"/>
    <x v="189"/>
    <n v="353.38"/>
    <n v="3421.1"/>
    <n v="3774.48"/>
    <n v="0"/>
    <n v="11"/>
    <n v="0"/>
    <n v="3432"/>
    <n v="287.82"/>
    <n v="54.95"/>
    <n v="60.32"/>
    <n v="23.84"/>
    <n v="3.03"/>
    <n v="1086371"/>
    <n v="0"/>
    <n v="1086371"/>
    <n v="188588"/>
    <n v="207018"/>
    <n v="0"/>
    <n v="89984"/>
    <n v="11437"/>
    <n v="1583398"/>
    <n v="139171"/>
    <n v="1444227"/>
    <n v="841704"/>
    <n v="602523"/>
  </r>
  <r>
    <s v="11"/>
    <x v="5"/>
    <x v="190"/>
    <x v="190"/>
    <n v="80.33"/>
    <n v="857.3"/>
    <n v="937.63"/>
    <n v="0"/>
    <n v="3"/>
    <n v="0"/>
    <n v="860"/>
    <n v="287.82"/>
    <n v="54.95"/>
    <n v="60.32"/>
    <n v="23.84"/>
    <n v="3.03"/>
    <n v="269869"/>
    <n v="6497"/>
    <n v="276366"/>
    <n v="47257"/>
    <n v="51875"/>
    <n v="0"/>
    <n v="22836"/>
    <n v="2901"/>
    <n v="401235"/>
    <n v="33511"/>
    <n v="367724"/>
    <n v="210694"/>
    <n v="157030"/>
  </r>
  <r>
    <s v="11"/>
    <x v="5"/>
    <x v="191"/>
    <x v="191"/>
    <n v="658.41"/>
    <n v="7074.1"/>
    <n v="7732.51"/>
    <n v="0"/>
    <n v="351"/>
    <n v="0"/>
    <n v="7425"/>
    <n v="287.82"/>
    <n v="54.95"/>
    <n v="60.32"/>
    <n v="23.84"/>
    <n v="3.03"/>
    <n v="2225571"/>
    <n v="0"/>
    <n v="2225571"/>
    <n v="408004"/>
    <n v="447876"/>
    <n v="0"/>
    <n v="184343"/>
    <n v="23430"/>
    <n v="3289224"/>
    <n v="179185"/>
    <n v="3110039"/>
    <n v="1830263"/>
    <n v="1279776"/>
  </r>
  <r>
    <s v="11"/>
    <x v="5"/>
    <x v="192"/>
    <x v="192"/>
    <n v="244.72"/>
    <n v="1763.9"/>
    <n v="2008.62"/>
    <n v="0"/>
    <n v="21"/>
    <n v="0"/>
    <n v="1785"/>
    <n v="287.82"/>
    <n v="54.95"/>
    <n v="60.32"/>
    <n v="23.84"/>
    <n v="3.03"/>
    <n v="578121"/>
    <n v="0"/>
    <n v="578121"/>
    <n v="98086"/>
    <n v="107671"/>
    <n v="0"/>
    <n v="47886"/>
    <n v="6086"/>
    <n v="837850"/>
    <n v="89650"/>
    <n v="748200"/>
    <n v="432330"/>
    <n v="315870"/>
  </r>
  <r>
    <s v="11"/>
    <x v="5"/>
    <x v="193"/>
    <x v="193"/>
    <n v="48.99"/>
    <n v="462.6"/>
    <n v="511.59"/>
    <n v="0"/>
    <n v="54"/>
    <n v="0"/>
    <n v="517"/>
    <n v="287.82"/>
    <n v="54.95"/>
    <n v="60.32"/>
    <n v="23.84"/>
    <n v="3.03"/>
    <n v="147246"/>
    <n v="0"/>
    <n v="147246"/>
    <n v="28409"/>
    <n v="31185"/>
    <n v="0"/>
    <n v="12196"/>
    <n v="1550"/>
    <n v="220586"/>
    <n v="23232"/>
    <n v="197354"/>
    <n v="109714"/>
    <n v="87640"/>
  </r>
  <r>
    <s v="11"/>
    <x v="5"/>
    <x v="194"/>
    <x v="194"/>
    <n v="66.7"/>
    <n v="683.7"/>
    <n v="750.4"/>
    <n v="0"/>
    <n v="11"/>
    <n v="0"/>
    <n v="695"/>
    <n v="287.82"/>
    <n v="54.95"/>
    <n v="60.32"/>
    <n v="23.84"/>
    <n v="3.03"/>
    <n v="215980"/>
    <n v="2801"/>
    <n v="218781"/>
    <n v="38190"/>
    <n v="41922"/>
    <n v="0"/>
    <n v="17890"/>
    <n v="2274"/>
    <n v="319057"/>
    <n v="25816"/>
    <n v="293241"/>
    <n v="169191"/>
    <n v="124050"/>
  </r>
  <r>
    <s v="11"/>
    <x v="5"/>
    <x v="195"/>
    <x v="195"/>
    <n v="52.25"/>
    <n v="512.20000000000005"/>
    <n v="564.45000000000005"/>
    <n v="0"/>
    <n v="18"/>
    <n v="0"/>
    <n v="530"/>
    <n v="287.82"/>
    <n v="54.95"/>
    <n v="60.32"/>
    <n v="23.84"/>
    <n v="3.03"/>
    <n v="162460"/>
    <n v="0"/>
    <n v="162460"/>
    <n v="29124"/>
    <n v="31970"/>
    <n v="0"/>
    <n v="13456"/>
    <n v="1710"/>
    <n v="238720"/>
    <n v="22923"/>
    <n v="215797"/>
    <n v="123760"/>
    <n v="92037"/>
  </r>
  <r>
    <s v="11"/>
    <x v="5"/>
    <x v="196"/>
    <x v="196"/>
    <n v="42.39"/>
    <n v="332.1"/>
    <n v="374.49"/>
    <n v="0"/>
    <n v="0"/>
    <n v="0"/>
    <n v="332"/>
    <n v="287.82"/>
    <n v="54.95"/>
    <n v="60.32"/>
    <n v="23.84"/>
    <n v="3.03"/>
    <n v="107786"/>
    <n v="4273"/>
    <n v="112059"/>
    <n v="18243"/>
    <n v="20026"/>
    <n v="0"/>
    <n v="9259"/>
    <n v="1176"/>
    <n v="160763"/>
    <n v="20816"/>
    <n v="139947"/>
    <n v="76875"/>
    <n v="63072"/>
  </r>
  <r>
    <s v="11"/>
    <x v="5"/>
    <x v="197"/>
    <x v="197"/>
    <n v="169.81"/>
    <n v="1491"/>
    <n v="1660.81"/>
    <n v="0"/>
    <n v="9"/>
    <n v="0"/>
    <n v="1500"/>
    <n v="287.82"/>
    <n v="54.95"/>
    <n v="60.32"/>
    <n v="23.84"/>
    <n v="3.03"/>
    <n v="478014"/>
    <n v="17629"/>
    <n v="495643"/>
    <n v="82425"/>
    <n v="90480"/>
    <n v="0"/>
    <n v="40954"/>
    <n v="5202"/>
    <n v="714704"/>
    <n v="69114"/>
    <n v="645590"/>
    <n v="364011"/>
    <n v="281579"/>
  </r>
  <r>
    <s v="11"/>
    <x v="5"/>
    <x v="198"/>
    <x v="198"/>
    <n v="393.14"/>
    <n v="3075.7"/>
    <n v="3468.84"/>
    <n v="0"/>
    <n v="95"/>
    <n v="0.4"/>
    <n v="3170"/>
    <n v="287.82"/>
    <n v="54.95"/>
    <n v="60.32"/>
    <n v="23.84"/>
    <n v="3.03"/>
    <n v="998402"/>
    <n v="0"/>
    <n v="998402"/>
    <n v="174192"/>
    <n v="191214"/>
    <n v="0"/>
    <n v="82697"/>
    <n v="10511"/>
    <n v="1457016"/>
    <n v="154889"/>
    <n v="1302127"/>
    <n v="746559"/>
    <n v="555568"/>
  </r>
  <r>
    <s v="11"/>
    <x v="5"/>
    <x v="199"/>
    <x v="199"/>
    <n v="84.6"/>
    <n v="1683.9"/>
    <n v="1768.5"/>
    <n v="0"/>
    <n v="28"/>
    <n v="0"/>
    <n v="1712"/>
    <n v="287.82"/>
    <n v="54.95"/>
    <n v="60.32"/>
    <n v="23.84"/>
    <n v="3.03"/>
    <n v="509010"/>
    <n v="0"/>
    <n v="509010"/>
    <n v="94074"/>
    <n v="103268"/>
    <n v="0"/>
    <n v="42161"/>
    <n v="5359"/>
    <n v="753872"/>
    <n v="39904"/>
    <n v="713968"/>
    <n v="419677"/>
    <n v="294291"/>
  </r>
  <r>
    <s v="11"/>
    <x v="5"/>
    <x v="200"/>
    <x v="200"/>
    <n v="301.94"/>
    <n v="2831.2"/>
    <n v="3133.14"/>
    <n v="0"/>
    <n v="54"/>
    <n v="0"/>
    <n v="2885"/>
    <n v="287.82"/>
    <n v="54.95"/>
    <n v="60.32"/>
    <n v="23.84"/>
    <n v="3.03"/>
    <n v="901780"/>
    <n v="0"/>
    <n v="901780"/>
    <n v="158531"/>
    <n v="174023"/>
    <n v="0"/>
    <n v="74694"/>
    <n v="9493"/>
    <n v="1318521"/>
    <n v="95234"/>
    <n v="1223287"/>
    <n v="718975"/>
    <n v="504312"/>
  </r>
  <r>
    <s v="11"/>
    <x v="5"/>
    <x v="201"/>
    <x v="201"/>
    <n v="66.58"/>
    <n v="618"/>
    <n v="684.58"/>
    <n v="0"/>
    <n v="6"/>
    <n v="0"/>
    <n v="624"/>
    <n v="287.82"/>
    <n v="54.95"/>
    <n v="60.32"/>
    <n v="23.84"/>
    <n v="3.03"/>
    <n v="197036"/>
    <n v="1940"/>
    <n v="198976"/>
    <n v="34289"/>
    <n v="37640"/>
    <n v="0"/>
    <n v="16441"/>
    <n v="2088"/>
    <n v="289434"/>
    <n v="31557"/>
    <n v="257877"/>
    <n v="146479"/>
    <n v="111398"/>
  </r>
  <r>
    <s v="11"/>
    <x v="5"/>
    <x v="202"/>
    <x v="202"/>
    <n v="104.18"/>
    <n v="1043.8"/>
    <n v="1147.98"/>
    <n v="0"/>
    <n v="18"/>
    <n v="0"/>
    <n v="1062"/>
    <n v="287.82"/>
    <n v="54.95"/>
    <n v="60.32"/>
    <n v="23.84"/>
    <n v="3.03"/>
    <n v="330412"/>
    <n v="0"/>
    <n v="330412"/>
    <n v="58357"/>
    <n v="64060"/>
    <n v="0"/>
    <n v="27368"/>
    <n v="3478"/>
    <n v="483675"/>
    <n v="44572"/>
    <n v="439103"/>
    <n v="253753"/>
    <n v="185350"/>
  </r>
  <r>
    <s v="11"/>
    <x v="5"/>
    <x v="203"/>
    <x v="203"/>
    <n v="79.290000000000006"/>
    <n v="705.9"/>
    <n v="785.19"/>
    <n v="0"/>
    <n v="2"/>
    <n v="0"/>
    <n v="708"/>
    <n v="287.82"/>
    <n v="54.95"/>
    <n v="60.32"/>
    <n v="23.84"/>
    <n v="3.03"/>
    <n v="225993"/>
    <n v="1586"/>
    <n v="227579"/>
    <n v="38905"/>
    <n v="42707"/>
    <n v="0"/>
    <n v="18804"/>
    <n v="2389"/>
    <n v="330384"/>
    <n v="32669"/>
    <n v="297715"/>
    <n v="171473"/>
    <n v="126242"/>
  </r>
  <r>
    <s v="11"/>
    <x v="5"/>
    <x v="204"/>
    <x v="204"/>
    <n v="212.58"/>
    <n v="2141.1999999999998"/>
    <n v="2353.7800000000002"/>
    <n v="0"/>
    <n v="604"/>
    <n v="2.8"/>
    <n v="2742"/>
    <n v="287.82"/>
    <n v="54.95"/>
    <n v="60.32"/>
    <n v="23.84"/>
    <n v="3.03"/>
    <n v="677465"/>
    <n v="0"/>
    <n v="677465"/>
    <n v="150673"/>
    <n v="165397"/>
    <n v="0"/>
    <n v="56114"/>
    <n v="7132"/>
    <n v="1056781"/>
    <n v="94924"/>
    <n v="961857"/>
    <n v="516753"/>
    <n v="445104"/>
  </r>
  <r>
    <s v="11"/>
    <x v="5"/>
    <x v="205"/>
    <x v="205"/>
    <n v="206.44"/>
    <n v="1769.8"/>
    <n v="1976.24"/>
    <n v="0"/>
    <n v="122"/>
    <n v="6.8"/>
    <n v="1885"/>
    <n v="287.82"/>
    <n v="54.95"/>
    <n v="60.32"/>
    <n v="23.84"/>
    <n v="3.03"/>
    <n v="568801"/>
    <n v="16588"/>
    <n v="585389"/>
    <n v="103581"/>
    <n v="113703"/>
    <n v="0"/>
    <n v="48370"/>
    <n v="6144"/>
    <n v="857187"/>
    <n v="80425"/>
    <n v="776762"/>
    <n v="434553"/>
    <n v="342209"/>
  </r>
  <r>
    <s v="11"/>
    <x v="5"/>
    <x v="206"/>
    <x v="206"/>
    <n v="79.36"/>
    <n v="697.8"/>
    <n v="777.16"/>
    <n v="0"/>
    <n v="0"/>
    <n v="0"/>
    <n v="698"/>
    <n v="287.82"/>
    <n v="54.95"/>
    <n v="60.32"/>
    <n v="23.84"/>
    <n v="3.03"/>
    <n v="223682"/>
    <n v="0"/>
    <n v="223682"/>
    <n v="38355"/>
    <n v="42103"/>
    <n v="0"/>
    <n v="18527"/>
    <n v="2355"/>
    <n v="325022"/>
    <n v="30464"/>
    <n v="294558"/>
    <n v="171496"/>
    <n v="123062"/>
  </r>
  <r>
    <s v="11"/>
    <x v="5"/>
    <x v="207"/>
    <x v="207"/>
    <n v="84.13"/>
    <n v="1011.3"/>
    <n v="1095.43"/>
    <n v="0"/>
    <n v="4"/>
    <n v="0"/>
    <n v="1015"/>
    <n v="287.82"/>
    <n v="54.95"/>
    <n v="60.32"/>
    <n v="23.84"/>
    <n v="3.03"/>
    <n v="315287"/>
    <n v="0"/>
    <n v="315287"/>
    <n v="55774"/>
    <n v="61225"/>
    <n v="0"/>
    <n v="26115"/>
    <n v="3319"/>
    <n v="461720"/>
    <n v="47283"/>
    <n v="414437"/>
    <n v="237386"/>
    <n v="177051"/>
  </r>
  <r>
    <s v="11"/>
    <x v="5"/>
    <x v="208"/>
    <x v="208"/>
    <n v="150.66999999999999"/>
    <n v="1119.4000000000001"/>
    <n v="1270.07"/>
    <n v="0"/>
    <n v="47"/>
    <n v="0.1"/>
    <n v="1166"/>
    <n v="287.82"/>
    <n v="54.95"/>
    <n v="60.32"/>
    <n v="23.84"/>
    <n v="3.03"/>
    <n v="365552"/>
    <n v="0"/>
    <n v="365552"/>
    <n v="64072"/>
    <n v="70333"/>
    <n v="0"/>
    <n v="30278"/>
    <n v="3848"/>
    <n v="534083"/>
    <n v="66136"/>
    <n v="467947"/>
    <n v="263916"/>
    <n v="204031"/>
  </r>
  <r>
    <s v="11"/>
    <x v="5"/>
    <x v="209"/>
    <x v="209"/>
    <n v="705.31"/>
    <n v="6843.1"/>
    <n v="7548.41"/>
    <n v="0"/>
    <n v="247"/>
    <n v="0"/>
    <n v="7090"/>
    <n v="287.82"/>
    <n v="54.95"/>
    <n v="60.32"/>
    <n v="23.84"/>
    <n v="3.03"/>
    <n v="2172583"/>
    <n v="0"/>
    <n v="2172583"/>
    <n v="389596"/>
    <n v="427669"/>
    <n v="0"/>
    <n v="179954"/>
    <n v="22872"/>
    <n v="3192674"/>
    <n v="198481"/>
    <n v="2994193"/>
    <n v="1763125"/>
    <n v="1231068"/>
  </r>
  <r>
    <s v="11"/>
    <x v="5"/>
    <x v="210"/>
    <x v="210"/>
    <n v="68.47"/>
    <n v="552.70000000000005"/>
    <n v="621.16999999999996"/>
    <n v="0"/>
    <n v="0"/>
    <n v="0"/>
    <n v="553"/>
    <n v="287.82"/>
    <n v="54.95"/>
    <n v="60.32"/>
    <n v="23.84"/>
    <n v="3.03"/>
    <n v="178785"/>
    <n v="9619"/>
    <n v="188404"/>
    <n v="30387"/>
    <n v="33357"/>
    <n v="0"/>
    <n v="15474"/>
    <n v="1966"/>
    <n v="269588"/>
    <n v="26643"/>
    <n v="242945"/>
    <n v="135530"/>
    <n v="107415"/>
  </r>
  <r>
    <s v="11"/>
    <x v="5"/>
    <x v="211"/>
    <x v="211"/>
    <n v="48.75"/>
    <n v="339.5"/>
    <n v="388.25"/>
    <n v="0"/>
    <n v="10"/>
    <n v="0"/>
    <n v="350"/>
    <n v="287.82"/>
    <n v="54.95"/>
    <n v="60.32"/>
    <n v="23.84"/>
    <n v="3.03"/>
    <n v="111746"/>
    <n v="6553"/>
    <n v="118299"/>
    <n v="19233"/>
    <n v="21112"/>
    <n v="0"/>
    <n v="9256"/>
    <n v="1176"/>
    <n v="169076"/>
    <n v="20920"/>
    <n v="148156"/>
    <n v="79974"/>
    <n v="68182"/>
  </r>
  <r>
    <s v="11"/>
    <x v="5"/>
    <x v="212"/>
    <x v="212"/>
    <n v="45.7"/>
    <n v="373.1"/>
    <n v="418.8"/>
    <n v="0"/>
    <n v="18"/>
    <n v="0"/>
    <n v="391"/>
    <n v="287.82"/>
    <n v="54.95"/>
    <n v="60.32"/>
    <n v="23.84"/>
    <n v="3.03"/>
    <n v="120539"/>
    <n v="0"/>
    <n v="120539"/>
    <n v="21485"/>
    <n v="23585"/>
    <n v="0"/>
    <n v="9984"/>
    <n v="1269"/>
    <n v="176862"/>
    <n v="19730"/>
    <n v="157132"/>
    <n v="89103"/>
    <n v="68029"/>
  </r>
  <r>
    <s v="11"/>
    <x v="5"/>
    <x v="213"/>
    <x v="213"/>
    <n v="321.82"/>
    <n v="3406.3"/>
    <n v="3728.12"/>
    <n v="0"/>
    <n v="480"/>
    <n v="2.1"/>
    <n v="3884"/>
    <n v="287.82"/>
    <n v="54.95"/>
    <n v="60.32"/>
    <n v="23.84"/>
    <n v="3.03"/>
    <n v="1073027"/>
    <n v="0"/>
    <n v="1073027"/>
    <n v="213426"/>
    <n v="234283"/>
    <n v="0"/>
    <n v="88878"/>
    <n v="11296"/>
    <n v="1620910"/>
    <n v="138380"/>
    <n v="1482530"/>
    <n v="830446"/>
    <n v="652084"/>
  </r>
  <r>
    <s v="11"/>
    <x v="5"/>
    <x v="214"/>
    <x v="214"/>
    <n v="49.76"/>
    <n v="692.3"/>
    <n v="742.06"/>
    <n v="0"/>
    <n v="24"/>
    <n v="0"/>
    <n v="716"/>
    <n v="287.82"/>
    <n v="54.95"/>
    <n v="60.32"/>
    <n v="23.84"/>
    <n v="3.03"/>
    <n v="213580"/>
    <n v="0"/>
    <n v="213580"/>
    <n v="39344"/>
    <n v="43189"/>
    <n v="0"/>
    <n v="17691"/>
    <n v="2248"/>
    <n v="316052"/>
    <n v="22227"/>
    <n v="293825"/>
    <n v="170612"/>
    <n v="123213"/>
  </r>
  <r>
    <s v="11"/>
    <x v="5"/>
    <x v="215"/>
    <x v="215"/>
    <n v="807.35"/>
    <n v="10599.7"/>
    <n v="11407.05"/>
    <n v="0"/>
    <n v="1074"/>
    <n v="0.1"/>
    <n v="11674"/>
    <n v="287.82"/>
    <n v="54.95"/>
    <n v="60.32"/>
    <n v="23.84"/>
    <n v="3.03"/>
    <n v="3283177"/>
    <n v="0"/>
    <n v="3283177"/>
    <n v="641486"/>
    <n v="704176"/>
    <n v="0"/>
    <n v="271944"/>
    <n v="34563"/>
    <n v="4935346"/>
    <n v="115205"/>
    <n v="4820141"/>
    <n v="2849145"/>
    <n v="1970996"/>
  </r>
  <r>
    <s v="11"/>
    <x v="5"/>
    <x v="216"/>
    <x v="216"/>
    <n v="144.53"/>
    <n v="912.4"/>
    <n v="1056.93"/>
    <n v="0"/>
    <n v="0"/>
    <n v="0"/>
    <n v="912"/>
    <n v="287.82"/>
    <n v="54.95"/>
    <n v="60.32"/>
    <n v="23.84"/>
    <n v="3.03"/>
    <n v="304206"/>
    <n v="0"/>
    <n v="304206"/>
    <n v="50114"/>
    <n v="55012"/>
    <n v="0"/>
    <n v="25197"/>
    <n v="3202"/>
    <n v="437731"/>
    <n v="43965"/>
    <n v="393766"/>
    <n v="230699"/>
    <n v="163067"/>
  </r>
  <r>
    <s v="11"/>
    <x v="5"/>
    <x v="217"/>
    <x v="217"/>
    <n v="1054.8599999999999"/>
    <n v="8918"/>
    <n v="9972.86"/>
    <n v="0"/>
    <n v="1380"/>
    <n v="0.9"/>
    <n v="10297"/>
    <n v="287.82"/>
    <n v="54.95"/>
    <n v="60.32"/>
    <n v="23.84"/>
    <n v="3.03"/>
    <n v="2870389"/>
    <n v="0"/>
    <n v="2870389"/>
    <n v="565820"/>
    <n v="621115"/>
    <n v="0"/>
    <n v="237753"/>
    <n v="30218"/>
    <n v="4325295"/>
    <n v="390197"/>
    <n v="3935098"/>
    <n v="2201450"/>
    <n v="1733648"/>
  </r>
  <r>
    <s v="11"/>
    <x v="5"/>
    <x v="218"/>
    <x v="218"/>
    <n v="193.89"/>
    <n v="1710.4"/>
    <n v="1904.29"/>
    <n v="0"/>
    <n v="19"/>
    <n v="0"/>
    <n v="1729"/>
    <n v="287.82"/>
    <n v="54.95"/>
    <n v="60.32"/>
    <n v="23.84"/>
    <n v="3.03"/>
    <n v="548093"/>
    <n v="0"/>
    <n v="548093"/>
    <n v="95009"/>
    <n v="104293"/>
    <n v="0"/>
    <n v="45398"/>
    <n v="5770"/>
    <n v="798563"/>
    <n v="70332"/>
    <n v="728231"/>
    <n v="424536"/>
    <n v="303695"/>
  </r>
  <r>
    <s v="11"/>
    <x v="5"/>
    <x v="219"/>
    <x v="219"/>
    <n v="87.97"/>
    <n v="960.2"/>
    <n v="1048.17"/>
    <n v="0"/>
    <n v="38"/>
    <n v="0"/>
    <n v="998"/>
    <n v="287.82"/>
    <n v="54.95"/>
    <n v="60.32"/>
    <n v="23.84"/>
    <n v="3.03"/>
    <n v="301684"/>
    <n v="0"/>
    <n v="301684"/>
    <n v="54840"/>
    <n v="60199"/>
    <n v="0"/>
    <n v="24988"/>
    <n v="3176"/>
    <n v="444887"/>
    <n v="30067"/>
    <n v="414820"/>
    <n v="242321"/>
    <n v="172499"/>
  </r>
  <r>
    <s v="12"/>
    <x v="6"/>
    <x v="220"/>
    <x v="220"/>
    <n v="76.23"/>
    <n v="544.70000000000005"/>
    <n v="620.92999999999995"/>
    <n v="0"/>
    <n v="13"/>
    <n v="0"/>
    <n v="558"/>
    <n v="302.45999999999998"/>
    <n v="55.36"/>
    <n v="62.1"/>
    <n v="30.4"/>
    <n v="3.64"/>
    <n v="187806"/>
    <n v="0"/>
    <n v="187806"/>
    <n v="30891"/>
    <n v="34652"/>
    <n v="0"/>
    <n v="18876"/>
    <n v="2260"/>
    <n v="274485"/>
    <n v="26925"/>
    <n v="247560"/>
    <n v="138888"/>
    <n v="108672"/>
  </r>
  <r>
    <s v="12"/>
    <x v="6"/>
    <x v="221"/>
    <x v="221"/>
    <n v="42.1"/>
    <n v="267"/>
    <n v="309.10000000000002"/>
    <n v="0"/>
    <n v="78"/>
    <n v="0"/>
    <n v="345"/>
    <n v="302.45999999999998"/>
    <n v="55.36"/>
    <n v="62.1"/>
    <n v="30.4"/>
    <n v="3.64"/>
    <n v="93490"/>
    <n v="11837"/>
    <n v="105327"/>
    <n v="19099"/>
    <n v="21425"/>
    <n v="0"/>
    <n v="10118"/>
    <n v="1210"/>
    <n v="157179"/>
    <n v="20681"/>
    <n v="136498"/>
    <n v="62667"/>
    <n v="73831"/>
  </r>
  <r>
    <s v="12"/>
    <x v="6"/>
    <x v="222"/>
    <x v="222"/>
    <n v="67.11"/>
    <n v="596.20000000000005"/>
    <n v="663.31"/>
    <n v="0"/>
    <n v="374"/>
    <n v="5.7"/>
    <n v="965"/>
    <n v="302.45999999999998"/>
    <n v="55.36"/>
    <n v="62.1"/>
    <n v="30.4"/>
    <n v="3.64"/>
    <n v="200625"/>
    <n v="1977"/>
    <n v="202602"/>
    <n v="53422"/>
    <n v="59927"/>
    <n v="0"/>
    <n v="20360"/>
    <n v="2435"/>
    <n v="338746"/>
    <n v="31059"/>
    <n v="307687"/>
    <n v="146287"/>
    <n v="161400"/>
  </r>
  <r>
    <s v="12"/>
    <x v="6"/>
    <x v="223"/>
    <x v="223"/>
    <n v="74.790000000000006"/>
    <n v="761.2"/>
    <n v="835.99"/>
    <n v="0"/>
    <n v="115"/>
    <n v="0"/>
    <n v="876"/>
    <n v="302.45999999999998"/>
    <n v="55.36"/>
    <n v="62.1"/>
    <n v="30.4"/>
    <n v="3.64"/>
    <n v="252854"/>
    <n v="0"/>
    <n v="252854"/>
    <n v="48495"/>
    <n v="54400"/>
    <n v="0"/>
    <n v="25414"/>
    <n v="3043"/>
    <n v="384206"/>
    <n v="34843"/>
    <n v="349363"/>
    <n v="188400"/>
    <n v="160963"/>
  </r>
  <r>
    <s v="12"/>
    <x v="6"/>
    <x v="224"/>
    <x v="224"/>
    <n v="42.88"/>
    <n v="259.10000000000002"/>
    <n v="301.98"/>
    <n v="0"/>
    <n v="0"/>
    <n v="0"/>
    <n v="259"/>
    <n v="302.45999999999998"/>
    <n v="55.36"/>
    <n v="62.1"/>
    <n v="30.4"/>
    <n v="3.64"/>
    <n v="91337"/>
    <n v="8344"/>
    <n v="99681"/>
    <n v="14338"/>
    <n v="16084"/>
    <n v="0"/>
    <n v="9347"/>
    <n v="1118"/>
    <n v="140568"/>
    <n v="17747"/>
    <n v="122821"/>
    <n v="63079"/>
    <n v="59742"/>
  </r>
  <r>
    <s v="12"/>
    <x v="6"/>
    <x v="225"/>
    <x v="225"/>
    <n v="110.41"/>
    <n v="973.5"/>
    <n v="1083.9100000000001"/>
    <n v="0"/>
    <n v="2"/>
    <n v="0"/>
    <n v="976"/>
    <n v="302.45999999999998"/>
    <n v="55.36"/>
    <n v="62.1"/>
    <n v="30.4"/>
    <n v="3.64"/>
    <n v="327839"/>
    <n v="0"/>
    <n v="327839"/>
    <n v="54031"/>
    <n v="60610"/>
    <n v="0"/>
    <n v="32951"/>
    <n v="3945"/>
    <n v="479376"/>
    <n v="53299"/>
    <n v="426077"/>
    <n v="236148"/>
    <n v="189929"/>
  </r>
  <r>
    <s v="12"/>
    <x v="6"/>
    <x v="226"/>
    <x v="226"/>
    <n v="271.13"/>
    <n v="2101"/>
    <n v="2372.13"/>
    <n v="0"/>
    <n v="174"/>
    <n v="0.5"/>
    <n v="2275"/>
    <n v="302.45999999999998"/>
    <n v="55.36"/>
    <n v="62.1"/>
    <n v="30.4"/>
    <n v="3.64"/>
    <n v="717474"/>
    <n v="0"/>
    <n v="717474"/>
    <n v="125944"/>
    <n v="141278"/>
    <n v="0"/>
    <n v="72113"/>
    <n v="8635"/>
    <n v="1065444"/>
    <n v="77738"/>
    <n v="987706"/>
    <n v="555716"/>
    <n v="431990"/>
  </r>
  <r>
    <s v="12"/>
    <x v="6"/>
    <x v="227"/>
    <x v="227"/>
    <n v="37.520000000000003"/>
    <n v="444"/>
    <n v="481.52"/>
    <n v="0"/>
    <n v="2"/>
    <n v="0"/>
    <n v="446"/>
    <n v="302.45999999999998"/>
    <n v="55.36"/>
    <n v="62.1"/>
    <n v="30.4"/>
    <n v="3.64"/>
    <n v="145641"/>
    <n v="0"/>
    <n v="145641"/>
    <n v="24691"/>
    <n v="27697"/>
    <n v="0"/>
    <n v="14638"/>
    <n v="1753"/>
    <n v="214420"/>
    <n v="25821"/>
    <n v="188599"/>
    <n v="102764"/>
    <n v="85835"/>
  </r>
  <r>
    <s v="12"/>
    <x v="6"/>
    <x v="228"/>
    <x v="228"/>
    <n v="37.99"/>
    <n v="426.2"/>
    <n v="464.19"/>
    <n v="0"/>
    <n v="4"/>
    <n v="0"/>
    <n v="430"/>
    <n v="302.45999999999998"/>
    <n v="55.36"/>
    <n v="62.1"/>
    <n v="30.4"/>
    <n v="3.64"/>
    <n v="140399"/>
    <n v="11065"/>
    <n v="151464"/>
    <n v="23805"/>
    <n v="26703"/>
    <n v="0"/>
    <n v="15169"/>
    <n v="1814"/>
    <n v="218955"/>
    <n v="24051"/>
    <n v="194904"/>
    <n v="101088"/>
    <n v="93816"/>
  </r>
  <r>
    <s v="12"/>
    <x v="6"/>
    <x v="229"/>
    <x v="229"/>
    <n v="118.76"/>
    <n v="627.9"/>
    <n v="746.66"/>
    <n v="0"/>
    <n v="113"/>
    <n v="0"/>
    <n v="741"/>
    <n v="302.45999999999998"/>
    <n v="55.36"/>
    <n v="62.1"/>
    <n v="30.4"/>
    <n v="3.64"/>
    <n v="225835"/>
    <n v="0"/>
    <n v="225835"/>
    <n v="41022"/>
    <n v="46016"/>
    <n v="0"/>
    <n v="22698"/>
    <n v="2718"/>
    <n v="338289"/>
    <n v="41896"/>
    <n v="296393"/>
    <n v="157492"/>
    <n v="138901"/>
  </r>
  <r>
    <s v="12"/>
    <x v="6"/>
    <x v="230"/>
    <x v="230"/>
    <n v="46.23"/>
    <n v="526.1"/>
    <n v="572.33000000000004"/>
    <n v="0"/>
    <n v="20"/>
    <n v="0"/>
    <n v="546"/>
    <n v="302.45999999999998"/>
    <n v="55.36"/>
    <n v="62.1"/>
    <n v="30.4"/>
    <n v="3.64"/>
    <n v="173107"/>
    <n v="2184"/>
    <n v="175291"/>
    <n v="30227"/>
    <n v="33907"/>
    <n v="0"/>
    <n v="17615"/>
    <n v="2107"/>
    <n v="259147"/>
    <n v="25986"/>
    <n v="233161"/>
    <n v="127089"/>
    <n v="106072"/>
  </r>
  <r>
    <s v="12"/>
    <x v="6"/>
    <x v="231"/>
    <x v="231"/>
    <n v="60.79"/>
    <n v="456.4"/>
    <n v="517.19000000000005"/>
    <n v="0"/>
    <n v="9"/>
    <n v="0"/>
    <n v="465"/>
    <n v="302.45999999999998"/>
    <n v="55.36"/>
    <n v="62.1"/>
    <n v="30.4"/>
    <n v="3.64"/>
    <n v="156429"/>
    <n v="6796"/>
    <n v="163225"/>
    <n v="25742"/>
    <n v="28877"/>
    <n v="0"/>
    <n v="15974"/>
    <n v="1911"/>
    <n v="235729"/>
    <n v="21764"/>
    <n v="213965"/>
    <n v="116626"/>
    <n v="97339"/>
  </r>
  <r>
    <s v="12"/>
    <x v="6"/>
    <x v="232"/>
    <x v="232"/>
    <n v="55.47"/>
    <n v="575.20000000000005"/>
    <n v="630.66999999999996"/>
    <n v="0"/>
    <n v="24"/>
    <n v="0"/>
    <n v="599"/>
    <n v="302.45999999999998"/>
    <n v="55.36"/>
    <n v="62.1"/>
    <n v="30.4"/>
    <n v="3.64"/>
    <n v="190752"/>
    <n v="4298"/>
    <n v="195050"/>
    <n v="33161"/>
    <n v="37198"/>
    <n v="0"/>
    <n v="19345"/>
    <n v="2314"/>
    <n v="287068"/>
    <n v="28228"/>
    <n v="258840"/>
    <n v="140377"/>
    <n v="118463"/>
  </r>
  <r>
    <s v="12"/>
    <x v="6"/>
    <x v="233"/>
    <x v="233"/>
    <n v="301.98"/>
    <n v="2184.3000000000002"/>
    <n v="2486.2800000000002"/>
    <n v="0"/>
    <n v="446"/>
    <n v="1.6"/>
    <n v="2629"/>
    <n v="302.45999999999998"/>
    <n v="55.36"/>
    <n v="62.1"/>
    <n v="30.4"/>
    <n v="3.64"/>
    <n v="752000"/>
    <n v="0"/>
    <n v="752000"/>
    <n v="145541"/>
    <n v="163261"/>
    <n v="0"/>
    <n v="75583"/>
    <n v="9050"/>
    <n v="1145435"/>
    <n v="105133"/>
    <n v="1040302"/>
    <n v="558803"/>
    <n v="481499"/>
  </r>
  <r>
    <s v="12"/>
    <x v="6"/>
    <x v="234"/>
    <x v="234"/>
    <n v="85.99"/>
    <n v="654.6"/>
    <n v="740.59"/>
    <n v="0"/>
    <n v="27"/>
    <n v="0"/>
    <n v="682"/>
    <n v="302.45999999999998"/>
    <n v="55.36"/>
    <n v="62.1"/>
    <n v="30.4"/>
    <n v="3.64"/>
    <n v="223999"/>
    <n v="11378"/>
    <n v="235377"/>
    <n v="37756"/>
    <n v="42352"/>
    <n v="0"/>
    <n v="23413"/>
    <n v="2800"/>
    <n v="341698"/>
    <n v="42589"/>
    <n v="299109"/>
    <n v="156181"/>
    <n v="142928"/>
  </r>
  <r>
    <s v="12"/>
    <x v="6"/>
    <x v="235"/>
    <x v="235"/>
    <n v="51.47"/>
    <n v="424.5"/>
    <n v="475.97"/>
    <n v="0"/>
    <n v="7"/>
    <n v="0"/>
    <n v="432"/>
    <n v="302.45999999999998"/>
    <n v="55.36"/>
    <n v="62.1"/>
    <n v="30.4"/>
    <n v="3.64"/>
    <n v="143962"/>
    <n v="4587"/>
    <n v="148549"/>
    <n v="23916"/>
    <n v="26827"/>
    <n v="0"/>
    <n v="14582"/>
    <n v="1744"/>
    <n v="215618"/>
    <n v="28045"/>
    <n v="187573"/>
    <n v="99182"/>
    <n v="88391"/>
  </r>
  <r>
    <s v="12"/>
    <x v="6"/>
    <x v="236"/>
    <x v="236"/>
    <n v="150.66999999999999"/>
    <n v="1436.5"/>
    <n v="1587.17"/>
    <n v="0"/>
    <n v="507"/>
    <n v="8.8000000000000007"/>
    <n v="1935"/>
    <n v="302.45999999999998"/>
    <n v="55.36"/>
    <n v="62.1"/>
    <n v="30.4"/>
    <n v="3.64"/>
    <n v="480055"/>
    <n v="0"/>
    <n v="480055"/>
    <n v="107122"/>
    <n v="120164"/>
    <n v="0"/>
    <n v="48250"/>
    <n v="5777"/>
    <n v="761368"/>
    <n v="71335"/>
    <n v="690033"/>
    <n v="352503"/>
    <n v="337530"/>
  </r>
  <r>
    <s v="12"/>
    <x v="6"/>
    <x v="237"/>
    <x v="237"/>
    <n v="106.56"/>
    <n v="978.5"/>
    <n v="1085.06"/>
    <n v="0"/>
    <n v="24"/>
    <n v="0"/>
    <n v="1003"/>
    <n v="302.45999999999998"/>
    <n v="55.36"/>
    <n v="62.1"/>
    <n v="30.4"/>
    <n v="3.64"/>
    <n v="328187"/>
    <n v="0"/>
    <n v="328187"/>
    <n v="55526"/>
    <n v="62286"/>
    <n v="0"/>
    <n v="32986"/>
    <n v="3950"/>
    <n v="482935"/>
    <n v="58024"/>
    <n v="424911"/>
    <n v="231731"/>
    <n v="193180"/>
  </r>
  <r>
    <s v="12"/>
    <x v="6"/>
    <x v="238"/>
    <x v="238"/>
    <n v="49.12"/>
    <n v="344.4"/>
    <n v="393.52"/>
    <n v="0"/>
    <n v="193"/>
    <n v="4.3"/>
    <n v="533"/>
    <n v="302.45999999999998"/>
    <n v="55.36"/>
    <n v="62.1"/>
    <n v="30.4"/>
    <n v="3.64"/>
    <n v="119024"/>
    <n v="12974"/>
    <n v="131998"/>
    <n v="29507"/>
    <n v="33099"/>
    <n v="0"/>
    <n v="12784"/>
    <n v="1529"/>
    <n v="208917"/>
    <n v="24390"/>
    <n v="184527"/>
    <n v="81613"/>
    <n v="102914"/>
  </r>
  <r>
    <s v="12"/>
    <x v="6"/>
    <x v="239"/>
    <x v="239"/>
    <n v="52.74"/>
    <n v="422.6"/>
    <n v="475.34"/>
    <n v="0"/>
    <n v="0"/>
    <n v="0"/>
    <n v="423"/>
    <n v="302.45999999999998"/>
    <n v="55.36"/>
    <n v="62.1"/>
    <n v="30.4"/>
    <n v="3.64"/>
    <n v="143771"/>
    <n v="1624"/>
    <n v="145395"/>
    <n v="23417"/>
    <n v="26268"/>
    <n v="0"/>
    <n v="14611"/>
    <n v="1747"/>
    <n v="211438"/>
    <n v="24876"/>
    <n v="186562"/>
    <n v="102236"/>
    <n v="84326"/>
  </r>
  <r>
    <s v="12"/>
    <x v="6"/>
    <x v="240"/>
    <x v="240"/>
    <n v="96.22"/>
    <n v="805.2"/>
    <n v="901.42"/>
    <n v="0"/>
    <n v="472"/>
    <n v="1.1000000000000001"/>
    <n v="1276"/>
    <n v="302.45999999999998"/>
    <n v="55.36"/>
    <n v="62.1"/>
    <n v="30.4"/>
    <n v="3.64"/>
    <n v="272643"/>
    <n v="0"/>
    <n v="272643"/>
    <n v="70639"/>
    <n v="79240"/>
    <n v="0"/>
    <n v="27403"/>
    <n v="3281"/>
    <n v="453206"/>
    <n v="28717"/>
    <n v="424489"/>
    <n v="211998"/>
    <n v="212491"/>
  </r>
  <r>
    <s v="12"/>
    <x v="6"/>
    <x v="241"/>
    <x v="241"/>
    <n v="45.18"/>
    <n v="266"/>
    <n v="311.18"/>
    <n v="0"/>
    <n v="4"/>
    <n v="0"/>
    <n v="270"/>
    <n v="302.45999999999998"/>
    <n v="55.36"/>
    <n v="62.1"/>
    <n v="30.4"/>
    <n v="3.64"/>
    <n v="94120"/>
    <n v="10839"/>
    <n v="104959"/>
    <n v="14947"/>
    <n v="16767"/>
    <n v="0"/>
    <n v="9642"/>
    <n v="1153"/>
    <n v="147468"/>
    <n v="13977"/>
    <n v="133491"/>
    <n v="69323"/>
    <n v="64168"/>
  </r>
  <r>
    <s v="12"/>
    <x v="6"/>
    <x v="242"/>
    <x v="242"/>
    <n v="210.91"/>
    <n v="1435.3"/>
    <n v="1646.21"/>
    <n v="0"/>
    <n v="43"/>
    <n v="0"/>
    <n v="1478"/>
    <n v="302.45999999999998"/>
    <n v="55.36"/>
    <n v="62.1"/>
    <n v="30.4"/>
    <n v="3.64"/>
    <n v="497913"/>
    <n v="0"/>
    <n v="497913"/>
    <n v="81822"/>
    <n v="91784"/>
    <n v="0"/>
    <n v="50045"/>
    <n v="5992"/>
    <n v="727556"/>
    <n v="56471"/>
    <n v="671085"/>
    <n v="383133"/>
    <n v="287952"/>
  </r>
  <r>
    <s v="12"/>
    <x v="6"/>
    <x v="243"/>
    <x v="243"/>
    <n v="160.80000000000001"/>
    <n v="1071.5"/>
    <n v="1232.3"/>
    <n v="0"/>
    <n v="230"/>
    <n v="4.9000000000000004"/>
    <n v="1297"/>
    <n v="302.45999999999998"/>
    <n v="55.36"/>
    <n v="62.1"/>
    <n v="30.4"/>
    <n v="3.64"/>
    <n v="372721"/>
    <n v="0"/>
    <n v="372721"/>
    <n v="71802"/>
    <n v="80544"/>
    <n v="0"/>
    <n v="37462"/>
    <n v="4486"/>
    <n v="567015"/>
    <n v="53257"/>
    <n v="513758"/>
    <n v="275817"/>
    <n v="237941"/>
  </r>
  <r>
    <s v="12"/>
    <x v="6"/>
    <x v="244"/>
    <x v="244"/>
    <n v="72.3"/>
    <n v="772.6"/>
    <n v="844.9"/>
    <n v="0"/>
    <n v="11"/>
    <n v="0"/>
    <n v="784"/>
    <n v="302.45999999999998"/>
    <n v="55.36"/>
    <n v="62.1"/>
    <n v="30.4"/>
    <n v="3.64"/>
    <n v="255548"/>
    <n v="0"/>
    <n v="255548"/>
    <n v="43402"/>
    <n v="48686"/>
    <n v="0"/>
    <n v="25685"/>
    <n v="3075"/>
    <n v="376396"/>
    <n v="43971"/>
    <n v="332425"/>
    <n v="181651"/>
    <n v="150774"/>
  </r>
  <r>
    <s v="12"/>
    <x v="6"/>
    <x v="245"/>
    <x v="245"/>
    <n v="171.72"/>
    <n v="1302.5999999999999"/>
    <n v="1474.32"/>
    <n v="0"/>
    <n v="698"/>
    <n v="0"/>
    <n v="2001"/>
    <n v="302.45999999999998"/>
    <n v="55.36"/>
    <n v="62.1"/>
    <n v="30.4"/>
    <n v="3.64"/>
    <n v="445923"/>
    <n v="0"/>
    <n v="445923"/>
    <n v="110775"/>
    <n v="124262"/>
    <n v="0"/>
    <n v="44819"/>
    <n v="5367"/>
    <n v="731146"/>
    <n v="48328"/>
    <n v="682818"/>
    <n v="345375"/>
    <n v="337443"/>
  </r>
  <r>
    <s v="12"/>
    <x v="6"/>
    <x v="246"/>
    <x v="246"/>
    <n v="2364.29"/>
    <n v="14522.9"/>
    <n v="16887.189999999999"/>
    <n v="0"/>
    <n v="1393"/>
    <n v="13.4"/>
    <n v="15903"/>
    <n v="302.45999999999998"/>
    <n v="55.36"/>
    <n v="62.1"/>
    <n v="30.4"/>
    <n v="3.64"/>
    <n v="5107699"/>
    <n v="0"/>
    <n v="5107699"/>
    <n v="880390"/>
    <n v="987576"/>
    <n v="0"/>
    <n v="513371"/>
    <n v="61469"/>
    <n v="7550505"/>
    <n v="680000"/>
    <n v="6870505"/>
    <n v="3829555"/>
    <n v="3040950"/>
  </r>
  <r>
    <s v="12"/>
    <x v="6"/>
    <x v="247"/>
    <x v="247"/>
    <n v="104.9"/>
    <n v="590"/>
    <n v="694.9"/>
    <n v="0"/>
    <n v="73"/>
    <n v="3.5"/>
    <n v="660"/>
    <n v="302.45999999999998"/>
    <n v="55.36"/>
    <n v="62.1"/>
    <n v="30.4"/>
    <n v="3.64"/>
    <n v="210179"/>
    <n v="12831"/>
    <n v="223010"/>
    <n v="36538"/>
    <n v="40986"/>
    <n v="0"/>
    <n v="21885"/>
    <n v="2617"/>
    <n v="325036"/>
    <n v="39658"/>
    <n v="285378"/>
    <n v="146756"/>
    <n v="138622"/>
  </r>
  <r>
    <s v="12"/>
    <x v="6"/>
    <x v="248"/>
    <x v="248"/>
    <n v="82.7"/>
    <n v="923"/>
    <n v="1005.7"/>
    <n v="0"/>
    <n v="120"/>
    <n v="0"/>
    <n v="1043"/>
    <n v="302.45999999999998"/>
    <n v="55.36"/>
    <n v="62.1"/>
    <n v="30.4"/>
    <n v="3.64"/>
    <n v="304184"/>
    <n v="0"/>
    <n v="304184"/>
    <n v="57740"/>
    <n v="64770"/>
    <n v="0"/>
    <n v="30573"/>
    <n v="3661"/>
    <n v="460928"/>
    <n v="39031"/>
    <n v="421897"/>
    <n v="229531"/>
    <n v="192366"/>
  </r>
  <r>
    <s v="12"/>
    <x v="6"/>
    <x v="249"/>
    <x v="249"/>
    <n v="115.79"/>
    <n v="606"/>
    <n v="721.79"/>
    <n v="0"/>
    <n v="0"/>
    <n v="0"/>
    <n v="606"/>
    <n v="302.45999999999998"/>
    <n v="55.36"/>
    <n v="62.1"/>
    <n v="30.4"/>
    <n v="3.64"/>
    <n v="218313"/>
    <n v="22299"/>
    <n v="240612"/>
    <n v="33548"/>
    <n v="37633"/>
    <n v="0"/>
    <n v="23169"/>
    <n v="2771"/>
    <n v="337733"/>
    <n v="33583"/>
    <n v="304150"/>
    <n v="160534"/>
    <n v="143616"/>
  </r>
  <r>
    <s v="12"/>
    <x v="6"/>
    <x v="250"/>
    <x v="250"/>
    <n v="106.12"/>
    <n v="833.8"/>
    <n v="939.92"/>
    <n v="0"/>
    <n v="113"/>
    <n v="0.2"/>
    <n v="947"/>
    <n v="302.45999999999998"/>
    <n v="55.36"/>
    <n v="62.1"/>
    <n v="30.4"/>
    <n v="3.64"/>
    <n v="284288"/>
    <n v="0"/>
    <n v="284288"/>
    <n v="52426"/>
    <n v="58809"/>
    <n v="0"/>
    <n v="28574"/>
    <n v="3421"/>
    <n v="427518"/>
    <n v="37148"/>
    <n v="390370"/>
    <n v="213848"/>
    <n v="176522"/>
  </r>
  <r>
    <s v="12"/>
    <x v="6"/>
    <x v="251"/>
    <x v="251"/>
    <n v="80.94"/>
    <n v="532"/>
    <n v="612.94000000000005"/>
    <n v="0"/>
    <n v="11"/>
    <n v="0"/>
    <n v="543"/>
    <n v="302.45999999999998"/>
    <n v="55.36"/>
    <n v="62.1"/>
    <n v="30.4"/>
    <n v="3.64"/>
    <n v="185390"/>
    <n v="2928"/>
    <n v="188318"/>
    <n v="30060"/>
    <n v="33720"/>
    <n v="0"/>
    <n v="18924"/>
    <n v="2263"/>
    <n v="273285"/>
    <n v="31987"/>
    <n v="241298"/>
    <n v="132015"/>
    <n v="109283"/>
  </r>
  <r>
    <s v="12"/>
    <x v="6"/>
    <x v="252"/>
    <x v="252"/>
    <n v="27.89"/>
    <n v="205.2"/>
    <n v="233.09"/>
    <n v="0"/>
    <n v="2"/>
    <n v="0"/>
    <n v="207"/>
    <n v="302.45999999999998"/>
    <n v="55.36"/>
    <n v="62.1"/>
    <n v="30.4"/>
    <n v="3.64"/>
    <n v="70500"/>
    <n v="0"/>
    <n v="70500"/>
    <n v="11460"/>
    <n v="12855"/>
    <n v="0"/>
    <n v="7086"/>
    <n v="848"/>
    <n v="102749"/>
    <n v="11015"/>
    <n v="91734"/>
    <n v="51229"/>
    <n v="40505"/>
  </r>
  <r>
    <s v="12"/>
    <x v="6"/>
    <x v="253"/>
    <x v="253"/>
    <n v="82.15"/>
    <n v="549.9"/>
    <n v="632.04999999999995"/>
    <n v="0"/>
    <n v="1"/>
    <n v="0"/>
    <n v="551"/>
    <n v="302.45999999999998"/>
    <n v="55.36"/>
    <n v="62.1"/>
    <n v="30.4"/>
    <n v="3.64"/>
    <n v="191170"/>
    <n v="1817"/>
    <n v="192987"/>
    <n v="30503"/>
    <n v="34217"/>
    <n v="0"/>
    <n v="19393"/>
    <n v="2319"/>
    <n v="279419"/>
    <n v="27534"/>
    <n v="251885"/>
    <n v="141446"/>
    <n v="110439"/>
  </r>
  <r>
    <s v="13"/>
    <x v="7"/>
    <x v="254"/>
    <x v="254"/>
    <n v="88.36"/>
    <n v="791.7"/>
    <n v="880.06"/>
    <n v="0"/>
    <n v="0"/>
    <n v="0"/>
    <n v="792"/>
    <n v="295.88"/>
    <n v="55.08"/>
    <n v="60.9"/>
    <n v="30.38"/>
    <n v="3.25"/>
    <n v="260392"/>
    <n v="0"/>
    <n v="260392"/>
    <n v="43623"/>
    <n v="48233"/>
    <n v="0"/>
    <n v="26736"/>
    <n v="2860"/>
    <n v="381844"/>
    <n v="42239"/>
    <n v="339605"/>
    <n v="192411"/>
    <n v="147194"/>
  </r>
  <r>
    <s v="13"/>
    <x v="7"/>
    <x v="255"/>
    <x v="255"/>
    <n v="214.03"/>
    <n v="1352.1"/>
    <n v="1566.13"/>
    <n v="0"/>
    <n v="0"/>
    <n v="0"/>
    <n v="1352"/>
    <n v="295.88"/>
    <n v="55.08"/>
    <n v="60.9"/>
    <n v="30.38"/>
    <n v="3.25"/>
    <n v="463387"/>
    <n v="2598"/>
    <n v="465985"/>
    <n v="74468"/>
    <n v="82337"/>
    <n v="0"/>
    <n v="47661"/>
    <n v="5090"/>
    <n v="675541"/>
    <n v="68797"/>
    <n v="606744"/>
    <n v="348862"/>
    <n v="257882"/>
  </r>
  <r>
    <s v="13"/>
    <x v="7"/>
    <x v="256"/>
    <x v="256"/>
    <n v="51.5"/>
    <n v="450.1"/>
    <n v="501.6"/>
    <n v="0"/>
    <n v="3"/>
    <n v="0"/>
    <n v="453"/>
    <n v="295.88"/>
    <n v="55.08"/>
    <n v="60.9"/>
    <n v="30.38"/>
    <n v="3.25"/>
    <n v="148413"/>
    <n v="10971"/>
    <n v="159384"/>
    <n v="24951"/>
    <n v="27588"/>
    <n v="0"/>
    <n v="15239"/>
    <n v="1630"/>
    <n v="228792"/>
    <n v="29839"/>
    <n v="198953"/>
    <n v="103903"/>
    <n v="95050"/>
  </r>
  <r>
    <s v="13"/>
    <x v="7"/>
    <x v="257"/>
    <x v="257"/>
    <n v="54.9"/>
    <n v="406.6"/>
    <n v="461.5"/>
    <n v="0"/>
    <n v="2"/>
    <n v="0"/>
    <n v="409"/>
    <n v="295.88"/>
    <n v="55.08"/>
    <n v="60.9"/>
    <n v="30.38"/>
    <n v="3.25"/>
    <n v="136549"/>
    <n v="6782"/>
    <n v="143331"/>
    <n v="22528"/>
    <n v="24908"/>
    <n v="0"/>
    <n v="14153"/>
    <n v="1510"/>
    <n v="206430"/>
    <n v="25701"/>
    <n v="180729"/>
    <n v="97492"/>
    <n v="83237"/>
  </r>
  <r>
    <s v="13"/>
    <x v="7"/>
    <x v="258"/>
    <x v="258"/>
    <n v="41.32"/>
    <n v="496.9"/>
    <n v="538.22"/>
    <n v="0"/>
    <n v="0"/>
    <n v="0"/>
    <n v="497"/>
    <n v="295.88"/>
    <n v="55.08"/>
    <n v="60.9"/>
    <n v="30.38"/>
    <n v="3.25"/>
    <n v="159249"/>
    <n v="0"/>
    <n v="159249"/>
    <n v="27375"/>
    <n v="30267"/>
    <n v="0"/>
    <n v="16351"/>
    <n v="1749"/>
    <n v="234991"/>
    <n v="25872"/>
    <n v="209119"/>
    <n v="117633"/>
    <n v="91486"/>
  </r>
  <r>
    <s v="13"/>
    <x v="7"/>
    <x v="259"/>
    <x v="259"/>
    <n v="95.69"/>
    <n v="616.70000000000005"/>
    <n v="712.39"/>
    <n v="0"/>
    <n v="1"/>
    <n v="0"/>
    <n v="618"/>
    <n v="295.88"/>
    <n v="55.08"/>
    <n v="60.9"/>
    <n v="30.38"/>
    <n v="3.25"/>
    <n v="210782"/>
    <n v="14807"/>
    <n v="225589"/>
    <n v="34039"/>
    <n v="37636"/>
    <n v="0"/>
    <n v="22527"/>
    <n v="2404"/>
    <n v="322195"/>
    <n v="35545"/>
    <n v="286650"/>
    <n v="155373"/>
    <n v="131277"/>
  </r>
  <r>
    <s v="13"/>
    <x v="7"/>
    <x v="260"/>
    <x v="260"/>
    <n v="88.17"/>
    <n v="979.4"/>
    <n v="1067.57"/>
    <n v="0"/>
    <n v="71"/>
    <n v="0.8"/>
    <n v="1050"/>
    <n v="295.88"/>
    <n v="55.08"/>
    <n v="60.9"/>
    <n v="30.38"/>
    <n v="3.25"/>
    <n v="315873"/>
    <n v="0"/>
    <n v="315873"/>
    <n v="57834"/>
    <n v="63945"/>
    <n v="0"/>
    <n v="32433"/>
    <n v="3470"/>
    <n v="473555"/>
    <n v="50182"/>
    <n v="423373"/>
    <n v="234465"/>
    <n v="188908"/>
  </r>
  <r>
    <s v="13"/>
    <x v="7"/>
    <x v="261"/>
    <x v="261"/>
    <n v="218.38"/>
    <n v="1459.6"/>
    <n v="1677.98"/>
    <n v="0"/>
    <n v="1"/>
    <n v="0"/>
    <n v="1461"/>
    <n v="295.88"/>
    <n v="55.08"/>
    <n v="60.9"/>
    <n v="30.38"/>
    <n v="3.25"/>
    <n v="496481"/>
    <n v="0"/>
    <n v="496481"/>
    <n v="80472"/>
    <n v="88975"/>
    <n v="0"/>
    <n v="50977"/>
    <n v="5453"/>
    <n v="722358"/>
    <n v="66523"/>
    <n v="655835"/>
    <n v="380876"/>
    <n v="274959"/>
  </r>
  <r>
    <s v="13"/>
    <x v="7"/>
    <x v="262"/>
    <x v="262"/>
    <n v="57.82"/>
    <n v="399.2"/>
    <n v="457.02"/>
    <n v="0"/>
    <n v="3"/>
    <n v="0"/>
    <n v="402"/>
    <n v="295.88"/>
    <n v="55.08"/>
    <n v="60.9"/>
    <n v="30.38"/>
    <n v="3.25"/>
    <n v="135223"/>
    <n v="16327"/>
    <n v="151550"/>
    <n v="22142"/>
    <n v="24482"/>
    <n v="0"/>
    <n v="14465"/>
    <n v="1544"/>
    <n v="214183"/>
    <n v="28933"/>
    <n v="185250"/>
    <n v="93562"/>
    <n v="91688"/>
  </r>
  <r>
    <s v="13"/>
    <x v="7"/>
    <x v="263"/>
    <x v="263"/>
    <n v="2065.9"/>
    <n v="9124.7999999999993"/>
    <n v="11190.7"/>
    <n v="0"/>
    <n v="390"/>
    <n v="0.2"/>
    <n v="9515"/>
    <n v="295.88"/>
    <n v="55.08"/>
    <n v="60.9"/>
    <n v="30.38"/>
    <n v="3.25"/>
    <n v="3311104"/>
    <n v="0"/>
    <n v="3311104"/>
    <n v="524086"/>
    <n v="579464"/>
    <n v="0"/>
    <n v="339973"/>
    <n v="36370"/>
    <n v="4790997"/>
    <n v="450650"/>
    <n v="4340347"/>
    <n v="2533126"/>
    <n v="1807221"/>
  </r>
  <r>
    <s v="13"/>
    <x v="7"/>
    <x v="264"/>
    <x v="264"/>
    <n v="181.91"/>
    <n v="1471.3"/>
    <n v="1653.21"/>
    <n v="0"/>
    <n v="117"/>
    <n v="1.2"/>
    <n v="1587"/>
    <n v="295.88"/>
    <n v="55.08"/>
    <n v="60.9"/>
    <n v="30.38"/>
    <n v="3.25"/>
    <n v="489152"/>
    <n v="0"/>
    <n v="489152"/>
    <n v="87412"/>
    <n v="96648"/>
    <n v="0"/>
    <n v="50225"/>
    <n v="5373"/>
    <n v="728810"/>
    <n v="73855"/>
    <n v="654955"/>
    <n v="366941"/>
    <n v="288014"/>
  </r>
  <r>
    <s v="13"/>
    <x v="7"/>
    <x v="265"/>
    <x v="265"/>
    <n v="14.8"/>
    <n v="99"/>
    <n v="113.8"/>
    <n v="0"/>
    <n v="1"/>
    <n v="0"/>
    <n v="100"/>
    <n v="295.88"/>
    <n v="55.08"/>
    <n v="60.9"/>
    <n v="30.38"/>
    <n v="3.25"/>
    <n v="33671"/>
    <n v="862"/>
    <n v="34533"/>
    <n v="5508"/>
    <n v="6090"/>
    <n v="0"/>
    <n v="3546"/>
    <n v="378"/>
    <n v="50055"/>
    <n v="6461"/>
    <n v="43594"/>
    <n v="23978"/>
    <n v="19616"/>
  </r>
  <r>
    <s v="13"/>
    <x v="7"/>
    <x v="266"/>
    <x v="266"/>
    <n v="80.62"/>
    <n v="546.6"/>
    <n v="627.22"/>
    <n v="0"/>
    <n v="1"/>
    <n v="0"/>
    <n v="548"/>
    <n v="295.88"/>
    <n v="55.08"/>
    <n v="60.9"/>
    <n v="30.38"/>
    <n v="3.25"/>
    <n v="185582"/>
    <n v="0"/>
    <n v="185582"/>
    <n v="30184"/>
    <n v="33373"/>
    <n v="0"/>
    <n v="19055"/>
    <n v="2038"/>
    <n v="270232"/>
    <n v="31373"/>
    <n v="238859"/>
    <n v="135862"/>
    <n v="102997"/>
  </r>
  <r>
    <s v="13"/>
    <x v="7"/>
    <x v="267"/>
    <x v="267"/>
    <n v="60.02"/>
    <n v="491.6"/>
    <n v="551.62"/>
    <n v="0"/>
    <n v="5"/>
    <n v="0"/>
    <n v="497"/>
    <n v="295.88"/>
    <n v="55.08"/>
    <n v="60.9"/>
    <n v="30.38"/>
    <n v="3.25"/>
    <n v="163213"/>
    <n v="6218"/>
    <n v="169431"/>
    <n v="27375"/>
    <n v="30267"/>
    <n v="0"/>
    <n v="16832"/>
    <n v="1796"/>
    <n v="245701"/>
    <n v="25766"/>
    <n v="219935"/>
    <n v="121389"/>
    <n v="98546"/>
  </r>
  <r>
    <s v="13"/>
    <x v="7"/>
    <x v="268"/>
    <x v="268"/>
    <n v="19.68"/>
    <n v="194"/>
    <n v="213.68"/>
    <n v="0"/>
    <n v="3"/>
    <n v="0"/>
    <n v="197"/>
    <n v="295.88"/>
    <n v="55.08"/>
    <n v="60.9"/>
    <n v="30.38"/>
    <n v="3.25"/>
    <n v="63224"/>
    <n v="9921"/>
    <n v="73145"/>
    <n v="10851"/>
    <n v="11997"/>
    <n v="0"/>
    <n v="6492"/>
    <n v="694"/>
    <n v="103179"/>
    <n v="12000"/>
    <n v="91179"/>
    <n v="44973"/>
    <n v="46206"/>
  </r>
  <r>
    <s v="13"/>
    <x v="7"/>
    <x v="269"/>
    <x v="269"/>
    <n v="44.7"/>
    <n v="452"/>
    <n v="496.7"/>
    <n v="0"/>
    <n v="1"/>
    <n v="0"/>
    <n v="453"/>
    <n v="295.88"/>
    <n v="55.08"/>
    <n v="60.9"/>
    <n v="30.38"/>
    <n v="3.25"/>
    <n v="146964"/>
    <n v="3362"/>
    <n v="150326"/>
    <n v="24951"/>
    <n v="27588"/>
    <n v="0"/>
    <n v="15350"/>
    <n v="1638"/>
    <n v="219853"/>
    <n v="20998"/>
    <n v="198855"/>
    <n v="111721"/>
    <n v="87134"/>
  </r>
  <r>
    <s v="13"/>
    <x v="7"/>
    <x v="270"/>
    <x v="270"/>
    <n v="196.22"/>
    <n v="1979"/>
    <n v="2175.2199999999998"/>
    <n v="0"/>
    <n v="19"/>
    <n v="0"/>
    <n v="1998"/>
    <n v="295.88"/>
    <n v="55.08"/>
    <n v="60.9"/>
    <n v="30.38"/>
    <n v="3.25"/>
    <n v="643604"/>
    <n v="0"/>
    <n v="643604"/>
    <n v="110050"/>
    <n v="121678"/>
    <n v="0"/>
    <n v="66083"/>
    <n v="7069"/>
    <n v="948484"/>
    <n v="89118"/>
    <n v="859366"/>
    <n v="490860"/>
    <n v="368506"/>
  </r>
  <r>
    <s v="13"/>
    <x v="7"/>
    <x v="271"/>
    <x v="271"/>
    <n v="99.82"/>
    <n v="503.9"/>
    <n v="603.72"/>
    <n v="0"/>
    <n v="0"/>
    <n v="0"/>
    <n v="504"/>
    <n v="295.88"/>
    <n v="55.08"/>
    <n v="60.9"/>
    <n v="30.38"/>
    <n v="3.25"/>
    <n v="178629"/>
    <n v="3518"/>
    <n v="182147"/>
    <n v="27760"/>
    <n v="30694"/>
    <n v="0"/>
    <n v="18341"/>
    <n v="1962"/>
    <n v="260904"/>
    <n v="31091"/>
    <n v="229813"/>
    <n v="129879"/>
    <n v="99934"/>
  </r>
  <r>
    <s v="13"/>
    <x v="7"/>
    <x v="272"/>
    <x v="272"/>
    <n v="31.58"/>
    <n v="221"/>
    <n v="252.58"/>
    <n v="0"/>
    <n v="0"/>
    <n v="0"/>
    <n v="221"/>
    <n v="295.88"/>
    <n v="55.08"/>
    <n v="60.9"/>
    <n v="30.38"/>
    <n v="3.25"/>
    <n v="74733"/>
    <n v="9004"/>
    <n v="83737"/>
    <n v="12173"/>
    <n v="13459"/>
    <n v="0"/>
    <n v="8157"/>
    <n v="870"/>
    <n v="118396"/>
    <n v="14961"/>
    <n v="103435"/>
    <n v="52917"/>
    <n v="50518"/>
  </r>
  <r>
    <s v="13"/>
    <x v="7"/>
    <x v="273"/>
    <x v="273"/>
    <n v="161.22999999999999"/>
    <n v="1430.9"/>
    <n v="1592.13"/>
    <n v="0"/>
    <n v="96"/>
    <n v="1.2"/>
    <n v="1526"/>
    <n v="295.88"/>
    <n v="55.08"/>
    <n v="60.9"/>
    <n v="30.38"/>
    <n v="3.25"/>
    <n v="471079"/>
    <n v="0"/>
    <n v="471079"/>
    <n v="84052"/>
    <n v="92933"/>
    <n v="0"/>
    <n v="48369"/>
    <n v="5174"/>
    <n v="701607"/>
    <n v="75561"/>
    <n v="626046"/>
    <n v="348948"/>
    <n v="277098"/>
  </r>
  <r>
    <s v="13"/>
    <x v="7"/>
    <x v="274"/>
    <x v="274"/>
    <n v="86.53"/>
    <n v="679.5"/>
    <n v="766.03"/>
    <n v="0"/>
    <n v="14"/>
    <n v="0"/>
    <n v="694"/>
    <n v="295.88"/>
    <n v="55.08"/>
    <n v="60.9"/>
    <n v="30.38"/>
    <n v="3.25"/>
    <n v="226653"/>
    <n v="5597"/>
    <n v="232250"/>
    <n v="38226"/>
    <n v="42265"/>
    <n v="0"/>
    <n v="23272"/>
    <n v="2490"/>
    <n v="338503"/>
    <n v="45080"/>
    <n v="293423"/>
    <n v="159167"/>
    <n v="134256"/>
  </r>
  <r>
    <s v="13"/>
    <x v="7"/>
    <x v="275"/>
    <x v="275"/>
    <n v="40.98"/>
    <n v="306.3"/>
    <n v="347.28"/>
    <n v="0"/>
    <n v="0"/>
    <n v="0"/>
    <n v="306"/>
    <n v="295.88"/>
    <n v="55.08"/>
    <n v="60.9"/>
    <n v="30.38"/>
    <n v="3.25"/>
    <n v="102753"/>
    <n v="3491"/>
    <n v="106244"/>
    <n v="16854"/>
    <n v="18635"/>
    <n v="0"/>
    <n v="10550"/>
    <n v="1129"/>
    <n v="153412"/>
    <n v="16904"/>
    <n v="136508"/>
    <n v="75691"/>
    <n v="60817"/>
  </r>
  <r>
    <s v="13"/>
    <x v="7"/>
    <x v="276"/>
    <x v="276"/>
    <n v="42.77"/>
    <n v="460.5"/>
    <n v="503.27"/>
    <n v="0"/>
    <n v="2"/>
    <n v="0"/>
    <n v="463"/>
    <n v="295.88"/>
    <n v="55.08"/>
    <n v="60.9"/>
    <n v="30.38"/>
    <n v="3.25"/>
    <n v="148908"/>
    <n v="0"/>
    <n v="148908"/>
    <n v="25502"/>
    <n v="28197"/>
    <n v="0"/>
    <n v="15289"/>
    <n v="1636"/>
    <n v="219532"/>
    <n v="21840"/>
    <n v="197692"/>
    <n v="112347"/>
    <n v="85345"/>
  </r>
  <r>
    <s v="13"/>
    <x v="7"/>
    <x v="277"/>
    <x v="277"/>
    <n v="356.29"/>
    <n v="2475.6"/>
    <n v="2831.89"/>
    <n v="0"/>
    <n v="204"/>
    <n v="0"/>
    <n v="2680"/>
    <n v="295.88"/>
    <n v="55.08"/>
    <n v="60.9"/>
    <n v="30.38"/>
    <n v="3.25"/>
    <n v="837900"/>
    <n v="231"/>
    <n v="838131"/>
    <n v="147614"/>
    <n v="163212"/>
    <n v="0"/>
    <n v="86033"/>
    <n v="9204"/>
    <n v="1244194"/>
    <n v="112825"/>
    <n v="1131369"/>
    <n v="642242"/>
    <n v="489127"/>
  </r>
  <r>
    <s v="13"/>
    <x v="7"/>
    <x v="278"/>
    <x v="278"/>
    <n v="53.97"/>
    <n v="564"/>
    <n v="617.97"/>
    <n v="0"/>
    <n v="0"/>
    <n v="0"/>
    <n v="564"/>
    <n v="295.88"/>
    <n v="55.08"/>
    <n v="60.9"/>
    <n v="30.38"/>
    <n v="3.25"/>
    <n v="182845"/>
    <n v="0"/>
    <n v="182845"/>
    <n v="31065"/>
    <n v="34348"/>
    <n v="0"/>
    <n v="18774"/>
    <n v="2008"/>
    <n v="269040"/>
    <n v="28459"/>
    <n v="240581"/>
    <n v="136310"/>
    <n v="104271"/>
  </r>
  <r>
    <s v="13"/>
    <x v="7"/>
    <x v="279"/>
    <x v="279"/>
    <n v="128.85"/>
    <n v="832.4"/>
    <n v="961.25"/>
    <n v="0"/>
    <n v="10"/>
    <n v="0"/>
    <n v="842"/>
    <n v="295.88"/>
    <n v="55.08"/>
    <n v="60.9"/>
    <n v="30.38"/>
    <n v="3.25"/>
    <n v="284415"/>
    <n v="3731"/>
    <n v="288146"/>
    <n v="46377"/>
    <n v="51278"/>
    <n v="0"/>
    <n v="29203"/>
    <n v="3124"/>
    <n v="418128"/>
    <n v="44838"/>
    <n v="373290"/>
    <n v="211460"/>
    <n v="161830"/>
  </r>
  <r>
    <s v="13"/>
    <x v="7"/>
    <x v="280"/>
    <x v="280"/>
    <n v="46.77"/>
    <n v="267.10000000000002"/>
    <n v="313.87"/>
    <n v="0"/>
    <n v="0"/>
    <n v="0"/>
    <n v="267"/>
    <n v="295.88"/>
    <n v="55.08"/>
    <n v="60.9"/>
    <n v="30.38"/>
    <n v="3.25"/>
    <n v="92868"/>
    <n v="0"/>
    <n v="92868"/>
    <n v="14706"/>
    <n v="16260"/>
    <n v="0"/>
    <n v="9535"/>
    <n v="1020"/>
    <n v="134389"/>
    <n v="14742"/>
    <n v="119647"/>
    <n v="68945"/>
    <n v="50702"/>
  </r>
  <r>
    <s v="13"/>
    <x v="7"/>
    <x v="281"/>
    <x v="281"/>
    <n v="74.78"/>
    <n v="631.1"/>
    <n v="705.88"/>
    <n v="0"/>
    <n v="1"/>
    <n v="0"/>
    <n v="632"/>
    <n v="295.88"/>
    <n v="55.08"/>
    <n v="60.9"/>
    <n v="30.38"/>
    <n v="3.25"/>
    <n v="208856"/>
    <n v="3509"/>
    <n v="212365"/>
    <n v="34811"/>
    <n v="38489"/>
    <n v="0"/>
    <n v="21445"/>
    <n v="2294"/>
    <n v="309404"/>
    <n v="39236"/>
    <n v="270168"/>
    <n v="148973"/>
    <n v="121195"/>
  </r>
  <r>
    <s v="13"/>
    <x v="7"/>
    <x v="282"/>
    <x v="282"/>
    <n v="30.43"/>
    <n v="252.2"/>
    <n v="282.63"/>
    <n v="0"/>
    <n v="0"/>
    <n v="0"/>
    <n v="252"/>
    <n v="295.88"/>
    <n v="55.08"/>
    <n v="60.9"/>
    <n v="30.38"/>
    <n v="3.25"/>
    <n v="83625"/>
    <n v="4468"/>
    <n v="88093"/>
    <n v="13880"/>
    <n v="15347"/>
    <n v="0"/>
    <n v="9045"/>
    <n v="965"/>
    <n v="127330"/>
    <n v="15048"/>
    <n v="112282"/>
    <n v="60815"/>
    <n v="51467"/>
  </r>
  <r>
    <s v="13"/>
    <x v="7"/>
    <x v="283"/>
    <x v="283"/>
    <n v="92.49"/>
    <n v="643.79999999999995"/>
    <n v="736.29"/>
    <n v="0"/>
    <n v="17"/>
    <n v="0"/>
    <n v="661"/>
    <n v="295.88"/>
    <n v="55.08"/>
    <n v="60.9"/>
    <n v="30.38"/>
    <n v="3.25"/>
    <n v="217853"/>
    <n v="3386"/>
    <n v="221239"/>
    <n v="36408"/>
    <n v="40255"/>
    <n v="0"/>
    <n v="22717"/>
    <n v="2424"/>
    <n v="323043"/>
    <n v="39610"/>
    <n v="283433"/>
    <n v="157087"/>
    <n v="126346"/>
  </r>
  <r>
    <s v="13"/>
    <x v="7"/>
    <x v="284"/>
    <x v="284"/>
    <n v="28.48"/>
    <n v="191.3"/>
    <n v="219.78"/>
    <n v="0"/>
    <n v="6"/>
    <n v="0"/>
    <n v="197"/>
    <n v="295.88"/>
    <n v="55.08"/>
    <n v="60.9"/>
    <n v="30.38"/>
    <n v="3.25"/>
    <n v="65029"/>
    <n v="7737"/>
    <n v="72766"/>
    <n v="10851"/>
    <n v="11997"/>
    <n v="0"/>
    <n v="6677"/>
    <n v="714"/>
    <n v="103005"/>
    <n v="14187"/>
    <n v="88818"/>
    <n v="44413"/>
    <n v="44405"/>
  </r>
  <r>
    <s v="13"/>
    <x v="7"/>
    <x v="285"/>
    <x v="285"/>
    <n v="132.88"/>
    <n v="1057.0999999999999"/>
    <n v="1189.98"/>
    <n v="0"/>
    <n v="0"/>
    <n v="0"/>
    <n v="1057"/>
    <n v="295.88"/>
    <n v="55.08"/>
    <n v="60.9"/>
    <n v="30.38"/>
    <n v="3.25"/>
    <n v="352091"/>
    <n v="27786"/>
    <n v="379877"/>
    <n v="58220"/>
    <n v="64371"/>
    <n v="0"/>
    <n v="37213"/>
    <n v="3971"/>
    <n v="543652"/>
    <n v="62151"/>
    <n v="481501"/>
    <n v="256298"/>
    <n v="225203"/>
  </r>
  <r>
    <s v="13"/>
    <x v="7"/>
    <x v="286"/>
    <x v="286"/>
    <n v="74.37"/>
    <n v="691"/>
    <n v="765.37"/>
    <n v="0"/>
    <n v="8"/>
    <n v="0"/>
    <n v="699"/>
    <n v="295.88"/>
    <n v="55.08"/>
    <n v="60.9"/>
    <n v="30.38"/>
    <n v="3.25"/>
    <n v="226458"/>
    <n v="0"/>
    <n v="226458"/>
    <n v="38501"/>
    <n v="42569"/>
    <n v="0"/>
    <n v="23252"/>
    <n v="2487"/>
    <n v="333267"/>
    <n v="33188"/>
    <n v="300079"/>
    <n v="170882"/>
    <n v="129197"/>
  </r>
  <r>
    <s v="13"/>
    <x v="7"/>
    <x v="287"/>
    <x v="287"/>
    <n v="135.22999999999999"/>
    <n v="1082.9000000000001"/>
    <n v="1218.1300000000001"/>
    <n v="0"/>
    <n v="7"/>
    <n v="0"/>
    <n v="1090"/>
    <n v="295.88"/>
    <n v="55.08"/>
    <n v="60.9"/>
    <n v="30.38"/>
    <n v="3.25"/>
    <n v="360420"/>
    <n v="0"/>
    <n v="360420"/>
    <n v="60037"/>
    <n v="66381"/>
    <n v="0"/>
    <n v="37007"/>
    <n v="3959"/>
    <n v="527804"/>
    <n v="57385"/>
    <n v="470419"/>
    <n v="267405"/>
    <n v="203014"/>
  </r>
  <r>
    <s v="13"/>
    <x v="7"/>
    <x v="288"/>
    <x v="288"/>
    <n v="71.78"/>
    <n v="393.7"/>
    <n v="465.48"/>
    <n v="0"/>
    <n v="0"/>
    <n v="0"/>
    <n v="394"/>
    <n v="295.88"/>
    <n v="55.08"/>
    <n v="60.9"/>
    <n v="30.38"/>
    <n v="3.25"/>
    <n v="137726"/>
    <n v="0"/>
    <n v="137726"/>
    <n v="21702"/>
    <n v="23995"/>
    <n v="0"/>
    <n v="14141"/>
    <n v="1513"/>
    <n v="199077"/>
    <n v="22474"/>
    <n v="176603"/>
    <n v="101637"/>
    <n v="74966"/>
  </r>
  <r>
    <s v="13"/>
    <x v="7"/>
    <x v="289"/>
    <x v="289"/>
    <n v="35.08"/>
    <n v="207.1"/>
    <n v="242.18"/>
    <n v="0"/>
    <n v="1"/>
    <n v="0"/>
    <n v="208"/>
    <n v="295.88"/>
    <n v="55.08"/>
    <n v="60.9"/>
    <n v="30.38"/>
    <n v="3.25"/>
    <n v="71656"/>
    <n v="7592"/>
    <n v="79248"/>
    <n v="11457"/>
    <n v="12667"/>
    <n v="0"/>
    <n v="7357"/>
    <n v="787"/>
    <n v="111516"/>
    <n v="15658"/>
    <n v="95858"/>
    <n v="48914"/>
    <n v="46944"/>
  </r>
  <r>
    <s v="13"/>
    <x v="7"/>
    <x v="290"/>
    <x v="290"/>
    <n v="18.64"/>
    <n v="190.1"/>
    <n v="208.74"/>
    <n v="0"/>
    <n v="0"/>
    <n v="0"/>
    <n v="190"/>
    <n v="295.88"/>
    <n v="55.08"/>
    <n v="60.9"/>
    <n v="30.38"/>
    <n v="3.25"/>
    <n v="61762"/>
    <n v="4462"/>
    <n v="66224"/>
    <n v="10465"/>
    <n v="11571"/>
    <n v="0"/>
    <n v="6800"/>
    <n v="726"/>
    <n v="95786"/>
    <n v="12066"/>
    <n v="83720"/>
    <n v="44096"/>
    <n v="39624"/>
  </r>
  <r>
    <s v="13"/>
    <x v="7"/>
    <x v="291"/>
    <x v="291"/>
    <n v="38.03"/>
    <n v="608.29999999999995"/>
    <n v="646.33000000000004"/>
    <n v="0"/>
    <n v="54"/>
    <n v="0"/>
    <n v="662"/>
    <n v="295.88"/>
    <n v="55.08"/>
    <n v="60.9"/>
    <n v="30.38"/>
    <n v="3.25"/>
    <n v="191236"/>
    <n v="0"/>
    <n v="191236"/>
    <n v="36463"/>
    <n v="40316"/>
    <n v="0"/>
    <n v="19636"/>
    <n v="2101"/>
    <n v="289752"/>
    <n v="22629"/>
    <n v="267123"/>
    <n v="149703"/>
    <n v="117420"/>
  </r>
  <r>
    <s v="13"/>
    <x v="7"/>
    <x v="292"/>
    <x v="292"/>
    <n v="62.19"/>
    <n v="645.1"/>
    <n v="707.29"/>
    <n v="0"/>
    <n v="4"/>
    <n v="0"/>
    <n v="649"/>
    <n v="295.88"/>
    <n v="55.08"/>
    <n v="60.9"/>
    <n v="30.38"/>
    <n v="3.25"/>
    <n v="209273"/>
    <n v="2484"/>
    <n v="211757"/>
    <n v="35747"/>
    <n v="39524"/>
    <n v="0"/>
    <n v="21487"/>
    <n v="2299"/>
    <n v="310814"/>
    <n v="33287"/>
    <n v="277527"/>
    <n v="155298"/>
    <n v="122229"/>
  </r>
  <r>
    <s v="13"/>
    <x v="7"/>
    <x v="293"/>
    <x v="293"/>
    <n v="71.3"/>
    <n v="701"/>
    <n v="772.3"/>
    <n v="0"/>
    <n v="27"/>
    <n v="0"/>
    <n v="728"/>
    <n v="295.88"/>
    <n v="55.08"/>
    <n v="60.9"/>
    <n v="30.38"/>
    <n v="3.25"/>
    <n v="228508"/>
    <n v="0"/>
    <n v="228508"/>
    <n v="40098"/>
    <n v="44335"/>
    <n v="0"/>
    <n v="23462"/>
    <n v="2510"/>
    <n v="338913"/>
    <n v="30799"/>
    <n v="308114"/>
    <n v="175119"/>
    <n v="132995"/>
  </r>
  <r>
    <s v="13"/>
    <x v="7"/>
    <x v="294"/>
    <x v="294"/>
    <n v="34.659999999999997"/>
    <n v="298"/>
    <n v="332.66"/>
    <n v="0"/>
    <n v="0"/>
    <n v="0"/>
    <n v="298"/>
    <n v="295.88"/>
    <n v="55.08"/>
    <n v="60.9"/>
    <n v="30.38"/>
    <n v="3.25"/>
    <n v="98427"/>
    <n v="14409"/>
    <n v="112836"/>
    <n v="16414"/>
    <n v="18148"/>
    <n v="0"/>
    <n v="10255"/>
    <n v="1094"/>
    <n v="158747"/>
    <n v="20643"/>
    <n v="138104"/>
    <n v="68216"/>
    <n v="69888"/>
  </r>
  <r>
    <s v="13"/>
    <x v="7"/>
    <x v="295"/>
    <x v="295"/>
    <n v="82.01"/>
    <n v="346"/>
    <n v="428.01"/>
    <n v="0"/>
    <n v="4"/>
    <n v="0"/>
    <n v="350"/>
    <n v="295.88"/>
    <n v="55.08"/>
    <n v="60.9"/>
    <n v="30.38"/>
    <n v="3.25"/>
    <n v="126640"/>
    <n v="21320"/>
    <n v="147960"/>
    <n v="19278"/>
    <n v="21315"/>
    <n v="0"/>
    <n v="13003"/>
    <n v="1391"/>
    <n v="202947"/>
    <n v="25347"/>
    <n v="177600"/>
    <n v="88773"/>
    <n v="88827"/>
  </r>
  <r>
    <s v="13"/>
    <x v="7"/>
    <x v="296"/>
    <x v="296"/>
    <n v="38.76"/>
    <n v="470"/>
    <n v="508.76"/>
    <n v="0"/>
    <n v="3"/>
    <n v="0"/>
    <n v="473"/>
    <n v="295.88"/>
    <n v="55.08"/>
    <n v="60.9"/>
    <n v="30.38"/>
    <n v="3.25"/>
    <n v="150532"/>
    <n v="3954"/>
    <n v="154486"/>
    <n v="26053"/>
    <n v="28806"/>
    <n v="0"/>
    <n v="15830"/>
    <n v="1689"/>
    <n v="226864"/>
    <n v="25428"/>
    <n v="201436"/>
    <n v="110632"/>
    <n v="90804"/>
  </r>
  <r>
    <s v="15"/>
    <x v="8"/>
    <x v="297"/>
    <x v="297"/>
    <n v="131.37"/>
    <n v="1182.8"/>
    <n v="1314.17"/>
    <n v="0"/>
    <n v="1"/>
    <n v="0"/>
    <n v="1184"/>
    <n v="293.24"/>
    <n v="55.05"/>
    <n v="60.47"/>
    <n v="29.39"/>
    <n v="3.2"/>
    <n v="385367"/>
    <n v="5672"/>
    <n v="391039"/>
    <n v="65179"/>
    <n v="71596"/>
    <n v="0"/>
    <n v="39183"/>
    <n v="4256"/>
    <n v="571253"/>
    <n v="57955"/>
    <n v="513298"/>
    <n v="291686"/>
    <n v="221612"/>
  </r>
  <r>
    <s v="15"/>
    <x v="8"/>
    <x v="298"/>
    <x v="298"/>
    <n v="765.23"/>
    <n v="4263.3"/>
    <n v="5028.53"/>
    <n v="0"/>
    <n v="363"/>
    <n v="2"/>
    <n v="4624"/>
    <n v="293.24"/>
    <n v="55.05"/>
    <n v="60.47"/>
    <n v="29.39"/>
    <n v="3.2"/>
    <n v="1474566"/>
    <n v="47900"/>
    <n v="1522466"/>
    <n v="254551"/>
    <n v="279613"/>
    <n v="0"/>
    <n v="149956"/>
    <n v="16289"/>
    <n v="2222875"/>
    <n v="231008"/>
    <n v="1991867"/>
    <n v="1106884"/>
    <n v="884983"/>
  </r>
  <r>
    <s v="15"/>
    <x v="8"/>
    <x v="299"/>
    <x v="299"/>
    <n v="67.430000000000007"/>
    <n v="573.70000000000005"/>
    <n v="641.13"/>
    <n v="0"/>
    <n v="0"/>
    <n v="0"/>
    <n v="574"/>
    <n v="293.24"/>
    <n v="55.05"/>
    <n v="60.47"/>
    <n v="29.39"/>
    <n v="3.2"/>
    <n v="188005"/>
    <n v="0"/>
    <n v="188005"/>
    <n v="31599"/>
    <n v="34710"/>
    <n v="0"/>
    <n v="18843"/>
    <n v="2052"/>
    <n v="275209"/>
    <n v="29808"/>
    <n v="245401"/>
    <n v="140470"/>
    <n v="104931"/>
  </r>
  <r>
    <s v="15"/>
    <x v="8"/>
    <x v="300"/>
    <x v="300"/>
    <n v="155.21"/>
    <n v="1376.4"/>
    <n v="1531.61"/>
    <n v="0"/>
    <n v="0"/>
    <n v="0"/>
    <n v="1376"/>
    <n v="293.24"/>
    <n v="55.05"/>
    <n v="60.47"/>
    <n v="29.39"/>
    <n v="3.2"/>
    <n v="449129"/>
    <n v="0"/>
    <n v="449129"/>
    <n v="75749"/>
    <n v="83207"/>
    <n v="0"/>
    <n v="45014"/>
    <n v="4901"/>
    <n v="658000"/>
    <n v="76839"/>
    <n v="581161"/>
    <n v="329941"/>
    <n v="251220"/>
  </r>
  <r>
    <s v="15"/>
    <x v="8"/>
    <x v="301"/>
    <x v="301"/>
    <n v="75.430000000000007"/>
    <n v="766.7"/>
    <n v="842.13"/>
    <n v="0"/>
    <n v="16"/>
    <n v="0"/>
    <n v="783"/>
    <n v="293.24"/>
    <n v="55.05"/>
    <n v="60.47"/>
    <n v="29.39"/>
    <n v="3.2"/>
    <n v="246946"/>
    <n v="9456"/>
    <n v="256402"/>
    <n v="43104"/>
    <n v="47348"/>
    <n v="0"/>
    <n v="25554"/>
    <n v="2776"/>
    <n v="375184"/>
    <n v="46695"/>
    <n v="328489"/>
    <n v="177851"/>
    <n v="150638"/>
  </r>
  <r>
    <s v="15"/>
    <x v="8"/>
    <x v="302"/>
    <x v="302"/>
    <n v="148.38"/>
    <n v="1240.5"/>
    <n v="1388.88"/>
    <n v="0"/>
    <n v="3"/>
    <n v="0"/>
    <n v="1244"/>
    <n v="293.24"/>
    <n v="55.05"/>
    <n v="60.47"/>
    <n v="29.39"/>
    <n v="3.2"/>
    <n v="407275"/>
    <n v="33106"/>
    <n v="440381"/>
    <n v="68482"/>
    <n v="75225"/>
    <n v="0"/>
    <n v="41134"/>
    <n v="4468"/>
    <n v="629690"/>
    <n v="69564"/>
    <n v="560126"/>
    <n v="299647"/>
    <n v="260479"/>
  </r>
  <r>
    <s v="15"/>
    <x v="8"/>
    <x v="303"/>
    <x v="303"/>
    <n v="51.12"/>
    <n v="513.5"/>
    <n v="564.62"/>
    <n v="0"/>
    <n v="4"/>
    <n v="0"/>
    <n v="518"/>
    <n v="293.24"/>
    <n v="55.05"/>
    <n v="60.47"/>
    <n v="29.39"/>
    <n v="3.2"/>
    <n v="165569"/>
    <n v="0"/>
    <n v="165569"/>
    <n v="28516"/>
    <n v="31323"/>
    <n v="0"/>
    <n v="16594"/>
    <n v="1807"/>
    <n v="243809"/>
    <n v="20792"/>
    <n v="223017"/>
    <n v="129165"/>
    <n v="93852"/>
  </r>
  <r>
    <s v="15"/>
    <x v="8"/>
    <x v="304"/>
    <x v="304"/>
    <n v="107.43"/>
    <n v="1137.5999999999999"/>
    <n v="1245.03"/>
    <n v="0"/>
    <n v="4"/>
    <n v="0"/>
    <n v="1142"/>
    <n v="293.24"/>
    <n v="55.05"/>
    <n v="60.47"/>
    <n v="29.39"/>
    <n v="3.2"/>
    <n v="365093"/>
    <n v="8016"/>
    <n v="373109"/>
    <n v="62867"/>
    <n v="69057"/>
    <n v="0"/>
    <n v="37387"/>
    <n v="4061"/>
    <n v="546481"/>
    <n v="56419"/>
    <n v="490062"/>
    <n v="275121"/>
    <n v="214941"/>
  </r>
  <r>
    <s v="15"/>
    <x v="8"/>
    <x v="305"/>
    <x v="305"/>
    <n v="104.74"/>
    <n v="875.9"/>
    <n v="980.64"/>
    <n v="0"/>
    <n v="23"/>
    <n v="0"/>
    <n v="899"/>
    <n v="293.24"/>
    <n v="55.05"/>
    <n v="60.47"/>
    <n v="29.39"/>
    <n v="3.2"/>
    <n v="287563"/>
    <n v="4396"/>
    <n v="291959"/>
    <n v="49490"/>
    <n v="54363"/>
    <n v="0"/>
    <n v="29255"/>
    <n v="3178"/>
    <n v="428245"/>
    <n v="44907"/>
    <n v="383338"/>
    <n v="216015"/>
    <n v="167323"/>
  </r>
  <r>
    <s v="15"/>
    <x v="8"/>
    <x v="306"/>
    <x v="306"/>
    <n v="290.41000000000003"/>
    <n v="1591.5"/>
    <n v="1881.91"/>
    <n v="0"/>
    <n v="143"/>
    <n v="0"/>
    <n v="1735"/>
    <n v="293.24"/>
    <n v="55.05"/>
    <n v="60.47"/>
    <n v="29.39"/>
    <n v="3.2"/>
    <n v="551851"/>
    <n v="3900"/>
    <n v="555751"/>
    <n v="95512"/>
    <n v="104915"/>
    <n v="0"/>
    <n v="55309"/>
    <n v="6022"/>
    <n v="817509"/>
    <n v="91881"/>
    <n v="725628"/>
    <n v="407935"/>
    <n v="317693"/>
  </r>
  <r>
    <s v="15"/>
    <x v="8"/>
    <x v="307"/>
    <x v="307"/>
    <n v="322.83"/>
    <n v="2143.6"/>
    <n v="2466.4299999999998"/>
    <n v="0"/>
    <n v="274"/>
    <n v="1.6"/>
    <n v="2416"/>
    <n v="293.24"/>
    <n v="55.05"/>
    <n v="60.47"/>
    <n v="29.39"/>
    <n v="3.2"/>
    <n v="723256"/>
    <n v="0"/>
    <n v="723256"/>
    <n v="133001"/>
    <n v="146096"/>
    <n v="0"/>
    <n v="72488"/>
    <n v="7893"/>
    <n v="1082734"/>
    <n v="124889"/>
    <n v="957845"/>
    <n v="530170"/>
    <n v="427675"/>
  </r>
  <r>
    <s v="15"/>
    <x v="8"/>
    <x v="308"/>
    <x v="308"/>
    <n v="34.32"/>
    <n v="346.3"/>
    <n v="380.62"/>
    <n v="0"/>
    <n v="2"/>
    <n v="0"/>
    <n v="348"/>
    <n v="293.24"/>
    <n v="55.05"/>
    <n v="60.47"/>
    <n v="29.39"/>
    <n v="3.2"/>
    <n v="111613"/>
    <n v="9066"/>
    <n v="120679"/>
    <n v="19157"/>
    <n v="21044"/>
    <n v="0"/>
    <n v="11210"/>
    <n v="1218"/>
    <n v="173308"/>
    <n v="23152"/>
    <n v="150156"/>
    <n v="77960"/>
    <n v="72196"/>
  </r>
  <r>
    <s v="15"/>
    <x v="8"/>
    <x v="309"/>
    <x v="309"/>
    <n v="367.24"/>
    <n v="1909.7"/>
    <n v="2276.94"/>
    <n v="0"/>
    <n v="65"/>
    <n v="0.1"/>
    <n v="1975"/>
    <n v="293.24"/>
    <n v="55.05"/>
    <n v="60.47"/>
    <n v="29.39"/>
    <n v="3.2"/>
    <n v="667690"/>
    <n v="0"/>
    <n v="667690"/>
    <n v="108724"/>
    <n v="119428"/>
    <n v="0"/>
    <n v="66919"/>
    <n v="7286"/>
    <n v="970047"/>
    <n v="104456"/>
    <n v="865591"/>
    <n v="500276"/>
    <n v="365315"/>
  </r>
  <r>
    <s v="15"/>
    <x v="8"/>
    <x v="310"/>
    <x v="310"/>
    <n v="50.37"/>
    <n v="341.3"/>
    <n v="391.67"/>
    <n v="0"/>
    <n v="2"/>
    <n v="0"/>
    <n v="343"/>
    <n v="293.24"/>
    <n v="55.05"/>
    <n v="60.47"/>
    <n v="29.39"/>
    <n v="3.2"/>
    <n v="114853"/>
    <n v="0"/>
    <n v="114853"/>
    <n v="18882"/>
    <n v="20741"/>
    <n v="0"/>
    <n v="11511"/>
    <n v="1253"/>
    <n v="167240"/>
    <n v="17793"/>
    <n v="149447"/>
    <n v="86230"/>
    <n v="63217"/>
  </r>
  <r>
    <s v="15"/>
    <x v="8"/>
    <x v="311"/>
    <x v="311"/>
    <n v="76.64"/>
    <n v="790.8"/>
    <n v="867.44"/>
    <n v="0"/>
    <n v="0"/>
    <n v="0"/>
    <n v="791"/>
    <n v="293.24"/>
    <n v="55.05"/>
    <n v="60.47"/>
    <n v="29.39"/>
    <n v="3.2"/>
    <n v="254368"/>
    <n v="1105"/>
    <n v="255473"/>
    <n v="43545"/>
    <n v="47832"/>
    <n v="0"/>
    <n v="25494"/>
    <n v="2776"/>
    <n v="375120"/>
    <n v="41596"/>
    <n v="333524"/>
    <n v="188788"/>
    <n v="144736"/>
  </r>
  <r>
    <s v="15"/>
    <x v="8"/>
    <x v="312"/>
    <x v="312"/>
    <n v="33.08"/>
    <n v="344.4"/>
    <n v="377.48"/>
    <n v="0"/>
    <n v="0"/>
    <n v="0"/>
    <n v="344"/>
    <n v="293.24"/>
    <n v="55.05"/>
    <n v="60.47"/>
    <n v="29.39"/>
    <n v="3.2"/>
    <n v="110692"/>
    <n v="0"/>
    <n v="110692"/>
    <n v="18937"/>
    <n v="20802"/>
    <n v="0"/>
    <n v="11094"/>
    <n v="1208"/>
    <n v="162733"/>
    <n v="14721"/>
    <n v="148012"/>
    <n v="85534"/>
    <n v="62478"/>
  </r>
  <r>
    <s v="15"/>
    <x v="8"/>
    <x v="313"/>
    <x v="313"/>
    <n v="16.190000000000001"/>
    <n v="209.2"/>
    <n v="225.39"/>
    <n v="0"/>
    <n v="0"/>
    <n v="0"/>
    <n v="209"/>
    <n v="293.24"/>
    <n v="55.05"/>
    <n v="60.47"/>
    <n v="29.39"/>
    <n v="3.2"/>
    <n v="66093"/>
    <n v="3529"/>
    <n v="69622"/>
    <n v="11505"/>
    <n v="12638"/>
    <n v="0"/>
    <n v="6976"/>
    <n v="758"/>
    <n v="101499"/>
    <n v="10949"/>
    <n v="90550"/>
    <n v="49301"/>
    <n v="41249"/>
  </r>
  <r>
    <s v="15"/>
    <x v="8"/>
    <x v="314"/>
    <x v="314"/>
    <n v="22.56"/>
    <n v="209.9"/>
    <n v="232.46"/>
    <n v="0"/>
    <n v="0"/>
    <n v="0"/>
    <n v="210"/>
    <n v="293.24"/>
    <n v="55.05"/>
    <n v="60.47"/>
    <n v="29.39"/>
    <n v="3.2"/>
    <n v="68167"/>
    <n v="2808"/>
    <n v="70975"/>
    <n v="11561"/>
    <n v="12699"/>
    <n v="0"/>
    <n v="7112"/>
    <n v="773"/>
    <n v="103120"/>
    <n v="12939"/>
    <n v="90181"/>
    <n v="49109"/>
    <n v="41072"/>
  </r>
  <r>
    <s v="15"/>
    <x v="8"/>
    <x v="315"/>
    <x v="315"/>
    <n v="260.81"/>
    <n v="1933.3"/>
    <n v="2194.11"/>
    <n v="0"/>
    <n v="5"/>
    <n v="0"/>
    <n v="1938"/>
    <n v="293.24"/>
    <n v="55.05"/>
    <n v="60.47"/>
    <n v="29.39"/>
    <n v="3.2"/>
    <n v="643401"/>
    <n v="5003"/>
    <n v="648404"/>
    <n v="106687"/>
    <n v="117191"/>
    <n v="0"/>
    <n v="64485"/>
    <n v="7021"/>
    <n v="943788"/>
    <n v="93333"/>
    <n v="850455"/>
    <n v="489401"/>
    <n v="361054"/>
  </r>
  <r>
    <s v="15"/>
    <x v="8"/>
    <x v="316"/>
    <x v="316"/>
    <n v="50.15"/>
    <n v="501.6"/>
    <n v="551.75"/>
    <n v="0"/>
    <n v="2"/>
    <n v="0"/>
    <n v="504"/>
    <n v="293.24"/>
    <n v="55.05"/>
    <n v="60.47"/>
    <n v="29.39"/>
    <n v="3.2"/>
    <n v="161795"/>
    <n v="5578"/>
    <n v="167373"/>
    <n v="27745"/>
    <n v="30477"/>
    <n v="0"/>
    <n v="16216"/>
    <n v="1766"/>
    <n v="243577"/>
    <n v="25009"/>
    <n v="218568"/>
    <n v="121531"/>
    <n v="97037"/>
  </r>
  <r>
    <s v="15"/>
    <x v="8"/>
    <x v="317"/>
    <x v="317"/>
    <n v="66.33"/>
    <n v="468.3"/>
    <n v="534.63"/>
    <n v="0"/>
    <n v="30"/>
    <n v="0"/>
    <n v="498"/>
    <n v="293.24"/>
    <n v="55.05"/>
    <n v="60.47"/>
    <n v="29.39"/>
    <n v="3.2"/>
    <n v="156775"/>
    <n v="12734"/>
    <n v="169509"/>
    <n v="27415"/>
    <n v="30114"/>
    <n v="0"/>
    <n v="16985"/>
    <n v="1845"/>
    <n v="245868"/>
    <n v="25355"/>
    <n v="220513"/>
    <n v="118044"/>
    <n v="102469"/>
  </r>
  <r>
    <s v="15"/>
    <x v="8"/>
    <x v="318"/>
    <x v="318"/>
    <n v="297.45"/>
    <n v="2361.3000000000002"/>
    <n v="2658.75"/>
    <n v="0"/>
    <n v="178"/>
    <n v="0"/>
    <n v="2539"/>
    <n v="293.24"/>
    <n v="55.05"/>
    <n v="60.47"/>
    <n v="29.39"/>
    <n v="3.2"/>
    <n v="779652"/>
    <n v="0"/>
    <n v="779652"/>
    <n v="139772"/>
    <n v="153533"/>
    <n v="0"/>
    <n v="78141"/>
    <n v="8508"/>
    <n v="1159606"/>
    <n v="115216"/>
    <n v="1044390"/>
    <n v="590922"/>
    <n v="453468"/>
  </r>
  <r>
    <s v="15"/>
    <x v="8"/>
    <x v="319"/>
    <x v="319"/>
    <n v="516.1"/>
    <n v="4612.2"/>
    <n v="5128.3"/>
    <n v="0"/>
    <n v="149"/>
    <n v="1.7"/>
    <n v="4760"/>
    <n v="293.24"/>
    <n v="55.05"/>
    <n v="60.47"/>
    <n v="29.39"/>
    <n v="3.2"/>
    <n v="1503823"/>
    <n v="0"/>
    <n v="1503823"/>
    <n v="262038"/>
    <n v="287837"/>
    <n v="0"/>
    <n v="150721"/>
    <n v="16411"/>
    <n v="2220830"/>
    <n v="217386"/>
    <n v="2003444"/>
    <n v="1144640"/>
    <n v="858804"/>
  </r>
  <r>
    <s v="15"/>
    <x v="8"/>
    <x v="320"/>
    <x v="320"/>
    <n v="56.12"/>
    <n v="600.1"/>
    <n v="656.22"/>
    <n v="0"/>
    <n v="4"/>
    <n v="0"/>
    <n v="604"/>
    <n v="293.24"/>
    <n v="55.05"/>
    <n v="60.47"/>
    <n v="29.39"/>
    <n v="3.2"/>
    <n v="192430"/>
    <n v="10176"/>
    <n v="202606"/>
    <n v="33250"/>
    <n v="36524"/>
    <n v="0"/>
    <n v="19907"/>
    <n v="2162"/>
    <n v="294449"/>
    <n v="33180"/>
    <n v="261269"/>
    <n v="141788"/>
    <n v="119481"/>
  </r>
  <r>
    <s v="15"/>
    <x v="8"/>
    <x v="321"/>
    <x v="321"/>
    <n v="27.63"/>
    <n v="280.10000000000002"/>
    <n v="307.73"/>
    <n v="0"/>
    <n v="0"/>
    <n v="0"/>
    <n v="280"/>
    <n v="293.24"/>
    <n v="55.05"/>
    <n v="60.47"/>
    <n v="29.39"/>
    <n v="3.2"/>
    <n v="90239"/>
    <n v="2660"/>
    <n v="92899"/>
    <n v="15414"/>
    <n v="16932"/>
    <n v="0"/>
    <n v="9309"/>
    <n v="1011"/>
    <n v="135565"/>
    <n v="16442"/>
    <n v="119123"/>
    <n v="65579"/>
    <n v="53544"/>
  </r>
  <r>
    <s v="15"/>
    <x v="8"/>
    <x v="322"/>
    <x v="322"/>
    <n v="62.91"/>
    <n v="548.6"/>
    <n v="611.51"/>
    <n v="0"/>
    <n v="0"/>
    <n v="0"/>
    <n v="549"/>
    <n v="293.24"/>
    <n v="55.05"/>
    <n v="60.47"/>
    <n v="29.39"/>
    <n v="3.2"/>
    <n v="179319"/>
    <n v="0"/>
    <n v="179319"/>
    <n v="30222"/>
    <n v="33198"/>
    <n v="0"/>
    <n v="17972"/>
    <n v="1957"/>
    <n v="262668"/>
    <n v="32703"/>
    <n v="229965"/>
    <n v="129708"/>
    <n v="100257"/>
  </r>
  <r>
    <s v="15"/>
    <x v="8"/>
    <x v="323"/>
    <x v="323"/>
    <n v="36.04"/>
    <n v="275.39999999999998"/>
    <n v="311.44"/>
    <n v="0"/>
    <n v="3"/>
    <n v="0"/>
    <n v="278"/>
    <n v="293.24"/>
    <n v="55.05"/>
    <n v="60.47"/>
    <n v="29.39"/>
    <n v="3.2"/>
    <n v="91327"/>
    <n v="2730"/>
    <n v="94057"/>
    <n v="15304"/>
    <n v="16811"/>
    <n v="0"/>
    <n v="9332"/>
    <n v="1014"/>
    <n v="136518"/>
    <n v="17232"/>
    <n v="119286"/>
    <n v="65680"/>
    <n v="53606"/>
  </r>
  <r>
    <s v="15"/>
    <x v="8"/>
    <x v="324"/>
    <x v="324"/>
    <n v="74.2"/>
    <n v="637.5"/>
    <n v="711.7"/>
    <n v="0"/>
    <n v="0"/>
    <n v="0"/>
    <n v="638"/>
    <n v="293.24"/>
    <n v="55.05"/>
    <n v="60.47"/>
    <n v="29.39"/>
    <n v="3.2"/>
    <n v="208699"/>
    <n v="8060"/>
    <n v="216759"/>
    <n v="35122"/>
    <n v="38580"/>
    <n v="0"/>
    <n v="20917"/>
    <n v="2277"/>
    <n v="313655"/>
    <n v="38342"/>
    <n v="275313"/>
    <n v="150678"/>
    <n v="124635"/>
  </r>
  <r>
    <s v="15"/>
    <x v="8"/>
    <x v="325"/>
    <x v="325"/>
    <n v="64.180000000000007"/>
    <n v="479.9"/>
    <n v="544.08000000000004"/>
    <n v="0"/>
    <n v="2"/>
    <n v="0"/>
    <n v="482"/>
    <n v="293.24"/>
    <n v="55.05"/>
    <n v="60.47"/>
    <n v="29.39"/>
    <n v="3.2"/>
    <n v="159546"/>
    <n v="0"/>
    <n v="159546"/>
    <n v="26534"/>
    <n v="29147"/>
    <n v="0"/>
    <n v="15991"/>
    <n v="1741"/>
    <n v="232959"/>
    <n v="26545"/>
    <n v="206414"/>
    <n v="117958"/>
    <n v="88456"/>
  </r>
  <r>
    <s v="15"/>
    <x v="8"/>
    <x v="326"/>
    <x v="326"/>
    <n v="98.23"/>
    <n v="618.20000000000005"/>
    <n v="716.43"/>
    <n v="0"/>
    <n v="0"/>
    <n v="0"/>
    <n v="618"/>
    <n v="293.24"/>
    <n v="55.05"/>
    <n v="60.47"/>
    <n v="29.39"/>
    <n v="3.2"/>
    <n v="210086"/>
    <n v="18920"/>
    <n v="229006"/>
    <n v="34021"/>
    <n v="37370"/>
    <n v="0"/>
    <n v="21662"/>
    <n v="2353"/>
    <n v="324412"/>
    <n v="34892"/>
    <n v="289520"/>
    <n v="156051"/>
    <n v="133469"/>
  </r>
  <r>
    <s v="15"/>
    <x v="8"/>
    <x v="327"/>
    <x v="327"/>
    <n v="62.18"/>
    <n v="575.6"/>
    <n v="637.78"/>
    <n v="0"/>
    <n v="0"/>
    <n v="0"/>
    <n v="576"/>
    <n v="293.24"/>
    <n v="55.05"/>
    <n v="60.47"/>
    <n v="29.39"/>
    <n v="3.2"/>
    <n v="187023"/>
    <n v="229"/>
    <n v="187252"/>
    <n v="31709"/>
    <n v="34831"/>
    <n v="0"/>
    <n v="18744"/>
    <n v="2041"/>
    <n v="274577"/>
    <n v="35052"/>
    <n v="239525"/>
    <n v="134336"/>
    <n v="105189"/>
  </r>
  <r>
    <s v="15"/>
    <x v="8"/>
    <x v="328"/>
    <x v="328"/>
    <n v="59.72"/>
    <n v="465.2"/>
    <n v="524.91999999999996"/>
    <n v="0"/>
    <n v="8"/>
    <n v="0"/>
    <n v="473"/>
    <n v="293.24"/>
    <n v="55.05"/>
    <n v="60.47"/>
    <n v="29.39"/>
    <n v="3.2"/>
    <n v="153928"/>
    <n v="0"/>
    <n v="153928"/>
    <n v="26039"/>
    <n v="28602"/>
    <n v="0"/>
    <n v="15427"/>
    <n v="1680"/>
    <n v="225676"/>
    <n v="21967"/>
    <n v="203709"/>
    <n v="117446"/>
    <n v="86263"/>
  </r>
  <r>
    <s v="15"/>
    <x v="8"/>
    <x v="329"/>
    <x v="329"/>
    <n v="38.119999999999997"/>
    <n v="339.3"/>
    <n v="377.42"/>
    <n v="0"/>
    <n v="0"/>
    <n v="0"/>
    <n v="339"/>
    <n v="293.24"/>
    <n v="55.05"/>
    <n v="60.47"/>
    <n v="29.39"/>
    <n v="3.2"/>
    <n v="110675"/>
    <n v="5053"/>
    <n v="115728"/>
    <n v="18662"/>
    <n v="20499"/>
    <n v="0"/>
    <n v="11321"/>
    <n v="1230"/>
    <n v="167440"/>
    <n v="18261"/>
    <n v="149179"/>
    <n v="82229"/>
    <n v="66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grandTotalCaption="AEA Total" updatedVersion="4" minRefreshableVersion="3" showDrill="0" useAutoFormatting="1" itemPrintTitles="1" createdVersion="4" indent="0" compact="0" compactData="0" multipleFieldFilters="0">
  <location ref="A4:V335" firstHeaderRow="0" firstDataRow="1" firstDataCol="2"/>
  <pivotFields count="29">
    <pivotField compact="0" outline="0" showAll="0" defaultSubtotal="0"/>
    <pivotField compact="0" outline="0" showAll="0" defaultSubtotal="0">
      <items count="9">
        <item x="2"/>
        <item x="4"/>
        <item x="8"/>
        <item x="7"/>
        <item x="5"/>
        <item x="0"/>
        <item x="3"/>
        <item x="6"/>
        <item x="1"/>
      </items>
    </pivotField>
    <pivotField axis="axisRow" compact="0" outline="0" showAll="0" defaultSubtotal="0">
      <items count="333">
        <item x="61"/>
        <item x="167"/>
        <item x="168"/>
        <item x="220"/>
        <item x="22"/>
        <item x="297"/>
        <item x="135"/>
        <item x="62"/>
        <item x="23"/>
        <item x="0"/>
        <item x="97"/>
        <item x="24"/>
        <item x="169"/>
        <item x="136"/>
        <item x="114"/>
        <item x="170"/>
        <item x="63"/>
        <item x="42"/>
        <item x="221"/>
        <item x="255"/>
        <item x="171"/>
        <item m="1" x="332"/>
        <item x="254"/>
        <item x="172"/>
        <item m="1" x="331"/>
        <item x="173"/>
        <item x="64"/>
        <item x="256"/>
        <item x="137"/>
        <item x="115"/>
        <item x="65"/>
        <item x="116"/>
        <item x="138"/>
        <item x="117"/>
        <item x="305"/>
        <item x="174"/>
        <item x="175"/>
        <item x="222"/>
        <item x="112"/>
        <item x="66"/>
        <item x="98"/>
        <item x="298"/>
        <item x="258"/>
        <item x="67"/>
        <item x="118"/>
        <item x="119"/>
        <item x="299"/>
        <item x="176"/>
        <item x="177"/>
        <item x="68"/>
        <item x="139"/>
        <item x="140"/>
        <item x="300"/>
        <item x="301"/>
        <item x="1"/>
        <item x="120"/>
        <item x="141"/>
        <item x="259"/>
        <item x="223"/>
        <item x="302"/>
        <item x="70"/>
        <item x="224"/>
        <item x="225"/>
        <item x="260"/>
        <item x="25"/>
        <item x="261"/>
        <item x="71"/>
        <item x="26"/>
        <item x="142"/>
        <item x="72"/>
        <item x="121"/>
        <item x="178"/>
        <item x="143"/>
        <item x="179"/>
        <item x="180"/>
        <item x="122"/>
        <item x="181"/>
        <item x="262"/>
        <item x="263"/>
        <item x="264"/>
        <item x="182"/>
        <item x="303"/>
        <item x="123"/>
        <item x="304"/>
        <item x="3"/>
        <item x="124"/>
        <item x="226"/>
        <item x="73"/>
        <item x="183"/>
        <item x="265"/>
        <item x="74"/>
        <item x="4"/>
        <item x="75"/>
        <item x="257"/>
        <item x="125"/>
        <item x="107"/>
        <item x="27"/>
        <item x="184"/>
        <item x="76"/>
        <item x="126"/>
        <item x="267"/>
        <item x="5"/>
        <item x="239"/>
        <item x="6"/>
        <item x="78"/>
        <item x="29"/>
        <item x="144"/>
        <item x="268"/>
        <item x="30"/>
        <item x="185"/>
        <item x="306"/>
        <item x="79"/>
        <item x="31"/>
        <item x="307"/>
        <item x="269"/>
        <item x="227"/>
        <item x="81"/>
        <item x="228"/>
        <item x="186"/>
        <item x="32"/>
        <item x="82"/>
        <item x="270"/>
        <item x="187"/>
        <item x="33"/>
        <item x="283"/>
        <item x="80"/>
        <item x="83"/>
        <item x="271"/>
        <item x="84"/>
        <item x="188"/>
        <item x="2"/>
        <item x="145"/>
        <item x="272"/>
        <item x="85"/>
        <item x="273"/>
        <item x="308"/>
        <item x="35"/>
        <item x="229"/>
        <item x="146"/>
        <item x="230"/>
        <item x="7"/>
        <item x="86"/>
        <item x="87"/>
        <item x="36"/>
        <item x="88"/>
        <item x="189"/>
        <item x="190"/>
        <item x="147"/>
        <item x="89"/>
        <item x="148"/>
        <item x="274"/>
        <item x="90"/>
        <item x="34"/>
        <item x="91"/>
        <item x="191"/>
        <item x="309"/>
        <item x="310"/>
        <item x="231"/>
        <item x="192"/>
        <item x="92"/>
        <item x="275"/>
        <item x="37"/>
        <item x="232"/>
        <item x="77"/>
        <item x="233"/>
        <item x="276"/>
        <item x="277"/>
        <item x="157"/>
        <item x="149"/>
        <item x="150"/>
        <item x="278"/>
        <item x="151"/>
        <item x="127"/>
        <item x="38"/>
        <item x="193"/>
        <item x="194"/>
        <item x="266"/>
        <item x="39"/>
        <item x="234"/>
        <item x="128"/>
        <item x="9"/>
        <item x="235"/>
        <item x="152"/>
        <item x="93"/>
        <item x="195"/>
        <item x="94"/>
        <item x="236"/>
        <item x="311"/>
        <item x="196"/>
        <item x="154"/>
        <item x="153"/>
        <item x="279"/>
        <item x="8"/>
        <item x="95"/>
        <item x="155"/>
        <item x="312"/>
        <item x="280"/>
        <item x="313"/>
        <item x="314"/>
        <item x="281"/>
        <item x="315"/>
        <item x="156"/>
        <item x="282"/>
        <item x="129"/>
        <item x="96"/>
        <item x="197"/>
        <item x="40"/>
        <item x="10"/>
        <item x="316"/>
        <item x="198"/>
        <item x="69"/>
        <item x="131"/>
        <item x="11"/>
        <item x="43"/>
        <item x="317"/>
        <item x="158"/>
        <item x="41"/>
        <item x="199"/>
        <item x="130"/>
        <item x="99"/>
        <item x="12"/>
        <item x="100"/>
        <item x="200"/>
        <item x="286"/>
        <item x="237"/>
        <item x="13"/>
        <item x="201"/>
        <item x="44"/>
        <item x="159"/>
        <item x="284"/>
        <item x="101"/>
        <item x="318"/>
        <item x="319"/>
        <item x="203"/>
        <item x="45"/>
        <item x="247"/>
        <item x="320"/>
        <item x="204"/>
        <item x="205"/>
        <item x="132"/>
        <item x="206"/>
        <item x="46"/>
        <item x="14"/>
        <item x="202"/>
        <item x="47"/>
        <item x="285"/>
        <item x="238"/>
        <item x="15"/>
        <item x="240"/>
        <item x="207"/>
        <item x="102"/>
        <item x="48"/>
        <item x="104"/>
        <item x="208"/>
        <item x="49"/>
        <item x="241"/>
        <item x="242"/>
        <item x="321"/>
        <item x="111"/>
        <item x="243"/>
        <item x="287"/>
        <item x="244"/>
        <item x="288"/>
        <item x="322"/>
        <item x="245"/>
        <item x="246"/>
        <item x="50"/>
        <item x="51"/>
        <item x="160"/>
        <item x="210"/>
        <item x="52"/>
        <item x="53"/>
        <item x="289"/>
        <item x="103"/>
        <item x="16"/>
        <item x="209"/>
        <item x="54"/>
        <item x="55"/>
        <item x="161"/>
        <item x="290"/>
        <item x="17"/>
        <item x="56"/>
        <item x="57"/>
        <item x="216"/>
        <item x="105"/>
        <item x="162"/>
        <item x="291"/>
        <item x="292"/>
        <item x="323"/>
        <item x="106"/>
        <item x="18"/>
        <item x="211"/>
        <item x="58"/>
        <item x="293"/>
        <item x="212"/>
        <item x="213"/>
        <item m="1" x="330"/>
        <item x="324"/>
        <item x="214"/>
        <item x="294"/>
        <item x="163"/>
        <item x="325"/>
        <item x="28"/>
        <item x="326"/>
        <item x="108"/>
        <item x="164"/>
        <item x="109"/>
        <item x="215"/>
        <item x="110"/>
        <item x="327"/>
        <item x="59"/>
        <item x="60"/>
        <item x="165"/>
        <item x="328"/>
        <item x="19"/>
        <item x="20"/>
        <item x="217"/>
        <item x="21"/>
        <item x="295"/>
        <item x="133"/>
        <item x="248"/>
        <item x="113"/>
        <item x="249"/>
        <item x="250"/>
        <item x="251"/>
        <item x="252"/>
        <item x="166"/>
        <item x="134"/>
        <item x="329"/>
        <item x="218"/>
        <item x="296"/>
        <item x="253"/>
        <item x="219"/>
      </items>
    </pivotField>
    <pivotField axis="axisRow" compact="0" outline="0" showAll="0" defaultSubtotal="0">
      <items count="354">
        <item x="167"/>
        <item x="168"/>
        <item x="61"/>
        <item m="1" x="336"/>
        <item x="220"/>
        <item x="22"/>
        <item x="297"/>
        <item x="135"/>
        <item x="62"/>
        <item m="1" x="335"/>
        <item x="0"/>
        <item m="1" x="351"/>
        <item x="169"/>
        <item x="136"/>
        <item x="114"/>
        <item x="170"/>
        <item x="63"/>
        <item x="221"/>
        <item x="255"/>
        <item x="171"/>
        <item m="1" x="342"/>
        <item x="172"/>
        <item m="1" x="345"/>
        <item x="173"/>
        <item x="64"/>
        <item x="256"/>
        <item x="137"/>
        <item x="115"/>
        <item x="65"/>
        <item x="116"/>
        <item x="138"/>
        <item x="117"/>
        <item x="174"/>
        <item x="175"/>
        <item x="222"/>
        <item x="257"/>
        <item x="66"/>
        <item x="298"/>
        <item x="67"/>
        <item m="1" x="346"/>
        <item x="258"/>
        <item x="119"/>
        <item x="299"/>
        <item x="176"/>
        <item x="177"/>
        <item x="68"/>
        <item x="139"/>
        <item x="140"/>
        <item x="300"/>
        <item x="141"/>
        <item x="1"/>
        <item x="120"/>
        <item x="259"/>
        <item x="301"/>
        <item x="223"/>
        <item x="69"/>
        <item x="302"/>
        <item x="70"/>
        <item x="224"/>
        <item x="225"/>
        <item x="260"/>
        <item m="1" x="330"/>
        <item x="261"/>
        <item x="71"/>
        <item x="26"/>
        <item x="2"/>
        <item m="1" x="343"/>
        <item x="72"/>
        <item x="121"/>
        <item x="178"/>
        <item m="1" x="332"/>
        <item x="179"/>
        <item x="180"/>
        <item x="122"/>
        <item x="181"/>
        <item x="262"/>
        <item x="263"/>
        <item m="1" x="352"/>
        <item x="182"/>
        <item x="303"/>
        <item x="123"/>
        <item x="304"/>
        <item x="3"/>
        <item x="124"/>
        <item x="226"/>
        <item x="73"/>
        <item x="183"/>
        <item x="265"/>
        <item x="74"/>
        <item x="4"/>
        <item x="75"/>
        <item x="125"/>
        <item x="27"/>
        <item x="184"/>
        <item x="76"/>
        <item x="77"/>
        <item m="1" x="344"/>
        <item x="28"/>
        <item x="267"/>
        <item x="5"/>
        <item x="126"/>
        <item m="1" x="350"/>
        <item x="6"/>
        <item x="78"/>
        <item x="29"/>
        <item m="1" x="347"/>
        <item x="268"/>
        <item m="1" x="348"/>
        <item x="185"/>
        <item x="306"/>
        <item m="1" x="331"/>
        <item x="31"/>
        <item x="307"/>
        <item x="269"/>
        <item x="227"/>
        <item m="1" x="341"/>
        <item x="228"/>
        <item x="186"/>
        <item x="32"/>
        <item x="82"/>
        <item x="270"/>
        <item x="187"/>
        <item x="80"/>
        <item x="33"/>
        <item m="1" x="338"/>
        <item x="83"/>
        <item x="271"/>
        <item x="84"/>
        <item x="188"/>
        <item x="272"/>
        <item x="85"/>
        <item x="273"/>
        <item x="308"/>
        <item x="35"/>
        <item x="229"/>
        <item x="146"/>
        <item x="230"/>
        <item x="145"/>
        <item x="7"/>
        <item x="86"/>
        <item x="87"/>
        <item x="36"/>
        <item x="274"/>
        <item x="88"/>
        <item x="189"/>
        <item x="190"/>
        <item x="147"/>
        <item x="89"/>
        <item x="148"/>
        <item x="90"/>
        <item x="91"/>
        <item x="191"/>
        <item x="309"/>
        <item x="310"/>
        <item x="231"/>
        <item x="192"/>
        <item x="92"/>
        <item x="275"/>
        <item x="37"/>
        <item x="232"/>
        <item x="233"/>
        <item x="276"/>
        <item x="277"/>
        <item x="149"/>
        <item x="150"/>
        <item x="278"/>
        <item x="151"/>
        <item x="127"/>
        <item x="38"/>
        <item x="193"/>
        <item x="194"/>
        <item x="39"/>
        <item m="1" x="337"/>
        <item x="128"/>
        <item x="9"/>
        <item x="235"/>
        <item x="152"/>
        <item x="93"/>
        <item x="195"/>
        <item x="94"/>
        <item x="311"/>
        <item x="196"/>
        <item x="8"/>
        <item x="154"/>
        <item x="153"/>
        <item x="279"/>
        <item x="236"/>
        <item x="95"/>
        <item x="155"/>
        <item x="312"/>
        <item x="280"/>
        <item x="313"/>
        <item x="314"/>
        <item x="281"/>
        <item x="315"/>
        <item x="156"/>
        <item x="282"/>
        <item x="129"/>
        <item x="96"/>
        <item x="197"/>
        <item x="10"/>
        <item x="316"/>
        <item x="40"/>
        <item x="198"/>
        <item m="1" x="334"/>
        <item m="1" x="333"/>
        <item x="157"/>
        <item m="1" x="349"/>
        <item x="98"/>
        <item x="41"/>
        <item x="158"/>
        <item x="317"/>
        <item x="199"/>
        <item x="130"/>
        <item x="99"/>
        <item m="1" x="339"/>
        <item x="12"/>
        <item x="131"/>
        <item x="43"/>
        <item x="100"/>
        <item x="200"/>
        <item m="1" x="340"/>
        <item x="13"/>
        <item x="201"/>
        <item x="44"/>
        <item x="159"/>
        <item x="284"/>
        <item x="101"/>
        <item x="318"/>
        <item x="319"/>
        <item x="203"/>
        <item x="45"/>
        <item x="202"/>
        <item x="320"/>
        <item x="204"/>
        <item x="205"/>
        <item x="132"/>
        <item x="206"/>
        <item x="46"/>
        <item x="14"/>
        <item x="47"/>
        <item x="285"/>
        <item x="238"/>
        <item x="15"/>
        <item x="239"/>
        <item x="286"/>
        <item x="240"/>
        <item x="207"/>
        <item x="102"/>
        <item x="48"/>
        <item x="208"/>
        <item x="49"/>
        <item x="241"/>
        <item x="242"/>
        <item x="321"/>
        <item x="243"/>
        <item x="287"/>
        <item x="244"/>
        <item x="288"/>
        <item x="322"/>
        <item x="245"/>
        <item x="50"/>
        <item x="246"/>
        <item x="160"/>
        <item x="51"/>
        <item x="52"/>
        <item x="247"/>
        <item x="289"/>
        <item x="103"/>
        <item x="16"/>
        <item x="209"/>
        <item x="210"/>
        <item x="53"/>
        <item x="54"/>
        <item x="55"/>
        <item x="161"/>
        <item x="104"/>
        <item x="290"/>
        <item x="17"/>
        <item x="56"/>
        <item x="57"/>
        <item x="105"/>
        <item x="162"/>
        <item x="291"/>
        <item x="292"/>
        <item x="323"/>
        <item x="106"/>
        <item x="18"/>
        <item x="211"/>
        <item x="58"/>
        <item x="293"/>
        <item x="107"/>
        <item x="212"/>
        <item x="213"/>
        <item m="1" x="353"/>
        <item x="324"/>
        <item x="214"/>
        <item x="294"/>
        <item x="163"/>
        <item x="325"/>
        <item x="326"/>
        <item x="108"/>
        <item x="164"/>
        <item x="109"/>
        <item x="215"/>
        <item x="110"/>
        <item x="327"/>
        <item x="59"/>
        <item x="60"/>
        <item x="165"/>
        <item x="328"/>
        <item x="19"/>
        <item x="216"/>
        <item x="20"/>
        <item x="217"/>
        <item x="111"/>
        <item x="112"/>
        <item x="295"/>
        <item x="133"/>
        <item x="248"/>
        <item x="113"/>
        <item x="249"/>
        <item x="250"/>
        <item x="21"/>
        <item x="251"/>
        <item x="252"/>
        <item x="166"/>
        <item x="134"/>
        <item x="329"/>
        <item x="218"/>
        <item x="296"/>
        <item x="253"/>
        <item x="219"/>
        <item x="11"/>
        <item x="23"/>
        <item x="24"/>
        <item x="25"/>
        <item x="30"/>
        <item x="34"/>
        <item x="42"/>
        <item x="79"/>
        <item x="81"/>
        <item x="97"/>
        <item x="118"/>
        <item x="142"/>
        <item x="143"/>
        <item x="144"/>
        <item x="234"/>
        <item x="237"/>
        <item x="254"/>
        <item x="264"/>
        <item x="266"/>
        <item x="283"/>
        <item x="305"/>
      </items>
    </pivotField>
    <pivotField dataField="1" compact="0" numFmtId="4" outline="0" showAll="0" defaultSubtotal="0"/>
    <pivotField dataField="1" compact="0" numFmtId="164" outline="0" showAll="0" defaultSubtotal="0"/>
    <pivotField dataField="1" compact="0" numFmtId="4" outline="0" showAll="0" defaultSubtotal="0"/>
    <pivotField dataField="1" compact="0" numFmtId="4" outline="0" showAll="0" defaultSubtotal="0"/>
    <pivotField dataField="1" compact="0" numFmtId="3" outline="0" showAll="0" defaultSubtotal="0"/>
    <pivotField dataField="1" compact="0" numFmtId="164" outline="0" showAll="0" defaultSubtotal="0"/>
    <pivotField dataField="1" compact="0" numFmtId="3"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s>
  <rowFields count="2">
    <field x="2"/>
    <field x="3"/>
  </rowFields>
  <rowItems count="331">
    <i>
      <x/>
      <x v="2"/>
    </i>
    <i>
      <x v="1"/>
      <x/>
    </i>
    <i>
      <x v="2"/>
      <x v="1"/>
    </i>
    <i>
      <x v="3"/>
      <x v="4"/>
    </i>
    <i>
      <x v="4"/>
      <x v="5"/>
    </i>
    <i>
      <x v="5"/>
      <x v="6"/>
    </i>
    <i>
      <x v="6"/>
      <x v="7"/>
    </i>
    <i>
      <x v="7"/>
      <x v="8"/>
    </i>
    <i>
      <x v="8"/>
      <x v="334"/>
    </i>
    <i>
      <x v="9"/>
      <x v="10"/>
    </i>
    <i>
      <x v="10"/>
      <x v="342"/>
    </i>
    <i>
      <x v="11"/>
      <x v="335"/>
    </i>
    <i>
      <x v="12"/>
      <x v="12"/>
    </i>
    <i>
      <x v="13"/>
      <x v="13"/>
    </i>
    <i>
      <x v="14"/>
      <x v="14"/>
    </i>
    <i>
      <x v="15"/>
      <x v="15"/>
    </i>
    <i>
      <x v="16"/>
      <x v="16"/>
    </i>
    <i>
      <x v="17"/>
      <x v="339"/>
    </i>
    <i>
      <x v="18"/>
      <x v="17"/>
    </i>
    <i>
      <x v="19"/>
      <x v="18"/>
    </i>
    <i>
      <x v="20"/>
      <x v="19"/>
    </i>
    <i>
      <x v="22"/>
      <x v="349"/>
    </i>
    <i>
      <x v="23"/>
      <x v="21"/>
    </i>
    <i>
      <x v="25"/>
      <x v="23"/>
    </i>
    <i>
      <x v="26"/>
      <x v="24"/>
    </i>
    <i>
      <x v="27"/>
      <x v="25"/>
    </i>
    <i>
      <x v="28"/>
      <x v="26"/>
    </i>
    <i>
      <x v="29"/>
      <x v="27"/>
    </i>
    <i>
      <x v="30"/>
      <x v="28"/>
    </i>
    <i>
      <x v="31"/>
      <x v="29"/>
    </i>
    <i>
      <x v="32"/>
      <x v="30"/>
    </i>
    <i>
      <x v="33"/>
      <x v="31"/>
    </i>
    <i>
      <x v="34"/>
      <x v="353"/>
    </i>
    <i>
      <x v="35"/>
      <x v="32"/>
    </i>
    <i>
      <x v="36"/>
      <x v="33"/>
    </i>
    <i>
      <x v="37"/>
      <x v="34"/>
    </i>
    <i>
      <x v="38"/>
      <x v="316"/>
    </i>
    <i>
      <x v="39"/>
      <x v="36"/>
    </i>
    <i>
      <x v="40"/>
      <x v="208"/>
    </i>
    <i>
      <x v="41"/>
      <x v="37"/>
    </i>
    <i>
      <x v="42"/>
      <x v="40"/>
    </i>
    <i>
      <x v="43"/>
      <x v="38"/>
    </i>
    <i>
      <x v="44"/>
      <x v="343"/>
    </i>
    <i>
      <x v="45"/>
      <x v="41"/>
    </i>
    <i>
      <x v="46"/>
      <x v="42"/>
    </i>
    <i>
      <x v="47"/>
      <x v="43"/>
    </i>
    <i>
      <x v="48"/>
      <x v="44"/>
    </i>
    <i>
      <x v="49"/>
      <x v="45"/>
    </i>
    <i>
      <x v="50"/>
      <x v="46"/>
    </i>
    <i>
      <x v="51"/>
      <x v="47"/>
    </i>
    <i>
      <x v="52"/>
      <x v="48"/>
    </i>
    <i>
      <x v="53"/>
      <x v="53"/>
    </i>
    <i>
      <x v="54"/>
      <x v="50"/>
    </i>
    <i>
      <x v="55"/>
      <x v="51"/>
    </i>
    <i>
      <x v="56"/>
      <x v="49"/>
    </i>
    <i>
      <x v="57"/>
      <x v="52"/>
    </i>
    <i>
      <x v="58"/>
      <x v="54"/>
    </i>
    <i>
      <x v="59"/>
      <x v="56"/>
    </i>
    <i>
      <x v="60"/>
      <x v="57"/>
    </i>
    <i>
      <x v="61"/>
      <x v="58"/>
    </i>
    <i>
      <x v="62"/>
      <x v="59"/>
    </i>
    <i>
      <x v="63"/>
      <x v="60"/>
    </i>
    <i>
      <x v="64"/>
      <x v="336"/>
    </i>
    <i>
      <x v="65"/>
      <x v="62"/>
    </i>
    <i>
      <x v="66"/>
      <x v="63"/>
    </i>
    <i>
      <x v="67"/>
      <x v="64"/>
    </i>
    <i>
      <x v="68"/>
      <x v="344"/>
    </i>
    <i>
      <x v="69"/>
      <x v="67"/>
    </i>
    <i>
      <x v="70"/>
      <x v="68"/>
    </i>
    <i>
      <x v="71"/>
      <x v="69"/>
    </i>
    <i>
      <x v="72"/>
      <x v="345"/>
    </i>
    <i>
      <x v="73"/>
      <x v="71"/>
    </i>
    <i>
      <x v="74"/>
      <x v="72"/>
    </i>
    <i>
      <x v="75"/>
      <x v="73"/>
    </i>
    <i>
      <x v="76"/>
      <x v="74"/>
    </i>
    <i>
      <x v="77"/>
      <x v="75"/>
    </i>
    <i>
      <x v="78"/>
      <x v="76"/>
    </i>
    <i>
      <x v="79"/>
      <x v="350"/>
    </i>
    <i>
      <x v="80"/>
      <x v="78"/>
    </i>
    <i>
      <x v="81"/>
      <x v="79"/>
    </i>
    <i>
      <x v="82"/>
      <x v="80"/>
    </i>
    <i>
      <x v="83"/>
      <x v="81"/>
    </i>
    <i>
      <x v="84"/>
      <x v="82"/>
    </i>
    <i>
      <x v="85"/>
      <x v="83"/>
    </i>
    <i>
      <x v="86"/>
      <x v="84"/>
    </i>
    <i>
      <x v="87"/>
      <x v="85"/>
    </i>
    <i>
      <x v="88"/>
      <x v="86"/>
    </i>
    <i>
      <x v="89"/>
      <x v="87"/>
    </i>
    <i>
      <x v="90"/>
      <x v="88"/>
    </i>
    <i>
      <x v="91"/>
      <x v="89"/>
    </i>
    <i>
      <x v="92"/>
      <x v="90"/>
    </i>
    <i>
      <x v="93"/>
      <x v="35"/>
    </i>
    <i>
      <x v="94"/>
      <x v="91"/>
    </i>
    <i>
      <x v="95"/>
      <x v="291"/>
    </i>
    <i>
      <x v="96"/>
      <x v="92"/>
    </i>
    <i>
      <x v="97"/>
      <x v="93"/>
    </i>
    <i>
      <x v="98"/>
      <x v="94"/>
    </i>
    <i>
      <x v="99"/>
      <x v="100"/>
    </i>
    <i>
      <x v="100"/>
      <x v="98"/>
    </i>
    <i>
      <x v="101"/>
      <x v="99"/>
    </i>
    <i>
      <x v="102"/>
      <x v="244"/>
    </i>
    <i>
      <x v="103"/>
      <x v="102"/>
    </i>
    <i>
      <x v="104"/>
      <x v="103"/>
    </i>
    <i>
      <x v="105"/>
      <x v="104"/>
    </i>
    <i>
      <x v="106"/>
      <x v="346"/>
    </i>
    <i>
      <x v="107"/>
      <x v="106"/>
    </i>
    <i>
      <x v="108"/>
      <x v="337"/>
    </i>
    <i>
      <x v="109"/>
      <x v="108"/>
    </i>
    <i>
      <x v="110"/>
      <x v="109"/>
    </i>
    <i>
      <x v="111"/>
      <x v="340"/>
    </i>
    <i>
      <x v="112"/>
      <x v="111"/>
    </i>
    <i>
      <x v="113"/>
      <x v="112"/>
    </i>
    <i>
      <x v="114"/>
      <x v="113"/>
    </i>
    <i>
      <x v="115"/>
      <x v="114"/>
    </i>
    <i>
      <x v="116"/>
      <x v="341"/>
    </i>
    <i>
      <x v="117"/>
      <x v="116"/>
    </i>
    <i>
      <x v="118"/>
      <x v="117"/>
    </i>
    <i>
      <x v="119"/>
      <x v="118"/>
    </i>
    <i>
      <x v="120"/>
      <x v="119"/>
    </i>
    <i>
      <x v="121"/>
      <x v="120"/>
    </i>
    <i>
      <x v="122"/>
      <x v="121"/>
    </i>
    <i>
      <x v="123"/>
      <x v="123"/>
    </i>
    <i>
      <x v="124"/>
      <x v="352"/>
    </i>
    <i>
      <x v="125"/>
      <x v="122"/>
    </i>
    <i>
      <x v="126"/>
      <x v="125"/>
    </i>
    <i>
      <x v="127"/>
      <x v="126"/>
    </i>
    <i>
      <x v="128"/>
      <x v="127"/>
    </i>
    <i>
      <x v="129"/>
      <x v="128"/>
    </i>
    <i>
      <x v="130"/>
      <x v="65"/>
    </i>
    <i>
      <x v="131"/>
      <x v="137"/>
    </i>
    <i>
      <x v="132"/>
      <x v="129"/>
    </i>
    <i>
      <x v="133"/>
      <x v="130"/>
    </i>
    <i>
      <x v="134"/>
      <x v="131"/>
    </i>
    <i>
      <x v="135"/>
      <x v="132"/>
    </i>
    <i>
      <x v="136"/>
      <x v="133"/>
    </i>
    <i>
      <x v="137"/>
      <x v="134"/>
    </i>
    <i>
      <x v="138"/>
      <x v="135"/>
    </i>
    <i>
      <x v="139"/>
      <x v="136"/>
    </i>
    <i>
      <x v="140"/>
      <x v="138"/>
    </i>
    <i>
      <x v="141"/>
      <x v="139"/>
    </i>
    <i>
      <x v="142"/>
      <x v="140"/>
    </i>
    <i>
      <x v="143"/>
      <x v="141"/>
    </i>
    <i>
      <x v="144"/>
      <x v="143"/>
    </i>
    <i>
      <x v="145"/>
      <x v="144"/>
    </i>
    <i>
      <x v="146"/>
      <x v="145"/>
    </i>
    <i>
      <x v="147"/>
      <x v="146"/>
    </i>
    <i>
      <x v="148"/>
      <x v="147"/>
    </i>
    <i>
      <x v="149"/>
      <x v="148"/>
    </i>
    <i>
      <x v="150"/>
      <x v="142"/>
    </i>
    <i>
      <x v="151"/>
      <x v="149"/>
    </i>
    <i>
      <x v="152"/>
      <x v="338"/>
    </i>
    <i>
      <x v="153"/>
      <x v="150"/>
    </i>
    <i>
      <x v="154"/>
      <x v="151"/>
    </i>
    <i>
      <x v="155"/>
      <x v="152"/>
    </i>
    <i>
      <x v="156"/>
      <x v="153"/>
    </i>
    <i>
      <x v="157"/>
      <x v="154"/>
    </i>
    <i>
      <x v="158"/>
      <x v="155"/>
    </i>
    <i>
      <x v="159"/>
      <x v="156"/>
    </i>
    <i>
      <x v="160"/>
      <x v="157"/>
    </i>
    <i>
      <x v="161"/>
      <x v="158"/>
    </i>
    <i>
      <x v="162"/>
      <x v="159"/>
    </i>
    <i>
      <x v="163"/>
      <x v="95"/>
    </i>
    <i>
      <x v="164"/>
      <x v="160"/>
    </i>
    <i>
      <x v="165"/>
      <x v="161"/>
    </i>
    <i>
      <x v="166"/>
      <x v="162"/>
    </i>
    <i>
      <x v="167"/>
      <x v="206"/>
    </i>
    <i>
      <x v="168"/>
      <x v="163"/>
    </i>
    <i>
      <x v="169"/>
      <x v="164"/>
    </i>
    <i>
      <x v="170"/>
      <x v="165"/>
    </i>
    <i>
      <x v="171"/>
      <x v="166"/>
    </i>
    <i>
      <x v="172"/>
      <x v="167"/>
    </i>
    <i>
      <x v="173"/>
      <x v="168"/>
    </i>
    <i>
      <x v="174"/>
      <x v="169"/>
    </i>
    <i>
      <x v="175"/>
      <x v="170"/>
    </i>
    <i>
      <x v="176"/>
      <x v="351"/>
    </i>
    <i>
      <x v="177"/>
      <x v="171"/>
    </i>
    <i>
      <x v="178"/>
      <x v="347"/>
    </i>
    <i>
      <x v="179"/>
      <x v="173"/>
    </i>
    <i>
      <x v="180"/>
      <x v="174"/>
    </i>
    <i>
      <x v="181"/>
      <x v="175"/>
    </i>
    <i>
      <x v="182"/>
      <x v="176"/>
    </i>
    <i>
      <x v="183"/>
      <x v="177"/>
    </i>
    <i>
      <x v="184"/>
      <x v="178"/>
    </i>
    <i>
      <x v="185"/>
      <x v="179"/>
    </i>
    <i>
      <x v="186"/>
      <x v="186"/>
    </i>
    <i>
      <x v="187"/>
      <x v="180"/>
    </i>
    <i>
      <x v="188"/>
      <x v="181"/>
    </i>
    <i>
      <x v="189"/>
      <x v="183"/>
    </i>
    <i>
      <x v="190"/>
      <x v="184"/>
    </i>
    <i>
      <x v="191"/>
      <x v="185"/>
    </i>
    <i>
      <x v="192"/>
      <x v="182"/>
    </i>
    <i>
      <x v="193"/>
      <x v="187"/>
    </i>
    <i>
      <x v="194"/>
      <x v="188"/>
    </i>
    <i>
      <x v="195"/>
      <x v="189"/>
    </i>
    <i>
      <x v="196"/>
      <x v="190"/>
    </i>
    <i>
      <x v="197"/>
      <x v="191"/>
    </i>
    <i>
      <x v="198"/>
      <x v="192"/>
    </i>
    <i>
      <x v="199"/>
      <x v="193"/>
    </i>
    <i>
      <x v="200"/>
      <x v="194"/>
    </i>
    <i>
      <x v="201"/>
      <x v="195"/>
    </i>
    <i>
      <x v="202"/>
      <x v="196"/>
    </i>
    <i>
      <x v="203"/>
      <x v="197"/>
    </i>
    <i>
      <x v="204"/>
      <x v="198"/>
    </i>
    <i>
      <x v="205"/>
      <x v="199"/>
    </i>
    <i>
      <x v="206"/>
      <x v="202"/>
    </i>
    <i>
      <x v="207"/>
      <x v="200"/>
    </i>
    <i>
      <x v="208"/>
      <x v="201"/>
    </i>
    <i>
      <x v="209"/>
      <x v="203"/>
    </i>
    <i>
      <x v="210"/>
      <x v="55"/>
    </i>
    <i>
      <x v="211"/>
      <x v="217"/>
    </i>
    <i>
      <x v="212"/>
      <x v="333"/>
    </i>
    <i>
      <x v="213"/>
      <x v="218"/>
    </i>
    <i>
      <x v="214"/>
      <x v="211"/>
    </i>
    <i>
      <x v="215"/>
      <x v="210"/>
    </i>
    <i>
      <x v="216"/>
      <x v="209"/>
    </i>
    <i>
      <x v="217"/>
      <x v="212"/>
    </i>
    <i>
      <x v="218"/>
      <x v="213"/>
    </i>
    <i>
      <x v="219"/>
      <x v="214"/>
    </i>
    <i>
      <x v="220"/>
      <x v="216"/>
    </i>
    <i>
      <x v="221"/>
      <x v="219"/>
    </i>
    <i>
      <x v="222"/>
      <x v="220"/>
    </i>
    <i>
      <x v="223"/>
      <x v="245"/>
    </i>
    <i>
      <x v="224"/>
      <x v="348"/>
    </i>
    <i>
      <x v="225"/>
      <x v="222"/>
    </i>
    <i>
      <x v="226"/>
      <x v="223"/>
    </i>
    <i>
      <x v="227"/>
      <x v="224"/>
    </i>
    <i>
      <x v="228"/>
      <x v="225"/>
    </i>
    <i>
      <x v="229"/>
      <x v="226"/>
    </i>
    <i>
      <x v="230"/>
      <x v="227"/>
    </i>
    <i>
      <x v="231"/>
      <x v="228"/>
    </i>
    <i>
      <x v="232"/>
      <x v="229"/>
    </i>
    <i>
      <x v="233"/>
      <x v="230"/>
    </i>
    <i>
      <x v="234"/>
      <x v="231"/>
    </i>
    <i>
      <x v="235"/>
      <x v="266"/>
    </i>
    <i>
      <x v="236"/>
      <x v="233"/>
    </i>
    <i>
      <x v="237"/>
      <x v="234"/>
    </i>
    <i>
      <x v="238"/>
      <x v="235"/>
    </i>
    <i>
      <x v="239"/>
      <x v="236"/>
    </i>
    <i>
      <x v="240"/>
      <x v="237"/>
    </i>
    <i>
      <x v="241"/>
      <x v="238"/>
    </i>
    <i>
      <x v="242"/>
      <x v="239"/>
    </i>
    <i>
      <x v="243"/>
      <x v="232"/>
    </i>
    <i>
      <x v="244"/>
      <x v="240"/>
    </i>
    <i>
      <x v="245"/>
      <x v="241"/>
    </i>
    <i>
      <x v="246"/>
      <x v="242"/>
    </i>
    <i>
      <x v="247"/>
      <x v="243"/>
    </i>
    <i>
      <x v="248"/>
      <x v="246"/>
    </i>
    <i>
      <x v="249"/>
      <x v="247"/>
    </i>
    <i>
      <x v="250"/>
      <x v="248"/>
    </i>
    <i>
      <x v="251"/>
      <x v="249"/>
    </i>
    <i>
      <x v="252"/>
      <x v="276"/>
    </i>
    <i>
      <x v="253"/>
      <x v="250"/>
    </i>
    <i>
      <x v="254"/>
      <x v="251"/>
    </i>
    <i>
      <x v="255"/>
      <x v="252"/>
    </i>
    <i>
      <x v="256"/>
      <x v="253"/>
    </i>
    <i>
      <x v="257"/>
      <x v="254"/>
    </i>
    <i>
      <x v="258"/>
      <x v="315"/>
    </i>
    <i>
      <x v="259"/>
      <x v="255"/>
    </i>
    <i>
      <x v="260"/>
      <x v="256"/>
    </i>
    <i>
      <x v="261"/>
      <x v="257"/>
    </i>
    <i>
      <x v="262"/>
      <x v="258"/>
    </i>
    <i>
      <x v="263"/>
      <x v="259"/>
    </i>
    <i>
      <x v="264"/>
      <x v="260"/>
    </i>
    <i>
      <x v="265"/>
      <x v="262"/>
    </i>
    <i>
      <x v="266"/>
      <x v="261"/>
    </i>
    <i>
      <x v="267"/>
      <x v="264"/>
    </i>
    <i>
      <x v="268"/>
      <x v="263"/>
    </i>
    <i>
      <x v="269"/>
      <x v="271"/>
    </i>
    <i>
      <x v="270"/>
      <x v="265"/>
    </i>
    <i>
      <x v="271"/>
      <x v="272"/>
    </i>
    <i>
      <x v="272"/>
      <x v="267"/>
    </i>
    <i>
      <x v="273"/>
      <x v="268"/>
    </i>
    <i>
      <x v="274"/>
      <x v="269"/>
    </i>
    <i>
      <x v="275"/>
      <x v="270"/>
    </i>
    <i>
      <x v="276"/>
      <x v="273"/>
    </i>
    <i>
      <x v="277"/>
      <x v="274"/>
    </i>
    <i>
      <x v="278"/>
      <x v="275"/>
    </i>
    <i>
      <x v="279"/>
      <x v="277"/>
    </i>
    <i>
      <x v="280"/>
      <x v="278"/>
    </i>
    <i>
      <x v="281"/>
      <x v="279"/>
    </i>
    <i>
      <x v="282"/>
      <x v="280"/>
    </i>
    <i>
      <x v="283"/>
      <x v="312"/>
    </i>
    <i>
      <x v="284"/>
      <x v="281"/>
    </i>
    <i>
      <x v="285"/>
      <x v="282"/>
    </i>
    <i>
      <x v="286"/>
      <x v="283"/>
    </i>
    <i>
      <x v="287"/>
      <x v="284"/>
    </i>
    <i>
      <x v="288"/>
      <x v="285"/>
    </i>
    <i>
      <x v="289"/>
      <x v="286"/>
    </i>
    <i>
      <x v="290"/>
      <x v="287"/>
    </i>
    <i>
      <x v="291"/>
      <x v="288"/>
    </i>
    <i>
      <x v="292"/>
      <x v="289"/>
    </i>
    <i>
      <x v="293"/>
      <x v="290"/>
    </i>
    <i>
      <x v="294"/>
      <x v="292"/>
    </i>
    <i>
      <x v="295"/>
      <x v="293"/>
    </i>
    <i>
      <x v="297"/>
      <x v="295"/>
    </i>
    <i>
      <x v="298"/>
      <x v="296"/>
    </i>
    <i>
      <x v="299"/>
      <x v="297"/>
    </i>
    <i>
      <x v="300"/>
      <x v="298"/>
    </i>
    <i>
      <x v="301"/>
      <x v="299"/>
    </i>
    <i>
      <x v="302"/>
      <x v="97"/>
    </i>
    <i>
      <x v="303"/>
      <x v="300"/>
    </i>
    <i>
      <x v="304"/>
      <x v="301"/>
    </i>
    <i>
      <x v="305"/>
      <x v="302"/>
    </i>
    <i>
      <x v="306"/>
      <x v="303"/>
    </i>
    <i>
      <x v="307"/>
      <x v="304"/>
    </i>
    <i>
      <x v="308"/>
      <x v="305"/>
    </i>
    <i>
      <x v="309"/>
      <x v="306"/>
    </i>
    <i>
      <x v="310"/>
      <x v="307"/>
    </i>
    <i>
      <x v="311"/>
      <x v="308"/>
    </i>
    <i>
      <x v="312"/>
      <x v="309"/>
    </i>
    <i>
      <x v="313"/>
      <x v="310"/>
    </i>
    <i>
      <x v="314"/>
      <x v="311"/>
    </i>
    <i>
      <x v="315"/>
      <x v="313"/>
    </i>
    <i>
      <x v="316"/>
      <x v="314"/>
    </i>
    <i>
      <x v="317"/>
      <x v="323"/>
    </i>
    <i>
      <x v="318"/>
      <x v="317"/>
    </i>
    <i>
      <x v="319"/>
      <x v="318"/>
    </i>
    <i>
      <x v="320"/>
      <x v="319"/>
    </i>
    <i>
      <x v="321"/>
      <x v="320"/>
    </i>
    <i>
      <x v="322"/>
      <x v="321"/>
    </i>
    <i>
      <x v="323"/>
      <x v="322"/>
    </i>
    <i>
      <x v="324"/>
      <x v="324"/>
    </i>
    <i>
      <x v="325"/>
      <x v="325"/>
    </i>
    <i>
      <x v="326"/>
      <x v="326"/>
    </i>
    <i>
      <x v="327"/>
      <x v="327"/>
    </i>
    <i>
      <x v="328"/>
      <x v="328"/>
    </i>
    <i>
      <x v="329"/>
      <x v="329"/>
    </i>
    <i>
      <x v="330"/>
      <x v="330"/>
    </i>
    <i>
      <x v="331"/>
      <x v="331"/>
    </i>
    <i>
      <x v="332"/>
      <x v="332"/>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Total Special Ed Weighting" fld="4" baseField="3" baseItem="1" numFmtId="4"/>
    <dataField name="Budget Enrollment " fld="5" baseField="3" baseItem="0" numFmtId="164"/>
    <dataField name="AEA Weighted Enrollment " fld="6" baseField="3" baseItem="0" numFmtId="4"/>
    <dataField name="AEA Supplementary Weight for Sharing " fld="7" baseField="3" baseItem="0" numFmtId="4"/>
    <dataField name="Resident Accredited Nonpublic Students " fld="8" baseField="3" baseItem="0" numFmtId="3"/>
    <dataField name="Shared-Time Nonpublic Pupils" fld="9" baseField="3" baseItem="0" numFmtId="164"/>
    <dataField name="Total Enrollment Served - AEA Media and Ed Services " fld="10" baseField="3" baseItem="130" numFmtId="3"/>
    <dataField name="AEA Special Ed Support District Cost without Adjustment " fld="16" baseField="3" baseItem="130" numFmtId="3"/>
    <dataField name="AEA Special Ed Support Adjustment " fld="17" baseField="3" baseItem="130" numFmtId="3"/>
    <dataField name="Special Education Total Cost " fld="18" baseField="3" baseItem="130" numFmtId="3"/>
    <dataField name="AEA Media Services District Cost " fld="19" baseField="3" baseItem="130" numFmtId="3"/>
    <dataField name="AEA Ed Services District Cost " fld="20" baseField="3" baseItem="130" numFmtId="3"/>
    <dataField name="AEA Sharing District Cost " fld="21" baseField="3" baseItem="130" numFmtId="3"/>
    <dataField name="AEA Teacher Salary Supplement District Cost " fld="22" baseField="3" baseItem="130" numFmtId="3"/>
    <dataField name="AEA Professional Development Supplement District Cost " fld="23" baseField="3" baseItem="130" numFmtId="3"/>
    <dataField name="Subtotal Budget " fld="24" baseField="3" baseItem="130" numFmtId="3"/>
    <dataField name="AEA State Aid Reduction" fld="25" baseField="3" baseItem="130" numFmtId="3"/>
    <dataField name="Total Budget " fld="26" baseField="3" baseItem="130" numFmtId="3"/>
    <dataField name="State Aid Portion " fld="27" baseField="3" baseItem="130" numFmtId="3"/>
    <dataField name="Property Tax Portion " fld="28" baseField="3" baseItem="130" numFmtId="3"/>
  </dataFields>
  <formats count="29">
    <format dxfId="115">
      <pivotArea field="2" type="button" dataOnly="0" labelOnly="1" outline="0" axis="axisRow" fieldPosition="0"/>
    </format>
    <format dxfId="114">
      <pivotArea field="3" type="button" dataOnly="0" labelOnly="1" outline="0" axis="axisRow" fieldPosition="1"/>
    </format>
    <format dxfId="113">
      <pivotArea dataOnly="0" labelOnly="1" outline="0" fieldPosition="0">
        <references count="1">
          <reference field="4294967294" count="20">
            <x v="0"/>
            <x v="1"/>
            <x v="2"/>
            <x v="3"/>
            <x v="4"/>
            <x v="5"/>
            <x v="6"/>
            <x v="7"/>
            <x v="8"/>
            <x v="9"/>
            <x v="10"/>
            <x v="11"/>
            <x v="12"/>
            <x v="13"/>
            <x v="14"/>
            <x v="15"/>
            <x v="16"/>
            <x v="17"/>
            <x v="18"/>
            <x v="19"/>
          </reference>
        </references>
      </pivotArea>
    </format>
    <format dxfId="112">
      <pivotArea type="all" dataOnly="0" outline="0" fieldPosition="0"/>
    </format>
    <format dxfId="111">
      <pivotArea field="2" type="button" dataOnly="0" labelOnly="1" outline="0" axis="axisRow" fieldPosition="0"/>
    </format>
    <format dxfId="110">
      <pivotArea field="3" type="button" dataOnly="0" labelOnly="1" outline="0" axis="axisRow" fieldPosition="1"/>
    </format>
    <format dxfId="109">
      <pivotArea dataOnly="0" labelOnly="1" outline="0" fieldPosition="0">
        <references count="1">
          <reference field="4294967294" count="20">
            <x v="0"/>
            <x v="1"/>
            <x v="2"/>
            <x v="3"/>
            <x v="4"/>
            <x v="5"/>
            <x v="6"/>
            <x v="7"/>
            <x v="8"/>
            <x v="9"/>
            <x v="10"/>
            <x v="11"/>
            <x v="12"/>
            <x v="13"/>
            <x v="14"/>
            <x v="15"/>
            <x v="16"/>
            <x v="17"/>
            <x v="18"/>
            <x v="19"/>
          </reference>
        </references>
      </pivotArea>
    </format>
    <format dxfId="108">
      <pivotArea grandRow="1" outline="0" collapsedLevelsAreSubtotals="1" fieldPosition="0"/>
    </format>
    <format dxfId="107">
      <pivotArea dataOnly="0" labelOnly="1" grandRow="1" outline="0" fieldPosition="0"/>
    </format>
    <format dxfId="106">
      <pivotArea outline="0" fieldPosition="0">
        <references count="1">
          <reference field="4294967294" count="1">
            <x v="0"/>
          </reference>
        </references>
      </pivotArea>
    </format>
    <format dxfId="105">
      <pivotArea outline="0" fieldPosition="0">
        <references count="1">
          <reference field="4294967294" count="1">
            <x v="1"/>
          </reference>
        </references>
      </pivotArea>
    </format>
    <format dxfId="104">
      <pivotArea outline="0" fieldPosition="0">
        <references count="1">
          <reference field="4294967294" count="1">
            <x v="2"/>
          </reference>
        </references>
      </pivotArea>
    </format>
    <format dxfId="103">
      <pivotArea outline="0" fieldPosition="0">
        <references count="1">
          <reference field="4294967294" count="1">
            <x v="3"/>
          </reference>
        </references>
      </pivotArea>
    </format>
    <format dxfId="102">
      <pivotArea outline="0" fieldPosition="0">
        <references count="1">
          <reference field="4294967294" count="1">
            <x v="4"/>
          </reference>
        </references>
      </pivotArea>
    </format>
    <format dxfId="101">
      <pivotArea outline="0" fieldPosition="0">
        <references count="1">
          <reference field="4294967294" count="1">
            <x v="5"/>
          </reference>
        </references>
      </pivotArea>
    </format>
    <format dxfId="100">
      <pivotArea outline="0" fieldPosition="0">
        <references count="1">
          <reference field="4294967294" count="1">
            <x v="6"/>
          </reference>
        </references>
      </pivotArea>
    </format>
    <format dxfId="99">
      <pivotArea outline="0" fieldPosition="0">
        <references count="1">
          <reference field="4294967294" count="1">
            <x v="7"/>
          </reference>
        </references>
      </pivotArea>
    </format>
    <format dxfId="98">
      <pivotArea outline="0" fieldPosition="0">
        <references count="1">
          <reference field="4294967294" count="1">
            <x v="8"/>
          </reference>
        </references>
      </pivotArea>
    </format>
    <format dxfId="97">
      <pivotArea outline="0" fieldPosition="0">
        <references count="1">
          <reference field="4294967294" count="1">
            <x v="9"/>
          </reference>
        </references>
      </pivotArea>
    </format>
    <format dxfId="96">
      <pivotArea outline="0" fieldPosition="0">
        <references count="1">
          <reference field="4294967294" count="1">
            <x v="10"/>
          </reference>
        </references>
      </pivotArea>
    </format>
    <format dxfId="95">
      <pivotArea outline="0" fieldPosition="0">
        <references count="1">
          <reference field="4294967294" count="1">
            <x v="11"/>
          </reference>
        </references>
      </pivotArea>
    </format>
    <format dxfId="94">
      <pivotArea outline="0" fieldPosition="0">
        <references count="1">
          <reference field="4294967294" count="1">
            <x v="12"/>
          </reference>
        </references>
      </pivotArea>
    </format>
    <format dxfId="93">
      <pivotArea outline="0" fieldPosition="0">
        <references count="1">
          <reference field="4294967294" count="1">
            <x v="13"/>
          </reference>
        </references>
      </pivotArea>
    </format>
    <format dxfId="92">
      <pivotArea outline="0" fieldPosition="0">
        <references count="1">
          <reference field="4294967294" count="1">
            <x v="14"/>
          </reference>
        </references>
      </pivotArea>
    </format>
    <format dxfId="91">
      <pivotArea outline="0" fieldPosition="0">
        <references count="1">
          <reference field="4294967294" count="1">
            <x v="15"/>
          </reference>
        </references>
      </pivotArea>
    </format>
    <format dxfId="90">
      <pivotArea outline="0" fieldPosition="0">
        <references count="1">
          <reference field="4294967294" count="1">
            <x v="16"/>
          </reference>
        </references>
      </pivotArea>
    </format>
    <format dxfId="89">
      <pivotArea outline="0" fieldPosition="0">
        <references count="1">
          <reference field="4294967294" count="1">
            <x v="17"/>
          </reference>
        </references>
      </pivotArea>
    </format>
    <format dxfId="88">
      <pivotArea outline="0" fieldPosition="0">
        <references count="1">
          <reference field="4294967294" count="1">
            <x v="18"/>
          </reference>
        </references>
      </pivotArea>
    </format>
    <format dxfId="87">
      <pivotArea outline="0" fieldPosition="0">
        <references count="1">
          <reference field="4294967294" count="1">
            <x v="19"/>
          </reference>
        </references>
      </pivotArea>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EA_Name" sourceName="AEA Name">
  <pivotTables>
    <pivotTable tabId="4" name="PivotTable1"/>
  </pivotTables>
  <data>
    <tabular pivotCacheId="1">
      <items count="9">
        <i x="2" s="1"/>
        <i x="4" s="1"/>
        <i x="8" s="1"/>
        <i x="7" s="1"/>
        <i x="5" s="1"/>
        <i x="0" s="1"/>
        <i x="3"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EA Name" cache="Slicer_AEA_Name" caption="AEA Name" rowHeight="241300"/>
</slicers>
</file>

<file path=xl/tables/table1.xml><?xml version="1.0" encoding="utf-8"?>
<table xmlns="http://schemas.openxmlformats.org/spreadsheetml/2006/main" id="1" name="Detail" displayName="Detail" ref="A2:AC332" totalsRowShown="0" headerRowDxfId="146" headerRowBorderDxfId="145">
  <tableColumns count="29">
    <tableColumn id="1" name="AEA" dataDxfId="144"/>
    <tableColumn id="2" name="AEA Name" dataDxfId="143"/>
    <tableColumn id="3" name="Dist" dataDxfId="142"/>
    <tableColumn id="4" name="District" dataDxfId="141"/>
    <tableColumn id="5" name="Total Special Ed Weighting in Addition to 1.0" dataDxfId="140"/>
    <tableColumn id="6" name="Budget Enrollment" dataDxfId="139"/>
    <tableColumn id="7" name="AEA Weighted Enrollment" dataDxfId="138"/>
    <tableColumn id="8" name="AEA Supplementary Weight for Sharing" dataDxfId="137"/>
    <tableColumn id="9" name="Resident Accredited Nonpublic Students" dataDxfId="136"/>
    <tableColumn id="10" name="Shared-Time Nonpublic Pupils Counted in Line 1.1" dataDxfId="135"/>
    <tableColumn id="11" name="Total Enrollment Served - AEA Media and Ed Services" dataDxfId="134"/>
    <tableColumn id="12" name="AEA Special Ed Support Cost Per Pupil" dataDxfId="133"/>
    <tableColumn id="13" name="AEA Media Cost Per Pupil" dataDxfId="132"/>
    <tableColumn id="14" name="AEA Ed Services Cost Per Pupil" dataDxfId="131"/>
    <tableColumn id="15" name="AEA Teacher Salary Supplement District Cost Per Pupil" dataDxfId="130"/>
    <tableColumn id="16" name="Professional Development Supplement District Cost Per Pupil" dataDxfId="129"/>
    <tableColumn id="17" name="AEA Special Ed Support District Cost without Adjustment" dataDxfId="128"/>
    <tableColumn id="18" name="AEA Special Ed Support Adjustment" dataDxfId="127"/>
    <tableColumn id="19" name="Special Education Total Cost" dataDxfId="126"/>
    <tableColumn id="20" name="AEA Media Services District Cost" dataDxfId="125"/>
    <tableColumn id="21" name="AEA Ed Services District Cost" dataDxfId="124"/>
    <tableColumn id="22" name="AEA Sharing District Cost" dataDxfId="123"/>
    <tableColumn id="23" name="AEA Teacher Salary Supplement District Cost" dataDxfId="122"/>
    <tableColumn id="24" name="AEA Professional Development Supplement District Cost" dataDxfId="121"/>
    <tableColumn id="25" name="Subtotal Budget" dataDxfId="120"/>
    <tableColumn id="26" name="AEA Statewide State Aid Reduction" dataDxfId="119"/>
    <tableColumn id="27" name="Total Budget" dataDxfId="118"/>
    <tableColumn id="28" name="State Aid Portion" dataDxfId="117"/>
    <tableColumn id="29" name="Property Tax Portion" dataDxfId="116"/>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1"/>
  <sheetViews>
    <sheetView tabSelected="1" topLeftCell="A2" workbookViewId="0">
      <selection activeCell="F31" sqref="F31"/>
    </sheetView>
  </sheetViews>
  <sheetFormatPr defaultRowHeight="15" x14ac:dyDescent="0.25"/>
  <cols>
    <col min="1" max="1" width="7" customWidth="1"/>
    <col min="2" max="2" width="22.42578125" bestFit="1" customWidth="1"/>
    <col min="3" max="3" width="11.85546875" bestFit="1" customWidth="1"/>
    <col min="4" max="4" width="14.140625" customWidth="1"/>
    <col min="5" max="5" width="13.85546875" customWidth="1"/>
    <col min="6" max="6" width="11.42578125" bestFit="1" customWidth="1"/>
    <col min="7" max="8" width="12.28515625" bestFit="1" customWidth="1"/>
    <col min="9" max="9" width="11.42578125" customWidth="1"/>
    <col min="10" max="10" width="10.7109375" customWidth="1"/>
    <col min="11" max="11" width="8.28515625" bestFit="1" customWidth="1"/>
  </cols>
  <sheetData>
    <row r="1" spans="1:11" s="10" customFormat="1" ht="87" hidden="1" customHeight="1" x14ac:dyDescent="0.25">
      <c r="A1" s="13"/>
      <c r="B1" s="13"/>
      <c r="C1" s="13" t="str">
        <f>Detail[[#Headers],[Total Special Ed Weighting in Addition to 1.0]]</f>
        <v>Total Special Ed Weighting in Addition to 1.0</v>
      </c>
      <c r="D1" s="13" t="str">
        <f>Detail[[#Headers],[Budget Enrollment]]</f>
        <v>Budget Enrollment</v>
      </c>
      <c r="E1" s="13" t="str">
        <f>Detail[[#Headers],[AEA Weighted Enrollment]]</f>
        <v>AEA Weighted Enrollment</v>
      </c>
      <c r="F1" s="13" t="str">
        <f>Detail[[#Headers],[Resident Accredited Nonpublic Students]]</f>
        <v>Resident Accredited Nonpublic Students</v>
      </c>
      <c r="G1" s="13" t="str">
        <f>Detail[[#Headers],[Shared-Time Nonpublic Pupils Counted in Line 1.1]]</f>
        <v>Shared-Time Nonpublic Pupils Counted in Line 1.1</v>
      </c>
      <c r="H1" s="13" t="str">
        <f>Detail[[#Headers],[Total Enrollment Served - AEA Media and Ed Services]]</f>
        <v>Total Enrollment Served - AEA Media and Ed Services</v>
      </c>
      <c r="I1" s="13" t="str">
        <f>Detail[[#Headers],[AEA Special Ed Support Cost Per Pupil]]</f>
        <v>AEA Special Ed Support Cost Per Pupil</v>
      </c>
      <c r="J1" s="13" t="str">
        <f>Detail[[#Headers],[AEA Media Cost Per Pupil]]</f>
        <v>AEA Media Cost Per Pupil</v>
      </c>
      <c r="K1" s="13" t="str">
        <f>Detail[[#Headers],[AEA Ed Services Cost Per Pupil]]</f>
        <v>AEA Ed Services Cost Per Pupil</v>
      </c>
    </row>
    <row r="2" spans="1:11" s="10" customFormat="1" ht="31.5" customHeight="1" x14ac:dyDescent="0.25">
      <c r="A2" s="7" t="s">
        <v>368</v>
      </c>
      <c r="B2" s="7" t="s">
        <v>369</v>
      </c>
      <c r="C2" s="8" t="s">
        <v>373</v>
      </c>
      <c r="D2" s="8" t="s">
        <v>347</v>
      </c>
      <c r="E2" s="8" t="s">
        <v>374</v>
      </c>
      <c r="F2" s="8" t="s">
        <v>375</v>
      </c>
      <c r="G2" s="8" t="s">
        <v>376</v>
      </c>
      <c r="H2" s="8" t="s">
        <v>377</v>
      </c>
      <c r="I2" s="8" t="s">
        <v>378</v>
      </c>
      <c r="J2" s="8" t="s">
        <v>379</v>
      </c>
      <c r="K2" s="8" t="s">
        <v>380</v>
      </c>
    </row>
    <row r="3" spans="1:11" x14ac:dyDescent="0.25">
      <c r="A3" s="1" t="str">
        <f t="array" ref="A3">IFERROR(INDEX(Detail[AEA], MATCH(0,COUNTIF(Summary!$A$2:'Summary'!A2, Detail[AEA]), 0)),"")</f>
        <v>01</v>
      </c>
      <c r="B3" t="str">
        <f>INDEX(Detail[],MATCH(Summary!$A3,Detail[AEA],0),2)</f>
        <v>Keystone AEA 1</v>
      </c>
      <c r="C3" s="2">
        <f>SUMIFS(INDEX(Detail[],0,MATCH(C$1,Detail[#Headers],0)),Detail[AEA],$A3)</f>
        <v>4125.17</v>
      </c>
      <c r="D3" s="3">
        <f>SUMIFS(INDEX(Detail[],0,MATCH(D$1,Detail[#Headers],0)),Detail[AEA],$A3)</f>
        <v>28251.4</v>
      </c>
      <c r="E3" s="2">
        <f>SUMIFS(INDEX(Detail[],0,MATCH(E$1,Detail[#Headers],0)),Detail[AEA],$A3)</f>
        <v>32376.569999999996</v>
      </c>
      <c r="F3" s="4">
        <f>SUMIFS(INDEX(Detail[],0,MATCH(F$1,Detail[#Headers],0)),Detail[AEA],$A3)</f>
        <v>4151</v>
      </c>
      <c r="G3" s="3">
        <f>SUMIFS(INDEX(Detail[],0,MATCH(G$1,Detail[#Headers],0)),Detail[AEA],$A3)</f>
        <v>21.7</v>
      </c>
      <c r="H3" s="4">
        <f>SUMIFS(INDEX(Detail[],0,MATCH(H$1,Detail[#Headers],0)),Detail[AEA],$A3)</f>
        <v>32382</v>
      </c>
      <c r="I3" s="2">
        <f>INDEX(Detail[],MATCH($A3,Detail[AEA],0),MATCH(I$1,Detail[#Headers],0))</f>
        <v>310.08</v>
      </c>
      <c r="J3" s="2">
        <f>INDEX(Detail[],MATCH($A3,Detail[AEA],0),MATCH(J$1,Detail[#Headers],0))</f>
        <v>55.35</v>
      </c>
      <c r="K3" s="2">
        <f>INDEX(Detail[],MATCH($A3,Detail[AEA],0),MATCH(K$1,Detail[#Headers],0))</f>
        <v>61.73</v>
      </c>
    </row>
    <row r="4" spans="1:11" x14ac:dyDescent="0.25">
      <c r="A4" s="1" t="str">
        <f t="array" ref="A4">IFERROR(INDEX(Detail[AEA], MATCH(0,COUNTIF(Summary!$A$2:'Summary'!A3, Detail[AEA]), 0)),"")</f>
        <v>05</v>
      </c>
      <c r="B4" t="str">
        <f>INDEX(Detail[],MATCH(Summary!$A4,Detail[AEA],0),2)</f>
        <v>Prairie Lakes AEA 8</v>
      </c>
      <c r="C4" s="2">
        <f>SUMIFS(INDEX(Detail[],0,MATCH(C$1,Detail[#Headers],0)),Detail[AEA],$A4)</f>
        <v>4105.7</v>
      </c>
      <c r="D4" s="3">
        <f>SUMIFS(INDEX(Detail[],0,MATCH(D$1,Detail[#Headers],0)),Detail[AEA],$A4)</f>
        <v>29866.999999999993</v>
      </c>
      <c r="E4" s="2">
        <f>SUMIFS(INDEX(Detail[],0,MATCH(E$1,Detail[#Headers],0)),Detail[AEA],$A4)</f>
        <v>33972.699999999997</v>
      </c>
      <c r="F4" s="4">
        <f>SUMIFS(INDEX(Detail[],0,MATCH(F$1,Detail[#Headers],0)),Detail[AEA],$A4)</f>
        <v>2305</v>
      </c>
      <c r="G4" s="3">
        <f>SUMIFS(INDEX(Detail[],0,MATCH(G$1,Detail[#Headers],0)),Detail[AEA],$A4)</f>
        <v>34.599999999999994</v>
      </c>
      <c r="H4" s="4">
        <f>SUMIFS(INDEX(Detail[],0,MATCH(H$1,Detail[#Headers],0)),Detail[AEA],$A4)</f>
        <v>32139</v>
      </c>
      <c r="I4" s="2">
        <f>INDEX(Detail[],MATCH($A4,Detail[AEA],0),MATCH(I$1,Detail[#Headers],0))</f>
        <v>305.83</v>
      </c>
      <c r="J4" s="2">
        <f>INDEX(Detail[],MATCH($A4,Detail[AEA],0),MATCH(J$1,Detail[#Headers],0))</f>
        <v>55.43</v>
      </c>
      <c r="K4" s="2">
        <f>INDEX(Detail[],MATCH($A4,Detail[AEA],0),MATCH(K$1,Detail[#Headers],0))</f>
        <v>62.2</v>
      </c>
    </row>
    <row r="5" spans="1:11" x14ac:dyDescent="0.25">
      <c r="A5" s="1" t="str">
        <f t="array" ref="A5">IFERROR(INDEX(Detail[AEA], MATCH(0,COUNTIF(Summary!$A$2:'Summary'!A4, Detail[AEA]), 0)),"")</f>
        <v>07</v>
      </c>
      <c r="B5" t="str">
        <f>INDEX(Detail[],MATCH(Summary!$A5,Detail[AEA],0),2)</f>
        <v>Central Rivers</v>
      </c>
      <c r="C5" s="2">
        <f>SUMIFS(INDEX(Detail[],0,MATCH(C$1,Detail[#Headers],0)),Detail[AEA],$A5)</f>
        <v>9033.5999999999985</v>
      </c>
      <c r="D5" s="3">
        <f>SUMIFS(INDEX(Detail[],0,MATCH(D$1,Detail[#Headers],0)),Detail[AEA],$A5)</f>
        <v>62255.899999999994</v>
      </c>
      <c r="E5" s="2">
        <f>SUMIFS(INDEX(Detail[],0,MATCH(E$1,Detail[#Headers],0)),Detail[AEA],$A5)</f>
        <v>71289.5</v>
      </c>
      <c r="F5" s="4">
        <f>SUMIFS(INDEX(Detail[],0,MATCH(F$1,Detail[#Headers],0)),Detail[AEA],$A5)</f>
        <v>3355</v>
      </c>
      <c r="G5" s="3">
        <f>SUMIFS(INDEX(Detail[],0,MATCH(G$1,Detail[#Headers],0)),Detail[AEA],$A5)</f>
        <v>29.999999999999996</v>
      </c>
      <c r="H5" s="4">
        <f>SUMIFS(INDEX(Detail[],0,MATCH(H$1,Detail[#Headers],0)),Detail[AEA],$A5)</f>
        <v>65581</v>
      </c>
      <c r="I5" s="2">
        <f>INDEX(Detail[],MATCH($A5,Detail[AEA],0),MATCH(I$1,Detail[#Headers],0))</f>
        <v>299.2</v>
      </c>
      <c r="J5" s="2">
        <f>INDEX(Detail[],MATCH($A5,Detail[AEA],0),MATCH(J$1,Detail[#Headers],0))</f>
        <v>55.38</v>
      </c>
      <c r="K5" s="2">
        <f>INDEX(Detail[],MATCH($A5,Detail[AEA],0),MATCH(K$1,Detail[#Headers],0))</f>
        <v>61.82</v>
      </c>
    </row>
    <row r="6" spans="1:11" x14ac:dyDescent="0.25">
      <c r="A6" s="1" t="str">
        <f t="array" ref="A6">IFERROR(INDEX(Detail[AEA], MATCH(0,COUNTIF(Summary!$A$2:'Summary'!A5, Detail[AEA]), 0)),"")</f>
        <v>09</v>
      </c>
      <c r="B6" t="str">
        <f>INDEX(Detail[],MATCH(Summary!$A6,Detail[AEA],0),2)</f>
        <v>Mississippi Bend AEA 9</v>
      </c>
      <c r="C6" s="2">
        <f>SUMIFS(INDEX(Detail[],0,MATCH(C$1,Detail[#Headers],0)),Detail[AEA],$A6)</f>
        <v>7625.3099999999995</v>
      </c>
      <c r="D6" s="3">
        <f>SUMIFS(INDEX(Detail[],0,MATCH(D$1,Detail[#Headers],0)),Detail[AEA],$A6)</f>
        <v>46644.4</v>
      </c>
      <c r="E6" s="2">
        <f>SUMIFS(INDEX(Detail[],0,MATCH(E$1,Detail[#Headers],0)),Detail[AEA],$A6)</f>
        <v>54269.710000000006</v>
      </c>
      <c r="F6" s="4">
        <f>SUMIFS(INDEX(Detail[],0,MATCH(F$1,Detail[#Headers],0)),Detail[AEA],$A6)</f>
        <v>3224</v>
      </c>
      <c r="G6" s="3">
        <f>SUMIFS(INDEX(Detail[],0,MATCH(G$1,Detail[#Headers],0)),Detail[AEA],$A6)</f>
        <v>6.4</v>
      </c>
      <c r="H6" s="4">
        <f>SUMIFS(INDEX(Detail[],0,MATCH(H$1,Detail[#Headers],0)),Detail[AEA],$A6)</f>
        <v>49861</v>
      </c>
      <c r="I6" s="2">
        <f>INDEX(Detail[],MATCH($A6,Detail[AEA],0),MATCH(I$1,Detail[#Headers],0))</f>
        <v>296.83999999999997</v>
      </c>
      <c r="J6" s="2">
        <f>INDEX(Detail[],MATCH($A6,Detail[AEA],0),MATCH(J$1,Detail[#Headers],0))</f>
        <v>54.89</v>
      </c>
      <c r="K6" s="2">
        <f>INDEX(Detail[],MATCH($A6,Detail[AEA],0),MATCH(K$1,Detail[#Headers],0))</f>
        <v>59.9</v>
      </c>
    </row>
    <row r="7" spans="1:11" x14ac:dyDescent="0.25">
      <c r="A7" s="1" t="str">
        <f t="array" ref="A7">IFERROR(INDEX(Detail[AEA], MATCH(0,COUNTIF(Summary!$A$2:'Summary'!A6, Detail[AEA]), 0)),"")</f>
        <v>10</v>
      </c>
      <c r="B7" t="str">
        <f>INDEX(Detail[],MATCH(Summary!$A7,Detail[AEA],0),2)</f>
        <v>Grant Wood AEA 10</v>
      </c>
      <c r="C7" s="2">
        <f>SUMIFS(INDEX(Detail[],0,MATCH(C$1,Detail[#Headers],0)),Detail[AEA],$A7)</f>
        <v>7899.0999999999985</v>
      </c>
      <c r="D7" s="3">
        <f>SUMIFS(INDEX(Detail[],0,MATCH(D$1,Detail[#Headers],0)),Detail[AEA],$A7)</f>
        <v>70025.099999999991</v>
      </c>
      <c r="E7" s="2">
        <f>SUMIFS(INDEX(Detail[],0,MATCH(E$1,Detail[#Headers],0)),Detail[AEA],$A7)</f>
        <v>77924.199999999983</v>
      </c>
      <c r="F7" s="4">
        <f>SUMIFS(INDEX(Detail[],0,MATCH(F$1,Detail[#Headers],0)),Detail[AEA],$A7)</f>
        <v>4452</v>
      </c>
      <c r="G7" s="3">
        <f>SUMIFS(INDEX(Detail[],0,MATCH(G$1,Detail[#Headers],0)),Detail[AEA],$A7)</f>
        <v>33.400000000000006</v>
      </c>
      <c r="H7" s="4">
        <f>SUMIFS(INDEX(Detail[],0,MATCH(H$1,Detail[#Headers],0)),Detail[AEA],$A7)</f>
        <v>74446</v>
      </c>
      <c r="I7" s="2">
        <f>INDEX(Detail[],MATCH($A7,Detail[AEA],0),MATCH(I$1,Detail[#Headers],0))</f>
        <v>294.92</v>
      </c>
      <c r="J7" s="2">
        <f>INDEX(Detail[],MATCH($A7,Detail[AEA],0),MATCH(J$1,Detail[#Headers],0))</f>
        <v>55.07</v>
      </c>
      <c r="K7" s="2">
        <f>INDEX(Detail[],MATCH($A7,Detail[AEA],0),MATCH(K$1,Detail[#Headers],0))</f>
        <v>60.5</v>
      </c>
    </row>
    <row r="8" spans="1:11" x14ac:dyDescent="0.25">
      <c r="A8" s="1" t="str">
        <f t="array" ref="A8">IFERROR(INDEX(Detail[AEA], MATCH(0,COUNTIF(Summary!$A$2:'Summary'!A7, Detail[AEA]), 0)),"")</f>
        <v>11</v>
      </c>
      <c r="B8" t="str">
        <f>INDEX(Detail[],MATCH(Summary!$A8,Detail[AEA],0),2)</f>
        <v>Heartland AEA 11</v>
      </c>
      <c r="C8" s="2">
        <f>SUMIFS(INDEX(Detail[],0,MATCH(C$1,Detail[#Headers],0)),Detail[AEA],$A8)</f>
        <v>16654.600000000002</v>
      </c>
      <c r="D8" s="3">
        <f>SUMIFS(INDEX(Detail[],0,MATCH(D$1,Detail[#Headers],0)),Detail[AEA],$A8)</f>
        <v>137826.40000000002</v>
      </c>
      <c r="E8" s="2">
        <f>SUMIFS(INDEX(Detail[],0,MATCH(E$1,Detail[#Headers],0)),Detail[AEA],$A8)</f>
        <v>154481</v>
      </c>
      <c r="F8" s="4">
        <f>SUMIFS(INDEX(Detail[],0,MATCH(F$1,Detail[#Headers],0)),Detail[AEA],$A8)</f>
        <v>9246</v>
      </c>
      <c r="G8" s="3">
        <f>SUMIFS(INDEX(Detail[],0,MATCH(G$1,Detail[#Headers],0)),Detail[AEA],$A8)</f>
        <v>48.099999999999994</v>
      </c>
      <c r="H8" s="4">
        <f>SUMIFS(INDEX(Detail[],0,MATCH(H$1,Detail[#Headers],0)),Detail[AEA],$A8)</f>
        <v>147023</v>
      </c>
      <c r="I8" s="2">
        <f>INDEX(Detail[],MATCH($A8,Detail[AEA],0),MATCH(I$1,Detail[#Headers],0))</f>
        <v>287.82</v>
      </c>
      <c r="J8" s="2">
        <f>INDEX(Detail[],MATCH($A8,Detail[AEA],0),MATCH(J$1,Detail[#Headers],0))</f>
        <v>54.95</v>
      </c>
      <c r="K8" s="2">
        <f>INDEX(Detail[],MATCH($A8,Detail[AEA],0),MATCH(K$1,Detail[#Headers],0))</f>
        <v>60.32</v>
      </c>
    </row>
    <row r="9" spans="1:11" x14ac:dyDescent="0.25">
      <c r="A9" s="1" t="str">
        <f t="array" ref="A9">IFERROR(INDEX(Detail[AEA], MATCH(0,COUNTIF(Summary!$A$2:'Summary'!A8, Detail[AEA]), 0)),"")</f>
        <v>12</v>
      </c>
      <c r="B9" t="str">
        <f>INDEX(Detail[],MATCH(Summary!$A9,Detail[AEA],0),2)</f>
        <v>Northwest AEA</v>
      </c>
      <c r="C9" s="2">
        <f>SUMIFS(INDEX(Detail[],0,MATCH(C$1,Detail[#Headers],0)),Detail[AEA],$A9)</f>
        <v>5561.8499999999995</v>
      </c>
      <c r="D9" s="3">
        <f>SUMIFS(INDEX(Detail[],0,MATCH(D$1,Detail[#Headers],0)),Detail[AEA],$A9)</f>
        <v>39419.9</v>
      </c>
      <c r="E9" s="2">
        <f>SUMIFS(INDEX(Detail[],0,MATCH(E$1,Detail[#Headers],0)),Detail[AEA],$A9)</f>
        <v>44981.75</v>
      </c>
      <c r="F9" s="4">
        <f>SUMIFS(INDEX(Detail[],0,MATCH(F$1,Detail[#Headers],0)),Detail[AEA],$A9)</f>
        <v>5303</v>
      </c>
      <c r="G9" s="3">
        <f>SUMIFS(INDEX(Detail[],0,MATCH(G$1,Detail[#Headers],0)),Detail[AEA],$A9)</f>
        <v>44.000000000000007</v>
      </c>
      <c r="H9" s="4">
        <f>SUMIFS(INDEX(Detail[],0,MATCH(H$1,Detail[#Headers],0)),Detail[AEA],$A9)</f>
        <v>44684</v>
      </c>
      <c r="I9" s="2">
        <f>INDEX(Detail[],MATCH($A9,Detail[AEA],0),MATCH(I$1,Detail[#Headers],0))</f>
        <v>302.45999999999998</v>
      </c>
      <c r="J9" s="2">
        <f>INDEX(Detail[],MATCH($A9,Detail[AEA],0),MATCH(J$1,Detail[#Headers],0))</f>
        <v>55.36</v>
      </c>
      <c r="K9" s="2">
        <f>INDEX(Detail[],MATCH($A9,Detail[AEA],0),MATCH(K$1,Detail[#Headers],0))</f>
        <v>62.1</v>
      </c>
    </row>
    <row r="10" spans="1:11" x14ac:dyDescent="0.25">
      <c r="A10" s="1" t="str">
        <f t="array" ref="A10">IFERROR(INDEX(Detail[AEA], MATCH(0,COUNTIF(Summary!$A$2:'Summary'!A9, Detail[AEA]), 0)),"")</f>
        <v>13</v>
      </c>
      <c r="B10" t="str">
        <f>INDEX(Detail[],MATCH(Summary!$A10,Detail[AEA],0),2)</f>
        <v>Green Hills AEA 13</v>
      </c>
      <c r="C10" s="2">
        <f>SUMIFS(INDEX(Detail[],0,MATCH(C$1,Detail[#Headers],0)),Detail[AEA],$A10)</f>
        <v>5643.92</v>
      </c>
      <c r="D10" s="3">
        <f>SUMIFS(INDEX(Detail[],0,MATCH(D$1,Detail[#Headers],0)),Detail[AEA],$A10)</f>
        <v>37460.499999999985</v>
      </c>
      <c r="E10" s="2">
        <f>SUMIFS(INDEX(Detail[],0,MATCH(E$1,Detail[#Headers],0)),Detail[AEA],$A10)</f>
        <v>43104.42000000002</v>
      </c>
      <c r="F10" s="4">
        <f>SUMIFS(INDEX(Detail[],0,MATCH(F$1,Detail[#Headers],0)),Detail[AEA],$A10)</f>
        <v>1076</v>
      </c>
      <c r="G10" s="3">
        <f>SUMIFS(INDEX(Detail[],0,MATCH(G$1,Detail[#Headers],0)),Detail[AEA],$A10)</f>
        <v>3.4000000000000004</v>
      </c>
      <c r="H10" s="4">
        <f>SUMIFS(INDEX(Detail[],0,MATCH(H$1,Detail[#Headers],0)),Detail[AEA],$A10)</f>
        <v>38536</v>
      </c>
      <c r="I10" s="2">
        <f>INDEX(Detail[],MATCH($A10,Detail[AEA],0),MATCH(I$1,Detail[#Headers],0))</f>
        <v>295.88</v>
      </c>
      <c r="J10" s="2">
        <f>INDEX(Detail[],MATCH($A10,Detail[AEA],0),MATCH(J$1,Detail[#Headers],0))</f>
        <v>55.08</v>
      </c>
      <c r="K10" s="2">
        <f>INDEX(Detail[],MATCH($A10,Detail[AEA],0),MATCH(K$1,Detail[#Headers],0))</f>
        <v>60.9</v>
      </c>
    </row>
    <row r="11" spans="1:11" x14ac:dyDescent="0.25">
      <c r="A11" s="1" t="str">
        <f t="array" ref="A11">IFERROR(INDEX(Detail[AEA], MATCH(0,COUNTIF(Summary!$A$2:'Summary'!A10, Detail[AEA]), 0)),"")</f>
        <v>15</v>
      </c>
      <c r="B11" t="str">
        <f>INDEX(Detail[],MATCH(Summary!$A11,Detail[AEA],0),2)</f>
        <v>Great Prairie AEA 15</v>
      </c>
      <c r="C11" s="2">
        <f>SUMIFS(INDEX(Detail[],0,MATCH(C$1,Detail[#Headers],0)),Detail[AEA],$A11)</f>
        <v>4590.1499999999996</v>
      </c>
      <c r="D11" s="3">
        <f>SUMIFS(INDEX(Detail[],0,MATCH(D$1,Detail[#Headers],0)),Detail[AEA],$A11)</f>
        <v>34513.699999999997</v>
      </c>
      <c r="E11" s="2">
        <f>SUMIFS(INDEX(Detail[],0,MATCH(E$1,Detail[#Headers],0)),Detail[AEA],$A11)</f>
        <v>39103.85</v>
      </c>
      <c r="F11" s="4">
        <f>SUMIFS(INDEX(Detail[],0,MATCH(F$1,Detail[#Headers],0)),Detail[AEA],$A11)</f>
        <v>1281</v>
      </c>
      <c r="G11" s="3">
        <f>SUMIFS(INDEX(Detail[],0,MATCH(G$1,Detail[#Headers],0)),Detail[AEA],$A11)</f>
        <v>5.4</v>
      </c>
      <c r="H11" s="4">
        <f>SUMIFS(INDEX(Detail[],0,MATCH(H$1,Detail[#Headers],0)),Detail[AEA],$A11)</f>
        <v>35791</v>
      </c>
      <c r="I11" s="2">
        <f>INDEX(Detail[],MATCH($A11,Detail[AEA],0),MATCH(I$1,Detail[#Headers],0))</f>
        <v>293.24</v>
      </c>
      <c r="J11" s="2">
        <f>INDEX(Detail[],MATCH($A11,Detail[AEA],0),MATCH(J$1,Detail[#Headers],0))</f>
        <v>55.05</v>
      </c>
      <c r="K11" s="2">
        <f>INDEX(Detail[],MATCH($A11,Detail[AEA],0),MATCH(K$1,Detail[#Headers],0))</f>
        <v>60.47</v>
      </c>
    </row>
    <row r="12" spans="1:11" ht="15.75" thickBot="1" x14ac:dyDescent="0.3">
      <c r="C12" s="9">
        <f t="shared" ref="C12:H12" si="0">SUM(C3:C11)</f>
        <v>65239.399999999994</v>
      </c>
      <c r="D12" s="19">
        <f t="shared" si="0"/>
        <v>486264.30000000005</v>
      </c>
      <c r="E12" s="9">
        <f t="shared" si="0"/>
        <v>551503.69999999995</v>
      </c>
      <c r="F12" s="12">
        <f t="shared" si="0"/>
        <v>34393</v>
      </c>
      <c r="G12" s="19">
        <f t="shared" si="0"/>
        <v>227</v>
      </c>
      <c r="H12" s="12">
        <f t="shared" si="0"/>
        <v>520443</v>
      </c>
    </row>
    <row r="13" spans="1:11" ht="7.5" customHeight="1" thickTop="1" x14ac:dyDescent="0.25"/>
    <row r="14" spans="1:11" ht="93" hidden="1" customHeight="1" x14ac:dyDescent="0.25">
      <c r="A14" s="14"/>
      <c r="B14" s="14"/>
      <c r="C14" s="13" t="str">
        <f>Detail[[#Headers],[AEA Teacher Salary Supplement District Cost Per Pupil]]</f>
        <v>AEA Teacher Salary Supplement District Cost Per Pupil</v>
      </c>
      <c r="D14" s="13" t="str">
        <f>Detail[[#Headers],[Professional Development Supplement District Cost Per Pupil]]</f>
        <v>Professional Development Supplement District Cost Per Pupil</v>
      </c>
      <c r="E14" s="13" t="str">
        <f>Detail[[#Headers],[AEA Special Ed Support District Cost without Adjustment]]</f>
        <v>AEA Special Ed Support District Cost without Adjustment</v>
      </c>
      <c r="F14" s="13" t="str">
        <f>Detail[[#Headers],[AEA Special Ed Support Adjustment]]</f>
        <v>AEA Special Ed Support Adjustment</v>
      </c>
      <c r="G14" s="13" t="str">
        <f>Detail[[#Headers],[Special Education Total Cost]]</f>
        <v>Special Education Total Cost</v>
      </c>
      <c r="H14" s="13" t="str">
        <f>Detail[[#Headers],[AEA Media Services District Cost]]</f>
        <v>AEA Media Services District Cost</v>
      </c>
      <c r="I14" s="13" t="str">
        <f>Detail[[#Headers],[AEA Ed Services District Cost]]</f>
        <v>AEA Ed Services District Cost</v>
      </c>
      <c r="J14" s="13" t="str">
        <f>Detail[[#Headers],[AEA Sharing District Cost]]</f>
        <v>AEA Sharing District Cost</v>
      </c>
      <c r="K14" s="14"/>
    </row>
    <row r="15" spans="1:11" ht="31.5" customHeight="1" x14ac:dyDescent="0.25">
      <c r="A15" s="6" t="str">
        <f>A2</f>
        <v>AEA</v>
      </c>
      <c r="B15" s="6" t="str">
        <f>B2</f>
        <v>AEA Name</v>
      </c>
      <c r="C15" s="8" t="s">
        <v>381</v>
      </c>
      <c r="D15" s="8" t="s">
        <v>382</v>
      </c>
      <c r="E15" s="8" t="s">
        <v>383</v>
      </c>
      <c r="F15" s="8" t="s">
        <v>384</v>
      </c>
      <c r="G15" s="8" t="s">
        <v>385</v>
      </c>
      <c r="H15" s="8" t="s">
        <v>386</v>
      </c>
      <c r="I15" s="8" t="s">
        <v>387</v>
      </c>
      <c r="J15" s="8" t="s">
        <v>388</v>
      </c>
      <c r="K15" s="11"/>
    </row>
    <row r="16" spans="1:11" x14ac:dyDescent="0.25">
      <c r="A16" t="str">
        <f t="shared" ref="A16:B16" si="1">A3</f>
        <v>01</v>
      </c>
      <c r="B16" t="str">
        <f t="shared" si="1"/>
        <v>Keystone AEA 1</v>
      </c>
      <c r="C16" s="2">
        <f>INDEX(Detail[],MATCH($A16,Detail[AEA],0),MATCH(C$14,Detail[#Headers],0))</f>
        <v>30.56</v>
      </c>
      <c r="D16" s="2">
        <f>INDEX(Detail[],MATCH($A16,Detail[AEA],0),MATCH(D$14,Detail[#Headers],0))</f>
        <v>3.29</v>
      </c>
      <c r="E16" s="4">
        <f>SUMIFS(INDEX(Detail[],0,MATCH(E$14,Detail[#Headers],0)),Detail[AEA],$A16)</f>
        <v>10039326</v>
      </c>
      <c r="F16" s="4">
        <f>SUMIFS(INDEX(Detail[],0,MATCH(F$14,Detail[#Headers],0)),Detail[AEA],$A16)</f>
        <v>211843</v>
      </c>
      <c r="G16" s="4">
        <f>SUMIFS(INDEX(Detail[],0,MATCH(G$14,Detail[#Headers],0)),Detail[AEA],$A16)</f>
        <v>10251169</v>
      </c>
      <c r="H16" s="4">
        <f>SUMIFS(INDEX(Detail[],0,MATCH(H$14,Detail[#Headers],0)),Detail[AEA],$A16)</f>
        <v>1792345</v>
      </c>
      <c r="I16" s="4">
        <f>SUMIFS(INDEX(Detail[],0,MATCH(I$14,Detail[#Headers],0)),Detail[AEA],$A16)</f>
        <v>1998942</v>
      </c>
      <c r="J16" s="4">
        <f>SUMIFS(INDEX(Detail[],0,MATCH(J$14,Detail[#Headers],0)),Detail[AEA],$A16)</f>
        <v>0</v>
      </c>
    </row>
    <row r="17" spans="1:16" x14ac:dyDescent="0.25">
      <c r="A17" t="str">
        <f t="shared" ref="A17:B17" si="2">A4</f>
        <v>05</v>
      </c>
      <c r="B17" t="str">
        <f t="shared" si="2"/>
        <v>Prairie Lakes AEA 8</v>
      </c>
      <c r="C17" s="2">
        <f>INDEX(Detail[],MATCH($A17,Detail[AEA],0),MATCH(C$14,Detail[#Headers],0))</f>
        <v>32.520000000000003</v>
      </c>
      <c r="D17" s="2">
        <f>INDEX(Detail[],MATCH($A17,Detail[AEA],0),MATCH(D$14,Detail[#Headers],0))</f>
        <v>3.88</v>
      </c>
      <c r="E17" s="4">
        <f>SUMIFS(INDEX(Detail[],0,MATCH(E$14,Detail[#Headers],0)),Detail[AEA],$A17)</f>
        <v>10389872</v>
      </c>
      <c r="F17" s="4">
        <f>SUMIFS(INDEX(Detail[],0,MATCH(F$14,Detail[#Headers],0)),Detail[AEA],$A17)</f>
        <v>224595</v>
      </c>
      <c r="G17" s="4">
        <f>SUMIFS(INDEX(Detail[],0,MATCH(G$14,Detail[#Headers],0)),Detail[AEA],$A17)</f>
        <v>10614467</v>
      </c>
      <c r="H17" s="4">
        <f>SUMIFS(INDEX(Detail[],0,MATCH(H$14,Detail[#Headers],0)),Detail[AEA],$A17)</f>
        <v>1781466</v>
      </c>
      <c r="I17" s="4">
        <f>SUMIFS(INDEX(Detail[],0,MATCH(I$14,Detail[#Headers],0)),Detail[AEA],$A17)</f>
        <v>1999044</v>
      </c>
      <c r="J17" s="4">
        <f>SUMIFS(INDEX(Detail[],0,MATCH(J$14,Detail[#Headers],0)),Detail[AEA],$A17)</f>
        <v>30000</v>
      </c>
    </row>
    <row r="18" spans="1:16" x14ac:dyDescent="0.25">
      <c r="A18" t="str">
        <f t="shared" ref="A18:B18" si="3">A5</f>
        <v>07</v>
      </c>
      <c r="B18" t="str">
        <f t="shared" si="3"/>
        <v>Central Rivers</v>
      </c>
      <c r="C18" s="2">
        <f>INDEX(Detail[],MATCH($A18,Detail[AEA],0),MATCH(C$14,Detail[#Headers],0))</f>
        <v>37.79</v>
      </c>
      <c r="D18" s="2">
        <f>INDEX(Detail[],MATCH($A18,Detail[AEA],0),MATCH(D$14,Detail[#Headers],0))</f>
        <v>4.3499999999999996</v>
      </c>
      <c r="E18" s="4">
        <f>SUMIFS(INDEX(Detail[],0,MATCH(E$14,Detail[#Headers],0)),Detail[AEA],$A18)</f>
        <v>21329816</v>
      </c>
      <c r="F18" s="4">
        <f>SUMIFS(INDEX(Detail[],0,MATCH(F$14,Detail[#Headers],0)),Detail[AEA],$A18)</f>
        <v>363778</v>
      </c>
      <c r="G18" s="4">
        <f>SUMIFS(INDEX(Detail[],0,MATCH(G$14,Detail[#Headers],0)),Detail[AEA],$A18)</f>
        <v>21693594</v>
      </c>
      <c r="H18" s="4">
        <f>SUMIFS(INDEX(Detail[],0,MATCH(H$14,Detail[#Headers],0)),Detail[AEA],$A18)</f>
        <v>3631873</v>
      </c>
      <c r="I18" s="4">
        <f>SUMIFS(INDEX(Detail[],0,MATCH(I$14,Detail[#Headers],0)),Detail[AEA],$A18)</f>
        <v>4054219</v>
      </c>
      <c r="J18" s="4">
        <f>SUMIFS(INDEX(Detail[],0,MATCH(J$14,Detail[#Headers],0)),Detail[AEA],$A18)</f>
        <v>0</v>
      </c>
    </row>
    <row r="19" spans="1:16" x14ac:dyDescent="0.25">
      <c r="A19" t="str">
        <f t="shared" ref="A19:B19" si="4">A6</f>
        <v>09</v>
      </c>
      <c r="B19" t="str">
        <f t="shared" si="4"/>
        <v>Mississippi Bend AEA 9</v>
      </c>
      <c r="C19" s="2">
        <f>INDEX(Detail[],MATCH($A19,Detail[AEA],0),MATCH(C$14,Detail[#Headers],0))</f>
        <v>26.86</v>
      </c>
      <c r="D19" s="2">
        <f>INDEX(Detail[],MATCH($A19,Detail[AEA],0),MATCH(D$14,Detail[#Headers],0))</f>
        <v>3.16</v>
      </c>
      <c r="E19" s="4">
        <f>SUMIFS(INDEX(Detail[],0,MATCH(E$14,Detail[#Headers],0)),Detail[AEA],$A19)</f>
        <v>16109420</v>
      </c>
      <c r="F19" s="4">
        <f>SUMIFS(INDEX(Detail[],0,MATCH(F$14,Detail[#Headers],0)),Detail[AEA],$A19)</f>
        <v>117094</v>
      </c>
      <c r="G19" s="4">
        <f>SUMIFS(INDEX(Detail[],0,MATCH(G$14,Detail[#Headers],0)),Detail[AEA],$A19)</f>
        <v>16226514</v>
      </c>
      <c r="H19" s="4">
        <f>SUMIFS(INDEX(Detail[],0,MATCH(H$14,Detail[#Headers],0)),Detail[AEA],$A19)</f>
        <v>2736869</v>
      </c>
      <c r="I19" s="4">
        <f>SUMIFS(INDEX(Detail[],0,MATCH(I$14,Detail[#Headers],0)),Detail[AEA],$A19)</f>
        <v>2986674</v>
      </c>
      <c r="J19" s="4">
        <f>SUMIFS(INDEX(Detail[],0,MATCH(J$14,Detail[#Headers],0)),Detail[AEA],$A19)</f>
        <v>0</v>
      </c>
    </row>
    <row r="20" spans="1:16" x14ac:dyDescent="0.25">
      <c r="A20" t="str">
        <f t="shared" ref="A20:B20" si="5">A7</f>
        <v>10</v>
      </c>
      <c r="B20" t="str">
        <f t="shared" si="5"/>
        <v>Grant Wood AEA 10</v>
      </c>
      <c r="C20" s="2">
        <f>INDEX(Detail[],MATCH($A20,Detail[AEA],0),MATCH(C$14,Detail[#Headers],0))</f>
        <v>27.61</v>
      </c>
      <c r="D20" s="2">
        <f>INDEX(Detail[],MATCH($A20,Detail[AEA],0),MATCH(D$14,Detail[#Headers],0))</f>
        <v>3.22</v>
      </c>
      <c r="E20" s="4">
        <f>SUMIFS(INDEX(Detail[],0,MATCH(E$14,Detail[#Headers],0)),Detail[AEA],$A20)</f>
        <v>22981406</v>
      </c>
      <c r="F20" s="4">
        <f>SUMIFS(INDEX(Detail[],0,MATCH(F$14,Detail[#Headers],0)),Detail[AEA],$A20)</f>
        <v>152394</v>
      </c>
      <c r="G20" s="4">
        <f>SUMIFS(INDEX(Detail[],0,MATCH(G$14,Detail[#Headers],0)),Detail[AEA],$A20)</f>
        <v>23133800</v>
      </c>
      <c r="H20" s="4">
        <f>SUMIFS(INDEX(Detail[],0,MATCH(H$14,Detail[#Headers],0)),Detail[AEA],$A20)</f>
        <v>4099739</v>
      </c>
      <c r="I20" s="4">
        <f>SUMIFS(INDEX(Detail[],0,MATCH(I$14,Detail[#Headers],0)),Detail[AEA],$A20)</f>
        <v>4503991</v>
      </c>
      <c r="J20" s="4">
        <f>SUMIFS(INDEX(Detail[],0,MATCH(J$14,Detail[#Headers],0)),Detail[AEA],$A20)</f>
        <v>0</v>
      </c>
    </row>
    <row r="21" spans="1:16" x14ac:dyDescent="0.25">
      <c r="A21" t="str">
        <f t="shared" ref="A21:B21" si="6">A8</f>
        <v>11</v>
      </c>
      <c r="B21" t="str">
        <f t="shared" si="6"/>
        <v>Heartland AEA 11</v>
      </c>
      <c r="C21" s="2">
        <f>INDEX(Detail[],MATCH($A21,Detail[AEA],0),MATCH(C$14,Detail[#Headers],0))</f>
        <v>23.84</v>
      </c>
      <c r="D21" s="2">
        <f>INDEX(Detail[],MATCH($A21,Detail[AEA],0),MATCH(D$14,Detail[#Headers],0))</f>
        <v>3.03</v>
      </c>
      <c r="E21" s="4">
        <f>SUMIFS(INDEX(Detail[],0,MATCH(E$14,Detail[#Headers],0)),Detail[AEA],$A21)</f>
        <v>44462723</v>
      </c>
      <c r="F21" s="4">
        <f>SUMIFS(INDEX(Detail[],0,MATCH(F$14,Detail[#Headers],0)),Detail[AEA],$A21)</f>
        <v>154952</v>
      </c>
      <c r="G21" s="4">
        <f>SUMIFS(INDEX(Detail[],0,MATCH(G$14,Detail[#Headers],0)),Detail[AEA],$A21)</f>
        <v>44617675</v>
      </c>
      <c r="H21" s="4">
        <f>SUMIFS(INDEX(Detail[],0,MATCH(H$14,Detail[#Headers],0)),Detail[AEA],$A21)</f>
        <v>8078914</v>
      </c>
      <c r="I21" s="4">
        <f>SUMIFS(INDEX(Detail[],0,MATCH(I$14,Detail[#Headers],0)),Detail[AEA],$A21)</f>
        <v>8868424</v>
      </c>
      <c r="J21" s="4">
        <f>SUMIFS(INDEX(Detail[],0,MATCH(J$14,Detail[#Headers],0)),Detail[AEA],$A21)</f>
        <v>0</v>
      </c>
    </row>
    <row r="22" spans="1:16" x14ac:dyDescent="0.25">
      <c r="A22" t="str">
        <f t="shared" ref="A22:B22" si="7">A9</f>
        <v>12</v>
      </c>
      <c r="B22" t="str">
        <f t="shared" si="7"/>
        <v>Northwest AEA</v>
      </c>
      <c r="C22" s="2">
        <f>INDEX(Detail[],MATCH($A22,Detail[AEA],0),MATCH(C$14,Detail[#Headers],0))</f>
        <v>30.4</v>
      </c>
      <c r="D22" s="2">
        <f>INDEX(Detail[],MATCH($A22,Detail[AEA],0),MATCH(D$14,Detail[#Headers],0))</f>
        <v>3.64</v>
      </c>
      <c r="E22" s="4">
        <f>SUMIFS(INDEX(Detail[],0,MATCH(E$14,Detail[#Headers],0)),Detail[AEA],$A22)</f>
        <v>13605177</v>
      </c>
      <c r="F22" s="4">
        <f>SUMIFS(INDEX(Detail[],0,MATCH(F$14,Detail[#Headers],0)),Detail[AEA],$A22)</f>
        <v>127778</v>
      </c>
      <c r="G22" s="4">
        <f>SUMIFS(INDEX(Detail[],0,MATCH(G$14,Detail[#Headers],0)),Detail[AEA],$A22)</f>
        <v>13732955</v>
      </c>
      <c r="H22" s="4">
        <f>SUMIFS(INDEX(Detail[],0,MATCH(H$14,Detail[#Headers],0)),Detail[AEA],$A22)</f>
        <v>2473705</v>
      </c>
      <c r="I22" s="4">
        <f>SUMIFS(INDEX(Detail[],0,MATCH(I$14,Detail[#Headers],0)),Detail[AEA],$A22)</f>
        <v>2774880</v>
      </c>
      <c r="J22" s="4">
        <f>SUMIFS(INDEX(Detail[],0,MATCH(J$14,Detail[#Headers],0)),Detail[AEA],$A22)</f>
        <v>0</v>
      </c>
    </row>
    <row r="23" spans="1:16" x14ac:dyDescent="0.25">
      <c r="A23" t="str">
        <f t="shared" ref="A23:B23" si="8">A10</f>
        <v>13</v>
      </c>
      <c r="B23" t="str">
        <f t="shared" si="8"/>
        <v>Green Hills AEA 13</v>
      </c>
      <c r="C23" s="2">
        <f>INDEX(Detail[],MATCH($A23,Detail[AEA],0),MATCH(C$14,Detail[#Headers],0))</f>
        <v>30.38</v>
      </c>
      <c r="D23" s="2">
        <f>INDEX(Detail[],MATCH($A23,Detail[AEA],0),MATCH(D$14,Detail[#Headers],0))</f>
        <v>3.25</v>
      </c>
      <c r="E23" s="4">
        <f>SUMIFS(INDEX(Detail[],0,MATCH(E$14,Detail[#Headers],0)),Detail[AEA],$A23)</f>
        <v>12753738</v>
      </c>
      <c r="F23" s="4">
        <f>SUMIFS(INDEX(Detail[],0,MATCH(F$14,Detail[#Headers],0)),Detail[AEA],$A23)</f>
        <v>198527</v>
      </c>
      <c r="G23" s="4">
        <f>SUMIFS(INDEX(Detail[],0,MATCH(G$14,Detail[#Headers],0)),Detail[AEA],$A23)</f>
        <v>12952265</v>
      </c>
      <c r="H23" s="4">
        <f>SUMIFS(INDEX(Detail[],0,MATCH(H$14,Detail[#Headers],0)),Detail[AEA],$A23)</f>
        <v>2122563</v>
      </c>
      <c r="I23" s="4">
        <f>SUMIFS(INDEX(Detail[],0,MATCH(I$14,Detail[#Headers],0)),Detail[AEA],$A23)</f>
        <v>2346843</v>
      </c>
      <c r="J23" s="4">
        <f>SUMIFS(INDEX(Detail[],0,MATCH(J$14,Detail[#Headers],0)),Detail[AEA],$A23)</f>
        <v>0</v>
      </c>
    </row>
    <row r="24" spans="1:16" x14ac:dyDescent="0.25">
      <c r="A24" t="str">
        <f t="shared" ref="A24:B24" si="9">A11</f>
        <v>15</v>
      </c>
      <c r="B24" t="str">
        <f t="shared" si="9"/>
        <v>Great Prairie AEA 15</v>
      </c>
      <c r="C24" s="2">
        <f>INDEX(Detail[],MATCH($A24,Detail[AEA],0),MATCH(C$14,Detail[#Headers],0))</f>
        <v>29.39</v>
      </c>
      <c r="D24" s="2">
        <f>INDEX(Detail[],MATCH($A24,Detail[AEA],0),MATCH(D$14,Detail[#Headers],0))</f>
        <v>3.2</v>
      </c>
      <c r="E24" s="4">
        <f>SUMIFS(INDEX(Detail[],0,MATCH(E$14,Detail[#Headers],0)),Detail[AEA],$A24)</f>
        <v>11466814</v>
      </c>
      <c r="F24" s="4">
        <f>SUMIFS(INDEX(Detail[],0,MATCH(F$14,Detail[#Headers],0)),Detail[AEA],$A24)</f>
        <v>200097</v>
      </c>
      <c r="G24" s="4">
        <f>SUMIFS(INDEX(Detail[],0,MATCH(G$14,Detail[#Headers],0)),Detail[AEA],$A24)</f>
        <v>11666911</v>
      </c>
      <c r="H24" s="4">
        <f>SUMIFS(INDEX(Detail[],0,MATCH(H$14,Detail[#Headers],0)),Detail[AEA],$A24)</f>
        <v>1970295</v>
      </c>
      <c r="I24" s="4">
        <f>SUMIFS(INDEX(Detail[],0,MATCH(I$14,Detail[#Headers],0)),Detail[AEA],$A24)</f>
        <v>2164283</v>
      </c>
      <c r="J24" s="4">
        <f>SUMIFS(INDEX(Detail[],0,MATCH(J$14,Detail[#Headers],0)),Detail[AEA],$A24)</f>
        <v>0</v>
      </c>
    </row>
    <row r="25" spans="1:16" ht="15.75" thickBot="1" x14ac:dyDescent="0.3">
      <c r="E25" s="12">
        <f t="shared" ref="E25:J25" si="10">SUM(E16:E24)</f>
        <v>163138292</v>
      </c>
      <c r="F25" s="12">
        <f t="shared" si="10"/>
        <v>1751058</v>
      </c>
      <c r="G25" s="12">
        <f t="shared" si="10"/>
        <v>164889350</v>
      </c>
      <c r="H25" s="12">
        <f t="shared" si="10"/>
        <v>28687769</v>
      </c>
      <c r="I25" s="12">
        <f t="shared" si="10"/>
        <v>31697300</v>
      </c>
      <c r="J25" s="12">
        <f t="shared" si="10"/>
        <v>30000</v>
      </c>
    </row>
    <row r="26" spans="1:16" ht="7.5" customHeight="1" thickTop="1" x14ac:dyDescent="0.25">
      <c r="F26" s="4"/>
      <c r="G26" s="4"/>
      <c r="H26" s="4"/>
      <c r="I26" s="4"/>
      <c r="J26" s="4"/>
    </row>
    <row r="27" spans="1:16" ht="81.75" hidden="1" customHeight="1" x14ac:dyDescent="0.25">
      <c r="A27" s="14"/>
      <c r="B27" s="14"/>
      <c r="C27" s="13" t="str">
        <f>Detail[[#Headers],[AEA Teacher Salary Supplement District Cost]]</f>
        <v>AEA Teacher Salary Supplement District Cost</v>
      </c>
      <c r="D27" s="13" t="str">
        <f>Detail[[#Headers],[AEA Professional Development Supplement District Cost]]</f>
        <v>AEA Professional Development Supplement District Cost</v>
      </c>
      <c r="E27" s="13" t="str">
        <f>Detail[[#Headers],[Subtotal Budget]]</f>
        <v>Subtotal Budget</v>
      </c>
      <c r="F27" s="13" t="str">
        <f>Detail[[#Headers],[AEA Statewide State Aid Reduction]]</f>
        <v>AEA Statewide State Aid Reduction</v>
      </c>
      <c r="G27" s="13" t="str">
        <f>Detail[[#Headers],[Total Budget]]</f>
        <v>Total Budget</v>
      </c>
      <c r="H27" s="13" t="str">
        <f>Detail[[#Headers],[State Aid Portion]]</f>
        <v>State Aid Portion</v>
      </c>
      <c r="I27" s="13" t="str">
        <f>Detail[[#Headers],[Property Tax Portion]]</f>
        <v>Property Tax Portion</v>
      </c>
      <c r="J27" s="17"/>
    </row>
    <row r="28" spans="1:16" ht="45" x14ac:dyDescent="0.25">
      <c r="A28" s="6" t="str">
        <f>A15</f>
        <v>AEA</v>
      </c>
      <c r="B28" s="6" t="str">
        <f>B15</f>
        <v>AEA Name</v>
      </c>
      <c r="C28" s="8" t="s">
        <v>389</v>
      </c>
      <c r="D28" s="8" t="s">
        <v>394</v>
      </c>
      <c r="E28" s="8" t="s">
        <v>363</v>
      </c>
      <c r="F28" s="8" t="s">
        <v>390</v>
      </c>
      <c r="G28" s="8" t="s">
        <v>365</v>
      </c>
      <c r="H28" s="8" t="s">
        <v>391</v>
      </c>
      <c r="I28" s="15" t="s">
        <v>392</v>
      </c>
      <c r="J28" s="16"/>
    </row>
    <row r="29" spans="1:16" x14ac:dyDescent="0.25">
      <c r="A29" t="str">
        <f t="shared" ref="A29:B29" si="11">A16</f>
        <v>01</v>
      </c>
      <c r="B29" t="str">
        <f t="shared" si="11"/>
        <v>Keystone AEA 1</v>
      </c>
      <c r="C29" s="4">
        <f>SUMIFS(INDEX(Detail[],0,MATCH(C$27,Detail[#Headers],0)),Detail[AEA],$A29)</f>
        <v>995123</v>
      </c>
      <c r="D29" s="4">
        <f>SUMIFS(INDEX(Detail[],0,MATCH(D$27,Detail[#Headers],0)),Detail[AEA],$A29)</f>
        <v>106957</v>
      </c>
      <c r="E29" s="4">
        <f>SUMIFS(INDEX(Detail[],0,MATCH(E$27,Detail[#Headers],0)),Detail[AEA],$A29)</f>
        <v>15144536</v>
      </c>
      <c r="F29" s="4">
        <f>SUMIFS(INDEX(Detail[],0,MATCH(F$27,Detail[#Headers],0)),Detail[AEA],$A29)</f>
        <v>1596490</v>
      </c>
      <c r="G29" s="4">
        <f>SUMIFS(INDEX(Detail[],0,MATCH(G$27,Detail[#Headers],0)),Detail[AEA],$A29)</f>
        <v>13548046</v>
      </c>
      <c r="H29" s="4">
        <f>SUMIFS(INDEX(Detail[],0,MATCH(H$27,Detail[#Headers],0)),Detail[AEA],$A29)</f>
        <v>7049331</v>
      </c>
      <c r="I29" s="4">
        <f>SUMIFS(INDEX(Detail[],0,MATCH(I$27,Detail[#Headers],0)),Detail[AEA],$A29)</f>
        <v>6498715</v>
      </c>
      <c r="J29" s="18"/>
    </row>
    <row r="30" spans="1:16" x14ac:dyDescent="0.25">
      <c r="A30" t="str">
        <f t="shared" ref="A30:B30" si="12">A17</f>
        <v>05</v>
      </c>
      <c r="B30" t="str">
        <f t="shared" si="12"/>
        <v>Prairie Lakes AEA 8</v>
      </c>
      <c r="C30" s="4">
        <f>SUMIFS(INDEX(Detail[],0,MATCH(C$27,Detail[#Headers],0)),Detail[AEA],$A30)</f>
        <v>1114752</v>
      </c>
      <c r="D30" s="4">
        <f>SUMIFS(INDEX(Detail[],0,MATCH(D$27,Detail[#Headers],0)),Detail[AEA],$A30)</f>
        <v>132952</v>
      </c>
      <c r="E30" s="4">
        <f>SUMIFS(INDEX(Detail[],0,MATCH(E$27,Detail[#Headers],0)),Detail[AEA],$A30)</f>
        <v>15672681</v>
      </c>
      <c r="F30" s="4">
        <f>SUMIFS(INDEX(Detail[],0,MATCH(F$27,Detail[#Headers],0)),Detail[AEA],$A30)</f>
        <v>1697681</v>
      </c>
      <c r="G30" s="4">
        <f>SUMIFS(INDEX(Detail[],0,MATCH(G$27,Detail[#Headers],0)),Detail[AEA],$A30)</f>
        <v>13975000</v>
      </c>
      <c r="H30" s="4">
        <f>SUMIFS(INDEX(Detail[],0,MATCH(H$27,Detail[#Headers],0)),Detail[AEA],$A30)</f>
        <v>7488519</v>
      </c>
      <c r="I30" s="4">
        <f>SUMIFS(INDEX(Detail[],0,MATCH(I$27,Detail[#Headers],0)),Detail[AEA],$A30)</f>
        <v>6486481</v>
      </c>
      <c r="J30" s="18"/>
    </row>
    <row r="31" spans="1:16" x14ac:dyDescent="0.25">
      <c r="A31" t="str">
        <f t="shared" ref="A31:B31" si="13">A18</f>
        <v>07</v>
      </c>
      <c r="B31" t="str">
        <f t="shared" si="13"/>
        <v>Central Rivers</v>
      </c>
      <c r="C31" s="4">
        <f>SUMIFS(INDEX(Detail[],0,MATCH(C$27,Detail[#Headers],0)),Detail[AEA],$A31)</f>
        <v>2711040</v>
      </c>
      <c r="D31" s="4">
        <f>SUMIFS(INDEX(Detail[],0,MATCH(D$27,Detail[#Headers],0)),Detail[AEA],$A31)</f>
        <v>311929</v>
      </c>
      <c r="E31" s="4">
        <f>SUMIFS(INDEX(Detail[],0,MATCH(E$27,Detail[#Headers],0)),Detail[AEA],$A31)</f>
        <v>32402655</v>
      </c>
      <c r="F31" s="4">
        <f>SUMIFS(INDEX(Detail[],0,MATCH(F$27,Detail[#Headers],0)),Detail[AEA],$A31)</f>
        <v>3147744</v>
      </c>
      <c r="G31" s="4">
        <f>SUMIFS(INDEX(Detail[],0,MATCH(G$27,Detail[#Headers],0)),Detail[AEA],$A31)</f>
        <v>29254911</v>
      </c>
      <c r="H31" s="4">
        <f>SUMIFS(INDEX(Detail[],0,MATCH(H$27,Detail[#Headers],0)),Detail[AEA],$A31)</f>
        <v>16485675</v>
      </c>
      <c r="I31" s="4">
        <f>SUMIFS(INDEX(Detail[],0,MATCH(I$27,Detail[#Headers],0)),Detail[AEA],$A31)</f>
        <v>12769236</v>
      </c>
      <c r="J31" s="18"/>
      <c r="O31" s="4"/>
      <c r="P31" s="4"/>
    </row>
    <row r="32" spans="1:16" x14ac:dyDescent="0.25">
      <c r="A32" t="str">
        <f t="shared" ref="A32:B32" si="14">A19</f>
        <v>09</v>
      </c>
      <c r="B32" t="str">
        <f t="shared" si="14"/>
        <v>Mississippi Bend AEA 9</v>
      </c>
      <c r="C32" s="4">
        <f>SUMIFS(INDEX(Detail[],0,MATCH(C$27,Detail[#Headers],0)),Detail[AEA],$A32)</f>
        <v>1460122</v>
      </c>
      <c r="D32" s="4">
        <f>SUMIFS(INDEX(Detail[],0,MATCH(D$27,Detail[#Headers],0)),Detail[AEA],$A32)</f>
        <v>171735</v>
      </c>
      <c r="E32" s="4">
        <f>SUMIFS(INDEX(Detail[],0,MATCH(E$27,Detail[#Headers],0)),Detail[AEA],$A32)</f>
        <v>23581914</v>
      </c>
      <c r="F32" s="4">
        <f>SUMIFS(INDEX(Detail[],0,MATCH(F$27,Detail[#Headers],0)),Detail[AEA],$A32)</f>
        <v>2291412</v>
      </c>
      <c r="G32" s="4">
        <f>SUMIFS(INDEX(Detail[],0,MATCH(G$27,Detail[#Headers],0)),Detail[AEA],$A32)</f>
        <v>21290502</v>
      </c>
      <c r="H32" s="4">
        <f>SUMIFS(INDEX(Detail[],0,MATCH(H$27,Detail[#Headers],0)),Detail[AEA],$A32)</f>
        <v>11985289</v>
      </c>
      <c r="I32" s="4">
        <f>SUMIFS(INDEX(Detail[],0,MATCH(I$27,Detail[#Headers],0)),Detail[AEA],$A32)</f>
        <v>9305213</v>
      </c>
      <c r="J32" s="18"/>
    </row>
    <row r="33" spans="1:10" x14ac:dyDescent="0.25">
      <c r="A33" t="str">
        <f t="shared" ref="A33:B33" si="15">A20</f>
        <v>10</v>
      </c>
      <c r="B33" t="str">
        <f t="shared" si="15"/>
        <v>Grant Wood AEA 10</v>
      </c>
      <c r="C33" s="4">
        <f>SUMIFS(INDEX(Detail[],0,MATCH(C$27,Detail[#Headers],0)),Detail[AEA],$A33)</f>
        <v>2155894</v>
      </c>
      <c r="D33" s="4">
        <f>SUMIFS(INDEX(Detail[],0,MATCH(D$27,Detail[#Headers],0)),Detail[AEA],$A33)</f>
        <v>251394</v>
      </c>
      <c r="E33" s="4">
        <f>SUMIFS(INDEX(Detail[],0,MATCH(E$27,Detail[#Headers],0)),Detail[AEA],$A33)</f>
        <v>34144818</v>
      </c>
      <c r="F33" s="4">
        <f>SUMIFS(INDEX(Detail[],0,MATCH(F$27,Detail[#Headers],0)),Detail[AEA],$A33)</f>
        <v>2906326</v>
      </c>
      <c r="G33" s="4">
        <f>SUMIFS(INDEX(Detail[],0,MATCH(G$27,Detail[#Headers],0)),Detail[AEA],$A33)</f>
        <v>31238492</v>
      </c>
      <c r="H33" s="4">
        <f>SUMIFS(INDEX(Detail[],0,MATCH(H$27,Detail[#Headers],0)),Detail[AEA],$A33)</f>
        <v>17657301</v>
      </c>
      <c r="I33" s="4">
        <f>SUMIFS(INDEX(Detail[],0,MATCH(I$27,Detail[#Headers],0)),Detail[AEA],$A33)</f>
        <v>13581191</v>
      </c>
      <c r="J33" s="18"/>
    </row>
    <row r="34" spans="1:10" x14ac:dyDescent="0.25">
      <c r="A34" t="str">
        <f t="shared" ref="A34:B34" si="16">A21</f>
        <v>11</v>
      </c>
      <c r="B34" t="str">
        <f t="shared" si="16"/>
        <v>Heartland AEA 11</v>
      </c>
      <c r="C34" s="4">
        <f>SUMIFS(INDEX(Detail[],0,MATCH(C$27,Detail[#Headers],0)),Detail[AEA],$A34)</f>
        <v>3688943</v>
      </c>
      <c r="D34" s="4">
        <f>SUMIFS(INDEX(Detail[],0,MATCH(D$27,Detail[#Headers],0)),Detail[AEA],$A34)</f>
        <v>468836</v>
      </c>
      <c r="E34" s="4">
        <f>SUMIFS(INDEX(Detail[],0,MATCH(E$27,Detail[#Headers],0)),Detail[AEA],$A34)</f>
        <v>65722792</v>
      </c>
      <c r="F34" s="4">
        <f>SUMIFS(INDEX(Detail[],0,MATCH(F$27,Detail[#Headers],0)),Detail[AEA],$A34)</f>
        <v>5144673</v>
      </c>
      <c r="G34" s="4">
        <f>SUMIFS(INDEX(Detail[],0,MATCH(G$27,Detail[#Headers],0)),Detail[AEA],$A34)</f>
        <v>60578119</v>
      </c>
      <c r="H34" s="4">
        <f>SUMIFS(INDEX(Detail[],0,MATCH(H$27,Detail[#Headers],0)),Detail[AEA],$A34)</f>
        <v>35007180</v>
      </c>
      <c r="I34" s="4">
        <f>SUMIFS(INDEX(Detail[],0,MATCH(I$27,Detail[#Headers],0)),Detail[AEA],$A34)</f>
        <v>25570939</v>
      </c>
      <c r="J34" s="18"/>
    </row>
    <row r="35" spans="1:10" x14ac:dyDescent="0.25">
      <c r="A35" t="str">
        <f t="shared" ref="A35:B35" si="17">A22</f>
        <v>12</v>
      </c>
      <c r="B35" t="str">
        <f t="shared" si="17"/>
        <v>Northwest AEA</v>
      </c>
      <c r="C35" s="4">
        <f>SUMIFS(INDEX(Detail[],0,MATCH(C$27,Detail[#Headers],0)),Detail[AEA],$A35)</f>
        <v>1374858</v>
      </c>
      <c r="D35" s="4">
        <f>SUMIFS(INDEX(Detail[],0,MATCH(D$27,Detail[#Headers],0)),Detail[AEA],$A35)</f>
        <v>164583</v>
      </c>
      <c r="E35" s="4">
        <f>SUMIFS(INDEX(Detail[],0,MATCH(E$27,Detail[#Headers],0)),Detail[AEA],$A35)</f>
        <v>20520981</v>
      </c>
      <c r="F35" s="4">
        <f>SUMIFS(INDEX(Detail[],0,MATCH(F$27,Detail[#Headers],0)),Detail[AEA],$A35)</f>
        <v>1929107</v>
      </c>
      <c r="G35" s="4">
        <f>SUMIFS(INDEX(Detail[],0,MATCH(G$27,Detail[#Headers],0)),Detail[AEA],$A35)</f>
        <v>18591874</v>
      </c>
      <c r="H35" s="4">
        <f>SUMIFS(INDEX(Detail[],0,MATCH(H$27,Detail[#Headers],0)),Detail[AEA],$A35)</f>
        <v>10091081</v>
      </c>
      <c r="I35" s="4">
        <f>SUMIFS(INDEX(Detail[],0,MATCH(I$27,Detail[#Headers],0)),Detail[AEA],$A35)</f>
        <v>8500793</v>
      </c>
      <c r="J35" s="18"/>
    </row>
    <row r="36" spans="1:10" x14ac:dyDescent="0.25">
      <c r="A36" t="str">
        <f t="shared" ref="A36:B36" si="18">A23</f>
        <v>13</v>
      </c>
      <c r="B36" t="str">
        <f t="shared" si="18"/>
        <v>Green Hills AEA 13</v>
      </c>
      <c r="C36" s="4">
        <f>SUMIFS(INDEX(Detail[],0,MATCH(C$27,Detail[#Headers],0)),Detail[AEA],$A36)</f>
        <v>1314948</v>
      </c>
      <c r="D36" s="4">
        <f>SUMIFS(INDEX(Detail[],0,MATCH(D$27,Detail[#Headers],0)),Detail[AEA],$A36)</f>
        <v>140607</v>
      </c>
      <c r="E36" s="4">
        <f>SUMIFS(INDEX(Detail[],0,MATCH(E$27,Detail[#Headers],0)),Detail[AEA],$A36)</f>
        <v>18877226</v>
      </c>
      <c r="F36" s="4">
        <f>SUMIFS(INDEX(Detail[],0,MATCH(F$27,Detail[#Headers],0)),Detail[AEA],$A36)</f>
        <v>1959289</v>
      </c>
      <c r="G36" s="4">
        <f>SUMIFS(INDEX(Detail[],0,MATCH(G$27,Detail[#Headers],0)),Detail[AEA],$A36)</f>
        <v>16917937</v>
      </c>
      <c r="H36" s="4">
        <f>SUMIFS(INDEX(Detail[],0,MATCH(H$27,Detail[#Headers],0)),Detail[AEA],$A36)</f>
        <v>9539594</v>
      </c>
      <c r="I36" s="4">
        <f>SUMIFS(INDEX(Detail[],0,MATCH(I$27,Detail[#Headers],0)),Detail[AEA],$A36)</f>
        <v>7378343</v>
      </c>
      <c r="J36" s="18"/>
    </row>
    <row r="37" spans="1:10" x14ac:dyDescent="0.25">
      <c r="A37" t="str">
        <f t="shared" ref="A37:B37" si="19">A24</f>
        <v>15</v>
      </c>
      <c r="B37" t="str">
        <f t="shared" si="19"/>
        <v>Great Prairie AEA 15</v>
      </c>
      <c r="C37" s="4">
        <f>SUMIFS(INDEX(Detail[],0,MATCH(C$27,Detail[#Headers],0)),Detail[AEA],$A37)</f>
        <v>1158163</v>
      </c>
      <c r="D37" s="4">
        <f>SUMIFS(INDEX(Detail[],0,MATCH(D$27,Detail[#Headers],0)),Detail[AEA],$A37)</f>
        <v>125992</v>
      </c>
      <c r="E37" s="4">
        <f>SUMIFS(INDEX(Detail[],0,MATCH(E$27,Detail[#Headers],0)),Detail[AEA],$A37)</f>
        <v>17085644</v>
      </c>
      <c r="F37" s="4">
        <f>SUMIFS(INDEX(Detail[],0,MATCH(F$27,Detail[#Headers],0)),Detail[AEA],$A37)</f>
        <v>1827278</v>
      </c>
      <c r="G37" s="4">
        <f>SUMIFS(INDEX(Detail[],0,MATCH(G$27,Detail[#Headers],0)),Detail[AEA],$A37)</f>
        <v>15258366</v>
      </c>
      <c r="H37" s="4">
        <f>SUMIFS(INDEX(Detail[],0,MATCH(H$27,Detail[#Headers],0)),Detail[AEA],$A37)</f>
        <v>8568074</v>
      </c>
      <c r="I37" s="4">
        <f>SUMIFS(INDEX(Detail[],0,MATCH(I$27,Detail[#Headers],0)),Detail[AEA],$A37)</f>
        <v>6690292</v>
      </c>
      <c r="J37" s="18"/>
    </row>
    <row r="38" spans="1:10" ht="15.75" thickBot="1" x14ac:dyDescent="0.3">
      <c r="C38" s="12">
        <f t="shared" ref="C38:I38" si="20">SUM(C29:C37)</f>
        <v>15973843</v>
      </c>
      <c r="D38" s="12">
        <f t="shared" si="20"/>
        <v>1874985</v>
      </c>
      <c r="E38" s="12">
        <f t="shared" si="20"/>
        <v>243153247</v>
      </c>
      <c r="F38" s="12">
        <f t="shared" si="20"/>
        <v>22500000</v>
      </c>
      <c r="G38" s="12">
        <f t="shared" si="20"/>
        <v>220653247</v>
      </c>
      <c r="H38" s="12">
        <f t="shared" si="20"/>
        <v>123872044</v>
      </c>
      <c r="I38" s="12">
        <f t="shared" si="20"/>
        <v>96781203</v>
      </c>
      <c r="J38" s="18"/>
    </row>
    <row r="39" spans="1:10" ht="15.75" thickTop="1" x14ac:dyDescent="0.25"/>
    <row r="41" spans="1:10" x14ac:dyDescent="0.25">
      <c r="H41" s="4"/>
    </row>
  </sheetData>
  <sheetProtection sheet="1" objects="1" scenarios="1"/>
  <pageMargins left="0.25" right="0.25" top="0.75" bottom="0.75" header="0.3" footer="0.3"/>
  <pageSetup scale="90" fitToWidth="0" orientation="landscape" r:id="rId1"/>
  <headerFooter>
    <oddHeader>&amp;C&amp;"-,Bold"&amp;14FY 2019 AEA Enrollments and Cost - Final</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332"/>
  <sheetViews>
    <sheetView workbookViewId="0">
      <pane xSplit="4" ySplit="2" topLeftCell="E3" activePane="bottomRight" state="frozen"/>
      <selection pane="topRight" activeCell="E1" sqref="E1"/>
      <selection pane="bottomLeft" activeCell="A3" sqref="A3"/>
      <selection pane="bottomRight" activeCell="A2" sqref="A2"/>
    </sheetView>
  </sheetViews>
  <sheetFormatPr defaultRowHeight="15" x14ac:dyDescent="0.25"/>
  <cols>
    <col min="1" max="1" width="6.7109375" customWidth="1"/>
    <col min="2" max="2" width="22.42578125" bestFit="1" customWidth="1"/>
    <col min="3" max="3" width="6.42578125" customWidth="1"/>
    <col min="4" max="4" width="30.42578125" bestFit="1" customWidth="1"/>
    <col min="5" max="5" width="14.85546875" bestFit="1" customWidth="1"/>
    <col min="6" max="6" width="10.85546875" bestFit="1" customWidth="1"/>
    <col min="7" max="7" width="14" bestFit="1" customWidth="1"/>
    <col min="8" max="8" width="17.85546875" bestFit="1" customWidth="1"/>
    <col min="9" max="9" width="13.85546875" customWidth="1"/>
    <col min="10" max="10" width="14.5703125" bestFit="1" customWidth="1"/>
    <col min="11" max="11" width="15.42578125" customWidth="1"/>
    <col min="12" max="13" width="13.28515625" customWidth="1"/>
    <col min="14" max="14" width="15" bestFit="1" customWidth="1"/>
    <col min="15" max="15" width="18.5703125" customWidth="1"/>
    <col min="16" max="16" width="18.85546875" bestFit="1" customWidth="1"/>
    <col min="17" max="17" width="19" customWidth="1"/>
    <col min="18" max="18" width="14" bestFit="1" customWidth="1"/>
    <col min="19" max="19" width="10.140625" bestFit="1" customWidth="1"/>
    <col min="20" max="20" width="12.28515625" customWidth="1"/>
    <col min="21" max="22" width="11.5703125" bestFit="1" customWidth="1"/>
    <col min="23" max="23" width="12" bestFit="1" customWidth="1"/>
    <col min="24" max="24" width="13.28515625" bestFit="1" customWidth="1"/>
    <col min="25" max="25" width="18" bestFit="1" customWidth="1"/>
    <col min="26" max="26" width="10.140625" bestFit="1" customWidth="1"/>
    <col min="27" max="27" width="19.28515625" bestFit="1" customWidth="1"/>
    <col min="28" max="28" width="10.140625" bestFit="1" customWidth="1"/>
    <col min="29" max="29" width="9.140625" bestFit="1" customWidth="1"/>
  </cols>
  <sheetData>
    <row r="1" spans="1:29" x14ac:dyDescent="0.25">
      <c r="A1" s="5" t="s">
        <v>739</v>
      </c>
    </row>
    <row r="2" spans="1:29" s="7" customFormat="1" ht="89.25" customHeight="1" x14ac:dyDescent="0.25">
      <c r="A2" s="7" t="s">
        <v>368</v>
      </c>
      <c r="B2" s="7" t="s">
        <v>369</v>
      </c>
      <c r="C2" s="7" t="s">
        <v>740</v>
      </c>
      <c r="D2" s="7" t="s">
        <v>370</v>
      </c>
      <c r="E2" s="8" t="s">
        <v>346</v>
      </c>
      <c r="F2" s="8" t="s">
        <v>347</v>
      </c>
      <c r="G2" s="8" t="s">
        <v>348</v>
      </c>
      <c r="H2" s="8" t="s">
        <v>349</v>
      </c>
      <c r="I2" s="8" t="s">
        <v>350</v>
      </c>
      <c r="J2" s="8" t="s">
        <v>351</v>
      </c>
      <c r="K2" s="8" t="s">
        <v>352</v>
      </c>
      <c r="L2" s="8" t="s">
        <v>353</v>
      </c>
      <c r="M2" s="8" t="s">
        <v>371</v>
      </c>
      <c r="N2" s="8" t="s">
        <v>354</v>
      </c>
      <c r="O2" s="8" t="s">
        <v>355</v>
      </c>
      <c r="P2" s="8" t="s">
        <v>356</v>
      </c>
      <c r="Q2" s="8" t="s">
        <v>357</v>
      </c>
      <c r="R2" s="8" t="s">
        <v>372</v>
      </c>
      <c r="S2" s="8" t="s">
        <v>358</v>
      </c>
      <c r="T2" s="8" t="s">
        <v>359</v>
      </c>
      <c r="U2" s="8" t="s">
        <v>360</v>
      </c>
      <c r="V2" s="8" t="s">
        <v>361</v>
      </c>
      <c r="W2" s="8" t="s">
        <v>362</v>
      </c>
      <c r="X2" s="8" t="s">
        <v>393</v>
      </c>
      <c r="Y2" s="8" t="s">
        <v>363</v>
      </c>
      <c r="Z2" s="8" t="s">
        <v>364</v>
      </c>
      <c r="AA2" s="8" t="s">
        <v>365</v>
      </c>
      <c r="AB2" s="8" t="s">
        <v>366</v>
      </c>
      <c r="AC2" s="8" t="s">
        <v>367</v>
      </c>
    </row>
    <row r="3" spans="1:29" x14ac:dyDescent="0.25">
      <c r="A3" s="1" t="s">
        <v>0</v>
      </c>
      <c r="B3" s="1" t="s">
        <v>741</v>
      </c>
      <c r="C3" s="1" t="s">
        <v>1</v>
      </c>
      <c r="D3" s="1" t="s">
        <v>416</v>
      </c>
      <c r="E3" s="2">
        <v>143.25</v>
      </c>
      <c r="F3" s="3">
        <v>1094.2</v>
      </c>
      <c r="G3" s="2">
        <v>1237.45</v>
      </c>
      <c r="H3" s="2">
        <v>0</v>
      </c>
      <c r="I3" s="4">
        <v>164</v>
      </c>
      <c r="J3" s="3">
        <v>1.6</v>
      </c>
      <c r="K3" s="4">
        <v>1257</v>
      </c>
      <c r="L3" s="2">
        <v>310.08</v>
      </c>
      <c r="M3" s="2">
        <v>55.35</v>
      </c>
      <c r="N3" s="2">
        <v>61.73</v>
      </c>
      <c r="O3" s="2">
        <v>30.56</v>
      </c>
      <c r="P3" s="2">
        <v>3.29</v>
      </c>
      <c r="Q3" s="4">
        <v>383708</v>
      </c>
      <c r="R3" s="4">
        <v>8646</v>
      </c>
      <c r="S3" s="4">
        <v>392354</v>
      </c>
      <c r="T3" s="4">
        <v>69575</v>
      </c>
      <c r="U3" s="4">
        <v>77595</v>
      </c>
      <c r="V3" s="4">
        <v>0</v>
      </c>
      <c r="W3" s="4">
        <v>37816</v>
      </c>
      <c r="X3" s="4">
        <v>4071</v>
      </c>
      <c r="Y3" s="4">
        <v>581411</v>
      </c>
      <c r="Z3" s="4">
        <v>73532</v>
      </c>
      <c r="AA3" s="4">
        <v>507879</v>
      </c>
      <c r="AB3" s="4">
        <v>256681</v>
      </c>
      <c r="AC3" s="4">
        <v>251198</v>
      </c>
    </row>
    <row r="4" spans="1:29" x14ac:dyDescent="0.25">
      <c r="A4" s="1" t="s">
        <v>0</v>
      </c>
      <c r="B4" s="1" t="s">
        <v>741</v>
      </c>
      <c r="C4" s="1" t="s">
        <v>2</v>
      </c>
      <c r="D4" s="1" t="s">
        <v>417</v>
      </c>
      <c r="E4" s="2">
        <v>52.58</v>
      </c>
      <c r="F4" s="3">
        <v>418.6</v>
      </c>
      <c r="G4" s="2">
        <v>471.18</v>
      </c>
      <c r="H4" s="2">
        <v>0</v>
      </c>
      <c r="I4" s="4">
        <v>1</v>
      </c>
      <c r="J4" s="3">
        <v>0</v>
      </c>
      <c r="K4" s="4">
        <v>420</v>
      </c>
      <c r="L4" s="2">
        <v>310.08</v>
      </c>
      <c r="M4" s="2">
        <v>55.35</v>
      </c>
      <c r="N4" s="2">
        <v>61.73</v>
      </c>
      <c r="O4" s="2">
        <v>30.56</v>
      </c>
      <c r="P4" s="2">
        <v>3.29</v>
      </c>
      <c r="Q4" s="4">
        <v>146103</v>
      </c>
      <c r="R4" s="4">
        <v>22893</v>
      </c>
      <c r="S4" s="4">
        <v>168996</v>
      </c>
      <c r="T4" s="4">
        <v>23247</v>
      </c>
      <c r="U4" s="4">
        <v>25927</v>
      </c>
      <c r="V4" s="4">
        <v>0</v>
      </c>
      <c r="W4" s="4">
        <v>14702</v>
      </c>
      <c r="X4" s="4">
        <v>1579</v>
      </c>
      <c r="Y4" s="4">
        <v>234451</v>
      </c>
      <c r="Z4" s="4">
        <v>29988</v>
      </c>
      <c r="AA4" s="4">
        <v>204463</v>
      </c>
      <c r="AB4" s="4">
        <v>96078</v>
      </c>
      <c r="AC4" s="4">
        <v>108385</v>
      </c>
    </row>
    <row r="5" spans="1:29" x14ac:dyDescent="0.25">
      <c r="A5" s="1" t="s">
        <v>0</v>
      </c>
      <c r="B5" s="1" t="s">
        <v>741</v>
      </c>
      <c r="C5" s="1" t="s">
        <v>3</v>
      </c>
      <c r="D5" s="1" t="s">
        <v>418</v>
      </c>
      <c r="E5" s="2">
        <v>57.31</v>
      </c>
      <c r="F5" s="3">
        <v>571.4</v>
      </c>
      <c r="G5" s="2">
        <v>628.71</v>
      </c>
      <c r="H5" s="2">
        <v>0</v>
      </c>
      <c r="I5" s="4">
        <v>68</v>
      </c>
      <c r="J5" s="3">
        <v>3.4</v>
      </c>
      <c r="K5" s="4">
        <v>636</v>
      </c>
      <c r="L5" s="2">
        <v>310.08</v>
      </c>
      <c r="M5" s="2">
        <v>55.35</v>
      </c>
      <c r="N5" s="2">
        <v>61.73</v>
      </c>
      <c r="O5" s="2">
        <v>30.56</v>
      </c>
      <c r="P5" s="2">
        <v>3.29</v>
      </c>
      <c r="Q5" s="4">
        <v>194950</v>
      </c>
      <c r="R5" s="4">
        <v>9872</v>
      </c>
      <c r="S5" s="4">
        <v>204822</v>
      </c>
      <c r="T5" s="4">
        <v>35203</v>
      </c>
      <c r="U5" s="4">
        <v>39260</v>
      </c>
      <c r="V5" s="4">
        <v>0</v>
      </c>
      <c r="W5" s="4">
        <v>19220</v>
      </c>
      <c r="X5" s="4">
        <v>2068</v>
      </c>
      <c r="Y5" s="4">
        <v>300573</v>
      </c>
      <c r="Z5" s="4">
        <v>39375</v>
      </c>
      <c r="AA5" s="4">
        <v>261198</v>
      </c>
      <c r="AB5" s="4">
        <v>128402</v>
      </c>
      <c r="AC5" s="4">
        <v>132796</v>
      </c>
    </row>
    <row r="6" spans="1:29" x14ac:dyDescent="0.25">
      <c r="A6" s="1" t="s">
        <v>0</v>
      </c>
      <c r="B6" s="1" t="s">
        <v>741</v>
      </c>
      <c r="C6" s="1" t="s">
        <v>4</v>
      </c>
      <c r="D6" s="1" t="s">
        <v>419</v>
      </c>
      <c r="E6" s="2">
        <v>121.77</v>
      </c>
      <c r="F6" s="3">
        <v>1367.1</v>
      </c>
      <c r="G6" s="2">
        <v>1488.87</v>
      </c>
      <c r="H6" s="2">
        <v>0</v>
      </c>
      <c r="I6" s="4">
        <v>98</v>
      </c>
      <c r="J6" s="3">
        <v>0.4</v>
      </c>
      <c r="K6" s="4">
        <v>1465</v>
      </c>
      <c r="L6" s="2">
        <v>310.08</v>
      </c>
      <c r="M6" s="2">
        <v>55.35</v>
      </c>
      <c r="N6" s="2">
        <v>61.73</v>
      </c>
      <c r="O6" s="2">
        <v>30.56</v>
      </c>
      <c r="P6" s="2">
        <v>3.29</v>
      </c>
      <c r="Q6" s="4">
        <v>461669</v>
      </c>
      <c r="R6" s="4">
        <v>0</v>
      </c>
      <c r="S6" s="4">
        <v>461669</v>
      </c>
      <c r="T6" s="4">
        <v>81088</v>
      </c>
      <c r="U6" s="4">
        <v>90434</v>
      </c>
      <c r="V6" s="4">
        <v>0</v>
      </c>
      <c r="W6" s="4">
        <v>45500</v>
      </c>
      <c r="X6" s="4">
        <v>4898</v>
      </c>
      <c r="Y6" s="4">
        <v>683589</v>
      </c>
      <c r="Z6" s="4">
        <v>75026</v>
      </c>
      <c r="AA6" s="4">
        <v>608563</v>
      </c>
      <c r="AB6" s="4">
        <v>322279</v>
      </c>
      <c r="AC6" s="4">
        <v>286284</v>
      </c>
    </row>
    <row r="7" spans="1:29" x14ac:dyDescent="0.25">
      <c r="A7" s="1" t="s">
        <v>0</v>
      </c>
      <c r="B7" s="1" t="s">
        <v>741</v>
      </c>
      <c r="C7" s="1" t="s">
        <v>5</v>
      </c>
      <c r="D7" s="1" t="s">
        <v>420</v>
      </c>
      <c r="E7" s="2">
        <v>1893.79</v>
      </c>
      <c r="F7" s="3">
        <v>10506.8</v>
      </c>
      <c r="G7" s="2">
        <v>12400.59</v>
      </c>
      <c r="H7" s="2">
        <v>0</v>
      </c>
      <c r="I7" s="4">
        <v>1638</v>
      </c>
      <c r="J7" s="3">
        <v>1.3</v>
      </c>
      <c r="K7" s="4">
        <v>12144</v>
      </c>
      <c r="L7" s="2">
        <v>310.08</v>
      </c>
      <c r="M7" s="2">
        <v>55.35</v>
      </c>
      <c r="N7" s="2">
        <v>61.73</v>
      </c>
      <c r="O7" s="2">
        <v>30.56</v>
      </c>
      <c r="P7" s="2">
        <v>3.29</v>
      </c>
      <c r="Q7" s="4">
        <v>3845175</v>
      </c>
      <c r="R7" s="4">
        <v>23462</v>
      </c>
      <c r="S7" s="4">
        <v>3868637</v>
      </c>
      <c r="T7" s="4">
        <v>672170</v>
      </c>
      <c r="U7" s="4">
        <v>749649</v>
      </c>
      <c r="V7" s="4">
        <v>0</v>
      </c>
      <c r="W7" s="4">
        <v>381133</v>
      </c>
      <c r="X7" s="4">
        <v>40935</v>
      </c>
      <c r="Y7" s="4">
        <v>5712524</v>
      </c>
      <c r="Z7" s="4">
        <v>514177</v>
      </c>
      <c r="AA7" s="4">
        <v>5198347</v>
      </c>
      <c r="AB7" s="4">
        <v>2797228</v>
      </c>
      <c r="AC7" s="4">
        <v>2401119</v>
      </c>
    </row>
    <row r="8" spans="1:29" x14ac:dyDescent="0.25">
      <c r="A8" s="1" t="s">
        <v>0</v>
      </c>
      <c r="B8" s="1" t="s">
        <v>741</v>
      </c>
      <c r="C8" s="1" t="s">
        <v>6</v>
      </c>
      <c r="D8" s="1" t="s">
        <v>421</v>
      </c>
      <c r="E8" s="2">
        <v>26.07</v>
      </c>
      <c r="F8" s="3">
        <v>325.10000000000002</v>
      </c>
      <c r="G8" s="2">
        <v>351.17</v>
      </c>
      <c r="H8" s="2">
        <v>0</v>
      </c>
      <c r="I8" s="4">
        <v>3</v>
      </c>
      <c r="J8" s="3">
        <v>0</v>
      </c>
      <c r="K8" s="4">
        <v>328</v>
      </c>
      <c r="L8" s="2">
        <v>310.08</v>
      </c>
      <c r="M8" s="2">
        <v>55.35</v>
      </c>
      <c r="N8" s="2">
        <v>61.73</v>
      </c>
      <c r="O8" s="2">
        <v>30.56</v>
      </c>
      <c r="P8" s="2">
        <v>3.29</v>
      </c>
      <c r="Q8" s="4">
        <v>108891</v>
      </c>
      <c r="R8" s="4">
        <v>19336</v>
      </c>
      <c r="S8" s="4">
        <v>128227</v>
      </c>
      <c r="T8" s="4">
        <v>18155</v>
      </c>
      <c r="U8" s="4">
        <v>20247</v>
      </c>
      <c r="V8" s="4">
        <v>0</v>
      </c>
      <c r="W8" s="4">
        <v>11163</v>
      </c>
      <c r="X8" s="4">
        <v>1199</v>
      </c>
      <c r="Y8" s="4">
        <v>178991</v>
      </c>
      <c r="Z8" s="4">
        <v>23749</v>
      </c>
      <c r="AA8" s="4">
        <v>155242</v>
      </c>
      <c r="AB8" s="4">
        <v>70436</v>
      </c>
      <c r="AC8" s="4">
        <v>84806</v>
      </c>
    </row>
    <row r="9" spans="1:29" x14ac:dyDescent="0.25">
      <c r="A9" s="1" t="s">
        <v>0</v>
      </c>
      <c r="B9" s="1" t="s">
        <v>741</v>
      </c>
      <c r="C9" s="1" t="s">
        <v>7</v>
      </c>
      <c r="D9" s="1" t="s">
        <v>422</v>
      </c>
      <c r="E9" s="2">
        <v>36.54</v>
      </c>
      <c r="F9" s="3">
        <v>414</v>
      </c>
      <c r="G9" s="2">
        <v>450.54</v>
      </c>
      <c r="H9" s="2">
        <v>0</v>
      </c>
      <c r="I9" s="4">
        <v>31</v>
      </c>
      <c r="J9" s="3">
        <v>0</v>
      </c>
      <c r="K9" s="4">
        <v>445</v>
      </c>
      <c r="L9" s="2">
        <v>310.08</v>
      </c>
      <c r="M9" s="2">
        <v>55.35</v>
      </c>
      <c r="N9" s="2">
        <v>61.73</v>
      </c>
      <c r="O9" s="2">
        <v>30.56</v>
      </c>
      <c r="P9" s="2">
        <v>3.29</v>
      </c>
      <c r="Q9" s="4">
        <v>139703</v>
      </c>
      <c r="R9" s="4">
        <v>3816</v>
      </c>
      <c r="S9" s="4">
        <v>143519</v>
      </c>
      <c r="T9" s="4">
        <v>24631</v>
      </c>
      <c r="U9" s="4">
        <v>27470</v>
      </c>
      <c r="V9" s="4">
        <v>0</v>
      </c>
      <c r="W9" s="4">
        <v>13769</v>
      </c>
      <c r="X9" s="4">
        <v>1482</v>
      </c>
      <c r="Y9" s="4">
        <v>210871</v>
      </c>
      <c r="Z9" s="4">
        <v>27107</v>
      </c>
      <c r="AA9" s="4">
        <v>183764</v>
      </c>
      <c r="AB9" s="4">
        <v>93120</v>
      </c>
      <c r="AC9" s="4">
        <v>90644</v>
      </c>
    </row>
    <row r="10" spans="1:29" x14ac:dyDescent="0.25">
      <c r="A10" s="1" t="s">
        <v>0</v>
      </c>
      <c r="B10" s="1" t="s">
        <v>741</v>
      </c>
      <c r="C10" s="1" t="s">
        <v>8</v>
      </c>
      <c r="D10" s="1" t="s">
        <v>423</v>
      </c>
      <c r="E10" s="2">
        <v>163.05000000000001</v>
      </c>
      <c r="F10" s="3">
        <v>1160.4000000000001</v>
      </c>
      <c r="G10" s="2">
        <v>1323.45</v>
      </c>
      <c r="H10" s="2">
        <v>0</v>
      </c>
      <c r="I10" s="4">
        <v>191</v>
      </c>
      <c r="J10" s="3">
        <v>1.6</v>
      </c>
      <c r="K10" s="4">
        <v>1350</v>
      </c>
      <c r="L10" s="2">
        <v>310.08</v>
      </c>
      <c r="M10" s="2">
        <v>55.35</v>
      </c>
      <c r="N10" s="2">
        <v>61.73</v>
      </c>
      <c r="O10" s="2">
        <v>30.56</v>
      </c>
      <c r="P10" s="2">
        <v>3.29</v>
      </c>
      <c r="Q10" s="4">
        <v>410375</v>
      </c>
      <c r="R10" s="4">
        <v>21555</v>
      </c>
      <c r="S10" s="4">
        <v>431930</v>
      </c>
      <c r="T10" s="4">
        <v>74723</v>
      </c>
      <c r="U10" s="4">
        <v>83336</v>
      </c>
      <c r="V10" s="4">
        <v>0</v>
      </c>
      <c r="W10" s="4">
        <v>40931</v>
      </c>
      <c r="X10" s="4">
        <v>4396</v>
      </c>
      <c r="Y10" s="4">
        <v>635316</v>
      </c>
      <c r="Z10" s="4">
        <v>74965</v>
      </c>
      <c r="AA10" s="4">
        <v>560351</v>
      </c>
      <c r="AB10" s="4">
        <v>278726</v>
      </c>
      <c r="AC10" s="4">
        <v>281625</v>
      </c>
    </row>
    <row r="11" spans="1:29" x14ac:dyDescent="0.25">
      <c r="A11" s="1" t="s">
        <v>0</v>
      </c>
      <c r="B11" s="1" t="s">
        <v>741</v>
      </c>
      <c r="C11" s="1" t="s">
        <v>10</v>
      </c>
      <c r="D11" s="1" t="s">
        <v>425</v>
      </c>
      <c r="E11" s="2">
        <v>93.46</v>
      </c>
      <c r="F11" s="3">
        <v>757.5</v>
      </c>
      <c r="G11" s="2">
        <v>850.96</v>
      </c>
      <c r="H11" s="2">
        <v>0</v>
      </c>
      <c r="I11" s="4">
        <v>0</v>
      </c>
      <c r="J11" s="3">
        <v>0</v>
      </c>
      <c r="K11" s="4">
        <v>758</v>
      </c>
      <c r="L11" s="2">
        <v>310.08</v>
      </c>
      <c r="M11" s="2">
        <v>55.35</v>
      </c>
      <c r="N11" s="2">
        <v>61.73</v>
      </c>
      <c r="O11" s="2">
        <v>30.56</v>
      </c>
      <c r="P11" s="2">
        <v>3.29</v>
      </c>
      <c r="Q11" s="4">
        <v>263866</v>
      </c>
      <c r="R11" s="4">
        <v>1621</v>
      </c>
      <c r="S11" s="4">
        <v>265487</v>
      </c>
      <c r="T11" s="4">
        <v>41955</v>
      </c>
      <c r="U11" s="4">
        <v>46791</v>
      </c>
      <c r="V11" s="4">
        <v>0</v>
      </c>
      <c r="W11" s="4">
        <v>26146</v>
      </c>
      <c r="X11" s="4">
        <v>2808</v>
      </c>
      <c r="Y11" s="4">
        <v>383187</v>
      </c>
      <c r="Z11" s="4">
        <v>49021</v>
      </c>
      <c r="AA11" s="4">
        <v>334166</v>
      </c>
      <c r="AB11" s="4">
        <v>178207</v>
      </c>
      <c r="AC11" s="4">
        <v>155959</v>
      </c>
    </row>
    <row r="12" spans="1:29" x14ac:dyDescent="0.25">
      <c r="A12" s="1" t="s">
        <v>0</v>
      </c>
      <c r="B12" s="1" t="s">
        <v>741</v>
      </c>
      <c r="C12" s="1" t="s">
        <v>9</v>
      </c>
      <c r="D12" s="1" t="s">
        <v>424</v>
      </c>
      <c r="E12" s="2">
        <v>46.31</v>
      </c>
      <c r="F12" s="3">
        <v>672.4</v>
      </c>
      <c r="G12" s="2">
        <v>718.71</v>
      </c>
      <c r="H12" s="2">
        <v>0</v>
      </c>
      <c r="I12" s="4">
        <v>27</v>
      </c>
      <c r="J12" s="3">
        <v>0</v>
      </c>
      <c r="K12" s="4">
        <v>699</v>
      </c>
      <c r="L12" s="2">
        <v>310.08</v>
      </c>
      <c r="M12" s="2">
        <v>55.35</v>
      </c>
      <c r="N12" s="2">
        <v>61.73</v>
      </c>
      <c r="O12" s="2">
        <v>30.56</v>
      </c>
      <c r="P12" s="2">
        <v>3.29</v>
      </c>
      <c r="Q12" s="4">
        <v>222858</v>
      </c>
      <c r="R12" s="4">
        <v>11942</v>
      </c>
      <c r="S12" s="4">
        <v>234800</v>
      </c>
      <c r="T12" s="4">
        <v>38690</v>
      </c>
      <c r="U12" s="4">
        <v>43149</v>
      </c>
      <c r="V12" s="4">
        <v>0</v>
      </c>
      <c r="W12" s="4">
        <v>22346</v>
      </c>
      <c r="X12" s="4">
        <v>2400</v>
      </c>
      <c r="Y12" s="4">
        <v>341385</v>
      </c>
      <c r="Z12" s="4">
        <v>45215</v>
      </c>
      <c r="AA12" s="4">
        <v>296170</v>
      </c>
      <c r="AB12" s="4">
        <v>146990</v>
      </c>
      <c r="AC12" s="4">
        <v>149180</v>
      </c>
    </row>
    <row r="13" spans="1:29" x14ac:dyDescent="0.25">
      <c r="A13" s="1" t="s">
        <v>0</v>
      </c>
      <c r="B13" s="1" t="s">
        <v>741</v>
      </c>
      <c r="C13" s="1" t="s">
        <v>11</v>
      </c>
      <c r="D13" s="1" t="s">
        <v>426</v>
      </c>
      <c r="E13" s="2">
        <v>123.43</v>
      </c>
      <c r="F13" s="3">
        <v>959.6</v>
      </c>
      <c r="G13" s="2">
        <v>1083.03</v>
      </c>
      <c r="H13" s="2">
        <v>0</v>
      </c>
      <c r="I13" s="4">
        <v>135</v>
      </c>
      <c r="J13" s="3">
        <v>1.6</v>
      </c>
      <c r="K13" s="4">
        <v>1093</v>
      </c>
      <c r="L13" s="2">
        <v>310.08</v>
      </c>
      <c r="M13" s="2">
        <v>55.35</v>
      </c>
      <c r="N13" s="2">
        <v>61.73</v>
      </c>
      <c r="O13" s="2">
        <v>30.56</v>
      </c>
      <c r="P13" s="2">
        <v>3.29</v>
      </c>
      <c r="Q13" s="4">
        <v>335826</v>
      </c>
      <c r="R13" s="4">
        <v>0</v>
      </c>
      <c r="S13" s="4">
        <v>335826</v>
      </c>
      <c r="T13" s="4">
        <v>60498</v>
      </c>
      <c r="U13" s="4">
        <v>67471</v>
      </c>
      <c r="V13" s="4">
        <v>0</v>
      </c>
      <c r="W13" s="4">
        <v>33097</v>
      </c>
      <c r="X13" s="4">
        <v>3563</v>
      </c>
      <c r="Y13" s="4">
        <v>500455</v>
      </c>
      <c r="Z13" s="4">
        <v>58022</v>
      </c>
      <c r="AA13" s="4">
        <v>442433</v>
      </c>
      <c r="AB13" s="4">
        <v>230984</v>
      </c>
      <c r="AC13" s="4">
        <v>211449</v>
      </c>
    </row>
    <row r="14" spans="1:29" x14ac:dyDescent="0.25">
      <c r="A14" s="1" t="s">
        <v>0</v>
      </c>
      <c r="B14" s="1" t="s">
        <v>741</v>
      </c>
      <c r="C14" s="1" t="s">
        <v>12</v>
      </c>
      <c r="D14" s="1" t="s">
        <v>427</v>
      </c>
      <c r="E14" s="2">
        <v>175.07</v>
      </c>
      <c r="F14" s="3">
        <v>1134.0999999999999</v>
      </c>
      <c r="G14" s="2">
        <v>1309.17</v>
      </c>
      <c r="H14" s="2">
        <v>0</v>
      </c>
      <c r="I14" s="4">
        <v>4</v>
      </c>
      <c r="J14" s="3">
        <v>0</v>
      </c>
      <c r="K14" s="4">
        <v>1138</v>
      </c>
      <c r="L14" s="2">
        <v>310.08</v>
      </c>
      <c r="M14" s="2">
        <v>55.35</v>
      </c>
      <c r="N14" s="2">
        <v>61.73</v>
      </c>
      <c r="O14" s="2">
        <v>30.56</v>
      </c>
      <c r="P14" s="2">
        <v>3.29</v>
      </c>
      <c r="Q14" s="4">
        <v>405947</v>
      </c>
      <c r="R14" s="4">
        <v>31025</v>
      </c>
      <c r="S14" s="4">
        <v>436972</v>
      </c>
      <c r="T14" s="4">
        <v>62988</v>
      </c>
      <c r="U14" s="4">
        <v>70249</v>
      </c>
      <c r="V14" s="4">
        <v>0</v>
      </c>
      <c r="W14" s="4">
        <v>40008</v>
      </c>
      <c r="X14" s="4">
        <v>4307</v>
      </c>
      <c r="Y14" s="4">
        <v>614524</v>
      </c>
      <c r="Z14" s="4">
        <v>80898</v>
      </c>
      <c r="AA14" s="4">
        <v>533626</v>
      </c>
      <c r="AB14" s="4">
        <v>268454</v>
      </c>
      <c r="AC14" s="4">
        <v>265172</v>
      </c>
    </row>
    <row r="15" spans="1:29" x14ac:dyDescent="0.25">
      <c r="A15" s="1" t="s">
        <v>0</v>
      </c>
      <c r="B15" s="1" t="s">
        <v>741</v>
      </c>
      <c r="C15" s="1" t="s">
        <v>13</v>
      </c>
      <c r="D15" s="1" t="s">
        <v>428</v>
      </c>
      <c r="E15" s="2">
        <v>29.74</v>
      </c>
      <c r="F15" s="3">
        <v>276</v>
      </c>
      <c r="G15" s="2">
        <v>305.74</v>
      </c>
      <c r="H15" s="2">
        <v>0</v>
      </c>
      <c r="I15" s="4">
        <v>11</v>
      </c>
      <c r="J15" s="3">
        <v>0</v>
      </c>
      <c r="K15" s="4">
        <v>287</v>
      </c>
      <c r="L15" s="2">
        <v>310.08</v>
      </c>
      <c r="M15" s="2">
        <v>55.35</v>
      </c>
      <c r="N15" s="2">
        <v>61.73</v>
      </c>
      <c r="O15" s="2">
        <v>30.56</v>
      </c>
      <c r="P15" s="2">
        <v>3.29</v>
      </c>
      <c r="Q15" s="4">
        <v>94804</v>
      </c>
      <c r="R15" s="4">
        <v>2975</v>
      </c>
      <c r="S15" s="4">
        <v>97779</v>
      </c>
      <c r="T15" s="4">
        <v>15885</v>
      </c>
      <c r="U15" s="4">
        <v>17717</v>
      </c>
      <c r="V15" s="4">
        <v>0</v>
      </c>
      <c r="W15" s="4">
        <v>9402</v>
      </c>
      <c r="X15" s="4">
        <v>1010</v>
      </c>
      <c r="Y15" s="4">
        <v>141793</v>
      </c>
      <c r="Z15" s="4">
        <v>17982</v>
      </c>
      <c r="AA15" s="4">
        <v>123811</v>
      </c>
      <c r="AB15" s="4">
        <v>63667</v>
      </c>
      <c r="AC15" s="4">
        <v>60144</v>
      </c>
    </row>
    <row r="16" spans="1:29" x14ac:dyDescent="0.25">
      <c r="A16" s="1" t="s">
        <v>0</v>
      </c>
      <c r="B16" s="1" t="s">
        <v>741</v>
      </c>
      <c r="C16" s="1" t="s">
        <v>14</v>
      </c>
      <c r="D16" s="1" t="s">
        <v>429</v>
      </c>
      <c r="E16" s="2">
        <v>246.24</v>
      </c>
      <c r="F16" s="3">
        <v>1255.4000000000001</v>
      </c>
      <c r="G16" s="2">
        <v>1501.64</v>
      </c>
      <c r="H16" s="2">
        <v>0</v>
      </c>
      <c r="I16" s="4">
        <v>80</v>
      </c>
      <c r="J16" s="3">
        <v>3.6</v>
      </c>
      <c r="K16" s="4">
        <v>1332</v>
      </c>
      <c r="L16" s="2">
        <v>310.08</v>
      </c>
      <c r="M16" s="2">
        <v>55.35</v>
      </c>
      <c r="N16" s="2">
        <v>61.73</v>
      </c>
      <c r="O16" s="2">
        <v>30.56</v>
      </c>
      <c r="P16" s="2">
        <v>3.29</v>
      </c>
      <c r="Q16" s="4">
        <v>465629</v>
      </c>
      <c r="R16" s="4">
        <v>0</v>
      </c>
      <c r="S16" s="4">
        <v>465629</v>
      </c>
      <c r="T16" s="4">
        <v>73726</v>
      </c>
      <c r="U16" s="4">
        <v>82224</v>
      </c>
      <c r="V16" s="4">
        <v>0</v>
      </c>
      <c r="W16" s="4">
        <v>45890</v>
      </c>
      <c r="X16" s="4">
        <v>4940</v>
      </c>
      <c r="Y16" s="4">
        <v>672409</v>
      </c>
      <c r="Z16" s="4">
        <v>78419</v>
      </c>
      <c r="AA16" s="4">
        <v>593990</v>
      </c>
      <c r="AB16" s="4">
        <v>322293</v>
      </c>
      <c r="AC16" s="4">
        <v>271697</v>
      </c>
    </row>
    <row r="17" spans="1:29" x14ac:dyDescent="0.25">
      <c r="A17" s="1" t="s">
        <v>0</v>
      </c>
      <c r="B17" s="1" t="s">
        <v>741</v>
      </c>
      <c r="C17" s="1" t="s">
        <v>15</v>
      </c>
      <c r="D17" s="1" t="s">
        <v>430</v>
      </c>
      <c r="E17" s="2">
        <v>87.75</v>
      </c>
      <c r="F17" s="3">
        <v>730.9</v>
      </c>
      <c r="G17" s="2">
        <v>818.65</v>
      </c>
      <c r="H17" s="2">
        <v>0</v>
      </c>
      <c r="I17" s="4">
        <v>10</v>
      </c>
      <c r="J17" s="3">
        <v>0</v>
      </c>
      <c r="K17" s="4">
        <v>741</v>
      </c>
      <c r="L17" s="2">
        <v>310.08</v>
      </c>
      <c r="M17" s="2">
        <v>55.35</v>
      </c>
      <c r="N17" s="2">
        <v>61.73</v>
      </c>
      <c r="O17" s="2">
        <v>30.56</v>
      </c>
      <c r="P17" s="2">
        <v>3.29</v>
      </c>
      <c r="Q17" s="4">
        <v>253847</v>
      </c>
      <c r="R17" s="4">
        <v>0</v>
      </c>
      <c r="S17" s="4">
        <v>253847</v>
      </c>
      <c r="T17" s="4">
        <v>41014</v>
      </c>
      <c r="U17" s="4">
        <v>45742</v>
      </c>
      <c r="V17" s="4">
        <v>0</v>
      </c>
      <c r="W17" s="4">
        <v>25018</v>
      </c>
      <c r="X17" s="4">
        <v>2693</v>
      </c>
      <c r="Y17" s="4">
        <v>368314</v>
      </c>
      <c r="Z17" s="4">
        <v>30686</v>
      </c>
      <c r="AA17" s="4">
        <v>337628</v>
      </c>
      <c r="AB17" s="4">
        <v>187770</v>
      </c>
      <c r="AC17" s="4">
        <v>149858</v>
      </c>
    </row>
    <row r="18" spans="1:29" x14ac:dyDescent="0.25">
      <c r="A18" s="1" t="s">
        <v>0</v>
      </c>
      <c r="B18" s="1" t="s">
        <v>741</v>
      </c>
      <c r="C18" s="1" t="s">
        <v>16</v>
      </c>
      <c r="D18" s="1" t="s">
        <v>431</v>
      </c>
      <c r="E18" s="2">
        <v>38.159999999999997</v>
      </c>
      <c r="F18" s="3">
        <v>328.3</v>
      </c>
      <c r="G18" s="2">
        <v>366.46</v>
      </c>
      <c r="H18" s="2">
        <v>0</v>
      </c>
      <c r="I18" s="4">
        <v>3</v>
      </c>
      <c r="J18" s="3">
        <v>0</v>
      </c>
      <c r="K18" s="4">
        <v>331</v>
      </c>
      <c r="L18" s="2">
        <v>310.08</v>
      </c>
      <c r="M18" s="2">
        <v>55.35</v>
      </c>
      <c r="N18" s="2">
        <v>61.73</v>
      </c>
      <c r="O18" s="2">
        <v>30.56</v>
      </c>
      <c r="P18" s="2">
        <v>3.29</v>
      </c>
      <c r="Q18" s="4">
        <v>113632</v>
      </c>
      <c r="R18" s="4">
        <v>0</v>
      </c>
      <c r="S18" s="4">
        <v>113632</v>
      </c>
      <c r="T18" s="4">
        <v>18321</v>
      </c>
      <c r="U18" s="4">
        <v>20433</v>
      </c>
      <c r="V18" s="4">
        <v>0</v>
      </c>
      <c r="W18" s="4">
        <v>11199</v>
      </c>
      <c r="X18" s="4">
        <v>1206</v>
      </c>
      <c r="Y18" s="4">
        <v>164791</v>
      </c>
      <c r="Z18" s="4">
        <v>21332</v>
      </c>
      <c r="AA18" s="4">
        <v>143459</v>
      </c>
      <c r="AB18" s="4">
        <v>76458</v>
      </c>
      <c r="AC18" s="4">
        <v>67001</v>
      </c>
    </row>
    <row r="19" spans="1:29" x14ac:dyDescent="0.25">
      <c r="A19" s="1" t="s">
        <v>0</v>
      </c>
      <c r="B19" s="1" t="s">
        <v>741</v>
      </c>
      <c r="C19" s="1" t="s">
        <v>17</v>
      </c>
      <c r="D19" s="1" t="s">
        <v>432</v>
      </c>
      <c r="E19" s="2">
        <v>97.54</v>
      </c>
      <c r="F19" s="3">
        <v>497</v>
      </c>
      <c r="G19" s="2">
        <v>594.54</v>
      </c>
      <c r="H19" s="2">
        <v>0</v>
      </c>
      <c r="I19" s="4">
        <v>195</v>
      </c>
      <c r="J19" s="3">
        <v>3</v>
      </c>
      <c r="K19" s="4">
        <v>689</v>
      </c>
      <c r="L19" s="2">
        <v>310.08</v>
      </c>
      <c r="M19" s="2">
        <v>55.35</v>
      </c>
      <c r="N19" s="2">
        <v>61.73</v>
      </c>
      <c r="O19" s="2">
        <v>30.56</v>
      </c>
      <c r="P19" s="2">
        <v>3.29</v>
      </c>
      <c r="Q19" s="4">
        <v>184355</v>
      </c>
      <c r="R19" s="4">
        <v>9180</v>
      </c>
      <c r="S19" s="4">
        <v>193535</v>
      </c>
      <c r="T19" s="4">
        <v>38136</v>
      </c>
      <c r="U19" s="4">
        <v>42532</v>
      </c>
      <c r="V19" s="4">
        <v>0</v>
      </c>
      <c r="W19" s="4">
        <v>18239</v>
      </c>
      <c r="X19" s="4">
        <v>1959</v>
      </c>
      <c r="Y19" s="4">
        <v>294401</v>
      </c>
      <c r="Z19" s="4">
        <v>37693</v>
      </c>
      <c r="AA19" s="4">
        <v>256708</v>
      </c>
      <c r="AB19" s="4">
        <v>121033</v>
      </c>
      <c r="AC19" s="4">
        <v>135675</v>
      </c>
    </row>
    <row r="20" spans="1:29" x14ac:dyDescent="0.25">
      <c r="A20" s="1" t="s">
        <v>0</v>
      </c>
      <c r="B20" s="1" t="s">
        <v>741</v>
      </c>
      <c r="C20" s="1" t="s">
        <v>18</v>
      </c>
      <c r="D20" s="1" t="s">
        <v>433</v>
      </c>
      <c r="E20" s="2">
        <v>87.56</v>
      </c>
      <c r="F20" s="3">
        <v>619.4</v>
      </c>
      <c r="G20" s="2">
        <v>706.96</v>
      </c>
      <c r="H20" s="2">
        <v>0</v>
      </c>
      <c r="I20" s="4">
        <v>0</v>
      </c>
      <c r="J20" s="3">
        <v>0</v>
      </c>
      <c r="K20" s="4">
        <v>619</v>
      </c>
      <c r="L20" s="2">
        <v>310.08</v>
      </c>
      <c r="M20" s="2">
        <v>55.35</v>
      </c>
      <c r="N20" s="2">
        <v>61.73</v>
      </c>
      <c r="O20" s="2">
        <v>30.56</v>
      </c>
      <c r="P20" s="2">
        <v>3.29</v>
      </c>
      <c r="Q20" s="4">
        <v>219214</v>
      </c>
      <c r="R20" s="4">
        <v>0</v>
      </c>
      <c r="S20" s="4">
        <v>219214</v>
      </c>
      <c r="T20" s="4">
        <v>34262</v>
      </c>
      <c r="U20" s="4">
        <v>38211</v>
      </c>
      <c r="V20" s="4">
        <v>0</v>
      </c>
      <c r="W20" s="4">
        <v>21605</v>
      </c>
      <c r="X20" s="4">
        <v>2326</v>
      </c>
      <c r="Y20" s="4">
        <v>315618</v>
      </c>
      <c r="Z20" s="4">
        <v>41746</v>
      </c>
      <c r="AA20" s="4">
        <v>273872</v>
      </c>
      <c r="AB20" s="4">
        <v>146907</v>
      </c>
      <c r="AC20" s="4">
        <v>126965</v>
      </c>
    </row>
    <row r="21" spans="1:29" x14ac:dyDescent="0.25">
      <c r="A21" s="1" t="s">
        <v>0</v>
      </c>
      <c r="B21" s="1" t="s">
        <v>741</v>
      </c>
      <c r="C21" s="1" t="s">
        <v>19</v>
      </c>
      <c r="D21" s="1" t="s">
        <v>434</v>
      </c>
      <c r="E21" s="2">
        <v>49.3</v>
      </c>
      <c r="F21" s="3">
        <v>360.7</v>
      </c>
      <c r="G21" s="2">
        <v>410</v>
      </c>
      <c r="H21" s="2">
        <v>0</v>
      </c>
      <c r="I21" s="4">
        <v>59</v>
      </c>
      <c r="J21" s="3">
        <v>0</v>
      </c>
      <c r="K21" s="4">
        <v>420</v>
      </c>
      <c r="L21" s="2">
        <v>310.08</v>
      </c>
      <c r="M21" s="2">
        <v>55.35</v>
      </c>
      <c r="N21" s="2">
        <v>61.73</v>
      </c>
      <c r="O21" s="2">
        <v>30.56</v>
      </c>
      <c r="P21" s="2">
        <v>3.29</v>
      </c>
      <c r="Q21" s="4">
        <v>127133</v>
      </c>
      <c r="R21" s="4">
        <v>19621</v>
      </c>
      <c r="S21" s="4">
        <v>146754</v>
      </c>
      <c r="T21" s="4">
        <v>23247</v>
      </c>
      <c r="U21" s="4">
        <v>25927</v>
      </c>
      <c r="V21" s="4">
        <v>0</v>
      </c>
      <c r="W21" s="4">
        <v>12530</v>
      </c>
      <c r="X21" s="4">
        <v>1349</v>
      </c>
      <c r="Y21" s="4">
        <v>209807</v>
      </c>
      <c r="Z21" s="4">
        <v>29583</v>
      </c>
      <c r="AA21" s="4">
        <v>180224</v>
      </c>
      <c r="AB21" s="4">
        <v>79826</v>
      </c>
      <c r="AC21" s="4">
        <v>100398</v>
      </c>
    </row>
    <row r="22" spans="1:29" x14ac:dyDescent="0.25">
      <c r="A22" s="1" t="s">
        <v>0</v>
      </c>
      <c r="B22" s="1" t="s">
        <v>741</v>
      </c>
      <c r="C22" s="1" t="s">
        <v>20</v>
      </c>
      <c r="D22" s="1" t="s">
        <v>435</v>
      </c>
      <c r="E22" s="2">
        <v>29.01</v>
      </c>
      <c r="F22" s="3">
        <v>260.10000000000002</v>
      </c>
      <c r="G22" s="2">
        <v>289.11</v>
      </c>
      <c r="H22" s="2">
        <v>0</v>
      </c>
      <c r="I22" s="4">
        <v>2</v>
      </c>
      <c r="J22" s="3">
        <v>0</v>
      </c>
      <c r="K22" s="4">
        <v>262</v>
      </c>
      <c r="L22" s="2">
        <v>310.08</v>
      </c>
      <c r="M22" s="2">
        <v>55.35</v>
      </c>
      <c r="N22" s="2">
        <v>61.73</v>
      </c>
      <c r="O22" s="2">
        <v>30.56</v>
      </c>
      <c r="P22" s="2">
        <v>3.29</v>
      </c>
      <c r="Q22" s="4">
        <v>89647</v>
      </c>
      <c r="R22" s="4">
        <v>8613</v>
      </c>
      <c r="S22" s="4">
        <v>98260</v>
      </c>
      <c r="T22" s="4">
        <v>14502</v>
      </c>
      <c r="U22" s="4">
        <v>16173</v>
      </c>
      <c r="V22" s="4">
        <v>0</v>
      </c>
      <c r="W22" s="4">
        <v>8835</v>
      </c>
      <c r="X22" s="4">
        <v>951</v>
      </c>
      <c r="Y22" s="4">
        <v>138721</v>
      </c>
      <c r="Z22" s="4">
        <v>16863</v>
      </c>
      <c r="AA22" s="4">
        <v>121858</v>
      </c>
      <c r="AB22" s="4">
        <v>60286</v>
      </c>
      <c r="AC22" s="4">
        <v>61572</v>
      </c>
    </row>
    <row r="23" spans="1:29" x14ac:dyDescent="0.25">
      <c r="A23" s="1" t="s">
        <v>0</v>
      </c>
      <c r="B23" s="1" t="s">
        <v>741</v>
      </c>
      <c r="C23" s="1" t="s">
        <v>21</v>
      </c>
      <c r="D23" s="1" t="s">
        <v>436</v>
      </c>
      <c r="E23" s="2">
        <v>167.88</v>
      </c>
      <c r="F23" s="3">
        <v>1442.9</v>
      </c>
      <c r="G23" s="2">
        <v>1610.78</v>
      </c>
      <c r="H23" s="2">
        <v>0</v>
      </c>
      <c r="I23" s="4">
        <v>151</v>
      </c>
      <c r="J23" s="3">
        <v>0.7</v>
      </c>
      <c r="K23" s="4">
        <v>1593</v>
      </c>
      <c r="L23" s="2">
        <v>310.08</v>
      </c>
      <c r="M23" s="2">
        <v>55.35</v>
      </c>
      <c r="N23" s="2">
        <v>61.73</v>
      </c>
      <c r="O23" s="2">
        <v>30.56</v>
      </c>
      <c r="P23" s="2">
        <v>3.29</v>
      </c>
      <c r="Q23" s="4">
        <v>499471</v>
      </c>
      <c r="R23" s="4">
        <v>12278</v>
      </c>
      <c r="S23" s="4">
        <v>511749</v>
      </c>
      <c r="T23" s="4">
        <v>88173</v>
      </c>
      <c r="U23" s="4">
        <v>98336</v>
      </c>
      <c r="V23" s="4">
        <v>0</v>
      </c>
      <c r="W23" s="4">
        <v>50417</v>
      </c>
      <c r="X23" s="4">
        <v>5415</v>
      </c>
      <c r="Y23" s="4">
        <v>754090</v>
      </c>
      <c r="Z23" s="4">
        <v>90517</v>
      </c>
      <c r="AA23" s="4">
        <v>663573</v>
      </c>
      <c r="AB23" s="4">
        <v>340627</v>
      </c>
      <c r="AC23" s="4">
        <v>322946</v>
      </c>
    </row>
    <row r="24" spans="1:29" x14ac:dyDescent="0.25">
      <c r="A24" s="1" t="s">
        <v>0</v>
      </c>
      <c r="B24" s="1" t="s">
        <v>741</v>
      </c>
      <c r="C24" s="1" t="s">
        <v>22</v>
      </c>
      <c r="D24" s="1" t="s">
        <v>437</v>
      </c>
      <c r="E24" s="2">
        <v>359.36</v>
      </c>
      <c r="F24" s="3">
        <v>3099.5</v>
      </c>
      <c r="G24" s="2">
        <v>3458.86</v>
      </c>
      <c r="H24" s="2">
        <v>0</v>
      </c>
      <c r="I24" s="4">
        <v>1280</v>
      </c>
      <c r="J24" s="3">
        <v>4.5</v>
      </c>
      <c r="K24" s="4">
        <v>4375</v>
      </c>
      <c r="L24" s="2">
        <v>310.08</v>
      </c>
      <c r="M24" s="2">
        <v>55.35</v>
      </c>
      <c r="N24" s="2">
        <v>61.73</v>
      </c>
      <c r="O24" s="2">
        <v>30.56</v>
      </c>
      <c r="P24" s="2">
        <v>3.29</v>
      </c>
      <c r="Q24" s="4">
        <v>1072523</v>
      </c>
      <c r="R24" s="4">
        <v>5008</v>
      </c>
      <c r="S24" s="4">
        <v>1077531</v>
      </c>
      <c r="T24" s="4">
        <v>242156</v>
      </c>
      <c r="U24" s="4">
        <v>270069</v>
      </c>
      <c r="V24" s="4">
        <v>0</v>
      </c>
      <c r="W24" s="4">
        <v>106157</v>
      </c>
      <c r="X24" s="4">
        <v>11402</v>
      </c>
      <c r="Y24" s="4">
        <v>1707315</v>
      </c>
      <c r="Z24" s="4">
        <v>140594</v>
      </c>
      <c r="AA24" s="4">
        <v>1566721</v>
      </c>
      <c r="AB24" s="4">
        <v>782879</v>
      </c>
      <c r="AC24" s="4">
        <v>783842</v>
      </c>
    </row>
    <row r="25" spans="1:29" x14ac:dyDescent="0.25">
      <c r="A25" s="1" t="s">
        <v>23</v>
      </c>
      <c r="B25" s="1" t="s">
        <v>742</v>
      </c>
      <c r="C25" s="1" t="s">
        <v>24</v>
      </c>
      <c r="D25" s="1" t="s">
        <v>438</v>
      </c>
      <c r="E25" s="2">
        <v>20.09</v>
      </c>
      <c r="F25" s="3">
        <v>214.2</v>
      </c>
      <c r="G25" s="2">
        <v>234.29</v>
      </c>
      <c r="H25" s="2">
        <v>0.68</v>
      </c>
      <c r="I25" s="4">
        <v>0</v>
      </c>
      <c r="J25" s="3">
        <v>0</v>
      </c>
      <c r="K25" s="4">
        <v>214</v>
      </c>
      <c r="L25" s="2">
        <v>305.83</v>
      </c>
      <c r="M25" s="2">
        <v>55.43</v>
      </c>
      <c r="N25" s="2">
        <v>62.2</v>
      </c>
      <c r="O25" s="2">
        <v>32.520000000000003</v>
      </c>
      <c r="P25" s="2">
        <v>3.88</v>
      </c>
      <c r="Q25" s="4">
        <v>71653</v>
      </c>
      <c r="R25" s="4">
        <v>2619</v>
      </c>
      <c r="S25" s="4">
        <v>74272</v>
      </c>
      <c r="T25" s="4">
        <v>11862</v>
      </c>
      <c r="U25" s="4">
        <v>13311</v>
      </c>
      <c r="V25" s="4">
        <v>208</v>
      </c>
      <c r="W25" s="4">
        <v>7619</v>
      </c>
      <c r="X25" s="4">
        <v>909</v>
      </c>
      <c r="Y25" s="4">
        <v>108181</v>
      </c>
      <c r="Z25" s="4">
        <v>14109</v>
      </c>
      <c r="AA25" s="4">
        <v>94072</v>
      </c>
      <c r="AB25" s="4">
        <v>49167</v>
      </c>
      <c r="AC25" s="4">
        <v>44905</v>
      </c>
    </row>
    <row r="26" spans="1:29" x14ac:dyDescent="0.25">
      <c r="A26" s="1" t="s">
        <v>23</v>
      </c>
      <c r="B26" s="1" t="s">
        <v>742</v>
      </c>
      <c r="C26" s="1" t="s">
        <v>25</v>
      </c>
      <c r="D26" s="1" t="s">
        <v>439</v>
      </c>
      <c r="E26" s="2">
        <v>210.6</v>
      </c>
      <c r="F26" s="3">
        <v>1316.2</v>
      </c>
      <c r="G26" s="2">
        <v>1526.8</v>
      </c>
      <c r="H26" s="2">
        <v>4.41</v>
      </c>
      <c r="I26" s="4">
        <v>383</v>
      </c>
      <c r="J26" s="3">
        <v>13.8</v>
      </c>
      <c r="K26" s="4">
        <v>1685</v>
      </c>
      <c r="L26" s="2">
        <v>305.83</v>
      </c>
      <c r="M26" s="2">
        <v>55.43</v>
      </c>
      <c r="N26" s="2">
        <v>62.2</v>
      </c>
      <c r="O26" s="2">
        <v>32.520000000000003</v>
      </c>
      <c r="P26" s="2">
        <v>3.88</v>
      </c>
      <c r="Q26" s="4">
        <v>466941</v>
      </c>
      <c r="R26" s="4">
        <v>0</v>
      </c>
      <c r="S26" s="4">
        <v>466941</v>
      </c>
      <c r="T26" s="4">
        <v>93400</v>
      </c>
      <c r="U26" s="4">
        <v>104807</v>
      </c>
      <c r="V26" s="4">
        <v>1349</v>
      </c>
      <c r="W26" s="4">
        <v>49652</v>
      </c>
      <c r="X26" s="4">
        <v>5924</v>
      </c>
      <c r="Y26" s="4">
        <v>722073</v>
      </c>
      <c r="Z26" s="4">
        <v>83780</v>
      </c>
      <c r="AA26" s="4">
        <v>638293</v>
      </c>
      <c r="AB26" s="4">
        <v>328568</v>
      </c>
      <c r="AC26" s="4">
        <v>309725</v>
      </c>
    </row>
    <row r="27" spans="1:29" x14ac:dyDescent="0.25">
      <c r="A27" s="1" t="s">
        <v>23</v>
      </c>
      <c r="B27" s="1" t="s">
        <v>742</v>
      </c>
      <c r="C27" s="1" t="s">
        <v>26</v>
      </c>
      <c r="D27" s="1" t="s">
        <v>440</v>
      </c>
      <c r="E27" s="2">
        <v>58.34</v>
      </c>
      <c r="F27" s="3">
        <v>775</v>
      </c>
      <c r="G27" s="2">
        <v>833.34</v>
      </c>
      <c r="H27" s="2">
        <v>2.41</v>
      </c>
      <c r="I27" s="4">
        <v>17</v>
      </c>
      <c r="J27" s="3">
        <v>0</v>
      </c>
      <c r="K27" s="4">
        <v>792</v>
      </c>
      <c r="L27" s="2">
        <v>305.83</v>
      </c>
      <c r="M27" s="2">
        <v>55.43</v>
      </c>
      <c r="N27" s="2">
        <v>62.2</v>
      </c>
      <c r="O27" s="2">
        <v>32.520000000000003</v>
      </c>
      <c r="P27" s="2">
        <v>3.88</v>
      </c>
      <c r="Q27" s="4">
        <v>254860</v>
      </c>
      <c r="R27" s="4">
        <v>2228</v>
      </c>
      <c r="S27" s="4">
        <v>257088</v>
      </c>
      <c r="T27" s="4">
        <v>43901</v>
      </c>
      <c r="U27" s="4">
        <v>49262</v>
      </c>
      <c r="V27" s="4">
        <v>737</v>
      </c>
      <c r="W27" s="4">
        <v>27100</v>
      </c>
      <c r="X27" s="4">
        <v>3233</v>
      </c>
      <c r="Y27" s="4">
        <v>381321</v>
      </c>
      <c r="Z27" s="4">
        <v>44685</v>
      </c>
      <c r="AA27" s="4">
        <v>336636</v>
      </c>
      <c r="AB27" s="4">
        <v>180378</v>
      </c>
      <c r="AC27" s="4">
        <v>156258</v>
      </c>
    </row>
    <row r="28" spans="1:29" x14ac:dyDescent="0.25">
      <c r="A28" s="1" t="s">
        <v>23</v>
      </c>
      <c r="B28" s="1" t="s">
        <v>742</v>
      </c>
      <c r="C28" s="1" t="s">
        <v>27</v>
      </c>
      <c r="D28" s="1" t="s">
        <v>441</v>
      </c>
      <c r="E28" s="2">
        <v>113.37</v>
      </c>
      <c r="F28" s="3">
        <v>943.6</v>
      </c>
      <c r="G28" s="2">
        <v>1056.97</v>
      </c>
      <c r="H28" s="2">
        <v>3.05</v>
      </c>
      <c r="I28" s="4">
        <v>3</v>
      </c>
      <c r="J28" s="3">
        <v>0</v>
      </c>
      <c r="K28" s="4">
        <v>947</v>
      </c>
      <c r="L28" s="2">
        <v>305.83</v>
      </c>
      <c r="M28" s="2">
        <v>55.43</v>
      </c>
      <c r="N28" s="2">
        <v>62.2</v>
      </c>
      <c r="O28" s="2">
        <v>32.520000000000003</v>
      </c>
      <c r="P28" s="2">
        <v>3.88</v>
      </c>
      <c r="Q28" s="4">
        <v>323253</v>
      </c>
      <c r="R28" s="4">
        <v>9610</v>
      </c>
      <c r="S28" s="4">
        <v>332863</v>
      </c>
      <c r="T28" s="4">
        <v>52492</v>
      </c>
      <c r="U28" s="4">
        <v>58903</v>
      </c>
      <c r="V28" s="4">
        <v>933</v>
      </c>
      <c r="W28" s="4">
        <v>35407</v>
      </c>
      <c r="X28" s="4">
        <v>4220</v>
      </c>
      <c r="Y28" s="4">
        <v>484818</v>
      </c>
      <c r="Z28" s="4">
        <v>52020</v>
      </c>
      <c r="AA28" s="4">
        <v>432798</v>
      </c>
      <c r="AB28" s="4">
        <v>234592</v>
      </c>
      <c r="AC28" s="4">
        <v>198206</v>
      </c>
    </row>
    <row r="29" spans="1:29" x14ac:dyDescent="0.25">
      <c r="A29" s="1" t="s">
        <v>23</v>
      </c>
      <c r="B29" s="1" t="s">
        <v>742</v>
      </c>
      <c r="C29" s="1" t="s">
        <v>28</v>
      </c>
      <c r="D29" s="1" t="s">
        <v>442</v>
      </c>
      <c r="E29" s="2">
        <v>53.13</v>
      </c>
      <c r="F29" s="3">
        <v>332</v>
      </c>
      <c r="G29" s="2">
        <v>385.13</v>
      </c>
      <c r="H29" s="2">
        <v>1.1100000000000001</v>
      </c>
      <c r="I29" s="4">
        <v>13</v>
      </c>
      <c r="J29" s="3">
        <v>0</v>
      </c>
      <c r="K29" s="4">
        <v>345</v>
      </c>
      <c r="L29" s="2">
        <v>305.83</v>
      </c>
      <c r="M29" s="2">
        <v>55.43</v>
      </c>
      <c r="N29" s="2">
        <v>62.2</v>
      </c>
      <c r="O29" s="2">
        <v>32.520000000000003</v>
      </c>
      <c r="P29" s="2">
        <v>3.88</v>
      </c>
      <c r="Q29" s="4">
        <v>117784</v>
      </c>
      <c r="R29" s="4">
        <v>7249</v>
      </c>
      <c r="S29" s="4">
        <v>125033</v>
      </c>
      <c r="T29" s="4">
        <v>19123</v>
      </c>
      <c r="U29" s="4">
        <v>21459</v>
      </c>
      <c r="V29" s="4">
        <v>339</v>
      </c>
      <c r="W29" s="4">
        <v>12856</v>
      </c>
      <c r="X29" s="4">
        <v>1532</v>
      </c>
      <c r="Y29" s="4">
        <v>180342</v>
      </c>
      <c r="Z29" s="4">
        <v>23296</v>
      </c>
      <c r="AA29" s="4">
        <v>157046</v>
      </c>
      <c r="AB29" s="4">
        <v>81086</v>
      </c>
      <c r="AC29" s="4">
        <v>75960</v>
      </c>
    </row>
    <row r="30" spans="1:29" x14ac:dyDescent="0.25">
      <c r="A30" s="1" t="s">
        <v>23</v>
      </c>
      <c r="B30" s="1" t="s">
        <v>742</v>
      </c>
      <c r="C30" s="1" t="s">
        <v>29</v>
      </c>
      <c r="D30" s="1" t="s">
        <v>443</v>
      </c>
      <c r="E30" s="2">
        <v>143.55000000000001</v>
      </c>
      <c r="F30" s="3">
        <v>847.6</v>
      </c>
      <c r="G30" s="2">
        <v>991.15</v>
      </c>
      <c r="H30" s="2">
        <v>2.86</v>
      </c>
      <c r="I30" s="4">
        <v>2</v>
      </c>
      <c r="J30" s="3">
        <v>0</v>
      </c>
      <c r="K30" s="4">
        <v>850</v>
      </c>
      <c r="L30" s="2">
        <v>305.83</v>
      </c>
      <c r="M30" s="2">
        <v>55.43</v>
      </c>
      <c r="N30" s="2">
        <v>62.2</v>
      </c>
      <c r="O30" s="2">
        <v>32.520000000000003</v>
      </c>
      <c r="P30" s="2">
        <v>3.88</v>
      </c>
      <c r="Q30" s="4">
        <v>303123</v>
      </c>
      <c r="R30" s="4">
        <v>0</v>
      </c>
      <c r="S30" s="4">
        <v>303123</v>
      </c>
      <c r="T30" s="4">
        <v>47116</v>
      </c>
      <c r="U30" s="4">
        <v>52870</v>
      </c>
      <c r="V30" s="4">
        <v>875</v>
      </c>
      <c r="W30" s="4">
        <v>32232</v>
      </c>
      <c r="X30" s="4">
        <v>3846</v>
      </c>
      <c r="Y30" s="4">
        <v>440062</v>
      </c>
      <c r="Z30" s="4">
        <v>45100</v>
      </c>
      <c r="AA30" s="4">
        <v>394962</v>
      </c>
      <c r="AB30" s="4">
        <v>222582</v>
      </c>
      <c r="AC30" s="4">
        <v>172380</v>
      </c>
    </row>
    <row r="31" spans="1:29" x14ac:dyDescent="0.25">
      <c r="A31" s="1" t="s">
        <v>23</v>
      </c>
      <c r="B31" s="1" t="s">
        <v>742</v>
      </c>
      <c r="C31" s="1" t="s">
        <v>30</v>
      </c>
      <c r="D31" s="1" t="s">
        <v>444</v>
      </c>
      <c r="E31" s="2">
        <v>100.24</v>
      </c>
      <c r="F31" s="3">
        <v>845.9</v>
      </c>
      <c r="G31" s="2">
        <v>946.14</v>
      </c>
      <c r="H31" s="2">
        <v>2.73</v>
      </c>
      <c r="I31" s="4">
        <v>51</v>
      </c>
      <c r="J31" s="3">
        <v>0</v>
      </c>
      <c r="K31" s="4">
        <v>897</v>
      </c>
      <c r="L31" s="2">
        <v>305.83</v>
      </c>
      <c r="M31" s="2">
        <v>55.43</v>
      </c>
      <c r="N31" s="2">
        <v>62.2</v>
      </c>
      <c r="O31" s="2">
        <v>32.520000000000003</v>
      </c>
      <c r="P31" s="2">
        <v>3.88</v>
      </c>
      <c r="Q31" s="4">
        <v>289358</v>
      </c>
      <c r="R31" s="4">
        <v>7392</v>
      </c>
      <c r="S31" s="4">
        <v>296750</v>
      </c>
      <c r="T31" s="4">
        <v>49721</v>
      </c>
      <c r="U31" s="4">
        <v>55793</v>
      </c>
      <c r="V31" s="4">
        <v>835</v>
      </c>
      <c r="W31" s="4">
        <v>31223</v>
      </c>
      <c r="X31" s="4">
        <v>3721</v>
      </c>
      <c r="Y31" s="4">
        <v>438043</v>
      </c>
      <c r="Z31" s="4">
        <v>51797</v>
      </c>
      <c r="AA31" s="4">
        <v>386246</v>
      </c>
      <c r="AB31" s="4">
        <v>204234</v>
      </c>
      <c r="AC31" s="4">
        <v>182012</v>
      </c>
    </row>
    <row r="32" spans="1:29" x14ac:dyDescent="0.25">
      <c r="A32" s="1" t="s">
        <v>23</v>
      </c>
      <c r="B32" s="1" t="s">
        <v>742</v>
      </c>
      <c r="C32" s="1" t="s">
        <v>31</v>
      </c>
      <c r="D32" s="1" t="s">
        <v>445</v>
      </c>
      <c r="E32" s="2">
        <v>93.72</v>
      </c>
      <c r="F32" s="3">
        <v>699.2</v>
      </c>
      <c r="G32" s="2">
        <v>792.92</v>
      </c>
      <c r="H32" s="2">
        <v>2.29</v>
      </c>
      <c r="I32" s="4">
        <v>82</v>
      </c>
      <c r="J32" s="3">
        <v>3.7</v>
      </c>
      <c r="K32" s="4">
        <v>778</v>
      </c>
      <c r="L32" s="2">
        <v>305.83</v>
      </c>
      <c r="M32" s="2">
        <v>55.43</v>
      </c>
      <c r="N32" s="2">
        <v>62.2</v>
      </c>
      <c r="O32" s="2">
        <v>32.520000000000003</v>
      </c>
      <c r="P32" s="2">
        <v>3.88</v>
      </c>
      <c r="Q32" s="4">
        <v>242499</v>
      </c>
      <c r="R32" s="4">
        <v>2590</v>
      </c>
      <c r="S32" s="4">
        <v>245089</v>
      </c>
      <c r="T32" s="4">
        <v>43125</v>
      </c>
      <c r="U32" s="4">
        <v>48392</v>
      </c>
      <c r="V32" s="4">
        <v>700</v>
      </c>
      <c r="W32" s="4">
        <v>26070</v>
      </c>
      <c r="X32" s="4">
        <v>3107</v>
      </c>
      <c r="Y32" s="4">
        <v>366483</v>
      </c>
      <c r="Z32" s="4">
        <v>39116</v>
      </c>
      <c r="AA32" s="4">
        <v>327367</v>
      </c>
      <c r="AB32" s="4">
        <v>175345</v>
      </c>
      <c r="AC32" s="4">
        <v>152022</v>
      </c>
    </row>
    <row r="33" spans="1:29" x14ac:dyDescent="0.25">
      <c r="A33" s="1" t="s">
        <v>23</v>
      </c>
      <c r="B33" s="1" t="s">
        <v>742</v>
      </c>
      <c r="C33" s="1" t="s">
        <v>32</v>
      </c>
      <c r="D33" s="1" t="s">
        <v>446</v>
      </c>
      <c r="E33" s="2">
        <v>149.32</v>
      </c>
      <c r="F33" s="3">
        <v>1323.5</v>
      </c>
      <c r="G33" s="2">
        <v>1472.82</v>
      </c>
      <c r="H33" s="2">
        <v>4.25</v>
      </c>
      <c r="I33" s="4">
        <v>5</v>
      </c>
      <c r="J33" s="3">
        <v>0</v>
      </c>
      <c r="K33" s="4">
        <v>1329</v>
      </c>
      <c r="L33" s="2">
        <v>305.83</v>
      </c>
      <c r="M33" s="2">
        <v>55.43</v>
      </c>
      <c r="N33" s="2">
        <v>62.2</v>
      </c>
      <c r="O33" s="2">
        <v>32.520000000000003</v>
      </c>
      <c r="P33" s="2">
        <v>3.88</v>
      </c>
      <c r="Q33" s="4">
        <v>450433</v>
      </c>
      <c r="R33" s="4">
        <v>16581</v>
      </c>
      <c r="S33" s="4">
        <v>467014</v>
      </c>
      <c r="T33" s="4">
        <v>73666</v>
      </c>
      <c r="U33" s="4">
        <v>82664</v>
      </c>
      <c r="V33" s="4">
        <v>1300</v>
      </c>
      <c r="W33" s="4">
        <v>49677</v>
      </c>
      <c r="X33" s="4">
        <v>5921</v>
      </c>
      <c r="Y33" s="4">
        <v>680242</v>
      </c>
      <c r="Z33" s="4">
        <v>70397</v>
      </c>
      <c r="AA33" s="4">
        <v>609845</v>
      </c>
      <c r="AB33" s="4">
        <v>329358</v>
      </c>
      <c r="AC33" s="4">
        <v>280487</v>
      </c>
    </row>
    <row r="34" spans="1:29" x14ac:dyDescent="0.25">
      <c r="A34" s="1" t="s">
        <v>23</v>
      </c>
      <c r="B34" s="1" t="s">
        <v>742</v>
      </c>
      <c r="C34" s="1" t="s">
        <v>33</v>
      </c>
      <c r="D34" s="1" t="s">
        <v>447</v>
      </c>
      <c r="E34" s="2">
        <v>720.32</v>
      </c>
      <c r="F34" s="3">
        <v>3800.2</v>
      </c>
      <c r="G34" s="2">
        <v>4520.5200000000004</v>
      </c>
      <c r="H34" s="2">
        <v>13.05</v>
      </c>
      <c r="I34" s="4">
        <v>729</v>
      </c>
      <c r="J34" s="3">
        <v>3.4</v>
      </c>
      <c r="K34" s="4">
        <v>4526</v>
      </c>
      <c r="L34" s="2">
        <v>305.83</v>
      </c>
      <c r="M34" s="2">
        <v>55.43</v>
      </c>
      <c r="N34" s="2">
        <v>62.2</v>
      </c>
      <c r="O34" s="2">
        <v>32.520000000000003</v>
      </c>
      <c r="P34" s="2">
        <v>3.88</v>
      </c>
      <c r="Q34" s="4">
        <v>1382511</v>
      </c>
      <c r="R34" s="4">
        <v>0</v>
      </c>
      <c r="S34" s="4">
        <v>1382511</v>
      </c>
      <c r="T34" s="4">
        <v>250876</v>
      </c>
      <c r="U34" s="4">
        <v>281517</v>
      </c>
      <c r="V34" s="4">
        <v>3991</v>
      </c>
      <c r="W34" s="4">
        <v>147007</v>
      </c>
      <c r="X34" s="4">
        <v>17540</v>
      </c>
      <c r="Y34" s="4">
        <v>2083442</v>
      </c>
      <c r="Z34" s="4">
        <v>212765</v>
      </c>
      <c r="AA34" s="4">
        <v>1870677</v>
      </c>
      <c r="AB34" s="4">
        <v>1008104</v>
      </c>
      <c r="AC34" s="4">
        <v>862573</v>
      </c>
    </row>
    <row r="35" spans="1:29" x14ac:dyDescent="0.25">
      <c r="A35" s="1" t="s">
        <v>23</v>
      </c>
      <c r="B35" s="1" t="s">
        <v>742</v>
      </c>
      <c r="C35" s="1" t="s">
        <v>34</v>
      </c>
      <c r="D35" s="1" t="s">
        <v>448</v>
      </c>
      <c r="E35" s="2">
        <v>25.07</v>
      </c>
      <c r="F35" s="3">
        <v>146</v>
      </c>
      <c r="G35" s="2">
        <v>171.07</v>
      </c>
      <c r="H35" s="2">
        <v>0.49</v>
      </c>
      <c r="I35" s="4">
        <v>8</v>
      </c>
      <c r="J35" s="3">
        <v>0</v>
      </c>
      <c r="K35" s="4">
        <v>154</v>
      </c>
      <c r="L35" s="2">
        <v>305.83</v>
      </c>
      <c r="M35" s="2">
        <v>55.43</v>
      </c>
      <c r="N35" s="2">
        <v>62.2</v>
      </c>
      <c r="O35" s="2">
        <v>32.520000000000003</v>
      </c>
      <c r="P35" s="2">
        <v>3.88</v>
      </c>
      <c r="Q35" s="4">
        <v>52318</v>
      </c>
      <c r="R35" s="4">
        <v>5741</v>
      </c>
      <c r="S35" s="4">
        <v>58059</v>
      </c>
      <c r="T35" s="4">
        <v>8536</v>
      </c>
      <c r="U35" s="4">
        <v>9579</v>
      </c>
      <c r="V35" s="4">
        <v>150</v>
      </c>
      <c r="W35" s="4">
        <v>5563</v>
      </c>
      <c r="X35" s="4">
        <v>664</v>
      </c>
      <c r="Y35" s="4">
        <v>82551</v>
      </c>
      <c r="Z35" s="4">
        <v>10845</v>
      </c>
      <c r="AA35" s="4">
        <v>71706</v>
      </c>
      <c r="AB35" s="4">
        <v>35355</v>
      </c>
      <c r="AC35" s="4">
        <v>36351</v>
      </c>
    </row>
    <row r="36" spans="1:29" x14ac:dyDescent="0.25">
      <c r="A36" s="1" t="s">
        <v>23</v>
      </c>
      <c r="B36" s="1" t="s">
        <v>742</v>
      </c>
      <c r="C36" s="1" t="s">
        <v>35</v>
      </c>
      <c r="D36" s="1" t="s">
        <v>449</v>
      </c>
      <c r="E36" s="2">
        <v>33.630000000000003</v>
      </c>
      <c r="F36" s="3">
        <v>390</v>
      </c>
      <c r="G36" s="2">
        <v>423.63</v>
      </c>
      <c r="H36" s="2">
        <v>1.22</v>
      </c>
      <c r="I36" s="4">
        <v>14</v>
      </c>
      <c r="J36" s="3">
        <v>0</v>
      </c>
      <c r="K36" s="4">
        <v>404</v>
      </c>
      <c r="L36" s="2">
        <v>305.83</v>
      </c>
      <c r="M36" s="2">
        <v>55.43</v>
      </c>
      <c r="N36" s="2">
        <v>62.2</v>
      </c>
      <c r="O36" s="2">
        <v>32.520000000000003</v>
      </c>
      <c r="P36" s="2">
        <v>3.88</v>
      </c>
      <c r="Q36" s="4">
        <v>129559</v>
      </c>
      <c r="R36" s="4">
        <v>0</v>
      </c>
      <c r="S36" s="4">
        <v>129559</v>
      </c>
      <c r="T36" s="4">
        <v>22394</v>
      </c>
      <c r="U36" s="4">
        <v>25129</v>
      </c>
      <c r="V36" s="4">
        <v>373</v>
      </c>
      <c r="W36" s="4">
        <v>13776</v>
      </c>
      <c r="X36" s="4">
        <v>1644</v>
      </c>
      <c r="Y36" s="4">
        <v>192875</v>
      </c>
      <c r="Z36" s="4">
        <v>23426</v>
      </c>
      <c r="AA36" s="4">
        <v>169449</v>
      </c>
      <c r="AB36" s="4">
        <v>90984</v>
      </c>
      <c r="AC36" s="4">
        <v>78465</v>
      </c>
    </row>
    <row r="37" spans="1:29" x14ac:dyDescent="0.25">
      <c r="A37" s="1" t="s">
        <v>23</v>
      </c>
      <c r="B37" s="1" t="s">
        <v>742</v>
      </c>
      <c r="C37" s="1" t="s">
        <v>36</v>
      </c>
      <c r="D37" s="1" t="s">
        <v>450</v>
      </c>
      <c r="E37" s="2">
        <v>182.96</v>
      </c>
      <c r="F37" s="3">
        <v>1238.9000000000001</v>
      </c>
      <c r="G37" s="2">
        <v>1421.86</v>
      </c>
      <c r="H37" s="2">
        <v>4.1100000000000003</v>
      </c>
      <c r="I37" s="4">
        <v>0</v>
      </c>
      <c r="J37" s="3">
        <v>0</v>
      </c>
      <c r="K37" s="4">
        <v>1239</v>
      </c>
      <c r="L37" s="2">
        <v>305.83</v>
      </c>
      <c r="M37" s="2">
        <v>55.43</v>
      </c>
      <c r="N37" s="2">
        <v>62.2</v>
      </c>
      <c r="O37" s="2">
        <v>32.520000000000003</v>
      </c>
      <c r="P37" s="2">
        <v>3.88</v>
      </c>
      <c r="Q37" s="4">
        <v>434847</v>
      </c>
      <c r="R37" s="4">
        <v>3075</v>
      </c>
      <c r="S37" s="4">
        <v>437922</v>
      </c>
      <c r="T37" s="4">
        <v>68678</v>
      </c>
      <c r="U37" s="4">
        <v>77066</v>
      </c>
      <c r="V37" s="4">
        <v>1257</v>
      </c>
      <c r="W37" s="4">
        <v>46239</v>
      </c>
      <c r="X37" s="4">
        <v>5517</v>
      </c>
      <c r="Y37" s="4">
        <v>636679</v>
      </c>
      <c r="Z37" s="4">
        <v>79359</v>
      </c>
      <c r="AA37" s="4">
        <v>557320</v>
      </c>
      <c r="AB37" s="4">
        <v>304648</v>
      </c>
      <c r="AC37" s="4">
        <v>252672</v>
      </c>
    </row>
    <row r="38" spans="1:29" x14ac:dyDescent="0.25">
      <c r="A38" s="1" t="s">
        <v>23</v>
      </c>
      <c r="B38" s="1" t="s">
        <v>742</v>
      </c>
      <c r="C38" s="1" t="s">
        <v>37</v>
      </c>
      <c r="D38" s="1" t="s">
        <v>451</v>
      </c>
      <c r="E38" s="2">
        <v>36.89</v>
      </c>
      <c r="F38" s="3">
        <v>306.89999999999998</v>
      </c>
      <c r="G38" s="2">
        <v>343.79</v>
      </c>
      <c r="H38" s="2">
        <v>0.99</v>
      </c>
      <c r="I38" s="4">
        <v>3</v>
      </c>
      <c r="J38" s="3">
        <v>0</v>
      </c>
      <c r="K38" s="4">
        <v>310</v>
      </c>
      <c r="L38" s="2">
        <v>305.83</v>
      </c>
      <c r="M38" s="2">
        <v>55.43</v>
      </c>
      <c r="N38" s="2">
        <v>62.2</v>
      </c>
      <c r="O38" s="2">
        <v>32.520000000000003</v>
      </c>
      <c r="P38" s="2">
        <v>3.88</v>
      </c>
      <c r="Q38" s="4">
        <v>105141</v>
      </c>
      <c r="R38" s="4">
        <v>1498</v>
      </c>
      <c r="S38" s="4">
        <v>106639</v>
      </c>
      <c r="T38" s="4">
        <v>17183</v>
      </c>
      <c r="U38" s="4">
        <v>19282</v>
      </c>
      <c r="V38" s="4">
        <v>303</v>
      </c>
      <c r="W38" s="4">
        <v>11180</v>
      </c>
      <c r="X38" s="4">
        <v>1334</v>
      </c>
      <c r="Y38" s="4">
        <v>155921</v>
      </c>
      <c r="Z38" s="4">
        <v>15519</v>
      </c>
      <c r="AA38" s="4">
        <v>140402</v>
      </c>
      <c r="AB38" s="4">
        <v>77329</v>
      </c>
      <c r="AC38" s="4">
        <v>63073</v>
      </c>
    </row>
    <row r="39" spans="1:29" x14ac:dyDescent="0.25">
      <c r="A39" s="1" t="s">
        <v>23</v>
      </c>
      <c r="B39" s="1" t="s">
        <v>742</v>
      </c>
      <c r="C39" s="1" t="s">
        <v>38</v>
      </c>
      <c r="D39" s="1" t="s">
        <v>452</v>
      </c>
      <c r="E39" s="2">
        <v>130.55000000000001</v>
      </c>
      <c r="F39" s="3">
        <v>1203.0999999999999</v>
      </c>
      <c r="G39" s="2">
        <v>1333.65</v>
      </c>
      <c r="H39" s="2">
        <v>3.85</v>
      </c>
      <c r="I39" s="4">
        <v>142</v>
      </c>
      <c r="J39" s="3">
        <v>2.8</v>
      </c>
      <c r="K39" s="4">
        <v>1342</v>
      </c>
      <c r="L39" s="2">
        <v>305.83</v>
      </c>
      <c r="M39" s="2">
        <v>55.43</v>
      </c>
      <c r="N39" s="2">
        <v>62.2</v>
      </c>
      <c r="O39" s="2">
        <v>32.520000000000003</v>
      </c>
      <c r="P39" s="2">
        <v>3.88</v>
      </c>
      <c r="Q39" s="4">
        <v>407870</v>
      </c>
      <c r="R39" s="4">
        <v>0</v>
      </c>
      <c r="S39" s="4">
        <v>407870</v>
      </c>
      <c r="T39" s="4">
        <v>74387</v>
      </c>
      <c r="U39" s="4">
        <v>83472</v>
      </c>
      <c r="V39" s="4">
        <v>1177</v>
      </c>
      <c r="W39" s="4">
        <v>43370</v>
      </c>
      <c r="X39" s="4">
        <v>5175</v>
      </c>
      <c r="Y39" s="4">
        <v>615451</v>
      </c>
      <c r="Z39" s="4">
        <v>61988</v>
      </c>
      <c r="AA39" s="4">
        <v>553463</v>
      </c>
      <c r="AB39" s="4">
        <v>298195</v>
      </c>
      <c r="AC39" s="4">
        <v>255268</v>
      </c>
    </row>
    <row r="40" spans="1:29" x14ac:dyDescent="0.25">
      <c r="A40" s="1" t="s">
        <v>23</v>
      </c>
      <c r="B40" s="1" t="s">
        <v>742</v>
      </c>
      <c r="C40" s="1" t="s">
        <v>39</v>
      </c>
      <c r="D40" s="1" t="s">
        <v>453</v>
      </c>
      <c r="E40" s="2">
        <v>44.93</v>
      </c>
      <c r="F40" s="3">
        <v>281</v>
      </c>
      <c r="G40" s="2">
        <v>325.93</v>
      </c>
      <c r="H40" s="2">
        <v>0.94</v>
      </c>
      <c r="I40" s="4">
        <v>0</v>
      </c>
      <c r="J40" s="3">
        <v>0</v>
      </c>
      <c r="K40" s="4">
        <v>281</v>
      </c>
      <c r="L40" s="2">
        <v>305.83</v>
      </c>
      <c r="M40" s="2">
        <v>55.43</v>
      </c>
      <c r="N40" s="2">
        <v>62.2</v>
      </c>
      <c r="O40" s="2">
        <v>32.520000000000003</v>
      </c>
      <c r="P40" s="2">
        <v>3.88</v>
      </c>
      <c r="Q40" s="4">
        <v>99679</v>
      </c>
      <c r="R40" s="4">
        <v>12586</v>
      </c>
      <c r="S40" s="4">
        <v>112265</v>
      </c>
      <c r="T40" s="4">
        <v>15576</v>
      </c>
      <c r="U40" s="4">
        <v>17478</v>
      </c>
      <c r="V40" s="4">
        <v>287</v>
      </c>
      <c r="W40" s="4">
        <v>10628</v>
      </c>
      <c r="X40" s="4">
        <v>1267</v>
      </c>
      <c r="Y40" s="4">
        <v>157501</v>
      </c>
      <c r="Z40" s="4">
        <v>21809</v>
      </c>
      <c r="AA40" s="4">
        <v>135692</v>
      </c>
      <c r="AB40" s="4">
        <v>66247</v>
      </c>
      <c r="AC40" s="4">
        <v>69445</v>
      </c>
    </row>
    <row r="41" spans="1:29" x14ac:dyDescent="0.25">
      <c r="A41" s="1" t="s">
        <v>23</v>
      </c>
      <c r="B41" s="1" t="s">
        <v>742</v>
      </c>
      <c r="C41" s="1" t="s">
        <v>40</v>
      </c>
      <c r="D41" s="1" t="s">
        <v>454</v>
      </c>
      <c r="E41" s="2">
        <v>28.58</v>
      </c>
      <c r="F41" s="3">
        <v>165.2</v>
      </c>
      <c r="G41" s="2">
        <v>193.78</v>
      </c>
      <c r="H41" s="2">
        <v>0.56999999999999995</v>
      </c>
      <c r="I41" s="4">
        <v>17</v>
      </c>
      <c r="J41" s="3">
        <v>0</v>
      </c>
      <c r="K41" s="4">
        <v>182</v>
      </c>
      <c r="L41" s="2">
        <v>305.83</v>
      </c>
      <c r="M41" s="2">
        <v>55.43</v>
      </c>
      <c r="N41" s="2">
        <v>62.2</v>
      </c>
      <c r="O41" s="2">
        <v>32.520000000000003</v>
      </c>
      <c r="P41" s="2">
        <v>3.88</v>
      </c>
      <c r="Q41" s="4">
        <v>59264</v>
      </c>
      <c r="R41" s="4">
        <v>0</v>
      </c>
      <c r="S41" s="4">
        <v>59264</v>
      </c>
      <c r="T41" s="4">
        <v>10088</v>
      </c>
      <c r="U41" s="4">
        <v>11320</v>
      </c>
      <c r="V41" s="4">
        <v>174</v>
      </c>
      <c r="W41" s="4">
        <v>6302</v>
      </c>
      <c r="X41" s="4">
        <v>752</v>
      </c>
      <c r="Y41" s="4">
        <v>87900</v>
      </c>
      <c r="Z41" s="4">
        <v>16136</v>
      </c>
      <c r="AA41" s="4">
        <v>71764</v>
      </c>
      <c r="AB41" s="4">
        <v>36202</v>
      </c>
      <c r="AC41" s="4">
        <v>35562</v>
      </c>
    </row>
    <row r="42" spans="1:29" x14ac:dyDescent="0.25">
      <c r="A42" s="1" t="s">
        <v>23</v>
      </c>
      <c r="B42" s="1" t="s">
        <v>742</v>
      </c>
      <c r="C42" s="1" t="s">
        <v>41</v>
      </c>
      <c r="D42" s="1" t="s">
        <v>455</v>
      </c>
      <c r="E42" s="2">
        <v>63.77</v>
      </c>
      <c r="F42" s="3">
        <v>658</v>
      </c>
      <c r="G42" s="2">
        <v>721.77</v>
      </c>
      <c r="H42" s="2">
        <v>2.08</v>
      </c>
      <c r="I42" s="4">
        <v>58</v>
      </c>
      <c r="J42" s="3">
        <v>0</v>
      </c>
      <c r="K42" s="4">
        <v>716</v>
      </c>
      <c r="L42" s="2">
        <v>305.83</v>
      </c>
      <c r="M42" s="2">
        <v>55.43</v>
      </c>
      <c r="N42" s="2">
        <v>62.2</v>
      </c>
      <c r="O42" s="2">
        <v>32.520000000000003</v>
      </c>
      <c r="P42" s="2">
        <v>3.88</v>
      </c>
      <c r="Q42" s="4">
        <v>220739</v>
      </c>
      <c r="R42" s="4">
        <v>0</v>
      </c>
      <c r="S42" s="4">
        <v>220739</v>
      </c>
      <c r="T42" s="4">
        <v>39688</v>
      </c>
      <c r="U42" s="4">
        <v>44535</v>
      </c>
      <c r="V42" s="4">
        <v>636</v>
      </c>
      <c r="W42" s="4">
        <v>23472</v>
      </c>
      <c r="X42" s="4">
        <v>2800</v>
      </c>
      <c r="Y42" s="4">
        <v>331870</v>
      </c>
      <c r="Z42" s="4">
        <v>38009</v>
      </c>
      <c r="AA42" s="4">
        <v>293861</v>
      </c>
      <c r="AB42" s="4">
        <v>156920</v>
      </c>
      <c r="AC42" s="4">
        <v>136941</v>
      </c>
    </row>
    <row r="43" spans="1:29" x14ac:dyDescent="0.25">
      <c r="A43" s="1" t="s">
        <v>23</v>
      </c>
      <c r="B43" s="1" t="s">
        <v>742</v>
      </c>
      <c r="C43" s="1" t="s">
        <v>42</v>
      </c>
      <c r="D43" s="1" t="s">
        <v>456</v>
      </c>
      <c r="E43" s="2">
        <v>43.82</v>
      </c>
      <c r="F43" s="3">
        <v>442.4</v>
      </c>
      <c r="G43" s="2">
        <v>486.22</v>
      </c>
      <c r="H43" s="2">
        <v>1.4</v>
      </c>
      <c r="I43" s="4">
        <v>10</v>
      </c>
      <c r="J43" s="3">
        <v>0</v>
      </c>
      <c r="K43" s="4">
        <v>452</v>
      </c>
      <c r="L43" s="2">
        <v>305.83</v>
      </c>
      <c r="M43" s="2">
        <v>55.43</v>
      </c>
      <c r="N43" s="2">
        <v>62.2</v>
      </c>
      <c r="O43" s="2">
        <v>32.520000000000003</v>
      </c>
      <c r="P43" s="2">
        <v>3.88</v>
      </c>
      <c r="Q43" s="4">
        <v>148701</v>
      </c>
      <c r="R43" s="4">
        <v>8350</v>
      </c>
      <c r="S43" s="4">
        <v>157051</v>
      </c>
      <c r="T43" s="4">
        <v>25054</v>
      </c>
      <c r="U43" s="4">
        <v>28114</v>
      </c>
      <c r="V43" s="4">
        <v>428</v>
      </c>
      <c r="W43" s="4">
        <v>16706</v>
      </c>
      <c r="X43" s="4">
        <v>1991</v>
      </c>
      <c r="Y43" s="4">
        <v>229344</v>
      </c>
      <c r="Z43" s="4">
        <v>22754</v>
      </c>
      <c r="AA43" s="4">
        <v>206590</v>
      </c>
      <c r="AB43" s="4">
        <v>109558</v>
      </c>
      <c r="AC43" s="4">
        <v>97032</v>
      </c>
    </row>
    <row r="44" spans="1:29" x14ac:dyDescent="0.25">
      <c r="A44" s="1" t="s">
        <v>23</v>
      </c>
      <c r="B44" s="1" t="s">
        <v>742</v>
      </c>
      <c r="C44" s="1" t="s">
        <v>43</v>
      </c>
      <c r="D44" s="1" t="s">
        <v>457</v>
      </c>
      <c r="E44" s="2">
        <v>63.61</v>
      </c>
      <c r="F44" s="3">
        <v>281.8</v>
      </c>
      <c r="G44" s="2">
        <v>345.41</v>
      </c>
      <c r="H44" s="2">
        <v>1</v>
      </c>
      <c r="I44" s="4">
        <v>10</v>
      </c>
      <c r="J44" s="3">
        <v>0</v>
      </c>
      <c r="K44" s="4">
        <v>292</v>
      </c>
      <c r="L44" s="2">
        <v>305.83</v>
      </c>
      <c r="M44" s="2">
        <v>55.43</v>
      </c>
      <c r="N44" s="2">
        <v>62.2</v>
      </c>
      <c r="O44" s="2">
        <v>32.520000000000003</v>
      </c>
      <c r="P44" s="2">
        <v>3.88</v>
      </c>
      <c r="Q44" s="4">
        <v>105637</v>
      </c>
      <c r="R44" s="4">
        <v>3384</v>
      </c>
      <c r="S44" s="4">
        <v>109021</v>
      </c>
      <c r="T44" s="4">
        <v>16186</v>
      </c>
      <c r="U44" s="4">
        <v>18162</v>
      </c>
      <c r="V44" s="4">
        <v>306</v>
      </c>
      <c r="W44" s="4">
        <v>11233</v>
      </c>
      <c r="X44" s="4">
        <v>1340</v>
      </c>
      <c r="Y44" s="4">
        <v>156248</v>
      </c>
      <c r="Z44" s="4">
        <v>21324</v>
      </c>
      <c r="AA44" s="4">
        <v>134924</v>
      </c>
      <c r="AB44" s="4">
        <v>71963</v>
      </c>
      <c r="AC44" s="4">
        <v>62961</v>
      </c>
    </row>
    <row r="45" spans="1:29" x14ac:dyDescent="0.25">
      <c r="A45" s="1" t="s">
        <v>23</v>
      </c>
      <c r="B45" s="1" t="s">
        <v>742</v>
      </c>
      <c r="C45" s="1" t="s">
        <v>44</v>
      </c>
      <c r="D45" s="1" t="s">
        <v>458</v>
      </c>
      <c r="E45" s="2">
        <v>49.19</v>
      </c>
      <c r="F45" s="3">
        <v>413</v>
      </c>
      <c r="G45" s="2">
        <v>462.19</v>
      </c>
      <c r="H45" s="2">
        <v>1.33</v>
      </c>
      <c r="I45" s="4">
        <v>5</v>
      </c>
      <c r="J45" s="3">
        <v>0</v>
      </c>
      <c r="K45" s="4">
        <v>418</v>
      </c>
      <c r="L45" s="2">
        <v>305.83</v>
      </c>
      <c r="M45" s="2">
        <v>55.43</v>
      </c>
      <c r="N45" s="2">
        <v>62.2</v>
      </c>
      <c r="O45" s="2">
        <v>32.520000000000003</v>
      </c>
      <c r="P45" s="2">
        <v>3.88</v>
      </c>
      <c r="Q45" s="4">
        <v>141352</v>
      </c>
      <c r="R45" s="4">
        <v>28883</v>
      </c>
      <c r="S45" s="4">
        <v>170235</v>
      </c>
      <c r="T45" s="4">
        <v>23170</v>
      </c>
      <c r="U45" s="4">
        <v>26000</v>
      </c>
      <c r="V45" s="4">
        <v>407</v>
      </c>
      <c r="W45" s="4">
        <v>15492</v>
      </c>
      <c r="X45" s="4">
        <v>1846</v>
      </c>
      <c r="Y45" s="4">
        <v>237150</v>
      </c>
      <c r="Z45" s="4">
        <v>31389</v>
      </c>
      <c r="AA45" s="4">
        <v>205761</v>
      </c>
      <c r="AB45" s="4">
        <v>93949</v>
      </c>
      <c r="AC45" s="4">
        <v>111812</v>
      </c>
    </row>
    <row r="46" spans="1:29" x14ac:dyDescent="0.25">
      <c r="A46" s="1" t="s">
        <v>23</v>
      </c>
      <c r="B46" s="1" t="s">
        <v>742</v>
      </c>
      <c r="C46" s="1" t="s">
        <v>45</v>
      </c>
      <c r="D46" s="1" t="s">
        <v>459</v>
      </c>
      <c r="E46" s="2">
        <v>22.05</v>
      </c>
      <c r="F46" s="3">
        <v>190.8</v>
      </c>
      <c r="G46" s="2">
        <v>212.85</v>
      </c>
      <c r="H46" s="2">
        <v>0.62</v>
      </c>
      <c r="I46" s="4">
        <v>2</v>
      </c>
      <c r="J46" s="3">
        <v>0</v>
      </c>
      <c r="K46" s="4">
        <v>193</v>
      </c>
      <c r="L46" s="2">
        <v>305.83</v>
      </c>
      <c r="M46" s="2">
        <v>55.43</v>
      </c>
      <c r="N46" s="2">
        <v>62.2</v>
      </c>
      <c r="O46" s="2">
        <v>32.520000000000003</v>
      </c>
      <c r="P46" s="2">
        <v>3.88</v>
      </c>
      <c r="Q46" s="4">
        <v>65096</v>
      </c>
      <c r="R46" s="4">
        <v>17662</v>
      </c>
      <c r="S46" s="4">
        <v>82758</v>
      </c>
      <c r="T46" s="4">
        <v>10698</v>
      </c>
      <c r="U46" s="4">
        <v>12005</v>
      </c>
      <c r="V46" s="4">
        <v>190</v>
      </c>
      <c r="W46" s="4">
        <v>7041</v>
      </c>
      <c r="X46" s="4">
        <v>839</v>
      </c>
      <c r="Y46" s="4">
        <v>113531</v>
      </c>
      <c r="Z46" s="4">
        <v>14615</v>
      </c>
      <c r="AA46" s="4">
        <v>98916</v>
      </c>
      <c r="AB46" s="4">
        <v>43004</v>
      </c>
      <c r="AC46" s="4">
        <v>55912</v>
      </c>
    </row>
    <row r="47" spans="1:29" x14ac:dyDescent="0.25">
      <c r="A47" s="1" t="s">
        <v>23</v>
      </c>
      <c r="B47" s="1" t="s">
        <v>742</v>
      </c>
      <c r="C47" s="1" t="s">
        <v>47</v>
      </c>
      <c r="D47" s="1" t="s">
        <v>460</v>
      </c>
      <c r="E47" s="2">
        <v>111.67</v>
      </c>
      <c r="F47" s="3">
        <v>941.1</v>
      </c>
      <c r="G47" s="2">
        <v>1052.77</v>
      </c>
      <c r="H47" s="2">
        <v>3.06</v>
      </c>
      <c r="I47" s="4">
        <v>10</v>
      </c>
      <c r="J47" s="3">
        <v>0</v>
      </c>
      <c r="K47" s="4">
        <v>951</v>
      </c>
      <c r="L47" s="2">
        <v>305.83</v>
      </c>
      <c r="M47" s="2">
        <v>55.43</v>
      </c>
      <c r="N47" s="2">
        <v>62.2</v>
      </c>
      <c r="O47" s="2">
        <v>32.520000000000003</v>
      </c>
      <c r="P47" s="2">
        <v>3.88</v>
      </c>
      <c r="Q47" s="4">
        <v>321969</v>
      </c>
      <c r="R47" s="4">
        <v>9949</v>
      </c>
      <c r="S47" s="4">
        <v>331918</v>
      </c>
      <c r="T47" s="4">
        <v>52714</v>
      </c>
      <c r="U47" s="4">
        <v>59152</v>
      </c>
      <c r="V47" s="4">
        <v>936</v>
      </c>
      <c r="W47" s="4">
        <v>35307</v>
      </c>
      <c r="X47" s="4">
        <v>4208</v>
      </c>
      <c r="Y47" s="4">
        <v>484235</v>
      </c>
      <c r="Z47" s="4">
        <v>46312</v>
      </c>
      <c r="AA47" s="4">
        <v>437923</v>
      </c>
      <c r="AB47" s="4">
        <v>239211</v>
      </c>
      <c r="AC47" s="4">
        <v>198712</v>
      </c>
    </row>
    <row r="48" spans="1:29" x14ac:dyDescent="0.25">
      <c r="A48" s="1" t="s">
        <v>23</v>
      </c>
      <c r="B48" s="1" t="s">
        <v>742</v>
      </c>
      <c r="C48" s="1" t="s">
        <v>48</v>
      </c>
      <c r="D48" s="1" t="s">
        <v>461</v>
      </c>
      <c r="E48" s="2">
        <v>18.77</v>
      </c>
      <c r="F48" s="3">
        <v>208.3</v>
      </c>
      <c r="G48" s="2">
        <v>227.07</v>
      </c>
      <c r="H48" s="2">
        <v>0.66</v>
      </c>
      <c r="I48" s="4">
        <v>0</v>
      </c>
      <c r="J48" s="3">
        <v>0</v>
      </c>
      <c r="K48" s="4">
        <v>208</v>
      </c>
      <c r="L48" s="2">
        <v>305.83</v>
      </c>
      <c r="M48" s="2">
        <v>55.43</v>
      </c>
      <c r="N48" s="2">
        <v>62.2</v>
      </c>
      <c r="O48" s="2">
        <v>32.520000000000003</v>
      </c>
      <c r="P48" s="2">
        <v>3.88</v>
      </c>
      <c r="Q48" s="4">
        <v>69445</v>
      </c>
      <c r="R48" s="4">
        <v>0</v>
      </c>
      <c r="S48" s="4">
        <v>69445</v>
      </c>
      <c r="T48" s="4">
        <v>11529</v>
      </c>
      <c r="U48" s="4">
        <v>12938</v>
      </c>
      <c r="V48" s="4">
        <v>202</v>
      </c>
      <c r="W48" s="4">
        <v>7384</v>
      </c>
      <c r="X48" s="4">
        <v>881</v>
      </c>
      <c r="Y48" s="4">
        <v>102379</v>
      </c>
      <c r="Z48" s="4">
        <v>10377</v>
      </c>
      <c r="AA48" s="4">
        <v>92002</v>
      </c>
      <c r="AB48" s="4">
        <v>50949</v>
      </c>
      <c r="AC48" s="4">
        <v>41053</v>
      </c>
    </row>
    <row r="49" spans="1:29" x14ac:dyDescent="0.25">
      <c r="A49" s="1" t="s">
        <v>23</v>
      </c>
      <c r="B49" s="1" t="s">
        <v>742</v>
      </c>
      <c r="C49" s="1" t="s">
        <v>49</v>
      </c>
      <c r="D49" s="1" t="s">
        <v>462</v>
      </c>
      <c r="E49" s="2">
        <v>90.72</v>
      </c>
      <c r="F49" s="3">
        <v>681.9</v>
      </c>
      <c r="G49" s="2">
        <v>772.62</v>
      </c>
      <c r="H49" s="2">
        <v>2.23</v>
      </c>
      <c r="I49" s="4">
        <v>84</v>
      </c>
      <c r="J49" s="3">
        <v>7.4</v>
      </c>
      <c r="K49" s="4">
        <v>759</v>
      </c>
      <c r="L49" s="2">
        <v>305.83</v>
      </c>
      <c r="M49" s="2">
        <v>55.43</v>
      </c>
      <c r="N49" s="2">
        <v>62.2</v>
      </c>
      <c r="O49" s="2">
        <v>32.520000000000003</v>
      </c>
      <c r="P49" s="2">
        <v>3.88</v>
      </c>
      <c r="Q49" s="4">
        <v>236290</v>
      </c>
      <c r="R49" s="4">
        <v>29757</v>
      </c>
      <c r="S49" s="4">
        <v>266047</v>
      </c>
      <c r="T49" s="4">
        <v>42071</v>
      </c>
      <c r="U49" s="4">
        <v>47210</v>
      </c>
      <c r="V49" s="4">
        <v>682</v>
      </c>
      <c r="W49" s="4">
        <v>25126</v>
      </c>
      <c r="X49" s="4">
        <v>2998</v>
      </c>
      <c r="Y49" s="4">
        <v>384134</v>
      </c>
      <c r="Z49" s="4">
        <v>52222</v>
      </c>
      <c r="AA49" s="4">
        <v>331912</v>
      </c>
      <c r="AB49" s="4">
        <v>156442</v>
      </c>
      <c r="AC49" s="4">
        <v>175470</v>
      </c>
    </row>
    <row r="50" spans="1:29" x14ac:dyDescent="0.25">
      <c r="A50" s="1" t="s">
        <v>23</v>
      </c>
      <c r="B50" s="1" t="s">
        <v>742</v>
      </c>
      <c r="C50" s="1" t="s">
        <v>50</v>
      </c>
      <c r="D50" s="1" t="s">
        <v>463</v>
      </c>
      <c r="E50" s="2">
        <v>63.84</v>
      </c>
      <c r="F50" s="3">
        <v>578</v>
      </c>
      <c r="G50" s="2">
        <v>641.84</v>
      </c>
      <c r="H50" s="2">
        <v>1.85</v>
      </c>
      <c r="I50" s="4">
        <v>0</v>
      </c>
      <c r="J50" s="3">
        <v>0</v>
      </c>
      <c r="K50" s="4">
        <v>578</v>
      </c>
      <c r="L50" s="2">
        <v>305.83</v>
      </c>
      <c r="M50" s="2">
        <v>55.43</v>
      </c>
      <c r="N50" s="2">
        <v>62.2</v>
      </c>
      <c r="O50" s="2">
        <v>32.520000000000003</v>
      </c>
      <c r="P50" s="2">
        <v>3.88</v>
      </c>
      <c r="Q50" s="4">
        <v>196294</v>
      </c>
      <c r="R50" s="4">
        <v>6136</v>
      </c>
      <c r="S50" s="4">
        <v>202430</v>
      </c>
      <c r="T50" s="4">
        <v>32039</v>
      </c>
      <c r="U50" s="4">
        <v>35952</v>
      </c>
      <c r="V50" s="4">
        <v>566</v>
      </c>
      <c r="W50" s="4">
        <v>21038</v>
      </c>
      <c r="X50" s="4">
        <v>2507</v>
      </c>
      <c r="Y50" s="4">
        <v>294532</v>
      </c>
      <c r="Z50" s="4">
        <v>38887</v>
      </c>
      <c r="AA50" s="4">
        <v>255645</v>
      </c>
      <c r="AB50" s="4">
        <v>134638</v>
      </c>
      <c r="AC50" s="4">
        <v>121007</v>
      </c>
    </row>
    <row r="51" spans="1:29" x14ac:dyDescent="0.25">
      <c r="A51" s="1" t="s">
        <v>23</v>
      </c>
      <c r="B51" s="1" t="s">
        <v>742</v>
      </c>
      <c r="C51" s="1" t="s">
        <v>51</v>
      </c>
      <c r="D51" s="1" t="s">
        <v>464</v>
      </c>
      <c r="E51" s="2">
        <v>38.71</v>
      </c>
      <c r="F51" s="3">
        <v>222</v>
      </c>
      <c r="G51" s="2">
        <v>260.70999999999998</v>
      </c>
      <c r="H51" s="2">
        <v>0.75</v>
      </c>
      <c r="I51" s="4">
        <v>14</v>
      </c>
      <c r="J51" s="3">
        <v>0</v>
      </c>
      <c r="K51" s="4">
        <v>236</v>
      </c>
      <c r="L51" s="2">
        <v>305.83</v>
      </c>
      <c r="M51" s="2">
        <v>55.43</v>
      </c>
      <c r="N51" s="2">
        <v>62.2</v>
      </c>
      <c r="O51" s="2">
        <v>32.520000000000003</v>
      </c>
      <c r="P51" s="2">
        <v>3.88</v>
      </c>
      <c r="Q51" s="4">
        <v>79733</v>
      </c>
      <c r="R51" s="4">
        <v>4279</v>
      </c>
      <c r="S51" s="4">
        <v>84012</v>
      </c>
      <c r="T51" s="4">
        <v>13081</v>
      </c>
      <c r="U51" s="4">
        <v>14679</v>
      </c>
      <c r="V51" s="4">
        <v>229</v>
      </c>
      <c r="W51" s="4">
        <v>8516</v>
      </c>
      <c r="X51" s="4">
        <v>1015</v>
      </c>
      <c r="Y51" s="4">
        <v>121532</v>
      </c>
      <c r="Z51" s="4">
        <v>13144</v>
      </c>
      <c r="AA51" s="4">
        <v>108388</v>
      </c>
      <c r="AB51" s="4">
        <v>57307</v>
      </c>
      <c r="AC51" s="4">
        <v>51081</v>
      </c>
    </row>
    <row r="52" spans="1:29" x14ac:dyDescent="0.25">
      <c r="A52" s="1" t="s">
        <v>23</v>
      </c>
      <c r="B52" s="1" t="s">
        <v>742</v>
      </c>
      <c r="C52" s="1" t="s">
        <v>52</v>
      </c>
      <c r="D52" s="1" t="s">
        <v>465</v>
      </c>
      <c r="E52" s="2">
        <v>42.54</v>
      </c>
      <c r="F52" s="3">
        <v>349.1</v>
      </c>
      <c r="G52" s="2">
        <v>391.64</v>
      </c>
      <c r="H52" s="2">
        <v>1.1299999999999999</v>
      </c>
      <c r="I52" s="4">
        <v>12</v>
      </c>
      <c r="J52" s="3">
        <v>0</v>
      </c>
      <c r="K52" s="4">
        <v>361</v>
      </c>
      <c r="L52" s="2">
        <v>305.83</v>
      </c>
      <c r="M52" s="2">
        <v>55.43</v>
      </c>
      <c r="N52" s="2">
        <v>62.2</v>
      </c>
      <c r="O52" s="2">
        <v>32.520000000000003</v>
      </c>
      <c r="P52" s="2">
        <v>3.88</v>
      </c>
      <c r="Q52" s="4">
        <v>119775</v>
      </c>
      <c r="R52" s="4">
        <v>992</v>
      </c>
      <c r="S52" s="4">
        <v>120767</v>
      </c>
      <c r="T52" s="4">
        <v>20010</v>
      </c>
      <c r="U52" s="4">
        <v>22454</v>
      </c>
      <c r="V52" s="4">
        <v>346</v>
      </c>
      <c r="W52" s="4">
        <v>12838</v>
      </c>
      <c r="X52" s="4">
        <v>1530</v>
      </c>
      <c r="Y52" s="4">
        <v>177945</v>
      </c>
      <c r="Z52" s="4">
        <v>23788</v>
      </c>
      <c r="AA52" s="4">
        <v>154157</v>
      </c>
      <c r="AB52" s="4">
        <v>82095</v>
      </c>
      <c r="AC52" s="4">
        <v>72062</v>
      </c>
    </row>
    <row r="53" spans="1:29" x14ac:dyDescent="0.25">
      <c r="A53" s="1" t="s">
        <v>23</v>
      </c>
      <c r="B53" s="1" t="s">
        <v>742</v>
      </c>
      <c r="C53" s="1" t="s">
        <v>53</v>
      </c>
      <c r="D53" s="1" t="s">
        <v>466</v>
      </c>
      <c r="E53" s="2">
        <v>62.85</v>
      </c>
      <c r="F53" s="3">
        <v>491</v>
      </c>
      <c r="G53" s="2">
        <v>553.85</v>
      </c>
      <c r="H53" s="2">
        <v>1.6</v>
      </c>
      <c r="I53" s="4">
        <v>1</v>
      </c>
      <c r="J53" s="3">
        <v>0</v>
      </c>
      <c r="K53" s="4">
        <v>492</v>
      </c>
      <c r="L53" s="2">
        <v>305.83</v>
      </c>
      <c r="M53" s="2">
        <v>55.43</v>
      </c>
      <c r="N53" s="2">
        <v>62.2</v>
      </c>
      <c r="O53" s="2">
        <v>32.520000000000003</v>
      </c>
      <c r="P53" s="2">
        <v>3.88</v>
      </c>
      <c r="Q53" s="4">
        <v>169384</v>
      </c>
      <c r="R53" s="4">
        <v>0</v>
      </c>
      <c r="S53" s="4">
        <v>169384</v>
      </c>
      <c r="T53" s="4">
        <v>27272</v>
      </c>
      <c r="U53" s="4">
        <v>30602</v>
      </c>
      <c r="V53" s="4">
        <v>489</v>
      </c>
      <c r="W53" s="4">
        <v>18011</v>
      </c>
      <c r="X53" s="4">
        <v>2149</v>
      </c>
      <c r="Y53" s="4">
        <v>247907</v>
      </c>
      <c r="Z53" s="4">
        <v>29208</v>
      </c>
      <c r="AA53" s="4">
        <v>218699</v>
      </c>
      <c r="AB53" s="4">
        <v>120372</v>
      </c>
      <c r="AC53" s="4">
        <v>98327</v>
      </c>
    </row>
    <row r="54" spans="1:29" x14ac:dyDescent="0.25">
      <c r="A54" s="1" t="s">
        <v>23</v>
      </c>
      <c r="B54" s="1" t="s">
        <v>742</v>
      </c>
      <c r="C54" s="1" t="s">
        <v>54</v>
      </c>
      <c r="D54" s="1" t="s">
        <v>467</v>
      </c>
      <c r="E54" s="2">
        <v>99.37</v>
      </c>
      <c r="F54" s="3">
        <v>898.1</v>
      </c>
      <c r="G54" s="2">
        <v>997.47</v>
      </c>
      <c r="H54" s="2">
        <v>2.88</v>
      </c>
      <c r="I54" s="4">
        <v>27</v>
      </c>
      <c r="J54" s="3">
        <v>0</v>
      </c>
      <c r="K54" s="4">
        <v>925</v>
      </c>
      <c r="L54" s="2">
        <v>305.83</v>
      </c>
      <c r="M54" s="2">
        <v>55.43</v>
      </c>
      <c r="N54" s="2">
        <v>62.2</v>
      </c>
      <c r="O54" s="2">
        <v>32.520000000000003</v>
      </c>
      <c r="P54" s="2">
        <v>3.88</v>
      </c>
      <c r="Q54" s="4">
        <v>305056</v>
      </c>
      <c r="R54" s="4">
        <v>6561</v>
      </c>
      <c r="S54" s="4">
        <v>311617</v>
      </c>
      <c r="T54" s="4">
        <v>51273</v>
      </c>
      <c r="U54" s="4">
        <v>57535</v>
      </c>
      <c r="V54" s="4">
        <v>881</v>
      </c>
      <c r="W54" s="4">
        <v>33147</v>
      </c>
      <c r="X54" s="4">
        <v>3951</v>
      </c>
      <c r="Y54" s="4">
        <v>458404</v>
      </c>
      <c r="Z54" s="4">
        <v>55190</v>
      </c>
      <c r="AA54" s="4">
        <v>403214</v>
      </c>
      <c r="AB54" s="4">
        <v>214990</v>
      </c>
      <c r="AC54" s="4">
        <v>188224</v>
      </c>
    </row>
    <row r="55" spans="1:29" x14ac:dyDescent="0.25">
      <c r="A55" s="1" t="s">
        <v>23</v>
      </c>
      <c r="B55" s="1" t="s">
        <v>742</v>
      </c>
      <c r="C55" s="1" t="s">
        <v>55</v>
      </c>
      <c r="D55" s="1" t="s">
        <v>468</v>
      </c>
      <c r="E55" s="2">
        <v>60.43</v>
      </c>
      <c r="F55" s="3">
        <v>637.1</v>
      </c>
      <c r="G55" s="2">
        <v>697.53</v>
      </c>
      <c r="H55" s="2">
        <v>2.0099999999999998</v>
      </c>
      <c r="I55" s="4">
        <v>0</v>
      </c>
      <c r="J55" s="3">
        <v>0</v>
      </c>
      <c r="K55" s="4">
        <v>637</v>
      </c>
      <c r="L55" s="2">
        <v>305.83</v>
      </c>
      <c r="M55" s="2">
        <v>55.43</v>
      </c>
      <c r="N55" s="2">
        <v>62.2</v>
      </c>
      <c r="O55" s="2">
        <v>32.520000000000003</v>
      </c>
      <c r="P55" s="2">
        <v>3.88</v>
      </c>
      <c r="Q55" s="4">
        <v>213326</v>
      </c>
      <c r="R55" s="4">
        <v>1785</v>
      </c>
      <c r="S55" s="4">
        <v>215111</v>
      </c>
      <c r="T55" s="4">
        <v>35309</v>
      </c>
      <c r="U55" s="4">
        <v>39621</v>
      </c>
      <c r="V55" s="4">
        <v>615</v>
      </c>
      <c r="W55" s="4">
        <v>22684</v>
      </c>
      <c r="X55" s="4">
        <v>2706</v>
      </c>
      <c r="Y55" s="4">
        <v>316046</v>
      </c>
      <c r="Z55" s="4">
        <v>35146</v>
      </c>
      <c r="AA55" s="4">
        <v>280900</v>
      </c>
      <c r="AB55" s="4">
        <v>153237</v>
      </c>
      <c r="AC55" s="4">
        <v>127663</v>
      </c>
    </row>
    <row r="56" spans="1:29" x14ac:dyDescent="0.25">
      <c r="A56" s="1" t="s">
        <v>23</v>
      </c>
      <c r="B56" s="1" t="s">
        <v>742</v>
      </c>
      <c r="C56" s="1" t="s">
        <v>56</v>
      </c>
      <c r="D56" s="1" t="s">
        <v>469</v>
      </c>
      <c r="E56" s="2">
        <v>75.5</v>
      </c>
      <c r="F56" s="3">
        <v>550</v>
      </c>
      <c r="G56" s="2">
        <v>625.5</v>
      </c>
      <c r="H56" s="2">
        <v>1.8</v>
      </c>
      <c r="I56" s="4">
        <v>10</v>
      </c>
      <c r="J56" s="3">
        <v>0</v>
      </c>
      <c r="K56" s="4">
        <v>560</v>
      </c>
      <c r="L56" s="2">
        <v>305.83</v>
      </c>
      <c r="M56" s="2">
        <v>55.43</v>
      </c>
      <c r="N56" s="2">
        <v>62.2</v>
      </c>
      <c r="O56" s="2">
        <v>32.520000000000003</v>
      </c>
      <c r="P56" s="2">
        <v>3.88</v>
      </c>
      <c r="Q56" s="4">
        <v>191297</v>
      </c>
      <c r="R56" s="4">
        <v>0</v>
      </c>
      <c r="S56" s="4">
        <v>191297</v>
      </c>
      <c r="T56" s="4">
        <v>31041</v>
      </c>
      <c r="U56" s="4">
        <v>34832</v>
      </c>
      <c r="V56" s="4">
        <v>550</v>
      </c>
      <c r="W56" s="4">
        <v>20341</v>
      </c>
      <c r="X56" s="4">
        <v>2427</v>
      </c>
      <c r="Y56" s="4">
        <v>280488</v>
      </c>
      <c r="Z56" s="4">
        <v>32474</v>
      </c>
      <c r="AA56" s="4">
        <v>248014</v>
      </c>
      <c r="AB56" s="4">
        <v>136455</v>
      </c>
      <c r="AC56" s="4">
        <v>111559</v>
      </c>
    </row>
    <row r="57" spans="1:29" x14ac:dyDescent="0.25">
      <c r="A57" s="1" t="s">
        <v>23</v>
      </c>
      <c r="B57" s="1" t="s">
        <v>742</v>
      </c>
      <c r="C57" s="1" t="s">
        <v>57</v>
      </c>
      <c r="D57" s="1" t="s">
        <v>470</v>
      </c>
      <c r="E57" s="2">
        <v>336.39</v>
      </c>
      <c r="F57" s="3">
        <v>1897</v>
      </c>
      <c r="G57" s="2">
        <v>2233.39</v>
      </c>
      <c r="H57" s="2">
        <v>6.45</v>
      </c>
      <c r="I57" s="4">
        <v>188</v>
      </c>
      <c r="J57" s="3">
        <v>0.4</v>
      </c>
      <c r="K57" s="4">
        <v>2085</v>
      </c>
      <c r="L57" s="2">
        <v>305.83</v>
      </c>
      <c r="M57" s="2">
        <v>55.43</v>
      </c>
      <c r="N57" s="2">
        <v>62.2</v>
      </c>
      <c r="O57" s="2">
        <v>32.520000000000003</v>
      </c>
      <c r="P57" s="2">
        <v>3.88</v>
      </c>
      <c r="Q57" s="4">
        <v>683038</v>
      </c>
      <c r="R57" s="4">
        <v>0</v>
      </c>
      <c r="S57" s="4">
        <v>683038</v>
      </c>
      <c r="T57" s="4">
        <v>115572</v>
      </c>
      <c r="U57" s="4">
        <v>129687</v>
      </c>
      <c r="V57" s="4">
        <v>1973</v>
      </c>
      <c r="W57" s="4">
        <v>72630</v>
      </c>
      <c r="X57" s="4">
        <v>8666</v>
      </c>
      <c r="Y57" s="4">
        <v>1011566</v>
      </c>
      <c r="Z57" s="4">
        <v>101066</v>
      </c>
      <c r="AA57" s="4">
        <v>910500</v>
      </c>
      <c r="AB57" s="4">
        <v>502113</v>
      </c>
      <c r="AC57" s="4">
        <v>408387</v>
      </c>
    </row>
    <row r="58" spans="1:29" x14ac:dyDescent="0.25">
      <c r="A58" s="1" t="s">
        <v>23</v>
      </c>
      <c r="B58" s="1" t="s">
        <v>742</v>
      </c>
      <c r="C58" s="1" t="s">
        <v>58</v>
      </c>
      <c r="D58" s="1" t="s">
        <v>471</v>
      </c>
      <c r="E58" s="2">
        <v>114.06</v>
      </c>
      <c r="F58" s="3">
        <v>1161</v>
      </c>
      <c r="G58" s="2">
        <v>1275.06</v>
      </c>
      <c r="H58" s="2">
        <v>3.68</v>
      </c>
      <c r="I58" s="4">
        <v>9</v>
      </c>
      <c r="J58" s="3">
        <v>0</v>
      </c>
      <c r="K58" s="4">
        <v>1170</v>
      </c>
      <c r="L58" s="2">
        <v>305.83</v>
      </c>
      <c r="M58" s="2">
        <v>55.43</v>
      </c>
      <c r="N58" s="2">
        <v>62.2</v>
      </c>
      <c r="O58" s="2">
        <v>32.520000000000003</v>
      </c>
      <c r="P58" s="2">
        <v>3.88</v>
      </c>
      <c r="Q58" s="4">
        <v>389952</v>
      </c>
      <c r="R58" s="4">
        <v>0</v>
      </c>
      <c r="S58" s="4">
        <v>389952</v>
      </c>
      <c r="T58" s="4">
        <v>64853</v>
      </c>
      <c r="U58" s="4">
        <v>72774</v>
      </c>
      <c r="V58" s="4">
        <v>1125</v>
      </c>
      <c r="W58" s="4">
        <v>41465</v>
      </c>
      <c r="X58" s="4">
        <v>4947</v>
      </c>
      <c r="Y58" s="4">
        <v>575116</v>
      </c>
      <c r="Z58" s="4">
        <v>56032</v>
      </c>
      <c r="AA58" s="4">
        <v>519084</v>
      </c>
      <c r="AB58" s="4">
        <v>288326</v>
      </c>
      <c r="AC58" s="4">
        <v>230758</v>
      </c>
    </row>
    <row r="59" spans="1:29" x14ac:dyDescent="0.25">
      <c r="A59" s="1" t="s">
        <v>23</v>
      </c>
      <c r="B59" s="1" t="s">
        <v>742</v>
      </c>
      <c r="C59" s="1" t="s">
        <v>59</v>
      </c>
      <c r="D59" s="1" t="s">
        <v>472</v>
      </c>
      <c r="E59" s="2">
        <v>303.82</v>
      </c>
      <c r="F59" s="3">
        <v>2351</v>
      </c>
      <c r="G59" s="2">
        <v>2654.82</v>
      </c>
      <c r="H59" s="2">
        <v>7.66</v>
      </c>
      <c r="I59" s="4">
        <v>267</v>
      </c>
      <c r="J59" s="3">
        <v>2.8</v>
      </c>
      <c r="K59" s="4">
        <v>2615</v>
      </c>
      <c r="L59" s="2">
        <v>305.83</v>
      </c>
      <c r="M59" s="2">
        <v>55.43</v>
      </c>
      <c r="N59" s="2">
        <v>62.2</v>
      </c>
      <c r="O59" s="2">
        <v>32.520000000000003</v>
      </c>
      <c r="P59" s="2">
        <v>3.88</v>
      </c>
      <c r="Q59" s="4">
        <v>811924</v>
      </c>
      <c r="R59" s="4">
        <v>0</v>
      </c>
      <c r="S59" s="4">
        <v>811924</v>
      </c>
      <c r="T59" s="4">
        <v>144949</v>
      </c>
      <c r="U59" s="4">
        <v>162653</v>
      </c>
      <c r="V59" s="4">
        <v>2343</v>
      </c>
      <c r="W59" s="4">
        <v>86335</v>
      </c>
      <c r="X59" s="4">
        <v>10301</v>
      </c>
      <c r="Y59" s="4">
        <v>1218505</v>
      </c>
      <c r="Z59" s="4">
        <v>89007</v>
      </c>
      <c r="AA59" s="4">
        <v>1129498</v>
      </c>
      <c r="AB59" s="4">
        <v>627987</v>
      </c>
      <c r="AC59" s="4">
        <v>501511</v>
      </c>
    </row>
    <row r="60" spans="1:29" x14ac:dyDescent="0.25">
      <c r="A60" s="1" t="s">
        <v>23</v>
      </c>
      <c r="B60" s="1" t="s">
        <v>742</v>
      </c>
      <c r="C60" s="1" t="s">
        <v>60</v>
      </c>
      <c r="D60" s="1" t="s">
        <v>473</v>
      </c>
      <c r="E60" s="2">
        <v>27.67</v>
      </c>
      <c r="F60" s="3">
        <v>150.80000000000001</v>
      </c>
      <c r="G60" s="2">
        <v>178.47</v>
      </c>
      <c r="H60" s="2">
        <v>0.52</v>
      </c>
      <c r="I60" s="4">
        <v>4</v>
      </c>
      <c r="J60" s="3">
        <v>0</v>
      </c>
      <c r="K60" s="4">
        <v>155</v>
      </c>
      <c r="L60" s="2">
        <v>305.83</v>
      </c>
      <c r="M60" s="2">
        <v>55.43</v>
      </c>
      <c r="N60" s="2">
        <v>62.2</v>
      </c>
      <c r="O60" s="2">
        <v>32.520000000000003</v>
      </c>
      <c r="P60" s="2">
        <v>3.88</v>
      </c>
      <c r="Q60" s="4">
        <v>54581</v>
      </c>
      <c r="R60" s="4">
        <v>8930</v>
      </c>
      <c r="S60" s="4">
        <v>63511</v>
      </c>
      <c r="T60" s="4">
        <v>8592</v>
      </c>
      <c r="U60" s="4">
        <v>9641</v>
      </c>
      <c r="V60" s="4">
        <v>159</v>
      </c>
      <c r="W60" s="4">
        <v>5958</v>
      </c>
      <c r="X60" s="4">
        <v>710</v>
      </c>
      <c r="Y60" s="4">
        <v>88571</v>
      </c>
      <c r="Z60" s="4">
        <v>10017</v>
      </c>
      <c r="AA60" s="4">
        <v>78554</v>
      </c>
      <c r="AB60" s="4">
        <v>38356</v>
      </c>
      <c r="AC60" s="4">
        <v>40198</v>
      </c>
    </row>
    <row r="61" spans="1:29" x14ac:dyDescent="0.25">
      <c r="A61" s="1" t="s">
        <v>23</v>
      </c>
      <c r="B61" s="1" t="s">
        <v>742</v>
      </c>
      <c r="C61" s="1" t="s">
        <v>61</v>
      </c>
      <c r="D61" s="1" t="s">
        <v>474</v>
      </c>
      <c r="E61" s="2">
        <v>20.14</v>
      </c>
      <c r="F61" s="3">
        <v>143</v>
      </c>
      <c r="G61" s="2">
        <v>163.13999999999999</v>
      </c>
      <c r="H61" s="2">
        <v>0.47</v>
      </c>
      <c r="I61" s="4">
        <v>15</v>
      </c>
      <c r="J61" s="3">
        <v>0</v>
      </c>
      <c r="K61" s="4">
        <v>158</v>
      </c>
      <c r="L61" s="2">
        <v>305.83</v>
      </c>
      <c r="M61" s="2">
        <v>55.43</v>
      </c>
      <c r="N61" s="2">
        <v>62.2</v>
      </c>
      <c r="O61" s="2">
        <v>32.520000000000003</v>
      </c>
      <c r="P61" s="2">
        <v>3.88</v>
      </c>
      <c r="Q61" s="4">
        <v>49893</v>
      </c>
      <c r="R61" s="4">
        <v>7882</v>
      </c>
      <c r="S61" s="4">
        <v>57775</v>
      </c>
      <c r="T61" s="4">
        <v>8758</v>
      </c>
      <c r="U61" s="4">
        <v>9828</v>
      </c>
      <c r="V61" s="4">
        <v>144</v>
      </c>
      <c r="W61" s="4">
        <v>5848</v>
      </c>
      <c r="X61" s="4">
        <v>697</v>
      </c>
      <c r="Y61" s="4">
        <v>83050</v>
      </c>
      <c r="Z61" s="4">
        <v>11565</v>
      </c>
      <c r="AA61" s="4">
        <v>71485</v>
      </c>
      <c r="AB61" s="4">
        <v>33101</v>
      </c>
      <c r="AC61" s="4">
        <v>38384</v>
      </c>
    </row>
    <row r="62" spans="1:29" x14ac:dyDescent="0.25">
      <c r="A62" s="1" t="s">
        <v>23</v>
      </c>
      <c r="B62" s="1" t="s">
        <v>742</v>
      </c>
      <c r="C62" s="1" t="s">
        <v>62</v>
      </c>
      <c r="D62" s="1" t="s">
        <v>475</v>
      </c>
      <c r="E62" s="2">
        <v>204.81</v>
      </c>
      <c r="F62" s="3">
        <v>1506.9</v>
      </c>
      <c r="G62" s="2">
        <v>1711.71</v>
      </c>
      <c r="H62" s="2">
        <v>4.9400000000000004</v>
      </c>
      <c r="I62" s="4">
        <v>79</v>
      </c>
      <c r="J62" s="3">
        <v>0.3</v>
      </c>
      <c r="K62" s="4">
        <v>1586</v>
      </c>
      <c r="L62" s="2">
        <v>305.83</v>
      </c>
      <c r="M62" s="2">
        <v>55.43</v>
      </c>
      <c r="N62" s="2">
        <v>62.2</v>
      </c>
      <c r="O62" s="2">
        <v>32.520000000000003</v>
      </c>
      <c r="P62" s="2">
        <v>3.88</v>
      </c>
      <c r="Q62" s="4">
        <v>523492</v>
      </c>
      <c r="R62" s="4">
        <v>4702</v>
      </c>
      <c r="S62" s="4">
        <v>528194</v>
      </c>
      <c r="T62" s="4">
        <v>87912</v>
      </c>
      <c r="U62" s="4">
        <v>98649</v>
      </c>
      <c r="V62" s="4">
        <v>1511</v>
      </c>
      <c r="W62" s="4">
        <v>56185</v>
      </c>
      <c r="X62" s="4">
        <v>6696</v>
      </c>
      <c r="Y62" s="4">
        <v>779147</v>
      </c>
      <c r="Z62" s="4">
        <v>79389</v>
      </c>
      <c r="AA62" s="4">
        <v>699758</v>
      </c>
      <c r="AB62" s="4">
        <v>383471</v>
      </c>
      <c r="AC62" s="4">
        <v>316287</v>
      </c>
    </row>
    <row r="63" spans="1:29" x14ac:dyDescent="0.25">
      <c r="A63" s="1" t="s">
        <v>23</v>
      </c>
      <c r="B63" s="1" t="s">
        <v>742</v>
      </c>
      <c r="C63" s="1" t="s">
        <v>63</v>
      </c>
      <c r="D63" s="1" t="s">
        <v>476</v>
      </c>
      <c r="E63" s="2">
        <v>46.68</v>
      </c>
      <c r="F63" s="3">
        <v>286.2</v>
      </c>
      <c r="G63" s="2">
        <v>332.88</v>
      </c>
      <c r="H63" s="2">
        <v>0.96</v>
      </c>
      <c r="I63" s="4">
        <v>31</v>
      </c>
      <c r="J63" s="3">
        <v>0</v>
      </c>
      <c r="K63" s="4">
        <v>317</v>
      </c>
      <c r="L63" s="2">
        <v>305.83</v>
      </c>
      <c r="M63" s="2">
        <v>55.43</v>
      </c>
      <c r="N63" s="2">
        <v>62.2</v>
      </c>
      <c r="O63" s="2">
        <v>32.520000000000003</v>
      </c>
      <c r="P63" s="2">
        <v>3.88</v>
      </c>
      <c r="Q63" s="4">
        <v>101805</v>
      </c>
      <c r="R63" s="4">
        <v>14174</v>
      </c>
      <c r="S63" s="4">
        <v>115979</v>
      </c>
      <c r="T63" s="4">
        <v>17571</v>
      </c>
      <c r="U63" s="4">
        <v>19717</v>
      </c>
      <c r="V63" s="4">
        <v>294</v>
      </c>
      <c r="W63" s="4">
        <v>12094</v>
      </c>
      <c r="X63" s="4">
        <v>1441</v>
      </c>
      <c r="Y63" s="4">
        <v>167096</v>
      </c>
      <c r="Z63" s="4">
        <v>19619</v>
      </c>
      <c r="AA63" s="4">
        <v>147477</v>
      </c>
      <c r="AB63" s="4">
        <v>71701</v>
      </c>
      <c r="AC63" s="4">
        <v>75776</v>
      </c>
    </row>
    <row r="64" spans="1:29" x14ac:dyDescent="0.25">
      <c r="A64" s="1" t="s">
        <v>64</v>
      </c>
      <c r="B64" s="1" t="s">
        <v>743</v>
      </c>
      <c r="C64" s="1" t="s">
        <v>65</v>
      </c>
      <c r="D64" s="1" t="s">
        <v>66</v>
      </c>
      <c r="E64" s="2">
        <v>86.39</v>
      </c>
      <c r="F64" s="3">
        <v>626.29999999999995</v>
      </c>
      <c r="G64" s="2">
        <v>712.69</v>
      </c>
      <c r="H64" s="2">
        <v>0</v>
      </c>
      <c r="I64" s="4">
        <v>9</v>
      </c>
      <c r="J64" s="3">
        <v>0.2</v>
      </c>
      <c r="K64" s="4">
        <v>635</v>
      </c>
      <c r="L64" s="2">
        <v>299.2</v>
      </c>
      <c r="M64" s="2">
        <v>55.38</v>
      </c>
      <c r="N64" s="2">
        <v>61.82</v>
      </c>
      <c r="O64" s="2">
        <v>37.79</v>
      </c>
      <c r="P64" s="2">
        <v>4.3499999999999996</v>
      </c>
      <c r="Q64" s="4">
        <v>213237</v>
      </c>
      <c r="R64" s="4">
        <v>0</v>
      </c>
      <c r="S64" s="4">
        <v>213237</v>
      </c>
      <c r="T64" s="4">
        <v>35166</v>
      </c>
      <c r="U64" s="4">
        <v>39256</v>
      </c>
      <c r="V64" s="4">
        <v>0</v>
      </c>
      <c r="W64" s="4">
        <v>26933</v>
      </c>
      <c r="X64" s="4">
        <v>3100</v>
      </c>
      <c r="Y64" s="4">
        <v>317692</v>
      </c>
      <c r="Z64" s="4">
        <v>41289</v>
      </c>
      <c r="AA64" s="4">
        <v>276403</v>
      </c>
      <c r="AB64" s="4">
        <v>154801</v>
      </c>
      <c r="AC64" s="4">
        <v>121602</v>
      </c>
    </row>
    <row r="65" spans="1:29" x14ac:dyDescent="0.25">
      <c r="A65" s="1" t="s">
        <v>64</v>
      </c>
      <c r="B65" s="1" t="s">
        <v>743</v>
      </c>
      <c r="C65" s="1" t="s">
        <v>67</v>
      </c>
      <c r="D65" s="1" t="s">
        <v>477</v>
      </c>
      <c r="E65" s="2">
        <v>29.43</v>
      </c>
      <c r="F65" s="3">
        <v>268.7</v>
      </c>
      <c r="G65" s="2">
        <v>298.13</v>
      </c>
      <c r="H65" s="2">
        <v>0</v>
      </c>
      <c r="I65" s="4">
        <v>0</v>
      </c>
      <c r="J65" s="3">
        <v>0</v>
      </c>
      <c r="K65" s="4">
        <v>269</v>
      </c>
      <c r="L65" s="2">
        <v>299.2</v>
      </c>
      <c r="M65" s="2">
        <v>55.38</v>
      </c>
      <c r="N65" s="2">
        <v>61.82</v>
      </c>
      <c r="O65" s="2">
        <v>37.79</v>
      </c>
      <c r="P65" s="2">
        <v>4.3499999999999996</v>
      </c>
      <c r="Q65" s="4">
        <v>89200</v>
      </c>
      <c r="R65" s="4">
        <v>1399</v>
      </c>
      <c r="S65" s="4">
        <v>90599</v>
      </c>
      <c r="T65" s="4">
        <v>14897</v>
      </c>
      <c r="U65" s="4">
        <v>16630</v>
      </c>
      <c r="V65" s="4">
        <v>0</v>
      </c>
      <c r="W65" s="4">
        <v>11464</v>
      </c>
      <c r="X65" s="4">
        <v>1318</v>
      </c>
      <c r="Y65" s="4">
        <v>134908</v>
      </c>
      <c r="Z65" s="4">
        <v>14957</v>
      </c>
      <c r="AA65" s="4">
        <v>119951</v>
      </c>
      <c r="AB65" s="4">
        <v>67289</v>
      </c>
      <c r="AC65" s="4">
        <v>52662</v>
      </c>
    </row>
    <row r="66" spans="1:29" x14ac:dyDescent="0.25">
      <c r="A66" s="1" t="s">
        <v>64</v>
      </c>
      <c r="B66" s="1" t="s">
        <v>743</v>
      </c>
      <c r="C66" s="1" t="s">
        <v>68</v>
      </c>
      <c r="D66" s="1" t="s">
        <v>478</v>
      </c>
      <c r="E66" s="2">
        <v>96.17</v>
      </c>
      <c r="F66" s="3">
        <v>824.5</v>
      </c>
      <c r="G66" s="2">
        <v>920.67</v>
      </c>
      <c r="H66" s="2">
        <v>0</v>
      </c>
      <c r="I66" s="4">
        <v>22</v>
      </c>
      <c r="J66" s="3">
        <v>0</v>
      </c>
      <c r="K66" s="4">
        <v>847</v>
      </c>
      <c r="L66" s="2">
        <v>299.2</v>
      </c>
      <c r="M66" s="2">
        <v>55.38</v>
      </c>
      <c r="N66" s="2">
        <v>61.82</v>
      </c>
      <c r="O66" s="2">
        <v>37.79</v>
      </c>
      <c r="P66" s="2">
        <v>4.3499999999999996</v>
      </c>
      <c r="Q66" s="4">
        <v>275464</v>
      </c>
      <c r="R66" s="4">
        <v>6656</v>
      </c>
      <c r="S66" s="4">
        <v>282120</v>
      </c>
      <c r="T66" s="4">
        <v>46907</v>
      </c>
      <c r="U66" s="4">
        <v>52362</v>
      </c>
      <c r="V66" s="4">
        <v>0</v>
      </c>
      <c r="W66" s="4">
        <v>35699</v>
      </c>
      <c r="X66" s="4">
        <v>4104</v>
      </c>
      <c r="Y66" s="4">
        <v>421192</v>
      </c>
      <c r="Z66" s="4">
        <v>39100</v>
      </c>
      <c r="AA66" s="4">
        <v>382092</v>
      </c>
      <c r="AB66" s="4">
        <v>215219</v>
      </c>
      <c r="AC66" s="4">
        <v>166873</v>
      </c>
    </row>
    <row r="67" spans="1:29" x14ac:dyDescent="0.25">
      <c r="A67" s="1" t="s">
        <v>64</v>
      </c>
      <c r="B67" s="1" t="s">
        <v>743</v>
      </c>
      <c r="C67" s="1" t="s">
        <v>69</v>
      </c>
      <c r="D67" s="1" t="s">
        <v>70</v>
      </c>
      <c r="E67" s="2">
        <v>67.22</v>
      </c>
      <c r="F67" s="3">
        <v>531.29999999999995</v>
      </c>
      <c r="G67" s="2">
        <v>598.52</v>
      </c>
      <c r="H67" s="2">
        <v>0</v>
      </c>
      <c r="I67" s="4">
        <v>1</v>
      </c>
      <c r="J67" s="3">
        <v>0</v>
      </c>
      <c r="K67" s="4">
        <v>532</v>
      </c>
      <c r="L67" s="2">
        <v>299.2</v>
      </c>
      <c r="M67" s="2">
        <v>55.38</v>
      </c>
      <c r="N67" s="2">
        <v>61.82</v>
      </c>
      <c r="O67" s="2">
        <v>37.79</v>
      </c>
      <c r="P67" s="2">
        <v>4.3499999999999996</v>
      </c>
      <c r="Q67" s="4">
        <v>179077</v>
      </c>
      <c r="R67" s="4">
        <v>7435</v>
      </c>
      <c r="S67" s="4">
        <v>186512</v>
      </c>
      <c r="T67" s="4">
        <v>29462</v>
      </c>
      <c r="U67" s="4">
        <v>32888</v>
      </c>
      <c r="V67" s="4">
        <v>0</v>
      </c>
      <c r="W67" s="4">
        <v>23215</v>
      </c>
      <c r="X67" s="4">
        <v>2669</v>
      </c>
      <c r="Y67" s="4">
        <v>274746</v>
      </c>
      <c r="Z67" s="4">
        <v>29783</v>
      </c>
      <c r="AA67" s="4">
        <v>244963</v>
      </c>
      <c r="AB67" s="4">
        <v>135556</v>
      </c>
      <c r="AC67" s="4">
        <v>109407</v>
      </c>
    </row>
    <row r="68" spans="1:29" x14ac:dyDescent="0.25">
      <c r="A68" s="1" t="s">
        <v>64</v>
      </c>
      <c r="B68" s="1" t="s">
        <v>743</v>
      </c>
      <c r="C68" s="1" t="s">
        <v>71</v>
      </c>
      <c r="D68" s="1" t="s">
        <v>479</v>
      </c>
      <c r="E68" s="2">
        <v>97.77</v>
      </c>
      <c r="F68" s="3">
        <v>797.6</v>
      </c>
      <c r="G68" s="2">
        <v>895.37</v>
      </c>
      <c r="H68" s="2">
        <v>0</v>
      </c>
      <c r="I68" s="4">
        <v>0</v>
      </c>
      <c r="J68" s="3">
        <v>0</v>
      </c>
      <c r="K68" s="4">
        <v>798</v>
      </c>
      <c r="L68" s="2">
        <v>299.2</v>
      </c>
      <c r="M68" s="2">
        <v>55.38</v>
      </c>
      <c r="N68" s="2">
        <v>61.82</v>
      </c>
      <c r="O68" s="2">
        <v>37.79</v>
      </c>
      <c r="P68" s="2">
        <v>4.3499999999999996</v>
      </c>
      <c r="Q68" s="4">
        <v>267895</v>
      </c>
      <c r="R68" s="4">
        <v>2825</v>
      </c>
      <c r="S68" s="4">
        <v>270720</v>
      </c>
      <c r="T68" s="4">
        <v>44193</v>
      </c>
      <c r="U68" s="4">
        <v>49332</v>
      </c>
      <c r="V68" s="4">
        <v>0</v>
      </c>
      <c r="W68" s="4">
        <v>34257</v>
      </c>
      <c r="X68" s="4">
        <v>3938</v>
      </c>
      <c r="Y68" s="4">
        <v>402440</v>
      </c>
      <c r="Z68" s="4">
        <v>39506</v>
      </c>
      <c r="AA68" s="4">
        <v>362934</v>
      </c>
      <c r="AB68" s="4">
        <v>207310</v>
      </c>
      <c r="AC68" s="4">
        <v>155624</v>
      </c>
    </row>
    <row r="69" spans="1:29" x14ac:dyDescent="0.25">
      <c r="A69" s="1" t="s">
        <v>64</v>
      </c>
      <c r="B69" s="1" t="s">
        <v>743</v>
      </c>
      <c r="C69" s="1" t="s">
        <v>72</v>
      </c>
      <c r="D69" s="1" t="s">
        <v>480</v>
      </c>
      <c r="E69" s="2">
        <v>64.930000000000007</v>
      </c>
      <c r="F69" s="3">
        <v>563.1</v>
      </c>
      <c r="G69" s="2">
        <v>628.03</v>
      </c>
      <c r="H69" s="2">
        <v>0</v>
      </c>
      <c r="I69" s="4">
        <v>3</v>
      </c>
      <c r="J69" s="3">
        <v>0</v>
      </c>
      <c r="K69" s="4">
        <v>566</v>
      </c>
      <c r="L69" s="2">
        <v>299.2</v>
      </c>
      <c r="M69" s="2">
        <v>55.38</v>
      </c>
      <c r="N69" s="2">
        <v>61.82</v>
      </c>
      <c r="O69" s="2">
        <v>37.79</v>
      </c>
      <c r="P69" s="2">
        <v>4.3499999999999996</v>
      </c>
      <c r="Q69" s="4">
        <v>187907</v>
      </c>
      <c r="R69" s="4">
        <v>0</v>
      </c>
      <c r="S69" s="4">
        <v>187907</v>
      </c>
      <c r="T69" s="4">
        <v>31345</v>
      </c>
      <c r="U69" s="4">
        <v>34990</v>
      </c>
      <c r="V69" s="4">
        <v>0</v>
      </c>
      <c r="W69" s="4">
        <v>23733</v>
      </c>
      <c r="X69" s="4">
        <v>2732</v>
      </c>
      <c r="Y69" s="4">
        <v>280707</v>
      </c>
      <c r="Z69" s="4">
        <v>29369</v>
      </c>
      <c r="AA69" s="4">
        <v>251338</v>
      </c>
      <c r="AB69" s="4">
        <v>143427</v>
      </c>
      <c r="AC69" s="4">
        <v>107911</v>
      </c>
    </row>
    <row r="70" spans="1:29" x14ac:dyDescent="0.25">
      <c r="A70" s="1" t="s">
        <v>64</v>
      </c>
      <c r="B70" s="1" t="s">
        <v>743</v>
      </c>
      <c r="C70" s="1" t="s">
        <v>73</v>
      </c>
      <c r="D70" s="1" t="s">
        <v>74</v>
      </c>
      <c r="E70" s="2">
        <v>54.67</v>
      </c>
      <c r="F70" s="3">
        <v>256.8</v>
      </c>
      <c r="G70" s="2">
        <v>311.47000000000003</v>
      </c>
      <c r="H70" s="2">
        <v>0</v>
      </c>
      <c r="I70" s="4">
        <v>15</v>
      </c>
      <c r="J70" s="3">
        <v>0.2</v>
      </c>
      <c r="K70" s="4">
        <v>272</v>
      </c>
      <c r="L70" s="2">
        <v>299.2</v>
      </c>
      <c r="M70" s="2">
        <v>55.38</v>
      </c>
      <c r="N70" s="2">
        <v>61.82</v>
      </c>
      <c r="O70" s="2">
        <v>37.79</v>
      </c>
      <c r="P70" s="2">
        <v>4.3499999999999996</v>
      </c>
      <c r="Q70" s="4">
        <v>93192</v>
      </c>
      <c r="R70" s="4">
        <v>6</v>
      </c>
      <c r="S70" s="4">
        <v>93198</v>
      </c>
      <c r="T70" s="4">
        <v>15063</v>
      </c>
      <c r="U70" s="4">
        <v>16815</v>
      </c>
      <c r="V70" s="4">
        <v>0</v>
      </c>
      <c r="W70" s="4">
        <v>11793</v>
      </c>
      <c r="X70" s="4">
        <v>1356</v>
      </c>
      <c r="Y70" s="4">
        <v>138225</v>
      </c>
      <c r="Z70" s="4">
        <v>14140</v>
      </c>
      <c r="AA70" s="4">
        <v>124085</v>
      </c>
      <c r="AB70" s="4">
        <v>71582</v>
      </c>
      <c r="AC70" s="4">
        <v>52503</v>
      </c>
    </row>
    <row r="71" spans="1:29" x14ac:dyDescent="0.25">
      <c r="A71" s="1" t="s">
        <v>64</v>
      </c>
      <c r="B71" s="1" t="s">
        <v>743</v>
      </c>
      <c r="C71" s="1" t="s">
        <v>75</v>
      </c>
      <c r="D71" s="1" t="s">
        <v>481</v>
      </c>
      <c r="E71" s="2">
        <v>693.64</v>
      </c>
      <c r="F71" s="3">
        <v>5127.5</v>
      </c>
      <c r="G71" s="2">
        <v>5821.14</v>
      </c>
      <c r="H71" s="2">
        <v>0</v>
      </c>
      <c r="I71" s="4">
        <v>314</v>
      </c>
      <c r="J71" s="3">
        <v>1.6</v>
      </c>
      <c r="K71" s="4">
        <v>5440</v>
      </c>
      <c r="L71" s="2">
        <v>299.2</v>
      </c>
      <c r="M71" s="2">
        <v>55.38</v>
      </c>
      <c r="N71" s="2">
        <v>61.82</v>
      </c>
      <c r="O71" s="2">
        <v>37.79</v>
      </c>
      <c r="P71" s="2">
        <v>4.3499999999999996</v>
      </c>
      <c r="Q71" s="4">
        <v>1741685</v>
      </c>
      <c r="R71" s="4">
        <v>0</v>
      </c>
      <c r="S71" s="4">
        <v>1741685</v>
      </c>
      <c r="T71" s="4">
        <v>301267</v>
      </c>
      <c r="U71" s="4">
        <v>336301</v>
      </c>
      <c r="V71" s="4">
        <v>0</v>
      </c>
      <c r="W71" s="4">
        <v>219981</v>
      </c>
      <c r="X71" s="4">
        <v>25322</v>
      </c>
      <c r="Y71" s="4">
        <v>2624556</v>
      </c>
      <c r="Z71" s="4">
        <v>198163</v>
      </c>
      <c r="AA71" s="4">
        <v>2426393</v>
      </c>
      <c r="AB71" s="4">
        <v>1403466</v>
      </c>
      <c r="AC71" s="4">
        <v>1022927</v>
      </c>
    </row>
    <row r="72" spans="1:29" x14ac:dyDescent="0.25">
      <c r="A72" s="1" t="s">
        <v>64</v>
      </c>
      <c r="B72" s="1" t="s">
        <v>743</v>
      </c>
      <c r="C72" s="1" t="s">
        <v>76</v>
      </c>
      <c r="D72" s="1" t="s">
        <v>482</v>
      </c>
      <c r="E72" s="2">
        <v>123.85</v>
      </c>
      <c r="F72" s="3">
        <v>815</v>
      </c>
      <c r="G72" s="2">
        <v>938.85</v>
      </c>
      <c r="H72" s="2">
        <v>0</v>
      </c>
      <c r="I72" s="4">
        <v>40</v>
      </c>
      <c r="J72" s="3">
        <v>0</v>
      </c>
      <c r="K72" s="4">
        <v>855</v>
      </c>
      <c r="L72" s="2">
        <v>299.2</v>
      </c>
      <c r="M72" s="2">
        <v>55.38</v>
      </c>
      <c r="N72" s="2">
        <v>61.82</v>
      </c>
      <c r="O72" s="2">
        <v>37.79</v>
      </c>
      <c r="P72" s="2">
        <v>4.3499999999999996</v>
      </c>
      <c r="Q72" s="4">
        <v>280904</v>
      </c>
      <c r="R72" s="4">
        <v>0</v>
      </c>
      <c r="S72" s="4">
        <v>280904</v>
      </c>
      <c r="T72" s="4">
        <v>47350</v>
      </c>
      <c r="U72" s="4">
        <v>52856</v>
      </c>
      <c r="V72" s="4">
        <v>0</v>
      </c>
      <c r="W72" s="4">
        <v>35479</v>
      </c>
      <c r="X72" s="4">
        <v>4084</v>
      </c>
      <c r="Y72" s="4">
        <v>420673</v>
      </c>
      <c r="Z72" s="4">
        <v>46457</v>
      </c>
      <c r="AA72" s="4">
        <v>374216</v>
      </c>
      <c r="AB72" s="4">
        <v>211858</v>
      </c>
      <c r="AC72" s="4">
        <v>162358</v>
      </c>
    </row>
    <row r="73" spans="1:29" x14ac:dyDescent="0.25">
      <c r="A73" s="1" t="s">
        <v>64</v>
      </c>
      <c r="B73" s="1" t="s">
        <v>743</v>
      </c>
      <c r="C73" s="1" t="s">
        <v>77</v>
      </c>
      <c r="D73" s="1" t="s">
        <v>483</v>
      </c>
      <c r="E73" s="2">
        <v>234.51</v>
      </c>
      <c r="F73" s="3">
        <v>1501.7</v>
      </c>
      <c r="G73" s="2">
        <v>1736.21</v>
      </c>
      <c r="H73" s="2">
        <v>0</v>
      </c>
      <c r="I73" s="4">
        <v>205</v>
      </c>
      <c r="J73" s="3">
        <v>3.3</v>
      </c>
      <c r="K73" s="4">
        <v>1703</v>
      </c>
      <c r="L73" s="2">
        <v>299.2</v>
      </c>
      <c r="M73" s="2">
        <v>55.38</v>
      </c>
      <c r="N73" s="2">
        <v>61.82</v>
      </c>
      <c r="O73" s="2">
        <v>37.79</v>
      </c>
      <c r="P73" s="2">
        <v>4.3499999999999996</v>
      </c>
      <c r="Q73" s="4">
        <v>519474</v>
      </c>
      <c r="R73" s="4">
        <v>0</v>
      </c>
      <c r="S73" s="4">
        <v>519474</v>
      </c>
      <c r="T73" s="4">
        <v>94312</v>
      </c>
      <c r="U73" s="4">
        <v>105279</v>
      </c>
      <c r="V73" s="4">
        <v>0</v>
      </c>
      <c r="W73" s="4">
        <v>65611</v>
      </c>
      <c r="X73" s="4">
        <v>7553</v>
      </c>
      <c r="Y73" s="4">
        <v>792229</v>
      </c>
      <c r="Z73" s="4">
        <v>82982</v>
      </c>
      <c r="AA73" s="4">
        <v>709247</v>
      </c>
      <c r="AB73" s="4">
        <v>394719</v>
      </c>
      <c r="AC73" s="4">
        <v>314528</v>
      </c>
    </row>
    <row r="74" spans="1:29" x14ac:dyDescent="0.25">
      <c r="A74" s="1" t="s">
        <v>64</v>
      </c>
      <c r="B74" s="1" t="s">
        <v>743</v>
      </c>
      <c r="C74" s="1" t="s">
        <v>78</v>
      </c>
      <c r="D74" s="1" t="s">
        <v>484</v>
      </c>
      <c r="E74" s="2">
        <v>41.7</v>
      </c>
      <c r="F74" s="3">
        <v>315</v>
      </c>
      <c r="G74" s="2">
        <v>356.7</v>
      </c>
      <c r="H74" s="2">
        <v>0</v>
      </c>
      <c r="I74" s="4">
        <v>5</v>
      </c>
      <c r="J74" s="3">
        <v>0</v>
      </c>
      <c r="K74" s="4">
        <v>320</v>
      </c>
      <c r="L74" s="2">
        <v>299.2</v>
      </c>
      <c r="M74" s="2">
        <v>55.38</v>
      </c>
      <c r="N74" s="2">
        <v>61.82</v>
      </c>
      <c r="O74" s="2">
        <v>37.79</v>
      </c>
      <c r="P74" s="2">
        <v>4.3499999999999996</v>
      </c>
      <c r="Q74" s="4">
        <v>106725</v>
      </c>
      <c r="R74" s="4">
        <v>11069</v>
      </c>
      <c r="S74" s="4">
        <v>117794</v>
      </c>
      <c r="T74" s="4">
        <v>17722</v>
      </c>
      <c r="U74" s="4">
        <v>19782</v>
      </c>
      <c r="V74" s="4">
        <v>0</v>
      </c>
      <c r="W74" s="4">
        <v>13784</v>
      </c>
      <c r="X74" s="4">
        <v>1585</v>
      </c>
      <c r="Y74" s="4">
        <v>170667</v>
      </c>
      <c r="Z74" s="4">
        <v>18545</v>
      </c>
      <c r="AA74" s="4">
        <v>152122</v>
      </c>
      <c r="AB74" s="4">
        <v>79935</v>
      </c>
      <c r="AC74" s="4">
        <v>72187</v>
      </c>
    </row>
    <row r="75" spans="1:29" x14ac:dyDescent="0.25">
      <c r="A75" s="1" t="s">
        <v>64</v>
      </c>
      <c r="B75" s="1" t="s">
        <v>743</v>
      </c>
      <c r="C75" s="1" t="s">
        <v>79</v>
      </c>
      <c r="D75" s="1" t="s">
        <v>485</v>
      </c>
      <c r="E75" s="2">
        <v>174.78</v>
      </c>
      <c r="F75" s="3">
        <v>1233.9000000000001</v>
      </c>
      <c r="G75" s="2">
        <v>1408.68</v>
      </c>
      <c r="H75" s="2">
        <v>0</v>
      </c>
      <c r="I75" s="4">
        <v>31</v>
      </c>
      <c r="J75" s="3">
        <v>0</v>
      </c>
      <c r="K75" s="4">
        <v>1265</v>
      </c>
      <c r="L75" s="2">
        <v>299.2</v>
      </c>
      <c r="M75" s="2">
        <v>55.38</v>
      </c>
      <c r="N75" s="2">
        <v>61.82</v>
      </c>
      <c r="O75" s="2">
        <v>37.79</v>
      </c>
      <c r="P75" s="2">
        <v>4.3499999999999996</v>
      </c>
      <c r="Q75" s="4">
        <v>421477</v>
      </c>
      <c r="R75" s="4">
        <v>0</v>
      </c>
      <c r="S75" s="4">
        <v>421477</v>
      </c>
      <c r="T75" s="4">
        <v>70056</v>
      </c>
      <c r="U75" s="4">
        <v>78202</v>
      </c>
      <c r="V75" s="4">
        <v>0</v>
      </c>
      <c r="W75" s="4">
        <v>53234</v>
      </c>
      <c r="X75" s="4">
        <v>6128</v>
      </c>
      <c r="Y75" s="4">
        <v>629097</v>
      </c>
      <c r="Z75" s="4">
        <v>69828</v>
      </c>
      <c r="AA75" s="4">
        <v>559269</v>
      </c>
      <c r="AB75" s="4">
        <v>317756</v>
      </c>
      <c r="AC75" s="4">
        <v>241513</v>
      </c>
    </row>
    <row r="76" spans="1:29" x14ac:dyDescent="0.25">
      <c r="A76" s="1" t="s">
        <v>64</v>
      </c>
      <c r="B76" s="1" t="s">
        <v>743</v>
      </c>
      <c r="C76" s="1" t="s">
        <v>80</v>
      </c>
      <c r="D76" s="1" t="s">
        <v>486</v>
      </c>
      <c r="E76" s="2">
        <v>65.53</v>
      </c>
      <c r="F76" s="3">
        <v>750</v>
      </c>
      <c r="G76" s="2">
        <v>815.53</v>
      </c>
      <c r="H76" s="2">
        <v>0</v>
      </c>
      <c r="I76" s="4">
        <v>5</v>
      </c>
      <c r="J76" s="3">
        <v>0</v>
      </c>
      <c r="K76" s="4">
        <v>755</v>
      </c>
      <c r="L76" s="2">
        <v>299.2</v>
      </c>
      <c r="M76" s="2">
        <v>55.38</v>
      </c>
      <c r="N76" s="2">
        <v>61.82</v>
      </c>
      <c r="O76" s="2">
        <v>37.79</v>
      </c>
      <c r="P76" s="2">
        <v>4.3499999999999996</v>
      </c>
      <c r="Q76" s="4">
        <v>244007</v>
      </c>
      <c r="R76" s="4">
        <v>0</v>
      </c>
      <c r="S76" s="4">
        <v>244007</v>
      </c>
      <c r="T76" s="4">
        <v>41812</v>
      </c>
      <c r="U76" s="4">
        <v>46674</v>
      </c>
      <c r="V76" s="4">
        <v>0</v>
      </c>
      <c r="W76" s="4">
        <v>30819</v>
      </c>
      <c r="X76" s="4">
        <v>3548</v>
      </c>
      <c r="Y76" s="4">
        <v>366860</v>
      </c>
      <c r="Z76" s="4">
        <v>32842</v>
      </c>
      <c r="AA76" s="4">
        <v>334018</v>
      </c>
      <c r="AB76" s="4">
        <v>191543</v>
      </c>
      <c r="AC76" s="4">
        <v>142475</v>
      </c>
    </row>
    <row r="77" spans="1:29" x14ac:dyDescent="0.25">
      <c r="A77" s="1" t="s">
        <v>64</v>
      </c>
      <c r="B77" s="1" t="s">
        <v>743</v>
      </c>
      <c r="C77" s="1" t="s">
        <v>81</v>
      </c>
      <c r="D77" s="1" t="s">
        <v>487</v>
      </c>
      <c r="E77" s="2">
        <v>117.38</v>
      </c>
      <c r="F77" s="3">
        <v>882.2</v>
      </c>
      <c r="G77" s="2">
        <v>999.58</v>
      </c>
      <c r="H77" s="2">
        <v>0</v>
      </c>
      <c r="I77" s="4">
        <v>9</v>
      </c>
      <c r="J77" s="3">
        <v>0</v>
      </c>
      <c r="K77" s="4">
        <v>891</v>
      </c>
      <c r="L77" s="2">
        <v>299.2</v>
      </c>
      <c r="M77" s="2">
        <v>55.38</v>
      </c>
      <c r="N77" s="2">
        <v>61.82</v>
      </c>
      <c r="O77" s="2">
        <v>37.79</v>
      </c>
      <c r="P77" s="2">
        <v>4.3499999999999996</v>
      </c>
      <c r="Q77" s="4">
        <v>299074</v>
      </c>
      <c r="R77" s="4">
        <v>2148</v>
      </c>
      <c r="S77" s="4">
        <v>301222</v>
      </c>
      <c r="T77" s="4">
        <v>49344</v>
      </c>
      <c r="U77" s="4">
        <v>55082</v>
      </c>
      <c r="V77" s="4">
        <v>0</v>
      </c>
      <c r="W77" s="4">
        <v>37839</v>
      </c>
      <c r="X77" s="4">
        <v>4350</v>
      </c>
      <c r="Y77" s="4">
        <v>447837</v>
      </c>
      <c r="Z77" s="4">
        <v>36304</v>
      </c>
      <c r="AA77" s="4">
        <v>411533</v>
      </c>
      <c r="AB77" s="4">
        <v>238787</v>
      </c>
      <c r="AC77" s="4">
        <v>172746</v>
      </c>
    </row>
    <row r="78" spans="1:29" x14ac:dyDescent="0.25">
      <c r="A78" s="1" t="s">
        <v>64</v>
      </c>
      <c r="B78" s="1" t="s">
        <v>743</v>
      </c>
      <c r="C78" s="1" t="s">
        <v>82</v>
      </c>
      <c r="D78" s="1" t="s">
        <v>488</v>
      </c>
      <c r="E78" s="2">
        <v>43.22</v>
      </c>
      <c r="F78" s="3">
        <v>419.3</v>
      </c>
      <c r="G78" s="2">
        <v>462.52</v>
      </c>
      <c r="H78" s="2">
        <v>0</v>
      </c>
      <c r="I78" s="4">
        <v>13</v>
      </c>
      <c r="J78" s="3">
        <v>0</v>
      </c>
      <c r="K78" s="4">
        <v>432</v>
      </c>
      <c r="L78" s="2">
        <v>299.2</v>
      </c>
      <c r="M78" s="2">
        <v>55.38</v>
      </c>
      <c r="N78" s="2">
        <v>61.82</v>
      </c>
      <c r="O78" s="2">
        <v>37.79</v>
      </c>
      <c r="P78" s="2">
        <v>4.3499999999999996</v>
      </c>
      <c r="Q78" s="4">
        <v>138386</v>
      </c>
      <c r="R78" s="4">
        <v>15296</v>
      </c>
      <c r="S78" s="4">
        <v>153682</v>
      </c>
      <c r="T78" s="4">
        <v>23924</v>
      </c>
      <c r="U78" s="4">
        <v>26706</v>
      </c>
      <c r="V78" s="4">
        <v>0</v>
      </c>
      <c r="W78" s="4">
        <v>17479</v>
      </c>
      <c r="X78" s="4">
        <v>2012</v>
      </c>
      <c r="Y78" s="4">
        <v>223803</v>
      </c>
      <c r="Z78" s="4">
        <v>22973</v>
      </c>
      <c r="AA78" s="4">
        <v>200830</v>
      </c>
      <c r="AB78" s="4">
        <v>104285</v>
      </c>
      <c r="AC78" s="4">
        <v>96545</v>
      </c>
    </row>
    <row r="79" spans="1:29" x14ac:dyDescent="0.25">
      <c r="A79" s="1" t="s">
        <v>64</v>
      </c>
      <c r="B79" s="1" t="s">
        <v>743</v>
      </c>
      <c r="C79" s="1" t="s">
        <v>83</v>
      </c>
      <c r="D79" s="1" t="s">
        <v>489</v>
      </c>
      <c r="E79" s="2">
        <v>96.53</v>
      </c>
      <c r="F79" s="3">
        <v>567.9</v>
      </c>
      <c r="G79" s="2">
        <v>664.43</v>
      </c>
      <c r="H79" s="2">
        <v>0</v>
      </c>
      <c r="I79" s="4">
        <v>6</v>
      </c>
      <c r="J79" s="3">
        <v>0</v>
      </c>
      <c r="K79" s="4">
        <v>574</v>
      </c>
      <c r="L79" s="2">
        <v>299.2</v>
      </c>
      <c r="M79" s="2">
        <v>55.38</v>
      </c>
      <c r="N79" s="2">
        <v>61.82</v>
      </c>
      <c r="O79" s="2">
        <v>37.79</v>
      </c>
      <c r="P79" s="2">
        <v>4.3499999999999996</v>
      </c>
      <c r="Q79" s="4">
        <v>198797</v>
      </c>
      <c r="R79" s="4">
        <v>895</v>
      </c>
      <c r="S79" s="4">
        <v>199692</v>
      </c>
      <c r="T79" s="4">
        <v>31788</v>
      </c>
      <c r="U79" s="4">
        <v>35485</v>
      </c>
      <c r="V79" s="4">
        <v>0</v>
      </c>
      <c r="W79" s="4">
        <v>25269</v>
      </c>
      <c r="X79" s="4">
        <v>2905</v>
      </c>
      <c r="Y79" s="4">
        <v>295139</v>
      </c>
      <c r="Z79" s="4">
        <v>28849</v>
      </c>
      <c r="AA79" s="4">
        <v>266290</v>
      </c>
      <c r="AB79" s="4">
        <v>154137</v>
      </c>
      <c r="AC79" s="4">
        <v>112153</v>
      </c>
    </row>
    <row r="80" spans="1:29" x14ac:dyDescent="0.25">
      <c r="A80" s="1" t="s">
        <v>64</v>
      </c>
      <c r="B80" s="1" t="s">
        <v>743</v>
      </c>
      <c r="C80" s="1" t="s">
        <v>84</v>
      </c>
      <c r="D80" s="1" t="s">
        <v>490</v>
      </c>
      <c r="E80" s="2">
        <v>80.48</v>
      </c>
      <c r="F80" s="3">
        <v>562.29999999999995</v>
      </c>
      <c r="G80" s="2">
        <v>642.78</v>
      </c>
      <c r="H80" s="2">
        <v>0</v>
      </c>
      <c r="I80" s="4">
        <v>3</v>
      </c>
      <c r="J80" s="3">
        <v>0</v>
      </c>
      <c r="K80" s="4">
        <v>565</v>
      </c>
      <c r="L80" s="2">
        <v>299.2</v>
      </c>
      <c r="M80" s="2">
        <v>55.38</v>
      </c>
      <c r="N80" s="2">
        <v>61.82</v>
      </c>
      <c r="O80" s="2">
        <v>37.79</v>
      </c>
      <c r="P80" s="2">
        <v>4.3499999999999996</v>
      </c>
      <c r="Q80" s="4">
        <v>192320</v>
      </c>
      <c r="R80" s="4">
        <v>23283</v>
      </c>
      <c r="S80" s="4">
        <v>215603</v>
      </c>
      <c r="T80" s="4">
        <v>31290</v>
      </c>
      <c r="U80" s="4">
        <v>34928</v>
      </c>
      <c r="V80" s="4">
        <v>0</v>
      </c>
      <c r="W80" s="4">
        <v>24291</v>
      </c>
      <c r="X80" s="4">
        <v>2796</v>
      </c>
      <c r="Y80" s="4">
        <v>308908</v>
      </c>
      <c r="Z80" s="4">
        <v>36691</v>
      </c>
      <c r="AA80" s="4">
        <v>272217</v>
      </c>
      <c r="AB80" s="4">
        <v>140164</v>
      </c>
      <c r="AC80" s="4">
        <v>132053</v>
      </c>
    </row>
    <row r="81" spans="1:29" x14ac:dyDescent="0.25">
      <c r="A81" s="1" t="s">
        <v>64</v>
      </c>
      <c r="B81" s="1" t="s">
        <v>743</v>
      </c>
      <c r="C81" s="1" t="s">
        <v>85</v>
      </c>
      <c r="D81" s="1" t="s">
        <v>491</v>
      </c>
      <c r="E81" s="2">
        <v>138.16999999999999</v>
      </c>
      <c r="F81" s="3">
        <v>624.6</v>
      </c>
      <c r="G81" s="2">
        <v>762.77</v>
      </c>
      <c r="H81" s="2">
        <v>0</v>
      </c>
      <c r="I81" s="4">
        <v>2</v>
      </c>
      <c r="J81" s="3">
        <v>0</v>
      </c>
      <c r="K81" s="4">
        <v>627</v>
      </c>
      <c r="L81" s="2">
        <v>299.2</v>
      </c>
      <c r="M81" s="2">
        <v>55.38</v>
      </c>
      <c r="N81" s="2">
        <v>61.82</v>
      </c>
      <c r="O81" s="2">
        <v>37.79</v>
      </c>
      <c r="P81" s="2">
        <v>4.3499999999999996</v>
      </c>
      <c r="Q81" s="4">
        <v>228221</v>
      </c>
      <c r="R81" s="4">
        <v>0</v>
      </c>
      <c r="S81" s="4">
        <v>228221</v>
      </c>
      <c r="T81" s="4">
        <v>34723</v>
      </c>
      <c r="U81" s="4">
        <v>38761</v>
      </c>
      <c r="V81" s="4">
        <v>0</v>
      </c>
      <c r="W81" s="4">
        <v>28825</v>
      </c>
      <c r="X81" s="4">
        <v>3318</v>
      </c>
      <c r="Y81" s="4">
        <v>333848</v>
      </c>
      <c r="Z81" s="4">
        <v>31253</v>
      </c>
      <c r="AA81" s="4">
        <v>302595</v>
      </c>
      <c r="AB81" s="4">
        <v>178615</v>
      </c>
      <c r="AC81" s="4">
        <v>123980</v>
      </c>
    </row>
    <row r="82" spans="1:29" x14ac:dyDescent="0.25">
      <c r="A82" s="1" t="s">
        <v>64</v>
      </c>
      <c r="B82" s="1" t="s">
        <v>743</v>
      </c>
      <c r="C82" s="1" t="s">
        <v>86</v>
      </c>
      <c r="D82" s="1" t="s">
        <v>492</v>
      </c>
      <c r="E82" s="2">
        <v>152.41999999999999</v>
      </c>
      <c r="F82" s="3">
        <v>1092.5</v>
      </c>
      <c r="G82" s="2">
        <v>1244.92</v>
      </c>
      <c r="H82" s="2">
        <v>0</v>
      </c>
      <c r="I82" s="4">
        <v>4</v>
      </c>
      <c r="J82" s="3">
        <v>0</v>
      </c>
      <c r="K82" s="4">
        <v>1097</v>
      </c>
      <c r="L82" s="2">
        <v>299.2</v>
      </c>
      <c r="M82" s="2">
        <v>55.38</v>
      </c>
      <c r="N82" s="2">
        <v>61.82</v>
      </c>
      <c r="O82" s="2">
        <v>37.79</v>
      </c>
      <c r="P82" s="2">
        <v>4.3499999999999996</v>
      </c>
      <c r="Q82" s="4">
        <v>372480</v>
      </c>
      <c r="R82" s="4">
        <v>48289</v>
      </c>
      <c r="S82" s="4">
        <v>420769</v>
      </c>
      <c r="T82" s="4">
        <v>60752</v>
      </c>
      <c r="U82" s="4">
        <v>67817</v>
      </c>
      <c r="V82" s="4">
        <v>0</v>
      </c>
      <c r="W82" s="4">
        <v>47173</v>
      </c>
      <c r="X82" s="4">
        <v>5423</v>
      </c>
      <c r="Y82" s="4">
        <v>601934</v>
      </c>
      <c r="Z82" s="4">
        <v>73519</v>
      </c>
      <c r="AA82" s="4">
        <v>528415</v>
      </c>
      <c r="AB82" s="4">
        <v>269143</v>
      </c>
      <c r="AC82" s="4">
        <v>259272</v>
      </c>
    </row>
    <row r="83" spans="1:29" x14ac:dyDescent="0.25">
      <c r="A83" s="1" t="s">
        <v>64</v>
      </c>
      <c r="B83" s="1" t="s">
        <v>743</v>
      </c>
      <c r="C83" s="1" t="s">
        <v>89</v>
      </c>
      <c r="D83" s="1" t="s">
        <v>90</v>
      </c>
      <c r="E83" s="2">
        <v>30.81</v>
      </c>
      <c r="F83" s="3">
        <v>281.39999999999998</v>
      </c>
      <c r="G83" s="2">
        <v>312.20999999999998</v>
      </c>
      <c r="H83" s="2">
        <v>0</v>
      </c>
      <c r="I83" s="4">
        <v>7</v>
      </c>
      <c r="J83" s="3">
        <v>0</v>
      </c>
      <c r="K83" s="4">
        <v>288</v>
      </c>
      <c r="L83" s="2">
        <v>299.2</v>
      </c>
      <c r="M83" s="2">
        <v>55.38</v>
      </c>
      <c r="N83" s="2">
        <v>61.82</v>
      </c>
      <c r="O83" s="2">
        <v>37.79</v>
      </c>
      <c r="P83" s="2">
        <v>4.3499999999999996</v>
      </c>
      <c r="Q83" s="4">
        <v>93413</v>
      </c>
      <c r="R83" s="4">
        <v>11962</v>
      </c>
      <c r="S83" s="4">
        <v>105375</v>
      </c>
      <c r="T83" s="4">
        <v>15949</v>
      </c>
      <c r="U83" s="4">
        <v>17804</v>
      </c>
      <c r="V83" s="4">
        <v>0</v>
      </c>
      <c r="W83" s="4">
        <v>11876</v>
      </c>
      <c r="X83" s="4">
        <v>1365</v>
      </c>
      <c r="Y83" s="4">
        <v>152369</v>
      </c>
      <c r="Z83" s="4">
        <v>17366</v>
      </c>
      <c r="AA83" s="4">
        <v>135003</v>
      </c>
      <c r="AB83" s="4">
        <v>68620</v>
      </c>
      <c r="AC83" s="4">
        <v>66383</v>
      </c>
    </row>
    <row r="84" spans="1:29" x14ac:dyDescent="0.25">
      <c r="A84" s="1" t="s">
        <v>64</v>
      </c>
      <c r="B84" s="1" t="s">
        <v>743</v>
      </c>
      <c r="C84" s="1" t="s">
        <v>87</v>
      </c>
      <c r="D84" s="1" t="s">
        <v>493</v>
      </c>
      <c r="E84" s="2">
        <v>89.38</v>
      </c>
      <c r="F84" s="3">
        <v>882.1</v>
      </c>
      <c r="G84" s="2">
        <v>971.48</v>
      </c>
      <c r="H84" s="2">
        <v>0</v>
      </c>
      <c r="I84" s="4">
        <v>3</v>
      </c>
      <c r="J84" s="3">
        <v>0</v>
      </c>
      <c r="K84" s="4">
        <v>885</v>
      </c>
      <c r="L84" s="2">
        <v>299.2</v>
      </c>
      <c r="M84" s="2">
        <v>55.38</v>
      </c>
      <c r="N84" s="2">
        <v>61.82</v>
      </c>
      <c r="O84" s="2">
        <v>37.79</v>
      </c>
      <c r="P84" s="2">
        <v>4.3499999999999996</v>
      </c>
      <c r="Q84" s="4">
        <v>290667</v>
      </c>
      <c r="R84" s="4">
        <v>45483</v>
      </c>
      <c r="S84" s="4">
        <v>336150</v>
      </c>
      <c r="T84" s="4">
        <v>49011</v>
      </c>
      <c r="U84" s="4">
        <v>54711</v>
      </c>
      <c r="V84" s="4">
        <v>0</v>
      </c>
      <c r="W84" s="4">
        <v>36712</v>
      </c>
      <c r="X84" s="4">
        <v>4226</v>
      </c>
      <c r="Y84" s="4">
        <v>480810</v>
      </c>
      <c r="Z84" s="4">
        <v>49755</v>
      </c>
      <c r="AA84" s="4">
        <v>431055</v>
      </c>
      <c r="AB84" s="4">
        <v>217538</v>
      </c>
      <c r="AC84" s="4">
        <v>213517</v>
      </c>
    </row>
    <row r="85" spans="1:29" x14ac:dyDescent="0.25">
      <c r="A85" s="1" t="s">
        <v>64</v>
      </c>
      <c r="B85" s="1" t="s">
        <v>743</v>
      </c>
      <c r="C85" s="1" t="s">
        <v>88</v>
      </c>
      <c r="D85" s="1" t="s">
        <v>494</v>
      </c>
      <c r="E85" s="2">
        <v>80.010000000000005</v>
      </c>
      <c r="F85" s="3">
        <v>584.70000000000005</v>
      </c>
      <c r="G85" s="2">
        <v>664.71</v>
      </c>
      <c r="H85" s="2">
        <v>0</v>
      </c>
      <c r="I85" s="4">
        <v>0</v>
      </c>
      <c r="J85" s="3">
        <v>0</v>
      </c>
      <c r="K85" s="4">
        <v>585</v>
      </c>
      <c r="L85" s="2">
        <v>299.2</v>
      </c>
      <c r="M85" s="2">
        <v>55.38</v>
      </c>
      <c r="N85" s="2">
        <v>61.82</v>
      </c>
      <c r="O85" s="2">
        <v>37.79</v>
      </c>
      <c r="P85" s="2">
        <v>4.3499999999999996</v>
      </c>
      <c r="Q85" s="4">
        <v>198881</v>
      </c>
      <c r="R85" s="4">
        <v>9734</v>
      </c>
      <c r="S85" s="4">
        <v>208615</v>
      </c>
      <c r="T85" s="4">
        <v>32397</v>
      </c>
      <c r="U85" s="4">
        <v>36165</v>
      </c>
      <c r="V85" s="4">
        <v>0</v>
      </c>
      <c r="W85" s="4">
        <v>25119</v>
      </c>
      <c r="X85" s="4">
        <v>2891</v>
      </c>
      <c r="Y85" s="4">
        <v>305187</v>
      </c>
      <c r="Z85" s="4">
        <v>38194</v>
      </c>
      <c r="AA85" s="4">
        <v>266993</v>
      </c>
      <c r="AB85" s="4">
        <v>144693</v>
      </c>
      <c r="AC85" s="4">
        <v>122300</v>
      </c>
    </row>
    <row r="86" spans="1:29" x14ac:dyDescent="0.25">
      <c r="A86" s="1" t="s">
        <v>64</v>
      </c>
      <c r="B86" s="1" t="s">
        <v>743</v>
      </c>
      <c r="C86" s="1" t="s">
        <v>91</v>
      </c>
      <c r="D86" s="1" t="s">
        <v>495</v>
      </c>
      <c r="E86" s="2">
        <v>245.33</v>
      </c>
      <c r="F86" s="3">
        <v>1598.1</v>
      </c>
      <c r="G86" s="2">
        <v>1843.43</v>
      </c>
      <c r="H86" s="2">
        <v>0</v>
      </c>
      <c r="I86" s="4">
        <v>36</v>
      </c>
      <c r="J86" s="3">
        <v>2.4</v>
      </c>
      <c r="K86" s="4">
        <v>1632</v>
      </c>
      <c r="L86" s="2">
        <v>299.2</v>
      </c>
      <c r="M86" s="2">
        <v>55.38</v>
      </c>
      <c r="N86" s="2">
        <v>61.82</v>
      </c>
      <c r="O86" s="2">
        <v>37.79</v>
      </c>
      <c r="P86" s="2">
        <v>4.3499999999999996</v>
      </c>
      <c r="Q86" s="4">
        <v>551554</v>
      </c>
      <c r="R86" s="4">
        <v>868</v>
      </c>
      <c r="S86" s="4">
        <v>552422</v>
      </c>
      <c r="T86" s="4">
        <v>90380</v>
      </c>
      <c r="U86" s="4">
        <v>100890</v>
      </c>
      <c r="V86" s="4">
        <v>0</v>
      </c>
      <c r="W86" s="4">
        <v>69903</v>
      </c>
      <c r="X86" s="4">
        <v>8036</v>
      </c>
      <c r="Y86" s="4">
        <v>821631</v>
      </c>
      <c r="Z86" s="4">
        <v>81962</v>
      </c>
      <c r="AA86" s="4">
        <v>739669</v>
      </c>
      <c r="AB86" s="4">
        <v>425496</v>
      </c>
      <c r="AC86" s="4">
        <v>314173</v>
      </c>
    </row>
    <row r="87" spans="1:29" x14ac:dyDescent="0.25">
      <c r="A87" s="1" t="s">
        <v>64</v>
      </c>
      <c r="B87" s="1" t="s">
        <v>743</v>
      </c>
      <c r="C87" s="1" t="s">
        <v>92</v>
      </c>
      <c r="D87" s="1" t="s">
        <v>496</v>
      </c>
      <c r="E87" s="2">
        <v>82.23</v>
      </c>
      <c r="F87" s="3">
        <v>654.20000000000005</v>
      </c>
      <c r="G87" s="2">
        <v>736.43</v>
      </c>
      <c r="H87" s="2">
        <v>0</v>
      </c>
      <c r="I87" s="4">
        <v>5</v>
      </c>
      <c r="J87" s="3">
        <v>0</v>
      </c>
      <c r="K87" s="4">
        <v>659</v>
      </c>
      <c r="L87" s="2">
        <v>299.2</v>
      </c>
      <c r="M87" s="2">
        <v>55.38</v>
      </c>
      <c r="N87" s="2">
        <v>61.82</v>
      </c>
      <c r="O87" s="2">
        <v>37.79</v>
      </c>
      <c r="P87" s="2">
        <v>4.3499999999999996</v>
      </c>
      <c r="Q87" s="4">
        <v>220340</v>
      </c>
      <c r="R87" s="4">
        <v>3616</v>
      </c>
      <c r="S87" s="4">
        <v>223956</v>
      </c>
      <c r="T87" s="4">
        <v>36495</v>
      </c>
      <c r="U87" s="4">
        <v>40739</v>
      </c>
      <c r="V87" s="4">
        <v>0</v>
      </c>
      <c r="W87" s="4">
        <v>28339</v>
      </c>
      <c r="X87" s="4">
        <v>3258</v>
      </c>
      <c r="Y87" s="4">
        <v>332787</v>
      </c>
      <c r="Z87" s="4">
        <v>29520</v>
      </c>
      <c r="AA87" s="4">
        <v>303267</v>
      </c>
      <c r="AB87" s="4">
        <v>173665</v>
      </c>
      <c r="AC87" s="4">
        <v>129602</v>
      </c>
    </row>
    <row r="88" spans="1:29" x14ac:dyDescent="0.25">
      <c r="A88" s="1" t="s">
        <v>64</v>
      </c>
      <c r="B88" s="1" t="s">
        <v>743</v>
      </c>
      <c r="C88" s="1" t="s">
        <v>93</v>
      </c>
      <c r="D88" s="1" t="s">
        <v>497</v>
      </c>
      <c r="E88" s="2">
        <v>183.99</v>
      </c>
      <c r="F88" s="3">
        <v>1200.2</v>
      </c>
      <c r="G88" s="2">
        <v>1384.19</v>
      </c>
      <c r="H88" s="2">
        <v>0</v>
      </c>
      <c r="I88" s="4">
        <v>10</v>
      </c>
      <c r="J88" s="3">
        <v>0</v>
      </c>
      <c r="K88" s="4">
        <v>1210</v>
      </c>
      <c r="L88" s="2">
        <v>299.2</v>
      </c>
      <c r="M88" s="2">
        <v>55.38</v>
      </c>
      <c r="N88" s="2">
        <v>61.82</v>
      </c>
      <c r="O88" s="2">
        <v>37.79</v>
      </c>
      <c r="P88" s="2">
        <v>4.3499999999999996</v>
      </c>
      <c r="Q88" s="4">
        <v>414150</v>
      </c>
      <c r="R88" s="4">
        <v>738</v>
      </c>
      <c r="S88" s="4">
        <v>414888</v>
      </c>
      <c r="T88" s="4">
        <v>67010</v>
      </c>
      <c r="U88" s="4">
        <v>74802</v>
      </c>
      <c r="V88" s="4">
        <v>0</v>
      </c>
      <c r="W88" s="4">
        <v>52500</v>
      </c>
      <c r="X88" s="4">
        <v>6036</v>
      </c>
      <c r="Y88" s="4">
        <v>615236</v>
      </c>
      <c r="Z88" s="4">
        <v>56126</v>
      </c>
      <c r="AA88" s="4">
        <v>559110</v>
      </c>
      <c r="AB88" s="4">
        <v>324926</v>
      </c>
      <c r="AC88" s="4">
        <v>234184</v>
      </c>
    </row>
    <row r="89" spans="1:29" x14ac:dyDescent="0.25">
      <c r="A89" s="1" t="s">
        <v>64</v>
      </c>
      <c r="B89" s="1" t="s">
        <v>743</v>
      </c>
      <c r="C89" s="1" t="s">
        <v>94</v>
      </c>
      <c r="D89" s="1" t="s">
        <v>498</v>
      </c>
      <c r="E89" s="2">
        <v>45.12</v>
      </c>
      <c r="F89" s="3">
        <v>444.4</v>
      </c>
      <c r="G89" s="2">
        <v>489.52</v>
      </c>
      <c r="H89" s="2">
        <v>0</v>
      </c>
      <c r="I89" s="4">
        <v>2</v>
      </c>
      <c r="J89" s="3">
        <v>0</v>
      </c>
      <c r="K89" s="4">
        <v>446</v>
      </c>
      <c r="L89" s="2">
        <v>299.2</v>
      </c>
      <c r="M89" s="2">
        <v>55.38</v>
      </c>
      <c r="N89" s="2">
        <v>61.82</v>
      </c>
      <c r="O89" s="2">
        <v>37.79</v>
      </c>
      <c r="P89" s="2">
        <v>4.3499999999999996</v>
      </c>
      <c r="Q89" s="4">
        <v>146464</v>
      </c>
      <c r="R89" s="4">
        <v>6690</v>
      </c>
      <c r="S89" s="4">
        <v>153154</v>
      </c>
      <c r="T89" s="4">
        <v>24699</v>
      </c>
      <c r="U89" s="4">
        <v>27572</v>
      </c>
      <c r="V89" s="4">
        <v>0</v>
      </c>
      <c r="W89" s="4">
        <v>19380</v>
      </c>
      <c r="X89" s="4">
        <v>2228</v>
      </c>
      <c r="Y89" s="4">
        <v>227033</v>
      </c>
      <c r="Z89" s="4">
        <v>23920</v>
      </c>
      <c r="AA89" s="4">
        <v>203113</v>
      </c>
      <c r="AB89" s="4">
        <v>111746</v>
      </c>
      <c r="AC89" s="4">
        <v>91367</v>
      </c>
    </row>
    <row r="90" spans="1:29" x14ac:dyDescent="0.25">
      <c r="A90" s="1" t="s">
        <v>64</v>
      </c>
      <c r="B90" s="1" t="s">
        <v>743</v>
      </c>
      <c r="C90" s="1" t="s">
        <v>95</v>
      </c>
      <c r="D90" s="1" t="s">
        <v>499</v>
      </c>
      <c r="E90" s="2">
        <v>92.59</v>
      </c>
      <c r="F90" s="3">
        <v>677</v>
      </c>
      <c r="G90" s="2">
        <v>769.59</v>
      </c>
      <c r="H90" s="2">
        <v>0</v>
      </c>
      <c r="I90" s="4">
        <v>11</v>
      </c>
      <c r="J90" s="3">
        <v>0</v>
      </c>
      <c r="K90" s="4">
        <v>688</v>
      </c>
      <c r="L90" s="2">
        <v>299.2</v>
      </c>
      <c r="M90" s="2">
        <v>55.38</v>
      </c>
      <c r="N90" s="2">
        <v>61.82</v>
      </c>
      <c r="O90" s="2">
        <v>37.79</v>
      </c>
      <c r="P90" s="2">
        <v>4.3499999999999996</v>
      </c>
      <c r="Q90" s="4">
        <v>230261</v>
      </c>
      <c r="R90" s="4">
        <v>0</v>
      </c>
      <c r="S90" s="4">
        <v>230261</v>
      </c>
      <c r="T90" s="4">
        <v>38101</v>
      </c>
      <c r="U90" s="4">
        <v>42532</v>
      </c>
      <c r="V90" s="4">
        <v>0</v>
      </c>
      <c r="W90" s="4">
        <v>29083</v>
      </c>
      <c r="X90" s="4">
        <v>3348</v>
      </c>
      <c r="Y90" s="4">
        <v>343325</v>
      </c>
      <c r="Z90" s="4">
        <v>34532</v>
      </c>
      <c r="AA90" s="4">
        <v>308793</v>
      </c>
      <c r="AB90" s="4">
        <v>177213</v>
      </c>
      <c r="AC90" s="4">
        <v>131580</v>
      </c>
    </row>
    <row r="91" spans="1:29" x14ac:dyDescent="0.25">
      <c r="A91" s="1" t="s">
        <v>64</v>
      </c>
      <c r="B91" s="1" t="s">
        <v>743</v>
      </c>
      <c r="C91" s="1" t="s">
        <v>96</v>
      </c>
      <c r="D91" s="1" t="s">
        <v>500</v>
      </c>
      <c r="E91" s="2">
        <v>196.48</v>
      </c>
      <c r="F91" s="3">
        <v>1430.5</v>
      </c>
      <c r="G91" s="2">
        <v>1626.98</v>
      </c>
      <c r="H91" s="2">
        <v>0</v>
      </c>
      <c r="I91" s="4">
        <v>142</v>
      </c>
      <c r="J91" s="3">
        <v>5.3</v>
      </c>
      <c r="K91" s="4">
        <v>1567</v>
      </c>
      <c r="L91" s="2">
        <v>299.2</v>
      </c>
      <c r="M91" s="2">
        <v>55.38</v>
      </c>
      <c r="N91" s="2">
        <v>61.82</v>
      </c>
      <c r="O91" s="2">
        <v>37.79</v>
      </c>
      <c r="P91" s="2">
        <v>4.3499999999999996</v>
      </c>
      <c r="Q91" s="4">
        <v>486792</v>
      </c>
      <c r="R91" s="4">
        <v>0</v>
      </c>
      <c r="S91" s="4">
        <v>486792</v>
      </c>
      <c r="T91" s="4">
        <v>86780</v>
      </c>
      <c r="U91" s="4">
        <v>96872</v>
      </c>
      <c r="V91" s="4">
        <v>0</v>
      </c>
      <c r="W91" s="4">
        <v>61484</v>
      </c>
      <c r="X91" s="4">
        <v>7077</v>
      </c>
      <c r="Y91" s="4">
        <v>739005</v>
      </c>
      <c r="Z91" s="4">
        <v>73977</v>
      </c>
      <c r="AA91" s="4">
        <v>665028</v>
      </c>
      <c r="AB91" s="4">
        <v>373670</v>
      </c>
      <c r="AC91" s="4">
        <v>291358</v>
      </c>
    </row>
    <row r="92" spans="1:29" x14ac:dyDescent="0.25">
      <c r="A92" s="1" t="s">
        <v>64</v>
      </c>
      <c r="B92" s="1" t="s">
        <v>743</v>
      </c>
      <c r="C92" s="1" t="s">
        <v>97</v>
      </c>
      <c r="D92" s="1" t="s">
        <v>501</v>
      </c>
      <c r="E92" s="2">
        <v>132.25</v>
      </c>
      <c r="F92" s="3">
        <v>1097.2</v>
      </c>
      <c r="G92" s="2">
        <v>1229.45</v>
      </c>
      <c r="H92" s="2">
        <v>0</v>
      </c>
      <c r="I92" s="4">
        <v>4</v>
      </c>
      <c r="J92" s="3">
        <v>0</v>
      </c>
      <c r="K92" s="4">
        <v>1101</v>
      </c>
      <c r="L92" s="2">
        <v>299.2</v>
      </c>
      <c r="M92" s="2">
        <v>55.38</v>
      </c>
      <c r="N92" s="2">
        <v>61.82</v>
      </c>
      <c r="O92" s="2">
        <v>37.79</v>
      </c>
      <c r="P92" s="2">
        <v>4.3499999999999996</v>
      </c>
      <c r="Q92" s="4">
        <v>367851</v>
      </c>
      <c r="R92" s="4">
        <v>0</v>
      </c>
      <c r="S92" s="4">
        <v>367851</v>
      </c>
      <c r="T92" s="4">
        <v>60973</v>
      </c>
      <c r="U92" s="4">
        <v>68064</v>
      </c>
      <c r="V92" s="4">
        <v>0</v>
      </c>
      <c r="W92" s="4">
        <v>46461</v>
      </c>
      <c r="X92" s="4">
        <v>5348</v>
      </c>
      <c r="Y92" s="4">
        <v>548697</v>
      </c>
      <c r="Z92" s="4">
        <v>49711</v>
      </c>
      <c r="AA92" s="4">
        <v>498986</v>
      </c>
      <c r="AB92" s="4">
        <v>288560</v>
      </c>
      <c r="AC92" s="4">
        <v>210426</v>
      </c>
    </row>
    <row r="93" spans="1:29" x14ac:dyDescent="0.25">
      <c r="A93" s="1" t="s">
        <v>64</v>
      </c>
      <c r="B93" s="1" t="s">
        <v>743</v>
      </c>
      <c r="C93" s="1" t="s">
        <v>98</v>
      </c>
      <c r="D93" s="1" t="s">
        <v>502</v>
      </c>
      <c r="E93" s="2">
        <v>49.09</v>
      </c>
      <c r="F93" s="3">
        <v>403</v>
      </c>
      <c r="G93" s="2">
        <v>452.09</v>
      </c>
      <c r="H93" s="2">
        <v>0</v>
      </c>
      <c r="I93" s="4">
        <v>16</v>
      </c>
      <c r="J93" s="3">
        <v>0</v>
      </c>
      <c r="K93" s="4">
        <v>419</v>
      </c>
      <c r="L93" s="2">
        <v>299.2</v>
      </c>
      <c r="M93" s="2">
        <v>55.38</v>
      </c>
      <c r="N93" s="2">
        <v>61.82</v>
      </c>
      <c r="O93" s="2">
        <v>37.79</v>
      </c>
      <c r="P93" s="2">
        <v>4.3499999999999996</v>
      </c>
      <c r="Q93" s="4">
        <v>135265</v>
      </c>
      <c r="R93" s="4">
        <v>0</v>
      </c>
      <c r="S93" s="4">
        <v>135265</v>
      </c>
      <c r="T93" s="4">
        <v>23204</v>
      </c>
      <c r="U93" s="4">
        <v>25903</v>
      </c>
      <c r="V93" s="4">
        <v>0</v>
      </c>
      <c r="W93" s="4">
        <v>17084</v>
      </c>
      <c r="X93" s="4">
        <v>1967</v>
      </c>
      <c r="Y93" s="4">
        <v>203423</v>
      </c>
      <c r="Z93" s="4">
        <v>15951</v>
      </c>
      <c r="AA93" s="4">
        <v>187472</v>
      </c>
      <c r="AB93" s="4">
        <v>108437</v>
      </c>
      <c r="AC93" s="4">
        <v>79035</v>
      </c>
    </row>
    <row r="94" spans="1:29" x14ac:dyDescent="0.25">
      <c r="A94" s="1" t="s">
        <v>64</v>
      </c>
      <c r="B94" s="1" t="s">
        <v>743</v>
      </c>
      <c r="C94" s="1" t="s">
        <v>99</v>
      </c>
      <c r="D94" s="1" t="s">
        <v>503</v>
      </c>
      <c r="E94" s="2">
        <v>90.71</v>
      </c>
      <c r="F94" s="3">
        <v>908</v>
      </c>
      <c r="G94" s="2">
        <v>998.71</v>
      </c>
      <c r="H94" s="2">
        <v>0</v>
      </c>
      <c r="I94" s="4">
        <v>111</v>
      </c>
      <c r="J94" s="3">
        <v>0</v>
      </c>
      <c r="K94" s="4">
        <v>1019</v>
      </c>
      <c r="L94" s="2">
        <v>299.2</v>
      </c>
      <c r="M94" s="2">
        <v>55.38</v>
      </c>
      <c r="N94" s="2">
        <v>61.82</v>
      </c>
      <c r="O94" s="2">
        <v>37.79</v>
      </c>
      <c r="P94" s="2">
        <v>4.3499999999999996</v>
      </c>
      <c r="Q94" s="4">
        <v>298814</v>
      </c>
      <c r="R94" s="4">
        <v>0</v>
      </c>
      <c r="S94" s="4">
        <v>298814</v>
      </c>
      <c r="T94" s="4">
        <v>56432</v>
      </c>
      <c r="U94" s="4">
        <v>62995</v>
      </c>
      <c r="V94" s="4">
        <v>0</v>
      </c>
      <c r="W94" s="4">
        <v>37741</v>
      </c>
      <c r="X94" s="4">
        <v>4344</v>
      </c>
      <c r="Y94" s="4">
        <v>460326</v>
      </c>
      <c r="Z94" s="4">
        <v>41079</v>
      </c>
      <c r="AA94" s="4">
        <v>419247</v>
      </c>
      <c r="AB94" s="4">
        <v>233705</v>
      </c>
      <c r="AC94" s="4">
        <v>185542</v>
      </c>
    </row>
    <row r="95" spans="1:29" x14ac:dyDescent="0.25">
      <c r="A95" s="1" t="s">
        <v>64</v>
      </c>
      <c r="B95" s="1" t="s">
        <v>743</v>
      </c>
      <c r="C95" s="1" t="s">
        <v>100</v>
      </c>
      <c r="D95" s="1" t="s">
        <v>504</v>
      </c>
      <c r="E95" s="2">
        <v>90.47</v>
      </c>
      <c r="F95" s="3">
        <v>614.6</v>
      </c>
      <c r="G95" s="2">
        <v>705.07</v>
      </c>
      <c r="H95" s="2">
        <v>0</v>
      </c>
      <c r="I95" s="4">
        <v>0</v>
      </c>
      <c r="J95" s="3">
        <v>0</v>
      </c>
      <c r="K95" s="4">
        <v>615</v>
      </c>
      <c r="L95" s="2">
        <v>299.2</v>
      </c>
      <c r="M95" s="2">
        <v>55.38</v>
      </c>
      <c r="N95" s="2">
        <v>61.82</v>
      </c>
      <c r="O95" s="2">
        <v>37.79</v>
      </c>
      <c r="P95" s="2">
        <v>4.3499999999999996</v>
      </c>
      <c r="Q95" s="4">
        <v>210957</v>
      </c>
      <c r="R95" s="4">
        <v>0</v>
      </c>
      <c r="S95" s="4">
        <v>210957</v>
      </c>
      <c r="T95" s="4">
        <v>34059</v>
      </c>
      <c r="U95" s="4">
        <v>38019</v>
      </c>
      <c r="V95" s="4">
        <v>0</v>
      </c>
      <c r="W95" s="4">
        <v>26645</v>
      </c>
      <c r="X95" s="4">
        <v>3067</v>
      </c>
      <c r="Y95" s="4">
        <v>312747</v>
      </c>
      <c r="Z95" s="4">
        <v>32934</v>
      </c>
      <c r="AA95" s="4">
        <v>279813</v>
      </c>
      <c r="AB95" s="4">
        <v>161059</v>
      </c>
      <c r="AC95" s="4">
        <v>118754</v>
      </c>
    </row>
    <row r="96" spans="1:29" x14ac:dyDescent="0.25">
      <c r="A96" s="1" t="s">
        <v>64</v>
      </c>
      <c r="B96" s="1" t="s">
        <v>743</v>
      </c>
      <c r="C96" s="1" t="s">
        <v>101</v>
      </c>
      <c r="D96" s="1" t="s">
        <v>505</v>
      </c>
      <c r="E96" s="2">
        <v>658.39</v>
      </c>
      <c r="F96" s="3">
        <v>5458.4</v>
      </c>
      <c r="G96" s="2">
        <v>6116.79</v>
      </c>
      <c r="H96" s="2">
        <v>0</v>
      </c>
      <c r="I96" s="4">
        <v>213</v>
      </c>
      <c r="J96" s="3">
        <v>2.5</v>
      </c>
      <c r="K96" s="4">
        <v>5669</v>
      </c>
      <c r="L96" s="2">
        <v>299.2</v>
      </c>
      <c r="M96" s="2">
        <v>55.38</v>
      </c>
      <c r="N96" s="2">
        <v>61.82</v>
      </c>
      <c r="O96" s="2">
        <v>37.79</v>
      </c>
      <c r="P96" s="2">
        <v>4.3499999999999996</v>
      </c>
      <c r="Q96" s="4">
        <v>1830144</v>
      </c>
      <c r="R96" s="4">
        <v>0</v>
      </c>
      <c r="S96" s="4">
        <v>1830144</v>
      </c>
      <c r="T96" s="4">
        <v>313949</v>
      </c>
      <c r="U96" s="4">
        <v>350458</v>
      </c>
      <c r="V96" s="4">
        <v>0</v>
      </c>
      <c r="W96" s="4">
        <v>231153</v>
      </c>
      <c r="X96" s="4">
        <v>26608</v>
      </c>
      <c r="Y96" s="4">
        <v>2752312</v>
      </c>
      <c r="Z96" s="4">
        <v>232815</v>
      </c>
      <c r="AA96" s="4">
        <v>2519497</v>
      </c>
      <c r="AB96" s="4">
        <v>1450158</v>
      </c>
      <c r="AC96" s="4">
        <v>1069339</v>
      </c>
    </row>
    <row r="97" spans="1:29" x14ac:dyDescent="0.25">
      <c r="A97" s="1" t="s">
        <v>64</v>
      </c>
      <c r="B97" s="1" t="s">
        <v>743</v>
      </c>
      <c r="C97" s="1" t="s">
        <v>102</v>
      </c>
      <c r="D97" s="1" t="s">
        <v>506</v>
      </c>
      <c r="E97" s="2">
        <v>632.05999999999995</v>
      </c>
      <c r="F97" s="3">
        <v>3639.4</v>
      </c>
      <c r="G97" s="2">
        <v>4271.46</v>
      </c>
      <c r="H97" s="2">
        <v>0</v>
      </c>
      <c r="I97" s="4">
        <v>442</v>
      </c>
      <c r="J97" s="3">
        <v>5.9</v>
      </c>
      <c r="K97" s="4">
        <v>4076</v>
      </c>
      <c r="L97" s="2">
        <v>299.2</v>
      </c>
      <c r="M97" s="2">
        <v>55.38</v>
      </c>
      <c r="N97" s="2">
        <v>61.82</v>
      </c>
      <c r="O97" s="2">
        <v>37.79</v>
      </c>
      <c r="P97" s="2">
        <v>4.3499999999999996</v>
      </c>
      <c r="Q97" s="4">
        <v>1278021</v>
      </c>
      <c r="R97" s="4">
        <v>26764</v>
      </c>
      <c r="S97" s="4">
        <v>1304785</v>
      </c>
      <c r="T97" s="4">
        <v>225729</v>
      </c>
      <c r="U97" s="4">
        <v>251978</v>
      </c>
      <c r="V97" s="4">
        <v>0</v>
      </c>
      <c r="W97" s="4">
        <v>165107</v>
      </c>
      <c r="X97" s="4">
        <v>18981</v>
      </c>
      <c r="Y97" s="4">
        <v>1966580</v>
      </c>
      <c r="Z97" s="4">
        <v>218724</v>
      </c>
      <c r="AA97" s="4">
        <v>1747856</v>
      </c>
      <c r="AB97" s="4">
        <v>960614</v>
      </c>
      <c r="AC97" s="4">
        <v>787242</v>
      </c>
    </row>
    <row r="98" spans="1:29" x14ac:dyDescent="0.25">
      <c r="A98" s="1" t="s">
        <v>64</v>
      </c>
      <c r="B98" s="1" t="s">
        <v>743</v>
      </c>
      <c r="C98" s="1" t="s">
        <v>103</v>
      </c>
      <c r="D98" s="1" t="s">
        <v>507</v>
      </c>
      <c r="E98" s="2">
        <v>42.74</v>
      </c>
      <c r="F98" s="3">
        <v>497.1</v>
      </c>
      <c r="G98" s="2">
        <v>539.84</v>
      </c>
      <c r="H98" s="2">
        <v>0</v>
      </c>
      <c r="I98" s="4">
        <v>3</v>
      </c>
      <c r="J98" s="3">
        <v>0</v>
      </c>
      <c r="K98" s="4">
        <v>500</v>
      </c>
      <c r="L98" s="2">
        <v>299.2</v>
      </c>
      <c r="M98" s="2">
        <v>55.38</v>
      </c>
      <c r="N98" s="2">
        <v>61.82</v>
      </c>
      <c r="O98" s="2">
        <v>37.79</v>
      </c>
      <c r="P98" s="2">
        <v>4.3499999999999996</v>
      </c>
      <c r="Q98" s="4">
        <v>161520</v>
      </c>
      <c r="R98" s="4">
        <v>12017</v>
      </c>
      <c r="S98" s="4">
        <v>173537</v>
      </c>
      <c r="T98" s="4">
        <v>27690</v>
      </c>
      <c r="U98" s="4">
        <v>30910</v>
      </c>
      <c r="V98" s="4">
        <v>0</v>
      </c>
      <c r="W98" s="4">
        <v>21959</v>
      </c>
      <c r="X98" s="4">
        <v>2525</v>
      </c>
      <c r="Y98" s="4">
        <v>256621</v>
      </c>
      <c r="Z98" s="4">
        <v>24738</v>
      </c>
      <c r="AA98" s="4">
        <v>231883</v>
      </c>
      <c r="AB98" s="4">
        <v>125529</v>
      </c>
      <c r="AC98" s="4">
        <v>106354</v>
      </c>
    </row>
    <row r="99" spans="1:29" x14ac:dyDescent="0.25">
      <c r="A99" s="1" t="s">
        <v>64</v>
      </c>
      <c r="B99" s="1" t="s">
        <v>743</v>
      </c>
      <c r="C99" s="1" t="s">
        <v>104</v>
      </c>
      <c r="D99" s="1" t="s">
        <v>508</v>
      </c>
      <c r="E99" s="2">
        <v>63.5</v>
      </c>
      <c r="F99" s="3">
        <v>612.79999999999995</v>
      </c>
      <c r="G99" s="2">
        <v>676.3</v>
      </c>
      <c r="H99" s="2">
        <v>0</v>
      </c>
      <c r="I99" s="4">
        <v>6</v>
      </c>
      <c r="J99" s="3">
        <v>0</v>
      </c>
      <c r="K99" s="4">
        <v>619</v>
      </c>
      <c r="L99" s="2">
        <v>299.2</v>
      </c>
      <c r="M99" s="2">
        <v>55.38</v>
      </c>
      <c r="N99" s="2">
        <v>61.82</v>
      </c>
      <c r="O99" s="2">
        <v>37.79</v>
      </c>
      <c r="P99" s="2">
        <v>4.3499999999999996</v>
      </c>
      <c r="Q99" s="4">
        <v>202349</v>
      </c>
      <c r="R99" s="4">
        <v>1483</v>
      </c>
      <c r="S99" s="4">
        <v>203832</v>
      </c>
      <c r="T99" s="4">
        <v>34280</v>
      </c>
      <c r="U99" s="4">
        <v>38267</v>
      </c>
      <c r="V99" s="4">
        <v>0</v>
      </c>
      <c r="W99" s="4">
        <v>25613</v>
      </c>
      <c r="X99" s="4">
        <v>2945</v>
      </c>
      <c r="Y99" s="4">
        <v>304937</v>
      </c>
      <c r="Z99" s="4">
        <v>37009</v>
      </c>
      <c r="AA99" s="4">
        <v>267928</v>
      </c>
      <c r="AB99" s="4">
        <v>149127</v>
      </c>
      <c r="AC99" s="4">
        <v>118801</v>
      </c>
    </row>
    <row r="100" spans="1:29" x14ac:dyDescent="0.25">
      <c r="A100" s="1" t="s">
        <v>64</v>
      </c>
      <c r="B100" s="1" t="s">
        <v>743</v>
      </c>
      <c r="C100" s="1" t="s">
        <v>105</v>
      </c>
      <c r="D100" s="1" t="s">
        <v>509</v>
      </c>
      <c r="E100" s="2">
        <v>68.55</v>
      </c>
      <c r="F100" s="3">
        <v>586</v>
      </c>
      <c r="G100" s="2">
        <v>654.54999999999995</v>
      </c>
      <c r="H100" s="2">
        <v>0</v>
      </c>
      <c r="I100" s="4">
        <v>1</v>
      </c>
      <c r="J100" s="3">
        <v>0</v>
      </c>
      <c r="K100" s="4">
        <v>587</v>
      </c>
      <c r="L100" s="2">
        <v>299.2</v>
      </c>
      <c r="M100" s="2">
        <v>55.38</v>
      </c>
      <c r="N100" s="2">
        <v>61.82</v>
      </c>
      <c r="O100" s="2">
        <v>37.79</v>
      </c>
      <c r="P100" s="2">
        <v>4.3499999999999996</v>
      </c>
      <c r="Q100" s="4">
        <v>195841</v>
      </c>
      <c r="R100" s="4">
        <v>12035</v>
      </c>
      <c r="S100" s="4">
        <v>207876</v>
      </c>
      <c r="T100" s="4">
        <v>32508</v>
      </c>
      <c r="U100" s="4">
        <v>36288</v>
      </c>
      <c r="V100" s="4">
        <v>0</v>
      </c>
      <c r="W100" s="4">
        <v>24960</v>
      </c>
      <c r="X100" s="4">
        <v>2870</v>
      </c>
      <c r="Y100" s="4">
        <v>304502</v>
      </c>
      <c r="Z100" s="4">
        <v>32769</v>
      </c>
      <c r="AA100" s="4">
        <v>271733</v>
      </c>
      <c r="AB100" s="4">
        <v>147571</v>
      </c>
      <c r="AC100" s="4">
        <v>124162</v>
      </c>
    </row>
    <row r="101" spans="1:29" x14ac:dyDescent="0.25">
      <c r="A101" s="1" t="s">
        <v>64</v>
      </c>
      <c r="B101" s="1" t="s">
        <v>743</v>
      </c>
      <c r="C101" s="1" t="s">
        <v>106</v>
      </c>
      <c r="D101" s="1" t="s">
        <v>510</v>
      </c>
      <c r="E101" s="2">
        <v>52.96</v>
      </c>
      <c r="F101" s="3">
        <v>455.5</v>
      </c>
      <c r="G101" s="2">
        <v>508.46</v>
      </c>
      <c r="H101" s="2">
        <v>0</v>
      </c>
      <c r="I101" s="4">
        <v>1</v>
      </c>
      <c r="J101" s="3">
        <v>0</v>
      </c>
      <c r="K101" s="4">
        <v>457</v>
      </c>
      <c r="L101" s="2">
        <v>299.2</v>
      </c>
      <c r="M101" s="2">
        <v>55.38</v>
      </c>
      <c r="N101" s="2">
        <v>61.82</v>
      </c>
      <c r="O101" s="2">
        <v>37.79</v>
      </c>
      <c r="P101" s="2">
        <v>4.3499999999999996</v>
      </c>
      <c r="Q101" s="4">
        <v>152131</v>
      </c>
      <c r="R101" s="4">
        <v>7991</v>
      </c>
      <c r="S101" s="4">
        <v>160122</v>
      </c>
      <c r="T101" s="4">
        <v>25309</v>
      </c>
      <c r="U101" s="4">
        <v>28252</v>
      </c>
      <c r="V101" s="4">
        <v>0</v>
      </c>
      <c r="W101" s="4">
        <v>20262</v>
      </c>
      <c r="X101" s="4">
        <v>2329</v>
      </c>
      <c r="Y101" s="4">
        <v>236274</v>
      </c>
      <c r="Z101" s="4">
        <v>29571</v>
      </c>
      <c r="AA101" s="4">
        <v>206703</v>
      </c>
      <c r="AB101" s="4">
        <v>111491</v>
      </c>
      <c r="AC101" s="4">
        <v>95212</v>
      </c>
    </row>
    <row r="102" spans="1:29" x14ac:dyDescent="0.25">
      <c r="A102" s="1" t="s">
        <v>64</v>
      </c>
      <c r="B102" s="1" t="s">
        <v>743</v>
      </c>
      <c r="C102" s="1" t="s">
        <v>107</v>
      </c>
      <c r="D102" s="1" t="s">
        <v>511</v>
      </c>
      <c r="E102" s="2">
        <v>61.86</v>
      </c>
      <c r="F102" s="3">
        <v>445</v>
      </c>
      <c r="G102" s="2">
        <v>506.86</v>
      </c>
      <c r="H102" s="2">
        <v>0</v>
      </c>
      <c r="I102" s="4">
        <v>0</v>
      </c>
      <c r="J102" s="3">
        <v>0</v>
      </c>
      <c r="K102" s="4">
        <v>445</v>
      </c>
      <c r="L102" s="2">
        <v>299.2</v>
      </c>
      <c r="M102" s="2">
        <v>55.38</v>
      </c>
      <c r="N102" s="2">
        <v>61.82</v>
      </c>
      <c r="O102" s="2">
        <v>37.79</v>
      </c>
      <c r="P102" s="2">
        <v>4.3499999999999996</v>
      </c>
      <c r="Q102" s="4">
        <v>151653</v>
      </c>
      <c r="R102" s="4">
        <v>8026</v>
      </c>
      <c r="S102" s="4">
        <v>159679</v>
      </c>
      <c r="T102" s="4">
        <v>24644</v>
      </c>
      <c r="U102" s="4">
        <v>27510</v>
      </c>
      <c r="V102" s="4">
        <v>0</v>
      </c>
      <c r="W102" s="4">
        <v>19154</v>
      </c>
      <c r="X102" s="4">
        <v>2205</v>
      </c>
      <c r="Y102" s="4">
        <v>233192</v>
      </c>
      <c r="Z102" s="4">
        <v>23815</v>
      </c>
      <c r="AA102" s="4">
        <v>209377</v>
      </c>
      <c r="AB102" s="4">
        <v>115642</v>
      </c>
      <c r="AC102" s="4">
        <v>93735</v>
      </c>
    </row>
    <row r="103" spans="1:29" x14ac:dyDescent="0.25">
      <c r="A103" s="1" t="s">
        <v>64</v>
      </c>
      <c r="B103" s="1" t="s">
        <v>743</v>
      </c>
      <c r="C103" s="1" t="s">
        <v>108</v>
      </c>
      <c r="D103" s="1" t="s">
        <v>512</v>
      </c>
      <c r="E103" s="2">
        <v>55.42</v>
      </c>
      <c r="F103" s="3">
        <v>508.1</v>
      </c>
      <c r="G103" s="2">
        <v>563.52</v>
      </c>
      <c r="H103" s="2">
        <v>0</v>
      </c>
      <c r="I103" s="4">
        <v>0</v>
      </c>
      <c r="J103" s="3">
        <v>0</v>
      </c>
      <c r="K103" s="4">
        <v>508</v>
      </c>
      <c r="L103" s="2">
        <v>299.2</v>
      </c>
      <c r="M103" s="2">
        <v>55.38</v>
      </c>
      <c r="N103" s="2">
        <v>61.82</v>
      </c>
      <c r="O103" s="2">
        <v>37.79</v>
      </c>
      <c r="P103" s="2">
        <v>4.3499999999999996</v>
      </c>
      <c r="Q103" s="4">
        <v>168605</v>
      </c>
      <c r="R103" s="4">
        <v>0</v>
      </c>
      <c r="S103" s="4">
        <v>168605</v>
      </c>
      <c r="T103" s="4">
        <v>28133</v>
      </c>
      <c r="U103" s="4">
        <v>31405</v>
      </c>
      <c r="V103" s="4">
        <v>0</v>
      </c>
      <c r="W103" s="4">
        <v>21295</v>
      </c>
      <c r="X103" s="4">
        <v>2451</v>
      </c>
      <c r="Y103" s="4">
        <v>251889</v>
      </c>
      <c r="Z103" s="4">
        <v>25116</v>
      </c>
      <c r="AA103" s="4">
        <v>226773</v>
      </c>
      <c r="AB103" s="4">
        <v>129930</v>
      </c>
      <c r="AC103" s="4">
        <v>96843</v>
      </c>
    </row>
    <row r="104" spans="1:29" x14ac:dyDescent="0.25">
      <c r="A104" s="1" t="s">
        <v>64</v>
      </c>
      <c r="B104" s="1" t="s">
        <v>743</v>
      </c>
      <c r="C104" s="1" t="s">
        <v>109</v>
      </c>
      <c r="D104" s="1" t="s">
        <v>513</v>
      </c>
      <c r="E104" s="2">
        <v>79.989999999999995</v>
      </c>
      <c r="F104" s="3">
        <v>899.4</v>
      </c>
      <c r="G104" s="2">
        <v>979.39</v>
      </c>
      <c r="H104" s="2">
        <v>0</v>
      </c>
      <c r="I104" s="4">
        <v>0</v>
      </c>
      <c r="J104" s="3">
        <v>0</v>
      </c>
      <c r="K104" s="4">
        <v>899</v>
      </c>
      <c r="L104" s="2">
        <v>299.2</v>
      </c>
      <c r="M104" s="2">
        <v>55.38</v>
      </c>
      <c r="N104" s="2">
        <v>61.82</v>
      </c>
      <c r="O104" s="2">
        <v>37.79</v>
      </c>
      <c r="P104" s="2">
        <v>4.3499999999999996</v>
      </c>
      <c r="Q104" s="4">
        <v>293033</v>
      </c>
      <c r="R104" s="4">
        <v>14384</v>
      </c>
      <c r="S104" s="4">
        <v>307417</v>
      </c>
      <c r="T104" s="4">
        <v>49787</v>
      </c>
      <c r="U104" s="4">
        <v>55576</v>
      </c>
      <c r="V104" s="4">
        <v>0</v>
      </c>
      <c r="W104" s="4">
        <v>37581</v>
      </c>
      <c r="X104" s="4">
        <v>4321</v>
      </c>
      <c r="Y104" s="4">
        <v>454682</v>
      </c>
      <c r="Z104" s="4">
        <v>47573</v>
      </c>
      <c r="AA104" s="4">
        <v>407109</v>
      </c>
      <c r="AB104" s="4">
        <v>222527</v>
      </c>
      <c r="AC104" s="4">
        <v>184582</v>
      </c>
    </row>
    <row r="105" spans="1:29" x14ac:dyDescent="0.25">
      <c r="A105" s="1" t="s">
        <v>64</v>
      </c>
      <c r="B105" s="1" t="s">
        <v>743</v>
      </c>
      <c r="C105" s="1" t="s">
        <v>110</v>
      </c>
      <c r="D105" s="1" t="s">
        <v>514</v>
      </c>
      <c r="E105" s="2">
        <v>62.25</v>
      </c>
      <c r="F105" s="3">
        <v>418</v>
      </c>
      <c r="G105" s="2">
        <v>480.25</v>
      </c>
      <c r="H105" s="2">
        <v>0</v>
      </c>
      <c r="I105" s="4">
        <v>6</v>
      </c>
      <c r="J105" s="3">
        <v>0</v>
      </c>
      <c r="K105" s="4">
        <v>424</v>
      </c>
      <c r="L105" s="2">
        <v>299.2</v>
      </c>
      <c r="M105" s="2">
        <v>55.38</v>
      </c>
      <c r="N105" s="2">
        <v>61.82</v>
      </c>
      <c r="O105" s="2">
        <v>37.79</v>
      </c>
      <c r="P105" s="2">
        <v>4.3499999999999996</v>
      </c>
      <c r="Q105" s="4">
        <v>143691</v>
      </c>
      <c r="R105" s="4">
        <v>14332</v>
      </c>
      <c r="S105" s="4">
        <v>158023</v>
      </c>
      <c r="T105" s="4">
        <v>23481</v>
      </c>
      <c r="U105" s="4">
        <v>26212</v>
      </c>
      <c r="V105" s="4">
        <v>0</v>
      </c>
      <c r="W105" s="4">
        <v>18805</v>
      </c>
      <c r="X105" s="4">
        <v>2162</v>
      </c>
      <c r="Y105" s="4">
        <v>228683</v>
      </c>
      <c r="Z105" s="4">
        <v>29454</v>
      </c>
      <c r="AA105" s="4">
        <v>199229</v>
      </c>
      <c r="AB105" s="4">
        <v>103411</v>
      </c>
      <c r="AC105" s="4">
        <v>95818</v>
      </c>
    </row>
    <row r="106" spans="1:29" x14ac:dyDescent="0.25">
      <c r="A106" s="1" t="s">
        <v>64</v>
      </c>
      <c r="B106" s="1" t="s">
        <v>743</v>
      </c>
      <c r="C106" s="1" t="s">
        <v>111</v>
      </c>
      <c r="D106" s="1" t="s">
        <v>515</v>
      </c>
      <c r="E106" s="2">
        <v>229.75</v>
      </c>
      <c r="F106" s="3">
        <v>1541</v>
      </c>
      <c r="G106" s="2">
        <v>1770.75</v>
      </c>
      <c r="H106" s="2">
        <v>0</v>
      </c>
      <c r="I106" s="4">
        <v>3</v>
      </c>
      <c r="J106" s="3">
        <v>0</v>
      </c>
      <c r="K106" s="4">
        <v>1544</v>
      </c>
      <c r="L106" s="2">
        <v>299.2</v>
      </c>
      <c r="M106" s="2">
        <v>55.38</v>
      </c>
      <c r="N106" s="2">
        <v>61.82</v>
      </c>
      <c r="O106" s="2">
        <v>37.79</v>
      </c>
      <c r="P106" s="2">
        <v>4.3499999999999996</v>
      </c>
      <c r="Q106" s="4">
        <v>529808</v>
      </c>
      <c r="R106" s="4">
        <v>6313</v>
      </c>
      <c r="S106" s="4">
        <v>536121</v>
      </c>
      <c r="T106" s="4">
        <v>85507</v>
      </c>
      <c r="U106" s="4">
        <v>95450</v>
      </c>
      <c r="V106" s="4">
        <v>0</v>
      </c>
      <c r="W106" s="4">
        <v>67841</v>
      </c>
      <c r="X106" s="4">
        <v>7799</v>
      </c>
      <c r="Y106" s="4">
        <v>792718</v>
      </c>
      <c r="Z106" s="4">
        <v>75549</v>
      </c>
      <c r="AA106" s="4">
        <v>717169</v>
      </c>
      <c r="AB106" s="4">
        <v>412676</v>
      </c>
      <c r="AC106" s="4">
        <v>304493</v>
      </c>
    </row>
    <row r="107" spans="1:29" x14ac:dyDescent="0.25">
      <c r="A107" s="1" t="s">
        <v>64</v>
      </c>
      <c r="B107" s="1" t="s">
        <v>743</v>
      </c>
      <c r="C107" s="1" t="s">
        <v>112</v>
      </c>
      <c r="D107" s="1" t="s">
        <v>516</v>
      </c>
      <c r="E107" s="2">
        <v>53.4</v>
      </c>
      <c r="F107" s="3">
        <v>594.4</v>
      </c>
      <c r="G107" s="2">
        <v>647.79999999999995</v>
      </c>
      <c r="H107" s="2">
        <v>0</v>
      </c>
      <c r="I107" s="4">
        <v>0</v>
      </c>
      <c r="J107" s="3">
        <v>0</v>
      </c>
      <c r="K107" s="4">
        <v>594</v>
      </c>
      <c r="L107" s="2">
        <v>299.2</v>
      </c>
      <c r="M107" s="2">
        <v>55.38</v>
      </c>
      <c r="N107" s="2">
        <v>61.82</v>
      </c>
      <c r="O107" s="2">
        <v>37.79</v>
      </c>
      <c r="P107" s="2">
        <v>4.3499999999999996</v>
      </c>
      <c r="Q107" s="4">
        <v>193822</v>
      </c>
      <c r="R107" s="4">
        <v>5450</v>
      </c>
      <c r="S107" s="4">
        <v>199272</v>
      </c>
      <c r="T107" s="4">
        <v>32896</v>
      </c>
      <c r="U107" s="4">
        <v>36721</v>
      </c>
      <c r="V107" s="4">
        <v>0</v>
      </c>
      <c r="W107" s="4">
        <v>24511</v>
      </c>
      <c r="X107" s="4">
        <v>2818</v>
      </c>
      <c r="Y107" s="4">
        <v>296218</v>
      </c>
      <c r="Z107" s="4">
        <v>34964</v>
      </c>
      <c r="AA107" s="4">
        <v>261254</v>
      </c>
      <c r="AB107" s="4">
        <v>143302</v>
      </c>
      <c r="AC107" s="4">
        <v>117952</v>
      </c>
    </row>
    <row r="108" spans="1:29" x14ac:dyDescent="0.25">
      <c r="A108" s="1" t="s">
        <v>64</v>
      </c>
      <c r="B108" s="1" t="s">
        <v>743</v>
      </c>
      <c r="C108" s="1" t="s">
        <v>113</v>
      </c>
      <c r="D108" s="1" t="s">
        <v>517</v>
      </c>
      <c r="E108" s="2">
        <v>110.6</v>
      </c>
      <c r="F108" s="3">
        <v>809.4</v>
      </c>
      <c r="G108" s="2">
        <v>920</v>
      </c>
      <c r="H108" s="2">
        <v>0</v>
      </c>
      <c r="I108" s="4">
        <v>2</v>
      </c>
      <c r="J108" s="3">
        <v>0</v>
      </c>
      <c r="K108" s="4">
        <v>811</v>
      </c>
      <c r="L108" s="2">
        <v>299.2</v>
      </c>
      <c r="M108" s="2">
        <v>55.38</v>
      </c>
      <c r="N108" s="2">
        <v>61.82</v>
      </c>
      <c r="O108" s="2">
        <v>37.79</v>
      </c>
      <c r="P108" s="2">
        <v>4.3499999999999996</v>
      </c>
      <c r="Q108" s="4">
        <v>275264</v>
      </c>
      <c r="R108" s="4">
        <v>124</v>
      </c>
      <c r="S108" s="4">
        <v>275388</v>
      </c>
      <c r="T108" s="4">
        <v>44913</v>
      </c>
      <c r="U108" s="4">
        <v>50136</v>
      </c>
      <c r="V108" s="4">
        <v>0</v>
      </c>
      <c r="W108" s="4">
        <v>34845</v>
      </c>
      <c r="X108" s="4">
        <v>4006</v>
      </c>
      <c r="Y108" s="4">
        <v>409288</v>
      </c>
      <c r="Z108" s="4">
        <v>48164</v>
      </c>
      <c r="AA108" s="4">
        <v>361124</v>
      </c>
      <c r="AB108" s="4">
        <v>205047</v>
      </c>
      <c r="AC108" s="4">
        <v>156077</v>
      </c>
    </row>
    <row r="109" spans="1:29" x14ac:dyDescent="0.25">
      <c r="A109" s="1" t="s">
        <v>64</v>
      </c>
      <c r="B109" s="1" t="s">
        <v>743</v>
      </c>
      <c r="C109" s="1" t="s">
        <v>114</v>
      </c>
      <c r="D109" s="1" t="s">
        <v>518</v>
      </c>
      <c r="E109" s="2">
        <v>51.48</v>
      </c>
      <c r="F109" s="3">
        <v>422</v>
      </c>
      <c r="G109" s="2">
        <v>473.48</v>
      </c>
      <c r="H109" s="2">
        <v>0</v>
      </c>
      <c r="I109" s="4">
        <v>5</v>
      </c>
      <c r="J109" s="3">
        <v>0</v>
      </c>
      <c r="K109" s="4">
        <v>427</v>
      </c>
      <c r="L109" s="2">
        <v>299.2</v>
      </c>
      <c r="M109" s="2">
        <v>55.38</v>
      </c>
      <c r="N109" s="2">
        <v>61.82</v>
      </c>
      <c r="O109" s="2">
        <v>37.79</v>
      </c>
      <c r="P109" s="2">
        <v>4.3499999999999996</v>
      </c>
      <c r="Q109" s="4">
        <v>141665</v>
      </c>
      <c r="R109" s="4">
        <v>10659</v>
      </c>
      <c r="S109" s="4">
        <v>152324</v>
      </c>
      <c r="T109" s="4">
        <v>23647</v>
      </c>
      <c r="U109" s="4">
        <v>26397</v>
      </c>
      <c r="V109" s="4">
        <v>0</v>
      </c>
      <c r="W109" s="4">
        <v>18678</v>
      </c>
      <c r="X109" s="4">
        <v>2147</v>
      </c>
      <c r="Y109" s="4">
        <v>223193</v>
      </c>
      <c r="Z109" s="4">
        <v>22675</v>
      </c>
      <c r="AA109" s="4">
        <v>200518</v>
      </c>
      <c r="AB109" s="4">
        <v>108471</v>
      </c>
      <c r="AC109" s="4">
        <v>92047</v>
      </c>
    </row>
    <row r="110" spans="1:29" x14ac:dyDescent="0.25">
      <c r="A110" s="1" t="s">
        <v>64</v>
      </c>
      <c r="B110" s="1" t="s">
        <v>743</v>
      </c>
      <c r="C110" s="1" t="s">
        <v>115</v>
      </c>
      <c r="D110" s="1" t="s">
        <v>519</v>
      </c>
      <c r="E110" s="2">
        <v>154.97</v>
      </c>
      <c r="F110" s="3">
        <v>1053.5999999999999</v>
      </c>
      <c r="G110" s="2">
        <v>1208.57</v>
      </c>
      <c r="H110" s="2">
        <v>0</v>
      </c>
      <c r="I110" s="4">
        <v>19</v>
      </c>
      <c r="J110" s="3">
        <v>0</v>
      </c>
      <c r="K110" s="4">
        <v>1073</v>
      </c>
      <c r="L110" s="2">
        <v>299.2</v>
      </c>
      <c r="M110" s="2">
        <v>55.38</v>
      </c>
      <c r="N110" s="2">
        <v>61.82</v>
      </c>
      <c r="O110" s="2">
        <v>37.79</v>
      </c>
      <c r="P110" s="2">
        <v>4.3499999999999996</v>
      </c>
      <c r="Q110" s="4">
        <v>361604</v>
      </c>
      <c r="R110" s="4">
        <v>28266</v>
      </c>
      <c r="S110" s="4">
        <v>389870</v>
      </c>
      <c r="T110" s="4">
        <v>59423</v>
      </c>
      <c r="U110" s="4">
        <v>66333</v>
      </c>
      <c r="V110" s="4">
        <v>0</v>
      </c>
      <c r="W110" s="4">
        <v>47719</v>
      </c>
      <c r="X110" s="4">
        <v>5486</v>
      </c>
      <c r="Y110" s="4">
        <v>568831</v>
      </c>
      <c r="Z110" s="4">
        <v>54340</v>
      </c>
      <c r="AA110" s="4">
        <v>514491</v>
      </c>
      <c r="AB110" s="4">
        <v>280462</v>
      </c>
      <c r="AC110" s="4">
        <v>234029</v>
      </c>
    </row>
    <row r="111" spans="1:29" x14ac:dyDescent="0.25">
      <c r="A111" s="1" t="s">
        <v>64</v>
      </c>
      <c r="B111" s="1" t="s">
        <v>743</v>
      </c>
      <c r="C111" s="1" t="s">
        <v>116</v>
      </c>
      <c r="D111" s="1" t="s">
        <v>520</v>
      </c>
      <c r="E111" s="2">
        <v>55.58</v>
      </c>
      <c r="F111" s="3">
        <v>680.2</v>
      </c>
      <c r="G111" s="2">
        <v>735.78</v>
      </c>
      <c r="H111" s="2">
        <v>0</v>
      </c>
      <c r="I111" s="4">
        <v>32</v>
      </c>
      <c r="J111" s="3">
        <v>0</v>
      </c>
      <c r="K111" s="4">
        <v>712</v>
      </c>
      <c r="L111" s="2">
        <v>299.2</v>
      </c>
      <c r="M111" s="2">
        <v>55.38</v>
      </c>
      <c r="N111" s="2">
        <v>61.82</v>
      </c>
      <c r="O111" s="2">
        <v>37.79</v>
      </c>
      <c r="P111" s="2">
        <v>4.3499999999999996</v>
      </c>
      <c r="Q111" s="4">
        <v>220145</v>
      </c>
      <c r="R111" s="4">
        <v>836</v>
      </c>
      <c r="S111" s="4">
        <v>220981</v>
      </c>
      <c r="T111" s="4">
        <v>39431</v>
      </c>
      <c r="U111" s="4">
        <v>44016</v>
      </c>
      <c r="V111" s="4">
        <v>0</v>
      </c>
      <c r="W111" s="4">
        <v>27805</v>
      </c>
      <c r="X111" s="4">
        <v>3201</v>
      </c>
      <c r="Y111" s="4">
        <v>335434</v>
      </c>
      <c r="Z111" s="4">
        <v>33496</v>
      </c>
      <c r="AA111" s="4">
        <v>301938</v>
      </c>
      <c r="AB111" s="4">
        <v>168947</v>
      </c>
      <c r="AC111" s="4">
        <v>132991</v>
      </c>
    </row>
    <row r="112" spans="1:29" x14ac:dyDescent="0.25">
      <c r="A112" s="1" t="s">
        <v>64</v>
      </c>
      <c r="B112" s="1" t="s">
        <v>743</v>
      </c>
      <c r="C112" s="1" t="s">
        <v>117</v>
      </c>
      <c r="D112" s="1" t="s">
        <v>521</v>
      </c>
      <c r="E112" s="2">
        <v>2235.64</v>
      </c>
      <c r="F112" s="3">
        <v>10878.8</v>
      </c>
      <c r="G112" s="2">
        <v>13114.44</v>
      </c>
      <c r="H112" s="2">
        <v>0</v>
      </c>
      <c r="I112" s="4">
        <v>1321</v>
      </c>
      <c r="J112" s="3">
        <v>6.4</v>
      </c>
      <c r="K112" s="4">
        <v>12193</v>
      </c>
      <c r="L112" s="2">
        <v>299.2</v>
      </c>
      <c r="M112" s="2">
        <v>55.38</v>
      </c>
      <c r="N112" s="2">
        <v>61.82</v>
      </c>
      <c r="O112" s="2">
        <v>37.79</v>
      </c>
      <c r="P112" s="2">
        <v>4.3499999999999996</v>
      </c>
      <c r="Q112" s="4">
        <v>3923840</v>
      </c>
      <c r="R112" s="4">
        <v>0</v>
      </c>
      <c r="S112" s="4">
        <v>3923840</v>
      </c>
      <c r="T112" s="4">
        <v>675248</v>
      </c>
      <c r="U112" s="4">
        <v>753771</v>
      </c>
      <c r="V112" s="4">
        <v>0</v>
      </c>
      <c r="W112" s="4">
        <v>495595</v>
      </c>
      <c r="X112" s="4">
        <v>57048</v>
      </c>
      <c r="Y112" s="4">
        <v>5905502</v>
      </c>
      <c r="Z112" s="4">
        <v>541622</v>
      </c>
      <c r="AA112" s="4">
        <v>5363880</v>
      </c>
      <c r="AB112" s="4">
        <v>3066686</v>
      </c>
      <c r="AC112" s="4">
        <v>2297194</v>
      </c>
    </row>
    <row r="113" spans="1:29" x14ac:dyDescent="0.25">
      <c r="A113" s="1" t="s">
        <v>64</v>
      </c>
      <c r="B113" s="1" t="s">
        <v>743</v>
      </c>
      <c r="C113" s="1" t="s">
        <v>118</v>
      </c>
      <c r="D113" s="1" t="s">
        <v>522</v>
      </c>
      <c r="E113" s="2">
        <v>254.63</v>
      </c>
      <c r="F113" s="3">
        <v>2079.5</v>
      </c>
      <c r="G113" s="2">
        <v>2334.13</v>
      </c>
      <c r="H113" s="2">
        <v>0</v>
      </c>
      <c r="I113" s="4">
        <v>196</v>
      </c>
      <c r="J113" s="3">
        <v>1.7</v>
      </c>
      <c r="K113" s="4">
        <v>2274</v>
      </c>
      <c r="L113" s="2">
        <v>299.2</v>
      </c>
      <c r="M113" s="2">
        <v>55.38</v>
      </c>
      <c r="N113" s="2">
        <v>61.82</v>
      </c>
      <c r="O113" s="2">
        <v>37.79</v>
      </c>
      <c r="P113" s="2">
        <v>4.3499999999999996</v>
      </c>
      <c r="Q113" s="4">
        <v>698372</v>
      </c>
      <c r="R113" s="4">
        <v>0</v>
      </c>
      <c r="S113" s="4">
        <v>698372</v>
      </c>
      <c r="T113" s="4">
        <v>125934</v>
      </c>
      <c r="U113" s="4">
        <v>140579</v>
      </c>
      <c r="V113" s="4">
        <v>0</v>
      </c>
      <c r="W113" s="4">
        <v>88207</v>
      </c>
      <c r="X113" s="4">
        <v>10153</v>
      </c>
      <c r="Y113" s="4">
        <v>1063245</v>
      </c>
      <c r="Z113" s="4">
        <v>88570</v>
      </c>
      <c r="AA113" s="4">
        <v>974675</v>
      </c>
      <c r="AB113" s="4">
        <v>553642</v>
      </c>
      <c r="AC113" s="4">
        <v>421033</v>
      </c>
    </row>
    <row r="114" spans="1:29" x14ac:dyDescent="0.25">
      <c r="A114" s="1" t="s">
        <v>64</v>
      </c>
      <c r="B114" s="1" t="s">
        <v>743</v>
      </c>
      <c r="C114" s="1" t="s">
        <v>119</v>
      </c>
      <c r="D114" s="1" t="s">
        <v>523</v>
      </c>
      <c r="E114" s="2">
        <v>111.64</v>
      </c>
      <c r="F114" s="3">
        <v>700.9</v>
      </c>
      <c r="G114" s="2">
        <v>812.54</v>
      </c>
      <c r="H114" s="2">
        <v>0</v>
      </c>
      <c r="I114" s="4">
        <v>48</v>
      </c>
      <c r="J114" s="3">
        <v>0</v>
      </c>
      <c r="K114" s="4">
        <v>749</v>
      </c>
      <c r="L114" s="2">
        <v>299.2</v>
      </c>
      <c r="M114" s="2">
        <v>55.38</v>
      </c>
      <c r="N114" s="2">
        <v>61.82</v>
      </c>
      <c r="O114" s="2">
        <v>37.79</v>
      </c>
      <c r="P114" s="2">
        <v>4.3499999999999996</v>
      </c>
      <c r="Q114" s="4">
        <v>243112</v>
      </c>
      <c r="R114" s="4">
        <v>0</v>
      </c>
      <c r="S114" s="4">
        <v>243112</v>
      </c>
      <c r="T114" s="4">
        <v>41480</v>
      </c>
      <c r="U114" s="4">
        <v>46303</v>
      </c>
      <c r="V114" s="4">
        <v>0</v>
      </c>
      <c r="W114" s="4">
        <v>30706</v>
      </c>
      <c r="X114" s="4">
        <v>3535</v>
      </c>
      <c r="Y114" s="4">
        <v>365136</v>
      </c>
      <c r="Z114" s="4">
        <v>44215</v>
      </c>
      <c r="AA114" s="4">
        <v>320921</v>
      </c>
      <c r="AB114" s="4">
        <v>179348</v>
      </c>
      <c r="AC114" s="4">
        <v>141573</v>
      </c>
    </row>
    <row r="115" spans="1:29" x14ac:dyDescent="0.25">
      <c r="A115" s="1" t="s">
        <v>64</v>
      </c>
      <c r="B115" s="1" t="s">
        <v>743</v>
      </c>
      <c r="C115" s="1" t="s">
        <v>120</v>
      </c>
      <c r="D115" s="1" t="s">
        <v>524</v>
      </c>
      <c r="E115" s="2">
        <v>41.87</v>
      </c>
      <c r="F115" s="3">
        <v>544.70000000000005</v>
      </c>
      <c r="G115" s="2">
        <v>586.57000000000005</v>
      </c>
      <c r="H115" s="2">
        <v>0</v>
      </c>
      <c r="I115" s="4">
        <v>22</v>
      </c>
      <c r="J115" s="3">
        <v>0.5</v>
      </c>
      <c r="K115" s="4">
        <v>566</v>
      </c>
      <c r="L115" s="2">
        <v>299.2</v>
      </c>
      <c r="M115" s="2">
        <v>55.38</v>
      </c>
      <c r="N115" s="2">
        <v>61.82</v>
      </c>
      <c r="O115" s="2">
        <v>37.79</v>
      </c>
      <c r="P115" s="2">
        <v>4.3499999999999996</v>
      </c>
      <c r="Q115" s="4">
        <v>175502</v>
      </c>
      <c r="R115" s="4">
        <v>16706</v>
      </c>
      <c r="S115" s="4">
        <v>192208</v>
      </c>
      <c r="T115" s="4">
        <v>31345</v>
      </c>
      <c r="U115" s="4">
        <v>34990</v>
      </c>
      <c r="V115" s="4">
        <v>0</v>
      </c>
      <c r="W115" s="4">
        <v>22809</v>
      </c>
      <c r="X115" s="4">
        <v>2622</v>
      </c>
      <c r="Y115" s="4">
        <v>283974</v>
      </c>
      <c r="Z115" s="4">
        <v>32056</v>
      </c>
      <c r="AA115" s="4">
        <v>251918</v>
      </c>
      <c r="AB115" s="4">
        <v>130046</v>
      </c>
      <c r="AC115" s="4">
        <v>121872</v>
      </c>
    </row>
    <row r="116" spans="1:29" x14ac:dyDescent="0.25">
      <c r="A116" s="1" t="s">
        <v>64</v>
      </c>
      <c r="B116" s="1" t="s">
        <v>743</v>
      </c>
      <c r="C116" s="1" t="s">
        <v>121</v>
      </c>
      <c r="D116" s="1" t="s">
        <v>525</v>
      </c>
      <c r="E116" s="2">
        <v>89.07</v>
      </c>
      <c r="F116" s="3">
        <v>896.1</v>
      </c>
      <c r="G116" s="2">
        <v>985.17</v>
      </c>
      <c r="H116" s="2">
        <v>0</v>
      </c>
      <c r="I116" s="4">
        <v>1</v>
      </c>
      <c r="J116" s="3">
        <v>0</v>
      </c>
      <c r="K116" s="4">
        <v>897</v>
      </c>
      <c r="L116" s="2">
        <v>299.2</v>
      </c>
      <c r="M116" s="2">
        <v>55.38</v>
      </c>
      <c r="N116" s="2">
        <v>61.82</v>
      </c>
      <c r="O116" s="2">
        <v>37.79</v>
      </c>
      <c r="P116" s="2">
        <v>4.3499999999999996</v>
      </c>
      <c r="Q116" s="4">
        <v>294763</v>
      </c>
      <c r="R116" s="4">
        <v>0</v>
      </c>
      <c r="S116" s="4">
        <v>294763</v>
      </c>
      <c r="T116" s="4">
        <v>49676</v>
      </c>
      <c r="U116" s="4">
        <v>55453</v>
      </c>
      <c r="V116" s="4">
        <v>0</v>
      </c>
      <c r="W116" s="4">
        <v>37230</v>
      </c>
      <c r="X116" s="4">
        <v>4285</v>
      </c>
      <c r="Y116" s="4">
        <v>441407</v>
      </c>
      <c r="Z116" s="4">
        <v>38932</v>
      </c>
      <c r="AA116" s="4">
        <v>402475</v>
      </c>
      <c r="AB116" s="4">
        <v>232128</v>
      </c>
      <c r="AC116" s="4">
        <v>170347</v>
      </c>
    </row>
    <row r="117" spans="1:29" x14ac:dyDescent="0.25">
      <c r="A117" s="1" t="s">
        <v>122</v>
      </c>
      <c r="B117" s="1" t="s">
        <v>744</v>
      </c>
      <c r="C117" s="1" t="s">
        <v>123</v>
      </c>
      <c r="D117" s="1" t="s">
        <v>526</v>
      </c>
      <c r="E117" s="2">
        <v>34.11</v>
      </c>
      <c r="F117" s="3">
        <v>238.3</v>
      </c>
      <c r="G117" s="2">
        <v>272.41000000000003</v>
      </c>
      <c r="H117" s="2">
        <v>0</v>
      </c>
      <c r="I117" s="4">
        <v>23</v>
      </c>
      <c r="J117" s="3">
        <v>0</v>
      </c>
      <c r="K117" s="4">
        <v>261</v>
      </c>
      <c r="L117" s="2">
        <v>296.83999999999997</v>
      </c>
      <c r="M117" s="2">
        <v>54.89</v>
      </c>
      <c r="N117" s="2">
        <v>59.9</v>
      </c>
      <c r="O117" s="2">
        <v>26.86</v>
      </c>
      <c r="P117" s="2">
        <v>3.16</v>
      </c>
      <c r="Q117" s="4">
        <v>80862</v>
      </c>
      <c r="R117" s="4">
        <v>12469</v>
      </c>
      <c r="S117" s="4">
        <v>93331</v>
      </c>
      <c r="T117" s="4">
        <v>14326</v>
      </c>
      <c r="U117" s="4">
        <v>15634</v>
      </c>
      <c r="V117" s="4">
        <v>0</v>
      </c>
      <c r="W117" s="4">
        <v>7317</v>
      </c>
      <c r="X117" s="4">
        <v>861</v>
      </c>
      <c r="Y117" s="4">
        <v>131469</v>
      </c>
      <c r="Z117" s="4">
        <v>16393</v>
      </c>
      <c r="AA117" s="4">
        <v>115076</v>
      </c>
      <c r="AB117" s="4">
        <v>55257</v>
      </c>
      <c r="AC117" s="4">
        <v>59819</v>
      </c>
    </row>
    <row r="118" spans="1:29" x14ac:dyDescent="0.25">
      <c r="A118" s="1" t="s">
        <v>122</v>
      </c>
      <c r="B118" s="1" t="s">
        <v>744</v>
      </c>
      <c r="C118" s="1" t="s">
        <v>124</v>
      </c>
      <c r="D118" s="1" t="s">
        <v>527</v>
      </c>
      <c r="E118" s="2">
        <v>66.569999999999993</v>
      </c>
      <c r="F118" s="3">
        <v>581.20000000000005</v>
      </c>
      <c r="G118" s="2">
        <v>647.77</v>
      </c>
      <c r="H118" s="2">
        <v>0</v>
      </c>
      <c r="I118" s="4">
        <v>167</v>
      </c>
      <c r="J118" s="3">
        <v>4.2</v>
      </c>
      <c r="K118" s="4">
        <v>744</v>
      </c>
      <c r="L118" s="2">
        <v>296.83999999999997</v>
      </c>
      <c r="M118" s="2">
        <v>54.89</v>
      </c>
      <c r="N118" s="2">
        <v>59.9</v>
      </c>
      <c r="O118" s="2">
        <v>26.86</v>
      </c>
      <c r="P118" s="2">
        <v>3.16</v>
      </c>
      <c r="Q118" s="4">
        <v>192284</v>
      </c>
      <c r="R118" s="4">
        <v>0</v>
      </c>
      <c r="S118" s="4">
        <v>192284</v>
      </c>
      <c r="T118" s="4">
        <v>40838</v>
      </c>
      <c r="U118" s="4">
        <v>44566</v>
      </c>
      <c r="V118" s="4">
        <v>0</v>
      </c>
      <c r="W118" s="4">
        <v>17399</v>
      </c>
      <c r="X118" s="4">
        <v>2047</v>
      </c>
      <c r="Y118" s="4">
        <v>297134</v>
      </c>
      <c r="Z118" s="4">
        <v>33230</v>
      </c>
      <c r="AA118" s="4">
        <v>263904</v>
      </c>
      <c r="AB118" s="4">
        <v>137146</v>
      </c>
      <c r="AC118" s="4">
        <v>126758</v>
      </c>
    </row>
    <row r="119" spans="1:29" x14ac:dyDescent="0.25">
      <c r="A119" s="1" t="s">
        <v>122</v>
      </c>
      <c r="B119" s="1" t="s">
        <v>744</v>
      </c>
      <c r="C119" s="1" t="s">
        <v>125</v>
      </c>
      <c r="D119" s="1" t="s">
        <v>528</v>
      </c>
      <c r="E119" s="2">
        <v>18.32</v>
      </c>
      <c r="F119" s="3">
        <v>187.1</v>
      </c>
      <c r="G119" s="2">
        <v>205.42</v>
      </c>
      <c r="H119" s="2">
        <v>0</v>
      </c>
      <c r="I119" s="4">
        <v>2</v>
      </c>
      <c r="J119" s="3">
        <v>0</v>
      </c>
      <c r="K119" s="4">
        <v>189</v>
      </c>
      <c r="L119" s="2">
        <v>296.83999999999997</v>
      </c>
      <c r="M119" s="2">
        <v>54.89</v>
      </c>
      <c r="N119" s="2">
        <v>59.9</v>
      </c>
      <c r="O119" s="2">
        <v>26.86</v>
      </c>
      <c r="P119" s="2">
        <v>3.16</v>
      </c>
      <c r="Q119" s="4">
        <v>60977</v>
      </c>
      <c r="R119" s="4">
        <v>1438</v>
      </c>
      <c r="S119" s="4">
        <v>62415</v>
      </c>
      <c r="T119" s="4">
        <v>10374</v>
      </c>
      <c r="U119" s="4">
        <v>11321</v>
      </c>
      <c r="V119" s="4">
        <v>0</v>
      </c>
      <c r="W119" s="4">
        <v>5640</v>
      </c>
      <c r="X119" s="4">
        <v>663</v>
      </c>
      <c r="Y119" s="4">
        <v>90413</v>
      </c>
      <c r="Z119" s="4">
        <v>11567</v>
      </c>
      <c r="AA119" s="4">
        <v>78846</v>
      </c>
      <c r="AB119" s="4">
        <v>42599</v>
      </c>
      <c r="AC119" s="4">
        <v>36247</v>
      </c>
    </row>
    <row r="120" spans="1:29" x14ac:dyDescent="0.25">
      <c r="A120" s="1" t="s">
        <v>122</v>
      </c>
      <c r="B120" s="1" t="s">
        <v>744</v>
      </c>
      <c r="C120" s="1" t="s">
        <v>126</v>
      </c>
      <c r="D120" s="1" t="s">
        <v>529</v>
      </c>
      <c r="E120" s="2">
        <v>482.44</v>
      </c>
      <c r="F120" s="3">
        <v>4100</v>
      </c>
      <c r="G120" s="2">
        <v>4582.4399999999996</v>
      </c>
      <c r="H120" s="2">
        <v>0</v>
      </c>
      <c r="I120" s="4">
        <v>241</v>
      </c>
      <c r="J120" s="3">
        <v>0</v>
      </c>
      <c r="K120" s="4">
        <v>4341</v>
      </c>
      <c r="L120" s="2">
        <v>296.83999999999997</v>
      </c>
      <c r="M120" s="2">
        <v>54.89</v>
      </c>
      <c r="N120" s="2">
        <v>59.9</v>
      </c>
      <c r="O120" s="2">
        <v>26.86</v>
      </c>
      <c r="P120" s="2">
        <v>3.16</v>
      </c>
      <c r="Q120" s="4">
        <v>1360251</v>
      </c>
      <c r="R120" s="4">
        <v>0</v>
      </c>
      <c r="S120" s="4">
        <v>1360251</v>
      </c>
      <c r="T120" s="4">
        <v>238277</v>
      </c>
      <c r="U120" s="4">
        <v>260026</v>
      </c>
      <c r="V120" s="4">
        <v>0</v>
      </c>
      <c r="W120" s="4">
        <v>123084</v>
      </c>
      <c r="X120" s="4">
        <v>14481</v>
      </c>
      <c r="Y120" s="4">
        <v>1996119</v>
      </c>
      <c r="Z120" s="4">
        <v>185946</v>
      </c>
      <c r="AA120" s="4">
        <v>1810173</v>
      </c>
      <c r="AB120" s="4">
        <v>1019328</v>
      </c>
      <c r="AC120" s="4">
        <v>790845</v>
      </c>
    </row>
    <row r="121" spans="1:29" x14ac:dyDescent="0.25">
      <c r="A121" s="1" t="s">
        <v>122</v>
      </c>
      <c r="B121" s="1" t="s">
        <v>744</v>
      </c>
      <c r="C121" s="1" t="s">
        <v>127</v>
      </c>
      <c r="D121" s="1" t="s">
        <v>530</v>
      </c>
      <c r="E121" s="2">
        <v>47.38</v>
      </c>
      <c r="F121" s="3">
        <v>437.3</v>
      </c>
      <c r="G121" s="2">
        <v>484.68</v>
      </c>
      <c r="H121" s="2">
        <v>0</v>
      </c>
      <c r="I121" s="4">
        <v>0</v>
      </c>
      <c r="J121" s="3">
        <v>0</v>
      </c>
      <c r="K121" s="4">
        <v>437</v>
      </c>
      <c r="L121" s="2">
        <v>296.83999999999997</v>
      </c>
      <c r="M121" s="2">
        <v>54.89</v>
      </c>
      <c r="N121" s="2">
        <v>59.9</v>
      </c>
      <c r="O121" s="2">
        <v>26.86</v>
      </c>
      <c r="P121" s="2">
        <v>3.16</v>
      </c>
      <c r="Q121" s="4">
        <v>143872</v>
      </c>
      <c r="R121" s="4">
        <v>11847</v>
      </c>
      <c r="S121" s="4">
        <v>155719</v>
      </c>
      <c r="T121" s="4">
        <v>23987</v>
      </c>
      <c r="U121" s="4">
        <v>26176</v>
      </c>
      <c r="V121" s="4">
        <v>0</v>
      </c>
      <c r="W121" s="4">
        <v>13262</v>
      </c>
      <c r="X121" s="4">
        <v>1558</v>
      </c>
      <c r="Y121" s="4">
        <v>220702</v>
      </c>
      <c r="Z121" s="4">
        <v>24342</v>
      </c>
      <c r="AA121" s="4">
        <v>196360</v>
      </c>
      <c r="AB121" s="4">
        <v>103408</v>
      </c>
      <c r="AC121" s="4">
        <v>92952</v>
      </c>
    </row>
    <row r="122" spans="1:29" x14ac:dyDescent="0.25">
      <c r="A122" s="1" t="s">
        <v>122</v>
      </c>
      <c r="B122" s="1" t="s">
        <v>744</v>
      </c>
      <c r="C122" s="1" t="s">
        <v>128</v>
      </c>
      <c r="D122" s="1" t="s">
        <v>531</v>
      </c>
      <c r="E122" s="2">
        <v>106.61</v>
      </c>
      <c r="F122" s="3">
        <v>839.3</v>
      </c>
      <c r="G122" s="2">
        <v>945.91</v>
      </c>
      <c r="H122" s="2">
        <v>0</v>
      </c>
      <c r="I122" s="4">
        <v>19</v>
      </c>
      <c r="J122" s="3">
        <v>0</v>
      </c>
      <c r="K122" s="4">
        <v>858</v>
      </c>
      <c r="L122" s="2">
        <v>296.83999999999997</v>
      </c>
      <c r="M122" s="2">
        <v>54.89</v>
      </c>
      <c r="N122" s="2">
        <v>59.9</v>
      </c>
      <c r="O122" s="2">
        <v>26.86</v>
      </c>
      <c r="P122" s="2">
        <v>3.16</v>
      </c>
      <c r="Q122" s="4">
        <v>280784</v>
      </c>
      <c r="R122" s="4">
        <v>870</v>
      </c>
      <c r="S122" s="4">
        <v>281654</v>
      </c>
      <c r="T122" s="4">
        <v>47096</v>
      </c>
      <c r="U122" s="4">
        <v>51394</v>
      </c>
      <c r="V122" s="4">
        <v>0</v>
      </c>
      <c r="W122" s="4">
        <v>25407</v>
      </c>
      <c r="X122" s="4">
        <v>2989</v>
      </c>
      <c r="Y122" s="4">
        <v>408540</v>
      </c>
      <c r="Z122" s="4">
        <v>41235</v>
      </c>
      <c r="AA122" s="4">
        <v>367305</v>
      </c>
      <c r="AB122" s="4">
        <v>207558</v>
      </c>
      <c r="AC122" s="4">
        <v>159747</v>
      </c>
    </row>
    <row r="123" spans="1:29" x14ac:dyDescent="0.25">
      <c r="A123" s="1" t="s">
        <v>122</v>
      </c>
      <c r="B123" s="1" t="s">
        <v>744</v>
      </c>
      <c r="C123" s="1" t="s">
        <v>129</v>
      </c>
      <c r="D123" s="1" t="s">
        <v>532</v>
      </c>
      <c r="E123" s="2">
        <v>164.48</v>
      </c>
      <c r="F123" s="3">
        <v>1462.7</v>
      </c>
      <c r="G123" s="2">
        <v>1627.18</v>
      </c>
      <c r="H123" s="2">
        <v>0</v>
      </c>
      <c r="I123" s="4">
        <v>160</v>
      </c>
      <c r="J123" s="3">
        <v>0</v>
      </c>
      <c r="K123" s="4">
        <v>1623</v>
      </c>
      <c r="L123" s="2">
        <v>296.83999999999997</v>
      </c>
      <c r="M123" s="2">
        <v>54.89</v>
      </c>
      <c r="N123" s="2">
        <v>59.9</v>
      </c>
      <c r="O123" s="2">
        <v>26.86</v>
      </c>
      <c r="P123" s="2">
        <v>3.16</v>
      </c>
      <c r="Q123" s="4">
        <v>483012</v>
      </c>
      <c r="R123" s="4">
        <v>0</v>
      </c>
      <c r="S123" s="4">
        <v>483012</v>
      </c>
      <c r="T123" s="4">
        <v>89086</v>
      </c>
      <c r="U123" s="4">
        <v>97218</v>
      </c>
      <c r="V123" s="4">
        <v>0</v>
      </c>
      <c r="W123" s="4">
        <v>43706</v>
      </c>
      <c r="X123" s="4">
        <v>5142</v>
      </c>
      <c r="Y123" s="4">
        <v>718164</v>
      </c>
      <c r="Z123" s="4">
        <v>77370</v>
      </c>
      <c r="AA123" s="4">
        <v>640794</v>
      </c>
      <c r="AB123" s="4">
        <v>350611</v>
      </c>
      <c r="AC123" s="4">
        <v>290183</v>
      </c>
    </row>
    <row r="124" spans="1:29" x14ac:dyDescent="0.25">
      <c r="A124" s="1" t="s">
        <v>122</v>
      </c>
      <c r="B124" s="1" t="s">
        <v>744</v>
      </c>
      <c r="C124" s="1" t="s">
        <v>130</v>
      </c>
      <c r="D124" s="1" t="s">
        <v>533</v>
      </c>
      <c r="E124" s="2">
        <v>740.4</v>
      </c>
      <c r="F124" s="3">
        <v>3723.4</v>
      </c>
      <c r="G124" s="2">
        <v>4463.8</v>
      </c>
      <c r="H124" s="2">
        <v>0</v>
      </c>
      <c r="I124" s="4">
        <v>158</v>
      </c>
      <c r="J124" s="3">
        <v>0</v>
      </c>
      <c r="K124" s="4">
        <v>3881</v>
      </c>
      <c r="L124" s="2">
        <v>296.83999999999997</v>
      </c>
      <c r="M124" s="2">
        <v>54.89</v>
      </c>
      <c r="N124" s="2">
        <v>59.9</v>
      </c>
      <c r="O124" s="2">
        <v>26.86</v>
      </c>
      <c r="P124" s="2">
        <v>3.16</v>
      </c>
      <c r="Q124" s="4">
        <v>1325034</v>
      </c>
      <c r="R124" s="4">
        <v>7555</v>
      </c>
      <c r="S124" s="4">
        <v>1332589</v>
      </c>
      <c r="T124" s="4">
        <v>213028</v>
      </c>
      <c r="U124" s="4">
        <v>232472</v>
      </c>
      <c r="V124" s="4">
        <v>0</v>
      </c>
      <c r="W124" s="4">
        <v>119898</v>
      </c>
      <c r="X124" s="4">
        <v>14106</v>
      </c>
      <c r="Y124" s="4">
        <v>1912093</v>
      </c>
      <c r="Z124" s="4">
        <v>219420</v>
      </c>
      <c r="AA124" s="4">
        <v>1692673</v>
      </c>
      <c r="AB124" s="4">
        <v>954649</v>
      </c>
      <c r="AC124" s="4">
        <v>738024</v>
      </c>
    </row>
    <row r="125" spans="1:29" x14ac:dyDescent="0.25">
      <c r="A125" s="1" t="s">
        <v>122</v>
      </c>
      <c r="B125" s="1" t="s">
        <v>744</v>
      </c>
      <c r="C125" s="1" t="s">
        <v>131</v>
      </c>
      <c r="D125" s="1" t="s">
        <v>534</v>
      </c>
      <c r="E125" s="2">
        <v>120.61</v>
      </c>
      <c r="F125" s="3">
        <v>786.9</v>
      </c>
      <c r="G125" s="2">
        <v>907.51</v>
      </c>
      <c r="H125" s="2">
        <v>0</v>
      </c>
      <c r="I125" s="4">
        <v>3</v>
      </c>
      <c r="J125" s="3">
        <v>0</v>
      </c>
      <c r="K125" s="4">
        <v>790</v>
      </c>
      <c r="L125" s="2">
        <v>296.83999999999997</v>
      </c>
      <c r="M125" s="2">
        <v>54.89</v>
      </c>
      <c r="N125" s="2">
        <v>59.9</v>
      </c>
      <c r="O125" s="2">
        <v>26.86</v>
      </c>
      <c r="P125" s="2">
        <v>3.16</v>
      </c>
      <c r="Q125" s="4">
        <v>269385</v>
      </c>
      <c r="R125" s="4">
        <v>29688</v>
      </c>
      <c r="S125" s="4">
        <v>299073</v>
      </c>
      <c r="T125" s="4">
        <v>43363</v>
      </c>
      <c r="U125" s="4">
        <v>47321</v>
      </c>
      <c r="V125" s="4">
        <v>0</v>
      </c>
      <c r="W125" s="4">
        <v>24601</v>
      </c>
      <c r="X125" s="4">
        <v>2890</v>
      </c>
      <c r="Y125" s="4">
        <v>417248</v>
      </c>
      <c r="Z125" s="4">
        <v>48308</v>
      </c>
      <c r="AA125" s="4">
        <v>368940</v>
      </c>
      <c r="AB125" s="4">
        <v>190633</v>
      </c>
      <c r="AC125" s="4">
        <v>178307</v>
      </c>
    </row>
    <row r="126" spans="1:29" x14ac:dyDescent="0.25">
      <c r="A126" s="1" t="s">
        <v>122</v>
      </c>
      <c r="B126" s="1" t="s">
        <v>744</v>
      </c>
      <c r="C126" s="1" t="s">
        <v>132</v>
      </c>
      <c r="D126" s="1" t="s">
        <v>535</v>
      </c>
      <c r="E126" s="2">
        <v>3546.66</v>
      </c>
      <c r="F126" s="3">
        <v>15233.5</v>
      </c>
      <c r="G126" s="2">
        <v>18780.16</v>
      </c>
      <c r="H126" s="2">
        <v>0</v>
      </c>
      <c r="I126" s="4">
        <v>1953</v>
      </c>
      <c r="J126" s="3">
        <v>2.2000000000000002</v>
      </c>
      <c r="K126" s="4">
        <v>17184</v>
      </c>
      <c r="L126" s="2">
        <v>296.83999999999997</v>
      </c>
      <c r="M126" s="2">
        <v>54.89</v>
      </c>
      <c r="N126" s="2">
        <v>59.9</v>
      </c>
      <c r="O126" s="2">
        <v>26.86</v>
      </c>
      <c r="P126" s="2">
        <v>3.16</v>
      </c>
      <c r="Q126" s="4">
        <v>5574703</v>
      </c>
      <c r="R126" s="4">
        <v>0</v>
      </c>
      <c r="S126" s="4">
        <v>5574703</v>
      </c>
      <c r="T126" s="4">
        <v>943230</v>
      </c>
      <c r="U126" s="4">
        <v>1029322</v>
      </c>
      <c r="V126" s="4">
        <v>0</v>
      </c>
      <c r="W126" s="4">
        <v>504435</v>
      </c>
      <c r="X126" s="4">
        <v>59345</v>
      </c>
      <c r="Y126" s="4">
        <v>8111035</v>
      </c>
      <c r="Z126" s="4">
        <v>800370</v>
      </c>
      <c r="AA126" s="4">
        <v>7310665</v>
      </c>
      <c r="AB126" s="4">
        <v>4139187</v>
      </c>
      <c r="AC126" s="4">
        <v>3171478</v>
      </c>
    </row>
    <row r="127" spans="1:29" x14ac:dyDescent="0.25">
      <c r="A127" s="1" t="s">
        <v>122</v>
      </c>
      <c r="B127" s="1" t="s">
        <v>744</v>
      </c>
      <c r="C127" s="1" t="s">
        <v>133</v>
      </c>
      <c r="D127" s="1" t="s">
        <v>536</v>
      </c>
      <c r="E127" s="2">
        <v>19.57</v>
      </c>
      <c r="F127" s="3">
        <v>197.5</v>
      </c>
      <c r="G127" s="2">
        <v>217.07</v>
      </c>
      <c r="H127" s="2">
        <v>0</v>
      </c>
      <c r="I127" s="4">
        <v>0</v>
      </c>
      <c r="J127" s="3">
        <v>0</v>
      </c>
      <c r="K127" s="4">
        <v>198</v>
      </c>
      <c r="L127" s="2">
        <v>296.83999999999997</v>
      </c>
      <c r="M127" s="2">
        <v>54.89</v>
      </c>
      <c r="N127" s="2">
        <v>59.9</v>
      </c>
      <c r="O127" s="2">
        <v>26.86</v>
      </c>
      <c r="P127" s="2">
        <v>3.16</v>
      </c>
      <c r="Q127" s="4">
        <v>64435</v>
      </c>
      <c r="R127" s="4">
        <v>10578</v>
      </c>
      <c r="S127" s="4">
        <v>75013</v>
      </c>
      <c r="T127" s="4">
        <v>10868</v>
      </c>
      <c r="U127" s="4">
        <v>11860</v>
      </c>
      <c r="V127" s="4">
        <v>0</v>
      </c>
      <c r="W127" s="4">
        <v>5831</v>
      </c>
      <c r="X127" s="4">
        <v>686</v>
      </c>
      <c r="Y127" s="4">
        <v>104258</v>
      </c>
      <c r="Z127" s="4">
        <v>13150</v>
      </c>
      <c r="AA127" s="4">
        <v>91108</v>
      </c>
      <c r="AB127" s="4">
        <v>43944</v>
      </c>
      <c r="AC127" s="4">
        <v>47164</v>
      </c>
    </row>
    <row r="128" spans="1:29" x14ac:dyDescent="0.25">
      <c r="A128" s="1" t="s">
        <v>122</v>
      </c>
      <c r="B128" s="1" t="s">
        <v>744</v>
      </c>
      <c r="C128" s="1" t="s">
        <v>134</v>
      </c>
      <c r="D128" s="1" t="s">
        <v>537</v>
      </c>
      <c r="E128" s="2">
        <v>69.53</v>
      </c>
      <c r="F128" s="3">
        <v>563.1</v>
      </c>
      <c r="G128" s="2">
        <v>632.63</v>
      </c>
      <c r="H128" s="2">
        <v>0</v>
      </c>
      <c r="I128" s="4">
        <v>4</v>
      </c>
      <c r="J128" s="3">
        <v>0</v>
      </c>
      <c r="K128" s="4">
        <v>567</v>
      </c>
      <c r="L128" s="2">
        <v>296.83999999999997</v>
      </c>
      <c r="M128" s="2">
        <v>54.89</v>
      </c>
      <c r="N128" s="2">
        <v>59.9</v>
      </c>
      <c r="O128" s="2">
        <v>26.86</v>
      </c>
      <c r="P128" s="2">
        <v>3.16</v>
      </c>
      <c r="Q128" s="4">
        <v>187790</v>
      </c>
      <c r="R128" s="4">
        <v>553</v>
      </c>
      <c r="S128" s="4">
        <v>188343</v>
      </c>
      <c r="T128" s="4">
        <v>31123</v>
      </c>
      <c r="U128" s="4">
        <v>33963</v>
      </c>
      <c r="V128" s="4">
        <v>0</v>
      </c>
      <c r="W128" s="4">
        <v>17020</v>
      </c>
      <c r="X128" s="4">
        <v>1999</v>
      </c>
      <c r="Y128" s="4">
        <v>272448</v>
      </c>
      <c r="Z128" s="4">
        <v>27628</v>
      </c>
      <c r="AA128" s="4">
        <v>244820</v>
      </c>
      <c r="AB128" s="4">
        <v>138794</v>
      </c>
      <c r="AC128" s="4">
        <v>106026</v>
      </c>
    </row>
    <row r="129" spans="1:29" x14ac:dyDescent="0.25">
      <c r="A129" s="1" t="s">
        <v>122</v>
      </c>
      <c r="B129" s="1" t="s">
        <v>744</v>
      </c>
      <c r="C129" s="1" t="s">
        <v>135</v>
      </c>
      <c r="D129" s="1" t="s">
        <v>538</v>
      </c>
      <c r="E129" s="2">
        <v>99.11</v>
      </c>
      <c r="F129" s="3">
        <v>603.29999999999995</v>
      </c>
      <c r="G129" s="2">
        <v>702.41</v>
      </c>
      <c r="H129" s="2">
        <v>0</v>
      </c>
      <c r="I129" s="4">
        <v>3</v>
      </c>
      <c r="J129" s="3">
        <v>0</v>
      </c>
      <c r="K129" s="4">
        <v>606</v>
      </c>
      <c r="L129" s="2">
        <v>296.83999999999997</v>
      </c>
      <c r="M129" s="2">
        <v>54.89</v>
      </c>
      <c r="N129" s="2">
        <v>59.9</v>
      </c>
      <c r="O129" s="2">
        <v>26.86</v>
      </c>
      <c r="P129" s="2">
        <v>3.16</v>
      </c>
      <c r="Q129" s="4">
        <v>208503</v>
      </c>
      <c r="R129" s="4">
        <v>10774</v>
      </c>
      <c r="S129" s="4">
        <v>219277</v>
      </c>
      <c r="T129" s="4">
        <v>33263</v>
      </c>
      <c r="U129" s="4">
        <v>36299</v>
      </c>
      <c r="V129" s="4">
        <v>0</v>
      </c>
      <c r="W129" s="4">
        <v>18983</v>
      </c>
      <c r="X129" s="4">
        <v>2230</v>
      </c>
      <c r="Y129" s="4">
        <v>310052</v>
      </c>
      <c r="Z129" s="4">
        <v>35711</v>
      </c>
      <c r="AA129" s="4">
        <v>274341</v>
      </c>
      <c r="AB129" s="4">
        <v>149164</v>
      </c>
      <c r="AC129" s="4">
        <v>125177</v>
      </c>
    </row>
    <row r="130" spans="1:29" x14ac:dyDescent="0.25">
      <c r="A130" s="1" t="s">
        <v>122</v>
      </c>
      <c r="B130" s="1" t="s">
        <v>744</v>
      </c>
      <c r="C130" s="1" t="s">
        <v>136</v>
      </c>
      <c r="D130" s="1" t="s">
        <v>539</v>
      </c>
      <c r="E130" s="2">
        <v>113.4</v>
      </c>
      <c r="F130" s="3">
        <v>740</v>
      </c>
      <c r="G130" s="2">
        <v>853.4</v>
      </c>
      <c r="H130" s="2">
        <v>0</v>
      </c>
      <c r="I130" s="4">
        <v>0</v>
      </c>
      <c r="J130" s="3">
        <v>0</v>
      </c>
      <c r="K130" s="4">
        <v>740</v>
      </c>
      <c r="L130" s="2">
        <v>296.83999999999997</v>
      </c>
      <c r="M130" s="2">
        <v>54.89</v>
      </c>
      <c r="N130" s="2">
        <v>59.9</v>
      </c>
      <c r="O130" s="2">
        <v>26.86</v>
      </c>
      <c r="P130" s="2">
        <v>3.16</v>
      </c>
      <c r="Q130" s="4">
        <v>253323</v>
      </c>
      <c r="R130" s="4">
        <v>0</v>
      </c>
      <c r="S130" s="4">
        <v>253323</v>
      </c>
      <c r="T130" s="4">
        <v>40619</v>
      </c>
      <c r="U130" s="4">
        <v>44326</v>
      </c>
      <c r="V130" s="4">
        <v>0</v>
      </c>
      <c r="W130" s="4">
        <v>22922</v>
      </c>
      <c r="X130" s="4">
        <v>2697</v>
      </c>
      <c r="Y130" s="4">
        <v>363887</v>
      </c>
      <c r="Z130" s="4">
        <v>39308</v>
      </c>
      <c r="AA130" s="4">
        <v>324579</v>
      </c>
      <c r="AB130" s="4">
        <v>185153</v>
      </c>
      <c r="AC130" s="4">
        <v>139426</v>
      </c>
    </row>
    <row r="131" spans="1:29" x14ac:dyDescent="0.25">
      <c r="A131" s="1" t="s">
        <v>122</v>
      </c>
      <c r="B131" s="1" t="s">
        <v>744</v>
      </c>
      <c r="C131" s="1" t="s">
        <v>137</v>
      </c>
      <c r="D131" s="1" t="s">
        <v>540</v>
      </c>
      <c r="E131" s="2">
        <v>322.64</v>
      </c>
      <c r="F131" s="3">
        <v>1335.5</v>
      </c>
      <c r="G131" s="2">
        <v>1658.14</v>
      </c>
      <c r="H131" s="2">
        <v>0</v>
      </c>
      <c r="I131" s="4">
        <v>110</v>
      </c>
      <c r="J131" s="3">
        <v>0</v>
      </c>
      <c r="K131" s="4">
        <v>1446</v>
      </c>
      <c r="L131" s="2">
        <v>296.83999999999997</v>
      </c>
      <c r="M131" s="2">
        <v>54.89</v>
      </c>
      <c r="N131" s="2">
        <v>59.9</v>
      </c>
      <c r="O131" s="2">
        <v>26.86</v>
      </c>
      <c r="P131" s="2">
        <v>3.16</v>
      </c>
      <c r="Q131" s="4">
        <v>492202</v>
      </c>
      <c r="R131" s="4">
        <v>0</v>
      </c>
      <c r="S131" s="4">
        <v>492202</v>
      </c>
      <c r="T131" s="4">
        <v>79371</v>
      </c>
      <c r="U131" s="4">
        <v>86615</v>
      </c>
      <c r="V131" s="4">
        <v>0</v>
      </c>
      <c r="W131" s="4">
        <v>44538</v>
      </c>
      <c r="X131" s="4">
        <v>5240</v>
      </c>
      <c r="Y131" s="4">
        <v>707966</v>
      </c>
      <c r="Z131" s="4">
        <v>74194</v>
      </c>
      <c r="AA131" s="4">
        <v>633772</v>
      </c>
      <c r="AB131" s="4">
        <v>361931</v>
      </c>
      <c r="AC131" s="4">
        <v>271841</v>
      </c>
    </row>
    <row r="132" spans="1:29" x14ac:dyDescent="0.25">
      <c r="A132" s="1" t="s">
        <v>122</v>
      </c>
      <c r="B132" s="1" t="s">
        <v>744</v>
      </c>
      <c r="C132" s="1" t="s">
        <v>138</v>
      </c>
      <c r="D132" s="1" t="s">
        <v>541</v>
      </c>
      <c r="E132" s="2">
        <v>769.7</v>
      </c>
      <c r="F132" s="3">
        <v>4935.8</v>
      </c>
      <c r="G132" s="2">
        <v>5705.5</v>
      </c>
      <c r="H132" s="2">
        <v>0</v>
      </c>
      <c r="I132" s="4">
        <v>180</v>
      </c>
      <c r="J132" s="3">
        <v>0</v>
      </c>
      <c r="K132" s="4">
        <v>5116</v>
      </c>
      <c r="L132" s="2">
        <v>296.83999999999997</v>
      </c>
      <c r="M132" s="2">
        <v>54.89</v>
      </c>
      <c r="N132" s="2">
        <v>59.9</v>
      </c>
      <c r="O132" s="2">
        <v>26.86</v>
      </c>
      <c r="P132" s="2">
        <v>3.16</v>
      </c>
      <c r="Q132" s="4">
        <v>1693621</v>
      </c>
      <c r="R132" s="4">
        <v>23166</v>
      </c>
      <c r="S132" s="4">
        <v>1716787</v>
      </c>
      <c r="T132" s="4">
        <v>280817</v>
      </c>
      <c r="U132" s="4">
        <v>306448</v>
      </c>
      <c r="V132" s="4">
        <v>0</v>
      </c>
      <c r="W132" s="4">
        <v>154710</v>
      </c>
      <c r="X132" s="4">
        <v>18174</v>
      </c>
      <c r="Y132" s="4">
        <v>2476936</v>
      </c>
      <c r="Z132" s="4">
        <v>253669</v>
      </c>
      <c r="AA132" s="4">
        <v>2223267</v>
      </c>
      <c r="AB132" s="4">
        <v>1248597</v>
      </c>
      <c r="AC132" s="4">
        <v>974670</v>
      </c>
    </row>
    <row r="133" spans="1:29" x14ac:dyDescent="0.25">
      <c r="A133" s="1" t="s">
        <v>122</v>
      </c>
      <c r="B133" s="1" t="s">
        <v>744</v>
      </c>
      <c r="C133" s="1" t="s">
        <v>139</v>
      </c>
      <c r="D133" s="1" t="s">
        <v>542</v>
      </c>
      <c r="E133" s="2">
        <v>313.41000000000003</v>
      </c>
      <c r="F133" s="3">
        <v>3035.1</v>
      </c>
      <c r="G133" s="2">
        <v>3348.51</v>
      </c>
      <c r="H133" s="2">
        <v>0</v>
      </c>
      <c r="I133" s="4">
        <v>56</v>
      </c>
      <c r="J133" s="3">
        <v>0</v>
      </c>
      <c r="K133" s="4">
        <v>3091</v>
      </c>
      <c r="L133" s="2">
        <v>296.83999999999997</v>
      </c>
      <c r="M133" s="2">
        <v>54.89</v>
      </c>
      <c r="N133" s="2">
        <v>59.9</v>
      </c>
      <c r="O133" s="2">
        <v>26.86</v>
      </c>
      <c r="P133" s="2">
        <v>3.16</v>
      </c>
      <c r="Q133" s="4">
        <v>993972</v>
      </c>
      <c r="R133" s="4">
        <v>784</v>
      </c>
      <c r="S133" s="4">
        <v>994756</v>
      </c>
      <c r="T133" s="4">
        <v>169665</v>
      </c>
      <c r="U133" s="4">
        <v>185151</v>
      </c>
      <c r="V133" s="4">
        <v>0</v>
      </c>
      <c r="W133" s="4">
        <v>89941</v>
      </c>
      <c r="X133" s="4">
        <v>10581</v>
      </c>
      <c r="Y133" s="4">
        <v>1450094</v>
      </c>
      <c r="Z133" s="4">
        <v>130713</v>
      </c>
      <c r="AA133" s="4">
        <v>1319381</v>
      </c>
      <c r="AB133" s="4">
        <v>750012</v>
      </c>
      <c r="AC133" s="4">
        <v>569369</v>
      </c>
    </row>
    <row r="134" spans="1:29" x14ac:dyDescent="0.25">
      <c r="A134" s="1" t="s">
        <v>122</v>
      </c>
      <c r="B134" s="1" t="s">
        <v>744</v>
      </c>
      <c r="C134" s="1" t="s">
        <v>140</v>
      </c>
      <c r="D134" s="1" t="s">
        <v>543</v>
      </c>
      <c r="E134" s="2">
        <v>49.1</v>
      </c>
      <c r="F134" s="3">
        <v>516.29999999999995</v>
      </c>
      <c r="G134" s="2">
        <v>565.4</v>
      </c>
      <c r="H134" s="2">
        <v>0</v>
      </c>
      <c r="I134" s="4">
        <v>5</v>
      </c>
      <c r="J134" s="3">
        <v>0</v>
      </c>
      <c r="K134" s="4">
        <v>521</v>
      </c>
      <c r="L134" s="2">
        <v>296.83999999999997</v>
      </c>
      <c r="M134" s="2">
        <v>54.89</v>
      </c>
      <c r="N134" s="2">
        <v>59.9</v>
      </c>
      <c r="O134" s="2">
        <v>26.86</v>
      </c>
      <c r="P134" s="2">
        <v>3.16</v>
      </c>
      <c r="Q134" s="4">
        <v>167833</v>
      </c>
      <c r="R134" s="4">
        <v>7372</v>
      </c>
      <c r="S134" s="4">
        <v>175205</v>
      </c>
      <c r="T134" s="4">
        <v>28598</v>
      </c>
      <c r="U134" s="4">
        <v>31208</v>
      </c>
      <c r="V134" s="4">
        <v>0</v>
      </c>
      <c r="W134" s="4">
        <v>15428</v>
      </c>
      <c r="X134" s="4">
        <v>1812</v>
      </c>
      <c r="Y134" s="4">
        <v>252251</v>
      </c>
      <c r="Z134" s="4">
        <v>30807</v>
      </c>
      <c r="AA134" s="4">
        <v>221444</v>
      </c>
      <c r="AB134" s="4">
        <v>118171</v>
      </c>
      <c r="AC134" s="4">
        <v>103273</v>
      </c>
    </row>
    <row r="135" spans="1:29" x14ac:dyDescent="0.25">
      <c r="A135" s="1" t="s">
        <v>122</v>
      </c>
      <c r="B135" s="1" t="s">
        <v>744</v>
      </c>
      <c r="C135" s="1" t="s">
        <v>141</v>
      </c>
      <c r="D135" s="1" t="s">
        <v>544</v>
      </c>
      <c r="E135" s="2">
        <v>317.92</v>
      </c>
      <c r="F135" s="3">
        <v>4922.3999999999996</v>
      </c>
      <c r="G135" s="2">
        <v>5240.32</v>
      </c>
      <c r="H135" s="2">
        <v>0</v>
      </c>
      <c r="I135" s="4">
        <v>130</v>
      </c>
      <c r="J135" s="3">
        <v>0</v>
      </c>
      <c r="K135" s="4">
        <v>5052</v>
      </c>
      <c r="L135" s="2">
        <v>296.83999999999997</v>
      </c>
      <c r="M135" s="2">
        <v>54.89</v>
      </c>
      <c r="N135" s="2">
        <v>59.9</v>
      </c>
      <c r="O135" s="2">
        <v>26.86</v>
      </c>
      <c r="P135" s="2">
        <v>3.16</v>
      </c>
      <c r="Q135" s="4">
        <v>1555537</v>
      </c>
      <c r="R135" s="4">
        <v>0</v>
      </c>
      <c r="S135" s="4">
        <v>1555537</v>
      </c>
      <c r="T135" s="4">
        <v>277304</v>
      </c>
      <c r="U135" s="4">
        <v>302615</v>
      </c>
      <c r="V135" s="4">
        <v>0</v>
      </c>
      <c r="W135" s="4">
        <v>140755</v>
      </c>
      <c r="X135" s="4">
        <v>16559</v>
      </c>
      <c r="Y135" s="4">
        <v>2292770</v>
      </c>
      <c r="Z135" s="4">
        <v>135851</v>
      </c>
      <c r="AA135" s="4">
        <v>2156919</v>
      </c>
      <c r="AB135" s="4">
        <v>1242458</v>
      </c>
      <c r="AC135" s="4">
        <v>914461</v>
      </c>
    </row>
    <row r="136" spans="1:29" x14ac:dyDescent="0.25">
      <c r="A136" s="1" t="s">
        <v>122</v>
      </c>
      <c r="B136" s="1" t="s">
        <v>744</v>
      </c>
      <c r="C136" s="1" t="s">
        <v>142</v>
      </c>
      <c r="D136" s="1" t="s">
        <v>545</v>
      </c>
      <c r="E136" s="2">
        <v>151.81</v>
      </c>
      <c r="F136" s="3">
        <v>1377.1</v>
      </c>
      <c r="G136" s="2">
        <v>1528.91</v>
      </c>
      <c r="H136" s="2">
        <v>0</v>
      </c>
      <c r="I136" s="4">
        <v>7</v>
      </c>
      <c r="J136" s="3">
        <v>0</v>
      </c>
      <c r="K136" s="4">
        <v>1384</v>
      </c>
      <c r="L136" s="2">
        <v>296.83999999999997</v>
      </c>
      <c r="M136" s="2">
        <v>54.89</v>
      </c>
      <c r="N136" s="2">
        <v>59.9</v>
      </c>
      <c r="O136" s="2">
        <v>26.86</v>
      </c>
      <c r="P136" s="2">
        <v>3.16</v>
      </c>
      <c r="Q136" s="4">
        <v>453842</v>
      </c>
      <c r="R136" s="4">
        <v>0</v>
      </c>
      <c r="S136" s="4">
        <v>453842</v>
      </c>
      <c r="T136" s="4">
        <v>75968</v>
      </c>
      <c r="U136" s="4">
        <v>82902</v>
      </c>
      <c r="V136" s="4">
        <v>0</v>
      </c>
      <c r="W136" s="4">
        <v>41067</v>
      </c>
      <c r="X136" s="4">
        <v>4831</v>
      </c>
      <c r="Y136" s="4">
        <v>658610</v>
      </c>
      <c r="Z136" s="4">
        <v>51632</v>
      </c>
      <c r="AA136" s="4">
        <v>606978</v>
      </c>
      <c r="AB136" s="4">
        <v>350502</v>
      </c>
      <c r="AC136" s="4">
        <v>256476</v>
      </c>
    </row>
    <row r="137" spans="1:29" x14ac:dyDescent="0.25">
      <c r="A137" s="1" t="s">
        <v>122</v>
      </c>
      <c r="B137" s="1" t="s">
        <v>744</v>
      </c>
      <c r="C137" s="1" t="s">
        <v>143</v>
      </c>
      <c r="D137" s="1" t="s">
        <v>546</v>
      </c>
      <c r="E137" s="2">
        <v>71.540000000000006</v>
      </c>
      <c r="F137" s="3">
        <v>828.6</v>
      </c>
      <c r="G137" s="2">
        <v>900.14</v>
      </c>
      <c r="H137" s="2">
        <v>0</v>
      </c>
      <c r="I137" s="4">
        <v>3</v>
      </c>
      <c r="J137" s="3">
        <v>0</v>
      </c>
      <c r="K137" s="4">
        <v>832</v>
      </c>
      <c r="L137" s="2">
        <v>296.83999999999997</v>
      </c>
      <c r="M137" s="2">
        <v>54.89</v>
      </c>
      <c r="N137" s="2">
        <v>59.9</v>
      </c>
      <c r="O137" s="2">
        <v>26.86</v>
      </c>
      <c r="P137" s="2">
        <v>3.16</v>
      </c>
      <c r="Q137" s="4">
        <v>267198</v>
      </c>
      <c r="R137" s="4">
        <v>0</v>
      </c>
      <c r="S137" s="4">
        <v>267198</v>
      </c>
      <c r="T137" s="4">
        <v>45668</v>
      </c>
      <c r="U137" s="4">
        <v>49837</v>
      </c>
      <c r="V137" s="4">
        <v>0</v>
      </c>
      <c r="W137" s="4">
        <v>24178</v>
      </c>
      <c r="X137" s="4">
        <v>2844</v>
      </c>
      <c r="Y137" s="4">
        <v>389725</v>
      </c>
      <c r="Z137" s="4">
        <v>40568</v>
      </c>
      <c r="AA137" s="4">
        <v>349157</v>
      </c>
      <c r="AB137" s="4">
        <v>196187</v>
      </c>
      <c r="AC137" s="4">
        <v>152970</v>
      </c>
    </row>
    <row r="138" spans="1:29" x14ac:dyDescent="0.25">
      <c r="A138" s="1" t="s">
        <v>144</v>
      </c>
      <c r="B138" s="1" t="s">
        <v>745</v>
      </c>
      <c r="C138" s="1" t="s">
        <v>145</v>
      </c>
      <c r="D138" s="1" t="s">
        <v>547</v>
      </c>
      <c r="E138" s="2">
        <v>47.66</v>
      </c>
      <c r="F138" s="3">
        <v>525.29999999999995</v>
      </c>
      <c r="G138" s="2">
        <v>572.96</v>
      </c>
      <c r="H138" s="2">
        <v>0</v>
      </c>
      <c r="I138" s="4">
        <v>22</v>
      </c>
      <c r="J138" s="3">
        <v>0</v>
      </c>
      <c r="K138" s="4">
        <v>547</v>
      </c>
      <c r="L138" s="2">
        <v>294.92</v>
      </c>
      <c r="M138" s="2">
        <v>55.07</v>
      </c>
      <c r="N138" s="2">
        <v>60.5</v>
      </c>
      <c r="O138" s="2">
        <v>27.61</v>
      </c>
      <c r="P138" s="2">
        <v>3.22</v>
      </c>
      <c r="Q138" s="4">
        <v>168977</v>
      </c>
      <c r="R138" s="4">
        <v>0</v>
      </c>
      <c r="S138" s="4">
        <v>168977</v>
      </c>
      <c r="T138" s="4">
        <v>30123</v>
      </c>
      <c r="U138" s="4">
        <v>33094</v>
      </c>
      <c r="V138" s="4">
        <v>0</v>
      </c>
      <c r="W138" s="4">
        <v>15819</v>
      </c>
      <c r="X138" s="4">
        <v>1845</v>
      </c>
      <c r="Y138" s="4">
        <v>249858</v>
      </c>
      <c r="Z138" s="4">
        <v>28260</v>
      </c>
      <c r="AA138" s="4">
        <v>221598</v>
      </c>
      <c r="AB138" s="4">
        <v>122904</v>
      </c>
      <c r="AC138" s="4">
        <v>98694</v>
      </c>
    </row>
    <row r="139" spans="1:29" x14ac:dyDescent="0.25">
      <c r="A139" s="1" t="s">
        <v>144</v>
      </c>
      <c r="B139" s="1" t="s">
        <v>745</v>
      </c>
      <c r="C139" s="1" t="s">
        <v>146</v>
      </c>
      <c r="D139" s="1" t="s">
        <v>548</v>
      </c>
      <c r="E139" s="2">
        <v>144.94</v>
      </c>
      <c r="F139" s="3">
        <v>1278.2</v>
      </c>
      <c r="G139" s="2">
        <v>1423.14</v>
      </c>
      <c r="H139" s="2">
        <v>0</v>
      </c>
      <c r="I139" s="4">
        <v>63</v>
      </c>
      <c r="J139" s="3">
        <v>0.2</v>
      </c>
      <c r="K139" s="4">
        <v>1341</v>
      </c>
      <c r="L139" s="2">
        <v>294.92</v>
      </c>
      <c r="M139" s="2">
        <v>55.07</v>
      </c>
      <c r="N139" s="2">
        <v>60.5</v>
      </c>
      <c r="O139" s="2">
        <v>27.61</v>
      </c>
      <c r="P139" s="2">
        <v>3.22</v>
      </c>
      <c r="Q139" s="4">
        <v>419712</v>
      </c>
      <c r="R139" s="4">
        <v>0</v>
      </c>
      <c r="S139" s="4">
        <v>419712</v>
      </c>
      <c r="T139" s="4">
        <v>73849</v>
      </c>
      <c r="U139" s="4">
        <v>81131</v>
      </c>
      <c r="V139" s="4">
        <v>0</v>
      </c>
      <c r="W139" s="4">
        <v>39293</v>
      </c>
      <c r="X139" s="4">
        <v>4583</v>
      </c>
      <c r="Y139" s="4">
        <v>618568</v>
      </c>
      <c r="Z139" s="4">
        <v>60223</v>
      </c>
      <c r="AA139" s="4">
        <v>558345</v>
      </c>
      <c r="AB139" s="4">
        <v>315245</v>
      </c>
      <c r="AC139" s="4">
        <v>243100</v>
      </c>
    </row>
    <row r="140" spans="1:29" x14ac:dyDescent="0.25">
      <c r="A140" s="1" t="s">
        <v>144</v>
      </c>
      <c r="B140" s="1" t="s">
        <v>745</v>
      </c>
      <c r="C140" s="1" t="s">
        <v>147</v>
      </c>
      <c r="D140" s="1" t="s">
        <v>549</v>
      </c>
      <c r="E140" s="2">
        <v>39.69</v>
      </c>
      <c r="F140" s="3">
        <v>532.79999999999995</v>
      </c>
      <c r="G140" s="2">
        <v>572.49</v>
      </c>
      <c r="H140" s="2">
        <v>0</v>
      </c>
      <c r="I140" s="4">
        <v>2</v>
      </c>
      <c r="J140" s="3">
        <v>0</v>
      </c>
      <c r="K140" s="4">
        <v>535</v>
      </c>
      <c r="L140" s="2">
        <v>294.92</v>
      </c>
      <c r="M140" s="2">
        <v>55.07</v>
      </c>
      <c r="N140" s="2">
        <v>60.5</v>
      </c>
      <c r="O140" s="2">
        <v>27.61</v>
      </c>
      <c r="P140" s="2">
        <v>3.22</v>
      </c>
      <c r="Q140" s="4">
        <v>168839</v>
      </c>
      <c r="R140" s="4">
        <v>5489</v>
      </c>
      <c r="S140" s="4">
        <v>174328</v>
      </c>
      <c r="T140" s="4">
        <v>29462</v>
      </c>
      <c r="U140" s="4">
        <v>32368</v>
      </c>
      <c r="V140" s="4">
        <v>0</v>
      </c>
      <c r="W140" s="4">
        <v>15806</v>
      </c>
      <c r="X140" s="4">
        <v>1843</v>
      </c>
      <c r="Y140" s="4">
        <v>253807</v>
      </c>
      <c r="Z140" s="4">
        <v>34138</v>
      </c>
      <c r="AA140" s="4">
        <v>219669</v>
      </c>
      <c r="AB140" s="4">
        <v>116901</v>
      </c>
      <c r="AC140" s="4">
        <v>102768</v>
      </c>
    </row>
    <row r="141" spans="1:29" x14ac:dyDescent="0.25">
      <c r="A141" s="1" t="s">
        <v>144</v>
      </c>
      <c r="B141" s="1" t="s">
        <v>745</v>
      </c>
      <c r="C141" s="1" t="s">
        <v>148</v>
      </c>
      <c r="D141" s="1" t="s">
        <v>550</v>
      </c>
      <c r="E141" s="2">
        <v>129.9</v>
      </c>
      <c r="F141" s="3">
        <v>1486.7</v>
      </c>
      <c r="G141" s="2">
        <v>1616.6</v>
      </c>
      <c r="H141" s="2">
        <v>0</v>
      </c>
      <c r="I141" s="4">
        <v>152</v>
      </c>
      <c r="J141" s="3">
        <v>0</v>
      </c>
      <c r="K141" s="4">
        <v>1639</v>
      </c>
      <c r="L141" s="2">
        <v>294.92</v>
      </c>
      <c r="M141" s="2">
        <v>55.07</v>
      </c>
      <c r="N141" s="2">
        <v>60.5</v>
      </c>
      <c r="O141" s="2">
        <v>27.61</v>
      </c>
      <c r="P141" s="2">
        <v>3.22</v>
      </c>
      <c r="Q141" s="4">
        <v>476768</v>
      </c>
      <c r="R141" s="4">
        <v>10230</v>
      </c>
      <c r="S141" s="4">
        <v>486998</v>
      </c>
      <c r="T141" s="4">
        <v>90260</v>
      </c>
      <c r="U141" s="4">
        <v>99160</v>
      </c>
      <c r="V141" s="4">
        <v>0</v>
      </c>
      <c r="W141" s="4">
        <v>45549</v>
      </c>
      <c r="X141" s="4">
        <v>5304</v>
      </c>
      <c r="Y141" s="4">
        <v>727271</v>
      </c>
      <c r="Z141" s="4">
        <v>79586</v>
      </c>
      <c r="AA141" s="4">
        <v>647685</v>
      </c>
      <c r="AB141" s="4">
        <v>347935</v>
      </c>
      <c r="AC141" s="4">
        <v>299750</v>
      </c>
    </row>
    <row r="142" spans="1:29" x14ac:dyDescent="0.25">
      <c r="A142" s="1" t="s">
        <v>144</v>
      </c>
      <c r="B142" s="1" t="s">
        <v>745</v>
      </c>
      <c r="C142" s="1" t="s">
        <v>149</v>
      </c>
      <c r="D142" s="1" t="s">
        <v>551</v>
      </c>
      <c r="E142" s="2">
        <v>2479.91</v>
      </c>
      <c r="F142" s="3">
        <v>17129.400000000001</v>
      </c>
      <c r="G142" s="2">
        <v>19609.310000000001</v>
      </c>
      <c r="H142" s="2">
        <v>0</v>
      </c>
      <c r="I142" s="4">
        <v>2047</v>
      </c>
      <c r="J142" s="3">
        <v>24.6</v>
      </c>
      <c r="K142" s="4">
        <v>19152</v>
      </c>
      <c r="L142" s="2">
        <v>294.92</v>
      </c>
      <c r="M142" s="2">
        <v>55.07</v>
      </c>
      <c r="N142" s="2">
        <v>60.5</v>
      </c>
      <c r="O142" s="2">
        <v>27.61</v>
      </c>
      <c r="P142" s="2">
        <v>3.22</v>
      </c>
      <c r="Q142" s="4">
        <v>5783178</v>
      </c>
      <c r="R142" s="4">
        <v>0</v>
      </c>
      <c r="S142" s="4">
        <v>5783178</v>
      </c>
      <c r="T142" s="4">
        <v>1054701</v>
      </c>
      <c r="U142" s="4">
        <v>1158696</v>
      </c>
      <c r="V142" s="4">
        <v>0</v>
      </c>
      <c r="W142" s="4">
        <v>541413</v>
      </c>
      <c r="X142" s="4">
        <v>63142</v>
      </c>
      <c r="Y142" s="4">
        <v>8601130</v>
      </c>
      <c r="Z142" s="4">
        <v>846317</v>
      </c>
      <c r="AA142" s="4">
        <v>7754813</v>
      </c>
      <c r="AB142" s="4">
        <v>4327207</v>
      </c>
      <c r="AC142" s="4">
        <v>3427606</v>
      </c>
    </row>
    <row r="143" spans="1:29" x14ac:dyDescent="0.25">
      <c r="A143" s="1" t="s">
        <v>144</v>
      </c>
      <c r="B143" s="1" t="s">
        <v>745</v>
      </c>
      <c r="C143" s="1" t="s">
        <v>150</v>
      </c>
      <c r="D143" s="1" t="s">
        <v>552</v>
      </c>
      <c r="E143" s="2">
        <v>125.89</v>
      </c>
      <c r="F143" s="3">
        <v>1356.3</v>
      </c>
      <c r="G143" s="2">
        <v>1482.19</v>
      </c>
      <c r="H143" s="2">
        <v>0</v>
      </c>
      <c r="I143" s="4">
        <v>8</v>
      </c>
      <c r="J143" s="3">
        <v>0</v>
      </c>
      <c r="K143" s="4">
        <v>1364</v>
      </c>
      <c r="L143" s="2">
        <v>294.92</v>
      </c>
      <c r="M143" s="2">
        <v>55.07</v>
      </c>
      <c r="N143" s="2">
        <v>60.5</v>
      </c>
      <c r="O143" s="2">
        <v>27.61</v>
      </c>
      <c r="P143" s="2">
        <v>3.22</v>
      </c>
      <c r="Q143" s="4">
        <v>437127</v>
      </c>
      <c r="R143" s="4">
        <v>0</v>
      </c>
      <c r="S143" s="4">
        <v>437127</v>
      </c>
      <c r="T143" s="4">
        <v>75115</v>
      </c>
      <c r="U143" s="4">
        <v>82522</v>
      </c>
      <c r="V143" s="4">
        <v>0</v>
      </c>
      <c r="W143" s="4">
        <v>40923</v>
      </c>
      <c r="X143" s="4">
        <v>4773</v>
      </c>
      <c r="Y143" s="4">
        <v>640460</v>
      </c>
      <c r="Z143" s="4">
        <v>46594</v>
      </c>
      <c r="AA143" s="4">
        <v>593866</v>
      </c>
      <c r="AB143" s="4">
        <v>344452</v>
      </c>
      <c r="AC143" s="4">
        <v>249414</v>
      </c>
    </row>
    <row r="144" spans="1:29" x14ac:dyDescent="0.25">
      <c r="A144" s="1" t="s">
        <v>144</v>
      </c>
      <c r="B144" s="1" t="s">
        <v>745</v>
      </c>
      <c r="C144" s="1" t="s">
        <v>151</v>
      </c>
      <c r="D144" s="1" t="s">
        <v>553</v>
      </c>
      <c r="E144" s="2">
        <v>48.49</v>
      </c>
      <c r="F144" s="3">
        <v>473.6</v>
      </c>
      <c r="G144" s="2">
        <v>522.09</v>
      </c>
      <c r="H144" s="2">
        <v>0</v>
      </c>
      <c r="I144" s="4">
        <v>2</v>
      </c>
      <c r="J144" s="3">
        <v>0</v>
      </c>
      <c r="K144" s="4">
        <v>476</v>
      </c>
      <c r="L144" s="2">
        <v>294.92</v>
      </c>
      <c r="M144" s="2">
        <v>55.07</v>
      </c>
      <c r="N144" s="2">
        <v>60.5</v>
      </c>
      <c r="O144" s="2">
        <v>27.61</v>
      </c>
      <c r="P144" s="2">
        <v>3.22</v>
      </c>
      <c r="Q144" s="4">
        <v>153975</v>
      </c>
      <c r="R144" s="4">
        <v>12</v>
      </c>
      <c r="S144" s="4">
        <v>153987</v>
      </c>
      <c r="T144" s="4">
        <v>26213</v>
      </c>
      <c r="U144" s="4">
        <v>28798</v>
      </c>
      <c r="V144" s="4">
        <v>0</v>
      </c>
      <c r="W144" s="4">
        <v>14415</v>
      </c>
      <c r="X144" s="4">
        <v>1681</v>
      </c>
      <c r="Y144" s="4">
        <v>225094</v>
      </c>
      <c r="Z144" s="4">
        <v>23775</v>
      </c>
      <c r="AA144" s="4">
        <v>201319</v>
      </c>
      <c r="AB144" s="4">
        <v>113968</v>
      </c>
      <c r="AC144" s="4">
        <v>87351</v>
      </c>
    </row>
    <row r="145" spans="1:29" x14ac:dyDescent="0.25">
      <c r="A145" s="1" t="s">
        <v>144</v>
      </c>
      <c r="B145" s="1" t="s">
        <v>745</v>
      </c>
      <c r="C145" s="1" t="s">
        <v>152</v>
      </c>
      <c r="D145" s="1" t="s">
        <v>554</v>
      </c>
      <c r="E145" s="2">
        <v>243.38</v>
      </c>
      <c r="F145" s="3">
        <v>2191.6999999999998</v>
      </c>
      <c r="G145" s="2">
        <v>2435.08</v>
      </c>
      <c r="H145" s="2">
        <v>0</v>
      </c>
      <c r="I145" s="4">
        <v>43</v>
      </c>
      <c r="J145" s="3">
        <v>0</v>
      </c>
      <c r="K145" s="4">
        <v>2235</v>
      </c>
      <c r="L145" s="2">
        <v>294.92</v>
      </c>
      <c r="M145" s="2">
        <v>55.07</v>
      </c>
      <c r="N145" s="2">
        <v>60.5</v>
      </c>
      <c r="O145" s="2">
        <v>27.61</v>
      </c>
      <c r="P145" s="2">
        <v>3.22</v>
      </c>
      <c r="Q145" s="4">
        <v>718154</v>
      </c>
      <c r="R145" s="4">
        <v>0</v>
      </c>
      <c r="S145" s="4">
        <v>718154</v>
      </c>
      <c r="T145" s="4">
        <v>123081</v>
      </c>
      <c r="U145" s="4">
        <v>135218</v>
      </c>
      <c r="V145" s="4">
        <v>0</v>
      </c>
      <c r="W145" s="4">
        <v>67233</v>
      </c>
      <c r="X145" s="4">
        <v>7841</v>
      </c>
      <c r="Y145" s="4">
        <v>1051527</v>
      </c>
      <c r="Z145" s="4">
        <v>54531</v>
      </c>
      <c r="AA145" s="4">
        <v>996996</v>
      </c>
      <c r="AB145" s="4">
        <v>587917</v>
      </c>
      <c r="AC145" s="4">
        <v>409079</v>
      </c>
    </row>
    <row r="146" spans="1:29" x14ac:dyDescent="0.25">
      <c r="A146" s="1" t="s">
        <v>144</v>
      </c>
      <c r="B146" s="1" t="s">
        <v>745</v>
      </c>
      <c r="C146" s="1" t="s">
        <v>153</v>
      </c>
      <c r="D146" s="1" t="s">
        <v>555</v>
      </c>
      <c r="E146" s="2">
        <v>598.49</v>
      </c>
      <c r="F146" s="3">
        <v>5162.7</v>
      </c>
      <c r="G146" s="2">
        <v>5761.19</v>
      </c>
      <c r="H146" s="2">
        <v>0</v>
      </c>
      <c r="I146" s="4">
        <v>141</v>
      </c>
      <c r="J146" s="3">
        <v>0</v>
      </c>
      <c r="K146" s="4">
        <v>5304</v>
      </c>
      <c r="L146" s="2">
        <v>294.92</v>
      </c>
      <c r="M146" s="2">
        <v>55.07</v>
      </c>
      <c r="N146" s="2">
        <v>60.5</v>
      </c>
      <c r="O146" s="2">
        <v>27.61</v>
      </c>
      <c r="P146" s="2">
        <v>3.22</v>
      </c>
      <c r="Q146" s="4">
        <v>1699090</v>
      </c>
      <c r="R146" s="4">
        <v>0</v>
      </c>
      <c r="S146" s="4">
        <v>1699090</v>
      </c>
      <c r="T146" s="4">
        <v>292091</v>
      </c>
      <c r="U146" s="4">
        <v>320892</v>
      </c>
      <c r="V146" s="4">
        <v>0</v>
      </c>
      <c r="W146" s="4">
        <v>159066</v>
      </c>
      <c r="X146" s="4">
        <v>18551</v>
      </c>
      <c r="Y146" s="4">
        <v>2489690</v>
      </c>
      <c r="Z146" s="4">
        <v>142066</v>
      </c>
      <c r="AA146" s="4">
        <v>2347624</v>
      </c>
      <c r="AB146" s="4">
        <v>1377908</v>
      </c>
      <c r="AC146" s="4">
        <v>969716</v>
      </c>
    </row>
    <row r="147" spans="1:29" x14ac:dyDescent="0.25">
      <c r="A147" s="1" t="s">
        <v>144</v>
      </c>
      <c r="B147" s="1" t="s">
        <v>745</v>
      </c>
      <c r="C147" s="1" t="s">
        <v>154</v>
      </c>
      <c r="D147" s="1" t="s">
        <v>556</v>
      </c>
      <c r="E147" s="2">
        <v>54.31</v>
      </c>
      <c r="F147" s="3">
        <v>452.2</v>
      </c>
      <c r="G147" s="2">
        <v>506.51</v>
      </c>
      <c r="H147" s="2">
        <v>0</v>
      </c>
      <c r="I147" s="4">
        <v>6</v>
      </c>
      <c r="J147" s="3">
        <v>0</v>
      </c>
      <c r="K147" s="4">
        <v>458</v>
      </c>
      <c r="L147" s="2">
        <v>294.92</v>
      </c>
      <c r="M147" s="2">
        <v>55.07</v>
      </c>
      <c r="N147" s="2">
        <v>60.5</v>
      </c>
      <c r="O147" s="2">
        <v>27.61</v>
      </c>
      <c r="P147" s="2">
        <v>3.22</v>
      </c>
      <c r="Q147" s="4">
        <v>149380</v>
      </c>
      <c r="R147" s="4">
        <v>25806</v>
      </c>
      <c r="S147" s="4">
        <v>175186</v>
      </c>
      <c r="T147" s="4">
        <v>25222</v>
      </c>
      <c r="U147" s="4">
        <v>27709</v>
      </c>
      <c r="V147" s="4">
        <v>0</v>
      </c>
      <c r="W147" s="4">
        <v>13985</v>
      </c>
      <c r="X147" s="4">
        <v>1631</v>
      </c>
      <c r="Y147" s="4">
        <v>243733</v>
      </c>
      <c r="Z147" s="4">
        <v>31450</v>
      </c>
      <c r="AA147" s="4">
        <v>212283</v>
      </c>
      <c r="AB147" s="4">
        <v>102183</v>
      </c>
      <c r="AC147" s="4">
        <v>110100</v>
      </c>
    </row>
    <row r="148" spans="1:29" x14ac:dyDescent="0.25">
      <c r="A148" s="1" t="s">
        <v>144</v>
      </c>
      <c r="B148" s="1" t="s">
        <v>745</v>
      </c>
      <c r="C148" s="1" t="s">
        <v>156</v>
      </c>
      <c r="D148" s="1" t="s">
        <v>157</v>
      </c>
      <c r="E148" s="2">
        <v>40.950000000000003</v>
      </c>
      <c r="F148" s="3">
        <v>333.7</v>
      </c>
      <c r="G148" s="2">
        <v>374.65</v>
      </c>
      <c r="H148" s="2">
        <v>0</v>
      </c>
      <c r="I148" s="4">
        <v>10</v>
      </c>
      <c r="J148" s="3">
        <v>0</v>
      </c>
      <c r="K148" s="4">
        <v>344</v>
      </c>
      <c r="L148" s="2">
        <v>294.92</v>
      </c>
      <c r="M148" s="2">
        <v>55.07</v>
      </c>
      <c r="N148" s="2">
        <v>60.5</v>
      </c>
      <c r="O148" s="2">
        <v>27.61</v>
      </c>
      <c r="P148" s="2">
        <v>3.22</v>
      </c>
      <c r="Q148" s="4">
        <v>110492</v>
      </c>
      <c r="R148" s="4">
        <v>1953</v>
      </c>
      <c r="S148" s="4">
        <v>112445</v>
      </c>
      <c r="T148" s="4">
        <v>18944</v>
      </c>
      <c r="U148" s="4">
        <v>20812</v>
      </c>
      <c r="V148" s="4">
        <v>0</v>
      </c>
      <c r="W148" s="4">
        <v>10344</v>
      </c>
      <c r="X148" s="4">
        <v>1206</v>
      </c>
      <c r="Y148" s="4">
        <v>163751</v>
      </c>
      <c r="Z148" s="4">
        <v>19800</v>
      </c>
      <c r="AA148" s="4">
        <v>143951</v>
      </c>
      <c r="AB148" s="4">
        <v>79043</v>
      </c>
      <c r="AC148" s="4">
        <v>64908</v>
      </c>
    </row>
    <row r="149" spans="1:29" x14ac:dyDescent="0.25">
      <c r="A149" s="1" t="s">
        <v>144</v>
      </c>
      <c r="B149" s="1" t="s">
        <v>745</v>
      </c>
      <c r="C149" s="1" t="s">
        <v>155</v>
      </c>
      <c r="D149" s="1" t="s">
        <v>557</v>
      </c>
      <c r="E149" s="2">
        <v>79.239999999999995</v>
      </c>
      <c r="F149" s="3">
        <v>617.20000000000005</v>
      </c>
      <c r="G149" s="2">
        <v>696.44</v>
      </c>
      <c r="H149" s="2">
        <v>0</v>
      </c>
      <c r="I149" s="4">
        <v>11</v>
      </c>
      <c r="J149" s="3">
        <v>0</v>
      </c>
      <c r="K149" s="4">
        <v>628</v>
      </c>
      <c r="L149" s="2">
        <v>294.92</v>
      </c>
      <c r="M149" s="2">
        <v>55.07</v>
      </c>
      <c r="N149" s="2">
        <v>60.5</v>
      </c>
      <c r="O149" s="2">
        <v>27.61</v>
      </c>
      <c r="P149" s="2">
        <v>3.22</v>
      </c>
      <c r="Q149" s="4">
        <v>205394</v>
      </c>
      <c r="R149" s="4">
        <v>1405</v>
      </c>
      <c r="S149" s="4">
        <v>206799</v>
      </c>
      <c r="T149" s="4">
        <v>34584</v>
      </c>
      <c r="U149" s="4">
        <v>37994</v>
      </c>
      <c r="V149" s="4">
        <v>0</v>
      </c>
      <c r="W149" s="4">
        <v>19342</v>
      </c>
      <c r="X149" s="4">
        <v>2252</v>
      </c>
      <c r="Y149" s="4">
        <v>300971</v>
      </c>
      <c r="Z149" s="4">
        <v>28769</v>
      </c>
      <c r="AA149" s="4">
        <v>272202</v>
      </c>
      <c r="AB149" s="4">
        <v>155096</v>
      </c>
      <c r="AC149" s="4">
        <v>117106</v>
      </c>
    </row>
    <row r="150" spans="1:29" x14ac:dyDescent="0.25">
      <c r="A150" s="1" t="s">
        <v>144</v>
      </c>
      <c r="B150" s="1" t="s">
        <v>745</v>
      </c>
      <c r="C150" s="1" t="s">
        <v>158</v>
      </c>
      <c r="D150" s="1" t="s">
        <v>558</v>
      </c>
      <c r="E150" s="2">
        <v>1362.63</v>
      </c>
      <c r="F150" s="3">
        <v>14197.5</v>
      </c>
      <c r="G150" s="2">
        <v>15560.13</v>
      </c>
      <c r="H150" s="2">
        <v>0</v>
      </c>
      <c r="I150" s="4">
        <v>987</v>
      </c>
      <c r="J150" s="3">
        <v>2.8</v>
      </c>
      <c r="K150" s="4">
        <v>15182</v>
      </c>
      <c r="L150" s="2">
        <v>294.92</v>
      </c>
      <c r="M150" s="2">
        <v>55.07</v>
      </c>
      <c r="N150" s="2">
        <v>60.5</v>
      </c>
      <c r="O150" s="2">
        <v>27.61</v>
      </c>
      <c r="P150" s="2">
        <v>3.22</v>
      </c>
      <c r="Q150" s="4">
        <v>4588994</v>
      </c>
      <c r="R150" s="4">
        <v>0</v>
      </c>
      <c r="S150" s="4">
        <v>4588994</v>
      </c>
      <c r="T150" s="4">
        <v>836073</v>
      </c>
      <c r="U150" s="4">
        <v>918511</v>
      </c>
      <c r="V150" s="4">
        <v>0</v>
      </c>
      <c r="W150" s="4">
        <v>429615</v>
      </c>
      <c r="X150" s="4">
        <v>50104</v>
      </c>
      <c r="Y150" s="4">
        <v>6823297</v>
      </c>
      <c r="Z150" s="4">
        <v>485100</v>
      </c>
      <c r="AA150" s="4">
        <v>6338197</v>
      </c>
      <c r="AB150" s="4">
        <v>3620129</v>
      </c>
      <c r="AC150" s="4">
        <v>2718068</v>
      </c>
    </row>
    <row r="151" spans="1:29" x14ac:dyDescent="0.25">
      <c r="A151" s="1" t="s">
        <v>144</v>
      </c>
      <c r="B151" s="1" t="s">
        <v>745</v>
      </c>
      <c r="C151" s="1" t="s">
        <v>159</v>
      </c>
      <c r="D151" s="1" t="s">
        <v>559</v>
      </c>
      <c r="E151" s="2">
        <v>56.5</v>
      </c>
      <c r="F151" s="3">
        <v>544.70000000000005</v>
      </c>
      <c r="G151" s="2">
        <v>601.20000000000005</v>
      </c>
      <c r="H151" s="2">
        <v>0</v>
      </c>
      <c r="I151" s="4">
        <v>0</v>
      </c>
      <c r="J151" s="3">
        <v>0</v>
      </c>
      <c r="K151" s="4">
        <v>545</v>
      </c>
      <c r="L151" s="2">
        <v>294.92</v>
      </c>
      <c r="M151" s="2">
        <v>55.07</v>
      </c>
      <c r="N151" s="2">
        <v>60.5</v>
      </c>
      <c r="O151" s="2">
        <v>27.61</v>
      </c>
      <c r="P151" s="2">
        <v>3.22</v>
      </c>
      <c r="Q151" s="4">
        <v>177306</v>
      </c>
      <c r="R151" s="4">
        <v>10302</v>
      </c>
      <c r="S151" s="4">
        <v>187608</v>
      </c>
      <c r="T151" s="4">
        <v>30013</v>
      </c>
      <c r="U151" s="4">
        <v>32973</v>
      </c>
      <c r="V151" s="4">
        <v>0</v>
      </c>
      <c r="W151" s="4">
        <v>16599</v>
      </c>
      <c r="X151" s="4">
        <v>1936</v>
      </c>
      <c r="Y151" s="4">
        <v>269129</v>
      </c>
      <c r="Z151" s="4">
        <v>30923</v>
      </c>
      <c r="AA151" s="4">
        <v>238206</v>
      </c>
      <c r="AB151" s="4">
        <v>127692</v>
      </c>
      <c r="AC151" s="4">
        <v>110514</v>
      </c>
    </row>
    <row r="152" spans="1:29" x14ac:dyDescent="0.25">
      <c r="A152" s="1" t="s">
        <v>144</v>
      </c>
      <c r="B152" s="1" t="s">
        <v>745</v>
      </c>
      <c r="C152" s="1" t="s">
        <v>160</v>
      </c>
      <c r="D152" s="1" t="s">
        <v>560</v>
      </c>
      <c r="E152" s="2">
        <v>705.41</v>
      </c>
      <c r="F152" s="3">
        <v>7436.2</v>
      </c>
      <c r="G152" s="2">
        <v>8141.61</v>
      </c>
      <c r="H152" s="2">
        <v>0</v>
      </c>
      <c r="I152" s="4">
        <v>462</v>
      </c>
      <c r="J152" s="3">
        <v>0</v>
      </c>
      <c r="K152" s="4">
        <v>7898</v>
      </c>
      <c r="L152" s="2">
        <v>294.92</v>
      </c>
      <c r="M152" s="2">
        <v>55.07</v>
      </c>
      <c r="N152" s="2">
        <v>60.5</v>
      </c>
      <c r="O152" s="2">
        <v>27.61</v>
      </c>
      <c r="P152" s="2">
        <v>3.22</v>
      </c>
      <c r="Q152" s="4">
        <v>2401124</v>
      </c>
      <c r="R152" s="4">
        <v>0</v>
      </c>
      <c r="S152" s="4">
        <v>2401124</v>
      </c>
      <c r="T152" s="4">
        <v>434943</v>
      </c>
      <c r="U152" s="4">
        <v>477829</v>
      </c>
      <c r="V152" s="4">
        <v>0</v>
      </c>
      <c r="W152" s="4">
        <v>224790</v>
      </c>
      <c r="X152" s="4">
        <v>26216</v>
      </c>
      <c r="Y152" s="4">
        <v>3564902</v>
      </c>
      <c r="Z152" s="4">
        <v>225812</v>
      </c>
      <c r="AA152" s="4">
        <v>3339090</v>
      </c>
      <c r="AB152" s="4">
        <v>1922189</v>
      </c>
      <c r="AC152" s="4">
        <v>1416901</v>
      </c>
    </row>
    <row r="153" spans="1:29" x14ac:dyDescent="0.25">
      <c r="A153" s="1" t="s">
        <v>144</v>
      </c>
      <c r="B153" s="1" t="s">
        <v>745</v>
      </c>
      <c r="C153" s="1" t="s">
        <v>161</v>
      </c>
      <c r="D153" s="1" t="s">
        <v>561</v>
      </c>
      <c r="E153" s="2">
        <v>31.09</v>
      </c>
      <c r="F153" s="3">
        <v>645.5</v>
      </c>
      <c r="G153" s="2">
        <v>676.59</v>
      </c>
      <c r="H153" s="2">
        <v>0</v>
      </c>
      <c r="I153" s="4">
        <v>8</v>
      </c>
      <c r="J153" s="3">
        <v>0</v>
      </c>
      <c r="K153" s="4">
        <v>654</v>
      </c>
      <c r="L153" s="2">
        <v>294.92</v>
      </c>
      <c r="M153" s="2">
        <v>55.07</v>
      </c>
      <c r="N153" s="2">
        <v>60.5</v>
      </c>
      <c r="O153" s="2">
        <v>27.61</v>
      </c>
      <c r="P153" s="2">
        <v>3.22</v>
      </c>
      <c r="Q153" s="4">
        <v>199540</v>
      </c>
      <c r="R153" s="4">
        <v>8604</v>
      </c>
      <c r="S153" s="4">
        <v>208144</v>
      </c>
      <c r="T153" s="4">
        <v>36016</v>
      </c>
      <c r="U153" s="4">
        <v>39567</v>
      </c>
      <c r="V153" s="4">
        <v>0</v>
      </c>
      <c r="W153" s="4">
        <v>19040</v>
      </c>
      <c r="X153" s="4">
        <v>2217</v>
      </c>
      <c r="Y153" s="4">
        <v>304984</v>
      </c>
      <c r="Z153" s="4">
        <v>27550</v>
      </c>
      <c r="AA153" s="4">
        <v>277434</v>
      </c>
      <c r="AB153" s="4">
        <v>151352</v>
      </c>
      <c r="AC153" s="4">
        <v>126082</v>
      </c>
    </row>
    <row r="154" spans="1:29" x14ac:dyDescent="0.25">
      <c r="A154" s="1" t="s">
        <v>144</v>
      </c>
      <c r="B154" s="1" t="s">
        <v>745</v>
      </c>
      <c r="C154" s="1" t="s">
        <v>162</v>
      </c>
      <c r="D154" s="1" t="s">
        <v>562</v>
      </c>
      <c r="E154" s="2">
        <v>30.65</v>
      </c>
      <c r="F154" s="3">
        <v>366.1</v>
      </c>
      <c r="G154" s="2">
        <v>396.75</v>
      </c>
      <c r="H154" s="2">
        <v>0</v>
      </c>
      <c r="I154" s="4">
        <v>5</v>
      </c>
      <c r="J154" s="3">
        <v>0</v>
      </c>
      <c r="K154" s="4">
        <v>371</v>
      </c>
      <c r="L154" s="2">
        <v>294.92</v>
      </c>
      <c r="M154" s="2">
        <v>55.07</v>
      </c>
      <c r="N154" s="2">
        <v>60.5</v>
      </c>
      <c r="O154" s="2">
        <v>27.61</v>
      </c>
      <c r="P154" s="2">
        <v>3.22</v>
      </c>
      <c r="Q154" s="4">
        <v>117010</v>
      </c>
      <c r="R154" s="4">
        <v>11588</v>
      </c>
      <c r="S154" s="4">
        <v>128598</v>
      </c>
      <c r="T154" s="4">
        <v>20431</v>
      </c>
      <c r="U154" s="4">
        <v>22446</v>
      </c>
      <c r="V154" s="4">
        <v>0</v>
      </c>
      <c r="W154" s="4">
        <v>10954</v>
      </c>
      <c r="X154" s="4">
        <v>1278</v>
      </c>
      <c r="Y154" s="4">
        <v>183707</v>
      </c>
      <c r="Z154" s="4">
        <v>18559</v>
      </c>
      <c r="AA154" s="4">
        <v>165148</v>
      </c>
      <c r="AB154" s="4">
        <v>86116</v>
      </c>
      <c r="AC154" s="4">
        <v>79032</v>
      </c>
    </row>
    <row r="155" spans="1:29" x14ac:dyDescent="0.25">
      <c r="A155" s="1" t="s">
        <v>144</v>
      </c>
      <c r="B155" s="1" t="s">
        <v>745</v>
      </c>
      <c r="C155" s="1" t="s">
        <v>163</v>
      </c>
      <c r="D155" s="1" t="s">
        <v>563</v>
      </c>
      <c r="E155" s="2">
        <v>215</v>
      </c>
      <c r="F155" s="3">
        <v>1918.1</v>
      </c>
      <c r="G155" s="2">
        <v>2133.1</v>
      </c>
      <c r="H155" s="2">
        <v>0</v>
      </c>
      <c r="I155" s="4">
        <v>83</v>
      </c>
      <c r="J155" s="3">
        <v>0.3</v>
      </c>
      <c r="K155" s="4">
        <v>2001</v>
      </c>
      <c r="L155" s="2">
        <v>294.92</v>
      </c>
      <c r="M155" s="2">
        <v>55.07</v>
      </c>
      <c r="N155" s="2">
        <v>60.5</v>
      </c>
      <c r="O155" s="2">
        <v>27.61</v>
      </c>
      <c r="P155" s="2">
        <v>3.22</v>
      </c>
      <c r="Q155" s="4">
        <v>629094</v>
      </c>
      <c r="R155" s="4">
        <v>0</v>
      </c>
      <c r="S155" s="4">
        <v>629094</v>
      </c>
      <c r="T155" s="4">
        <v>110195</v>
      </c>
      <c r="U155" s="4">
        <v>121061</v>
      </c>
      <c r="V155" s="4">
        <v>0</v>
      </c>
      <c r="W155" s="4">
        <v>58895</v>
      </c>
      <c r="X155" s="4">
        <v>6869</v>
      </c>
      <c r="Y155" s="4">
        <v>926114</v>
      </c>
      <c r="Z155" s="4">
        <v>80131</v>
      </c>
      <c r="AA155" s="4">
        <v>845983</v>
      </c>
      <c r="AB155" s="4">
        <v>482645</v>
      </c>
      <c r="AC155" s="4">
        <v>363338</v>
      </c>
    </row>
    <row r="156" spans="1:29" x14ac:dyDescent="0.25">
      <c r="A156" s="1" t="s">
        <v>144</v>
      </c>
      <c r="B156" s="1" t="s">
        <v>745</v>
      </c>
      <c r="C156" s="1" t="s">
        <v>164</v>
      </c>
      <c r="D156" s="1" t="s">
        <v>564</v>
      </c>
      <c r="E156" s="2">
        <v>154.69</v>
      </c>
      <c r="F156" s="3">
        <v>1248.7</v>
      </c>
      <c r="G156" s="2">
        <v>1403.39</v>
      </c>
      <c r="H156" s="2">
        <v>0</v>
      </c>
      <c r="I156" s="4">
        <v>52</v>
      </c>
      <c r="J156" s="3">
        <v>0.2</v>
      </c>
      <c r="K156" s="4">
        <v>1301</v>
      </c>
      <c r="L156" s="2">
        <v>294.92</v>
      </c>
      <c r="M156" s="2">
        <v>55.07</v>
      </c>
      <c r="N156" s="2">
        <v>60.5</v>
      </c>
      <c r="O156" s="2">
        <v>27.61</v>
      </c>
      <c r="P156" s="2">
        <v>3.22</v>
      </c>
      <c r="Q156" s="4">
        <v>413888</v>
      </c>
      <c r="R156" s="4">
        <v>0</v>
      </c>
      <c r="S156" s="4">
        <v>413888</v>
      </c>
      <c r="T156" s="4">
        <v>71646</v>
      </c>
      <c r="U156" s="4">
        <v>78711</v>
      </c>
      <c r="V156" s="4">
        <v>0</v>
      </c>
      <c r="W156" s="4">
        <v>38748</v>
      </c>
      <c r="X156" s="4">
        <v>4519</v>
      </c>
      <c r="Y156" s="4">
        <v>607512</v>
      </c>
      <c r="Z156" s="4">
        <v>55121</v>
      </c>
      <c r="AA156" s="4">
        <v>552391</v>
      </c>
      <c r="AB156" s="4">
        <v>315136</v>
      </c>
      <c r="AC156" s="4">
        <v>237255</v>
      </c>
    </row>
    <row r="157" spans="1:29" x14ac:dyDescent="0.25">
      <c r="A157" s="1" t="s">
        <v>144</v>
      </c>
      <c r="B157" s="1" t="s">
        <v>745</v>
      </c>
      <c r="C157" s="1" t="s">
        <v>165</v>
      </c>
      <c r="D157" s="1" t="s">
        <v>565</v>
      </c>
      <c r="E157" s="2">
        <v>65.42</v>
      </c>
      <c r="F157" s="3">
        <v>535.1</v>
      </c>
      <c r="G157" s="2">
        <v>600.52</v>
      </c>
      <c r="H157" s="2">
        <v>0</v>
      </c>
      <c r="I157" s="4">
        <v>10</v>
      </c>
      <c r="J157" s="3">
        <v>0</v>
      </c>
      <c r="K157" s="4">
        <v>545</v>
      </c>
      <c r="L157" s="2">
        <v>294.92</v>
      </c>
      <c r="M157" s="2">
        <v>55.07</v>
      </c>
      <c r="N157" s="2">
        <v>60.5</v>
      </c>
      <c r="O157" s="2">
        <v>27.61</v>
      </c>
      <c r="P157" s="2">
        <v>3.22</v>
      </c>
      <c r="Q157" s="4">
        <v>177105</v>
      </c>
      <c r="R157" s="4">
        <v>4143</v>
      </c>
      <c r="S157" s="4">
        <v>181248</v>
      </c>
      <c r="T157" s="4">
        <v>30013</v>
      </c>
      <c r="U157" s="4">
        <v>32973</v>
      </c>
      <c r="V157" s="4">
        <v>0</v>
      </c>
      <c r="W157" s="4">
        <v>16860</v>
      </c>
      <c r="X157" s="4">
        <v>1963</v>
      </c>
      <c r="Y157" s="4">
        <v>263057</v>
      </c>
      <c r="Z157" s="4">
        <v>35327</v>
      </c>
      <c r="AA157" s="4">
        <v>227730</v>
      </c>
      <c r="AB157" s="4">
        <v>123417</v>
      </c>
      <c r="AC157" s="4">
        <v>104313</v>
      </c>
    </row>
    <row r="158" spans="1:29" x14ac:dyDescent="0.25">
      <c r="A158" s="1" t="s">
        <v>144</v>
      </c>
      <c r="B158" s="1" t="s">
        <v>745</v>
      </c>
      <c r="C158" s="1" t="s">
        <v>166</v>
      </c>
      <c r="D158" s="1" t="s">
        <v>566</v>
      </c>
      <c r="E158" s="2">
        <v>125.9</v>
      </c>
      <c r="F158" s="3">
        <v>993.6</v>
      </c>
      <c r="G158" s="2">
        <v>1119.5</v>
      </c>
      <c r="H158" s="2">
        <v>0</v>
      </c>
      <c r="I158" s="4">
        <v>83</v>
      </c>
      <c r="J158" s="3">
        <v>3</v>
      </c>
      <c r="K158" s="4">
        <v>1074</v>
      </c>
      <c r="L158" s="2">
        <v>294.92</v>
      </c>
      <c r="M158" s="2">
        <v>55.07</v>
      </c>
      <c r="N158" s="2">
        <v>60.5</v>
      </c>
      <c r="O158" s="2">
        <v>27.61</v>
      </c>
      <c r="P158" s="2">
        <v>3.22</v>
      </c>
      <c r="Q158" s="4">
        <v>330163</v>
      </c>
      <c r="R158" s="4">
        <v>15550</v>
      </c>
      <c r="S158" s="4">
        <v>345713</v>
      </c>
      <c r="T158" s="4">
        <v>59145</v>
      </c>
      <c r="U158" s="4">
        <v>64977</v>
      </c>
      <c r="V158" s="4">
        <v>0</v>
      </c>
      <c r="W158" s="4">
        <v>31978</v>
      </c>
      <c r="X158" s="4">
        <v>3724</v>
      </c>
      <c r="Y158" s="4">
        <v>505537</v>
      </c>
      <c r="Z158" s="4">
        <v>48152</v>
      </c>
      <c r="AA158" s="4">
        <v>457385</v>
      </c>
      <c r="AB158" s="4">
        <v>248394</v>
      </c>
      <c r="AC158" s="4">
        <v>208991</v>
      </c>
    </row>
    <row r="159" spans="1:29" x14ac:dyDescent="0.25">
      <c r="A159" s="1" t="s">
        <v>144</v>
      </c>
      <c r="B159" s="1" t="s">
        <v>745</v>
      </c>
      <c r="C159" s="1" t="s">
        <v>167</v>
      </c>
      <c r="D159" s="1" t="s">
        <v>567</v>
      </c>
      <c r="E159" s="2">
        <v>69.62</v>
      </c>
      <c r="F159" s="3">
        <v>1124</v>
      </c>
      <c r="G159" s="2">
        <v>1193.6199999999999</v>
      </c>
      <c r="H159" s="2">
        <v>0</v>
      </c>
      <c r="I159" s="4">
        <v>25</v>
      </c>
      <c r="J159" s="3">
        <v>0</v>
      </c>
      <c r="K159" s="4">
        <v>1149</v>
      </c>
      <c r="L159" s="2">
        <v>294.92</v>
      </c>
      <c r="M159" s="2">
        <v>55.07</v>
      </c>
      <c r="N159" s="2">
        <v>60.5</v>
      </c>
      <c r="O159" s="2">
        <v>27.61</v>
      </c>
      <c r="P159" s="2">
        <v>3.22</v>
      </c>
      <c r="Q159" s="4">
        <v>352022</v>
      </c>
      <c r="R159" s="4">
        <v>0</v>
      </c>
      <c r="S159" s="4">
        <v>352022</v>
      </c>
      <c r="T159" s="4">
        <v>63275</v>
      </c>
      <c r="U159" s="4">
        <v>69515</v>
      </c>
      <c r="V159" s="4">
        <v>0</v>
      </c>
      <c r="W159" s="4">
        <v>32956</v>
      </c>
      <c r="X159" s="4">
        <v>3843</v>
      </c>
      <c r="Y159" s="4">
        <v>521611</v>
      </c>
      <c r="Z159" s="4">
        <v>45951</v>
      </c>
      <c r="AA159" s="4">
        <v>475660</v>
      </c>
      <c r="AB159" s="4">
        <v>268961</v>
      </c>
      <c r="AC159" s="4">
        <v>206699</v>
      </c>
    </row>
    <row r="160" spans="1:29" x14ac:dyDescent="0.25">
      <c r="A160" s="1" t="s">
        <v>144</v>
      </c>
      <c r="B160" s="1" t="s">
        <v>745</v>
      </c>
      <c r="C160" s="1" t="s">
        <v>168</v>
      </c>
      <c r="D160" s="1" t="s">
        <v>568</v>
      </c>
      <c r="E160" s="2">
        <v>113.26</v>
      </c>
      <c r="F160" s="3">
        <v>815</v>
      </c>
      <c r="G160" s="2">
        <v>928.26</v>
      </c>
      <c r="H160" s="2">
        <v>0</v>
      </c>
      <c r="I160" s="4">
        <v>3</v>
      </c>
      <c r="J160" s="3">
        <v>0</v>
      </c>
      <c r="K160" s="4">
        <v>818</v>
      </c>
      <c r="L160" s="2">
        <v>294.92</v>
      </c>
      <c r="M160" s="2">
        <v>55.07</v>
      </c>
      <c r="N160" s="2">
        <v>60.5</v>
      </c>
      <c r="O160" s="2">
        <v>27.61</v>
      </c>
      <c r="P160" s="2">
        <v>3.22</v>
      </c>
      <c r="Q160" s="4">
        <v>273762</v>
      </c>
      <c r="R160" s="4">
        <v>7262</v>
      </c>
      <c r="S160" s="4">
        <v>281024</v>
      </c>
      <c r="T160" s="4">
        <v>45047</v>
      </c>
      <c r="U160" s="4">
        <v>49489</v>
      </c>
      <c r="V160" s="4">
        <v>0</v>
      </c>
      <c r="W160" s="4">
        <v>26085</v>
      </c>
      <c r="X160" s="4">
        <v>3037</v>
      </c>
      <c r="Y160" s="4">
        <v>404682</v>
      </c>
      <c r="Z160" s="4">
        <v>44471</v>
      </c>
      <c r="AA160" s="4">
        <v>360211</v>
      </c>
      <c r="AB160" s="4">
        <v>200936</v>
      </c>
      <c r="AC160" s="4">
        <v>159275</v>
      </c>
    </row>
    <row r="161" spans="1:29" x14ac:dyDescent="0.25">
      <c r="A161" s="1" t="s">
        <v>144</v>
      </c>
      <c r="B161" s="1" t="s">
        <v>745</v>
      </c>
      <c r="C161" s="1" t="s">
        <v>169</v>
      </c>
      <c r="D161" s="1" t="s">
        <v>569</v>
      </c>
      <c r="E161" s="2">
        <v>41.8</v>
      </c>
      <c r="F161" s="3">
        <v>609.20000000000005</v>
      </c>
      <c r="G161" s="2">
        <v>651</v>
      </c>
      <c r="H161" s="2">
        <v>0</v>
      </c>
      <c r="I161" s="4">
        <v>2</v>
      </c>
      <c r="J161" s="3">
        <v>0</v>
      </c>
      <c r="K161" s="4">
        <v>611</v>
      </c>
      <c r="L161" s="2">
        <v>294.92</v>
      </c>
      <c r="M161" s="2">
        <v>55.07</v>
      </c>
      <c r="N161" s="2">
        <v>60.5</v>
      </c>
      <c r="O161" s="2">
        <v>27.61</v>
      </c>
      <c r="P161" s="2">
        <v>3.22</v>
      </c>
      <c r="Q161" s="4">
        <v>191993</v>
      </c>
      <c r="R161" s="4">
        <v>23776</v>
      </c>
      <c r="S161" s="4">
        <v>215769</v>
      </c>
      <c r="T161" s="4">
        <v>33648</v>
      </c>
      <c r="U161" s="4">
        <v>36966</v>
      </c>
      <c r="V161" s="4">
        <v>0</v>
      </c>
      <c r="W161" s="4">
        <v>18906</v>
      </c>
      <c r="X161" s="4">
        <v>2201</v>
      </c>
      <c r="Y161" s="4">
        <v>307490</v>
      </c>
      <c r="Z161" s="4">
        <v>34751</v>
      </c>
      <c r="AA161" s="4">
        <v>272739</v>
      </c>
      <c r="AB161" s="4">
        <v>138039</v>
      </c>
      <c r="AC161" s="4">
        <v>134700</v>
      </c>
    </row>
    <row r="162" spans="1:29" x14ac:dyDescent="0.25">
      <c r="A162" s="1" t="s">
        <v>144</v>
      </c>
      <c r="B162" s="1" t="s">
        <v>745</v>
      </c>
      <c r="C162" s="1" t="s">
        <v>170</v>
      </c>
      <c r="D162" s="1" t="s">
        <v>570</v>
      </c>
      <c r="E162" s="2">
        <v>30.17</v>
      </c>
      <c r="F162" s="3">
        <v>206</v>
      </c>
      <c r="G162" s="2">
        <v>236.17</v>
      </c>
      <c r="H162" s="2">
        <v>0</v>
      </c>
      <c r="I162" s="4">
        <v>5</v>
      </c>
      <c r="J162" s="3">
        <v>0</v>
      </c>
      <c r="K162" s="4">
        <v>211</v>
      </c>
      <c r="L162" s="2">
        <v>294.92</v>
      </c>
      <c r="M162" s="2">
        <v>55.07</v>
      </c>
      <c r="N162" s="2">
        <v>60.5</v>
      </c>
      <c r="O162" s="2">
        <v>27.61</v>
      </c>
      <c r="P162" s="2">
        <v>3.22</v>
      </c>
      <c r="Q162" s="4">
        <v>69651</v>
      </c>
      <c r="R162" s="4">
        <v>8851</v>
      </c>
      <c r="S162" s="4">
        <v>78502</v>
      </c>
      <c r="T162" s="4">
        <v>11620</v>
      </c>
      <c r="U162" s="4">
        <v>12766</v>
      </c>
      <c r="V162" s="4">
        <v>0</v>
      </c>
      <c r="W162" s="4">
        <v>6774</v>
      </c>
      <c r="X162" s="4">
        <v>789</v>
      </c>
      <c r="Y162" s="4">
        <v>110451</v>
      </c>
      <c r="Z162" s="4">
        <v>14596</v>
      </c>
      <c r="AA162" s="4">
        <v>95855</v>
      </c>
      <c r="AB162" s="4">
        <v>47995</v>
      </c>
      <c r="AC162" s="4">
        <v>47860</v>
      </c>
    </row>
    <row r="163" spans="1:29" x14ac:dyDescent="0.25">
      <c r="A163" s="1" t="s">
        <v>144</v>
      </c>
      <c r="B163" s="1" t="s">
        <v>745</v>
      </c>
      <c r="C163" s="1" t="s">
        <v>171</v>
      </c>
      <c r="D163" s="1" t="s">
        <v>571</v>
      </c>
      <c r="E163" s="2">
        <v>94.46</v>
      </c>
      <c r="F163" s="3">
        <v>1351.8</v>
      </c>
      <c r="G163" s="2">
        <v>1446.26</v>
      </c>
      <c r="H163" s="2">
        <v>0</v>
      </c>
      <c r="I163" s="4">
        <v>25</v>
      </c>
      <c r="J163" s="3">
        <v>0</v>
      </c>
      <c r="K163" s="4">
        <v>1377</v>
      </c>
      <c r="L163" s="2">
        <v>294.92</v>
      </c>
      <c r="M163" s="2">
        <v>55.07</v>
      </c>
      <c r="N163" s="2">
        <v>60.5</v>
      </c>
      <c r="O163" s="2">
        <v>27.61</v>
      </c>
      <c r="P163" s="2">
        <v>3.22</v>
      </c>
      <c r="Q163" s="4">
        <v>426531</v>
      </c>
      <c r="R163" s="4">
        <v>0</v>
      </c>
      <c r="S163" s="4">
        <v>426531</v>
      </c>
      <c r="T163" s="4">
        <v>75831</v>
      </c>
      <c r="U163" s="4">
        <v>83309</v>
      </c>
      <c r="V163" s="4">
        <v>0</v>
      </c>
      <c r="W163" s="4">
        <v>39931</v>
      </c>
      <c r="X163" s="4">
        <v>4657</v>
      </c>
      <c r="Y163" s="4">
        <v>630259</v>
      </c>
      <c r="Z163" s="4">
        <v>48951</v>
      </c>
      <c r="AA163" s="4">
        <v>581308</v>
      </c>
      <c r="AB163" s="4">
        <v>332616</v>
      </c>
      <c r="AC163" s="4">
        <v>248692</v>
      </c>
    </row>
    <row r="164" spans="1:29" x14ac:dyDescent="0.25">
      <c r="A164" s="1" t="s">
        <v>144</v>
      </c>
      <c r="B164" s="1" t="s">
        <v>745</v>
      </c>
      <c r="C164" s="1" t="s">
        <v>172</v>
      </c>
      <c r="D164" s="1" t="s">
        <v>572</v>
      </c>
      <c r="E164" s="2">
        <v>42.61</v>
      </c>
      <c r="F164" s="3">
        <v>390.1</v>
      </c>
      <c r="G164" s="2">
        <v>432.71</v>
      </c>
      <c r="H164" s="2">
        <v>0</v>
      </c>
      <c r="I164" s="4">
        <v>7</v>
      </c>
      <c r="J164" s="3">
        <v>0</v>
      </c>
      <c r="K164" s="4">
        <v>397</v>
      </c>
      <c r="L164" s="2">
        <v>294.92</v>
      </c>
      <c r="M164" s="2">
        <v>55.07</v>
      </c>
      <c r="N164" s="2">
        <v>60.5</v>
      </c>
      <c r="O164" s="2">
        <v>27.61</v>
      </c>
      <c r="P164" s="2">
        <v>3.22</v>
      </c>
      <c r="Q164" s="4">
        <v>127615</v>
      </c>
      <c r="R164" s="4">
        <v>1370</v>
      </c>
      <c r="S164" s="4">
        <v>128985</v>
      </c>
      <c r="T164" s="4">
        <v>21863</v>
      </c>
      <c r="U164" s="4">
        <v>24019</v>
      </c>
      <c r="V164" s="4">
        <v>0</v>
      </c>
      <c r="W164" s="4">
        <v>11947</v>
      </c>
      <c r="X164" s="4">
        <v>1393</v>
      </c>
      <c r="Y164" s="4">
        <v>188207</v>
      </c>
      <c r="Z164" s="4">
        <v>21853</v>
      </c>
      <c r="AA164" s="4">
        <v>166354</v>
      </c>
      <c r="AB164" s="4">
        <v>92308</v>
      </c>
      <c r="AC164" s="4">
        <v>74046</v>
      </c>
    </row>
    <row r="165" spans="1:29" x14ac:dyDescent="0.25">
      <c r="A165" s="1" t="s">
        <v>144</v>
      </c>
      <c r="B165" s="1" t="s">
        <v>745</v>
      </c>
      <c r="C165" s="1" t="s">
        <v>173</v>
      </c>
      <c r="D165" s="1" t="s">
        <v>573</v>
      </c>
      <c r="E165" s="2">
        <v>87.19</v>
      </c>
      <c r="F165" s="3">
        <v>883.2</v>
      </c>
      <c r="G165" s="2">
        <v>970.39</v>
      </c>
      <c r="H165" s="2">
        <v>0</v>
      </c>
      <c r="I165" s="4">
        <v>3</v>
      </c>
      <c r="J165" s="3">
        <v>0</v>
      </c>
      <c r="K165" s="4">
        <v>886</v>
      </c>
      <c r="L165" s="2">
        <v>294.92</v>
      </c>
      <c r="M165" s="2">
        <v>55.07</v>
      </c>
      <c r="N165" s="2">
        <v>60.5</v>
      </c>
      <c r="O165" s="2">
        <v>27.61</v>
      </c>
      <c r="P165" s="2">
        <v>3.22</v>
      </c>
      <c r="Q165" s="4">
        <v>286187</v>
      </c>
      <c r="R165" s="4">
        <v>617</v>
      </c>
      <c r="S165" s="4">
        <v>286804</v>
      </c>
      <c r="T165" s="4">
        <v>48792</v>
      </c>
      <c r="U165" s="4">
        <v>53603</v>
      </c>
      <c r="V165" s="4">
        <v>0</v>
      </c>
      <c r="W165" s="4">
        <v>26825</v>
      </c>
      <c r="X165" s="4">
        <v>3125</v>
      </c>
      <c r="Y165" s="4">
        <v>419149</v>
      </c>
      <c r="Z165" s="4">
        <v>38524</v>
      </c>
      <c r="AA165" s="4">
        <v>380625</v>
      </c>
      <c r="AB165" s="4">
        <v>217527</v>
      </c>
      <c r="AC165" s="4">
        <v>163098</v>
      </c>
    </row>
    <row r="166" spans="1:29" x14ac:dyDescent="0.25">
      <c r="A166" s="1" t="s">
        <v>144</v>
      </c>
      <c r="B166" s="1" t="s">
        <v>745</v>
      </c>
      <c r="C166" s="1" t="s">
        <v>174</v>
      </c>
      <c r="D166" s="1" t="s">
        <v>574</v>
      </c>
      <c r="E166" s="2">
        <v>224.18</v>
      </c>
      <c r="F166" s="3">
        <v>1544</v>
      </c>
      <c r="G166" s="2">
        <v>1768.18</v>
      </c>
      <c r="H166" s="2">
        <v>0</v>
      </c>
      <c r="I166" s="4">
        <v>22</v>
      </c>
      <c r="J166" s="3">
        <v>0</v>
      </c>
      <c r="K166" s="4">
        <v>1566</v>
      </c>
      <c r="L166" s="2">
        <v>294.92</v>
      </c>
      <c r="M166" s="2">
        <v>55.07</v>
      </c>
      <c r="N166" s="2">
        <v>60.5</v>
      </c>
      <c r="O166" s="2">
        <v>27.61</v>
      </c>
      <c r="P166" s="2">
        <v>3.22</v>
      </c>
      <c r="Q166" s="4">
        <v>521472</v>
      </c>
      <c r="R166" s="4">
        <v>15436</v>
      </c>
      <c r="S166" s="4">
        <v>536908</v>
      </c>
      <c r="T166" s="4">
        <v>86240</v>
      </c>
      <c r="U166" s="4">
        <v>94743</v>
      </c>
      <c r="V166" s="4">
        <v>0</v>
      </c>
      <c r="W166" s="4">
        <v>48819</v>
      </c>
      <c r="X166" s="4">
        <v>5694</v>
      </c>
      <c r="Y166" s="4">
        <v>772404</v>
      </c>
      <c r="Z166" s="4">
        <v>88383</v>
      </c>
      <c r="AA166" s="4">
        <v>684021</v>
      </c>
      <c r="AB166" s="4">
        <v>378116</v>
      </c>
      <c r="AC166" s="4">
        <v>305905</v>
      </c>
    </row>
    <row r="167" spans="1:29" x14ac:dyDescent="0.25">
      <c r="A167" s="1" t="s">
        <v>144</v>
      </c>
      <c r="B167" s="1" t="s">
        <v>745</v>
      </c>
      <c r="C167" s="1" t="s">
        <v>175</v>
      </c>
      <c r="D167" s="1" t="s">
        <v>575</v>
      </c>
      <c r="E167" s="2">
        <v>244.58</v>
      </c>
      <c r="F167" s="3">
        <v>1778.1</v>
      </c>
      <c r="G167" s="2">
        <v>2022.68</v>
      </c>
      <c r="H167" s="2">
        <v>0</v>
      </c>
      <c r="I167" s="4">
        <v>77</v>
      </c>
      <c r="J167" s="3">
        <v>0.6</v>
      </c>
      <c r="K167" s="4">
        <v>1855</v>
      </c>
      <c r="L167" s="2">
        <v>294.92</v>
      </c>
      <c r="M167" s="2">
        <v>55.07</v>
      </c>
      <c r="N167" s="2">
        <v>60.5</v>
      </c>
      <c r="O167" s="2">
        <v>27.61</v>
      </c>
      <c r="P167" s="2">
        <v>3.22</v>
      </c>
      <c r="Q167" s="4">
        <v>596529</v>
      </c>
      <c r="R167" s="4">
        <v>0</v>
      </c>
      <c r="S167" s="4">
        <v>596529</v>
      </c>
      <c r="T167" s="4">
        <v>102155</v>
      </c>
      <c r="U167" s="4">
        <v>112228</v>
      </c>
      <c r="V167" s="4">
        <v>0</v>
      </c>
      <c r="W167" s="4">
        <v>55846</v>
      </c>
      <c r="X167" s="4">
        <v>6513</v>
      </c>
      <c r="Y167" s="4">
        <v>873271</v>
      </c>
      <c r="Z167" s="4">
        <v>80503</v>
      </c>
      <c r="AA167" s="4">
        <v>792768</v>
      </c>
      <c r="AB167" s="4">
        <v>453140</v>
      </c>
      <c r="AC167" s="4">
        <v>339628</v>
      </c>
    </row>
    <row r="168" spans="1:29" x14ac:dyDescent="0.25">
      <c r="A168" s="1" t="s">
        <v>144</v>
      </c>
      <c r="B168" s="1" t="s">
        <v>745</v>
      </c>
      <c r="C168" s="1" t="s">
        <v>176</v>
      </c>
      <c r="D168" s="1" t="s">
        <v>576</v>
      </c>
      <c r="E168" s="2">
        <v>84.89</v>
      </c>
      <c r="F168" s="3">
        <v>774.3</v>
      </c>
      <c r="G168" s="2">
        <v>859.19</v>
      </c>
      <c r="H168" s="2">
        <v>0</v>
      </c>
      <c r="I168" s="4">
        <v>16</v>
      </c>
      <c r="J168" s="3">
        <v>0</v>
      </c>
      <c r="K168" s="4">
        <v>790</v>
      </c>
      <c r="L168" s="2">
        <v>294.92</v>
      </c>
      <c r="M168" s="2">
        <v>55.07</v>
      </c>
      <c r="N168" s="2">
        <v>60.5</v>
      </c>
      <c r="O168" s="2">
        <v>27.61</v>
      </c>
      <c r="P168" s="2">
        <v>3.22</v>
      </c>
      <c r="Q168" s="4">
        <v>253392</v>
      </c>
      <c r="R168" s="4">
        <v>0</v>
      </c>
      <c r="S168" s="4">
        <v>253392</v>
      </c>
      <c r="T168" s="4">
        <v>43505</v>
      </c>
      <c r="U168" s="4">
        <v>47795</v>
      </c>
      <c r="V168" s="4">
        <v>0</v>
      </c>
      <c r="W168" s="4">
        <v>23722</v>
      </c>
      <c r="X168" s="4">
        <v>2767</v>
      </c>
      <c r="Y168" s="4">
        <v>371181</v>
      </c>
      <c r="Z168" s="4">
        <v>35036</v>
      </c>
      <c r="AA168" s="4">
        <v>336145</v>
      </c>
      <c r="AB168" s="4">
        <v>191644</v>
      </c>
      <c r="AC168" s="4">
        <v>144501</v>
      </c>
    </row>
    <row r="169" spans="1:29" x14ac:dyDescent="0.25">
      <c r="A169" s="1" t="s">
        <v>144</v>
      </c>
      <c r="B169" s="1" t="s">
        <v>745</v>
      </c>
      <c r="C169" s="1" t="s">
        <v>177</v>
      </c>
      <c r="D169" s="1" t="s">
        <v>577</v>
      </c>
      <c r="E169" s="2">
        <v>86.2</v>
      </c>
      <c r="F169" s="3">
        <v>1124.0999999999999</v>
      </c>
      <c r="G169" s="2">
        <v>1210.3</v>
      </c>
      <c r="H169" s="2">
        <v>0</v>
      </c>
      <c r="I169" s="4">
        <v>70</v>
      </c>
      <c r="J169" s="3">
        <v>1.7</v>
      </c>
      <c r="K169" s="4">
        <v>1192</v>
      </c>
      <c r="L169" s="2">
        <v>294.92</v>
      </c>
      <c r="M169" s="2">
        <v>55.07</v>
      </c>
      <c r="N169" s="2">
        <v>60.5</v>
      </c>
      <c r="O169" s="2">
        <v>27.61</v>
      </c>
      <c r="P169" s="2">
        <v>3.22</v>
      </c>
      <c r="Q169" s="4">
        <v>356942</v>
      </c>
      <c r="R169" s="4">
        <v>0</v>
      </c>
      <c r="S169" s="4">
        <v>356942</v>
      </c>
      <c r="T169" s="4">
        <v>65643</v>
      </c>
      <c r="U169" s="4">
        <v>72116</v>
      </c>
      <c r="V169" s="4">
        <v>0</v>
      </c>
      <c r="W169" s="4">
        <v>33416</v>
      </c>
      <c r="X169" s="4">
        <v>3897</v>
      </c>
      <c r="Y169" s="4">
        <v>532014</v>
      </c>
      <c r="Z169" s="4">
        <v>51123</v>
      </c>
      <c r="AA169" s="4">
        <v>480891</v>
      </c>
      <c r="AB169" s="4">
        <v>268190</v>
      </c>
      <c r="AC169" s="4">
        <v>212701</v>
      </c>
    </row>
    <row r="170" spans="1:29" x14ac:dyDescent="0.25">
      <c r="A170" s="1" t="s">
        <v>178</v>
      </c>
      <c r="B170" s="1" t="s">
        <v>746</v>
      </c>
      <c r="C170" s="1" t="s">
        <v>179</v>
      </c>
      <c r="D170" s="1" t="s">
        <v>578</v>
      </c>
      <c r="E170" s="2">
        <v>35.4</v>
      </c>
      <c r="F170" s="3">
        <v>300.3</v>
      </c>
      <c r="G170" s="2">
        <v>335.7</v>
      </c>
      <c r="H170" s="2">
        <v>0</v>
      </c>
      <c r="I170" s="4">
        <v>0</v>
      </c>
      <c r="J170" s="3">
        <v>0</v>
      </c>
      <c r="K170" s="4">
        <v>300</v>
      </c>
      <c r="L170" s="2">
        <v>287.82</v>
      </c>
      <c r="M170" s="2">
        <v>54.95</v>
      </c>
      <c r="N170" s="2">
        <v>60.32</v>
      </c>
      <c r="O170" s="2">
        <v>23.84</v>
      </c>
      <c r="P170" s="2">
        <v>3.03</v>
      </c>
      <c r="Q170" s="4">
        <v>96621</v>
      </c>
      <c r="R170" s="4">
        <v>9702</v>
      </c>
      <c r="S170" s="4">
        <v>106323</v>
      </c>
      <c r="T170" s="4">
        <v>16485</v>
      </c>
      <c r="U170" s="4">
        <v>18096</v>
      </c>
      <c r="V170" s="4">
        <v>0</v>
      </c>
      <c r="W170" s="4">
        <v>8003</v>
      </c>
      <c r="X170" s="4">
        <v>1017</v>
      </c>
      <c r="Y170" s="4">
        <v>149924</v>
      </c>
      <c r="Z170" s="4">
        <v>16927</v>
      </c>
      <c r="AA170" s="4">
        <v>132997</v>
      </c>
      <c r="AB170" s="4">
        <v>70311</v>
      </c>
      <c r="AC170" s="4">
        <v>62686</v>
      </c>
    </row>
    <row r="171" spans="1:29" x14ac:dyDescent="0.25">
      <c r="A171" s="1" t="s">
        <v>178</v>
      </c>
      <c r="B171" s="1" t="s">
        <v>746</v>
      </c>
      <c r="C171" s="1" t="s">
        <v>180</v>
      </c>
      <c r="D171" s="1" t="s">
        <v>579</v>
      </c>
      <c r="E171" s="2">
        <v>167.46</v>
      </c>
      <c r="F171" s="3">
        <v>1729.8</v>
      </c>
      <c r="G171" s="2">
        <v>1897.26</v>
      </c>
      <c r="H171" s="2">
        <v>0</v>
      </c>
      <c r="I171" s="4">
        <v>27</v>
      </c>
      <c r="J171" s="3">
        <v>0</v>
      </c>
      <c r="K171" s="4">
        <v>1757</v>
      </c>
      <c r="L171" s="2">
        <v>287.82</v>
      </c>
      <c r="M171" s="2">
        <v>54.95</v>
      </c>
      <c r="N171" s="2">
        <v>60.32</v>
      </c>
      <c r="O171" s="2">
        <v>23.84</v>
      </c>
      <c r="P171" s="2">
        <v>3.03</v>
      </c>
      <c r="Q171" s="4">
        <v>546069</v>
      </c>
      <c r="R171" s="4">
        <v>0</v>
      </c>
      <c r="S171" s="4">
        <v>546069</v>
      </c>
      <c r="T171" s="4">
        <v>96547</v>
      </c>
      <c r="U171" s="4">
        <v>105982</v>
      </c>
      <c r="V171" s="4">
        <v>0</v>
      </c>
      <c r="W171" s="4">
        <v>45231</v>
      </c>
      <c r="X171" s="4">
        <v>5749</v>
      </c>
      <c r="Y171" s="4">
        <v>799578</v>
      </c>
      <c r="Z171" s="4">
        <v>62785</v>
      </c>
      <c r="AA171" s="4">
        <v>736793</v>
      </c>
      <c r="AB171" s="4">
        <v>430257</v>
      </c>
      <c r="AC171" s="4">
        <v>306536</v>
      </c>
    </row>
    <row r="172" spans="1:29" x14ac:dyDescent="0.25">
      <c r="A172" s="1" t="s">
        <v>178</v>
      </c>
      <c r="B172" s="1" t="s">
        <v>746</v>
      </c>
      <c r="C172" s="1" t="s">
        <v>181</v>
      </c>
      <c r="D172" s="1" t="s">
        <v>580</v>
      </c>
      <c r="E172" s="2">
        <v>395.58</v>
      </c>
      <c r="F172" s="3">
        <v>4299.8</v>
      </c>
      <c r="G172" s="2">
        <v>4695.38</v>
      </c>
      <c r="H172" s="2">
        <v>0</v>
      </c>
      <c r="I172" s="4">
        <v>144</v>
      </c>
      <c r="J172" s="3">
        <v>0</v>
      </c>
      <c r="K172" s="4">
        <v>4444</v>
      </c>
      <c r="L172" s="2">
        <v>287.82</v>
      </c>
      <c r="M172" s="2">
        <v>54.95</v>
      </c>
      <c r="N172" s="2">
        <v>60.32</v>
      </c>
      <c r="O172" s="2">
        <v>23.84</v>
      </c>
      <c r="P172" s="2">
        <v>3.03</v>
      </c>
      <c r="Q172" s="4">
        <v>1351424</v>
      </c>
      <c r="R172" s="4">
        <v>0</v>
      </c>
      <c r="S172" s="4">
        <v>1351424</v>
      </c>
      <c r="T172" s="4">
        <v>244198</v>
      </c>
      <c r="U172" s="4">
        <v>268062</v>
      </c>
      <c r="V172" s="4">
        <v>0</v>
      </c>
      <c r="W172" s="4">
        <v>111938</v>
      </c>
      <c r="X172" s="4">
        <v>14227</v>
      </c>
      <c r="Y172" s="4">
        <v>1989849</v>
      </c>
      <c r="Z172" s="4">
        <v>203105</v>
      </c>
      <c r="AA172" s="4">
        <v>1786744</v>
      </c>
      <c r="AB172" s="4">
        <v>1017084</v>
      </c>
      <c r="AC172" s="4">
        <v>769660</v>
      </c>
    </row>
    <row r="173" spans="1:29" x14ac:dyDescent="0.25">
      <c r="A173" s="1" t="s">
        <v>178</v>
      </c>
      <c r="B173" s="1" t="s">
        <v>746</v>
      </c>
      <c r="C173" s="1" t="s">
        <v>182</v>
      </c>
      <c r="D173" s="1" t="s">
        <v>581</v>
      </c>
      <c r="E173" s="2">
        <v>1025.55</v>
      </c>
      <c r="F173" s="3">
        <v>11548.7</v>
      </c>
      <c r="G173" s="2">
        <v>12574.25</v>
      </c>
      <c r="H173" s="2">
        <v>0</v>
      </c>
      <c r="I173" s="4">
        <v>461</v>
      </c>
      <c r="J173" s="3">
        <v>0.4</v>
      </c>
      <c r="K173" s="4">
        <v>12009</v>
      </c>
      <c r="L173" s="2">
        <v>287.82</v>
      </c>
      <c r="M173" s="2">
        <v>54.95</v>
      </c>
      <c r="N173" s="2">
        <v>60.32</v>
      </c>
      <c r="O173" s="2">
        <v>23.84</v>
      </c>
      <c r="P173" s="2">
        <v>3.03</v>
      </c>
      <c r="Q173" s="4">
        <v>3619121</v>
      </c>
      <c r="R173" s="4">
        <v>0</v>
      </c>
      <c r="S173" s="4">
        <v>3619121</v>
      </c>
      <c r="T173" s="4">
        <v>659895</v>
      </c>
      <c r="U173" s="4">
        <v>724383</v>
      </c>
      <c r="V173" s="4">
        <v>0</v>
      </c>
      <c r="W173" s="4">
        <v>299770</v>
      </c>
      <c r="X173" s="4">
        <v>38100</v>
      </c>
      <c r="Y173" s="4">
        <v>5341269</v>
      </c>
      <c r="Z173" s="4">
        <v>253394</v>
      </c>
      <c r="AA173" s="4">
        <v>5087875</v>
      </c>
      <c r="AB173" s="4">
        <v>3014276</v>
      </c>
      <c r="AC173" s="4">
        <v>2073599</v>
      </c>
    </row>
    <row r="174" spans="1:29" x14ac:dyDescent="0.25">
      <c r="A174" s="1" t="s">
        <v>178</v>
      </c>
      <c r="B174" s="1" t="s">
        <v>746</v>
      </c>
      <c r="C174" s="1" t="s">
        <v>183</v>
      </c>
      <c r="D174" s="1" t="s">
        <v>582</v>
      </c>
      <c r="E174" s="2">
        <v>57.76</v>
      </c>
      <c r="F174" s="3">
        <v>491.1</v>
      </c>
      <c r="G174" s="2">
        <v>548.86</v>
      </c>
      <c r="H174" s="2">
        <v>0</v>
      </c>
      <c r="I174" s="4">
        <v>3</v>
      </c>
      <c r="J174" s="3">
        <v>0</v>
      </c>
      <c r="K174" s="4">
        <v>494</v>
      </c>
      <c r="L174" s="2">
        <v>287.82</v>
      </c>
      <c r="M174" s="2">
        <v>54.95</v>
      </c>
      <c r="N174" s="2">
        <v>60.32</v>
      </c>
      <c r="O174" s="2">
        <v>23.84</v>
      </c>
      <c r="P174" s="2">
        <v>3.03</v>
      </c>
      <c r="Q174" s="4">
        <v>157973</v>
      </c>
      <c r="R174" s="4">
        <v>9454</v>
      </c>
      <c r="S174" s="4">
        <v>167427</v>
      </c>
      <c r="T174" s="4">
        <v>27145</v>
      </c>
      <c r="U174" s="4">
        <v>29798</v>
      </c>
      <c r="V174" s="4">
        <v>0</v>
      </c>
      <c r="W174" s="4">
        <v>13177</v>
      </c>
      <c r="X174" s="4">
        <v>1674</v>
      </c>
      <c r="Y174" s="4">
        <v>239221</v>
      </c>
      <c r="Z174" s="4">
        <v>31621</v>
      </c>
      <c r="AA174" s="4">
        <v>207600</v>
      </c>
      <c r="AB174" s="4">
        <v>111114</v>
      </c>
      <c r="AC174" s="4">
        <v>96486</v>
      </c>
    </row>
    <row r="175" spans="1:29" x14ac:dyDescent="0.25">
      <c r="A175" s="1" t="s">
        <v>178</v>
      </c>
      <c r="B175" s="1" t="s">
        <v>746</v>
      </c>
      <c r="C175" s="1" t="s">
        <v>184</v>
      </c>
      <c r="D175" s="1" t="s">
        <v>583</v>
      </c>
      <c r="E175" s="2">
        <v>143.91</v>
      </c>
      <c r="F175" s="3">
        <v>1619.2</v>
      </c>
      <c r="G175" s="2">
        <v>1763.11</v>
      </c>
      <c r="H175" s="2">
        <v>0</v>
      </c>
      <c r="I175" s="4">
        <v>13</v>
      </c>
      <c r="J175" s="3">
        <v>0</v>
      </c>
      <c r="K175" s="4">
        <v>1632</v>
      </c>
      <c r="L175" s="2">
        <v>287.82</v>
      </c>
      <c r="M175" s="2">
        <v>54.95</v>
      </c>
      <c r="N175" s="2">
        <v>60.32</v>
      </c>
      <c r="O175" s="2">
        <v>23.84</v>
      </c>
      <c r="P175" s="2">
        <v>3.03</v>
      </c>
      <c r="Q175" s="4">
        <v>507458</v>
      </c>
      <c r="R175" s="4">
        <v>0</v>
      </c>
      <c r="S175" s="4">
        <v>507458</v>
      </c>
      <c r="T175" s="4">
        <v>89678</v>
      </c>
      <c r="U175" s="4">
        <v>98442</v>
      </c>
      <c r="V175" s="4">
        <v>0</v>
      </c>
      <c r="W175" s="4">
        <v>42033</v>
      </c>
      <c r="X175" s="4">
        <v>5342</v>
      </c>
      <c r="Y175" s="4">
        <v>742953</v>
      </c>
      <c r="Z175" s="4">
        <v>53719</v>
      </c>
      <c r="AA175" s="4">
        <v>689234</v>
      </c>
      <c r="AB175" s="4">
        <v>404461</v>
      </c>
      <c r="AC175" s="4">
        <v>284773</v>
      </c>
    </row>
    <row r="176" spans="1:29" x14ac:dyDescent="0.25">
      <c r="A176" s="1" t="s">
        <v>178</v>
      </c>
      <c r="B176" s="1" t="s">
        <v>746</v>
      </c>
      <c r="C176" s="1" t="s">
        <v>185</v>
      </c>
      <c r="D176" s="1" t="s">
        <v>584</v>
      </c>
      <c r="E176" s="2">
        <v>35.950000000000003</v>
      </c>
      <c r="F176" s="3">
        <v>315.39999999999998</v>
      </c>
      <c r="G176" s="2">
        <v>351.35</v>
      </c>
      <c r="H176" s="2">
        <v>0</v>
      </c>
      <c r="I176" s="4">
        <v>0</v>
      </c>
      <c r="J176" s="3">
        <v>0</v>
      </c>
      <c r="K176" s="4">
        <v>315</v>
      </c>
      <c r="L176" s="2">
        <v>287.82</v>
      </c>
      <c r="M176" s="2">
        <v>54.95</v>
      </c>
      <c r="N176" s="2">
        <v>60.32</v>
      </c>
      <c r="O176" s="2">
        <v>23.84</v>
      </c>
      <c r="P176" s="2">
        <v>3.03</v>
      </c>
      <c r="Q176" s="4">
        <v>101126</v>
      </c>
      <c r="R176" s="4">
        <v>9422</v>
      </c>
      <c r="S176" s="4">
        <v>110548</v>
      </c>
      <c r="T176" s="4">
        <v>17309</v>
      </c>
      <c r="U176" s="4">
        <v>19001</v>
      </c>
      <c r="V176" s="4">
        <v>0</v>
      </c>
      <c r="W176" s="4">
        <v>8617</v>
      </c>
      <c r="X176" s="4">
        <v>1094</v>
      </c>
      <c r="Y176" s="4">
        <v>156569</v>
      </c>
      <c r="Z176" s="4">
        <v>14723</v>
      </c>
      <c r="AA176" s="4">
        <v>141846</v>
      </c>
      <c r="AB176" s="4">
        <v>76853</v>
      </c>
      <c r="AC176" s="4">
        <v>64993</v>
      </c>
    </row>
    <row r="177" spans="1:29" x14ac:dyDescent="0.25">
      <c r="A177" s="1" t="s">
        <v>178</v>
      </c>
      <c r="B177" s="1" t="s">
        <v>746</v>
      </c>
      <c r="C177" s="1" t="s">
        <v>186</v>
      </c>
      <c r="D177" s="1" t="s">
        <v>585</v>
      </c>
      <c r="E177" s="2">
        <v>210.9</v>
      </c>
      <c r="F177" s="3">
        <v>1989.4</v>
      </c>
      <c r="G177" s="2">
        <v>2200.3000000000002</v>
      </c>
      <c r="H177" s="2">
        <v>0</v>
      </c>
      <c r="I177" s="4">
        <v>34</v>
      </c>
      <c r="J177" s="3">
        <v>0</v>
      </c>
      <c r="K177" s="4">
        <v>2023</v>
      </c>
      <c r="L177" s="2">
        <v>287.82</v>
      </c>
      <c r="M177" s="2">
        <v>54.95</v>
      </c>
      <c r="N177" s="2">
        <v>60.32</v>
      </c>
      <c r="O177" s="2">
        <v>23.84</v>
      </c>
      <c r="P177" s="2">
        <v>3.03</v>
      </c>
      <c r="Q177" s="4">
        <v>633290</v>
      </c>
      <c r="R177" s="4">
        <v>0</v>
      </c>
      <c r="S177" s="4">
        <v>633290</v>
      </c>
      <c r="T177" s="4">
        <v>111164</v>
      </c>
      <c r="U177" s="4">
        <v>122027</v>
      </c>
      <c r="V177" s="4">
        <v>0</v>
      </c>
      <c r="W177" s="4">
        <v>52455</v>
      </c>
      <c r="X177" s="4">
        <v>6667</v>
      </c>
      <c r="Y177" s="4">
        <v>925603</v>
      </c>
      <c r="Z177" s="4">
        <v>39354</v>
      </c>
      <c r="AA177" s="4">
        <v>886249</v>
      </c>
      <c r="AB177" s="4">
        <v>532438</v>
      </c>
      <c r="AC177" s="4">
        <v>353811</v>
      </c>
    </row>
    <row r="178" spans="1:29" x14ac:dyDescent="0.25">
      <c r="A178" s="1" t="s">
        <v>178</v>
      </c>
      <c r="B178" s="1" t="s">
        <v>746</v>
      </c>
      <c r="C178" s="1" t="s">
        <v>187</v>
      </c>
      <c r="D178" s="1" t="s">
        <v>586</v>
      </c>
      <c r="E178" s="2">
        <v>325.02999999999997</v>
      </c>
      <c r="F178" s="3">
        <v>2053.4</v>
      </c>
      <c r="G178" s="2">
        <v>2378.4299999999998</v>
      </c>
      <c r="H178" s="2">
        <v>0</v>
      </c>
      <c r="I178" s="4">
        <v>194</v>
      </c>
      <c r="J178" s="3">
        <v>3.5</v>
      </c>
      <c r="K178" s="4">
        <v>2244</v>
      </c>
      <c r="L178" s="2">
        <v>287.82</v>
      </c>
      <c r="M178" s="2">
        <v>54.95</v>
      </c>
      <c r="N178" s="2">
        <v>60.32</v>
      </c>
      <c r="O178" s="2">
        <v>23.84</v>
      </c>
      <c r="P178" s="2">
        <v>3.03</v>
      </c>
      <c r="Q178" s="4">
        <v>684560</v>
      </c>
      <c r="R178" s="4">
        <v>0</v>
      </c>
      <c r="S178" s="4">
        <v>684560</v>
      </c>
      <c r="T178" s="4">
        <v>123308</v>
      </c>
      <c r="U178" s="4">
        <v>135358</v>
      </c>
      <c r="V178" s="4">
        <v>0</v>
      </c>
      <c r="W178" s="4">
        <v>56702</v>
      </c>
      <c r="X178" s="4">
        <v>7207</v>
      </c>
      <c r="Y178" s="4">
        <v>1007135</v>
      </c>
      <c r="Z178" s="4">
        <v>105619</v>
      </c>
      <c r="AA178" s="4">
        <v>901516</v>
      </c>
      <c r="AB178" s="4">
        <v>512464</v>
      </c>
      <c r="AC178" s="4">
        <v>389052</v>
      </c>
    </row>
    <row r="179" spans="1:29" x14ac:dyDescent="0.25">
      <c r="A179" s="1" t="s">
        <v>178</v>
      </c>
      <c r="B179" s="1" t="s">
        <v>746</v>
      </c>
      <c r="C179" s="1" t="s">
        <v>188</v>
      </c>
      <c r="D179" s="1" t="s">
        <v>587</v>
      </c>
      <c r="E179" s="2">
        <v>207.16</v>
      </c>
      <c r="F179" s="3">
        <v>1943.7</v>
      </c>
      <c r="G179" s="2">
        <v>2150.86</v>
      </c>
      <c r="H179" s="2">
        <v>0</v>
      </c>
      <c r="I179" s="4">
        <v>20</v>
      </c>
      <c r="J179" s="3">
        <v>0</v>
      </c>
      <c r="K179" s="4">
        <v>1964</v>
      </c>
      <c r="L179" s="2">
        <v>287.82</v>
      </c>
      <c r="M179" s="2">
        <v>54.95</v>
      </c>
      <c r="N179" s="2">
        <v>60.32</v>
      </c>
      <c r="O179" s="2">
        <v>23.84</v>
      </c>
      <c r="P179" s="2">
        <v>3.03</v>
      </c>
      <c r="Q179" s="4">
        <v>619061</v>
      </c>
      <c r="R179" s="4">
        <v>0</v>
      </c>
      <c r="S179" s="4">
        <v>619061</v>
      </c>
      <c r="T179" s="4">
        <v>107922</v>
      </c>
      <c r="U179" s="4">
        <v>118468</v>
      </c>
      <c r="V179" s="4">
        <v>0</v>
      </c>
      <c r="W179" s="4">
        <v>51277</v>
      </c>
      <c r="X179" s="4">
        <v>6517</v>
      </c>
      <c r="Y179" s="4">
        <v>903245</v>
      </c>
      <c r="Z179" s="4">
        <v>58812</v>
      </c>
      <c r="AA179" s="4">
        <v>844433</v>
      </c>
      <c r="AB179" s="4">
        <v>500132</v>
      </c>
      <c r="AC179" s="4">
        <v>344301</v>
      </c>
    </row>
    <row r="180" spans="1:29" x14ac:dyDescent="0.25">
      <c r="A180" s="1" t="s">
        <v>178</v>
      </c>
      <c r="B180" s="1" t="s">
        <v>746</v>
      </c>
      <c r="C180" s="1" t="s">
        <v>189</v>
      </c>
      <c r="D180" s="1" t="s">
        <v>588</v>
      </c>
      <c r="E180" s="2">
        <v>212.32</v>
      </c>
      <c r="F180" s="3">
        <v>1701.1</v>
      </c>
      <c r="G180" s="2">
        <v>1913.42</v>
      </c>
      <c r="H180" s="2">
        <v>0</v>
      </c>
      <c r="I180" s="4">
        <v>877</v>
      </c>
      <c r="J180" s="3">
        <v>29.1</v>
      </c>
      <c r="K180" s="4">
        <v>2549</v>
      </c>
      <c r="L180" s="2">
        <v>287.82</v>
      </c>
      <c r="M180" s="2">
        <v>54.95</v>
      </c>
      <c r="N180" s="2">
        <v>60.32</v>
      </c>
      <c r="O180" s="2">
        <v>23.84</v>
      </c>
      <c r="P180" s="2">
        <v>3.03</v>
      </c>
      <c r="Q180" s="4">
        <v>550721</v>
      </c>
      <c r="R180" s="4">
        <v>0</v>
      </c>
      <c r="S180" s="4">
        <v>550721</v>
      </c>
      <c r="T180" s="4">
        <v>140068</v>
      </c>
      <c r="U180" s="4">
        <v>153756</v>
      </c>
      <c r="V180" s="4">
        <v>0</v>
      </c>
      <c r="W180" s="4">
        <v>45616</v>
      </c>
      <c r="X180" s="4">
        <v>5798</v>
      </c>
      <c r="Y180" s="4">
        <v>895959</v>
      </c>
      <c r="Z180" s="4">
        <v>92884</v>
      </c>
      <c r="AA180" s="4">
        <v>803075</v>
      </c>
      <c r="AB180" s="4">
        <v>404357</v>
      </c>
      <c r="AC180" s="4">
        <v>398718</v>
      </c>
    </row>
    <row r="181" spans="1:29" x14ac:dyDescent="0.25">
      <c r="A181" s="1" t="s">
        <v>178</v>
      </c>
      <c r="B181" s="1" t="s">
        <v>746</v>
      </c>
      <c r="C181" s="1" t="s">
        <v>190</v>
      </c>
      <c r="D181" s="1" t="s">
        <v>589</v>
      </c>
      <c r="E181" s="2">
        <v>99.4</v>
      </c>
      <c r="F181" s="3">
        <v>736.4</v>
      </c>
      <c r="G181" s="2">
        <v>835.8</v>
      </c>
      <c r="H181" s="2">
        <v>0</v>
      </c>
      <c r="I181" s="4">
        <v>11</v>
      </c>
      <c r="J181" s="3">
        <v>0</v>
      </c>
      <c r="K181" s="4">
        <v>747</v>
      </c>
      <c r="L181" s="2">
        <v>287.82</v>
      </c>
      <c r="M181" s="2">
        <v>54.95</v>
      </c>
      <c r="N181" s="2">
        <v>60.32</v>
      </c>
      <c r="O181" s="2">
        <v>23.84</v>
      </c>
      <c r="P181" s="2">
        <v>3.03</v>
      </c>
      <c r="Q181" s="4">
        <v>240560</v>
      </c>
      <c r="R181" s="4">
        <v>0</v>
      </c>
      <c r="S181" s="4">
        <v>240560</v>
      </c>
      <c r="T181" s="4">
        <v>41048</v>
      </c>
      <c r="U181" s="4">
        <v>45059</v>
      </c>
      <c r="V181" s="4">
        <v>0</v>
      </c>
      <c r="W181" s="4">
        <v>19925</v>
      </c>
      <c r="X181" s="4">
        <v>2532</v>
      </c>
      <c r="Y181" s="4">
        <v>349124</v>
      </c>
      <c r="Z181" s="4">
        <v>41179</v>
      </c>
      <c r="AA181" s="4">
        <v>307945</v>
      </c>
      <c r="AB181" s="4">
        <v>176019</v>
      </c>
      <c r="AC181" s="4">
        <v>131926</v>
      </c>
    </row>
    <row r="182" spans="1:29" x14ac:dyDescent="0.25">
      <c r="A182" s="1" t="s">
        <v>178</v>
      </c>
      <c r="B182" s="1" t="s">
        <v>746</v>
      </c>
      <c r="C182" s="1" t="s">
        <v>191</v>
      </c>
      <c r="D182" s="1" t="s">
        <v>590</v>
      </c>
      <c r="E182" s="2">
        <v>55.1</v>
      </c>
      <c r="F182" s="3">
        <v>459.2</v>
      </c>
      <c r="G182" s="2">
        <v>514.29999999999995</v>
      </c>
      <c r="H182" s="2">
        <v>0</v>
      </c>
      <c r="I182" s="4">
        <v>5</v>
      </c>
      <c r="J182" s="3">
        <v>0</v>
      </c>
      <c r="K182" s="4">
        <v>464</v>
      </c>
      <c r="L182" s="2">
        <v>287.82</v>
      </c>
      <c r="M182" s="2">
        <v>54.95</v>
      </c>
      <c r="N182" s="2">
        <v>60.32</v>
      </c>
      <c r="O182" s="2">
        <v>23.84</v>
      </c>
      <c r="P182" s="2">
        <v>3.03</v>
      </c>
      <c r="Q182" s="4">
        <v>148026</v>
      </c>
      <c r="R182" s="4">
        <v>7125</v>
      </c>
      <c r="S182" s="4">
        <v>155151</v>
      </c>
      <c r="T182" s="4">
        <v>25497</v>
      </c>
      <c r="U182" s="4">
        <v>27988</v>
      </c>
      <c r="V182" s="4">
        <v>0</v>
      </c>
      <c r="W182" s="4">
        <v>12820</v>
      </c>
      <c r="X182" s="4">
        <v>1628</v>
      </c>
      <c r="Y182" s="4">
        <v>223084</v>
      </c>
      <c r="Z182" s="4">
        <v>23962</v>
      </c>
      <c r="AA182" s="4">
        <v>199122</v>
      </c>
      <c r="AB182" s="4">
        <v>110318</v>
      </c>
      <c r="AC182" s="4">
        <v>88804</v>
      </c>
    </row>
    <row r="183" spans="1:29" x14ac:dyDescent="0.25">
      <c r="A183" s="1" t="s">
        <v>178</v>
      </c>
      <c r="B183" s="1" t="s">
        <v>746</v>
      </c>
      <c r="C183" s="1" t="s">
        <v>192</v>
      </c>
      <c r="D183" s="1" t="s">
        <v>591</v>
      </c>
      <c r="E183" s="2">
        <v>43.52</v>
      </c>
      <c r="F183" s="3">
        <v>512.70000000000005</v>
      </c>
      <c r="G183" s="2">
        <v>556.22</v>
      </c>
      <c r="H183" s="2">
        <v>0</v>
      </c>
      <c r="I183" s="4">
        <v>2</v>
      </c>
      <c r="J183" s="3">
        <v>0</v>
      </c>
      <c r="K183" s="4">
        <v>515</v>
      </c>
      <c r="L183" s="2">
        <v>287.82</v>
      </c>
      <c r="M183" s="2">
        <v>54.95</v>
      </c>
      <c r="N183" s="2">
        <v>60.32</v>
      </c>
      <c r="O183" s="2">
        <v>23.84</v>
      </c>
      <c r="P183" s="2">
        <v>3.03</v>
      </c>
      <c r="Q183" s="4">
        <v>160091</v>
      </c>
      <c r="R183" s="4">
        <v>0</v>
      </c>
      <c r="S183" s="4">
        <v>160091</v>
      </c>
      <c r="T183" s="4">
        <v>28299</v>
      </c>
      <c r="U183" s="4">
        <v>31065</v>
      </c>
      <c r="V183" s="4">
        <v>0</v>
      </c>
      <c r="W183" s="4">
        <v>13260</v>
      </c>
      <c r="X183" s="4">
        <v>1685</v>
      </c>
      <c r="Y183" s="4">
        <v>234400</v>
      </c>
      <c r="Z183" s="4">
        <v>26655</v>
      </c>
      <c r="AA183" s="4">
        <v>207745</v>
      </c>
      <c r="AB183" s="4">
        <v>117889</v>
      </c>
      <c r="AC183" s="4">
        <v>89856</v>
      </c>
    </row>
    <row r="184" spans="1:29" x14ac:dyDescent="0.25">
      <c r="A184" s="1" t="s">
        <v>178</v>
      </c>
      <c r="B184" s="1" t="s">
        <v>746</v>
      </c>
      <c r="C184" s="1" t="s">
        <v>193</v>
      </c>
      <c r="D184" s="1" t="s">
        <v>592</v>
      </c>
      <c r="E184" s="2">
        <v>62.03</v>
      </c>
      <c r="F184" s="3">
        <v>439</v>
      </c>
      <c r="G184" s="2">
        <v>501.03</v>
      </c>
      <c r="H184" s="2">
        <v>0</v>
      </c>
      <c r="I184" s="4">
        <v>1</v>
      </c>
      <c r="J184" s="3">
        <v>0</v>
      </c>
      <c r="K184" s="4">
        <v>440</v>
      </c>
      <c r="L184" s="2">
        <v>287.82</v>
      </c>
      <c r="M184" s="2">
        <v>54.95</v>
      </c>
      <c r="N184" s="2">
        <v>60.32</v>
      </c>
      <c r="O184" s="2">
        <v>23.84</v>
      </c>
      <c r="P184" s="2">
        <v>3.03</v>
      </c>
      <c r="Q184" s="4">
        <v>144206</v>
      </c>
      <c r="R184" s="4">
        <v>0</v>
      </c>
      <c r="S184" s="4">
        <v>144206</v>
      </c>
      <c r="T184" s="4">
        <v>24178</v>
      </c>
      <c r="U184" s="4">
        <v>26541</v>
      </c>
      <c r="V184" s="4">
        <v>0</v>
      </c>
      <c r="W184" s="4">
        <v>11945</v>
      </c>
      <c r="X184" s="4">
        <v>1518</v>
      </c>
      <c r="Y184" s="4">
        <v>208388</v>
      </c>
      <c r="Z184" s="4">
        <v>24283</v>
      </c>
      <c r="AA184" s="4">
        <v>184105</v>
      </c>
      <c r="AB184" s="4">
        <v>105920</v>
      </c>
      <c r="AC184" s="4">
        <v>78185</v>
      </c>
    </row>
    <row r="185" spans="1:29" x14ac:dyDescent="0.25">
      <c r="A185" s="1" t="s">
        <v>178</v>
      </c>
      <c r="B185" s="1" t="s">
        <v>746</v>
      </c>
      <c r="C185" s="1" t="s">
        <v>194</v>
      </c>
      <c r="D185" s="1" t="s">
        <v>593</v>
      </c>
      <c r="E185" s="2">
        <v>222.05</v>
      </c>
      <c r="F185" s="3">
        <v>2820.9</v>
      </c>
      <c r="G185" s="2">
        <v>3042.95</v>
      </c>
      <c r="H185" s="2">
        <v>0</v>
      </c>
      <c r="I185" s="4">
        <v>65</v>
      </c>
      <c r="J185" s="3">
        <v>0</v>
      </c>
      <c r="K185" s="4">
        <v>2886</v>
      </c>
      <c r="L185" s="2">
        <v>287.82</v>
      </c>
      <c r="M185" s="2">
        <v>54.95</v>
      </c>
      <c r="N185" s="2">
        <v>60.32</v>
      </c>
      <c r="O185" s="2">
        <v>23.84</v>
      </c>
      <c r="P185" s="2">
        <v>3.03</v>
      </c>
      <c r="Q185" s="4">
        <v>875822</v>
      </c>
      <c r="R185" s="4">
        <v>0</v>
      </c>
      <c r="S185" s="4">
        <v>875822</v>
      </c>
      <c r="T185" s="4">
        <v>158586</v>
      </c>
      <c r="U185" s="4">
        <v>174084</v>
      </c>
      <c r="V185" s="4">
        <v>0</v>
      </c>
      <c r="W185" s="4">
        <v>72544</v>
      </c>
      <c r="X185" s="4">
        <v>9220</v>
      </c>
      <c r="Y185" s="4">
        <v>1290256</v>
      </c>
      <c r="Z185" s="4">
        <v>64515</v>
      </c>
      <c r="AA185" s="4">
        <v>1225741</v>
      </c>
      <c r="AB185" s="4">
        <v>726256</v>
      </c>
      <c r="AC185" s="4">
        <v>499485</v>
      </c>
    </row>
    <row r="186" spans="1:29" x14ac:dyDescent="0.25">
      <c r="A186" s="1" t="s">
        <v>178</v>
      </c>
      <c r="B186" s="1" t="s">
        <v>746</v>
      </c>
      <c r="C186" s="1" t="s">
        <v>195</v>
      </c>
      <c r="D186" s="1" t="s">
        <v>594</v>
      </c>
      <c r="E186" s="2">
        <v>6061.9</v>
      </c>
      <c r="F186" s="3">
        <v>33057.4</v>
      </c>
      <c r="G186" s="2">
        <v>39119.300000000003</v>
      </c>
      <c r="H186" s="2">
        <v>0</v>
      </c>
      <c r="I186" s="4">
        <v>2578</v>
      </c>
      <c r="J186" s="3">
        <v>1.9</v>
      </c>
      <c r="K186" s="4">
        <v>35634</v>
      </c>
      <c r="L186" s="2">
        <v>287.82</v>
      </c>
      <c r="M186" s="2">
        <v>54.95</v>
      </c>
      <c r="N186" s="2">
        <v>60.32</v>
      </c>
      <c r="O186" s="2">
        <v>23.84</v>
      </c>
      <c r="P186" s="2">
        <v>3.03</v>
      </c>
      <c r="Q186" s="4">
        <v>11259317</v>
      </c>
      <c r="R186" s="4">
        <v>0</v>
      </c>
      <c r="S186" s="4">
        <v>11259317</v>
      </c>
      <c r="T186" s="4">
        <v>1958088</v>
      </c>
      <c r="U186" s="4">
        <v>2149443</v>
      </c>
      <c r="V186" s="4">
        <v>0</v>
      </c>
      <c r="W186" s="4">
        <v>932604</v>
      </c>
      <c r="X186" s="4">
        <v>118531</v>
      </c>
      <c r="Y186" s="4">
        <v>16417983</v>
      </c>
      <c r="Z186" s="4">
        <v>1502985</v>
      </c>
      <c r="AA186" s="4">
        <v>14914998</v>
      </c>
      <c r="AB186" s="4">
        <v>8662947</v>
      </c>
      <c r="AC186" s="4">
        <v>6252051</v>
      </c>
    </row>
    <row r="187" spans="1:29" x14ac:dyDescent="0.25">
      <c r="A187" s="1" t="s">
        <v>178</v>
      </c>
      <c r="B187" s="1" t="s">
        <v>746</v>
      </c>
      <c r="C187" s="1" t="s">
        <v>196</v>
      </c>
      <c r="D187" s="1" t="s">
        <v>595</v>
      </c>
      <c r="E187" s="2">
        <v>45.68</v>
      </c>
      <c r="F187" s="3">
        <v>575.1</v>
      </c>
      <c r="G187" s="2">
        <v>620.78</v>
      </c>
      <c r="H187" s="2">
        <v>0</v>
      </c>
      <c r="I187" s="4">
        <v>3</v>
      </c>
      <c r="J187" s="3">
        <v>0</v>
      </c>
      <c r="K187" s="4">
        <v>578</v>
      </c>
      <c r="L187" s="2">
        <v>287.82</v>
      </c>
      <c r="M187" s="2">
        <v>54.95</v>
      </c>
      <c r="N187" s="2">
        <v>60.32</v>
      </c>
      <c r="O187" s="2">
        <v>23.84</v>
      </c>
      <c r="P187" s="2">
        <v>3.03</v>
      </c>
      <c r="Q187" s="4">
        <v>178673</v>
      </c>
      <c r="R187" s="4">
        <v>15140</v>
      </c>
      <c r="S187" s="4">
        <v>193813</v>
      </c>
      <c r="T187" s="4">
        <v>31761</v>
      </c>
      <c r="U187" s="4">
        <v>34865</v>
      </c>
      <c r="V187" s="4">
        <v>0</v>
      </c>
      <c r="W187" s="4">
        <v>14799</v>
      </c>
      <c r="X187" s="4">
        <v>1881</v>
      </c>
      <c r="Y187" s="4">
        <v>277119</v>
      </c>
      <c r="Z187" s="4">
        <v>22833</v>
      </c>
      <c r="AA187" s="4">
        <v>254286</v>
      </c>
      <c r="AB187" s="4">
        <v>138489</v>
      </c>
      <c r="AC187" s="4">
        <v>115797</v>
      </c>
    </row>
    <row r="188" spans="1:29" x14ac:dyDescent="0.25">
      <c r="A188" s="1" t="s">
        <v>178</v>
      </c>
      <c r="B188" s="1" t="s">
        <v>746</v>
      </c>
      <c r="C188" s="1" t="s">
        <v>197</v>
      </c>
      <c r="D188" s="1" t="s">
        <v>596</v>
      </c>
      <c r="E188" s="2">
        <v>66.97</v>
      </c>
      <c r="F188" s="3">
        <v>413.8</v>
      </c>
      <c r="G188" s="2">
        <v>480.77</v>
      </c>
      <c r="H188" s="2">
        <v>0</v>
      </c>
      <c r="I188" s="4">
        <v>0</v>
      </c>
      <c r="J188" s="3">
        <v>0</v>
      </c>
      <c r="K188" s="4">
        <v>414</v>
      </c>
      <c r="L188" s="2">
        <v>287.82</v>
      </c>
      <c r="M188" s="2">
        <v>54.95</v>
      </c>
      <c r="N188" s="2">
        <v>60.32</v>
      </c>
      <c r="O188" s="2">
        <v>23.84</v>
      </c>
      <c r="P188" s="2">
        <v>3.03</v>
      </c>
      <c r="Q188" s="4">
        <v>138375</v>
      </c>
      <c r="R188" s="4">
        <v>17156</v>
      </c>
      <c r="S188" s="4">
        <v>155531</v>
      </c>
      <c r="T188" s="4">
        <v>22749</v>
      </c>
      <c r="U188" s="4">
        <v>24972</v>
      </c>
      <c r="V188" s="4">
        <v>0</v>
      </c>
      <c r="W188" s="4">
        <v>11884</v>
      </c>
      <c r="X188" s="4">
        <v>1509</v>
      </c>
      <c r="Y188" s="4">
        <v>216645</v>
      </c>
      <c r="Z188" s="4">
        <v>29687</v>
      </c>
      <c r="AA188" s="4">
        <v>186958</v>
      </c>
      <c r="AB188" s="4">
        <v>95725</v>
      </c>
      <c r="AC188" s="4">
        <v>91233</v>
      </c>
    </row>
    <row r="189" spans="1:29" x14ac:dyDescent="0.25">
      <c r="A189" s="1" t="s">
        <v>178</v>
      </c>
      <c r="B189" s="1" t="s">
        <v>746</v>
      </c>
      <c r="C189" s="1" t="s">
        <v>198</v>
      </c>
      <c r="D189" s="1" t="s">
        <v>597</v>
      </c>
      <c r="E189" s="2">
        <v>104.53</v>
      </c>
      <c r="F189" s="3">
        <v>1490.7</v>
      </c>
      <c r="G189" s="2">
        <v>1595.23</v>
      </c>
      <c r="H189" s="2">
        <v>0</v>
      </c>
      <c r="I189" s="4">
        <v>44</v>
      </c>
      <c r="J189" s="3">
        <v>0</v>
      </c>
      <c r="K189" s="4">
        <v>1535</v>
      </c>
      <c r="L189" s="2">
        <v>287.82</v>
      </c>
      <c r="M189" s="2">
        <v>54.95</v>
      </c>
      <c r="N189" s="2">
        <v>60.32</v>
      </c>
      <c r="O189" s="2">
        <v>23.84</v>
      </c>
      <c r="P189" s="2">
        <v>3.03</v>
      </c>
      <c r="Q189" s="4">
        <v>459139</v>
      </c>
      <c r="R189" s="4">
        <v>0</v>
      </c>
      <c r="S189" s="4">
        <v>459139</v>
      </c>
      <c r="T189" s="4">
        <v>84348</v>
      </c>
      <c r="U189" s="4">
        <v>92591</v>
      </c>
      <c r="V189" s="4">
        <v>0</v>
      </c>
      <c r="W189" s="4">
        <v>38030</v>
      </c>
      <c r="X189" s="4">
        <v>4834</v>
      </c>
      <c r="Y189" s="4">
        <v>678942</v>
      </c>
      <c r="Z189" s="4">
        <v>38933</v>
      </c>
      <c r="AA189" s="4">
        <v>640009</v>
      </c>
      <c r="AB189" s="4">
        <v>375620</v>
      </c>
      <c r="AC189" s="4">
        <v>264389</v>
      </c>
    </row>
    <row r="190" spans="1:29" x14ac:dyDescent="0.25">
      <c r="A190" s="1" t="s">
        <v>178</v>
      </c>
      <c r="B190" s="1" t="s">
        <v>746</v>
      </c>
      <c r="C190" s="1" t="s">
        <v>199</v>
      </c>
      <c r="D190" s="1" t="s">
        <v>598</v>
      </c>
      <c r="E190" s="2">
        <v>26.54</v>
      </c>
      <c r="F190" s="3">
        <v>278</v>
      </c>
      <c r="G190" s="2">
        <v>304.54000000000002</v>
      </c>
      <c r="H190" s="2">
        <v>0</v>
      </c>
      <c r="I190" s="4">
        <v>13</v>
      </c>
      <c r="J190" s="3">
        <v>0</v>
      </c>
      <c r="K190" s="4">
        <v>291</v>
      </c>
      <c r="L190" s="2">
        <v>287.82</v>
      </c>
      <c r="M190" s="2">
        <v>54.95</v>
      </c>
      <c r="N190" s="2">
        <v>60.32</v>
      </c>
      <c r="O190" s="2">
        <v>23.84</v>
      </c>
      <c r="P190" s="2">
        <v>3.03</v>
      </c>
      <c r="Q190" s="4">
        <v>87653</v>
      </c>
      <c r="R190" s="4">
        <v>10377</v>
      </c>
      <c r="S190" s="4">
        <v>98030</v>
      </c>
      <c r="T190" s="4">
        <v>15990</v>
      </c>
      <c r="U190" s="4">
        <v>17553</v>
      </c>
      <c r="V190" s="4">
        <v>0</v>
      </c>
      <c r="W190" s="4">
        <v>7260</v>
      </c>
      <c r="X190" s="4">
        <v>923</v>
      </c>
      <c r="Y190" s="4">
        <v>139756</v>
      </c>
      <c r="Z190" s="4">
        <v>17419</v>
      </c>
      <c r="AA190" s="4">
        <v>122337</v>
      </c>
      <c r="AB190" s="4">
        <v>61722</v>
      </c>
      <c r="AC190" s="4">
        <v>60615</v>
      </c>
    </row>
    <row r="191" spans="1:29" x14ac:dyDescent="0.25">
      <c r="A191" s="1" t="s">
        <v>178</v>
      </c>
      <c r="B191" s="1" t="s">
        <v>746</v>
      </c>
      <c r="C191" s="1" t="s">
        <v>200</v>
      </c>
      <c r="D191" s="1" t="s">
        <v>599</v>
      </c>
      <c r="E191" s="2">
        <v>41.56</v>
      </c>
      <c r="F191" s="3">
        <v>447.6</v>
      </c>
      <c r="G191" s="2">
        <v>489.16</v>
      </c>
      <c r="H191" s="2">
        <v>0</v>
      </c>
      <c r="I191" s="4">
        <v>3</v>
      </c>
      <c r="J191" s="3">
        <v>0</v>
      </c>
      <c r="K191" s="4">
        <v>451</v>
      </c>
      <c r="L191" s="2">
        <v>287.82</v>
      </c>
      <c r="M191" s="2">
        <v>54.95</v>
      </c>
      <c r="N191" s="2">
        <v>60.32</v>
      </c>
      <c r="O191" s="2">
        <v>23.84</v>
      </c>
      <c r="P191" s="2">
        <v>3.03</v>
      </c>
      <c r="Q191" s="4">
        <v>140790</v>
      </c>
      <c r="R191" s="4">
        <v>9090</v>
      </c>
      <c r="S191" s="4">
        <v>149880</v>
      </c>
      <c r="T191" s="4">
        <v>24782</v>
      </c>
      <c r="U191" s="4">
        <v>27204</v>
      </c>
      <c r="V191" s="4">
        <v>0</v>
      </c>
      <c r="W191" s="4">
        <v>12163</v>
      </c>
      <c r="X191" s="4">
        <v>1545</v>
      </c>
      <c r="Y191" s="4">
        <v>215574</v>
      </c>
      <c r="Z191" s="4">
        <v>21657</v>
      </c>
      <c r="AA191" s="4">
        <v>193917</v>
      </c>
      <c r="AB191" s="4">
        <v>106025</v>
      </c>
      <c r="AC191" s="4">
        <v>87892</v>
      </c>
    </row>
    <row r="192" spans="1:29" x14ac:dyDescent="0.25">
      <c r="A192" s="1" t="s">
        <v>178</v>
      </c>
      <c r="B192" s="1" t="s">
        <v>746</v>
      </c>
      <c r="C192" s="1" t="s">
        <v>201</v>
      </c>
      <c r="D192" s="1" t="s">
        <v>600</v>
      </c>
      <c r="E192" s="2">
        <v>353.38</v>
      </c>
      <c r="F192" s="3">
        <v>3421.1</v>
      </c>
      <c r="G192" s="2">
        <v>3774.48</v>
      </c>
      <c r="H192" s="2">
        <v>0</v>
      </c>
      <c r="I192" s="4">
        <v>11</v>
      </c>
      <c r="J192" s="3">
        <v>0</v>
      </c>
      <c r="K192" s="4">
        <v>3432</v>
      </c>
      <c r="L192" s="2">
        <v>287.82</v>
      </c>
      <c r="M192" s="2">
        <v>54.95</v>
      </c>
      <c r="N192" s="2">
        <v>60.32</v>
      </c>
      <c r="O192" s="2">
        <v>23.84</v>
      </c>
      <c r="P192" s="2">
        <v>3.03</v>
      </c>
      <c r="Q192" s="4">
        <v>1086371</v>
      </c>
      <c r="R192" s="4">
        <v>0</v>
      </c>
      <c r="S192" s="4">
        <v>1086371</v>
      </c>
      <c r="T192" s="4">
        <v>188588</v>
      </c>
      <c r="U192" s="4">
        <v>207018</v>
      </c>
      <c r="V192" s="4">
        <v>0</v>
      </c>
      <c r="W192" s="4">
        <v>89984</v>
      </c>
      <c r="X192" s="4">
        <v>11437</v>
      </c>
      <c r="Y192" s="4">
        <v>1583398</v>
      </c>
      <c r="Z192" s="4">
        <v>139171</v>
      </c>
      <c r="AA192" s="4">
        <v>1444227</v>
      </c>
      <c r="AB192" s="4">
        <v>841704</v>
      </c>
      <c r="AC192" s="4">
        <v>602523</v>
      </c>
    </row>
    <row r="193" spans="1:29" x14ac:dyDescent="0.25">
      <c r="A193" s="1" t="s">
        <v>178</v>
      </c>
      <c r="B193" s="1" t="s">
        <v>746</v>
      </c>
      <c r="C193" s="1" t="s">
        <v>202</v>
      </c>
      <c r="D193" s="1" t="s">
        <v>601</v>
      </c>
      <c r="E193" s="2">
        <v>80.33</v>
      </c>
      <c r="F193" s="3">
        <v>857.3</v>
      </c>
      <c r="G193" s="2">
        <v>937.63</v>
      </c>
      <c r="H193" s="2">
        <v>0</v>
      </c>
      <c r="I193" s="4">
        <v>3</v>
      </c>
      <c r="J193" s="3">
        <v>0</v>
      </c>
      <c r="K193" s="4">
        <v>860</v>
      </c>
      <c r="L193" s="2">
        <v>287.82</v>
      </c>
      <c r="M193" s="2">
        <v>54.95</v>
      </c>
      <c r="N193" s="2">
        <v>60.32</v>
      </c>
      <c r="O193" s="2">
        <v>23.84</v>
      </c>
      <c r="P193" s="2">
        <v>3.03</v>
      </c>
      <c r="Q193" s="4">
        <v>269869</v>
      </c>
      <c r="R193" s="4">
        <v>6497</v>
      </c>
      <c r="S193" s="4">
        <v>276366</v>
      </c>
      <c r="T193" s="4">
        <v>47257</v>
      </c>
      <c r="U193" s="4">
        <v>51875</v>
      </c>
      <c r="V193" s="4">
        <v>0</v>
      </c>
      <c r="W193" s="4">
        <v>22836</v>
      </c>
      <c r="X193" s="4">
        <v>2901</v>
      </c>
      <c r="Y193" s="4">
        <v>401235</v>
      </c>
      <c r="Z193" s="4">
        <v>33511</v>
      </c>
      <c r="AA193" s="4">
        <v>367724</v>
      </c>
      <c r="AB193" s="4">
        <v>210694</v>
      </c>
      <c r="AC193" s="4">
        <v>157030</v>
      </c>
    </row>
    <row r="194" spans="1:29" x14ac:dyDescent="0.25">
      <c r="A194" s="1" t="s">
        <v>178</v>
      </c>
      <c r="B194" s="1" t="s">
        <v>746</v>
      </c>
      <c r="C194" s="1" t="s">
        <v>203</v>
      </c>
      <c r="D194" s="1" t="s">
        <v>602</v>
      </c>
      <c r="E194" s="2">
        <v>658.41</v>
      </c>
      <c r="F194" s="3">
        <v>7074.1</v>
      </c>
      <c r="G194" s="2">
        <v>7732.51</v>
      </c>
      <c r="H194" s="2">
        <v>0</v>
      </c>
      <c r="I194" s="4">
        <v>351</v>
      </c>
      <c r="J194" s="3">
        <v>0</v>
      </c>
      <c r="K194" s="4">
        <v>7425</v>
      </c>
      <c r="L194" s="2">
        <v>287.82</v>
      </c>
      <c r="M194" s="2">
        <v>54.95</v>
      </c>
      <c r="N194" s="2">
        <v>60.32</v>
      </c>
      <c r="O194" s="2">
        <v>23.84</v>
      </c>
      <c r="P194" s="2">
        <v>3.03</v>
      </c>
      <c r="Q194" s="4">
        <v>2225571</v>
      </c>
      <c r="R194" s="4">
        <v>0</v>
      </c>
      <c r="S194" s="4">
        <v>2225571</v>
      </c>
      <c r="T194" s="4">
        <v>408004</v>
      </c>
      <c r="U194" s="4">
        <v>447876</v>
      </c>
      <c r="V194" s="4">
        <v>0</v>
      </c>
      <c r="W194" s="4">
        <v>184343</v>
      </c>
      <c r="X194" s="4">
        <v>23430</v>
      </c>
      <c r="Y194" s="4">
        <v>3289224</v>
      </c>
      <c r="Z194" s="4">
        <v>179185</v>
      </c>
      <c r="AA194" s="4">
        <v>3110039</v>
      </c>
      <c r="AB194" s="4">
        <v>1830263</v>
      </c>
      <c r="AC194" s="4">
        <v>1279776</v>
      </c>
    </row>
    <row r="195" spans="1:29" x14ac:dyDescent="0.25">
      <c r="A195" s="1" t="s">
        <v>178</v>
      </c>
      <c r="B195" s="1" t="s">
        <v>746</v>
      </c>
      <c r="C195" s="1" t="s">
        <v>204</v>
      </c>
      <c r="D195" s="1" t="s">
        <v>603</v>
      </c>
      <c r="E195" s="2">
        <v>244.72</v>
      </c>
      <c r="F195" s="3">
        <v>1763.9</v>
      </c>
      <c r="G195" s="2">
        <v>2008.62</v>
      </c>
      <c r="H195" s="2">
        <v>0</v>
      </c>
      <c r="I195" s="4">
        <v>21</v>
      </c>
      <c r="J195" s="3">
        <v>0</v>
      </c>
      <c r="K195" s="4">
        <v>1785</v>
      </c>
      <c r="L195" s="2">
        <v>287.82</v>
      </c>
      <c r="M195" s="2">
        <v>54.95</v>
      </c>
      <c r="N195" s="2">
        <v>60.32</v>
      </c>
      <c r="O195" s="2">
        <v>23.84</v>
      </c>
      <c r="P195" s="2">
        <v>3.03</v>
      </c>
      <c r="Q195" s="4">
        <v>578121</v>
      </c>
      <c r="R195" s="4">
        <v>0</v>
      </c>
      <c r="S195" s="4">
        <v>578121</v>
      </c>
      <c r="T195" s="4">
        <v>98086</v>
      </c>
      <c r="U195" s="4">
        <v>107671</v>
      </c>
      <c r="V195" s="4">
        <v>0</v>
      </c>
      <c r="W195" s="4">
        <v>47886</v>
      </c>
      <c r="X195" s="4">
        <v>6086</v>
      </c>
      <c r="Y195" s="4">
        <v>837850</v>
      </c>
      <c r="Z195" s="4">
        <v>89650</v>
      </c>
      <c r="AA195" s="4">
        <v>748200</v>
      </c>
      <c r="AB195" s="4">
        <v>432330</v>
      </c>
      <c r="AC195" s="4">
        <v>315870</v>
      </c>
    </row>
    <row r="196" spans="1:29" x14ac:dyDescent="0.25">
      <c r="A196" s="1" t="s">
        <v>178</v>
      </c>
      <c r="B196" s="1" t="s">
        <v>746</v>
      </c>
      <c r="C196" s="1" t="s">
        <v>205</v>
      </c>
      <c r="D196" s="1" t="s">
        <v>604</v>
      </c>
      <c r="E196" s="2">
        <v>48.99</v>
      </c>
      <c r="F196" s="3">
        <v>462.6</v>
      </c>
      <c r="G196" s="2">
        <v>511.59</v>
      </c>
      <c r="H196" s="2">
        <v>0</v>
      </c>
      <c r="I196" s="4">
        <v>54</v>
      </c>
      <c r="J196" s="3">
        <v>0</v>
      </c>
      <c r="K196" s="4">
        <v>517</v>
      </c>
      <c r="L196" s="2">
        <v>287.82</v>
      </c>
      <c r="M196" s="2">
        <v>54.95</v>
      </c>
      <c r="N196" s="2">
        <v>60.32</v>
      </c>
      <c r="O196" s="2">
        <v>23.84</v>
      </c>
      <c r="P196" s="2">
        <v>3.03</v>
      </c>
      <c r="Q196" s="4">
        <v>147246</v>
      </c>
      <c r="R196" s="4">
        <v>0</v>
      </c>
      <c r="S196" s="4">
        <v>147246</v>
      </c>
      <c r="T196" s="4">
        <v>28409</v>
      </c>
      <c r="U196" s="4">
        <v>31185</v>
      </c>
      <c r="V196" s="4">
        <v>0</v>
      </c>
      <c r="W196" s="4">
        <v>12196</v>
      </c>
      <c r="X196" s="4">
        <v>1550</v>
      </c>
      <c r="Y196" s="4">
        <v>220586</v>
      </c>
      <c r="Z196" s="4">
        <v>23232</v>
      </c>
      <c r="AA196" s="4">
        <v>197354</v>
      </c>
      <c r="AB196" s="4">
        <v>109714</v>
      </c>
      <c r="AC196" s="4">
        <v>87640</v>
      </c>
    </row>
    <row r="197" spans="1:29" x14ac:dyDescent="0.25">
      <c r="A197" s="1" t="s">
        <v>178</v>
      </c>
      <c r="B197" s="1" t="s">
        <v>746</v>
      </c>
      <c r="C197" s="1" t="s">
        <v>206</v>
      </c>
      <c r="D197" s="1" t="s">
        <v>605</v>
      </c>
      <c r="E197" s="2">
        <v>66.7</v>
      </c>
      <c r="F197" s="3">
        <v>683.7</v>
      </c>
      <c r="G197" s="2">
        <v>750.4</v>
      </c>
      <c r="H197" s="2">
        <v>0</v>
      </c>
      <c r="I197" s="4">
        <v>11</v>
      </c>
      <c r="J197" s="3">
        <v>0</v>
      </c>
      <c r="K197" s="4">
        <v>695</v>
      </c>
      <c r="L197" s="2">
        <v>287.82</v>
      </c>
      <c r="M197" s="2">
        <v>54.95</v>
      </c>
      <c r="N197" s="2">
        <v>60.32</v>
      </c>
      <c r="O197" s="2">
        <v>23.84</v>
      </c>
      <c r="P197" s="2">
        <v>3.03</v>
      </c>
      <c r="Q197" s="4">
        <v>215980</v>
      </c>
      <c r="R197" s="4">
        <v>2801</v>
      </c>
      <c r="S197" s="4">
        <v>218781</v>
      </c>
      <c r="T197" s="4">
        <v>38190</v>
      </c>
      <c r="U197" s="4">
        <v>41922</v>
      </c>
      <c r="V197" s="4">
        <v>0</v>
      </c>
      <c r="W197" s="4">
        <v>17890</v>
      </c>
      <c r="X197" s="4">
        <v>2274</v>
      </c>
      <c r="Y197" s="4">
        <v>319057</v>
      </c>
      <c r="Z197" s="4">
        <v>25816</v>
      </c>
      <c r="AA197" s="4">
        <v>293241</v>
      </c>
      <c r="AB197" s="4">
        <v>169191</v>
      </c>
      <c r="AC197" s="4">
        <v>124050</v>
      </c>
    </row>
    <row r="198" spans="1:29" x14ac:dyDescent="0.25">
      <c r="A198" s="1" t="s">
        <v>178</v>
      </c>
      <c r="B198" s="1" t="s">
        <v>746</v>
      </c>
      <c r="C198" s="1" t="s">
        <v>207</v>
      </c>
      <c r="D198" s="1" t="s">
        <v>606</v>
      </c>
      <c r="E198" s="2">
        <v>52.25</v>
      </c>
      <c r="F198" s="3">
        <v>512.20000000000005</v>
      </c>
      <c r="G198" s="2">
        <v>564.45000000000005</v>
      </c>
      <c r="H198" s="2">
        <v>0</v>
      </c>
      <c r="I198" s="4">
        <v>18</v>
      </c>
      <c r="J198" s="3">
        <v>0</v>
      </c>
      <c r="K198" s="4">
        <v>530</v>
      </c>
      <c r="L198" s="2">
        <v>287.82</v>
      </c>
      <c r="M198" s="2">
        <v>54.95</v>
      </c>
      <c r="N198" s="2">
        <v>60.32</v>
      </c>
      <c r="O198" s="2">
        <v>23.84</v>
      </c>
      <c r="P198" s="2">
        <v>3.03</v>
      </c>
      <c r="Q198" s="4">
        <v>162460</v>
      </c>
      <c r="R198" s="4">
        <v>0</v>
      </c>
      <c r="S198" s="4">
        <v>162460</v>
      </c>
      <c r="T198" s="4">
        <v>29124</v>
      </c>
      <c r="U198" s="4">
        <v>31970</v>
      </c>
      <c r="V198" s="4">
        <v>0</v>
      </c>
      <c r="W198" s="4">
        <v>13456</v>
      </c>
      <c r="X198" s="4">
        <v>1710</v>
      </c>
      <c r="Y198" s="4">
        <v>238720</v>
      </c>
      <c r="Z198" s="4">
        <v>22923</v>
      </c>
      <c r="AA198" s="4">
        <v>215797</v>
      </c>
      <c r="AB198" s="4">
        <v>123760</v>
      </c>
      <c r="AC198" s="4">
        <v>92037</v>
      </c>
    </row>
    <row r="199" spans="1:29" x14ac:dyDescent="0.25">
      <c r="A199" s="1" t="s">
        <v>178</v>
      </c>
      <c r="B199" s="1" t="s">
        <v>746</v>
      </c>
      <c r="C199" s="1" t="s">
        <v>208</v>
      </c>
      <c r="D199" s="1" t="s">
        <v>607</v>
      </c>
      <c r="E199" s="2">
        <v>42.39</v>
      </c>
      <c r="F199" s="3">
        <v>332.1</v>
      </c>
      <c r="G199" s="2">
        <v>374.49</v>
      </c>
      <c r="H199" s="2">
        <v>0</v>
      </c>
      <c r="I199" s="4">
        <v>0</v>
      </c>
      <c r="J199" s="3">
        <v>0</v>
      </c>
      <c r="K199" s="4">
        <v>332</v>
      </c>
      <c r="L199" s="2">
        <v>287.82</v>
      </c>
      <c r="M199" s="2">
        <v>54.95</v>
      </c>
      <c r="N199" s="2">
        <v>60.32</v>
      </c>
      <c r="O199" s="2">
        <v>23.84</v>
      </c>
      <c r="P199" s="2">
        <v>3.03</v>
      </c>
      <c r="Q199" s="4">
        <v>107786</v>
      </c>
      <c r="R199" s="4">
        <v>4273</v>
      </c>
      <c r="S199" s="4">
        <v>112059</v>
      </c>
      <c r="T199" s="4">
        <v>18243</v>
      </c>
      <c r="U199" s="4">
        <v>20026</v>
      </c>
      <c r="V199" s="4">
        <v>0</v>
      </c>
      <c r="W199" s="4">
        <v>9259</v>
      </c>
      <c r="X199" s="4">
        <v>1176</v>
      </c>
      <c r="Y199" s="4">
        <v>160763</v>
      </c>
      <c r="Z199" s="4">
        <v>20816</v>
      </c>
      <c r="AA199" s="4">
        <v>139947</v>
      </c>
      <c r="AB199" s="4">
        <v>76875</v>
      </c>
      <c r="AC199" s="4">
        <v>63072</v>
      </c>
    </row>
    <row r="200" spans="1:29" x14ac:dyDescent="0.25">
      <c r="A200" s="1" t="s">
        <v>178</v>
      </c>
      <c r="B200" s="1" t="s">
        <v>746</v>
      </c>
      <c r="C200" s="1" t="s">
        <v>209</v>
      </c>
      <c r="D200" s="1" t="s">
        <v>608</v>
      </c>
      <c r="E200" s="2">
        <v>169.81</v>
      </c>
      <c r="F200" s="3">
        <v>1491</v>
      </c>
      <c r="G200" s="2">
        <v>1660.81</v>
      </c>
      <c r="H200" s="2">
        <v>0</v>
      </c>
      <c r="I200" s="4">
        <v>9</v>
      </c>
      <c r="J200" s="3">
        <v>0</v>
      </c>
      <c r="K200" s="4">
        <v>1500</v>
      </c>
      <c r="L200" s="2">
        <v>287.82</v>
      </c>
      <c r="M200" s="2">
        <v>54.95</v>
      </c>
      <c r="N200" s="2">
        <v>60.32</v>
      </c>
      <c r="O200" s="2">
        <v>23.84</v>
      </c>
      <c r="P200" s="2">
        <v>3.03</v>
      </c>
      <c r="Q200" s="4">
        <v>478014</v>
      </c>
      <c r="R200" s="4">
        <v>17629</v>
      </c>
      <c r="S200" s="4">
        <v>495643</v>
      </c>
      <c r="T200" s="4">
        <v>82425</v>
      </c>
      <c r="U200" s="4">
        <v>90480</v>
      </c>
      <c r="V200" s="4">
        <v>0</v>
      </c>
      <c r="W200" s="4">
        <v>40954</v>
      </c>
      <c r="X200" s="4">
        <v>5202</v>
      </c>
      <c r="Y200" s="4">
        <v>714704</v>
      </c>
      <c r="Z200" s="4">
        <v>69114</v>
      </c>
      <c r="AA200" s="4">
        <v>645590</v>
      </c>
      <c r="AB200" s="4">
        <v>364011</v>
      </c>
      <c r="AC200" s="4">
        <v>281579</v>
      </c>
    </row>
    <row r="201" spans="1:29" x14ac:dyDescent="0.25">
      <c r="A201" s="1" t="s">
        <v>178</v>
      </c>
      <c r="B201" s="1" t="s">
        <v>746</v>
      </c>
      <c r="C201" s="1" t="s">
        <v>210</v>
      </c>
      <c r="D201" s="1" t="s">
        <v>609</v>
      </c>
      <c r="E201" s="2">
        <v>393.14</v>
      </c>
      <c r="F201" s="3">
        <v>3075.7</v>
      </c>
      <c r="G201" s="2">
        <v>3468.84</v>
      </c>
      <c r="H201" s="2">
        <v>0</v>
      </c>
      <c r="I201" s="4">
        <v>95</v>
      </c>
      <c r="J201" s="3">
        <v>0.4</v>
      </c>
      <c r="K201" s="4">
        <v>3170</v>
      </c>
      <c r="L201" s="2">
        <v>287.82</v>
      </c>
      <c r="M201" s="2">
        <v>54.95</v>
      </c>
      <c r="N201" s="2">
        <v>60.32</v>
      </c>
      <c r="O201" s="2">
        <v>23.84</v>
      </c>
      <c r="P201" s="2">
        <v>3.03</v>
      </c>
      <c r="Q201" s="4">
        <v>998402</v>
      </c>
      <c r="R201" s="4">
        <v>0</v>
      </c>
      <c r="S201" s="4">
        <v>998402</v>
      </c>
      <c r="T201" s="4">
        <v>174192</v>
      </c>
      <c r="U201" s="4">
        <v>191214</v>
      </c>
      <c r="V201" s="4">
        <v>0</v>
      </c>
      <c r="W201" s="4">
        <v>82697</v>
      </c>
      <c r="X201" s="4">
        <v>10511</v>
      </c>
      <c r="Y201" s="4">
        <v>1457016</v>
      </c>
      <c r="Z201" s="4">
        <v>154889</v>
      </c>
      <c r="AA201" s="4">
        <v>1302127</v>
      </c>
      <c r="AB201" s="4">
        <v>746559</v>
      </c>
      <c r="AC201" s="4">
        <v>555568</v>
      </c>
    </row>
    <row r="202" spans="1:29" x14ac:dyDescent="0.25">
      <c r="A202" s="1" t="s">
        <v>178</v>
      </c>
      <c r="B202" s="1" t="s">
        <v>746</v>
      </c>
      <c r="C202" s="1" t="s">
        <v>211</v>
      </c>
      <c r="D202" s="1" t="s">
        <v>610</v>
      </c>
      <c r="E202" s="2">
        <v>84.6</v>
      </c>
      <c r="F202" s="3">
        <v>1683.9</v>
      </c>
      <c r="G202" s="2">
        <v>1768.5</v>
      </c>
      <c r="H202" s="2">
        <v>0</v>
      </c>
      <c r="I202" s="4">
        <v>28</v>
      </c>
      <c r="J202" s="3">
        <v>0</v>
      </c>
      <c r="K202" s="4">
        <v>1712</v>
      </c>
      <c r="L202" s="2">
        <v>287.82</v>
      </c>
      <c r="M202" s="2">
        <v>54.95</v>
      </c>
      <c r="N202" s="2">
        <v>60.32</v>
      </c>
      <c r="O202" s="2">
        <v>23.84</v>
      </c>
      <c r="P202" s="2">
        <v>3.03</v>
      </c>
      <c r="Q202" s="4">
        <v>509010</v>
      </c>
      <c r="R202" s="4">
        <v>0</v>
      </c>
      <c r="S202" s="4">
        <v>509010</v>
      </c>
      <c r="T202" s="4">
        <v>94074</v>
      </c>
      <c r="U202" s="4">
        <v>103268</v>
      </c>
      <c r="V202" s="4">
        <v>0</v>
      </c>
      <c r="W202" s="4">
        <v>42161</v>
      </c>
      <c r="X202" s="4">
        <v>5359</v>
      </c>
      <c r="Y202" s="4">
        <v>753872</v>
      </c>
      <c r="Z202" s="4">
        <v>39904</v>
      </c>
      <c r="AA202" s="4">
        <v>713968</v>
      </c>
      <c r="AB202" s="4">
        <v>419677</v>
      </c>
      <c r="AC202" s="4">
        <v>294291</v>
      </c>
    </row>
    <row r="203" spans="1:29" x14ac:dyDescent="0.25">
      <c r="A203" s="1" t="s">
        <v>178</v>
      </c>
      <c r="B203" s="1" t="s">
        <v>746</v>
      </c>
      <c r="C203" s="1" t="s">
        <v>212</v>
      </c>
      <c r="D203" s="1" t="s">
        <v>611</v>
      </c>
      <c r="E203" s="2">
        <v>301.94</v>
      </c>
      <c r="F203" s="3">
        <v>2831.2</v>
      </c>
      <c r="G203" s="2">
        <v>3133.14</v>
      </c>
      <c r="H203" s="2">
        <v>0</v>
      </c>
      <c r="I203" s="4">
        <v>54</v>
      </c>
      <c r="J203" s="3">
        <v>0</v>
      </c>
      <c r="K203" s="4">
        <v>2885</v>
      </c>
      <c r="L203" s="2">
        <v>287.82</v>
      </c>
      <c r="M203" s="2">
        <v>54.95</v>
      </c>
      <c r="N203" s="2">
        <v>60.32</v>
      </c>
      <c r="O203" s="2">
        <v>23.84</v>
      </c>
      <c r="P203" s="2">
        <v>3.03</v>
      </c>
      <c r="Q203" s="4">
        <v>901780</v>
      </c>
      <c r="R203" s="4">
        <v>0</v>
      </c>
      <c r="S203" s="4">
        <v>901780</v>
      </c>
      <c r="T203" s="4">
        <v>158531</v>
      </c>
      <c r="U203" s="4">
        <v>174023</v>
      </c>
      <c r="V203" s="4">
        <v>0</v>
      </c>
      <c r="W203" s="4">
        <v>74694</v>
      </c>
      <c r="X203" s="4">
        <v>9493</v>
      </c>
      <c r="Y203" s="4">
        <v>1318521</v>
      </c>
      <c r="Z203" s="4">
        <v>95234</v>
      </c>
      <c r="AA203" s="4">
        <v>1223287</v>
      </c>
      <c r="AB203" s="4">
        <v>718975</v>
      </c>
      <c r="AC203" s="4">
        <v>504312</v>
      </c>
    </row>
    <row r="204" spans="1:29" x14ac:dyDescent="0.25">
      <c r="A204" s="1" t="s">
        <v>178</v>
      </c>
      <c r="B204" s="1" t="s">
        <v>746</v>
      </c>
      <c r="C204" s="1" t="s">
        <v>213</v>
      </c>
      <c r="D204" s="1" t="s">
        <v>612</v>
      </c>
      <c r="E204" s="2">
        <v>66.58</v>
      </c>
      <c r="F204" s="3">
        <v>618</v>
      </c>
      <c r="G204" s="2">
        <v>684.58</v>
      </c>
      <c r="H204" s="2">
        <v>0</v>
      </c>
      <c r="I204" s="4">
        <v>6</v>
      </c>
      <c r="J204" s="3">
        <v>0</v>
      </c>
      <c r="K204" s="4">
        <v>624</v>
      </c>
      <c r="L204" s="2">
        <v>287.82</v>
      </c>
      <c r="M204" s="2">
        <v>54.95</v>
      </c>
      <c r="N204" s="2">
        <v>60.32</v>
      </c>
      <c r="O204" s="2">
        <v>23.84</v>
      </c>
      <c r="P204" s="2">
        <v>3.03</v>
      </c>
      <c r="Q204" s="4">
        <v>197036</v>
      </c>
      <c r="R204" s="4">
        <v>1940</v>
      </c>
      <c r="S204" s="4">
        <v>198976</v>
      </c>
      <c r="T204" s="4">
        <v>34289</v>
      </c>
      <c r="U204" s="4">
        <v>37640</v>
      </c>
      <c r="V204" s="4">
        <v>0</v>
      </c>
      <c r="W204" s="4">
        <v>16441</v>
      </c>
      <c r="X204" s="4">
        <v>2088</v>
      </c>
      <c r="Y204" s="4">
        <v>289434</v>
      </c>
      <c r="Z204" s="4">
        <v>31557</v>
      </c>
      <c r="AA204" s="4">
        <v>257877</v>
      </c>
      <c r="AB204" s="4">
        <v>146479</v>
      </c>
      <c r="AC204" s="4">
        <v>111398</v>
      </c>
    </row>
    <row r="205" spans="1:29" x14ac:dyDescent="0.25">
      <c r="A205" s="1" t="s">
        <v>178</v>
      </c>
      <c r="B205" s="1" t="s">
        <v>746</v>
      </c>
      <c r="C205" s="1" t="s">
        <v>215</v>
      </c>
      <c r="D205" s="1" t="s">
        <v>216</v>
      </c>
      <c r="E205" s="2">
        <v>104.18</v>
      </c>
      <c r="F205" s="3">
        <v>1043.8</v>
      </c>
      <c r="G205" s="2">
        <v>1147.98</v>
      </c>
      <c r="H205" s="2">
        <v>0</v>
      </c>
      <c r="I205" s="4">
        <v>18</v>
      </c>
      <c r="J205" s="3">
        <v>0</v>
      </c>
      <c r="K205" s="4">
        <v>1062</v>
      </c>
      <c r="L205" s="2">
        <v>287.82</v>
      </c>
      <c r="M205" s="2">
        <v>54.95</v>
      </c>
      <c r="N205" s="2">
        <v>60.32</v>
      </c>
      <c r="O205" s="2">
        <v>23.84</v>
      </c>
      <c r="P205" s="2">
        <v>3.03</v>
      </c>
      <c r="Q205" s="4">
        <v>330412</v>
      </c>
      <c r="R205" s="4">
        <v>0</v>
      </c>
      <c r="S205" s="4">
        <v>330412</v>
      </c>
      <c r="T205" s="4">
        <v>58357</v>
      </c>
      <c r="U205" s="4">
        <v>64060</v>
      </c>
      <c r="V205" s="4">
        <v>0</v>
      </c>
      <c r="W205" s="4">
        <v>27368</v>
      </c>
      <c r="X205" s="4">
        <v>3478</v>
      </c>
      <c r="Y205" s="4">
        <v>483675</v>
      </c>
      <c r="Z205" s="4">
        <v>44572</v>
      </c>
      <c r="AA205" s="4">
        <v>439103</v>
      </c>
      <c r="AB205" s="4">
        <v>253753</v>
      </c>
      <c r="AC205" s="4">
        <v>185350</v>
      </c>
    </row>
    <row r="206" spans="1:29" x14ac:dyDescent="0.25">
      <c r="A206" s="1" t="s">
        <v>178</v>
      </c>
      <c r="B206" s="1" t="s">
        <v>746</v>
      </c>
      <c r="C206" s="1" t="s">
        <v>214</v>
      </c>
      <c r="D206" s="1" t="s">
        <v>613</v>
      </c>
      <c r="E206" s="2">
        <v>79.290000000000006</v>
      </c>
      <c r="F206" s="3">
        <v>705.9</v>
      </c>
      <c r="G206" s="2">
        <v>785.19</v>
      </c>
      <c r="H206" s="2">
        <v>0</v>
      </c>
      <c r="I206" s="4">
        <v>2</v>
      </c>
      <c r="J206" s="3">
        <v>0</v>
      </c>
      <c r="K206" s="4">
        <v>708</v>
      </c>
      <c r="L206" s="2">
        <v>287.82</v>
      </c>
      <c r="M206" s="2">
        <v>54.95</v>
      </c>
      <c r="N206" s="2">
        <v>60.32</v>
      </c>
      <c r="O206" s="2">
        <v>23.84</v>
      </c>
      <c r="P206" s="2">
        <v>3.03</v>
      </c>
      <c r="Q206" s="4">
        <v>225993</v>
      </c>
      <c r="R206" s="4">
        <v>1586</v>
      </c>
      <c r="S206" s="4">
        <v>227579</v>
      </c>
      <c r="T206" s="4">
        <v>38905</v>
      </c>
      <c r="U206" s="4">
        <v>42707</v>
      </c>
      <c r="V206" s="4">
        <v>0</v>
      </c>
      <c r="W206" s="4">
        <v>18804</v>
      </c>
      <c r="X206" s="4">
        <v>2389</v>
      </c>
      <c r="Y206" s="4">
        <v>330384</v>
      </c>
      <c r="Z206" s="4">
        <v>32669</v>
      </c>
      <c r="AA206" s="4">
        <v>297715</v>
      </c>
      <c r="AB206" s="4">
        <v>171473</v>
      </c>
      <c r="AC206" s="4">
        <v>126242</v>
      </c>
    </row>
    <row r="207" spans="1:29" x14ac:dyDescent="0.25">
      <c r="A207" s="1" t="s">
        <v>178</v>
      </c>
      <c r="B207" s="1" t="s">
        <v>746</v>
      </c>
      <c r="C207" s="1" t="s">
        <v>217</v>
      </c>
      <c r="D207" s="1" t="s">
        <v>614</v>
      </c>
      <c r="E207" s="2">
        <v>212.58</v>
      </c>
      <c r="F207" s="3">
        <v>2141.1999999999998</v>
      </c>
      <c r="G207" s="2">
        <v>2353.7800000000002</v>
      </c>
      <c r="H207" s="2">
        <v>0</v>
      </c>
      <c r="I207" s="4">
        <v>604</v>
      </c>
      <c r="J207" s="3">
        <v>2.8</v>
      </c>
      <c r="K207" s="4">
        <v>2742</v>
      </c>
      <c r="L207" s="2">
        <v>287.82</v>
      </c>
      <c r="M207" s="2">
        <v>54.95</v>
      </c>
      <c r="N207" s="2">
        <v>60.32</v>
      </c>
      <c r="O207" s="2">
        <v>23.84</v>
      </c>
      <c r="P207" s="2">
        <v>3.03</v>
      </c>
      <c r="Q207" s="4">
        <v>677465</v>
      </c>
      <c r="R207" s="4">
        <v>0</v>
      </c>
      <c r="S207" s="4">
        <v>677465</v>
      </c>
      <c r="T207" s="4">
        <v>150673</v>
      </c>
      <c r="U207" s="4">
        <v>165397</v>
      </c>
      <c r="V207" s="4">
        <v>0</v>
      </c>
      <c r="W207" s="4">
        <v>56114</v>
      </c>
      <c r="X207" s="4">
        <v>7132</v>
      </c>
      <c r="Y207" s="4">
        <v>1056781</v>
      </c>
      <c r="Z207" s="4">
        <v>94924</v>
      </c>
      <c r="AA207" s="4">
        <v>961857</v>
      </c>
      <c r="AB207" s="4">
        <v>516753</v>
      </c>
      <c r="AC207" s="4">
        <v>445104</v>
      </c>
    </row>
    <row r="208" spans="1:29" x14ac:dyDescent="0.25">
      <c r="A208" s="1" t="s">
        <v>178</v>
      </c>
      <c r="B208" s="1" t="s">
        <v>746</v>
      </c>
      <c r="C208" s="1" t="s">
        <v>218</v>
      </c>
      <c r="D208" s="1" t="s">
        <v>615</v>
      </c>
      <c r="E208" s="2">
        <v>206.44</v>
      </c>
      <c r="F208" s="3">
        <v>1769.8</v>
      </c>
      <c r="G208" s="2">
        <v>1976.24</v>
      </c>
      <c r="H208" s="2">
        <v>0</v>
      </c>
      <c r="I208" s="4">
        <v>122</v>
      </c>
      <c r="J208" s="3">
        <v>6.8</v>
      </c>
      <c r="K208" s="4">
        <v>1885</v>
      </c>
      <c r="L208" s="2">
        <v>287.82</v>
      </c>
      <c r="M208" s="2">
        <v>54.95</v>
      </c>
      <c r="N208" s="2">
        <v>60.32</v>
      </c>
      <c r="O208" s="2">
        <v>23.84</v>
      </c>
      <c r="P208" s="2">
        <v>3.03</v>
      </c>
      <c r="Q208" s="4">
        <v>568801</v>
      </c>
      <c r="R208" s="4">
        <v>16588</v>
      </c>
      <c r="S208" s="4">
        <v>585389</v>
      </c>
      <c r="T208" s="4">
        <v>103581</v>
      </c>
      <c r="U208" s="4">
        <v>113703</v>
      </c>
      <c r="V208" s="4">
        <v>0</v>
      </c>
      <c r="W208" s="4">
        <v>48370</v>
      </c>
      <c r="X208" s="4">
        <v>6144</v>
      </c>
      <c r="Y208" s="4">
        <v>857187</v>
      </c>
      <c r="Z208" s="4">
        <v>80425</v>
      </c>
      <c r="AA208" s="4">
        <v>776762</v>
      </c>
      <c r="AB208" s="4">
        <v>434553</v>
      </c>
      <c r="AC208" s="4">
        <v>342209</v>
      </c>
    </row>
    <row r="209" spans="1:29" x14ac:dyDescent="0.25">
      <c r="A209" s="1" t="s">
        <v>178</v>
      </c>
      <c r="B209" s="1" t="s">
        <v>746</v>
      </c>
      <c r="C209" s="1" t="s">
        <v>219</v>
      </c>
      <c r="D209" s="1" t="s">
        <v>616</v>
      </c>
      <c r="E209" s="2">
        <v>79.36</v>
      </c>
      <c r="F209" s="3">
        <v>697.8</v>
      </c>
      <c r="G209" s="2">
        <v>777.16</v>
      </c>
      <c r="H209" s="2">
        <v>0</v>
      </c>
      <c r="I209" s="4">
        <v>0</v>
      </c>
      <c r="J209" s="3">
        <v>0</v>
      </c>
      <c r="K209" s="4">
        <v>698</v>
      </c>
      <c r="L209" s="2">
        <v>287.82</v>
      </c>
      <c r="M209" s="2">
        <v>54.95</v>
      </c>
      <c r="N209" s="2">
        <v>60.32</v>
      </c>
      <c r="O209" s="2">
        <v>23.84</v>
      </c>
      <c r="P209" s="2">
        <v>3.03</v>
      </c>
      <c r="Q209" s="4">
        <v>223682</v>
      </c>
      <c r="R209" s="4">
        <v>0</v>
      </c>
      <c r="S209" s="4">
        <v>223682</v>
      </c>
      <c r="T209" s="4">
        <v>38355</v>
      </c>
      <c r="U209" s="4">
        <v>42103</v>
      </c>
      <c r="V209" s="4">
        <v>0</v>
      </c>
      <c r="W209" s="4">
        <v>18527</v>
      </c>
      <c r="X209" s="4">
        <v>2355</v>
      </c>
      <c r="Y209" s="4">
        <v>325022</v>
      </c>
      <c r="Z209" s="4">
        <v>30464</v>
      </c>
      <c r="AA209" s="4">
        <v>294558</v>
      </c>
      <c r="AB209" s="4">
        <v>171496</v>
      </c>
      <c r="AC209" s="4">
        <v>123062</v>
      </c>
    </row>
    <row r="210" spans="1:29" x14ac:dyDescent="0.25">
      <c r="A210" s="1" t="s">
        <v>178</v>
      </c>
      <c r="B210" s="1" t="s">
        <v>746</v>
      </c>
      <c r="C210" s="1" t="s">
        <v>220</v>
      </c>
      <c r="D210" s="1" t="s">
        <v>617</v>
      </c>
      <c r="E210" s="2">
        <v>84.13</v>
      </c>
      <c r="F210" s="3">
        <v>1011.3</v>
      </c>
      <c r="G210" s="2">
        <v>1095.43</v>
      </c>
      <c r="H210" s="2">
        <v>0</v>
      </c>
      <c r="I210" s="4">
        <v>4</v>
      </c>
      <c r="J210" s="3">
        <v>0</v>
      </c>
      <c r="K210" s="4">
        <v>1015</v>
      </c>
      <c r="L210" s="2">
        <v>287.82</v>
      </c>
      <c r="M210" s="2">
        <v>54.95</v>
      </c>
      <c r="N210" s="2">
        <v>60.32</v>
      </c>
      <c r="O210" s="2">
        <v>23.84</v>
      </c>
      <c r="P210" s="2">
        <v>3.03</v>
      </c>
      <c r="Q210" s="4">
        <v>315287</v>
      </c>
      <c r="R210" s="4">
        <v>0</v>
      </c>
      <c r="S210" s="4">
        <v>315287</v>
      </c>
      <c r="T210" s="4">
        <v>55774</v>
      </c>
      <c r="U210" s="4">
        <v>61225</v>
      </c>
      <c r="V210" s="4">
        <v>0</v>
      </c>
      <c r="W210" s="4">
        <v>26115</v>
      </c>
      <c r="X210" s="4">
        <v>3319</v>
      </c>
      <c r="Y210" s="4">
        <v>461720</v>
      </c>
      <c r="Z210" s="4">
        <v>47283</v>
      </c>
      <c r="AA210" s="4">
        <v>414437</v>
      </c>
      <c r="AB210" s="4">
        <v>237386</v>
      </c>
      <c r="AC210" s="4">
        <v>177051</v>
      </c>
    </row>
    <row r="211" spans="1:29" x14ac:dyDescent="0.25">
      <c r="A211" s="1" t="s">
        <v>178</v>
      </c>
      <c r="B211" s="1" t="s">
        <v>746</v>
      </c>
      <c r="C211" s="1" t="s">
        <v>221</v>
      </c>
      <c r="D211" s="1" t="s">
        <v>618</v>
      </c>
      <c r="E211" s="2">
        <v>150.66999999999999</v>
      </c>
      <c r="F211" s="3">
        <v>1119.4000000000001</v>
      </c>
      <c r="G211" s="2">
        <v>1270.07</v>
      </c>
      <c r="H211" s="2">
        <v>0</v>
      </c>
      <c r="I211" s="4">
        <v>47</v>
      </c>
      <c r="J211" s="3">
        <v>0.1</v>
      </c>
      <c r="K211" s="4">
        <v>1166</v>
      </c>
      <c r="L211" s="2">
        <v>287.82</v>
      </c>
      <c r="M211" s="2">
        <v>54.95</v>
      </c>
      <c r="N211" s="2">
        <v>60.32</v>
      </c>
      <c r="O211" s="2">
        <v>23.84</v>
      </c>
      <c r="P211" s="2">
        <v>3.03</v>
      </c>
      <c r="Q211" s="4">
        <v>365552</v>
      </c>
      <c r="R211" s="4">
        <v>0</v>
      </c>
      <c r="S211" s="4">
        <v>365552</v>
      </c>
      <c r="T211" s="4">
        <v>64072</v>
      </c>
      <c r="U211" s="4">
        <v>70333</v>
      </c>
      <c r="V211" s="4">
        <v>0</v>
      </c>
      <c r="W211" s="4">
        <v>30278</v>
      </c>
      <c r="X211" s="4">
        <v>3848</v>
      </c>
      <c r="Y211" s="4">
        <v>534083</v>
      </c>
      <c r="Z211" s="4">
        <v>66136</v>
      </c>
      <c r="AA211" s="4">
        <v>467947</v>
      </c>
      <c r="AB211" s="4">
        <v>263916</v>
      </c>
      <c r="AC211" s="4">
        <v>204031</v>
      </c>
    </row>
    <row r="212" spans="1:29" x14ac:dyDescent="0.25">
      <c r="A212" s="1" t="s">
        <v>178</v>
      </c>
      <c r="B212" s="1" t="s">
        <v>746</v>
      </c>
      <c r="C212" s="1" t="s">
        <v>222</v>
      </c>
      <c r="D212" s="1" t="s">
        <v>619</v>
      </c>
      <c r="E212" s="2">
        <v>705.31</v>
      </c>
      <c r="F212" s="3">
        <v>6843.1</v>
      </c>
      <c r="G212" s="2">
        <v>7548.41</v>
      </c>
      <c r="H212" s="2">
        <v>0</v>
      </c>
      <c r="I212" s="4">
        <v>247</v>
      </c>
      <c r="J212" s="3">
        <v>0</v>
      </c>
      <c r="K212" s="4">
        <v>7090</v>
      </c>
      <c r="L212" s="2">
        <v>287.82</v>
      </c>
      <c r="M212" s="2">
        <v>54.95</v>
      </c>
      <c r="N212" s="2">
        <v>60.32</v>
      </c>
      <c r="O212" s="2">
        <v>23.84</v>
      </c>
      <c r="P212" s="2">
        <v>3.03</v>
      </c>
      <c r="Q212" s="4">
        <v>2172583</v>
      </c>
      <c r="R212" s="4">
        <v>0</v>
      </c>
      <c r="S212" s="4">
        <v>2172583</v>
      </c>
      <c r="T212" s="4">
        <v>389596</v>
      </c>
      <c r="U212" s="4">
        <v>427669</v>
      </c>
      <c r="V212" s="4">
        <v>0</v>
      </c>
      <c r="W212" s="4">
        <v>179954</v>
      </c>
      <c r="X212" s="4">
        <v>22872</v>
      </c>
      <c r="Y212" s="4">
        <v>3192674</v>
      </c>
      <c r="Z212" s="4">
        <v>198481</v>
      </c>
      <c r="AA212" s="4">
        <v>2994193</v>
      </c>
      <c r="AB212" s="4">
        <v>1763125</v>
      </c>
      <c r="AC212" s="4">
        <v>1231068</v>
      </c>
    </row>
    <row r="213" spans="1:29" x14ac:dyDescent="0.25">
      <c r="A213" s="1" t="s">
        <v>178</v>
      </c>
      <c r="B213" s="1" t="s">
        <v>746</v>
      </c>
      <c r="C213" s="1" t="s">
        <v>223</v>
      </c>
      <c r="D213" s="1" t="s">
        <v>620</v>
      </c>
      <c r="E213" s="2">
        <v>68.47</v>
      </c>
      <c r="F213" s="3">
        <v>552.70000000000005</v>
      </c>
      <c r="G213" s="2">
        <v>621.16999999999996</v>
      </c>
      <c r="H213" s="2">
        <v>0</v>
      </c>
      <c r="I213" s="4">
        <v>0</v>
      </c>
      <c r="J213" s="3">
        <v>0</v>
      </c>
      <c r="K213" s="4">
        <v>553</v>
      </c>
      <c r="L213" s="2">
        <v>287.82</v>
      </c>
      <c r="M213" s="2">
        <v>54.95</v>
      </c>
      <c r="N213" s="2">
        <v>60.32</v>
      </c>
      <c r="O213" s="2">
        <v>23.84</v>
      </c>
      <c r="P213" s="2">
        <v>3.03</v>
      </c>
      <c r="Q213" s="4">
        <v>178785</v>
      </c>
      <c r="R213" s="4">
        <v>9619</v>
      </c>
      <c r="S213" s="4">
        <v>188404</v>
      </c>
      <c r="T213" s="4">
        <v>30387</v>
      </c>
      <c r="U213" s="4">
        <v>33357</v>
      </c>
      <c r="V213" s="4">
        <v>0</v>
      </c>
      <c r="W213" s="4">
        <v>15474</v>
      </c>
      <c r="X213" s="4">
        <v>1966</v>
      </c>
      <c r="Y213" s="4">
        <v>269588</v>
      </c>
      <c r="Z213" s="4">
        <v>26643</v>
      </c>
      <c r="AA213" s="4">
        <v>242945</v>
      </c>
      <c r="AB213" s="4">
        <v>135530</v>
      </c>
      <c r="AC213" s="4">
        <v>107415</v>
      </c>
    </row>
    <row r="214" spans="1:29" x14ac:dyDescent="0.25">
      <c r="A214" s="1" t="s">
        <v>178</v>
      </c>
      <c r="B214" s="1" t="s">
        <v>746</v>
      </c>
      <c r="C214" s="1" t="s">
        <v>224</v>
      </c>
      <c r="D214" s="1" t="s">
        <v>621</v>
      </c>
      <c r="E214" s="2">
        <v>48.75</v>
      </c>
      <c r="F214" s="3">
        <v>339.5</v>
      </c>
      <c r="G214" s="2">
        <v>388.25</v>
      </c>
      <c r="H214" s="2">
        <v>0</v>
      </c>
      <c r="I214" s="4">
        <v>10</v>
      </c>
      <c r="J214" s="3">
        <v>0</v>
      </c>
      <c r="K214" s="4">
        <v>350</v>
      </c>
      <c r="L214" s="2">
        <v>287.82</v>
      </c>
      <c r="M214" s="2">
        <v>54.95</v>
      </c>
      <c r="N214" s="2">
        <v>60.32</v>
      </c>
      <c r="O214" s="2">
        <v>23.84</v>
      </c>
      <c r="P214" s="2">
        <v>3.03</v>
      </c>
      <c r="Q214" s="4">
        <v>111746</v>
      </c>
      <c r="R214" s="4">
        <v>6553</v>
      </c>
      <c r="S214" s="4">
        <v>118299</v>
      </c>
      <c r="T214" s="4">
        <v>19233</v>
      </c>
      <c r="U214" s="4">
        <v>21112</v>
      </c>
      <c r="V214" s="4">
        <v>0</v>
      </c>
      <c r="W214" s="4">
        <v>9256</v>
      </c>
      <c r="X214" s="4">
        <v>1176</v>
      </c>
      <c r="Y214" s="4">
        <v>169076</v>
      </c>
      <c r="Z214" s="4">
        <v>20920</v>
      </c>
      <c r="AA214" s="4">
        <v>148156</v>
      </c>
      <c r="AB214" s="4">
        <v>79974</v>
      </c>
      <c r="AC214" s="4">
        <v>68182</v>
      </c>
    </row>
    <row r="215" spans="1:29" x14ac:dyDescent="0.25">
      <c r="A215" s="1" t="s">
        <v>178</v>
      </c>
      <c r="B215" s="1" t="s">
        <v>746</v>
      </c>
      <c r="C215" s="1" t="s">
        <v>225</v>
      </c>
      <c r="D215" s="1" t="s">
        <v>622</v>
      </c>
      <c r="E215" s="2">
        <v>45.7</v>
      </c>
      <c r="F215" s="3">
        <v>373.1</v>
      </c>
      <c r="G215" s="2">
        <v>418.8</v>
      </c>
      <c r="H215" s="2">
        <v>0</v>
      </c>
      <c r="I215" s="4">
        <v>18</v>
      </c>
      <c r="J215" s="3">
        <v>0</v>
      </c>
      <c r="K215" s="4">
        <v>391</v>
      </c>
      <c r="L215" s="2">
        <v>287.82</v>
      </c>
      <c r="M215" s="2">
        <v>54.95</v>
      </c>
      <c r="N215" s="2">
        <v>60.32</v>
      </c>
      <c r="O215" s="2">
        <v>23.84</v>
      </c>
      <c r="P215" s="2">
        <v>3.03</v>
      </c>
      <c r="Q215" s="4">
        <v>120539</v>
      </c>
      <c r="R215" s="4">
        <v>0</v>
      </c>
      <c r="S215" s="4">
        <v>120539</v>
      </c>
      <c r="T215" s="4">
        <v>21485</v>
      </c>
      <c r="U215" s="4">
        <v>23585</v>
      </c>
      <c r="V215" s="4">
        <v>0</v>
      </c>
      <c r="W215" s="4">
        <v>9984</v>
      </c>
      <c r="X215" s="4">
        <v>1269</v>
      </c>
      <c r="Y215" s="4">
        <v>176862</v>
      </c>
      <c r="Z215" s="4">
        <v>19730</v>
      </c>
      <c r="AA215" s="4">
        <v>157132</v>
      </c>
      <c r="AB215" s="4">
        <v>89103</v>
      </c>
      <c r="AC215" s="4">
        <v>68029</v>
      </c>
    </row>
    <row r="216" spans="1:29" x14ac:dyDescent="0.25">
      <c r="A216" s="1" t="s">
        <v>178</v>
      </c>
      <c r="B216" s="1" t="s">
        <v>746</v>
      </c>
      <c r="C216" s="1" t="s">
        <v>226</v>
      </c>
      <c r="D216" s="1" t="s">
        <v>623</v>
      </c>
      <c r="E216" s="2">
        <v>321.82</v>
      </c>
      <c r="F216" s="3">
        <v>3406.3</v>
      </c>
      <c r="G216" s="2">
        <v>3728.12</v>
      </c>
      <c r="H216" s="2">
        <v>0</v>
      </c>
      <c r="I216" s="4">
        <v>480</v>
      </c>
      <c r="J216" s="3">
        <v>2.1</v>
      </c>
      <c r="K216" s="4">
        <v>3884</v>
      </c>
      <c r="L216" s="2">
        <v>287.82</v>
      </c>
      <c r="M216" s="2">
        <v>54.95</v>
      </c>
      <c r="N216" s="2">
        <v>60.32</v>
      </c>
      <c r="O216" s="2">
        <v>23.84</v>
      </c>
      <c r="P216" s="2">
        <v>3.03</v>
      </c>
      <c r="Q216" s="4">
        <v>1073027</v>
      </c>
      <c r="R216" s="4">
        <v>0</v>
      </c>
      <c r="S216" s="4">
        <v>1073027</v>
      </c>
      <c r="T216" s="4">
        <v>213426</v>
      </c>
      <c r="U216" s="4">
        <v>234283</v>
      </c>
      <c r="V216" s="4">
        <v>0</v>
      </c>
      <c r="W216" s="4">
        <v>88878</v>
      </c>
      <c r="X216" s="4">
        <v>11296</v>
      </c>
      <c r="Y216" s="4">
        <v>1620910</v>
      </c>
      <c r="Z216" s="4">
        <v>138380</v>
      </c>
      <c r="AA216" s="4">
        <v>1482530</v>
      </c>
      <c r="AB216" s="4">
        <v>830446</v>
      </c>
      <c r="AC216" s="4">
        <v>652084</v>
      </c>
    </row>
    <row r="217" spans="1:29" x14ac:dyDescent="0.25">
      <c r="A217" s="1" t="s">
        <v>178</v>
      </c>
      <c r="B217" s="1" t="s">
        <v>746</v>
      </c>
      <c r="C217" s="1" t="s">
        <v>227</v>
      </c>
      <c r="D217" s="1" t="s">
        <v>624</v>
      </c>
      <c r="E217" s="2">
        <v>49.76</v>
      </c>
      <c r="F217" s="3">
        <v>692.3</v>
      </c>
      <c r="G217" s="2">
        <v>742.06</v>
      </c>
      <c r="H217" s="2">
        <v>0</v>
      </c>
      <c r="I217" s="4">
        <v>24</v>
      </c>
      <c r="J217" s="3">
        <v>0</v>
      </c>
      <c r="K217" s="4">
        <v>716</v>
      </c>
      <c r="L217" s="2">
        <v>287.82</v>
      </c>
      <c r="M217" s="2">
        <v>54.95</v>
      </c>
      <c r="N217" s="2">
        <v>60.32</v>
      </c>
      <c r="O217" s="2">
        <v>23.84</v>
      </c>
      <c r="P217" s="2">
        <v>3.03</v>
      </c>
      <c r="Q217" s="4">
        <v>213580</v>
      </c>
      <c r="R217" s="4">
        <v>0</v>
      </c>
      <c r="S217" s="4">
        <v>213580</v>
      </c>
      <c r="T217" s="4">
        <v>39344</v>
      </c>
      <c r="U217" s="4">
        <v>43189</v>
      </c>
      <c r="V217" s="4">
        <v>0</v>
      </c>
      <c r="W217" s="4">
        <v>17691</v>
      </c>
      <c r="X217" s="4">
        <v>2248</v>
      </c>
      <c r="Y217" s="4">
        <v>316052</v>
      </c>
      <c r="Z217" s="4">
        <v>22227</v>
      </c>
      <c r="AA217" s="4">
        <v>293825</v>
      </c>
      <c r="AB217" s="4">
        <v>170612</v>
      </c>
      <c r="AC217" s="4">
        <v>123213</v>
      </c>
    </row>
    <row r="218" spans="1:29" x14ac:dyDescent="0.25">
      <c r="A218" s="1" t="s">
        <v>178</v>
      </c>
      <c r="B218" s="1" t="s">
        <v>746</v>
      </c>
      <c r="C218" s="1" t="s">
        <v>228</v>
      </c>
      <c r="D218" s="1" t="s">
        <v>625</v>
      </c>
      <c r="E218" s="2">
        <v>807.35</v>
      </c>
      <c r="F218" s="3">
        <v>10599.7</v>
      </c>
      <c r="G218" s="2">
        <v>11407.05</v>
      </c>
      <c r="H218" s="2">
        <v>0</v>
      </c>
      <c r="I218" s="4">
        <v>1074</v>
      </c>
      <c r="J218" s="3">
        <v>0.1</v>
      </c>
      <c r="K218" s="4">
        <v>11674</v>
      </c>
      <c r="L218" s="2">
        <v>287.82</v>
      </c>
      <c r="M218" s="2">
        <v>54.95</v>
      </c>
      <c r="N218" s="2">
        <v>60.32</v>
      </c>
      <c r="O218" s="2">
        <v>23.84</v>
      </c>
      <c r="P218" s="2">
        <v>3.03</v>
      </c>
      <c r="Q218" s="4">
        <v>3283177</v>
      </c>
      <c r="R218" s="4">
        <v>0</v>
      </c>
      <c r="S218" s="4">
        <v>3283177</v>
      </c>
      <c r="T218" s="4">
        <v>641486</v>
      </c>
      <c r="U218" s="4">
        <v>704176</v>
      </c>
      <c r="V218" s="4">
        <v>0</v>
      </c>
      <c r="W218" s="4">
        <v>271944</v>
      </c>
      <c r="X218" s="4">
        <v>34563</v>
      </c>
      <c r="Y218" s="4">
        <v>4935346</v>
      </c>
      <c r="Z218" s="4">
        <v>115205</v>
      </c>
      <c r="AA218" s="4">
        <v>4820141</v>
      </c>
      <c r="AB218" s="4">
        <v>2849145</v>
      </c>
      <c r="AC218" s="4">
        <v>1970996</v>
      </c>
    </row>
    <row r="219" spans="1:29" x14ac:dyDescent="0.25">
      <c r="A219" s="1" t="s">
        <v>178</v>
      </c>
      <c r="B219" s="1" t="s">
        <v>746</v>
      </c>
      <c r="C219" s="1" t="s">
        <v>229</v>
      </c>
      <c r="D219" s="1" t="s">
        <v>626</v>
      </c>
      <c r="E219" s="2">
        <v>144.53</v>
      </c>
      <c r="F219" s="3">
        <v>912.4</v>
      </c>
      <c r="G219" s="2">
        <v>1056.93</v>
      </c>
      <c r="H219" s="2">
        <v>0</v>
      </c>
      <c r="I219" s="4">
        <v>0</v>
      </c>
      <c r="J219" s="3">
        <v>0</v>
      </c>
      <c r="K219" s="4">
        <v>912</v>
      </c>
      <c r="L219" s="2">
        <v>287.82</v>
      </c>
      <c r="M219" s="2">
        <v>54.95</v>
      </c>
      <c r="N219" s="2">
        <v>60.32</v>
      </c>
      <c r="O219" s="2">
        <v>23.84</v>
      </c>
      <c r="P219" s="2">
        <v>3.03</v>
      </c>
      <c r="Q219" s="4">
        <v>304206</v>
      </c>
      <c r="R219" s="4">
        <v>0</v>
      </c>
      <c r="S219" s="4">
        <v>304206</v>
      </c>
      <c r="T219" s="4">
        <v>50114</v>
      </c>
      <c r="U219" s="4">
        <v>55012</v>
      </c>
      <c r="V219" s="4">
        <v>0</v>
      </c>
      <c r="W219" s="4">
        <v>25197</v>
      </c>
      <c r="X219" s="4">
        <v>3202</v>
      </c>
      <c r="Y219" s="4">
        <v>437731</v>
      </c>
      <c r="Z219" s="4">
        <v>43965</v>
      </c>
      <c r="AA219" s="4">
        <v>393766</v>
      </c>
      <c r="AB219" s="4">
        <v>230699</v>
      </c>
      <c r="AC219" s="4">
        <v>163067</v>
      </c>
    </row>
    <row r="220" spans="1:29" x14ac:dyDescent="0.25">
      <c r="A220" s="1" t="s">
        <v>178</v>
      </c>
      <c r="B220" s="1" t="s">
        <v>746</v>
      </c>
      <c r="C220" s="1" t="s">
        <v>230</v>
      </c>
      <c r="D220" s="1" t="s">
        <v>627</v>
      </c>
      <c r="E220" s="2">
        <v>1054.8599999999999</v>
      </c>
      <c r="F220" s="3">
        <v>8918</v>
      </c>
      <c r="G220" s="2">
        <v>9972.86</v>
      </c>
      <c r="H220" s="2">
        <v>0</v>
      </c>
      <c r="I220" s="4">
        <v>1380</v>
      </c>
      <c r="J220" s="3">
        <v>0.9</v>
      </c>
      <c r="K220" s="4">
        <v>10297</v>
      </c>
      <c r="L220" s="2">
        <v>287.82</v>
      </c>
      <c r="M220" s="2">
        <v>54.95</v>
      </c>
      <c r="N220" s="2">
        <v>60.32</v>
      </c>
      <c r="O220" s="2">
        <v>23.84</v>
      </c>
      <c r="P220" s="2">
        <v>3.03</v>
      </c>
      <c r="Q220" s="4">
        <v>2870389</v>
      </c>
      <c r="R220" s="4">
        <v>0</v>
      </c>
      <c r="S220" s="4">
        <v>2870389</v>
      </c>
      <c r="T220" s="4">
        <v>565820</v>
      </c>
      <c r="U220" s="4">
        <v>621115</v>
      </c>
      <c r="V220" s="4">
        <v>0</v>
      </c>
      <c r="W220" s="4">
        <v>237753</v>
      </c>
      <c r="X220" s="4">
        <v>30218</v>
      </c>
      <c r="Y220" s="4">
        <v>4325295</v>
      </c>
      <c r="Z220" s="4">
        <v>390197</v>
      </c>
      <c r="AA220" s="4">
        <v>3935098</v>
      </c>
      <c r="AB220" s="4">
        <v>2201450</v>
      </c>
      <c r="AC220" s="4">
        <v>1733648</v>
      </c>
    </row>
    <row r="221" spans="1:29" x14ac:dyDescent="0.25">
      <c r="A221" s="1" t="s">
        <v>178</v>
      </c>
      <c r="B221" s="1" t="s">
        <v>746</v>
      </c>
      <c r="C221" s="1" t="s">
        <v>231</v>
      </c>
      <c r="D221" s="1" t="s">
        <v>628</v>
      </c>
      <c r="E221" s="2">
        <v>193.89</v>
      </c>
      <c r="F221" s="3">
        <v>1710.4</v>
      </c>
      <c r="G221" s="2">
        <v>1904.29</v>
      </c>
      <c r="H221" s="2">
        <v>0</v>
      </c>
      <c r="I221" s="4">
        <v>19</v>
      </c>
      <c r="J221" s="3">
        <v>0</v>
      </c>
      <c r="K221" s="4">
        <v>1729</v>
      </c>
      <c r="L221" s="2">
        <v>287.82</v>
      </c>
      <c r="M221" s="2">
        <v>54.95</v>
      </c>
      <c r="N221" s="2">
        <v>60.32</v>
      </c>
      <c r="O221" s="2">
        <v>23.84</v>
      </c>
      <c r="P221" s="2">
        <v>3.03</v>
      </c>
      <c r="Q221" s="4">
        <v>548093</v>
      </c>
      <c r="R221" s="4">
        <v>0</v>
      </c>
      <c r="S221" s="4">
        <v>548093</v>
      </c>
      <c r="T221" s="4">
        <v>95009</v>
      </c>
      <c r="U221" s="4">
        <v>104293</v>
      </c>
      <c r="V221" s="4">
        <v>0</v>
      </c>
      <c r="W221" s="4">
        <v>45398</v>
      </c>
      <c r="X221" s="4">
        <v>5770</v>
      </c>
      <c r="Y221" s="4">
        <v>798563</v>
      </c>
      <c r="Z221" s="4">
        <v>70332</v>
      </c>
      <c r="AA221" s="4">
        <v>728231</v>
      </c>
      <c r="AB221" s="4">
        <v>424536</v>
      </c>
      <c r="AC221" s="4">
        <v>303695</v>
      </c>
    </row>
    <row r="222" spans="1:29" x14ac:dyDescent="0.25">
      <c r="A222" s="1" t="s">
        <v>178</v>
      </c>
      <c r="B222" s="1" t="s">
        <v>746</v>
      </c>
      <c r="C222" s="1" t="s">
        <v>232</v>
      </c>
      <c r="D222" s="1" t="s">
        <v>629</v>
      </c>
      <c r="E222" s="2">
        <v>87.97</v>
      </c>
      <c r="F222" s="3">
        <v>960.2</v>
      </c>
      <c r="G222" s="2">
        <v>1048.17</v>
      </c>
      <c r="H222" s="2">
        <v>0</v>
      </c>
      <c r="I222" s="4">
        <v>38</v>
      </c>
      <c r="J222" s="3">
        <v>0</v>
      </c>
      <c r="K222" s="4">
        <v>998</v>
      </c>
      <c r="L222" s="2">
        <v>287.82</v>
      </c>
      <c r="M222" s="2">
        <v>54.95</v>
      </c>
      <c r="N222" s="2">
        <v>60.32</v>
      </c>
      <c r="O222" s="2">
        <v>23.84</v>
      </c>
      <c r="P222" s="2">
        <v>3.03</v>
      </c>
      <c r="Q222" s="4">
        <v>301684</v>
      </c>
      <c r="R222" s="4">
        <v>0</v>
      </c>
      <c r="S222" s="4">
        <v>301684</v>
      </c>
      <c r="T222" s="4">
        <v>54840</v>
      </c>
      <c r="U222" s="4">
        <v>60199</v>
      </c>
      <c r="V222" s="4">
        <v>0</v>
      </c>
      <c r="W222" s="4">
        <v>24988</v>
      </c>
      <c r="X222" s="4">
        <v>3176</v>
      </c>
      <c r="Y222" s="4">
        <v>444887</v>
      </c>
      <c r="Z222" s="4">
        <v>30067</v>
      </c>
      <c r="AA222" s="4">
        <v>414820</v>
      </c>
      <c r="AB222" s="4">
        <v>242321</v>
      </c>
      <c r="AC222" s="4">
        <v>172499</v>
      </c>
    </row>
    <row r="223" spans="1:29" x14ac:dyDescent="0.25">
      <c r="A223" s="1" t="s">
        <v>233</v>
      </c>
      <c r="B223" s="1" t="s">
        <v>747</v>
      </c>
      <c r="C223" s="1" t="s">
        <v>234</v>
      </c>
      <c r="D223" s="1" t="s">
        <v>630</v>
      </c>
      <c r="E223" s="2">
        <v>76.23</v>
      </c>
      <c r="F223" s="3">
        <v>544.70000000000005</v>
      </c>
      <c r="G223" s="2">
        <v>620.92999999999995</v>
      </c>
      <c r="H223" s="2">
        <v>0</v>
      </c>
      <c r="I223" s="4">
        <v>13</v>
      </c>
      <c r="J223" s="3">
        <v>0</v>
      </c>
      <c r="K223" s="4">
        <v>558</v>
      </c>
      <c r="L223" s="2">
        <v>302.45999999999998</v>
      </c>
      <c r="M223" s="2">
        <v>55.36</v>
      </c>
      <c r="N223" s="2">
        <v>62.1</v>
      </c>
      <c r="O223" s="2">
        <v>30.4</v>
      </c>
      <c r="P223" s="2">
        <v>3.64</v>
      </c>
      <c r="Q223" s="4">
        <v>187806</v>
      </c>
      <c r="R223" s="4">
        <v>0</v>
      </c>
      <c r="S223" s="4">
        <v>187806</v>
      </c>
      <c r="T223" s="4">
        <v>30891</v>
      </c>
      <c r="U223" s="4">
        <v>34652</v>
      </c>
      <c r="V223" s="4">
        <v>0</v>
      </c>
      <c r="W223" s="4">
        <v>18876</v>
      </c>
      <c r="X223" s="4">
        <v>2260</v>
      </c>
      <c r="Y223" s="4">
        <v>274485</v>
      </c>
      <c r="Z223" s="4">
        <v>26925</v>
      </c>
      <c r="AA223" s="4">
        <v>247560</v>
      </c>
      <c r="AB223" s="4">
        <v>138888</v>
      </c>
      <c r="AC223" s="4">
        <v>108672</v>
      </c>
    </row>
    <row r="224" spans="1:29" x14ac:dyDescent="0.25">
      <c r="A224" s="1" t="s">
        <v>233</v>
      </c>
      <c r="B224" s="1" t="s">
        <v>747</v>
      </c>
      <c r="C224" s="1" t="s">
        <v>235</v>
      </c>
      <c r="D224" s="1" t="s">
        <v>631</v>
      </c>
      <c r="E224" s="2">
        <v>42.1</v>
      </c>
      <c r="F224" s="3">
        <v>267</v>
      </c>
      <c r="G224" s="2">
        <v>309.10000000000002</v>
      </c>
      <c r="H224" s="2">
        <v>0</v>
      </c>
      <c r="I224" s="4">
        <v>78</v>
      </c>
      <c r="J224" s="3">
        <v>0</v>
      </c>
      <c r="K224" s="4">
        <v>345</v>
      </c>
      <c r="L224" s="2">
        <v>302.45999999999998</v>
      </c>
      <c r="M224" s="2">
        <v>55.36</v>
      </c>
      <c r="N224" s="2">
        <v>62.1</v>
      </c>
      <c r="O224" s="2">
        <v>30.4</v>
      </c>
      <c r="P224" s="2">
        <v>3.64</v>
      </c>
      <c r="Q224" s="4">
        <v>93490</v>
      </c>
      <c r="R224" s="4">
        <v>11837</v>
      </c>
      <c r="S224" s="4">
        <v>105327</v>
      </c>
      <c r="T224" s="4">
        <v>19099</v>
      </c>
      <c r="U224" s="4">
        <v>21425</v>
      </c>
      <c r="V224" s="4">
        <v>0</v>
      </c>
      <c r="W224" s="4">
        <v>10118</v>
      </c>
      <c r="X224" s="4">
        <v>1210</v>
      </c>
      <c r="Y224" s="4">
        <v>157179</v>
      </c>
      <c r="Z224" s="4">
        <v>20681</v>
      </c>
      <c r="AA224" s="4">
        <v>136498</v>
      </c>
      <c r="AB224" s="4">
        <v>62667</v>
      </c>
      <c r="AC224" s="4">
        <v>73831</v>
      </c>
    </row>
    <row r="225" spans="1:29" x14ac:dyDescent="0.25">
      <c r="A225" s="1" t="s">
        <v>233</v>
      </c>
      <c r="B225" s="1" t="s">
        <v>747</v>
      </c>
      <c r="C225" s="1" t="s">
        <v>236</v>
      </c>
      <c r="D225" s="1" t="s">
        <v>632</v>
      </c>
      <c r="E225" s="2">
        <v>67.11</v>
      </c>
      <c r="F225" s="3">
        <v>596.20000000000005</v>
      </c>
      <c r="G225" s="2">
        <v>663.31</v>
      </c>
      <c r="H225" s="2">
        <v>0</v>
      </c>
      <c r="I225" s="4">
        <v>374</v>
      </c>
      <c r="J225" s="3">
        <v>5.7</v>
      </c>
      <c r="K225" s="4">
        <v>965</v>
      </c>
      <c r="L225" s="2">
        <v>302.45999999999998</v>
      </c>
      <c r="M225" s="2">
        <v>55.36</v>
      </c>
      <c r="N225" s="2">
        <v>62.1</v>
      </c>
      <c r="O225" s="2">
        <v>30.4</v>
      </c>
      <c r="P225" s="2">
        <v>3.64</v>
      </c>
      <c r="Q225" s="4">
        <v>200625</v>
      </c>
      <c r="R225" s="4">
        <v>1977</v>
      </c>
      <c r="S225" s="4">
        <v>202602</v>
      </c>
      <c r="T225" s="4">
        <v>53422</v>
      </c>
      <c r="U225" s="4">
        <v>59927</v>
      </c>
      <c r="V225" s="4">
        <v>0</v>
      </c>
      <c r="W225" s="4">
        <v>20360</v>
      </c>
      <c r="X225" s="4">
        <v>2435</v>
      </c>
      <c r="Y225" s="4">
        <v>338746</v>
      </c>
      <c r="Z225" s="4">
        <v>31059</v>
      </c>
      <c r="AA225" s="4">
        <v>307687</v>
      </c>
      <c r="AB225" s="4">
        <v>146287</v>
      </c>
      <c r="AC225" s="4">
        <v>161400</v>
      </c>
    </row>
    <row r="226" spans="1:29" x14ac:dyDescent="0.25">
      <c r="A226" s="1" t="s">
        <v>233</v>
      </c>
      <c r="B226" s="1" t="s">
        <v>747</v>
      </c>
      <c r="C226" s="1" t="s">
        <v>237</v>
      </c>
      <c r="D226" s="1" t="s">
        <v>633</v>
      </c>
      <c r="E226" s="2">
        <v>74.790000000000006</v>
      </c>
      <c r="F226" s="3">
        <v>761.2</v>
      </c>
      <c r="G226" s="2">
        <v>835.99</v>
      </c>
      <c r="H226" s="2">
        <v>0</v>
      </c>
      <c r="I226" s="4">
        <v>115</v>
      </c>
      <c r="J226" s="3">
        <v>0</v>
      </c>
      <c r="K226" s="4">
        <v>876</v>
      </c>
      <c r="L226" s="2">
        <v>302.45999999999998</v>
      </c>
      <c r="M226" s="2">
        <v>55.36</v>
      </c>
      <c r="N226" s="2">
        <v>62.1</v>
      </c>
      <c r="O226" s="2">
        <v>30.4</v>
      </c>
      <c r="P226" s="2">
        <v>3.64</v>
      </c>
      <c r="Q226" s="4">
        <v>252854</v>
      </c>
      <c r="R226" s="4">
        <v>0</v>
      </c>
      <c r="S226" s="4">
        <v>252854</v>
      </c>
      <c r="T226" s="4">
        <v>48495</v>
      </c>
      <c r="U226" s="4">
        <v>54400</v>
      </c>
      <c r="V226" s="4">
        <v>0</v>
      </c>
      <c r="W226" s="4">
        <v>25414</v>
      </c>
      <c r="X226" s="4">
        <v>3043</v>
      </c>
      <c r="Y226" s="4">
        <v>384206</v>
      </c>
      <c r="Z226" s="4">
        <v>34843</v>
      </c>
      <c r="AA226" s="4">
        <v>349363</v>
      </c>
      <c r="AB226" s="4">
        <v>188400</v>
      </c>
      <c r="AC226" s="4">
        <v>160963</v>
      </c>
    </row>
    <row r="227" spans="1:29" x14ac:dyDescent="0.25">
      <c r="A227" s="1" t="s">
        <v>233</v>
      </c>
      <c r="B227" s="1" t="s">
        <v>747</v>
      </c>
      <c r="C227" s="1" t="s">
        <v>238</v>
      </c>
      <c r="D227" s="1" t="s">
        <v>634</v>
      </c>
      <c r="E227" s="2">
        <v>42.88</v>
      </c>
      <c r="F227" s="3">
        <v>259.10000000000002</v>
      </c>
      <c r="G227" s="2">
        <v>301.98</v>
      </c>
      <c r="H227" s="2">
        <v>0</v>
      </c>
      <c r="I227" s="4">
        <v>0</v>
      </c>
      <c r="J227" s="3">
        <v>0</v>
      </c>
      <c r="K227" s="4">
        <v>259</v>
      </c>
      <c r="L227" s="2">
        <v>302.45999999999998</v>
      </c>
      <c r="M227" s="2">
        <v>55.36</v>
      </c>
      <c r="N227" s="2">
        <v>62.1</v>
      </c>
      <c r="O227" s="2">
        <v>30.4</v>
      </c>
      <c r="P227" s="2">
        <v>3.64</v>
      </c>
      <c r="Q227" s="4">
        <v>91337</v>
      </c>
      <c r="R227" s="4">
        <v>8344</v>
      </c>
      <c r="S227" s="4">
        <v>99681</v>
      </c>
      <c r="T227" s="4">
        <v>14338</v>
      </c>
      <c r="U227" s="4">
        <v>16084</v>
      </c>
      <c r="V227" s="4">
        <v>0</v>
      </c>
      <c r="W227" s="4">
        <v>9347</v>
      </c>
      <c r="X227" s="4">
        <v>1118</v>
      </c>
      <c r="Y227" s="4">
        <v>140568</v>
      </c>
      <c r="Z227" s="4">
        <v>17747</v>
      </c>
      <c r="AA227" s="4">
        <v>122821</v>
      </c>
      <c r="AB227" s="4">
        <v>63079</v>
      </c>
      <c r="AC227" s="4">
        <v>59742</v>
      </c>
    </row>
    <row r="228" spans="1:29" x14ac:dyDescent="0.25">
      <c r="A228" s="1" t="s">
        <v>233</v>
      </c>
      <c r="B228" s="1" t="s">
        <v>747</v>
      </c>
      <c r="C228" s="1" t="s">
        <v>239</v>
      </c>
      <c r="D228" s="1" t="s">
        <v>635</v>
      </c>
      <c r="E228" s="2">
        <v>110.41</v>
      </c>
      <c r="F228" s="3">
        <v>973.5</v>
      </c>
      <c r="G228" s="2">
        <v>1083.9100000000001</v>
      </c>
      <c r="H228" s="2">
        <v>0</v>
      </c>
      <c r="I228" s="4">
        <v>2</v>
      </c>
      <c r="J228" s="3">
        <v>0</v>
      </c>
      <c r="K228" s="4">
        <v>976</v>
      </c>
      <c r="L228" s="2">
        <v>302.45999999999998</v>
      </c>
      <c r="M228" s="2">
        <v>55.36</v>
      </c>
      <c r="N228" s="2">
        <v>62.1</v>
      </c>
      <c r="O228" s="2">
        <v>30.4</v>
      </c>
      <c r="P228" s="2">
        <v>3.64</v>
      </c>
      <c r="Q228" s="4">
        <v>327839</v>
      </c>
      <c r="R228" s="4">
        <v>0</v>
      </c>
      <c r="S228" s="4">
        <v>327839</v>
      </c>
      <c r="T228" s="4">
        <v>54031</v>
      </c>
      <c r="U228" s="4">
        <v>60610</v>
      </c>
      <c r="V228" s="4">
        <v>0</v>
      </c>
      <c r="W228" s="4">
        <v>32951</v>
      </c>
      <c r="X228" s="4">
        <v>3945</v>
      </c>
      <c r="Y228" s="4">
        <v>479376</v>
      </c>
      <c r="Z228" s="4">
        <v>53299</v>
      </c>
      <c r="AA228" s="4">
        <v>426077</v>
      </c>
      <c r="AB228" s="4">
        <v>236148</v>
      </c>
      <c r="AC228" s="4">
        <v>189929</v>
      </c>
    </row>
    <row r="229" spans="1:29" x14ac:dyDescent="0.25">
      <c r="A229" s="1" t="s">
        <v>233</v>
      </c>
      <c r="B229" s="1" t="s">
        <v>747</v>
      </c>
      <c r="C229" s="1" t="s">
        <v>240</v>
      </c>
      <c r="D229" s="1" t="s">
        <v>636</v>
      </c>
      <c r="E229" s="2">
        <v>271.13</v>
      </c>
      <c r="F229" s="3">
        <v>2101</v>
      </c>
      <c r="G229" s="2">
        <v>2372.13</v>
      </c>
      <c r="H229" s="2">
        <v>0</v>
      </c>
      <c r="I229" s="4">
        <v>174</v>
      </c>
      <c r="J229" s="3">
        <v>0.5</v>
      </c>
      <c r="K229" s="4">
        <v>2275</v>
      </c>
      <c r="L229" s="2">
        <v>302.45999999999998</v>
      </c>
      <c r="M229" s="2">
        <v>55.36</v>
      </c>
      <c r="N229" s="2">
        <v>62.1</v>
      </c>
      <c r="O229" s="2">
        <v>30.4</v>
      </c>
      <c r="P229" s="2">
        <v>3.64</v>
      </c>
      <c r="Q229" s="4">
        <v>717474</v>
      </c>
      <c r="R229" s="4">
        <v>0</v>
      </c>
      <c r="S229" s="4">
        <v>717474</v>
      </c>
      <c r="T229" s="4">
        <v>125944</v>
      </c>
      <c r="U229" s="4">
        <v>141278</v>
      </c>
      <c r="V229" s="4">
        <v>0</v>
      </c>
      <c r="W229" s="4">
        <v>72113</v>
      </c>
      <c r="X229" s="4">
        <v>8635</v>
      </c>
      <c r="Y229" s="4">
        <v>1065444</v>
      </c>
      <c r="Z229" s="4">
        <v>77738</v>
      </c>
      <c r="AA229" s="4">
        <v>987706</v>
      </c>
      <c r="AB229" s="4">
        <v>555716</v>
      </c>
      <c r="AC229" s="4">
        <v>431990</v>
      </c>
    </row>
    <row r="230" spans="1:29" x14ac:dyDescent="0.25">
      <c r="A230" s="1" t="s">
        <v>233</v>
      </c>
      <c r="B230" s="1" t="s">
        <v>747</v>
      </c>
      <c r="C230" s="1" t="s">
        <v>241</v>
      </c>
      <c r="D230" s="1" t="s">
        <v>637</v>
      </c>
      <c r="E230" s="2">
        <v>37.520000000000003</v>
      </c>
      <c r="F230" s="3">
        <v>444</v>
      </c>
      <c r="G230" s="2">
        <v>481.52</v>
      </c>
      <c r="H230" s="2">
        <v>0</v>
      </c>
      <c r="I230" s="4">
        <v>2</v>
      </c>
      <c r="J230" s="3">
        <v>0</v>
      </c>
      <c r="K230" s="4">
        <v>446</v>
      </c>
      <c r="L230" s="2">
        <v>302.45999999999998</v>
      </c>
      <c r="M230" s="2">
        <v>55.36</v>
      </c>
      <c r="N230" s="2">
        <v>62.1</v>
      </c>
      <c r="O230" s="2">
        <v>30.4</v>
      </c>
      <c r="P230" s="2">
        <v>3.64</v>
      </c>
      <c r="Q230" s="4">
        <v>145641</v>
      </c>
      <c r="R230" s="4">
        <v>0</v>
      </c>
      <c r="S230" s="4">
        <v>145641</v>
      </c>
      <c r="T230" s="4">
        <v>24691</v>
      </c>
      <c r="U230" s="4">
        <v>27697</v>
      </c>
      <c r="V230" s="4">
        <v>0</v>
      </c>
      <c r="W230" s="4">
        <v>14638</v>
      </c>
      <c r="X230" s="4">
        <v>1753</v>
      </c>
      <c r="Y230" s="4">
        <v>214420</v>
      </c>
      <c r="Z230" s="4">
        <v>25821</v>
      </c>
      <c r="AA230" s="4">
        <v>188599</v>
      </c>
      <c r="AB230" s="4">
        <v>102764</v>
      </c>
      <c r="AC230" s="4">
        <v>85835</v>
      </c>
    </row>
    <row r="231" spans="1:29" x14ac:dyDescent="0.25">
      <c r="A231" s="1" t="s">
        <v>233</v>
      </c>
      <c r="B231" s="1" t="s">
        <v>747</v>
      </c>
      <c r="C231" s="1" t="s">
        <v>242</v>
      </c>
      <c r="D231" s="1" t="s">
        <v>638</v>
      </c>
      <c r="E231" s="2">
        <v>37.99</v>
      </c>
      <c r="F231" s="3">
        <v>426.2</v>
      </c>
      <c r="G231" s="2">
        <v>464.19</v>
      </c>
      <c r="H231" s="2">
        <v>0</v>
      </c>
      <c r="I231" s="4">
        <v>4</v>
      </c>
      <c r="J231" s="3">
        <v>0</v>
      </c>
      <c r="K231" s="4">
        <v>430</v>
      </c>
      <c r="L231" s="2">
        <v>302.45999999999998</v>
      </c>
      <c r="M231" s="2">
        <v>55.36</v>
      </c>
      <c r="N231" s="2">
        <v>62.1</v>
      </c>
      <c r="O231" s="2">
        <v>30.4</v>
      </c>
      <c r="P231" s="2">
        <v>3.64</v>
      </c>
      <c r="Q231" s="4">
        <v>140399</v>
      </c>
      <c r="R231" s="4">
        <v>11065</v>
      </c>
      <c r="S231" s="4">
        <v>151464</v>
      </c>
      <c r="T231" s="4">
        <v>23805</v>
      </c>
      <c r="U231" s="4">
        <v>26703</v>
      </c>
      <c r="V231" s="4">
        <v>0</v>
      </c>
      <c r="W231" s="4">
        <v>15169</v>
      </c>
      <c r="X231" s="4">
        <v>1814</v>
      </c>
      <c r="Y231" s="4">
        <v>218955</v>
      </c>
      <c r="Z231" s="4">
        <v>24051</v>
      </c>
      <c r="AA231" s="4">
        <v>194904</v>
      </c>
      <c r="AB231" s="4">
        <v>101088</v>
      </c>
      <c r="AC231" s="4">
        <v>93816</v>
      </c>
    </row>
    <row r="232" spans="1:29" x14ac:dyDescent="0.25">
      <c r="A232" s="1" t="s">
        <v>233</v>
      </c>
      <c r="B232" s="1" t="s">
        <v>747</v>
      </c>
      <c r="C232" s="1" t="s">
        <v>243</v>
      </c>
      <c r="D232" s="1" t="s">
        <v>639</v>
      </c>
      <c r="E232" s="2">
        <v>118.76</v>
      </c>
      <c r="F232" s="3">
        <v>627.9</v>
      </c>
      <c r="G232" s="2">
        <v>746.66</v>
      </c>
      <c r="H232" s="2">
        <v>0</v>
      </c>
      <c r="I232" s="4">
        <v>113</v>
      </c>
      <c r="J232" s="3">
        <v>0</v>
      </c>
      <c r="K232" s="4">
        <v>741</v>
      </c>
      <c r="L232" s="2">
        <v>302.45999999999998</v>
      </c>
      <c r="M232" s="2">
        <v>55.36</v>
      </c>
      <c r="N232" s="2">
        <v>62.1</v>
      </c>
      <c r="O232" s="2">
        <v>30.4</v>
      </c>
      <c r="P232" s="2">
        <v>3.64</v>
      </c>
      <c r="Q232" s="4">
        <v>225835</v>
      </c>
      <c r="R232" s="4">
        <v>0</v>
      </c>
      <c r="S232" s="4">
        <v>225835</v>
      </c>
      <c r="T232" s="4">
        <v>41022</v>
      </c>
      <c r="U232" s="4">
        <v>46016</v>
      </c>
      <c r="V232" s="4">
        <v>0</v>
      </c>
      <c r="W232" s="4">
        <v>22698</v>
      </c>
      <c r="X232" s="4">
        <v>2718</v>
      </c>
      <c r="Y232" s="4">
        <v>338289</v>
      </c>
      <c r="Z232" s="4">
        <v>41896</v>
      </c>
      <c r="AA232" s="4">
        <v>296393</v>
      </c>
      <c r="AB232" s="4">
        <v>157492</v>
      </c>
      <c r="AC232" s="4">
        <v>138901</v>
      </c>
    </row>
    <row r="233" spans="1:29" x14ac:dyDescent="0.25">
      <c r="A233" s="1" t="s">
        <v>233</v>
      </c>
      <c r="B233" s="1" t="s">
        <v>747</v>
      </c>
      <c r="C233" s="1" t="s">
        <v>244</v>
      </c>
      <c r="D233" s="1" t="s">
        <v>640</v>
      </c>
      <c r="E233" s="2">
        <v>46.23</v>
      </c>
      <c r="F233" s="3">
        <v>526.1</v>
      </c>
      <c r="G233" s="2">
        <v>572.33000000000004</v>
      </c>
      <c r="H233" s="2">
        <v>0</v>
      </c>
      <c r="I233" s="4">
        <v>20</v>
      </c>
      <c r="J233" s="3">
        <v>0</v>
      </c>
      <c r="K233" s="4">
        <v>546</v>
      </c>
      <c r="L233" s="2">
        <v>302.45999999999998</v>
      </c>
      <c r="M233" s="2">
        <v>55.36</v>
      </c>
      <c r="N233" s="2">
        <v>62.1</v>
      </c>
      <c r="O233" s="2">
        <v>30.4</v>
      </c>
      <c r="P233" s="2">
        <v>3.64</v>
      </c>
      <c r="Q233" s="4">
        <v>173107</v>
      </c>
      <c r="R233" s="4">
        <v>2184</v>
      </c>
      <c r="S233" s="4">
        <v>175291</v>
      </c>
      <c r="T233" s="4">
        <v>30227</v>
      </c>
      <c r="U233" s="4">
        <v>33907</v>
      </c>
      <c r="V233" s="4">
        <v>0</v>
      </c>
      <c r="W233" s="4">
        <v>17615</v>
      </c>
      <c r="X233" s="4">
        <v>2107</v>
      </c>
      <c r="Y233" s="4">
        <v>259147</v>
      </c>
      <c r="Z233" s="4">
        <v>25986</v>
      </c>
      <c r="AA233" s="4">
        <v>233161</v>
      </c>
      <c r="AB233" s="4">
        <v>127089</v>
      </c>
      <c r="AC233" s="4">
        <v>106072</v>
      </c>
    </row>
    <row r="234" spans="1:29" x14ac:dyDescent="0.25">
      <c r="A234" s="1" t="s">
        <v>233</v>
      </c>
      <c r="B234" s="1" t="s">
        <v>747</v>
      </c>
      <c r="C234" s="1" t="s">
        <v>245</v>
      </c>
      <c r="D234" s="1" t="s">
        <v>641</v>
      </c>
      <c r="E234" s="2">
        <v>60.79</v>
      </c>
      <c r="F234" s="3">
        <v>456.4</v>
      </c>
      <c r="G234" s="2">
        <v>517.19000000000005</v>
      </c>
      <c r="H234" s="2">
        <v>0</v>
      </c>
      <c r="I234" s="4">
        <v>9</v>
      </c>
      <c r="J234" s="3">
        <v>0</v>
      </c>
      <c r="K234" s="4">
        <v>465</v>
      </c>
      <c r="L234" s="2">
        <v>302.45999999999998</v>
      </c>
      <c r="M234" s="2">
        <v>55.36</v>
      </c>
      <c r="N234" s="2">
        <v>62.1</v>
      </c>
      <c r="O234" s="2">
        <v>30.4</v>
      </c>
      <c r="P234" s="2">
        <v>3.64</v>
      </c>
      <c r="Q234" s="4">
        <v>156429</v>
      </c>
      <c r="R234" s="4">
        <v>6796</v>
      </c>
      <c r="S234" s="4">
        <v>163225</v>
      </c>
      <c r="T234" s="4">
        <v>25742</v>
      </c>
      <c r="U234" s="4">
        <v>28877</v>
      </c>
      <c r="V234" s="4">
        <v>0</v>
      </c>
      <c r="W234" s="4">
        <v>15974</v>
      </c>
      <c r="X234" s="4">
        <v>1911</v>
      </c>
      <c r="Y234" s="4">
        <v>235729</v>
      </c>
      <c r="Z234" s="4">
        <v>21764</v>
      </c>
      <c r="AA234" s="4">
        <v>213965</v>
      </c>
      <c r="AB234" s="4">
        <v>116626</v>
      </c>
      <c r="AC234" s="4">
        <v>97339</v>
      </c>
    </row>
    <row r="235" spans="1:29" x14ac:dyDescent="0.25">
      <c r="A235" s="1" t="s">
        <v>233</v>
      </c>
      <c r="B235" s="1" t="s">
        <v>747</v>
      </c>
      <c r="C235" s="1" t="s">
        <v>246</v>
      </c>
      <c r="D235" s="1" t="s">
        <v>642</v>
      </c>
      <c r="E235" s="2">
        <v>55.47</v>
      </c>
      <c r="F235" s="3">
        <v>575.20000000000005</v>
      </c>
      <c r="G235" s="2">
        <v>630.66999999999996</v>
      </c>
      <c r="H235" s="2">
        <v>0</v>
      </c>
      <c r="I235" s="4">
        <v>24</v>
      </c>
      <c r="J235" s="3">
        <v>0</v>
      </c>
      <c r="K235" s="4">
        <v>599</v>
      </c>
      <c r="L235" s="2">
        <v>302.45999999999998</v>
      </c>
      <c r="M235" s="2">
        <v>55.36</v>
      </c>
      <c r="N235" s="2">
        <v>62.1</v>
      </c>
      <c r="O235" s="2">
        <v>30.4</v>
      </c>
      <c r="P235" s="2">
        <v>3.64</v>
      </c>
      <c r="Q235" s="4">
        <v>190752</v>
      </c>
      <c r="R235" s="4">
        <v>4298</v>
      </c>
      <c r="S235" s="4">
        <v>195050</v>
      </c>
      <c r="T235" s="4">
        <v>33161</v>
      </c>
      <c r="U235" s="4">
        <v>37198</v>
      </c>
      <c r="V235" s="4">
        <v>0</v>
      </c>
      <c r="W235" s="4">
        <v>19345</v>
      </c>
      <c r="X235" s="4">
        <v>2314</v>
      </c>
      <c r="Y235" s="4">
        <v>287068</v>
      </c>
      <c r="Z235" s="4">
        <v>28228</v>
      </c>
      <c r="AA235" s="4">
        <v>258840</v>
      </c>
      <c r="AB235" s="4">
        <v>140377</v>
      </c>
      <c r="AC235" s="4">
        <v>118463</v>
      </c>
    </row>
    <row r="236" spans="1:29" x14ac:dyDescent="0.25">
      <c r="A236" s="1" t="s">
        <v>233</v>
      </c>
      <c r="B236" s="1" t="s">
        <v>747</v>
      </c>
      <c r="C236" s="1" t="s">
        <v>247</v>
      </c>
      <c r="D236" s="1" t="s">
        <v>643</v>
      </c>
      <c r="E236" s="2">
        <v>301.98</v>
      </c>
      <c r="F236" s="3">
        <v>2184.3000000000002</v>
      </c>
      <c r="G236" s="2">
        <v>2486.2800000000002</v>
      </c>
      <c r="H236" s="2">
        <v>0</v>
      </c>
      <c r="I236" s="4">
        <v>446</v>
      </c>
      <c r="J236" s="3">
        <v>1.6</v>
      </c>
      <c r="K236" s="4">
        <v>2629</v>
      </c>
      <c r="L236" s="2">
        <v>302.45999999999998</v>
      </c>
      <c r="M236" s="2">
        <v>55.36</v>
      </c>
      <c r="N236" s="2">
        <v>62.1</v>
      </c>
      <c r="O236" s="2">
        <v>30.4</v>
      </c>
      <c r="P236" s="2">
        <v>3.64</v>
      </c>
      <c r="Q236" s="4">
        <v>752000</v>
      </c>
      <c r="R236" s="4">
        <v>0</v>
      </c>
      <c r="S236" s="4">
        <v>752000</v>
      </c>
      <c r="T236" s="4">
        <v>145541</v>
      </c>
      <c r="U236" s="4">
        <v>163261</v>
      </c>
      <c r="V236" s="4">
        <v>0</v>
      </c>
      <c r="W236" s="4">
        <v>75583</v>
      </c>
      <c r="X236" s="4">
        <v>9050</v>
      </c>
      <c r="Y236" s="4">
        <v>1145435</v>
      </c>
      <c r="Z236" s="4">
        <v>105133</v>
      </c>
      <c r="AA236" s="4">
        <v>1040302</v>
      </c>
      <c r="AB236" s="4">
        <v>558803</v>
      </c>
      <c r="AC236" s="4">
        <v>481499</v>
      </c>
    </row>
    <row r="237" spans="1:29" x14ac:dyDescent="0.25">
      <c r="A237" s="1" t="s">
        <v>233</v>
      </c>
      <c r="B237" s="1" t="s">
        <v>747</v>
      </c>
      <c r="C237" s="1" t="s">
        <v>248</v>
      </c>
      <c r="D237" s="1" t="s">
        <v>644</v>
      </c>
      <c r="E237" s="2">
        <v>85.99</v>
      </c>
      <c r="F237" s="3">
        <v>654.6</v>
      </c>
      <c r="G237" s="2">
        <v>740.59</v>
      </c>
      <c r="H237" s="2">
        <v>0</v>
      </c>
      <c r="I237" s="4">
        <v>27</v>
      </c>
      <c r="J237" s="3">
        <v>0</v>
      </c>
      <c r="K237" s="4">
        <v>682</v>
      </c>
      <c r="L237" s="2">
        <v>302.45999999999998</v>
      </c>
      <c r="M237" s="2">
        <v>55.36</v>
      </c>
      <c r="N237" s="2">
        <v>62.1</v>
      </c>
      <c r="O237" s="2">
        <v>30.4</v>
      </c>
      <c r="P237" s="2">
        <v>3.64</v>
      </c>
      <c r="Q237" s="4">
        <v>223999</v>
      </c>
      <c r="R237" s="4">
        <v>11378</v>
      </c>
      <c r="S237" s="4">
        <v>235377</v>
      </c>
      <c r="T237" s="4">
        <v>37756</v>
      </c>
      <c r="U237" s="4">
        <v>42352</v>
      </c>
      <c r="V237" s="4">
        <v>0</v>
      </c>
      <c r="W237" s="4">
        <v>23413</v>
      </c>
      <c r="X237" s="4">
        <v>2800</v>
      </c>
      <c r="Y237" s="4">
        <v>341698</v>
      </c>
      <c r="Z237" s="4">
        <v>42589</v>
      </c>
      <c r="AA237" s="4">
        <v>299109</v>
      </c>
      <c r="AB237" s="4">
        <v>156181</v>
      </c>
      <c r="AC237" s="4">
        <v>142928</v>
      </c>
    </row>
    <row r="238" spans="1:29" x14ac:dyDescent="0.25">
      <c r="A238" s="1" t="s">
        <v>233</v>
      </c>
      <c r="B238" s="1" t="s">
        <v>747</v>
      </c>
      <c r="C238" s="1" t="s">
        <v>249</v>
      </c>
      <c r="D238" s="1" t="s">
        <v>645</v>
      </c>
      <c r="E238" s="2">
        <v>51.47</v>
      </c>
      <c r="F238" s="3">
        <v>424.5</v>
      </c>
      <c r="G238" s="2">
        <v>475.97</v>
      </c>
      <c r="H238" s="2">
        <v>0</v>
      </c>
      <c r="I238" s="4">
        <v>7</v>
      </c>
      <c r="J238" s="3">
        <v>0</v>
      </c>
      <c r="K238" s="4">
        <v>432</v>
      </c>
      <c r="L238" s="2">
        <v>302.45999999999998</v>
      </c>
      <c r="M238" s="2">
        <v>55.36</v>
      </c>
      <c r="N238" s="2">
        <v>62.1</v>
      </c>
      <c r="O238" s="2">
        <v>30.4</v>
      </c>
      <c r="P238" s="2">
        <v>3.64</v>
      </c>
      <c r="Q238" s="4">
        <v>143962</v>
      </c>
      <c r="R238" s="4">
        <v>4587</v>
      </c>
      <c r="S238" s="4">
        <v>148549</v>
      </c>
      <c r="T238" s="4">
        <v>23916</v>
      </c>
      <c r="U238" s="4">
        <v>26827</v>
      </c>
      <c r="V238" s="4">
        <v>0</v>
      </c>
      <c r="W238" s="4">
        <v>14582</v>
      </c>
      <c r="X238" s="4">
        <v>1744</v>
      </c>
      <c r="Y238" s="4">
        <v>215618</v>
      </c>
      <c r="Z238" s="4">
        <v>28045</v>
      </c>
      <c r="AA238" s="4">
        <v>187573</v>
      </c>
      <c r="AB238" s="4">
        <v>99182</v>
      </c>
      <c r="AC238" s="4">
        <v>88391</v>
      </c>
    </row>
    <row r="239" spans="1:29" x14ac:dyDescent="0.25">
      <c r="A239" s="1" t="s">
        <v>233</v>
      </c>
      <c r="B239" s="1" t="s">
        <v>747</v>
      </c>
      <c r="C239" s="1" t="s">
        <v>250</v>
      </c>
      <c r="D239" s="1" t="s">
        <v>646</v>
      </c>
      <c r="E239" s="2">
        <v>150.66999999999999</v>
      </c>
      <c r="F239" s="3">
        <v>1436.5</v>
      </c>
      <c r="G239" s="2">
        <v>1587.17</v>
      </c>
      <c r="H239" s="2">
        <v>0</v>
      </c>
      <c r="I239" s="4">
        <v>507</v>
      </c>
      <c r="J239" s="3">
        <v>8.8000000000000007</v>
      </c>
      <c r="K239" s="4">
        <v>1935</v>
      </c>
      <c r="L239" s="2">
        <v>302.45999999999998</v>
      </c>
      <c r="M239" s="2">
        <v>55.36</v>
      </c>
      <c r="N239" s="2">
        <v>62.1</v>
      </c>
      <c r="O239" s="2">
        <v>30.4</v>
      </c>
      <c r="P239" s="2">
        <v>3.64</v>
      </c>
      <c r="Q239" s="4">
        <v>480055</v>
      </c>
      <c r="R239" s="4">
        <v>0</v>
      </c>
      <c r="S239" s="4">
        <v>480055</v>
      </c>
      <c r="T239" s="4">
        <v>107122</v>
      </c>
      <c r="U239" s="4">
        <v>120164</v>
      </c>
      <c r="V239" s="4">
        <v>0</v>
      </c>
      <c r="W239" s="4">
        <v>48250</v>
      </c>
      <c r="X239" s="4">
        <v>5777</v>
      </c>
      <c r="Y239" s="4">
        <v>761368</v>
      </c>
      <c r="Z239" s="4">
        <v>71335</v>
      </c>
      <c r="AA239" s="4">
        <v>690033</v>
      </c>
      <c r="AB239" s="4">
        <v>352503</v>
      </c>
      <c r="AC239" s="4">
        <v>337530</v>
      </c>
    </row>
    <row r="240" spans="1:29" x14ac:dyDescent="0.25">
      <c r="A240" s="1" t="s">
        <v>233</v>
      </c>
      <c r="B240" s="1" t="s">
        <v>747</v>
      </c>
      <c r="C240" s="1" t="s">
        <v>46</v>
      </c>
      <c r="D240" s="1" t="s">
        <v>647</v>
      </c>
      <c r="E240" s="2">
        <v>106.56</v>
      </c>
      <c r="F240" s="3">
        <v>978.5</v>
      </c>
      <c r="G240" s="2">
        <v>1085.06</v>
      </c>
      <c r="H240" s="2">
        <v>0</v>
      </c>
      <c r="I240" s="4">
        <v>24</v>
      </c>
      <c r="J240" s="3">
        <v>0</v>
      </c>
      <c r="K240" s="4">
        <v>1003</v>
      </c>
      <c r="L240" s="2">
        <v>302.45999999999998</v>
      </c>
      <c r="M240" s="2">
        <v>55.36</v>
      </c>
      <c r="N240" s="2">
        <v>62.1</v>
      </c>
      <c r="O240" s="2">
        <v>30.4</v>
      </c>
      <c r="P240" s="2">
        <v>3.64</v>
      </c>
      <c r="Q240" s="4">
        <v>328187</v>
      </c>
      <c r="R240" s="4">
        <v>0</v>
      </c>
      <c r="S240" s="4">
        <v>328187</v>
      </c>
      <c r="T240" s="4">
        <v>55526</v>
      </c>
      <c r="U240" s="4">
        <v>62286</v>
      </c>
      <c r="V240" s="4">
        <v>0</v>
      </c>
      <c r="W240" s="4">
        <v>32986</v>
      </c>
      <c r="X240" s="4">
        <v>3950</v>
      </c>
      <c r="Y240" s="4">
        <v>482935</v>
      </c>
      <c r="Z240" s="4">
        <v>58024</v>
      </c>
      <c r="AA240" s="4">
        <v>424911</v>
      </c>
      <c r="AB240" s="4">
        <v>231731</v>
      </c>
      <c r="AC240" s="4">
        <v>193180</v>
      </c>
    </row>
    <row r="241" spans="1:29" x14ac:dyDescent="0.25">
      <c r="A241" s="1" t="s">
        <v>233</v>
      </c>
      <c r="B241" s="1" t="s">
        <v>747</v>
      </c>
      <c r="C241" s="1" t="s">
        <v>251</v>
      </c>
      <c r="D241" s="1" t="s">
        <v>648</v>
      </c>
      <c r="E241" s="2">
        <v>49.12</v>
      </c>
      <c r="F241" s="3">
        <v>344.4</v>
      </c>
      <c r="G241" s="2">
        <v>393.52</v>
      </c>
      <c r="H241" s="2">
        <v>0</v>
      </c>
      <c r="I241" s="4">
        <v>193</v>
      </c>
      <c r="J241" s="3">
        <v>4.3</v>
      </c>
      <c r="K241" s="4">
        <v>533</v>
      </c>
      <c r="L241" s="2">
        <v>302.45999999999998</v>
      </c>
      <c r="M241" s="2">
        <v>55.36</v>
      </c>
      <c r="N241" s="2">
        <v>62.1</v>
      </c>
      <c r="O241" s="2">
        <v>30.4</v>
      </c>
      <c r="P241" s="2">
        <v>3.64</v>
      </c>
      <c r="Q241" s="4">
        <v>119024</v>
      </c>
      <c r="R241" s="4">
        <v>12974</v>
      </c>
      <c r="S241" s="4">
        <v>131998</v>
      </c>
      <c r="T241" s="4">
        <v>29507</v>
      </c>
      <c r="U241" s="4">
        <v>33099</v>
      </c>
      <c r="V241" s="4">
        <v>0</v>
      </c>
      <c r="W241" s="4">
        <v>12784</v>
      </c>
      <c r="X241" s="4">
        <v>1529</v>
      </c>
      <c r="Y241" s="4">
        <v>208917</v>
      </c>
      <c r="Z241" s="4">
        <v>24390</v>
      </c>
      <c r="AA241" s="4">
        <v>184527</v>
      </c>
      <c r="AB241" s="4">
        <v>81613</v>
      </c>
      <c r="AC241" s="4">
        <v>102914</v>
      </c>
    </row>
    <row r="242" spans="1:29" x14ac:dyDescent="0.25">
      <c r="A242" s="1" t="s">
        <v>233</v>
      </c>
      <c r="B242" s="1" t="s">
        <v>747</v>
      </c>
      <c r="C242" s="1" t="s">
        <v>252</v>
      </c>
      <c r="D242" s="1" t="s">
        <v>649</v>
      </c>
      <c r="E242" s="2">
        <v>52.74</v>
      </c>
      <c r="F242" s="3">
        <v>422.6</v>
      </c>
      <c r="G242" s="2">
        <v>475.34</v>
      </c>
      <c r="H242" s="2">
        <v>0</v>
      </c>
      <c r="I242" s="4">
        <v>0</v>
      </c>
      <c r="J242" s="3">
        <v>0</v>
      </c>
      <c r="K242" s="4">
        <v>423</v>
      </c>
      <c r="L242" s="2">
        <v>302.45999999999998</v>
      </c>
      <c r="M242" s="2">
        <v>55.36</v>
      </c>
      <c r="N242" s="2">
        <v>62.1</v>
      </c>
      <c r="O242" s="2">
        <v>30.4</v>
      </c>
      <c r="P242" s="2">
        <v>3.64</v>
      </c>
      <c r="Q242" s="4">
        <v>143771</v>
      </c>
      <c r="R242" s="4">
        <v>1624</v>
      </c>
      <c r="S242" s="4">
        <v>145395</v>
      </c>
      <c r="T242" s="4">
        <v>23417</v>
      </c>
      <c r="U242" s="4">
        <v>26268</v>
      </c>
      <c r="V242" s="4">
        <v>0</v>
      </c>
      <c r="W242" s="4">
        <v>14611</v>
      </c>
      <c r="X242" s="4">
        <v>1747</v>
      </c>
      <c r="Y242" s="4">
        <v>211438</v>
      </c>
      <c r="Z242" s="4">
        <v>24876</v>
      </c>
      <c r="AA242" s="4">
        <v>186562</v>
      </c>
      <c r="AB242" s="4">
        <v>102236</v>
      </c>
      <c r="AC242" s="4">
        <v>84326</v>
      </c>
    </row>
    <row r="243" spans="1:29" x14ac:dyDescent="0.25">
      <c r="A243" s="1" t="s">
        <v>233</v>
      </c>
      <c r="B243" s="1" t="s">
        <v>747</v>
      </c>
      <c r="C243" s="1" t="s">
        <v>253</v>
      </c>
      <c r="D243" s="1" t="s">
        <v>650</v>
      </c>
      <c r="E243" s="2">
        <v>96.22</v>
      </c>
      <c r="F243" s="3">
        <v>805.2</v>
      </c>
      <c r="G243" s="2">
        <v>901.42</v>
      </c>
      <c r="H243" s="2">
        <v>0</v>
      </c>
      <c r="I243" s="4">
        <v>472</v>
      </c>
      <c r="J243" s="3">
        <v>1.1000000000000001</v>
      </c>
      <c r="K243" s="4">
        <v>1276</v>
      </c>
      <c r="L243" s="2">
        <v>302.45999999999998</v>
      </c>
      <c r="M243" s="2">
        <v>55.36</v>
      </c>
      <c r="N243" s="2">
        <v>62.1</v>
      </c>
      <c r="O243" s="2">
        <v>30.4</v>
      </c>
      <c r="P243" s="2">
        <v>3.64</v>
      </c>
      <c r="Q243" s="4">
        <v>272643</v>
      </c>
      <c r="R243" s="4">
        <v>0</v>
      </c>
      <c r="S243" s="4">
        <v>272643</v>
      </c>
      <c r="T243" s="4">
        <v>70639</v>
      </c>
      <c r="U243" s="4">
        <v>79240</v>
      </c>
      <c r="V243" s="4">
        <v>0</v>
      </c>
      <c r="W243" s="4">
        <v>27403</v>
      </c>
      <c r="X243" s="4">
        <v>3281</v>
      </c>
      <c r="Y243" s="4">
        <v>453206</v>
      </c>
      <c r="Z243" s="4">
        <v>28717</v>
      </c>
      <c r="AA243" s="4">
        <v>424489</v>
      </c>
      <c r="AB243" s="4">
        <v>211998</v>
      </c>
      <c r="AC243" s="4">
        <v>212491</v>
      </c>
    </row>
    <row r="244" spans="1:29" x14ac:dyDescent="0.25">
      <c r="A244" s="1" t="s">
        <v>233</v>
      </c>
      <c r="B244" s="1" t="s">
        <v>747</v>
      </c>
      <c r="C244" s="1" t="s">
        <v>254</v>
      </c>
      <c r="D244" s="1" t="s">
        <v>651</v>
      </c>
      <c r="E244" s="2">
        <v>45.18</v>
      </c>
      <c r="F244" s="3">
        <v>266</v>
      </c>
      <c r="G244" s="2">
        <v>311.18</v>
      </c>
      <c r="H244" s="2">
        <v>0</v>
      </c>
      <c r="I244" s="4">
        <v>4</v>
      </c>
      <c r="J244" s="3">
        <v>0</v>
      </c>
      <c r="K244" s="4">
        <v>270</v>
      </c>
      <c r="L244" s="2">
        <v>302.45999999999998</v>
      </c>
      <c r="M244" s="2">
        <v>55.36</v>
      </c>
      <c r="N244" s="2">
        <v>62.1</v>
      </c>
      <c r="O244" s="2">
        <v>30.4</v>
      </c>
      <c r="P244" s="2">
        <v>3.64</v>
      </c>
      <c r="Q244" s="4">
        <v>94120</v>
      </c>
      <c r="R244" s="4">
        <v>10839</v>
      </c>
      <c r="S244" s="4">
        <v>104959</v>
      </c>
      <c r="T244" s="4">
        <v>14947</v>
      </c>
      <c r="U244" s="4">
        <v>16767</v>
      </c>
      <c r="V244" s="4">
        <v>0</v>
      </c>
      <c r="W244" s="4">
        <v>9642</v>
      </c>
      <c r="X244" s="4">
        <v>1153</v>
      </c>
      <c r="Y244" s="4">
        <v>147468</v>
      </c>
      <c r="Z244" s="4">
        <v>13977</v>
      </c>
      <c r="AA244" s="4">
        <v>133491</v>
      </c>
      <c r="AB244" s="4">
        <v>69323</v>
      </c>
      <c r="AC244" s="4">
        <v>64168</v>
      </c>
    </row>
    <row r="245" spans="1:29" x14ac:dyDescent="0.25">
      <c r="A245" s="1" t="s">
        <v>233</v>
      </c>
      <c r="B245" s="1" t="s">
        <v>747</v>
      </c>
      <c r="C245" s="1" t="s">
        <v>255</v>
      </c>
      <c r="D245" s="1" t="s">
        <v>652</v>
      </c>
      <c r="E245" s="2">
        <v>210.91</v>
      </c>
      <c r="F245" s="3">
        <v>1435.3</v>
      </c>
      <c r="G245" s="2">
        <v>1646.21</v>
      </c>
      <c r="H245" s="2">
        <v>0</v>
      </c>
      <c r="I245" s="4">
        <v>43</v>
      </c>
      <c r="J245" s="3">
        <v>0</v>
      </c>
      <c r="K245" s="4">
        <v>1478</v>
      </c>
      <c r="L245" s="2">
        <v>302.45999999999998</v>
      </c>
      <c r="M245" s="2">
        <v>55.36</v>
      </c>
      <c r="N245" s="2">
        <v>62.1</v>
      </c>
      <c r="O245" s="2">
        <v>30.4</v>
      </c>
      <c r="P245" s="2">
        <v>3.64</v>
      </c>
      <c r="Q245" s="4">
        <v>497913</v>
      </c>
      <c r="R245" s="4">
        <v>0</v>
      </c>
      <c r="S245" s="4">
        <v>497913</v>
      </c>
      <c r="T245" s="4">
        <v>81822</v>
      </c>
      <c r="U245" s="4">
        <v>91784</v>
      </c>
      <c r="V245" s="4">
        <v>0</v>
      </c>
      <c r="W245" s="4">
        <v>50045</v>
      </c>
      <c r="X245" s="4">
        <v>5992</v>
      </c>
      <c r="Y245" s="4">
        <v>727556</v>
      </c>
      <c r="Z245" s="4">
        <v>56471</v>
      </c>
      <c r="AA245" s="4">
        <v>671085</v>
      </c>
      <c r="AB245" s="4">
        <v>383133</v>
      </c>
      <c r="AC245" s="4">
        <v>287952</v>
      </c>
    </row>
    <row r="246" spans="1:29" x14ac:dyDescent="0.25">
      <c r="A246" s="1" t="s">
        <v>233</v>
      </c>
      <c r="B246" s="1" t="s">
        <v>747</v>
      </c>
      <c r="C246" s="1" t="s">
        <v>256</v>
      </c>
      <c r="D246" s="1" t="s">
        <v>653</v>
      </c>
      <c r="E246" s="2">
        <v>160.80000000000001</v>
      </c>
      <c r="F246" s="3">
        <v>1071.5</v>
      </c>
      <c r="G246" s="2">
        <v>1232.3</v>
      </c>
      <c r="H246" s="2">
        <v>0</v>
      </c>
      <c r="I246" s="4">
        <v>230</v>
      </c>
      <c r="J246" s="3">
        <v>4.9000000000000004</v>
      </c>
      <c r="K246" s="4">
        <v>1297</v>
      </c>
      <c r="L246" s="2">
        <v>302.45999999999998</v>
      </c>
      <c r="M246" s="2">
        <v>55.36</v>
      </c>
      <c r="N246" s="2">
        <v>62.1</v>
      </c>
      <c r="O246" s="2">
        <v>30.4</v>
      </c>
      <c r="P246" s="2">
        <v>3.64</v>
      </c>
      <c r="Q246" s="4">
        <v>372721</v>
      </c>
      <c r="R246" s="4">
        <v>0</v>
      </c>
      <c r="S246" s="4">
        <v>372721</v>
      </c>
      <c r="T246" s="4">
        <v>71802</v>
      </c>
      <c r="U246" s="4">
        <v>80544</v>
      </c>
      <c r="V246" s="4">
        <v>0</v>
      </c>
      <c r="W246" s="4">
        <v>37462</v>
      </c>
      <c r="X246" s="4">
        <v>4486</v>
      </c>
      <c r="Y246" s="4">
        <v>567015</v>
      </c>
      <c r="Z246" s="4">
        <v>53257</v>
      </c>
      <c r="AA246" s="4">
        <v>513758</v>
      </c>
      <c r="AB246" s="4">
        <v>275817</v>
      </c>
      <c r="AC246" s="4">
        <v>237941</v>
      </c>
    </row>
    <row r="247" spans="1:29" x14ac:dyDescent="0.25">
      <c r="A247" s="1" t="s">
        <v>233</v>
      </c>
      <c r="B247" s="1" t="s">
        <v>747</v>
      </c>
      <c r="C247" s="1" t="s">
        <v>257</v>
      </c>
      <c r="D247" s="1" t="s">
        <v>654</v>
      </c>
      <c r="E247" s="2">
        <v>72.3</v>
      </c>
      <c r="F247" s="3">
        <v>772.6</v>
      </c>
      <c r="G247" s="2">
        <v>844.9</v>
      </c>
      <c r="H247" s="2">
        <v>0</v>
      </c>
      <c r="I247" s="4">
        <v>11</v>
      </c>
      <c r="J247" s="3">
        <v>0</v>
      </c>
      <c r="K247" s="4">
        <v>784</v>
      </c>
      <c r="L247" s="2">
        <v>302.45999999999998</v>
      </c>
      <c r="M247" s="2">
        <v>55.36</v>
      </c>
      <c r="N247" s="2">
        <v>62.1</v>
      </c>
      <c r="O247" s="2">
        <v>30.4</v>
      </c>
      <c r="P247" s="2">
        <v>3.64</v>
      </c>
      <c r="Q247" s="4">
        <v>255548</v>
      </c>
      <c r="R247" s="4">
        <v>0</v>
      </c>
      <c r="S247" s="4">
        <v>255548</v>
      </c>
      <c r="T247" s="4">
        <v>43402</v>
      </c>
      <c r="U247" s="4">
        <v>48686</v>
      </c>
      <c r="V247" s="4">
        <v>0</v>
      </c>
      <c r="W247" s="4">
        <v>25685</v>
      </c>
      <c r="X247" s="4">
        <v>3075</v>
      </c>
      <c r="Y247" s="4">
        <v>376396</v>
      </c>
      <c r="Z247" s="4">
        <v>43971</v>
      </c>
      <c r="AA247" s="4">
        <v>332425</v>
      </c>
      <c r="AB247" s="4">
        <v>181651</v>
      </c>
      <c r="AC247" s="4">
        <v>150774</v>
      </c>
    </row>
    <row r="248" spans="1:29" x14ac:dyDescent="0.25">
      <c r="A248" s="1" t="s">
        <v>233</v>
      </c>
      <c r="B248" s="1" t="s">
        <v>747</v>
      </c>
      <c r="C248" s="1" t="s">
        <v>258</v>
      </c>
      <c r="D248" s="1" t="s">
        <v>655</v>
      </c>
      <c r="E248" s="2">
        <v>171.72</v>
      </c>
      <c r="F248" s="3">
        <v>1302.5999999999999</v>
      </c>
      <c r="G248" s="2">
        <v>1474.32</v>
      </c>
      <c r="H248" s="2">
        <v>0</v>
      </c>
      <c r="I248" s="4">
        <v>698</v>
      </c>
      <c r="J248" s="3">
        <v>0</v>
      </c>
      <c r="K248" s="4">
        <v>2001</v>
      </c>
      <c r="L248" s="2">
        <v>302.45999999999998</v>
      </c>
      <c r="M248" s="2">
        <v>55.36</v>
      </c>
      <c r="N248" s="2">
        <v>62.1</v>
      </c>
      <c r="O248" s="2">
        <v>30.4</v>
      </c>
      <c r="P248" s="2">
        <v>3.64</v>
      </c>
      <c r="Q248" s="4">
        <v>445923</v>
      </c>
      <c r="R248" s="4">
        <v>0</v>
      </c>
      <c r="S248" s="4">
        <v>445923</v>
      </c>
      <c r="T248" s="4">
        <v>110775</v>
      </c>
      <c r="U248" s="4">
        <v>124262</v>
      </c>
      <c r="V248" s="4">
        <v>0</v>
      </c>
      <c r="W248" s="4">
        <v>44819</v>
      </c>
      <c r="X248" s="4">
        <v>5367</v>
      </c>
      <c r="Y248" s="4">
        <v>731146</v>
      </c>
      <c r="Z248" s="4">
        <v>48328</v>
      </c>
      <c r="AA248" s="4">
        <v>682818</v>
      </c>
      <c r="AB248" s="4">
        <v>345375</v>
      </c>
      <c r="AC248" s="4">
        <v>337443</v>
      </c>
    </row>
    <row r="249" spans="1:29" x14ac:dyDescent="0.25">
      <c r="A249" s="1" t="s">
        <v>233</v>
      </c>
      <c r="B249" s="1" t="s">
        <v>747</v>
      </c>
      <c r="C249" s="1" t="s">
        <v>259</v>
      </c>
      <c r="D249" s="1" t="s">
        <v>656</v>
      </c>
      <c r="E249" s="2">
        <v>2364.29</v>
      </c>
      <c r="F249" s="3">
        <v>14522.9</v>
      </c>
      <c r="G249" s="2">
        <v>16887.189999999999</v>
      </c>
      <c r="H249" s="2">
        <v>0</v>
      </c>
      <c r="I249" s="4">
        <v>1393</v>
      </c>
      <c r="J249" s="3">
        <v>13.4</v>
      </c>
      <c r="K249" s="4">
        <v>15903</v>
      </c>
      <c r="L249" s="2">
        <v>302.45999999999998</v>
      </c>
      <c r="M249" s="2">
        <v>55.36</v>
      </c>
      <c r="N249" s="2">
        <v>62.1</v>
      </c>
      <c r="O249" s="2">
        <v>30.4</v>
      </c>
      <c r="P249" s="2">
        <v>3.64</v>
      </c>
      <c r="Q249" s="4">
        <v>5107699</v>
      </c>
      <c r="R249" s="4">
        <v>0</v>
      </c>
      <c r="S249" s="4">
        <v>5107699</v>
      </c>
      <c r="T249" s="4">
        <v>880390</v>
      </c>
      <c r="U249" s="4">
        <v>987576</v>
      </c>
      <c r="V249" s="4">
        <v>0</v>
      </c>
      <c r="W249" s="4">
        <v>513371</v>
      </c>
      <c r="X249" s="4">
        <v>61469</v>
      </c>
      <c r="Y249" s="4">
        <v>7550505</v>
      </c>
      <c r="Z249" s="4">
        <v>680000</v>
      </c>
      <c r="AA249" s="4">
        <v>6870505</v>
      </c>
      <c r="AB249" s="4">
        <v>3829555</v>
      </c>
      <c r="AC249" s="4">
        <v>3040950</v>
      </c>
    </row>
    <row r="250" spans="1:29" x14ac:dyDescent="0.25">
      <c r="A250" s="1" t="s">
        <v>233</v>
      </c>
      <c r="B250" s="1" t="s">
        <v>747</v>
      </c>
      <c r="C250" s="1" t="s">
        <v>260</v>
      </c>
      <c r="D250" s="1" t="s">
        <v>657</v>
      </c>
      <c r="E250" s="2">
        <v>104.9</v>
      </c>
      <c r="F250" s="3">
        <v>590</v>
      </c>
      <c r="G250" s="2">
        <v>694.9</v>
      </c>
      <c r="H250" s="2">
        <v>0</v>
      </c>
      <c r="I250" s="4">
        <v>73</v>
      </c>
      <c r="J250" s="3">
        <v>3.5</v>
      </c>
      <c r="K250" s="4">
        <v>660</v>
      </c>
      <c r="L250" s="2">
        <v>302.45999999999998</v>
      </c>
      <c r="M250" s="2">
        <v>55.36</v>
      </c>
      <c r="N250" s="2">
        <v>62.1</v>
      </c>
      <c r="O250" s="2">
        <v>30.4</v>
      </c>
      <c r="P250" s="2">
        <v>3.64</v>
      </c>
      <c r="Q250" s="4">
        <v>210179</v>
      </c>
      <c r="R250" s="4">
        <v>12831</v>
      </c>
      <c r="S250" s="4">
        <v>223010</v>
      </c>
      <c r="T250" s="4">
        <v>36538</v>
      </c>
      <c r="U250" s="4">
        <v>40986</v>
      </c>
      <c r="V250" s="4">
        <v>0</v>
      </c>
      <c r="W250" s="4">
        <v>21885</v>
      </c>
      <c r="X250" s="4">
        <v>2617</v>
      </c>
      <c r="Y250" s="4">
        <v>325036</v>
      </c>
      <c r="Z250" s="4">
        <v>39658</v>
      </c>
      <c r="AA250" s="4">
        <v>285378</v>
      </c>
      <c r="AB250" s="4">
        <v>146756</v>
      </c>
      <c r="AC250" s="4">
        <v>138622</v>
      </c>
    </row>
    <row r="251" spans="1:29" x14ac:dyDescent="0.25">
      <c r="A251" s="1" t="s">
        <v>233</v>
      </c>
      <c r="B251" s="1" t="s">
        <v>747</v>
      </c>
      <c r="C251" s="1" t="s">
        <v>261</v>
      </c>
      <c r="D251" s="1" t="s">
        <v>658</v>
      </c>
      <c r="E251" s="2">
        <v>82.7</v>
      </c>
      <c r="F251" s="3">
        <v>923</v>
      </c>
      <c r="G251" s="2">
        <v>1005.7</v>
      </c>
      <c r="H251" s="2">
        <v>0</v>
      </c>
      <c r="I251" s="4">
        <v>120</v>
      </c>
      <c r="J251" s="3">
        <v>0</v>
      </c>
      <c r="K251" s="4">
        <v>1043</v>
      </c>
      <c r="L251" s="2">
        <v>302.45999999999998</v>
      </c>
      <c r="M251" s="2">
        <v>55.36</v>
      </c>
      <c r="N251" s="2">
        <v>62.1</v>
      </c>
      <c r="O251" s="2">
        <v>30.4</v>
      </c>
      <c r="P251" s="2">
        <v>3.64</v>
      </c>
      <c r="Q251" s="4">
        <v>304184</v>
      </c>
      <c r="R251" s="4">
        <v>0</v>
      </c>
      <c r="S251" s="4">
        <v>304184</v>
      </c>
      <c r="T251" s="4">
        <v>57740</v>
      </c>
      <c r="U251" s="4">
        <v>64770</v>
      </c>
      <c r="V251" s="4">
        <v>0</v>
      </c>
      <c r="W251" s="4">
        <v>30573</v>
      </c>
      <c r="X251" s="4">
        <v>3661</v>
      </c>
      <c r="Y251" s="4">
        <v>460928</v>
      </c>
      <c r="Z251" s="4">
        <v>39031</v>
      </c>
      <c r="AA251" s="4">
        <v>421897</v>
      </c>
      <c r="AB251" s="4">
        <v>229531</v>
      </c>
      <c r="AC251" s="4">
        <v>192366</v>
      </c>
    </row>
    <row r="252" spans="1:29" x14ac:dyDescent="0.25">
      <c r="A252" s="1" t="s">
        <v>233</v>
      </c>
      <c r="B252" s="1" t="s">
        <v>747</v>
      </c>
      <c r="C252" s="1" t="s">
        <v>262</v>
      </c>
      <c r="D252" s="1" t="s">
        <v>659</v>
      </c>
      <c r="E252" s="2">
        <v>115.79</v>
      </c>
      <c r="F252" s="3">
        <v>606</v>
      </c>
      <c r="G252" s="2">
        <v>721.79</v>
      </c>
      <c r="H252" s="2">
        <v>0</v>
      </c>
      <c r="I252" s="4">
        <v>0</v>
      </c>
      <c r="J252" s="3">
        <v>0</v>
      </c>
      <c r="K252" s="4">
        <v>606</v>
      </c>
      <c r="L252" s="2">
        <v>302.45999999999998</v>
      </c>
      <c r="M252" s="2">
        <v>55.36</v>
      </c>
      <c r="N252" s="2">
        <v>62.1</v>
      </c>
      <c r="O252" s="2">
        <v>30.4</v>
      </c>
      <c r="P252" s="2">
        <v>3.64</v>
      </c>
      <c r="Q252" s="4">
        <v>218313</v>
      </c>
      <c r="R252" s="4">
        <v>22299</v>
      </c>
      <c r="S252" s="4">
        <v>240612</v>
      </c>
      <c r="T252" s="4">
        <v>33548</v>
      </c>
      <c r="U252" s="4">
        <v>37633</v>
      </c>
      <c r="V252" s="4">
        <v>0</v>
      </c>
      <c r="W252" s="4">
        <v>23169</v>
      </c>
      <c r="X252" s="4">
        <v>2771</v>
      </c>
      <c r="Y252" s="4">
        <v>337733</v>
      </c>
      <c r="Z252" s="4">
        <v>33583</v>
      </c>
      <c r="AA252" s="4">
        <v>304150</v>
      </c>
      <c r="AB252" s="4">
        <v>160534</v>
      </c>
      <c r="AC252" s="4">
        <v>143616</v>
      </c>
    </row>
    <row r="253" spans="1:29" x14ac:dyDescent="0.25">
      <c r="A253" s="1" t="s">
        <v>233</v>
      </c>
      <c r="B253" s="1" t="s">
        <v>747</v>
      </c>
      <c r="C253" s="1" t="s">
        <v>263</v>
      </c>
      <c r="D253" s="1" t="s">
        <v>660</v>
      </c>
      <c r="E253" s="2">
        <v>106.12</v>
      </c>
      <c r="F253" s="3">
        <v>833.8</v>
      </c>
      <c r="G253" s="2">
        <v>939.92</v>
      </c>
      <c r="H253" s="2">
        <v>0</v>
      </c>
      <c r="I253" s="4">
        <v>113</v>
      </c>
      <c r="J253" s="3">
        <v>0.2</v>
      </c>
      <c r="K253" s="4">
        <v>947</v>
      </c>
      <c r="L253" s="2">
        <v>302.45999999999998</v>
      </c>
      <c r="M253" s="2">
        <v>55.36</v>
      </c>
      <c r="N253" s="2">
        <v>62.1</v>
      </c>
      <c r="O253" s="2">
        <v>30.4</v>
      </c>
      <c r="P253" s="2">
        <v>3.64</v>
      </c>
      <c r="Q253" s="4">
        <v>284288</v>
      </c>
      <c r="R253" s="4">
        <v>0</v>
      </c>
      <c r="S253" s="4">
        <v>284288</v>
      </c>
      <c r="T253" s="4">
        <v>52426</v>
      </c>
      <c r="U253" s="4">
        <v>58809</v>
      </c>
      <c r="V253" s="4">
        <v>0</v>
      </c>
      <c r="W253" s="4">
        <v>28574</v>
      </c>
      <c r="X253" s="4">
        <v>3421</v>
      </c>
      <c r="Y253" s="4">
        <v>427518</v>
      </c>
      <c r="Z253" s="4">
        <v>37148</v>
      </c>
      <c r="AA253" s="4">
        <v>390370</v>
      </c>
      <c r="AB253" s="4">
        <v>213848</v>
      </c>
      <c r="AC253" s="4">
        <v>176522</v>
      </c>
    </row>
    <row r="254" spans="1:29" x14ac:dyDescent="0.25">
      <c r="A254" s="1" t="s">
        <v>233</v>
      </c>
      <c r="B254" s="1" t="s">
        <v>747</v>
      </c>
      <c r="C254" s="1" t="s">
        <v>264</v>
      </c>
      <c r="D254" s="1" t="s">
        <v>661</v>
      </c>
      <c r="E254" s="2">
        <v>80.94</v>
      </c>
      <c r="F254" s="3">
        <v>532</v>
      </c>
      <c r="G254" s="2">
        <v>612.94000000000005</v>
      </c>
      <c r="H254" s="2">
        <v>0</v>
      </c>
      <c r="I254" s="4">
        <v>11</v>
      </c>
      <c r="J254" s="3">
        <v>0</v>
      </c>
      <c r="K254" s="4">
        <v>543</v>
      </c>
      <c r="L254" s="2">
        <v>302.45999999999998</v>
      </c>
      <c r="M254" s="2">
        <v>55.36</v>
      </c>
      <c r="N254" s="2">
        <v>62.1</v>
      </c>
      <c r="O254" s="2">
        <v>30.4</v>
      </c>
      <c r="P254" s="2">
        <v>3.64</v>
      </c>
      <c r="Q254" s="4">
        <v>185390</v>
      </c>
      <c r="R254" s="4">
        <v>2928</v>
      </c>
      <c r="S254" s="4">
        <v>188318</v>
      </c>
      <c r="T254" s="4">
        <v>30060</v>
      </c>
      <c r="U254" s="4">
        <v>33720</v>
      </c>
      <c r="V254" s="4">
        <v>0</v>
      </c>
      <c r="W254" s="4">
        <v>18924</v>
      </c>
      <c r="X254" s="4">
        <v>2263</v>
      </c>
      <c r="Y254" s="4">
        <v>273285</v>
      </c>
      <c r="Z254" s="4">
        <v>31987</v>
      </c>
      <c r="AA254" s="4">
        <v>241298</v>
      </c>
      <c r="AB254" s="4">
        <v>132015</v>
      </c>
      <c r="AC254" s="4">
        <v>109283</v>
      </c>
    </row>
    <row r="255" spans="1:29" x14ac:dyDescent="0.25">
      <c r="A255" s="1" t="s">
        <v>233</v>
      </c>
      <c r="B255" s="1" t="s">
        <v>747</v>
      </c>
      <c r="C255" s="1" t="s">
        <v>265</v>
      </c>
      <c r="D255" s="1" t="s">
        <v>662</v>
      </c>
      <c r="E255" s="2">
        <v>27.89</v>
      </c>
      <c r="F255" s="3">
        <v>205.2</v>
      </c>
      <c r="G255" s="2">
        <v>233.09</v>
      </c>
      <c r="H255" s="2">
        <v>0</v>
      </c>
      <c r="I255" s="4">
        <v>2</v>
      </c>
      <c r="J255" s="3">
        <v>0</v>
      </c>
      <c r="K255" s="4">
        <v>207</v>
      </c>
      <c r="L255" s="2">
        <v>302.45999999999998</v>
      </c>
      <c r="M255" s="2">
        <v>55.36</v>
      </c>
      <c r="N255" s="2">
        <v>62.1</v>
      </c>
      <c r="O255" s="2">
        <v>30.4</v>
      </c>
      <c r="P255" s="2">
        <v>3.64</v>
      </c>
      <c r="Q255" s="4">
        <v>70500</v>
      </c>
      <c r="R255" s="4">
        <v>0</v>
      </c>
      <c r="S255" s="4">
        <v>70500</v>
      </c>
      <c r="T255" s="4">
        <v>11460</v>
      </c>
      <c r="U255" s="4">
        <v>12855</v>
      </c>
      <c r="V255" s="4">
        <v>0</v>
      </c>
      <c r="W255" s="4">
        <v>7086</v>
      </c>
      <c r="X255" s="4">
        <v>848</v>
      </c>
      <c r="Y255" s="4">
        <v>102749</v>
      </c>
      <c r="Z255" s="4">
        <v>11015</v>
      </c>
      <c r="AA255" s="4">
        <v>91734</v>
      </c>
      <c r="AB255" s="4">
        <v>51229</v>
      </c>
      <c r="AC255" s="4">
        <v>40505</v>
      </c>
    </row>
    <row r="256" spans="1:29" x14ac:dyDescent="0.25">
      <c r="A256" s="1" t="s">
        <v>233</v>
      </c>
      <c r="B256" s="1" t="s">
        <v>747</v>
      </c>
      <c r="C256" s="1" t="s">
        <v>266</v>
      </c>
      <c r="D256" s="1" t="s">
        <v>663</v>
      </c>
      <c r="E256" s="2">
        <v>82.15</v>
      </c>
      <c r="F256" s="3">
        <v>549.9</v>
      </c>
      <c r="G256" s="2">
        <v>632.04999999999995</v>
      </c>
      <c r="H256" s="2">
        <v>0</v>
      </c>
      <c r="I256" s="4">
        <v>1</v>
      </c>
      <c r="J256" s="3">
        <v>0</v>
      </c>
      <c r="K256" s="4">
        <v>551</v>
      </c>
      <c r="L256" s="2">
        <v>302.45999999999998</v>
      </c>
      <c r="M256" s="2">
        <v>55.36</v>
      </c>
      <c r="N256" s="2">
        <v>62.1</v>
      </c>
      <c r="O256" s="2">
        <v>30.4</v>
      </c>
      <c r="P256" s="2">
        <v>3.64</v>
      </c>
      <c r="Q256" s="4">
        <v>191170</v>
      </c>
      <c r="R256" s="4">
        <v>1817</v>
      </c>
      <c r="S256" s="4">
        <v>192987</v>
      </c>
      <c r="T256" s="4">
        <v>30503</v>
      </c>
      <c r="U256" s="4">
        <v>34217</v>
      </c>
      <c r="V256" s="4">
        <v>0</v>
      </c>
      <c r="W256" s="4">
        <v>19393</v>
      </c>
      <c r="X256" s="4">
        <v>2319</v>
      </c>
      <c r="Y256" s="4">
        <v>279419</v>
      </c>
      <c r="Z256" s="4">
        <v>27534</v>
      </c>
      <c r="AA256" s="4">
        <v>251885</v>
      </c>
      <c r="AB256" s="4">
        <v>141446</v>
      </c>
      <c r="AC256" s="4">
        <v>110439</v>
      </c>
    </row>
    <row r="257" spans="1:29" x14ac:dyDescent="0.25">
      <c r="A257" s="1" t="s">
        <v>267</v>
      </c>
      <c r="B257" s="1" t="s">
        <v>748</v>
      </c>
      <c r="C257" s="1" t="s">
        <v>268</v>
      </c>
      <c r="D257" s="1" t="s">
        <v>664</v>
      </c>
      <c r="E257" s="2">
        <v>88.36</v>
      </c>
      <c r="F257" s="3">
        <v>791.7</v>
      </c>
      <c r="G257" s="2">
        <v>880.06</v>
      </c>
      <c r="H257" s="2">
        <v>0</v>
      </c>
      <c r="I257" s="4">
        <v>0</v>
      </c>
      <c r="J257" s="3">
        <v>0</v>
      </c>
      <c r="K257" s="4">
        <v>792</v>
      </c>
      <c r="L257" s="2">
        <v>295.88</v>
      </c>
      <c r="M257" s="2">
        <v>55.08</v>
      </c>
      <c r="N257" s="2">
        <v>60.9</v>
      </c>
      <c r="O257" s="2">
        <v>30.38</v>
      </c>
      <c r="P257" s="2">
        <v>3.25</v>
      </c>
      <c r="Q257" s="4">
        <v>260392</v>
      </c>
      <c r="R257" s="4">
        <v>0</v>
      </c>
      <c r="S257" s="4">
        <v>260392</v>
      </c>
      <c r="T257" s="4">
        <v>43623</v>
      </c>
      <c r="U257" s="4">
        <v>48233</v>
      </c>
      <c r="V257" s="4">
        <v>0</v>
      </c>
      <c r="W257" s="4">
        <v>26736</v>
      </c>
      <c r="X257" s="4">
        <v>2860</v>
      </c>
      <c r="Y257" s="4">
        <v>381844</v>
      </c>
      <c r="Z257" s="4">
        <v>42239</v>
      </c>
      <c r="AA257" s="4">
        <v>339605</v>
      </c>
      <c r="AB257" s="4">
        <v>192411</v>
      </c>
      <c r="AC257" s="4">
        <v>147194</v>
      </c>
    </row>
    <row r="258" spans="1:29" x14ac:dyDescent="0.25">
      <c r="A258" s="1" t="s">
        <v>267</v>
      </c>
      <c r="B258" s="1" t="s">
        <v>748</v>
      </c>
      <c r="C258" s="1" t="s">
        <v>269</v>
      </c>
      <c r="D258" s="1" t="s">
        <v>665</v>
      </c>
      <c r="E258" s="2">
        <v>214.03</v>
      </c>
      <c r="F258" s="3">
        <v>1352.1</v>
      </c>
      <c r="G258" s="2">
        <v>1566.13</v>
      </c>
      <c r="H258" s="2">
        <v>0</v>
      </c>
      <c r="I258" s="4">
        <v>0</v>
      </c>
      <c r="J258" s="3">
        <v>0</v>
      </c>
      <c r="K258" s="4">
        <v>1352</v>
      </c>
      <c r="L258" s="2">
        <v>295.88</v>
      </c>
      <c r="M258" s="2">
        <v>55.08</v>
      </c>
      <c r="N258" s="2">
        <v>60.9</v>
      </c>
      <c r="O258" s="2">
        <v>30.38</v>
      </c>
      <c r="P258" s="2">
        <v>3.25</v>
      </c>
      <c r="Q258" s="4">
        <v>463387</v>
      </c>
      <c r="R258" s="4">
        <v>2598</v>
      </c>
      <c r="S258" s="4">
        <v>465985</v>
      </c>
      <c r="T258" s="4">
        <v>74468</v>
      </c>
      <c r="U258" s="4">
        <v>82337</v>
      </c>
      <c r="V258" s="4">
        <v>0</v>
      </c>
      <c r="W258" s="4">
        <v>47661</v>
      </c>
      <c r="X258" s="4">
        <v>5090</v>
      </c>
      <c r="Y258" s="4">
        <v>675541</v>
      </c>
      <c r="Z258" s="4">
        <v>68797</v>
      </c>
      <c r="AA258" s="4">
        <v>606744</v>
      </c>
      <c r="AB258" s="4">
        <v>348862</v>
      </c>
      <c r="AC258" s="4">
        <v>257882</v>
      </c>
    </row>
    <row r="259" spans="1:29" x14ac:dyDescent="0.25">
      <c r="A259" s="1" t="s">
        <v>267</v>
      </c>
      <c r="B259" s="1" t="s">
        <v>748</v>
      </c>
      <c r="C259" s="1" t="s">
        <v>270</v>
      </c>
      <c r="D259" s="1" t="s">
        <v>666</v>
      </c>
      <c r="E259" s="2">
        <v>51.5</v>
      </c>
      <c r="F259" s="3">
        <v>450.1</v>
      </c>
      <c r="G259" s="2">
        <v>501.6</v>
      </c>
      <c r="H259" s="2">
        <v>0</v>
      </c>
      <c r="I259" s="4">
        <v>3</v>
      </c>
      <c r="J259" s="3">
        <v>0</v>
      </c>
      <c r="K259" s="4">
        <v>453</v>
      </c>
      <c r="L259" s="2">
        <v>295.88</v>
      </c>
      <c r="M259" s="2">
        <v>55.08</v>
      </c>
      <c r="N259" s="2">
        <v>60.9</v>
      </c>
      <c r="O259" s="2">
        <v>30.38</v>
      </c>
      <c r="P259" s="2">
        <v>3.25</v>
      </c>
      <c r="Q259" s="4">
        <v>148413</v>
      </c>
      <c r="R259" s="4">
        <v>10971</v>
      </c>
      <c r="S259" s="4">
        <v>159384</v>
      </c>
      <c r="T259" s="4">
        <v>24951</v>
      </c>
      <c r="U259" s="4">
        <v>27588</v>
      </c>
      <c r="V259" s="4">
        <v>0</v>
      </c>
      <c r="W259" s="4">
        <v>15239</v>
      </c>
      <c r="X259" s="4">
        <v>1630</v>
      </c>
      <c r="Y259" s="4">
        <v>228792</v>
      </c>
      <c r="Z259" s="4">
        <v>29839</v>
      </c>
      <c r="AA259" s="4">
        <v>198953</v>
      </c>
      <c r="AB259" s="4">
        <v>103903</v>
      </c>
      <c r="AC259" s="4">
        <v>95050</v>
      </c>
    </row>
    <row r="260" spans="1:29" x14ac:dyDescent="0.25">
      <c r="A260" s="1" t="s">
        <v>267</v>
      </c>
      <c r="B260" s="1" t="s">
        <v>748</v>
      </c>
      <c r="C260" s="1" t="s">
        <v>271</v>
      </c>
      <c r="D260" s="1" t="s">
        <v>667</v>
      </c>
      <c r="E260" s="2">
        <v>54.9</v>
      </c>
      <c r="F260" s="3">
        <v>406.6</v>
      </c>
      <c r="G260" s="2">
        <v>461.5</v>
      </c>
      <c r="H260" s="2">
        <v>0</v>
      </c>
      <c r="I260" s="4">
        <v>2</v>
      </c>
      <c r="J260" s="3">
        <v>0</v>
      </c>
      <c r="K260" s="4">
        <v>409</v>
      </c>
      <c r="L260" s="2">
        <v>295.88</v>
      </c>
      <c r="M260" s="2">
        <v>55.08</v>
      </c>
      <c r="N260" s="2">
        <v>60.9</v>
      </c>
      <c r="O260" s="2">
        <v>30.38</v>
      </c>
      <c r="P260" s="2">
        <v>3.25</v>
      </c>
      <c r="Q260" s="4">
        <v>136549</v>
      </c>
      <c r="R260" s="4">
        <v>6782</v>
      </c>
      <c r="S260" s="4">
        <v>143331</v>
      </c>
      <c r="T260" s="4">
        <v>22528</v>
      </c>
      <c r="U260" s="4">
        <v>24908</v>
      </c>
      <c r="V260" s="4">
        <v>0</v>
      </c>
      <c r="W260" s="4">
        <v>14153</v>
      </c>
      <c r="X260" s="4">
        <v>1510</v>
      </c>
      <c r="Y260" s="4">
        <v>206430</v>
      </c>
      <c r="Z260" s="4">
        <v>25701</v>
      </c>
      <c r="AA260" s="4">
        <v>180729</v>
      </c>
      <c r="AB260" s="4">
        <v>97492</v>
      </c>
      <c r="AC260" s="4">
        <v>83237</v>
      </c>
    </row>
    <row r="261" spans="1:29" x14ac:dyDescent="0.25">
      <c r="A261" s="1" t="s">
        <v>267</v>
      </c>
      <c r="B261" s="1" t="s">
        <v>748</v>
      </c>
      <c r="C261" s="1" t="s">
        <v>272</v>
      </c>
      <c r="D261" s="1" t="s">
        <v>273</v>
      </c>
      <c r="E261" s="2">
        <v>41.32</v>
      </c>
      <c r="F261" s="3">
        <v>496.9</v>
      </c>
      <c r="G261" s="2">
        <v>538.22</v>
      </c>
      <c r="H261" s="2">
        <v>0</v>
      </c>
      <c r="I261" s="4">
        <v>0</v>
      </c>
      <c r="J261" s="3">
        <v>0</v>
      </c>
      <c r="K261" s="4">
        <v>497</v>
      </c>
      <c r="L261" s="2">
        <v>295.88</v>
      </c>
      <c r="M261" s="2">
        <v>55.08</v>
      </c>
      <c r="N261" s="2">
        <v>60.9</v>
      </c>
      <c r="O261" s="2">
        <v>30.38</v>
      </c>
      <c r="P261" s="2">
        <v>3.25</v>
      </c>
      <c r="Q261" s="4">
        <v>159249</v>
      </c>
      <c r="R261" s="4">
        <v>0</v>
      </c>
      <c r="S261" s="4">
        <v>159249</v>
      </c>
      <c r="T261" s="4">
        <v>27375</v>
      </c>
      <c r="U261" s="4">
        <v>30267</v>
      </c>
      <c r="V261" s="4">
        <v>0</v>
      </c>
      <c r="W261" s="4">
        <v>16351</v>
      </c>
      <c r="X261" s="4">
        <v>1749</v>
      </c>
      <c r="Y261" s="4">
        <v>234991</v>
      </c>
      <c r="Z261" s="4">
        <v>25872</v>
      </c>
      <c r="AA261" s="4">
        <v>209119</v>
      </c>
      <c r="AB261" s="4">
        <v>117633</v>
      </c>
      <c r="AC261" s="4">
        <v>91486</v>
      </c>
    </row>
    <row r="262" spans="1:29" x14ac:dyDescent="0.25">
      <c r="A262" s="1" t="s">
        <v>267</v>
      </c>
      <c r="B262" s="1" t="s">
        <v>748</v>
      </c>
      <c r="C262" s="1" t="s">
        <v>274</v>
      </c>
      <c r="D262" s="1" t="s">
        <v>668</v>
      </c>
      <c r="E262" s="2">
        <v>95.69</v>
      </c>
      <c r="F262" s="3">
        <v>616.70000000000005</v>
      </c>
      <c r="G262" s="2">
        <v>712.39</v>
      </c>
      <c r="H262" s="2">
        <v>0</v>
      </c>
      <c r="I262" s="4">
        <v>1</v>
      </c>
      <c r="J262" s="3">
        <v>0</v>
      </c>
      <c r="K262" s="4">
        <v>618</v>
      </c>
      <c r="L262" s="2">
        <v>295.88</v>
      </c>
      <c r="M262" s="2">
        <v>55.08</v>
      </c>
      <c r="N262" s="2">
        <v>60.9</v>
      </c>
      <c r="O262" s="2">
        <v>30.38</v>
      </c>
      <c r="P262" s="2">
        <v>3.25</v>
      </c>
      <c r="Q262" s="4">
        <v>210782</v>
      </c>
      <c r="R262" s="4">
        <v>14807</v>
      </c>
      <c r="S262" s="4">
        <v>225589</v>
      </c>
      <c r="T262" s="4">
        <v>34039</v>
      </c>
      <c r="U262" s="4">
        <v>37636</v>
      </c>
      <c r="V262" s="4">
        <v>0</v>
      </c>
      <c r="W262" s="4">
        <v>22527</v>
      </c>
      <c r="X262" s="4">
        <v>2404</v>
      </c>
      <c r="Y262" s="4">
        <v>322195</v>
      </c>
      <c r="Z262" s="4">
        <v>35545</v>
      </c>
      <c r="AA262" s="4">
        <v>286650</v>
      </c>
      <c r="AB262" s="4">
        <v>155373</v>
      </c>
      <c r="AC262" s="4">
        <v>131277</v>
      </c>
    </row>
    <row r="263" spans="1:29" x14ac:dyDescent="0.25">
      <c r="A263" s="1" t="s">
        <v>267</v>
      </c>
      <c r="B263" s="1" t="s">
        <v>748</v>
      </c>
      <c r="C263" s="1" t="s">
        <v>275</v>
      </c>
      <c r="D263" s="1" t="s">
        <v>669</v>
      </c>
      <c r="E263" s="2">
        <v>88.17</v>
      </c>
      <c r="F263" s="3">
        <v>979.4</v>
      </c>
      <c r="G263" s="2">
        <v>1067.57</v>
      </c>
      <c r="H263" s="2">
        <v>0</v>
      </c>
      <c r="I263" s="4">
        <v>71</v>
      </c>
      <c r="J263" s="3">
        <v>0.8</v>
      </c>
      <c r="K263" s="4">
        <v>1050</v>
      </c>
      <c r="L263" s="2">
        <v>295.88</v>
      </c>
      <c r="M263" s="2">
        <v>55.08</v>
      </c>
      <c r="N263" s="2">
        <v>60.9</v>
      </c>
      <c r="O263" s="2">
        <v>30.38</v>
      </c>
      <c r="P263" s="2">
        <v>3.25</v>
      </c>
      <c r="Q263" s="4">
        <v>315873</v>
      </c>
      <c r="R263" s="4">
        <v>0</v>
      </c>
      <c r="S263" s="4">
        <v>315873</v>
      </c>
      <c r="T263" s="4">
        <v>57834</v>
      </c>
      <c r="U263" s="4">
        <v>63945</v>
      </c>
      <c r="V263" s="4">
        <v>0</v>
      </c>
      <c r="W263" s="4">
        <v>32433</v>
      </c>
      <c r="X263" s="4">
        <v>3470</v>
      </c>
      <c r="Y263" s="4">
        <v>473555</v>
      </c>
      <c r="Z263" s="4">
        <v>50182</v>
      </c>
      <c r="AA263" s="4">
        <v>423373</v>
      </c>
      <c r="AB263" s="4">
        <v>234465</v>
      </c>
      <c r="AC263" s="4">
        <v>188908</v>
      </c>
    </row>
    <row r="264" spans="1:29" x14ac:dyDescent="0.25">
      <c r="A264" s="1" t="s">
        <v>267</v>
      </c>
      <c r="B264" s="1" t="s">
        <v>748</v>
      </c>
      <c r="C264" s="1" t="s">
        <v>276</v>
      </c>
      <c r="D264" s="1" t="s">
        <v>670</v>
      </c>
      <c r="E264" s="2">
        <v>218.38</v>
      </c>
      <c r="F264" s="3">
        <v>1459.6</v>
      </c>
      <c r="G264" s="2">
        <v>1677.98</v>
      </c>
      <c r="H264" s="2">
        <v>0</v>
      </c>
      <c r="I264" s="4">
        <v>1</v>
      </c>
      <c r="J264" s="3">
        <v>0</v>
      </c>
      <c r="K264" s="4">
        <v>1461</v>
      </c>
      <c r="L264" s="2">
        <v>295.88</v>
      </c>
      <c r="M264" s="2">
        <v>55.08</v>
      </c>
      <c r="N264" s="2">
        <v>60.9</v>
      </c>
      <c r="O264" s="2">
        <v>30.38</v>
      </c>
      <c r="P264" s="2">
        <v>3.25</v>
      </c>
      <c r="Q264" s="4">
        <v>496481</v>
      </c>
      <c r="R264" s="4">
        <v>0</v>
      </c>
      <c r="S264" s="4">
        <v>496481</v>
      </c>
      <c r="T264" s="4">
        <v>80472</v>
      </c>
      <c r="U264" s="4">
        <v>88975</v>
      </c>
      <c r="V264" s="4">
        <v>0</v>
      </c>
      <c r="W264" s="4">
        <v>50977</v>
      </c>
      <c r="X264" s="4">
        <v>5453</v>
      </c>
      <c r="Y264" s="4">
        <v>722358</v>
      </c>
      <c r="Z264" s="4">
        <v>66523</v>
      </c>
      <c r="AA264" s="4">
        <v>655835</v>
      </c>
      <c r="AB264" s="4">
        <v>380876</v>
      </c>
      <c r="AC264" s="4">
        <v>274959</v>
      </c>
    </row>
    <row r="265" spans="1:29" x14ac:dyDescent="0.25">
      <c r="A265" s="1" t="s">
        <v>267</v>
      </c>
      <c r="B265" s="1" t="s">
        <v>748</v>
      </c>
      <c r="C265" s="1" t="s">
        <v>277</v>
      </c>
      <c r="D265" s="1" t="s">
        <v>671</v>
      </c>
      <c r="E265" s="2">
        <v>57.82</v>
      </c>
      <c r="F265" s="3">
        <v>399.2</v>
      </c>
      <c r="G265" s="2">
        <v>457.02</v>
      </c>
      <c r="H265" s="2">
        <v>0</v>
      </c>
      <c r="I265" s="4">
        <v>3</v>
      </c>
      <c r="J265" s="3">
        <v>0</v>
      </c>
      <c r="K265" s="4">
        <v>402</v>
      </c>
      <c r="L265" s="2">
        <v>295.88</v>
      </c>
      <c r="M265" s="2">
        <v>55.08</v>
      </c>
      <c r="N265" s="2">
        <v>60.9</v>
      </c>
      <c r="O265" s="2">
        <v>30.38</v>
      </c>
      <c r="P265" s="2">
        <v>3.25</v>
      </c>
      <c r="Q265" s="4">
        <v>135223</v>
      </c>
      <c r="R265" s="4">
        <v>16327</v>
      </c>
      <c r="S265" s="4">
        <v>151550</v>
      </c>
      <c r="T265" s="4">
        <v>22142</v>
      </c>
      <c r="U265" s="4">
        <v>24482</v>
      </c>
      <c r="V265" s="4">
        <v>0</v>
      </c>
      <c r="W265" s="4">
        <v>14465</v>
      </c>
      <c r="X265" s="4">
        <v>1544</v>
      </c>
      <c r="Y265" s="4">
        <v>214183</v>
      </c>
      <c r="Z265" s="4">
        <v>28933</v>
      </c>
      <c r="AA265" s="4">
        <v>185250</v>
      </c>
      <c r="AB265" s="4">
        <v>93562</v>
      </c>
      <c r="AC265" s="4">
        <v>91688</v>
      </c>
    </row>
    <row r="266" spans="1:29" x14ac:dyDescent="0.25">
      <c r="A266" s="1" t="s">
        <v>267</v>
      </c>
      <c r="B266" s="1" t="s">
        <v>748</v>
      </c>
      <c r="C266" s="1" t="s">
        <v>278</v>
      </c>
      <c r="D266" s="1" t="s">
        <v>672</v>
      </c>
      <c r="E266" s="2">
        <v>2065.9</v>
      </c>
      <c r="F266" s="3">
        <v>9124.7999999999993</v>
      </c>
      <c r="G266" s="2">
        <v>11190.7</v>
      </c>
      <c r="H266" s="2">
        <v>0</v>
      </c>
      <c r="I266" s="4">
        <v>390</v>
      </c>
      <c r="J266" s="3">
        <v>0.2</v>
      </c>
      <c r="K266" s="4">
        <v>9515</v>
      </c>
      <c r="L266" s="2">
        <v>295.88</v>
      </c>
      <c r="M266" s="2">
        <v>55.08</v>
      </c>
      <c r="N266" s="2">
        <v>60.9</v>
      </c>
      <c r="O266" s="2">
        <v>30.38</v>
      </c>
      <c r="P266" s="2">
        <v>3.25</v>
      </c>
      <c r="Q266" s="4">
        <v>3311104</v>
      </c>
      <c r="R266" s="4">
        <v>0</v>
      </c>
      <c r="S266" s="4">
        <v>3311104</v>
      </c>
      <c r="T266" s="4">
        <v>524086</v>
      </c>
      <c r="U266" s="4">
        <v>579464</v>
      </c>
      <c r="V266" s="4">
        <v>0</v>
      </c>
      <c r="W266" s="4">
        <v>339973</v>
      </c>
      <c r="X266" s="4">
        <v>36370</v>
      </c>
      <c r="Y266" s="4">
        <v>4790997</v>
      </c>
      <c r="Z266" s="4">
        <v>450650</v>
      </c>
      <c r="AA266" s="4">
        <v>4340347</v>
      </c>
      <c r="AB266" s="4">
        <v>2533126</v>
      </c>
      <c r="AC266" s="4">
        <v>1807221</v>
      </c>
    </row>
    <row r="267" spans="1:29" x14ac:dyDescent="0.25">
      <c r="A267" s="1" t="s">
        <v>267</v>
      </c>
      <c r="B267" s="1" t="s">
        <v>748</v>
      </c>
      <c r="C267" s="1" t="s">
        <v>279</v>
      </c>
      <c r="D267" s="1" t="s">
        <v>673</v>
      </c>
      <c r="E267" s="2">
        <v>181.91</v>
      </c>
      <c r="F267" s="3">
        <v>1471.3</v>
      </c>
      <c r="G267" s="2">
        <v>1653.21</v>
      </c>
      <c r="H267" s="2">
        <v>0</v>
      </c>
      <c r="I267" s="4">
        <v>117</v>
      </c>
      <c r="J267" s="3">
        <v>1.2</v>
      </c>
      <c r="K267" s="4">
        <v>1587</v>
      </c>
      <c r="L267" s="2">
        <v>295.88</v>
      </c>
      <c r="M267" s="2">
        <v>55.08</v>
      </c>
      <c r="N267" s="2">
        <v>60.9</v>
      </c>
      <c r="O267" s="2">
        <v>30.38</v>
      </c>
      <c r="P267" s="2">
        <v>3.25</v>
      </c>
      <c r="Q267" s="4">
        <v>489152</v>
      </c>
      <c r="R267" s="4">
        <v>0</v>
      </c>
      <c r="S267" s="4">
        <v>489152</v>
      </c>
      <c r="T267" s="4">
        <v>87412</v>
      </c>
      <c r="U267" s="4">
        <v>96648</v>
      </c>
      <c r="V267" s="4">
        <v>0</v>
      </c>
      <c r="W267" s="4">
        <v>50225</v>
      </c>
      <c r="X267" s="4">
        <v>5373</v>
      </c>
      <c r="Y267" s="4">
        <v>728810</v>
      </c>
      <c r="Z267" s="4">
        <v>73855</v>
      </c>
      <c r="AA267" s="4">
        <v>654955</v>
      </c>
      <c r="AB267" s="4">
        <v>366941</v>
      </c>
      <c r="AC267" s="4">
        <v>288014</v>
      </c>
    </row>
    <row r="268" spans="1:29" x14ac:dyDescent="0.25">
      <c r="A268" s="1" t="s">
        <v>267</v>
      </c>
      <c r="B268" s="1" t="s">
        <v>748</v>
      </c>
      <c r="C268" s="1" t="s">
        <v>280</v>
      </c>
      <c r="D268" s="1" t="s">
        <v>674</v>
      </c>
      <c r="E268" s="2">
        <v>14.8</v>
      </c>
      <c r="F268" s="3">
        <v>99</v>
      </c>
      <c r="G268" s="2">
        <v>113.8</v>
      </c>
      <c r="H268" s="2">
        <v>0</v>
      </c>
      <c r="I268" s="4">
        <v>1</v>
      </c>
      <c r="J268" s="3">
        <v>0</v>
      </c>
      <c r="K268" s="4">
        <v>100</v>
      </c>
      <c r="L268" s="2">
        <v>295.88</v>
      </c>
      <c r="M268" s="2">
        <v>55.08</v>
      </c>
      <c r="N268" s="2">
        <v>60.9</v>
      </c>
      <c r="O268" s="2">
        <v>30.38</v>
      </c>
      <c r="P268" s="2">
        <v>3.25</v>
      </c>
      <c r="Q268" s="4">
        <v>33671</v>
      </c>
      <c r="R268" s="4">
        <v>862</v>
      </c>
      <c r="S268" s="4">
        <v>34533</v>
      </c>
      <c r="T268" s="4">
        <v>5508</v>
      </c>
      <c r="U268" s="4">
        <v>6090</v>
      </c>
      <c r="V268" s="4">
        <v>0</v>
      </c>
      <c r="W268" s="4">
        <v>3546</v>
      </c>
      <c r="X268" s="4">
        <v>378</v>
      </c>
      <c r="Y268" s="4">
        <v>50055</v>
      </c>
      <c r="Z268" s="4">
        <v>6461</v>
      </c>
      <c r="AA268" s="4">
        <v>43594</v>
      </c>
      <c r="AB268" s="4">
        <v>23978</v>
      </c>
      <c r="AC268" s="4">
        <v>19616</v>
      </c>
    </row>
    <row r="269" spans="1:29" x14ac:dyDescent="0.25">
      <c r="A269" s="1" t="s">
        <v>267</v>
      </c>
      <c r="B269" s="1" t="s">
        <v>748</v>
      </c>
      <c r="C269" s="1" t="s">
        <v>281</v>
      </c>
      <c r="D269" s="1" t="s">
        <v>675</v>
      </c>
      <c r="E269" s="2">
        <v>80.62</v>
      </c>
      <c r="F269" s="3">
        <v>546.6</v>
      </c>
      <c r="G269" s="2">
        <v>627.22</v>
      </c>
      <c r="H269" s="2">
        <v>0</v>
      </c>
      <c r="I269" s="4">
        <v>1</v>
      </c>
      <c r="J269" s="3">
        <v>0</v>
      </c>
      <c r="K269" s="4">
        <v>548</v>
      </c>
      <c r="L269" s="2">
        <v>295.88</v>
      </c>
      <c r="M269" s="2">
        <v>55.08</v>
      </c>
      <c r="N269" s="2">
        <v>60.9</v>
      </c>
      <c r="O269" s="2">
        <v>30.38</v>
      </c>
      <c r="P269" s="2">
        <v>3.25</v>
      </c>
      <c r="Q269" s="4">
        <v>185582</v>
      </c>
      <c r="R269" s="4">
        <v>0</v>
      </c>
      <c r="S269" s="4">
        <v>185582</v>
      </c>
      <c r="T269" s="4">
        <v>30184</v>
      </c>
      <c r="U269" s="4">
        <v>33373</v>
      </c>
      <c r="V269" s="4">
        <v>0</v>
      </c>
      <c r="W269" s="4">
        <v>19055</v>
      </c>
      <c r="X269" s="4">
        <v>2038</v>
      </c>
      <c r="Y269" s="4">
        <v>270232</v>
      </c>
      <c r="Z269" s="4">
        <v>31373</v>
      </c>
      <c r="AA269" s="4">
        <v>238859</v>
      </c>
      <c r="AB269" s="4">
        <v>135862</v>
      </c>
      <c r="AC269" s="4">
        <v>102997</v>
      </c>
    </row>
    <row r="270" spans="1:29" x14ac:dyDescent="0.25">
      <c r="A270" s="1" t="s">
        <v>267</v>
      </c>
      <c r="B270" s="1" t="s">
        <v>748</v>
      </c>
      <c r="C270" s="1" t="s">
        <v>282</v>
      </c>
      <c r="D270" s="1" t="s">
        <v>676</v>
      </c>
      <c r="E270" s="2">
        <v>60.02</v>
      </c>
      <c r="F270" s="3">
        <v>491.6</v>
      </c>
      <c r="G270" s="2">
        <v>551.62</v>
      </c>
      <c r="H270" s="2">
        <v>0</v>
      </c>
      <c r="I270" s="4">
        <v>5</v>
      </c>
      <c r="J270" s="3">
        <v>0</v>
      </c>
      <c r="K270" s="4">
        <v>497</v>
      </c>
      <c r="L270" s="2">
        <v>295.88</v>
      </c>
      <c r="M270" s="2">
        <v>55.08</v>
      </c>
      <c r="N270" s="2">
        <v>60.9</v>
      </c>
      <c r="O270" s="2">
        <v>30.38</v>
      </c>
      <c r="P270" s="2">
        <v>3.25</v>
      </c>
      <c r="Q270" s="4">
        <v>163213</v>
      </c>
      <c r="R270" s="4">
        <v>6218</v>
      </c>
      <c r="S270" s="4">
        <v>169431</v>
      </c>
      <c r="T270" s="4">
        <v>27375</v>
      </c>
      <c r="U270" s="4">
        <v>30267</v>
      </c>
      <c r="V270" s="4">
        <v>0</v>
      </c>
      <c r="W270" s="4">
        <v>16832</v>
      </c>
      <c r="X270" s="4">
        <v>1796</v>
      </c>
      <c r="Y270" s="4">
        <v>245701</v>
      </c>
      <c r="Z270" s="4">
        <v>25766</v>
      </c>
      <c r="AA270" s="4">
        <v>219935</v>
      </c>
      <c r="AB270" s="4">
        <v>121389</v>
      </c>
      <c r="AC270" s="4">
        <v>98546</v>
      </c>
    </row>
    <row r="271" spans="1:29" x14ac:dyDescent="0.25">
      <c r="A271" s="1" t="s">
        <v>267</v>
      </c>
      <c r="B271" s="1" t="s">
        <v>748</v>
      </c>
      <c r="C271" s="1" t="s">
        <v>283</v>
      </c>
      <c r="D271" s="1" t="s">
        <v>677</v>
      </c>
      <c r="E271" s="2">
        <v>19.68</v>
      </c>
      <c r="F271" s="3">
        <v>194</v>
      </c>
      <c r="G271" s="2">
        <v>213.68</v>
      </c>
      <c r="H271" s="2">
        <v>0</v>
      </c>
      <c r="I271" s="4">
        <v>3</v>
      </c>
      <c r="J271" s="3">
        <v>0</v>
      </c>
      <c r="K271" s="4">
        <v>197</v>
      </c>
      <c r="L271" s="2">
        <v>295.88</v>
      </c>
      <c r="M271" s="2">
        <v>55.08</v>
      </c>
      <c r="N271" s="2">
        <v>60.9</v>
      </c>
      <c r="O271" s="2">
        <v>30.38</v>
      </c>
      <c r="P271" s="2">
        <v>3.25</v>
      </c>
      <c r="Q271" s="4">
        <v>63224</v>
      </c>
      <c r="R271" s="4">
        <v>9921</v>
      </c>
      <c r="S271" s="4">
        <v>73145</v>
      </c>
      <c r="T271" s="4">
        <v>10851</v>
      </c>
      <c r="U271" s="4">
        <v>11997</v>
      </c>
      <c r="V271" s="4">
        <v>0</v>
      </c>
      <c r="W271" s="4">
        <v>6492</v>
      </c>
      <c r="X271" s="4">
        <v>694</v>
      </c>
      <c r="Y271" s="4">
        <v>103179</v>
      </c>
      <c r="Z271" s="4">
        <v>12000</v>
      </c>
      <c r="AA271" s="4">
        <v>91179</v>
      </c>
      <c r="AB271" s="4">
        <v>44973</v>
      </c>
      <c r="AC271" s="4">
        <v>46206</v>
      </c>
    </row>
    <row r="272" spans="1:29" x14ac:dyDescent="0.25">
      <c r="A272" s="1" t="s">
        <v>267</v>
      </c>
      <c r="B272" s="1" t="s">
        <v>748</v>
      </c>
      <c r="C272" s="1" t="s">
        <v>284</v>
      </c>
      <c r="D272" s="1" t="s">
        <v>678</v>
      </c>
      <c r="E272" s="2">
        <v>44.7</v>
      </c>
      <c r="F272" s="3">
        <v>452</v>
      </c>
      <c r="G272" s="2">
        <v>496.7</v>
      </c>
      <c r="H272" s="2">
        <v>0</v>
      </c>
      <c r="I272" s="4">
        <v>1</v>
      </c>
      <c r="J272" s="3">
        <v>0</v>
      </c>
      <c r="K272" s="4">
        <v>453</v>
      </c>
      <c r="L272" s="2">
        <v>295.88</v>
      </c>
      <c r="M272" s="2">
        <v>55.08</v>
      </c>
      <c r="N272" s="2">
        <v>60.9</v>
      </c>
      <c r="O272" s="2">
        <v>30.38</v>
      </c>
      <c r="P272" s="2">
        <v>3.25</v>
      </c>
      <c r="Q272" s="4">
        <v>146964</v>
      </c>
      <c r="R272" s="4">
        <v>3362</v>
      </c>
      <c r="S272" s="4">
        <v>150326</v>
      </c>
      <c r="T272" s="4">
        <v>24951</v>
      </c>
      <c r="U272" s="4">
        <v>27588</v>
      </c>
      <c r="V272" s="4">
        <v>0</v>
      </c>
      <c r="W272" s="4">
        <v>15350</v>
      </c>
      <c r="X272" s="4">
        <v>1638</v>
      </c>
      <c r="Y272" s="4">
        <v>219853</v>
      </c>
      <c r="Z272" s="4">
        <v>20998</v>
      </c>
      <c r="AA272" s="4">
        <v>198855</v>
      </c>
      <c r="AB272" s="4">
        <v>111721</v>
      </c>
      <c r="AC272" s="4">
        <v>87134</v>
      </c>
    </row>
    <row r="273" spans="1:29" x14ac:dyDescent="0.25">
      <c r="A273" s="1" t="s">
        <v>267</v>
      </c>
      <c r="B273" s="1" t="s">
        <v>748</v>
      </c>
      <c r="C273" s="1" t="s">
        <v>285</v>
      </c>
      <c r="D273" s="1" t="s">
        <v>679</v>
      </c>
      <c r="E273" s="2">
        <v>196.22</v>
      </c>
      <c r="F273" s="3">
        <v>1979</v>
      </c>
      <c r="G273" s="2">
        <v>2175.2199999999998</v>
      </c>
      <c r="H273" s="2">
        <v>0</v>
      </c>
      <c r="I273" s="4">
        <v>19</v>
      </c>
      <c r="J273" s="3">
        <v>0</v>
      </c>
      <c r="K273" s="4">
        <v>1998</v>
      </c>
      <c r="L273" s="2">
        <v>295.88</v>
      </c>
      <c r="M273" s="2">
        <v>55.08</v>
      </c>
      <c r="N273" s="2">
        <v>60.9</v>
      </c>
      <c r="O273" s="2">
        <v>30.38</v>
      </c>
      <c r="P273" s="2">
        <v>3.25</v>
      </c>
      <c r="Q273" s="4">
        <v>643604</v>
      </c>
      <c r="R273" s="4">
        <v>0</v>
      </c>
      <c r="S273" s="4">
        <v>643604</v>
      </c>
      <c r="T273" s="4">
        <v>110050</v>
      </c>
      <c r="U273" s="4">
        <v>121678</v>
      </c>
      <c r="V273" s="4">
        <v>0</v>
      </c>
      <c r="W273" s="4">
        <v>66083</v>
      </c>
      <c r="X273" s="4">
        <v>7069</v>
      </c>
      <c r="Y273" s="4">
        <v>948484</v>
      </c>
      <c r="Z273" s="4">
        <v>89118</v>
      </c>
      <c r="AA273" s="4">
        <v>859366</v>
      </c>
      <c r="AB273" s="4">
        <v>490860</v>
      </c>
      <c r="AC273" s="4">
        <v>368506</v>
      </c>
    </row>
    <row r="274" spans="1:29" x14ac:dyDescent="0.25">
      <c r="A274" s="1" t="s">
        <v>267</v>
      </c>
      <c r="B274" s="1" t="s">
        <v>748</v>
      </c>
      <c r="C274" s="1" t="s">
        <v>286</v>
      </c>
      <c r="D274" s="1" t="s">
        <v>680</v>
      </c>
      <c r="E274" s="2">
        <v>99.82</v>
      </c>
      <c r="F274" s="3">
        <v>503.9</v>
      </c>
      <c r="G274" s="2">
        <v>603.72</v>
      </c>
      <c r="H274" s="2">
        <v>0</v>
      </c>
      <c r="I274" s="4">
        <v>0</v>
      </c>
      <c r="J274" s="3">
        <v>0</v>
      </c>
      <c r="K274" s="4">
        <v>504</v>
      </c>
      <c r="L274" s="2">
        <v>295.88</v>
      </c>
      <c r="M274" s="2">
        <v>55.08</v>
      </c>
      <c r="N274" s="2">
        <v>60.9</v>
      </c>
      <c r="O274" s="2">
        <v>30.38</v>
      </c>
      <c r="P274" s="2">
        <v>3.25</v>
      </c>
      <c r="Q274" s="4">
        <v>178629</v>
      </c>
      <c r="R274" s="4">
        <v>3518</v>
      </c>
      <c r="S274" s="4">
        <v>182147</v>
      </c>
      <c r="T274" s="4">
        <v>27760</v>
      </c>
      <c r="U274" s="4">
        <v>30694</v>
      </c>
      <c r="V274" s="4">
        <v>0</v>
      </c>
      <c r="W274" s="4">
        <v>18341</v>
      </c>
      <c r="X274" s="4">
        <v>1962</v>
      </c>
      <c r="Y274" s="4">
        <v>260904</v>
      </c>
      <c r="Z274" s="4">
        <v>31091</v>
      </c>
      <c r="AA274" s="4">
        <v>229813</v>
      </c>
      <c r="AB274" s="4">
        <v>129879</v>
      </c>
      <c r="AC274" s="4">
        <v>99934</v>
      </c>
    </row>
    <row r="275" spans="1:29" x14ac:dyDescent="0.25">
      <c r="A275" s="1" t="s">
        <v>267</v>
      </c>
      <c r="B275" s="1" t="s">
        <v>748</v>
      </c>
      <c r="C275" s="1" t="s">
        <v>287</v>
      </c>
      <c r="D275" s="1" t="s">
        <v>681</v>
      </c>
      <c r="E275" s="2">
        <v>31.58</v>
      </c>
      <c r="F275" s="3">
        <v>221</v>
      </c>
      <c r="G275" s="2">
        <v>252.58</v>
      </c>
      <c r="H275" s="2">
        <v>0</v>
      </c>
      <c r="I275" s="4">
        <v>0</v>
      </c>
      <c r="J275" s="3">
        <v>0</v>
      </c>
      <c r="K275" s="4">
        <v>221</v>
      </c>
      <c r="L275" s="2">
        <v>295.88</v>
      </c>
      <c r="M275" s="2">
        <v>55.08</v>
      </c>
      <c r="N275" s="2">
        <v>60.9</v>
      </c>
      <c r="O275" s="2">
        <v>30.38</v>
      </c>
      <c r="P275" s="2">
        <v>3.25</v>
      </c>
      <c r="Q275" s="4">
        <v>74733</v>
      </c>
      <c r="R275" s="4">
        <v>9004</v>
      </c>
      <c r="S275" s="4">
        <v>83737</v>
      </c>
      <c r="T275" s="4">
        <v>12173</v>
      </c>
      <c r="U275" s="4">
        <v>13459</v>
      </c>
      <c r="V275" s="4">
        <v>0</v>
      </c>
      <c r="W275" s="4">
        <v>8157</v>
      </c>
      <c r="X275" s="4">
        <v>870</v>
      </c>
      <c r="Y275" s="4">
        <v>118396</v>
      </c>
      <c r="Z275" s="4">
        <v>14961</v>
      </c>
      <c r="AA275" s="4">
        <v>103435</v>
      </c>
      <c r="AB275" s="4">
        <v>52917</v>
      </c>
      <c r="AC275" s="4">
        <v>50518</v>
      </c>
    </row>
    <row r="276" spans="1:29" x14ac:dyDescent="0.25">
      <c r="A276" s="1" t="s">
        <v>267</v>
      </c>
      <c r="B276" s="1" t="s">
        <v>748</v>
      </c>
      <c r="C276" s="1" t="s">
        <v>288</v>
      </c>
      <c r="D276" s="1" t="s">
        <v>682</v>
      </c>
      <c r="E276" s="2">
        <v>161.22999999999999</v>
      </c>
      <c r="F276" s="3">
        <v>1430.9</v>
      </c>
      <c r="G276" s="2">
        <v>1592.13</v>
      </c>
      <c r="H276" s="2">
        <v>0</v>
      </c>
      <c r="I276" s="4">
        <v>96</v>
      </c>
      <c r="J276" s="3">
        <v>1.2</v>
      </c>
      <c r="K276" s="4">
        <v>1526</v>
      </c>
      <c r="L276" s="2">
        <v>295.88</v>
      </c>
      <c r="M276" s="2">
        <v>55.08</v>
      </c>
      <c r="N276" s="2">
        <v>60.9</v>
      </c>
      <c r="O276" s="2">
        <v>30.38</v>
      </c>
      <c r="P276" s="2">
        <v>3.25</v>
      </c>
      <c r="Q276" s="4">
        <v>471079</v>
      </c>
      <c r="R276" s="4">
        <v>0</v>
      </c>
      <c r="S276" s="4">
        <v>471079</v>
      </c>
      <c r="T276" s="4">
        <v>84052</v>
      </c>
      <c r="U276" s="4">
        <v>92933</v>
      </c>
      <c r="V276" s="4">
        <v>0</v>
      </c>
      <c r="W276" s="4">
        <v>48369</v>
      </c>
      <c r="X276" s="4">
        <v>5174</v>
      </c>
      <c r="Y276" s="4">
        <v>701607</v>
      </c>
      <c r="Z276" s="4">
        <v>75561</v>
      </c>
      <c r="AA276" s="4">
        <v>626046</v>
      </c>
      <c r="AB276" s="4">
        <v>348948</v>
      </c>
      <c r="AC276" s="4">
        <v>277098</v>
      </c>
    </row>
    <row r="277" spans="1:29" x14ac:dyDescent="0.25">
      <c r="A277" s="1" t="s">
        <v>267</v>
      </c>
      <c r="B277" s="1" t="s">
        <v>748</v>
      </c>
      <c r="C277" s="1" t="s">
        <v>289</v>
      </c>
      <c r="D277" s="1" t="s">
        <v>683</v>
      </c>
      <c r="E277" s="2">
        <v>86.53</v>
      </c>
      <c r="F277" s="3">
        <v>679.5</v>
      </c>
      <c r="G277" s="2">
        <v>766.03</v>
      </c>
      <c r="H277" s="2">
        <v>0</v>
      </c>
      <c r="I277" s="4">
        <v>14</v>
      </c>
      <c r="J277" s="3">
        <v>0</v>
      </c>
      <c r="K277" s="4">
        <v>694</v>
      </c>
      <c r="L277" s="2">
        <v>295.88</v>
      </c>
      <c r="M277" s="2">
        <v>55.08</v>
      </c>
      <c r="N277" s="2">
        <v>60.9</v>
      </c>
      <c r="O277" s="2">
        <v>30.38</v>
      </c>
      <c r="P277" s="2">
        <v>3.25</v>
      </c>
      <c r="Q277" s="4">
        <v>226653</v>
      </c>
      <c r="R277" s="4">
        <v>5597</v>
      </c>
      <c r="S277" s="4">
        <v>232250</v>
      </c>
      <c r="T277" s="4">
        <v>38226</v>
      </c>
      <c r="U277" s="4">
        <v>42265</v>
      </c>
      <c r="V277" s="4">
        <v>0</v>
      </c>
      <c r="W277" s="4">
        <v>23272</v>
      </c>
      <c r="X277" s="4">
        <v>2490</v>
      </c>
      <c r="Y277" s="4">
        <v>338503</v>
      </c>
      <c r="Z277" s="4">
        <v>45080</v>
      </c>
      <c r="AA277" s="4">
        <v>293423</v>
      </c>
      <c r="AB277" s="4">
        <v>159167</v>
      </c>
      <c r="AC277" s="4">
        <v>134256</v>
      </c>
    </row>
    <row r="278" spans="1:29" x14ac:dyDescent="0.25">
      <c r="A278" s="1" t="s">
        <v>267</v>
      </c>
      <c r="B278" s="1" t="s">
        <v>748</v>
      </c>
      <c r="C278" s="1" t="s">
        <v>290</v>
      </c>
      <c r="D278" s="1" t="s">
        <v>684</v>
      </c>
      <c r="E278" s="2">
        <v>40.98</v>
      </c>
      <c r="F278" s="3">
        <v>306.3</v>
      </c>
      <c r="G278" s="2">
        <v>347.28</v>
      </c>
      <c r="H278" s="2">
        <v>0</v>
      </c>
      <c r="I278" s="4">
        <v>0</v>
      </c>
      <c r="J278" s="3">
        <v>0</v>
      </c>
      <c r="K278" s="4">
        <v>306</v>
      </c>
      <c r="L278" s="2">
        <v>295.88</v>
      </c>
      <c r="M278" s="2">
        <v>55.08</v>
      </c>
      <c r="N278" s="2">
        <v>60.9</v>
      </c>
      <c r="O278" s="2">
        <v>30.38</v>
      </c>
      <c r="P278" s="2">
        <v>3.25</v>
      </c>
      <c r="Q278" s="4">
        <v>102753</v>
      </c>
      <c r="R278" s="4">
        <v>3491</v>
      </c>
      <c r="S278" s="4">
        <v>106244</v>
      </c>
      <c r="T278" s="4">
        <v>16854</v>
      </c>
      <c r="U278" s="4">
        <v>18635</v>
      </c>
      <c r="V278" s="4">
        <v>0</v>
      </c>
      <c r="W278" s="4">
        <v>10550</v>
      </c>
      <c r="X278" s="4">
        <v>1129</v>
      </c>
      <c r="Y278" s="4">
        <v>153412</v>
      </c>
      <c r="Z278" s="4">
        <v>16904</v>
      </c>
      <c r="AA278" s="4">
        <v>136508</v>
      </c>
      <c r="AB278" s="4">
        <v>75691</v>
      </c>
      <c r="AC278" s="4">
        <v>60817</v>
      </c>
    </row>
    <row r="279" spans="1:29" x14ac:dyDescent="0.25">
      <c r="A279" s="1" t="s">
        <v>267</v>
      </c>
      <c r="B279" s="1" t="s">
        <v>748</v>
      </c>
      <c r="C279" s="1" t="s">
        <v>291</v>
      </c>
      <c r="D279" s="1" t="s">
        <v>685</v>
      </c>
      <c r="E279" s="2">
        <v>42.77</v>
      </c>
      <c r="F279" s="3">
        <v>460.5</v>
      </c>
      <c r="G279" s="2">
        <v>503.27</v>
      </c>
      <c r="H279" s="2">
        <v>0</v>
      </c>
      <c r="I279" s="4">
        <v>2</v>
      </c>
      <c r="J279" s="3">
        <v>0</v>
      </c>
      <c r="K279" s="4">
        <v>463</v>
      </c>
      <c r="L279" s="2">
        <v>295.88</v>
      </c>
      <c r="M279" s="2">
        <v>55.08</v>
      </c>
      <c r="N279" s="2">
        <v>60.9</v>
      </c>
      <c r="O279" s="2">
        <v>30.38</v>
      </c>
      <c r="P279" s="2">
        <v>3.25</v>
      </c>
      <c r="Q279" s="4">
        <v>148908</v>
      </c>
      <c r="R279" s="4">
        <v>0</v>
      </c>
      <c r="S279" s="4">
        <v>148908</v>
      </c>
      <c r="T279" s="4">
        <v>25502</v>
      </c>
      <c r="U279" s="4">
        <v>28197</v>
      </c>
      <c r="V279" s="4">
        <v>0</v>
      </c>
      <c r="W279" s="4">
        <v>15289</v>
      </c>
      <c r="X279" s="4">
        <v>1636</v>
      </c>
      <c r="Y279" s="4">
        <v>219532</v>
      </c>
      <c r="Z279" s="4">
        <v>21840</v>
      </c>
      <c r="AA279" s="4">
        <v>197692</v>
      </c>
      <c r="AB279" s="4">
        <v>112347</v>
      </c>
      <c r="AC279" s="4">
        <v>85345</v>
      </c>
    </row>
    <row r="280" spans="1:29" x14ac:dyDescent="0.25">
      <c r="A280" s="1" t="s">
        <v>267</v>
      </c>
      <c r="B280" s="1" t="s">
        <v>748</v>
      </c>
      <c r="C280" s="1" t="s">
        <v>292</v>
      </c>
      <c r="D280" s="1" t="s">
        <v>686</v>
      </c>
      <c r="E280" s="2">
        <v>356.29</v>
      </c>
      <c r="F280" s="3">
        <v>2475.6</v>
      </c>
      <c r="G280" s="2">
        <v>2831.89</v>
      </c>
      <c r="H280" s="2">
        <v>0</v>
      </c>
      <c r="I280" s="4">
        <v>204</v>
      </c>
      <c r="J280" s="3">
        <v>0</v>
      </c>
      <c r="K280" s="4">
        <v>2680</v>
      </c>
      <c r="L280" s="2">
        <v>295.88</v>
      </c>
      <c r="M280" s="2">
        <v>55.08</v>
      </c>
      <c r="N280" s="2">
        <v>60.9</v>
      </c>
      <c r="O280" s="2">
        <v>30.38</v>
      </c>
      <c r="P280" s="2">
        <v>3.25</v>
      </c>
      <c r="Q280" s="4">
        <v>837900</v>
      </c>
      <c r="R280" s="4">
        <v>231</v>
      </c>
      <c r="S280" s="4">
        <v>838131</v>
      </c>
      <c r="T280" s="4">
        <v>147614</v>
      </c>
      <c r="U280" s="4">
        <v>163212</v>
      </c>
      <c r="V280" s="4">
        <v>0</v>
      </c>
      <c r="W280" s="4">
        <v>86033</v>
      </c>
      <c r="X280" s="4">
        <v>9204</v>
      </c>
      <c r="Y280" s="4">
        <v>1244194</v>
      </c>
      <c r="Z280" s="4">
        <v>112825</v>
      </c>
      <c r="AA280" s="4">
        <v>1131369</v>
      </c>
      <c r="AB280" s="4">
        <v>642242</v>
      </c>
      <c r="AC280" s="4">
        <v>489127</v>
      </c>
    </row>
    <row r="281" spans="1:29" x14ac:dyDescent="0.25">
      <c r="A281" s="1" t="s">
        <v>267</v>
      </c>
      <c r="B281" s="1" t="s">
        <v>748</v>
      </c>
      <c r="C281" s="1" t="s">
        <v>293</v>
      </c>
      <c r="D281" s="1" t="s">
        <v>687</v>
      </c>
      <c r="E281" s="2">
        <v>53.97</v>
      </c>
      <c r="F281" s="3">
        <v>564</v>
      </c>
      <c r="G281" s="2">
        <v>617.97</v>
      </c>
      <c r="H281" s="2">
        <v>0</v>
      </c>
      <c r="I281" s="4">
        <v>0</v>
      </c>
      <c r="J281" s="3">
        <v>0</v>
      </c>
      <c r="K281" s="4">
        <v>564</v>
      </c>
      <c r="L281" s="2">
        <v>295.88</v>
      </c>
      <c r="M281" s="2">
        <v>55.08</v>
      </c>
      <c r="N281" s="2">
        <v>60.9</v>
      </c>
      <c r="O281" s="2">
        <v>30.38</v>
      </c>
      <c r="P281" s="2">
        <v>3.25</v>
      </c>
      <c r="Q281" s="4">
        <v>182845</v>
      </c>
      <c r="R281" s="4">
        <v>0</v>
      </c>
      <c r="S281" s="4">
        <v>182845</v>
      </c>
      <c r="T281" s="4">
        <v>31065</v>
      </c>
      <c r="U281" s="4">
        <v>34348</v>
      </c>
      <c r="V281" s="4">
        <v>0</v>
      </c>
      <c r="W281" s="4">
        <v>18774</v>
      </c>
      <c r="X281" s="4">
        <v>2008</v>
      </c>
      <c r="Y281" s="4">
        <v>269040</v>
      </c>
      <c r="Z281" s="4">
        <v>28459</v>
      </c>
      <c r="AA281" s="4">
        <v>240581</v>
      </c>
      <c r="AB281" s="4">
        <v>136310</v>
      </c>
      <c r="AC281" s="4">
        <v>104271</v>
      </c>
    </row>
    <row r="282" spans="1:29" x14ac:dyDescent="0.25">
      <c r="A282" s="1" t="s">
        <v>267</v>
      </c>
      <c r="B282" s="1" t="s">
        <v>748</v>
      </c>
      <c r="C282" s="1" t="s">
        <v>294</v>
      </c>
      <c r="D282" s="1" t="s">
        <v>688</v>
      </c>
      <c r="E282" s="2">
        <v>128.85</v>
      </c>
      <c r="F282" s="3">
        <v>832.4</v>
      </c>
      <c r="G282" s="2">
        <v>961.25</v>
      </c>
      <c r="H282" s="2">
        <v>0</v>
      </c>
      <c r="I282" s="4">
        <v>10</v>
      </c>
      <c r="J282" s="3">
        <v>0</v>
      </c>
      <c r="K282" s="4">
        <v>842</v>
      </c>
      <c r="L282" s="2">
        <v>295.88</v>
      </c>
      <c r="M282" s="2">
        <v>55.08</v>
      </c>
      <c r="N282" s="2">
        <v>60.9</v>
      </c>
      <c r="O282" s="2">
        <v>30.38</v>
      </c>
      <c r="P282" s="2">
        <v>3.25</v>
      </c>
      <c r="Q282" s="4">
        <v>284415</v>
      </c>
      <c r="R282" s="4">
        <v>3731</v>
      </c>
      <c r="S282" s="4">
        <v>288146</v>
      </c>
      <c r="T282" s="4">
        <v>46377</v>
      </c>
      <c r="U282" s="4">
        <v>51278</v>
      </c>
      <c r="V282" s="4">
        <v>0</v>
      </c>
      <c r="W282" s="4">
        <v>29203</v>
      </c>
      <c r="X282" s="4">
        <v>3124</v>
      </c>
      <c r="Y282" s="4">
        <v>418128</v>
      </c>
      <c r="Z282" s="4">
        <v>44838</v>
      </c>
      <c r="AA282" s="4">
        <v>373290</v>
      </c>
      <c r="AB282" s="4">
        <v>211460</v>
      </c>
      <c r="AC282" s="4">
        <v>161830</v>
      </c>
    </row>
    <row r="283" spans="1:29" x14ac:dyDescent="0.25">
      <c r="A283" s="1" t="s">
        <v>267</v>
      </c>
      <c r="B283" s="1" t="s">
        <v>748</v>
      </c>
      <c r="C283" s="1" t="s">
        <v>295</v>
      </c>
      <c r="D283" s="1" t="s">
        <v>689</v>
      </c>
      <c r="E283" s="2">
        <v>46.77</v>
      </c>
      <c r="F283" s="3">
        <v>267.10000000000002</v>
      </c>
      <c r="G283" s="2">
        <v>313.87</v>
      </c>
      <c r="H283" s="2">
        <v>0</v>
      </c>
      <c r="I283" s="4">
        <v>0</v>
      </c>
      <c r="J283" s="3">
        <v>0</v>
      </c>
      <c r="K283" s="4">
        <v>267</v>
      </c>
      <c r="L283" s="2">
        <v>295.88</v>
      </c>
      <c r="M283" s="2">
        <v>55.08</v>
      </c>
      <c r="N283" s="2">
        <v>60.9</v>
      </c>
      <c r="O283" s="2">
        <v>30.38</v>
      </c>
      <c r="P283" s="2">
        <v>3.25</v>
      </c>
      <c r="Q283" s="4">
        <v>92868</v>
      </c>
      <c r="R283" s="4">
        <v>0</v>
      </c>
      <c r="S283" s="4">
        <v>92868</v>
      </c>
      <c r="T283" s="4">
        <v>14706</v>
      </c>
      <c r="U283" s="4">
        <v>16260</v>
      </c>
      <c r="V283" s="4">
        <v>0</v>
      </c>
      <c r="W283" s="4">
        <v>9535</v>
      </c>
      <c r="X283" s="4">
        <v>1020</v>
      </c>
      <c r="Y283" s="4">
        <v>134389</v>
      </c>
      <c r="Z283" s="4">
        <v>14742</v>
      </c>
      <c r="AA283" s="4">
        <v>119647</v>
      </c>
      <c r="AB283" s="4">
        <v>68945</v>
      </c>
      <c r="AC283" s="4">
        <v>50702</v>
      </c>
    </row>
    <row r="284" spans="1:29" x14ac:dyDescent="0.25">
      <c r="A284" s="1" t="s">
        <v>267</v>
      </c>
      <c r="B284" s="1" t="s">
        <v>748</v>
      </c>
      <c r="C284" s="1" t="s">
        <v>296</v>
      </c>
      <c r="D284" s="1" t="s">
        <v>690</v>
      </c>
      <c r="E284" s="2">
        <v>74.78</v>
      </c>
      <c r="F284" s="3">
        <v>631.1</v>
      </c>
      <c r="G284" s="2">
        <v>705.88</v>
      </c>
      <c r="H284" s="2">
        <v>0</v>
      </c>
      <c r="I284" s="4">
        <v>1</v>
      </c>
      <c r="J284" s="3">
        <v>0</v>
      </c>
      <c r="K284" s="4">
        <v>632</v>
      </c>
      <c r="L284" s="2">
        <v>295.88</v>
      </c>
      <c r="M284" s="2">
        <v>55.08</v>
      </c>
      <c r="N284" s="2">
        <v>60.9</v>
      </c>
      <c r="O284" s="2">
        <v>30.38</v>
      </c>
      <c r="P284" s="2">
        <v>3.25</v>
      </c>
      <c r="Q284" s="4">
        <v>208856</v>
      </c>
      <c r="R284" s="4">
        <v>3509</v>
      </c>
      <c r="S284" s="4">
        <v>212365</v>
      </c>
      <c r="T284" s="4">
        <v>34811</v>
      </c>
      <c r="U284" s="4">
        <v>38489</v>
      </c>
      <c r="V284" s="4">
        <v>0</v>
      </c>
      <c r="W284" s="4">
        <v>21445</v>
      </c>
      <c r="X284" s="4">
        <v>2294</v>
      </c>
      <c r="Y284" s="4">
        <v>309404</v>
      </c>
      <c r="Z284" s="4">
        <v>39236</v>
      </c>
      <c r="AA284" s="4">
        <v>270168</v>
      </c>
      <c r="AB284" s="4">
        <v>148973</v>
      </c>
      <c r="AC284" s="4">
        <v>121195</v>
      </c>
    </row>
    <row r="285" spans="1:29" x14ac:dyDescent="0.25">
      <c r="A285" s="1" t="s">
        <v>267</v>
      </c>
      <c r="B285" s="1" t="s">
        <v>748</v>
      </c>
      <c r="C285" s="1" t="s">
        <v>297</v>
      </c>
      <c r="D285" s="1" t="s">
        <v>691</v>
      </c>
      <c r="E285" s="2">
        <v>30.43</v>
      </c>
      <c r="F285" s="3">
        <v>252.2</v>
      </c>
      <c r="G285" s="2">
        <v>282.63</v>
      </c>
      <c r="H285" s="2">
        <v>0</v>
      </c>
      <c r="I285" s="4">
        <v>0</v>
      </c>
      <c r="J285" s="3">
        <v>0</v>
      </c>
      <c r="K285" s="4">
        <v>252</v>
      </c>
      <c r="L285" s="2">
        <v>295.88</v>
      </c>
      <c r="M285" s="2">
        <v>55.08</v>
      </c>
      <c r="N285" s="2">
        <v>60.9</v>
      </c>
      <c r="O285" s="2">
        <v>30.38</v>
      </c>
      <c r="P285" s="2">
        <v>3.25</v>
      </c>
      <c r="Q285" s="4">
        <v>83625</v>
      </c>
      <c r="R285" s="4">
        <v>4468</v>
      </c>
      <c r="S285" s="4">
        <v>88093</v>
      </c>
      <c r="T285" s="4">
        <v>13880</v>
      </c>
      <c r="U285" s="4">
        <v>15347</v>
      </c>
      <c r="V285" s="4">
        <v>0</v>
      </c>
      <c r="W285" s="4">
        <v>9045</v>
      </c>
      <c r="X285" s="4">
        <v>965</v>
      </c>
      <c r="Y285" s="4">
        <v>127330</v>
      </c>
      <c r="Z285" s="4">
        <v>15048</v>
      </c>
      <c r="AA285" s="4">
        <v>112282</v>
      </c>
      <c r="AB285" s="4">
        <v>60815</v>
      </c>
      <c r="AC285" s="4">
        <v>51467</v>
      </c>
    </row>
    <row r="286" spans="1:29" x14ac:dyDescent="0.25">
      <c r="A286" s="1" t="s">
        <v>267</v>
      </c>
      <c r="B286" s="1" t="s">
        <v>748</v>
      </c>
      <c r="C286" s="1" t="s">
        <v>298</v>
      </c>
      <c r="D286" s="1" t="s">
        <v>692</v>
      </c>
      <c r="E286" s="2">
        <v>92.49</v>
      </c>
      <c r="F286" s="3">
        <v>643.79999999999995</v>
      </c>
      <c r="G286" s="2">
        <v>736.29</v>
      </c>
      <c r="H286" s="2">
        <v>0</v>
      </c>
      <c r="I286" s="4">
        <v>17</v>
      </c>
      <c r="J286" s="3">
        <v>0</v>
      </c>
      <c r="K286" s="4">
        <v>661</v>
      </c>
      <c r="L286" s="2">
        <v>295.88</v>
      </c>
      <c r="M286" s="2">
        <v>55.08</v>
      </c>
      <c r="N286" s="2">
        <v>60.9</v>
      </c>
      <c r="O286" s="2">
        <v>30.38</v>
      </c>
      <c r="P286" s="2">
        <v>3.25</v>
      </c>
      <c r="Q286" s="4">
        <v>217853</v>
      </c>
      <c r="R286" s="4">
        <v>3386</v>
      </c>
      <c r="S286" s="4">
        <v>221239</v>
      </c>
      <c r="T286" s="4">
        <v>36408</v>
      </c>
      <c r="U286" s="4">
        <v>40255</v>
      </c>
      <c r="V286" s="4">
        <v>0</v>
      </c>
      <c r="W286" s="4">
        <v>22717</v>
      </c>
      <c r="X286" s="4">
        <v>2424</v>
      </c>
      <c r="Y286" s="4">
        <v>323043</v>
      </c>
      <c r="Z286" s="4">
        <v>39610</v>
      </c>
      <c r="AA286" s="4">
        <v>283433</v>
      </c>
      <c r="AB286" s="4">
        <v>157087</v>
      </c>
      <c r="AC286" s="4">
        <v>126346</v>
      </c>
    </row>
    <row r="287" spans="1:29" x14ac:dyDescent="0.25">
      <c r="A287" s="1" t="s">
        <v>267</v>
      </c>
      <c r="B287" s="1" t="s">
        <v>748</v>
      </c>
      <c r="C287" s="1" t="s">
        <v>299</v>
      </c>
      <c r="D287" s="1" t="s">
        <v>693</v>
      </c>
      <c r="E287" s="2">
        <v>28.48</v>
      </c>
      <c r="F287" s="3">
        <v>191.3</v>
      </c>
      <c r="G287" s="2">
        <v>219.78</v>
      </c>
      <c r="H287" s="2">
        <v>0</v>
      </c>
      <c r="I287" s="4">
        <v>6</v>
      </c>
      <c r="J287" s="3">
        <v>0</v>
      </c>
      <c r="K287" s="4">
        <v>197</v>
      </c>
      <c r="L287" s="2">
        <v>295.88</v>
      </c>
      <c r="M287" s="2">
        <v>55.08</v>
      </c>
      <c r="N287" s="2">
        <v>60.9</v>
      </c>
      <c r="O287" s="2">
        <v>30.38</v>
      </c>
      <c r="P287" s="2">
        <v>3.25</v>
      </c>
      <c r="Q287" s="4">
        <v>65029</v>
      </c>
      <c r="R287" s="4">
        <v>7737</v>
      </c>
      <c r="S287" s="4">
        <v>72766</v>
      </c>
      <c r="T287" s="4">
        <v>10851</v>
      </c>
      <c r="U287" s="4">
        <v>11997</v>
      </c>
      <c r="V287" s="4">
        <v>0</v>
      </c>
      <c r="W287" s="4">
        <v>6677</v>
      </c>
      <c r="X287" s="4">
        <v>714</v>
      </c>
      <c r="Y287" s="4">
        <v>103005</v>
      </c>
      <c r="Z287" s="4">
        <v>14187</v>
      </c>
      <c r="AA287" s="4">
        <v>88818</v>
      </c>
      <c r="AB287" s="4">
        <v>44413</v>
      </c>
      <c r="AC287" s="4">
        <v>44405</v>
      </c>
    </row>
    <row r="288" spans="1:29" x14ac:dyDescent="0.25">
      <c r="A288" s="1" t="s">
        <v>267</v>
      </c>
      <c r="B288" s="1" t="s">
        <v>748</v>
      </c>
      <c r="C288" s="1" t="s">
        <v>300</v>
      </c>
      <c r="D288" s="1" t="s">
        <v>694</v>
      </c>
      <c r="E288" s="2">
        <v>132.88</v>
      </c>
      <c r="F288" s="3">
        <v>1057.0999999999999</v>
      </c>
      <c r="G288" s="2">
        <v>1189.98</v>
      </c>
      <c r="H288" s="2">
        <v>0</v>
      </c>
      <c r="I288" s="4">
        <v>0</v>
      </c>
      <c r="J288" s="3">
        <v>0</v>
      </c>
      <c r="K288" s="4">
        <v>1057</v>
      </c>
      <c r="L288" s="2">
        <v>295.88</v>
      </c>
      <c r="M288" s="2">
        <v>55.08</v>
      </c>
      <c r="N288" s="2">
        <v>60.9</v>
      </c>
      <c r="O288" s="2">
        <v>30.38</v>
      </c>
      <c r="P288" s="2">
        <v>3.25</v>
      </c>
      <c r="Q288" s="4">
        <v>352091</v>
      </c>
      <c r="R288" s="4">
        <v>27786</v>
      </c>
      <c r="S288" s="4">
        <v>379877</v>
      </c>
      <c r="T288" s="4">
        <v>58220</v>
      </c>
      <c r="U288" s="4">
        <v>64371</v>
      </c>
      <c r="V288" s="4">
        <v>0</v>
      </c>
      <c r="W288" s="4">
        <v>37213</v>
      </c>
      <c r="X288" s="4">
        <v>3971</v>
      </c>
      <c r="Y288" s="4">
        <v>543652</v>
      </c>
      <c r="Z288" s="4">
        <v>62151</v>
      </c>
      <c r="AA288" s="4">
        <v>481501</v>
      </c>
      <c r="AB288" s="4">
        <v>256298</v>
      </c>
      <c r="AC288" s="4">
        <v>225203</v>
      </c>
    </row>
    <row r="289" spans="1:29" x14ac:dyDescent="0.25">
      <c r="A289" s="1" t="s">
        <v>267</v>
      </c>
      <c r="B289" s="1" t="s">
        <v>748</v>
      </c>
      <c r="C289" s="1" t="s">
        <v>301</v>
      </c>
      <c r="D289" s="1" t="s">
        <v>695</v>
      </c>
      <c r="E289" s="2">
        <v>74.37</v>
      </c>
      <c r="F289" s="3">
        <v>691</v>
      </c>
      <c r="G289" s="2">
        <v>765.37</v>
      </c>
      <c r="H289" s="2">
        <v>0</v>
      </c>
      <c r="I289" s="4">
        <v>8</v>
      </c>
      <c r="J289" s="3">
        <v>0</v>
      </c>
      <c r="K289" s="4">
        <v>699</v>
      </c>
      <c r="L289" s="2">
        <v>295.88</v>
      </c>
      <c r="M289" s="2">
        <v>55.08</v>
      </c>
      <c r="N289" s="2">
        <v>60.9</v>
      </c>
      <c r="O289" s="2">
        <v>30.38</v>
      </c>
      <c r="P289" s="2">
        <v>3.25</v>
      </c>
      <c r="Q289" s="4">
        <v>226458</v>
      </c>
      <c r="R289" s="4">
        <v>0</v>
      </c>
      <c r="S289" s="4">
        <v>226458</v>
      </c>
      <c r="T289" s="4">
        <v>38501</v>
      </c>
      <c r="U289" s="4">
        <v>42569</v>
      </c>
      <c r="V289" s="4">
        <v>0</v>
      </c>
      <c r="W289" s="4">
        <v>23252</v>
      </c>
      <c r="X289" s="4">
        <v>2487</v>
      </c>
      <c r="Y289" s="4">
        <v>333267</v>
      </c>
      <c r="Z289" s="4">
        <v>33188</v>
      </c>
      <c r="AA289" s="4">
        <v>300079</v>
      </c>
      <c r="AB289" s="4">
        <v>170882</v>
      </c>
      <c r="AC289" s="4">
        <v>129197</v>
      </c>
    </row>
    <row r="290" spans="1:29" x14ac:dyDescent="0.25">
      <c r="A290" s="1" t="s">
        <v>267</v>
      </c>
      <c r="B290" s="1" t="s">
        <v>748</v>
      </c>
      <c r="C290" s="1" t="s">
        <v>302</v>
      </c>
      <c r="D290" s="1" t="s">
        <v>696</v>
      </c>
      <c r="E290" s="2">
        <v>135.22999999999999</v>
      </c>
      <c r="F290" s="3">
        <v>1082.9000000000001</v>
      </c>
      <c r="G290" s="2">
        <v>1218.1300000000001</v>
      </c>
      <c r="H290" s="2">
        <v>0</v>
      </c>
      <c r="I290" s="4">
        <v>7</v>
      </c>
      <c r="J290" s="3">
        <v>0</v>
      </c>
      <c r="K290" s="4">
        <v>1090</v>
      </c>
      <c r="L290" s="2">
        <v>295.88</v>
      </c>
      <c r="M290" s="2">
        <v>55.08</v>
      </c>
      <c r="N290" s="2">
        <v>60.9</v>
      </c>
      <c r="O290" s="2">
        <v>30.38</v>
      </c>
      <c r="P290" s="2">
        <v>3.25</v>
      </c>
      <c r="Q290" s="4">
        <v>360420</v>
      </c>
      <c r="R290" s="4">
        <v>0</v>
      </c>
      <c r="S290" s="4">
        <v>360420</v>
      </c>
      <c r="T290" s="4">
        <v>60037</v>
      </c>
      <c r="U290" s="4">
        <v>66381</v>
      </c>
      <c r="V290" s="4">
        <v>0</v>
      </c>
      <c r="W290" s="4">
        <v>37007</v>
      </c>
      <c r="X290" s="4">
        <v>3959</v>
      </c>
      <c r="Y290" s="4">
        <v>527804</v>
      </c>
      <c r="Z290" s="4">
        <v>57385</v>
      </c>
      <c r="AA290" s="4">
        <v>470419</v>
      </c>
      <c r="AB290" s="4">
        <v>267405</v>
      </c>
      <c r="AC290" s="4">
        <v>203014</v>
      </c>
    </row>
    <row r="291" spans="1:29" x14ac:dyDescent="0.25">
      <c r="A291" s="1" t="s">
        <v>267</v>
      </c>
      <c r="B291" s="1" t="s">
        <v>748</v>
      </c>
      <c r="C291" s="1" t="s">
        <v>303</v>
      </c>
      <c r="D291" s="1" t="s">
        <v>697</v>
      </c>
      <c r="E291" s="2">
        <v>71.78</v>
      </c>
      <c r="F291" s="3">
        <v>393.7</v>
      </c>
      <c r="G291" s="2">
        <v>465.48</v>
      </c>
      <c r="H291" s="2">
        <v>0</v>
      </c>
      <c r="I291" s="4">
        <v>0</v>
      </c>
      <c r="J291" s="3">
        <v>0</v>
      </c>
      <c r="K291" s="4">
        <v>394</v>
      </c>
      <c r="L291" s="2">
        <v>295.88</v>
      </c>
      <c r="M291" s="2">
        <v>55.08</v>
      </c>
      <c r="N291" s="2">
        <v>60.9</v>
      </c>
      <c r="O291" s="2">
        <v>30.38</v>
      </c>
      <c r="P291" s="2">
        <v>3.25</v>
      </c>
      <c r="Q291" s="4">
        <v>137726</v>
      </c>
      <c r="R291" s="4">
        <v>0</v>
      </c>
      <c r="S291" s="4">
        <v>137726</v>
      </c>
      <c r="T291" s="4">
        <v>21702</v>
      </c>
      <c r="U291" s="4">
        <v>23995</v>
      </c>
      <c r="V291" s="4">
        <v>0</v>
      </c>
      <c r="W291" s="4">
        <v>14141</v>
      </c>
      <c r="X291" s="4">
        <v>1513</v>
      </c>
      <c r="Y291" s="4">
        <v>199077</v>
      </c>
      <c r="Z291" s="4">
        <v>22474</v>
      </c>
      <c r="AA291" s="4">
        <v>176603</v>
      </c>
      <c r="AB291" s="4">
        <v>101637</v>
      </c>
      <c r="AC291" s="4">
        <v>74966</v>
      </c>
    </row>
    <row r="292" spans="1:29" x14ac:dyDescent="0.25">
      <c r="A292" s="1" t="s">
        <v>267</v>
      </c>
      <c r="B292" s="1" t="s">
        <v>748</v>
      </c>
      <c r="C292" s="1" t="s">
        <v>304</v>
      </c>
      <c r="D292" s="1" t="s">
        <v>698</v>
      </c>
      <c r="E292" s="2">
        <v>35.08</v>
      </c>
      <c r="F292" s="3">
        <v>207.1</v>
      </c>
      <c r="G292" s="2">
        <v>242.18</v>
      </c>
      <c r="H292" s="2">
        <v>0</v>
      </c>
      <c r="I292" s="4">
        <v>1</v>
      </c>
      <c r="J292" s="3">
        <v>0</v>
      </c>
      <c r="K292" s="4">
        <v>208</v>
      </c>
      <c r="L292" s="2">
        <v>295.88</v>
      </c>
      <c r="M292" s="2">
        <v>55.08</v>
      </c>
      <c r="N292" s="2">
        <v>60.9</v>
      </c>
      <c r="O292" s="2">
        <v>30.38</v>
      </c>
      <c r="P292" s="2">
        <v>3.25</v>
      </c>
      <c r="Q292" s="4">
        <v>71656</v>
      </c>
      <c r="R292" s="4">
        <v>7592</v>
      </c>
      <c r="S292" s="4">
        <v>79248</v>
      </c>
      <c r="T292" s="4">
        <v>11457</v>
      </c>
      <c r="U292" s="4">
        <v>12667</v>
      </c>
      <c r="V292" s="4">
        <v>0</v>
      </c>
      <c r="W292" s="4">
        <v>7357</v>
      </c>
      <c r="X292" s="4">
        <v>787</v>
      </c>
      <c r="Y292" s="4">
        <v>111516</v>
      </c>
      <c r="Z292" s="4">
        <v>15658</v>
      </c>
      <c r="AA292" s="4">
        <v>95858</v>
      </c>
      <c r="AB292" s="4">
        <v>48914</v>
      </c>
      <c r="AC292" s="4">
        <v>46944</v>
      </c>
    </row>
    <row r="293" spans="1:29" x14ac:dyDescent="0.25">
      <c r="A293" s="1" t="s">
        <v>267</v>
      </c>
      <c r="B293" s="1" t="s">
        <v>748</v>
      </c>
      <c r="C293" s="1" t="s">
        <v>305</v>
      </c>
      <c r="D293" s="1" t="s">
        <v>699</v>
      </c>
      <c r="E293" s="2">
        <v>18.64</v>
      </c>
      <c r="F293" s="3">
        <v>190.1</v>
      </c>
      <c r="G293" s="2">
        <v>208.74</v>
      </c>
      <c r="H293" s="2">
        <v>0</v>
      </c>
      <c r="I293" s="4">
        <v>0</v>
      </c>
      <c r="J293" s="3">
        <v>0</v>
      </c>
      <c r="K293" s="4">
        <v>190</v>
      </c>
      <c r="L293" s="2">
        <v>295.88</v>
      </c>
      <c r="M293" s="2">
        <v>55.08</v>
      </c>
      <c r="N293" s="2">
        <v>60.9</v>
      </c>
      <c r="O293" s="2">
        <v>30.38</v>
      </c>
      <c r="P293" s="2">
        <v>3.25</v>
      </c>
      <c r="Q293" s="4">
        <v>61762</v>
      </c>
      <c r="R293" s="4">
        <v>4462</v>
      </c>
      <c r="S293" s="4">
        <v>66224</v>
      </c>
      <c r="T293" s="4">
        <v>10465</v>
      </c>
      <c r="U293" s="4">
        <v>11571</v>
      </c>
      <c r="V293" s="4">
        <v>0</v>
      </c>
      <c r="W293" s="4">
        <v>6800</v>
      </c>
      <c r="X293" s="4">
        <v>726</v>
      </c>
      <c r="Y293" s="4">
        <v>95786</v>
      </c>
      <c r="Z293" s="4">
        <v>12066</v>
      </c>
      <c r="AA293" s="4">
        <v>83720</v>
      </c>
      <c r="AB293" s="4">
        <v>44096</v>
      </c>
      <c r="AC293" s="4">
        <v>39624</v>
      </c>
    </row>
    <row r="294" spans="1:29" x14ac:dyDescent="0.25">
      <c r="A294" s="1" t="s">
        <v>267</v>
      </c>
      <c r="B294" s="1" t="s">
        <v>748</v>
      </c>
      <c r="C294" s="1" t="s">
        <v>306</v>
      </c>
      <c r="D294" s="1" t="s">
        <v>700</v>
      </c>
      <c r="E294" s="2">
        <v>38.03</v>
      </c>
      <c r="F294" s="3">
        <v>608.29999999999995</v>
      </c>
      <c r="G294" s="2">
        <v>646.33000000000004</v>
      </c>
      <c r="H294" s="2">
        <v>0</v>
      </c>
      <c r="I294" s="4">
        <v>54</v>
      </c>
      <c r="J294" s="3">
        <v>0</v>
      </c>
      <c r="K294" s="4">
        <v>662</v>
      </c>
      <c r="L294" s="2">
        <v>295.88</v>
      </c>
      <c r="M294" s="2">
        <v>55.08</v>
      </c>
      <c r="N294" s="2">
        <v>60.9</v>
      </c>
      <c r="O294" s="2">
        <v>30.38</v>
      </c>
      <c r="P294" s="2">
        <v>3.25</v>
      </c>
      <c r="Q294" s="4">
        <v>191236</v>
      </c>
      <c r="R294" s="4">
        <v>0</v>
      </c>
      <c r="S294" s="4">
        <v>191236</v>
      </c>
      <c r="T294" s="4">
        <v>36463</v>
      </c>
      <c r="U294" s="4">
        <v>40316</v>
      </c>
      <c r="V294" s="4">
        <v>0</v>
      </c>
      <c r="W294" s="4">
        <v>19636</v>
      </c>
      <c r="X294" s="4">
        <v>2101</v>
      </c>
      <c r="Y294" s="4">
        <v>289752</v>
      </c>
      <c r="Z294" s="4">
        <v>22629</v>
      </c>
      <c r="AA294" s="4">
        <v>267123</v>
      </c>
      <c r="AB294" s="4">
        <v>149703</v>
      </c>
      <c r="AC294" s="4">
        <v>117420</v>
      </c>
    </row>
    <row r="295" spans="1:29" x14ac:dyDescent="0.25">
      <c r="A295" s="1" t="s">
        <v>267</v>
      </c>
      <c r="B295" s="1" t="s">
        <v>748</v>
      </c>
      <c r="C295" s="1" t="s">
        <v>307</v>
      </c>
      <c r="D295" s="1" t="s">
        <v>701</v>
      </c>
      <c r="E295" s="2">
        <v>62.19</v>
      </c>
      <c r="F295" s="3">
        <v>645.1</v>
      </c>
      <c r="G295" s="2">
        <v>707.29</v>
      </c>
      <c r="H295" s="2">
        <v>0</v>
      </c>
      <c r="I295" s="4">
        <v>4</v>
      </c>
      <c r="J295" s="3">
        <v>0</v>
      </c>
      <c r="K295" s="4">
        <v>649</v>
      </c>
      <c r="L295" s="2">
        <v>295.88</v>
      </c>
      <c r="M295" s="2">
        <v>55.08</v>
      </c>
      <c r="N295" s="2">
        <v>60.9</v>
      </c>
      <c r="O295" s="2">
        <v>30.38</v>
      </c>
      <c r="P295" s="2">
        <v>3.25</v>
      </c>
      <c r="Q295" s="4">
        <v>209273</v>
      </c>
      <c r="R295" s="4">
        <v>2484</v>
      </c>
      <c r="S295" s="4">
        <v>211757</v>
      </c>
      <c r="T295" s="4">
        <v>35747</v>
      </c>
      <c r="U295" s="4">
        <v>39524</v>
      </c>
      <c r="V295" s="4">
        <v>0</v>
      </c>
      <c r="W295" s="4">
        <v>21487</v>
      </c>
      <c r="X295" s="4">
        <v>2299</v>
      </c>
      <c r="Y295" s="4">
        <v>310814</v>
      </c>
      <c r="Z295" s="4">
        <v>33287</v>
      </c>
      <c r="AA295" s="4">
        <v>277527</v>
      </c>
      <c r="AB295" s="4">
        <v>155298</v>
      </c>
      <c r="AC295" s="4">
        <v>122229</v>
      </c>
    </row>
    <row r="296" spans="1:29" x14ac:dyDescent="0.25">
      <c r="A296" s="1" t="s">
        <v>267</v>
      </c>
      <c r="B296" s="1" t="s">
        <v>748</v>
      </c>
      <c r="C296" s="1" t="s">
        <v>308</v>
      </c>
      <c r="D296" s="1" t="s">
        <v>702</v>
      </c>
      <c r="E296" s="2">
        <v>71.3</v>
      </c>
      <c r="F296" s="3">
        <v>701</v>
      </c>
      <c r="G296" s="2">
        <v>772.3</v>
      </c>
      <c r="H296" s="2">
        <v>0</v>
      </c>
      <c r="I296" s="4">
        <v>27</v>
      </c>
      <c r="J296" s="3">
        <v>0</v>
      </c>
      <c r="K296" s="4">
        <v>728</v>
      </c>
      <c r="L296" s="2">
        <v>295.88</v>
      </c>
      <c r="M296" s="2">
        <v>55.08</v>
      </c>
      <c r="N296" s="2">
        <v>60.9</v>
      </c>
      <c r="O296" s="2">
        <v>30.38</v>
      </c>
      <c r="P296" s="2">
        <v>3.25</v>
      </c>
      <c r="Q296" s="4">
        <v>228508</v>
      </c>
      <c r="R296" s="4">
        <v>0</v>
      </c>
      <c r="S296" s="4">
        <v>228508</v>
      </c>
      <c r="T296" s="4">
        <v>40098</v>
      </c>
      <c r="U296" s="4">
        <v>44335</v>
      </c>
      <c r="V296" s="4">
        <v>0</v>
      </c>
      <c r="W296" s="4">
        <v>23462</v>
      </c>
      <c r="X296" s="4">
        <v>2510</v>
      </c>
      <c r="Y296" s="4">
        <v>338913</v>
      </c>
      <c r="Z296" s="4">
        <v>30799</v>
      </c>
      <c r="AA296" s="4">
        <v>308114</v>
      </c>
      <c r="AB296" s="4">
        <v>175119</v>
      </c>
      <c r="AC296" s="4">
        <v>132995</v>
      </c>
    </row>
    <row r="297" spans="1:29" x14ac:dyDescent="0.25">
      <c r="A297" s="1" t="s">
        <v>267</v>
      </c>
      <c r="B297" s="1" t="s">
        <v>748</v>
      </c>
      <c r="C297" s="1" t="s">
        <v>309</v>
      </c>
      <c r="D297" s="1" t="s">
        <v>703</v>
      </c>
      <c r="E297" s="2">
        <v>34.659999999999997</v>
      </c>
      <c r="F297" s="3">
        <v>298</v>
      </c>
      <c r="G297" s="2">
        <v>332.66</v>
      </c>
      <c r="H297" s="2">
        <v>0</v>
      </c>
      <c r="I297" s="4">
        <v>0</v>
      </c>
      <c r="J297" s="3">
        <v>0</v>
      </c>
      <c r="K297" s="4">
        <v>298</v>
      </c>
      <c r="L297" s="2">
        <v>295.88</v>
      </c>
      <c r="M297" s="2">
        <v>55.08</v>
      </c>
      <c r="N297" s="2">
        <v>60.9</v>
      </c>
      <c r="O297" s="2">
        <v>30.38</v>
      </c>
      <c r="P297" s="2">
        <v>3.25</v>
      </c>
      <c r="Q297" s="4">
        <v>98427</v>
      </c>
      <c r="R297" s="4">
        <v>14409</v>
      </c>
      <c r="S297" s="4">
        <v>112836</v>
      </c>
      <c r="T297" s="4">
        <v>16414</v>
      </c>
      <c r="U297" s="4">
        <v>18148</v>
      </c>
      <c r="V297" s="4">
        <v>0</v>
      </c>
      <c r="W297" s="4">
        <v>10255</v>
      </c>
      <c r="X297" s="4">
        <v>1094</v>
      </c>
      <c r="Y297" s="4">
        <v>158747</v>
      </c>
      <c r="Z297" s="4">
        <v>20643</v>
      </c>
      <c r="AA297" s="4">
        <v>138104</v>
      </c>
      <c r="AB297" s="4">
        <v>68216</v>
      </c>
      <c r="AC297" s="4">
        <v>69888</v>
      </c>
    </row>
    <row r="298" spans="1:29" x14ac:dyDescent="0.25">
      <c r="A298" s="1" t="s">
        <v>267</v>
      </c>
      <c r="B298" s="1" t="s">
        <v>748</v>
      </c>
      <c r="C298" s="1" t="s">
        <v>310</v>
      </c>
      <c r="D298" s="1" t="s">
        <v>704</v>
      </c>
      <c r="E298" s="2">
        <v>82.01</v>
      </c>
      <c r="F298" s="3">
        <v>346</v>
      </c>
      <c r="G298" s="2">
        <v>428.01</v>
      </c>
      <c r="H298" s="2">
        <v>0</v>
      </c>
      <c r="I298" s="4">
        <v>4</v>
      </c>
      <c r="J298" s="3">
        <v>0</v>
      </c>
      <c r="K298" s="4">
        <v>350</v>
      </c>
      <c r="L298" s="2">
        <v>295.88</v>
      </c>
      <c r="M298" s="2">
        <v>55.08</v>
      </c>
      <c r="N298" s="2">
        <v>60.9</v>
      </c>
      <c r="O298" s="2">
        <v>30.38</v>
      </c>
      <c r="P298" s="2">
        <v>3.25</v>
      </c>
      <c r="Q298" s="4">
        <v>126640</v>
      </c>
      <c r="R298" s="4">
        <v>21320</v>
      </c>
      <c r="S298" s="4">
        <v>147960</v>
      </c>
      <c r="T298" s="4">
        <v>19278</v>
      </c>
      <c r="U298" s="4">
        <v>21315</v>
      </c>
      <c r="V298" s="4">
        <v>0</v>
      </c>
      <c r="W298" s="4">
        <v>13003</v>
      </c>
      <c r="X298" s="4">
        <v>1391</v>
      </c>
      <c r="Y298" s="4">
        <v>202947</v>
      </c>
      <c r="Z298" s="4">
        <v>25347</v>
      </c>
      <c r="AA298" s="4">
        <v>177600</v>
      </c>
      <c r="AB298" s="4">
        <v>88773</v>
      </c>
      <c r="AC298" s="4">
        <v>88827</v>
      </c>
    </row>
    <row r="299" spans="1:29" x14ac:dyDescent="0.25">
      <c r="A299" s="1" t="s">
        <v>267</v>
      </c>
      <c r="B299" s="1" t="s">
        <v>748</v>
      </c>
      <c r="C299" s="1" t="s">
        <v>311</v>
      </c>
      <c r="D299" s="1" t="s">
        <v>705</v>
      </c>
      <c r="E299" s="2">
        <v>38.76</v>
      </c>
      <c r="F299" s="3">
        <v>470</v>
      </c>
      <c r="G299" s="2">
        <v>508.76</v>
      </c>
      <c r="H299" s="2">
        <v>0</v>
      </c>
      <c r="I299" s="4">
        <v>3</v>
      </c>
      <c r="J299" s="3">
        <v>0</v>
      </c>
      <c r="K299" s="4">
        <v>473</v>
      </c>
      <c r="L299" s="2">
        <v>295.88</v>
      </c>
      <c r="M299" s="2">
        <v>55.08</v>
      </c>
      <c r="N299" s="2">
        <v>60.9</v>
      </c>
      <c r="O299" s="2">
        <v>30.38</v>
      </c>
      <c r="P299" s="2">
        <v>3.25</v>
      </c>
      <c r="Q299" s="4">
        <v>150532</v>
      </c>
      <c r="R299" s="4">
        <v>3954</v>
      </c>
      <c r="S299" s="4">
        <v>154486</v>
      </c>
      <c r="T299" s="4">
        <v>26053</v>
      </c>
      <c r="U299" s="4">
        <v>28806</v>
      </c>
      <c r="V299" s="4">
        <v>0</v>
      </c>
      <c r="W299" s="4">
        <v>15830</v>
      </c>
      <c r="X299" s="4">
        <v>1689</v>
      </c>
      <c r="Y299" s="4">
        <v>226864</v>
      </c>
      <c r="Z299" s="4">
        <v>25428</v>
      </c>
      <c r="AA299" s="4">
        <v>201436</v>
      </c>
      <c r="AB299" s="4">
        <v>110632</v>
      </c>
      <c r="AC299" s="4">
        <v>90804</v>
      </c>
    </row>
    <row r="300" spans="1:29" x14ac:dyDescent="0.25">
      <c r="A300" s="1" t="s">
        <v>312</v>
      </c>
      <c r="B300" s="1" t="s">
        <v>749</v>
      </c>
      <c r="C300" s="1" t="s">
        <v>313</v>
      </c>
      <c r="D300" s="1" t="s">
        <v>706</v>
      </c>
      <c r="E300" s="2">
        <v>131.37</v>
      </c>
      <c r="F300" s="3">
        <v>1182.8</v>
      </c>
      <c r="G300" s="2">
        <v>1314.17</v>
      </c>
      <c r="H300" s="2">
        <v>0</v>
      </c>
      <c r="I300" s="4">
        <v>1</v>
      </c>
      <c r="J300" s="3">
        <v>0</v>
      </c>
      <c r="K300" s="4">
        <v>1184</v>
      </c>
      <c r="L300" s="2">
        <v>293.24</v>
      </c>
      <c r="M300" s="2">
        <v>55.05</v>
      </c>
      <c r="N300" s="2">
        <v>60.47</v>
      </c>
      <c r="O300" s="2">
        <v>29.39</v>
      </c>
      <c r="P300" s="2">
        <v>3.2</v>
      </c>
      <c r="Q300" s="4">
        <v>385367</v>
      </c>
      <c r="R300" s="4">
        <v>5672</v>
      </c>
      <c r="S300" s="4">
        <v>391039</v>
      </c>
      <c r="T300" s="4">
        <v>65179</v>
      </c>
      <c r="U300" s="4">
        <v>71596</v>
      </c>
      <c r="V300" s="4">
        <v>0</v>
      </c>
      <c r="W300" s="4">
        <v>39183</v>
      </c>
      <c r="X300" s="4">
        <v>4256</v>
      </c>
      <c r="Y300" s="4">
        <v>571253</v>
      </c>
      <c r="Z300" s="4">
        <v>57955</v>
      </c>
      <c r="AA300" s="4">
        <v>513298</v>
      </c>
      <c r="AB300" s="4">
        <v>291686</v>
      </c>
      <c r="AC300" s="4">
        <v>221612</v>
      </c>
    </row>
    <row r="301" spans="1:29" x14ac:dyDescent="0.25">
      <c r="A301" s="1" t="s">
        <v>312</v>
      </c>
      <c r="B301" s="1" t="s">
        <v>749</v>
      </c>
      <c r="C301" s="1" t="s">
        <v>314</v>
      </c>
      <c r="D301" s="1" t="s">
        <v>707</v>
      </c>
      <c r="E301" s="2">
        <v>765.23</v>
      </c>
      <c r="F301" s="3">
        <v>4263.3</v>
      </c>
      <c r="G301" s="2">
        <v>5028.53</v>
      </c>
      <c r="H301" s="2">
        <v>0</v>
      </c>
      <c r="I301" s="4">
        <v>363</v>
      </c>
      <c r="J301" s="3">
        <v>2</v>
      </c>
      <c r="K301" s="4">
        <v>4624</v>
      </c>
      <c r="L301" s="2">
        <v>293.24</v>
      </c>
      <c r="M301" s="2">
        <v>55.05</v>
      </c>
      <c r="N301" s="2">
        <v>60.47</v>
      </c>
      <c r="O301" s="2">
        <v>29.39</v>
      </c>
      <c r="P301" s="2">
        <v>3.2</v>
      </c>
      <c r="Q301" s="4">
        <v>1474566</v>
      </c>
      <c r="R301" s="4">
        <v>47900</v>
      </c>
      <c r="S301" s="4">
        <v>1522466</v>
      </c>
      <c r="T301" s="4">
        <v>254551</v>
      </c>
      <c r="U301" s="4">
        <v>279613</v>
      </c>
      <c r="V301" s="4">
        <v>0</v>
      </c>
      <c r="W301" s="4">
        <v>149956</v>
      </c>
      <c r="X301" s="4">
        <v>16289</v>
      </c>
      <c r="Y301" s="4">
        <v>2222875</v>
      </c>
      <c r="Z301" s="4">
        <v>231008</v>
      </c>
      <c r="AA301" s="4">
        <v>1991867</v>
      </c>
      <c r="AB301" s="4">
        <v>1106884</v>
      </c>
      <c r="AC301" s="4">
        <v>884983</v>
      </c>
    </row>
    <row r="302" spans="1:29" x14ac:dyDescent="0.25">
      <c r="A302" s="1" t="s">
        <v>312</v>
      </c>
      <c r="B302" s="1" t="s">
        <v>749</v>
      </c>
      <c r="C302" s="1" t="s">
        <v>315</v>
      </c>
      <c r="D302" s="1" t="s">
        <v>708</v>
      </c>
      <c r="E302" s="2">
        <v>67.430000000000007</v>
      </c>
      <c r="F302" s="3">
        <v>573.70000000000005</v>
      </c>
      <c r="G302" s="2">
        <v>641.13</v>
      </c>
      <c r="H302" s="2">
        <v>0</v>
      </c>
      <c r="I302" s="4">
        <v>0</v>
      </c>
      <c r="J302" s="3">
        <v>0</v>
      </c>
      <c r="K302" s="4">
        <v>574</v>
      </c>
      <c r="L302" s="2">
        <v>293.24</v>
      </c>
      <c r="M302" s="2">
        <v>55.05</v>
      </c>
      <c r="N302" s="2">
        <v>60.47</v>
      </c>
      <c r="O302" s="2">
        <v>29.39</v>
      </c>
      <c r="P302" s="2">
        <v>3.2</v>
      </c>
      <c r="Q302" s="4">
        <v>188005</v>
      </c>
      <c r="R302" s="4">
        <v>0</v>
      </c>
      <c r="S302" s="4">
        <v>188005</v>
      </c>
      <c r="T302" s="4">
        <v>31599</v>
      </c>
      <c r="U302" s="4">
        <v>34710</v>
      </c>
      <c r="V302" s="4">
        <v>0</v>
      </c>
      <c r="W302" s="4">
        <v>18843</v>
      </c>
      <c r="X302" s="4">
        <v>2052</v>
      </c>
      <c r="Y302" s="4">
        <v>275209</v>
      </c>
      <c r="Z302" s="4">
        <v>29808</v>
      </c>
      <c r="AA302" s="4">
        <v>245401</v>
      </c>
      <c r="AB302" s="4">
        <v>140470</v>
      </c>
      <c r="AC302" s="4">
        <v>104931</v>
      </c>
    </row>
    <row r="303" spans="1:29" x14ac:dyDescent="0.25">
      <c r="A303" s="1" t="s">
        <v>312</v>
      </c>
      <c r="B303" s="1" t="s">
        <v>749</v>
      </c>
      <c r="C303" s="1" t="s">
        <v>316</v>
      </c>
      <c r="D303" s="1" t="s">
        <v>709</v>
      </c>
      <c r="E303" s="2">
        <v>155.21</v>
      </c>
      <c r="F303" s="3">
        <v>1376.4</v>
      </c>
      <c r="G303" s="2">
        <v>1531.61</v>
      </c>
      <c r="H303" s="2">
        <v>0</v>
      </c>
      <c r="I303" s="4">
        <v>0</v>
      </c>
      <c r="J303" s="3">
        <v>0</v>
      </c>
      <c r="K303" s="4">
        <v>1376</v>
      </c>
      <c r="L303" s="2">
        <v>293.24</v>
      </c>
      <c r="M303" s="2">
        <v>55.05</v>
      </c>
      <c r="N303" s="2">
        <v>60.47</v>
      </c>
      <c r="O303" s="2">
        <v>29.39</v>
      </c>
      <c r="P303" s="2">
        <v>3.2</v>
      </c>
      <c r="Q303" s="4">
        <v>449129</v>
      </c>
      <c r="R303" s="4">
        <v>0</v>
      </c>
      <c r="S303" s="4">
        <v>449129</v>
      </c>
      <c r="T303" s="4">
        <v>75749</v>
      </c>
      <c r="U303" s="4">
        <v>83207</v>
      </c>
      <c r="V303" s="4">
        <v>0</v>
      </c>
      <c r="W303" s="4">
        <v>45014</v>
      </c>
      <c r="X303" s="4">
        <v>4901</v>
      </c>
      <c r="Y303" s="4">
        <v>658000</v>
      </c>
      <c r="Z303" s="4">
        <v>76839</v>
      </c>
      <c r="AA303" s="4">
        <v>581161</v>
      </c>
      <c r="AB303" s="4">
        <v>329941</v>
      </c>
      <c r="AC303" s="4">
        <v>251220</v>
      </c>
    </row>
    <row r="304" spans="1:29" x14ac:dyDescent="0.25">
      <c r="A304" s="1" t="s">
        <v>312</v>
      </c>
      <c r="B304" s="1" t="s">
        <v>749</v>
      </c>
      <c r="C304" s="1" t="s">
        <v>317</v>
      </c>
      <c r="D304" s="1" t="s">
        <v>710</v>
      </c>
      <c r="E304" s="2">
        <v>75.430000000000007</v>
      </c>
      <c r="F304" s="3">
        <v>766.7</v>
      </c>
      <c r="G304" s="2">
        <v>842.13</v>
      </c>
      <c r="H304" s="2">
        <v>0</v>
      </c>
      <c r="I304" s="4">
        <v>16</v>
      </c>
      <c r="J304" s="3">
        <v>0</v>
      </c>
      <c r="K304" s="4">
        <v>783</v>
      </c>
      <c r="L304" s="2">
        <v>293.24</v>
      </c>
      <c r="M304" s="2">
        <v>55.05</v>
      </c>
      <c r="N304" s="2">
        <v>60.47</v>
      </c>
      <c r="O304" s="2">
        <v>29.39</v>
      </c>
      <c r="P304" s="2">
        <v>3.2</v>
      </c>
      <c r="Q304" s="4">
        <v>246946</v>
      </c>
      <c r="R304" s="4">
        <v>9456</v>
      </c>
      <c r="S304" s="4">
        <v>256402</v>
      </c>
      <c r="T304" s="4">
        <v>43104</v>
      </c>
      <c r="U304" s="4">
        <v>47348</v>
      </c>
      <c r="V304" s="4">
        <v>0</v>
      </c>
      <c r="W304" s="4">
        <v>25554</v>
      </c>
      <c r="X304" s="4">
        <v>2776</v>
      </c>
      <c r="Y304" s="4">
        <v>375184</v>
      </c>
      <c r="Z304" s="4">
        <v>46695</v>
      </c>
      <c r="AA304" s="4">
        <v>328489</v>
      </c>
      <c r="AB304" s="4">
        <v>177851</v>
      </c>
      <c r="AC304" s="4">
        <v>150638</v>
      </c>
    </row>
    <row r="305" spans="1:29" x14ac:dyDescent="0.25">
      <c r="A305" s="1" t="s">
        <v>312</v>
      </c>
      <c r="B305" s="1" t="s">
        <v>749</v>
      </c>
      <c r="C305" s="1" t="s">
        <v>318</v>
      </c>
      <c r="D305" s="1" t="s">
        <v>711</v>
      </c>
      <c r="E305" s="2">
        <v>148.38</v>
      </c>
      <c r="F305" s="3">
        <v>1240.5</v>
      </c>
      <c r="G305" s="2">
        <v>1388.88</v>
      </c>
      <c r="H305" s="2">
        <v>0</v>
      </c>
      <c r="I305" s="4">
        <v>3</v>
      </c>
      <c r="J305" s="3">
        <v>0</v>
      </c>
      <c r="K305" s="4">
        <v>1244</v>
      </c>
      <c r="L305" s="2">
        <v>293.24</v>
      </c>
      <c r="M305" s="2">
        <v>55.05</v>
      </c>
      <c r="N305" s="2">
        <v>60.47</v>
      </c>
      <c r="O305" s="2">
        <v>29.39</v>
      </c>
      <c r="P305" s="2">
        <v>3.2</v>
      </c>
      <c r="Q305" s="4">
        <v>407275</v>
      </c>
      <c r="R305" s="4">
        <v>33106</v>
      </c>
      <c r="S305" s="4">
        <v>440381</v>
      </c>
      <c r="T305" s="4">
        <v>68482</v>
      </c>
      <c r="U305" s="4">
        <v>75225</v>
      </c>
      <c r="V305" s="4">
        <v>0</v>
      </c>
      <c r="W305" s="4">
        <v>41134</v>
      </c>
      <c r="X305" s="4">
        <v>4468</v>
      </c>
      <c r="Y305" s="4">
        <v>629690</v>
      </c>
      <c r="Z305" s="4">
        <v>69564</v>
      </c>
      <c r="AA305" s="4">
        <v>560126</v>
      </c>
      <c r="AB305" s="4">
        <v>299647</v>
      </c>
      <c r="AC305" s="4">
        <v>260479</v>
      </c>
    </row>
    <row r="306" spans="1:29" x14ac:dyDescent="0.25">
      <c r="A306" s="1" t="s">
        <v>312</v>
      </c>
      <c r="B306" s="1" t="s">
        <v>749</v>
      </c>
      <c r="C306" s="1" t="s">
        <v>319</v>
      </c>
      <c r="D306" s="1" t="s">
        <v>712</v>
      </c>
      <c r="E306" s="2">
        <v>51.12</v>
      </c>
      <c r="F306" s="3">
        <v>513.5</v>
      </c>
      <c r="G306" s="2">
        <v>564.62</v>
      </c>
      <c r="H306" s="2">
        <v>0</v>
      </c>
      <c r="I306" s="4">
        <v>4</v>
      </c>
      <c r="J306" s="3">
        <v>0</v>
      </c>
      <c r="K306" s="4">
        <v>518</v>
      </c>
      <c r="L306" s="2">
        <v>293.24</v>
      </c>
      <c r="M306" s="2">
        <v>55.05</v>
      </c>
      <c r="N306" s="2">
        <v>60.47</v>
      </c>
      <c r="O306" s="2">
        <v>29.39</v>
      </c>
      <c r="P306" s="2">
        <v>3.2</v>
      </c>
      <c r="Q306" s="4">
        <v>165569</v>
      </c>
      <c r="R306" s="4">
        <v>0</v>
      </c>
      <c r="S306" s="4">
        <v>165569</v>
      </c>
      <c r="T306" s="4">
        <v>28516</v>
      </c>
      <c r="U306" s="4">
        <v>31323</v>
      </c>
      <c r="V306" s="4">
        <v>0</v>
      </c>
      <c r="W306" s="4">
        <v>16594</v>
      </c>
      <c r="X306" s="4">
        <v>1807</v>
      </c>
      <c r="Y306" s="4">
        <v>243809</v>
      </c>
      <c r="Z306" s="4">
        <v>20792</v>
      </c>
      <c r="AA306" s="4">
        <v>223017</v>
      </c>
      <c r="AB306" s="4">
        <v>129165</v>
      </c>
      <c r="AC306" s="4">
        <v>93852</v>
      </c>
    </row>
    <row r="307" spans="1:29" x14ac:dyDescent="0.25">
      <c r="A307" s="1" t="s">
        <v>312</v>
      </c>
      <c r="B307" s="1" t="s">
        <v>749</v>
      </c>
      <c r="C307" s="1" t="s">
        <v>320</v>
      </c>
      <c r="D307" s="1" t="s">
        <v>713</v>
      </c>
      <c r="E307" s="2">
        <v>107.43</v>
      </c>
      <c r="F307" s="3">
        <v>1137.5999999999999</v>
      </c>
      <c r="G307" s="2">
        <v>1245.03</v>
      </c>
      <c r="H307" s="2">
        <v>0</v>
      </c>
      <c r="I307" s="4">
        <v>4</v>
      </c>
      <c r="J307" s="3">
        <v>0</v>
      </c>
      <c r="K307" s="4">
        <v>1142</v>
      </c>
      <c r="L307" s="2">
        <v>293.24</v>
      </c>
      <c r="M307" s="2">
        <v>55.05</v>
      </c>
      <c r="N307" s="2">
        <v>60.47</v>
      </c>
      <c r="O307" s="2">
        <v>29.39</v>
      </c>
      <c r="P307" s="2">
        <v>3.2</v>
      </c>
      <c r="Q307" s="4">
        <v>365093</v>
      </c>
      <c r="R307" s="4">
        <v>8016</v>
      </c>
      <c r="S307" s="4">
        <v>373109</v>
      </c>
      <c r="T307" s="4">
        <v>62867</v>
      </c>
      <c r="U307" s="4">
        <v>69057</v>
      </c>
      <c r="V307" s="4">
        <v>0</v>
      </c>
      <c r="W307" s="4">
        <v>37387</v>
      </c>
      <c r="X307" s="4">
        <v>4061</v>
      </c>
      <c r="Y307" s="4">
        <v>546481</v>
      </c>
      <c r="Z307" s="4">
        <v>56419</v>
      </c>
      <c r="AA307" s="4">
        <v>490062</v>
      </c>
      <c r="AB307" s="4">
        <v>275121</v>
      </c>
      <c r="AC307" s="4">
        <v>214941</v>
      </c>
    </row>
    <row r="308" spans="1:29" x14ac:dyDescent="0.25">
      <c r="A308" s="1" t="s">
        <v>312</v>
      </c>
      <c r="B308" s="1" t="s">
        <v>749</v>
      </c>
      <c r="C308" s="1" t="s">
        <v>321</v>
      </c>
      <c r="D308" s="1" t="s">
        <v>714</v>
      </c>
      <c r="E308" s="2">
        <v>104.74</v>
      </c>
      <c r="F308" s="3">
        <v>875.9</v>
      </c>
      <c r="G308" s="2">
        <v>980.64</v>
      </c>
      <c r="H308" s="2">
        <v>0</v>
      </c>
      <c r="I308" s="4">
        <v>23</v>
      </c>
      <c r="J308" s="3">
        <v>0</v>
      </c>
      <c r="K308" s="4">
        <v>899</v>
      </c>
      <c r="L308" s="2">
        <v>293.24</v>
      </c>
      <c r="M308" s="2">
        <v>55.05</v>
      </c>
      <c r="N308" s="2">
        <v>60.47</v>
      </c>
      <c r="O308" s="2">
        <v>29.39</v>
      </c>
      <c r="P308" s="2">
        <v>3.2</v>
      </c>
      <c r="Q308" s="4">
        <v>287563</v>
      </c>
      <c r="R308" s="4">
        <v>4396</v>
      </c>
      <c r="S308" s="4">
        <v>291959</v>
      </c>
      <c r="T308" s="4">
        <v>49490</v>
      </c>
      <c r="U308" s="4">
        <v>54363</v>
      </c>
      <c r="V308" s="4">
        <v>0</v>
      </c>
      <c r="W308" s="4">
        <v>29255</v>
      </c>
      <c r="X308" s="4">
        <v>3178</v>
      </c>
      <c r="Y308" s="4">
        <v>428245</v>
      </c>
      <c r="Z308" s="4">
        <v>44907</v>
      </c>
      <c r="AA308" s="4">
        <v>383338</v>
      </c>
      <c r="AB308" s="4">
        <v>216015</v>
      </c>
      <c r="AC308" s="4">
        <v>167323</v>
      </c>
    </row>
    <row r="309" spans="1:29" x14ac:dyDescent="0.25">
      <c r="A309" s="1" t="s">
        <v>312</v>
      </c>
      <c r="B309" s="1" t="s">
        <v>749</v>
      </c>
      <c r="C309" s="1" t="s">
        <v>322</v>
      </c>
      <c r="D309" s="1" t="s">
        <v>715</v>
      </c>
      <c r="E309" s="2">
        <v>290.41000000000003</v>
      </c>
      <c r="F309" s="3">
        <v>1591.5</v>
      </c>
      <c r="G309" s="2">
        <v>1881.91</v>
      </c>
      <c r="H309" s="2">
        <v>0</v>
      </c>
      <c r="I309" s="4">
        <v>143</v>
      </c>
      <c r="J309" s="3">
        <v>0</v>
      </c>
      <c r="K309" s="4">
        <v>1735</v>
      </c>
      <c r="L309" s="2">
        <v>293.24</v>
      </c>
      <c r="M309" s="2">
        <v>55.05</v>
      </c>
      <c r="N309" s="2">
        <v>60.47</v>
      </c>
      <c r="O309" s="2">
        <v>29.39</v>
      </c>
      <c r="P309" s="2">
        <v>3.2</v>
      </c>
      <c r="Q309" s="4">
        <v>551851</v>
      </c>
      <c r="R309" s="4">
        <v>3900</v>
      </c>
      <c r="S309" s="4">
        <v>555751</v>
      </c>
      <c r="T309" s="4">
        <v>95512</v>
      </c>
      <c r="U309" s="4">
        <v>104915</v>
      </c>
      <c r="V309" s="4">
        <v>0</v>
      </c>
      <c r="W309" s="4">
        <v>55309</v>
      </c>
      <c r="X309" s="4">
        <v>6022</v>
      </c>
      <c r="Y309" s="4">
        <v>817509</v>
      </c>
      <c r="Z309" s="4">
        <v>91881</v>
      </c>
      <c r="AA309" s="4">
        <v>725628</v>
      </c>
      <c r="AB309" s="4">
        <v>407935</v>
      </c>
      <c r="AC309" s="4">
        <v>317693</v>
      </c>
    </row>
    <row r="310" spans="1:29" x14ac:dyDescent="0.25">
      <c r="A310" s="1" t="s">
        <v>312</v>
      </c>
      <c r="B310" s="1" t="s">
        <v>749</v>
      </c>
      <c r="C310" s="1" t="s">
        <v>323</v>
      </c>
      <c r="D310" s="1" t="s">
        <v>716</v>
      </c>
      <c r="E310" s="2">
        <v>322.83</v>
      </c>
      <c r="F310" s="3">
        <v>2143.6</v>
      </c>
      <c r="G310" s="2">
        <v>2466.4299999999998</v>
      </c>
      <c r="H310" s="2">
        <v>0</v>
      </c>
      <c r="I310" s="4">
        <v>274</v>
      </c>
      <c r="J310" s="3">
        <v>1.6</v>
      </c>
      <c r="K310" s="4">
        <v>2416</v>
      </c>
      <c r="L310" s="2">
        <v>293.24</v>
      </c>
      <c r="M310" s="2">
        <v>55.05</v>
      </c>
      <c r="N310" s="2">
        <v>60.47</v>
      </c>
      <c r="O310" s="2">
        <v>29.39</v>
      </c>
      <c r="P310" s="2">
        <v>3.2</v>
      </c>
      <c r="Q310" s="4">
        <v>723256</v>
      </c>
      <c r="R310" s="4">
        <v>0</v>
      </c>
      <c r="S310" s="4">
        <v>723256</v>
      </c>
      <c r="T310" s="4">
        <v>133001</v>
      </c>
      <c r="U310" s="4">
        <v>146096</v>
      </c>
      <c r="V310" s="4">
        <v>0</v>
      </c>
      <c r="W310" s="4">
        <v>72488</v>
      </c>
      <c r="X310" s="4">
        <v>7893</v>
      </c>
      <c r="Y310" s="4">
        <v>1082734</v>
      </c>
      <c r="Z310" s="4">
        <v>124889</v>
      </c>
      <c r="AA310" s="4">
        <v>957845</v>
      </c>
      <c r="AB310" s="4">
        <v>530170</v>
      </c>
      <c r="AC310" s="4">
        <v>427675</v>
      </c>
    </row>
    <row r="311" spans="1:29" x14ac:dyDescent="0.25">
      <c r="A311" s="1" t="s">
        <v>312</v>
      </c>
      <c r="B311" s="1" t="s">
        <v>749</v>
      </c>
      <c r="C311" s="1" t="s">
        <v>324</v>
      </c>
      <c r="D311" s="1" t="s">
        <v>717</v>
      </c>
      <c r="E311" s="2">
        <v>34.32</v>
      </c>
      <c r="F311" s="3">
        <v>346.3</v>
      </c>
      <c r="G311" s="2">
        <v>380.62</v>
      </c>
      <c r="H311" s="2">
        <v>0</v>
      </c>
      <c r="I311" s="4">
        <v>2</v>
      </c>
      <c r="J311" s="3">
        <v>0</v>
      </c>
      <c r="K311" s="4">
        <v>348</v>
      </c>
      <c r="L311" s="2">
        <v>293.24</v>
      </c>
      <c r="M311" s="2">
        <v>55.05</v>
      </c>
      <c r="N311" s="2">
        <v>60.47</v>
      </c>
      <c r="O311" s="2">
        <v>29.39</v>
      </c>
      <c r="P311" s="2">
        <v>3.2</v>
      </c>
      <c r="Q311" s="4">
        <v>111613</v>
      </c>
      <c r="R311" s="4">
        <v>9066</v>
      </c>
      <c r="S311" s="4">
        <v>120679</v>
      </c>
      <c r="T311" s="4">
        <v>19157</v>
      </c>
      <c r="U311" s="4">
        <v>21044</v>
      </c>
      <c r="V311" s="4">
        <v>0</v>
      </c>
      <c r="W311" s="4">
        <v>11210</v>
      </c>
      <c r="X311" s="4">
        <v>1218</v>
      </c>
      <c r="Y311" s="4">
        <v>173308</v>
      </c>
      <c r="Z311" s="4">
        <v>23152</v>
      </c>
      <c r="AA311" s="4">
        <v>150156</v>
      </c>
      <c r="AB311" s="4">
        <v>77960</v>
      </c>
      <c r="AC311" s="4">
        <v>72196</v>
      </c>
    </row>
    <row r="312" spans="1:29" x14ac:dyDescent="0.25">
      <c r="A312" s="1" t="s">
        <v>312</v>
      </c>
      <c r="B312" s="1" t="s">
        <v>749</v>
      </c>
      <c r="C312" s="1" t="s">
        <v>325</v>
      </c>
      <c r="D312" s="1" t="s">
        <v>718</v>
      </c>
      <c r="E312" s="2">
        <v>367.24</v>
      </c>
      <c r="F312" s="3">
        <v>1909.7</v>
      </c>
      <c r="G312" s="2">
        <v>2276.94</v>
      </c>
      <c r="H312" s="2">
        <v>0</v>
      </c>
      <c r="I312" s="4">
        <v>65</v>
      </c>
      <c r="J312" s="3">
        <v>0.1</v>
      </c>
      <c r="K312" s="4">
        <v>1975</v>
      </c>
      <c r="L312" s="2">
        <v>293.24</v>
      </c>
      <c r="M312" s="2">
        <v>55.05</v>
      </c>
      <c r="N312" s="2">
        <v>60.47</v>
      </c>
      <c r="O312" s="2">
        <v>29.39</v>
      </c>
      <c r="P312" s="2">
        <v>3.2</v>
      </c>
      <c r="Q312" s="4">
        <v>667690</v>
      </c>
      <c r="R312" s="4">
        <v>0</v>
      </c>
      <c r="S312" s="4">
        <v>667690</v>
      </c>
      <c r="T312" s="4">
        <v>108724</v>
      </c>
      <c r="U312" s="4">
        <v>119428</v>
      </c>
      <c r="V312" s="4">
        <v>0</v>
      </c>
      <c r="W312" s="4">
        <v>66919</v>
      </c>
      <c r="X312" s="4">
        <v>7286</v>
      </c>
      <c r="Y312" s="4">
        <v>970047</v>
      </c>
      <c r="Z312" s="4">
        <v>104456</v>
      </c>
      <c r="AA312" s="4">
        <v>865591</v>
      </c>
      <c r="AB312" s="4">
        <v>500276</v>
      </c>
      <c r="AC312" s="4">
        <v>365315</v>
      </c>
    </row>
    <row r="313" spans="1:29" x14ac:dyDescent="0.25">
      <c r="A313" s="1" t="s">
        <v>312</v>
      </c>
      <c r="B313" s="1" t="s">
        <v>749</v>
      </c>
      <c r="C313" s="1" t="s">
        <v>326</v>
      </c>
      <c r="D313" s="1" t="s">
        <v>719</v>
      </c>
      <c r="E313" s="2">
        <v>50.37</v>
      </c>
      <c r="F313" s="3">
        <v>341.3</v>
      </c>
      <c r="G313" s="2">
        <v>391.67</v>
      </c>
      <c r="H313" s="2">
        <v>0</v>
      </c>
      <c r="I313" s="4">
        <v>2</v>
      </c>
      <c r="J313" s="3">
        <v>0</v>
      </c>
      <c r="K313" s="4">
        <v>343</v>
      </c>
      <c r="L313" s="2">
        <v>293.24</v>
      </c>
      <c r="M313" s="2">
        <v>55.05</v>
      </c>
      <c r="N313" s="2">
        <v>60.47</v>
      </c>
      <c r="O313" s="2">
        <v>29.39</v>
      </c>
      <c r="P313" s="2">
        <v>3.2</v>
      </c>
      <c r="Q313" s="4">
        <v>114853</v>
      </c>
      <c r="R313" s="4">
        <v>0</v>
      </c>
      <c r="S313" s="4">
        <v>114853</v>
      </c>
      <c r="T313" s="4">
        <v>18882</v>
      </c>
      <c r="U313" s="4">
        <v>20741</v>
      </c>
      <c r="V313" s="4">
        <v>0</v>
      </c>
      <c r="W313" s="4">
        <v>11511</v>
      </c>
      <c r="X313" s="4">
        <v>1253</v>
      </c>
      <c r="Y313" s="4">
        <v>167240</v>
      </c>
      <c r="Z313" s="4">
        <v>17793</v>
      </c>
      <c r="AA313" s="4">
        <v>149447</v>
      </c>
      <c r="AB313" s="4">
        <v>86230</v>
      </c>
      <c r="AC313" s="4">
        <v>63217</v>
      </c>
    </row>
    <row r="314" spans="1:29" x14ac:dyDescent="0.25">
      <c r="A314" s="1" t="s">
        <v>312</v>
      </c>
      <c r="B314" s="1" t="s">
        <v>749</v>
      </c>
      <c r="C314" s="1" t="s">
        <v>327</v>
      </c>
      <c r="D314" s="1" t="s">
        <v>720</v>
      </c>
      <c r="E314" s="2">
        <v>76.64</v>
      </c>
      <c r="F314" s="3">
        <v>790.8</v>
      </c>
      <c r="G314" s="2">
        <v>867.44</v>
      </c>
      <c r="H314" s="2">
        <v>0</v>
      </c>
      <c r="I314" s="4">
        <v>0</v>
      </c>
      <c r="J314" s="3">
        <v>0</v>
      </c>
      <c r="K314" s="4">
        <v>791</v>
      </c>
      <c r="L314" s="2">
        <v>293.24</v>
      </c>
      <c r="M314" s="2">
        <v>55.05</v>
      </c>
      <c r="N314" s="2">
        <v>60.47</v>
      </c>
      <c r="O314" s="2">
        <v>29.39</v>
      </c>
      <c r="P314" s="2">
        <v>3.2</v>
      </c>
      <c r="Q314" s="4">
        <v>254368</v>
      </c>
      <c r="R314" s="4">
        <v>1105</v>
      </c>
      <c r="S314" s="4">
        <v>255473</v>
      </c>
      <c r="T314" s="4">
        <v>43545</v>
      </c>
      <c r="U314" s="4">
        <v>47832</v>
      </c>
      <c r="V314" s="4">
        <v>0</v>
      </c>
      <c r="W314" s="4">
        <v>25494</v>
      </c>
      <c r="X314" s="4">
        <v>2776</v>
      </c>
      <c r="Y314" s="4">
        <v>375120</v>
      </c>
      <c r="Z314" s="4">
        <v>41596</v>
      </c>
      <c r="AA314" s="4">
        <v>333524</v>
      </c>
      <c r="AB314" s="4">
        <v>188788</v>
      </c>
      <c r="AC314" s="4">
        <v>144736</v>
      </c>
    </row>
    <row r="315" spans="1:29" x14ac:dyDescent="0.25">
      <c r="A315" s="1" t="s">
        <v>312</v>
      </c>
      <c r="B315" s="1" t="s">
        <v>749</v>
      </c>
      <c r="C315" s="1" t="s">
        <v>328</v>
      </c>
      <c r="D315" s="1" t="s">
        <v>721</v>
      </c>
      <c r="E315" s="2">
        <v>33.08</v>
      </c>
      <c r="F315" s="3">
        <v>344.4</v>
      </c>
      <c r="G315" s="2">
        <v>377.48</v>
      </c>
      <c r="H315" s="2">
        <v>0</v>
      </c>
      <c r="I315" s="4">
        <v>0</v>
      </c>
      <c r="J315" s="3">
        <v>0</v>
      </c>
      <c r="K315" s="4">
        <v>344</v>
      </c>
      <c r="L315" s="2">
        <v>293.24</v>
      </c>
      <c r="M315" s="2">
        <v>55.05</v>
      </c>
      <c r="N315" s="2">
        <v>60.47</v>
      </c>
      <c r="O315" s="2">
        <v>29.39</v>
      </c>
      <c r="P315" s="2">
        <v>3.2</v>
      </c>
      <c r="Q315" s="4">
        <v>110692</v>
      </c>
      <c r="R315" s="4">
        <v>0</v>
      </c>
      <c r="S315" s="4">
        <v>110692</v>
      </c>
      <c r="T315" s="4">
        <v>18937</v>
      </c>
      <c r="U315" s="4">
        <v>20802</v>
      </c>
      <c r="V315" s="4">
        <v>0</v>
      </c>
      <c r="W315" s="4">
        <v>11094</v>
      </c>
      <c r="X315" s="4">
        <v>1208</v>
      </c>
      <c r="Y315" s="4">
        <v>162733</v>
      </c>
      <c r="Z315" s="4">
        <v>14721</v>
      </c>
      <c r="AA315" s="4">
        <v>148012</v>
      </c>
      <c r="AB315" s="4">
        <v>85534</v>
      </c>
      <c r="AC315" s="4">
        <v>62478</v>
      </c>
    </row>
    <row r="316" spans="1:29" x14ac:dyDescent="0.25">
      <c r="A316" s="1" t="s">
        <v>312</v>
      </c>
      <c r="B316" s="1" t="s">
        <v>749</v>
      </c>
      <c r="C316" s="1" t="s">
        <v>329</v>
      </c>
      <c r="D316" s="1" t="s">
        <v>722</v>
      </c>
      <c r="E316" s="2">
        <v>16.190000000000001</v>
      </c>
      <c r="F316" s="3">
        <v>209.2</v>
      </c>
      <c r="G316" s="2">
        <v>225.39</v>
      </c>
      <c r="H316" s="2">
        <v>0</v>
      </c>
      <c r="I316" s="4">
        <v>0</v>
      </c>
      <c r="J316" s="3">
        <v>0</v>
      </c>
      <c r="K316" s="4">
        <v>209</v>
      </c>
      <c r="L316" s="2">
        <v>293.24</v>
      </c>
      <c r="M316" s="2">
        <v>55.05</v>
      </c>
      <c r="N316" s="2">
        <v>60.47</v>
      </c>
      <c r="O316" s="2">
        <v>29.39</v>
      </c>
      <c r="P316" s="2">
        <v>3.2</v>
      </c>
      <c r="Q316" s="4">
        <v>66093</v>
      </c>
      <c r="R316" s="4">
        <v>3529</v>
      </c>
      <c r="S316" s="4">
        <v>69622</v>
      </c>
      <c r="T316" s="4">
        <v>11505</v>
      </c>
      <c r="U316" s="4">
        <v>12638</v>
      </c>
      <c r="V316" s="4">
        <v>0</v>
      </c>
      <c r="W316" s="4">
        <v>6976</v>
      </c>
      <c r="X316" s="4">
        <v>758</v>
      </c>
      <c r="Y316" s="4">
        <v>101499</v>
      </c>
      <c r="Z316" s="4">
        <v>10949</v>
      </c>
      <c r="AA316" s="4">
        <v>90550</v>
      </c>
      <c r="AB316" s="4">
        <v>49301</v>
      </c>
      <c r="AC316" s="4">
        <v>41249</v>
      </c>
    </row>
    <row r="317" spans="1:29" x14ac:dyDescent="0.25">
      <c r="A317" s="1" t="s">
        <v>312</v>
      </c>
      <c r="B317" s="1" t="s">
        <v>749</v>
      </c>
      <c r="C317" s="1" t="s">
        <v>330</v>
      </c>
      <c r="D317" s="1" t="s">
        <v>723</v>
      </c>
      <c r="E317" s="2">
        <v>22.56</v>
      </c>
      <c r="F317" s="3">
        <v>209.9</v>
      </c>
      <c r="G317" s="2">
        <v>232.46</v>
      </c>
      <c r="H317" s="2">
        <v>0</v>
      </c>
      <c r="I317" s="4">
        <v>0</v>
      </c>
      <c r="J317" s="3">
        <v>0</v>
      </c>
      <c r="K317" s="4">
        <v>210</v>
      </c>
      <c r="L317" s="2">
        <v>293.24</v>
      </c>
      <c r="M317" s="2">
        <v>55.05</v>
      </c>
      <c r="N317" s="2">
        <v>60.47</v>
      </c>
      <c r="O317" s="2">
        <v>29.39</v>
      </c>
      <c r="P317" s="2">
        <v>3.2</v>
      </c>
      <c r="Q317" s="4">
        <v>68167</v>
      </c>
      <c r="R317" s="4">
        <v>2808</v>
      </c>
      <c r="S317" s="4">
        <v>70975</v>
      </c>
      <c r="T317" s="4">
        <v>11561</v>
      </c>
      <c r="U317" s="4">
        <v>12699</v>
      </c>
      <c r="V317" s="4">
        <v>0</v>
      </c>
      <c r="W317" s="4">
        <v>7112</v>
      </c>
      <c r="X317" s="4">
        <v>773</v>
      </c>
      <c r="Y317" s="4">
        <v>103120</v>
      </c>
      <c r="Z317" s="4">
        <v>12939</v>
      </c>
      <c r="AA317" s="4">
        <v>90181</v>
      </c>
      <c r="AB317" s="4">
        <v>49109</v>
      </c>
      <c r="AC317" s="4">
        <v>41072</v>
      </c>
    </row>
    <row r="318" spans="1:29" x14ac:dyDescent="0.25">
      <c r="A318" s="1" t="s">
        <v>312</v>
      </c>
      <c r="B318" s="1" t="s">
        <v>749</v>
      </c>
      <c r="C318" s="1" t="s">
        <v>331</v>
      </c>
      <c r="D318" s="1" t="s">
        <v>724</v>
      </c>
      <c r="E318" s="2">
        <v>260.81</v>
      </c>
      <c r="F318" s="3">
        <v>1933.3</v>
      </c>
      <c r="G318" s="2">
        <v>2194.11</v>
      </c>
      <c r="H318" s="2">
        <v>0</v>
      </c>
      <c r="I318" s="4">
        <v>5</v>
      </c>
      <c r="J318" s="3">
        <v>0</v>
      </c>
      <c r="K318" s="4">
        <v>1938</v>
      </c>
      <c r="L318" s="2">
        <v>293.24</v>
      </c>
      <c r="M318" s="2">
        <v>55.05</v>
      </c>
      <c r="N318" s="2">
        <v>60.47</v>
      </c>
      <c r="O318" s="2">
        <v>29.39</v>
      </c>
      <c r="P318" s="2">
        <v>3.2</v>
      </c>
      <c r="Q318" s="4">
        <v>643401</v>
      </c>
      <c r="R318" s="4">
        <v>5003</v>
      </c>
      <c r="S318" s="4">
        <v>648404</v>
      </c>
      <c r="T318" s="4">
        <v>106687</v>
      </c>
      <c r="U318" s="4">
        <v>117191</v>
      </c>
      <c r="V318" s="4">
        <v>0</v>
      </c>
      <c r="W318" s="4">
        <v>64485</v>
      </c>
      <c r="X318" s="4">
        <v>7021</v>
      </c>
      <c r="Y318" s="4">
        <v>943788</v>
      </c>
      <c r="Z318" s="4">
        <v>93333</v>
      </c>
      <c r="AA318" s="4">
        <v>850455</v>
      </c>
      <c r="AB318" s="4">
        <v>489401</v>
      </c>
      <c r="AC318" s="4">
        <v>361054</v>
      </c>
    </row>
    <row r="319" spans="1:29" x14ac:dyDescent="0.25">
      <c r="A319" s="1" t="s">
        <v>312</v>
      </c>
      <c r="B319" s="1" t="s">
        <v>749</v>
      </c>
      <c r="C319" s="1" t="s">
        <v>332</v>
      </c>
      <c r="D319" s="1" t="s">
        <v>725</v>
      </c>
      <c r="E319" s="2">
        <v>50.15</v>
      </c>
      <c r="F319" s="3">
        <v>501.6</v>
      </c>
      <c r="G319" s="2">
        <v>551.75</v>
      </c>
      <c r="H319" s="2">
        <v>0</v>
      </c>
      <c r="I319" s="4">
        <v>2</v>
      </c>
      <c r="J319" s="3">
        <v>0</v>
      </c>
      <c r="K319" s="4">
        <v>504</v>
      </c>
      <c r="L319" s="2">
        <v>293.24</v>
      </c>
      <c r="M319" s="2">
        <v>55.05</v>
      </c>
      <c r="N319" s="2">
        <v>60.47</v>
      </c>
      <c r="O319" s="2">
        <v>29.39</v>
      </c>
      <c r="P319" s="2">
        <v>3.2</v>
      </c>
      <c r="Q319" s="4">
        <v>161795</v>
      </c>
      <c r="R319" s="4">
        <v>5578</v>
      </c>
      <c r="S319" s="4">
        <v>167373</v>
      </c>
      <c r="T319" s="4">
        <v>27745</v>
      </c>
      <c r="U319" s="4">
        <v>30477</v>
      </c>
      <c r="V319" s="4">
        <v>0</v>
      </c>
      <c r="W319" s="4">
        <v>16216</v>
      </c>
      <c r="X319" s="4">
        <v>1766</v>
      </c>
      <c r="Y319" s="4">
        <v>243577</v>
      </c>
      <c r="Z319" s="4">
        <v>25009</v>
      </c>
      <c r="AA319" s="4">
        <v>218568</v>
      </c>
      <c r="AB319" s="4">
        <v>121531</v>
      </c>
      <c r="AC319" s="4">
        <v>97037</v>
      </c>
    </row>
    <row r="320" spans="1:29" x14ac:dyDescent="0.25">
      <c r="A320" s="1" t="s">
        <v>312</v>
      </c>
      <c r="B320" s="1" t="s">
        <v>749</v>
      </c>
      <c r="C320" s="1" t="s">
        <v>333</v>
      </c>
      <c r="D320" s="1" t="s">
        <v>726</v>
      </c>
      <c r="E320" s="2">
        <v>66.33</v>
      </c>
      <c r="F320" s="3">
        <v>468.3</v>
      </c>
      <c r="G320" s="2">
        <v>534.63</v>
      </c>
      <c r="H320" s="2">
        <v>0</v>
      </c>
      <c r="I320" s="4">
        <v>30</v>
      </c>
      <c r="J320" s="3">
        <v>0</v>
      </c>
      <c r="K320" s="4">
        <v>498</v>
      </c>
      <c r="L320" s="2">
        <v>293.24</v>
      </c>
      <c r="M320" s="2">
        <v>55.05</v>
      </c>
      <c r="N320" s="2">
        <v>60.47</v>
      </c>
      <c r="O320" s="2">
        <v>29.39</v>
      </c>
      <c r="P320" s="2">
        <v>3.2</v>
      </c>
      <c r="Q320" s="4">
        <v>156775</v>
      </c>
      <c r="R320" s="4">
        <v>12734</v>
      </c>
      <c r="S320" s="4">
        <v>169509</v>
      </c>
      <c r="T320" s="4">
        <v>27415</v>
      </c>
      <c r="U320" s="4">
        <v>30114</v>
      </c>
      <c r="V320" s="4">
        <v>0</v>
      </c>
      <c r="W320" s="4">
        <v>16985</v>
      </c>
      <c r="X320" s="4">
        <v>1845</v>
      </c>
      <c r="Y320" s="4">
        <v>245868</v>
      </c>
      <c r="Z320" s="4">
        <v>25355</v>
      </c>
      <c r="AA320" s="4">
        <v>220513</v>
      </c>
      <c r="AB320" s="4">
        <v>118044</v>
      </c>
      <c r="AC320" s="4">
        <v>102469</v>
      </c>
    </row>
    <row r="321" spans="1:29" x14ac:dyDescent="0.25">
      <c r="A321" s="1" t="s">
        <v>312</v>
      </c>
      <c r="B321" s="1" t="s">
        <v>749</v>
      </c>
      <c r="C321" s="1" t="s">
        <v>334</v>
      </c>
      <c r="D321" s="1" t="s">
        <v>727</v>
      </c>
      <c r="E321" s="2">
        <v>297.45</v>
      </c>
      <c r="F321" s="3">
        <v>2361.3000000000002</v>
      </c>
      <c r="G321" s="2">
        <v>2658.75</v>
      </c>
      <c r="H321" s="2">
        <v>0</v>
      </c>
      <c r="I321" s="4">
        <v>178</v>
      </c>
      <c r="J321" s="3">
        <v>0</v>
      </c>
      <c r="K321" s="4">
        <v>2539</v>
      </c>
      <c r="L321" s="2">
        <v>293.24</v>
      </c>
      <c r="M321" s="2">
        <v>55.05</v>
      </c>
      <c r="N321" s="2">
        <v>60.47</v>
      </c>
      <c r="O321" s="2">
        <v>29.39</v>
      </c>
      <c r="P321" s="2">
        <v>3.2</v>
      </c>
      <c r="Q321" s="4">
        <v>779652</v>
      </c>
      <c r="R321" s="4">
        <v>0</v>
      </c>
      <c r="S321" s="4">
        <v>779652</v>
      </c>
      <c r="T321" s="4">
        <v>139772</v>
      </c>
      <c r="U321" s="4">
        <v>153533</v>
      </c>
      <c r="V321" s="4">
        <v>0</v>
      </c>
      <c r="W321" s="4">
        <v>78141</v>
      </c>
      <c r="X321" s="4">
        <v>8508</v>
      </c>
      <c r="Y321" s="4">
        <v>1159606</v>
      </c>
      <c r="Z321" s="4">
        <v>115216</v>
      </c>
      <c r="AA321" s="4">
        <v>1044390</v>
      </c>
      <c r="AB321" s="4">
        <v>590922</v>
      </c>
      <c r="AC321" s="4">
        <v>453468</v>
      </c>
    </row>
    <row r="322" spans="1:29" x14ac:dyDescent="0.25">
      <c r="A322" s="1" t="s">
        <v>312</v>
      </c>
      <c r="B322" s="1" t="s">
        <v>749</v>
      </c>
      <c r="C322" s="1" t="s">
        <v>335</v>
      </c>
      <c r="D322" s="1" t="s">
        <v>728</v>
      </c>
      <c r="E322" s="2">
        <v>516.1</v>
      </c>
      <c r="F322" s="3">
        <v>4612.2</v>
      </c>
      <c r="G322" s="2">
        <v>5128.3</v>
      </c>
      <c r="H322" s="2">
        <v>0</v>
      </c>
      <c r="I322" s="4">
        <v>149</v>
      </c>
      <c r="J322" s="3">
        <v>1.7</v>
      </c>
      <c r="K322" s="4">
        <v>4760</v>
      </c>
      <c r="L322" s="2">
        <v>293.24</v>
      </c>
      <c r="M322" s="2">
        <v>55.05</v>
      </c>
      <c r="N322" s="2">
        <v>60.47</v>
      </c>
      <c r="O322" s="2">
        <v>29.39</v>
      </c>
      <c r="P322" s="2">
        <v>3.2</v>
      </c>
      <c r="Q322" s="4">
        <v>1503823</v>
      </c>
      <c r="R322" s="4">
        <v>0</v>
      </c>
      <c r="S322" s="4">
        <v>1503823</v>
      </c>
      <c r="T322" s="4">
        <v>262038</v>
      </c>
      <c r="U322" s="4">
        <v>287837</v>
      </c>
      <c r="V322" s="4">
        <v>0</v>
      </c>
      <c r="W322" s="4">
        <v>150721</v>
      </c>
      <c r="X322" s="4">
        <v>16411</v>
      </c>
      <c r="Y322" s="4">
        <v>2220830</v>
      </c>
      <c r="Z322" s="4">
        <v>217386</v>
      </c>
      <c r="AA322" s="4">
        <v>2003444</v>
      </c>
      <c r="AB322" s="4">
        <v>1144640</v>
      </c>
      <c r="AC322" s="4">
        <v>858804</v>
      </c>
    </row>
    <row r="323" spans="1:29" x14ac:dyDescent="0.25">
      <c r="A323" s="1" t="s">
        <v>312</v>
      </c>
      <c r="B323" s="1" t="s">
        <v>749</v>
      </c>
      <c r="C323" s="1" t="s">
        <v>336</v>
      </c>
      <c r="D323" s="1" t="s">
        <v>729</v>
      </c>
      <c r="E323" s="2">
        <v>56.12</v>
      </c>
      <c r="F323" s="3">
        <v>600.1</v>
      </c>
      <c r="G323" s="2">
        <v>656.22</v>
      </c>
      <c r="H323" s="2">
        <v>0</v>
      </c>
      <c r="I323" s="4">
        <v>4</v>
      </c>
      <c r="J323" s="3">
        <v>0</v>
      </c>
      <c r="K323" s="4">
        <v>604</v>
      </c>
      <c r="L323" s="2">
        <v>293.24</v>
      </c>
      <c r="M323" s="2">
        <v>55.05</v>
      </c>
      <c r="N323" s="2">
        <v>60.47</v>
      </c>
      <c r="O323" s="2">
        <v>29.39</v>
      </c>
      <c r="P323" s="2">
        <v>3.2</v>
      </c>
      <c r="Q323" s="4">
        <v>192430</v>
      </c>
      <c r="R323" s="4">
        <v>10176</v>
      </c>
      <c r="S323" s="4">
        <v>202606</v>
      </c>
      <c r="T323" s="4">
        <v>33250</v>
      </c>
      <c r="U323" s="4">
        <v>36524</v>
      </c>
      <c r="V323" s="4">
        <v>0</v>
      </c>
      <c r="W323" s="4">
        <v>19907</v>
      </c>
      <c r="X323" s="4">
        <v>2162</v>
      </c>
      <c r="Y323" s="4">
        <v>294449</v>
      </c>
      <c r="Z323" s="4">
        <v>33180</v>
      </c>
      <c r="AA323" s="4">
        <v>261269</v>
      </c>
      <c r="AB323" s="4">
        <v>141788</v>
      </c>
      <c r="AC323" s="4">
        <v>119481</v>
      </c>
    </row>
    <row r="324" spans="1:29" x14ac:dyDescent="0.25">
      <c r="A324" s="1" t="s">
        <v>312</v>
      </c>
      <c r="B324" s="1" t="s">
        <v>749</v>
      </c>
      <c r="C324" s="1" t="s">
        <v>337</v>
      </c>
      <c r="D324" s="1" t="s">
        <v>730</v>
      </c>
      <c r="E324" s="2">
        <v>27.63</v>
      </c>
      <c r="F324" s="3">
        <v>280.10000000000002</v>
      </c>
      <c r="G324" s="2">
        <v>307.73</v>
      </c>
      <c r="H324" s="2">
        <v>0</v>
      </c>
      <c r="I324" s="4">
        <v>0</v>
      </c>
      <c r="J324" s="3">
        <v>0</v>
      </c>
      <c r="K324" s="4">
        <v>280</v>
      </c>
      <c r="L324" s="2">
        <v>293.24</v>
      </c>
      <c r="M324" s="2">
        <v>55.05</v>
      </c>
      <c r="N324" s="2">
        <v>60.47</v>
      </c>
      <c r="O324" s="2">
        <v>29.39</v>
      </c>
      <c r="P324" s="2">
        <v>3.2</v>
      </c>
      <c r="Q324" s="4">
        <v>90239</v>
      </c>
      <c r="R324" s="4">
        <v>2660</v>
      </c>
      <c r="S324" s="4">
        <v>92899</v>
      </c>
      <c r="T324" s="4">
        <v>15414</v>
      </c>
      <c r="U324" s="4">
        <v>16932</v>
      </c>
      <c r="V324" s="4">
        <v>0</v>
      </c>
      <c r="W324" s="4">
        <v>9309</v>
      </c>
      <c r="X324" s="4">
        <v>1011</v>
      </c>
      <c r="Y324" s="4">
        <v>135565</v>
      </c>
      <c r="Z324" s="4">
        <v>16442</v>
      </c>
      <c r="AA324" s="4">
        <v>119123</v>
      </c>
      <c r="AB324" s="4">
        <v>65579</v>
      </c>
      <c r="AC324" s="4">
        <v>53544</v>
      </c>
    </row>
    <row r="325" spans="1:29" x14ac:dyDescent="0.25">
      <c r="A325" s="1" t="s">
        <v>312</v>
      </c>
      <c r="B325" s="1" t="s">
        <v>749</v>
      </c>
      <c r="C325" s="1" t="s">
        <v>338</v>
      </c>
      <c r="D325" s="1" t="s">
        <v>731</v>
      </c>
      <c r="E325" s="2">
        <v>62.91</v>
      </c>
      <c r="F325" s="3">
        <v>548.6</v>
      </c>
      <c r="G325" s="2">
        <v>611.51</v>
      </c>
      <c r="H325" s="2">
        <v>0</v>
      </c>
      <c r="I325" s="4">
        <v>0</v>
      </c>
      <c r="J325" s="3">
        <v>0</v>
      </c>
      <c r="K325" s="4">
        <v>549</v>
      </c>
      <c r="L325" s="2">
        <v>293.24</v>
      </c>
      <c r="M325" s="2">
        <v>55.05</v>
      </c>
      <c r="N325" s="2">
        <v>60.47</v>
      </c>
      <c r="O325" s="2">
        <v>29.39</v>
      </c>
      <c r="P325" s="2">
        <v>3.2</v>
      </c>
      <c r="Q325" s="4">
        <v>179319</v>
      </c>
      <c r="R325" s="4">
        <v>0</v>
      </c>
      <c r="S325" s="4">
        <v>179319</v>
      </c>
      <c r="T325" s="4">
        <v>30222</v>
      </c>
      <c r="U325" s="4">
        <v>33198</v>
      </c>
      <c r="V325" s="4">
        <v>0</v>
      </c>
      <c r="W325" s="4">
        <v>17972</v>
      </c>
      <c r="X325" s="4">
        <v>1957</v>
      </c>
      <c r="Y325" s="4">
        <v>262668</v>
      </c>
      <c r="Z325" s="4">
        <v>32703</v>
      </c>
      <c r="AA325" s="4">
        <v>229965</v>
      </c>
      <c r="AB325" s="4">
        <v>129708</v>
      </c>
      <c r="AC325" s="4">
        <v>100257</v>
      </c>
    </row>
    <row r="326" spans="1:29" x14ac:dyDescent="0.25">
      <c r="A326" s="1" t="s">
        <v>312</v>
      </c>
      <c r="B326" s="1" t="s">
        <v>749</v>
      </c>
      <c r="C326" s="1" t="s">
        <v>339</v>
      </c>
      <c r="D326" s="1" t="s">
        <v>732</v>
      </c>
      <c r="E326" s="2">
        <v>36.04</v>
      </c>
      <c r="F326" s="3">
        <v>275.39999999999998</v>
      </c>
      <c r="G326" s="2">
        <v>311.44</v>
      </c>
      <c r="H326" s="2">
        <v>0</v>
      </c>
      <c r="I326" s="4">
        <v>3</v>
      </c>
      <c r="J326" s="3">
        <v>0</v>
      </c>
      <c r="K326" s="4">
        <v>278</v>
      </c>
      <c r="L326" s="2">
        <v>293.24</v>
      </c>
      <c r="M326" s="2">
        <v>55.05</v>
      </c>
      <c r="N326" s="2">
        <v>60.47</v>
      </c>
      <c r="O326" s="2">
        <v>29.39</v>
      </c>
      <c r="P326" s="2">
        <v>3.2</v>
      </c>
      <c r="Q326" s="4">
        <v>91327</v>
      </c>
      <c r="R326" s="4">
        <v>2730</v>
      </c>
      <c r="S326" s="4">
        <v>94057</v>
      </c>
      <c r="T326" s="4">
        <v>15304</v>
      </c>
      <c r="U326" s="4">
        <v>16811</v>
      </c>
      <c r="V326" s="4">
        <v>0</v>
      </c>
      <c r="W326" s="4">
        <v>9332</v>
      </c>
      <c r="X326" s="4">
        <v>1014</v>
      </c>
      <c r="Y326" s="4">
        <v>136518</v>
      </c>
      <c r="Z326" s="4">
        <v>17232</v>
      </c>
      <c r="AA326" s="4">
        <v>119286</v>
      </c>
      <c r="AB326" s="4">
        <v>65680</v>
      </c>
      <c r="AC326" s="4">
        <v>53606</v>
      </c>
    </row>
    <row r="327" spans="1:29" x14ac:dyDescent="0.25">
      <c r="A327" s="1" t="s">
        <v>312</v>
      </c>
      <c r="B327" s="1" t="s">
        <v>749</v>
      </c>
      <c r="C327" s="1" t="s">
        <v>340</v>
      </c>
      <c r="D327" s="1" t="s">
        <v>733</v>
      </c>
      <c r="E327" s="2">
        <v>74.2</v>
      </c>
      <c r="F327" s="3">
        <v>637.5</v>
      </c>
      <c r="G327" s="2">
        <v>711.7</v>
      </c>
      <c r="H327" s="2">
        <v>0</v>
      </c>
      <c r="I327" s="4">
        <v>0</v>
      </c>
      <c r="J327" s="3">
        <v>0</v>
      </c>
      <c r="K327" s="4">
        <v>638</v>
      </c>
      <c r="L327" s="2">
        <v>293.24</v>
      </c>
      <c r="M327" s="2">
        <v>55.05</v>
      </c>
      <c r="N327" s="2">
        <v>60.47</v>
      </c>
      <c r="O327" s="2">
        <v>29.39</v>
      </c>
      <c r="P327" s="2">
        <v>3.2</v>
      </c>
      <c r="Q327" s="4">
        <v>208699</v>
      </c>
      <c r="R327" s="4">
        <v>8060</v>
      </c>
      <c r="S327" s="4">
        <v>216759</v>
      </c>
      <c r="T327" s="4">
        <v>35122</v>
      </c>
      <c r="U327" s="4">
        <v>38580</v>
      </c>
      <c r="V327" s="4">
        <v>0</v>
      </c>
      <c r="W327" s="4">
        <v>20917</v>
      </c>
      <c r="X327" s="4">
        <v>2277</v>
      </c>
      <c r="Y327" s="4">
        <v>313655</v>
      </c>
      <c r="Z327" s="4">
        <v>38342</v>
      </c>
      <c r="AA327" s="4">
        <v>275313</v>
      </c>
      <c r="AB327" s="4">
        <v>150678</v>
      </c>
      <c r="AC327" s="4">
        <v>124635</v>
      </c>
    </row>
    <row r="328" spans="1:29" x14ac:dyDescent="0.25">
      <c r="A328" s="1" t="s">
        <v>312</v>
      </c>
      <c r="B328" s="1" t="s">
        <v>749</v>
      </c>
      <c r="C328" s="1" t="s">
        <v>341</v>
      </c>
      <c r="D328" s="1" t="s">
        <v>734</v>
      </c>
      <c r="E328" s="2">
        <v>64.180000000000007</v>
      </c>
      <c r="F328" s="3">
        <v>479.9</v>
      </c>
      <c r="G328" s="2">
        <v>544.08000000000004</v>
      </c>
      <c r="H328" s="2">
        <v>0</v>
      </c>
      <c r="I328" s="4">
        <v>2</v>
      </c>
      <c r="J328" s="3">
        <v>0</v>
      </c>
      <c r="K328" s="4">
        <v>482</v>
      </c>
      <c r="L328" s="2">
        <v>293.24</v>
      </c>
      <c r="M328" s="2">
        <v>55.05</v>
      </c>
      <c r="N328" s="2">
        <v>60.47</v>
      </c>
      <c r="O328" s="2">
        <v>29.39</v>
      </c>
      <c r="P328" s="2">
        <v>3.2</v>
      </c>
      <c r="Q328" s="4">
        <v>159546</v>
      </c>
      <c r="R328" s="4">
        <v>0</v>
      </c>
      <c r="S328" s="4">
        <v>159546</v>
      </c>
      <c r="T328" s="4">
        <v>26534</v>
      </c>
      <c r="U328" s="4">
        <v>29147</v>
      </c>
      <c r="V328" s="4">
        <v>0</v>
      </c>
      <c r="W328" s="4">
        <v>15991</v>
      </c>
      <c r="X328" s="4">
        <v>1741</v>
      </c>
      <c r="Y328" s="4">
        <v>232959</v>
      </c>
      <c r="Z328" s="4">
        <v>26545</v>
      </c>
      <c r="AA328" s="4">
        <v>206414</v>
      </c>
      <c r="AB328" s="4">
        <v>117958</v>
      </c>
      <c r="AC328" s="4">
        <v>88456</v>
      </c>
    </row>
    <row r="329" spans="1:29" x14ac:dyDescent="0.25">
      <c r="A329" s="1" t="s">
        <v>312</v>
      </c>
      <c r="B329" s="1" t="s">
        <v>749</v>
      </c>
      <c r="C329" s="1" t="s">
        <v>342</v>
      </c>
      <c r="D329" s="1" t="s">
        <v>735</v>
      </c>
      <c r="E329" s="2">
        <v>98.23</v>
      </c>
      <c r="F329" s="3">
        <v>618.20000000000005</v>
      </c>
      <c r="G329" s="2">
        <v>716.43</v>
      </c>
      <c r="H329" s="2">
        <v>0</v>
      </c>
      <c r="I329" s="4">
        <v>0</v>
      </c>
      <c r="J329" s="3">
        <v>0</v>
      </c>
      <c r="K329" s="4">
        <v>618</v>
      </c>
      <c r="L329" s="2">
        <v>293.24</v>
      </c>
      <c r="M329" s="2">
        <v>55.05</v>
      </c>
      <c r="N329" s="2">
        <v>60.47</v>
      </c>
      <c r="O329" s="2">
        <v>29.39</v>
      </c>
      <c r="P329" s="2">
        <v>3.2</v>
      </c>
      <c r="Q329" s="4">
        <v>210086</v>
      </c>
      <c r="R329" s="4">
        <v>18920</v>
      </c>
      <c r="S329" s="4">
        <v>229006</v>
      </c>
      <c r="T329" s="4">
        <v>34021</v>
      </c>
      <c r="U329" s="4">
        <v>37370</v>
      </c>
      <c r="V329" s="4">
        <v>0</v>
      </c>
      <c r="W329" s="4">
        <v>21662</v>
      </c>
      <c r="X329" s="4">
        <v>2353</v>
      </c>
      <c r="Y329" s="4">
        <v>324412</v>
      </c>
      <c r="Z329" s="4">
        <v>34892</v>
      </c>
      <c r="AA329" s="4">
        <v>289520</v>
      </c>
      <c r="AB329" s="4">
        <v>156051</v>
      </c>
      <c r="AC329" s="4">
        <v>133469</v>
      </c>
    </row>
    <row r="330" spans="1:29" x14ac:dyDescent="0.25">
      <c r="A330" s="1" t="s">
        <v>312</v>
      </c>
      <c r="B330" s="1" t="s">
        <v>749</v>
      </c>
      <c r="C330" s="1" t="s">
        <v>343</v>
      </c>
      <c r="D330" s="1" t="s">
        <v>736</v>
      </c>
      <c r="E330" s="2">
        <v>62.18</v>
      </c>
      <c r="F330" s="3">
        <v>575.6</v>
      </c>
      <c r="G330" s="2">
        <v>637.78</v>
      </c>
      <c r="H330" s="2">
        <v>0</v>
      </c>
      <c r="I330" s="4">
        <v>0</v>
      </c>
      <c r="J330" s="3">
        <v>0</v>
      </c>
      <c r="K330" s="4">
        <v>576</v>
      </c>
      <c r="L330" s="2">
        <v>293.24</v>
      </c>
      <c r="M330" s="2">
        <v>55.05</v>
      </c>
      <c r="N330" s="2">
        <v>60.47</v>
      </c>
      <c r="O330" s="2">
        <v>29.39</v>
      </c>
      <c r="P330" s="2">
        <v>3.2</v>
      </c>
      <c r="Q330" s="4">
        <v>187023</v>
      </c>
      <c r="R330" s="4">
        <v>229</v>
      </c>
      <c r="S330" s="4">
        <v>187252</v>
      </c>
      <c r="T330" s="4">
        <v>31709</v>
      </c>
      <c r="U330" s="4">
        <v>34831</v>
      </c>
      <c r="V330" s="4">
        <v>0</v>
      </c>
      <c r="W330" s="4">
        <v>18744</v>
      </c>
      <c r="X330" s="4">
        <v>2041</v>
      </c>
      <c r="Y330" s="4">
        <v>274577</v>
      </c>
      <c r="Z330" s="4">
        <v>35052</v>
      </c>
      <c r="AA330" s="4">
        <v>239525</v>
      </c>
      <c r="AB330" s="4">
        <v>134336</v>
      </c>
      <c r="AC330" s="4">
        <v>105189</v>
      </c>
    </row>
    <row r="331" spans="1:29" x14ac:dyDescent="0.25">
      <c r="A331" s="1" t="s">
        <v>312</v>
      </c>
      <c r="B331" s="1" t="s">
        <v>749</v>
      </c>
      <c r="C331" s="1" t="s">
        <v>344</v>
      </c>
      <c r="D331" s="1" t="s">
        <v>737</v>
      </c>
      <c r="E331" s="2">
        <v>59.72</v>
      </c>
      <c r="F331" s="3">
        <v>465.2</v>
      </c>
      <c r="G331" s="2">
        <v>524.91999999999996</v>
      </c>
      <c r="H331" s="2">
        <v>0</v>
      </c>
      <c r="I331" s="4">
        <v>8</v>
      </c>
      <c r="J331" s="3">
        <v>0</v>
      </c>
      <c r="K331" s="4">
        <v>473</v>
      </c>
      <c r="L331" s="2">
        <v>293.24</v>
      </c>
      <c r="M331" s="2">
        <v>55.05</v>
      </c>
      <c r="N331" s="2">
        <v>60.47</v>
      </c>
      <c r="O331" s="2">
        <v>29.39</v>
      </c>
      <c r="P331" s="2">
        <v>3.2</v>
      </c>
      <c r="Q331" s="4">
        <v>153928</v>
      </c>
      <c r="R331" s="4">
        <v>0</v>
      </c>
      <c r="S331" s="4">
        <v>153928</v>
      </c>
      <c r="T331" s="4">
        <v>26039</v>
      </c>
      <c r="U331" s="4">
        <v>28602</v>
      </c>
      <c r="V331" s="4">
        <v>0</v>
      </c>
      <c r="W331" s="4">
        <v>15427</v>
      </c>
      <c r="X331" s="4">
        <v>1680</v>
      </c>
      <c r="Y331" s="4">
        <v>225676</v>
      </c>
      <c r="Z331" s="4">
        <v>21967</v>
      </c>
      <c r="AA331" s="4">
        <v>203709</v>
      </c>
      <c r="AB331" s="4">
        <v>117446</v>
      </c>
      <c r="AC331" s="4">
        <v>86263</v>
      </c>
    </row>
    <row r="332" spans="1:29" x14ac:dyDescent="0.25">
      <c r="A332" s="1" t="s">
        <v>312</v>
      </c>
      <c r="B332" s="1" t="s">
        <v>749</v>
      </c>
      <c r="C332" s="1" t="s">
        <v>345</v>
      </c>
      <c r="D332" s="1" t="s">
        <v>738</v>
      </c>
      <c r="E332" s="2">
        <v>38.119999999999997</v>
      </c>
      <c r="F332" s="3">
        <v>339.3</v>
      </c>
      <c r="G332" s="2">
        <v>377.42</v>
      </c>
      <c r="H332" s="2">
        <v>0</v>
      </c>
      <c r="I332" s="4">
        <v>0</v>
      </c>
      <c r="J332" s="3">
        <v>0</v>
      </c>
      <c r="K332" s="4">
        <v>339</v>
      </c>
      <c r="L332" s="2">
        <v>293.24</v>
      </c>
      <c r="M332" s="2">
        <v>55.05</v>
      </c>
      <c r="N332" s="2">
        <v>60.47</v>
      </c>
      <c r="O332" s="2">
        <v>29.39</v>
      </c>
      <c r="P332" s="2">
        <v>3.2</v>
      </c>
      <c r="Q332" s="4">
        <v>110675</v>
      </c>
      <c r="R332" s="4">
        <v>5053</v>
      </c>
      <c r="S332" s="4">
        <v>115728</v>
      </c>
      <c r="T332" s="4">
        <v>18662</v>
      </c>
      <c r="U332" s="4">
        <v>20499</v>
      </c>
      <c r="V332" s="4">
        <v>0</v>
      </c>
      <c r="W332" s="4">
        <v>11321</v>
      </c>
      <c r="X332" s="4">
        <v>1230</v>
      </c>
      <c r="Y332" s="4">
        <v>167440</v>
      </c>
      <c r="Z332" s="4">
        <v>18261</v>
      </c>
      <c r="AA332" s="4">
        <v>149179</v>
      </c>
      <c r="AB332" s="4">
        <v>82229</v>
      </c>
      <c r="AC332" s="4">
        <v>66950</v>
      </c>
    </row>
  </sheetData>
  <sheetProtection sheet="1" objects="1" scenarios="1"/>
  <pageMargins left="0.7" right="0.7" top="0.75" bottom="0.75" header="0.3" footer="0.3"/>
  <pageSetup paperSize="5" scale="38"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38"/>
  <sheetViews>
    <sheetView workbookViewId="0">
      <selection activeCell="B1" sqref="B1:B3"/>
    </sheetView>
  </sheetViews>
  <sheetFormatPr defaultRowHeight="12.75" x14ac:dyDescent="0.2"/>
  <cols>
    <col min="1" max="1" width="8.42578125" style="20" bestFit="1" customWidth="1"/>
    <col min="2" max="2" width="31.140625" style="20" customWidth="1"/>
    <col min="3" max="3" width="11.28515625" style="20" customWidth="1"/>
    <col min="4" max="4" width="9.7109375" style="20" bestFit="1" customWidth="1"/>
    <col min="5" max="5" width="9.85546875" style="20" customWidth="1"/>
    <col min="6" max="6" width="13.140625" style="20" bestFit="1" customWidth="1"/>
    <col min="7" max="7" width="9.42578125" style="20" bestFit="1" customWidth="1"/>
    <col min="8" max="8" width="10.85546875" style="20" customWidth="1"/>
    <col min="9" max="9" width="11.42578125" style="20" bestFit="1" customWidth="1"/>
    <col min="10" max="10" width="10.85546875" style="20" customWidth="1"/>
    <col min="11" max="11" width="10.28515625" style="20" bestFit="1" customWidth="1"/>
    <col min="12" max="12" width="10.85546875" style="20" customWidth="1"/>
    <col min="13" max="14" width="9.85546875" style="20" customWidth="1"/>
    <col min="15" max="15" width="6.7109375" style="20" bestFit="1" customWidth="1"/>
    <col min="16" max="16" width="10.5703125" style="20" bestFit="1" customWidth="1"/>
    <col min="17" max="17" width="11.7109375" style="20" bestFit="1" customWidth="1"/>
    <col min="18" max="18" width="10.85546875" style="20" customWidth="1"/>
    <col min="19" max="19" width="9.85546875" style="20" customWidth="1"/>
    <col min="20" max="20" width="10.85546875" style="20" bestFit="1" customWidth="1"/>
    <col min="21" max="21" width="10.85546875" style="20" customWidth="1"/>
    <col min="22" max="22" width="11" style="20" bestFit="1" customWidth="1"/>
    <col min="23" max="333" width="16.28515625" style="20" bestFit="1" customWidth="1"/>
    <col min="334" max="334" width="11.28515625" style="20" bestFit="1" customWidth="1"/>
    <col min="335" max="16384" width="9.140625" style="20"/>
  </cols>
  <sheetData>
    <row r="1" spans="1:22" ht="15.75" customHeight="1" x14ac:dyDescent="0.2">
      <c r="B1" s="31" t="str">
        <f>CONCATENATE(INDEX(Detail[],MATCH(A5,Detail[Dist],0),2)," Detail by School District")</f>
        <v>Central Rivers Detail by School District</v>
      </c>
    </row>
    <row r="2" spans="1:22" ht="15.75" customHeight="1" x14ac:dyDescent="0.2">
      <c r="B2" s="31"/>
    </row>
    <row r="3" spans="1:22" ht="16.5" customHeight="1" x14ac:dyDescent="0.2">
      <c r="B3" s="31"/>
    </row>
    <row r="4" spans="1:22" s="21" customFormat="1" ht="63.75" x14ac:dyDescent="0.2">
      <c r="A4" s="22" t="s">
        <v>740</v>
      </c>
      <c r="B4" s="22" t="s">
        <v>370</v>
      </c>
      <c r="C4" s="23" t="s">
        <v>395</v>
      </c>
      <c r="D4" s="23" t="s">
        <v>396</v>
      </c>
      <c r="E4" s="23" t="s">
        <v>397</v>
      </c>
      <c r="F4" s="23" t="s">
        <v>398</v>
      </c>
      <c r="G4" s="23" t="s">
        <v>399</v>
      </c>
      <c r="H4" s="23" t="s">
        <v>400</v>
      </c>
      <c r="I4" s="23" t="s">
        <v>402</v>
      </c>
      <c r="J4" s="23" t="s">
        <v>403</v>
      </c>
      <c r="K4" s="23" t="s">
        <v>404</v>
      </c>
      <c r="L4" s="23" t="s">
        <v>405</v>
      </c>
      <c r="M4" s="23" t="s">
        <v>406</v>
      </c>
      <c r="N4" s="23" t="s">
        <v>407</v>
      </c>
      <c r="O4" s="23" t="s">
        <v>408</v>
      </c>
      <c r="P4" s="23" t="s">
        <v>409</v>
      </c>
      <c r="Q4" s="23" t="s">
        <v>410</v>
      </c>
      <c r="R4" s="23" t="s">
        <v>411</v>
      </c>
      <c r="S4" s="23" t="s">
        <v>412</v>
      </c>
      <c r="T4" s="23" t="s">
        <v>413</v>
      </c>
      <c r="U4" s="23" t="s">
        <v>414</v>
      </c>
      <c r="V4" s="23" t="s">
        <v>415</v>
      </c>
    </row>
    <row r="5" spans="1:22" x14ac:dyDescent="0.2">
      <c r="A5" s="20" t="s">
        <v>65</v>
      </c>
      <c r="B5" s="20" t="s">
        <v>66</v>
      </c>
      <c r="C5" s="25">
        <v>86.39</v>
      </c>
      <c r="D5" s="27">
        <v>626.29999999999995</v>
      </c>
      <c r="E5" s="25">
        <v>712.69</v>
      </c>
      <c r="F5" s="25">
        <v>0</v>
      </c>
      <c r="G5" s="29">
        <v>9</v>
      </c>
      <c r="H5" s="27">
        <v>0.2</v>
      </c>
      <c r="I5" s="29">
        <v>635</v>
      </c>
      <c r="J5" s="29">
        <v>213237</v>
      </c>
      <c r="K5" s="29">
        <v>0</v>
      </c>
      <c r="L5" s="29">
        <v>213237</v>
      </c>
      <c r="M5" s="29">
        <v>35166</v>
      </c>
      <c r="N5" s="29">
        <v>39256</v>
      </c>
      <c r="O5" s="29">
        <v>0</v>
      </c>
      <c r="P5" s="29">
        <v>26933</v>
      </c>
      <c r="Q5" s="29">
        <v>3100</v>
      </c>
      <c r="R5" s="29">
        <v>317692</v>
      </c>
      <c r="S5" s="29">
        <v>41289</v>
      </c>
      <c r="T5" s="29">
        <v>276403</v>
      </c>
      <c r="U5" s="29">
        <v>154801</v>
      </c>
      <c r="V5" s="29">
        <v>121602</v>
      </c>
    </row>
    <row r="6" spans="1:22" x14ac:dyDescent="0.2">
      <c r="A6" s="20" t="s">
        <v>179</v>
      </c>
      <c r="B6" s="20" t="s">
        <v>578</v>
      </c>
      <c r="C6" s="25">
        <v>35.4</v>
      </c>
      <c r="D6" s="27">
        <v>300.3</v>
      </c>
      <c r="E6" s="25">
        <v>335.7</v>
      </c>
      <c r="F6" s="25">
        <v>0</v>
      </c>
      <c r="G6" s="29">
        <v>0</v>
      </c>
      <c r="H6" s="27">
        <v>0</v>
      </c>
      <c r="I6" s="29">
        <v>300</v>
      </c>
      <c r="J6" s="29">
        <v>96621</v>
      </c>
      <c r="K6" s="29">
        <v>9702</v>
      </c>
      <c r="L6" s="29">
        <v>106323</v>
      </c>
      <c r="M6" s="29">
        <v>16485</v>
      </c>
      <c r="N6" s="29">
        <v>18096</v>
      </c>
      <c r="O6" s="29">
        <v>0</v>
      </c>
      <c r="P6" s="29">
        <v>8003</v>
      </c>
      <c r="Q6" s="29">
        <v>1017</v>
      </c>
      <c r="R6" s="29">
        <v>149924</v>
      </c>
      <c r="S6" s="29">
        <v>16927</v>
      </c>
      <c r="T6" s="29">
        <v>132997</v>
      </c>
      <c r="U6" s="29">
        <v>70311</v>
      </c>
      <c r="V6" s="29">
        <v>62686</v>
      </c>
    </row>
    <row r="7" spans="1:22" x14ac:dyDescent="0.2">
      <c r="A7" s="20" t="s">
        <v>180</v>
      </c>
      <c r="B7" s="20" t="s">
        <v>579</v>
      </c>
      <c r="C7" s="25">
        <v>167.46</v>
      </c>
      <c r="D7" s="27">
        <v>1729.8</v>
      </c>
      <c r="E7" s="25">
        <v>1897.26</v>
      </c>
      <c r="F7" s="25">
        <v>0</v>
      </c>
      <c r="G7" s="29">
        <v>27</v>
      </c>
      <c r="H7" s="27">
        <v>0</v>
      </c>
      <c r="I7" s="29">
        <v>1757</v>
      </c>
      <c r="J7" s="29">
        <v>546069</v>
      </c>
      <c r="K7" s="29">
        <v>0</v>
      </c>
      <c r="L7" s="29">
        <v>546069</v>
      </c>
      <c r="M7" s="29">
        <v>96547</v>
      </c>
      <c r="N7" s="29">
        <v>105982</v>
      </c>
      <c r="O7" s="29">
        <v>0</v>
      </c>
      <c r="P7" s="29">
        <v>45231</v>
      </c>
      <c r="Q7" s="29">
        <v>5749</v>
      </c>
      <c r="R7" s="29">
        <v>799578</v>
      </c>
      <c r="S7" s="29">
        <v>62785</v>
      </c>
      <c r="T7" s="29">
        <v>736793</v>
      </c>
      <c r="U7" s="29">
        <v>430257</v>
      </c>
      <c r="V7" s="29">
        <v>306536</v>
      </c>
    </row>
    <row r="8" spans="1:22" x14ac:dyDescent="0.2">
      <c r="A8" s="20" t="s">
        <v>234</v>
      </c>
      <c r="B8" s="20" t="s">
        <v>630</v>
      </c>
      <c r="C8" s="25">
        <v>76.23</v>
      </c>
      <c r="D8" s="27">
        <v>544.70000000000005</v>
      </c>
      <c r="E8" s="25">
        <v>620.92999999999995</v>
      </c>
      <c r="F8" s="25">
        <v>0</v>
      </c>
      <c r="G8" s="29">
        <v>13</v>
      </c>
      <c r="H8" s="27">
        <v>0</v>
      </c>
      <c r="I8" s="29">
        <v>558</v>
      </c>
      <c r="J8" s="29">
        <v>187806</v>
      </c>
      <c r="K8" s="29">
        <v>0</v>
      </c>
      <c r="L8" s="29">
        <v>187806</v>
      </c>
      <c r="M8" s="29">
        <v>30891</v>
      </c>
      <c r="N8" s="29">
        <v>34652</v>
      </c>
      <c r="O8" s="29">
        <v>0</v>
      </c>
      <c r="P8" s="29">
        <v>18876</v>
      </c>
      <c r="Q8" s="29">
        <v>2260</v>
      </c>
      <c r="R8" s="29">
        <v>274485</v>
      </c>
      <c r="S8" s="29">
        <v>26925</v>
      </c>
      <c r="T8" s="29">
        <v>247560</v>
      </c>
      <c r="U8" s="29">
        <v>138888</v>
      </c>
      <c r="V8" s="29">
        <v>108672</v>
      </c>
    </row>
    <row r="9" spans="1:22" x14ac:dyDescent="0.2">
      <c r="A9" s="20" t="s">
        <v>24</v>
      </c>
      <c r="B9" s="20" t="s">
        <v>438</v>
      </c>
      <c r="C9" s="25">
        <v>20.09</v>
      </c>
      <c r="D9" s="27">
        <v>214.2</v>
      </c>
      <c r="E9" s="25">
        <v>234.29</v>
      </c>
      <c r="F9" s="25">
        <v>0.68</v>
      </c>
      <c r="G9" s="29">
        <v>0</v>
      </c>
      <c r="H9" s="27">
        <v>0</v>
      </c>
      <c r="I9" s="29">
        <v>214</v>
      </c>
      <c r="J9" s="29">
        <v>71653</v>
      </c>
      <c r="K9" s="29">
        <v>2619</v>
      </c>
      <c r="L9" s="29">
        <v>74272</v>
      </c>
      <c r="M9" s="29">
        <v>11862</v>
      </c>
      <c r="N9" s="29">
        <v>13311</v>
      </c>
      <c r="O9" s="29">
        <v>208</v>
      </c>
      <c r="P9" s="29">
        <v>7619</v>
      </c>
      <c r="Q9" s="29">
        <v>909</v>
      </c>
      <c r="R9" s="29">
        <v>108181</v>
      </c>
      <c r="S9" s="29">
        <v>14109</v>
      </c>
      <c r="T9" s="29">
        <v>94072</v>
      </c>
      <c r="U9" s="29">
        <v>49167</v>
      </c>
      <c r="V9" s="29">
        <v>44905</v>
      </c>
    </row>
    <row r="10" spans="1:22" x14ac:dyDescent="0.2">
      <c r="A10" s="20" t="s">
        <v>313</v>
      </c>
      <c r="B10" s="20" t="s">
        <v>706</v>
      </c>
      <c r="C10" s="25">
        <v>131.37</v>
      </c>
      <c r="D10" s="27">
        <v>1182.8</v>
      </c>
      <c r="E10" s="25">
        <v>1314.17</v>
      </c>
      <c r="F10" s="25">
        <v>0</v>
      </c>
      <c r="G10" s="29">
        <v>1</v>
      </c>
      <c r="H10" s="27">
        <v>0</v>
      </c>
      <c r="I10" s="29">
        <v>1184</v>
      </c>
      <c r="J10" s="29">
        <v>385367</v>
      </c>
      <c r="K10" s="29">
        <v>5672</v>
      </c>
      <c r="L10" s="29">
        <v>391039</v>
      </c>
      <c r="M10" s="29">
        <v>65179</v>
      </c>
      <c r="N10" s="29">
        <v>71596</v>
      </c>
      <c r="O10" s="29">
        <v>0</v>
      </c>
      <c r="P10" s="29">
        <v>39183</v>
      </c>
      <c r="Q10" s="29">
        <v>4256</v>
      </c>
      <c r="R10" s="29">
        <v>571253</v>
      </c>
      <c r="S10" s="29">
        <v>57955</v>
      </c>
      <c r="T10" s="29">
        <v>513298</v>
      </c>
      <c r="U10" s="29">
        <v>291686</v>
      </c>
      <c r="V10" s="29">
        <v>221612</v>
      </c>
    </row>
    <row r="11" spans="1:22" x14ac:dyDescent="0.2">
      <c r="A11" s="20" t="s">
        <v>145</v>
      </c>
      <c r="B11" s="20" t="s">
        <v>547</v>
      </c>
      <c r="C11" s="25">
        <v>47.66</v>
      </c>
      <c r="D11" s="27">
        <v>525.29999999999995</v>
      </c>
      <c r="E11" s="25">
        <v>572.96</v>
      </c>
      <c r="F11" s="25">
        <v>0</v>
      </c>
      <c r="G11" s="29">
        <v>22</v>
      </c>
      <c r="H11" s="27">
        <v>0</v>
      </c>
      <c r="I11" s="29">
        <v>547</v>
      </c>
      <c r="J11" s="29">
        <v>168977</v>
      </c>
      <c r="K11" s="29">
        <v>0</v>
      </c>
      <c r="L11" s="29">
        <v>168977</v>
      </c>
      <c r="M11" s="29">
        <v>30123</v>
      </c>
      <c r="N11" s="29">
        <v>33094</v>
      </c>
      <c r="O11" s="29">
        <v>0</v>
      </c>
      <c r="P11" s="29">
        <v>15819</v>
      </c>
      <c r="Q11" s="29">
        <v>1845</v>
      </c>
      <c r="R11" s="29">
        <v>249858</v>
      </c>
      <c r="S11" s="29">
        <v>28260</v>
      </c>
      <c r="T11" s="29">
        <v>221598</v>
      </c>
      <c r="U11" s="29">
        <v>122904</v>
      </c>
      <c r="V11" s="29">
        <v>98694</v>
      </c>
    </row>
    <row r="12" spans="1:22" x14ac:dyDescent="0.2">
      <c r="A12" s="20" t="s">
        <v>67</v>
      </c>
      <c r="B12" s="20" t="s">
        <v>477</v>
      </c>
      <c r="C12" s="25">
        <v>29.43</v>
      </c>
      <c r="D12" s="27">
        <v>268.7</v>
      </c>
      <c r="E12" s="25">
        <v>298.13</v>
      </c>
      <c r="F12" s="25">
        <v>0</v>
      </c>
      <c r="G12" s="29">
        <v>0</v>
      </c>
      <c r="H12" s="27">
        <v>0</v>
      </c>
      <c r="I12" s="29">
        <v>269</v>
      </c>
      <c r="J12" s="29">
        <v>89200</v>
      </c>
      <c r="K12" s="29">
        <v>1399</v>
      </c>
      <c r="L12" s="29">
        <v>90599</v>
      </c>
      <c r="M12" s="29">
        <v>14897</v>
      </c>
      <c r="N12" s="29">
        <v>16630</v>
      </c>
      <c r="O12" s="29">
        <v>0</v>
      </c>
      <c r="P12" s="29">
        <v>11464</v>
      </c>
      <c r="Q12" s="29">
        <v>1318</v>
      </c>
      <c r="R12" s="29">
        <v>134908</v>
      </c>
      <c r="S12" s="29">
        <v>14957</v>
      </c>
      <c r="T12" s="29">
        <v>119951</v>
      </c>
      <c r="U12" s="29">
        <v>67289</v>
      </c>
      <c r="V12" s="29">
        <v>52662</v>
      </c>
    </row>
    <row r="13" spans="1:22" x14ac:dyDescent="0.2">
      <c r="A13" s="20" t="s">
        <v>25</v>
      </c>
      <c r="B13" s="20" t="s">
        <v>439</v>
      </c>
      <c r="C13" s="25">
        <v>210.6</v>
      </c>
      <c r="D13" s="27">
        <v>1316.2</v>
      </c>
      <c r="E13" s="25">
        <v>1526.8</v>
      </c>
      <c r="F13" s="25">
        <v>4.41</v>
      </c>
      <c r="G13" s="29">
        <v>383</v>
      </c>
      <c r="H13" s="27">
        <v>13.8</v>
      </c>
      <c r="I13" s="29">
        <v>1685</v>
      </c>
      <c r="J13" s="29">
        <v>466941</v>
      </c>
      <c r="K13" s="29">
        <v>0</v>
      </c>
      <c r="L13" s="29">
        <v>466941</v>
      </c>
      <c r="M13" s="29">
        <v>93400</v>
      </c>
      <c r="N13" s="29">
        <v>104807</v>
      </c>
      <c r="O13" s="29">
        <v>1349</v>
      </c>
      <c r="P13" s="29">
        <v>49652</v>
      </c>
      <c r="Q13" s="29">
        <v>5924</v>
      </c>
      <c r="R13" s="29">
        <v>722073</v>
      </c>
      <c r="S13" s="29">
        <v>83780</v>
      </c>
      <c r="T13" s="29">
        <v>638293</v>
      </c>
      <c r="U13" s="29">
        <v>328568</v>
      </c>
      <c r="V13" s="29">
        <v>309725</v>
      </c>
    </row>
    <row r="14" spans="1:22" x14ac:dyDescent="0.2">
      <c r="A14" s="20" t="s">
        <v>1</v>
      </c>
      <c r="B14" s="20" t="s">
        <v>416</v>
      </c>
      <c r="C14" s="25">
        <v>143.25</v>
      </c>
      <c r="D14" s="27">
        <v>1094.2</v>
      </c>
      <c r="E14" s="25">
        <v>1237.45</v>
      </c>
      <c r="F14" s="25">
        <v>0</v>
      </c>
      <c r="G14" s="29">
        <v>164</v>
      </c>
      <c r="H14" s="27">
        <v>1.6</v>
      </c>
      <c r="I14" s="29">
        <v>1257</v>
      </c>
      <c r="J14" s="29">
        <v>383708</v>
      </c>
      <c r="K14" s="29">
        <v>8646</v>
      </c>
      <c r="L14" s="29">
        <v>392354</v>
      </c>
      <c r="M14" s="29">
        <v>69575</v>
      </c>
      <c r="N14" s="29">
        <v>77595</v>
      </c>
      <c r="O14" s="29">
        <v>0</v>
      </c>
      <c r="P14" s="29">
        <v>37816</v>
      </c>
      <c r="Q14" s="29">
        <v>4071</v>
      </c>
      <c r="R14" s="29">
        <v>581411</v>
      </c>
      <c r="S14" s="29">
        <v>73532</v>
      </c>
      <c r="T14" s="29">
        <v>507879</v>
      </c>
      <c r="U14" s="29">
        <v>256681</v>
      </c>
      <c r="V14" s="29">
        <v>251198</v>
      </c>
    </row>
    <row r="15" spans="1:22" x14ac:dyDescent="0.2">
      <c r="A15" s="20" t="s">
        <v>105</v>
      </c>
      <c r="B15" s="20" t="s">
        <v>509</v>
      </c>
      <c r="C15" s="25">
        <v>68.55</v>
      </c>
      <c r="D15" s="27">
        <v>586</v>
      </c>
      <c r="E15" s="25">
        <v>654.54999999999995</v>
      </c>
      <c r="F15" s="25">
        <v>0</v>
      </c>
      <c r="G15" s="29">
        <v>1</v>
      </c>
      <c r="H15" s="27">
        <v>0</v>
      </c>
      <c r="I15" s="29">
        <v>587</v>
      </c>
      <c r="J15" s="29">
        <v>195841</v>
      </c>
      <c r="K15" s="29">
        <v>12035</v>
      </c>
      <c r="L15" s="29">
        <v>207876</v>
      </c>
      <c r="M15" s="29">
        <v>32508</v>
      </c>
      <c r="N15" s="29">
        <v>36288</v>
      </c>
      <c r="O15" s="29">
        <v>0</v>
      </c>
      <c r="P15" s="29">
        <v>24960</v>
      </c>
      <c r="Q15" s="29">
        <v>2870</v>
      </c>
      <c r="R15" s="29">
        <v>304502</v>
      </c>
      <c r="S15" s="29">
        <v>32769</v>
      </c>
      <c r="T15" s="29">
        <v>271733</v>
      </c>
      <c r="U15" s="29">
        <v>147571</v>
      </c>
      <c r="V15" s="29">
        <v>124162</v>
      </c>
    </row>
    <row r="16" spans="1:22" x14ac:dyDescent="0.2">
      <c r="A16" s="20" t="s">
        <v>26</v>
      </c>
      <c r="B16" s="20" t="s">
        <v>440</v>
      </c>
      <c r="C16" s="25">
        <v>58.34</v>
      </c>
      <c r="D16" s="27">
        <v>775</v>
      </c>
      <c r="E16" s="25">
        <v>833.34</v>
      </c>
      <c r="F16" s="25">
        <v>2.41</v>
      </c>
      <c r="G16" s="29">
        <v>17</v>
      </c>
      <c r="H16" s="27">
        <v>0</v>
      </c>
      <c r="I16" s="29">
        <v>792</v>
      </c>
      <c r="J16" s="29">
        <v>254860</v>
      </c>
      <c r="K16" s="29">
        <v>2228</v>
      </c>
      <c r="L16" s="29">
        <v>257088</v>
      </c>
      <c r="M16" s="29">
        <v>43901</v>
      </c>
      <c r="N16" s="29">
        <v>49262</v>
      </c>
      <c r="O16" s="29">
        <v>737</v>
      </c>
      <c r="P16" s="29">
        <v>27100</v>
      </c>
      <c r="Q16" s="29">
        <v>3233</v>
      </c>
      <c r="R16" s="29">
        <v>381321</v>
      </c>
      <c r="S16" s="29">
        <v>44685</v>
      </c>
      <c r="T16" s="29">
        <v>336636</v>
      </c>
      <c r="U16" s="29">
        <v>180378</v>
      </c>
      <c r="V16" s="29">
        <v>156258</v>
      </c>
    </row>
    <row r="17" spans="1:22" x14ac:dyDescent="0.2">
      <c r="A17" s="20" t="s">
        <v>181</v>
      </c>
      <c r="B17" s="20" t="s">
        <v>580</v>
      </c>
      <c r="C17" s="25">
        <v>395.58</v>
      </c>
      <c r="D17" s="27">
        <v>4299.8</v>
      </c>
      <c r="E17" s="25">
        <v>4695.38</v>
      </c>
      <c r="F17" s="25">
        <v>0</v>
      </c>
      <c r="G17" s="29">
        <v>144</v>
      </c>
      <c r="H17" s="27">
        <v>0</v>
      </c>
      <c r="I17" s="29">
        <v>4444</v>
      </c>
      <c r="J17" s="29">
        <v>1351424</v>
      </c>
      <c r="K17" s="29">
        <v>0</v>
      </c>
      <c r="L17" s="29">
        <v>1351424</v>
      </c>
      <c r="M17" s="29">
        <v>244198</v>
      </c>
      <c r="N17" s="29">
        <v>268062</v>
      </c>
      <c r="O17" s="29">
        <v>0</v>
      </c>
      <c r="P17" s="29">
        <v>111938</v>
      </c>
      <c r="Q17" s="29">
        <v>14227</v>
      </c>
      <c r="R17" s="29">
        <v>1989849</v>
      </c>
      <c r="S17" s="29">
        <v>203105</v>
      </c>
      <c r="T17" s="29">
        <v>1786744</v>
      </c>
      <c r="U17" s="29">
        <v>1017084</v>
      </c>
      <c r="V17" s="29">
        <v>769660</v>
      </c>
    </row>
    <row r="18" spans="1:22" x14ac:dyDescent="0.2">
      <c r="A18" s="20" t="s">
        <v>146</v>
      </c>
      <c r="B18" s="20" t="s">
        <v>548</v>
      </c>
      <c r="C18" s="25">
        <v>144.94</v>
      </c>
      <c r="D18" s="27">
        <v>1278.2</v>
      </c>
      <c r="E18" s="25">
        <v>1423.14</v>
      </c>
      <c r="F18" s="25">
        <v>0</v>
      </c>
      <c r="G18" s="29">
        <v>63</v>
      </c>
      <c r="H18" s="27">
        <v>0.2</v>
      </c>
      <c r="I18" s="29">
        <v>1341</v>
      </c>
      <c r="J18" s="29">
        <v>419712</v>
      </c>
      <c r="K18" s="29">
        <v>0</v>
      </c>
      <c r="L18" s="29">
        <v>419712</v>
      </c>
      <c r="M18" s="29">
        <v>73849</v>
      </c>
      <c r="N18" s="29">
        <v>81131</v>
      </c>
      <c r="O18" s="29">
        <v>0</v>
      </c>
      <c r="P18" s="29">
        <v>39293</v>
      </c>
      <c r="Q18" s="29">
        <v>4583</v>
      </c>
      <c r="R18" s="29">
        <v>618568</v>
      </c>
      <c r="S18" s="29">
        <v>60223</v>
      </c>
      <c r="T18" s="29">
        <v>558345</v>
      </c>
      <c r="U18" s="29">
        <v>315245</v>
      </c>
      <c r="V18" s="29">
        <v>243100</v>
      </c>
    </row>
    <row r="19" spans="1:22" x14ac:dyDescent="0.2">
      <c r="A19" s="20" t="s">
        <v>123</v>
      </c>
      <c r="B19" s="20" t="s">
        <v>526</v>
      </c>
      <c r="C19" s="25">
        <v>34.11</v>
      </c>
      <c r="D19" s="27">
        <v>238.3</v>
      </c>
      <c r="E19" s="25">
        <v>272.41000000000003</v>
      </c>
      <c r="F19" s="25">
        <v>0</v>
      </c>
      <c r="G19" s="29">
        <v>23</v>
      </c>
      <c r="H19" s="27">
        <v>0</v>
      </c>
      <c r="I19" s="29">
        <v>261</v>
      </c>
      <c r="J19" s="29">
        <v>80862</v>
      </c>
      <c r="K19" s="29">
        <v>12469</v>
      </c>
      <c r="L19" s="29">
        <v>93331</v>
      </c>
      <c r="M19" s="29">
        <v>14326</v>
      </c>
      <c r="N19" s="29">
        <v>15634</v>
      </c>
      <c r="O19" s="29">
        <v>0</v>
      </c>
      <c r="P19" s="29">
        <v>7317</v>
      </c>
      <c r="Q19" s="29">
        <v>861</v>
      </c>
      <c r="R19" s="29">
        <v>131469</v>
      </c>
      <c r="S19" s="29">
        <v>16393</v>
      </c>
      <c r="T19" s="29">
        <v>115076</v>
      </c>
      <c r="U19" s="29">
        <v>55257</v>
      </c>
      <c r="V19" s="29">
        <v>59819</v>
      </c>
    </row>
    <row r="20" spans="1:22" x14ac:dyDescent="0.2">
      <c r="A20" s="20" t="s">
        <v>182</v>
      </c>
      <c r="B20" s="20" t="s">
        <v>581</v>
      </c>
      <c r="C20" s="25">
        <v>1025.55</v>
      </c>
      <c r="D20" s="27">
        <v>11548.7</v>
      </c>
      <c r="E20" s="25">
        <v>12574.25</v>
      </c>
      <c r="F20" s="25">
        <v>0</v>
      </c>
      <c r="G20" s="29">
        <v>461</v>
      </c>
      <c r="H20" s="27">
        <v>0.4</v>
      </c>
      <c r="I20" s="29">
        <v>12009</v>
      </c>
      <c r="J20" s="29">
        <v>3619121</v>
      </c>
      <c r="K20" s="29">
        <v>0</v>
      </c>
      <c r="L20" s="29">
        <v>3619121</v>
      </c>
      <c r="M20" s="29">
        <v>659895</v>
      </c>
      <c r="N20" s="29">
        <v>724383</v>
      </c>
      <c r="O20" s="29">
        <v>0</v>
      </c>
      <c r="P20" s="29">
        <v>299770</v>
      </c>
      <c r="Q20" s="29">
        <v>38100</v>
      </c>
      <c r="R20" s="29">
        <v>5341269</v>
      </c>
      <c r="S20" s="29">
        <v>253394</v>
      </c>
      <c r="T20" s="29">
        <v>5087875</v>
      </c>
      <c r="U20" s="29">
        <v>3014276</v>
      </c>
      <c r="V20" s="29">
        <v>2073599</v>
      </c>
    </row>
    <row r="21" spans="1:22" x14ac:dyDescent="0.2">
      <c r="A21" s="20" t="s">
        <v>68</v>
      </c>
      <c r="B21" s="20" t="s">
        <v>478</v>
      </c>
      <c r="C21" s="25">
        <v>96.17</v>
      </c>
      <c r="D21" s="27">
        <v>824.5</v>
      </c>
      <c r="E21" s="25">
        <v>920.67</v>
      </c>
      <c r="F21" s="25">
        <v>0</v>
      </c>
      <c r="G21" s="29">
        <v>22</v>
      </c>
      <c r="H21" s="27">
        <v>0</v>
      </c>
      <c r="I21" s="29">
        <v>847</v>
      </c>
      <c r="J21" s="29">
        <v>275464</v>
      </c>
      <c r="K21" s="29">
        <v>6656</v>
      </c>
      <c r="L21" s="29">
        <v>282120</v>
      </c>
      <c r="M21" s="29">
        <v>46907</v>
      </c>
      <c r="N21" s="29">
        <v>52362</v>
      </c>
      <c r="O21" s="29">
        <v>0</v>
      </c>
      <c r="P21" s="29">
        <v>35699</v>
      </c>
      <c r="Q21" s="29">
        <v>4104</v>
      </c>
      <c r="R21" s="29">
        <v>421192</v>
      </c>
      <c r="S21" s="29">
        <v>39100</v>
      </c>
      <c r="T21" s="29">
        <v>382092</v>
      </c>
      <c r="U21" s="29">
        <v>215219</v>
      </c>
      <c r="V21" s="29">
        <v>166873</v>
      </c>
    </row>
    <row r="22" spans="1:22" x14ac:dyDescent="0.2">
      <c r="A22" s="20" t="s">
        <v>44</v>
      </c>
      <c r="B22" s="20" t="s">
        <v>458</v>
      </c>
      <c r="C22" s="25">
        <v>49.19</v>
      </c>
      <c r="D22" s="27">
        <v>413</v>
      </c>
      <c r="E22" s="25">
        <v>462.19</v>
      </c>
      <c r="F22" s="25">
        <v>1.33</v>
      </c>
      <c r="G22" s="29">
        <v>5</v>
      </c>
      <c r="H22" s="27">
        <v>0</v>
      </c>
      <c r="I22" s="29">
        <v>418</v>
      </c>
      <c r="J22" s="29">
        <v>141352</v>
      </c>
      <c r="K22" s="29">
        <v>28883</v>
      </c>
      <c r="L22" s="29">
        <v>170235</v>
      </c>
      <c r="M22" s="29">
        <v>23170</v>
      </c>
      <c r="N22" s="29">
        <v>26000</v>
      </c>
      <c r="O22" s="29">
        <v>407</v>
      </c>
      <c r="P22" s="29">
        <v>15492</v>
      </c>
      <c r="Q22" s="29">
        <v>1846</v>
      </c>
      <c r="R22" s="29">
        <v>237150</v>
      </c>
      <c r="S22" s="29">
        <v>31389</v>
      </c>
      <c r="T22" s="29">
        <v>205761</v>
      </c>
      <c r="U22" s="29">
        <v>93949</v>
      </c>
      <c r="V22" s="29">
        <v>111812</v>
      </c>
    </row>
    <row r="23" spans="1:22" x14ac:dyDescent="0.2">
      <c r="A23" s="20" t="s">
        <v>235</v>
      </c>
      <c r="B23" s="20" t="s">
        <v>631</v>
      </c>
      <c r="C23" s="25">
        <v>42.1</v>
      </c>
      <c r="D23" s="27">
        <v>267</v>
      </c>
      <c r="E23" s="25">
        <v>309.10000000000002</v>
      </c>
      <c r="F23" s="25">
        <v>0</v>
      </c>
      <c r="G23" s="29">
        <v>78</v>
      </c>
      <c r="H23" s="27">
        <v>0</v>
      </c>
      <c r="I23" s="29">
        <v>345</v>
      </c>
      <c r="J23" s="29">
        <v>93490</v>
      </c>
      <c r="K23" s="29">
        <v>11837</v>
      </c>
      <c r="L23" s="29">
        <v>105327</v>
      </c>
      <c r="M23" s="29">
        <v>19099</v>
      </c>
      <c r="N23" s="29">
        <v>21425</v>
      </c>
      <c r="O23" s="29">
        <v>0</v>
      </c>
      <c r="P23" s="29">
        <v>10118</v>
      </c>
      <c r="Q23" s="29">
        <v>1210</v>
      </c>
      <c r="R23" s="29">
        <v>157179</v>
      </c>
      <c r="S23" s="29">
        <v>20681</v>
      </c>
      <c r="T23" s="29">
        <v>136498</v>
      </c>
      <c r="U23" s="29">
        <v>62667</v>
      </c>
      <c r="V23" s="29">
        <v>73831</v>
      </c>
    </row>
    <row r="24" spans="1:22" x14ac:dyDescent="0.2">
      <c r="A24" s="20" t="s">
        <v>269</v>
      </c>
      <c r="B24" s="20" t="s">
        <v>665</v>
      </c>
      <c r="C24" s="25">
        <v>214.03</v>
      </c>
      <c r="D24" s="27">
        <v>1352.1</v>
      </c>
      <c r="E24" s="25">
        <v>1566.13</v>
      </c>
      <c r="F24" s="25">
        <v>0</v>
      </c>
      <c r="G24" s="29">
        <v>0</v>
      </c>
      <c r="H24" s="27">
        <v>0</v>
      </c>
      <c r="I24" s="29">
        <v>1352</v>
      </c>
      <c r="J24" s="29">
        <v>463387</v>
      </c>
      <c r="K24" s="29">
        <v>2598</v>
      </c>
      <c r="L24" s="29">
        <v>465985</v>
      </c>
      <c r="M24" s="29">
        <v>74468</v>
      </c>
      <c r="N24" s="29">
        <v>82337</v>
      </c>
      <c r="O24" s="29">
        <v>0</v>
      </c>
      <c r="P24" s="29">
        <v>47661</v>
      </c>
      <c r="Q24" s="29">
        <v>5090</v>
      </c>
      <c r="R24" s="29">
        <v>675541</v>
      </c>
      <c r="S24" s="29">
        <v>68797</v>
      </c>
      <c r="T24" s="29">
        <v>606744</v>
      </c>
      <c r="U24" s="29">
        <v>348862</v>
      </c>
      <c r="V24" s="29">
        <v>257882</v>
      </c>
    </row>
    <row r="25" spans="1:22" x14ac:dyDescent="0.2">
      <c r="A25" s="20" t="s">
        <v>183</v>
      </c>
      <c r="B25" s="20" t="s">
        <v>582</v>
      </c>
      <c r="C25" s="25">
        <v>57.76</v>
      </c>
      <c r="D25" s="27">
        <v>491.1</v>
      </c>
      <c r="E25" s="25">
        <v>548.86</v>
      </c>
      <c r="F25" s="25">
        <v>0</v>
      </c>
      <c r="G25" s="29">
        <v>3</v>
      </c>
      <c r="H25" s="27">
        <v>0</v>
      </c>
      <c r="I25" s="29">
        <v>494</v>
      </c>
      <c r="J25" s="29">
        <v>157973</v>
      </c>
      <c r="K25" s="29">
        <v>9454</v>
      </c>
      <c r="L25" s="29">
        <v>167427</v>
      </c>
      <c r="M25" s="29">
        <v>27145</v>
      </c>
      <c r="N25" s="29">
        <v>29798</v>
      </c>
      <c r="O25" s="29">
        <v>0</v>
      </c>
      <c r="P25" s="29">
        <v>13177</v>
      </c>
      <c r="Q25" s="29">
        <v>1674</v>
      </c>
      <c r="R25" s="29">
        <v>239221</v>
      </c>
      <c r="S25" s="29">
        <v>31621</v>
      </c>
      <c r="T25" s="29">
        <v>207600</v>
      </c>
      <c r="U25" s="29">
        <v>111114</v>
      </c>
      <c r="V25" s="29">
        <v>96486</v>
      </c>
    </row>
    <row r="26" spans="1:22" x14ac:dyDescent="0.2">
      <c r="A26" s="20" t="s">
        <v>268</v>
      </c>
      <c r="B26" s="20" t="s">
        <v>664</v>
      </c>
      <c r="C26" s="25">
        <v>88.36</v>
      </c>
      <c r="D26" s="27">
        <v>791.7</v>
      </c>
      <c r="E26" s="25">
        <v>880.06</v>
      </c>
      <c r="F26" s="25">
        <v>0</v>
      </c>
      <c r="G26" s="29">
        <v>0</v>
      </c>
      <c r="H26" s="27">
        <v>0</v>
      </c>
      <c r="I26" s="29">
        <v>792</v>
      </c>
      <c r="J26" s="29">
        <v>260392</v>
      </c>
      <c r="K26" s="29">
        <v>0</v>
      </c>
      <c r="L26" s="29">
        <v>260392</v>
      </c>
      <c r="M26" s="29">
        <v>43623</v>
      </c>
      <c r="N26" s="29">
        <v>48233</v>
      </c>
      <c r="O26" s="29">
        <v>0</v>
      </c>
      <c r="P26" s="29">
        <v>26736</v>
      </c>
      <c r="Q26" s="29">
        <v>2860</v>
      </c>
      <c r="R26" s="29">
        <v>381844</v>
      </c>
      <c r="S26" s="29">
        <v>42239</v>
      </c>
      <c r="T26" s="29">
        <v>339605</v>
      </c>
      <c r="U26" s="29">
        <v>192411</v>
      </c>
      <c r="V26" s="29">
        <v>147194</v>
      </c>
    </row>
    <row r="27" spans="1:22" x14ac:dyDescent="0.2">
      <c r="A27" s="20" t="s">
        <v>184</v>
      </c>
      <c r="B27" s="20" t="s">
        <v>583</v>
      </c>
      <c r="C27" s="25">
        <v>143.91</v>
      </c>
      <c r="D27" s="27">
        <v>1619.2</v>
      </c>
      <c r="E27" s="25">
        <v>1763.11</v>
      </c>
      <c r="F27" s="25">
        <v>0</v>
      </c>
      <c r="G27" s="29">
        <v>13</v>
      </c>
      <c r="H27" s="27">
        <v>0</v>
      </c>
      <c r="I27" s="29">
        <v>1632</v>
      </c>
      <c r="J27" s="29">
        <v>507458</v>
      </c>
      <c r="K27" s="29">
        <v>0</v>
      </c>
      <c r="L27" s="29">
        <v>507458</v>
      </c>
      <c r="M27" s="29">
        <v>89678</v>
      </c>
      <c r="N27" s="29">
        <v>98442</v>
      </c>
      <c r="O27" s="29">
        <v>0</v>
      </c>
      <c r="P27" s="29">
        <v>42033</v>
      </c>
      <c r="Q27" s="29">
        <v>5342</v>
      </c>
      <c r="R27" s="29">
        <v>742953</v>
      </c>
      <c r="S27" s="29">
        <v>53719</v>
      </c>
      <c r="T27" s="29">
        <v>689234</v>
      </c>
      <c r="U27" s="29">
        <v>404461</v>
      </c>
      <c r="V27" s="29">
        <v>284773</v>
      </c>
    </row>
    <row r="28" spans="1:22" x14ac:dyDescent="0.2">
      <c r="A28" s="20" t="s">
        <v>185</v>
      </c>
      <c r="B28" s="20" t="s">
        <v>584</v>
      </c>
      <c r="C28" s="25">
        <v>35.950000000000003</v>
      </c>
      <c r="D28" s="27">
        <v>315.39999999999998</v>
      </c>
      <c r="E28" s="25">
        <v>351.35</v>
      </c>
      <c r="F28" s="25">
        <v>0</v>
      </c>
      <c r="G28" s="29">
        <v>0</v>
      </c>
      <c r="H28" s="27">
        <v>0</v>
      </c>
      <c r="I28" s="29">
        <v>315</v>
      </c>
      <c r="J28" s="29">
        <v>101126</v>
      </c>
      <c r="K28" s="29">
        <v>9422</v>
      </c>
      <c r="L28" s="29">
        <v>110548</v>
      </c>
      <c r="M28" s="29">
        <v>17309</v>
      </c>
      <c r="N28" s="29">
        <v>19001</v>
      </c>
      <c r="O28" s="29">
        <v>0</v>
      </c>
      <c r="P28" s="29">
        <v>8617</v>
      </c>
      <c r="Q28" s="29">
        <v>1094</v>
      </c>
      <c r="R28" s="29">
        <v>156569</v>
      </c>
      <c r="S28" s="29">
        <v>14723</v>
      </c>
      <c r="T28" s="29">
        <v>141846</v>
      </c>
      <c r="U28" s="29">
        <v>76853</v>
      </c>
      <c r="V28" s="29">
        <v>64993</v>
      </c>
    </row>
    <row r="29" spans="1:22" x14ac:dyDescent="0.2">
      <c r="A29" s="20" t="s">
        <v>69</v>
      </c>
      <c r="B29" s="20" t="s">
        <v>70</v>
      </c>
      <c r="C29" s="25">
        <v>67.22</v>
      </c>
      <c r="D29" s="27">
        <v>531.29999999999995</v>
      </c>
      <c r="E29" s="25">
        <v>598.52</v>
      </c>
      <c r="F29" s="25">
        <v>0</v>
      </c>
      <c r="G29" s="29">
        <v>1</v>
      </c>
      <c r="H29" s="27">
        <v>0</v>
      </c>
      <c r="I29" s="29">
        <v>532</v>
      </c>
      <c r="J29" s="29">
        <v>179077</v>
      </c>
      <c r="K29" s="29">
        <v>7435</v>
      </c>
      <c r="L29" s="29">
        <v>186512</v>
      </c>
      <c r="M29" s="29">
        <v>29462</v>
      </c>
      <c r="N29" s="29">
        <v>32888</v>
      </c>
      <c r="O29" s="29">
        <v>0</v>
      </c>
      <c r="P29" s="29">
        <v>23215</v>
      </c>
      <c r="Q29" s="29">
        <v>2669</v>
      </c>
      <c r="R29" s="29">
        <v>274746</v>
      </c>
      <c r="S29" s="29">
        <v>29783</v>
      </c>
      <c r="T29" s="29">
        <v>244963</v>
      </c>
      <c r="U29" s="29">
        <v>135556</v>
      </c>
      <c r="V29" s="29">
        <v>109407</v>
      </c>
    </row>
    <row r="30" spans="1:22" x14ac:dyDescent="0.2">
      <c r="A30" s="20" t="s">
        <v>270</v>
      </c>
      <c r="B30" s="20" t="s">
        <v>666</v>
      </c>
      <c r="C30" s="25">
        <v>51.5</v>
      </c>
      <c r="D30" s="27">
        <v>450.1</v>
      </c>
      <c r="E30" s="25">
        <v>501.6</v>
      </c>
      <c r="F30" s="25">
        <v>0</v>
      </c>
      <c r="G30" s="29">
        <v>3</v>
      </c>
      <c r="H30" s="27">
        <v>0</v>
      </c>
      <c r="I30" s="29">
        <v>453</v>
      </c>
      <c r="J30" s="29">
        <v>148413</v>
      </c>
      <c r="K30" s="29">
        <v>10971</v>
      </c>
      <c r="L30" s="29">
        <v>159384</v>
      </c>
      <c r="M30" s="29">
        <v>24951</v>
      </c>
      <c r="N30" s="29">
        <v>27588</v>
      </c>
      <c r="O30" s="29">
        <v>0</v>
      </c>
      <c r="P30" s="29">
        <v>15239</v>
      </c>
      <c r="Q30" s="29">
        <v>1630</v>
      </c>
      <c r="R30" s="29">
        <v>228792</v>
      </c>
      <c r="S30" s="29">
        <v>29839</v>
      </c>
      <c r="T30" s="29">
        <v>198953</v>
      </c>
      <c r="U30" s="29">
        <v>103903</v>
      </c>
      <c r="V30" s="29">
        <v>95050</v>
      </c>
    </row>
    <row r="31" spans="1:22" x14ac:dyDescent="0.2">
      <c r="A31" s="20" t="s">
        <v>147</v>
      </c>
      <c r="B31" s="20" t="s">
        <v>549</v>
      </c>
      <c r="C31" s="25">
        <v>39.69</v>
      </c>
      <c r="D31" s="27">
        <v>532.79999999999995</v>
      </c>
      <c r="E31" s="25">
        <v>572.49</v>
      </c>
      <c r="F31" s="25">
        <v>0</v>
      </c>
      <c r="G31" s="29">
        <v>2</v>
      </c>
      <c r="H31" s="27">
        <v>0</v>
      </c>
      <c r="I31" s="29">
        <v>535</v>
      </c>
      <c r="J31" s="29">
        <v>168839</v>
      </c>
      <c r="K31" s="29">
        <v>5489</v>
      </c>
      <c r="L31" s="29">
        <v>174328</v>
      </c>
      <c r="M31" s="29">
        <v>29462</v>
      </c>
      <c r="N31" s="29">
        <v>32368</v>
      </c>
      <c r="O31" s="29">
        <v>0</v>
      </c>
      <c r="P31" s="29">
        <v>15806</v>
      </c>
      <c r="Q31" s="29">
        <v>1843</v>
      </c>
      <c r="R31" s="29">
        <v>253807</v>
      </c>
      <c r="S31" s="29">
        <v>34138</v>
      </c>
      <c r="T31" s="29">
        <v>219669</v>
      </c>
      <c r="U31" s="29">
        <v>116901</v>
      </c>
      <c r="V31" s="29">
        <v>102768</v>
      </c>
    </row>
    <row r="32" spans="1:22" x14ac:dyDescent="0.2">
      <c r="A32" s="20" t="s">
        <v>124</v>
      </c>
      <c r="B32" s="20" t="s">
        <v>527</v>
      </c>
      <c r="C32" s="25">
        <v>66.569999999999993</v>
      </c>
      <c r="D32" s="27">
        <v>581.20000000000005</v>
      </c>
      <c r="E32" s="25">
        <v>647.77</v>
      </c>
      <c r="F32" s="25">
        <v>0</v>
      </c>
      <c r="G32" s="29">
        <v>167</v>
      </c>
      <c r="H32" s="27">
        <v>4.2</v>
      </c>
      <c r="I32" s="29">
        <v>744</v>
      </c>
      <c r="J32" s="29">
        <v>192284</v>
      </c>
      <c r="K32" s="29">
        <v>0</v>
      </c>
      <c r="L32" s="29">
        <v>192284</v>
      </c>
      <c r="M32" s="29">
        <v>40838</v>
      </c>
      <c r="N32" s="29">
        <v>44566</v>
      </c>
      <c r="O32" s="29">
        <v>0</v>
      </c>
      <c r="P32" s="29">
        <v>17399</v>
      </c>
      <c r="Q32" s="29">
        <v>2047</v>
      </c>
      <c r="R32" s="29">
        <v>297134</v>
      </c>
      <c r="S32" s="29">
        <v>33230</v>
      </c>
      <c r="T32" s="29">
        <v>263904</v>
      </c>
      <c r="U32" s="29">
        <v>137146</v>
      </c>
      <c r="V32" s="29">
        <v>126758</v>
      </c>
    </row>
    <row r="33" spans="1:22" x14ac:dyDescent="0.2">
      <c r="A33" s="20" t="s">
        <v>71</v>
      </c>
      <c r="B33" s="20" t="s">
        <v>479</v>
      </c>
      <c r="C33" s="25">
        <v>97.77</v>
      </c>
      <c r="D33" s="27">
        <v>797.6</v>
      </c>
      <c r="E33" s="25">
        <v>895.37</v>
      </c>
      <c r="F33" s="25">
        <v>0</v>
      </c>
      <c r="G33" s="29">
        <v>0</v>
      </c>
      <c r="H33" s="27">
        <v>0</v>
      </c>
      <c r="I33" s="29">
        <v>798</v>
      </c>
      <c r="J33" s="29">
        <v>267895</v>
      </c>
      <c r="K33" s="29">
        <v>2825</v>
      </c>
      <c r="L33" s="29">
        <v>270720</v>
      </c>
      <c r="M33" s="29">
        <v>44193</v>
      </c>
      <c r="N33" s="29">
        <v>49332</v>
      </c>
      <c r="O33" s="29">
        <v>0</v>
      </c>
      <c r="P33" s="29">
        <v>34257</v>
      </c>
      <c r="Q33" s="29">
        <v>3938</v>
      </c>
      <c r="R33" s="29">
        <v>402440</v>
      </c>
      <c r="S33" s="29">
        <v>39506</v>
      </c>
      <c r="T33" s="29">
        <v>362934</v>
      </c>
      <c r="U33" s="29">
        <v>207310</v>
      </c>
      <c r="V33" s="29">
        <v>155624</v>
      </c>
    </row>
    <row r="34" spans="1:22" x14ac:dyDescent="0.2">
      <c r="A34" s="20" t="s">
        <v>125</v>
      </c>
      <c r="B34" s="20" t="s">
        <v>528</v>
      </c>
      <c r="C34" s="25">
        <v>18.32</v>
      </c>
      <c r="D34" s="27">
        <v>187.1</v>
      </c>
      <c r="E34" s="25">
        <v>205.42</v>
      </c>
      <c r="F34" s="25">
        <v>0</v>
      </c>
      <c r="G34" s="29">
        <v>2</v>
      </c>
      <c r="H34" s="27">
        <v>0</v>
      </c>
      <c r="I34" s="29">
        <v>189</v>
      </c>
      <c r="J34" s="29">
        <v>60977</v>
      </c>
      <c r="K34" s="29">
        <v>1438</v>
      </c>
      <c r="L34" s="29">
        <v>62415</v>
      </c>
      <c r="M34" s="29">
        <v>10374</v>
      </c>
      <c r="N34" s="29">
        <v>11321</v>
      </c>
      <c r="O34" s="29">
        <v>0</v>
      </c>
      <c r="P34" s="29">
        <v>5640</v>
      </c>
      <c r="Q34" s="29">
        <v>663</v>
      </c>
      <c r="R34" s="29">
        <v>90413</v>
      </c>
      <c r="S34" s="29">
        <v>11567</v>
      </c>
      <c r="T34" s="29">
        <v>78846</v>
      </c>
      <c r="U34" s="29">
        <v>42599</v>
      </c>
      <c r="V34" s="29">
        <v>36247</v>
      </c>
    </row>
    <row r="35" spans="1:22" x14ac:dyDescent="0.2">
      <c r="A35" s="20" t="s">
        <v>148</v>
      </c>
      <c r="B35" s="20" t="s">
        <v>550</v>
      </c>
      <c r="C35" s="25">
        <v>129.9</v>
      </c>
      <c r="D35" s="27">
        <v>1486.7</v>
      </c>
      <c r="E35" s="25">
        <v>1616.6</v>
      </c>
      <c r="F35" s="25">
        <v>0</v>
      </c>
      <c r="G35" s="29">
        <v>152</v>
      </c>
      <c r="H35" s="27">
        <v>0</v>
      </c>
      <c r="I35" s="29">
        <v>1639</v>
      </c>
      <c r="J35" s="29">
        <v>476768</v>
      </c>
      <c r="K35" s="29">
        <v>10230</v>
      </c>
      <c r="L35" s="29">
        <v>486998</v>
      </c>
      <c r="M35" s="29">
        <v>90260</v>
      </c>
      <c r="N35" s="29">
        <v>99160</v>
      </c>
      <c r="O35" s="29">
        <v>0</v>
      </c>
      <c r="P35" s="29">
        <v>45549</v>
      </c>
      <c r="Q35" s="29">
        <v>5304</v>
      </c>
      <c r="R35" s="29">
        <v>727271</v>
      </c>
      <c r="S35" s="29">
        <v>79586</v>
      </c>
      <c r="T35" s="29">
        <v>647685</v>
      </c>
      <c r="U35" s="29">
        <v>347935</v>
      </c>
      <c r="V35" s="29">
        <v>299750</v>
      </c>
    </row>
    <row r="36" spans="1:22" x14ac:dyDescent="0.2">
      <c r="A36" s="20" t="s">
        <v>126</v>
      </c>
      <c r="B36" s="20" t="s">
        <v>529</v>
      </c>
      <c r="C36" s="25">
        <v>482.44</v>
      </c>
      <c r="D36" s="27">
        <v>4100</v>
      </c>
      <c r="E36" s="25">
        <v>4582.4399999999996</v>
      </c>
      <c r="F36" s="25">
        <v>0</v>
      </c>
      <c r="G36" s="29">
        <v>241</v>
      </c>
      <c r="H36" s="27">
        <v>0</v>
      </c>
      <c r="I36" s="29">
        <v>4341</v>
      </c>
      <c r="J36" s="29">
        <v>1360251</v>
      </c>
      <c r="K36" s="29">
        <v>0</v>
      </c>
      <c r="L36" s="29">
        <v>1360251</v>
      </c>
      <c r="M36" s="29">
        <v>238277</v>
      </c>
      <c r="N36" s="29">
        <v>260026</v>
      </c>
      <c r="O36" s="29">
        <v>0</v>
      </c>
      <c r="P36" s="29">
        <v>123084</v>
      </c>
      <c r="Q36" s="29">
        <v>14481</v>
      </c>
      <c r="R36" s="29">
        <v>1996119</v>
      </c>
      <c r="S36" s="29">
        <v>185946</v>
      </c>
      <c r="T36" s="29">
        <v>1810173</v>
      </c>
      <c r="U36" s="29">
        <v>1019328</v>
      </c>
      <c r="V36" s="29">
        <v>790845</v>
      </c>
    </row>
    <row r="37" spans="1:22" x14ac:dyDescent="0.2">
      <c r="A37" s="20" t="s">
        <v>321</v>
      </c>
      <c r="B37" s="20" t="s">
        <v>714</v>
      </c>
      <c r="C37" s="25">
        <v>104.74</v>
      </c>
      <c r="D37" s="27">
        <v>875.9</v>
      </c>
      <c r="E37" s="25">
        <v>980.64</v>
      </c>
      <c r="F37" s="25">
        <v>0</v>
      </c>
      <c r="G37" s="29">
        <v>23</v>
      </c>
      <c r="H37" s="27">
        <v>0</v>
      </c>
      <c r="I37" s="29">
        <v>899</v>
      </c>
      <c r="J37" s="29">
        <v>287563</v>
      </c>
      <c r="K37" s="29">
        <v>4396</v>
      </c>
      <c r="L37" s="29">
        <v>291959</v>
      </c>
      <c r="M37" s="29">
        <v>49490</v>
      </c>
      <c r="N37" s="29">
        <v>54363</v>
      </c>
      <c r="O37" s="29">
        <v>0</v>
      </c>
      <c r="P37" s="29">
        <v>29255</v>
      </c>
      <c r="Q37" s="29">
        <v>3178</v>
      </c>
      <c r="R37" s="29">
        <v>428245</v>
      </c>
      <c r="S37" s="29">
        <v>44907</v>
      </c>
      <c r="T37" s="29">
        <v>383338</v>
      </c>
      <c r="U37" s="29">
        <v>216015</v>
      </c>
      <c r="V37" s="29">
        <v>167323</v>
      </c>
    </row>
    <row r="38" spans="1:22" x14ac:dyDescent="0.2">
      <c r="A38" s="20" t="s">
        <v>186</v>
      </c>
      <c r="B38" s="20" t="s">
        <v>585</v>
      </c>
      <c r="C38" s="25">
        <v>210.9</v>
      </c>
      <c r="D38" s="27">
        <v>1989.4</v>
      </c>
      <c r="E38" s="25">
        <v>2200.3000000000002</v>
      </c>
      <c r="F38" s="25">
        <v>0</v>
      </c>
      <c r="G38" s="29">
        <v>34</v>
      </c>
      <c r="H38" s="27">
        <v>0</v>
      </c>
      <c r="I38" s="29">
        <v>2023</v>
      </c>
      <c r="J38" s="29">
        <v>633290</v>
      </c>
      <c r="K38" s="29">
        <v>0</v>
      </c>
      <c r="L38" s="29">
        <v>633290</v>
      </c>
      <c r="M38" s="29">
        <v>111164</v>
      </c>
      <c r="N38" s="29">
        <v>122027</v>
      </c>
      <c r="O38" s="29">
        <v>0</v>
      </c>
      <c r="P38" s="29">
        <v>52455</v>
      </c>
      <c r="Q38" s="29">
        <v>6667</v>
      </c>
      <c r="R38" s="29">
        <v>925603</v>
      </c>
      <c r="S38" s="29">
        <v>39354</v>
      </c>
      <c r="T38" s="29">
        <v>886249</v>
      </c>
      <c r="U38" s="29">
        <v>532438</v>
      </c>
      <c r="V38" s="29">
        <v>353811</v>
      </c>
    </row>
    <row r="39" spans="1:22" x14ac:dyDescent="0.2">
      <c r="A39" s="20" t="s">
        <v>187</v>
      </c>
      <c r="B39" s="20" t="s">
        <v>586</v>
      </c>
      <c r="C39" s="25">
        <v>325.02999999999997</v>
      </c>
      <c r="D39" s="27">
        <v>2053.4</v>
      </c>
      <c r="E39" s="25">
        <v>2378.4299999999998</v>
      </c>
      <c r="F39" s="25">
        <v>0</v>
      </c>
      <c r="G39" s="29">
        <v>194</v>
      </c>
      <c r="H39" s="27">
        <v>3.5</v>
      </c>
      <c r="I39" s="29">
        <v>2244</v>
      </c>
      <c r="J39" s="29">
        <v>684560</v>
      </c>
      <c r="K39" s="29">
        <v>0</v>
      </c>
      <c r="L39" s="29">
        <v>684560</v>
      </c>
      <c r="M39" s="29">
        <v>123308</v>
      </c>
      <c r="N39" s="29">
        <v>135358</v>
      </c>
      <c r="O39" s="29">
        <v>0</v>
      </c>
      <c r="P39" s="29">
        <v>56702</v>
      </c>
      <c r="Q39" s="29">
        <v>7207</v>
      </c>
      <c r="R39" s="29">
        <v>1007135</v>
      </c>
      <c r="S39" s="29">
        <v>105619</v>
      </c>
      <c r="T39" s="29">
        <v>901516</v>
      </c>
      <c r="U39" s="29">
        <v>512464</v>
      </c>
      <c r="V39" s="29">
        <v>389052</v>
      </c>
    </row>
    <row r="40" spans="1:22" x14ac:dyDescent="0.2">
      <c r="A40" s="20" t="s">
        <v>236</v>
      </c>
      <c r="B40" s="20" t="s">
        <v>632</v>
      </c>
      <c r="C40" s="25">
        <v>67.11</v>
      </c>
      <c r="D40" s="27">
        <v>596.20000000000005</v>
      </c>
      <c r="E40" s="25">
        <v>663.31</v>
      </c>
      <c r="F40" s="25">
        <v>0</v>
      </c>
      <c r="G40" s="29">
        <v>374</v>
      </c>
      <c r="H40" s="27">
        <v>5.7</v>
      </c>
      <c r="I40" s="29">
        <v>965</v>
      </c>
      <c r="J40" s="29">
        <v>200625</v>
      </c>
      <c r="K40" s="29">
        <v>1977</v>
      </c>
      <c r="L40" s="29">
        <v>202602</v>
      </c>
      <c r="M40" s="29">
        <v>53422</v>
      </c>
      <c r="N40" s="29">
        <v>59927</v>
      </c>
      <c r="O40" s="29">
        <v>0</v>
      </c>
      <c r="P40" s="29">
        <v>20360</v>
      </c>
      <c r="Q40" s="29">
        <v>2435</v>
      </c>
      <c r="R40" s="29">
        <v>338746</v>
      </c>
      <c r="S40" s="29">
        <v>31059</v>
      </c>
      <c r="T40" s="29">
        <v>307687</v>
      </c>
      <c r="U40" s="29">
        <v>146287</v>
      </c>
      <c r="V40" s="29">
        <v>161400</v>
      </c>
    </row>
    <row r="41" spans="1:22" x14ac:dyDescent="0.2">
      <c r="A41" s="20" t="s">
        <v>120</v>
      </c>
      <c r="B41" s="20" t="s">
        <v>524</v>
      </c>
      <c r="C41" s="25">
        <v>41.87</v>
      </c>
      <c r="D41" s="27">
        <v>544.70000000000005</v>
      </c>
      <c r="E41" s="25">
        <v>586.57000000000005</v>
      </c>
      <c r="F41" s="25">
        <v>0</v>
      </c>
      <c r="G41" s="29">
        <v>22</v>
      </c>
      <c r="H41" s="27">
        <v>0.5</v>
      </c>
      <c r="I41" s="29">
        <v>566</v>
      </c>
      <c r="J41" s="29">
        <v>175502</v>
      </c>
      <c r="K41" s="29">
        <v>16706</v>
      </c>
      <c r="L41" s="29">
        <v>192208</v>
      </c>
      <c r="M41" s="29">
        <v>31345</v>
      </c>
      <c r="N41" s="29">
        <v>34990</v>
      </c>
      <c r="O41" s="29">
        <v>0</v>
      </c>
      <c r="P41" s="29">
        <v>22809</v>
      </c>
      <c r="Q41" s="29">
        <v>2622</v>
      </c>
      <c r="R41" s="29">
        <v>283974</v>
      </c>
      <c r="S41" s="29">
        <v>32056</v>
      </c>
      <c r="T41" s="29">
        <v>251918</v>
      </c>
      <c r="U41" s="29">
        <v>130046</v>
      </c>
      <c r="V41" s="29">
        <v>121872</v>
      </c>
    </row>
    <row r="42" spans="1:22" x14ac:dyDescent="0.2">
      <c r="A42" s="20" t="s">
        <v>72</v>
      </c>
      <c r="B42" s="20" t="s">
        <v>480</v>
      </c>
      <c r="C42" s="25">
        <v>64.930000000000007</v>
      </c>
      <c r="D42" s="27">
        <v>563.1</v>
      </c>
      <c r="E42" s="25">
        <v>628.03</v>
      </c>
      <c r="F42" s="25">
        <v>0</v>
      </c>
      <c r="G42" s="29">
        <v>3</v>
      </c>
      <c r="H42" s="27">
        <v>0</v>
      </c>
      <c r="I42" s="29">
        <v>566</v>
      </c>
      <c r="J42" s="29">
        <v>187907</v>
      </c>
      <c r="K42" s="29">
        <v>0</v>
      </c>
      <c r="L42" s="29">
        <v>187907</v>
      </c>
      <c r="M42" s="29">
        <v>31345</v>
      </c>
      <c r="N42" s="29">
        <v>34990</v>
      </c>
      <c r="O42" s="29">
        <v>0</v>
      </c>
      <c r="P42" s="29">
        <v>23733</v>
      </c>
      <c r="Q42" s="29">
        <v>2732</v>
      </c>
      <c r="R42" s="29">
        <v>280707</v>
      </c>
      <c r="S42" s="29">
        <v>29369</v>
      </c>
      <c r="T42" s="29">
        <v>251338</v>
      </c>
      <c r="U42" s="29">
        <v>143427</v>
      </c>
      <c r="V42" s="29">
        <v>107911</v>
      </c>
    </row>
    <row r="43" spans="1:22" x14ac:dyDescent="0.2">
      <c r="A43" s="20" t="s">
        <v>106</v>
      </c>
      <c r="B43" s="20" t="s">
        <v>510</v>
      </c>
      <c r="C43" s="25">
        <v>52.96</v>
      </c>
      <c r="D43" s="27">
        <v>455.5</v>
      </c>
      <c r="E43" s="25">
        <v>508.46</v>
      </c>
      <c r="F43" s="25">
        <v>0</v>
      </c>
      <c r="G43" s="29">
        <v>1</v>
      </c>
      <c r="H43" s="27">
        <v>0</v>
      </c>
      <c r="I43" s="29">
        <v>457</v>
      </c>
      <c r="J43" s="29">
        <v>152131</v>
      </c>
      <c r="K43" s="29">
        <v>7991</v>
      </c>
      <c r="L43" s="29">
        <v>160122</v>
      </c>
      <c r="M43" s="29">
        <v>25309</v>
      </c>
      <c r="N43" s="29">
        <v>28252</v>
      </c>
      <c r="O43" s="29">
        <v>0</v>
      </c>
      <c r="P43" s="29">
        <v>20262</v>
      </c>
      <c r="Q43" s="29">
        <v>2329</v>
      </c>
      <c r="R43" s="29">
        <v>236274</v>
      </c>
      <c r="S43" s="29">
        <v>29571</v>
      </c>
      <c r="T43" s="29">
        <v>206703</v>
      </c>
      <c r="U43" s="29">
        <v>111491</v>
      </c>
      <c r="V43" s="29">
        <v>95212</v>
      </c>
    </row>
    <row r="44" spans="1:22" x14ac:dyDescent="0.2">
      <c r="A44" s="20" t="s">
        <v>314</v>
      </c>
      <c r="B44" s="20" t="s">
        <v>707</v>
      </c>
      <c r="C44" s="25">
        <v>765.23</v>
      </c>
      <c r="D44" s="27">
        <v>4263.3</v>
      </c>
      <c r="E44" s="25">
        <v>5028.53</v>
      </c>
      <c r="F44" s="25">
        <v>0</v>
      </c>
      <c r="G44" s="29">
        <v>363</v>
      </c>
      <c r="H44" s="27">
        <v>2</v>
      </c>
      <c r="I44" s="29">
        <v>4624</v>
      </c>
      <c r="J44" s="29">
        <v>1474566</v>
      </c>
      <c r="K44" s="29">
        <v>47900</v>
      </c>
      <c r="L44" s="29">
        <v>1522466</v>
      </c>
      <c r="M44" s="29">
        <v>254551</v>
      </c>
      <c r="N44" s="29">
        <v>279613</v>
      </c>
      <c r="O44" s="29">
        <v>0</v>
      </c>
      <c r="P44" s="29">
        <v>149956</v>
      </c>
      <c r="Q44" s="29">
        <v>16289</v>
      </c>
      <c r="R44" s="29">
        <v>2222875</v>
      </c>
      <c r="S44" s="29">
        <v>231008</v>
      </c>
      <c r="T44" s="29">
        <v>1991867</v>
      </c>
      <c r="U44" s="29">
        <v>1106884</v>
      </c>
      <c r="V44" s="29">
        <v>884983</v>
      </c>
    </row>
    <row r="45" spans="1:22" x14ac:dyDescent="0.2">
      <c r="A45" s="20" t="s">
        <v>272</v>
      </c>
      <c r="B45" s="20" t="s">
        <v>273</v>
      </c>
      <c r="C45" s="25">
        <v>41.32</v>
      </c>
      <c r="D45" s="27">
        <v>496.9</v>
      </c>
      <c r="E45" s="25">
        <v>538.22</v>
      </c>
      <c r="F45" s="25">
        <v>0</v>
      </c>
      <c r="G45" s="29">
        <v>0</v>
      </c>
      <c r="H45" s="27">
        <v>0</v>
      </c>
      <c r="I45" s="29">
        <v>497</v>
      </c>
      <c r="J45" s="29">
        <v>159249</v>
      </c>
      <c r="K45" s="29">
        <v>0</v>
      </c>
      <c r="L45" s="29">
        <v>159249</v>
      </c>
      <c r="M45" s="29">
        <v>27375</v>
      </c>
      <c r="N45" s="29">
        <v>30267</v>
      </c>
      <c r="O45" s="29">
        <v>0</v>
      </c>
      <c r="P45" s="29">
        <v>16351</v>
      </c>
      <c r="Q45" s="29">
        <v>1749</v>
      </c>
      <c r="R45" s="29">
        <v>234991</v>
      </c>
      <c r="S45" s="29">
        <v>25872</v>
      </c>
      <c r="T45" s="29">
        <v>209119</v>
      </c>
      <c r="U45" s="29">
        <v>117633</v>
      </c>
      <c r="V45" s="29">
        <v>91486</v>
      </c>
    </row>
    <row r="46" spans="1:22" x14ac:dyDescent="0.2">
      <c r="A46" s="20" t="s">
        <v>73</v>
      </c>
      <c r="B46" s="20" t="s">
        <v>74</v>
      </c>
      <c r="C46" s="25">
        <v>54.67</v>
      </c>
      <c r="D46" s="27">
        <v>256.8</v>
      </c>
      <c r="E46" s="25">
        <v>311.47000000000003</v>
      </c>
      <c r="F46" s="25">
        <v>0</v>
      </c>
      <c r="G46" s="29">
        <v>15</v>
      </c>
      <c r="H46" s="27">
        <v>0.2</v>
      </c>
      <c r="I46" s="29">
        <v>272</v>
      </c>
      <c r="J46" s="29">
        <v>93192</v>
      </c>
      <c r="K46" s="29">
        <v>6</v>
      </c>
      <c r="L46" s="29">
        <v>93198</v>
      </c>
      <c r="M46" s="29">
        <v>15063</v>
      </c>
      <c r="N46" s="29">
        <v>16815</v>
      </c>
      <c r="O46" s="29">
        <v>0</v>
      </c>
      <c r="P46" s="29">
        <v>11793</v>
      </c>
      <c r="Q46" s="29">
        <v>1356</v>
      </c>
      <c r="R46" s="29">
        <v>138225</v>
      </c>
      <c r="S46" s="29">
        <v>14140</v>
      </c>
      <c r="T46" s="29">
        <v>124085</v>
      </c>
      <c r="U46" s="29">
        <v>71582</v>
      </c>
      <c r="V46" s="29">
        <v>52503</v>
      </c>
    </row>
    <row r="47" spans="1:22" x14ac:dyDescent="0.2">
      <c r="A47" s="20" t="s">
        <v>127</v>
      </c>
      <c r="B47" s="20" t="s">
        <v>530</v>
      </c>
      <c r="C47" s="25">
        <v>47.38</v>
      </c>
      <c r="D47" s="27">
        <v>437.3</v>
      </c>
      <c r="E47" s="25">
        <v>484.68</v>
      </c>
      <c r="F47" s="25">
        <v>0</v>
      </c>
      <c r="G47" s="29">
        <v>0</v>
      </c>
      <c r="H47" s="27">
        <v>0</v>
      </c>
      <c r="I47" s="29">
        <v>437</v>
      </c>
      <c r="J47" s="29">
        <v>143872</v>
      </c>
      <c r="K47" s="29">
        <v>11847</v>
      </c>
      <c r="L47" s="29">
        <v>155719</v>
      </c>
      <c r="M47" s="29">
        <v>23987</v>
      </c>
      <c r="N47" s="29">
        <v>26176</v>
      </c>
      <c r="O47" s="29">
        <v>0</v>
      </c>
      <c r="P47" s="29">
        <v>13262</v>
      </c>
      <c r="Q47" s="29">
        <v>1558</v>
      </c>
      <c r="R47" s="29">
        <v>220702</v>
      </c>
      <c r="S47" s="29">
        <v>24342</v>
      </c>
      <c r="T47" s="29">
        <v>196360</v>
      </c>
      <c r="U47" s="29">
        <v>103408</v>
      </c>
      <c r="V47" s="29">
        <v>92952</v>
      </c>
    </row>
    <row r="48" spans="1:22" x14ac:dyDescent="0.2">
      <c r="A48" s="20" t="s">
        <v>128</v>
      </c>
      <c r="B48" s="20" t="s">
        <v>531</v>
      </c>
      <c r="C48" s="25">
        <v>106.61</v>
      </c>
      <c r="D48" s="27">
        <v>839.3</v>
      </c>
      <c r="E48" s="25">
        <v>945.91</v>
      </c>
      <c r="F48" s="25">
        <v>0</v>
      </c>
      <c r="G48" s="29">
        <v>19</v>
      </c>
      <c r="H48" s="27">
        <v>0</v>
      </c>
      <c r="I48" s="29">
        <v>858</v>
      </c>
      <c r="J48" s="29">
        <v>280784</v>
      </c>
      <c r="K48" s="29">
        <v>870</v>
      </c>
      <c r="L48" s="29">
        <v>281654</v>
      </c>
      <c r="M48" s="29">
        <v>47096</v>
      </c>
      <c r="N48" s="29">
        <v>51394</v>
      </c>
      <c r="O48" s="29">
        <v>0</v>
      </c>
      <c r="P48" s="29">
        <v>25407</v>
      </c>
      <c r="Q48" s="29">
        <v>2989</v>
      </c>
      <c r="R48" s="29">
        <v>408540</v>
      </c>
      <c r="S48" s="29">
        <v>41235</v>
      </c>
      <c r="T48" s="29">
        <v>367305</v>
      </c>
      <c r="U48" s="29">
        <v>207558</v>
      </c>
      <c r="V48" s="29">
        <v>159747</v>
      </c>
    </row>
    <row r="49" spans="1:22" x14ac:dyDescent="0.2">
      <c r="A49" s="20" t="s">
        <v>315</v>
      </c>
      <c r="B49" s="20" t="s">
        <v>708</v>
      </c>
      <c r="C49" s="25">
        <v>67.430000000000007</v>
      </c>
      <c r="D49" s="27">
        <v>573.70000000000005</v>
      </c>
      <c r="E49" s="25">
        <v>641.13</v>
      </c>
      <c r="F49" s="25">
        <v>0</v>
      </c>
      <c r="G49" s="29">
        <v>0</v>
      </c>
      <c r="H49" s="27">
        <v>0</v>
      </c>
      <c r="I49" s="29">
        <v>574</v>
      </c>
      <c r="J49" s="29">
        <v>188005</v>
      </c>
      <c r="K49" s="29">
        <v>0</v>
      </c>
      <c r="L49" s="29">
        <v>188005</v>
      </c>
      <c r="M49" s="29">
        <v>31599</v>
      </c>
      <c r="N49" s="29">
        <v>34710</v>
      </c>
      <c r="O49" s="29">
        <v>0</v>
      </c>
      <c r="P49" s="29">
        <v>18843</v>
      </c>
      <c r="Q49" s="29">
        <v>2052</v>
      </c>
      <c r="R49" s="29">
        <v>275209</v>
      </c>
      <c r="S49" s="29">
        <v>29808</v>
      </c>
      <c r="T49" s="29">
        <v>245401</v>
      </c>
      <c r="U49" s="29">
        <v>140470</v>
      </c>
      <c r="V49" s="29">
        <v>104931</v>
      </c>
    </row>
    <row r="50" spans="1:22" x14ac:dyDescent="0.2">
      <c r="A50" s="20" t="s">
        <v>188</v>
      </c>
      <c r="B50" s="20" t="s">
        <v>587</v>
      </c>
      <c r="C50" s="25">
        <v>207.16</v>
      </c>
      <c r="D50" s="27">
        <v>1943.7</v>
      </c>
      <c r="E50" s="25">
        <v>2150.86</v>
      </c>
      <c r="F50" s="25">
        <v>0</v>
      </c>
      <c r="G50" s="29">
        <v>20</v>
      </c>
      <c r="H50" s="27">
        <v>0</v>
      </c>
      <c r="I50" s="29">
        <v>1964</v>
      </c>
      <c r="J50" s="29">
        <v>619061</v>
      </c>
      <c r="K50" s="29">
        <v>0</v>
      </c>
      <c r="L50" s="29">
        <v>619061</v>
      </c>
      <c r="M50" s="29">
        <v>107922</v>
      </c>
      <c r="N50" s="29">
        <v>118468</v>
      </c>
      <c r="O50" s="29">
        <v>0</v>
      </c>
      <c r="P50" s="29">
        <v>51277</v>
      </c>
      <c r="Q50" s="29">
        <v>6517</v>
      </c>
      <c r="R50" s="29">
        <v>903245</v>
      </c>
      <c r="S50" s="29">
        <v>58812</v>
      </c>
      <c r="T50" s="29">
        <v>844433</v>
      </c>
      <c r="U50" s="29">
        <v>500132</v>
      </c>
      <c r="V50" s="29">
        <v>344301</v>
      </c>
    </row>
    <row r="51" spans="1:22" x14ac:dyDescent="0.2">
      <c r="A51" s="20" t="s">
        <v>189</v>
      </c>
      <c r="B51" s="20" t="s">
        <v>588</v>
      </c>
      <c r="C51" s="25">
        <v>212.32</v>
      </c>
      <c r="D51" s="27">
        <v>1701.1</v>
      </c>
      <c r="E51" s="25">
        <v>1913.42</v>
      </c>
      <c r="F51" s="25">
        <v>0</v>
      </c>
      <c r="G51" s="29">
        <v>877</v>
      </c>
      <c r="H51" s="27">
        <v>29.1</v>
      </c>
      <c r="I51" s="29">
        <v>2549</v>
      </c>
      <c r="J51" s="29">
        <v>550721</v>
      </c>
      <c r="K51" s="29">
        <v>0</v>
      </c>
      <c r="L51" s="29">
        <v>550721</v>
      </c>
      <c r="M51" s="29">
        <v>140068</v>
      </c>
      <c r="N51" s="29">
        <v>153756</v>
      </c>
      <c r="O51" s="29">
        <v>0</v>
      </c>
      <c r="P51" s="29">
        <v>45616</v>
      </c>
      <c r="Q51" s="29">
        <v>5798</v>
      </c>
      <c r="R51" s="29">
        <v>895959</v>
      </c>
      <c r="S51" s="29">
        <v>92884</v>
      </c>
      <c r="T51" s="29">
        <v>803075</v>
      </c>
      <c r="U51" s="29">
        <v>404357</v>
      </c>
      <c r="V51" s="29">
        <v>398718</v>
      </c>
    </row>
    <row r="52" spans="1:22" x14ac:dyDescent="0.2">
      <c r="A52" s="20" t="s">
        <v>75</v>
      </c>
      <c r="B52" s="20" t="s">
        <v>481</v>
      </c>
      <c r="C52" s="25">
        <v>693.64</v>
      </c>
      <c r="D52" s="27">
        <v>5127.5</v>
      </c>
      <c r="E52" s="25">
        <v>5821.14</v>
      </c>
      <c r="F52" s="25">
        <v>0</v>
      </c>
      <c r="G52" s="29">
        <v>314</v>
      </c>
      <c r="H52" s="27">
        <v>1.6</v>
      </c>
      <c r="I52" s="29">
        <v>5440</v>
      </c>
      <c r="J52" s="29">
        <v>1741685</v>
      </c>
      <c r="K52" s="29">
        <v>0</v>
      </c>
      <c r="L52" s="29">
        <v>1741685</v>
      </c>
      <c r="M52" s="29">
        <v>301267</v>
      </c>
      <c r="N52" s="29">
        <v>336301</v>
      </c>
      <c r="O52" s="29">
        <v>0</v>
      </c>
      <c r="P52" s="29">
        <v>219981</v>
      </c>
      <c r="Q52" s="29">
        <v>25322</v>
      </c>
      <c r="R52" s="29">
        <v>2624556</v>
      </c>
      <c r="S52" s="29">
        <v>198163</v>
      </c>
      <c r="T52" s="29">
        <v>2426393</v>
      </c>
      <c r="U52" s="29">
        <v>1403466</v>
      </c>
      <c r="V52" s="29">
        <v>1022927</v>
      </c>
    </row>
    <row r="53" spans="1:22" x14ac:dyDescent="0.2">
      <c r="A53" s="20" t="s">
        <v>149</v>
      </c>
      <c r="B53" s="20" t="s">
        <v>551</v>
      </c>
      <c r="C53" s="25">
        <v>2479.91</v>
      </c>
      <c r="D53" s="27">
        <v>17129.400000000001</v>
      </c>
      <c r="E53" s="25">
        <v>19609.310000000001</v>
      </c>
      <c r="F53" s="25">
        <v>0</v>
      </c>
      <c r="G53" s="29">
        <v>2047</v>
      </c>
      <c r="H53" s="27">
        <v>24.6</v>
      </c>
      <c r="I53" s="29">
        <v>19152</v>
      </c>
      <c r="J53" s="29">
        <v>5783178</v>
      </c>
      <c r="K53" s="29">
        <v>0</v>
      </c>
      <c r="L53" s="29">
        <v>5783178</v>
      </c>
      <c r="M53" s="29">
        <v>1054701</v>
      </c>
      <c r="N53" s="29">
        <v>1158696</v>
      </c>
      <c r="O53" s="29">
        <v>0</v>
      </c>
      <c r="P53" s="29">
        <v>541413</v>
      </c>
      <c r="Q53" s="29">
        <v>63142</v>
      </c>
      <c r="R53" s="29">
        <v>8601130</v>
      </c>
      <c r="S53" s="29">
        <v>846317</v>
      </c>
      <c r="T53" s="29">
        <v>7754813</v>
      </c>
      <c r="U53" s="29">
        <v>4327207</v>
      </c>
      <c r="V53" s="29">
        <v>3427606</v>
      </c>
    </row>
    <row r="54" spans="1:22" x14ac:dyDescent="0.2">
      <c r="A54" s="20" t="s">
        <v>150</v>
      </c>
      <c r="B54" s="20" t="s">
        <v>552</v>
      </c>
      <c r="C54" s="25">
        <v>125.89</v>
      </c>
      <c r="D54" s="27">
        <v>1356.3</v>
      </c>
      <c r="E54" s="25">
        <v>1482.19</v>
      </c>
      <c r="F54" s="25">
        <v>0</v>
      </c>
      <c r="G54" s="29">
        <v>8</v>
      </c>
      <c r="H54" s="27">
        <v>0</v>
      </c>
      <c r="I54" s="29">
        <v>1364</v>
      </c>
      <c r="J54" s="29">
        <v>437127</v>
      </c>
      <c r="K54" s="29">
        <v>0</v>
      </c>
      <c r="L54" s="29">
        <v>437127</v>
      </c>
      <c r="M54" s="29">
        <v>75115</v>
      </c>
      <c r="N54" s="29">
        <v>82522</v>
      </c>
      <c r="O54" s="29">
        <v>0</v>
      </c>
      <c r="P54" s="29">
        <v>40923</v>
      </c>
      <c r="Q54" s="29">
        <v>4773</v>
      </c>
      <c r="R54" s="29">
        <v>640460</v>
      </c>
      <c r="S54" s="29">
        <v>46594</v>
      </c>
      <c r="T54" s="29">
        <v>593866</v>
      </c>
      <c r="U54" s="29">
        <v>344452</v>
      </c>
      <c r="V54" s="29">
        <v>249414</v>
      </c>
    </row>
    <row r="55" spans="1:22" x14ac:dyDescent="0.2">
      <c r="A55" s="20" t="s">
        <v>316</v>
      </c>
      <c r="B55" s="20" t="s">
        <v>709</v>
      </c>
      <c r="C55" s="25">
        <v>155.21</v>
      </c>
      <c r="D55" s="27">
        <v>1376.4</v>
      </c>
      <c r="E55" s="25">
        <v>1531.61</v>
      </c>
      <c r="F55" s="25">
        <v>0</v>
      </c>
      <c r="G55" s="29">
        <v>0</v>
      </c>
      <c r="H55" s="27">
        <v>0</v>
      </c>
      <c r="I55" s="29">
        <v>1376</v>
      </c>
      <c r="J55" s="29">
        <v>449129</v>
      </c>
      <c r="K55" s="29">
        <v>0</v>
      </c>
      <c r="L55" s="29">
        <v>449129</v>
      </c>
      <c r="M55" s="29">
        <v>75749</v>
      </c>
      <c r="N55" s="29">
        <v>83207</v>
      </c>
      <c r="O55" s="29">
        <v>0</v>
      </c>
      <c r="P55" s="29">
        <v>45014</v>
      </c>
      <c r="Q55" s="29">
        <v>4901</v>
      </c>
      <c r="R55" s="29">
        <v>658000</v>
      </c>
      <c r="S55" s="29">
        <v>76839</v>
      </c>
      <c r="T55" s="29">
        <v>581161</v>
      </c>
      <c r="U55" s="29">
        <v>329941</v>
      </c>
      <c r="V55" s="29">
        <v>251220</v>
      </c>
    </row>
    <row r="56" spans="1:22" x14ac:dyDescent="0.2">
      <c r="A56" s="20" t="s">
        <v>317</v>
      </c>
      <c r="B56" s="20" t="s">
        <v>710</v>
      </c>
      <c r="C56" s="25">
        <v>75.430000000000007</v>
      </c>
      <c r="D56" s="27">
        <v>766.7</v>
      </c>
      <c r="E56" s="25">
        <v>842.13</v>
      </c>
      <c r="F56" s="25">
        <v>0</v>
      </c>
      <c r="G56" s="29">
        <v>16</v>
      </c>
      <c r="H56" s="27">
        <v>0</v>
      </c>
      <c r="I56" s="29">
        <v>783</v>
      </c>
      <c r="J56" s="29">
        <v>246946</v>
      </c>
      <c r="K56" s="29">
        <v>9456</v>
      </c>
      <c r="L56" s="29">
        <v>256402</v>
      </c>
      <c r="M56" s="29">
        <v>43104</v>
      </c>
      <c r="N56" s="29">
        <v>47348</v>
      </c>
      <c r="O56" s="29">
        <v>0</v>
      </c>
      <c r="P56" s="29">
        <v>25554</v>
      </c>
      <c r="Q56" s="29">
        <v>2776</v>
      </c>
      <c r="R56" s="29">
        <v>375184</v>
      </c>
      <c r="S56" s="29">
        <v>46695</v>
      </c>
      <c r="T56" s="29">
        <v>328489</v>
      </c>
      <c r="U56" s="29">
        <v>177851</v>
      </c>
      <c r="V56" s="29">
        <v>150638</v>
      </c>
    </row>
    <row r="57" spans="1:22" x14ac:dyDescent="0.2">
      <c r="A57" s="20" t="s">
        <v>2</v>
      </c>
      <c r="B57" s="20" t="s">
        <v>417</v>
      </c>
      <c r="C57" s="25">
        <v>52.58</v>
      </c>
      <c r="D57" s="27">
        <v>418.6</v>
      </c>
      <c r="E57" s="25">
        <v>471.18</v>
      </c>
      <c r="F57" s="25">
        <v>0</v>
      </c>
      <c r="G57" s="29">
        <v>1</v>
      </c>
      <c r="H57" s="27">
        <v>0</v>
      </c>
      <c r="I57" s="29">
        <v>420</v>
      </c>
      <c r="J57" s="29">
        <v>146103</v>
      </c>
      <c r="K57" s="29">
        <v>22893</v>
      </c>
      <c r="L57" s="29">
        <v>168996</v>
      </c>
      <c r="M57" s="29">
        <v>23247</v>
      </c>
      <c r="N57" s="29">
        <v>25927</v>
      </c>
      <c r="O57" s="29">
        <v>0</v>
      </c>
      <c r="P57" s="29">
        <v>14702</v>
      </c>
      <c r="Q57" s="29">
        <v>1579</v>
      </c>
      <c r="R57" s="29">
        <v>234451</v>
      </c>
      <c r="S57" s="29">
        <v>29988</v>
      </c>
      <c r="T57" s="29">
        <v>204463</v>
      </c>
      <c r="U57" s="29">
        <v>96078</v>
      </c>
      <c r="V57" s="29">
        <v>108385</v>
      </c>
    </row>
    <row r="58" spans="1:22" x14ac:dyDescent="0.2">
      <c r="A58" s="20" t="s">
        <v>129</v>
      </c>
      <c r="B58" s="20" t="s">
        <v>532</v>
      </c>
      <c r="C58" s="25">
        <v>164.48</v>
      </c>
      <c r="D58" s="27">
        <v>1462.7</v>
      </c>
      <c r="E58" s="25">
        <v>1627.18</v>
      </c>
      <c r="F58" s="25">
        <v>0</v>
      </c>
      <c r="G58" s="29">
        <v>160</v>
      </c>
      <c r="H58" s="27">
        <v>0</v>
      </c>
      <c r="I58" s="29">
        <v>1623</v>
      </c>
      <c r="J58" s="29">
        <v>483012</v>
      </c>
      <c r="K58" s="29">
        <v>0</v>
      </c>
      <c r="L58" s="29">
        <v>483012</v>
      </c>
      <c r="M58" s="29">
        <v>89086</v>
      </c>
      <c r="N58" s="29">
        <v>97218</v>
      </c>
      <c r="O58" s="29">
        <v>0</v>
      </c>
      <c r="P58" s="29">
        <v>43706</v>
      </c>
      <c r="Q58" s="29">
        <v>5142</v>
      </c>
      <c r="R58" s="29">
        <v>718164</v>
      </c>
      <c r="S58" s="29">
        <v>77370</v>
      </c>
      <c r="T58" s="29">
        <v>640794</v>
      </c>
      <c r="U58" s="29">
        <v>350611</v>
      </c>
      <c r="V58" s="29">
        <v>290183</v>
      </c>
    </row>
    <row r="59" spans="1:22" x14ac:dyDescent="0.2">
      <c r="A59" s="20" t="s">
        <v>151</v>
      </c>
      <c r="B59" s="20" t="s">
        <v>553</v>
      </c>
      <c r="C59" s="25">
        <v>48.49</v>
      </c>
      <c r="D59" s="27">
        <v>473.6</v>
      </c>
      <c r="E59" s="25">
        <v>522.09</v>
      </c>
      <c r="F59" s="25">
        <v>0</v>
      </c>
      <c r="G59" s="29">
        <v>2</v>
      </c>
      <c r="H59" s="27">
        <v>0</v>
      </c>
      <c r="I59" s="29">
        <v>476</v>
      </c>
      <c r="J59" s="29">
        <v>153975</v>
      </c>
      <c r="K59" s="29">
        <v>12</v>
      </c>
      <c r="L59" s="29">
        <v>153987</v>
      </c>
      <c r="M59" s="29">
        <v>26213</v>
      </c>
      <c r="N59" s="29">
        <v>28798</v>
      </c>
      <c r="O59" s="29">
        <v>0</v>
      </c>
      <c r="P59" s="29">
        <v>14415</v>
      </c>
      <c r="Q59" s="29">
        <v>1681</v>
      </c>
      <c r="R59" s="29">
        <v>225094</v>
      </c>
      <c r="S59" s="29">
        <v>23775</v>
      </c>
      <c r="T59" s="29">
        <v>201319</v>
      </c>
      <c r="U59" s="29">
        <v>113968</v>
      </c>
      <c r="V59" s="29">
        <v>87351</v>
      </c>
    </row>
    <row r="60" spans="1:22" x14ac:dyDescent="0.2">
      <c r="A60" s="20" t="s">
        <v>274</v>
      </c>
      <c r="B60" s="20" t="s">
        <v>668</v>
      </c>
      <c r="C60" s="25">
        <v>95.69</v>
      </c>
      <c r="D60" s="27">
        <v>616.70000000000005</v>
      </c>
      <c r="E60" s="25">
        <v>712.39</v>
      </c>
      <c r="F60" s="25">
        <v>0</v>
      </c>
      <c r="G60" s="29">
        <v>1</v>
      </c>
      <c r="H60" s="27">
        <v>0</v>
      </c>
      <c r="I60" s="29">
        <v>618</v>
      </c>
      <c r="J60" s="29">
        <v>210782</v>
      </c>
      <c r="K60" s="29">
        <v>14807</v>
      </c>
      <c r="L60" s="29">
        <v>225589</v>
      </c>
      <c r="M60" s="29">
        <v>34039</v>
      </c>
      <c r="N60" s="29">
        <v>37636</v>
      </c>
      <c r="O60" s="29">
        <v>0</v>
      </c>
      <c r="P60" s="29">
        <v>22527</v>
      </c>
      <c r="Q60" s="29">
        <v>2404</v>
      </c>
      <c r="R60" s="29">
        <v>322195</v>
      </c>
      <c r="S60" s="29">
        <v>35545</v>
      </c>
      <c r="T60" s="29">
        <v>286650</v>
      </c>
      <c r="U60" s="29">
        <v>155373</v>
      </c>
      <c r="V60" s="29">
        <v>131277</v>
      </c>
    </row>
    <row r="61" spans="1:22" x14ac:dyDescent="0.2">
      <c r="A61" s="20" t="s">
        <v>237</v>
      </c>
      <c r="B61" s="20" t="s">
        <v>633</v>
      </c>
      <c r="C61" s="25">
        <v>74.790000000000006</v>
      </c>
      <c r="D61" s="27">
        <v>761.2</v>
      </c>
      <c r="E61" s="25">
        <v>835.99</v>
      </c>
      <c r="F61" s="25">
        <v>0</v>
      </c>
      <c r="G61" s="29">
        <v>115</v>
      </c>
      <c r="H61" s="27">
        <v>0</v>
      </c>
      <c r="I61" s="29">
        <v>876</v>
      </c>
      <c r="J61" s="29">
        <v>252854</v>
      </c>
      <c r="K61" s="29">
        <v>0</v>
      </c>
      <c r="L61" s="29">
        <v>252854</v>
      </c>
      <c r="M61" s="29">
        <v>48495</v>
      </c>
      <c r="N61" s="29">
        <v>54400</v>
      </c>
      <c r="O61" s="29">
        <v>0</v>
      </c>
      <c r="P61" s="29">
        <v>25414</v>
      </c>
      <c r="Q61" s="29">
        <v>3043</v>
      </c>
      <c r="R61" s="29">
        <v>384206</v>
      </c>
      <c r="S61" s="29">
        <v>34843</v>
      </c>
      <c r="T61" s="29">
        <v>349363</v>
      </c>
      <c r="U61" s="29">
        <v>188400</v>
      </c>
      <c r="V61" s="29">
        <v>160963</v>
      </c>
    </row>
    <row r="62" spans="1:22" x14ac:dyDescent="0.2">
      <c r="A62" s="20" t="s">
        <v>318</v>
      </c>
      <c r="B62" s="20" t="s">
        <v>711</v>
      </c>
      <c r="C62" s="25">
        <v>148.38</v>
      </c>
      <c r="D62" s="27">
        <v>1240.5</v>
      </c>
      <c r="E62" s="25">
        <v>1388.88</v>
      </c>
      <c r="F62" s="25">
        <v>0</v>
      </c>
      <c r="G62" s="29">
        <v>3</v>
      </c>
      <c r="H62" s="27">
        <v>0</v>
      </c>
      <c r="I62" s="29">
        <v>1244</v>
      </c>
      <c r="J62" s="29">
        <v>407275</v>
      </c>
      <c r="K62" s="29">
        <v>33106</v>
      </c>
      <c r="L62" s="29">
        <v>440381</v>
      </c>
      <c r="M62" s="29">
        <v>68482</v>
      </c>
      <c r="N62" s="29">
        <v>75225</v>
      </c>
      <c r="O62" s="29">
        <v>0</v>
      </c>
      <c r="P62" s="29">
        <v>41134</v>
      </c>
      <c r="Q62" s="29">
        <v>4468</v>
      </c>
      <c r="R62" s="29">
        <v>629690</v>
      </c>
      <c r="S62" s="29">
        <v>69564</v>
      </c>
      <c r="T62" s="29">
        <v>560126</v>
      </c>
      <c r="U62" s="29">
        <v>299647</v>
      </c>
      <c r="V62" s="29">
        <v>260479</v>
      </c>
    </row>
    <row r="63" spans="1:22" x14ac:dyDescent="0.2">
      <c r="A63" s="20" t="s">
        <v>77</v>
      </c>
      <c r="B63" s="20" t="s">
        <v>483</v>
      </c>
      <c r="C63" s="25">
        <v>234.51</v>
      </c>
      <c r="D63" s="27">
        <v>1501.7</v>
      </c>
      <c r="E63" s="25">
        <v>1736.21</v>
      </c>
      <c r="F63" s="25">
        <v>0</v>
      </c>
      <c r="G63" s="29">
        <v>205</v>
      </c>
      <c r="H63" s="27">
        <v>3.3</v>
      </c>
      <c r="I63" s="29">
        <v>1703</v>
      </c>
      <c r="J63" s="29">
        <v>519474</v>
      </c>
      <c r="K63" s="29">
        <v>0</v>
      </c>
      <c r="L63" s="29">
        <v>519474</v>
      </c>
      <c r="M63" s="29">
        <v>94312</v>
      </c>
      <c r="N63" s="29">
        <v>105279</v>
      </c>
      <c r="O63" s="29">
        <v>0</v>
      </c>
      <c r="P63" s="29">
        <v>65611</v>
      </c>
      <c r="Q63" s="29">
        <v>7553</v>
      </c>
      <c r="R63" s="29">
        <v>792229</v>
      </c>
      <c r="S63" s="29">
        <v>82982</v>
      </c>
      <c r="T63" s="29">
        <v>709247</v>
      </c>
      <c r="U63" s="29">
        <v>394719</v>
      </c>
      <c r="V63" s="29">
        <v>314528</v>
      </c>
    </row>
    <row r="64" spans="1:22" x14ac:dyDescent="0.2">
      <c r="A64" s="20" t="s">
        <v>238</v>
      </c>
      <c r="B64" s="20" t="s">
        <v>634</v>
      </c>
      <c r="C64" s="25">
        <v>42.88</v>
      </c>
      <c r="D64" s="27">
        <v>259.10000000000002</v>
      </c>
      <c r="E64" s="25">
        <v>301.98</v>
      </c>
      <c r="F64" s="25">
        <v>0</v>
      </c>
      <c r="G64" s="29">
        <v>0</v>
      </c>
      <c r="H64" s="27">
        <v>0</v>
      </c>
      <c r="I64" s="29">
        <v>259</v>
      </c>
      <c r="J64" s="29">
        <v>91337</v>
      </c>
      <c r="K64" s="29">
        <v>8344</v>
      </c>
      <c r="L64" s="29">
        <v>99681</v>
      </c>
      <c r="M64" s="29">
        <v>14338</v>
      </c>
      <c r="N64" s="29">
        <v>16084</v>
      </c>
      <c r="O64" s="29">
        <v>0</v>
      </c>
      <c r="P64" s="29">
        <v>9347</v>
      </c>
      <c r="Q64" s="29">
        <v>1118</v>
      </c>
      <c r="R64" s="29">
        <v>140568</v>
      </c>
      <c r="S64" s="29">
        <v>17747</v>
      </c>
      <c r="T64" s="29">
        <v>122821</v>
      </c>
      <c r="U64" s="29">
        <v>63079</v>
      </c>
      <c r="V64" s="29">
        <v>59742</v>
      </c>
    </row>
    <row r="65" spans="1:22" x14ac:dyDescent="0.2">
      <c r="A65" s="20" t="s">
        <v>239</v>
      </c>
      <c r="B65" s="20" t="s">
        <v>635</v>
      </c>
      <c r="C65" s="25">
        <v>110.41</v>
      </c>
      <c r="D65" s="27">
        <v>973.5</v>
      </c>
      <c r="E65" s="25">
        <v>1083.9100000000001</v>
      </c>
      <c r="F65" s="25">
        <v>0</v>
      </c>
      <c r="G65" s="29">
        <v>2</v>
      </c>
      <c r="H65" s="27">
        <v>0</v>
      </c>
      <c r="I65" s="29">
        <v>976</v>
      </c>
      <c r="J65" s="29">
        <v>327839</v>
      </c>
      <c r="K65" s="29">
        <v>0</v>
      </c>
      <c r="L65" s="29">
        <v>327839</v>
      </c>
      <c r="M65" s="29">
        <v>54031</v>
      </c>
      <c r="N65" s="29">
        <v>60610</v>
      </c>
      <c r="O65" s="29">
        <v>0</v>
      </c>
      <c r="P65" s="29">
        <v>32951</v>
      </c>
      <c r="Q65" s="29">
        <v>3945</v>
      </c>
      <c r="R65" s="29">
        <v>479376</v>
      </c>
      <c r="S65" s="29">
        <v>53299</v>
      </c>
      <c r="T65" s="29">
        <v>426077</v>
      </c>
      <c r="U65" s="29">
        <v>236148</v>
      </c>
      <c r="V65" s="29">
        <v>189929</v>
      </c>
    </row>
    <row r="66" spans="1:22" x14ac:dyDescent="0.2">
      <c r="A66" s="20" t="s">
        <v>275</v>
      </c>
      <c r="B66" s="20" t="s">
        <v>669</v>
      </c>
      <c r="C66" s="25">
        <v>88.17</v>
      </c>
      <c r="D66" s="27">
        <v>979.4</v>
      </c>
      <c r="E66" s="25">
        <v>1067.57</v>
      </c>
      <c r="F66" s="25">
        <v>0</v>
      </c>
      <c r="G66" s="29">
        <v>71</v>
      </c>
      <c r="H66" s="27">
        <v>0.8</v>
      </c>
      <c r="I66" s="29">
        <v>1050</v>
      </c>
      <c r="J66" s="29">
        <v>315873</v>
      </c>
      <c r="K66" s="29">
        <v>0</v>
      </c>
      <c r="L66" s="29">
        <v>315873</v>
      </c>
      <c r="M66" s="29">
        <v>57834</v>
      </c>
      <c r="N66" s="29">
        <v>63945</v>
      </c>
      <c r="O66" s="29">
        <v>0</v>
      </c>
      <c r="P66" s="29">
        <v>32433</v>
      </c>
      <c r="Q66" s="29">
        <v>3470</v>
      </c>
      <c r="R66" s="29">
        <v>473555</v>
      </c>
      <c r="S66" s="29">
        <v>50182</v>
      </c>
      <c r="T66" s="29">
        <v>423373</v>
      </c>
      <c r="U66" s="29">
        <v>234465</v>
      </c>
      <c r="V66" s="29">
        <v>188908</v>
      </c>
    </row>
    <row r="67" spans="1:22" x14ac:dyDescent="0.2">
      <c r="A67" s="20" t="s">
        <v>27</v>
      </c>
      <c r="B67" s="20" t="s">
        <v>441</v>
      </c>
      <c r="C67" s="25">
        <v>113.37</v>
      </c>
      <c r="D67" s="27">
        <v>943.6</v>
      </c>
      <c r="E67" s="25">
        <v>1056.97</v>
      </c>
      <c r="F67" s="25">
        <v>3.05</v>
      </c>
      <c r="G67" s="29">
        <v>3</v>
      </c>
      <c r="H67" s="27">
        <v>0</v>
      </c>
      <c r="I67" s="29">
        <v>947</v>
      </c>
      <c r="J67" s="29">
        <v>323253</v>
      </c>
      <c r="K67" s="29">
        <v>9610</v>
      </c>
      <c r="L67" s="29">
        <v>332863</v>
      </c>
      <c r="M67" s="29">
        <v>52492</v>
      </c>
      <c r="N67" s="29">
        <v>58903</v>
      </c>
      <c r="O67" s="29">
        <v>933</v>
      </c>
      <c r="P67" s="29">
        <v>35407</v>
      </c>
      <c r="Q67" s="29">
        <v>4220</v>
      </c>
      <c r="R67" s="29">
        <v>484818</v>
      </c>
      <c r="S67" s="29">
        <v>52020</v>
      </c>
      <c r="T67" s="29">
        <v>432798</v>
      </c>
      <c r="U67" s="29">
        <v>234592</v>
      </c>
      <c r="V67" s="29">
        <v>198206</v>
      </c>
    </row>
    <row r="68" spans="1:22" x14ac:dyDescent="0.2">
      <c r="A68" s="20" t="s">
        <v>276</v>
      </c>
      <c r="B68" s="20" t="s">
        <v>670</v>
      </c>
      <c r="C68" s="25">
        <v>218.38</v>
      </c>
      <c r="D68" s="27">
        <v>1459.6</v>
      </c>
      <c r="E68" s="25">
        <v>1677.98</v>
      </c>
      <c r="F68" s="25">
        <v>0</v>
      </c>
      <c r="G68" s="29">
        <v>1</v>
      </c>
      <c r="H68" s="27">
        <v>0</v>
      </c>
      <c r="I68" s="29">
        <v>1461</v>
      </c>
      <c r="J68" s="29">
        <v>496481</v>
      </c>
      <c r="K68" s="29">
        <v>0</v>
      </c>
      <c r="L68" s="29">
        <v>496481</v>
      </c>
      <c r="M68" s="29">
        <v>80472</v>
      </c>
      <c r="N68" s="29">
        <v>88975</v>
      </c>
      <c r="O68" s="29">
        <v>0</v>
      </c>
      <c r="P68" s="29">
        <v>50977</v>
      </c>
      <c r="Q68" s="29">
        <v>5453</v>
      </c>
      <c r="R68" s="29">
        <v>722358</v>
      </c>
      <c r="S68" s="29">
        <v>66523</v>
      </c>
      <c r="T68" s="29">
        <v>655835</v>
      </c>
      <c r="U68" s="29">
        <v>380876</v>
      </c>
      <c r="V68" s="29">
        <v>274959</v>
      </c>
    </row>
    <row r="69" spans="1:22" x14ac:dyDescent="0.2">
      <c r="A69" s="20" t="s">
        <v>78</v>
      </c>
      <c r="B69" s="20" t="s">
        <v>484</v>
      </c>
      <c r="C69" s="25">
        <v>41.7</v>
      </c>
      <c r="D69" s="27">
        <v>315</v>
      </c>
      <c r="E69" s="25">
        <v>356.7</v>
      </c>
      <c r="F69" s="25">
        <v>0</v>
      </c>
      <c r="G69" s="29">
        <v>5</v>
      </c>
      <c r="H69" s="27">
        <v>0</v>
      </c>
      <c r="I69" s="29">
        <v>320</v>
      </c>
      <c r="J69" s="29">
        <v>106725</v>
      </c>
      <c r="K69" s="29">
        <v>11069</v>
      </c>
      <c r="L69" s="29">
        <v>117794</v>
      </c>
      <c r="M69" s="29">
        <v>17722</v>
      </c>
      <c r="N69" s="29">
        <v>19782</v>
      </c>
      <c r="O69" s="29">
        <v>0</v>
      </c>
      <c r="P69" s="29">
        <v>13784</v>
      </c>
      <c r="Q69" s="29">
        <v>1585</v>
      </c>
      <c r="R69" s="29">
        <v>170667</v>
      </c>
      <c r="S69" s="29">
        <v>18545</v>
      </c>
      <c r="T69" s="29">
        <v>152122</v>
      </c>
      <c r="U69" s="29">
        <v>79935</v>
      </c>
      <c r="V69" s="29">
        <v>72187</v>
      </c>
    </row>
    <row r="70" spans="1:22" x14ac:dyDescent="0.2">
      <c r="A70" s="20" t="s">
        <v>28</v>
      </c>
      <c r="B70" s="20" t="s">
        <v>442</v>
      </c>
      <c r="C70" s="25">
        <v>53.13</v>
      </c>
      <c r="D70" s="27">
        <v>332</v>
      </c>
      <c r="E70" s="25">
        <v>385.13</v>
      </c>
      <c r="F70" s="25">
        <v>1.1100000000000001</v>
      </c>
      <c r="G70" s="29">
        <v>13</v>
      </c>
      <c r="H70" s="27">
        <v>0</v>
      </c>
      <c r="I70" s="29">
        <v>345</v>
      </c>
      <c r="J70" s="29">
        <v>117784</v>
      </c>
      <c r="K70" s="29">
        <v>7249</v>
      </c>
      <c r="L70" s="29">
        <v>125033</v>
      </c>
      <c r="M70" s="29">
        <v>19123</v>
      </c>
      <c r="N70" s="29">
        <v>21459</v>
      </c>
      <c r="O70" s="29">
        <v>339</v>
      </c>
      <c r="P70" s="29">
        <v>12856</v>
      </c>
      <c r="Q70" s="29">
        <v>1532</v>
      </c>
      <c r="R70" s="29">
        <v>180342</v>
      </c>
      <c r="S70" s="29">
        <v>23296</v>
      </c>
      <c r="T70" s="29">
        <v>157046</v>
      </c>
      <c r="U70" s="29">
        <v>81086</v>
      </c>
      <c r="V70" s="29">
        <v>75960</v>
      </c>
    </row>
    <row r="71" spans="1:22" x14ac:dyDescent="0.2">
      <c r="A71" s="20" t="s">
        <v>152</v>
      </c>
      <c r="B71" s="20" t="s">
        <v>554</v>
      </c>
      <c r="C71" s="25">
        <v>243.38</v>
      </c>
      <c r="D71" s="27">
        <v>2191.6999999999998</v>
      </c>
      <c r="E71" s="25">
        <v>2435.08</v>
      </c>
      <c r="F71" s="25">
        <v>0</v>
      </c>
      <c r="G71" s="29">
        <v>43</v>
      </c>
      <c r="H71" s="27">
        <v>0</v>
      </c>
      <c r="I71" s="29">
        <v>2235</v>
      </c>
      <c r="J71" s="29">
        <v>718154</v>
      </c>
      <c r="K71" s="29">
        <v>0</v>
      </c>
      <c r="L71" s="29">
        <v>718154</v>
      </c>
      <c r="M71" s="29">
        <v>123081</v>
      </c>
      <c r="N71" s="29">
        <v>135218</v>
      </c>
      <c r="O71" s="29">
        <v>0</v>
      </c>
      <c r="P71" s="29">
        <v>67233</v>
      </c>
      <c r="Q71" s="29">
        <v>7841</v>
      </c>
      <c r="R71" s="29">
        <v>1051527</v>
      </c>
      <c r="S71" s="29">
        <v>54531</v>
      </c>
      <c r="T71" s="29">
        <v>996996</v>
      </c>
      <c r="U71" s="29">
        <v>587917</v>
      </c>
      <c r="V71" s="29">
        <v>409079</v>
      </c>
    </row>
    <row r="72" spans="1:22" x14ac:dyDescent="0.2">
      <c r="A72" s="20" t="s">
        <v>79</v>
      </c>
      <c r="B72" s="20" t="s">
        <v>485</v>
      </c>
      <c r="C72" s="25">
        <v>174.78</v>
      </c>
      <c r="D72" s="27">
        <v>1233.9000000000001</v>
      </c>
      <c r="E72" s="25">
        <v>1408.68</v>
      </c>
      <c r="F72" s="25">
        <v>0</v>
      </c>
      <c r="G72" s="29">
        <v>31</v>
      </c>
      <c r="H72" s="27">
        <v>0</v>
      </c>
      <c r="I72" s="29">
        <v>1265</v>
      </c>
      <c r="J72" s="29">
        <v>421477</v>
      </c>
      <c r="K72" s="29">
        <v>0</v>
      </c>
      <c r="L72" s="29">
        <v>421477</v>
      </c>
      <c r="M72" s="29">
        <v>70056</v>
      </c>
      <c r="N72" s="29">
        <v>78202</v>
      </c>
      <c r="O72" s="29">
        <v>0</v>
      </c>
      <c r="P72" s="29">
        <v>53234</v>
      </c>
      <c r="Q72" s="29">
        <v>6128</v>
      </c>
      <c r="R72" s="29">
        <v>629097</v>
      </c>
      <c r="S72" s="29">
        <v>69828</v>
      </c>
      <c r="T72" s="29">
        <v>559269</v>
      </c>
      <c r="U72" s="29">
        <v>317756</v>
      </c>
      <c r="V72" s="29">
        <v>241513</v>
      </c>
    </row>
    <row r="73" spans="1:22" x14ac:dyDescent="0.2">
      <c r="A73" s="20" t="s">
        <v>130</v>
      </c>
      <c r="B73" s="20" t="s">
        <v>533</v>
      </c>
      <c r="C73" s="25">
        <v>740.4</v>
      </c>
      <c r="D73" s="27">
        <v>3723.4</v>
      </c>
      <c r="E73" s="25">
        <v>4463.8</v>
      </c>
      <c r="F73" s="25">
        <v>0</v>
      </c>
      <c r="G73" s="29">
        <v>158</v>
      </c>
      <c r="H73" s="27">
        <v>0</v>
      </c>
      <c r="I73" s="29">
        <v>3881</v>
      </c>
      <c r="J73" s="29">
        <v>1325034</v>
      </c>
      <c r="K73" s="29">
        <v>7555</v>
      </c>
      <c r="L73" s="29">
        <v>1332589</v>
      </c>
      <c r="M73" s="29">
        <v>213028</v>
      </c>
      <c r="N73" s="29">
        <v>232472</v>
      </c>
      <c r="O73" s="29">
        <v>0</v>
      </c>
      <c r="P73" s="29">
        <v>119898</v>
      </c>
      <c r="Q73" s="29">
        <v>14106</v>
      </c>
      <c r="R73" s="29">
        <v>1912093</v>
      </c>
      <c r="S73" s="29">
        <v>219420</v>
      </c>
      <c r="T73" s="29">
        <v>1692673</v>
      </c>
      <c r="U73" s="29">
        <v>954649</v>
      </c>
      <c r="V73" s="29">
        <v>738024</v>
      </c>
    </row>
    <row r="74" spans="1:22" x14ac:dyDescent="0.2">
      <c r="A74" s="20" t="s">
        <v>190</v>
      </c>
      <c r="B74" s="20" t="s">
        <v>589</v>
      </c>
      <c r="C74" s="25">
        <v>99.4</v>
      </c>
      <c r="D74" s="27">
        <v>736.4</v>
      </c>
      <c r="E74" s="25">
        <v>835.8</v>
      </c>
      <c r="F74" s="25">
        <v>0</v>
      </c>
      <c r="G74" s="29">
        <v>11</v>
      </c>
      <c r="H74" s="27">
        <v>0</v>
      </c>
      <c r="I74" s="29">
        <v>747</v>
      </c>
      <c r="J74" s="29">
        <v>240560</v>
      </c>
      <c r="K74" s="29">
        <v>0</v>
      </c>
      <c r="L74" s="29">
        <v>240560</v>
      </c>
      <c r="M74" s="29">
        <v>41048</v>
      </c>
      <c r="N74" s="29">
        <v>45059</v>
      </c>
      <c r="O74" s="29">
        <v>0</v>
      </c>
      <c r="P74" s="29">
        <v>19925</v>
      </c>
      <c r="Q74" s="29">
        <v>2532</v>
      </c>
      <c r="R74" s="29">
        <v>349124</v>
      </c>
      <c r="S74" s="29">
        <v>41179</v>
      </c>
      <c r="T74" s="29">
        <v>307945</v>
      </c>
      <c r="U74" s="29">
        <v>176019</v>
      </c>
      <c r="V74" s="29">
        <v>131926</v>
      </c>
    </row>
    <row r="75" spans="1:22" x14ac:dyDescent="0.2">
      <c r="A75" s="20" t="s">
        <v>153</v>
      </c>
      <c r="B75" s="20" t="s">
        <v>555</v>
      </c>
      <c r="C75" s="25">
        <v>598.49</v>
      </c>
      <c r="D75" s="27">
        <v>5162.7</v>
      </c>
      <c r="E75" s="25">
        <v>5761.19</v>
      </c>
      <c r="F75" s="25">
        <v>0</v>
      </c>
      <c r="G75" s="29">
        <v>141</v>
      </c>
      <c r="H75" s="27">
        <v>0</v>
      </c>
      <c r="I75" s="29">
        <v>5304</v>
      </c>
      <c r="J75" s="29">
        <v>1699090</v>
      </c>
      <c r="K75" s="29">
        <v>0</v>
      </c>
      <c r="L75" s="29">
        <v>1699090</v>
      </c>
      <c r="M75" s="29">
        <v>292091</v>
      </c>
      <c r="N75" s="29">
        <v>320892</v>
      </c>
      <c r="O75" s="29">
        <v>0</v>
      </c>
      <c r="P75" s="29">
        <v>159066</v>
      </c>
      <c r="Q75" s="29">
        <v>18551</v>
      </c>
      <c r="R75" s="29">
        <v>2489690</v>
      </c>
      <c r="S75" s="29">
        <v>142066</v>
      </c>
      <c r="T75" s="29">
        <v>2347624</v>
      </c>
      <c r="U75" s="29">
        <v>1377908</v>
      </c>
      <c r="V75" s="29">
        <v>969716</v>
      </c>
    </row>
    <row r="76" spans="1:22" x14ac:dyDescent="0.2">
      <c r="A76" s="20" t="s">
        <v>191</v>
      </c>
      <c r="B76" s="20" t="s">
        <v>590</v>
      </c>
      <c r="C76" s="25">
        <v>55.1</v>
      </c>
      <c r="D76" s="27">
        <v>459.2</v>
      </c>
      <c r="E76" s="25">
        <v>514.29999999999995</v>
      </c>
      <c r="F76" s="25">
        <v>0</v>
      </c>
      <c r="G76" s="29">
        <v>5</v>
      </c>
      <c r="H76" s="27">
        <v>0</v>
      </c>
      <c r="I76" s="29">
        <v>464</v>
      </c>
      <c r="J76" s="29">
        <v>148026</v>
      </c>
      <c r="K76" s="29">
        <v>7125</v>
      </c>
      <c r="L76" s="29">
        <v>155151</v>
      </c>
      <c r="M76" s="29">
        <v>25497</v>
      </c>
      <c r="N76" s="29">
        <v>27988</v>
      </c>
      <c r="O76" s="29">
        <v>0</v>
      </c>
      <c r="P76" s="29">
        <v>12820</v>
      </c>
      <c r="Q76" s="29">
        <v>1628</v>
      </c>
      <c r="R76" s="29">
        <v>223084</v>
      </c>
      <c r="S76" s="29">
        <v>23962</v>
      </c>
      <c r="T76" s="29">
        <v>199122</v>
      </c>
      <c r="U76" s="29">
        <v>110318</v>
      </c>
      <c r="V76" s="29">
        <v>88804</v>
      </c>
    </row>
    <row r="77" spans="1:22" x14ac:dyDescent="0.2">
      <c r="A77" s="20" t="s">
        <v>192</v>
      </c>
      <c r="B77" s="20" t="s">
        <v>591</v>
      </c>
      <c r="C77" s="25">
        <v>43.52</v>
      </c>
      <c r="D77" s="27">
        <v>512.70000000000005</v>
      </c>
      <c r="E77" s="25">
        <v>556.22</v>
      </c>
      <c r="F77" s="25">
        <v>0</v>
      </c>
      <c r="G77" s="29">
        <v>2</v>
      </c>
      <c r="H77" s="27">
        <v>0</v>
      </c>
      <c r="I77" s="29">
        <v>515</v>
      </c>
      <c r="J77" s="29">
        <v>160091</v>
      </c>
      <c r="K77" s="29">
        <v>0</v>
      </c>
      <c r="L77" s="29">
        <v>160091</v>
      </c>
      <c r="M77" s="29">
        <v>28299</v>
      </c>
      <c r="N77" s="29">
        <v>31065</v>
      </c>
      <c r="O77" s="29">
        <v>0</v>
      </c>
      <c r="P77" s="29">
        <v>13260</v>
      </c>
      <c r="Q77" s="29">
        <v>1685</v>
      </c>
      <c r="R77" s="29">
        <v>234400</v>
      </c>
      <c r="S77" s="29">
        <v>26655</v>
      </c>
      <c r="T77" s="29">
        <v>207745</v>
      </c>
      <c r="U77" s="29">
        <v>117889</v>
      </c>
      <c r="V77" s="29">
        <v>89856</v>
      </c>
    </row>
    <row r="78" spans="1:22" x14ac:dyDescent="0.2">
      <c r="A78" s="20" t="s">
        <v>131</v>
      </c>
      <c r="B78" s="20" t="s">
        <v>534</v>
      </c>
      <c r="C78" s="25">
        <v>120.61</v>
      </c>
      <c r="D78" s="27">
        <v>786.9</v>
      </c>
      <c r="E78" s="25">
        <v>907.51</v>
      </c>
      <c r="F78" s="25">
        <v>0</v>
      </c>
      <c r="G78" s="29">
        <v>3</v>
      </c>
      <c r="H78" s="27">
        <v>0</v>
      </c>
      <c r="I78" s="29">
        <v>790</v>
      </c>
      <c r="J78" s="29">
        <v>269385</v>
      </c>
      <c r="K78" s="29">
        <v>29688</v>
      </c>
      <c r="L78" s="29">
        <v>299073</v>
      </c>
      <c r="M78" s="29">
        <v>43363</v>
      </c>
      <c r="N78" s="29">
        <v>47321</v>
      </c>
      <c r="O78" s="29">
        <v>0</v>
      </c>
      <c r="P78" s="29">
        <v>24601</v>
      </c>
      <c r="Q78" s="29">
        <v>2890</v>
      </c>
      <c r="R78" s="29">
        <v>417248</v>
      </c>
      <c r="S78" s="29">
        <v>48308</v>
      </c>
      <c r="T78" s="29">
        <v>368940</v>
      </c>
      <c r="U78" s="29">
        <v>190633</v>
      </c>
      <c r="V78" s="29">
        <v>178307</v>
      </c>
    </row>
    <row r="79" spans="1:22" x14ac:dyDescent="0.2">
      <c r="A79" s="20" t="s">
        <v>193</v>
      </c>
      <c r="B79" s="20" t="s">
        <v>592</v>
      </c>
      <c r="C79" s="25">
        <v>62.03</v>
      </c>
      <c r="D79" s="27">
        <v>439</v>
      </c>
      <c r="E79" s="25">
        <v>501.03</v>
      </c>
      <c r="F79" s="25">
        <v>0</v>
      </c>
      <c r="G79" s="29">
        <v>1</v>
      </c>
      <c r="H79" s="27">
        <v>0</v>
      </c>
      <c r="I79" s="29">
        <v>440</v>
      </c>
      <c r="J79" s="29">
        <v>144206</v>
      </c>
      <c r="K79" s="29">
        <v>0</v>
      </c>
      <c r="L79" s="29">
        <v>144206</v>
      </c>
      <c r="M79" s="29">
        <v>24178</v>
      </c>
      <c r="N79" s="29">
        <v>26541</v>
      </c>
      <c r="O79" s="29">
        <v>0</v>
      </c>
      <c r="P79" s="29">
        <v>11945</v>
      </c>
      <c r="Q79" s="29">
        <v>1518</v>
      </c>
      <c r="R79" s="29">
        <v>208388</v>
      </c>
      <c r="S79" s="29">
        <v>24283</v>
      </c>
      <c r="T79" s="29">
        <v>184105</v>
      </c>
      <c r="U79" s="29">
        <v>105920</v>
      </c>
      <c r="V79" s="29">
        <v>78185</v>
      </c>
    </row>
    <row r="80" spans="1:22" x14ac:dyDescent="0.2">
      <c r="A80" s="20" t="s">
        <v>277</v>
      </c>
      <c r="B80" s="20" t="s">
        <v>671</v>
      </c>
      <c r="C80" s="25">
        <v>57.82</v>
      </c>
      <c r="D80" s="27">
        <v>399.2</v>
      </c>
      <c r="E80" s="25">
        <v>457.02</v>
      </c>
      <c r="F80" s="25">
        <v>0</v>
      </c>
      <c r="G80" s="29">
        <v>3</v>
      </c>
      <c r="H80" s="27">
        <v>0</v>
      </c>
      <c r="I80" s="29">
        <v>402</v>
      </c>
      <c r="J80" s="29">
        <v>135223</v>
      </c>
      <c r="K80" s="29">
        <v>16327</v>
      </c>
      <c r="L80" s="29">
        <v>151550</v>
      </c>
      <c r="M80" s="29">
        <v>22142</v>
      </c>
      <c r="N80" s="29">
        <v>24482</v>
      </c>
      <c r="O80" s="29">
        <v>0</v>
      </c>
      <c r="P80" s="29">
        <v>14465</v>
      </c>
      <c r="Q80" s="29">
        <v>1544</v>
      </c>
      <c r="R80" s="29">
        <v>214183</v>
      </c>
      <c r="S80" s="29">
        <v>28933</v>
      </c>
      <c r="T80" s="29">
        <v>185250</v>
      </c>
      <c r="U80" s="29">
        <v>93562</v>
      </c>
      <c r="V80" s="29">
        <v>91688</v>
      </c>
    </row>
    <row r="81" spans="1:22" x14ac:dyDescent="0.2">
      <c r="A81" s="20" t="s">
        <v>278</v>
      </c>
      <c r="B81" s="20" t="s">
        <v>672</v>
      </c>
      <c r="C81" s="25">
        <v>2065.9</v>
      </c>
      <c r="D81" s="27">
        <v>9124.7999999999993</v>
      </c>
      <c r="E81" s="25">
        <v>11190.7</v>
      </c>
      <c r="F81" s="25">
        <v>0</v>
      </c>
      <c r="G81" s="29">
        <v>390</v>
      </c>
      <c r="H81" s="27">
        <v>0.2</v>
      </c>
      <c r="I81" s="29">
        <v>9515</v>
      </c>
      <c r="J81" s="29">
        <v>3311104</v>
      </c>
      <c r="K81" s="29">
        <v>0</v>
      </c>
      <c r="L81" s="29">
        <v>3311104</v>
      </c>
      <c r="M81" s="29">
        <v>524086</v>
      </c>
      <c r="N81" s="29">
        <v>579464</v>
      </c>
      <c r="O81" s="29">
        <v>0</v>
      </c>
      <c r="P81" s="29">
        <v>339973</v>
      </c>
      <c r="Q81" s="29">
        <v>36370</v>
      </c>
      <c r="R81" s="29">
        <v>4790997</v>
      </c>
      <c r="S81" s="29">
        <v>450650</v>
      </c>
      <c r="T81" s="29">
        <v>4340347</v>
      </c>
      <c r="U81" s="29">
        <v>2533126</v>
      </c>
      <c r="V81" s="29">
        <v>1807221</v>
      </c>
    </row>
    <row r="82" spans="1:22" x14ac:dyDescent="0.2">
      <c r="A82" s="20" t="s">
        <v>279</v>
      </c>
      <c r="B82" s="20" t="s">
        <v>673</v>
      </c>
      <c r="C82" s="25">
        <v>181.91</v>
      </c>
      <c r="D82" s="27">
        <v>1471.3</v>
      </c>
      <c r="E82" s="25">
        <v>1653.21</v>
      </c>
      <c r="F82" s="25">
        <v>0</v>
      </c>
      <c r="G82" s="29">
        <v>117</v>
      </c>
      <c r="H82" s="27">
        <v>1.2</v>
      </c>
      <c r="I82" s="29">
        <v>1587</v>
      </c>
      <c r="J82" s="29">
        <v>489152</v>
      </c>
      <c r="K82" s="29">
        <v>0</v>
      </c>
      <c r="L82" s="29">
        <v>489152</v>
      </c>
      <c r="M82" s="29">
        <v>87412</v>
      </c>
      <c r="N82" s="29">
        <v>96648</v>
      </c>
      <c r="O82" s="29">
        <v>0</v>
      </c>
      <c r="P82" s="29">
        <v>50225</v>
      </c>
      <c r="Q82" s="29">
        <v>5373</v>
      </c>
      <c r="R82" s="29">
        <v>728810</v>
      </c>
      <c r="S82" s="29">
        <v>73855</v>
      </c>
      <c r="T82" s="29">
        <v>654955</v>
      </c>
      <c r="U82" s="29">
        <v>366941</v>
      </c>
      <c r="V82" s="29">
        <v>288014</v>
      </c>
    </row>
    <row r="83" spans="1:22" x14ac:dyDescent="0.2">
      <c r="A83" s="20" t="s">
        <v>194</v>
      </c>
      <c r="B83" s="20" t="s">
        <v>593</v>
      </c>
      <c r="C83" s="25">
        <v>222.05</v>
      </c>
      <c r="D83" s="27">
        <v>2820.9</v>
      </c>
      <c r="E83" s="25">
        <v>3042.95</v>
      </c>
      <c r="F83" s="25">
        <v>0</v>
      </c>
      <c r="G83" s="29">
        <v>65</v>
      </c>
      <c r="H83" s="27">
        <v>0</v>
      </c>
      <c r="I83" s="29">
        <v>2886</v>
      </c>
      <c r="J83" s="29">
        <v>875822</v>
      </c>
      <c r="K83" s="29">
        <v>0</v>
      </c>
      <c r="L83" s="29">
        <v>875822</v>
      </c>
      <c r="M83" s="29">
        <v>158586</v>
      </c>
      <c r="N83" s="29">
        <v>174084</v>
      </c>
      <c r="O83" s="29">
        <v>0</v>
      </c>
      <c r="P83" s="29">
        <v>72544</v>
      </c>
      <c r="Q83" s="29">
        <v>9220</v>
      </c>
      <c r="R83" s="29">
        <v>1290256</v>
      </c>
      <c r="S83" s="29">
        <v>64515</v>
      </c>
      <c r="T83" s="29">
        <v>1225741</v>
      </c>
      <c r="U83" s="29">
        <v>726256</v>
      </c>
      <c r="V83" s="29">
        <v>499485</v>
      </c>
    </row>
    <row r="84" spans="1:22" x14ac:dyDescent="0.2">
      <c r="A84" s="20" t="s">
        <v>319</v>
      </c>
      <c r="B84" s="20" t="s">
        <v>712</v>
      </c>
      <c r="C84" s="25">
        <v>51.12</v>
      </c>
      <c r="D84" s="27">
        <v>513.5</v>
      </c>
      <c r="E84" s="25">
        <v>564.62</v>
      </c>
      <c r="F84" s="25">
        <v>0</v>
      </c>
      <c r="G84" s="29">
        <v>4</v>
      </c>
      <c r="H84" s="27">
        <v>0</v>
      </c>
      <c r="I84" s="29">
        <v>518</v>
      </c>
      <c r="J84" s="29">
        <v>165569</v>
      </c>
      <c r="K84" s="29">
        <v>0</v>
      </c>
      <c r="L84" s="29">
        <v>165569</v>
      </c>
      <c r="M84" s="29">
        <v>28516</v>
      </c>
      <c r="N84" s="29">
        <v>31323</v>
      </c>
      <c r="O84" s="29">
        <v>0</v>
      </c>
      <c r="P84" s="29">
        <v>16594</v>
      </c>
      <c r="Q84" s="29">
        <v>1807</v>
      </c>
      <c r="R84" s="29">
        <v>243809</v>
      </c>
      <c r="S84" s="29">
        <v>20792</v>
      </c>
      <c r="T84" s="29">
        <v>223017</v>
      </c>
      <c r="U84" s="29">
        <v>129165</v>
      </c>
      <c r="V84" s="29">
        <v>93852</v>
      </c>
    </row>
    <row r="85" spans="1:22" x14ac:dyDescent="0.2">
      <c r="A85" s="20" t="s">
        <v>132</v>
      </c>
      <c r="B85" s="20" t="s">
        <v>535</v>
      </c>
      <c r="C85" s="25">
        <v>3546.66</v>
      </c>
      <c r="D85" s="27">
        <v>15233.5</v>
      </c>
      <c r="E85" s="25">
        <v>18780.16</v>
      </c>
      <c r="F85" s="25">
        <v>0</v>
      </c>
      <c r="G85" s="29">
        <v>1953</v>
      </c>
      <c r="H85" s="27">
        <v>2.2000000000000002</v>
      </c>
      <c r="I85" s="29">
        <v>17184</v>
      </c>
      <c r="J85" s="29">
        <v>5574703</v>
      </c>
      <c r="K85" s="29">
        <v>0</v>
      </c>
      <c r="L85" s="29">
        <v>5574703</v>
      </c>
      <c r="M85" s="29">
        <v>943230</v>
      </c>
      <c r="N85" s="29">
        <v>1029322</v>
      </c>
      <c r="O85" s="29">
        <v>0</v>
      </c>
      <c r="P85" s="29">
        <v>504435</v>
      </c>
      <c r="Q85" s="29">
        <v>59345</v>
      </c>
      <c r="R85" s="29">
        <v>8111035</v>
      </c>
      <c r="S85" s="29">
        <v>800370</v>
      </c>
      <c r="T85" s="29">
        <v>7310665</v>
      </c>
      <c r="U85" s="29">
        <v>4139187</v>
      </c>
      <c r="V85" s="29">
        <v>3171478</v>
      </c>
    </row>
    <row r="86" spans="1:22" x14ac:dyDescent="0.2">
      <c r="A86" s="20" t="s">
        <v>320</v>
      </c>
      <c r="B86" s="20" t="s">
        <v>713</v>
      </c>
      <c r="C86" s="25">
        <v>107.43</v>
      </c>
      <c r="D86" s="27">
        <v>1137.5999999999999</v>
      </c>
      <c r="E86" s="25">
        <v>1245.03</v>
      </c>
      <c r="F86" s="25">
        <v>0</v>
      </c>
      <c r="G86" s="29">
        <v>4</v>
      </c>
      <c r="H86" s="27">
        <v>0</v>
      </c>
      <c r="I86" s="29">
        <v>1142</v>
      </c>
      <c r="J86" s="29">
        <v>365093</v>
      </c>
      <c r="K86" s="29">
        <v>8016</v>
      </c>
      <c r="L86" s="29">
        <v>373109</v>
      </c>
      <c r="M86" s="29">
        <v>62867</v>
      </c>
      <c r="N86" s="29">
        <v>69057</v>
      </c>
      <c r="O86" s="29">
        <v>0</v>
      </c>
      <c r="P86" s="29">
        <v>37387</v>
      </c>
      <c r="Q86" s="29">
        <v>4061</v>
      </c>
      <c r="R86" s="29">
        <v>546481</v>
      </c>
      <c r="S86" s="29">
        <v>56419</v>
      </c>
      <c r="T86" s="29">
        <v>490062</v>
      </c>
      <c r="U86" s="29">
        <v>275121</v>
      </c>
      <c r="V86" s="29">
        <v>214941</v>
      </c>
    </row>
    <row r="87" spans="1:22" x14ac:dyDescent="0.2">
      <c r="A87" s="20" t="s">
        <v>4</v>
      </c>
      <c r="B87" s="20" t="s">
        <v>419</v>
      </c>
      <c r="C87" s="25">
        <v>121.77</v>
      </c>
      <c r="D87" s="27">
        <v>1367.1</v>
      </c>
      <c r="E87" s="25">
        <v>1488.87</v>
      </c>
      <c r="F87" s="25">
        <v>0</v>
      </c>
      <c r="G87" s="29">
        <v>98</v>
      </c>
      <c r="H87" s="27">
        <v>0.4</v>
      </c>
      <c r="I87" s="29">
        <v>1465</v>
      </c>
      <c r="J87" s="29">
        <v>461669</v>
      </c>
      <c r="K87" s="29">
        <v>0</v>
      </c>
      <c r="L87" s="29">
        <v>461669</v>
      </c>
      <c r="M87" s="29">
        <v>81088</v>
      </c>
      <c r="N87" s="29">
        <v>90434</v>
      </c>
      <c r="O87" s="29">
        <v>0</v>
      </c>
      <c r="P87" s="29">
        <v>45500</v>
      </c>
      <c r="Q87" s="29">
        <v>4898</v>
      </c>
      <c r="R87" s="29">
        <v>683589</v>
      </c>
      <c r="S87" s="29">
        <v>75026</v>
      </c>
      <c r="T87" s="29">
        <v>608563</v>
      </c>
      <c r="U87" s="29">
        <v>322279</v>
      </c>
      <c r="V87" s="29">
        <v>286284</v>
      </c>
    </row>
    <row r="88" spans="1:22" x14ac:dyDescent="0.2">
      <c r="A88" s="20" t="s">
        <v>133</v>
      </c>
      <c r="B88" s="20" t="s">
        <v>536</v>
      </c>
      <c r="C88" s="25">
        <v>19.57</v>
      </c>
      <c r="D88" s="27">
        <v>197.5</v>
      </c>
      <c r="E88" s="25">
        <v>217.07</v>
      </c>
      <c r="F88" s="25">
        <v>0</v>
      </c>
      <c r="G88" s="29">
        <v>0</v>
      </c>
      <c r="H88" s="27">
        <v>0</v>
      </c>
      <c r="I88" s="29">
        <v>198</v>
      </c>
      <c r="J88" s="29">
        <v>64435</v>
      </c>
      <c r="K88" s="29">
        <v>10578</v>
      </c>
      <c r="L88" s="29">
        <v>75013</v>
      </c>
      <c r="M88" s="29">
        <v>10868</v>
      </c>
      <c r="N88" s="29">
        <v>11860</v>
      </c>
      <c r="O88" s="29">
        <v>0</v>
      </c>
      <c r="P88" s="29">
        <v>5831</v>
      </c>
      <c r="Q88" s="29">
        <v>686</v>
      </c>
      <c r="R88" s="29">
        <v>104258</v>
      </c>
      <c r="S88" s="29">
        <v>13150</v>
      </c>
      <c r="T88" s="29">
        <v>91108</v>
      </c>
      <c r="U88" s="29">
        <v>43944</v>
      </c>
      <c r="V88" s="29">
        <v>47164</v>
      </c>
    </row>
    <row r="89" spans="1:22" x14ac:dyDescent="0.2">
      <c r="A89" s="20" t="s">
        <v>240</v>
      </c>
      <c r="B89" s="20" t="s">
        <v>636</v>
      </c>
      <c r="C89" s="25">
        <v>271.13</v>
      </c>
      <c r="D89" s="27">
        <v>2101</v>
      </c>
      <c r="E89" s="25">
        <v>2372.13</v>
      </c>
      <c r="F89" s="25">
        <v>0</v>
      </c>
      <c r="G89" s="29">
        <v>174</v>
      </c>
      <c r="H89" s="27">
        <v>0.5</v>
      </c>
      <c r="I89" s="29">
        <v>2275</v>
      </c>
      <c r="J89" s="29">
        <v>717474</v>
      </c>
      <c r="K89" s="29">
        <v>0</v>
      </c>
      <c r="L89" s="29">
        <v>717474</v>
      </c>
      <c r="M89" s="29">
        <v>125944</v>
      </c>
      <c r="N89" s="29">
        <v>141278</v>
      </c>
      <c r="O89" s="29">
        <v>0</v>
      </c>
      <c r="P89" s="29">
        <v>72113</v>
      </c>
      <c r="Q89" s="29">
        <v>8635</v>
      </c>
      <c r="R89" s="29">
        <v>1065444</v>
      </c>
      <c r="S89" s="29">
        <v>77738</v>
      </c>
      <c r="T89" s="29">
        <v>987706</v>
      </c>
      <c r="U89" s="29">
        <v>555716</v>
      </c>
      <c r="V89" s="29">
        <v>431990</v>
      </c>
    </row>
    <row r="90" spans="1:22" x14ac:dyDescent="0.2">
      <c r="A90" s="20" t="s">
        <v>80</v>
      </c>
      <c r="B90" s="20" t="s">
        <v>486</v>
      </c>
      <c r="C90" s="25">
        <v>65.53</v>
      </c>
      <c r="D90" s="27">
        <v>750</v>
      </c>
      <c r="E90" s="25">
        <v>815.53</v>
      </c>
      <c r="F90" s="25">
        <v>0</v>
      </c>
      <c r="G90" s="29">
        <v>5</v>
      </c>
      <c r="H90" s="27">
        <v>0</v>
      </c>
      <c r="I90" s="29">
        <v>755</v>
      </c>
      <c r="J90" s="29">
        <v>244007</v>
      </c>
      <c r="K90" s="29">
        <v>0</v>
      </c>
      <c r="L90" s="29">
        <v>244007</v>
      </c>
      <c r="M90" s="29">
        <v>41812</v>
      </c>
      <c r="N90" s="29">
        <v>46674</v>
      </c>
      <c r="O90" s="29">
        <v>0</v>
      </c>
      <c r="P90" s="29">
        <v>30819</v>
      </c>
      <c r="Q90" s="29">
        <v>3548</v>
      </c>
      <c r="R90" s="29">
        <v>366860</v>
      </c>
      <c r="S90" s="29">
        <v>32842</v>
      </c>
      <c r="T90" s="29">
        <v>334018</v>
      </c>
      <c r="U90" s="29">
        <v>191543</v>
      </c>
      <c r="V90" s="29">
        <v>142475</v>
      </c>
    </row>
    <row r="91" spans="1:22" x14ac:dyDescent="0.2">
      <c r="A91" s="20" t="s">
        <v>195</v>
      </c>
      <c r="B91" s="20" t="s">
        <v>594</v>
      </c>
      <c r="C91" s="25">
        <v>6061.9</v>
      </c>
      <c r="D91" s="27">
        <v>33057.4</v>
      </c>
      <c r="E91" s="25">
        <v>39119.300000000003</v>
      </c>
      <c r="F91" s="25">
        <v>0</v>
      </c>
      <c r="G91" s="29">
        <v>2578</v>
      </c>
      <c r="H91" s="27">
        <v>1.9</v>
      </c>
      <c r="I91" s="29">
        <v>35634</v>
      </c>
      <c r="J91" s="29">
        <v>11259317</v>
      </c>
      <c r="K91" s="29">
        <v>0</v>
      </c>
      <c r="L91" s="29">
        <v>11259317</v>
      </c>
      <c r="M91" s="29">
        <v>1958088</v>
      </c>
      <c r="N91" s="29">
        <v>2149443</v>
      </c>
      <c r="O91" s="29">
        <v>0</v>
      </c>
      <c r="P91" s="29">
        <v>932604</v>
      </c>
      <c r="Q91" s="29">
        <v>118531</v>
      </c>
      <c r="R91" s="29">
        <v>16417983</v>
      </c>
      <c r="S91" s="29">
        <v>1502985</v>
      </c>
      <c r="T91" s="29">
        <v>14914998</v>
      </c>
      <c r="U91" s="29">
        <v>8662947</v>
      </c>
      <c r="V91" s="29">
        <v>6252051</v>
      </c>
    </row>
    <row r="92" spans="1:22" x14ac:dyDescent="0.2">
      <c r="A92" s="20" t="s">
        <v>280</v>
      </c>
      <c r="B92" s="20" t="s">
        <v>674</v>
      </c>
      <c r="C92" s="25">
        <v>14.8</v>
      </c>
      <c r="D92" s="27">
        <v>99</v>
      </c>
      <c r="E92" s="25">
        <v>113.8</v>
      </c>
      <c r="F92" s="25">
        <v>0</v>
      </c>
      <c r="G92" s="29">
        <v>1</v>
      </c>
      <c r="H92" s="27">
        <v>0</v>
      </c>
      <c r="I92" s="29">
        <v>100</v>
      </c>
      <c r="J92" s="29">
        <v>33671</v>
      </c>
      <c r="K92" s="29">
        <v>862</v>
      </c>
      <c r="L92" s="29">
        <v>34533</v>
      </c>
      <c r="M92" s="29">
        <v>5508</v>
      </c>
      <c r="N92" s="29">
        <v>6090</v>
      </c>
      <c r="O92" s="29">
        <v>0</v>
      </c>
      <c r="P92" s="29">
        <v>3546</v>
      </c>
      <c r="Q92" s="29">
        <v>378</v>
      </c>
      <c r="R92" s="29">
        <v>50055</v>
      </c>
      <c r="S92" s="29">
        <v>6461</v>
      </c>
      <c r="T92" s="29">
        <v>43594</v>
      </c>
      <c r="U92" s="29">
        <v>23978</v>
      </c>
      <c r="V92" s="29">
        <v>19616</v>
      </c>
    </row>
    <row r="93" spans="1:22" x14ac:dyDescent="0.2">
      <c r="A93" s="20" t="s">
        <v>81</v>
      </c>
      <c r="B93" s="20" t="s">
        <v>487</v>
      </c>
      <c r="C93" s="25">
        <v>117.38</v>
      </c>
      <c r="D93" s="27">
        <v>882.2</v>
      </c>
      <c r="E93" s="25">
        <v>999.58</v>
      </c>
      <c r="F93" s="25">
        <v>0</v>
      </c>
      <c r="G93" s="29">
        <v>9</v>
      </c>
      <c r="H93" s="27">
        <v>0</v>
      </c>
      <c r="I93" s="29">
        <v>891</v>
      </c>
      <c r="J93" s="29">
        <v>299074</v>
      </c>
      <c r="K93" s="29">
        <v>2148</v>
      </c>
      <c r="L93" s="29">
        <v>301222</v>
      </c>
      <c r="M93" s="29">
        <v>49344</v>
      </c>
      <c r="N93" s="29">
        <v>55082</v>
      </c>
      <c r="O93" s="29">
        <v>0</v>
      </c>
      <c r="P93" s="29">
        <v>37839</v>
      </c>
      <c r="Q93" s="29">
        <v>4350</v>
      </c>
      <c r="R93" s="29">
        <v>447837</v>
      </c>
      <c r="S93" s="29">
        <v>36304</v>
      </c>
      <c r="T93" s="29">
        <v>411533</v>
      </c>
      <c r="U93" s="29">
        <v>238787</v>
      </c>
      <c r="V93" s="29">
        <v>172746</v>
      </c>
    </row>
    <row r="94" spans="1:22" x14ac:dyDescent="0.2">
      <c r="A94" s="20" t="s">
        <v>5</v>
      </c>
      <c r="B94" s="20" t="s">
        <v>420</v>
      </c>
      <c r="C94" s="25">
        <v>1893.79</v>
      </c>
      <c r="D94" s="27">
        <v>10506.8</v>
      </c>
      <c r="E94" s="25">
        <v>12400.59</v>
      </c>
      <c r="F94" s="25">
        <v>0</v>
      </c>
      <c r="G94" s="29">
        <v>1638</v>
      </c>
      <c r="H94" s="27">
        <v>1.3</v>
      </c>
      <c r="I94" s="29">
        <v>12144</v>
      </c>
      <c r="J94" s="29">
        <v>3845175</v>
      </c>
      <c r="K94" s="29">
        <v>23462</v>
      </c>
      <c r="L94" s="29">
        <v>3868637</v>
      </c>
      <c r="M94" s="29">
        <v>672170</v>
      </c>
      <c r="N94" s="29">
        <v>749649</v>
      </c>
      <c r="O94" s="29">
        <v>0</v>
      </c>
      <c r="P94" s="29">
        <v>381133</v>
      </c>
      <c r="Q94" s="29">
        <v>40935</v>
      </c>
      <c r="R94" s="29">
        <v>5712524</v>
      </c>
      <c r="S94" s="29">
        <v>514177</v>
      </c>
      <c r="T94" s="29">
        <v>5198347</v>
      </c>
      <c r="U94" s="29">
        <v>2797228</v>
      </c>
      <c r="V94" s="29">
        <v>2401119</v>
      </c>
    </row>
    <row r="95" spans="1:22" x14ac:dyDescent="0.2">
      <c r="A95" s="20" t="s">
        <v>82</v>
      </c>
      <c r="B95" s="20" t="s">
        <v>488</v>
      </c>
      <c r="C95" s="25">
        <v>43.22</v>
      </c>
      <c r="D95" s="27">
        <v>419.3</v>
      </c>
      <c r="E95" s="25">
        <v>462.52</v>
      </c>
      <c r="F95" s="25">
        <v>0</v>
      </c>
      <c r="G95" s="29">
        <v>13</v>
      </c>
      <c r="H95" s="27">
        <v>0</v>
      </c>
      <c r="I95" s="29">
        <v>432</v>
      </c>
      <c r="J95" s="29">
        <v>138386</v>
      </c>
      <c r="K95" s="29">
        <v>15296</v>
      </c>
      <c r="L95" s="29">
        <v>153682</v>
      </c>
      <c r="M95" s="29">
        <v>23924</v>
      </c>
      <c r="N95" s="29">
        <v>26706</v>
      </c>
      <c r="O95" s="29">
        <v>0</v>
      </c>
      <c r="P95" s="29">
        <v>17479</v>
      </c>
      <c r="Q95" s="29">
        <v>2012</v>
      </c>
      <c r="R95" s="29">
        <v>223803</v>
      </c>
      <c r="S95" s="29">
        <v>22973</v>
      </c>
      <c r="T95" s="29">
        <v>200830</v>
      </c>
      <c r="U95" s="29">
        <v>104285</v>
      </c>
      <c r="V95" s="29">
        <v>96545</v>
      </c>
    </row>
    <row r="96" spans="1:22" x14ac:dyDescent="0.2">
      <c r="A96" s="20" t="s">
        <v>271</v>
      </c>
      <c r="B96" s="20" t="s">
        <v>667</v>
      </c>
      <c r="C96" s="25">
        <v>54.9</v>
      </c>
      <c r="D96" s="27">
        <v>406.6</v>
      </c>
      <c r="E96" s="25">
        <v>461.5</v>
      </c>
      <c r="F96" s="25">
        <v>0</v>
      </c>
      <c r="G96" s="29">
        <v>2</v>
      </c>
      <c r="H96" s="27">
        <v>0</v>
      </c>
      <c r="I96" s="29">
        <v>409</v>
      </c>
      <c r="J96" s="29">
        <v>136549</v>
      </c>
      <c r="K96" s="29">
        <v>6782</v>
      </c>
      <c r="L96" s="29">
        <v>143331</v>
      </c>
      <c r="M96" s="29">
        <v>22528</v>
      </c>
      <c r="N96" s="29">
        <v>24908</v>
      </c>
      <c r="O96" s="29">
        <v>0</v>
      </c>
      <c r="P96" s="29">
        <v>14153</v>
      </c>
      <c r="Q96" s="29">
        <v>1510</v>
      </c>
      <c r="R96" s="29">
        <v>206430</v>
      </c>
      <c r="S96" s="29">
        <v>25701</v>
      </c>
      <c r="T96" s="29">
        <v>180729</v>
      </c>
      <c r="U96" s="29">
        <v>97492</v>
      </c>
      <c r="V96" s="29">
        <v>83237</v>
      </c>
    </row>
    <row r="97" spans="1:22" x14ac:dyDescent="0.2">
      <c r="A97" s="20" t="s">
        <v>134</v>
      </c>
      <c r="B97" s="20" t="s">
        <v>537</v>
      </c>
      <c r="C97" s="25">
        <v>69.53</v>
      </c>
      <c r="D97" s="27">
        <v>563.1</v>
      </c>
      <c r="E97" s="25">
        <v>632.63</v>
      </c>
      <c r="F97" s="25">
        <v>0</v>
      </c>
      <c r="G97" s="29">
        <v>4</v>
      </c>
      <c r="H97" s="27">
        <v>0</v>
      </c>
      <c r="I97" s="29">
        <v>567</v>
      </c>
      <c r="J97" s="29">
        <v>187790</v>
      </c>
      <c r="K97" s="29">
        <v>553</v>
      </c>
      <c r="L97" s="29">
        <v>188343</v>
      </c>
      <c r="M97" s="29">
        <v>31123</v>
      </c>
      <c r="N97" s="29">
        <v>33963</v>
      </c>
      <c r="O97" s="29">
        <v>0</v>
      </c>
      <c r="P97" s="29">
        <v>17020</v>
      </c>
      <c r="Q97" s="29">
        <v>1999</v>
      </c>
      <c r="R97" s="29">
        <v>272448</v>
      </c>
      <c r="S97" s="29">
        <v>27628</v>
      </c>
      <c r="T97" s="29">
        <v>244820</v>
      </c>
      <c r="U97" s="29">
        <v>138794</v>
      </c>
      <c r="V97" s="29">
        <v>106026</v>
      </c>
    </row>
    <row r="98" spans="1:22" x14ac:dyDescent="0.2">
      <c r="A98" s="20" t="s">
        <v>115</v>
      </c>
      <c r="B98" s="20" t="s">
        <v>519</v>
      </c>
      <c r="C98" s="25">
        <v>154.97</v>
      </c>
      <c r="D98" s="27">
        <v>1053.5999999999999</v>
      </c>
      <c r="E98" s="25">
        <v>1208.57</v>
      </c>
      <c r="F98" s="25">
        <v>0</v>
      </c>
      <c r="G98" s="29">
        <v>19</v>
      </c>
      <c r="H98" s="27">
        <v>0</v>
      </c>
      <c r="I98" s="29">
        <v>1073</v>
      </c>
      <c r="J98" s="29">
        <v>361604</v>
      </c>
      <c r="K98" s="29">
        <v>28266</v>
      </c>
      <c r="L98" s="29">
        <v>389870</v>
      </c>
      <c r="M98" s="29">
        <v>59423</v>
      </c>
      <c r="N98" s="29">
        <v>66333</v>
      </c>
      <c r="O98" s="29">
        <v>0</v>
      </c>
      <c r="P98" s="29">
        <v>47719</v>
      </c>
      <c r="Q98" s="29">
        <v>5486</v>
      </c>
      <c r="R98" s="29">
        <v>568831</v>
      </c>
      <c r="S98" s="29">
        <v>54340</v>
      </c>
      <c r="T98" s="29">
        <v>514491</v>
      </c>
      <c r="U98" s="29">
        <v>280462</v>
      </c>
      <c r="V98" s="29">
        <v>234029</v>
      </c>
    </row>
    <row r="99" spans="1:22" x14ac:dyDescent="0.2">
      <c r="A99" s="20" t="s">
        <v>29</v>
      </c>
      <c r="B99" s="20" t="s">
        <v>443</v>
      </c>
      <c r="C99" s="25">
        <v>143.55000000000001</v>
      </c>
      <c r="D99" s="27">
        <v>847.6</v>
      </c>
      <c r="E99" s="25">
        <v>991.15</v>
      </c>
      <c r="F99" s="25">
        <v>2.86</v>
      </c>
      <c r="G99" s="29">
        <v>2</v>
      </c>
      <c r="H99" s="27">
        <v>0</v>
      </c>
      <c r="I99" s="29">
        <v>850</v>
      </c>
      <c r="J99" s="29">
        <v>303123</v>
      </c>
      <c r="K99" s="29">
        <v>0</v>
      </c>
      <c r="L99" s="29">
        <v>303123</v>
      </c>
      <c r="M99" s="29">
        <v>47116</v>
      </c>
      <c r="N99" s="29">
        <v>52870</v>
      </c>
      <c r="O99" s="29">
        <v>875</v>
      </c>
      <c r="P99" s="29">
        <v>32232</v>
      </c>
      <c r="Q99" s="29">
        <v>3846</v>
      </c>
      <c r="R99" s="29">
        <v>440062</v>
      </c>
      <c r="S99" s="29">
        <v>45100</v>
      </c>
      <c r="T99" s="29">
        <v>394962</v>
      </c>
      <c r="U99" s="29">
        <v>222582</v>
      </c>
      <c r="V99" s="29">
        <v>172380</v>
      </c>
    </row>
    <row r="100" spans="1:22" x14ac:dyDescent="0.2">
      <c r="A100" s="20" t="s">
        <v>196</v>
      </c>
      <c r="B100" s="20" t="s">
        <v>595</v>
      </c>
      <c r="C100" s="25">
        <v>45.68</v>
      </c>
      <c r="D100" s="27">
        <v>575.1</v>
      </c>
      <c r="E100" s="25">
        <v>620.78</v>
      </c>
      <c r="F100" s="25">
        <v>0</v>
      </c>
      <c r="G100" s="29">
        <v>3</v>
      </c>
      <c r="H100" s="27">
        <v>0</v>
      </c>
      <c r="I100" s="29">
        <v>578</v>
      </c>
      <c r="J100" s="29">
        <v>178673</v>
      </c>
      <c r="K100" s="29">
        <v>15140</v>
      </c>
      <c r="L100" s="29">
        <v>193813</v>
      </c>
      <c r="M100" s="29">
        <v>31761</v>
      </c>
      <c r="N100" s="29">
        <v>34865</v>
      </c>
      <c r="O100" s="29">
        <v>0</v>
      </c>
      <c r="P100" s="29">
        <v>14799</v>
      </c>
      <c r="Q100" s="29">
        <v>1881</v>
      </c>
      <c r="R100" s="29">
        <v>277119</v>
      </c>
      <c r="S100" s="29">
        <v>22833</v>
      </c>
      <c r="T100" s="29">
        <v>254286</v>
      </c>
      <c r="U100" s="29">
        <v>138489</v>
      </c>
      <c r="V100" s="29">
        <v>115797</v>
      </c>
    </row>
    <row r="101" spans="1:22" x14ac:dyDescent="0.2">
      <c r="A101" s="20" t="s">
        <v>83</v>
      </c>
      <c r="B101" s="20" t="s">
        <v>489</v>
      </c>
      <c r="C101" s="25">
        <v>96.53</v>
      </c>
      <c r="D101" s="27">
        <v>567.9</v>
      </c>
      <c r="E101" s="25">
        <v>664.43</v>
      </c>
      <c r="F101" s="25">
        <v>0</v>
      </c>
      <c r="G101" s="29">
        <v>6</v>
      </c>
      <c r="H101" s="27">
        <v>0</v>
      </c>
      <c r="I101" s="29">
        <v>574</v>
      </c>
      <c r="J101" s="29">
        <v>198797</v>
      </c>
      <c r="K101" s="29">
        <v>895</v>
      </c>
      <c r="L101" s="29">
        <v>199692</v>
      </c>
      <c r="M101" s="29">
        <v>31788</v>
      </c>
      <c r="N101" s="29">
        <v>35485</v>
      </c>
      <c r="O101" s="29">
        <v>0</v>
      </c>
      <c r="P101" s="29">
        <v>25269</v>
      </c>
      <c r="Q101" s="29">
        <v>2905</v>
      </c>
      <c r="R101" s="29">
        <v>295139</v>
      </c>
      <c r="S101" s="29">
        <v>28849</v>
      </c>
      <c r="T101" s="29">
        <v>266290</v>
      </c>
      <c r="U101" s="29">
        <v>154137</v>
      </c>
      <c r="V101" s="29">
        <v>112153</v>
      </c>
    </row>
    <row r="102" spans="1:22" x14ac:dyDescent="0.2">
      <c r="A102" s="20" t="s">
        <v>135</v>
      </c>
      <c r="B102" s="20" t="s">
        <v>538</v>
      </c>
      <c r="C102" s="25">
        <v>99.11</v>
      </c>
      <c r="D102" s="27">
        <v>603.29999999999995</v>
      </c>
      <c r="E102" s="25">
        <v>702.41</v>
      </c>
      <c r="F102" s="25">
        <v>0</v>
      </c>
      <c r="G102" s="29">
        <v>3</v>
      </c>
      <c r="H102" s="27">
        <v>0</v>
      </c>
      <c r="I102" s="29">
        <v>606</v>
      </c>
      <c r="J102" s="29">
        <v>208503</v>
      </c>
      <c r="K102" s="29">
        <v>10774</v>
      </c>
      <c r="L102" s="29">
        <v>219277</v>
      </c>
      <c r="M102" s="29">
        <v>33263</v>
      </c>
      <c r="N102" s="29">
        <v>36299</v>
      </c>
      <c r="O102" s="29">
        <v>0</v>
      </c>
      <c r="P102" s="29">
        <v>18983</v>
      </c>
      <c r="Q102" s="29">
        <v>2230</v>
      </c>
      <c r="R102" s="29">
        <v>310052</v>
      </c>
      <c r="S102" s="29">
        <v>35711</v>
      </c>
      <c r="T102" s="29">
        <v>274341</v>
      </c>
      <c r="U102" s="29">
        <v>149164</v>
      </c>
      <c r="V102" s="29">
        <v>125177</v>
      </c>
    </row>
    <row r="103" spans="1:22" x14ac:dyDescent="0.2">
      <c r="A103" s="20" t="s">
        <v>282</v>
      </c>
      <c r="B103" s="20" t="s">
        <v>676</v>
      </c>
      <c r="C103" s="25">
        <v>60.02</v>
      </c>
      <c r="D103" s="27">
        <v>491.6</v>
      </c>
      <c r="E103" s="25">
        <v>551.62</v>
      </c>
      <c r="F103" s="25">
        <v>0</v>
      </c>
      <c r="G103" s="29">
        <v>5</v>
      </c>
      <c r="H103" s="27">
        <v>0</v>
      </c>
      <c r="I103" s="29">
        <v>497</v>
      </c>
      <c r="J103" s="29">
        <v>163213</v>
      </c>
      <c r="K103" s="29">
        <v>6218</v>
      </c>
      <c r="L103" s="29">
        <v>169431</v>
      </c>
      <c r="M103" s="29">
        <v>27375</v>
      </c>
      <c r="N103" s="29">
        <v>30267</v>
      </c>
      <c r="O103" s="29">
        <v>0</v>
      </c>
      <c r="P103" s="29">
        <v>16832</v>
      </c>
      <c r="Q103" s="29">
        <v>1796</v>
      </c>
      <c r="R103" s="29">
        <v>245701</v>
      </c>
      <c r="S103" s="29">
        <v>25766</v>
      </c>
      <c r="T103" s="29">
        <v>219935</v>
      </c>
      <c r="U103" s="29">
        <v>121389</v>
      </c>
      <c r="V103" s="29">
        <v>98546</v>
      </c>
    </row>
    <row r="104" spans="1:22" x14ac:dyDescent="0.2">
      <c r="A104" s="20" t="s">
        <v>6</v>
      </c>
      <c r="B104" s="20" t="s">
        <v>421</v>
      </c>
      <c r="C104" s="25">
        <v>26.07</v>
      </c>
      <c r="D104" s="27">
        <v>325.10000000000002</v>
      </c>
      <c r="E104" s="25">
        <v>351.17</v>
      </c>
      <c r="F104" s="25">
        <v>0</v>
      </c>
      <c r="G104" s="29">
        <v>3</v>
      </c>
      <c r="H104" s="27">
        <v>0</v>
      </c>
      <c r="I104" s="29">
        <v>328</v>
      </c>
      <c r="J104" s="29">
        <v>108891</v>
      </c>
      <c r="K104" s="29">
        <v>19336</v>
      </c>
      <c r="L104" s="29">
        <v>128227</v>
      </c>
      <c r="M104" s="29">
        <v>18155</v>
      </c>
      <c r="N104" s="29">
        <v>20247</v>
      </c>
      <c r="O104" s="29">
        <v>0</v>
      </c>
      <c r="P104" s="29">
        <v>11163</v>
      </c>
      <c r="Q104" s="29">
        <v>1199</v>
      </c>
      <c r="R104" s="29">
        <v>178991</v>
      </c>
      <c r="S104" s="29">
        <v>23749</v>
      </c>
      <c r="T104" s="29">
        <v>155242</v>
      </c>
      <c r="U104" s="29">
        <v>70436</v>
      </c>
      <c r="V104" s="29">
        <v>84806</v>
      </c>
    </row>
    <row r="105" spans="1:22" x14ac:dyDescent="0.2">
      <c r="A105" s="20" t="s">
        <v>252</v>
      </c>
      <c r="B105" s="20" t="s">
        <v>649</v>
      </c>
      <c r="C105" s="25">
        <v>52.74</v>
      </c>
      <c r="D105" s="27">
        <v>422.6</v>
      </c>
      <c r="E105" s="25">
        <v>475.34</v>
      </c>
      <c r="F105" s="25">
        <v>0</v>
      </c>
      <c r="G105" s="29">
        <v>0</v>
      </c>
      <c r="H105" s="27">
        <v>0</v>
      </c>
      <c r="I105" s="29">
        <v>423</v>
      </c>
      <c r="J105" s="29">
        <v>143771</v>
      </c>
      <c r="K105" s="29">
        <v>1624</v>
      </c>
      <c r="L105" s="29">
        <v>145395</v>
      </c>
      <c r="M105" s="29">
        <v>23417</v>
      </c>
      <c r="N105" s="29">
        <v>26268</v>
      </c>
      <c r="O105" s="29">
        <v>0</v>
      </c>
      <c r="P105" s="29">
        <v>14611</v>
      </c>
      <c r="Q105" s="29">
        <v>1747</v>
      </c>
      <c r="R105" s="29">
        <v>211438</v>
      </c>
      <c r="S105" s="29">
        <v>24876</v>
      </c>
      <c r="T105" s="29">
        <v>186562</v>
      </c>
      <c r="U105" s="29">
        <v>102236</v>
      </c>
      <c r="V105" s="29">
        <v>84326</v>
      </c>
    </row>
    <row r="106" spans="1:22" x14ac:dyDescent="0.2">
      <c r="A106" s="20" t="s">
        <v>7</v>
      </c>
      <c r="B106" s="20" t="s">
        <v>422</v>
      </c>
      <c r="C106" s="25">
        <v>36.54</v>
      </c>
      <c r="D106" s="27">
        <v>414</v>
      </c>
      <c r="E106" s="25">
        <v>450.54</v>
      </c>
      <c r="F106" s="25">
        <v>0</v>
      </c>
      <c r="G106" s="29">
        <v>31</v>
      </c>
      <c r="H106" s="27">
        <v>0</v>
      </c>
      <c r="I106" s="29">
        <v>445</v>
      </c>
      <c r="J106" s="29">
        <v>139703</v>
      </c>
      <c r="K106" s="29">
        <v>3816</v>
      </c>
      <c r="L106" s="29">
        <v>143519</v>
      </c>
      <c r="M106" s="29">
        <v>24631</v>
      </c>
      <c r="N106" s="29">
        <v>27470</v>
      </c>
      <c r="O106" s="29">
        <v>0</v>
      </c>
      <c r="P106" s="29">
        <v>13769</v>
      </c>
      <c r="Q106" s="29">
        <v>1482</v>
      </c>
      <c r="R106" s="29">
        <v>210871</v>
      </c>
      <c r="S106" s="29">
        <v>27107</v>
      </c>
      <c r="T106" s="29">
        <v>183764</v>
      </c>
      <c r="U106" s="29">
        <v>93120</v>
      </c>
      <c r="V106" s="29">
        <v>90644</v>
      </c>
    </row>
    <row r="107" spans="1:22" x14ac:dyDescent="0.2">
      <c r="A107" s="20" t="s">
        <v>85</v>
      </c>
      <c r="B107" s="20" t="s">
        <v>491</v>
      </c>
      <c r="C107" s="25">
        <v>138.16999999999999</v>
      </c>
      <c r="D107" s="27">
        <v>624.6</v>
      </c>
      <c r="E107" s="25">
        <v>762.77</v>
      </c>
      <c r="F107" s="25">
        <v>0</v>
      </c>
      <c r="G107" s="29">
        <v>2</v>
      </c>
      <c r="H107" s="27">
        <v>0</v>
      </c>
      <c r="I107" s="29">
        <v>627</v>
      </c>
      <c r="J107" s="29">
        <v>228221</v>
      </c>
      <c r="K107" s="29">
        <v>0</v>
      </c>
      <c r="L107" s="29">
        <v>228221</v>
      </c>
      <c r="M107" s="29">
        <v>34723</v>
      </c>
      <c r="N107" s="29">
        <v>38761</v>
      </c>
      <c r="O107" s="29">
        <v>0</v>
      </c>
      <c r="P107" s="29">
        <v>28825</v>
      </c>
      <c r="Q107" s="29">
        <v>3318</v>
      </c>
      <c r="R107" s="29">
        <v>333848</v>
      </c>
      <c r="S107" s="29">
        <v>31253</v>
      </c>
      <c r="T107" s="29">
        <v>302595</v>
      </c>
      <c r="U107" s="29">
        <v>178615</v>
      </c>
      <c r="V107" s="29">
        <v>123980</v>
      </c>
    </row>
    <row r="108" spans="1:22" x14ac:dyDescent="0.2">
      <c r="A108" s="20" t="s">
        <v>31</v>
      </c>
      <c r="B108" s="20" t="s">
        <v>445</v>
      </c>
      <c r="C108" s="25">
        <v>93.72</v>
      </c>
      <c r="D108" s="27">
        <v>699.2</v>
      </c>
      <c r="E108" s="25">
        <v>792.92</v>
      </c>
      <c r="F108" s="25">
        <v>2.29</v>
      </c>
      <c r="G108" s="29">
        <v>82</v>
      </c>
      <c r="H108" s="27">
        <v>3.7</v>
      </c>
      <c r="I108" s="29">
        <v>778</v>
      </c>
      <c r="J108" s="29">
        <v>242499</v>
      </c>
      <c r="K108" s="29">
        <v>2590</v>
      </c>
      <c r="L108" s="29">
        <v>245089</v>
      </c>
      <c r="M108" s="29">
        <v>43125</v>
      </c>
      <c r="N108" s="29">
        <v>48392</v>
      </c>
      <c r="O108" s="29">
        <v>700</v>
      </c>
      <c r="P108" s="29">
        <v>26070</v>
      </c>
      <c r="Q108" s="29">
        <v>3107</v>
      </c>
      <c r="R108" s="29">
        <v>366483</v>
      </c>
      <c r="S108" s="29">
        <v>39116</v>
      </c>
      <c r="T108" s="29">
        <v>327367</v>
      </c>
      <c r="U108" s="29">
        <v>175345</v>
      </c>
      <c r="V108" s="29">
        <v>152022</v>
      </c>
    </row>
    <row r="109" spans="1:22" x14ac:dyDescent="0.2">
      <c r="A109" s="20" t="s">
        <v>154</v>
      </c>
      <c r="B109" s="20" t="s">
        <v>556</v>
      </c>
      <c r="C109" s="25">
        <v>54.31</v>
      </c>
      <c r="D109" s="27">
        <v>452.2</v>
      </c>
      <c r="E109" s="25">
        <v>506.51</v>
      </c>
      <c r="F109" s="25">
        <v>0</v>
      </c>
      <c r="G109" s="29">
        <v>6</v>
      </c>
      <c r="H109" s="27">
        <v>0</v>
      </c>
      <c r="I109" s="29">
        <v>458</v>
      </c>
      <c r="J109" s="29">
        <v>149380</v>
      </c>
      <c r="K109" s="29">
        <v>25806</v>
      </c>
      <c r="L109" s="29">
        <v>175186</v>
      </c>
      <c r="M109" s="29">
        <v>25222</v>
      </c>
      <c r="N109" s="29">
        <v>27709</v>
      </c>
      <c r="O109" s="29">
        <v>0</v>
      </c>
      <c r="P109" s="29">
        <v>13985</v>
      </c>
      <c r="Q109" s="29">
        <v>1631</v>
      </c>
      <c r="R109" s="29">
        <v>243733</v>
      </c>
      <c r="S109" s="29">
        <v>31450</v>
      </c>
      <c r="T109" s="29">
        <v>212283</v>
      </c>
      <c r="U109" s="29">
        <v>102183</v>
      </c>
      <c r="V109" s="29">
        <v>110100</v>
      </c>
    </row>
    <row r="110" spans="1:22" x14ac:dyDescent="0.2">
      <c r="A110" s="20" t="s">
        <v>283</v>
      </c>
      <c r="B110" s="20" t="s">
        <v>677</v>
      </c>
      <c r="C110" s="25">
        <v>19.68</v>
      </c>
      <c r="D110" s="27">
        <v>194</v>
      </c>
      <c r="E110" s="25">
        <v>213.68</v>
      </c>
      <c r="F110" s="25">
        <v>0</v>
      </c>
      <c r="G110" s="29">
        <v>3</v>
      </c>
      <c r="H110" s="27">
        <v>0</v>
      </c>
      <c r="I110" s="29">
        <v>197</v>
      </c>
      <c r="J110" s="29">
        <v>63224</v>
      </c>
      <c r="K110" s="29">
        <v>9921</v>
      </c>
      <c r="L110" s="29">
        <v>73145</v>
      </c>
      <c r="M110" s="29">
        <v>10851</v>
      </c>
      <c r="N110" s="29">
        <v>11997</v>
      </c>
      <c r="O110" s="29">
        <v>0</v>
      </c>
      <c r="P110" s="29">
        <v>6492</v>
      </c>
      <c r="Q110" s="29">
        <v>694</v>
      </c>
      <c r="R110" s="29">
        <v>103179</v>
      </c>
      <c r="S110" s="29">
        <v>12000</v>
      </c>
      <c r="T110" s="29">
        <v>91179</v>
      </c>
      <c r="U110" s="29">
        <v>44973</v>
      </c>
      <c r="V110" s="29">
        <v>46206</v>
      </c>
    </row>
    <row r="111" spans="1:22" x14ac:dyDescent="0.2">
      <c r="A111" s="20" t="s">
        <v>32</v>
      </c>
      <c r="B111" s="20" t="s">
        <v>446</v>
      </c>
      <c r="C111" s="25">
        <v>149.32</v>
      </c>
      <c r="D111" s="27">
        <v>1323.5</v>
      </c>
      <c r="E111" s="25">
        <v>1472.82</v>
      </c>
      <c r="F111" s="25">
        <v>4.25</v>
      </c>
      <c r="G111" s="29">
        <v>5</v>
      </c>
      <c r="H111" s="27">
        <v>0</v>
      </c>
      <c r="I111" s="29">
        <v>1329</v>
      </c>
      <c r="J111" s="29">
        <v>450433</v>
      </c>
      <c r="K111" s="29">
        <v>16581</v>
      </c>
      <c r="L111" s="29">
        <v>467014</v>
      </c>
      <c r="M111" s="29">
        <v>73666</v>
      </c>
      <c r="N111" s="29">
        <v>82664</v>
      </c>
      <c r="O111" s="29">
        <v>1300</v>
      </c>
      <c r="P111" s="29">
        <v>49677</v>
      </c>
      <c r="Q111" s="29">
        <v>5921</v>
      </c>
      <c r="R111" s="29">
        <v>680242</v>
      </c>
      <c r="S111" s="29">
        <v>70397</v>
      </c>
      <c r="T111" s="29">
        <v>609845</v>
      </c>
      <c r="U111" s="29">
        <v>329358</v>
      </c>
      <c r="V111" s="29">
        <v>280487</v>
      </c>
    </row>
    <row r="112" spans="1:22" x14ac:dyDescent="0.2">
      <c r="A112" s="20" t="s">
        <v>197</v>
      </c>
      <c r="B112" s="20" t="s">
        <v>596</v>
      </c>
      <c r="C112" s="25">
        <v>66.97</v>
      </c>
      <c r="D112" s="27">
        <v>413.8</v>
      </c>
      <c r="E112" s="25">
        <v>480.77</v>
      </c>
      <c r="F112" s="25">
        <v>0</v>
      </c>
      <c r="G112" s="29">
        <v>0</v>
      </c>
      <c r="H112" s="27">
        <v>0</v>
      </c>
      <c r="I112" s="29">
        <v>414</v>
      </c>
      <c r="J112" s="29">
        <v>138375</v>
      </c>
      <c r="K112" s="29">
        <v>17156</v>
      </c>
      <c r="L112" s="29">
        <v>155531</v>
      </c>
      <c r="M112" s="29">
        <v>22749</v>
      </c>
      <c r="N112" s="29">
        <v>24972</v>
      </c>
      <c r="O112" s="29">
        <v>0</v>
      </c>
      <c r="P112" s="29">
        <v>11884</v>
      </c>
      <c r="Q112" s="29">
        <v>1509</v>
      </c>
      <c r="R112" s="29">
        <v>216645</v>
      </c>
      <c r="S112" s="29">
        <v>29687</v>
      </c>
      <c r="T112" s="29">
        <v>186958</v>
      </c>
      <c r="U112" s="29">
        <v>95725</v>
      </c>
      <c r="V112" s="29">
        <v>91233</v>
      </c>
    </row>
    <row r="113" spans="1:22" x14ac:dyDescent="0.2">
      <c r="A113" s="20" t="s">
        <v>322</v>
      </c>
      <c r="B113" s="20" t="s">
        <v>715</v>
      </c>
      <c r="C113" s="25">
        <v>290.41000000000003</v>
      </c>
      <c r="D113" s="27">
        <v>1591.5</v>
      </c>
      <c r="E113" s="25">
        <v>1881.91</v>
      </c>
      <c r="F113" s="25">
        <v>0</v>
      </c>
      <c r="G113" s="29">
        <v>143</v>
      </c>
      <c r="H113" s="27">
        <v>0</v>
      </c>
      <c r="I113" s="29">
        <v>1735</v>
      </c>
      <c r="J113" s="29">
        <v>551851</v>
      </c>
      <c r="K113" s="29">
        <v>3900</v>
      </c>
      <c r="L113" s="29">
        <v>555751</v>
      </c>
      <c r="M113" s="29">
        <v>95512</v>
      </c>
      <c r="N113" s="29">
        <v>104915</v>
      </c>
      <c r="O113" s="29">
        <v>0</v>
      </c>
      <c r="P113" s="29">
        <v>55309</v>
      </c>
      <c r="Q113" s="29">
        <v>6022</v>
      </c>
      <c r="R113" s="29">
        <v>817509</v>
      </c>
      <c r="S113" s="29">
        <v>91881</v>
      </c>
      <c r="T113" s="29">
        <v>725628</v>
      </c>
      <c r="U113" s="29">
        <v>407935</v>
      </c>
      <c r="V113" s="29">
        <v>317693</v>
      </c>
    </row>
    <row r="114" spans="1:22" x14ac:dyDescent="0.2">
      <c r="A114" s="20" t="s">
        <v>86</v>
      </c>
      <c r="B114" s="20" t="s">
        <v>492</v>
      </c>
      <c r="C114" s="25">
        <v>152.41999999999999</v>
      </c>
      <c r="D114" s="27">
        <v>1092.5</v>
      </c>
      <c r="E114" s="25">
        <v>1244.92</v>
      </c>
      <c r="F114" s="25">
        <v>0</v>
      </c>
      <c r="G114" s="29">
        <v>4</v>
      </c>
      <c r="H114" s="27">
        <v>0</v>
      </c>
      <c r="I114" s="29">
        <v>1097</v>
      </c>
      <c r="J114" s="29">
        <v>372480</v>
      </c>
      <c r="K114" s="29">
        <v>48289</v>
      </c>
      <c r="L114" s="29">
        <v>420769</v>
      </c>
      <c r="M114" s="29">
        <v>60752</v>
      </c>
      <c r="N114" s="29">
        <v>67817</v>
      </c>
      <c r="O114" s="29">
        <v>0</v>
      </c>
      <c r="P114" s="29">
        <v>47173</v>
      </c>
      <c r="Q114" s="29">
        <v>5423</v>
      </c>
      <c r="R114" s="29">
        <v>601934</v>
      </c>
      <c r="S114" s="29">
        <v>73519</v>
      </c>
      <c r="T114" s="29">
        <v>528415</v>
      </c>
      <c r="U114" s="29">
        <v>269143</v>
      </c>
      <c r="V114" s="29">
        <v>259272</v>
      </c>
    </row>
    <row r="115" spans="1:22" x14ac:dyDescent="0.2">
      <c r="A115" s="20" t="s">
        <v>33</v>
      </c>
      <c r="B115" s="20" t="s">
        <v>447</v>
      </c>
      <c r="C115" s="25">
        <v>720.32</v>
      </c>
      <c r="D115" s="27">
        <v>3800.2</v>
      </c>
      <c r="E115" s="25">
        <v>4520.5200000000004</v>
      </c>
      <c r="F115" s="25">
        <v>13.05</v>
      </c>
      <c r="G115" s="29">
        <v>729</v>
      </c>
      <c r="H115" s="27">
        <v>3.4</v>
      </c>
      <c r="I115" s="29">
        <v>4526</v>
      </c>
      <c r="J115" s="29">
        <v>1382511</v>
      </c>
      <c r="K115" s="29">
        <v>0</v>
      </c>
      <c r="L115" s="29">
        <v>1382511</v>
      </c>
      <c r="M115" s="29">
        <v>250876</v>
      </c>
      <c r="N115" s="29">
        <v>281517</v>
      </c>
      <c r="O115" s="29">
        <v>3991</v>
      </c>
      <c r="P115" s="29">
        <v>147007</v>
      </c>
      <c r="Q115" s="29">
        <v>17540</v>
      </c>
      <c r="R115" s="29">
        <v>2083442</v>
      </c>
      <c r="S115" s="29">
        <v>212765</v>
      </c>
      <c r="T115" s="29">
        <v>1870677</v>
      </c>
      <c r="U115" s="29">
        <v>1008104</v>
      </c>
      <c r="V115" s="29">
        <v>862573</v>
      </c>
    </row>
    <row r="116" spans="1:22" x14ac:dyDescent="0.2">
      <c r="A116" s="20" t="s">
        <v>323</v>
      </c>
      <c r="B116" s="20" t="s">
        <v>716</v>
      </c>
      <c r="C116" s="25">
        <v>322.83</v>
      </c>
      <c r="D116" s="27">
        <v>2143.6</v>
      </c>
      <c r="E116" s="25">
        <v>2466.4299999999998</v>
      </c>
      <c r="F116" s="25">
        <v>0</v>
      </c>
      <c r="G116" s="29">
        <v>274</v>
      </c>
      <c r="H116" s="27">
        <v>1.6</v>
      </c>
      <c r="I116" s="29">
        <v>2416</v>
      </c>
      <c r="J116" s="29">
        <v>723256</v>
      </c>
      <c r="K116" s="29">
        <v>0</v>
      </c>
      <c r="L116" s="29">
        <v>723256</v>
      </c>
      <c r="M116" s="29">
        <v>133001</v>
      </c>
      <c r="N116" s="29">
        <v>146096</v>
      </c>
      <c r="O116" s="29">
        <v>0</v>
      </c>
      <c r="P116" s="29">
        <v>72488</v>
      </c>
      <c r="Q116" s="29">
        <v>7893</v>
      </c>
      <c r="R116" s="29">
        <v>1082734</v>
      </c>
      <c r="S116" s="29">
        <v>124889</v>
      </c>
      <c r="T116" s="29">
        <v>957845</v>
      </c>
      <c r="U116" s="29">
        <v>530170</v>
      </c>
      <c r="V116" s="29">
        <v>427675</v>
      </c>
    </row>
    <row r="117" spans="1:22" x14ac:dyDescent="0.2">
      <c r="A117" s="20" t="s">
        <v>284</v>
      </c>
      <c r="B117" s="20" t="s">
        <v>678</v>
      </c>
      <c r="C117" s="25">
        <v>44.7</v>
      </c>
      <c r="D117" s="27">
        <v>452</v>
      </c>
      <c r="E117" s="25">
        <v>496.7</v>
      </c>
      <c r="F117" s="25">
        <v>0</v>
      </c>
      <c r="G117" s="29">
        <v>1</v>
      </c>
      <c r="H117" s="27">
        <v>0</v>
      </c>
      <c r="I117" s="29">
        <v>453</v>
      </c>
      <c r="J117" s="29">
        <v>146964</v>
      </c>
      <c r="K117" s="29">
        <v>3362</v>
      </c>
      <c r="L117" s="29">
        <v>150326</v>
      </c>
      <c r="M117" s="29">
        <v>24951</v>
      </c>
      <c r="N117" s="29">
        <v>27588</v>
      </c>
      <c r="O117" s="29">
        <v>0</v>
      </c>
      <c r="P117" s="29">
        <v>15350</v>
      </c>
      <c r="Q117" s="29">
        <v>1638</v>
      </c>
      <c r="R117" s="29">
        <v>219853</v>
      </c>
      <c r="S117" s="29">
        <v>20998</v>
      </c>
      <c r="T117" s="29">
        <v>198855</v>
      </c>
      <c r="U117" s="29">
        <v>111721</v>
      </c>
      <c r="V117" s="29">
        <v>87134</v>
      </c>
    </row>
    <row r="118" spans="1:22" x14ac:dyDescent="0.2">
      <c r="A118" s="20" t="s">
        <v>241</v>
      </c>
      <c r="B118" s="20" t="s">
        <v>637</v>
      </c>
      <c r="C118" s="25">
        <v>37.520000000000003</v>
      </c>
      <c r="D118" s="27">
        <v>444</v>
      </c>
      <c r="E118" s="25">
        <v>481.52</v>
      </c>
      <c r="F118" s="25">
        <v>0</v>
      </c>
      <c r="G118" s="29">
        <v>2</v>
      </c>
      <c r="H118" s="27">
        <v>0</v>
      </c>
      <c r="I118" s="29">
        <v>446</v>
      </c>
      <c r="J118" s="29">
        <v>145641</v>
      </c>
      <c r="K118" s="29">
        <v>0</v>
      </c>
      <c r="L118" s="29">
        <v>145641</v>
      </c>
      <c r="M118" s="29">
        <v>24691</v>
      </c>
      <c r="N118" s="29">
        <v>27697</v>
      </c>
      <c r="O118" s="29">
        <v>0</v>
      </c>
      <c r="P118" s="29">
        <v>14638</v>
      </c>
      <c r="Q118" s="29">
        <v>1753</v>
      </c>
      <c r="R118" s="29">
        <v>214420</v>
      </c>
      <c r="S118" s="29">
        <v>25821</v>
      </c>
      <c r="T118" s="29">
        <v>188599</v>
      </c>
      <c r="U118" s="29">
        <v>102764</v>
      </c>
      <c r="V118" s="29">
        <v>85835</v>
      </c>
    </row>
    <row r="119" spans="1:22" x14ac:dyDescent="0.2">
      <c r="A119" s="20" t="s">
        <v>87</v>
      </c>
      <c r="B119" s="20" t="s">
        <v>493</v>
      </c>
      <c r="C119" s="25">
        <v>89.38</v>
      </c>
      <c r="D119" s="27">
        <v>882.1</v>
      </c>
      <c r="E119" s="25">
        <v>971.48</v>
      </c>
      <c r="F119" s="25">
        <v>0</v>
      </c>
      <c r="G119" s="29">
        <v>3</v>
      </c>
      <c r="H119" s="27">
        <v>0</v>
      </c>
      <c r="I119" s="29">
        <v>885</v>
      </c>
      <c r="J119" s="29">
        <v>290667</v>
      </c>
      <c r="K119" s="29">
        <v>45483</v>
      </c>
      <c r="L119" s="29">
        <v>336150</v>
      </c>
      <c r="M119" s="29">
        <v>49011</v>
      </c>
      <c r="N119" s="29">
        <v>54711</v>
      </c>
      <c r="O119" s="29">
        <v>0</v>
      </c>
      <c r="P119" s="29">
        <v>36712</v>
      </c>
      <c r="Q119" s="29">
        <v>4226</v>
      </c>
      <c r="R119" s="29">
        <v>480810</v>
      </c>
      <c r="S119" s="29">
        <v>49755</v>
      </c>
      <c r="T119" s="29">
        <v>431055</v>
      </c>
      <c r="U119" s="29">
        <v>217538</v>
      </c>
      <c r="V119" s="29">
        <v>213517</v>
      </c>
    </row>
    <row r="120" spans="1:22" x14ac:dyDescent="0.2">
      <c r="A120" s="20" t="s">
        <v>242</v>
      </c>
      <c r="B120" s="20" t="s">
        <v>638</v>
      </c>
      <c r="C120" s="25">
        <v>37.99</v>
      </c>
      <c r="D120" s="27">
        <v>426.2</v>
      </c>
      <c r="E120" s="25">
        <v>464.19</v>
      </c>
      <c r="F120" s="25">
        <v>0</v>
      </c>
      <c r="G120" s="29">
        <v>4</v>
      </c>
      <c r="H120" s="27">
        <v>0</v>
      </c>
      <c r="I120" s="29">
        <v>430</v>
      </c>
      <c r="J120" s="29">
        <v>140399</v>
      </c>
      <c r="K120" s="29">
        <v>11065</v>
      </c>
      <c r="L120" s="29">
        <v>151464</v>
      </c>
      <c r="M120" s="29">
        <v>23805</v>
      </c>
      <c r="N120" s="29">
        <v>26703</v>
      </c>
      <c r="O120" s="29">
        <v>0</v>
      </c>
      <c r="P120" s="29">
        <v>15169</v>
      </c>
      <c r="Q120" s="29">
        <v>1814</v>
      </c>
      <c r="R120" s="29">
        <v>218955</v>
      </c>
      <c r="S120" s="29">
        <v>24051</v>
      </c>
      <c r="T120" s="29">
        <v>194904</v>
      </c>
      <c r="U120" s="29">
        <v>101088</v>
      </c>
      <c r="V120" s="29">
        <v>93816</v>
      </c>
    </row>
    <row r="121" spans="1:22" x14ac:dyDescent="0.2">
      <c r="A121" s="20" t="s">
        <v>198</v>
      </c>
      <c r="B121" s="20" t="s">
        <v>597</v>
      </c>
      <c r="C121" s="25">
        <v>104.53</v>
      </c>
      <c r="D121" s="27">
        <v>1490.7</v>
      </c>
      <c r="E121" s="25">
        <v>1595.23</v>
      </c>
      <c r="F121" s="25">
        <v>0</v>
      </c>
      <c r="G121" s="29">
        <v>44</v>
      </c>
      <c r="H121" s="27">
        <v>0</v>
      </c>
      <c r="I121" s="29">
        <v>1535</v>
      </c>
      <c r="J121" s="29">
        <v>459139</v>
      </c>
      <c r="K121" s="29">
        <v>0</v>
      </c>
      <c r="L121" s="29">
        <v>459139</v>
      </c>
      <c r="M121" s="29">
        <v>84348</v>
      </c>
      <c r="N121" s="29">
        <v>92591</v>
      </c>
      <c r="O121" s="29">
        <v>0</v>
      </c>
      <c r="P121" s="29">
        <v>38030</v>
      </c>
      <c r="Q121" s="29">
        <v>4834</v>
      </c>
      <c r="R121" s="29">
        <v>678942</v>
      </c>
      <c r="S121" s="29">
        <v>38933</v>
      </c>
      <c r="T121" s="29">
        <v>640009</v>
      </c>
      <c r="U121" s="29">
        <v>375620</v>
      </c>
      <c r="V121" s="29">
        <v>264389</v>
      </c>
    </row>
    <row r="122" spans="1:22" x14ac:dyDescent="0.2">
      <c r="A122" s="20" t="s">
        <v>34</v>
      </c>
      <c r="B122" s="20" t="s">
        <v>448</v>
      </c>
      <c r="C122" s="25">
        <v>25.07</v>
      </c>
      <c r="D122" s="27">
        <v>146</v>
      </c>
      <c r="E122" s="25">
        <v>171.07</v>
      </c>
      <c r="F122" s="25">
        <v>0.49</v>
      </c>
      <c r="G122" s="29">
        <v>8</v>
      </c>
      <c r="H122" s="27">
        <v>0</v>
      </c>
      <c r="I122" s="29">
        <v>154</v>
      </c>
      <c r="J122" s="29">
        <v>52318</v>
      </c>
      <c r="K122" s="29">
        <v>5741</v>
      </c>
      <c r="L122" s="29">
        <v>58059</v>
      </c>
      <c r="M122" s="29">
        <v>8536</v>
      </c>
      <c r="N122" s="29">
        <v>9579</v>
      </c>
      <c r="O122" s="29">
        <v>150</v>
      </c>
      <c r="P122" s="29">
        <v>5563</v>
      </c>
      <c r="Q122" s="29">
        <v>664</v>
      </c>
      <c r="R122" s="29">
        <v>82551</v>
      </c>
      <c r="S122" s="29">
        <v>10845</v>
      </c>
      <c r="T122" s="29">
        <v>71706</v>
      </c>
      <c r="U122" s="29">
        <v>35355</v>
      </c>
      <c r="V122" s="29">
        <v>36351</v>
      </c>
    </row>
    <row r="123" spans="1:22" x14ac:dyDescent="0.2">
      <c r="A123" s="20" t="s">
        <v>88</v>
      </c>
      <c r="B123" s="20" t="s">
        <v>494</v>
      </c>
      <c r="C123" s="25">
        <v>80.010000000000005</v>
      </c>
      <c r="D123" s="27">
        <v>584.70000000000005</v>
      </c>
      <c r="E123" s="25">
        <v>664.71</v>
      </c>
      <c r="F123" s="25">
        <v>0</v>
      </c>
      <c r="G123" s="29">
        <v>0</v>
      </c>
      <c r="H123" s="27">
        <v>0</v>
      </c>
      <c r="I123" s="29">
        <v>585</v>
      </c>
      <c r="J123" s="29">
        <v>198881</v>
      </c>
      <c r="K123" s="29">
        <v>9734</v>
      </c>
      <c r="L123" s="29">
        <v>208615</v>
      </c>
      <c r="M123" s="29">
        <v>32397</v>
      </c>
      <c r="N123" s="29">
        <v>36165</v>
      </c>
      <c r="O123" s="29">
        <v>0</v>
      </c>
      <c r="P123" s="29">
        <v>25119</v>
      </c>
      <c r="Q123" s="29">
        <v>2891</v>
      </c>
      <c r="R123" s="29">
        <v>305187</v>
      </c>
      <c r="S123" s="29">
        <v>38194</v>
      </c>
      <c r="T123" s="29">
        <v>266993</v>
      </c>
      <c r="U123" s="29">
        <v>144693</v>
      </c>
      <c r="V123" s="29">
        <v>122300</v>
      </c>
    </row>
    <row r="124" spans="1:22" x14ac:dyDescent="0.2">
      <c r="A124" s="20" t="s">
        <v>285</v>
      </c>
      <c r="B124" s="20" t="s">
        <v>679</v>
      </c>
      <c r="C124" s="25">
        <v>196.22</v>
      </c>
      <c r="D124" s="27">
        <v>1979</v>
      </c>
      <c r="E124" s="25">
        <v>2175.2199999999998</v>
      </c>
      <c r="F124" s="25">
        <v>0</v>
      </c>
      <c r="G124" s="29">
        <v>19</v>
      </c>
      <c r="H124" s="27">
        <v>0</v>
      </c>
      <c r="I124" s="29">
        <v>1998</v>
      </c>
      <c r="J124" s="29">
        <v>643604</v>
      </c>
      <c r="K124" s="29">
        <v>0</v>
      </c>
      <c r="L124" s="29">
        <v>643604</v>
      </c>
      <c r="M124" s="29">
        <v>110050</v>
      </c>
      <c r="N124" s="29">
        <v>121678</v>
      </c>
      <c r="O124" s="29">
        <v>0</v>
      </c>
      <c r="P124" s="29">
        <v>66083</v>
      </c>
      <c r="Q124" s="29">
        <v>7069</v>
      </c>
      <c r="R124" s="29">
        <v>948484</v>
      </c>
      <c r="S124" s="29">
        <v>89118</v>
      </c>
      <c r="T124" s="29">
        <v>859366</v>
      </c>
      <c r="U124" s="29">
        <v>490860</v>
      </c>
      <c r="V124" s="29">
        <v>368506</v>
      </c>
    </row>
    <row r="125" spans="1:22" x14ac:dyDescent="0.2">
      <c r="A125" s="20" t="s">
        <v>199</v>
      </c>
      <c r="B125" s="20" t="s">
        <v>598</v>
      </c>
      <c r="C125" s="25">
        <v>26.54</v>
      </c>
      <c r="D125" s="27">
        <v>278</v>
      </c>
      <c r="E125" s="25">
        <v>304.54000000000002</v>
      </c>
      <c r="F125" s="25">
        <v>0</v>
      </c>
      <c r="G125" s="29">
        <v>13</v>
      </c>
      <c r="H125" s="27">
        <v>0</v>
      </c>
      <c r="I125" s="29">
        <v>291</v>
      </c>
      <c r="J125" s="29">
        <v>87653</v>
      </c>
      <c r="K125" s="29">
        <v>10377</v>
      </c>
      <c r="L125" s="29">
        <v>98030</v>
      </c>
      <c r="M125" s="29">
        <v>15990</v>
      </c>
      <c r="N125" s="29">
        <v>17553</v>
      </c>
      <c r="O125" s="29">
        <v>0</v>
      </c>
      <c r="P125" s="29">
        <v>7260</v>
      </c>
      <c r="Q125" s="29">
        <v>923</v>
      </c>
      <c r="R125" s="29">
        <v>139756</v>
      </c>
      <c r="S125" s="29">
        <v>17419</v>
      </c>
      <c r="T125" s="29">
        <v>122337</v>
      </c>
      <c r="U125" s="29">
        <v>61722</v>
      </c>
      <c r="V125" s="29">
        <v>60615</v>
      </c>
    </row>
    <row r="126" spans="1:22" x14ac:dyDescent="0.2">
      <c r="A126" s="20" t="s">
        <v>35</v>
      </c>
      <c r="B126" s="20" t="s">
        <v>449</v>
      </c>
      <c r="C126" s="25">
        <v>33.630000000000003</v>
      </c>
      <c r="D126" s="27">
        <v>390</v>
      </c>
      <c r="E126" s="25">
        <v>423.63</v>
      </c>
      <c r="F126" s="25">
        <v>1.22</v>
      </c>
      <c r="G126" s="29">
        <v>14</v>
      </c>
      <c r="H126" s="27">
        <v>0</v>
      </c>
      <c r="I126" s="29">
        <v>404</v>
      </c>
      <c r="J126" s="29">
        <v>129559</v>
      </c>
      <c r="K126" s="29">
        <v>0</v>
      </c>
      <c r="L126" s="29">
        <v>129559</v>
      </c>
      <c r="M126" s="29">
        <v>22394</v>
      </c>
      <c r="N126" s="29">
        <v>25129</v>
      </c>
      <c r="O126" s="29">
        <v>373</v>
      </c>
      <c r="P126" s="29">
        <v>13776</v>
      </c>
      <c r="Q126" s="29">
        <v>1644</v>
      </c>
      <c r="R126" s="29">
        <v>192875</v>
      </c>
      <c r="S126" s="29">
        <v>23426</v>
      </c>
      <c r="T126" s="29">
        <v>169449</v>
      </c>
      <c r="U126" s="29">
        <v>90984</v>
      </c>
      <c r="V126" s="29">
        <v>78465</v>
      </c>
    </row>
    <row r="127" spans="1:22" x14ac:dyDescent="0.2">
      <c r="A127" s="20" t="s">
        <v>298</v>
      </c>
      <c r="B127" s="20" t="s">
        <v>692</v>
      </c>
      <c r="C127" s="25">
        <v>92.49</v>
      </c>
      <c r="D127" s="27">
        <v>643.79999999999995</v>
      </c>
      <c r="E127" s="25">
        <v>736.29</v>
      </c>
      <c r="F127" s="25">
        <v>0</v>
      </c>
      <c r="G127" s="29">
        <v>17</v>
      </c>
      <c r="H127" s="27">
        <v>0</v>
      </c>
      <c r="I127" s="29">
        <v>661</v>
      </c>
      <c r="J127" s="29">
        <v>217853</v>
      </c>
      <c r="K127" s="29">
        <v>3386</v>
      </c>
      <c r="L127" s="29">
        <v>221239</v>
      </c>
      <c r="M127" s="29">
        <v>36408</v>
      </c>
      <c r="N127" s="29">
        <v>40255</v>
      </c>
      <c r="O127" s="29">
        <v>0</v>
      </c>
      <c r="P127" s="29">
        <v>22717</v>
      </c>
      <c r="Q127" s="29">
        <v>2424</v>
      </c>
      <c r="R127" s="29">
        <v>323043</v>
      </c>
      <c r="S127" s="29">
        <v>39610</v>
      </c>
      <c r="T127" s="29">
        <v>283433</v>
      </c>
      <c r="U127" s="29">
        <v>157087</v>
      </c>
      <c r="V127" s="29">
        <v>126346</v>
      </c>
    </row>
    <row r="128" spans="1:22" x14ac:dyDescent="0.2">
      <c r="A128" s="20" t="s">
        <v>89</v>
      </c>
      <c r="B128" s="20" t="s">
        <v>90</v>
      </c>
      <c r="C128" s="25">
        <v>30.81</v>
      </c>
      <c r="D128" s="27">
        <v>281.39999999999998</v>
      </c>
      <c r="E128" s="25">
        <v>312.20999999999998</v>
      </c>
      <c r="F128" s="25">
        <v>0</v>
      </c>
      <c r="G128" s="29">
        <v>7</v>
      </c>
      <c r="H128" s="27">
        <v>0</v>
      </c>
      <c r="I128" s="29">
        <v>288</v>
      </c>
      <c r="J128" s="29">
        <v>93413</v>
      </c>
      <c r="K128" s="29">
        <v>11962</v>
      </c>
      <c r="L128" s="29">
        <v>105375</v>
      </c>
      <c r="M128" s="29">
        <v>15949</v>
      </c>
      <c r="N128" s="29">
        <v>17804</v>
      </c>
      <c r="O128" s="29">
        <v>0</v>
      </c>
      <c r="P128" s="29">
        <v>11876</v>
      </c>
      <c r="Q128" s="29">
        <v>1365</v>
      </c>
      <c r="R128" s="29">
        <v>152369</v>
      </c>
      <c r="S128" s="29">
        <v>17366</v>
      </c>
      <c r="T128" s="29">
        <v>135003</v>
      </c>
      <c r="U128" s="29">
        <v>68620</v>
      </c>
      <c r="V128" s="29">
        <v>66383</v>
      </c>
    </row>
    <row r="129" spans="1:22" x14ac:dyDescent="0.2">
      <c r="A129" s="20" t="s">
        <v>91</v>
      </c>
      <c r="B129" s="20" t="s">
        <v>495</v>
      </c>
      <c r="C129" s="25">
        <v>245.33</v>
      </c>
      <c r="D129" s="27">
        <v>1598.1</v>
      </c>
      <c r="E129" s="25">
        <v>1843.43</v>
      </c>
      <c r="F129" s="25">
        <v>0</v>
      </c>
      <c r="G129" s="29">
        <v>36</v>
      </c>
      <c r="H129" s="27">
        <v>2.4</v>
      </c>
      <c r="I129" s="29">
        <v>1632</v>
      </c>
      <c r="J129" s="29">
        <v>551554</v>
      </c>
      <c r="K129" s="29">
        <v>868</v>
      </c>
      <c r="L129" s="29">
        <v>552422</v>
      </c>
      <c r="M129" s="29">
        <v>90380</v>
      </c>
      <c r="N129" s="29">
        <v>100890</v>
      </c>
      <c r="O129" s="29">
        <v>0</v>
      </c>
      <c r="P129" s="29">
        <v>69903</v>
      </c>
      <c r="Q129" s="29">
        <v>8036</v>
      </c>
      <c r="R129" s="29">
        <v>821631</v>
      </c>
      <c r="S129" s="29">
        <v>81962</v>
      </c>
      <c r="T129" s="29">
        <v>739669</v>
      </c>
      <c r="U129" s="29">
        <v>425496</v>
      </c>
      <c r="V129" s="29">
        <v>314173</v>
      </c>
    </row>
    <row r="130" spans="1:22" x14ac:dyDescent="0.2">
      <c r="A130" s="20" t="s">
        <v>286</v>
      </c>
      <c r="B130" s="20" t="s">
        <v>680</v>
      </c>
      <c r="C130" s="25">
        <v>99.82</v>
      </c>
      <c r="D130" s="27">
        <v>503.9</v>
      </c>
      <c r="E130" s="25">
        <v>603.72</v>
      </c>
      <c r="F130" s="25">
        <v>0</v>
      </c>
      <c r="G130" s="29">
        <v>0</v>
      </c>
      <c r="H130" s="27">
        <v>0</v>
      </c>
      <c r="I130" s="29">
        <v>504</v>
      </c>
      <c r="J130" s="29">
        <v>178629</v>
      </c>
      <c r="K130" s="29">
        <v>3518</v>
      </c>
      <c r="L130" s="29">
        <v>182147</v>
      </c>
      <c r="M130" s="29">
        <v>27760</v>
      </c>
      <c r="N130" s="29">
        <v>30694</v>
      </c>
      <c r="O130" s="29">
        <v>0</v>
      </c>
      <c r="P130" s="29">
        <v>18341</v>
      </c>
      <c r="Q130" s="29">
        <v>1962</v>
      </c>
      <c r="R130" s="29">
        <v>260904</v>
      </c>
      <c r="S130" s="29">
        <v>31091</v>
      </c>
      <c r="T130" s="29">
        <v>229813</v>
      </c>
      <c r="U130" s="29">
        <v>129879</v>
      </c>
      <c r="V130" s="29">
        <v>99934</v>
      </c>
    </row>
    <row r="131" spans="1:22" x14ac:dyDescent="0.2">
      <c r="A131" s="20" t="s">
        <v>92</v>
      </c>
      <c r="B131" s="20" t="s">
        <v>496</v>
      </c>
      <c r="C131" s="25">
        <v>82.23</v>
      </c>
      <c r="D131" s="27">
        <v>654.20000000000005</v>
      </c>
      <c r="E131" s="25">
        <v>736.43</v>
      </c>
      <c r="F131" s="25">
        <v>0</v>
      </c>
      <c r="G131" s="29">
        <v>5</v>
      </c>
      <c r="H131" s="27">
        <v>0</v>
      </c>
      <c r="I131" s="29">
        <v>659</v>
      </c>
      <c r="J131" s="29">
        <v>220340</v>
      </c>
      <c r="K131" s="29">
        <v>3616</v>
      </c>
      <c r="L131" s="29">
        <v>223956</v>
      </c>
      <c r="M131" s="29">
        <v>36495</v>
      </c>
      <c r="N131" s="29">
        <v>40739</v>
      </c>
      <c r="O131" s="29">
        <v>0</v>
      </c>
      <c r="P131" s="29">
        <v>28339</v>
      </c>
      <c r="Q131" s="29">
        <v>3258</v>
      </c>
      <c r="R131" s="29">
        <v>332787</v>
      </c>
      <c r="S131" s="29">
        <v>29520</v>
      </c>
      <c r="T131" s="29">
        <v>303267</v>
      </c>
      <c r="U131" s="29">
        <v>173665</v>
      </c>
      <c r="V131" s="29">
        <v>129602</v>
      </c>
    </row>
    <row r="132" spans="1:22" x14ac:dyDescent="0.2">
      <c r="A132" s="20" t="s">
        <v>200</v>
      </c>
      <c r="B132" s="20" t="s">
        <v>599</v>
      </c>
      <c r="C132" s="25">
        <v>41.56</v>
      </c>
      <c r="D132" s="27">
        <v>447.6</v>
      </c>
      <c r="E132" s="25">
        <v>489.16</v>
      </c>
      <c r="F132" s="25">
        <v>0</v>
      </c>
      <c r="G132" s="29">
        <v>3</v>
      </c>
      <c r="H132" s="27">
        <v>0</v>
      </c>
      <c r="I132" s="29">
        <v>451</v>
      </c>
      <c r="J132" s="29">
        <v>140790</v>
      </c>
      <c r="K132" s="29">
        <v>9090</v>
      </c>
      <c r="L132" s="29">
        <v>149880</v>
      </c>
      <c r="M132" s="29">
        <v>24782</v>
      </c>
      <c r="N132" s="29">
        <v>27204</v>
      </c>
      <c r="O132" s="29">
        <v>0</v>
      </c>
      <c r="P132" s="29">
        <v>12163</v>
      </c>
      <c r="Q132" s="29">
        <v>1545</v>
      </c>
      <c r="R132" s="29">
        <v>215574</v>
      </c>
      <c r="S132" s="29">
        <v>21657</v>
      </c>
      <c r="T132" s="29">
        <v>193917</v>
      </c>
      <c r="U132" s="29">
        <v>106025</v>
      </c>
      <c r="V132" s="29">
        <v>87892</v>
      </c>
    </row>
    <row r="133" spans="1:22" x14ac:dyDescent="0.2">
      <c r="A133" s="20" t="s">
        <v>3</v>
      </c>
      <c r="B133" s="20" t="s">
        <v>418</v>
      </c>
      <c r="C133" s="25">
        <v>57.31</v>
      </c>
      <c r="D133" s="27">
        <v>571.4</v>
      </c>
      <c r="E133" s="25">
        <v>628.71</v>
      </c>
      <c r="F133" s="25">
        <v>0</v>
      </c>
      <c r="G133" s="29">
        <v>68</v>
      </c>
      <c r="H133" s="27">
        <v>3.4</v>
      </c>
      <c r="I133" s="29">
        <v>636</v>
      </c>
      <c r="J133" s="29">
        <v>194950</v>
      </c>
      <c r="K133" s="29">
        <v>9872</v>
      </c>
      <c r="L133" s="29">
        <v>204822</v>
      </c>
      <c r="M133" s="29">
        <v>35203</v>
      </c>
      <c r="N133" s="29">
        <v>39260</v>
      </c>
      <c r="O133" s="29">
        <v>0</v>
      </c>
      <c r="P133" s="29">
        <v>19220</v>
      </c>
      <c r="Q133" s="29">
        <v>2068</v>
      </c>
      <c r="R133" s="29">
        <v>300573</v>
      </c>
      <c r="S133" s="29">
        <v>39375</v>
      </c>
      <c r="T133" s="29">
        <v>261198</v>
      </c>
      <c r="U133" s="29">
        <v>128402</v>
      </c>
      <c r="V133" s="29">
        <v>132796</v>
      </c>
    </row>
    <row r="134" spans="1:22" x14ac:dyDescent="0.2">
      <c r="A134" s="20" t="s">
        <v>156</v>
      </c>
      <c r="B134" s="20" t="s">
        <v>157</v>
      </c>
      <c r="C134" s="25">
        <v>40.950000000000003</v>
      </c>
      <c r="D134" s="27">
        <v>333.7</v>
      </c>
      <c r="E134" s="25">
        <v>374.65</v>
      </c>
      <c r="F134" s="25">
        <v>0</v>
      </c>
      <c r="G134" s="29">
        <v>10</v>
      </c>
      <c r="H134" s="27">
        <v>0</v>
      </c>
      <c r="I134" s="29">
        <v>344</v>
      </c>
      <c r="J134" s="29">
        <v>110492</v>
      </c>
      <c r="K134" s="29">
        <v>1953</v>
      </c>
      <c r="L134" s="29">
        <v>112445</v>
      </c>
      <c r="M134" s="29">
        <v>18944</v>
      </c>
      <c r="N134" s="29">
        <v>20812</v>
      </c>
      <c r="O134" s="29">
        <v>0</v>
      </c>
      <c r="P134" s="29">
        <v>10344</v>
      </c>
      <c r="Q134" s="29">
        <v>1206</v>
      </c>
      <c r="R134" s="29">
        <v>163751</v>
      </c>
      <c r="S134" s="29">
        <v>19800</v>
      </c>
      <c r="T134" s="29">
        <v>143951</v>
      </c>
      <c r="U134" s="29">
        <v>79043</v>
      </c>
      <c r="V134" s="29">
        <v>64908</v>
      </c>
    </row>
    <row r="135" spans="1:22" x14ac:dyDescent="0.2">
      <c r="A135" s="20" t="s">
        <v>287</v>
      </c>
      <c r="B135" s="20" t="s">
        <v>681</v>
      </c>
      <c r="C135" s="25">
        <v>31.58</v>
      </c>
      <c r="D135" s="27">
        <v>221</v>
      </c>
      <c r="E135" s="25">
        <v>252.58</v>
      </c>
      <c r="F135" s="25">
        <v>0</v>
      </c>
      <c r="G135" s="29">
        <v>0</v>
      </c>
      <c r="H135" s="27">
        <v>0</v>
      </c>
      <c r="I135" s="29">
        <v>221</v>
      </c>
      <c r="J135" s="29">
        <v>74733</v>
      </c>
      <c r="K135" s="29">
        <v>9004</v>
      </c>
      <c r="L135" s="29">
        <v>83737</v>
      </c>
      <c r="M135" s="29">
        <v>12173</v>
      </c>
      <c r="N135" s="29">
        <v>13459</v>
      </c>
      <c r="O135" s="29">
        <v>0</v>
      </c>
      <c r="P135" s="29">
        <v>8157</v>
      </c>
      <c r="Q135" s="29">
        <v>870</v>
      </c>
      <c r="R135" s="29">
        <v>118396</v>
      </c>
      <c r="S135" s="29">
        <v>14961</v>
      </c>
      <c r="T135" s="29">
        <v>103435</v>
      </c>
      <c r="U135" s="29">
        <v>52917</v>
      </c>
      <c r="V135" s="29">
        <v>50518</v>
      </c>
    </row>
    <row r="136" spans="1:22" x14ac:dyDescent="0.2">
      <c r="A136" s="20" t="s">
        <v>93</v>
      </c>
      <c r="B136" s="20" t="s">
        <v>497</v>
      </c>
      <c r="C136" s="25">
        <v>183.99</v>
      </c>
      <c r="D136" s="27">
        <v>1200.2</v>
      </c>
      <c r="E136" s="25">
        <v>1384.19</v>
      </c>
      <c r="F136" s="25">
        <v>0</v>
      </c>
      <c r="G136" s="29">
        <v>10</v>
      </c>
      <c r="H136" s="27">
        <v>0</v>
      </c>
      <c r="I136" s="29">
        <v>1210</v>
      </c>
      <c r="J136" s="29">
        <v>414150</v>
      </c>
      <c r="K136" s="29">
        <v>738</v>
      </c>
      <c r="L136" s="29">
        <v>414888</v>
      </c>
      <c r="M136" s="29">
        <v>67010</v>
      </c>
      <c r="N136" s="29">
        <v>74802</v>
      </c>
      <c r="O136" s="29">
        <v>0</v>
      </c>
      <c r="P136" s="29">
        <v>52500</v>
      </c>
      <c r="Q136" s="29">
        <v>6036</v>
      </c>
      <c r="R136" s="29">
        <v>615236</v>
      </c>
      <c r="S136" s="29">
        <v>56126</v>
      </c>
      <c r="T136" s="29">
        <v>559110</v>
      </c>
      <c r="U136" s="29">
        <v>324926</v>
      </c>
      <c r="V136" s="29">
        <v>234184</v>
      </c>
    </row>
    <row r="137" spans="1:22" x14ac:dyDescent="0.2">
      <c r="A137" s="20" t="s">
        <v>288</v>
      </c>
      <c r="B137" s="20" t="s">
        <v>682</v>
      </c>
      <c r="C137" s="25">
        <v>161.22999999999999</v>
      </c>
      <c r="D137" s="27">
        <v>1430.9</v>
      </c>
      <c r="E137" s="25">
        <v>1592.13</v>
      </c>
      <c r="F137" s="25">
        <v>0</v>
      </c>
      <c r="G137" s="29">
        <v>96</v>
      </c>
      <c r="H137" s="27">
        <v>1.2</v>
      </c>
      <c r="I137" s="29">
        <v>1526</v>
      </c>
      <c r="J137" s="29">
        <v>471079</v>
      </c>
      <c r="K137" s="29">
        <v>0</v>
      </c>
      <c r="L137" s="29">
        <v>471079</v>
      </c>
      <c r="M137" s="29">
        <v>84052</v>
      </c>
      <c r="N137" s="29">
        <v>92933</v>
      </c>
      <c r="O137" s="29">
        <v>0</v>
      </c>
      <c r="P137" s="29">
        <v>48369</v>
      </c>
      <c r="Q137" s="29">
        <v>5174</v>
      </c>
      <c r="R137" s="29">
        <v>701607</v>
      </c>
      <c r="S137" s="29">
        <v>75561</v>
      </c>
      <c r="T137" s="29">
        <v>626046</v>
      </c>
      <c r="U137" s="29">
        <v>348948</v>
      </c>
      <c r="V137" s="29">
        <v>277098</v>
      </c>
    </row>
    <row r="138" spans="1:22" x14ac:dyDescent="0.2">
      <c r="A138" s="20" t="s">
        <v>324</v>
      </c>
      <c r="B138" s="20" t="s">
        <v>717</v>
      </c>
      <c r="C138" s="25">
        <v>34.32</v>
      </c>
      <c r="D138" s="27">
        <v>346.3</v>
      </c>
      <c r="E138" s="25">
        <v>380.62</v>
      </c>
      <c r="F138" s="25">
        <v>0</v>
      </c>
      <c r="G138" s="29">
        <v>2</v>
      </c>
      <c r="H138" s="27">
        <v>0</v>
      </c>
      <c r="I138" s="29">
        <v>348</v>
      </c>
      <c r="J138" s="29">
        <v>111613</v>
      </c>
      <c r="K138" s="29">
        <v>9066</v>
      </c>
      <c r="L138" s="29">
        <v>120679</v>
      </c>
      <c r="M138" s="29">
        <v>19157</v>
      </c>
      <c r="N138" s="29">
        <v>21044</v>
      </c>
      <c r="O138" s="29">
        <v>0</v>
      </c>
      <c r="P138" s="29">
        <v>11210</v>
      </c>
      <c r="Q138" s="29">
        <v>1218</v>
      </c>
      <c r="R138" s="29">
        <v>173308</v>
      </c>
      <c r="S138" s="29">
        <v>23152</v>
      </c>
      <c r="T138" s="29">
        <v>150156</v>
      </c>
      <c r="U138" s="29">
        <v>77960</v>
      </c>
      <c r="V138" s="29">
        <v>72196</v>
      </c>
    </row>
    <row r="139" spans="1:22" x14ac:dyDescent="0.2">
      <c r="A139" s="20" t="s">
        <v>37</v>
      </c>
      <c r="B139" s="20" t="s">
        <v>451</v>
      </c>
      <c r="C139" s="25">
        <v>36.89</v>
      </c>
      <c r="D139" s="27">
        <v>306.89999999999998</v>
      </c>
      <c r="E139" s="25">
        <v>343.79</v>
      </c>
      <c r="F139" s="25">
        <v>0.99</v>
      </c>
      <c r="G139" s="29">
        <v>3</v>
      </c>
      <c r="H139" s="27">
        <v>0</v>
      </c>
      <c r="I139" s="29">
        <v>310</v>
      </c>
      <c r="J139" s="29">
        <v>105141</v>
      </c>
      <c r="K139" s="29">
        <v>1498</v>
      </c>
      <c r="L139" s="29">
        <v>106639</v>
      </c>
      <c r="M139" s="29">
        <v>17183</v>
      </c>
      <c r="N139" s="29">
        <v>19282</v>
      </c>
      <c r="O139" s="29">
        <v>303</v>
      </c>
      <c r="P139" s="29">
        <v>11180</v>
      </c>
      <c r="Q139" s="29">
        <v>1334</v>
      </c>
      <c r="R139" s="29">
        <v>155921</v>
      </c>
      <c r="S139" s="29">
        <v>15519</v>
      </c>
      <c r="T139" s="29">
        <v>140402</v>
      </c>
      <c r="U139" s="29">
        <v>77329</v>
      </c>
      <c r="V139" s="29">
        <v>63073</v>
      </c>
    </row>
    <row r="140" spans="1:22" x14ac:dyDescent="0.2">
      <c r="A140" s="20" t="s">
        <v>243</v>
      </c>
      <c r="B140" s="20" t="s">
        <v>639</v>
      </c>
      <c r="C140" s="25">
        <v>118.76</v>
      </c>
      <c r="D140" s="27">
        <v>627.9</v>
      </c>
      <c r="E140" s="25">
        <v>746.66</v>
      </c>
      <c r="F140" s="25">
        <v>0</v>
      </c>
      <c r="G140" s="29">
        <v>113</v>
      </c>
      <c r="H140" s="27">
        <v>0</v>
      </c>
      <c r="I140" s="29">
        <v>741</v>
      </c>
      <c r="J140" s="29">
        <v>225835</v>
      </c>
      <c r="K140" s="29">
        <v>0</v>
      </c>
      <c r="L140" s="29">
        <v>225835</v>
      </c>
      <c r="M140" s="29">
        <v>41022</v>
      </c>
      <c r="N140" s="29">
        <v>46016</v>
      </c>
      <c r="O140" s="29">
        <v>0</v>
      </c>
      <c r="P140" s="29">
        <v>22698</v>
      </c>
      <c r="Q140" s="29">
        <v>2718</v>
      </c>
      <c r="R140" s="29">
        <v>338289</v>
      </c>
      <c r="S140" s="29">
        <v>41896</v>
      </c>
      <c r="T140" s="29">
        <v>296393</v>
      </c>
      <c r="U140" s="29">
        <v>157492</v>
      </c>
      <c r="V140" s="29">
        <v>138901</v>
      </c>
    </row>
    <row r="141" spans="1:22" x14ac:dyDescent="0.2">
      <c r="A141" s="20" t="s">
        <v>155</v>
      </c>
      <c r="B141" s="20" t="s">
        <v>557</v>
      </c>
      <c r="C141" s="25">
        <v>79.239999999999995</v>
      </c>
      <c r="D141" s="27">
        <v>617.20000000000005</v>
      </c>
      <c r="E141" s="25">
        <v>696.44</v>
      </c>
      <c r="F141" s="25">
        <v>0</v>
      </c>
      <c r="G141" s="29">
        <v>11</v>
      </c>
      <c r="H141" s="27">
        <v>0</v>
      </c>
      <c r="I141" s="29">
        <v>628</v>
      </c>
      <c r="J141" s="29">
        <v>205394</v>
      </c>
      <c r="K141" s="29">
        <v>1405</v>
      </c>
      <c r="L141" s="29">
        <v>206799</v>
      </c>
      <c r="M141" s="29">
        <v>34584</v>
      </c>
      <c r="N141" s="29">
        <v>37994</v>
      </c>
      <c r="O141" s="29">
        <v>0</v>
      </c>
      <c r="P141" s="29">
        <v>19342</v>
      </c>
      <c r="Q141" s="29">
        <v>2252</v>
      </c>
      <c r="R141" s="29">
        <v>300971</v>
      </c>
      <c r="S141" s="29">
        <v>28769</v>
      </c>
      <c r="T141" s="29">
        <v>272202</v>
      </c>
      <c r="U141" s="29">
        <v>155096</v>
      </c>
      <c r="V141" s="29">
        <v>117106</v>
      </c>
    </row>
    <row r="142" spans="1:22" x14ac:dyDescent="0.2">
      <c r="A142" s="20" t="s">
        <v>244</v>
      </c>
      <c r="B142" s="20" t="s">
        <v>640</v>
      </c>
      <c r="C142" s="25">
        <v>46.23</v>
      </c>
      <c r="D142" s="27">
        <v>526.1</v>
      </c>
      <c r="E142" s="25">
        <v>572.33000000000004</v>
      </c>
      <c r="F142" s="25">
        <v>0</v>
      </c>
      <c r="G142" s="29">
        <v>20</v>
      </c>
      <c r="H142" s="27">
        <v>0</v>
      </c>
      <c r="I142" s="29">
        <v>546</v>
      </c>
      <c r="J142" s="29">
        <v>173107</v>
      </c>
      <c r="K142" s="29">
        <v>2184</v>
      </c>
      <c r="L142" s="29">
        <v>175291</v>
      </c>
      <c r="M142" s="29">
        <v>30227</v>
      </c>
      <c r="N142" s="29">
        <v>33907</v>
      </c>
      <c r="O142" s="29">
        <v>0</v>
      </c>
      <c r="P142" s="29">
        <v>17615</v>
      </c>
      <c r="Q142" s="29">
        <v>2107</v>
      </c>
      <c r="R142" s="29">
        <v>259147</v>
      </c>
      <c r="S142" s="29">
        <v>25986</v>
      </c>
      <c r="T142" s="29">
        <v>233161</v>
      </c>
      <c r="U142" s="29">
        <v>127089</v>
      </c>
      <c r="V142" s="29">
        <v>106072</v>
      </c>
    </row>
    <row r="143" spans="1:22" x14ac:dyDescent="0.2">
      <c r="A143" s="20" t="s">
        <v>8</v>
      </c>
      <c r="B143" s="20" t="s">
        <v>423</v>
      </c>
      <c r="C143" s="25">
        <v>163.05000000000001</v>
      </c>
      <c r="D143" s="27">
        <v>1160.4000000000001</v>
      </c>
      <c r="E143" s="25">
        <v>1323.45</v>
      </c>
      <c r="F143" s="25">
        <v>0</v>
      </c>
      <c r="G143" s="29">
        <v>191</v>
      </c>
      <c r="H143" s="27">
        <v>1.6</v>
      </c>
      <c r="I143" s="29">
        <v>1350</v>
      </c>
      <c r="J143" s="29">
        <v>410375</v>
      </c>
      <c r="K143" s="29">
        <v>21555</v>
      </c>
      <c r="L143" s="29">
        <v>431930</v>
      </c>
      <c r="M143" s="29">
        <v>74723</v>
      </c>
      <c r="N143" s="29">
        <v>83336</v>
      </c>
      <c r="O143" s="29">
        <v>0</v>
      </c>
      <c r="P143" s="29">
        <v>40931</v>
      </c>
      <c r="Q143" s="29">
        <v>4396</v>
      </c>
      <c r="R143" s="29">
        <v>635316</v>
      </c>
      <c r="S143" s="29">
        <v>74965</v>
      </c>
      <c r="T143" s="29">
        <v>560351</v>
      </c>
      <c r="U143" s="29">
        <v>278726</v>
      </c>
      <c r="V143" s="29">
        <v>281625</v>
      </c>
    </row>
    <row r="144" spans="1:22" x14ac:dyDescent="0.2">
      <c r="A144" s="20" t="s">
        <v>94</v>
      </c>
      <c r="B144" s="20" t="s">
        <v>498</v>
      </c>
      <c r="C144" s="25">
        <v>45.12</v>
      </c>
      <c r="D144" s="27">
        <v>444.4</v>
      </c>
      <c r="E144" s="25">
        <v>489.52</v>
      </c>
      <c r="F144" s="25">
        <v>0</v>
      </c>
      <c r="G144" s="29">
        <v>2</v>
      </c>
      <c r="H144" s="27">
        <v>0</v>
      </c>
      <c r="I144" s="29">
        <v>446</v>
      </c>
      <c r="J144" s="29">
        <v>146464</v>
      </c>
      <c r="K144" s="29">
        <v>6690</v>
      </c>
      <c r="L144" s="29">
        <v>153154</v>
      </c>
      <c r="M144" s="29">
        <v>24699</v>
      </c>
      <c r="N144" s="29">
        <v>27572</v>
      </c>
      <c r="O144" s="29">
        <v>0</v>
      </c>
      <c r="P144" s="29">
        <v>19380</v>
      </c>
      <c r="Q144" s="29">
        <v>2228</v>
      </c>
      <c r="R144" s="29">
        <v>227033</v>
      </c>
      <c r="S144" s="29">
        <v>23920</v>
      </c>
      <c r="T144" s="29">
        <v>203113</v>
      </c>
      <c r="U144" s="29">
        <v>111746</v>
      </c>
      <c r="V144" s="29">
        <v>91367</v>
      </c>
    </row>
    <row r="145" spans="1:22" x14ac:dyDescent="0.2">
      <c r="A145" s="20" t="s">
        <v>95</v>
      </c>
      <c r="B145" s="20" t="s">
        <v>499</v>
      </c>
      <c r="C145" s="25">
        <v>92.59</v>
      </c>
      <c r="D145" s="27">
        <v>677</v>
      </c>
      <c r="E145" s="25">
        <v>769.59</v>
      </c>
      <c r="F145" s="25">
        <v>0</v>
      </c>
      <c r="G145" s="29">
        <v>11</v>
      </c>
      <c r="H145" s="27">
        <v>0</v>
      </c>
      <c r="I145" s="29">
        <v>688</v>
      </c>
      <c r="J145" s="29">
        <v>230261</v>
      </c>
      <c r="K145" s="29">
        <v>0</v>
      </c>
      <c r="L145" s="29">
        <v>230261</v>
      </c>
      <c r="M145" s="29">
        <v>38101</v>
      </c>
      <c r="N145" s="29">
        <v>42532</v>
      </c>
      <c r="O145" s="29">
        <v>0</v>
      </c>
      <c r="P145" s="29">
        <v>29083</v>
      </c>
      <c r="Q145" s="29">
        <v>3348</v>
      </c>
      <c r="R145" s="29">
        <v>343325</v>
      </c>
      <c r="S145" s="29">
        <v>34532</v>
      </c>
      <c r="T145" s="29">
        <v>308793</v>
      </c>
      <c r="U145" s="29">
        <v>177213</v>
      </c>
      <c r="V145" s="29">
        <v>131580</v>
      </c>
    </row>
    <row r="146" spans="1:22" x14ac:dyDescent="0.2">
      <c r="A146" s="20" t="s">
        <v>38</v>
      </c>
      <c r="B146" s="20" t="s">
        <v>452</v>
      </c>
      <c r="C146" s="25">
        <v>130.55000000000001</v>
      </c>
      <c r="D146" s="27">
        <v>1203.0999999999999</v>
      </c>
      <c r="E146" s="25">
        <v>1333.65</v>
      </c>
      <c r="F146" s="25">
        <v>3.85</v>
      </c>
      <c r="G146" s="29">
        <v>142</v>
      </c>
      <c r="H146" s="27">
        <v>2.8</v>
      </c>
      <c r="I146" s="29">
        <v>1342</v>
      </c>
      <c r="J146" s="29">
        <v>407870</v>
      </c>
      <c r="K146" s="29">
        <v>0</v>
      </c>
      <c r="L146" s="29">
        <v>407870</v>
      </c>
      <c r="M146" s="29">
        <v>74387</v>
      </c>
      <c r="N146" s="29">
        <v>83472</v>
      </c>
      <c r="O146" s="29">
        <v>1177</v>
      </c>
      <c r="P146" s="29">
        <v>43370</v>
      </c>
      <c r="Q146" s="29">
        <v>5175</v>
      </c>
      <c r="R146" s="29">
        <v>615451</v>
      </c>
      <c r="S146" s="29">
        <v>61988</v>
      </c>
      <c r="T146" s="29">
        <v>553463</v>
      </c>
      <c r="U146" s="29">
        <v>298195</v>
      </c>
      <c r="V146" s="29">
        <v>255268</v>
      </c>
    </row>
    <row r="147" spans="1:22" x14ac:dyDescent="0.2">
      <c r="A147" s="20" t="s">
        <v>96</v>
      </c>
      <c r="B147" s="20" t="s">
        <v>500</v>
      </c>
      <c r="C147" s="25">
        <v>196.48</v>
      </c>
      <c r="D147" s="27">
        <v>1430.5</v>
      </c>
      <c r="E147" s="25">
        <v>1626.98</v>
      </c>
      <c r="F147" s="25">
        <v>0</v>
      </c>
      <c r="G147" s="29">
        <v>142</v>
      </c>
      <c r="H147" s="27">
        <v>5.3</v>
      </c>
      <c r="I147" s="29">
        <v>1567</v>
      </c>
      <c r="J147" s="29">
        <v>486792</v>
      </c>
      <c r="K147" s="29">
        <v>0</v>
      </c>
      <c r="L147" s="29">
        <v>486792</v>
      </c>
      <c r="M147" s="29">
        <v>86780</v>
      </c>
      <c r="N147" s="29">
        <v>96872</v>
      </c>
      <c r="O147" s="29">
        <v>0</v>
      </c>
      <c r="P147" s="29">
        <v>61484</v>
      </c>
      <c r="Q147" s="29">
        <v>7077</v>
      </c>
      <c r="R147" s="29">
        <v>739005</v>
      </c>
      <c r="S147" s="29">
        <v>73977</v>
      </c>
      <c r="T147" s="29">
        <v>665028</v>
      </c>
      <c r="U147" s="29">
        <v>373670</v>
      </c>
      <c r="V147" s="29">
        <v>291358</v>
      </c>
    </row>
    <row r="148" spans="1:22" x14ac:dyDescent="0.2">
      <c r="A148" s="20" t="s">
        <v>201</v>
      </c>
      <c r="B148" s="20" t="s">
        <v>600</v>
      </c>
      <c r="C148" s="25">
        <v>353.38</v>
      </c>
      <c r="D148" s="27">
        <v>3421.1</v>
      </c>
      <c r="E148" s="25">
        <v>3774.48</v>
      </c>
      <c r="F148" s="25">
        <v>0</v>
      </c>
      <c r="G148" s="29">
        <v>11</v>
      </c>
      <c r="H148" s="27">
        <v>0</v>
      </c>
      <c r="I148" s="29">
        <v>3432</v>
      </c>
      <c r="J148" s="29">
        <v>1086371</v>
      </c>
      <c r="K148" s="29">
        <v>0</v>
      </c>
      <c r="L148" s="29">
        <v>1086371</v>
      </c>
      <c r="M148" s="29">
        <v>188588</v>
      </c>
      <c r="N148" s="29">
        <v>207018</v>
      </c>
      <c r="O148" s="29">
        <v>0</v>
      </c>
      <c r="P148" s="29">
        <v>89984</v>
      </c>
      <c r="Q148" s="29">
        <v>11437</v>
      </c>
      <c r="R148" s="29">
        <v>1583398</v>
      </c>
      <c r="S148" s="29">
        <v>139171</v>
      </c>
      <c r="T148" s="29">
        <v>1444227</v>
      </c>
      <c r="U148" s="29">
        <v>841704</v>
      </c>
      <c r="V148" s="29">
        <v>602523</v>
      </c>
    </row>
    <row r="149" spans="1:22" x14ac:dyDescent="0.2">
      <c r="A149" s="20" t="s">
        <v>202</v>
      </c>
      <c r="B149" s="20" t="s">
        <v>601</v>
      </c>
      <c r="C149" s="25">
        <v>80.33</v>
      </c>
      <c r="D149" s="27">
        <v>857.3</v>
      </c>
      <c r="E149" s="25">
        <v>937.63</v>
      </c>
      <c r="F149" s="25">
        <v>0</v>
      </c>
      <c r="G149" s="29">
        <v>3</v>
      </c>
      <c r="H149" s="27">
        <v>0</v>
      </c>
      <c r="I149" s="29">
        <v>860</v>
      </c>
      <c r="J149" s="29">
        <v>269869</v>
      </c>
      <c r="K149" s="29">
        <v>6497</v>
      </c>
      <c r="L149" s="29">
        <v>276366</v>
      </c>
      <c r="M149" s="29">
        <v>47257</v>
      </c>
      <c r="N149" s="29">
        <v>51875</v>
      </c>
      <c r="O149" s="29">
        <v>0</v>
      </c>
      <c r="P149" s="29">
        <v>22836</v>
      </c>
      <c r="Q149" s="29">
        <v>2901</v>
      </c>
      <c r="R149" s="29">
        <v>401235</v>
      </c>
      <c r="S149" s="29">
        <v>33511</v>
      </c>
      <c r="T149" s="29">
        <v>367724</v>
      </c>
      <c r="U149" s="29">
        <v>210694</v>
      </c>
      <c r="V149" s="29">
        <v>157030</v>
      </c>
    </row>
    <row r="150" spans="1:22" x14ac:dyDescent="0.2">
      <c r="A150" s="20" t="s">
        <v>158</v>
      </c>
      <c r="B150" s="20" t="s">
        <v>558</v>
      </c>
      <c r="C150" s="25">
        <v>1362.63</v>
      </c>
      <c r="D150" s="27">
        <v>14197.5</v>
      </c>
      <c r="E150" s="25">
        <v>15560.13</v>
      </c>
      <c r="F150" s="25">
        <v>0</v>
      </c>
      <c r="G150" s="29">
        <v>987</v>
      </c>
      <c r="H150" s="27">
        <v>2.8</v>
      </c>
      <c r="I150" s="29">
        <v>15182</v>
      </c>
      <c r="J150" s="29">
        <v>4588994</v>
      </c>
      <c r="K150" s="29">
        <v>0</v>
      </c>
      <c r="L150" s="29">
        <v>4588994</v>
      </c>
      <c r="M150" s="29">
        <v>836073</v>
      </c>
      <c r="N150" s="29">
        <v>918511</v>
      </c>
      <c r="O150" s="29">
        <v>0</v>
      </c>
      <c r="P150" s="29">
        <v>429615</v>
      </c>
      <c r="Q150" s="29">
        <v>50104</v>
      </c>
      <c r="R150" s="29">
        <v>6823297</v>
      </c>
      <c r="S150" s="29">
        <v>485100</v>
      </c>
      <c r="T150" s="29">
        <v>6338197</v>
      </c>
      <c r="U150" s="29">
        <v>3620129</v>
      </c>
      <c r="V150" s="29">
        <v>2718068</v>
      </c>
    </row>
    <row r="151" spans="1:22" x14ac:dyDescent="0.2">
      <c r="A151" s="20" t="s">
        <v>97</v>
      </c>
      <c r="B151" s="20" t="s">
        <v>501</v>
      </c>
      <c r="C151" s="25">
        <v>132.25</v>
      </c>
      <c r="D151" s="27">
        <v>1097.2</v>
      </c>
      <c r="E151" s="25">
        <v>1229.45</v>
      </c>
      <c r="F151" s="25">
        <v>0</v>
      </c>
      <c r="G151" s="29">
        <v>4</v>
      </c>
      <c r="H151" s="27">
        <v>0</v>
      </c>
      <c r="I151" s="29">
        <v>1101</v>
      </c>
      <c r="J151" s="29">
        <v>367851</v>
      </c>
      <c r="K151" s="29">
        <v>0</v>
      </c>
      <c r="L151" s="29">
        <v>367851</v>
      </c>
      <c r="M151" s="29">
        <v>60973</v>
      </c>
      <c r="N151" s="29">
        <v>68064</v>
      </c>
      <c r="O151" s="29">
        <v>0</v>
      </c>
      <c r="P151" s="29">
        <v>46461</v>
      </c>
      <c r="Q151" s="29">
        <v>5348</v>
      </c>
      <c r="R151" s="29">
        <v>548697</v>
      </c>
      <c r="S151" s="29">
        <v>49711</v>
      </c>
      <c r="T151" s="29">
        <v>498986</v>
      </c>
      <c r="U151" s="29">
        <v>288560</v>
      </c>
      <c r="V151" s="29">
        <v>210426</v>
      </c>
    </row>
    <row r="152" spans="1:22" x14ac:dyDescent="0.2">
      <c r="A152" s="20" t="s">
        <v>159</v>
      </c>
      <c r="B152" s="20" t="s">
        <v>559</v>
      </c>
      <c r="C152" s="25">
        <v>56.5</v>
      </c>
      <c r="D152" s="27">
        <v>544.70000000000005</v>
      </c>
      <c r="E152" s="25">
        <v>601.20000000000005</v>
      </c>
      <c r="F152" s="25">
        <v>0</v>
      </c>
      <c r="G152" s="29">
        <v>0</v>
      </c>
      <c r="H152" s="27">
        <v>0</v>
      </c>
      <c r="I152" s="29">
        <v>545</v>
      </c>
      <c r="J152" s="29">
        <v>177306</v>
      </c>
      <c r="K152" s="29">
        <v>10302</v>
      </c>
      <c r="L152" s="29">
        <v>187608</v>
      </c>
      <c r="M152" s="29">
        <v>30013</v>
      </c>
      <c r="N152" s="29">
        <v>32973</v>
      </c>
      <c r="O152" s="29">
        <v>0</v>
      </c>
      <c r="P152" s="29">
        <v>16599</v>
      </c>
      <c r="Q152" s="29">
        <v>1936</v>
      </c>
      <c r="R152" s="29">
        <v>269129</v>
      </c>
      <c r="S152" s="29">
        <v>30923</v>
      </c>
      <c r="T152" s="29">
        <v>238206</v>
      </c>
      <c r="U152" s="29">
        <v>127692</v>
      </c>
      <c r="V152" s="29">
        <v>110514</v>
      </c>
    </row>
    <row r="153" spans="1:22" x14ac:dyDescent="0.2">
      <c r="A153" s="20" t="s">
        <v>289</v>
      </c>
      <c r="B153" s="20" t="s">
        <v>683</v>
      </c>
      <c r="C153" s="25">
        <v>86.53</v>
      </c>
      <c r="D153" s="27">
        <v>679.5</v>
      </c>
      <c r="E153" s="25">
        <v>766.03</v>
      </c>
      <c r="F153" s="25">
        <v>0</v>
      </c>
      <c r="G153" s="29">
        <v>14</v>
      </c>
      <c r="H153" s="27">
        <v>0</v>
      </c>
      <c r="I153" s="29">
        <v>694</v>
      </c>
      <c r="J153" s="29">
        <v>226653</v>
      </c>
      <c r="K153" s="29">
        <v>5597</v>
      </c>
      <c r="L153" s="29">
        <v>232250</v>
      </c>
      <c r="M153" s="29">
        <v>38226</v>
      </c>
      <c r="N153" s="29">
        <v>42265</v>
      </c>
      <c r="O153" s="29">
        <v>0</v>
      </c>
      <c r="P153" s="29">
        <v>23272</v>
      </c>
      <c r="Q153" s="29">
        <v>2490</v>
      </c>
      <c r="R153" s="29">
        <v>338503</v>
      </c>
      <c r="S153" s="29">
        <v>45080</v>
      </c>
      <c r="T153" s="29">
        <v>293423</v>
      </c>
      <c r="U153" s="29">
        <v>159167</v>
      </c>
      <c r="V153" s="29">
        <v>134256</v>
      </c>
    </row>
    <row r="154" spans="1:22" x14ac:dyDescent="0.2">
      <c r="A154" s="20" t="s">
        <v>98</v>
      </c>
      <c r="B154" s="20" t="s">
        <v>502</v>
      </c>
      <c r="C154" s="25">
        <v>49.09</v>
      </c>
      <c r="D154" s="27">
        <v>403</v>
      </c>
      <c r="E154" s="25">
        <v>452.09</v>
      </c>
      <c r="F154" s="25">
        <v>0</v>
      </c>
      <c r="G154" s="29">
        <v>16</v>
      </c>
      <c r="H154" s="27">
        <v>0</v>
      </c>
      <c r="I154" s="29">
        <v>419</v>
      </c>
      <c r="J154" s="29">
        <v>135265</v>
      </c>
      <c r="K154" s="29">
        <v>0</v>
      </c>
      <c r="L154" s="29">
        <v>135265</v>
      </c>
      <c r="M154" s="29">
        <v>23204</v>
      </c>
      <c r="N154" s="29">
        <v>25903</v>
      </c>
      <c r="O154" s="29">
        <v>0</v>
      </c>
      <c r="P154" s="29">
        <v>17084</v>
      </c>
      <c r="Q154" s="29">
        <v>1967</v>
      </c>
      <c r="R154" s="29">
        <v>203423</v>
      </c>
      <c r="S154" s="29">
        <v>15951</v>
      </c>
      <c r="T154" s="29">
        <v>187472</v>
      </c>
      <c r="U154" s="29">
        <v>108437</v>
      </c>
      <c r="V154" s="29">
        <v>79035</v>
      </c>
    </row>
    <row r="155" spans="1:22" x14ac:dyDescent="0.2">
      <c r="A155" s="20" t="s">
        <v>36</v>
      </c>
      <c r="B155" s="20" t="s">
        <v>450</v>
      </c>
      <c r="C155" s="25">
        <v>182.96</v>
      </c>
      <c r="D155" s="27">
        <v>1238.9000000000001</v>
      </c>
      <c r="E155" s="25">
        <v>1421.86</v>
      </c>
      <c r="F155" s="25">
        <v>4.1100000000000003</v>
      </c>
      <c r="G155" s="29">
        <v>0</v>
      </c>
      <c r="H155" s="27">
        <v>0</v>
      </c>
      <c r="I155" s="29">
        <v>1239</v>
      </c>
      <c r="J155" s="29">
        <v>434847</v>
      </c>
      <c r="K155" s="29">
        <v>3075</v>
      </c>
      <c r="L155" s="29">
        <v>437922</v>
      </c>
      <c r="M155" s="29">
        <v>68678</v>
      </c>
      <c r="N155" s="29">
        <v>77066</v>
      </c>
      <c r="O155" s="29">
        <v>1257</v>
      </c>
      <c r="P155" s="29">
        <v>46239</v>
      </c>
      <c r="Q155" s="29">
        <v>5517</v>
      </c>
      <c r="R155" s="29">
        <v>636679</v>
      </c>
      <c r="S155" s="29">
        <v>79359</v>
      </c>
      <c r="T155" s="29">
        <v>557320</v>
      </c>
      <c r="U155" s="29">
        <v>304648</v>
      </c>
      <c r="V155" s="29">
        <v>252672</v>
      </c>
    </row>
    <row r="156" spans="1:22" x14ac:dyDescent="0.2">
      <c r="A156" s="20" t="s">
        <v>99</v>
      </c>
      <c r="B156" s="20" t="s">
        <v>503</v>
      </c>
      <c r="C156" s="25">
        <v>90.71</v>
      </c>
      <c r="D156" s="27">
        <v>908</v>
      </c>
      <c r="E156" s="25">
        <v>998.71</v>
      </c>
      <c r="F156" s="25">
        <v>0</v>
      </c>
      <c r="G156" s="29">
        <v>111</v>
      </c>
      <c r="H156" s="27">
        <v>0</v>
      </c>
      <c r="I156" s="29">
        <v>1019</v>
      </c>
      <c r="J156" s="29">
        <v>298814</v>
      </c>
      <c r="K156" s="29">
        <v>0</v>
      </c>
      <c r="L156" s="29">
        <v>298814</v>
      </c>
      <c r="M156" s="29">
        <v>56432</v>
      </c>
      <c r="N156" s="29">
        <v>62995</v>
      </c>
      <c r="O156" s="29">
        <v>0</v>
      </c>
      <c r="P156" s="29">
        <v>37741</v>
      </c>
      <c r="Q156" s="29">
        <v>4344</v>
      </c>
      <c r="R156" s="29">
        <v>460326</v>
      </c>
      <c r="S156" s="29">
        <v>41079</v>
      </c>
      <c r="T156" s="29">
        <v>419247</v>
      </c>
      <c r="U156" s="29">
        <v>233705</v>
      </c>
      <c r="V156" s="29">
        <v>185542</v>
      </c>
    </row>
    <row r="157" spans="1:22" x14ac:dyDescent="0.2">
      <c r="A157" s="20" t="s">
        <v>203</v>
      </c>
      <c r="B157" s="20" t="s">
        <v>602</v>
      </c>
      <c r="C157" s="25">
        <v>658.41</v>
      </c>
      <c r="D157" s="27">
        <v>7074.1</v>
      </c>
      <c r="E157" s="25">
        <v>7732.51</v>
      </c>
      <c r="F157" s="25">
        <v>0</v>
      </c>
      <c r="G157" s="29">
        <v>351</v>
      </c>
      <c r="H157" s="27">
        <v>0</v>
      </c>
      <c r="I157" s="29">
        <v>7425</v>
      </c>
      <c r="J157" s="29">
        <v>2225571</v>
      </c>
      <c r="K157" s="29">
        <v>0</v>
      </c>
      <c r="L157" s="29">
        <v>2225571</v>
      </c>
      <c r="M157" s="29">
        <v>408004</v>
      </c>
      <c r="N157" s="29">
        <v>447876</v>
      </c>
      <c r="O157" s="29">
        <v>0</v>
      </c>
      <c r="P157" s="29">
        <v>184343</v>
      </c>
      <c r="Q157" s="29">
        <v>23430</v>
      </c>
      <c r="R157" s="29">
        <v>3289224</v>
      </c>
      <c r="S157" s="29">
        <v>179185</v>
      </c>
      <c r="T157" s="29">
        <v>3110039</v>
      </c>
      <c r="U157" s="29">
        <v>1830263</v>
      </c>
      <c r="V157" s="29">
        <v>1279776</v>
      </c>
    </row>
    <row r="158" spans="1:22" x14ac:dyDescent="0.2">
      <c r="A158" s="20" t="s">
        <v>325</v>
      </c>
      <c r="B158" s="20" t="s">
        <v>718</v>
      </c>
      <c r="C158" s="25">
        <v>367.24</v>
      </c>
      <c r="D158" s="27">
        <v>1909.7</v>
      </c>
      <c r="E158" s="25">
        <v>2276.94</v>
      </c>
      <c r="F158" s="25">
        <v>0</v>
      </c>
      <c r="G158" s="29">
        <v>65</v>
      </c>
      <c r="H158" s="27">
        <v>0.1</v>
      </c>
      <c r="I158" s="29">
        <v>1975</v>
      </c>
      <c r="J158" s="29">
        <v>667690</v>
      </c>
      <c r="K158" s="29">
        <v>0</v>
      </c>
      <c r="L158" s="29">
        <v>667690</v>
      </c>
      <c r="M158" s="29">
        <v>108724</v>
      </c>
      <c r="N158" s="29">
        <v>119428</v>
      </c>
      <c r="O158" s="29">
        <v>0</v>
      </c>
      <c r="P158" s="29">
        <v>66919</v>
      </c>
      <c r="Q158" s="29">
        <v>7286</v>
      </c>
      <c r="R158" s="29">
        <v>970047</v>
      </c>
      <c r="S158" s="29">
        <v>104456</v>
      </c>
      <c r="T158" s="29">
        <v>865591</v>
      </c>
      <c r="U158" s="29">
        <v>500276</v>
      </c>
      <c r="V158" s="29">
        <v>365315</v>
      </c>
    </row>
    <row r="159" spans="1:22" x14ac:dyDescent="0.2">
      <c r="A159" s="20" t="s">
        <v>326</v>
      </c>
      <c r="B159" s="20" t="s">
        <v>719</v>
      </c>
      <c r="C159" s="25">
        <v>50.37</v>
      </c>
      <c r="D159" s="27">
        <v>341.3</v>
      </c>
      <c r="E159" s="25">
        <v>391.67</v>
      </c>
      <c r="F159" s="25">
        <v>0</v>
      </c>
      <c r="G159" s="29">
        <v>2</v>
      </c>
      <c r="H159" s="27">
        <v>0</v>
      </c>
      <c r="I159" s="29">
        <v>343</v>
      </c>
      <c r="J159" s="29">
        <v>114853</v>
      </c>
      <c r="K159" s="29">
        <v>0</v>
      </c>
      <c r="L159" s="29">
        <v>114853</v>
      </c>
      <c r="M159" s="29">
        <v>18882</v>
      </c>
      <c r="N159" s="29">
        <v>20741</v>
      </c>
      <c r="O159" s="29">
        <v>0</v>
      </c>
      <c r="P159" s="29">
        <v>11511</v>
      </c>
      <c r="Q159" s="29">
        <v>1253</v>
      </c>
      <c r="R159" s="29">
        <v>167240</v>
      </c>
      <c r="S159" s="29">
        <v>17793</v>
      </c>
      <c r="T159" s="29">
        <v>149447</v>
      </c>
      <c r="U159" s="29">
        <v>86230</v>
      </c>
      <c r="V159" s="29">
        <v>63217</v>
      </c>
    </row>
    <row r="160" spans="1:22" x14ac:dyDescent="0.2">
      <c r="A160" s="20" t="s">
        <v>245</v>
      </c>
      <c r="B160" s="20" t="s">
        <v>641</v>
      </c>
      <c r="C160" s="25">
        <v>60.79</v>
      </c>
      <c r="D160" s="27">
        <v>456.4</v>
      </c>
      <c r="E160" s="25">
        <v>517.19000000000005</v>
      </c>
      <c r="F160" s="25">
        <v>0</v>
      </c>
      <c r="G160" s="29">
        <v>9</v>
      </c>
      <c r="H160" s="27">
        <v>0</v>
      </c>
      <c r="I160" s="29">
        <v>465</v>
      </c>
      <c r="J160" s="29">
        <v>156429</v>
      </c>
      <c r="K160" s="29">
        <v>6796</v>
      </c>
      <c r="L160" s="29">
        <v>163225</v>
      </c>
      <c r="M160" s="29">
        <v>25742</v>
      </c>
      <c r="N160" s="29">
        <v>28877</v>
      </c>
      <c r="O160" s="29">
        <v>0</v>
      </c>
      <c r="P160" s="29">
        <v>15974</v>
      </c>
      <c r="Q160" s="29">
        <v>1911</v>
      </c>
      <c r="R160" s="29">
        <v>235729</v>
      </c>
      <c r="S160" s="29">
        <v>21764</v>
      </c>
      <c r="T160" s="29">
        <v>213965</v>
      </c>
      <c r="U160" s="29">
        <v>116626</v>
      </c>
      <c r="V160" s="29">
        <v>97339</v>
      </c>
    </row>
    <row r="161" spans="1:22" x14ac:dyDescent="0.2">
      <c r="A161" s="20" t="s">
        <v>204</v>
      </c>
      <c r="B161" s="20" t="s">
        <v>603</v>
      </c>
      <c r="C161" s="25">
        <v>244.72</v>
      </c>
      <c r="D161" s="27">
        <v>1763.9</v>
      </c>
      <c r="E161" s="25">
        <v>2008.62</v>
      </c>
      <c r="F161" s="25">
        <v>0</v>
      </c>
      <c r="G161" s="29">
        <v>21</v>
      </c>
      <c r="H161" s="27">
        <v>0</v>
      </c>
      <c r="I161" s="29">
        <v>1785</v>
      </c>
      <c r="J161" s="29">
        <v>578121</v>
      </c>
      <c r="K161" s="29">
        <v>0</v>
      </c>
      <c r="L161" s="29">
        <v>578121</v>
      </c>
      <c r="M161" s="29">
        <v>98086</v>
      </c>
      <c r="N161" s="29">
        <v>107671</v>
      </c>
      <c r="O161" s="29">
        <v>0</v>
      </c>
      <c r="P161" s="29">
        <v>47886</v>
      </c>
      <c r="Q161" s="29">
        <v>6086</v>
      </c>
      <c r="R161" s="29">
        <v>837850</v>
      </c>
      <c r="S161" s="29">
        <v>89650</v>
      </c>
      <c r="T161" s="29">
        <v>748200</v>
      </c>
      <c r="U161" s="29">
        <v>432330</v>
      </c>
      <c r="V161" s="29">
        <v>315870</v>
      </c>
    </row>
    <row r="162" spans="1:22" x14ac:dyDescent="0.2">
      <c r="A162" s="20" t="s">
        <v>100</v>
      </c>
      <c r="B162" s="20" t="s">
        <v>504</v>
      </c>
      <c r="C162" s="25">
        <v>90.47</v>
      </c>
      <c r="D162" s="27">
        <v>614.6</v>
      </c>
      <c r="E162" s="25">
        <v>705.07</v>
      </c>
      <c r="F162" s="25">
        <v>0</v>
      </c>
      <c r="G162" s="29">
        <v>0</v>
      </c>
      <c r="H162" s="27">
        <v>0</v>
      </c>
      <c r="I162" s="29">
        <v>615</v>
      </c>
      <c r="J162" s="29">
        <v>210957</v>
      </c>
      <c r="K162" s="29">
        <v>0</v>
      </c>
      <c r="L162" s="29">
        <v>210957</v>
      </c>
      <c r="M162" s="29">
        <v>34059</v>
      </c>
      <c r="N162" s="29">
        <v>38019</v>
      </c>
      <c r="O162" s="29">
        <v>0</v>
      </c>
      <c r="P162" s="29">
        <v>26645</v>
      </c>
      <c r="Q162" s="29">
        <v>3067</v>
      </c>
      <c r="R162" s="29">
        <v>312747</v>
      </c>
      <c r="S162" s="29">
        <v>32934</v>
      </c>
      <c r="T162" s="29">
        <v>279813</v>
      </c>
      <c r="U162" s="29">
        <v>161059</v>
      </c>
      <c r="V162" s="29">
        <v>118754</v>
      </c>
    </row>
    <row r="163" spans="1:22" x14ac:dyDescent="0.2">
      <c r="A163" s="20" t="s">
        <v>290</v>
      </c>
      <c r="B163" s="20" t="s">
        <v>684</v>
      </c>
      <c r="C163" s="25">
        <v>40.98</v>
      </c>
      <c r="D163" s="27">
        <v>306.3</v>
      </c>
      <c r="E163" s="25">
        <v>347.28</v>
      </c>
      <c r="F163" s="25">
        <v>0</v>
      </c>
      <c r="G163" s="29">
        <v>0</v>
      </c>
      <c r="H163" s="27">
        <v>0</v>
      </c>
      <c r="I163" s="29">
        <v>306</v>
      </c>
      <c r="J163" s="29">
        <v>102753</v>
      </c>
      <c r="K163" s="29">
        <v>3491</v>
      </c>
      <c r="L163" s="29">
        <v>106244</v>
      </c>
      <c r="M163" s="29">
        <v>16854</v>
      </c>
      <c r="N163" s="29">
        <v>18635</v>
      </c>
      <c r="O163" s="29">
        <v>0</v>
      </c>
      <c r="P163" s="29">
        <v>10550</v>
      </c>
      <c r="Q163" s="29">
        <v>1129</v>
      </c>
      <c r="R163" s="29">
        <v>153412</v>
      </c>
      <c r="S163" s="29">
        <v>16904</v>
      </c>
      <c r="T163" s="29">
        <v>136508</v>
      </c>
      <c r="U163" s="29">
        <v>75691</v>
      </c>
      <c r="V163" s="29">
        <v>60817</v>
      </c>
    </row>
    <row r="164" spans="1:22" x14ac:dyDescent="0.2">
      <c r="A164" s="20" t="s">
        <v>39</v>
      </c>
      <c r="B164" s="20" t="s">
        <v>453</v>
      </c>
      <c r="C164" s="25">
        <v>44.93</v>
      </c>
      <c r="D164" s="27">
        <v>281</v>
      </c>
      <c r="E164" s="25">
        <v>325.93</v>
      </c>
      <c r="F164" s="25">
        <v>0.94</v>
      </c>
      <c r="G164" s="29">
        <v>0</v>
      </c>
      <c r="H164" s="27">
        <v>0</v>
      </c>
      <c r="I164" s="29">
        <v>281</v>
      </c>
      <c r="J164" s="29">
        <v>99679</v>
      </c>
      <c r="K164" s="29">
        <v>12586</v>
      </c>
      <c r="L164" s="29">
        <v>112265</v>
      </c>
      <c r="M164" s="29">
        <v>15576</v>
      </c>
      <c r="N164" s="29">
        <v>17478</v>
      </c>
      <c r="O164" s="29">
        <v>287</v>
      </c>
      <c r="P164" s="29">
        <v>10628</v>
      </c>
      <c r="Q164" s="29">
        <v>1267</v>
      </c>
      <c r="R164" s="29">
        <v>157501</v>
      </c>
      <c r="S164" s="29">
        <v>21809</v>
      </c>
      <c r="T164" s="29">
        <v>135692</v>
      </c>
      <c r="U164" s="29">
        <v>66247</v>
      </c>
      <c r="V164" s="29">
        <v>69445</v>
      </c>
    </row>
    <row r="165" spans="1:22" x14ac:dyDescent="0.2">
      <c r="A165" s="20" t="s">
        <v>246</v>
      </c>
      <c r="B165" s="20" t="s">
        <v>642</v>
      </c>
      <c r="C165" s="25">
        <v>55.47</v>
      </c>
      <c r="D165" s="27">
        <v>575.20000000000005</v>
      </c>
      <c r="E165" s="25">
        <v>630.66999999999996</v>
      </c>
      <c r="F165" s="25">
        <v>0</v>
      </c>
      <c r="G165" s="29">
        <v>24</v>
      </c>
      <c r="H165" s="27">
        <v>0</v>
      </c>
      <c r="I165" s="29">
        <v>599</v>
      </c>
      <c r="J165" s="29">
        <v>190752</v>
      </c>
      <c r="K165" s="29">
        <v>4298</v>
      </c>
      <c r="L165" s="29">
        <v>195050</v>
      </c>
      <c r="M165" s="29">
        <v>33161</v>
      </c>
      <c r="N165" s="29">
        <v>37198</v>
      </c>
      <c r="O165" s="29">
        <v>0</v>
      </c>
      <c r="P165" s="29">
        <v>19345</v>
      </c>
      <c r="Q165" s="29">
        <v>2314</v>
      </c>
      <c r="R165" s="29">
        <v>287068</v>
      </c>
      <c r="S165" s="29">
        <v>28228</v>
      </c>
      <c r="T165" s="29">
        <v>258840</v>
      </c>
      <c r="U165" s="29">
        <v>140377</v>
      </c>
      <c r="V165" s="29">
        <v>118463</v>
      </c>
    </row>
    <row r="166" spans="1:22" x14ac:dyDescent="0.2">
      <c r="A166" s="20" t="s">
        <v>84</v>
      </c>
      <c r="B166" s="20" t="s">
        <v>490</v>
      </c>
      <c r="C166" s="25">
        <v>80.48</v>
      </c>
      <c r="D166" s="27">
        <v>562.29999999999995</v>
      </c>
      <c r="E166" s="25">
        <v>642.78</v>
      </c>
      <c r="F166" s="25">
        <v>0</v>
      </c>
      <c r="G166" s="29">
        <v>3</v>
      </c>
      <c r="H166" s="27">
        <v>0</v>
      </c>
      <c r="I166" s="29">
        <v>565</v>
      </c>
      <c r="J166" s="29">
        <v>192320</v>
      </c>
      <c r="K166" s="29">
        <v>23283</v>
      </c>
      <c r="L166" s="29">
        <v>215603</v>
      </c>
      <c r="M166" s="29">
        <v>31290</v>
      </c>
      <c r="N166" s="29">
        <v>34928</v>
      </c>
      <c r="O166" s="29">
        <v>0</v>
      </c>
      <c r="P166" s="29">
        <v>24291</v>
      </c>
      <c r="Q166" s="29">
        <v>2796</v>
      </c>
      <c r="R166" s="29">
        <v>308908</v>
      </c>
      <c r="S166" s="29">
        <v>36691</v>
      </c>
      <c r="T166" s="29">
        <v>272217</v>
      </c>
      <c r="U166" s="29">
        <v>140164</v>
      </c>
      <c r="V166" s="29">
        <v>132053</v>
      </c>
    </row>
    <row r="167" spans="1:22" x14ac:dyDescent="0.2">
      <c r="A167" s="20" t="s">
        <v>247</v>
      </c>
      <c r="B167" s="20" t="s">
        <v>643</v>
      </c>
      <c r="C167" s="25">
        <v>301.98</v>
      </c>
      <c r="D167" s="27">
        <v>2184.3000000000002</v>
      </c>
      <c r="E167" s="25">
        <v>2486.2800000000002</v>
      </c>
      <c r="F167" s="25">
        <v>0</v>
      </c>
      <c r="G167" s="29">
        <v>446</v>
      </c>
      <c r="H167" s="27">
        <v>1.6</v>
      </c>
      <c r="I167" s="29">
        <v>2629</v>
      </c>
      <c r="J167" s="29">
        <v>752000</v>
      </c>
      <c r="K167" s="29">
        <v>0</v>
      </c>
      <c r="L167" s="29">
        <v>752000</v>
      </c>
      <c r="M167" s="29">
        <v>145541</v>
      </c>
      <c r="N167" s="29">
        <v>163261</v>
      </c>
      <c r="O167" s="29">
        <v>0</v>
      </c>
      <c r="P167" s="29">
        <v>75583</v>
      </c>
      <c r="Q167" s="29">
        <v>9050</v>
      </c>
      <c r="R167" s="29">
        <v>1145435</v>
      </c>
      <c r="S167" s="29">
        <v>105133</v>
      </c>
      <c r="T167" s="29">
        <v>1040302</v>
      </c>
      <c r="U167" s="29">
        <v>558803</v>
      </c>
      <c r="V167" s="29">
        <v>481499</v>
      </c>
    </row>
    <row r="168" spans="1:22" x14ac:dyDescent="0.2">
      <c r="A168" s="20" t="s">
        <v>291</v>
      </c>
      <c r="B168" s="20" t="s">
        <v>685</v>
      </c>
      <c r="C168" s="25">
        <v>42.77</v>
      </c>
      <c r="D168" s="27">
        <v>460.5</v>
      </c>
      <c r="E168" s="25">
        <v>503.27</v>
      </c>
      <c r="F168" s="25">
        <v>0</v>
      </c>
      <c r="G168" s="29">
        <v>2</v>
      </c>
      <c r="H168" s="27">
        <v>0</v>
      </c>
      <c r="I168" s="29">
        <v>463</v>
      </c>
      <c r="J168" s="29">
        <v>148908</v>
      </c>
      <c r="K168" s="29">
        <v>0</v>
      </c>
      <c r="L168" s="29">
        <v>148908</v>
      </c>
      <c r="M168" s="29">
        <v>25502</v>
      </c>
      <c r="N168" s="29">
        <v>28197</v>
      </c>
      <c r="O168" s="29">
        <v>0</v>
      </c>
      <c r="P168" s="29">
        <v>15289</v>
      </c>
      <c r="Q168" s="29">
        <v>1636</v>
      </c>
      <c r="R168" s="29">
        <v>219532</v>
      </c>
      <c r="S168" s="29">
        <v>21840</v>
      </c>
      <c r="T168" s="29">
        <v>197692</v>
      </c>
      <c r="U168" s="29">
        <v>112347</v>
      </c>
      <c r="V168" s="29">
        <v>85345</v>
      </c>
    </row>
    <row r="169" spans="1:22" x14ac:dyDescent="0.2">
      <c r="A169" s="20" t="s">
        <v>292</v>
      </c>
      <c r="B169" s="20" t="s">
        <v>686</v>
      </c>
      <c r="C169" s="25">
        <v>356.29</v>
      </c>
      <c r="D169" s="27">
        <v>2475.6</v>
      </c>
      <c r="E169" s="25">
        <v>2831.89</v>
      </c>
      <c r="F169" s="25">
        <v>0</v>
      </c>
      <c r="G169" s="29">
        <v>204</v>
      </c>
      <c r="H169" s="27">
        <v>0</v>
      </c>
      <c r="I169" s="29">
        <v>2680</v>
      </c>
      <c r="J169" s="29">
        <v>837900</v>
      </c>
      <c r="K169" s="29">
        <v>231</v>
      </c>
      <c r="L169" s="29">
        <v>838131</v>
      </c>
      <c r="M169" s="29">
        <v>147614</v>
      </c>
      <c r="N169" s="29">
        <v>163212</v>
      </c>
      <c r="O169" s="29">
        <v>0</v>
      </c>
      <c r="P169" s="29">
        <v>86033</v>
      </c>
      <c r="Q169" s="29">
        <v>9204</v>
      </c>
      <c r="R169" s="29">
        <v>1244194</v>
      </c>
      <c r="S169" s="29">
        <v>112825</v>
      </c>
      <c r="T169" s="29">
        <v>1131369</v>
      </c>
      <c r="U169" s="29">
        <v>642242</v>
      </c>
      <c r="V169" s="29">
        <v>489127</v>
      </c>
    </row>
    <row r="170" spans="1:22" x14ac:dyDescent="0.2">
      <c r="A170" s="20" t="s">
        <v>168</v>
      </c>
      <c r="B170" s="20" t="s">
        <v>568</v>
      </c>
      <c r="C170" s="25">
        <v>113.26</v>
      </c>
      <c r="D170" s="27">
        <v>815</v>
      </c>
      <c r="E170" s="25">
        <v>928.26</v>
      </c>
      <c r="F170" s="25">
        <v>0</v>
      </c>
      <c r="G170" s="29">
        <v>3</v>
      </c>
      <c r="H170" s="27">
        <v>0</v>
      </c>
      <c r="I170" s="29">
        <v>818</v>
      </c>
      <c r="J170" s="29">
        <v>273762</v>
      </c>
      <c r="K170" s="29">
        <v>7262</v>
      </c>
      <c r="L170" s="29">
        <v>281024</v>
      </c>
      <c r="M170" s="29">
        <v>45047</v>
      </c>
      <c r="N170" s="29">
        <v>49489</v>
      </c>
      <c r="O170" s="29">
        <v>0</v>
      </c>
      <c r="P170" s="29">
        <v>26085</v>
      </c>
      <c r="Q170" s="29">
        <v>3037</v>
      </c>
      <c r="R170" s="29">
        <v>404682</v>
      </c>
      <c r="S170" s="29">
        <v>44471</v>
      </c>
      <c r="T170" s="29">
        <v>360211</v>
      </c>
      <c r="U170" s="29">
        <v>200936</v>
      </c>
      <c r="V170" s="29">
        <v>159275</v>
      </c>
    </row>
    <row r="171" spans="1:22" x14ac:dyDescent="0.2">
      <c r="A171" s="20" t="s">
        <v>160</v>
      </c>
      <c r="B171" s="20" t="s">
        <v>560</v>
      </c>
      <c r="C171" s="25">
        <v>705.41</v>
      </c>
      <c r="D171" s="27">
        <v>7436.2</v>
      </c>
      <c r="E171" s="25">
        <v>8141.61</v>
      </c>
      <c r="F171" s="25">
        <v>0</v>
      </c>
      <c r="G171" s="29">
        <v>462</v>
      </c>
      <c r="H171" s="27">
        <v>0</v>
      </c>
      <c r="I171" s="29">
        <v>7898</v>
      </c>
      <c r="J171" s="29">
        <v>2401124</v>
      </c>
      <c r="K171" s="29">
        <v>0</v>
      </c>
      <c r="L171" s="29">
        <v>2401124</v>
      </c>
      <c r="M171" s="29">
        <v>434943</v>
      </c>
      <c r="N171" s="29">
        <v>477829</v>
      </c>
      <c r="O171" s="29">
        <v>0</v>
      </c>
      <c r="P171" s="29">
        <v>224790</v>
      </c>
      <c r="Q171" s="29">
        <v>26216</v>
      </c>
      <c r="R171" s="29">
        <v>3564902</v>
      </c>
      <c r="S171" s="29">
        <v>225812</v>
      </c>
      <c r="T171" s="29">
        <v>3339090</v>
      </c>
      <c r="U171" s="29">
        <v>1922189</v>
      </c>
      <c r="V171" s="29">
        <v>1416901</v>
      </c>
    </row>
    <row r="172" spans="1:22" x14ac:dyDescent="0.2">
      <c r="A172" s="20" t="s">
        <v>161</v>
      </c>
      <c r="B172" s="20" t="s">
        <v>561</v>
      </c>
      <c r="C172" s="25">
        <v>31.09</v>
      </c>
      <c r="D172" s="27">
        <v>645.5</v>
      </c>
      <c r="E172" s="25">
        <v>676.59</v>
      </c>
      <c r="F172" s="25">
        <v>0</v>
      </c>
      <c r="G172" s="29">
        <v>8</v>
      </c>
      <c r="H172" s="27">
        <v>0</v>
      </c>
      <c r="I172" s="29">
        <v>654</v>
      </c>
      <c r="J172" s="29">
        <v>199540</v>
      </c>
      <c r="K172" s="29">
        <v>8604</v>
      </c>
      <c r="L172" s="29">
        <v>208144</v>
      </c>
      <c r="M172" s="29">
        <v>36016</v>
      </c>
      <c r="N172" s="29">
        <v>39567</v>
      </c>
      <c r="O172" s="29">
        <v>0</v>
      </c>
      <c r="P172" s="29">
        <v>19040</v>
      </c>
      <c r="Q172" s="29">
        <v>2217</v>
      </c>
      <c r="R172" s="29">
        <v>304984</v>
      </c>
      <c r="S172" s="29">
        <v>27550</v>
      </c>
      <c r="T172" s="29">
        <v>277434</v>
      </c>
      <c r="U172" s="29">
        <v>151352</v>
      </c>
      <c r="V172" s="29">
        <v>126082</v>
      </c>
    </row>
    <row r="173" spans="1:22" x14ac:dyDescent="0.2">
      <c r="A173" s="20" t="s">
        <v>293</v>
      </c>
      <c r="B173" s="20" t="s">
        <v>687</v>
      </c>
      <c r="C173" s="25">
        <v>53.97</v>
      </c>
      <c r="D173" s="27">
        <v>564</v>
      </c>
      <c r="E173" s="25">
        <v>617.97</v>
      </c>
      <c r="F173" s="25">
        <v>0</v>
      </c>
      <c r="G173" s="29">
        <v>0</v>
      </c>
      <c r="H173" s="27">
        <v>0</v>
      </c>
      <c r="I173" s="29">
        <v>564</v>
      </c>
      <c r="J173" s="29">
        <v>182845</v>
      </c>
      <c r="K173" s="29">
        <v>0</v>
      </c>
      <c r="L173" s="29">
        <v>182845</v>
      </c>
      <c r="M173" s="29">
        <v>31065</v>
      </c>
      <c r="N173" s="29">
        <v>34348</v>
      </c>
      <c r="O173" s="29">
        <v>0</v>
      </c>
      <c r="P173" s="29">
        <v>18774</v>
      </c>
      <c r="Q173" s="29">
        <v>2008</v>
      </c>
      <c r="R173" s="29">
        <v>269040</v>
      </c>
      <c r="S173" s="29">
        <v>28459</v>
      </c>
      <c r="T173" s="29">
        <v>240581</v>
      </c>
      <c r="U173" s="29">
        <v>136310</v>
      </c>
      <c r="V173" s="29">
        <v>104271</v>
      </c>
    </row>
    <row r="174" spans="1:22" x14ac:dyDescent="0.2">
      <c r="A174" s="20" t="s">
        <v>162</v>
      </c>
      <c r="B174" s="20" t="s">
        <v>562</v>
      </c>
      <c r="C174" s="25">
        <v>30.65</v>
      </c>
      <c r="D174" s="27">
        <v>366.1</v>
      </c>
      <c r="E174" s="25">
        <v>396.75</v>
      </c>
      <c r="F174" s="25">
        <v>0</v>
      </c>
      <c r="G174" s="29">
        <v>5</v>
      </c>
      <c r="H174" s="27">
        <v>0</v>
      </c>
      <c r="I174" s="29">
        <v>371</v>
      </c>
      <c r="J174" s="29">
        <v>117010</v>
      </c>
      <c r="K174" s="29">
        <v>11588</v>
      </c>
      <c r="L174" s="29">
        <v>128598</v>
      </c>
      <c r="M174" s="29">
        <v>20431</v>
      </c>
      <c r="N174" s="29">
        <v>22446</v>
      </c>
      <c r="O174" s="29">
        <v>0</v>
      </c>
      <c r="P174" s="29">
        <v>10954</v>
      </c>
      <c r="Q174" s="29">
        <v>1278</v>
      </c>
      <c r="R174" s="29">
        <v>183707</v>
      </c>
      <c r="S174" s="29">
        <v>18559</v>
      </c>
      <c r="T174" s="29">
        <v>165148</v>
      </c>
      <c r="U174" s="29">
        <v>86116</v>
      </c>
      <c r="V174" s="29">
        <v>79032</v>
      </c>
    </row>
    <row r="175" spans="1:22" x14ac:dyDescent="0.2">
      <c r="A175" s="20" t="s">
        <v>136</v>
      </c>
      <c r="B175" s="20" t="s">
        <v>539</v>
      </c>
      <c r="C175" s="25">
        <v>113.4</v>
      </c>
      <c r="D175" s="27">
        <v>740</v>
      </c>
      <c r="E175" s="25">
        <v>853.4</v>
      </c>
      <c r="F175" s="25">
        <v>0</v>
      </c>
      <c r="G175" s="29">
        <v>0</v>
      </c>
      <c r="H175" s="27">
        <v>0</v>
      </c>
      <c r="I175" s="29">
        <v>740</v>
      </c>
      <c r="J175" s="29">
        <v>253323</v>
      </c>
      <c r="K175" s="29">
        <v>0</v>
      </c>
      <c r="L175" s="29">
        <v>253323</v>
      </c>
      <c r="M175" s="29">
        <v>40619</v>
      </c>
      <c r="N175" s="29">
        <v>44326</v>
      </c>
      <c r="O175" s="29">
        <v>0</v>
      </c>
      <c r="P175" s="29">
        <v>22922</v>
      </c>
      <c r="Q175" s="29">
        <v>2697</v>
      </c>
      <c r="R175" s="29">
        <v>363887</v>
      </c>
      <c r="S175" s="29">
        <v>39308</v>
      </c>
      <c r="T175" s="29">
        <v>324579</v>
      </c>
      <c r="U175" s="29">
        <v>185153</v>
      </c>
      <c r="V175" s="29">
        <v>139426</v>
      </c>
    </row>
    <row r="176" spans="1:22" x14ac:dyDescent="0.2">
      <c r="A176" s="20" t="s">
        <v>40</v>
      </c>
      <c r="B176" s="20" t="s">
        <v>454</v>
      </c>
      <c r="C176" s="25">
        <v>28.58</v>
      </c>
      <c r="D176" s="27">
        <v>165.2</v>
      </c>
      <c r="E176" s="25">
        <v>193.78</v>
      </c>
      <c r="F176" s="25">
        <v>0.56999999999999995</v>
      </c>
      <c r="G176" s="29">
        <v>17</v>
      </c>
      <c r="H176" s="27">
        <v>0</v>
      </c>
      <c r="I176" s="29">
        <v>182</v>
      </c>
      <c r="J176" s="29">
        <v>59264</v>
      </c>
      <c r="K176" s="29">
        <v>0</v>
      </c>
      <c r="L176" s="29">
        <v>59264</v>
      </c>
      <c r="M176" s="29">
        <v>10088</v>
      </c>
      <c r="N176" s="29">
        <v>11320</v>
      </c>
      <c r="O176" s="29">
        <v>174</v>
      </c>
      <c r="P176" s="29">
        <v>6302</v>
      </c>
      <c r="Q176" s="29">
        <v>752</v>
      </c>
      <c r="R176" s="29">
        <v>87900</v>
      </c>
      <c r="S176" s="29">
        <v>16136</v>
      </c>
      <c r="T176" s="29">
        <v>71764</v>
      </c>
      <c r="U176" s="29">
        <v>36202</v>
      </c>
      <c r="V176" s="29">
        <v>35562</v>
      </c>
    </row>
    <row r="177" spans="1:22" x14ac:dyDescent="0.2">
      <c r="A177" s="20" t="s">
        <v>205</v>
      </c>
      <c r="B177" s="20" t="s">
        <v>604</v>
      </c>
      <c r="C177" s="25">
        <v>48.99</v>
      </c>
      <c r="D177" s="27">
        <v>462.6</v>
      </c>
      <c r="E177" s="25">
        <v>511.59</v>
      </c>
      <c r="F177" s="25">
        <v>0</v>
      </c>
      <c r="G177" s="29">
        <v>54</v>
      </c>
      <c r="H177" s="27">
        <v>0</v>
      </c>
      <c r="I177" s="29">
        <v>517</v>
      </c>
      <c r="J177" s="29">
        <v>147246</v>
      </c>
      <c r="K177" s="29">
        <v>0</v>
      </c>
      <c r="L177" s="29">
        <v>147246</v>
      </c>
      <c r="M177" s="29">
        <v>28409</v>
      </c>
      <c r="N177" s="29">
        <v>31185</v>
      </c>
      <c r="O177" s="29">
        <v>0</v>
      </c>
      <c r="P177" s="29">
        <v>12196</v>
      </c>
      <c r="Q177" s="29">
        <v>1550</v>
      </c>
      <c r="R177" s="29">
        <v>220586</v>
      </c>
      <c r="S177" s="29">
        <v>23232</v>
      </c>
      <c r="T177" s="29">
        <v>197354</v>
      </c>
      <c r="U177" s="29">
        <v>109714</v>
      </c>
      <c r="V177" s="29">
        <v>87640</v>
      </c>
    </row>
    <row r="178" spans="1:22" x14ac:dyDescent="0.2">
      <c r="A178" s="20" t="s">
        <v>206</v>
      </c>
      <c r="B178" s="20" t="s">
        <v>605</v>
      </c>
      <c r="C178" s="25">
        <v>66.7</v>
      </c>
      <c r="D178" s="27">
        <v>683.7</v>
      </c>
      <c r="E178" s="25">
        <v>750.4</v>
      </c>
      <c r="F178" s="25">
        <v>0</v>
      </c>
      <c r="G178" s="29">
        <v>11</v>
      </c>
      <c r="H178" s="27">
        <v>0</v>
      </c>
      <c r="I178" s="29">
        <v>695</v>
      </c>
      <c r="J178" s="29">
        <v>215980</v>
      </c>
      <c r="K178" s="29">
        <v>2801</v>
      </c>
      <c r="L178" s="29">
        <v>218781</v>
      </c>
      <c r="M178" s="29">
        <v>38190</v>
      </c>
      <c r="N178" s="29">
        <v>41922</v>
      </c>
      <c r="O178" s="29">
        <v>0</v>
      </c>
      <c r="P178" s="29">
        <v>17890</v>
      </c>
      <c r="Q178" s="29">
        <v>2274</v>
      </c>
      <c r="R178" s="29">
        <v>319057</v>
      </c>
      <c r="S178" s="29">
        <v>25816</v>
      </c>
      <c r="T178" s="29">
        <v>293241</v>
      </c>
      <c r="U178" s="29">
        <v>169191</v>
      </c>
      <c r="V178" s="29">
        <v>124050</v>
      </c>
    </row>
    <row r="179" spans="1:22" x14ac:dyDescent="0.2">
      <c r="A179" s="20" t="s">
        <v>281</v>
      </c>
      <c r="B179" s="20" t="s">
        <v>675</v>
      </c>
      <c r="C179" s="25">
        <v>80.62</v>
      </c>
      <c r="D179" s="27">
        <v>546.6</v>
      </c>
      <c r="E179" s="25">
        <v>627.22</v>
      </c>
      <c r="F179" s="25">
        <v>0</v>
      </c>
      <c r="G179" s="29">
        <v>1</v>
      </c>
      <c r="H179" s="27">
        <v>0</v>
      </c>
      <c r="I179" s="29">
        <v>548</v>
      </c>
      <c r="J179" s="29">
        <v>185582</v>
      </c>
      <c r="K179" s="29">
        <v>0</v>
      </c>
      <c r="L179" s="29">
        <v>185582</v>
      </c>
      <c r="M179" s="29">
        <v>30184</v>
      </c>
      <c r="N179" s="29">
        <v>33373</v>
      </c>
      <c r="O179" s="29">
        <v>0</v>
      </c>
      <c r="P179" s="29">
        <v>19055</v>
      </c>
      <c r="Q179" s="29">
        <v>2038</v>
      </c>
      <c r="R179" s="29">
        <v>270232</v>
      </c>
      <c r="S179" s="29">
        <v>31373</v>
      </c>
      <c r="T179" s="29">
        <v>238859</v>
      </c>
      <c r="U179" s="29">
        <v>135862</v>
      </c>
      <c r="V179" s="29">
        <v>102997</v>
      </c>
    </row>
    <row r="180" spans="1:22" x14ac:dyDescent="0.2">
      <c r="A180" s="20" t="s">
        <v>41</v>
      </c>
      <c r="B180" s="20" t="s">
        <v>455</v>
      </c>
      <c r="C180" s="25">
        <v>63.77</v>
      </c>
      <c r="D180" s="27">
        <v>658</v>
      </c>
      <c r="E180" s="25">
        <v>721.77</v>
      </c>
      <c r="F180" s="25">
        <v>2.08</v>
      </c>
      <c r="G180" s="29">
        <v>58</v>
      </c>
      <c r="H180" s="27">
        <v>0</v>
      </c>
      <c r="I180" s="29">
        <v>716</v>
      </c>
      <c r="J180" s="29">
        <v>220739</v>
      </c>
      <c r="K180" s="29">
        <v>0</v>
      </c>
      <c r="L180" s="29">
        <v>220739</v>
      </c>
      <c r="M180" s="29">
        <v>39688</v>
      </c>
      <c r="N180" s="29">
        <v>44535</v>
      </c>
      <c r="O180" s="29">
        <v>636</v>
      </c>
      <c r="P180" s="29">
        <v>23472</v>
      </c>
      <c r="Q180" s="29">
        <v>2800</v>
      </c>
      <c r="R180" s="29">
        <v>331870</v>
      </c>
      <c r="S180" s="29">
        <v>38009</v>
      </c>
      <c r="T180" s="29">
        <v>293861</v>
      </c>
      <c r="U180" s="29">
        <v>156920</v>
      </c>
      <c r="V180" s="29">
        <v>136941</v>
      </c>
    </row>
    <row r="181" spans="1:22" x14ac:dyDescent="0.2">
      <c r="A181" s="20" t="s">
        <v>248</v>
      </c>
      <c r="B181" s="20" t="s">
        <v>644</v>
      </c>
      <c r="C181" s="25">
        <v>85.99</v>
      </c>
      <c r="D181" s="27">
        <v>654.6</v>
      </c>
      <c r="E181" s="25">
        <v>740.59</v>
      </c>
      <c r="F181" s="25">
        <v>0</v>
      </c>
      <c r="G181" s="29">
        <v>27</v>
      </c>
      <c r="H181" s="27">
        <v>0</v>
      </c>
      <c r="I181" s="29">
        <v>682</v>
      </c>
      <c r="J181" s="29">
        <v>223999</v>
      </c>
      <c r="K181" s="29">
        <v>11378</v>
      </c>
      <c r="L181" s="29">
        <v>235377</v>
      </c>
      <c r="M181" s="29">
        <v>37756</v>
      </c>
      <c r="N181" s="29">
        <v>42352</v>
      </c>
      <c r="O181" s="29">
        <v>0</v>
      </c>
      <c r="P181" s="29">
        <v>23413</v>
      </c>
      <c r="Q181" s="29">
        <v>2800</v>
      </c>
      <c r="R181" s="29">
        <v>341698</v>
      </c>
      <c r="S181" s="29">
        <v>42589</v>
      </c>
      <c r="T181" s="29">
        <v>299109</v>
      </c>
      <c r="U181" s="29">
        <v>156181</v>
      </c>
      <c r="V181" s="29">
        <v>142928</v>
      </c>
    </row>
    <row r="182" spans="1:22" x14ac:dyDescent="0.2">
      <c r="A182" s="20" t="s">
        <v>137</v>
      </c>
      <c r="B182" s="20" t="s">
        <v>540</v>
      </c>
      <c r="C182" s="25">
        <v>322.64</v>
      </c>
      <c r="D182" s="27">
        <v>1335.5</v>
      </c>
      <c r="E182" s="25">
        <v>1658.14</v>
      </c>
      <c r="F182" s="25">
        <v>0</v>
      </c>
      <c r="G182" s="29">
        <v>110</v>
      </c>
      <c r="H182" s="27">
        <v>0</v>
      </c>
      <c r="I182" s="29">
        <v>1446</v>
      </c>
      <c r="J182" s="29">
        <v>492202</v>
      </c>
      <c r="K182" s="29">
        <v>0</v>
      </c>
      <c r="L182" s="29">
        <v>492202</v>
      </c>
      <c r="M182" s="29">
        <v>79371</v>
      </c>
      <c r="N182" s="29">
        <v>86615</v>
      </c>
      <c r="O182" s="29">
        <v>0</v>
      </c>
      <c r="P182" s="29">
        <v>44538</v>
      </c>
      <c r="Q182" s="29">
        <v>5240</v>
      </c>
      <c r="R182" s="29">
        <v>707966</v>
      </c>
      <c r="S182" s="29">
        <v>74194</v>
      </c>
      <c r="T182" s="29">
        <v>633772</v>
      </c>
      <c r="U182" s="29">
        <v>361931</v>
      </c>
      <c r="V182" s="29">
        <v>271841</v>
      </c>
    </row>
    <row r="183" spans="1:22" x14ac:dyDescent="0.2">
      <c r="A183" s="20" t="s">
        <v>9</v>
      </c>
      <c r="B183" s="20" t="s">
        <v>424</v>
      </c>
      <c r="C183" s="25">
        <v>46.31</v>
      </c>
      <c r="D183" s="27">
        <v>672.4</v>
      </c>
      <c r="E183" s="25">
        <v>718.71</v>
      </c>
      <c r="F183" s="25">
        <v>0</v>
      </c>
      <c r="G183" s="29">
        <v>27</v>
      </c>
      <c r="H183" s="27">
        <v>0</v>
      </c>
      <c r="I183" s="29">
        <v>699</v>
      </c>
      <c r="J183" s="29">
        <v>222858</v>
      </c>
      <c r="K183" s="29">
        <v>11942</v>
      </c>
      <c r="L183" s="29">
        <v>234800</v>
      </c>
      <c r="M183" s="29">
        <v>38690</v>
      </c>
      <c r="N183" s="29">
        <v>43149</v>
      </c>
      <c r="O183" s="29">
        <v>0</v>
      </c>
      <c r="P183" s="29">
        <v>22346</v>
      </c>
      <c r="Q183" s="29">
        <v>2400</v>
      </c>
      <c r="R183" s="29">
        <v>341385</v>
      </c>
      <c r="S183" s="29">
        <v>45215</v>
      </c>
      <c r="T183" s="29">
        <v>296170</v>
      </c>
      <c r="U183" s="29">
        <v>146990</v>
      </c>
      <c r="V183" s="29">
        <v>149180</v>
      </c>
    </row>
    <row r="184" spans="1:22" x14ac:dyDescent="0.2">
      <c r="A184" s="20" t="s">
        <v>249</v>
      </c>
      <c r="B184" s="20" t="s">
        <v>645</v>
      </c>
      <c r="C184" s="25">
        <v>51.47</v>
      </c>
      <c r="D184" s="27">
        <v>424.5</v>
      </c>
      <c r="E184" s="25">
        <v>475.97</v>
      </c>
      <c r="F184" s="25">
        <v>0</v>
      </c>
      <c r="G184" s="29">
        <v>7</v>
      </c>
      <c r="H184" s="27">
        <v>0</v>
      </c>
      <c r="I184" s="29">
        <v>432</v>
      </c>
      <c r="J184" s="29">
        <v>143962</v>
      </c>
      <c r="K184" s="29">
        <v>4587</v>
      </c>
      <c r="L184" s="29">
        <v>148549</v>
      </c>
      <c r="M184" s="29">
        <v>23916</v>
      </c>
      <c r="N184" s="29">
        <v>26827</v>
      </c>
      <c r="O184" s="29">
        <v>0</v>
      </c>
      <c r="P184" s="29">
        <v>14582</v>
      </c>
      <c r="Q184" s="29">
        <v>1744</v>
      </c>
      <c r="R184" s="29">
        <v>215618</v>
      </c>
      <c r="S184" s="29">
        <v>28045</v>
      </c>
      <c r="T184" s="29">
        <v>187573</v>
      </c>
      <c r="U184" s="29">
        <v>99182</v>
      </c>
      <c r="V184" s="29">
        <v>88391</v>
      </c>
    </row>
    <row r="185" spans="1:22" x14ac:dyDescent="0.2">
      <c r="A185" s="20" t="s">
        <v>163</v>
      </c>
      <c r="B185" s="20" t="s">
        <v>563</v>
      </c>
      <c r="C185" s="25">
        <v>215</v>
      </c>
      <c r="D185" s="27">
        <v>1918.1</v>
      </c>
      <c r="E185" s="25">
        <v>2133.1</v>
      </c>
      <c r="F185" s="25">
        <v>0</v>
      </c>
      <c r="G185" s="29">
        <v>83</v>
      </c>
      <c r="H185" s="27">
        <v>0.3</v>
      </c>
      <c r="I185" s="29">
        <v>2001</v>
      </c>
      <c r="J185" s="29">
        <v>629094</v>
      </c>
      <c r="K185" s="29">
        <v>0</v>
      </c>
      <c r="L185" s="29">
        <v>629094</v>
      </c>
      <c r="M185" s="29">
        <v>110195</v>
      </c>
      <c r="N185" s="29">
        <v>121061</v>
      </c>
      <c r="O185" s="29">
        <v>0</v>
      </c>
      <c r="P185" s="29">
        <v>58895</v>
      </c>
      <c r="Q185" s="29">
        <v>6869</v>
      </c>
      <c r="R185" s="29">
        <v>926114</v>
      </c>
      <c r="S185" s="29">
        <v>80131</v>
      </c>
      <c r="T185" s="29">
        <v>845983</v>
      </c>
      <c r="U185" s="29">
        <v>482645</v>
      </c>
      <c r="V185" s="29">
        <v>363338</v>
      </c>
    </row>
    <row r="186" spans="1:22" x14ac:dyDescent="0.2">
      <c r="A186" s="20" t="s">
        <v>101</v>
      </c>
      <c r="B186" s="20" t="s">
        <v>505</v>
      </c>
      <c r="C186" s="25">
        <v>658.39</v>
      </c>
      <c r="D186" s="27">
        <v>5458.4</v>
      </c>
      <c r="E186" s="25">
        <v>6116.79</v>
      </c>
      <c r="F186" s="25">
        <v>0</v>
      </c>
      <c r="G186" s="29">
        <v>213</v>
      </c>
      <c r="H186" s="27">
        <v>2.5</v>
      </c>
      <c r="I186" s="29">
        <v>5669</v>
      </c>
      <c r="J186" s="29">
        <v>1830144</v>
      </c>
      <c r="K186" s="29">
        <v>0</v>
      </c>
      <c r="L186" s="29">
        <v>1830144</v>
      </c>
      <c r="M186" s="29">
        <v>313949</v>
      </c>
      <c r="N186" s="29">
        <v>350458</v>
      </c>
      <c r="O186" s="29">
        <v>0</v>
      </c>
      <c r="P186" s="29">
        <v>231153</v>
      </c>
      <c r="Q186" s="29">
        <v>26608</v>
      </c>
      <c r="R186" s="29">
        <v>2752312</v>
      </c>
      <c r="S186" s="29">
        <v>232815</v>
      </c>
      <c r="T186" s="29">
        <v>2519497</v>
      </c>
      <c r="U186" s="29">
        <v>1450158</v>
      </c>
      <c r="V186" s="29">
        <v>1069339</v>
      </c>
    </row>
    <row r="187" spans="1:22" x14ac:dyDescent="0.2">
      <c r="A187" s="20" t="s">
        <v>207</v>
      </c>
      <c r="B187" s="20" t="s">
        <v>606</v>
      </c>
      <c r="C187" s="25">
        <v>52.25</v>
      </c>
      <c r="D187" s="27">
        <v>512.20000000000005</v>
      </c>
      <c r="E187" s="25">
        <v>564.45000000000005</v>
      </c>
      <c r="F187" s="25">
        <v>0</v>
      </c>
      <c r="G187" s="29">
        <v>18</v>
      </c>
      <c r="H187" s="27">
        <v>0</v>
      </c>
      <c r="I187" s="29">
        <v>530</v>
      </c>
      <c r="J187" s="29">
        <v>162460</v>
      </c>
      <c r="K187" s="29">
        <v>0</v>
      </c>
      <c r="L187" s="29">
        <v>162460</v>
      </c>
      <c r="M187" s="29">
        <v>29124</v>
      </c>
      <c r="N187" s="29">
        <v>31970</v>
      </c>
      <c r="O187" s="29">
        <v>0</v>
      </c>
      <c r="P187" s="29">
        <v>13456</v>
      </c>
      <c r="Q187" s="29">
        <v>1710</v>
      </c>
      <c r="R187" s="29">
        <v>238720</v>
      </c>
      <c r="S187" s="29">
        <v>22923</v>
      </c>
      <c r="T187" s="29">
        <v>215797</v>
      </c>
      <c r="U187" s="29">
        <v>123760</v>
      </c>
      <c r="V187" s="29">
        <v>92037</v>
      </c>
    </row>
    <row r="188" spans="1:22" x14ac:dyDescent="0.2">
      <c r="A188" s="20" t="s">
        <v>102</v>
      </c>
      <c r="B188" s="20" t="s">
        <v>506</v>
      </c>
      <c r="C188" s="25">
        <v>632.05999999999995</v>
      </c>
      <c r="D188" s="27">
        <v>3639.4</v>
      </c>
      <c r="E188" s="25">
        <v>4271.46</v>
      </c>
      <c r="F188" s="25">
        <v>0</v>
      </c>
      <c r="G188" s="29">
        <v>442</v>
      </c>
      <c r="H188" s="27">
        <v>5.9</v>
      </c>
      <c r="I188" s="29">
        <v>4076</v>
      </c>
      <c r="J188" s="29">
        <v>1278021</v>
      </c>
      <c r="K188" s="29">
        <v>26764</v>
      </c>
      <c r="L188" s="29">
        <v>1304785</v>
      </c>
      <c r="M188" s="29">
        <v>225729</v>
      </c>
      <c r="N188" s="29">
        <v>251978</v>
      </c>
      <c r="O188" s="29">
        <v>0</v>
      </c>
      <c r="P188" s="29">
        <v>165107</v>
      </c>
      <c r="Q188" s="29">
        <v>18981</v>
      </c>
      <c r="R188" s="29">
        <v>1966580</v>
      </c>
      <c r="S188" s="29">
        <v>218724</v>
      </c>
      <c r="T188" s="29">
        <v>1747856</v>
      </c>
      <c r="U188" s="29">
        <v>960614</v>
      </c>
      <c r="V188" s="29">
        <v>787242</v>
      </c>
    </row>
    <row r="189" spans="1:22" x14ac:dyDescent="0.2">
      <c r="A189" s="20" t="s">
        <v>250</v>
      </c>
      <c r="B189" s="20" t="s">
        <v>646</v>
      </c>
      <c r="C189" s="25">
        <v>150.66999999999999</v>
      </c>
      <c r="D189" s="27">
        <v>1436.5</v>
      </c>
      <c r="E189" s="25">
        <v>1587.17</v>
      </c>
      <c r="F189" s="25">
        <v>0</v>
      </c>
      <c r="G189" s="29">
        <v>507</v>
      </c>
      <c r="H189" s="27">
        <v>8.8000000000000007</v>
      </c>
      <c r="I189" s="29">
        <v>1935</v>
      </c>
      <c r="J189" s="29">
        <v>480055</v>
      </c>
      <c r="K189" s="29">
        <v>0</v>
      </c>
      <c r="L189" s="29">
        <v>480055</v>
      </c>
      <c r="M189" s="29">
        <v>107122</v>
      </c>
      <c r="N189" s="29">
        <v>120164</v>
      </c>
      <c r="O189" s="29">
        <v>0</v>
      </c>
      <c r="P189" s="29">
        <v>48250</v>
      </c>
      <c r="Q189" s="29">
        <v>5777</v>
      </c>
      <c r="R189" s="29">
        <v>761368</v>
      </c>
      <c r="S189" s="29">
        <v>71335</v>
      </c>
      <c r="T189" s="29">
        <v>690033</v>
      </c>
      <c r="U189" s="29">
        <v>352503</v>
      </c>
      <c r="V189" s="29">
        <v>337530</v>
      </c>
    </row>
    <row r="190" spans="1:22" x14ac:dyDescent="0.2">
      <c r="A190" s="20" t="s">
        <v>327</v>
      </c>
      <c r="B190" s="20" t="s">
        <v>720</v>
      </c>
      <c r="C190" s="25">
        <v>76.64</v>
      </c>
      <c r="D190" s="27">
        <v>790.8</v>
      </c>
      <c r="E190" s="25">
        <v>867.44</v>
      </c>
      <c r="F190" s="25">
        <v>0</v>
      </c>
      <c r="G190" s="29">
        <v>0</v>
      </c>
      <c r="H190" s="27">
        <v>0</v>
      </c>
      <c r="I190" s="29">
        <v>791</v>
      </c>
      <c r="J190" s="29">
        <v>254368</v>
      </c>
      <c r="K190" s="29">
        <v>1105</v>
      </c>
      <c r="L190" s="29">
        <v>255473</v>
      </c>
      <c r="M190" s="29">
        <v>43545</v>
      </c>
      <c r="N190" s="29">
        <v>47832</v>
      </c>
      <c r="O190" s="29">
        <v>0</v>
      </c>
      <c r="P190" s="29">
        <v>25494</v>
      </c>
      <c r="Q190" s="29">
        <v>2776</v>
      </c>
      <c r="R190" s="29">
        <v>375120</v>
      </c>
      <c r="S190" s="29">
        <v>41596</v>
      </c>
      <c r="T190" s="29">
        <v>333524</v>
      </c>
      <c r="U190" s="29">
        <v>188788</v>
      </c>
      <c r="V190" s="29">
        <v>144736</v>
      </c>
    </row>
    <row r="191" spans="1:22" x14ac:dyDescent="0.2">
      <c r="A191" s="20" t="s">
        <v>208</v>
      </c>
      <c r="B191" s="20" t="s">
        <v>607</v>
      </c>
      <c r="C191" s="25">
        <v>42.39</v>
      </c>
      <c r="D191" s="27">
        <v>332.1</v>
      </c>
      <c r="E191" s="25">
        <v>374.49</v>
      </c>
      <c r="F191" s="25">
        <v>0</v>
      </c>
      <c r="G191" s="29">
        <v>0</v>
      </c>
      <c r="H191" s="27">
        <v>0</v>
      </c>
      <c r="I191" s="29">
        <v>332</v>
      </c>
      <c r="J191" s="29">
        <v>107786</v>
      </c>
      <c r="K191" s="29">
        <v>4273</v>
      </c>
      <c r="L191" s="29">
        <v>112059</v>
      </c>
      <c r="M191" s="29">
        <v>18243</v>
      </c>
      <c r="N191" s="29">
        <v>20026</v>
      </c>
      <c r="O191" s="29">
        <v>0</v>
      </c>
      <c r="P191" s="29">
        <v>9259</v>
      </c>
      <c r="Q191" s="29">
        <v>1176</v>
      </c>
      <c r="R191" s="29">
        <v>160763</v>
      </c>
      <c r="S191" s="29">
        <v>20816</v>
      </c>
      <c r="T191" s="29">
        <v>139947</v>
      </c>
      <c r="U191" s="29">
        <v>76875</v>
      </c>
      <c r="V191" s="29">
        <v>63072</v>
      </c>
    </row>
    <row r="192" spans="1:22" x14ac:dyDescent="0.2">
      <c r="A192" s="20" t="s">
        <v>165</v>
      </c>
      <c r="B192" s="20" t="s">
        <v>565</v>
      </c>
      <c r="C192" s="25">
        <v>65.42</v>
      </c>
      <c r="D192" s="27">
        <v>535.1</v>
      </c>
      <c r="E192" s="25">
        <v>600.52</v>
      </c>
      <c r="F192" s="25">
        <v>0</v>
      </c>
      <c r="G192" s="29">
        <v>10</v>
      </c>
      <c r="H192" s="27">
        <v>0</v>
      </c>
      <c r="I192" s="29">
        <v>545</v>
      </c>
      <c r="J192" s="29">
        <v>177105</v>
      </c>
      <c r="K192" s="29">
        <v>4143</v>
      </c>
      <c r="L192" s="29">
        <v>181248</v>
      </c>
      <c r="M192" s="29">
        <v>30013</v>
      </c>
      <c r="N192" s="29">
        <v>32973</v>
      </c>
      <c r="O192" s="29">
        <v>0</v>
      </c>
      <c r="P192" s="29">
        <v>16860</v>
      </c>
      <c r="Q192" s="29">
        <v>1963</v>
      </c>
      <c r="R192" s="29">
        <v>263057</v>
      </c>
      <c r="S192" s="29">
        <v>35327</v>
      </c>
      <c r="T192" s="29">
        <v>227730</v>
      </c>
      <c r="U192" s="29">
        <v>123417</v>
      </c>
      <c r="V192" s="29">
        <v>104313</v>
      </c>
    </row>
    <row r="193" spans="1:22" x14ac:dyDescent="0.2">
      <c r="A193" s="20" t="s">
        <v>164</v>
      </c>
      <c r="B193" s="20" t="s">
        <v>564</v>
      </c>
      <c r="C193" s="25">
        <v>154.69</v>
      </c>
      <c r="D193" s="27">
        <v>1248.7</v>
      </c>
      <c r="E193" s="25">
        <v>1403.39</v>
      </c>
      <c r="F193" s="25">
        <v>0</v>
      </c>
      <c r="G193" s="29">
        <v>52</v>
      </c>
      <c r="H193" s="27">
        <v>0.2</v>
      </c>
      <c r="I193" s="29">
        <v>1301</v>
      </c>
      <c r="J193" s="29">
        <v>413888</v>
      </c>
      <c r="K193" s="29">
        <v>0</v>
      </c>
      <c r="L193" s="29">
        <v>413888</v>
      </c>
      <c r="M193" s="29">
        <v>71646</v>
      </c>
      <c r="N193" s="29">
        <v>78711</v>
      </c>
      <c r="O193" s="29">
        <v>0</v>
      </c>
      <c r="P193" s="29">
        <v>38748</v>
      </c>
      <c r="Q193" s="29">
        <v>4519</v>
      </c>
      <c r="R193" s="29">
        <v>607512</v>
      </c>
      <c r="S193" s="29">
        <v>55121</v>
      </c>
      <c r="T193" s="29">
        <v>552391</v>
      </c>
      <c r="U193" s="29">
        <v>315136</v>
      </c>
      <c r="V193" s="29">
        <v>237255</v>
      </c>
    </row>
    <row r="194" spans="1:22" x14ac:dyDescent="0.2">
      <c r="A194" s="20" t="s">
        <v>294</v>
      </c>
      <c r="B194" s="20" t="s">
        <v>688</v>
      </c>
      <c r="C194" s="25">
        <v>128.85</v>
      </c>
      <c r="D194" s="27">
        <v>832.4</v>
      </c>
      <c r="E194" s="25">
        <v>961.25</v>
      </c>
      <c r="F194" s="25">
        <v>0</v>
      </c>
      <c r="G194" s="29">
        <v>10</v>
      </c>
      <c r="H194" s="27">
        <v>0</v>
      </c>
      <c r="I194" s="29">
        <v>842</v>
      </c>
      <c r="J194" s="29">
        <v>284415</v>
      </c>
      <c r="K194" s="29">
        <v>3731</v>
      </c>
      <c r="L194" s="29">
        <v>288146</v>
      </c>
      <c r="M194" s="29">
        <v>46377</v>
      </c>
      <c r="N194" s="29">
        <v>51278</v>
      </c>
      <c r="O194" s="29">
        <v>0</v>
      </c>
      <c r="P194" s="29">
        <v>29203</v>
      </c>
      <c r="Q194" s="29">
        <v>3124</v>
      </c>
      <c r="R194" s="29">
        <v>418128</v>
      </c>
      <c r="S194" s="29">
        <v>44838</v>
      </c>
      <c r="T194" s="29">
        <v>373290</v>
      </c>
      <c r="U194" s="29">
        <v>211460</v>
      </c>
      <c r="V194" s="29">
        <v>161830</v>
      </c>
    </row>
    <row r="195" spans="1:22" x14ac:dyDescent="0.2">
      <c r="A195" s="20" t="s">
        <v>10</v>
      </c>
      <c r="B195" s="20" t="s">
        <v>425</v>
      </c>
      <c r="C195" s="25">
        <v>93.46</v>
      </c>
      <c r="D195" s="27">
        <v>757.5</v>
      </c>
      <c r="E195" s="25">
        <v>850.96</v>
      </c>
      <c r="F195" s="25">
        <v>0</v>
      </c>
      <c r="G195" s="29">
        <v>0</v>
      </c>
      <c r="H195" s="27">
        <v>0</v>
      </c>
      <c r="I195" s="29">
        <v>758</v>
      </c>
      <c r="J195" s="29">
        <v>263866</v>
      </c>
      <c r="K195" s="29">
        <v>1621</v>
      </c>
      <c r="L195" s="29">
        <v>265487</v>
      </c>
      <c r="M195" s="29">
        <v>41955</v>
      </c>
      <c r="N195" s="29">
        <v>46791</v>
      </c>
      <c r="O195" s="29">
        <v>0</v>
      </c>
      <c r="P195" s="29">
        <v>26146</v>
      </c>
      <c r="Q195" s="29">
        <v>2808</v>
      </c>
      <c r="R195" s="29">
        <v>383187</v>
      </c>
      <c r="S195" s="29">
        <v>49021</v>
      </c>
      <c r="T195" s="29">
        <v>334166</v>
      </c>
      <c r="U195" s="29">
        <v>178207</v>
      </c>
      <c r="V195" s="29">
        <v>155959</v>
      </c>
    </row>
    <row r="196" spans="1:22" x14ac:dyDescent="0.2">
      <c r="A196" s="20" t="s">
        <v>103</v>
      </c>
      <c r="B196" s="20" t="s">
        <v>507</v>
      </c>
      <c r="C196" s="25">
        <v>42.74</v>
      </c>
      <c r="D196" s="27">
        <v>497.1</v>
      </c>
      <c r="E196" s="25">
        <v>539.84</v>
      </c>
      <c r="F196" s="25">
        <v>0</v>
      </c>
      <c r="G196" s="29">
        <v>3</v>
      </c>
      <c r="H196" s="27">
        <v>0</v>
      </c>
      <c r="I196" s="29">
        <v>500</v>
      </c>
      <c r="J196" s="29">
        <v>161520</v>
      </c>
      <c r="K196" s="29">
        <v>12017</v>
      </c>
      <c r="L196" s="29">
        <v>173537</v>
      </c>
      <c r="M196" s="29">
        <v>27690</v>
      </c>
      <c r="N196" s="29">
        <v>30910</v>
      </c>
      <c r="O196" s="29">
        <v>0</v>
      </c>
      <c r="P196" s="29">
        <v>21959</v>
      </c>
      <c r="Q196" s="29">
        <v>2525</v>
      </c>
      <c r="R196" s="29">
        <v>256621</v>
      </c>
      <c r="S196" s="29">
        <v>24738</v>
      </c>
      <c r="T196" s="29">
        <v>231883</v>
      </c>
      <c r="U196" s="29">
        <v>125529</v>
      </c>
      <c r="V196" s="29">
        <v>106354</v>
      </c>
    </row>
    <row r="197" spans="1:22" x14ac:dyDescent="0.2">
      <c r="A197" s="20" t="s">
        <v>166</v>
      </c>
      <c r="B197" s="20" t="s">
        <v>566</v>
      </c>
      <c r="C197" s="25">
        <v>125.9</v>
      </c>
      <c r="D197" s="27">
        <v>993.6</v>
      </c>
      <c r="E197" s="25">
        <v>1119.5</v>
      </c>
      <c r="F197" s="25">
        <v>0</v>
      </c>
      <c r="G197" s="29">
        <v>83</v>
      </c>
      <c r="H197" s="27">
        <v>3</v>
      </c>
      <c r="I197" s="29">
        <v>1074</v>
      </c>
      <c r="J197" s="29">
        <v>330163</v>
      </c>
      <c r="K197" s="29">
        <v>15550</v>
      </c>
      <c r="L197" s="29">
        <v>345713</v>
      </c>
      <c r="M197" s="29">
        <v>59145</v>
      </c>
      <c r="N197" s="29">
        <v>64977</v>
      </c>
      <c r="O197" s="29">
        <v>0</v>
      </c>
      <c r="P197" s="29">
        <v>31978</v>
      </c>
      <c r="Q197" s="29">
        <v>3724</v>
      </c>
      <c r="R197" s="29">
        <v>505537</v>
      </c>
      <c r="S197" s="29">
        <v>48152</v>
      </c>
      <c r="T197" s="29">
        <v>457385</v>
      </c>
      <c r="U197" s="29">
        <v>248394</v>
      </c>
      <c r="V197" s="29">
        <v>208991</v>
      </c>
    </row>
    <row r="198" spans="1:22" x14ac:dyDescent="0.2">
      <c r="A198" s="20" t="s">
        <v>328</v>
      </c>
      <c r="B198" s="20" t="s">
        <v>721</v>
      </c>
      <c r="C198" s="25">
        <v>33.08</v>
      </c>
      <c r="D198" s="27">
        <v>344.4</v>
      </c>
      <c r="E198" s="25">
        <v>377.48</v>
      </c>
      <c r="F198" s="25">
        <v>0</v>
      </c>
      <c r="G198" s="29">
        <v>0</v>
      </c>
      <c r="H198" s="27">
        <v>0</v>
      </c>
      <c r="I198" s="29">
        <v>344</v>
      </c>
      <c r="J198" s="29">
        <v>110692</v>
      </c>
      <c r="K198" s="29">
        <v>0</v>
      </c>
      <c r="L198" s="29">
        <v>110692</v>
      </c>
      <c r="M198" s="29">
        <v>18937</v>
      </c>
      <c r="N198" s="29">
        <v>20802</v>
      </c>
      <c r="O198" s="29">
        <v>0</v>
      </c>
      <c r="P198" s="29">
        <v>11094</v>
      </c>
      <c r="Q198" s="29">
        <v>1208</v>
      </c>
      <c r="R198" s="29">
        <v>162733</v>
      </c>
      <c r="S198" s="29">
        <v>14721</v>
      </c>
      <c r="T198" s="29">
        <v>148012</v>
      </c>
      <c r="U198" s="29">
        <v>85534</v>
      </c>
      <c r="V198" s="29">
        <v>62478</v>
      </c>
    </row>
    <row r="199" spans="1:22" x14ac:dyDescent="0.2">
      <c r="A199" s="20" t="s">
        <v>295</v>
      </c>
      <c r="B199" s="20" t="s">
        <v>689</v>
      </c>
      <c r="C199" s="25">
        <v>46.77</v>
      </c>
      <c r="D199" s="27">
        <v>267.10000000000002</v>
      </c>
      <c r="E199" s="25">
        <v>313.87</v>
      </c>
      <c r="F199" s="25">
        <v>0</v>
      </c>
      <c r="G199" s="29">
        <v>0</v>
      </c>
      <c r="H199" s="27">
        <v>0</v>
      </c>
      <c r="I199" s="29">
        <v>267</v>
      </c>
      <c r="J199" s="29">
        <v>92868</v>
      </c>
      <c r="K199" s="29">
        <v>0</v>
      </c>
      <c r="L199" s="29">
        <v>92868</v>
      </c>
      <c r="M199" s="29">
        <v>14706</v>
      </c>
      <c r="N199" s="29">
        <v>16260</v>
      </c>
      <c r="O199" s="29">
        <v>0</v>
      </c>
      <c r="P199" s="29">
        <v>9535</v>
      </c>
      <c r="Q199" s="29">
        <v>1020</v>
      </c>
      <c r="R199" s="29">
        <v>134389</v>
      </c>
      <c r="S199" s="29">
        <v>14742</v>
      </c>
      <c r="T199" s="29">
        <v>119647</v>
      </c>
      <c r="U199" s="29">
        <v>68945</v>
      </c>
      <c r="V199" s="29">
        <v>50702</v>
      </c>
    </row>
    <row r="200" spans="1:22" x14ac:dyDescent="0.2">
      <c r="A200" s="20" t="s">
        <v>329</v>
      </c>
      <c r="B200" s="20" t="s">
        <v>722</v>
      </c>
      <c r="C200" s="25">
        <v>16.190000000000001</v>
      </c>
      <c r="D200" s="27">
        <v>209.2</v>
      </c>
      <c r="E200" s="25">
        <v>225.39</v>
      </c>
      <c r="F200" s="25">
        <v>0</v>
      </c>
      <c r="G200" s="29">
        <v>0</v>
      </c>
      <c r="H200" s="27">
        <v>0</v>
      </c>
      <c r="I200" s="29">
        <v>209</v>
      </c>
      <c r="J200" s="29">
        <v>66093</v>
      </c>
      <c r="K200" s="29">
        <v>3529</v>
      </c>
      <c r="L200" s="29">
        <v>69622</v>
      </c>
      <c r="M200" s="29">
        <v>11505</v>
      </c>
      <c r="N200" s="29">
        <v>12638</v>
      </c>
      <c r="O200" s="29">
        <v>0</v>
      </c>
      <c r="P200" s="29">
        <v>6976</v>
      </c>
      <c r="Q200" s="29">
        <v>758</v>
      </c>
      <c r="R200" s="29">
        <v>101499</v>
      </c>
      <c r="S200" s="29">
        <v>10949</v>
      </c>
      <c r="T200" s="29">
        <v>90550</v>
      </c>
      <c r="U200" s="29">
        <v>49301</v>
      </c>
      <c r="V200" s="29">
        <v>41249</v>
      </c>
    </row>
    <row r="201" spans="1:22" x14ac:dyDescent="0.2">
      <c r="A201" s="20" t="s">
        <v>330</v>
      </c>
      <c r="B201" s="20" t="s">
        <v>723</v>
      </c>
      <c r="C201" s="25">
        <v>22.56</v>
      </c>
      <c r="D201" s="27">
        <v>209.9</v>
      </c>
      <c r="E201" s="25">
        <v>232.46</v>
      </c>
      <c r="F201" s="25">
        <v>0</v>
      </c>
      <c r="G201" s="29">
        <v>0</v>
      </c>
      <c r="H201" s="27">
        <v>0</v>
      </c>
      <c r="I201" s="29">
        <v>210</v>
      </c>
      <c r="J201" s="29">
        <v>68167</v>
      </c>
      <c r="K201" s="29">
        <v>2808</v>
      </c>
      <c r="L201" s="29">
        <v>70975</v>
      </c>
      <c r="M201" s="29">
        <v>11561</v>
      </c>
      <c r="N201" s="29">
        <v>12699</v>
      </c>
      <c r="O201" s="29">
        <v>0</v>
      </c>
      <c r="P201" s="29">
        <v>7112</v>
      </c>
      <c r="Q201" s="29">
        <v>773</v>
      </c>
      <c r="R201" s="29">
        <v>103120</v>
      </c>
      <c r="S201" s="29">
        <v>12939</v>
      </c>
      <c r="T201" s="29">
        <v>90181</v>
      </c>
      <c r="U201" s="29">
        <v>49109</v>
      </c>
      <c r="V201" s="29">
        <v>41072</v>
      </c>
    </row>
    <row r="202" spans="1:22" x14ac:dyDescent="0.2">
      <c r="A202" s="20" t="s">
        <v>296</v>
      </c>
      <c r="B202" s="20" t="s">
        <v>690</v>
      </c>
      <c r="C202" s="25">
        <v>74.78</v>
      </c>
      <c r="D202" s="27">
        <v>631.1</v>
      </c>
      <c r="E202" s="25">
        <v>705.88</v>
      </c>
      <c r="F202" s="25">
        <v>0</v>
      </c>
      <c r="G202" s="29">
        <v>1</v>
      </c>
      <c r="H202" s="27">
        <v>0</v>
      </c>
      <c r="I202" s="29">
        <v>632</v>
      </c>
      <c r="J202" s="29">
        <v>208856</v>
      </c>
      <c r="K202" s="29">
        <v>3509</v>
      </c>
      <c r="L202" s="29">
        <v>212365</v>
      </c>
      <c r="M202" s="29">
        <v>34811</v>
      </c>
      <c r="N202" s="29">
        <v>38489</v>
      </c>
      <c r="O202" s="29">
        <v>0</v>
      </c>
      <c r="P202" s="29">
        <v>21445</v>
      </c>
      <c r="Q202" s="29">
        <v>2294</v>
      </c>
      <c r="R202" s="29">
        <v>309404</v>
      </c>
      <c r="S202" s="29">
        <v>39236</v>
      </c>
      <c r="T202" s="29">
        <v>270168</v>
      </c>
      <c r="U202" s="29">
        <v>148973</v>
      </c>
      <c r="V202" s="29">
        <v>121195</v>
      </c>
    </row>
    <row r="203" spans="1:22" x14ac:dyDescent="0.2">
      <c r="A203" s="20" t="s">
        <v>331</v>
      </c>
      <c r="B203" s="20" t="s">
        <v>724</v>
      </c>
      <c r="C203" s="25">
        <v>260.81</v>
      </c>
      <c r="D203" s="27">
        <v>1933.3</v>
      </c>
      <c r="E203" s="25">
        <v>2194.11</v>
      </c>
      <c r="F203" s="25">
        <v>0</v>
      </c>
      <c r="G203" s="29">
        <v>5</v>
      </c>
      <c r="H203" s="27">
        <v>0</v>
      </c>
      <c r="I203" s="29">
        <v>1938</v>
      </c>
      <c r="J203" s="29">
        <v>643401</v>
      </c>
      <c r="K203" s="29">
        <v>5003</v>
      </c>
      <c r="L203" s="29">
        <v>648404</v>
      </c>
      <c r="M203" s="29">
        <v>106687</v>
      </c>
      <c r="N203" s="29">
        <v>117191</v>
      </c>
      <c r="O203" s="29">
        <v>0</v>
      </c>
      <c r="P203" s="29">
        <v>64485</v>
      </c>
      <c r="Q203" s="29">
        <v>7021</v>
      </c>
      <c r="R203" s="29">
        <v>943788</v>
      </c>
      <c r="S203" s="29">
        <v>93333</v>
      </c>
      <c r="T203" s="29">
        <v>850455</v>
      </c>
      <c r="U203" s="29">
        <v>489401</v>
      </c>
      <c r="V203" s="29">
        <v>361054</v>
      </c>
    </row>
    <row r="204" spans="1:22" x14ac:dyDescent="0.2">
      <c r="A204" s="20" t="s">
        <v>167</v>
      </c>
      <c r="B204" s="20" t="s">
        <v>567</v>
      </c>
      <c r="C204" s="25">
        <v>69.62</v>
      </c>
      <c r="D204" s="27">
        <v>1124</v>
      </c>
      <c r="E204" s="25">
        <v>1193.6199999999999</v>
      </c>
      <c r="F204" s="25">
        <v>0</v>
      </c>
      <c r="G204" s="29">
        <v>25</v>
      </c>
      <c r="H204" s="27">
        <v>0</v>
      </c>
      <c r="I204" s="29">
        <v>1149</v>
      </c>
      <c r="J204" s="29">
        <v>352022</v>
      </c>
      <c r="K204" s="29">
        <v>0</v>
      </c>
      <c r="L204" s="29">
        <v>352022</v>
      </c>
      <c r="M204" s="29">
        <v>63275</v>
      </c>
      <c r="N204" s="29">
        <v>69515</v>
      </c>
      <c r="O204" s="29">
        <v>0</v>
      </c>
      <c r="P204" s="29">
        <v>32956</v>
      </c>
      <c r="Q204" s="29">
        <v>3843</v>
      </c>
      <c r="R204" s="29">
        <v>521611</v>
      </c>
      <c r="S204" s="29">
        <v>45951</v>
      </c>
      <c r="T204" s="29">
        <v>475660</v>
      </c>
      <c r="U204" s="29">
        <v>268961</v>
      </c>
      <c r="V204" s="29">
        <v>206699</v>
      </c>
    </row>
    <row r="205" spans="1:22" x14ac:dyDescent="0.2">
      <c r="A205" s="20" t="s">
        <v>297</v>
      </c>
      <c r="B205" s="20" t="s">
        <v>691</v>
      </c>
      <c r="C205" s="25">
        <v>30.43</v>
      </c>
      <c r="D205" s="27">
        <v>252.2</v>
      </c>
      <c r="E205" s="25">
        <v>282.63</v>
      </c>
      <c r="F205" s="25">
        <v>0</v>
      </c>
      <c r="G205" s="29">
        <v>0</v>
      </c>
      <c r="H205" s="27">
        <v>0</v>
      </c>
      <c r="I205" s="29">
        <v>252</v>
      </c>
      <c r="J205" s="29">
        <v>83625</v>
      </c>
      <c r="K205" s="29">
        <v>4468</v>
      </c>
      <c r="L205" s="29">
        <v>88093</v>
      </c>
      <c r="M205" s="29">
        <v>13880</v>
      </c>
      <c r="N205" s="29">
        <v>15347</v>
      </c>
      <c r="O205" s="29">
        <v>0</v>
      </c>
      <c r="P205" s="29">
        <v>9045</v>
      </c>
      <c r="Q205" s="29">
        <v>965</v>
      </c>
      <c r="R205" s="29">
        <v>127330</v>
      </c>
      <c r="S205" s="29">
        <v>15048</v>
      </c>
      <c r="T205" s="29">
        <v>112282</v>
      </c>
      <c r="U205" s="29">
        <v>60815</v>
      </c>
      <c r="V205" s="29">
        <v>51467</v>
      </c>
    </row>
    <row r="206" spans="1:22" x14ac:dyDescent="0.2">
      <c r="A206" s="20" t="s">
        <v>138</v>
      </c>
      <c r="B206" s="20" t="s">
        <v>541</v>
      </c>
      <c r="C206" s="25">
        <v>769.7</v>
      </c>
      <c r="D206" s="27">
        <v>4935.8</v>
      </c>
      <c r="E206" s="25">
        <v>5705.5</v>
      </c>
      <c r="F206" s="25">
        <v>0</v>
      </c>
      <c r="G206" s="29">
        <v>180</v>
      </c>
      <c r="H206" s="27">
        <v>0</v>
      </c>
      <c r="I206" s="29">
        <v>5116</v>
      </c>
      <c r="J206" s="29">
        <v>1693621</v>
      </c>
      <c r="K206" s="29">
        <v>23166</v>
      </c>
      <c r="L206" s="29">
        <v>1716787</v>
      </c>
      <c r="M206" s="29">
        <v>280817</v>
      </c>
      <c r="N206" s="29">
        <v>306448</v>
      </c>
      <c r="O206" s="29">
        <v>0</v>
      </c>
      <c r="P206" s="29">
        <v>154710</v>
      </c>
      <c r="Q206" s="29">
        <v>18174</v>
      </c>
      <c r="R206" s="29">
        <v>2476936</v>
      </c>
      <c r="S206" s="29">
        <v>253669</v>
      </c>
      <c r="T206" s="29">
        <v>2223267</v>
      </c>
      <c r="U206" s="29">
        <v>1248597</v>
      </c>
      <c r="V206" s="29">
        <v>974670</v>
      </c>
    </row>
    <row r="207" spans="1:22" x14ac:dyDescent="0.2">
      <c r="A207" s="20" t="s">
        <v>104</v>
      </c>
      <c r="B207" s="20" t="s">
        <v>508</v>
      </c>
      <c r="C207" s="25">
        <v>63.5</v>
      </c>
      <c r="D207" s="27">
        <v>612.79999999999995</v>
      </c>
      <c r="E207" s="25">
        <v>676.3</v>
      </c>
      <c r="F207" s="25">
        <v>0</v>
      </c>
      <c r="G207" s="29">
        <v>6</v>
      </c>
      <c r="H207" s="27">
        <v>0</v>
      </c>
      <c r="I207" s="29">
        <v>619</v>
      </c>
      <c r="J207" s="29">
        <v>202349</v>
      </c>
      <c r="K207" s="29">
        <v>1483</v>
      </c>
      <c r="L207" s="29">
        <v>203832</v>
      </c>
      <c r="M207" s="29">
        <v>34280</v>
      </c>
      <c r="N207" s="29">
        <v>38267</v>
      </c>
      <c r="O207" s="29">
        <v>0</v>
      </c>
      <c r="P207" s="29">
        <v>25613</v>
      </c>
      <c r="Q207" s="29">
        <v>2945</v>
      </c>
      <c r="R207" s="29">
        <v>304937</v>
      </c>
      <c r="S207" s="29">
        <v>37009</v>
      </c>
      <c r="T207" s="29">
        <v>267928</v>
      </c>
      <c r="U207" s="29">
        <v>149127</v>
      </c>
      <c r="V207" s="29">
        <v>118801</v>
      </c>
    </row>
    <row r="208" spans="1:22" x14ac:dyDescent="0.2">
      <c r="A208" s="20" t="s">
        <v>209</v>
      </c>
      <c r="B208" s="20" t="s">
        <v>608</v>
      </c>
      <c r="C208" s="25">
        <v>169.81</v>
      </c>
      <c r="D208" s="27">
        <v>1491</v>
      </c>
      <c r="E208" s="25">
        <v>1660.81</v>
      </c>
      <c r="F208" s="25">
        <v>0</v>
      </c>
      <c r="G208" s="29">
        <v>9</v>
      </c>
      <c r="H208" s="27">
        <v>0</v>
      </c>
      <c r="I208" s="29">
        <v>1500</v>
      </c>
      <c r="J208" s="29">
        <v>478014</v>
      </c>
      <c r="K208" s="29">
        <v>17629</v>
      </c>
      <c r="L208" s="29">
        <v>495643</v>
      </c>
      <c r="M208" s="29">
        <v>82425</v>
      </c>
      <c r="N208" s="29">
        <v>90480</v>
      </c>
      <c r="O208" s="29">
        <v>0</v>
      </c>
      <c r="P208" s="29">
        <v>40954</v>
      </c>
      <c r="Q208" s="29">
        <v>5202</v>
      </c>
      <c r="R208" s="29">
        <v>714704</v>
      </c>
      <c r="S208" s="29">
        <v>69114</v>
      </c>
      <c r="T208" s="29">
        <v>645590</v>
      </c>
      <c r="U208" s="29">
        <v>364011</v>
      </c>
      <c r="V208" s="29">
        <v>281579</v>
      </c>
    </row>
    <row r="209" spans="1:22" x14ac:dyDescent="0.2">
      <c r="A209" s="20" t="s">
        <v>42</v>
      </c>
      <c r="B209" s="20" t="s">
        <v>456</v>
      </c>
      <c r="C209" s="25">
        <v>43.82</v>
      </c>
      <c r="D209" s="27">
        <v>442.4</v>
      </c>
      <c r="E209" s="25">
        <v>486.22</v>
      </c>
      <c r="F209" s="25">
        <v>1.4</v>
      </c>
      <c r="G209" s="29">
        <v>10</v>
      </c>
      <c r="H209" s="27">
        <v>0</v>
      </c>
      <c r="I209" s="29">
        <v>452</v>
      </c>
      <c r="J209" s="29">
        <v>148701</v>
      </c>
      <c r="K209" s="29">
        <v>8350</v>
      </c>
      <c r="L209" s="29">
        <v>157051</v>
      </c>
      <c r="M209" s="29">
        <v>25054</v>
      </c>
      <c r="N209" s="29">
        <v>28114</v>
      </c>
      <c r="O209" s="29">
        <v>428</v>
      </c>
      <c r="P209" s="29">
        <v>16706</v>
      </c>
      <c r="Q209" s="29">
        <v>1991</v>
      </c>
      <c r="R209" s="29">
        <v>229344</v>
      </c>
      <c r="S209" s="29">
        <v>22754</v>
      </c>
      <c r="T209" s="29">
        <v>206590</v>
      </c>
      <c r="U209" s="29">
        <v>109558</v>
      </c>
      <c r="V209" s="29">
        <v>97032</v>
      </c>
    </row>
    <row r="210" spans="1:22" x14ac:dyDescent="0.2">
      <c r="A210" s="20" t="s">
        <v>11</v>
      </c>
      <c r="B210" s="20" t="s">
        <v>426</v>
      </c>
      <c r="C210" s="25">
        <v>123.43</v>
      </c>
      <c r="D210" s="27">
        <v>959.6</v>
      </c>
      <c r="E210" s="25">
        <v>1083.03</v>
      </c>
      <c r="F210" s="25">
        <v>0</v>
      </c>
      <c r="G210" s="29">
        <v>135</v>
      </c>
      <c r="H210" s="27">
        <v>1.6</v>
      </c>
      <c r="I210" s="29">
        <v>1093</v>
      </c>
      <c r="J210" s="29">
        <v>335826</v>
      </c>
      <c r="K210" s="29">
        <v>0</v>
      </c>
      <c r="L210" s="29">
        <v>335826</v>
      </c>
      <c r="M210" s="29">
        <v>60498</v>
      </c>
      <c r="N210" s="29">
        <v>67471</v>
      </c>
      <c r="O210" s="29">
        <v>0</v>
      </c>
      <c r="P210" s="29">
        <v>33097</v>
      </c>
      <c r="Q210" s="29">
        <v>3563</v>
      </c>
      <c r="R210" s="29">
        <v>500455</v>
      </c>
      <c r="S210" s="29">
        <v>58022</v>
      </c>
      <c r="T210" s="29">
        <v>442433</v>
      </c>
      <c r="U210" s="29">
        <v>230984</v>
      </c>
      <c r="V210" s="29">
        <v>211449</v>
      </c>
    </row>
    <row r="211" spans="1:22" x14ac:dyDescent="0.2">
      <c r="A211" s="20" t="s">
        <v>332</v>
      </c>
      <c r="B211" s="20" t="s">
        <v>725</v>
      </c>
      <c r="C211" s="25">
        <v>50.15</v>
      </c>
      <c r="D211" s="27">
        <v>501.6</v>
      </c>
      <c r="E211" s="25">
        <v>551.75</v>
      </c>
      <c r="F211" s="25">
        <v>0</v>
      </c>
      <c r="G211" s="29">
        <v>2</v>
      </c>
      <c r="H211" s="27">
        <v>0</v>
      </c>
      <c r="I211" s="29">
        <v>504</v>
      </c>
      <c r="J211" s="29">
        <v>161795</v>
      </c>
      <c r="K211" s="29">
        <v>5578</v>
      </c>
      <c r="L211" s="29">
        <v>167373</v>
      </c>
      <c r="M211" s="29">
        <v>27745</v>
      </c>
      <c r="N211" s="29">
        <v>30477</v>
      </c>
      <c r="O211" s="29">
        <v>0</v>
      </c>
      <c r="P211" s="29">
        <v>16216</v>
      </c>
      <c r="Q211" s="29">
        <v>1766</v>
      </c>
      <c r="R211" s="29">
        <v>243577</v>
      </c>
      <c r="S211" s="29">
        <v>25009</v>
      </c>
      <c r="T211" s="29">
        <v>218568</v>
      </c>
      <c r="U211" s="29">
        <v>121531</v>
      </c>
      <c r="V211" s="29">
        <v>97037</v>
      </c>
    </row>
    <row r="212" spans="1:22" x14ac:dyDescent="0.2">
      <c r="A212" s="20" t="s">
        <v>210</v>
      </c>
      <c r="B212" s="20" t="s">
        <v>609</v>
      </c>
      <c r="C212" s="25">
        <v>393.14</v>
      </c>
      <c r="D212" s="27">
        <v>3075.7</v>
      </c>
      <c r="E212" s="25">
        <v>3468.84</v>
      </c>
      <c r="F212" s="25">
        <v>0</v>
      </c>
      <c r="G212" s="29">
        <v>95</v>
      </c>
      <c r="H212" s="27">
        <v>0.4</v>
      </c>
      <c r="I212" s="29">
        <v>3170</v>
      </c>
      <c r="J212" s="29">
        <v>998402</v>
      </c>
      <c r="K212" s="29">
        <v>0</v>
      </c>
      <c r="L212" s="29">
        <v>998402</v>
      </c>
      <c r="M212" s="29">
        <v>174192</v>
      </c>
      <c r="N212" s="29">
        <v>191214</v>
      </c>
      <c r="O212" s="29">
        <v>0</v>
      </c>
      <c r="P212" s="29">
        <v>82697</v>
      </c>
      <c r="Q212" s="29">
        <v>10511</v>
      </c>
      <c r="R212" s="29">
        <v>1457016</v>
      </c>
      <c r="S212" s="29">
        <v>154889</v>
      </c>
      <c r="T212" s="29">
        <v>1302127</v>
      </c>
      <c r="U212" s="29">
        <v>746559</v>
      </c>
      <c r="V212" s="29">
        <v>555568</v>
      </c>
    </row>
    <row r="213" spans="1:22" x14ac:dyDescent="0.2">
      <c r="A213" s="20" t="s">
        <v>76</v>
      </c>
      <c r="B213" s="20" t="s">
        <v>482</v>
      </c>
      <c r="C213" s="25">
        <v>123.85</v>
      </c>
      <c r="D213" s="27">
        <v>815</v>
      </c>
      <c r="E213" s="25">
        <v>938.85</v>
      </c>
      <c r="F213" s="25">
        <v>0</v>
      </c>
      <c r="G213" s="29">
        <v>40</v>
      </c>
      <c r="H213" s="27">
        <v>0</v>
      </c>
      <c r="I213" s="29">
        <v>855</v>
      </c>
      <c r="J213" s="29">
        <v>280904</v>
      </c>
      <c r="K213" s="29">
        <v>0</v>
      </c>
      <c r="L213" s="29">
        <v>280904</v>
      </c>
      <c r="M213" s="29">
        <v>47350</v>
      </c>
      <c r="N213" s="29">
        <v>52856</v>
      </c>
      <c r="O213" s="29">
        <v>0</v>
      </c>
      <c r="P213" s="29">
        <v>35479</v>
      </c>
      <c r="Q213" s="29">
        <v>4084</v>
      </c>
      <c r="R213" s="29">
        <v>420673</v>
      </c>
      <c r="S213" s="29">
        <v>46457</v>
      </c>
      <c r="T213" s="29">
        <v>374216</v>
      </c>
      <c r="U213" s="29">
        <v>211858</v>
      </c>
      <c r="V213" s="29">
        <v>162358</v>
      </c>
    </row>
    <row r="214" spans="1:22" x14ac:dyDescent="0.2">
      <c r="A214" s="20" t="s">
        <v>140</v>
      </c>
      <c r="B214" s="20" t="s">
        <v>543</v>
      </c>
      <c r="C214" s="25">
        <v>49.1</v>
      </c>
      <c r="D214" s="27">
        <v>516.29999999999995</v>
      </c>
      <c r="E214" s="25">
        <v>565.4</v>
      </c>
      <c r="F214" s="25">
        <v>0</v>
      </c>
      <c r="G214" s="29">
        <v>5</v>
      </c>
      <c r="H214" s="27">
        <v>0</v>
      </c>
      <c r="I214" s="29">
        <v>521</v>
      </c>
      <c r="J214" s="29">
        <v>167833</v>
      </c>
      <c r="K214" s="29">
        <v>7372</v>
      </c>
      <c r="L214" s="29">
        <v>175205</v>
      </c>
      <c r="M214" s="29">
        <v>28598</v>
      </c>
      <c r="N214" s="29">
        <v>31208</v>
      </c>
      <c r="O214" s="29">
        <v>0</v>
      </c>
      <c r="P214" s="29">
        <v>15428</v>
      </c>
      <c r="Q214" s="29">
        <v>1812</v>
      </c>
      <c r="R214" s="29">
        <v>252251</v>
      </c>
      <c r="S214" s="29">
        <v>30807</v>
      </c>
      <c r="T214" s="29">
        <v>221444</v>
      </c>
      <c r="U214" s="29">
        <v>118171</v>
      </c>
      <c r="V214" s="29">
        <v>103273</v>
      </c>
    </row>
    <row r="215" spans="1:22" x14ac:dyDescent="0.2">
      <c r="A215" s="20" t="s">
        <v>12</v>
      </c>
      <c r="B215" s="20" t="s">
        <v>427</v>
      </c>
      <c r="C215" s="25">
        <v>175.07</v>
      </c>
      <c r="D215" s="27">
        <v>1134.0999999999999</v>
      </c>
      <c r="E215" s="25">
        <v>1309.17</v>
      </c>
      <c r="F215" s="25">
        <v>0</v>
      </c>
      <c r="G215" s="29">
        <v>4</v>
      </c>
      <c r="H215" s="27">
        <v>0</v>
      </c>
      <c r="I215" s="29">
        <v>1138</v>
      </c>
      <c r="J215" s="29">
        <v>405947</v>
      </c>
      <c r="K215" s="29">
        <v>31025</v>
      </c>
      <c r="L215" s="29">
        <v>436972</v>
      </c>
      <c r="M215" s="29">
        <v>62988</v>
      </c>
      <c r="N215" s="29">
        <v>70249</v>
      </c>
      <c r="O215" s="29">
        <v>0</v>
      </c>
      <c r="P215" s="29">
        <v>40008</v>
      </c>
      <c r="Q215" s="29">
        <v>4307</v>
      </c>
      <c r="R215" s="29">
        <v>614524</v>
      </c>
      <c r="S215" s="29">
        <v>80898</v>
      </c>
      <c r="T215" s="29">
        <v>533626</v>
      </c>
      <c r="U215" s="29">
        <v>268454</v>
      </c>
      <c r="V215" s="29">
        <v>265172</v>
      </c>
    </row>
    <row r="216" spans="1:22" x14ac:dyDescent="0.2">
      <c r="A216" s="20" t="s">
        <v>45</v>
      </c>
      <c r="B216" s="20" t="s">
        <v>459</v>
      </c>
      <c r="C216" s="25">
        <v>22.05</v>
      </c>
      <c r="D216" s="27">
        <v>190.8</v>
      </c>
      <c r="E216" s="25">
        <v>212.85</v>
      </c>
      <c r="F216" s="25">
        <v>0.62</v>
      </c>
      <c r="G216" s="29">
        <v>2</v>
      </c>
      <c r="H216" s="27">
        <v>0</v>
      </c>
      <c r="I216" s="29">
        <v>193</v>
      </c>
      <c r="J216" s="29">
        <v>65096</v>
      </c>
      <c r="K216" s="29">
        <v>17662</v>
      </c>
      <c r="L216" s="29">
        <v>82758</v>
      </c>
      <c r="M216" s="29">
        <v>10698</v>
      </c>
      <c r="N216" s="29">
        <v>12005</v>
      </c>
      <c r="O216" s="29">
        <v>190</v>
      </c>
      <c r="P216" s="29">
        <v>7041</v>
      </c>
      <c r="Q216" s="29">
        <v>839</v>
      </c>
      <c r="R216" s="29">
        <v>113531</v>
      </c>
      <c r="S216" s="29">
        <v>14615</v>
      </c>
      <c r="T216" s="29">
        <v>98916</v>
      </c>
      <c r="U216" s="29">
        <v>43004</v>
      </c>
      <c r="V216" s="29">
        <v>55912</v>
      </c>
    </row>
    <row r="217" spans="1:22" x14ac:dyDescent="0.2">
      <c r="A217" s="20" t="s">
        <v>333</v>
      </c>
      <c r="B217" s="20" t="s">
        <v>726</v>
      </c>
      <c r="C217" s="25">
        <v>66.33</v>
      </c>
      <c r="D217" s="27">
        <v>468.3</v>
      </c>
      <c r="E217" s="25">
        <v>534.63</v>
      </c>
      <c r="F217" s="25">
        <v>0</v>
      </c>
      <c r="G217" s="29">
        <v>30</v>
      </c>
      <c r="H217" s="27">
        <v>0</v>
      </c>
      <c r="I217" s="29">
        <v>498</v>
      </c>
      <c r="J217" s="29">
        <v>156775</v>
      </c>
      <c r="K217" s="29">
        <v>12734</v>
      </c>
      <c r="L217" s="29">
        <v>169509</v>
      </c>
      <c r="M217" s="29">
        <v>27415</v>
      </c>
      <c r="N217" s="29">
        <v>30114</v>
      </c>
      <c r="O217" s="29">
        <v>0</v>
      </c>
      <c r="P217" s="29">
        <v>16985</v>
      </c>
      <c r="Q217" s="29">
        <v>1845</v>
      </c>
      <c r="R217" s="29">
        <v>245868</v>
      </c>
      <c r="S217" s="29">
        <v>25355</v>
      </c>
      <c r="T217" s="29">
        <v>220513</v>
      </c>
      <c r="U217" s="29">
        <v>118044</v>
      </c>
      <c r="V217" s="29">
        <v>102469</v>
      </c>
    </row>
    <row r="218" spans="1:22" x14ac:dyDescent="0.2">
      <c r="A218" s="20" t="s">
        <v>169</v>
      </c>
      <c r="B218" s="20" t="s">
        <v>569</v>
      </c>
      <c r="C218" s="25">
        <v>41.8</v>
      </c>
      <c r="D218" s="27">
        <v>609.20000000000005</v>
      </c>
      <c r="E218" s="25">
        <v>651</v>
      </c>
      <c r="F218" s="25">
        <v>0</v>
      </c>
      <c r="G218" s="29">
        <v>2</v>
      </c>
      <c r="H218" s="27">
        <v>0</v>
      </c>
      <c r="I218" s="29">
        <v>611</v>
      </c>
      <c r="J218" s="29">
        <v>191993</v>
      </c>
      <c r="K218" s="29">
        <v>23776</v>
      </c>
      <c r="L218" s="29">
        <v>215769</v>
      </c>
      <c r="M218" s="29">
        <v>33648</v>
      </c>
      <c r="N218" s="29">
        <v>36966</v>
      </c>
      <c r="O218" s="29">
        <v>0</v>
      </c>
      <c r="P218" s="29">
        <v>18906</v>
      </c>
      <c r="Q218" s="29">
        <v>2201</v>
      </c>
      <c r="R218" s="29">
        <v>307490</v>
      </c>
      <c r="S218" s="29">
        <v>34751</v>
      </c>
      <c r="T218" s="29">
        <v>272739</v>
      </c>
      <c r="U218" s="29">
        <v>138039</v>
      </c>
      <c r="V218" s="29">
        <v>134700</v>
      </c>
    </row>
    <row r="219" spans="1:22" x14ac:dyDescent="0.2">
      <c r="A219" s="20" t="s">
        <v>43</v>
      </c>
      <c r="B219" s="20" t="s">
        <v>457</v>
      </c>
      <c r="C219" s="25">
        <v>63.61</v>
      </c>
      <c r="D219" s="27">
        <v>281.8</v>
      </c>
      <c r="E219" s="25">
        <v>345.41</v>
      </c>
      <c r="F219" s="25">
        <v>1</v>
      </c>
      <c r="G219" s="29">
        <v>10</v>
      </c>
      <c r="H219" s="27">
        <v>0</v>
      </c>
      <c r="I219" s="29">
        <v>292</v>
      </c>
      <c r="J219" s="29">
        <v>105637</v>
      </c>
      <c r="K219" s="29">
        <v>3384</v>
      </c>
      <c r="L219" s="29">
        <v>109021</v>
      </c>
      <c r="M219" s="29">
        <v>16186</v>
      </c>
      <c r="N219" s="29">
        <v>18162</v>
      </c>
      <c r="O219" s="29">
        <v>306</v>
      </c>
      <c r="P219" s="29">
        <v>11233</v>
      </c>
      <c r="Q219" s="29">
        <v>1340</v>
      </c>
      <c r="R219" s="29">
        <v>156248</v>
      </c>
      <c r="S219" s="29">
        <v>21324</v>
      </c>
      <c r="T219" s="29">
        <v>134924</v>
      </c>
      <c r="U219" s="29">
        <v>71963</v>
      </c>
      <c r="V219" s="29">
        <v>62961</v>
      </c>
    </row>
    <row r="220" spans="1:22" x14ac:dyDescent="0.2">
      <c r="A220" s="20" t="s">
        <v>211</v>
      </c>
      <c r="B220" s="20" t="s">
        <v>610</v>
      </c>
      <c r="C220" s="25">
        <v>84.6</v>
      </c>
      <c r="D220" s="27">
        <v>1683.9</v>
      </c>
      <c r="E220" s="25">
        <v>1768.5</v>
      </c>
      <c r="F220" s="25">
        <v>0</v>
      </c>
      <c r="G220" s="29">
        <v>28</v>
      </c>
      <c r="H220" s="27">
        <v>0</v>
      </c>
      <c r="I220" s="29">
        <v>1712</v>
      </c>
      <c r="J220" s="29">
        <v>509010</v>
      </c>
      <c r="K220" s="29">
        <v>0</v>
      </c>
      <c r="L220" s="29">
        <v>509010</v>
      </c>
      <c r="M220" s="29">
        <v>94074</v>
      </c>
      <c r="N220" s="29">
        <v>103268</v>
      </c>
      <c r="O220" s="29">
        <v>0</v>
      </c>
      <c r="P220" s="29">
        <v>42161</v>
      </c>
      <c r="Q220" s="29">
        <v>5359</v>
      </c>
      <c r="R220" s="29">
        <v>753872</v>
      </c>
      <c r="S220" s="29">
        <v>39904</v>
      </c>
      <c r="T220" s="29">
        <v>713968</v>
      </c>
      <c r="U220" s="29">
        <v>419677</v>
      </c>
      <c r="V220" s="29">
        <v>294291</v>
      </c>
    </row>
    <row r="221" spans="1:22" x14ac:dyDescent="0.2">
      <c r="A221" s="20" t="s">
        <v>139</v>
      </c>
      <c r="B221" s="20" t="s">
        <v>542</v>
      </c>
      <c r="C221" s="25">
        <v>313.41000000000003</v>
      </c>
      <c r="D221" s="27">
        <v>3035.1</v>
      </c>
      <c r="E221" s="25">
        <v>3348.51</v>
      </c>
      <c r="F221" s="25">
        <v>0</v>
      </c>
      <c r="G221" s="29">
        <v>56</v>
      </c>
      <c r="H221" s="27">
        <v>0</v>
      </c>
      <c r="I221" s="29">
        <v>3091</v>
      </c>
      <c r="J221" s="29">
        <v>993972</v>
      </c>
      <c r="K221" s="29">
        <v>784</v>
      </c>
      <c r="L221" s="29">
        <v>994756</v>
      </c>
      <c r="M221" s="29">
        <v>169665</v>
      </c>
      <c r="N221" s="29">
        <v>185151</v>
      </c>
      <c r="O221" s="29">
        <v>0</v>
      </c>
      <c r="P221" s="29">
        <v>89941</v>
      </c>
      <c r="Q221" s="29">
        <v>10581</v>
      </c>
      <c r="R221" s="29">
        <v>1450094</v>
      </c>
      <c r="S221" s="29">
        <v>130713</v>
      </c>
      <c r="T221" s="29">
        <v>1319381</v>
      </c>
      <c r="U221" s="29">
        <v>750012</v>
      </c>
      <c r="V221" s="29">
        <v>569369</v>
      </c>
    </row>
    <row r="222" spans="1:22" x14ac:dyDescent="0.2">
      <c r="A222" s="20" t="s">
        <v>107</v>
      </c>
      <c r="B222" s="20" t="s">
        <v>511</v>
      </c>
      <c r="C222" s="25">
        <v>61.86</v>
      </c>
      <c r="D222" s="27">
        <v>445</v>
      </c>
      <c r="E222" s="25">
        <v>506.86</v>
      </c>
      <c r="F222" s="25">
        <v>0</v>
      </c>
      <c r="G222" s="29">
        <v>0</v>
      </c>
      <c r="H222" s="27">
        <v>0</v>
      </c>
      <c r="I222" s="29">
        <v>445</v>
      </c>
      <c r="J222" s="29">
        <v>151653</v>
      </c>
      <c r="K222" s="29">
        <v>8026</v>
      </c>
      <c r="L222" s="29">
        <v>159679</v>
      </c>
      <c r="M222" s="29">
        <v>24644</v>
      </c>
      <c r="N222" s="29">
        <v>27510</v>
      </c>
      <c r="O222" s="29">
        <v>0</v>
      </c>
      <c r="P222" s="29">
        <v>19154</v>
      </c>
      <c r="Q222" s="29">
        <v>2205</v>
      </c>
      <c r="R222" s="29">
        <v>233192</v>
      </c>
      <c r="S222" s="29">
        <v>23815</v>
      </c>
      <c r="T222" s="29">
        <v>209377</v>
      </c>
      <c r="U222" s="29">
        <v>115642</v>
      </c>
      <c r="V222" s="29">
        <v>93735</v>
      </c>
    </row>
    <row r="223" spans="1:22" x14ac:dyDescent="0.2">
      <c r="A223" s="20" t="s">
        <v>13</v>
      </c>
      <c r="B223" s="20" t="s">
        <v>428</v>
      </c>
      <c r="C223" s="25">
        <v>29.74</v>
      </c>
      <c r="D223" s="27">
        <v>276</v>
      </c>
      <c r="E223" s="25">
        <v>305.74</v>
      </c>
      <c r="F223" s="25">
        <v>0</v>
      </c>
      <c r="G223" s="29">
        <v>11</v>
      </c>
      <c r="H223" s="27">
        <v>0</v>
      </c>
      <c r="I223" s="29">
        <v>287</v>
      </c>
      <c r="J223" s="29">
        <v>94804</v>
      </c>
      <c r="K223" s="29">
        <v>2975</v>
      </c>
      <c r="L223" s="29">
        <v>97779</v>
      </c>
      <c r="M223" s="29">
        <v>15885</v>
      </c>
      <c r="N223" s="29">
        <v>17717</v>
      </c>
      <c r="O223" s="29">
        <v>0</v>
      </c>
      <c r="P223" s="29">
        <v>9402</v>
      </c>
      <c r="Q223" s="29">
        <v>1010</v>
      </c>
      <c r="R223" s="29">
        <v>141793</v>
      </c>
      <c r="S223" s="29">
        <v>17982</v>
      </c>
      <c r="T223" s="29">
        <v>123811</v>
      </c>
      <c r="U223" s="29">
        <v>63667</v>
      </c>
      <c r="V223" s="29">
        <v>60144</v>
      </c>
    </row>
    <row r="224" spans="1:22" x14ac:dyDescent="0.2">
      <c r="A224" s="20" t="s">
        <v>108</v>
      </c>
      <c r="B224" s="20" t="s">
        <v>512</v>
      </c>
      <c r="C224" s="25">
        <v>55.42</v>
      </c>
      <c r="D224" s="27">
        <v>508.1</v>
      </c>
      <c r="E224" s="25">
        <v>563.52</v>
      </c>
      <c r="F224" s="25">
        <v>0</v>
      </c>
      <c r="G224" s="29">
        <v>0</v>
      </c>
      <c r="H224" s="27">
        <v>0</v>
      </c>
      <c r="I224" s="29">
        <v>508</v>
      </c>
      <c r="J224" s="29">
        <v>168605</v>
      </c>
      <c r="K224" s="29">
        <v>0</v>
      </c>
      <c r="L224" s="29">
        <v>168605</v>
      </c>
      <c r="M224" s="29">
        <v>28133</v>
      </c>
      <c r="N224" s="29">
        <v>31405</v>
      </c>
      <c r="O224" s="29">
        <v>0</v>
      </c>
      <c r="P224" s="29">
        <v>21295</v>
      </c>
      <c r="Q224" s="29">
        <v>2451</v>
      </c>
      <c r="R224" s="29">
        <v>251889</v>
      </c>
      <c r="S224" s="29">
        <v>25116</v>
      </c>
      <c r="T224" s="29">
        <v>226773</v>
      </c>
      <c r="U224" s="29">
        <v>129930</v>
      </c>
      <c r="V224" s="29">
        <v>96843</v>
      </c>
    </row>
    <row r="225" spans="1:22" x14ac:dyDescent="0.2">
      <c r="A225" s="20" t="s">
        <v>212</v>
      </c>
      <c r="B225" s="20" t="s">
        <v>611</v>
      </c>
      <c r="C225" s="25">
        <v>301.94</v>
      </c>
      <c r="D225" s="27">
        <v>2831.2</v>
      </c>
      <c r="E225" s="25">
        <v>3133.14</v>
      </c>
      <c r="F225" s="25">
        <v>0</v>
      </c>
      <c r="G225" s="29">
        <v>54</v>
      </c>
      <c r="H225" s="27">
        <v>0</v>
      </c>
      <c r="I225" s="29">
        <v>2885</v>
      </c>
      <c r="J225" s="29">
        <v>901780</v>
      </c>
      <c r="K225" s="29">
        <v>0</v>
      </c>
      <c r="L225" s="29">
        <v>901780</v>
      </c>
      <c r="M225" s="29">
        <v>158531</v>
      </c>
      <c r="N225" s="29">
        <v>174023</v>
      </c>
      <c r="O225" s="29">
        <v>0</v>
      </c>
      <c r="P225" s="29">
        <v>74694</v>
      </c>
      <c r="Q225" s="29">
        <v>9493</v>
      </c>
      <c r="R225" s="29">
        <v>1318521</v>
      </c>
      <c r="S225" s="29">
        <v>95234</v>
      </c>
      <c r="T225" s="29">
        <v>1223287</v>
      </c>
      <c r="U225" s="29">
        <v>718975</v>
      </c>
      <c r="V225" s="29">
        <v>504312</v>
      </c>
    </row>
    <row r="226" spans="1:22" x14ac:dyDescent="0.2">
      <c r="A226" s="20" t="s">
        <v>301</v>
      </c>
      <c r="B226" s="20" t="s">
        <v>695</v>
      </c>
      <c r="C226" s="25">
        <v>74.37</v>
      </c>
      <c r="D226" s="27">
        <v>691</v>
      </c>
      <c r="E226" s="25">
        <v>765.37</v>
      </c>
      <c r="F226" s="25">
        <v>0</v>
      </c>
      <c r="G226" s="29">
        <v>8</v>
      </c>
      <c r="H226" s="27">
        <v>0</v>
      </c>
      <c r="I226" s="29">
        <v>699</v>
      </c>
      <c r="J226" s="29">
        <v>226458</v>
      </c>
      <c r="K226" s="29">
        <v>0</v>
      </c>
      <c r="L226" s="29">
        <v>226458</v>
      </c>
      <c r="M226" s="29">
        <v>38501</v>
      </c>
      <c r="N226" s="29">
        <v>42569</v>
      </c>
      <c r="O226" s="29">
        <v>0</v>
      </c>
      <c r="P226" s="29">
        <v>23252</v>
      </c>
      <c r="Q226" s="29">
        <v>2487</v>
      </c>
      <c r="R226" s="29">
        <v>333267</v>
      </c>
      <c r="S226" s="29">
        <v>33188</v>
      </c>
      <c r="T226" s="29">
        <v>300079</v>
      </c>
      <c r="U226" s="29">
        <v>170882</v>
      </c>
      <c r="V226" s="29">
        <v>129197</v>
      </c>
    </row>
    <row r="227" spans="1:22" x14ac:dyDescent="0.2">
      <c r="A227" s="20" t="s">
        <v>46</v>
      </c>
      <c r="B227" s="20" t="s">
        <v>647</v>
      </c>
      <c r="C227" s="25">
        <v>106.56</v>
      </c>
      <c r="D227" s="27">
        <v>978.5</v>
      </c>
      <c r="E227" s="25">
        <v>1085.06</v>
      </c>
      <c r="F227" s="25">
        <v>0</v>
      </c>
      <c r="G227" s="29">
        <v>24</v>
      </c>
      <c r="H227" s="27">
        <v>0</v>
      </c>
      <c r="I227" s="29">
        <v>1003</v>
      </c>
      <c r="J227" s="29">
        <v>328187</v>
      </c>
      <c r="K227" s="29">
        <v>0</v>
      </c>
      <c r="L227" s="29">
        <v>328187</v>
      </c>
      <c r="M227" s="29">
        <v>55526</v>
      </c>
      <c r="N227" s="29">
        <v>62286</v>
      </c>
      <c r="O227" s="29">
        <v>0</v>
      </c>
      <c r="P227" s="29">
        <v>32986</v>
      </c>
      <c r="Q227" s="29">
        <v>3950</v>
      </c>
      <c r="R227" s="29">
        <v>482935</v>
      </c>
      <c r="S227" s="29">
        <v>58024</v>
      </c>
      <c r="T227" s="29">
        <v>424911</v>
      </c>
      <c r="U227" s="29">
        <v>231731</v>
      </c>
      <c r="V227" s="29">
        <v>193180</v>
      </c>
    </row>
    <row r="228" spans="1:22" x14ac:dyDescent="0.2">
      <c r="A228" s="20" t="s">
        <v>14</v>
      </c>
      <c r="B228" s="20" t="s">
        <v>429</v>
      </c>
      <c r="C228" s="25">
        <v>246.24</v>
      </c>
      <c r="D228" s="27">
        <v>1255.4000000000001</v>
      </c>
      <c r="E228" s="25">
        <v>1501.64</v>
      </c>
      <c r="F228" s="25">
        <v>0</v>
      </c>
      <c r="G228" s="29">
        <v>80</v>
      </c>
      <c r="H228" s="27">
        <v>3.6</v>
      </c>
      <c r="I228" s="29">
        <v>1332</v>
      </c>
      <c r="J228" s="29">
        <v>465629</v>
      </c>
      <c r="K228" s="29">
        <v>0</v>
      </c>
      <c r="L228" s="29">
        <v>465629</v>
      </c>
      <c r="M228" s="29">
        <v>73726</v>
      </c>
      <c r="N228" s="29">
        <v>82224</v>
      </c>
      <c r="O228" s="29">
        <v>0</v>
      </c>
      <c r="P228" s="29">
        <v>45890</v>
      </c>
      <c r="Q228" s="29">
        <v>4940</v>
      </c>
      <c r="R228" s="29">
        <v>672409</v>
      </c>
      <c r="S228" s="29">
        <v>78419</v>
      </c>
      <c r="T228" s="29">
        <v>593990</v>
      </c>
      <c r="U228" s="29">
        <v>322293</v>
      </c>
      <c r="V228" s="29">
        <v>271697</v>
      </c>
    </row>
    <row r="229" spans="1:22" x14ac:dyDescent="0.2">
      <c r="A229" s="20" t="s">
        <v>213</v>
      </c>
      <c r="B229" s="20" t="s">
        <v>612</v>
      </c>
      <c r="C229" s="25">
        <v>66.58</v>
      </c>
      <c r="D229" s="27">
        <v>618</v>
      </c>
      <c r="E229" s="25">
        <v>684.58</v>
      </c>
      <c r="F229" s="25">
        <v>0</v>
      </c>
      <c r="G229" s="29">
        <v>6</v>
      </c>
      <c r="H229" s="27">
        <v>0</v>
      </c>
      <c r="I229" s="29">
        <v>624</v>
      </c>
      <c r="J229" s="29">
        <v>197036</v>
      </c>
      <c r="K229" s="29">
        <v>1940</v>
      </c>
      <c r="L229" s="29">
        <v>198976</v>
      </c>
      <c r="M229" s="29">
        <v>34289</v>
      </c>
      <c r="N229" s="29">
        <v>37640</v>
      </c>
      <c r="O229" s="29">
        <v>0</v>
      </c>
      <c r="P229" s="29">
        <v>16441</v>
      </c>
      <c r="Q229" s="29">
        <v>2088</v>
      </c>
      <c r="R229" s="29">
        <v>289434</v>
      </c>
      <c r="S229" s="29">
        <v>31557</v>
      </c>
      <c r="T229" s="29">
        <v>257877</v>
      </c>
      <c r="U229" s="29">
        <v>146479</v>
      </c>
      <c r="V229" s="29">
        <v>111398</v>
      </c>
    </row>
    <row r="230" spans="1:22" x14ac:dyDescent="0.2">
      <c r="A230" s="20" t="s">
        <v>47</v>
      </c>
      <c r="B230" s="20" t="s">
        <v>460</v>
      </c>
      <c r="C230" s="25">
        <v>111.67</v>
      </c>
      <c r="D230" s="27">
        <v>941.1</v>
      </c>
      <c r="E230" s="25">
        <v>1052.77</v>
      </c>
      <c r="F230" s="25">
        <v>3.06</v>
      </c>
      <c r="G230" s="29">
        <v>10</v>
      </c>
      <c r="H230" s="27">
        <v>0</v>
      </c>
      <c r="I230" s="29">
        <v>951</v>
      </c>
      <c r="J230" s="29">
        <v>321969</v>
      </c>
      <c r="K230" s="29">
        <v>9949</v>
      </c>
      <c r="L230" s="29">
        <v>331918</v>
      </c>
      <c r="M230" s="29">
        <v>52714</v>
      </c>
      <c r="N230" s="29">
        <v>59152</v>
      </c>
      <c r="O230" s="29">
        <v>936</v>
      </c>
      <c r="P230" s="29">
        <v>35307</v>
      </c>
      <c r="Q230" s="29">
        <v>4208</v>
      </c>
      <c r="R230" s="29">
        <v>484235</v>
      </c>
      <c r="S230" s="29">
        <v>46312</v>
      </c>
      <c r="T230" s="29">
        <v>437923</v>
      </c>
      <c r="U230" s="29">
        <v>239211</v>
      </c>
      <c r="V230" s="29">
        <v>198712</v>
      </c>
    </row>
    <row r="231" spans="1:22" x14ac:dyDescent="0.2">
      <c r="A231" s="20" t="s">
        <v>170</v>
      </c>
      <c r="B231" s="20" t="s">
        <v>570</v>
      </c>
      <c r="C231" s="25">
        <v>30.17</v>
      </c>
      <c r="D231" s="27">
        <v>206</v>
      </c>
      <c r="E231" s="25">
        <v>236.17</v>
      </c>
      <c r="F231" s="25">
        <v>0</v>
      </c>
      <c r="G231" s="29">
        <v>5</v>
      </c>
      <c r="H231" s="27">
        <v>0</v>
      </c>
      <c r="I231" s="29">
        <v>211</v>
      </c>
      <c r="J231" s="29">
        <v>69651</v>
      </c>
      <c r="K231" s="29">
        <v>8851</v>
      </c>
      <c r="L231" s="29">
        <v>78502</v>
      </c>
      <c r="M231" s="29">
        <v>11620</v>
      </c>
      <c r="N231" s="29">
        <v>12766</v>
      </c>
      <c r="O231" s="29">
        <v>0</v>
      </c>
      <c r="P231" s="29">
        <v>6774</v>
      </c>
      <c r="Q231" s="29">
        <v>789</v>
      </c>
      <c r="R231" s="29">
        <v>110451</v>
      </c>
      <c r="S231" s="29">
        <v>14596</v>
      </c>
      <c r="T231" s="29">
        <v>95855</v>
      </c>
      <c r="U231" s="29">
        <v>47995</v>
      </c>
      <c r="V231" s="29">
        <v>47860</v>
      </c>
    </row>
    <row r="232" spans="1:22" x14ac:dyDescent="0.2">
      <c r="A232" s="20" t="s">
        <v>299</v>
      </c>
      <c r="B232" s="20" t="s">
        <v>693</v>
      </c>
      <c r="C232" s="25">
        <v>28.48</v>
      </c>
      <c r="D232" s="27">
        <v>191.3</v>
      </c>
      <c r="E232" s="25">
        <v>219.78</v>
      </c>
      <c r="F232" s="25">
        <v>0</v>
      </c>
      <c r="G232" s="29">
        <v>6</v>
      </c>
      <c r="H232" s="27">
        <v>0</v>
      </c>
      <c r="I232" s="29">
        <v>197</v>
      </c>
      <c r="J232" s="29">
        <v>65029</v>
      </c>
      <c r="K232" s="29">
        <v>7737</v>
      </c>
      <c r="L232" s="29">
        <v>72766</v>
      </c>
      <c r="M232" s="29">
        <v>10851</v>
      </c>
      <c r="N232" s="29">
        <v>11997</v>
      </c>
      <c r="O232" s="29">
        <v>0</v>
      </c>
      <c r="P232" s="29">
        <v>6677</v>
      </c>
      <c r="Q232" s="29">
        <v>714</v>
      </c>
      <c r="R232" s="29">
        <v>103005</v>
      </c>
      <c r="S232" s="29">
        <v>14187</v>
      </c>
      <c r="T232" s="29">
        <v>88818</v>
      </c>
      <c r="U232" s="29">
        <v>44413</v>
      </c>
      <c r="V232" s="29">
        <v>44405</v>
      </c>
    </row>
    <row r="233" spans="1:22" x14ac:dyDescent="0.2">
      <c r="A233" s="20" t="s">
        <v>109</v>
      </c>
      <c r="B233" s="20" t="s">
        <v>513</v>
      </c>
      <c r="C233" s="25">
        <v>79.989999999999995</v>
      </c>
      <c r="D233" s="27">
        <v>899.4</v>
      </c>
      <c r="E233" s="25">
        <v>979.39</v>
      </c>
      <c r="F233" s="25">
        <v>0</v>
      </c>
      <c r="G233" s="29">
        <v>0</v>
      </c>
      <c r="H233" s="27">
        <v>0</v>
      </c>
      <c r="I233" s="29">
        <v>899</v>
      </c>
      <c r="J233" s="29">
        <v>293033</v>
      </c>
      <c r="K233" s="29">
        <v>14384</v>
      </c>
      <c r="L233" s="29">
        <v>307417</v>
      </c>
      <c r="M233" s="29">
        <v>49787</v>
      </c>
      <c r="N233" s="29">
        <v>55576</v>
      </c>
      <c r="O233" s="29">
        <v>0</v>
      </c>
      <c r="P233" s="29">
        <v>37581</v>
      </c>
      <c r="Q233" s="29">
        <v>4321</v>
      </c>
      <c r="R233" s="29">
        <v>454682</v>
      </c>
      <c r="S233" s="29">
        <v>47573</v>
      </c>
      <c r="T233" s="29">
        <v>407109</v>
      </c>
      <c r="U233" s="29">
        <v>222527</v>
      </c>
      <c r="V233" s="29">
        <v>184582</v>
      </c>
    </row>
    <row r="234" spans="1:22" x14ac:dyDescent="0.2">
      <c r="A234" s="20" t="s">
        <v>334</v>
      </c>
      <c r="B234" s="20" t="s">
        <v>727</v>
      </c>
      <c r="C234" s="25">
        <v>297.45</v>
      </c>
      <c r="D234" s="27">
        <v>2361.3000000000002</v>
      </c>
      <c r="E234" s="25">
        <v>2658.75</v>
      </c>
      <c r="F234" s="25">
        <v>0</v>
      </c>
      <c r="G234" s="29">
        <v>178</v>
      </c>
      <c r="H234" s="27">
        <v>0</v>
      </c>
      <c r="I234" s="29">
        <v>2539</v>
      </c>
      <c r="J234" s="29">
        <v>779652</v>
      </c>
      <c r="K234" s="29">
        <v>0</v>
      </c>
      <c r="L234" s="29">
        <v>779652</v>
      </c>
      <c r="M234" s="29">
        <v>139772</v>
      </c>
      <c r="N234" s="29">
        <v>153533</v>
      </c>
      <c r="O234" s="29">
        <v>0</v>
      </c>
      <c r="P234" s="29">
        <v>78141</v>
      </c>
      <c r="Q234" s="29">
        <v>8508</v>
      </c>
      <c r="R234" s="29">
        <v>1159606</v>
      </c>
      <c r="S234" s="29">
        <v>115216</v>
      </c>
      <c r="T234" s="29">
        <v>1044390</v>
      </c>
      <c r="U234" s="29">
        <v>590922</v>
      </c>
      <c r="V234" s="29">
        <v>453468</v>
      </c>
    </row>
    <row r="235" spans="1:22" x14ac:dyDescent="0.2">
      <c r="A235" s="20" t="s">
        <v>335</v>
      </c>
      <c r="B235" s="20" t="s">
        <v>728</v>
      </c>
      <c r="C235" s="25">
        <v>516.1</v>
      </c>
      <c r="D235" s="27">
        <v>4612.2</v>
      </c>
      <c r="E235" s="25">
        <v>5128.3</v>
      </c>
      <c r="F235" s="25">
        <v>0</v>
      </c>
      <c r="G235" s="29">
        <v>149</v>
      </c>
      <c r="H235" s="27">
        <v>1.7</v>
      </c>
      <c r="I235" s="29">
        <v>4760</v>
      </c>
      <c r="J235" s="29">
        <v>1503823</v>
      </c>
      <c r="K235" s="29">
        <v>0</v>
      </c>
      <c r="L235" s="29">
        <v>1503823</v>
      </c>
      <c r="M235" s="29">
        <v>262038</v>
      </c>
      <c r="N235" s="29">
        <v>287837</v>
      </c>
      <c r="O235" s="29">
        <v>0</v>
      </c>
      <c r="P235" s="29">
        <v>150721</v>
      </c>
      <c r="Q235" s="29">
        <v>16411</v>
      </c>
      <c r="R235" s="29">
        <v>2220830</v>
      </c>
      <c r="S235" s="29">
        <v>217386</v>
      </c>
      <c r="T235" s="29">
        <v>2003444</v>
      </c>
      <c r="U235" s="29">
        <v>1144640</v>
      </c>
      <c r="V235" s="29">
        <v>858804</v>
      </c>
    </row>
    <row r="236" spans="1:22" x14ac:dyDescent="0.2">
      <c r="A236" s="20" t="s">
        <v>214</v>
      </c>
      <c r="B236" s="20" t="s">
        <v>613</v>
      </c>
      <c r="C236" s="25">
        <v>79.290000000000006</v>
      </c>
      <c r="D236" s="27">
        <v>705.9</v>
      </c>
      <c r="E236" s="25">
        <v>785.19</v>
      </c>
      <c r="F236" s="25">
        <v>0</v>
      </c>
      <c r="G236" s="29">
        <v>2</v>
      </c>
      <c r="H236" s="27">
        <v>0</v>
      </c>
      <c r="I236" s="29">
        <v>708</v>
      </c>
      <c r="J236" s="29">
        <v>225993</v>
      </c>
      <c r="K236" s="29">
        <v>1586</v>
      </c>
      <c r="L236" s="29">
        <v>227579</v>
      </c>
      <c r="M236" s="29">
        <v>38905</v>
      </c>
      <c r="N236" s="29">
        <v>42707</v>
      </c>
      <c r="O236" s="29">
        <v>0</v>
      </c>
      <c r="P236" s="29">
        <v>18804</v>
      </c>
      <c r="Q236" s="29">
        <v>2389</v>
      </c>
      <c r="R236" s="29">
        <v>330384</v>
      </c>
      <c r="S236" s="29">
        <v>32669</v>
      </c>
      <c r="T236" s="29">
        <v>297715</v>
      </c>
      <c r="U236" s="29">
        <v>171473</v>
      </c>
      <c r="V236" s="29">
        <v>126242</v>
      </c>
    </row>
    <row r="237" spans="1:22" x14ac:dyDescent="0.2">
      <c r="A237" s="20" t="s">
        <v>48</v>
      </c>
      <c r="B237" s="20" t="s">
        <v>461</v>
      </c>
      <c r="C237" s="25">
        <v>18.77</v>
      </c>
      <c r="D237" s="27">
        <v>208.3</v>
      </c>
      <c r="E237" s="25">
        <v>227.07</v>
      </c>
      <c r="F237" s="25">
        <v>0.66</v>
      </c>
      <c r="G237" s="29">
        <v>0</v>
      </c>
      <c r="H237" s="27">
        <v>0</v>
      </c>
      <c r="I237" s="29">
        <v>208</v>
      </c>
      <c r="J237" s="29">
        <v>69445</v>
      </c>
      <c r="K237" s="29">
        <v>0</v>
      </c>
      <c r="L237" s="29">
        <v>69445</v>
      </c>
      <c r="M237" s="29">
        <v>11529</v>
      </c>
      <c r="N237" s="29">
        <v>12938</v>
      </c>
      <c r="O237" s="29">
        <v>202</v>
      </c>
      <c r="P237" s="29">
        <v>7384</v>
      </c>
      <c r="Q237" s="29">
        <v>881</v>
      </c>
      <c r="R237" s="29">
        <v>102379</v>
      </c>
      <c r="S237" s="29">
        <v>10377</v>
      </c>
      <c r="T237" s="29">
        <v>92002</v>
      </c>
      <c r="U237" s="29">
        <v>50949</v>
      </c>
      <c r="V237" s="29">
        <v>41053</v>
      </c>
    </row>
    <row r="238" spans="1:22" x14ac:dyDescent="0.2">
      <c r="A238" s="20" t="s">
        <v>260</v>
      </c>
      <c r="B238" s="20" t="s">
        <v>657</v>
      </c>
      <c r="C238" s="25">
        <v>104.9</v>
      </c>
      <c r="D238" s="27">
        <v>590</v>
      </c>
      <c r="E238" s="25">
        <v>694.9</v>
      </c>
      <c r="F238" s="25">
        <v>0</v>
      </c>
      <c r="G238" s="29">
        <v>73</v>
      </c>
      <c r="H238" s="27">
        <v>3.5</v>
      </c>
      <c r="I238" s="29">
        <v>660</v>
      </c>
      <c r="J238" s="29">
        <v>210179</v>
      </c>
      <c r="K238" s="29">
        <v>12831</v>
      </c>
      <c r="L238" s="29">
        <v>223010</v>
      </c>
      <c r="M238" s="29">
        <v>36538</v>
      </c>
      <c r="N238" s="29">
        <v>40986</v>
      </c>
      <c r="O238" s="29">
        <v>0</v>
      </c>
      <c r="P238" s="29">
        <v>21885</v>
      </c>
      <c r="Q238" s="29">
        <v>2617</v>
      </c>
      <c r="R238" s="29">
        <v>325036</v>
      </c>
      <c r="S238" s="29">
        <v>39658</v>
      </c>
      <c r="T238" s="29">
        <v>285378</v>
      </c>
      <c r="U238" s="29">
        <v>146756</v>
      </c>
      <c r="V238" s="29">
        <v>138622</v>
      </c>
    </row>
    <row r="239" spans="1:22" x14ac:dyDescent="0.2">
      <c r="A239" s="20" t="s">
        <v>336</v>
      </c>
      <c r="B239" s="20" t="s">
        <v>729</v>
      </c>
      <c r="C239" s="25">
        <v>56.12</v>
      </c>
      <c r="D239" s="27">
        <v>600.1</v>
      </c>
      <c r="E239" s="25">
        <v>656.22</v>
      </c>
      <c r="F239" s="25">
        <v>0</v>
      </c>
      <c r="G239" s="29">
        <v>4</v>
      </c>
      <c r="H239" s="27">
        <v>0</v>
      </c>
      <c r="I239" s="29">
        <v>604</v>
      </c>
      <c r="J239" s="29">
        <v>192430</v>
      </c>
      <c r="K239" s="29">
        <v>10176</v>
      </c>
      <c r="L239" s="29">
        <v>202606</v>
      </c>
      <c r="M239" s="29">
        <v>33250</v>
      </c>
      <c r="N239" s="29">
        <v>36524</v>
      </c>
      <c r="O239" s="29">
        <v>0</v>
      </c>
      <c r="P239" s="29">
        <v>19907</v>
      </c>
      <c r="Q239" s="29">
        <v>2162</v>
      </c>
      <c r="R239" s="29">
        <v>294449</v>
      </c>
      <c r="S239" s="29">
        <v>33180</v>
      </c>
      <c r="T239" s="29">
        <v>261269</v>
      </c>
      <c r="U239" s="29">
        <v>141788</v>
      </c>
      <c r="V239" s="29">
        <v>119481</v>
      </c>
    </row>
    <row r="240" spans="1:22" x14ac:dyDescent="0.2">
      <c r="A240" s="20" t="s">
        <v>217</v>
      </c>
      <c r="B240" s="20" t="s">
        <v>614</v>
      </c>
      <c r="C240" s="25">
        <v>212.58</v>
      </c>
      <c r="D240" s="27">
        <v>2141.1999999999998</v>
      </c>
      <c r="E240" s="25">
        <v>2353.7800000000002</v>
      </c>
      <c r="F240" s="25">
        <v>0</v>
      </c>
      <c r="G240" s="29">
        <v>604</v>
      </c>
      <c r="H240" s="27">
        <v>2.8</v>
      </c>
      <c r="I240" s="29">
        <v>2742</v>
      </c>
      <c r="J240" s="29">
        <v>677465</v>
      </c>
      <c r="K240" s="29">
        <v>0</v>
      </c>
      <c r="L240" s="29">
        <v>677465</v>
      </c>
      <c r="M240" s="29">
        <v>150673</v>
      </c>
      <c r="N240" s="29">
        <v>165397</v>
      </c>
      <c r="O240" s="29">
        <v>0</v>
      </c>
      <c r="P240" s="29">
        <v>56114</v>
      </c>
      <c r="Q240" s="29">
        <v>7132</v>
      </c>
      <c r="R240" s="29">
        <v>1056781</v>
      </c>
      <c r="S240" s="29">
        <v>94924</v>
      </c>
      <c r="T240" s="29">
        <v>961857</v>
      </c>
      <c r="U240" s="29">
        <v>516753</v>
      </c>
      <c r="V240" s="29">
        <v>445104</v>
      </c>
    </row>
    <row r="241" spans="1:22" x14ac:dyDescent="0.2">
      <c r="A241" s="20" t="s">
        <v>218</v>
      </c>
      <c r="B241" s="20" t="s">
        <v>615</v>
      </c>
      <c r="C241" s="25">
        <v>206.44</v>
      </c>
      <c r="D241" s="27">
        <v>1769.8</v>
      </c>
      <c r="E241" s="25">
        <v>1976.24</v>
      </c>
      <c r="F241" s="25">
        <v>0</v>
      </c>
      <c r="G241" s="29">
        <v>122</v>
      </c>
      <c r="H241" s="27">
        <v>6.8</v>
      </c>
      <c r="I241" s="29">
        <v>1885</v>
      </c>
      <c r="J241" s="29">
        <v>568801</v>
      </c>
      <c r="K241" s="29">
        <v>16588</v>
      </c>
      <c r="L241" s="29">
        <v>585389</v>
      </c>
      <c r="M241" s="29">
        <v>103581</v>
      </c>
      <c r="N241" s="29">
        <v>113703</v>
      </c>
      <c r="O241" s="29">
        <v>0</v>
      </c>
      <c r="P241" s="29">
        <v>48370</v>
      </c>
      <c r="Q241" s="29">
        <v>6144</v>
      </c>
      <c r="R241" s="29">
        <v>857187</v>
      </c>
      <c r="S241" s="29">
        <v>80425</v>
      </c>
      <c r="T241" s="29">
        <v>776762</v>
      </c>
      <c r="U241" s="29">
        <v>434553</v>
      </c>
      <c r="V241" s="29">
        <v>342209</v>
      </c>
    </row>
    <row r="242" spans="1:22" x14ac:dyDescent="0.2">
      <c r="A242" s="20" t="s">
        <v>141</v>
      </c>
      <c r="B242" s="20" t="s">
        <v>544</v>
      </c>
      <c r="C242" s="25">
        <v>317.92</v>
      </c>
      <c r="D242" s="27">
        <v>4922.3999999999996</v>
      </c>
      <c r="E242" s="25">
        <v>5240.32</v>
      </c>
      <c r="F242" s="25">
        <v>0</v>
      </c>
      <c r="G242" s="29">
        <v>130</v>
      </c>
      <c r="H242" s="27">
        <v>0</v>
      </c>
      <c r="I242" s="29">
        <v>5052</v>
      </c>
      <c r="J242" s="29">
        <v>1555537</v>
      </c>
      <c r="K242" s="29">
        <v>0</v>
      </c>
      <c r="L242" s="29">
        <v>1555537</v>
      </c>
      <c r="M242" s="29">
        <v>277304</v>
      </c>
      <c r="N242" s="29">
        <v>302615</v>
      </c>
      <c r="O242" s="29">
        <v>0</v>
      </c>
      <c r="P242" s="29">
        <v>140755</v>
      </c>
      <c r="Q242" s="29">
        <v>16559</v>
      </c>
      <c r="R242" s="29">
        <v>2292770</v>
      </c>
      <c r="S242" s="29">
        <v>135851</v>
      </c>
      <c r="T242" s="29">
        <v>2156919</v>
      </c>
      <c r="U242" s="29">
        <v>1242458</v>
      </c>
      <c r="V242" s="29">
        <v>914461</v>
      </c>
    </row>
    <row r="243" spans="1:22" x14ac:dyDescent="0.2">
      <c r="A243" s="20" t="s">
        <v>219</v>
      </c>
      <c r="B243" s="20" t="s">
        <v>616</v>
      </c>
      <c r="C243" s="25">
        <v>79.36</v>
      </c>
      <c r="D243" s="27">
        <v>697.8</v>
      </c>
      <c r="E243" s="25">
        <v>777.16</v>
      </c>
      <c r="F243" s="25">
        <v>0</v>
      </c>
      <c r="G243" s="29">
        <v>0</v>
      </c>
      <c r="H243" s="27">
        <v>0</v>
      </c>
      <c r="I243" s="29">
        <v>698</v>
      </c>
      <c r="J243" s="29">
        <v>223682</v>
      </c>
      <c r="K243" s="29">
        <v>0</v>
      </c>
      <c r="L243" s="29">
        <v>223682</v>
      </c>
      <c r="M243" s="29">
        <v>38355</v>
      </c>
      <c r="N243" s="29">
        <v>42103</v>
      </c>
      <c r="O243" s="29">
        <v>0</v>
      </c>
      <c r="P243" s="29">
        <v>18527</v>
      </c>
      <c r="Q243" s="29">
        <v>2355</v>
      </c>
      <c r="R243" s="29">
        <v>325022</v>
      </c>
      <c r="S243" s="29">
        <v>30464</v>
      </c>
      <c r="T243" s="29">
        <v>294558</v>
      </c>
      <c r="U243" s="29">
        <v>171496</v>
      </c>
      <c r="V243" s="29">
        <v>123062</v>
      </c>
    </row>
    <row r="244" spans="1:22" x14ac:dyDescent="0.2">
      <c r="A244" s="20" t="s">
        <v>49</v>
      </c>
      <c r="B244" s="20" t="s">
        <v>462</v>
      </c>
      <c r="C244" s="25">
        <v>90.72</v>
      </c>
      <c r="D244" s="27">
        <v>681.9</v>
      </c>
      <c r="E244" s="25">
        <v>772.62</v>
      </c>
      <c r="F244" s="25">
        <v>2.23</v>
      </c>
      <c r="G244" s="29">
        <v>84</v>
      </c>
      <c r="H244" s="27">
        <v>7.4</v>
      </c>
      <c r="I244" s="29">
        <v>759</v>
      </c>
      <c r="J244" s="29">
        <v>236290</v>
      </c>
      <c r="K244" s="29">
        <v>29757</v>
      </c>
      <c r="L244" s="29">
        <v>266047</v>
      </c>
      <c r="M244" s="29">
        <v>42071</v>
      </c>
      <c r="N244" s="29">
        <v>47210</v>
      </c>
      <c r="O244" s="29">
        <v>682</v>
      </c>
      <c r="P244" s="29">
        <v>25126</v>
      </c>
      <c r="Q244" s="29">
        <v>2998</v>
      </c>
      <c r="R244" s="29">
        <v>384134</v>
      </c>
      <c r="S244" s="29">
        <v>52222</v>
      </c>
      <c r="T244" s="29">
        <v>331912</v>
      </c>
      <c r="U244" s="29">
        <v>156442</v>
      </c>
      <c r="V244" s="29">
        <v>175470</v>
      </c>
    </row>
    <row r="245" spans="1:22" x14ac:dyDescent="0.2">
      <c r="A245" s="20" t="s">
        <v>15</v>
      </c>
      <c r="B245" s="20" t="s">
        <v>430</v>
      </c>
      <c r="C245" s="25">
        <v>87.75</v>
      </c>
      <c r="D245" s="27">
        <v>730.9</v>
      </c>
      <c r="E245" s="25">
        <v>818.65</v>
      </c>
      <c r="F245" s="25">
        <v>0</v>
      </c>
      <c r="G245" s="29">
        <v>10</v>
      </c>
      <c r="H245" s="27">
        <v>0</v>
      </c>
      <c r="I245" s="29">
        <v>741</v>
      </c>
      <c r="J245" s="29">
        <v>253847</v>
      </c>
      <c r="K245" s="29">
        <v>0</v>
      </c>
      <c r="L245" s="29">
        <v>253847</v>
      </c>
      <c r="M245" s="29">
        <v>41014</v>
      </c>
      <c r="N245" s="29">
        <v>45742</v>
      </c>
      <c r="O245" s="29">
        <v>0</v>
      </c>
      <c r="P245" s="29">
        <v>25018</v>
      </c>
      <c r="Q245" s="29">
        <v>2693</v>
      </c>
      <c r="R245" s="29">
        <v>368314</v>
      </c>
      <c r="S245" s="29">
        <v>30686</v>
      </c>
      <c r="T245" s="29">
        <v>337628</v>
      </c>
      <c r="U245" s="29">
        <v>187770</v>
      </c>
      <c r="V245" s="29">
        <v>149858</v>
      </c>
    </row>
    <row r="246" spans="1:22" x14ac:dyDescent="0.2">
      <c r="A246" s="20" t="s">
        <v>215</v>
      </c>
      <c r="B246" s="20" t="s">
        <v>216</v>
      </c>
      <c r="C246" s="25">
        <v>104.18</v>
      </c>
      <c r="D246" s="27">
        <v>1043.8</v>
      </c>
      <c r="E246" s="25">
        <v>1147.98</v>
      </c>
      <c r="F246" s="25">
        <v>0</v>
      </c>
      <c r="G246" s="29">
        <v>18</v>
      </c>
      <c r="H246" s="27">
        <v>0</v>
      </c>
      <c r="I246" s="29">
        <v>1062</v>
      </c>
      <c r="J246" s="29">
        <v>330412</v>
      </c>
      <c r="K246" s="29">
        <v>0</v>
      </c>
      <c r="L246" s="29">
        <v>330412</v>
      </c>
      <c r="M246" s="29">
        <v>58357</v>
      </c>
      <c r="N246" s="29">
        <v>64060</v>
      </c>
      <c r="O246" s="29">
        <v>0</v>
      </c>
      <c r="P246" s="29">
        <v>27368</v>
      </c>
      <c r="Q246" s="29">
        <v>3478</v>
      </c>
      <c r="R246" s="29">
        <v>483675</v>
      </c>
      <c r="S246" s="29">
        <v>44572</v>
      </c>
      <c r="T246" s="29">
        <v>439103</v>
      </c>
      <c r="U246" s="29">
        <v>253753</v>
      </c>
      <c r="V246" s="29">
        <v>185350</v>
      </c>
    </row>
    <row r="247" spans="1:22" x14ac:dyDescent="0.2">
      <c r="A247" s="20" t="s">
        <v>50</v>
      </c>
      <c r="B247" s="20" t="s">
        <v>463</v>
      </c>
      <c r="C247" s="25">
        <v>63.84</v>
      </c>
      <c r="D247" s="27">
        <v>578</v>
      </c>
      <c r="E247" s="25">
        <v>641.84</v>
      </c>
      <c r="F247" s="25">
        <v>1.85</v>
      </c>
      <c r="G247" s="29">
        <v>0</v>
      </c>
      <c r="H247" s="27">
        <v>0</v>
      </c>
      <c r="I247" s="29">
        <v>578</v>
      </c>
      <c r="J247" s="29">
        <v>196294</v>
      </c>
      <c r="K247" s="29">
        <v>6136</v>
      </c>
      <c r="L247" s="29">
        <v>202430</v>
      </c>
      <c r="M247" s="29">
        <v>32039</v>
      </c>
      <c r="N247" s="29">
        <v>35952</v>
      </c>
      <c r="O247" s="29">
        <v>566</v>
      </c>
      <c r="P247" s="29">
        <v>21038</v>
      </c>
      <c r="Q247" s="29">
        <v>2507</v>
      </c>
      <c r="R247" s="29">
        <v>294532</v>
      </c>
      <c r="S247" s="29">
        <v>38887</v>
      </c>
      <c r="T247" s="29">
        <v>255645</v>
      </c>
      <c r="U247" s="29">
        <v>134638</v>
      </c>
      <c r="V247" s="29">
        <v>121007</v>
      </c>
    </row>
    <row r="248" spans="1:22" x14ac:dyDescent="0.2">
      <c r="A248" s="20" t="s">
        <v>300</v>
      </c>
      <c r="B248" s="20" t="s">
        <v>694</v>
      </c>
      <c r="C248" s="25">
        <v>132.88</v>
      </c>
      <c r="D248" s="27">
        <v>1057.0999999999999</v>
      </c>
      <c r="E248" s="25">
        <v>1189.98</v>
      </c>
      <c r="F248" s="25">
        <v>0</v>
      </c>
      <c r="G248" s="29">
        <v>0</v>
      </c>
      <c r="H248" s="27">
        <v>0</v>
      </c>
      <c r="I248" s="29">
        <v>1057</v>
      </c>
      <c r="J248" s="29">
        <v>352091</v>
      </c>
      <c r="K248" s="29">
        <v>27786</v>
      </c>
      <c r="L248" s="29">
        <v>379877</v>
      </c>
      <c r="M248" s="29">
        <v>58220</v>
      </c>
      <c r="N248" s="29">
        <v>64371</v>
      </c>
      <c r="O248" s="29">
        <v>0</v>
      </c>
      <c r="P248" s="29">
        <v>37213</v>
      </c>
      <c r="Q248" s="29">
        <v>3971</v>
      </c>
      <c r="R248" s="29">
        <v>543652</v>
      </c>
      <c r="S248" s="29">
        <v>62151</v>
      </c>
      <c r="T248" s="29">
        <v>481501</v>
      </c>
      <c r="U248" s="29">
        <v>256298</v>
      </c>
      <c r="V248" s="29">
        <v>225203</v>
      </c>
    </row>
    <row r="249" spans="1:22" x14ac:dyDescent="0.2">
      <c r="A249" s="20" t="s">
        <v>251</v>
      </c>
      <c r="B249" s="20" t="s">
        <v>648</v>
      </c>
      <c r="C249" s="25">
        <v>49.12</v>
      </c>
      <c r="D249" s="27">
        <v>344.4</v>
      </c>
      <c r="E249" s="25">
        <v>393.52</v>
      </c>
      <c r="F249" s="25">
        <v>0</v>
      </c>
      <c r="G249" s="29">
        <v>193</v>
      </c>
      <c r="H249" s="27">
        <v>4.3</v>
      </c>
      <c r="I249" s="29">
        <v>533</v>
      </c>
      <c r="J249" s="29">
        <v>119024</v>
      </c>
      <c r="K249" s="29">
        <v>12974</v>
      </c>
      <c r="L249" s="29">
        <v>131998</v>
      </c>
      <c r="M249" s="29">
        <v>29507</v>
      </c>
      <c r="N249" s="29">
        <v>33099</v>
      </c>
      <c r="O249" s="29">
        <v>0</v>
      </c>
      <c r="P249" s="29">
        <v>12784</v>
      </c>
      <c r="Q249" s="29">
        <v>1529</v>
      </c>
      <c r="R249" s="29">
        <v>208917</v>
      </c>
      <c r="S249" s="29">
        <v>24390</v>
      </c>
      <c r="T249" s="29">
        <v>184527</v>
      </c>
      <c r="U249" s="29">
        <v>81613</v>
      </c>
      <c r="V249" s="29">
        <v>102914</v>
      </c>
    </row>
    <row r="250" spans="1:22" x14ac:dyDescent="0.2">
      <c r="A250" s="20" t="s">
        <v>16</v>
      </c>
      <c r="B250" s="20" t="s">
        <v>431</v>
      </c>
      <c r="C250" s="25">
        <v>38.159999999999997</v>
      </c>
      <c r="D250" s="27">
        <v>328.3</v>
      </c>
      <c r="E250" s="25">
        <v>366.46</v>
      </c>
      <c r="F250" s="25">
        <v>0</v>
      </c>
      <c r="G250" s="29">
        <v>3</v>
      </c>
      <c r="H250" s="27">
        <v>0</v>
      </c>
      <c r="I250" s="29">
        <v>331</v>
      </c>
      <c r="J250" s="29">
        <v>113632</v>
      </c>
      <c r="K250" s="29">
        <v>0</v>
      </c>
      <c r="L250" s="29">
        <v>113632</v>
      </c>
      <c r="M250" s="29">
        <v>18321</v>
      </c>
      <c r="N250" s="29">
        <v>20433</v>
      </c>
      <c r="O250" s="29">
        <v>0</v>
      </c>
      <c r="P250" s="29">
        <v>11199</v>
      </c>
      <c r="Q250" s="29">
        <v>1206</v>
      </c>
      <c r="R250" s="29">
        <v>164791</v>
      </c>
      <c r="S250" s="29">
        <v>21332</v>
      </c>
      <c r="T250" s="29">
        <v>143459</v>
      </c>
      <c r="U250" s="29">
        <v>76458</v>
      </c>
      <c r="V250" s="29">
        <v>67001</v>
      </c>
    </row>
    <row r="251" spans="1:22" x14ac:dyDescent="0.2">
      <c r="A251" s="20" t="s">
        <v>253</v>
      </c>
      <c r="B251" s="20" t="s">
        <v>650</v>
      </c>
      <c r="C251" s="25">
        <v>96.22</v>
      </c>
      <c r="D251" s="27">
        <v>805.2</v>
      </c>
      <c r="E251" s="25">
        <v>901.42</v>
      </c>
      <c r="F251" s="25">
        <v>0</v>
      </c>
      <c r="G251" s="29">
        <v>472</v>
      </c>
      <c r="H251" s="27">
        <v>1.1000000000000001</v>
      </c>
      <c r="I251" s="29">
        <v>1276</v>
      </c>
      <c r="J251" s="29">
        <v>272643</v>
      </c>
      <c r="K251" s="29">
        <v>0</v>
      </c>
      <c r="L251" s="29">
        <v>272643</v>
      </c>
      <c r="M251" s="29">
        <v>70639</v>
      </c>
      <c r="N251" s="29">
        <v>79240</v>
      </c>
      <c r="O251" s="29">
        <v>0</v>
      </c>
      <c r="P251" s="29">
        <v>27403</v>
      </c>
      <c r="Q251" s="29">
        <v>3281</v>
      </c>
      <c r="R251" s="29">
        <v>453206</v>
      </c>
      <c r="S251" s="29">
        <v>28717</v>
      </c>
      <c r="T251" s="29">
        <v>424489</v>
      </c>
      <c r="U251" s="29">
        <v>211998</v>
      </c>
      <c r="V251" s="29">
        <v>212491</v>
      </c>
    </row>
    <row r="252" spans="1:22" x14ac:dyDescent="0.2">
      <c r="A252" s="20" t="s">
        <v>220</v>
      </c>
      <c r="B252" s="20" t="s">
        <v>617</v>
      </c>
      <c r="C252" s="25">
        <v>84.13</v>
      </c>
      <c r="D252" s="27">
        <v>1011.3</v>
      </c>
      <c r="E252" s="25">
        <v>1095.43</v>
      </c>
      <c r="F252" s="25">
        <v>0</v>
      </c>
      <c r="G252" s="29">
        <v>4</v>
      </c>
      <c r="H252" s="27">
        <v>0</v>
      </c>
      <c r="I252" s="29">
        <v>1015</v>
      </c>
      <c r="J252" s="29">
        <v>315287</v>
      </c>
      <c r="K252" s="29">
        <v>0</v>
      </c>
      <c r="L252" s="29">
        <v>315287</v>
      </c>
      <c r="M252" s="29">
        <v>55774</v>
      </c>
      <c r="N252" s="29">
        <v>61225</v>
      </c>
      <c r="O252" s="29">
        <v>0</v>
      </c>
      <c r="P252" s="29">
        <v>26115</v>
      </c>
      <c r="Q252" s="29">
        <v>3319</v>
      </c>
      <c r="R252" s="29">
        <v>461720</v>
      </c>
      <c r="S252" s="29">
        <v>47283</v>
      </c>
      <c r="T252" s="29">
        <v>414437</v>
      </c>
      <c r="U252" s="29">
        <v>237386</v>
      </c>
      <c r="V252" s="29">
        <v>177051</v>
      </c>
    </row>
    <row r="253" spans="1:22" x14ac:dyDescent="0.2">
      <c r="A253" s="20" t="s">
        <v>110</v>
      </c>
      <c r="B253" s="20" t="s">
        <v>514</v>
      </c>
      <c r="C253" s="25">
        <v>62.25</v>
      </c>
      <c r="D253" s="27">
        <v>418</v>
      </c>
      <c r="E253" s="25">
        <v>480.25</v>
      </c>
      <c r="F253" s="25">
        <v>0</v>
      </c>
      <c r="G253" s="29">
        <v>6</v>
      </c>
      <c r="H253" s="27">
        <v>0</v>
      </c>
      <c r="I253" s="29">
        <v>424</v>
      </c>
      <c r="J253" s="29">
        <v>143691</v>
      </c>
      <c r="K253" s="29">
        <v>14332</v>
      </c>
      <c r="L253" s="29">
        <v>158023</v>
      </c>
      <c r="M253" s="29">
        <v>23481</v>
      </c>
      <c r="N253" s="29">
        <v>26212</v>
      </c>
      <c r="O253" s="29">
        <v>0</v>
      </c>
      <c r="P253" s="29">
        <v>18805</v>
      </c>
      <c r="Q253" s="29">
        <v>2162</v>
      </c>
      <c r="R253" s="29">
        <v>228683</v>
      </c>
      <c r="S253" s="29">
        <v>29454</v>
      </c>
      <c r="T253" s="29">
        <v>199229</v>
      </c>
      <c r="U253" s="29">
        <v>103411</v>
      </c>
      <c r="V253" s="29">
        <v>95818</v>
      </c>
    </row>
    <row r="254" spans="1:22" x14ac:dyDescent="0.2">
      <c r="A254" s="20" t="s">
        <v>51</v>
      </c>
      <c r="B254" s="20" t="s">
        <v>464</v>
      </c>
      <c r="C254" s="25">
        <v>38.71</v>
      </c>
      <c r="D254" s="27">
        <v>222</v>
      </c>
      <c r="E254" s="25">
        <v>260.70999999999998</v>
      </c>
      <c r="F254" s="25">
        <v>0.75</v>
      </c>
      <c r="G254" s="29">
        <v>14</v>
      </c>
      <c r="H254" s="27">
        <v>0</v>
      </c>
      <c r="I254" s="29">
        <v>236</v>
      </c>
      <c r="J254" s="29">
        <v>79733</v>
      </c>
      <c r="K254" s="29">
        <v>4279</v>
      </c>
      <c r="L254" s="29">
        <v>84012</v>
      </c>
      <c r="M254" s="29">
        <v>13081</v>
      </c>
      <c r="N254" s="29">
        <v>14679</v>
      </c>
      <c r="O254" s="29">
        <v>229</v>
      </c>
      <c r="P254" s="29">
        <v>8516</v>
      </c>
      <c r="Q254" s="29">
        <v>1015</v>
      </c>
      <c r="R254" s="29">
        <v>121532</v>
      </c>
      <c r="S254" s="29">
        <v>13144</v>
      </c>
      <c r="T254" s="29">
        <v>108388</v>
      </c>
      <c r="U254" s="29">
        <v>57307</v>
      </c>
      <c r="V254" s="29">
        <v>51081</v>
      </c>
    </row>
    <row r="255" spans="1:22" x14ac:dyDescent="0.2">
      <c r="A255" s="20" t="s">
        <v>112</v>
      </c>
      <c r="B255" s="20" t="s">
        <v>516</v>
      </c>
      <c r="C255" s="25">
        <v>53.4</v>
      </c>
      <c r="D255" s="27">
        <v>594.4</v>
      </c>
      <c r="E255" s="25">
        <v>647.79999999999995</v>
      </c>
      <c r="F255" s="25">
        <v>0</v>
      </c>
      <c r="G255" s="29">
        <v>0</v>
      </c>
      <c r="H255" s="27">
        <v>0</v>
      </c>
      <c r="I255" s="29">
        <v>594</v>
      </c>
      <c r="J255" s="29">
        <v>193822</v>
      </c>
      <c r="K255" s="29">
        <v>5450</v>
      </c>
      <c r="L255" s="29">
        <v>199272</v>
      </c>
      <c r="M255" s="29">
        <v>32896</v>
      </c>
      <c r="N255" s="29">
        <v>36721</v>
      </c>
      <c r="O255" s="29">
        <v>0</v>
      </c>
      <c r="P255" s="29">
        <v>24511</v>
      </c>
      <c r="Q255" s="29">
        <v>2818</v>
      </c>
      <c r="R255" s="29">
        <v>296218</v>
      </c>
      <c r="S255" s="29">
        <v>34964</v>
      </c>
      <c r="T255" s="29">
        <v>261254</v>
      </c>
      <c r="U255" s="29">
        <v>143302</v>
      </c>
      <c r="V255" s="29">
        <v>117952</v>
      </c>
    </row>
    <row r="256" spans="1:22" x14ac:dyDescent="0.2">
      <c r="A256" s="20" t="s">
        <v>221</v>
      </c>
      <c r="B256" s="20" t="s">
        <v>618</v>
      </c>
      <c r="C256" s="25">
        <v>150.66999999999999</v>
      </c>
      <c r="D256" s="27">
        <v>1119.4000000000001</v>
      </c>
      <c r="E256" s="25">
        <v>1270.07</v>
      </c>
      <c r="F256" s="25">
        <v>0</v>
      </c>
      <c r="G256" s="29">
        <v>47</v>
      </c>
      <c r="H256" s="27">
        <v>0.1</v>
      </c>
      <c r="I256" s="29">
        <v>1166</v>
      </c>
      <c r="J256" s="29">
        <v>365552</v>
      </c>
      <c r="K256" s="29">
        <v>0</v>
      </c>
      <c r="L256" s="29">
        <v>365552</v>
      </c>
      <c r="M256" s="29">
        <v>64072</v>
      </c>
      <c r="N256" s="29">
        <v>70333</v>
      </c>
      <c r="O256" s="29">
        <v>0</v>
      </c>
      <c r="P256" s="29">
        <v>30278</v>
      </c>
      <c r="Q256" s="29">
        <v>3848</v>
      </c>
      <c r="R256" s="29">
        <v>534083</v>
      </c>
      <c r="S256" s="29">
        <v>66136</v>
      </c>
      <c r="T256" s="29">
        <v>467947</v>
      </c>
      <c r="U256" s="29">
        <v>263916</v>
      </c>
      <c r="V256" s="29">
        <v>204031</v>
      </c>
    </row>
    <row r="257" spans="1:22" x14ac:dyDescent="0.2">
      <c r="A257" s="20" t="s">
        <v>52</v>
      </c>
      <c r="B257" s="20" t="s">
        <v>465</v>
      </c>
      <c r="C257" s="25">
        <v>42.54</v>
      </c>
      <c r="D257" s="27">
        <v>349.1</v>
      </c>
      <c r="E257" s="25">
        <v>391.64</v>
      </c>
      <c r="F257" s="25">
        <v>1.1299999999999999</v>
      </c>
      <c r="G257" s="29">
        <v>12</v>
      </c>
      <c r="H257" s="27">
        <v>0</v>
      </c>
      <c r="I257" s="29">
        <v>361</v>
      </c>
      <c r="J257" s="29">
        <v>119775</v>
      </c>
      <c r="K257" s="29">
        <v>992</v>
      </c>
      <c r="L257" s="29">
        <v>120767</v>
      </c>
      <c r="M257" s="29">
        <v>20010</v>
      </c>
      <c r="N257" s="29">
        <v>22454</v>
      </c>
      <c r="O257" s="29">
        <v>346</v>
      </c>
      <c r="P257" s="29">
        <v>12838</v>
      </c>
      <c r="Q257" s="29">
        <v>1530</v>
      </c>
      <c r="R257" s="29">
        <v>177945</v>
      </c>
      <c r="S257" s="29">
        <v>23788</v>
      </c>
      <c r="T257" s="29">
        <v>154157</v>
      </c>
      <c r="U257" s="29">
        <v>82095</v>
      </c>
      <c r="V257" s="29">
        <v>72062</v>
      </c>
    </row>
    <row r="258" spans="1:22" x14ac:dyDescent="0.2">
      <c r="A258" s="20" t="s">
        <v>254</v>
      </c>
      <c r="B258" s="20" t="s">
        <v>651</v>
      </c>
      <c r="C258" s="25">
        <v>45.18</v>
      </c>
      <c r="D258" s="27">
        <v>266</v>
      </c>
      <c r="E258" s="25">
        <v>311.18</v>
      </c>
      <c r="F258" s="25">
        <v>0</v>
      </c>
      <c r="G258" s="29">
        <v>4</v>
      </c>
      <c r="H258" s="27">
        <v>0</v>
      </c>
      <c r="I258" s="29">
        <v>270</v>
      </c>
      <c r="J258" s="29">
        <v>94120</v>
      </c>
      <c r="K258" s="29">
        <v>10839</v>
      </c>
      <c r="L258" s="29">
        <v>104959</v>
      </c>
      <c r="M258" s="29">
        <v>14947</v>
      </c>
      <c r="N258" s="29">
        <v>16767</v>
      </c>
      <c r="O258" s="29">
        <v>0</v>
      </c>
      <c r="P258" s="29">
        <v>9642</v>
      </c>
      <c r="Q258" s="29">
        <v>1153</v>
      </c>
      <c r="R258" s="29">
        <v>147468</v>
      </c>
      <c r="S258" s="29">
        <v>13977</v>
      </c>
      <c r="T258" s="29">
        <v>133491</v>
      </c>
      <c r="U258" s="29">
        <v>69323</v>
      </c>
      <c r="V258" s="29">
        <v>64168</v>
      </c>
    </row>
    <row r="259" spans="1:22" x14ac:dyDescent="0.2">
      <c r="A259" s="20" t="s">
        <v>255</v>
      </c>
      <c r="B259" s="20" t="s">
        <v>652</v>
      </c>
      <c r="C259" s="25">
        <v>210.91</v>
      </c>
      <c r="D259" s="27">
        <v>1435.3</v>
      </c>
      <c r="E259" s="25">
        <v>1646.21</v>
      </c>
      <c r="F259" s="25">
        <v>0</v>
      </c>
      <c r="G259" s="29">
        <v>43</v>
      </c>
      <c r="H259" s="27">
        <v>0</v>
      </c>
      <c r="I259" s="29">
        <v>1478</v>
      </c>
      <c r="J259" s="29">
        <v>497913</v>
      </c>
      <c r="K259" s="29">
        <v>0</v>
      </c>
      <c r="L259" s="29">
        <v>497913</v>
      </c>
      <c r="M259" s="29">
        <v>81822</v>
      </c>
      <c r="N259" s="29">
        <v>91784</v>
      </c>
      <c r="O259" s="29">
        <v>0</v>
      </c>
      <c r="P259" s="29">
        <v>50045</v>
      </c>
      <c r="Q259" s="29">
        <v>5992</v>
      </c>
      <c r="R259" s="29">
        <v>727556</v>
      </c>
      <c r="S259" s="29">
        <v>56471</v>
      </c>
      <c r="T259" s="29">
        <v>671085</v>
      </c>
      <c r="U259" s="29">
        <v>383133</v>
      </c>
      <c r="V259" s="29">
        <v>287952</v>
      </c>
    </row>
    <row r="260" spans="1:22" x14ac:dyDescent="0.2">
      <c r="A260" s="20" t="s">
        <v>337</v>
      </c>
      <c r="B260" s="20" t="s">
        <v>730</v>
      </c>
      <c r="C260" s="25">
        <v>27.63</v>
      </c>
      <c r="D260" s="27">
        <v>280.10000000000002</v>
      </c>
      <c r="E260" s="25">
        <v>307.73</v>
      </c>
      <c r="F260" s="25">
        <v>0</v>
      </c>
      <c r="G260" s="29">
        <v>0</v>
      </c>
      <c r="H260" s="27">
        <v>0</v>
      </c>
      <c r="I260" s="29">
        <v>280</v>
      </c>
      <c r="J260" s="29">
        <v>90239</v>
      </c>
      <c r="K260" s="29">
        <v>2660</v>
      </c>
      <c r="L260" s="29">
        <v>92899</v>
      </c>
      <c r="M260" s="29">
        <v>15414</v>
      </c>
      <c r="N260" s="29">
        <v>16932</v>
      </c>
      <c r="O260" s="29">
        <v>0</v>
      </c>
      <c r="P260" s="29">
        <v>9309</v>
      </c>
      <c r="Q260" s="29">
        <v>1011</v>
      </c>
      <c r="R260" s="29">
        <v>135565</v>
      </c>
      <c r="S260" s="29">
        <v>16442</v>
      </c>
      <c r="T260" s="29">
        <v>119123</v>
      </c>
      <c r="U260" s="29">
        <v>65579</v>
      </c>
      <c r="V260" s="29">
        <v>53544</v>
      </c>
    </row>
    <row r="261" spans="1:22" x14ac:dyDescent="0.2">
      <c r="A261" s="20" t="s">
        <v>119</v>
      </c>
      <c r="B261" s="20" t="s">
        <v>523</v>
      </c>
      <c r="C261" s="25">
        <v>111.64</v>
      </c>
      <c r="D261" s="27">
        <v>700.9</v>
      </c>
      <c r="E261" s="25">
        <v>812.54</v>
      </c>
      <c r="F261" s="25">
        <v>0</v>
      </c>
      <c r="G261" s="29">
        <v>48</v>
      </c>
      <c r="H261" s="27">
        <v>0</v>
      </c>
      <c r="I261" s="29">
        <v>749</v>
      </c>
      <c r="J261" s="29">
        <v>243112</v>
      </c>
      <c r="K261" s="29">
        <v>0</v>
      </c>
      <c r="L261" s="29">
        <v>243112</v>
      </c>
      <c r="M261" s="29">
        <v>41480</v>
      </c>
      <c r="N261" s="29">
        <v>46303</v>
      </c>
      <c r="O261" s="29">
        <v>0</v>
      </c>
      <c r="P261" s="29">
        <v>30706</v>
      </c>
      <c r="Q261" s="29">
        <v>3535</v>
      </c>
      <c r="R261" s="29">
        <v>365136</v>
      </c>
      <c r="S261" s="29">
        <v>44215</v>
      </c>
      <c r="T261" s="29">
        <v>320921</v>
      </c>
      <c r="U261" s="29">
        <v>179348</v>
      </c>
      <c r="V261" s="29">
        <v>141573</v>
      </c>
    </row>
    <row r="262" spans="1:22" x14ac:dyDescent="0.2">
      <c r="A262" s="20" t="s">
        <v>256</v>
      </c>
      <c r="B262" s="20" t="s">
        <v>653</v>
      </c>
      <c r="C262" s="25">
        <v>160.80000000000001</v>
      </c>
      <c r="D262" s="27">
        <v>1071.5</v>
      </c>
      <c r="E262" s="25">
        <v>1232.3</v>
      </c>
      <c r="F262" s="25">
        <v>0</v>
      </c>
      <c r="G262" s="29">
        <v>230</v>
      </c>
      <c r="H262" s="27">
        <v>4.9000000000000004</v>
      </c>
      <c r="I262" s="29">
        <v>1297</v>
      </c>
      <c r="J262" s="29">
        <v>372721</v>
      </c>
      <c r="K262" s="29">
        <v>0</v>
      </c>
      <c r="L262" s="29">
        <v>372721</v>
      </c>
      <c r="M262" s="29">
        <v>71802</v>
      </c>
      <c r="N262" s="29">
        <v>80544</v>
      </c>
      <c r="O262" s="29">
        <v>0</v>
      </c>
      <c r="P262" s="29">
        <v>37462</v>
      </c>
      <c r="Q262" s="29">
        <v>4486</v>
      </c>
      <c r="R262" s="29">
        <v>567015</v>
      </c>
      <c r="S262" s="29">
        <v>53257</v>
      </c>
      <c r="T262" s="29">
        <v>513758</v>
      </c>
      <c r="U262" s="29">
        <v>275817</v>
      </c>
      <c r="V262" s="29">
        <v>237941</v>
      </c>
    </row>
    <row r="263" spans="1:22" x14ac:dyDescent="0.2">
      <c r="A263" s="20" t="s">
        <v>302</v>
      </c>
      <c r="B263" s="20" t="s">
        <v>696</v>
      </c>
      <c r="C263" s="25">
        <v>135.22999999999999</v>
      </c>
      <c r="D263" s="27">
        <v>1082.9000000000001</v>
      </c>
      <c r="E263" s="25">
        <v>1218.1300000000001</v>
      </c>
      <c r="F263" s="25">
        <v>0</v>
      </c>
      <c r="G263" s="29">
        <v>7</v>
      </c>
      <c r="H263" s="27">
        <v>0</v>
      </c>
      <c r="I263" s="29">
        <v>1090</v>
      </c>
      <c r="J263" s="29">
        <v>360420</v>
      </c>
      <c r="K263" s="29">
        <v>0</v>
      </c>
      <c r="L263" s="29">
        <v>360420</v>
      </c>
      <c r="M263" s="29">
        <v>60037</v>
      </c>
      <c r="N263" s="29">
        <v>66381</v>
      </c>
      <c r="O263" s="29">
        <v>0</v>
      </c>
      <c r="P263" s="29">
        <v>37007</v>
      </c>
      <c r="Q263" s="29">
        <v>3959</v>
      </c>
      <c r="R263" s="29">
        <v>527804</v>
      </c>
      <c r="S263" s="29">
        <v>57385</v>
      </c>
      <c r="T263" s="29">
        <v>470419</v>
      </c>
      <c r="U263" s="29">
        <v>267405</v>
      </c>
      <c r="V263" s="29">
        <v>203014</v>
      </c>
    </row>
    <row r="264" spans="1:22" x14ac:dyDescent="0.2">
      <c r="A264" s="20" t="s">
        <v>257</v>
      </c>
      <c r="B264" s="20" t="s">
        <v>654</v>
      </c>
      <c r="C264" s="25">
        <v>72.3</v>
      </c>
      <c r="D264" s="27">
        <v>772.6</v>
      </c>
      <c r="E264" s="25">
        <v>844.9</v>
      </c>
      <c r="F264" s="25">
        <v>0</v>
      </c>
      <c r="G264" s="29">
        <v>11</v>
      </c>
      <c r="H264" s="27">
        <v>0</v>
      </c>
      <c r="I264" s="29">
        <v>784</v>
      </c>
      <c r="J264" s="29">
        <v>255548</v>
      </c>
      <c r="K264" s="29">
        <v>0</v>
      </c>
      <c r="L264" s="29">
        <v>255548</v>
      </c>
      <c r="M264" s="29">
        <v>43402</v>
      </c>
      <c r="N264" s="29">
        <v>48686</v>
      </c>
      <c r="O264" s="29">
        <v>0</v>
      </c>
      <c r="P264" s="29">
        <v>25685</v>
      </c>
      <c r="Q264" s="29">
        <v>3075</v>
      </c>
      <c r="R264" s="29">
        <v>376396</v>
      </c>
      <c r="S264" s="29">
        <v>43971</v>
      </c>
      <c r="T264" s="29">
        <v>332425</v>
      </c>
      <c r="U264" s="29">
        <v>181651</v>
      </c>
      <c r="V264" s="29">
        <v>150774</v>
      </c>
    </row>
    <row r="265" spans="1:22" x14ac:dyDescent="0.2">
      <c r="A265" s="20" t="s">
        <v>303</v>
      </c>
      <c r="B265" s="20" t="s">
        <v>697</v>
      </c>
      <c r="C265" s="25">
        <v>71.78</v>
      </c>
      <c r="D265" s="27">
        <v>393.7</v>
      </c>
      <c r="E265" s="25">
        <v>465.48</v>
      </c>
      <c r="F265" s="25">
        <v>0</v>
      </c>
      <c r="G265" s="29">
        <v>0</v>
      </c>
      <c r="H265" s="27">
        <v>0</v>
      </c>
      <c r="I265" s="29">
        <v>394</v>
      </c>
      <c r="J265" s="29">
        <v>137726</v>
      </c>
      <c r="K265" s="29">
        <v>0</v>
      </c>
      <c r="L265" s="29">
        <v>137726</v>
      </c>
      <c r="M265" s="29">
        <v>21702</v>
      </c>
      <c r="N265" s="29">
        <v>23995</v>
      </c>
      <c r="O265" s="29">
        <v>0</v>
      </c>
      <c r="P265" s="29">
        <v>14141</v>
      </c>
      <c r="Q265" s="29">
        <v>1513</v>
      </c>
      <c r="R265" s="29">
        <v>199077</v>
      </c>
      <c r="S265" s="29">
        <v>22474</v>
      </c>
      <c r="T265" s="29">
        <v>176603</v>
      </c>
      <c r="U265" s="29">
        <v>101637</v>
      </c>
      <c r="V265" s="29">
        <v>74966</v>
      </c>
    </row>
    <row r="266" spans="1:22" x14ac:dyDescent="0.2">
      <c r="A266" s="20" t="s">
        <v>338</v>
      </c>
      <c r="B266" s="20" t="s">
        <v>731</v>
      </c>
      <c r="C266" s="25">
        <v>62.91</v>
      </c>
      <c r="D266" s="27">
        <v>548.6</v>
      </c>
      <c r="E266" s="25">
        <v>611.51</v>
      </c>
      <c r="F266" s="25">
        <v>0</v>
      </c>
      <c r="G266" s="29">
        <v>0</v>
      </c>
      <c r="H266" s="27">
        <v>0</v>
      </c>
      <c r="I266" s="29">
        <v>549</v>
      </c>
      <c r="J266" s="29">
        <v>179319</v>
      </c>
      <c r="K266" s="29">
        <v>0</v>
      </c>
      <c r="L266" s="29">
        <v>179319</v>
      </c>
      <c r="M266" s="29">
        <v>30222</v>
      </c>
      <c r="N266" s="29">
        <v>33198</v>
      </c>
      <c r="O266" s="29">
        <v>0</v>
      </c>
      <c r="P266" s="29">
        <v>17972</v>
      </c>
      <c r="Q266" s="29">
        <v>1957</v>
      </c>
      <c r="R266" s="29">
        <v>262668</v>
      </c>
      <c r="S266" s="29">
        <v>32703</v>
      </c>
      <c r="T266" s="29">
        <v>229965</v>
      </c>
      <c r="U266" s="29">
        <v>129708</v>
      </c>
      <c r="V266" s="29">
        <v>100257</v>
      </c>
    </row>
    <row r="267" spans="1:22" x14ac:dyDescent="0.2">
      <c r="A267" s="20" t="s">
        <v>258</v>
      </c>
      <c r="B267" s="20" t="s">
        <v>655</v>
      </c>
      <c r="C267" s="25">
        <v>171.72</v>
      </c>
      <c r="D267" s="27">
        <v>1302.5999999999999</v>
      </c>
      <c r="E267" s="25">
        <v>1474.32</v>
      </c>
      <c r="F267" s="25">
        <v>0</v>
      </c>
      <c r="G267" s="29">
        <v>698</v>
      </c>
      <c r="H267" s="27">
        <v>0</v>
      </c>
      <c r="I267" s="29">
        <v>2001</v>
      </c>
      <c r="J267" s="29">
        <v>445923</v>
      </c>
      <c r="K267" s="29">
        <v>0</v>
      </c>
      <c r="L267" s="29">
        <v>445923</v>
      </c>
      <c r="M267" s="29">
        <v>110775</v>
      </c>
      <c r="N267" s="29">
        <v>124262</v>
      </c>
      <c r="O267" s="29">
        <v>0</v>
      </c>
      <c r="P267" s="29">
        <v>44819</v>
      </c>
      <c r="Q267" s="29">
        <v>5367</v>
      </c>
      <c r="R267" s="29">
        <v>731146</v>
      </c>
      <c r="S267" s="29">
        <v>48328</v>
      </c>
      <c r="T267" s="29">
        <v>682818</v>
      </c>
      <c r="U267" s="29">
        <v>345375</v>
      </c>
      <c r="V267" s="29">
        <v>337443</v>
      </c>
    </row>
    <row r="268" spans="1:22" x14ac:dyDescent="0.2">
      <c r="A268" s="20" t="s">
        <v>259</v>
      </c>
      <c r="B268" s="20" t="s">
        <v>656</v>
      </c>
      <c r="C268" s="25">
        <v>2364.29</v>
      </c>
      <c r="D268" s="27">
        <v>14522.9</v>
      </c>
      <c r="E268" s="25">
        <v>16887.189999999999</v>
      </c>
      <c r="F268" s="25">
        <v>0</v>
      </c>
      <c r="G268" s="29">
        <v>1393</v>
      </c>
      <c r="H268" s="27">
        <v>13.4</v>
      </c>
      <c r="I268" s="29">
        <v>15903</v>
      </c>
      <c r="J268" s="29">
        <v>5107699</v>
      </c>
      <c r="K268" s="29">
        <v>0</v>
      </c>
      <c r="L268" s="29">
        <v>5107699</v>
      </c>
      <c r="M268" s="29">
        <v>880390</v>
      </c>
      <c r="N268" s="29">
        <v>987576</v>
      </c>
      <c r="O268" s="29">
        <v>0</v>
      </c>
      <c r="P268" s="29">
        <v>513371</v>
      </c>
      <c r="Q268" s="29">
        <v>61469</v>
      </c>
      <c r="R268" s="29">
        <v>7550505</v>
      </c>
      <c r="S268" s="29">
        <v>680000</v>
      </c>
      <c r="T268" s="29">
        <v>6870505</v>
      </c>
      <c r="U268" s="29">
        <v>3829555</v>
      </c>
      <c r="V268" s="29">
        <v>3040950</v>
      </c>
    </row>
    <row r="269" spans="1:22" x14ac:dyDescent="0.2">
      <c r="A269" s="20" t="s">
        <v>53</v>
      </c>
      <c r="B269" s="20" t="s">
        <v>466</v>
      </c>
      <c r="C269" s="25">
        <v>62.85</v>
      </c>
      <c r="D269" s="27">
        <v>491</v>
      </c>
      <c r="E269" s="25">
        <v>553.85</v>
      </c>
      <c r="F269" s="25">
        <v>1.6</v>
      </c>
      <c r="G269" s="29">
        <v>1</v>
      </c>
      <c r="H269" s="27">
        <v>0</v>
      </c>
      <c r="I269" s="29">
        <v>492</v>
      </c>
      <c r="J269" s="29">
        <v>169384</v>
      </c>
      <c r="K269" s="29">
        <v>0</v>
      </c>
      <c r="L269" s="29">
        <v>169384</v>
      </c>
      <c r="M269" s="29">
        <v>27272</v>
      </c>
      <c r="N269" s="29">
        <v>30602</v>
      </c>
      <c r="O269" s="29">
        <v>489</v>
      </c>
      <c r="P269" s="29">
        <v>18011</v>
      </c>
      <c r="Q269" s="29">
        <v>2149</v>
      </c>
      <c r="R269" s="29">
        <v>247907</v>
      </c>
      <c r="S269" s="29">
        <v>29208</v>
      </c>
      <c r="T269" s="29">
        <v>218699</v>
      </c>
      <c r="U269" s="29">
        <v>120372</v>
      </c>
      <c r="V269" s="29">
        <v>98327</v>
      </c>
    </row>
    <row r="270" spans="1:22" x14ac:dyDescent="0.2">
      <c r="A270" s="20" t="s">
        <v>54</v>
      </c>
      <c r="B270" s="20" t="s">
        <v>467</v>
      </c>
      <c r="C270" s="25">
        <v>99.37</v>
      </c>
      <c r="D270" s="27">
        <v>898.1</v>
      </c>
      <c r="E270" s="25">
        <v>997.47</v>
      </c>
      <c r="F270" s="25">
        <v>2.88</v>
      </c>
      <c r="G270" s="29">
        <v>27</v>
      </c>
      <c r="H270" s="27">
        <v>0</v>
      </c>
      <c r="I270" s="29">
        <v>925</v>
      </c>
      <c r="J270" s="29">
        <v>305056</v>
      </c>
      <c r="K270" s="29">
        <v>6561</v>
      </c>
      <c r="L270" s="29">
        <v>311617</v>
      </c>
      <c r="M270" s="29">
        <v>51273</v>
      </c>
      <c r="N270" s="29">
        <v>57535</v>
      </c>
      <c r="O270" s="29">
        <v>881</v>
      </c>
      <c r="P270" s="29">
        <v>33147</v>
      </c>
      <c r="Q270" s="29">
        <v>3951</v>
      </c>
      <c r="R270" s="29">
        <v>458404</v>
      </c>
      <c r="S270" s="29">
        <v>55190</v>
      </c>
      <c r="T270" s="29">
        <v>403214</v>
      </c>
      <c r="U270" s="29">
        <v>214990</v>
      </c>
      <c r="V270" s="29">
        <v>188224</v>
      </c>
    </row>
    <row r="271" spans="1:22" x14ac:dyDescent="0.2">
      <c r="A271" s="20" t="s">
        <v>171</v>
      </c>
      <c r="B271" s="20" t="s">
        <v>571</v>
      </c>
      <c r="C271" s="25">
        <v>94.46</v>
      </c>
      <c r="D271" s="27">
        <v>1351.8</v>
      </c>
      <c r="E271" s="25">
        <v>1446.26</v>
      </c>
      <c r="F271" s="25">
        <v>0</v>
      </c>
      <c r="G271" s="29">
        <v>25</v>
      </c>
      <c r="H271" s="27">
        <v>0</v>
      </c>
      <c r="I271" s="29">
        <v>1377</v>
      </c>
      <c r="J271" s="29">
        <v>426531</v>
      </c>
      <c r="K271" s="29">
        <v>0</v>
      </c>
      <c r="L271" s="29">
        <v>426531</v>
      </c>
      <c r="M271" s="29">
        <v>75831</v>
      </c>
      <c r="N271" s="29">
        <v>83309</v>
      </c>
      <c r="O271" s="29">
        <v>0</v>
      </c>
      <c r="P271" s="29">
        <v>39931</v>
      </c>
      <c r="Q271" s="29">
        <v>4657</v>
      </c>
      <c r="R271" s="29">
        <v>630259</v>
      </c>
      <c r="S271" s="29">
        <v>48951</v>
      </c>
      <c r="T271" s="29">
        <v>581308</v>
      </c>
      <c r="U271" s="29">
        <v>332616</v>
      </c>
      <c r="V271" s="29">
        <v>248692</v>
      </c>
    </row>
    <row r="272" spans="1:22" x14ac:dyDescent="0.2">
      <c r="A272" s="20" t="s">
        <v>223</v>
      </c>
      <c r="B272" s="20" t="s">
        <v>620</v>
      </c>
      <c r="C272" s="25">
        <v>68.47</v>
      </c>
      <c r="D272" s="27">
        <v>552.70000000000005</v>
      </c>
      <c r="E272" s="25">
        <v>621.16999999999996</v>
      </c>
      <c r="F272" s="25">
        <v>0</v>
      </c>
      <c r="G272" s="29">
        <v>0</v>
      </c>
      <c r="H272" s="27">
        <v>0</v>
      </c>
      <c r="I272" s="29">
        <v>553</v>
      </c>
      <c r="J272" s="29">
        <v>178785</v>
      </c>
      <c r="K272" s="29">
        <v>9619</v>
      </c>
      <c r="L272" s="29">
        <v>188404</v>
      </c>
      <c r="M272" s="29">
        <v>30387</v>
      </c>
      <c r="N272" s="29">
        <v>33357</v>
      </c>
      <c r="O272" s="29">
        <v>0</v>
      </c>
      <c r="P272" s="29">
        <v>15474</v>
      </c>
      <c r="Q272" s="29">
        <v>1966</v>
      </c>
      <c r="R272" s="29">
        <v>269588</v>
      </c>
      <c r="S272" s="29">
        <v>26643</v>
      </c>
      <c r="T272" s="29">
        <v>242945</v>
      </c>
      <c r="U272" s="29">
        <v>135530</v>
      </c>
      <c r="V272" s="29">
        <v>107415</v>
      </c>
    </row>
    <row r="273" spans="1:22" x14ac:dyDescent="0.2">
      <c r="A273" s="20" t="s">
        <v>55</v>
      </c>
      <c r="B273" s="20" t="s">
        <v>468</v>
      </c>
      <c r="C273" s="25">
        <v>60.43</v>
      </c>
      <c r="D273" s="27">
        <v>637.1</v>
      </c>
      <c r="E273" s="25">
        <v>697.53</v>
      </c>
      <c r="F273" s="25">
        <v>2.0099999999999998</v>
      </c>
      <c r="G273" s="29">
        <v>0</v>
      </c>
      <c r="H273" s="27">
        <v>0</v>
      </c>
      <c r="I273" s="29">
        <v>637</v>
      </c>
      <c r="J273" s="29">
        <v>213326</v>
      </c>
      <c r="K273" s="29">
        <v>1785</v>
      </c>
      <c r="L273" s="29">
        <v>215111</v>
      </c>
      <c r="M273" s="29">
        <v>35309</v>
      </c>
      <c r="N273" s="29">
        <v>39621</v>
      </c>
      <c r="O273" s="29">
        <v>615</v>
      </c>
      <c r="P273" s="29">
        <v>22684</v>
      </c>
      <c r="Q273" s="29">
        <v>2706</v>
      </c>
      <c r="R273" s="29">
        <v>316046</v>
      </c>
      <c r="S273" s="29">
        <v>35146</v>
      </c>
      <c r="T273" s="29">
        <v>280900</v>
      </c>
      <c r="U273" s="29">
        <v>153237</v>
      </c>
      <c r="V273" s="29">
        <v>127663</v>
      </c>
    </row>
    <row r="274" spans="1:22" x14ac:dyDescent="0.2">
      <c r="A274" s="20" t="s">
        <v>56</v>
      </c>
      <c r="B274" s="20" t="s">
        <v>469</v>
      </c>
      <c r="C274" s="25">
        <v>75.5</v>
      </c>
      <c r="D274" s="27">
        <v>550</v>
      </c>
      <c r="E274" s="25">
        <v>625.5</v>
      </c>
      <c r="F274" s="25">
        <v>1.8</v>
      </c>
      <c r="G274" s="29">
        <v>10</v>
      </c>
      <c r="H274" s="27">
        <v>0</v>
      </c>
      <c r="I274" s="29">
        <v>560</v>
      </c>
      <c r="J274" s="29">
        <v>191297</v>
      </c>
      <c r="K274" s="29">
        <v>0</v>
      </c>
      <c r="L274" s="29">
        <v>191297</v>
      </c>
      <c r="M274" s="29">
        <v>31041</v>
      </c>
      <c r="N274" s="29">
        <v>34832</v>
      </c>
      <c r="O274" s="29">
        <v>550</v>
      </c>
      <c r="P274" s="29">
        <v>20341</v>
      </c>
      <c r="Q274" s="29">
        <v>2427</v>
      </c>
      <c r="R274" s="29">
        <v>280488</v>
      </c>
      <c r="S274" s="29">
        <v>32474</v>
      </c>
      <c r="T274" s="29">
        <v>248014</v>
      </c>
      <c r="U274" s="29">
        <v>136455</v>
      </c>
      <c r="V274" s="29">
        <v>111559</v>
      </c>
    </row>
    <row r="275" spans="1:22" x14ac:dyDescent="0.2">
      <c r="A275" s="20" t="s">
        <v>304</v>
      </c>
      <c r="B275" s="20" t="s">
        <v>698</v>
      </c>
      <c r="C275" s="25">
        <v>35.08</v>
      </c>
      <c r="D275" s="27">
        <v>207.1</v>
      </c>
      <c r="E275" s="25">
        <v>242.18</v>
      </c>
      <c r="F275" s="25">
        <v>0</v>
      </c>
      <c r="G275" s="29">
        <v>1</v>
      </c>
      <c r="H275" s="27">
        <v>0</v>
      </c>
      <c r="I275" s="29">
        <v>208</v>
      </c>
      <c r="J275" s="29">
        <v>71656</v>
      </c>
      <c r="K275" s="29">
        <v>7592</v>
      </c>
      <c r="L275" s="29">
        <v>79248</v>
      </c>
      <c r="M275" s="29">
        <v>11457</v>
      </c>
      <c r="N275" s="29">
        <v>12667</v>
      </c>
      <c r="O275" s="29">
        <v>0</v>
      </c>
      <c r="P275" s="29">
        <v>7357</v>
      </c>
      <c r="Q275" s="29">
        <v>787</v>
      </c>
      <c r="R275" s="29">
        <v>111516</v>
      </c>
      <c r="S275" s="29">
        <v>15658</v>
      </c>
      <c r="T275" s="29">
        <v>95858</v>
      </c>
      <c r="U275" s="29">
        <v>48914</v>
      </c>
      <c r="V275" s="29">
        <v>46944</v>
      </c>
    </row>
    <row r="276" spans="1:22" x14ac:dyDescent="0.2">
      <c r="A276" s="20" t="s">
        <v>111</v>
      </c>
      <c r="B276" s="20" t="s">
        <v>515</v>
      </c>
      <c r="C276" s="25">
        <v>229.75</v>
      </c>
      <c r="D276" s="27">
        <v>1541</v>
      </c>
      <c r="E276" s="25">
        <v>1770.75</v>
      </c>
      <c r="F276" s="25">
        <v>0</v>
      </c>
      <c r="G276" s="29">
        <v>3</v>
      </c>
      <c r="H276" s="27">
        <v>0</v>
      </c>
      <c r="I276" s="29">
        <v>1544</v>
      </c>
      <c r="J276" s="29">
        <v>529808</v>
      </c>
      <c r="K276" s="29">
        <v>6313</v>
      </c>
      <c r="L276" s="29">
        <v>536121</v>
      </c>
      <c r="M276" s="29">
        <v>85507</v>
      </c>
      <c r="N276" s="29">
        <v>95450</v>
      </c>
      <c r="O276" s="29">
        <v>0</v>
      </c>
      <c r="P276" s="29">
        <v>67841</v>
      </c>
      <c r="Q276" s="29">
        <v>7799</v>
      </c>
      <c r="R276" s="29">
        <v>792718</v>
      </c>
      <c r="S276" s="29">
        <v>75549</v>
      </c>
      <c r="T276" s="29">
        <v>717169</v>
      </c>
      <c r="U276" s="29">
        <v>412676</v>
      </c>
      <c r="V276" s="29">
        <v>304493</v>
      </c>
    </row>
    <row r="277" spans="1:22" x14ac:dyDescent="0.2">
      <c r="A277" s="20" t="s">
        <v>17</v>
      </c>
      <c r="B277" s="20" t="s">
        <v>432</v>
      </c>
      <c r="C277" s="25">
        <v>97.54</v>
      </c>
      <c r="D277" s="27">
        <v>497</v>
      </c>
      <c r="E277" s="25">
        <v>594.54</v>
      </c>
      <c r="F277" s="25">
        <v>0</v>
      </c>
      <c r="G277" s="29">
        <v>195</v>
      </c>
      <c r="H277" s="27">
        <v>3</v>
      </c>
      <c r="I277" s="29">
        <v>689</v>
      </c>
      <c r="J277" s="29">
        <v>184355</v>
      </c>
      <c r="K277" s="29">
        <v>9180</v>
      </c>
      <c r="L277" s="29">
        <v>193535</v>
      </c>
      <c r="M277" s="29">
        <v>38136</v>
      </c>
      <c r="N277" s="29">
        <v>42532</v>
      </c>
      <c r="O277" s="29">
        <v>0</v>
      </c>
      <c r="P277" s="29">
        <v>18239</v>
      </c>
      <c r="Q277" s="29">
        <v>1959</v>
      </c>
      <c r="R277" s="29">
        <v>294401</v>
      </c>
      <c r="S277" s="29">
        <v>37693</v>
      </c>
      <c r="T277" s="29">
        <v>256708</v>
      </c>
      <c r="U277" s="29">
        <v>121033</v>
      </c>
      <c r="V277" s="29">
        <v>135675</v>
      </c>
    </row>
    <row r="278" spans="1:22" x14ac:dyDescent="0.2">
      <c r="A278" s="20" t="s">
        <v>222</v>
      </c>
      <c r="B278" s="20" t="s">
        <v>619</v>
      </c>
      <c r="C278" s="25">
        <v>705.31</v>
      </c>
      <c r="D278" s="27">
        <v>6843.1</v>
      </c>
      <c r="E278" s="25">
        <v>7548.41</v>
      </c>
      <c r="F278" s="25">
        <v>0</v>
      </c>
      <c r="G278" s="29">
        <v>247</v>
      </c>
      <c r="H278" s="27">
        <v>0</v>
      </c>
      <c r="I278" s="29">
        <v>7090</v>
      </c>
      <c r="J278" s="29">
        <v>2172583</v>
      </c>
      <c r="K278" s="29">
        <v>0</v>
      </c>
      <c r="L278" s="29">
        <v>2172583</v>
      </c>
      <c r="M278" s="29">
        <v>389596</v>
      </c>
      <c r="N278" s="29">
        <v>427669</v>
      </c>
      <c r="O278" s="29">
        <v>0</v>
      </c>
      <c r="P278" s="29">
        <v>179954</v>
      </c>
      <c r="Q278" s="29">
        <v>22872</v>
      </c>
      <c r="R278" s="29">
        <v>3192674</v>
      </c>
      <c r="S278" s="29">
        <v>198481</v>
      </c>
      <c r="T278" s="29">
        <v>2994193</v>
      </c>
      <c r="U278" s="29">
        <v>1763125</v>
      </c>
      <c r="V278" s="29">
        <v>1231068</v>
      </c>
    </row>
    <row r="279" spans="1:22" x14ac:dyDescent="0.2">
      <c r="A279" s="20" t="s">
        <v>57</v>
      </c>
      <c r="B279" s="20" t="s">
        <v>470</v>
      </c>
      <c r="C279" s="25">
        <v>336.39</v>
      </c>
      <c r="D279" s="27">
        <v>1897</v>
      </c>
      <c r="E279" s="25">
        <v>2233.39</v>
      </c>
      <c r="F279" s="25">
        <v>6.45</v>
      </c>
      <c r="G279" s="29">
        <v>188</v>
      </c>
      <c r="H279" s="27">
        <v>0.4</v>
      </c>
      <c r="I279" s="29">
        <v>2085</v>
      </c>
      <c r="J279" s="29">
        <v>683038</v>
      </c>
      <c r="K279" s="29">
        <v>0</v>
      </c>
      <c r="L279" s="29">
        <v>683038</v>
      </c>
      <c r="M279" s="29">
        <v>115572</v>
      </c>
      <c r="N279" s="29">
        <v>129687</v>
      </c>
      <c r="O279" s="29">
        <v>1973</v>
      </c>
      <c r="P279" s="29">
        <v>72630</v>
      </c>
      <c r="Q279" s="29">
        <v>8666</v>
      </c>
      <c r="R279" s="29">
        <v>1011566</v>
      </c>
      <c r="S279" s="29">
        <v>101066</v>
      </c>
      <c r="T279" s="29">
        <v>910500</v>
      </c>
      <c r="U279" s="29">
        <v>502113</v>
      </c>
      <c r="V279" s="29">
        <v>408387</v>
      </c>
    </row>
    <row r="280" spans="1:22" x14ac:dyDescent="0.2">
      <c r="A280" s="20" t="s">
        <v>58</v>
      </c>
      <c r="B280" s="20" t="s">
        <v>471</v>
      </c>
      <c r="C280" s="25">
        <v>114.06</v>
      </c>
      <c r="D280" s="27">
        <v>1161</v>
      </c>
      <c r="E280" s="25">
        <v>1275.06</v>
      </c>
      <c r="F280" s="25">
        <v>3.68</v>
      </c>
      <c r="G280" s="29">
        <v>9</v>
      </c>
      <c r="H280" s="27">
        <v>0</v>
      </c>
      <c r="I280" s="29">
        <v>1170</v>
      </c>
      <c r="J280" s="29">
        <v>389952</v>
      </c>
      <c r="K280" s="29">
        <v>0</v>
      </c>
      <c r="L280" s="29">
        <v>389952</v>
      </c>
      <c r="M280" s="29">
        <v>64853</v>
      </c>
      <c r="N280" s="29">
        <v>72774</v>
      </c>
      <c r="O280" s="29">
        <v>1125</v>
      </c>
      <c r="P280" s="29">
        <v>41465</v>
      </c>
      <c r="Q280" s="29">
        <v>4947</v>
      </c>
      <c r="R280" s="29">
        <v>575116</v>
      </c>
      <c r="S280" s="29">
        <v>56032</v>
      </c>
      <c r="T280" s="29">
        <v>519084</v>
      </c>
      <c r="U280" s="29">
        <v>288326</v>
      </c>
      <c r="V280" s="29">
        <v>230758</v>
      </c>
    </row>
    <row r="281" spans="1:22" x14ac:dyDescent="0.2">
      <c r="A281" s="20" t="s">
        <v>172</v>
      </c>
      <c r="B281" s="20" t="s">
        <v>572</v>
      </c>
      <c r="C281" s="25">
        <v>42.61</v>
      </c>
      <c r="D281" s="27">
        <v>390.1</v>
      </c>
      <c r="E281" s="25">
        <v>432.71</v>
      </c>
      <c r="F281" s="25">
        <v>0</v>
      </c>
      <c r="G281" s="29">
        <v>7</v>
      </c>
      <c r="H281" s="27">
        <v>0</v>
      </c>
      <c r="I281" s="29">
        <v>397</v>
      </c>
      <c r="J281" s="29">
        <v>127615</v>
      </c>
      <c r="K281" s="29">
        <v>1370</v>
      </c>
      <c r="L281" s="29">
        <v>128985</v>
      </c>
      <c r="M281" s="29">
        <v>21863</v>
      </c>
      <c r="N281" s="29">
        <v>24019</v>
      </c>
      <c r="O281" s="29">
        <v>0</v>
      </c>
      <c r="P281" s="29">
        <v>11947</v>
      </c>
      <c r="Q281" s="29">
        <v>1393</v>
      </c>
      <c r="R281" s="29">
        <v>188207</v>
      </c>
      <c r="S281" s="29">
        <v>21853</v>
      </c>
      <c r="T281" s="29">
        <v>166354</v>
      </c>
      <c r="U281" s="29">
        <v>92308</v>
      </c>
      <c r="V281" s="29">
        <v>74046</v>
      </c>
    </row>
    <row r="282" spans="1:22" x14ac:dyDescent="0.2">
      <c r="A282" s="20" t="s">
        <v>305</v>
      </c>
      <c r="B282" s="20" t="s">
        <v>699</v>
      </c>
      <c r="C282" s="25">
        <v>18.64</v>
      </c>
      <c r="D282" s="27">
        <v>190.1</v>
      </c>
      <c r="E282" s="25">
        <v>208.74</v>
      </c>
      <c r="F282" s="25">
        <v>0</v>
      </c>
      <c r="G282" s="29">
        <v>0</v>
      </c>
      <c r="H282" s="27">
        <v>0</v>
      </c>
      <c r="I282" s="29">
        <v>190</v>
      </c>
      <c r="J282" s="29">
        <v>61762</v>
      </c>
      <c r="K282" s="29">
        <v>4462</v>
      </c>
      <c r="L282" s="29">
        <v>66224</v>
      </c>
      <c r="M282" s="29">
        <v>10465</v>
      </c>
      <c r="N282" s="29">
        <v>11571</v>
      </c>
      <c r="O282" s="29">
        <v>0</v>
      </c>
      <c r="P282" s="29">
        <v>6800</v>
      </c>
      <c r="Q282" s="29">
        <v>726</v>
      </c>
      <c r="R282" s="29">
        <v>95786</v>
      </c>
      <c r="S282" s="29">
        <v>12066</v>
      </c>
      <c r="T282" s="29">
        <v>83720</v>
      </c>
      <c r="U282" s="29">
        <v>44096</v>
      </c>
      <c r="V282" s="29">
        <v>39624</v>
      </c>
    </row>
    <row r="283" spans="1:22" x14ac:dyDescent="0.2">
      <c r="A283" s="20" t="s">
        <v>18</v>
      </c>
      <c r="B283" s="20" t="s">
        <v>433</v>
      </c>
      <c r="C283" s="25">
        <v>87.56</v>
      </c>
      <c r="D283" s="27">
        <v>619.4</v>
      </c>
      <c r="E283" s="25">
        <v>706.96</v>
      </c>
      <c r="F283" s="25">
        <v>0</v>
      </c>
      <c r="G283" s="29">
        <v>0</v>
      </c>
      <c r="H283" s="27">
        <v>0</v>
      </c>
      <c r="I283" s="29">
        <v>619</v>
      </c>
      <c r="J283" s="29">
        <v>219214</v>
      </c>
      <c r="K283" s="29">
        <v>0</v>
      </c>
      <c r="L283" s="29">
        <v>219214</v>
      </c>
      <c r="M283" s="29">
        <v>34262</v>
      </c>
      <c r="N283" s="29">
        <v>38211</v>
      </c>
      <c r="O283" s="29">
        <v>0</v>
      </c>
      <c r="P283" s="29">
        <v>21605</v>
      </c>
      <c r="Q283" s="29">
        <v>2326</v>
      </c>
      <c r="R283" s="29">
        <v>315618</v>
      </c>
      <c r="S283" s="29">
        <v>41746</v>
      </c>
      <c r="T283" s="29">
        <v>273872</v>
      </c>
      <c r="U283" s="29">
        <v>146907</v>
      </c>
      <c r="V283" s="29">
        <v>126965</v>
      </c>
    </row>
    <row r="284" spans="1:22" x14ac:dyDescent="0.2">
      <c r="A284" s="20" t="s">
        <v>59</v>
      </c>
      <c r="B284" s="20" t="s">
        <v>472</v>
      </c>
      <c r="C284" s="25">
        <v>303.82</v>
      </c>
      <c r="D284" s="27">
        <v>2351</v>
      </c>
      <c r="E284" s="25">
        <v>2654.82</v>
      </c>
      <c r="F284" s="25">
        <v>7.66</v>
      </c>
      <c r="G284" s="29">
        <v>267</v>
      </c>
      <c r="H284" s="27">
        <v>2.8</v>
      </c>
      <c r="I284" s="29">
        <v>2615</v>
      </c>
      <c r="J284" s="29">
        <v>811924</v>
      </c>
      <c r="K284" s="29">
        <v>0</v>
      </c>
      <c r="L284" s="29">
        <v>811924</v>
      </c>
      <c r="M284" s="29">
        <v>144949</v>
      </c>
      <c r="N284" s="29">
        <v>162653</v>
      </c>
      <c r="O284" s="29">
        <v>2343</v>
      </c>
      <c r="P284" s="29">
        <v>86335</v>
      </c>
      <c r="Q284" s="29">
        <v>10301</v>
      </c>
      <c r="R284" s="29">
        <v>1218505</v>
      </c>
      <c r="S284" s="29">
        <v>89007</v>
      </c>
      <c r="T284" s="29">
        <v>1129498</v>
      </c>
      <c r="U284" s="29">
        <v>627987</v>
      </c>
      <c r="V284" s="29">
        <v>501511</v>
      </c>
    </row>
    <row r="285" spans="1:22" x14ac:dyDescent="0.2">
      <c r="A285" s="20" t="s">
        <v>60</v>
      </c>
      <c r="B285" s="20" t="s">
        <v>473</v>
      </c>
      <c r="C285" s="25">
        <v>27.67</v>
      </c>
      <c r="D285" s="27">
        <v>150.80000000000001</v>
      </c>
      <c r="E285" s="25">
        <v>178.47</v>
      </c>
      <c r="F285" s="25">
        <v>0.52</v>
      </c>
      <c r="G285" s="29">
        <v>4</v>
      </c>
      <c r="H285" s="27">
        <v>0</v>
      </c>
      <c r="I285" s="29">
        <v>155</v>
      </c>
      <c r="J285" s="29">
        <v>54581</v>
      </c>
      <c r="K285" s="29">
        <v>8930</v>
      </c>
      <c r="L285" s="29">
        <v>63511</v>
      </c>
      <c r="M285" s="29">
        <v>8592</v>
      </c>
      <c r="N285" s="29">
        <v>9641</v>
      </c>
      <c r="O285" s="29">
        <v>159</v>
      </c>
      <c r="P285" s="29">
        <v>5958</v>
      </c>
      <c r="Q285" s="29">
        <v>710</v>
      </c>
      <c r="R285" s="29">
        <v>88571</v>
      </c>
      <c r="S285" s="29">
        <v>10017</v>
      </c>
      <c r="T285" s="29">
        <v>78554</v>
      </c>
      <c r="U285" s="29">
        <v>38356</v>
      </c>
      <c r="V285" s="29">
        <v>40198</v>
      </c>
    </row>
    <row r="286" spans="1:22" x14ac:dyDescent="0.2">
      <c r="A286" s="20" t="s">
        <v>229</v>
      </c>
      <c r="B286" s="20" t="s">
        <v>626</v>
      </c>
      <c r="C286" s="25">
        <v>144.53</v>
      </c>
      <c r="D286" s="27">
        <v>912.4</v>
      </c>
      <c r="E286" s="25">
        <v>1056.93</v>
      </c>
      <c r="F286" s="25">
        <v>0</v>
      </c>
      <c r="G286" s="29">
        <v>0</v>
      </c>
      <c r="H286" s="27">
        <v>0</v>
      </c>
      <c r="I286" s="29">
        <v>912</v>
      </c>
      <c r="J286" s="29">
        <v>304206</v>
      </c>
      <c r="K286" s="29">
        <v>0</v>
      </c>
      <c r="L286" s="29">
        <v>304206</v>
      </c>
      <c r="M286" s="29">
        <v>50114</v>
      </c>
      <c r="N286" s="29">
        <v>55012</v>
      </c>
      <c r="O286" s="29">
        <v>0</v>
      </c>
      <c r="P286" s="29">
        <v>25197</v>
      </c>
      <c r="Q286" s="29">
        <v>3202</v>
      </c>
      <c r="R286" s="29">
        <v>437731</v>
      </c>
      <c r="S286" s="29">
        <v>43965</v>
      </c>
      <c r="T286" s="29">
        <v>393766</v>
      </c>
      <c r="U286" s="29">
        <v>230699</v>
      </c>
      <c r="V286" s="29">
        <v>163067</v>
      </c>
    </row>
    <row r="287" spans="1:22" x14ac:dyDescent="0.2">
      <c r="A287" s="20" t="s">
        <v>113</v>
      </c>
      <c r="B287" s="20" t="s">
        <v>517</v>
      </c>
      <c r="C287" s="25">
        <v>110.6</v>
      </c>
      <c r="D287" s="27">
        <v>809.4</v>
      </c>
      <c r="E287" s="25">
        <v>920</v>
      </c>
      <c r="F287" s="25">
        <v>0</v>
      </c>
      <c r="G287" s="29">
        <v>2</v>
      </c>
      <c r="H287" s="27">
        <v>0</v>
      </c>
      <c r="I287" s="29">
        <v>811</v>
      </c>
      <c r="J287" s="29">
        <v>275264</v>
      </c>
      <c r="K287" s="29">
        <v>124</v>
      </c>
      <c r="L287" s="29">
        <v>275388</v>
      </c>
      <c r="M287" s="29">
        <v>44913</v>
      </c>
      <c r="N287" s="29">
        <v>50136</v>
      </c>
      <c r="O287" s="29">
        <v>0</v>
      </c>
      <c r="P287" s="29">
        <v>34845</v>
      </c>
      <c r="Q287" s="29">
        <v>4006</v>
      </c>
      <c r="R287" s="29">
        <v>409288</v>
      </c>
      <c r="S287" s="29">
        <v>48164</v>
      </c>
      <c r="T287" s="29">
        <v>361124</v>
      </c>
      <c r="U287" s="29">
        <v>205047</v>
      </c>
      <c r="V287" s="29">
        <v>156077</v>
      </c>
    </row>
    <row r="288" spans="1:22" x14ac:dyDescent="0.2">
      <c r="A288" s="20" t="s">
        <v>173</v>
      </c>
      <c r="B288" s="20" t="s">
        <v>573</v>
      </c>
      <c r="C288" s="25">
        <v>87.19</v>
      </c>
      <c r="D288" s="27">
        <v>883.2</v>
      </c>
      <c r="E288" s="25">
        <v>970.39</v>
      </c>
      <c r="F288" s="25">
        <v>0</v>
      </c>
      <c r="G288" s="29">
        <v>3</v>
      </c>
      <c r="H288" s="27">
        <v>0</v>
      </c>
      <c r="I288" s="29">
        <v>886</v>
      </c>
      <c r="J288" s="29">
        <v>286187</v>
      </c>
      <c r="K288" s="29">
        <v>617</v>
      </c>
      <c r="L288" s="29">
        <v>286804</v>
      </c>
      <c r="M288" s="29">
        <v>48792</v>
      </c>
      <c r="N288" s="29">
        <v>53603</v>
      </c>
      <c r="O288" s="29">
        <v>0</v>
      </c>
      <c r="P288" s="29">
        <v>26825</v>
      </c>
      <c r="Q288" s="29">
        <v>3125</v>
      </c>
      <c r="R288" s="29">
        <v>419149</v>
      </c>
      <c r="S288" s="29">
        <v>38524</v>
      </c>
      <c r="T288" s="29">
        <v>380625</v>
      </c>
      <c r="U288" s="29">
        <v>217527</v>
      </c>
      <c r="V288" s="29">
        <v>163098</v>
      </c>
    </row>
    <row r="289" spans="1:22" x14ac:dyDescent="0.2">
      <c r="A289" s="20" t="s">
        <v>306</v>
      </c>
      <c r="B289" s="20" t="s">
        <v>700</v>
      </c>
      <c r="C289" s="25">
        <v>38.03</v>
      </c>
      <c r="D289" s="27">
        <v>608.29999999999995</v>
      </c>
      <c r="E289" s="25">
        <v>646.33000000000004</v>
      </c>
      <c r="F289" s="25">
        <v>0</v>
      </c>
      <c r="G289" s="29">
        <v>54</v>
      </c>
      <c r="H289" s="27">
        <v>0</v>
      </c>
      <c r="I289" s="29">
        <v>662</v>
      </c>
      <c r="J289" s="29">
        <v>191236</v>
      </c>
      <c r="K289" s="29">
        <v>0</v>
      </c>
      <c r="L289" s="29">
        <v>191236</v>
      </c>
      <c r="M289" s="29">
        <v>36463</v>
      </c>
      <c r="N289" s="29">
        <v>40316</v>
      </c>
      <c r="O289" s="29">
        <v>0</v>
      </c>
      <c r="P289" s="29">
        <v>19636</v>
      </c>
      <c r="Q289" s="29">
        <v>2101</v>
      </c>
      <c r="R289" s="29">
        <v>289752</v>
      </c>
      <c r="S289" s="29">
        <v>22629</v>
      </c>
      <c r="T289" s="29">
        <v>267123</v>
      </c>
      <c r="U289" s="29">
        <v>149703</v>
      </c>
      <c r="V289" s="29">
        <v>117420</v>
      </c>
    </row>
    <row r="290" spans="1:22" x14ac:dyDescent="0.2">
      <c r="A290" s="20" t="s">
        <v>307</v>
      </c>
      <c r="B290" s="20" t="s">
        <v>701</v>
      </c>
      <c r="C290" s="25">
        <v>62.19</v>
      </c>
      <c r="D290" s="27">
        <v>645.1</v>
      </c>
      <c r="E290" s="25">
        <v>707.29</v>
      </c>
      <c r="F290" s="25">
        <v>0</v>
      </c>
      <c r="G290" s="29">
        <v>4</v>
      </c>
      <c r="H290" s="27">
        <v>0</v>
      </c>
      <c r="I290" s="29">
        <v>649</v>
      </c>
      <c r="J290" s="29">
        <v>209273</v>
      </c>
      <c r="K290" s="29">
        <v>2484</v>
      </c>
      <c r="L290" s="29">
        <v>211757</v>
      </c>
      <c r="M290" s="29">
        <v>35747</v>
      </c>
      <c r="N290" s="29">
        <v>39524</v>
      </c>
      <c r="O290" s="29">
        <v>0</v>
      </c>
      <c r="P290" s="29">
        <v>21487</v>
      </c>
      <c r="Q290" s="29">
        <v>2299</v>
      </c>
      <c r="R290" s="29">
        <v>310814</v>
      </c>
      <c r="S290" s="29">
        <v>33287</v>
      </c>
      <c r="T290" s="29">
        <v>277527</v>
      </c>
      <c r="U290" s="29">
        <v>155298</v>
      </c>
      <c r="V290" s="29">
        <v>122229</v>
      </c>
    </row>
    <row r="291" spans="1:22" x14ac:dyDescent="0.2">
      <c r="A291" s="20" t="s">
        <v>339</v>
      </c>
      <c r="B291" s="20" t="s">
        <v>732</v>
      </c>
      <c r="C291" s="25">
        <v>36.04</v>
      </c>
      <c r="D291" s="27">
        <v>275.39999999999998</v>
      </c>
      <c r="E291" s="25">
        <v>311.44</v>
      </c>
      <c r="F291" s="25">
        <v>0</v>
      </c>
      <c r="G291" s="29">
        <v>3</v>
      </c>
      <c r="H291" s="27">
        <v>0</v>
      </c>
      <c r="I291" s="29">
        <v>278</v>
      </c>
      <c r="J291" s="29">
        <v>91327</v>
      </c>
      <c r="K291" s="29">
        <v>2730</v>
      </c>
      <c r="L291" s="29">
        <v>94057</v>
      </c>
      <c r="M291" s="29">
        <v>15304</v>
      </c>
      <c r="N291" s="29">
        <v>16811</v>
      </c>
      <c r="O291" s="29">
        <v>0</v>
      </c>
      <c r="P291" s="29">
        <v>9332</v>
      </c>
      <c r="Q291" s="29">
        <v>1014</v>
      </c>
      <c r="R291" s="29">
        <v>136518</v>
      </c>
      <c r="S291" s="29">
        <v>17232</v>
      </c>
      <c r="T291" s="29">
        <v>119286</v>
      </c>
      <c r="U291" s="29">
        <v>65680</v>
      </c>
      <c r="V291" s="29">
        <v>53606</v>
      </c>
    </row>
    <row r="292" spans="1:22" x14ac:dyDescent="0.2">
      <c r="A292" s="20" t="s">
        <v>114</v>
      </c>
      <c r="B292" s="20" t="s">
        <v>518</v>
      </c>
      <c r="C292" s="25">
        <v>51.48</v>
      </c>
      <c r="D292" s="27">
        <v>422</v>
      </c>
      <c r="E292" s="25">
        <v>473.48</v>
      </c>
      <c r="F292" s="25">
        <v>0</v>
      </c>
      <c r="G292" s="29">
        <v>5</v>
      </c>
      <c r="H292" s="27">
        <v>0</v>
      </c>
      <c r="I292" s="29">
        <v>427</v>
      </c>
      <c r="J292" s="29">
        <v>141665</v>
      </c>
      <c r="K292" s="29">
        <v>10659</v>
      </c>
      <c r="L292" s="29">
        <v>152324</v>
      </c>
      <c r="M292" s="29">
        <v>23647</v>
      </c>
      <c r="N292" s="29">
        <v>26397</v>
      </c>
      <c r="O292" s="29">
        <v>0</v>
      </c>
      <c r="P292" s="29">
        <v>18678</v>
      </c>
      <c r="Q292" s="29">
        <v>2147</v>
      </c>
      <c r="R292" s="29">
        <v>223193</v>
      </c>
      <c r="S292" s="29">
        <v>22675</v>
      </c>
      <c r="T292" s="29">
        <v>200518</v>
      </c>
      <c r="U292" s="29">
        <v>108471</v>
      </c>
      <c r="V292" s="29">
        <v>92047</v>
      </c>
    </row>
    <row r="293" spans="1:22" x14ac:dyDescent="0.2">
      <c r="A293" s="20" t="s">
        <v>19</v>
      </c>
      <c r="B293" s="20" t="s">
        <v>434</v>
      </c>
      <c r="C293" s="25">
        <v>49.3</v>
      </c>
      <c r="D293" s="27">
        <v>360.7</v>
      </c>
      <c r="E293" s="25">
        <v>410</v>
      </c>
      <c r="F293" s="25">
        <v>0</v>
      </c>
      <c r="G293" s="29">
        <v>59</v>
      </c>
      <c r="H293" s="27">
        <v>0</v>
      </c>
      <c r="I293" s="29">
        <v>420</v>
      </c>
      <c r="J293" s="29">
        <v>127133</v>
      </c>
      <c r="K293" s="29">
        <v>19621</v>
      </c>
      <c r="L293" s="29">
        <v>146754</v>
      </c>
      <c r="M293" s="29">
        <v>23247</v>
      </c>
      <c r="N293" s="29">
        <v>25927</v>
      </c>
      <c r="O293" s="29">
        <v>0</v>
      </c>
      <c r="P293" s="29">
        <v>12530</v>
      </c>
      <c r="Q293" s="29">
        <v>1349</v>
      </c>
      <c r="R293" s="29">
        <v>209807</v>
      </c>
      <c r="S293" s="29">
        <v>29583</v>
      </c>
      <c r="T293" s="29">
        <v>180224</v>
      </c>
      <c r="U293" s="29">
        <v>79826</v>
      </c>
      <c r="V293" s="29">
        <v>100398</v>
      </c>
    </row>
    <row r="294" spans="1:22" x14ac:dyDescent="0.2">
      <c r="A294" s="20" t="s">
        <v>224</v>
      </c>
      <c r="B294" s="20" t="s">
        <v>621</v>
      </c>
      <c r="C294" s="25">
        <v>48.75</v>
      </c>
      <c r="D294" s="27">
        <v>339.5</v>
      </c>
      <c r="E294" s="25">
        <v>388.25</v>
      </c>
      <c r="F294" s="25">
        <v>0</v>
      </c>
      <c r="G294" s="29">
        <v>10</v>
      </c>
      <c r="H294" s="27">
        <v>0</v>
      </c>
      <c r="I294" s="29">
        <v>350</v>
      </c>
      <c r="J294" s="29">
        <v>111746</v>
      </c>
      <c r="K294" s="29">
        <v>6553</v>
      </c>
      <c r="L294" s="29">
        <v>118299</v>
      </c>
      <c r="M294" s="29">
        <v>19233</v>
      </c>
      <c r="N294" s="29">
        <v>21112</v>
      </c>
      <c r="O294" s="29">
        <v>0</v>
      </c>
      <c r="P294" s="29">
        <v>9256</v>
      </c>
      <c r="Q294" s="29">
        <v>1176</v>
      </c>
      <c r="R294" s="29">
        <v>169076</v>
      </c>
      <c r="S294" s="29">
        <v>20920</v>
      </c>
      <c r="T294" s="29">
        <v>148156</v>
      </c>
      <c r="U294" s="29">
        <v>79974</v>
      </c>
      <c r="V294" s="29">
        <v>68182</v>
      </c>
    </row>
    <row r="295" spans="1:22" x14ac:dyDescent="0.2">
      <c r="A295" s="20" t="s">
        <v>61</v>
      </c>
      <c r="B295" s="20" t="s">
        <v>474</v>
      </c>
      <c r="C295" s="25">
        <v>20.14</v>
      </c>
      <c r="D295" s="27">
        <v>143</v>
      </c>
      <c r="E295" s="25">
        <v>163.13999999999999</v>
      </c>
      <c r="F295" s="25">
        <v>0.47</v>
      </c>
      <c r="G295" s="29">
        <v>15</v>
      </c>
      <c r="H295" s="27">
        <v>0</v>
      </c>
      <c r="I295" s="29">
        <v>158</v>
      </c>
      <c r="J295" s="29">
        <v>49893</v>
      </c>
      <c r="K295" s="29">
        <v>7882</v>
      </c>
      <c r="L295" s="29">
        <v>57775</v>
      </c>
      <c r="M295" s="29">
        <v>8758</v>
      </c>
      <c r="N295" s="29">
        <v>9828</v>
      </c>
      <c r="O295" s="29">
        <v>144</v>
      </c>
      <c r="P295" s="29">
        <v>5848</v>
      </c>
      <c r="Q295" s="29">
        <v>697</v>
      </c>
      <c r="R295" s="29">
        <v>83050</v>
      </c>
      <c r="S295" s="29">
        <v>11565</v>
      </c>
      <c r="T295" s="29">
        <v>71485</v>
      </c>
      <c r="U295" s="29">
        <v>33101</v>
      </c>
      <c r="V295" s="29">
        <v>38384</v>
      </c>
    </row>
    <row r="296" spans="1:22" x14ac:dyDescent="0.2">
      <c r="A296" s="20" t="s">
        <v>308</v>
      </c>
      <c r="B296" s="20" t="s">
        <v>702</v>
      </c>
      <c r="C296" s="25">
        <v>71.3</v>
      </c>
      <c r="D296" s="27">
        <v>701</v>
      </c>
      <c r="E296" s="25">
        <v>772.3</v>
      </c>
      <c r="F296" s="25">
        <v>0</v>
      </c>
      <c r="G296" s="29">
        <v>27</v>
      </c>
      <c r="H296" s="27">
        <v>0</v>
      </c>
      <c r="I296" s="29">
        <v>728</v>
      </c>
      <c r="J296" s="29">
        <v>228508</v>
      </c>
      <c r="K296" s="29">
        <v>0</v>
      </c>
      <c r="L296" s="29">
        <v>228508</v>
      </c>
      <c r="M296" s="29">
        <v>40098</v>
      </c>
      <c r="N296" s="29">
        <v>44335</v>
      </c>
      <c r="O296" s="29">
        <v>0</v>
      </c>
      <c r="P296" s="29">
        <v>23462</v>
      </c>
      <c r="Q296" s="29">
        <v>2510</v>
      </c>
      <c r="R296" s="29">
        <v>338913</v>
      </c>
      <c r="S296" s="29">
        <v>30799</v>
      </c>
      <c r="T296" s="29">
        <v>308114</v>
      </c>
      <c r="U296" s="29">
        <v>175119</v>
      </c>
      <c r="V296" s="29">
        <v>132995</v>
      </c>
    </row>
    <row r="297" spans="1:22" x14ac:dyDescent="0.2">
      <c r="A297" s="20" t="s">
        <v>225</v>
      </c>
      <c r="B297" s="20" t="s">
        <v>622</v>
      </c>
      <c r="C297" s="25">
        <v>45.7</v>
      </c>
      <c r="D297" s="27">
        <v>373.1</v>
      </c>
      <c r="E297" s="25">
        <v>418.8</v>
      </c>
      <c r="F297" s="25">
        <v>0</v>
      </c>
      <c r="G297" s="29">
        <v>18</v>
      </c>
      <c r="H297" s="27">
        <v>0</v>
      </c>
      <c r="I297" s="29">
        <v>391</v>
      </c>
      <c r="J297" s="29">
        <v>120539</v>
      </c>
      <c r="K297" s="29">
        <v>0</v>
      </c>
      <c r="L297" s="29">
        <v>120539</v>
      </c>
      <c r="M297" s="29">
        <v>21485</v>
      </c>
      <c r="N297" s="29">
        <v>23585</v>
      </c>
      <c r="O297" s="29">
        <v>0</v>
      </c>
      <c r="P297" s="29">
        <v>9984</v>
      </c>
      <c r="Q297" s="29">
        <v>1269</v>
      </c>
      <c r="R297" s="29">
        <v>176862</v>
      </c>
      <c r="S297" s="29">
        <v>19730</v>
      </c>
      <c r="T297" s="29">
        <v>157132</v>
      </c>
      <c r="U297" s="29">
        <v>89103</v>
      </c>
      <c r="V297" s="29">
        <v>68029</v>
      </c>
    </row>
    <row r="298" spans="1:22" x14ac:dyDescent="0.2">
      <c r="A298" s="20" t="s">
        <v>226</v>
      </c>
      <c r="B298" s="20" t="s">
        <v>623</v>
      </c>
      <c r="C298" s="25">
        <v>321.82</v>
      </c>
      <c r="D298" s="27">
        <v>3406.3</v>
      </c>
      <c r="E298" s="25">
        <v>3728.12</v>
      </c>
      <c r="F298" s="25">
        <v>0</v>
      </c>
      <c r="G298" s="29">
        <v>480</v>
      </c>
      <c r="H298" s="27">
        <v>2.1</v>
      </c>
      <c r="I298" s="29">
        <v>3884</v>
      </c>
      <c r="J298" s="29">
        <v>1073027</v>
      </c>
      <c r="K298" s="29">
        <v>0</v>
      </c>
      <c r="L298" s="29">
        <v>1073027</v>
      </c>
      <c r="M298" s="29">
        <v>213426</v>
      </c>
      <c r="N298" s="29">
        <v>234283</v>
      </c>
      <c r="O298" s="29">
        <v>0</v>
      </c>
      <c r="P298" s="29">
        <v>88878</v>
      </c>
      <c r="Q298" s="29">
        <v>11296</v>
      </c>
      <c r="R298" s="29">
        <v>1620910</v>
      </c>
      <c r="S298" s="29">
        <v>138380</v>
      </c>
      <c r="T298" s="29">
        <v>1482530</v>
      </c>
      <c r="U298" s="29">
        <v>830446</v>
      </c>
      <c r="V298" s="29">
        <v>652084</v>
      </c>
    </row>
    <row r="299" spans="1:22" x14ac:dyDescent="0.2">
      <c r="A299" s="20" t="s">
        <v>340</v>
      </c>
      <c r="B299" s="20" t="s">
        <v>733</v>
      </c>
      <c r="C299" s="25">
        <v>74.2</v>
      </c>
      <c r="D299" s="27">
        <v>637.5</v>
      </c>
      <c r="E299" s="25">
        <v>711.7</v>
      </c>
      <c r="F299" s="25">
        <v>0</v>
      </c>
      <c r="G299" s="29">
        <v>0</v>
      </c>
      <c r="H299" s="27">
        <v>0</v>
      </c>
      <c r="I299" s="29">
        <v>638</v>
      </c>
      <c r="J299" s="29">
        <v>208699</v>
      </c>
      <c r="K299" s="29">
        <v>8060</v>
      </c>
      <c r="L299" s="29">
        <v>216759</v>
      </c>
      <c r="M299" s="29">
        <v>35122</v>
      </c>
      <c r="N299" s="29">
        <v>38580</v>
      </c>
      <c r="O299" s="29">
        <v>0</v>
      </c>
      <c r="P299" s="29">
        <v>20917</v>
      </c>
      <c r="Q299" s="29">
        <v>2277</v>
      </c>
      <c r="R299" s="29">
        <v>313655</v>
      </c>
      <c r="S299" s="29">
        <v>38342</v>
      </c>
      <c r="T299" s="29">
        <v>275313</v>
      </c>
      <c r="U299" s="29">
        <v>150678</v>
      </c>
      <c r="V299" s="29">
        <v>124635</v>
      </c>
    </row>
    <row r="300" spans="1:22" x14ac:dyDescent="0.2">
      <c r="A300" s="20" t="s">
        <v>227</v>
      </c>
      <c r="B300" s="20" t="s">
        <v>624</v>
      </c>
      <c r="C300" s="25">
        <v>49.76</v>
      </c>
      <c r="D300" s="27">
        <v>692.3</v>
      </c>
      <c r="E300" s="25">
        <v>742.06</v>
      </c>
      <c r="F300" s="25">
        <v>0</v>
      </c>
      <c r="G300" s="29">
        <v>24</v>
      </c>
      <c r="H300" s="27">
        <v>0</v>
      </c>
      <c r="I300" s="29">
        <v>716</v>
      </c>
      <c r="J300" s="29">
        <v>213580</v>
      </c>
      <c r="K300" s="29">
        <v>0</v>
      </c>
      <c r="L300" s="29">
        <v>213580</v>
      </c>
      <c r="M300" s="29">
        <v>39344</v>
      </c>
      <c r="N300" s="29">
        <v>43189</v>
      </c>
      <c r="O300" s="29">
        <v>0</v>
      </c>
      <c r="P300" s="29">
        <v>17691</v>
      </c>
      <c r="Q300" s="29">
        <v>2248</v>
      </c>
      <c r="R300" s="29">
        <v>316052</v>
      </c>
      <c r="S300" s="29">
        <v>22227</v>
      </c>
      <c r="T300" s="29">
        <v>293825</v>
      </c>
      <c r="U300" s="29">
        <v>170612</v>
      </c>
      <c r="V300" s="29">
        <v>123213</v>
      </c>
    </row>
    <row r="301" spans="1:22" x14ac:dyDescent="0.2">
      <c r="A301" s="20" t="s">
        <v>309</v>
      </c>
      <c r="B301" s="20" t="s">
        <v>703</v>
      </c>
      <c r="C301" s="25">
        <v>34.659999999999997</v>
      </c>
      <c r="D301" s="27">
        <v>298</v>
      </c>
      <c r="E301" s="25">
        <v>332.66</v>
      </c>
      <c r="F301" s="25">
        <v>0</v>
      </c>
      <c r="G301" s="29">
        <v>0</v>
      </c>
      <c r="H301" s="27">
        <v>0</v>
      </c>
      <c r="I301" s="29">
        <v>298</v>
      </c>
      <c r="J301" s="29">
        <v>98427</v>
      </c>
      <c r="K301" s="29">
        <v>14409</v>
      </c>
      <c r="L301" s="29">
        <v>112836</v>
      </c>
      <c r="M301" s="29">
        <v>16414</v>
      </c>
      <c r="N301" s="29">
        <v>18148</v>
      </c>
      <c r="O301" s="29">
        <v>0</v>
      </c>
      <c r="P301" s="29">
        <v>10255</v>
      </c>
      <c r="Q301" s="29">
        <v>1094</v>
      </c>
      <c r="R301" s="29">
        <v>158747</v>
      </c>
      <c r="S301" s="29">
        <v>20643</v>
      </c>
      <c r="T301" s="29">
        <v>138104</v>
      </c>
      <c r="U301" s="29">
        <v>68216</v>
      </c>
      <c r="V301" s="29">
        <v>69888</v>
      </c>
    </row>
    <row r="302" spans="1:22" x14ac:dyDescent="0.2">
      <c r="A302" s="20" t="s">
        <v>174</v>
      </c>
      <c r="B302" s="20" t="s">
        <v>574</v>
      </c>
      <c r="C302" s="25">
        <v>224.18</v>
      </c>
      <c r="D302" s="27">
        <v>1544</v>
      </c>
      <c r="E302" s="25">
        <v>1768.18</v>
      </c>
      <c r="F302" s="25">
        <v>0</v>
      </c>
      <c r="G302" s="29">
        <v>22</v>
      </c>
      <c r="H302" s="27">
        <v>0</v>
      </c>
      <c r="I302" s="29">
        <v>1566</v>
      </c>
      <c r="J302" s="29">
        <v>521472</v>
      </c>
      <c r="K302" s="29">
        <v>15436</v>
      </c>
      <c r="L302" s="29">
        <v>536908</v>
      </c>
      <c r="M302" s="29">
        <v>86240</v>
      </c>
      <c r="N302" s="29">
        <v>94743</v>
      </c>
      <c r="O302" s="29">
        <v>0</v>
      </c>
      <c r="P302" s="29">
        <v>48819</v>
      </c>
      <c r="Q302" s="29">
        <v>5694</v>
      </c>
      <c r="R302" s="29">
        <v>772404</v>
      </c>
      <c r="S302" s="29">
        <v>88383</v>
      </c>
      <c r="T302" s="29">
        <v>684021</v>
      </c>
      <c r="U302" s="29">
        <v>378116</v>
      </c>
      <c r="V302" s="29">
        <v>305905</v>
      </c>
    </row>
    <row r="303" spans="1:22" x14ac:dyDescent="0.2">
      <c r="A303" s="20" t="s">
        <v>341</v>
      </c>
      <c r="B303" s="20" t="s">
        <v>734</v>
      </c>
      <c r="C303" s="25">
        <v>64.180000000000007</v>
      </c>
      <c r="D303" s="27">
        <v>479.9</v>
      </c>
      <c r="E303" s="25">
        <v>544.08000000000004</v>
      </c>
      <c r="F303" s="25">
        <v>0</v>
      </c>
      <c r="G303" s="29">
        <v>2</v>
      </c>
      <c r="H303" s="27">
        <v>0</v>
      </c>
      <c r="I303" s="29">
        <v>482</v>
      </c>
      <c r="J303" s="29">
        <v>159546</v>
      </c>
      <c r="K303" s="29">
        <v>0</v>
      </c>
      <c r="L303" s="29">
        <v>159546</v>
      </c>
      <c r="M303" s="29">
        <v>26534</v>
      </c>
      <c r="N303" s="29">
        <v>29147</v>
      </c>
      <c r="O303" s="29">
        <v>0</v>
      </c>
      <c r="P303" s="29">
        <v>15991</v>
      </c>
      <c r="Q303" s="29">
        <v>1741</v>
      </c>
      <c r="R303" s="29">
        <v>232959</v>
      </c>
      <c r="S303" s="29">
        <v>26545</v>
      </c>
      <c r="T303" s="29">
        <v>206414</v>
      </c>
      <c r="U303" s="29">
        <v>117958</v>
      </c>
      <c r="V303" s="29">
        <v>88456</v>
      </c>
    </row>
    <row r="304" spans="1:22" x14ac:dyDescent="0.2">
      <c r="A304" s="20" t="s">
        <v>30</v>
      </c>
      <c r="B304" s="20" t="s">
        <v>444</v>
      </c>
      <c r="C304" s="25">
        <v>100.24</v>
      </c>
      <c r="D304" s="27">
        <v>845.9</v>
      </c>
      <c r="E304" s="25">
        <v>946.14</v>
      </c>
      <c r="F304" s="25">
        <v>2.73</v>
      </c>
      <c r="G304" s="29">
        <v>51</v>
      </c>
      <c r="H304" s="27">
        <v>0</v>
      </c>
      <c r="I304" s="29">
        <v>897</v>
      </c>
      <c r="J304" s="29">
        <v>289358</v>
      </c>
      <c r="K304" s="29">
        <v>7392</v>
      </c>
      <c r="L304" s="29">
        <v>296750</v>
      </c>
      <c r="M304" s="29">
        <v>49721</v>
      </c>
      <c r="N304" s="29">
        <v>55793</v>
      </c>
      <c r="O304" s="29">
        <v>835</v>
      </c>
      <c r="P304" s="29">
        <v>31223</v>
      </c>
      <c r="Q304" s="29">
        <v>3721</v>
      </c>
      <c r="R304" s="29">
        <v>438043</v>
      </c>
      <c r="S304" s="29">
        <v>51797</v>
      </c>
      <c r="T304" s="29">
        <v>386246</v>
      </c>
      <c r="U304" s="29">
        <v>204234</v>
      </c>
      <c r="V304" s="29">
        <v>182012</v>
      </c>
    </row>
    <row r="305" spans="1:22" x14ac:dyDescent="0.2">
      <c r="A305" s="20" t="s">
        <v>342</v>
      </c>
      <c r="B305" s="20" t="s">
        <v>735</v>
      </c>
      <c r="C305" s="25">
        <v>98.23</v>
      </c>
      <c r="D305" s="27">
        <v>618.20000000000005</v>
      </c>
      <c r="E305" s="25">
        <v>716.43</v>
      </c>
      <c r="F305" s="25">
        <v>0</v>
      </c>
      <c r="G305" s="29">
        <v>0</v>
      </c>
      <c r="H305" s="27">
        <v>0</v>
      </c>
      <c r="I305" s="29">
        <v>618</v>
      </c>
      <c r="J305" s="29">
        <v>210086</v>
      </c>
      <c r="K305" s="29">
        <v>18920</v>
      </c>
      <c r="L305" s="29">
        <v>229006</v>
      </c>
      <c r="M305" s="29">
        <v>34021</v>
      </c>
      <c r="N305" s="29">
        <v>37370</v>
      </c>
      <c r="O305" s="29">
        <v>0</v>
      </c>
      <c r="P305" s="29">
        <v>21662</v>
      </c>
      <c r="Q305" s="29">
        <v>2353</v>
      </c>
      <c r="R305" s="29">
        <v>324412</v>
      </c>
      <c r="S305" s="29">
        <v>34892</v>
      </c>
      <c r="T305" s="29">
        <v>289520</v>
      </c>
      <c r="U305" s="29">
        <v>156051</v>
      </c>
      <c r="V305" s="29">
        <v>133469</v>
      </c>
    </row>
    <row r="306" spans="1:22" x14ac:dyDescent="0.2">
      <c r="A306" s="20" t="s">
        <v>116</v>
      </c>
      <c r="B306" s="20" t="s">
        <v>520</v>
      </c>
      <c r="C306" s="25">
        <v>55.58</v>
      </c>
      <c r="D306" s="27">
        <v>680.2</v>
      </c>
      <c r="E306" s="25">
        <v>735.78</v>
      </c>
      <c r="F306" s="25">
        <v>0</v>
      </c>
      <c r="G306" s="29">
        <v>32</v>
      </c>
      <c r="H306" s="27">
        <v>0</v>
      </c>
      <c r="I306" s="29">
        <v>712</v>
      </c>
      <c r="J306" s="29">
        <v>220145</v>
      </c>
      <c r="K306" s="29">
        <v>836</v>
      </c>
      <c r="L306" s="29">
        <v>220981</v>
      </c>
      <c r="M306" s="29">
        <v>39431</v>
      </c>
      <c r="N306" s="29">
        <v>44016</v>
      </c>
      <c r="O306" s="29">
        <v>0</v>
      </c>
      <c r="P306" s="29">
        <v>27805</v>
      </c>
      <c r="Q306" s="29">
        <v>3201</v>
      </c>
      <c r="R306" s="29">
        <v>335434</v>
      </c>
      <c r="S306" s="29">
        <v>33496</v>
      </c>
      <c r="T306" s="29">
        <v>301938</v>
      </c>
      <c r="U306" s="29">
        <v>168947</v>
      </c>
      <c r="V306" s="29">
        <v>132991</v>
      </c>
    </row>
    <row r="307" spans="1:22" x14ac:dyDescent="0.2">
      <c r="A307" s="20" t="s">
        <v>175</v>
      </c>
      <c r="B307" s="20" t="s">
        <v>575</v>
      </c>
      <c r="C307" s="25">
        <v>244.58</v>
      </c>
      <c r="D307" s="27">
        <v>1778.1</v>
      </c>
      <c r="E307" s="25">
        <v>2022.68</v>
      </c>
      <c r="F307" s="25">
        <v>0</v>
      </c>
      <c r="G307" s="29">
        <v>77</v>
      </c>
      <c r="H307" s="27">
        <v>0.6</v>
      </c>
      <c r="I307" s="29">
        <v>1855</v>
      </c>
      <c r="J307" s="29">
        <v>596529</v>
      </c>
      <c r="K307" s="29">
        <v>0</v>
      </c>
      <c r="L307" s="29">
        <v>596529</v>
      </c>
      <c r="M307" s="29">
        <v>102155</v>
      </c>
      <c r="N307" s="29">
        <v>112228</v>
      </c>
      <c r="O307" s="29">
        <v>0</v>
      </c>
      <c r="P307" s="29">
        <v>55846</v>
      </c>
      <c r="Q307" s="29">
        <v>6513</v>
      </c>
      <c r="R307" s="29">
        <v>873271</v>
      </c>
      <c r="S307" s="29">
        <v>80503</v>
      </c>
      <c r="T307" s="29">
        <v>792768</v>
      </c>
      <c r="U307" s="29">
        <v>453140</v>
      </c>
      <c r="V307" s="29">
        <v>339628</v>
      </c>
    </row>
    <row r="308" spans="1:22" x14ac:dyDescent="0.2">
      <c r="A308" s="20" t="s">
        <v>117</v>
      </c>
      <c r="B308" s="20" t="s">
        <v>521</v>
      </c>
      <c r="C308" s="25">
        <v>2235.64</v>
      </c>
      <c r="D308" s="27">
        <v>10878.8</v>
      </c>
      <c r="E308" s="25">
        <v>13114.44</v>
      </c>
      <c r="F308" s="25">
        <v>0</v>
      </c>
      <c r="G308" s="29">
        <v>1321</v>
      </c>
      <c r="H308" s="27">
        <v>6.4</v>
      </c>
      <c r="I308" s="29">
        <v>12193</v>
      </c>
      <c r="J308" s="29">
        <v>3923840</v>
      </c>
      <c r="K308" s="29">
        <v>0</v>
      </c>
      <c r="L308" s="29">
        <v>3923840</v>
      </c>
      <c r="M308" s="29">
        <v>675248</v>
      </c>
      <c r="N308" s="29">
        <v>753771</v>
      </c>
      <c r="O308" s="29">
        <v>0</v>
      </c>
      <c r="P308" s="29">
        <v>495595</v>
      </c>
      <c r="Q308" s="29">
        <v>57048</v>
      </c>
      <c r="R308" s="29">
        <v>5905502</v>
      </c>
      <c r="S308" s="29">
        <v>541622</v>
      </c>
      <c r="T308" s="29">
        <v>5363880</v>
      </c>
      <c r="U308" s="29">
        <v>3066686</v>
      </c>
      <c r="V308" s="29">
        <v>2297194</v>
      </c>
    </row>
    <row r="309" spans="1:22" x14ac:dyDescent="0.2">
      <c r="A309" s="20" t="s">
        <v>228</v>
      </c>
      <c r="B309" s="20" t="s">
        <v>625</v>
      </c>
      <c r="C309" s="25">
        <v>807.35</v>
      </c>
      <c r="D309" s="27">
        <v>10599.7</v>
      </c>
      <c r="E309" s="25">
        <v>11407.05</v>
      </c>
      <c r="F309" s="25">
        <v>0</v>
      </c>
      <c r="G309" s="29">
        <v>1074</v>
      </c>
      <c r="H309" s="27">
        <v>0.1</v>
      </c>
      <c r="I309" s="29">
        <v>11674</v>
      </c>
      <c r="J309" s="29">
        <v>3283177</v>
      </c>
      <c r="K309" s="29">
        <v>0</v>
      </c>
      <c r="L309" s="29">
        <v>3283177</v>
      </c>
      <c r="M309" s="29">
        <v>641486</v>
      </c>
      <c r="N309" s="29">
        <v>704176</v>
      </c>
      <c r="O309" s="29">
        <v>0</v>
      </c>
      <c r="P309" s="29">
        <v>271944</v>
      </c>
      <c r="Q309" s="29">
        <v>34563</v>
      </c>
      <c r="R309" s="29">
        <v>4935346</v>
      </c>
      <c r="S309" s="29">
        <v>115205</v>
      </c>
      <c r="T309" s="29">
        <v>4820141</v>
      </c>
      <c r="U309" s="29">
        <v>2849145</v>
      </c>
      <c r="V309" s="29">
        <v>1970996</v>
      </c>
    </row>
    <row r="310" spans="1:22" x14ac:dyDescent="0.2">
      <c r="A310" s="20" t="s">
        <v>118</v>
      </c>
      <c r="B310" s="20" t="s">
        <v>522</v>
      </c>
      <c r="C310" s="25">
        <v>254.63</v>
      </c>
      <c r="D310" s="27">
        <v>2079.5</v>
      </c>
      <c r="E310" s="25">
        <v>2334.13</v>
      </c>
      <c r="F310" s="25">
        <v>0</v>
      </c>
      <c r="G310" s="29">
        <v>196</v>
      </c>
      <c r="H310" s="27">
        <v>1.7</v>
      </c>
      <c r="I310" s="29">
        <v>2274</v>
      </c>
      <c r="J310" s="29">
        <v>698372</v>
      </c>
      <c r="K310" s="29">
        <v>0</v>
      </c>
      <c r="L310" s="29">
        <v>698372</v>
      </c>
      <c r="M310" s="29">
        <v>125934</v>
      </c>
      <c r="N310" s="29">
        <v>140579</v>
      </c>
      <c r="O310" s="29">
        <v>0</v>
      </c>
      <c r="P310" s="29">
        <v>88207</v>
      </c>
      <c r="Q310" s="29">
        <v>10153</v>
      </c>
      <c r="R310" s="29">
        <v>1063245</v>
      </c>
      <c r="S310" s="29">
        <v>88570</v>
      </c>
      <c r="T310" s="29">
        <v>974675</v>
      </c>
      <c r="U310" s="29">
        <v>553642</v>
      </c>
      <c r="V310" s="29">
        <v>421033</v>
      </c>
    </row>
    <row r="311" spans="1:22" x14ac:dyDescent="0.2">
      <c r="A311" s="20" t="s">
        <v>343</v>
      </c>
      <c r="B311" s="20" t="s">
        <v>736</v>
      </c>
      <c r="C311" s="25">
        <v>62.18</v>
      </c>
      <c r="D311" s="27">
        <v>575.6</v>
      </c>
      <c r="E311" s="25">
        <v>637.78</v>
      </c>
      <c r="F311" s="25">
        <v>0</v>
      </c>
      <c r="G311" s="29">
        <v>0</v>
      </c>
      <c r="H311" s="27">
        <v>0</v>
      </c>
      <c r="I311" s="29">
        <v>576</v>
      </c>
      <c r="J311" s="29">
        <v>187023</v>
      </c>
      <c r="K311" s="29">
        <v>229</v>
      </c>
      <c r="L311" s="29">
        <v>187252</v>
      </c>
      <c r="M311" s="29">
        <v>31709</v>
      </c>
      <c r="N311" s="29">
        <v>34831</v>
      </c>
      <c r="O311" s="29">
        <v>0</v>
      </c>
      <c r="P311" s="29">
        <v>18744</v>
      </c>
      <c r="Q311" s="29">
        <v>2041</v>
      </c>
      <c r="R311" s="29">
        <v>274577</v>
      </c>
      <c r="S311" s="29">
        <v>35052</v>
      </c>
      <c r="T311" s="29">
        <v>239525</v>
      </c>
      <c r="U311" s="29">
        <v>134336</v>
      </c>
      <c r="V311" s="29">
        <v>105189</v>
      </c>
    </row>
    <row r="312" spans="1:22" x14ac:dyDescent="0.2">
      <c r="A312" s="20" t="s">
        <v>62</v>
      </c>
      <c r="B312" s="20" t="s">
        <v>475</v>
      </c>
      <c r="C312" s="25">
        <v>204.81</v>
      </c>
      <c r="D312" s="27">
        <v>1506.9</v>
      </c>
      <c r="E312" s="25">
        <v>1711.71</v>
      </c>
      <c r="F312" s="25">
        <v>4.9400000000000004</v>
      </c>
      <c r="G312" s="29">
        <v>79</v>
      </c>
      <c r="H312" s="27">
        <v>0.3</v>
      </c>
      <c r="I312" s="29">
        <v>1586</v>
      </c>
      <c r="J312" s="29">
        <v>523492</v>
      </c>
      <c r="K312" s="29">
        <v>4702</v>
      </c>
      <c r="L312" s="29">
        <v>528194</v>
      </c>
      <c r="M312" s="29">
        <v>87912</v>
      </c>
      <c r="N312" s="29">
        <v>98649</v>
      </c>
      <c r="O312" s="29">
        <v>1511</v>
      </c>
      <c r="P312" s="29">
        <v>56185</v>
      </c>
      <c r="Q312" s="29">
        <v>6696</v>
      </c>
      <c r="R312" s="29">
        <v>779147</v>
      </c>
      <c r="S312" s="29">
        <v>79389</v>
      </c>
      <c r="T312" s="29">
        <v>699758</v>
      </c>
      <c r="U312" s="29">
        <v>383471</v>
      </c>
      <c r="V312" s="29">
        <v>316287</v>
      </c>
    </row>
    <row r="313" spans="1:22" x14ac:dyDescent="0.2">
      <c r="A313" s="20" t="s">
        <v>63</v>
      </c>
      <c r="B313" s="20" t="s">
        <v>476</v>
      </c>
      <c r="C313" s="25">
        <v>46.68</v>
      </c>
      <c r="D313" s="27">
        <v>286.2</v>
      </c>
      <c r="E313" s="25">
        <v>332.88</v>
      </c>
      <c r="F313" s="25">
        <v>0.96</v>
      </c>
      <c r="G313" s="29">
        <v>31</v>
      </c>
      <c r="H313" s="27">
        <v>0</v>
      </c>
      <c r="I313" s="29">
        <v>317</v>
      </c>
      <c r="J313" s="29">
        <v>101805</v>
      </c>
      <c r="K313" s="29">
        <v>14174</v>
      </c>
      <c r="L313" s="29">
        <v>115979</v>
      </c>
      <c r="M313" s="29">
        <v>17571</v>
      </c>
      <c r="N313" s="29">
        <v>19717</v>
      </c>
      <c r="O313" s="29">
        <v>294</v>
      </c>
      <c r="P313" s="29">
        <v>12094</v>
      </c>
      <c r="Q313" s="29">
        <v>1441</v>
      </c>
      <c r="R313" s="29">
        <v>167096</v>
      </c>
      <c r="S313" s="29">
        <v>19619</v>
      </c>
      <c r="T313" s="29">
        <v>147477</v>
      </c>
      <c r="U313" s="29">
        <v>71701</v>
      </c>
      <c r="V313" s="29">
        <v>75776</v>
      </c>
    </row>
    <row r="314" spans="1:22" x14ac:dyDescent="0.2">
      <c r="A314" s="20" t="s">
        <v>176</v>
      </c>
      <c r="B314" s="20" t="s">
        <v>576</v>
      </c>
      <c r="C314" s="25">
        <v>84.89</v>
      </c>
      <c r="D314" s="27">
        <v>774.3</v>
      </c>
      <c r="E314" s="25">
        <v>859.19</v>
      </c>
      <c r="F314" s="25">
        <v>0</v>
      </c>
      <c r="G314" s="29">
        <v>16</v>
      </c>
      <c r="H314" s="27">
        <v>0</v>
      </c>
      <c r="I314" s="29">
        <v>790</v>
      </c>
      <c r="J314" s="29">
        <v>253392</v>
      </c>
      <c r="K314" s="29">
        <v>0</v>
      </c>
      <c r="L314" s="29">
        <v>253392</v>
      </c>
      <c r="M314" s="29">
        <v>43505</v>
      </c>
      <c r="N314" s="29">
        <v>47795</v>
      </c>
      <c r="O314" s="29">
        <v>0</v>
      </c>
      <c r="P314" s="29">
        <v>23722</v>
      </c>
      <c r="Q314" s="29">
        <v>2767</v>
      </c>
      <c r="R314" s="29">
        <v>371181</v>
      </c>
      <c r="S314" s="29">
        <v>35036</v>
      </c>
      <c r="T314" s="29">
        <v>336145</v>
      </c>
      <c r="U314" s="29">
        <v>191644</v>
      </c>
      <c r="V314" s="29">
        <v>144501</v>
      </c>
    </row>
    <row r="315" spans="1:22" x14ac:dyDescent="0.2">
      <c r="A315" s="20" t="s">
        <v>344</v>
      </c>
      <c r="B315" s="20" t="s">
        <v>737</v>
      </c>
      <c r="C315" s="25">
        <v>59.72</v>
      </c>
      <c r="D315" s="27">
        <v>465.2</v>
      </c>
      <c r="E315" s="25">
        <v>524.91999999999996</v>
      </c>
      <c r="F315" s="25">
        <v>0</v>
      </c>
      <c r="G315" s="29">
        <v>8</v>
      </c>
      <c r="H315" s="27">
        <v>0</v>
      </c>
      <c r="I315" s="29">
        <v>473</v>
      </c>
      <c r="J315" s="29">
        <v>153928</v>
      </c>
      <c r="K315" s="29">
        <v>0</v>
      </c>
      <c r="L315" s="29">
        <v>153928</v>
      </c>
      <c r="M315" s="29">
        <v>26039</v>
      </c>
      <c r="N315" s="29">
        <v>28602</v>
      </c>
      <c r="O315" s="29">
        <v>0</v>
      </c>
      <c r="P315" s="29">
        <v>15427</v>
      </c>
      <c r="Q315" s="29">
        <v>1680</v>
      </c>
      <c r="R315" s="29">
        <v>225676</v>
      </c>
      <c r="S315" s="29">
        <v>21967</v>
      </c>
      <c r="T315" s="29">
        <v>203709</v>
      </c>
      <c r="U315" s="29">
        <v>117446</v>
      </c>
      <c r="V315" s="29">
        <v>86263</v>
      </c>
    </row>
    <row r="316" spans="1:22" x14ac:dyDescent="0.2">
      <c r="A316" s="20" t="s">
        <v>20</v>
      </c>
      <c r="B316" s="20" t="s">
        <v>435</v>
      </c>
      <c r="C316" s="25">
        <v>29.01</v>
      </c>
      <c r="D316" s="27">
        <v>260.10000000000002</v>
      </c>
      <c r="E316" s="25">
        <v>289.11</v>
      </c>
      <c r="F316" s="25">
        <v>0</v>
      </c>
      <c r="G316" s="29">
        <v>2</v>
      </c>
      <c r="H316" s="27">
        <v>0</v>
      </c>
      <c r="I316" s="29">
        <v>262</v>
      </c>
      <c r="J316" s="29">
        <v>89647</v>
      </c>
      <c r="K316" s="29">
        <v>8613</v>
      </c>
      <c r="L316" s="29">
        <v>98260</v>
      </c>
      <c r="M316" s="29">
        <v>14502</v>
      </c>
      <c r="N316" s="29">
        <v>16173</v>
      </c>
      <c r="O316" s="29">
        <v>0</v>
      </c>
      <c r="P316" s="29">
        <v>8835</v>
      </c>
      <c r="Q316" s="29">
        <v>951</v>
      </c>
      <c r="R316" s="29">
        <v>138721</v>
      </c>
      <c r="S316" s="29">
        <v>16863</v>
      </c>
      <c r="T316" s="29">
        <v>121858</v>
      </c>
      <c r="U316" s="29">
        <v>60286</v>
      </c>
      <c r="V316" s="29">
        <v>61572</v>
      </c>
    </row>
    <row r="317" spans="1:22" x14ac:dyDescent="0.2">
      <c r="A317" s="20" t="s">
        <v>21</v>
      </c>
      <c r="B317" s="20" t="s">
        <v>436</v>
      </c>
      <c r="C317" s="25">
        <v>167.88</v>
      </c>
      <c r="D317" s="27">
        <v>1442.9</v>
      </c>
      <c r="E317" s="25">
        <v>1610.78</v>
      </c>
      <c r="F317" s="25">
        <v>0</v>
      </c>
      <c r="G317" s="29">
        <v>151</v>
      </c>
      <c r="H317" s="27">
        <v>0.7</v>
      </c>
      <c r="I317" s="29">
        <v>1593</v>
      </c>
      <c r="J317" s="29">
        <v>499471</v>
      </c>
      <c r="K317" s="29">
        <v>12278</v>
      </c>
      <c r="L317" s="29">
        <v>511749</v>
      </c>
      <c r="M317" s="29">
        <v>88173</v>
      </c>
      <c r="N317" s="29">
        <v>98336</v>
      </c>
      <c r="O317" s="29">
        <v>0</v>
      </c>
      <c r="P317" s="29">
        <v>50417</v>
      </c>
      <c r="Q317" s="29">
        <v>5415</v>
      </c>
      <c r="R317" s="29">
        <v>754090</v>
      </c>
      <c r="S317" s="29">
        <v>90517</v>
      </c>
      <c r="T317" s="29">
        <v>663573</v>
      </c>
      <c r="U317" s="29">
        <v>340627</v>
      </c>
      <c r="V317" s="29">
        <v>322946</v>
      </c>
    </row>
    <row r="318" spans="1:22" x14ac:dyDescent="0.2">
      <c r="A318" s="20" t="s">
        <v>230</v>
      </c>
      <c r="B318" s="20" t="s">
        <v>627</v>
      </c>
      <c r="C318" s="25">
        <v>1054.8599999999999</v>
      </c>
      <c r="D318" s="27">
        <v>8918</v>
      </c>
      <c r="E318" s="25">
        <v>9972.86</v>
      </c>
      <c r="F318" s="25">
        <v>0</v>
      </c>
      <c r="G318" s="29">
        <v>1380</v>
      </c>
      <c r="H318" s="27">
        <v>0.9</v>
      </c>
      <c r="I318" s="29">
        <v>10297</v>
      </c>
      <c r="J318" s="29">
        <v>2870389</v>
      </c>
      <c r="K318" s="29">
        <v>0</v>
      </c>
      <c r="L318" s="29">
        <v>2870389</v>
      </c>
      <c r="M318" s="29">
        <v>565820</v>
      </c>
      <c r="N318" s="29">
        <v>621115</v>
      </c>
      <c r="O318" s="29">
        <v>0</v>
      </c>
      <c r="P318" s="29">
        <v>237753</v>
      </c>
      <c r="Q318" s="29">
        <v>30218</v>
      </c>
      <c r="R318" s="29">
        <v>4325295</v>
      </c>
      <c r="S318" s="29">
        <v>390197</v>
      </c>
      <c r="T318" s="29">
        <v>3935098</v>
      </c>
      <c r="U318" s="29">
        <v>2201450</v>
      </c>
      <c r="V318" s="29">
        <v>1733648</v>
      </c>
    </row>
    <row r="319" spans="1:22" x14ac:dyDescent="0.2">
      <c r="A319" s="20" t="s">
        <v>22</v>
      </c>
      <c r="B319" s="20" t="s">
        <v>437</v>
      </c>
      <c r="C319" s="25">
        <v>359.36</v>
      </c>
      <c r="D319" s="27">
        <v>3099.5</v>
      </c>
      <c r="E319" s="25">
        <v>3458.86</v>
      </c>
      <c r="F319" s="25">
        <v>0</v>
      </c>
      <c r="G319" s="29">
        <v>1280</v>
      </c>
      <c r="H319" s="27">
        <v>4.5</v>
      </c>
      <c r="I319" s="29">
        <v>4375</v>
      </c>
      <c r="J319" s="29">
        <v>1072523</v>
      </c>
      <c r="K319" s="29">
        <v>5008</v>
      </c>
      <c r="L319" s="29">
        <v>1077531</v>
      </c>
      <c r="M319" s="29">
        <v>242156</v>
      </c>
      <c r="N319" s="29">
        <v>270069</v>
      </c>
      <c r="O319" s="29">
        <v>0</v>
      </c>
      <c r="P319" s="29">
        <v>106157</v>
      </c>
      <c r="Q319" s="29">
        <v>11402</v>
      </c>
      <c r="R319" s="29">
        <v>1707315</v>
      </c>
      <c r="S319" s="29">
        <v>140594</v>
      </c>
      <c r="T319" s="29">
        <v>1566721</v>
      </c>
      <c r="U319" s="29">
        <v>782879</v>
      </c>
      <c r="V319" s="29">
        <v>783842</v>
      </c>
    </row>
    <row r="320" spans="1:22" x14ac:dyDescent="0.2">
      <c r="A320" s="20" t="s">
        <v>310</v>
      </c>
      <c r="B320" s="20" t="s">
        <v>704</v>
      </c>
      <c r="C320" s="25">
        <v>82.01</v>
      </c>
      <c r="D320" s="27">
        <v>346</v>
      </c>
      <c r="E320" s="25">
        <v>428.01</v>
      </c>
      <c r="F320" s="25">
        <v>0</v>
      </c>
      <c r="G320" s="29">
        <v>4</v>
      </c>
      <c r="H320" s="27">
        <v>0</v>
      </c>
      <c r="I320" s="29">
        <v>350</v>
      </c>
      <c r="J320" s="29">
        <v>126640</v>
      </c>
      <c r="K320" s="29">
        <v>21320</v>
      </c>
      <c r="L320" s="29">
        <v>147960</v>
      </c>
      <c r="M320" s="29">
        <v>19278</v>
      </c>
      <c r="N320" s="29">
        <v>21315</v>
      </c>
      <c r="O320" s="29">
        <v>0</v>
      </c>
      <c r="P320" s="29">
        <v>13003</v>
      </c>
      <c r="Q320" s="29">
        <v>1391</v>
      </c>
      <c r="R320" s="29">
        <v>202947</v>
      </c>
      <c r="S320" s="29">
        <v>25347</v>
      </c>
      <c r="T320" s="29">
        <v>177600</v>
      </c>
      <c r="U320" s="29">
        <v>88773</v>
      </c>
      <c r="V320" s="29">
        <v>88827</v>
      </c>
    </row>
    <row r="321" spans="1:22" x14ac:dyDescent="0.2">
      <c r="A321" s="20" t="s">
        <v>142</v>
      </c>
      <c r="B321" s="20" t="s">
        <v>545</v>
      </c>
      <c r="C321" s="25">
        <v>151.81</v>
      </c>
      <c r="D321" s="27">
        <v>1377.1</v>
      </c>
      <c r="E321" s="25">
        <v>1528.91</v>
      </c>
      <c r="F321" s="25">
        <v>0</v>
      </c>
      <c r="G321" s="29">
        <v>7</v>
      </c>
      <c r="H321" s="27">
        <v>0</v>
      </c>
      <c r="I321" s="29">
        <v>1384</v>
      </c>
      <c r="J321" s="29">
        <v>453842</v>
      </c>
      <c r="K321" s="29">
        <v>0</v>
      </c>
      <c r="L321" s="29">
        <v>453842</v>
      </c>
      <c r="M321" s="29">
        <v>75968</v>
      </c>
      <c r="N321" s="29">
        <v>82902</v>
      </c>
      <c r="O321" s="29">
        <v>0</v>
      </c>
      <c r="P321" s="29">
        <v>41067</v>
      </c>
      <c r="Q321" s="29">
        <v>4831</v>
      </c>
      <c r="R321" s="29">
        <v>658610</v>
      </c>
      <c r="S321" s="29">
        <v>51632</v>
      </c>
      <c r="T321" s="29">
        <v>606978</v>
      </c>
      <c r="U321" s="29">
        <v>350502</v>
      </c>
      <c r="V321" s="29">
        <v>256476</v>
      </c>
    </row>
    <row r="322" spans="1:22" x14ac:dyDescent="0.2">
      <c r="A322" s="20" t="s">
        <v>261</v>
      </c>
      <c r="B322" s="20" t="s">
        <v>658</v>
      </c>
      <c r="C322" s="25">
        <v>82.7</v>
      </c>
      <c r="D322" s="27">
        <v>923</v>
      </c>
      <c r="E322" s="25">
        <v>1005.7</v>
      </c>
      <c r="F322" s="25">
        <v>0</v>
      </c>
      <c r="G322" s="29">
        <v>120</v>
      </c>
      <c r="H322" s="27">
        <v>0</v>
      </c>
      <c r="I322" s="29">
        <v>1043</v>
      </c>
      <c r="J322" s="29">
        <v>304184</v>
      </c>
      <c r="K322" s="29">
        <v>0</v>
      </c>
      <c r="L322" s="29">
        <v>304184</v>
      </c>
      <c r="M322" s="29">
        <v>57740</v>
      </c>
      <c r="N322" s="29">
        <v>64770</v>
      </c>
      <c r="O322" s="29">
        <v>0</v>
      </c>
      <c r="P322" s="29">
        <v>30573</v>
      </c>
      <c r="Q322" s="29">
        <v>3661</v>
      </c>
      <c r="R322" s="29">
        <v>460928</v>
      </c>
      <c r="S322" s="29">
        <v>39031</v>
      </c>
      <c r="T322" s="29">
        <v>421897</v>
      </c>
      <c r="U322" s="29">
        <v>229531</v>
      </c>
      <c r="V322" s="29">
        <v>192366</v>
      </c>
    </row>
    <row r="323" spans="1:22" x14ac:dyDescent="0.2">
      <c r="A323" s="20" t="s">
        <v>121</v>
      </c>
      <c r="B323" s="20" t="s">
        <v>525</v>
      </c>
      <c r="C323" s="25">
        <v>89.07</v>
      </c>
      <c r="D323" s="27">
        <v>896.1</v>
      </c>
      <c r="E323" s="25">
        <v>985.17</v>
      </c>
      <c r="F323" s="25">
        <v>0</v>
      </c>
      <c r="G323" s="29">
        <v>1</v>
      </c>
      <c r="H323" s="27">
        <v>0</v>
      </c>
      <c r="I323" s="29">
        <v>897</v>
      </c>
      <c r="J323" s="29">
        <v>294763</v>
      </c>
      <c r="K323" s="29">
        <v>0</v>
      </c>
      <c r="L323" s="29">
        <v>294763</v>
      </c>
      <c r="M323" s="29">
        <v>49676</v>
      </c>
      <c r="N323" s="29">
        <v>55453</v>
      </c>
      <c r="O323" s="29">
        <v>0</v>
      </c>
      <c r="P323" s="29">
        <v>37230</v>
      </c>
      <c r="Q323" s="29">
        <v>4285</v>
      </c>
      <c r="R323" s="29">
        <v>441407</v>
      </c>
      <c r="S323" s="29">
        <v>38932</v>
      </c>
      <c r="T323" s="29">
        <v>402475</v>
      </c>
      <c r="U323" s="29">
        <v>232128</v>
      </c>
      <c r="V323" s="29">
        <v>170347</v>
      </c>
    </row>
    <row r="324" spans="1:22" x14ac:dyDescent="0.2">
      <c r="A324" s="20" t="s">
        <v>262</v>
      </c>
      <c r="B324" s="20" t="s">
        <v>659</v>
      </c>
      <c r="C324" s="25">
        <v>115.79</v>
      </c>
      <c r="D324" s="27">
        <v>606</v>
      </c>
      <c r="E324" s="25">
        <v>721.79</v>
      </c>
      <c r="F324" s="25">
        <v>0</v>
      </c>
      <c r="G324" s="29">
        <v>0</v>
      </c>
      <c r="H324" s="27">
        <v>0</v>
      </c>
      <c r="I324" s="29">
        <v>606</v>
      </c>
      <c r="J324" s="29">
        <v>218313</v>
      </c>
      <c r="K324" s="29">
        <v>22299</v>
      </c>
      <c r="L324" s="29">
        <v>240612</v>
      </c>
      <c r="M324" s="29">
        <v>33548</v>
      </c>
      <c r="N324" s="29">
        <v>37633</v>
      </c>
      <c r="O324" s="29">
        <v>0</v>
      </c>
      <c r="P324" s="29">
        <v>23169</v>
      </c>
      <c r="Q324" s="29">
        <v>2771</v>
      </c>
      <c r="R324" s="29">
        <v>337733</v>
      </c>
      <c r="S324" s="29">
        <v>33583</v>
      </c>
      <c r="T324" s="29">
        <v>304150</v>
      </c>
      <c r="U324" s="29">
        <v>160534</v>
      </c>
      <c r="V324" s="29">
        <v>143616</v>
      </c>
    </row>
    <row r="325" spans="1:22" x14ac:dyDescent="0.2">
      <c r="A325" s="20" t="s">
        <v>263</v>
      </c>
      <c r="B325" s="20" t="s">
        <v>660</v>
      </c>
      <c r="C325" s="25">
        <v>106.12</v>
      </c>
      <c r="D325" s="27">
        <v>833.8</v>
      </c>
      <c r="E325" s="25">
        <v>939.92</v>
      </c>
      <c r="F325" s="25">
        <v>0</v>
      </c>
      <c r="G325" s="29">
        <v>113</v>
      </c>
      <c r="H325" s="27">
        <v>0.2</v>
      </c>
      <c r="I325" s="29">
        <v>947</v>
      </c>
      <c r="J325" s="29">
        <v>284288</v>
      </c>
      <c r="K325" s="29">
        <v>0</v>
      </c>
      <c r="L325" s="29">
        <v>284288</v>
      </c>
      <c r="M325" s="29">
        <v>52426</v>
      </c>
      <c r="N325" s="29">
        <v>58809</v>
      </c>
      <c r="O325" s="29">
        <v>0</v>
      </c>
      <c r="P325" s="29">
        <v>28574</v>
      </c>
      <c r="Q325" s="29">
        <v>3421</v>
      </c>
      <c r="R325" s="29">
        <v>427518</v>
      </c>
      <c r="S325" s="29">
        <v>37148</v>
      </c>
      <c r="T325" s="29">
        <v>390370</v>
      </c>
      <c r="U325" s="29">
        <v>213848</v>
      </c>
      <c r="V325" s="29">
        <v>176522</v>
      </c>
    </row>
    <row r="326" spans="1:22" x14ac:dyDescent="0.2">
      <c r="A326" s="20" t="s">
        <v>264</v>
      </c>
      <c r="B326" s="20" t="s">
        <v>661</v>
      </c>
      <c r="C326" s="25">
        <v>80.94</v>
      </c>
      <c r="D326" s="27">
        <v>532</v>
      </c>
      <c r="E326" s="25">
        <v>612.94000000000005</v>
      </c>
      <c r="F326" s="25">
        <v>0</v>
      </c>
      <c r="G326" s="29">
        <v>11</v>
      </c>
      <c r="H326" s="27">
        <v>0</v>
      </c>
      <c r="I326" s="29">
        <v>543</v>
      </c>
      <c r="J326" s="29">
        <v>185390</v>
      </c>
      <c r="K326" s="29">
        <v>2928</v>
      </c>
      <c r="L326" s="29">
        <v>188318</v>
      </c>
      <c r="M326" s="29">
        <v>30060</v>
      </c>
      <c r="N326" s="29">
        <v>33720</v>
      </c>
      <c r="O326" s="29">
        <v>0</v>
      </c>
      <c r="P326" s="29">
        <v>18924</v>
      </c>
      <c r="Q326" s="29">
        <v>2263</v>
      </c>
      <c r="R326" s="29">
        <v>273285</v>
      </c>
      <c r="S326" s="29">
        <v>31987</v>
      </c>
      <c r="T326" s="29">
        <v>241298</v>
      </c>
      <c r="U326" s="29">
        <v>132015</v>
      </c>
      <c r="V326" s="29">
        <v>109283</v>
      </c>
    </row>
    <row r="327" spans="1:22" x14ac:dyDescent="0.2">
      <c r="A327" s="20" t="s">
        <v>265</v>
      </c>
      <c r="B327" s="20" t="s">
        <v>662</v>
      </c>
      <c r="C327" s="25">
        <v>27.89</v>
      </c>
      <c r="D327" s="27">
        <v>205.2</v>
      </c>
      <c r="E327" s="25">
        <v>233.09</v>
      </c>
      <c r="F327" s="25">
        <v>0</v>
      </c>
      <c r="G327" s="29">
        <v>2</v>
      </c>
      <c r="H327" s="27">
        <v>0</v>
      </c>
      <c r="I327" s="29">
        <v>207</v>
      </c>
      <c r="J327" s="29">
        <v>70500</v>
      </c>
      <c r="K327" s="29">
        <v>0</v>
      </c>
      <c r="L327" s="29">
        <v>70500</v>
      </c>
      <c r="M327" s="29">
        <v>11460</v>
      </c>
      <c r="N327" s="29">
        <v>12855</v>
      </c>
      <c r="O327" s="29">
        <v>0</v>
      </c>
      <c r="P327" s="29">
        <v>7086</v>
      </c>
      <c r="Q327" s="29">
        <v>848</v>
      </c>
      <c r="R327" s="29">
        <v>102749</v>
      </c>
      <c r="S327" s="29">
        <v>11015</v>
      </c>
      <c r="T327" s="29">
        <v>91734</v>
      </c>
      <c r="U327" s="29">
        <v>51229</v>
      </c>
      <c r="V327" s="29">
        <v>40505</v>
      </c>
    </row>
    <row r="328" spans="1:22" x14ac:dyDescent="0.2">
      <c r="A328" s="20" t="s">
        <v>177</v>
      </c>
      <c r="B328" s="20" t="s">
        <v>577</v>
      </c>
      <c r="C328" s="25">
        <v>86.2</v>
      </c>
      <c r="D328" s="27">
        <v>1124.0999999999999</v>
      </c>
      <c r="E328" s="25">
        <v>1210.3</v>
      </c>
      <c r="F328" s="25">
        <v>0</v>
      </c>
      <c r="G328" s="29">
        <v>70</v>
      </c>
      <c r="H328" s="27">
        <v>1.7</v>
      </c>
      <c r="I328" s="29">
        <v>1192</v>
      </c>
      <c r="J328" s="29">
        <v>356942</v>
      </c>
      <c r="K328" s="29">
        <v>0</v>
      </c>
      <c r="L328" s="29">
        <v>356942</v>
      </c>
      <c r="M328" s="29">
        <v>65643</v>
      </c>
      <c r="N328" s="29">
        <v>72116</v>
      </c>
      <c r="O328" s="29">
        <v>0</v>
      </c>
      <c r="P328" s="29">
        <v>33416</v>
      </c>
      <c r="Q328" s="29">
        <v>3897</v>
      </c>
      <c r="R328" s="29">
        <v>532014</v>
      </c>
      <c r="S328" s="29">
        <v>51123</v>
      </c>
      <c r="T328" s="29">
        <v>480891</v>
      </c>
      <c r="U328" s="29">
        <v>268190</v>
      </c>
      <c r="V328" s="29">
        <v>212701</v>
      </c>
    </row>
    <row r="329" spans="1:22" x14ac:dyDescent="0.2">
      <c r="A329" s="20" t="s">
        <v>143</v>
      </c>
      <c r="B329" s="20" t="s">
        <v>546</v>
      </c>
      <c r="C329" s="25">
        <v>71.540000000000006</v>
      </c>
      <c r="D329" s="27">
        <v>828.6</v>
      </c>
      <c r="E329" s="25">
        <v>900.14</v>
      </c>
      <c r="F329" s="25">
        <v>0</v>
      </c>
      <c r="G329" s="29">
        <v>3</v>
      </c>
      <c r="H329" s="27">
        <v>0</v>
      </c>
      <c r="I329" s="29">
        <v>832</v>
      </c>
      <c r="J329" s="29">
        <v>267198</v>
      </c>
      <c r="K329" s="29">
        <v>0</v>
      </c>
      <c r="L329" s="29">
        <v>267198</v>
      </c>
      <c r="M329" s="29">
        <v>45668</v>
      </c>
      <c r="N329" s="29">
        <v>49837</v>
      </c>
      <c r="O329" s="29">
        <v>0</v>
      </c>
      <c r="P329" s="29">
        <v>24178</v>
      </c>
      <c r="Q329" s="29">
        <v>2844</v>
      </c>
      <c r="R329" s="29">
        <v>389725</v>
      </c>
      <c r="S329" s="29">
        <v>40568</v>
      </c>
      <c r="T329" s="29">
        <v>349157</v>
      </c>
      <c r="U329" s="29">
        <v>196187</v>
      </c>
      <c r="V329" s="29">
        <v>152970</v>
      </c>
    </row>
    <row r="330" spans="1:22" x14ac:dyDescent="0.2">
      <c r="A330" s="20" t="s">
        <v>345</v>
      </c>
      <c r="B330" s="20" t="s">
        <v>738</v>
      </c>
      <c r="C330" s="25">
        <v>38.119999999999997</v>
      </c>
      <c r="D330" s="27">
        <v>339.3</v>
      </c>
      <c r="E330" s="25">
        <v>377.42</v>
      </c>
      <c r="F330" s="25">
        <v>0</v>
      </c>
      <c r="G330" s="29">
        <v>0</v>
      </c>
      <c r="H330" s="27">
        <v>0</v>
      </c>
      <c r="I330" s="29">
        <v>339</v>
      </c>
      <c r="J330" s="29">
        <v>110675</v>
      </c>
      <c r="K330" s="29">
        <v>5053</v>
      </c>
      <c r="L330" s="29">
        <v>115728</v>
      </c>
      <c r="M330" s="29">
        <v>18662</v>
      </c>
      <c r="N330" s="29">
        <v>20499</v>
      </c>
      <c r="O330" s="29">
        <v>0</v>
      </c>
      <c r="P330" s="29">
        <v>11321</v>
      </c>
      <c r="Q330" s="29">
        <v>1230</v>
      </c>
      <c r="R330" s="29">
        <v>167440</v>
      </c>
      <c r="S330" s="29">
        <v>18261</v>
      </c>
      <c r="T330" s="29">
        <v>149179</v>
      </c>
      <c r="U330" s="29">
        <v>82229</v>
      </c>
      <c r="V330" s="29">
        <v>66950</v>
      </c>
    </row>
    <row r="331" spans="1:22" x14ac:dyDescent="0.2">
      <c r="A331" s="20" t="s">
        <v>231</v>
      </c>
      <c r="B331" s="20" t="s">
        <v>628</v>
      </c>
      <c r="C331" s="25">
        <v>193.89</v>
      </c>
      <c r="D331" s="27">
        <v>1710.4</v>
      </c>
      <c r="E331" s="25">
        <v>1904.29</v>
      </c>
      <c r="F331" s="25">
        <v>0</v>
      </c>
      <c r="G331" s="29">
        <v>19</v>
      </c>
      <c r="H331" s="27">
        <v>0</v>
      </c>
      <c r="I331" s="29">
        <v>1729</v>
      </c>
      <c r="J331" s="29">
        <v>548093</v>
      </c>
      <c r="K331" s="29">
        <v>0</v>
      </c>
      <c r="L331" s="29">
        <v>548093</v>
      </c>
      <c r="M331" s="29">
        <v>95009</v>
      </c>
      <c r="N331" s="29">
        <v>104293</v>
      </c>
      <c r="O331" s="29">
        <v>0</v>
      </c>
      <c r="P331" s="29">
        <v>45398</v>
      </c>
      <c r="Q331" s="29">
        <v>5770</v>
      </c>
      <c r="R331" s="29">
        <v>798563</v>
      </c>
      <c r="S331" s="29">
        <v>70332</v>
      </c>
      <c r="T331" s="29">
        <v>728231</v>
      </c>
      <c r="U331" s="29">
        <v>424536</v>
      </c>
      <c r="V331" s="29">
        <v>303695</v>
      </c>
    </row>
    <row r="332" spans="1:22" x14ac:dyDescent="0.2">
      <c r="A332" s="20" t="s">
        <v>311</v>
      </c>
      <c r="B332" s="20" t="s">
        <v>705</v>
      </c>
      <c r="C332" s="25">
        <v>38.76</v>
      </c>
      <c r="D332" s="27">
        <v>470</v>
      </c>
      <c r="E332" s="25">
        <v>508.76</v>
      </c>
      <c r="F332" s="25">
        <v>0</v>
      </c>
      <c r="G332" s="29">
        <v>3</v>
      </c>
      <c r="H332" s="27">
        <v>0</v>
      </c>
      <c r="I332" s="29">
        <v>473</v>
      </c>
      <c r="J332" s="29">
        <v>150532</v>
      </c>
      <c r="K332" s="29">
        <v>3954</v>
      </c>
      <c r="L332" s="29">
        <v>154486</v>
      </c>
      <c r="M332" s="29">
        <v>26053</v>
      </c>
      <c r="N332" s="29">
        <v>28806</v>
      </c>
      <c r="O332" s="29">
        <v>0</v>
      </c>
      <c r="P332" s="29">
        <v>15830</v>
      </c>
      <c r="Q332" s="29">
        <v>1689</v>
      </c>
      <c r="R332" s="29">
        <v>226864</v>
      </c>
      <c r="S332" s="29">
        <v>25428</v>
      </c>
      <c r="T332" s="29">
        <v>201436</v>
      </c>
      <c r="U332" s="29">
        <v>110632</v>
      </c>
      <c r="V332" s="29">
        <v>90804</v>
      </c>
    </row>
    <row r="333" spans="1:22" x14ac:dyDescent="0.2">
      <c r="A333" s="20" t="s">
        <v>266</v>
      </c>
      <c r="B333" s="20" t="s">
        <v>663</v>
      </c>
      <c r="C333" s="25">
        <v>82.15</v>
      </c>
      <c r="D333" s="27">
        <v>549.9</v>
      </c>
      <c r="E333" s="25">
        <v>632.04999999999995</v>
      </c>
      <c r="F333" s="25">
        <v>0</v>
      </c>
      <c r="G333" s="29">
        <v>1</v>
      </c>
      <c r="H333" s="27">
        <v>0</v>
      </c>
      <c r="I333" s="29">
        <v>551</v>
      </c>
      <c r="J333" s="29">
        <v>191170</v>
      </c>
      <c r="K333" s="29">
        <v>1817</v>
      </c>
      <c r="L333" s="29">
        <v>192987</v>
      </c>
      <c r="M333" s="29">
        <v>30503</v>
      </c>
      <c r="N333" s="29">
        <v>34217</v>
      </c>
      <c r="O333" s="29">
        <v>0</v>
      </c>
      <c r="P333" s="29">
        <v>19393</v>
      </c>
      <c r="Q333" s="29">
        <v>2319</v>
      </c>
      <c r="R333" s="29">
        <v>279419</v>
      </c>
      <c r="S333" s="29">
        <v>27534</v>
      </c>
      <c r="T333" s="29">
        <v>251885</v>
      </c>
      <c r="U333" s="29">
        <v>141446</v>
      </c>
      <c r="V333" s="29">
        <v>110439</v>
      </c>
    </row>
    <row r="334" spans="1:22" x14ac:dyDescent="0.2">
      <c r="A334" s="20" t="s">
        <v>232</v>
      </c>
      <c r="B334" s="20" t="s">
        <v>629</v>
      </c>
      <c r="C334" s="25">
        <v>87.97</v>
      </c>
      <c r="D334" s="27">
        <v>960.2</v>
      </c>
      <c r="E334" s="25">
        <v>1048.17</v>
      </c>
      <c r="F334" s="25">
        <v>0</v>
      </c>
      <c r="G334" s="29">
        <v>38</v>
      </c>
      <c r="H334" s="27">
        <v>0</v>
      </c>
      <c r="I334" s="29">
        <v>998</v>
      </c>
      <c r="J334" s="29">
        <v>301684</v>
      </c>
      <c r="K334" s="29">
        <v>0</v>
      </c>
      <c r="L334" s="29">
        <v>301684</v>
      </c>
      <c r="M334" s="29">
        <v>54840</v>
      </c>
      <c r="N334" s="29">
        <v>60199</v>
      </c>
      <c r="O334" s="29">
        <v>0</v>
      </c>
      <c r="P334" s="29">
        <v>24988</v>
      </c>
      <c r="Q334" s="29">
        <v>3176</v>
      </c>
      <c r="R334" s="29">
        <v>444887</v>
      </c>
      <c r="S334" s="29">
        <v>30067</v>
      </c>
      <c r="T334" s="29">
        <v>414820</v>
      </c>
      <c r="U334" s="29">
        <v>242321</v>
      </c>
      <c r="V334" s="29">
        <v>172499</v>
      </c>
    </row>
    <row r="335" spans="1:22" x14ac:dyDescent="0.2">
      <c r="A335" s="24" t="s">
        <v>401</v>
      </c>
      <c r="B335" s="24"/>
      <c r="C335" s="26">
        <v>65239.400000000031</v>
      </c>
      <c r="D335" s="28">
        <v>486264.29999999981</v>
      </c>
      <c r="E335" s="26">
        <v>551503.70000000065</v>
      </c>
      <c r="F335" s="26">
        <v>98.089999999999989</v>
      </c>
      <c r="G335" s="30">
        <v>34393</v>
      </c>
      <c r="H335" s="28">
        <v>227.00000000000003</v>
      </c>
      <c r="I335" s="30">
        <v>520443</v>
      </c>
      <c r="J335" s="30">
        <v>163138292</v>
      </c>
      <c r="K335" s="30">
        <v>1751058</v>
      </c>
      <c r="L335" s="30">
        <v>164889350</v>
      </c>
      <c r="M335" s="30">
        <v>28687769</v>
      </c>
      <c r="N335" s="30">
        <v>31697300</v>
      </c>
      <c r="O335" s="30">
        <v>30000</v>
      </c>
      <c r="P335" s="30">
        <v>15973843</v>
      </c>
      <c r="Q335" s="30">
        <v>1874985</v>
      </c>
      <c r="R335" s="30">
        <v>243153247</v>
      </c>
      <c r="S335" s="30">
        <v>22500000</v>
      </c>
      <c r="T335" s="30">
        <v>220653247</v>
      </c>
      <c r="U335" s="30">
        <v>123872044</v>
      </c>
      <c r="V335" s="30">
        <v>96781203</v>
      </c>
    </row>
    <row r="336" spans="1:22" ht="15" x14ac:dyDescent="0.25">
      <c r="A336"/>
      <c r="B336"/>
      <c r="C336"/>
      <c r="D336"/>
      <c r="E336"/>
      <c r="F336"/>
      <c r="G336"/>
      <c r="H336"/>
      <c r="I336"/>
      <c r="J336"/>
      <c r="K336"/>
      <c r="L336"/>
      <c r="M336"/>
      <c r="N336"/>
      <c r="O336"/>
      <c r="P336"/>
      <c r="Q336"/>
      <c r="R336"/>
      <c r="S336"/>
      <c r="T336"/>
      <c r="U336"/>
      <c r="V336"/>
    </row>
    <row r="337" spans="1:22" ht="15" x14ac:dyDescent="0.25">
      <c r="A337"/>
      <c r="B337"/>
      <c r="C337"/>
      <c r="D337"/>
      <c r="E337"/>
      <c r="F337"/>
      <c r="G337"/>
      <c r="H337"/>
      <c r="I337"/>
      <c r="J337"/>
      <c r="K337"/>
      <c r="L337"/>
      <c r="M337"/>
      <c r="N337"/>
      <c r="O337"/>
      <c r="P337"/>
      <c r="Q337"/>
      <c r="R337"/>
      <c r="S337"/>
      <c r="T337"/>
      <c r="U337"/>
      <c r="V337"/>
    </row>
    <row r="338" spans="1:22" ht="15" x14ac:dyDescent="0.25">
      <c r="A338"/>
      <c r="B338"/>
      <c r="C338"/>
      <c r="D338"/>
      <c r="E338"/>
      <c r="F338"/>
      <c r="G338"/>
      <c r="H338"/>
      <c r="I338"/>
      <c r="J338"/>
      <c r="K338"/>
      <c r="L338"/>
      <c r="M338"/>
      <c r="N338"/>
      <c r="O338"/>
      <c r="P338"/>
      <c r="Q338"/>
      <c r="R338"/>
      <c r="S338"/>
      <c r="T338"/>
      <c r="U338"/>
      <c r="V338"/>
    </row>
  </sheetData>
  <mergeCells count="1">
    <mergeCell ref="B1:B3"/>
  </mergeCells>
  <pageMargins left="0.25" right="0.25" top="0.75" bottom="0.75" header="0.3" footer="0.3"/>
  <pageSetup scale="84" fitToWidth="2" fitToHeight="2"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Summary</vt:lpstr>
      <vt:lpstr>Detail</vt:lpstr>
      <vt:lpstr>Detail By AEA</vt:lpstr>
      <vt:lpstr>Detail!Print_Area</vt:lpstr>
      <vt:lpstr>Summary!Print_Area</vt:lpstr>
      <vt:lpstr>Detail!Print_Titles</vt:lpstr>
      <vt:lpstr>'Detail By AEA'!Print_Titles</vt:lpstr>
    </vt:vector>
  </TitlesOfParts>
  <Company>State of Iowa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Management</dc:creator>
  <cp:lastModifiedBy>Parker, John </cp:lastModifiedBy>
  <cp:lastPrinted>2018-06-21T15:55:44Z</cp:lastPrinted>
  <dcterms:created xsi:type="dcterms:W3CDTF">2017-04-24T18:31:54Z</dcterms:created>
  <dcterms:modified xsi:type="dcterms:W3CDTF">2018-06-21T16:17:11Z</dcterms:modified>
</cp:coreProperties>
</file>