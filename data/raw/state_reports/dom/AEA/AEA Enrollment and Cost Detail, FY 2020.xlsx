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0" yWindow="60" windowWidth="16275" windowHeight="13605"/>
  </bookViews>
  <sheets>
    <sheet name="Summary" sheetId="2" r:id="rId1"/>
    <sheet name="Detail" sheetId="1" r:id="rId2"/>
    <sheet name="Detail By AEA" sheetId="4" r:id="rId3"/>
  </sheets>
  <definedNames>
    <definedName name="AEA_Name">#REF!</definedName>
    <definedName name="_xlnm.Print_Area" localSheetId="1">Detail!$A$1:$AC$329</definedName>
    <definedName name="_xlnm.Print_Area" localSheetId="0">Summary!$A$1:$K$38</definedName>
    <definedName name="_xlnm.Print_Titles" localSheetId="1">Detail!$1:$2</definedName>
    <definedName name="_xlnm.Print_Titles" localSheetId="2">'Detail By AEA'!$A:$B,'Detail By AEA'!$4:$4</definedName>
    <definedName name="Slicer_AEA_Name">#N/A</definedName>
  </definedNames>
  <calcPr calcId="145621"/>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 i="4" l="1"/>
  <c r="I27" i="2" l="1"/>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J3" i="2" s="1"/>
  <c r="A4" i="2" l="1" a="1"/>
  <c r="A4" i="2" s="1"/>
  <c r="D4" i="2" s="1"/>
  <c r="E3" i="2"/>
  <c r="G3" i="2"/>
  <c r="I3" i="2"/>
  <c r="K3" i="2"/>
  <c r="A16" i="2"/>
  <c r="C16" i="2" s="1"/>
  <c r="D3" i="2"/>
  <c r="F3" i="2"/>
  <c r="H3" i="2"/>
  <c r="C3" i="2"/>
  <c r="B3" i="2"/>
  <c r="B16" i="2" s="1"/>
  <c r="B29" i="2" s="1"/>
  <c r="D16" i="2" l="1"/>
  <c r="A29" i="2"/>
  <c r="D29" i="2" s="1"/>
  <c r="G16" i="2"/>
  <c r="J16" i="2"/>
  <c r="F16" i="2"/>
  <c r="I16" i="2"/>
  <c r="E16" i="2"/>
  <c r="H16" i="2"/>
  <c r="A5" i="2" a="1"/>
  <c r="A5" i="2" s="1"/>
  <c r="B5" i="2" s="1"/>
  <c r="B18" i="2" s="1"/>
  <c r="B31" i="2" s="1"/>
  <c r="G4" i="2"/>
  <c r="J4" i="2"/>
  <c r="H4" i="2"/>
  <c r="C4" i="2"/>
  <c r="A17" i="2"/>
  <c r="F4" i="2"/>
  <c r="K4" i="2"/>
  <c r="I4" i="2"/>
  <c r="B4" i="2"/>
  <c r="B17" i="2" s="1"/>
  <c r="B30" i="2" s="1"/>
  <c r="E4" i="2"/>
  <c r="I29" i="2" l="1"/>
  <c r="H29" i="2"/>
  <c r="E29" i="2"/>
  <c r="G29" i="2"/>
  <c r="F29" i="2"/>
  <c r="C29" i="2"/>
  <c r="D17" i="2"/>
  <c r="A30" i="2"/>
  <c r="G17" i="2"/>
  <c r="C17" i="2"/>
  <c r="I17" i="2"/>
  <c r="F17" i="2"/>
  <c r="J17" i="2"/>
  <c r="E17" i="2"/>
  <c r="H17" i="2"/>
  <c r="A6" i="2" a="1"/>
  <c r="A6" i="2" s="1"/>
  <c r="B6" i="2" s="1"/>
  <c r="B19" i="2" s="1"/>
  <c r="B32" i="2" s="1"/>
  <c r="H5" i="2"/>
  <c r="I5" i="2"/>
  <c r="K5" i="2"/>
  <c r="G5" i="2"/>
  <c r="J5" i="2"/>
  <c r="A18" i="2"/>
  <c r="E5" i="2"/>
  <c r="C5" i="2"/>
  <c r="D5" i="2"/>
  <c r="F5" i="2"/>
  <c r="I30" i="2" l="1"/>
  <c r="H18" i="2"/>
  <c r="G18" i="2"/>
  <c r="C18" i="2"/>
  <c r="A31" i="2"/>
  <c r="D18" i="2"/>
  <c r="I18" i="2"/>
  <c r="E18" i="2"/>
  <c r="J18" i="2"/>
  <c r="F18" i="2"/>
  <c r="G30" i="2"/>
  <c r="C30" i="2"/>
  <c r="D30" i="2"/>
  <c r="H30" i="2"/>
  <c r="E30" i="2"/>
  <c r="F30" i="2"/>
  <c r="A7" i="2" a="1"/>
  <c r="A7" i="2" s="1"/>
  <c r="B7" i="2" s="1"/>
  <c r="B20" i="2" s="1"/>
  <c r="B33" i="2" s="1"/>
  <c r="C6" i="2"/>
  <c r="K6" i="2"/>
  <c r="D6" i="2"/>
  <c r="A19" i="2"/>
  <c r="J6" i="2"/>
  <c r="I6" i="2"/>
  <c r="G6" i="2"/>
  <c r="H6" i="2"/>
  <c r="F6" i="2"/>
  <c r="E6" i="2"/>
  <c r="I31" i="2" l="1"/>
  <c r="C19" i="2"/>
  <c r="A32" i="2"/>
  <c r="D19" i="2"/>
  <c r="G19" i="2"/>
  <c r="H19" i="2"/>
  <c r="F19" i="2"/>
  <c r="J19" i="2"/>
  <c r="E19" i="2"/>
  <c r="I19" i="2"/>
  <c r="F31" i="2"/>
  <c r="C31" i="2"/>
  <c r="G31" i="2"/>
  <c r="D31" i="2"/>
  <c r="H31" i="2"/>
  <c r="E31" i="2"/>
  <c r="A8" i="2" a="1"/>
  <c r="A8" i="2" s="1"/>
  <c r="A20" i="2"/>
  <c r="J7" i="2"/>
  <c r="D7" i="2"/>
  <c r="H7" i="2"/>
  <c r="I7" i="2"/>
  <c r="K7" i="2"/>
  <c r="C7" i="2"/>
  <c r="E7" i="2"/>
  <c r="G7" i="2"/>
  <c r="F7" i="2"/>
  <c r="I32" i="2" l="1"/>
  <c r="E32" i="2"/>
  <c r="G32" i="2"/>
  <c r="C32" i="2"/>
  <c r="D32" i="2"/>
  <c r="H32" i="2"/>
  <c r="F32" i="2"/>
  <c r="D20" i="2"/>
  <c r="C20" i="2"/>
  <c r="A33" i="2"/>
  <c r="J20" i="2"/>
  <c r="E20" i="2"/>
  <c r="G20" i="2"/>
  <c r="F20" i="2"/>
  <c r="H20" i="2"/>
  <c r="I20" i="2"/>
  <c r="H8" i="2"/>
  <c r="A21" i="2"/>
  <c r="C8" i="2"/>
  <c r="K8" i="2"/>
  <c r="J8" i="2"/>
  <c r="I8" i="2"/>
  <c r="G8" i="2"/>
  <c r="F8" i="2"/>
  <c r="E8" i="2"/>
  <c r="D8" i="2"/>
  <c r="B8" i="2"/>
  <c r="B21" i="2" s="1"/>
  <c r="B34" i="2" s="1"/>
  <c r="A9" i="2" a="1"/>
  <c r="A9" i="2" s="1"/>
  <c r="I33" i="2" l="1"/>
  <c r="D21" i="2"/>
  <c r="A34" i="2"/>
  <c r="G21" i="2"/>
  <c r="I21" i="2"/>
  <c r="C21" i="2"/>
  <c r="H21" i="2"/>
  <c r="F21" i="2"/>
  <c r="E21" i="2"/>
  <c r="J21" i="2"/>
  <c r="D33" i="2"/>
  <c r="C33" i="2"/>
  <c r="H33" i="2"/>
  <c r="E33" i="2"/>
  <c r="G33" i="2"/>
  <c r="F33" i="2"/>
  <c r="A10" i="2" a="1"/>
  <c r="A10" i="2" s="1"/>
  <c r="B10" i="2" s="1"/>
  <c r="B23" i="2" s="1"/>
  <c r="B36" i="2" s="1"/>
  <c r="I9" i="2"/>
  <c r="E9" i="2"/>
  <c r="K9" i="2"/>
  <c r="J9" i="2"/>
  <c r="A22" i="2"/>
  <c r="H9" i="2"/>
  <c r="C9" i="2"/>
  <c r="D9" i="2"/>
  <c r="G9" i="2"/>
  <c r="F9" i="2"/>
  <c r="B9" i="2"/>
  <c r="B22" i="2" s="1"/>
  <c r="B35" i="2" s="1"/>
  <c r="I34" i="2" l="1"/>
  <c r="G34" i="2"/>
  <c r="F34" i="2"/>
  <c r="H34" i="2"/>
  <c r="E34" i="2"/>
  <c r="C34" i="2"/>
  <c r="D34" i="2"/>
  <c r="G22" i="2"/>
  <c r="D22" i="2"/>
  <c r="A35" i="2"/>
  <c r="C22" i="2"/>
  <c r="E22" i="2"/>
  <c r="I22" i="2"/>
  <c r="J22" i="2"/>
  <c r="H22" i="2"/>
  <c r="F22" i="2"/>
  <c r="K10" i="2"/>
  <c r="A23" i="2"/>
  <c r="J10" i="2"/>
  <c r="I10" i="2"/>
  <c r="C10" i="2"/>
  <c r="D10" i="2"/>
  <c r="F10" i="2"/>
  <c r="G10" i="2"/>
  <c r="H10" i="2"/>
  <c r="E10" i="2"/>
  <c r="A11" i="2" a="1"/>
  <c r="A11" i="2" s="1"/>
  <c r="I35" i="2" l="1"/>
  <c r="C23" i="2"/>
  <c r="A36" i="2"/>
  <c r="G23" i="2"/>
  <c r="D23" i="2"/>
  <c r="I23" i="2"/>
  <c r="J23" i="2"/>
  <c r="F23" i="2"/>
  <c r="E23" i="2"/>
  <c r="H23" i="2"/>
  <c r="F35" i="2"/>
  <c r="G35" i="2"/>
  <c r="D35" i="2"/>
  <c r="E35" i="2"/>
  <c r="C35" i="2"/>
  <c r="H35" i="2"/>
  <c r="J11" i="2"/>
  <c r="H11" i="2"/>
  <c r="H12" i="2" s="1"/>
  <c r="I11" i="2"/>
  <c r="A24" i="2"/>
  <c r="K11" i="2"/>
  <c r="C11" i="2"/>
  <c r="C12" i="2" s="1"/>
  <c r="D11" i="2"/>
  <c r="D12" i="2" s="1"/>
  <c r="G11" i="2"/>
  <c r="G12" i="2" s="1"/>
  <c r="F11" i="2"/>
  <c r="F12" i="2" s="1"/>
  <c r="E11" i="2"/>
  <c r="E12" i="2" s="1"/>
  <c r="B11" i="2"/>
  <c r="B24" i="2" s="1"/>
  <c r="B37" i="2" s="1"/>
  <c r="I36" i="2" l="1"/>
  <c r="D24" i="2"/>
  <c r="C24" i="2"/>
  <c r="A37" i="2"/>
  <c r="G24" i="2"/>
  <c r="G25" i="2" s="1"/>
  <c r="J24" i="2"/>
  <c r="J25" i="2" s="1"/>
  <c r="E24" i="2"/>
  <c r="E25" i="2" s="1"/>
  <c r="I24" i="2"/>
  <c r="I25" i="2" s="1"/>
  <c r="F24" i="2"/>
  <c r="F25" i="2" s="1"/>
  <c r="H24" i="2"/>
  <c r="H25" i="2" s="1"/>
  <c r="E36" i="2"/>
  <c r="C36" i="2"/>
  <c r="F36" i="2"/>
  <c r="H36" i="2"/>
  <c r="G36" i="2"/>
  <c r="D36" i="2"/>
  <c r="I37" i="2" l="1"/>
  <c r="I38" i="2" s="1"/>
  <c r="H37" i="2"/>
  <c r="H38" i="2" s="1"/>
  <c r="D37" i="2"/>
  <c r="D38" i="2" s="1"/>
  <c r="C37" i="2"/>
  <c r="C38" i="2" s="1"/>
  <c r="G37" i="2"/>
  <c r="G38" i="2" s="1"/>
  <c r="E37" i="2"/>
  <c r="E38" i="2" s="1"/>
  <c r="F37" i="2"/>
  <c r="F38" i="2" s="1"/>
</calcChain>
</file>

<file path=xl/sharedStrings.xml><?xml version="1.0" encoding="utf-8"?>
<sst xmlns="http://schemas.openxmlformats.org/spreadsheetml/2006/main" count="1493" uniqueCount="744">
  <si>
    <t>01</t>
  </si>
  <si>
    <t>0135</t>
  </si>
  <si>
    <t>1080</t>
  </si>
  <si>
    <t>2763</t>
  </si>
  <si>
    <t>1638</t>
  </si>
  <si>
    <t>1863</t>
  </si>
  <si>
    <t>1972</t>
  </si>
  <si>
    <t>1989</t>
  </si>
  <si>
    <t>3029</t>
  </si>
  <si>
    <t>4043</t>
  </si>
  <si>
    <t>4419</t>
  </si>
  <si>
    <t>4662</t>
  </si>
  <si>
    <t>4774</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</si>
  <si>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</si>
  <si>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</si>
  <si>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</si>
  <si>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</si>
  <si>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</si>
  <si>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</si>
  <si>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</si>
  <si>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</si>
  <si>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</si>
  <si>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</si>
  <si>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</si>
  <si>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</si>
  <si>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</si>
  <si>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</si>
  <si>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</si>
  <si>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</si>
  <si>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</si>
  <si>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</si>
  <si>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</si>
  <si>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</si>
  <si>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</si>
  <si>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</si>
  <si>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</si>
  <si>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</si>
  <si>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</si>
  <si>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</si>
  <si>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3897</t>
  </si>
  <si>
    <t>4023</t>
  </si>
  <si>
    <t>4644</t>
  </si>
  <si>
    <t>4778</t>
  </si>
  <si>
    <t>0333</t>
  </si>
  <si>
    <t>4860</t>
  </si>
  <si>
    <t>4890</t>
  </si>
  <si>
    <t>5139</t>
  </si>
  <si>
    <t>5283</t>
  </si>
  <si>
    <t>5323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</si>
  <si>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</si>
  <si>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</si>
  <si>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</si>
  <si>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</si>
  <si>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</si>
  <si>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</si>
  <si>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</si>
  <si>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</si>
  <si>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</si>
  <si>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</si>
  <si>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</si>
  <si>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</si>
  <si>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</si>
  <si>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</si>
  <si>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</si>
  <si>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</si>
  <si>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</si>
  <si>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</si>
  <si>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</si>
  <si>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</si>
  <si>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</si>
  <si>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</si>
  <si>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</si>
  <si>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</si>
  <si>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</si>
  <si>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</si>
  <si>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</si>
  <si>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</si>
  <si>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</si>
  <si>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</si>
  <si>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</si>
  <si>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</si>
  <si>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</si>
  <si>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</si>
  <si>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</si>
  <si>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</si>
  <si>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</si>
  <si>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</si>
  <si>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</si>
  <si>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</si>
  <si>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</si>
  <si>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</si>
  <si>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</si>
  <si>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</si>
  <si>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</si>
  <si>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</si>
  <si>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</si>
  <si>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</si>
  <si>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</si>
  <si>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</si>
  <si>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</si>
  <si>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</si>
  <si>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</si>
  <si>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</si>
  <si>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</si>
  <si>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</si>
  <si>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</si>
  <si>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</si>
  <si>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</si>
  <si>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</si>
  <si>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</si>
  <si>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</si>
  <si>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</si>
  <si>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</si>
  <si>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</si>
  <si>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</si>
  <si>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</si>
  <si>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</si>
  <si>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</si>
  <si>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</si>
  <si>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</si>
  <si>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</si>
  <si>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</si>
  <si>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</si>
  <si>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</si>
  <si>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</si>
  <si>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</si>
  <si>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</si>
  <si>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</si>
  <si>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</si>
  <si>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</si>
  <si>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</si>
  <si>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</si>
  <si>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</si>
  <si>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</si>
  <si>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</si>
  <si>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</si>
  <si>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</si>
  <si>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</si>
  <si>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</si>
  <si>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</si>
  <si>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</si>
  <si>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</si>
  <si>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</si>
  <si>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</si>
  <si>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</si>
  <si>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</si>
  <si>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</si>
  <si>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</si>
  <si>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</si>
  <si>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</si>
  <si>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</si>
  <si>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</si>
  <si>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</si>
  <si>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</si>
  <si>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</si>
  <si>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</si>
  <si>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</si>
  <si>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</si>
  <si>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</si>
  <si>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</si>
  <si>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</si>
  <si>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</si>
  <si>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</si>
  <si>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</si>
  <si>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</si>
  <si>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</si>
  <si>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</si>
  <si>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</si>
  <si>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</si>
  <si>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</si>
  <si>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</si>
  <si>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</si>
  <si>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</si>
  <si>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</si>
  <si>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</si>
  <si>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</si>
  <si>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</si>
  <si>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</si>
  <si>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</si>
  <si>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</si>
  <si>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</si>
  <si>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</si>
  <si>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</si>
  <si>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</si>
  <si>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</si>
  <si>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</si>
  <si>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</si>
  <si>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</si>
  <si>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</si>
  <si>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</si>
  <si>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</si>
  <si>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</si>
  <si>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</si>
  <si>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</si>
  <si>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</si>
  <si>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</si>
  <si>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</si>
  <si>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</si>
  <si>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</si>
  <si>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</si>
  <si>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</si>
  <si>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</si>
  <si>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</si>
  <si>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</si>
  <si>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</si>
  <si>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</si>
  <si>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</si>
  <si>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</si>
  <si>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</si>
  <si>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</si>
  <si>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</si>
  <si>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</si>
  <si>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</si>
  <si>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</si>
  <si>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</si>
  <si>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</si>
  <si>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</si>
  <si>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</si>
  <si>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</si>
  <si>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</si>
  <si>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</si>
  <si>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</si>
  <si>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</si>
  <si>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</si>
  <si>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</si>
  <si>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</si>
  <si>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</si>
  <si>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</si>
  <si>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</si>
  <si>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</si>
  <si>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</si>
  <si>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</si>
  <si>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</si>
  <si>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</si>
  <si>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</si>
  <si>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</si>
  <si>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</si>
  <si>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</si>
  <si>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</si>
  <si>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</si>
  <si>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</si>
  <si>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</si>
  <si>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</si>
  <si>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</si>
  <si>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</si>
  <si>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</si>
  <si>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</si>
  <si>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</si>
  <si>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</si>
  <si>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</si>
  <si>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</si>
  <si>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</si>
  <si>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</si>
  <si>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</si>
  <si>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</si>
  <si>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</si>
  <si>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</si>
  <si>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</si>
  <si>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</si>
  <si>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</si>
  <si>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</si>
  <si>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</si>
  <si>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</si>
  <si>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</si>
  <si>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</si>
  <si>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</si>
  <si>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</si>
  <si>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</si>
  <si>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</si>
  <si>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</si>
  <si>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</si>
  <si>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</si>
  <si>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</si>
  <si>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</si>
  <si>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</si>
  <si>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</si>
  <si>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</si>
  <si>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</si>
  <si>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</si>
  <si>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</si>
  <si>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</si>
  <si>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</si>
  <si>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</si>
  <si>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</si>
  <si>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</si>
  <si>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</si>
  <si>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</si>
  <si>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</si>
  <si>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</si>
  <si>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</si>
  <si>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</si>
  <si>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</si>
  <si>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</si>
  <si>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</si>
  <si>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</si>
  <si>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</si>
  <si>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</si>
  <si>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</si>
  <si>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</si>
  <si>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</si>
  <si>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</si>
  <si>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</si>
  <si>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</si>
  <si>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</si>
  <si>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</si>
  <si>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</si>
  <si>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</si>
  <si>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</si>
  <si>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</si>
  <si>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</si>
  <si>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</si>
  <si>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</si>
  <si>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</si>
  <si>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</si>
  <si>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</si>
  <si>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</si>
  <si>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</si>
  <si>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</si>
  <si>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</si>
  <si>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</si>
  <si>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</si>
  <si>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</si>
  <si>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</si>
  <si>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</si>
  <si>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</si>
  <si>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</si>
  <si>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</si>
  <si>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</si>
  <si>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</si>
  <si>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</si>
  <si>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</si>
  <si>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</si>
  <si>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</si>
  <si>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</si>
  <si>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</si>
  <si>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</si>
  <si>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</si>
  <si>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</si>
  <si>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</si>
  <si>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</si>
  <si>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</si>
  <si>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</si>
  <si>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</si>
  <si>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</si>
  <si>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</si>
  <si>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</si>
  <si>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</si>
  <si>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</si>
  <si>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</si>
  <si>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</si>
  <si>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</si>
  <si>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</si>
  <si>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</si>
  <si>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</si>
  <si>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</si>
  <si>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</si>
  <si>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Media Services District Cost</t>
  </si>
  <si>
    <t>AEA Ed Services District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</si>
  <si>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</si>
  <si>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</si>
  <si>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</si>
  <si>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</si>
  <si>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</si>
  <si>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</si>
  <si>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</si>
  <si>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</si>
  <si>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</si>
  <si>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</si>
  <si>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</si>
  <si>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</si>
  <si>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</si>
  <si>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</si>
  <si>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</si>
  <si>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</si>
  <si>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</si>
  <si>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</si>
  <si>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</si>
  <si>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</si>
  <si>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</si>
  <si>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Prof Dev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</si>
  <si>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</si>
  <si>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</si>
  <si>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</si>
  <si>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</si>
  <si>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</si>
  <si>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</si>
  <si>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</si>
  <si>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</si>
  <si>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</si>
  <si>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</si>
  <si>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</si>
  <si>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Professional Development Supplement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</si>
  <si>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</si>
  <si>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</si>
  <si>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</si>
  <si>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</si>
  <si>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</si>
  <si>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</si>
  <si>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</si>
  <si>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</si>
  <si>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</si>
  <si>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</si>
  <si>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</si>
  <si>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Media Services District Cost </t>
  </si>
  <si>
    <t xml:space="preserve">AEA Ed Services District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</si>
  <si>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</si>
  <si>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</si>
  <si>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</si>
  <si>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</si>
  <si>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</si>
  <si>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</si>
  <si>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</si>
  <si>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</si>
  <si>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</si>
  <si>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</si>
  <si>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</si>
  <si>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</si>
  <si>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</si>
  <si>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</si>
  <si>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</si>
  <si>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</si>
  <si>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</si>
  <si>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</si>
  <si>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</si>
  <si>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</si>
  <si>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</si>
  <si>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</si>
  <si>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</si>
  <si>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</si>
  <si>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</si>
  <si>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</si>
  <si>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</si>
  <si>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</si>
  <si>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</si>
  <si>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</si>
  <si>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</si>
  <si>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</si>
  <si>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</si>
  <si>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</si>
  <si>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</si>
  <si>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</si>
  <si>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</si>
  <si>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</si>
  <si>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</si>
  <si>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</si>
  <si>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</si>
  <si>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</si>
  <si>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</si>
  <si>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</si>
  <si>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</si>
  <si>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Lu Verne</t>
  </si>
  <si>
    <t>Manson-Northwest Webster</t>
  </si>
  <si>
    <t>Newell-Fonda</t>
  </si>
  <si>
    <t>North Kossuth</t>
  </si>
  <si>
    <t>North Union</t>
  </si>
  <si>
    <t>Okoboji</t>
  </si>
  <si>
    <t>Paton-Churdan</t>
  </si>
  <si>
    <t>Pocahontas Area</t>
  </si>
  <si>
    <t>Prairie Valley</t>
  </si>
  <si>
    <t>Ruthven-Ayrshire</t>
  </si>
  <si>
    <t>Schaller-Crestland</t>
  </si>
  <si>
    <t>Sioux Central</t>
  </si>
  <si>
    <t>South Central Calhoun</t>
  </si>
  <si>
    <t>South Hamilton</t>
  </si>
  <si>
    <t>Southeast Webster-Grand</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</si>
  <si>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</si>
  <si>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</si>
  <si>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</si>
  <si>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</si>
  <si>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</si>
  <si>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</si>
  <si>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</si>
  <si>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</si>
  <si>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</si>
  <si>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</si>
  <si>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</si>
  <si>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</si>
  <si>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</si>
  <si>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</si>
  <si>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</si>
  <si>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</si>
  <si>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</si>
  <si>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</si>
  <si>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</si>
  <si>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</si>
  <si>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</si>
  <si>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</si>
  <si>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</si>
  <si>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</si>
  <si>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</si>
  <si>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</si>
  <si>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</si>
  <si>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</si>
  <si>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</si>
  <si>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</si>
  <si>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</si>
  <si>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</si>
  <si>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</si>
  <si>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</si>
  <si>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</si>
  <si>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</si>
  <si>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</si>
  <si>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</si>
  <si>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</si>
  <si>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</si>
  <si>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</si>
  <si>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</si>
  <si>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</si>
  <si>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</si>
  <si>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</si>
  <si>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</si>
  <si>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</si>
  <si>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</si>
  <si>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</si>
  <si>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</si>
  <si>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</si>
  <si>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</si>
  <si>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</si>
  <si>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</si>
  <si>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</si>
  <si>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</si>
  <si>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</si>
  <si>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</si>
  <si>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</si>
  <si>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</si>
  <si>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</si>
  <si>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</si>
  <si>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</si>
  <si>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</si>
  <si>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</si>
  <si>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</si>
  <si>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</si>
  <si>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</si>
  <si>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</si>
  <si>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</si>
  <si>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</si>
  <si>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</si>
  <si>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</si>
  <si>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</si>
  <si>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</si>
  <si>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</si>
  <si>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</si>
  <si>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</si>
  <si>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</si>
  <si>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</si>
  <si>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</si>
  <si>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</si>
  <si>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</si>
  <si>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</si>
  <si>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</si>
  <si>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</si>
  <si>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</si>
  <si>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</si>
  <si>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</si>
  <si>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</si>
  <si>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</si>
  <si>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</si>
  <si>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</si>
  <si>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</si>
  <si>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</si>
  <si>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</si>
  <si>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</si>
  <si>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</si>
  <si>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</si>
  <si>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</si>
  <si>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</si>
  <si>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</si>
  <si>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</si>
  <si>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</si>
  <si>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</si>
  <si>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</si>
  <si>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</si>
  <si>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</si>
  <si>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</si>
  <si>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</si>
  <si>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</si>
  <si>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</si>
  <si>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</si>
  <si>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</si>
  <si>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</si>
  <si>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</si>
  <si>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</si>
  <si>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</si>
  <si>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</si>
  <si>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</si>
  <si>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</si>
  <si>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</si>
  <si>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</si>
  <si>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</si>
  <si>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</si>
  <si>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</si>
  <si>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</si>
  <si>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</si>
  <si>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</si>
  <si>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</si>
  <si>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</si>
  <si>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</si>
  <si>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</si>
  <si>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</si>
  <si>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</si>
  <si>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</si>
  <si>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</si>
  <si>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</si>
  <si>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</si>
  <si>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</si>
  <si>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</si>
  <si>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</si>
  <si>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</si>
  <si>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</si>
  <si>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</si>
  <si>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</si>
  <si>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</si>
  <si>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</si>
  <si>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</si>
  <si>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</si>
  <si>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</si>
  <si>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</si>
  <si>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</si>
  <si>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</si>
  <si>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</si>
  <si>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</si>
  <si>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</si>
  <si>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</si>
  <si>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</si>
  <si>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</si>
  <si>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</si>
  <si>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</si>
  <si>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</si>
  <si>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</si>
  <si>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</si>
  <si>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</si>
  <si>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</si>
  <si>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</si>
  <si>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</si>
  <si>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</si>
  <si>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</si>
  <si>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</si>
  <si>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</si>
  <si>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</si>
  <si>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</si>
  <si>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</si>
  <si>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</si>
  <si>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</si>
  <si>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</si>
  <si>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</si>
  <si>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</si>
  <si>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</si>
  <si>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</si>
  <si>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</si>
  <si>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</si>
  <si>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</si>
  <si>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</si>
  <si>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</si>
  <si>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</si>
  <si>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</si>
  <si>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</si>
  <si>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</si>
  <si>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</si>
  <si>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</si>
  <si>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</si>
  <si>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</si>
  <si>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</si>
  <si>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</si>
  <si>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</si>
  <si>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</si>
  <si>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</si>
  <si>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</si>
  <si>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</si>
  <si>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</si>
  <si>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</si>
  <si>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</si>
  <si>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</si>
  <si>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</si>
  <si>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</si>
  <si>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</si>
  <si>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</si>
  <si>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</si>
  <si>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</si>
  <si>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</si>
  <si>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</si>
  <si>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</si>
  <si>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</si>
  <si>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</si>
  <si>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</si>
  <si>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</si>
  <si>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</si>
  <si>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</si>
  <si>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</si>
  <si>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</si>
  <si>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</si>
  <si>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</si>
  <si>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</si>
  <si>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</si>
  <si>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</si>
  <si>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</si>
  <si>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</si>
  <si>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</si>
  <si>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</si>
  <si>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</si>
  <si>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</si>
  <si>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</si>
  <si>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</si>
  <si>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</si>
  <si>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</si>
  <si>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</si>
  <si>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</si>
  <si>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</si>
  <si>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</si>
  <si>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</si>
  <si>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</si>
  <si>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</si>
  <si>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</si>
  <si>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Keokuk</t>
  </si>
  <si>
    <t>Keota</t>
  </si>
  <si>
    <t>Mediapolis</t>
  </si>
  <si>
    <t>Moravia</t>
  </si>
  <si>
    <t>Morning Sun</t>
  </si>
  <si>
    <t>Moulton-Udell</t>
  </si>
  <si>
    <t>Mount Pleasant</t>
  </si>
  <si>
    <t>New London</t>
  </si>
  <si>
    <t>North Mahaska</t>
  </si>
  <si>
    <t>Oskaloosa</t>
  </si>
  <si>
    <t>Ottumwa</t>
  </si>
  <si>
    <t>Pekin</t>
  </si>
  <si>
    <t>Seymour</t>
  </si>
  <si>
    <t>Sigourney</t>
  </si>
  <si>
    <t>Tri-County</t>
  </si>
  <si>
    <t>Waco</t>
  </si>
  <si>
    <t>Wapello</t>
  </si>
  <si>
    <t>Wayne</t>
  </si>
  <si>
    <t>West Burlington</t>
  </si>
  <si>
    <t>Winfield-Mt Union</t>
  </si>
  <si>
    <t>Dist</t>
  </si>
  <si>
    <t>Keystone AEA 1</t>
  </si>
  <si>
    <t>Prairie Lakes AEA 8</t>
  </si>
  <si>
    <t>Central Rivers</t>
  </si>
  <si>
    <t>Mississippi Bend AEA 9</t>
  </si>
  <si>
    <t>Grant Wood AEA 10</t>
  </si>
  <si>
    <t>Heartland AEA 11</t>
  </si>
  <si>
    <t>Northwest AEA</t>
  </si>
  <si>
    <t>Green Hills AEA 13</t>
  </si>
  <si>
    <t>Great Prairie AEA 15</t>
  </si>
  <si>
    <t>Van Buren County</t>
  </si>
  <si>
    <t>FY 2020 AEA Weights and Costs Detail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</si>
</sst>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style="thin">
        <color indexed="64"/>
      </bottom>
      <diagonal/>
    </border>
    <border>
      <left/>
      <right/>
      <top style="thin">
        <color indexed="64"/>
      </top>
      <bottom style="double">
        <color indexed="64"/>
      </bottom>
      <diagonal/>
    </border>
  </borders>
  <cellStyleXfs count="1">
    <xf numFmtId="0" fontId="0" fillId="0" borderId="0"/>
  </cellStyleXfs>
  <cellXfs count="32">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0" fontId="4" fillId="0" borderId="0" xfId="0" applyFont="1" applyAlignment="1">
      <alignment horizontal="center" wrapText="1"/>
    </xf>
  </cellXfs>
  <cellStyles count="1">
    <cellStyle name="Normal" xfId="0" builtinId="0"/>
  </cellStyles>
  <dxfs count="6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numFmt numFmtId="30" formatCode="@"/>
    </dxf>
    <dxf>
      <numFmt numFmtId="30" formatCode="@"/>
    </dxf>
    <dxf>
      <numFmt numFmtId="30" formatCode="@"/>
    </dxf>
    <dxf>
      <numFmt numFmtId="30" formatCode="@"/>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tableStyleElement type="wholeTabl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0</xdr:row>
      <xdr:rowOff>0</xdr:rowOff>
    </xdr:from>
    <xdr:to>
      <xdr:col>7</xdr:col>
      <xdr:colOff>409576</xdr:colOff>
      <xdr:row>13</xdr:row>
      <xdr:rowOff>123825</xdr:rowOff>
    </xdr:to>
    <mc:AlternateContent xmlns:mc="http://schemas.openxmlformats.org/markup-compatibility/2006" xmlns:a14="http://schemas.microsoft.com/office/drawing/2010/main">
      <mc:Choice Requires="a14">
        <xdr:graphicFrame macro="">
          <xdr:nvGraphicFramePr>
            <xdr:cNvPr id="2" name="AEA Name"/>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mlns="">
        <xdr:sp macro="" textlink="">
          <xdr:nvSpPr>
            <xdr:cNvPr id="0" name=""/>
            <xdr:cNvSpPr>
              <a:spLocks noTextEdit="1"/>
            </xdr:cNvSpPr>
          </xdr:nvSpPr>
          <xdr:spPr>
            <a:xfrm>
              <a:off x="4591050" y="0"/>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ker, John " refreshedDate="43629.613345486112" createdVersion="4" refreshedVersion="4" minRefreshableVersion="3" recordCount="327">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869"/>
        <s v="5310"/>
        <s v="5508"/>
        <s v="6100"/>
        <s v="6175"/>
        <s v="6509"/>
        <s v="6943"/>
        <s v="6950"/>
        <s v="6961"/>
        <s v="0072"/>
        <s v="0126"/>
        <s v="0171"/>
        <s v="1206"/>
        <s v="1218"/>
        <s v="1944"/>
        <s v="6741"/>
        <s v="2088"/>
        <s v="2124"/>
        <s v="2313"/>
        <s v="2493"/>
        <s v="2556"/>
        <s v="3195"/>
        <s v="2846"/>
        <s v="3060"/>
        <s v="3537"/>
        <s v="3897"/>
        <s v="4023"/>
        <s v="4644"/>
        <s v="4778"/>
        <s v="0333"/>
        <s v="4890"/>
        <s v="5139"/>
        <s v="5283"/>
        <s v="532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3312"/>
        <s v="3330"/>
        <s v="4203"/>
        <s v="4491"/>
        <s v="4509"/>
        <s v="4518"/>
        <s v="4536"/>
        <s v="4689"/>
        <s v="4776"/>
        <s v="5013"/>
        <s v="5049"/>
        <s v="5163"/>
        <s v="5895"/>
        <s v="6012"/>
        <s v="6462"/>
        <s v="6592"/>
        <s v="6700"/>
        <s v="6759"/>
        <s v="6854"/>
        <s v="6937"/>
        <s v="7047"/>
        <s v="6591" u="1"/>
        <s v="0504" u="1"/>
        <s v="4775" u="1"/>
        <s v="4787" u="1"/>
        <s v="0423" u="1"/>
        <s v="2834" u="1"/>
      </sharedItems>
    </cacheField>
    <cacheField name="District" numFmtId="49">
      <sharedItems count="355">
        <s v="Allamakee"/>
        <s v="Central Clayton"/>
        <s v="Clayton Ridge"/>
        <s v="Decorah"/>
        <s v="Dubuque"/>
        <s v="Eastern Allamakee"/>
        <s v="Edgewood-Colesburg"/>
        <s v="Howard-Winneshiek"/>
        <s v="MFL Mar Mac"/>
        <s v="Maquoketa Valley"/>
        <s v="New Hampton"/>
        <s v="North Fayette Valley"/>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Lu Verne"/>
        <s v="Manson-Northwest Webster"/>
        <s v="Newell-Fonda"/>
        <s v="North Kossuth"/>
        <s v="North Union"/>
        <s v="Okoboji"/>
        <s v="Paton-Churdan"/>
        <s v="Pocahontas Area"/>
        <s v="Prairie Valley"/>
        <s v="Ruthven-Ayrshire"/>
        <s v="Schaller-Crestland"/>
        <s v="Sioux Central"/>
        <s v="South Central Calhoun"/>
        <s v="South Hamilton"/>
        <s v="Southeast Webster-Grand"/>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Keokuk"/>
        <s v="Keota"/>
        <s v="Mediapolis"/>
        <s v="Moravia"/>
        <s v="Morning Sun"/>
        <s v="Moulton-Udell"/>
        <s v="Mount Pleasant"/>
        <s v="New London"/>
        <s v="North Mahaska"/>
        <s v="Oskaloosa"/>
        <s v="Ottumwa"/>
        <s v="Pekin"/>
        <s v="Seymour"/>
        <s v="Sigourney"/>
        <s v="Tri-County"/>
        <s v="Van Buren County"/>
        <s v="Waco"/>
        <s v="Wapello"/>
        <s v="Wayne"/>
        <s v="West Burlington"/>
        <s v="Winfield-Mt Union"/>
        <s v="CLARION-GOLDFIELD-DOWS (C" u="1"/>
        <s v="FOREST CITY(FOREST CITY)" u="1"/>
        <s v="COLLEGE" u="1"/>
        <s v="NORTH BUTLER (ALLISON BRI" u="1"/>
        <s v="NODAWAY VALLEY (GREENFIEL" u="1"/>
        <s v="ALGONA (ALGONA)" u="1"/>
        <s v="AHSTW (AHST)" u="1"/>
        <s v="MAPLE VALLEY-ANTHON OTO (" u="1"/>
        <s v="GREENE COUNTY (JEFFERSON-" u="1"/>
        <s v="NORTH UNION (ARMSTRONG-RI" u="1"/>
        <s v="ODEBOLT-ARTHUR" u="1"/>
        <s v="GARNER-HAYFIELD-VENTURA (" u="1"/>
        <s v="AURELIA" u="1"/>
        <s v="CLEAR CREEK-AMANA (CLEAR" u="1"/>
        <s v="EAST MILLS (MALVERN)" u="1"/>
        <s v="BATTLE CREEK-IDA GROVE" u="1"/>
        <s v="Van Buren" u="1"/>
        <s v="CALAMUS/WHEATLAND" u="1"/>
        <s v="ENGLISH VALLEYS (ENGLISH" u="1"/>
        <s v="ESTHERVILLE-LINCOLN CENTR" u="1"/>
        <s v="NORTH FAYETTE" u="1"/>
        <s v="Northeast Hamilton" u="1"/>
        <s v="Harmony" u="1"/>
        <s v="EDDYVILLE-BLAKESBURG-FREM" u="1"/>
        <s v="ALTA" u="1"/>
        <s v="CRESTON (CRESTON)" u="1"/>
        <s v="North Winneshiek" u="1"/>
        <s v="VALLEY" u="1"/>
      </sharedItems>
    </cacheField>
    <cacheField name="Total Special Ed Weighting in Addition to 1.0" numFmtId="4">
      <sharedItems containsSemiMixedTypes="0" containsString="0" containsNumber="1" minValue="14.38" maxValue="6031.55"/>
    </cacheField>
    <cacheField name="Budget Enrollment" numFmtId="164">
      <sharedItems containsSemiMixedTypes="0" containsString="0" containsNumber="1" minValue="103" maxValue="32788.800000000003"/>
    </cacheField>
    <cacheField name="AEA Weighted Enrollment" numFmtId="4">
      <sharedItems containsSemiMixedTypes="0" containsString="0" containsNumber="1" minValue="117.38" maxValue="38820.35"/>
    </cacheField>
    <cacheField name="AEA Supplementary Weight for Sharing" numFmtId="4">
      <sharedItems containsSemiMixedTypes="0" containsString="0" containsNumber="1" minValue="0" maxValue="33.85"/>
    </cacheField>
    <cacheField name="Resident Accredited Nonpublic Students" numFmtId="3">
      <sharedItems containsSemiMixedTypes="0" containsString="0" containsNumber="1" containsInteger="1" minValue="0" maxValue="2331"/>
    </cacheField>
    <cacheField name="Shared-Time Nonpublic Pupils Counted in Line 1.1" numFmtId="164">
      <sharedItems containsSemiMixedTypes="0" containsString="0" containsNumber="1" minValue="0" maxValue="20"/>
    </cacheField>
    <cacheField name="Total Enrollment Served - AEA Media and Ed Services" numFmtId="3">
      <sharedItems containsSemiMixedTypes="0" containsString="0" containsNumber="1" containsInteger="1" minValue="103" maxValue="35116"/>
    </cacheField>
    <cacheField name="AEA Special Ed Support Cost Per Pupil" numFmtId="4">
      <sharedItems containsSemiMixedTypes="0" containsString="0" containsNumber="1" minValue="293.91000000000003" maxValue="316.17"/>
    </cacheField>
    <cacheField name="AEA Media Cost Per Pupil" numFmtId="4">
      <sharedItems containsSemiMixedTypes="0" containsString="0" containsNumber="1" minValue="56.03" maxValue="56.57"/>
    </cacheField>
    <cacheField name="AEA Ed Services Cost Per Pupil" numFmtId="4">
      <sharedItems containsSemiMixedTypes="0" containsString="0" containsNumber="1" minValue="61.15" maxValue="63.45"/>
    </cacheField>
    <cacheField name="AEA Teacher Salary Supplement District Cost Per Pupil" numFmtId="4">
      <sharedItems containsSemiMixedTypes="0" containsString="0" containsNumber="1" minValue="24.47" maxValue="38.42"/>
    </cacheField>
    <cacheField name="Professional Development Supplement District Cost Per Pupil" numFmtId="4">
      <sharedItems containsSemiMixedTypes="0" containsString="0" containsNumber="1" minValue="3.1" maxValue="4.42"/>
    </cacheField>
    <cacheField name="AEA Special Ed Support District Cost without Adjustment" numFmtId="3">
      <sharedItems containsSemiMixedTypes="0" containsString="0" containsNumber="1" containsInteger="1" minValue="35445" maxValue="11409689"/>
    </cacheField>
    <cacheField name="AEA Special Ed Support Adjustment" numFmtId="3">
      <sharedItems containsSemiMixedTypes="0" containsString="0" containsNumber="1" containsInteger="1" minValue="0" maxValue="55947"/>
    </cacheField>
    <cacheField name="Special Education Total Cost" numFmtId="3">
      <sharedItems containsSemiMixedTypes="0" containsString="0" containsNumber="1" containsInteger="1" minValue="35445" maxValue="11409689"/>
    </cacheField>
    <cacheField name="AEA Media Services District Cost" numFmtId="3">
      <sharedItems containsSemiMixedTypes="0" containsString="0" containsNumber="1" containsInteger="1" minValue="5791" maxValue="1969656"/>
    </cacheField>
    <cacheField name="AEA Ed Services District Cost" numFmtId="3">
      <sharedItems containsSemiMixedTypes="0" containsString="0" containsNumber="1" containsInteger="1" minValue="6401" maxValue="2162092"/>
    </cacheField>
    <cacheField name="AEA Sharing District Cost" numFmtId="3">
      <sharedItems containsSemiMixedTypes="0" containsString="0" containsNumber="1" containsInteger="1" minValue="0" maxValue="10254"/>
    </cacheField>
    <cacheField name="AEA Teacher Salary Supplement District Cost" numFmtId="3">
      <sharedItems containsSemiMixedTypes="0" containsString="0" containsNumber="1" containsInteger="1" minValue="3640" maxValue="949934"/>
    </cacheField>
    <cacheField name="AEA Professional Development Supplement District Cost" numFmtId="3">
      <sharedItems containsSemiMixedTypes="0" containsString="0" containsNumber="1" containsInteger="1" minValue="390" maxValue="120343"/>
    </cacheField>
    <cacheField name="Subtotal Budget" numFmtId="3">
      <sharedItems containsSemiMixedTypes="0" containsString="0" containsNumber="1" containsInteger="1" minValue="51667" maxValue="16611714"/>
    </cacheField>
    <cacheField name="AEA Statewide State Aid Reduction" numFmtId="3">
      <sharedItems containsSemiMixedTypes="0" containsString="0" containsNumber="1" containsInteger="1" minValue="6461" maxValue="1502984"/>
    </cacheField>
    <cacheField name="Total Budget" numFmtId="3">
      <sharedItems containsSemiMixedTypes="0" containsString="0" containsNumber="1" containsInteger="1" minValue="45206" maxValue="15108730"/>
    </cacheField>
    <cacheField name="State Aid Portion" numFmtId="3">
      <sharedItems containsSemiMixedTypes="0" containsString="0" containsNumber="1" containsInteger="1" minValue="25505" maxValue="8806536"/>
    </cacheField>
    <cacheField name="Property Tax Portion" numFmtId="3">
      <sharedItems containsSemiMixedTypes="0" containsString="0" containsNumber="1" containsInteger="1" minValue="19701" maxValue="630219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27">
  <r>
    <s v="01"/>
    <x v="0"/>
    <x v="0"/>
    <x v="0"/>
    <n v="144.37"/>
    <n v="1094.4000000000001"/>
    <n v="1238.77"/>
    <n v="0"/>
    <n v="164"/>
    <n v="2.1"/>
    <n v="1256"/>
    <n v="316.17"/>
    <n v="56.49"/>
    <n v="62.98"/>
    <n v="31.19"/>
    <n v="3.36"/>
    <n v="391662"/>
    <n v="692"/>
    <n v="392354"/>
    <n v="70951"/>
    <n v="79103"/>
    <n v="0"/>
    <n v="38637"/>
    <n v="4162"/>
    <n v="585207"/>
    <n v="73532"/>
    <n v="511675"/>
    <n v="264094"/>
    <n v="247581"/>
  </r>
  <r>
    <s v="01"/>
    <x v="0"/>
    <x v="1"/>
    <x v="1"/>
    <n v="56.04"/>
    <n v="424.1"/>
    <n v="480.14"/>
    <n v="0"/>
    <n v="2"/>
    <n v="0"/>
    <n v="426"/>
    <n v="316.17"/>
    <n v="56.49"/>
    <n v="62.98"/>
    <n v="31.19"/>
    <n v="3.36"/>
    <n v="151806"/>
    <n v="17190"/>
    <n v="168996"/>
    <n v="24065"/>
    <n v="26829"/>
    <n v="0"/>
    <n v="14976"/>
    <n v="1613"/>
    <n v="236479"/>
    <n v="29988"/>
    <n v="206491"/>
    <n v="100874"/>
    <n v="105617"/>
  </r>
  <r>
    <s v="01"/>
    <x v="0"/>
    <x v="2"/>
    <x v="2"/>
    <n v="74.42"/>
    <n v="588.4"/>
    <n v="662.82"/>
    <n v="0"/>
    <n v="68"/>
    <n v="3.4"/>
    <n v="653"/>
    <n v="316.17"/>
    <n v="56.49"/>
    <n v="62.98"/>
    <n v="31.19"/>
    <n v="3.36"/>
    <n v="209564"/>
    <n v="0"/>
    <n v="209564"/>
    <n v="36888"/>
    <n v="41126"/>
    <n v="0"/>
    <n v="20673"/>
    <n v="2227"/>
    <n v="310478"/>
    <n v="39375"/>
    <n v="271103"/>
    <n v="141276"/>
    <n v="129827"/>
  </r>
  <r>
    <s v="01"/>
    <x v="0"/>
    <x v="3"/>
    <x v="3"/>
    <n v="157.65"/>
    <n v="1626.1"/>
    <n v="1783.75"/>
    <n v="0"/>
    <n v="106"/>
    <n v="0.8"/>
    <n v="1731"/>
    <n v="316.17"/>
    <n v="56.49"/>
    <n v="62.98"/>
    <n v="31.19"/>
    <n v="3.36"/>
    <n v="563968"/>
    <n v="0"/>
    <n v="563968"/>
    <n v="97784"/>
    <n v="109018"/>
    <n v="0"/>
    <n v="55635"/>
    <n v="5993"/>
    <n v="832398"/>
    <n v="93008"/>
    <n v="739390"/>
    <n v="393153"/>
    <n v="346237"/>
  </r>
  <r>
    <s v="01"/>
    <x v="0"/>
    <x v="4"/>
    <x v="4"/>
    <n v="1876.85"/>
    <n v="10429.799999999999"/>
    <n v="12306.65"/>
    <n v="0"/>
    <n v="1606"/>
    <n v="2.1"/>
    <n v="12034"/>
    <n v="316.17"/>
    <n v="56.49"/>
    <n v="62.98"/>
    <n v="31.19"/>
    <n v="3.36"/>
    <n v="3890994"/>
    <n v="0"/>
    <n v="3890994"/>
    <n v="679801"/>
    <n v="757901"/>
    <n v="0"/>
    <n v="383844"/>
    <n v="41350"/>
    <n v="5753890"/>
    <n v="514177"/>
    <n v="5239713"/>
    <n v="2840000"/>
    <n v="2399713"/>
  </r>
  <r>
    <s v="01"/>
    <x v="0"/>
    <x v="5"/>
    <x v="5"/>
    <n v="29.04"/>
    <n v="327.10000000000002"/>
    <n v="356.14"/>
    <n v="0"/>
    <n v="5"/>
    <n v="0"/>
    <n v="332"/>
    <n v="316.17"/>
    <n v="56.49"/>
    <n v="62.98"/>
    <n v="31.19"/>
    <n v="3.36"/>
    <n v="112601"/>
    <n v="15626"/>
    <n v="128227"/>
    <n v="18755"/>
    <n v="20909"/>
    <n v="0"/>
    <n v="11108"/>
    <n v="1197"/>
    <n v="180196"/>
    <n v="23749"/>
    <n v="156447"/>
    <n v="73317"/>
    <n v="83130"/>
  </r>
  <r>
    <s v="01"/>
    <x v="0"/>
    <x v="6"/>
    <x v="6"/>
    <n v="42.22"/>
    <n v="419"/>
    <n v="461.22"/>
    <n v="0"/>
    <n v="36"/>
    <n v="0"/>
    <n v="455"/>
    <n v="316.17"/>
    <n v="56.49"/>
    <n v="62.98"/>
    <n v="31.19"/>
    <n v="3.36"/>
    <n v="145824"/>
    <n v="0"/>
    <n v="145824"/>
    <n v="25703"/>
    <n v="28656"/>
    <n v="0"/>
    <n v="14385"/>
    <n v="1550"/>
    <n v="216118"/>
    <n v="27107"/>
    <n v="189011"/>
    <n v="98598"/>
    <n v="90413"/>
  </r>
  <r>
    <s v="01"/>
    <x v="0"/>
    <x v="7"/>
    <x v="7"/>
    <n v="171.26"/>
    <n v="1171.2"/>
    <n v="1342.46"/>
    <n v="0"/>
    <n v="170"/>
    <n v="1.4"/>
    <n v="1340"/>
    <n v="316.17"/>
    <n v="56.49"/>
    <n v="62.98"/>
    <n v="31.19"/>
    <n v="3.36"/>
    <n v="424446"/>
    <n v="7484"/>
    <n v="431930"/>
    <n v="75697"/>
    <n v="84393"/>
    <n v="0"/>
    <n v="41871"/>
    <n v="4511"/>
    <n v="638402"/>
    <n v="74965"/>
    <n v="563437"/>
    <n v="290922"/>
    <n v="272515"/>
  </r>
  <r>
    <s v="01"/>
    <x v="0"/>
    <x v="8"/>
    <x v="8"/>
    <n v="100.34"/>
    <n v="772.1"/>
    <n v="872.44"/>
    <n v="0"/>
    <n v="1"/>
    <n v="0"/>
    <n v="773"/>
    <n v="316.17"/>
    <n v="56.49"/>
    <n v="62.98"/>
    <n v="31.19"/>
    <n v="3.36"/>
    <n v="275839"/>
    <n v="0"/>
    <n v="275839"/>
    <n v="43667"/>
    <n v="48684"/>
    <n v="0"/>
    <n v="27211"/>
    <n v="2931"/>
    <n v="398332"/>
    <n v="49021"/>
    <n v="349311"/>
    <n v="188762"/>
    <n v="160549"/>
  </r>
  <r>
    <s v="01"/>
    <x v="0"/>
    <x v="9"/>
    <x v="9"/>
    <n v="66.19"/>
    <n v="699.4"/>
    <n v="765.59"/>
    <n v="0"/>
    <n v="30"/>
    <n v="0"/>
    <n v="729"/>
    <n v="316.17"/>
    <n v="56.49"/>
    <n v="62.98"/>
    <n v="31.19"/>
    <n v="3.36"/>
    <n v="242057"/>
    <n v="0"/>
    <n v="242057"/>
    <n v="41181"/>
    <n v="45912"/>
    <n v="0"/>
    <n v="23879"/>
    <n v="2572"/>
    <n v="355601"/>
    <n v="45215"/>
    <n v="310386"/>
    <n v="163446"/>
    <n v="146940"/>
  </r>
  <r>
    <s v="01"/>
    <x v="0"/>
    <x v="10"/>
    <x v="10"/>
    <n v="113.44"/>
    <n v="940.6"/>
    <n v="1054.04"/>
    <n v="0"/>
    <n v="132"/>
    <n v="2.6"/>
    <n v="1070"/>
    <n v="316.17"/>
    <n v="56.49"/>
    <n v="62.98"/>
    <n v="31.19"/>
    <n v="3.36"/>
    <n v="333256"/>
    <n v="2570"/>
    <n v="335826"/>
    <n v="60444"/>
    <n v="67389"/>
    <n v="0"/>
    <n v="33097"/>
    <n v="3563"/>
    <n v="500319"/>
    <n v="58022"/>
    <n v="442297"/>
    <n v="229500"/>
    <n v="212797"/>
  </r>
  <r>
    <s v="01"/>
    <x v="0"/>
    <x v="11"/>
    <x v="11"/>
    <n v="175.18"/>
    <n v="1124.4000000000001"/>
    <n v="1299.58"/>
    <n v="0"/>
    <n v="5"/>
    <n v="0"/>
    <n v="1129"/>
    <n v="316.17"/>
    <n v="56.49"/>
    <n v="62.98"/>
    <n v="31.19"/>
    <n v="3.36"/>
    <n v="410888"/>
    <n v="26084"/>
    <n v="436972"/>
    <n v="63777"/>
    <n v="71104"/>
    <n v="0"/>
    <n v="40534"/>
    <n v="4367"/>
    <n v="616754"/>
    <n v="80898"/>
    <n v="535856"/>
    <n v="273303"/>
    <n v="262553"/>
  </r>
  <r>
    <s v="01"/>
    <x v="0"/>
    <x v="12"/>
    <x v="12"/>
    <n v="267.27"/>
    <n v="1320.6"/>
    <n v="1587.87"/>
    <n v="0"/>
    <n v="65"/>
    <n v="3.4"/>
    <n v="1382"/>
    <n v="316.17"/>
    <n v="56.49"/>
    <n v="62.98"/>
    <n v="31.19"/>
    <n v="3.36"/>
    <n v="502037"/>
    <n v="0"/>
    <n v="502037"/>
    <n v="78069"/>
    <n v="87038"/>
    <n v="0"/>
    <n v="49526"/>
    <n v="5335"/>
    <n v="722005"/>
    <n v="78419"/>
    <n v="643586"/>
    <n v="354355"/>
    <n v="289231"/>
  </r>
  <r>
    <s v="01"/>
    <x v="0"/>
    <x v="13"/>
    <x v="13"/>
    <n v="93.8"/>
    <n v="729"/>
    <n v="822.8"/>
    <n v="0"/>
    <n v="1"/>
    <n v="0"/>
    <n v="730"/>
    <n v="316.17"/>
    <n v="56.49"/>
    <n v="62.98"/>
    <n v="31.19"/>
    <n v="3.36"/>
    <n v="260145"/>
    <n v="0"/>
    <n v="260145"/>
    <n v="41238"/>
    <n v="45975"/>
    <n v="0"/>
    <n v="25663"/>
    <n v="2765"/>
    <n v="375786"/>
    <n v="30686"/>
    <n v="345100"/>
    <n v="193568"/>
    <n v="151532"/>
  </r>
  <r>
    <s v="01"/>
    <x v="0"/>
    <x v="14"/>
    <x v="14"/>
    <n v="42.73"/>
    <n v="313.60000000000002"/>
    <n v="356.33"/>
    <n v="0"/>
    <n v="4"/>
    <n v="0"/>
    <n v="318"/>
    <n v="316.17"/>
    <n v="56.49"/>
    <n v="62.98"/>
    <n v="31.19"/>
    <n v="3.36"/>
    <n v="112661"/>
    <n v="971"/>
    <n v="113632"/>
    <n v="17964"/>
    <n v="20028"/>
    <n v="0"/>
    <n v="11199"/>
    <n v="1206"/>
    <n v="164029"/>
    <n v="21332"/>
    <n v="142697"/>
    <n v="75880"/>
    <n v="66817"/>
  </r>
  <r>
    <s v="01"/>
    <x v="0"/>
    <x v="15"/>
    <x v="15"/>
    <n v="101.46"/>
    <n v="501.8"/>
    <n v="603.26"/>
    <n v="0"/>
    <n v="190"/>
    <n v="2.8"/>
    <n v="689"/>
    <n v="316.17"/>
    <n v="56.49"/>
    <n v="62.98"/>
    <n v="31.19"/>
    <n v="3.36"/>
    <n v="190733"/>
    <n v="2802"/>
    <n v="193535"/>
    <n v="38922"/>
    <n v="43393"/>
    <n v="0"/>
    <n v="18816"/>
    <n v="2027"/>
    <n v="296693"/>
    <n v="37693"/>
    <n v="259000"/>
    <n v="126726"/>
    <n v="132274"/>
  </r>
  <r>
    <s v="01"/>
    <x v="0"/>
    <x v="16"/>
    <x v="16"/>
    <n v="90.83"/>
    <n v="599"/>
    <n v="689.83"/>
    <n v="0"/>
    <n v="0"/>
    <n v="0"/>
    <n v="599"/>
    <n v="316.17"/>
    <n v="56.49"/>
    <n v="62.98"/>
    <n v="31.19"/>
    <n v="3.36"/>
    <n v="218104"/>
    <n v="1110"/>
    <n v="219214"/>
    <n v="33838"/>
    <n v="37725"/>
    <n v="0"/>
    <n v="21605"/>
    <n v="2326"/>
    <n v="314708"/>
    <n v="41746"/>
    <n v="272962"/>
    <n v="146365"/>
    <n v="126597"/>
  </r>
  <r>
    <s v="01"/>
    <x v="0"/>
    <x v="17"/>
    <x v="17"/>
    <n v="62.68"/>
    <n v="343.2"/>
    <n v="405.88"/>
    <n v="0"/>
    <n v="60"/>
    <n v="0.2"/>
    <n v="403"/>
    <n v="316.17"/>
    <n v="56.49"/>
    <n v="62.98"/>
    <n v="31.19"/>
    <n v="3.36"/>
    <n v="128327"/>
    <n v="18427"/>
    <n v="146754"/>
    <n v="22765"/>
    <n v="25381"/>
    <n v="0"/>
    <n v="12659"/>
    <n v="1364"/>
    <n v="208923"/>
    <n v="29583"/>
    <n v="179340"/>
    <n v="81039"/>
    <n v="98301"/>
  </r>
  <r>
    <s v="01"/>
    <x v="0"/>
    <x v="18"/>
    <x v="18"/>
    <n v="26.96"/>
    <n v="254"/>
    <n v="280.95999999999998"/>
    <n v="0"/>
    <n v="2"/>
    <n v="0"/>
    <n v="256"/>
    <n v="316.17"/>
    <n v="56.49"/>
    <n v="62.98"/>
    <n v="31.19"/>
    <n v="3.36"/>
    <n v="88831"/>
    <n v="9429"/>
    <n v="98260"/>
    <n v="14461"/>
    <n v="16123"/>
    <n v="0"/>
    <n v="8835"/>
    <n v="951"/>
    <n v="138630"/>
    <n v="16863"/>
    <n v="121767"/>
    <n v="59791"/>
    <n v="61976"/>
  </r>
  <r>
    <s v="01"/>
    <x v="0"/>
    <x v="19"/>
    <x v="19"/>
    <n v="187.48"/>
    <n v="1439.4"/>
    <n v="1626.88"/>
    <n v="0"/>
    <n v="159"/>
    <n v="0.9"/>
    <n v="1598"/>
    <n v="316.17"/>
    <n v="56.49"/>
    <n v="62.98"/>
    <n v="31.19"/>
    <n v="3.36"/>
    <n v="514371"/>
    <n v="0"/>
    <n v="514371"/>
    <n v="90271"/>
    <n v="100642"/>
    <n v="0"/>
    <n v="50742"/>
    <n v="5466"/>
    <n v="761492"/>
    <n v="90517"/>
    <n v="670975"/>
    <n v="352888"/>
    <n v="318087"/>
  </r>
  <r>
    <s v="01"/>
    <x v="0"/>
    <x v="20"/>
    <x v="20"/>
    <n v="387.76"/>
    <n v="3093.7"/>
    <n v="3481.46"/>
    <n v="0"/>
    <n v="1187"/>
    <n v="4.4000000000000004"/>
    <n v="4276"/>
    <n v="316.17"/>
    <n v="56.49"/>
    <n v="62.98"/>
    <n v="31.19"/>
    <n v="3.36"/>
    <n v="1100733"/>
    <n v="0"/>
    <n v="1100733"/>
    <n v="241551"/>
    <n v="269302"/>
    <n v="0"/>
    <n v="108587"/>
    <n v="11698"/>
    <n v="1731871"/>
    <n v="140594"/>
    <n v="1591277"/>
    <n v="808278"/>
    <n v="782999"/>
  </r>
  <r>
    <s v="05"/>
    <x v="1"/>
    <x v="21"/>
    <x v="21"/>
    <n v="25.98"/>
    <n v="202.2"/>
    <n v="228.18"/>
    <n v="0.64"/>
    <n v="0"/>
    <n v="0"/>
    <n v="202"/>
    <n v="311.92"/>
    <n v="56.57"/>
    <n v="63.45"/>
    <n v="33.15"/>
    <n v="3.95"/>
    <n v="71174"/>
    <n v="3098"/>
    <n v="74272"/>
    <n v="11427"/>
    <n v="12817"/>
    <n v="200"/>
    <n v="7619"/>
    <n v="909"/>
    <n v="107244"/>
    <n v="14109"/>
    <n v="93135"/>
    <n v="48878"/>
    <n v="44257"/>
  </r>
  <r>
    <s v="05"/>
    <x v="1"/>
    <x v="22"/>
    <x v="22"/>
    <n v="197.07"/>
    <n v="1290.5"/>
    <n v="1487.57"/>
    <n v="4.21"/>
    <n v="331"/>
    <n v="10.7"/>
    <n v="1611"/>
    <n v="311.92"/>
    <n v="56.57"/>
    <n v="63.45"/>
    <n v="33.15"/>
    <n v="3.95"/>
    <n v="464003"/>
    <n v="2938"/>
    <n v="466941"/>
    <n v="91134"/>
    <n v="102218"/>
    <n v="1313"/>
    <n v="49652"/>
    <n v="5924"/>
    <n v="717182"/>
    <n v="83780"/>
    <n v="633402"/>
    <n v="326840"/>
    <n v="306562"/>
  </r>
  <r>
    <s v="05"/>
    <x v="1"/>
    <x v="23"/>
    <x v="23"/>
    <n v="78.98"/>
    <n v="812.9"/>
    <n v="891.88"/>
    <n v="2.52"/>
    <n v="14"/>
    <n v="0"/>
    <n v="827"/>
    <n v="311.92"/>
    <n v="56.57"/>
    <n v="63.45"/>
    <n v="33.15"/>
    <n v="3.95"/>
    <n v="278195"/>
    <n v="0"/>
    <n v="278195"/>
    <n v="46783"/>
    <n v="52473"/>
    <n v="786"/>
    <n v="29566"/>
    <n v="3523"/>
    <n v="411326"/>
    <n v="44685"/>
    <n v="366641"/>
    <n v="201271"/>
    <n v="165370"/>
  </r>
  <r>
    <s v="05"/>
    <x v="1"/>
    <x v="24"/>
    <x v="24"/>
    <n v="129.54"/>
    <n v="942.5"/>
    <n v="1072.04"/>
    <n v="3.03"/>
    <n v="4"/>
    <n v="0"/>
    <n v="947"/>
    <n v="311.92"/>
    <n v="56.57"/>
    <n v="63.45"/>
    <n v="33.15"/>
    <n v="3.95"/>
    <n v="334391"/>
    <n v="0"/>
    <n v="334391"/>
    <n v="53572"/>
    <n v="60087"/>
    <n v="945"/>
    <n v="35538"/>
    <n v="4235"/>
    <n v="488768"/>
    <n v="52020"/>
    <n v="436748"/>
    <n v="243620"/>
    <n v="193128"/>
  </r>
  <r>
    <s v="05"/>
    <x v="1"/>
    <x v="25"/>
    <x v="25"/>
    <n v="42.32"/>
    <n v="312"/>
    <n v="354.32"/>
    <n v="1"/>
    <n v="17"/>
    <n v="0"/>
    <n v="329"/>
    <n v="311.92"/>
    <n v="56.57"/>
    <n v="63.45"/>
    <n v="33.15"/>
    <n v="3.95"/>
    <n v="110519"/>
    <n v="14514"/>
    <n v="125033"/>
    <n v="18612"/>
    <n v="20875"/>
    <n v="312"/>
    <n v="12524"/>
    <n v="1494"/>
    <n v="178850"/>
    <n v="23296"/>
    <n v="155554"/>
    <n v="75288"/>
    <n v="80266"/>
  </r>
  <r>
    <s v="05"/>
    <x v="1"/>
    <x v="26"/>
    <x v="26"/>
    <n v="154.06"/>
    <n v="894.7"/>
    <n v="1048.76"/>
    <n v="2.97"/>
    <n v="5"/>
    <n v="0"/>
    <n v="900"/>
    <n v="311.92"/>
    <n v="56.57"/>
    <n v="63.45"/>
    <n v="33.15"/>
    <n v="3.95"/>
    <n v="327129"/>
    <n v="0"/>
    <n v="327129"/>
    <n v="50913"/>
    <n v="57105"/>
    <n v="926"/>
    <n v="34766"/>
    <n v="4143"/>
    <n v="474982"/>
    <n v="45100"/>
    <n v="429882"/>
    <n v="244121"/>
    <n v="185761"/>
  </r>
  <r>
    <s v="05"/>
    <x v="1"/>
    <x v="27"/>
    <x v="27"/>
    <n v="121.33"/>
    <n v="834.5"/>
    <n v="955.83"/>
    <n v="2.71"/>
    <n v="46"/>
    <n v="0"/>
    <n v="881"/>
    <n v="311.92"/>
    <n v="56.57"/>
    <n v="63.45"/>
    <n v="33.15"/>
    <n v="3.95"/>
    <n v="298142"/>
    <n v="0"/>
    <n v="298142"/>
    <n v="49838"/>
    <n v="55899"/>
    <n v="845"/>
    <n v="31686"/>
    <n v="3776"/>
    <n v="440186"/>
    <n v="51797"/>
    <n v="388389"/>
    <n v="211798"/>
    <n v="176591"/>
  </r>
  <r>
    <s v="05"/>
    <x v="1"/>
    <x v="28"/>
    <x v="28"/>
    <n v="114.23"/>
    <n v="703.4"/>
    <n v="817.63"/>
    <n v="2.31"/>
    <n v="83"/>
    <n v="3.2"/>
    <n v="783"/>
    <n v="311.92"/>
    <n v="56.57"/>
    <n v="63.45"/>
    <n v="33.15"/>
    <n v="3.95"/>
    <n v="255035"/>
    <n v="0"/>
    <n v="255035"/>
    <n v="44294"/>
    <n v="49681"/>
    <n v="721"/>
    <n v="27104"/>
    <n v="3230"/>
    <n v="380065"/>
    <n v="39116"/>
    <n v="340949"/>
    <n v="186364"/>
    <n v="154585"/>
  </r>
  <r>
    <s v="05"/>
    <x v="1"/>
    <x v="29"/>
    <x v="29"/>
    <n v="147.59"/>
    <n v="1269.5999999999999"/>
    <n v="1417.19"/>
    <n v="4.01"/>
    <n v="4"/>
    <n v="0"/>
    <n v="1274"/>
    <n v="311.92"/>
    <n v="56.57"/>
    <n v="63.45"/>
    <n v="33.15"/>
    <n v="3.95"/>
    <n v="442050"/>
    <n v="24964"/>
    <n v="467014"/>
    <n v="72070"/>
    <n v="80835"/>
    <n v="1251"/>
    <n v="47896"/>
    <n v="5715"/>
    <n v="674781"/>
    <n v="70397"/>
    <n v="604384"/>
    <n v="321460"/>
    <n v="282924"/>
  </r>
  <r>
    <s v="05"/>
    <x v="1"/>
    <x v="30"/>
    <x v="30"/>
    <n v="726.1"/>
    <n v="3661.3"/>
    <n v="4387.3999999999996"/>
    <n v="12.42"/>
    <n v="615"/>
    <n v="1.8"/>
    <n v="4275"/>
    <n v="311.92"/>
    <n v="56.57"/>
    <n v="63.45"/>
    <n v="33.15"/>
    <n v="3.95"/>
    <n v="1368518"/>
    <n v="13993"/>
    <n v="1382511"/>
    <n v="241837"/>
    <n v="271249"/>
    <n v="3874"/>
    <n v="147007"/>
    <n v="17540"/>
    <n v="2064018"/>
    <n v="212765"/>
    <n v="1851253"/>
    <n v="998939"/>
    <n v="852314"/>
  </r>
  <r>
    <s v="05"/>
    <x v="1"/>
    <x v="31"/>
    <x v="31"/>
    <n v="38.18"/>
    <n v="161"/>
    <n v="199.18"/>
    <n v="0.56000000000000005"/>
    <n v="6"/>
    <n v="0"/>
    <n v="167"/>
    <n v="311.92"/>
    <n v="56.57"/>
    <n v="63.45"/>
    <n v="33.15"/>
    <n v="3.95"/>
    <n v="62128"/>
    <n v="0"/>
    <n v="62128"/>
    <n v="9447"/>
    <n v="10596"/>
    <n v="175"/>
    <n v="6603"/>
    <n v="787"/>
    <n v="89736"/>
    <n v="10845"/>
    <n v="78891"/>
    <n v="44083"/>
    <n v="34808"/>
  </r>
  <r>
    <s v="05"/>
    <x v="1"/>
    <x v="32"/>
    <x v="32"/>
    <n v="32.68"/>
    <n v="382"/>
    <n v="414.68"/>
    <n v="1.17"/>
    <n v="9"/>
    <n v="0"/>
    <n v="391"/>
    <n v="311.92"/>
    <n v="56.57"/>
    <n v="63.45"/>
    <n v="33.15"/>
    <n v="3.95"/>
    <n v="129347"/>
    <n v="212"/>
    <n v="129559"/>
    <n v="22119"/>
    <n v="24809"/>
    <n v="365"/>
    <n v="13776"/>
    <n v="1644"/>
    <n v="192272"/>
    <n v="23426"/>
    <n v="168846"/>
    <n v="90966"/>
    <n v="77880"/>
  </r>
  <r>
    <s v="05"/>
    <x v="1"/>
    <x v="33"/>
    <x v="33"/>
    <n v="161.77000000000001"/>
    <n v="1210.4000000000001"/>
    <n v="1372.17"/>
    <n v="3.88"/>
    <n v="0"/>
    <n v="0"/>
    <n v="1210"/>
    <n v="311.92"/>
    <n v="56.57"/>
    <n v="63.45"/>
    <n v="33.15"/>
    <n v="3.95"/>
    <n v="428007"/>
    <n v="9915"/>
    <n v="437922"/>
    <n v="68450"/>
    <n v="76775"/>
    <n v="1210"/>
    <n v="46239"/>
    <n v="5517"/>
    <n v="636113"/>
    <n v="79359"/>
    <n v="556754"/>
    <n v="299897"/>
    <n v="256857"/>
  </r>
  <r>
    <s v="05"/>
    <x v="1"/>
    <x v="34"/>
    <x v="34"/>
    <n v="37.67"/>
    <n v="298.39999999999998"/>
    <n v="336.07"/>
    <n v="0.95"/>
    <n v="2"/>
    <n v="0"/>
    <n v="300"/>
    <n v="311.92"/>
    <n v="56.57"/>
    <n v="63.45"/>
    <n v="33.15"/>
    <n v="3.95"/>
    <n v="104827"/>
    <n v="1812"/>
    <n v="106639"/>
    <n v="16971"/>
    <n v="19035"/>
    <n v="296"/>
    <n v="11180"/>
    <n v="1334"/>
    <n v="155455"/>
    <n v="15519"/>
    <n v="139936"/>
    <n v="77206"/>
    <n v="62730"/>
  </r>
  <r>
    <s v="05"/>
    <x v="1"/>
    <x v="35"/>
    <x v="35"/>
    <n v="123.71"/>
    <n v="1213.5999999999999"/>
    <n v="1337.31"/>
    <n v="3.79"/>
    <n v="129"/>
    <n v="1.3"/>
    <n v="1341"/>
    <n v="311.92"/>
    <n v="56.57"/>
    <n v="63.45"/>
    <n v="33.15"/>
    <n v="3.95"/>
    <n v="417134"/>
    <n v="0"/>
    <n v="417134"/>
    <n v="75860"/>
    <n v="85086"/>
    <n v="1182"/>
    <n v="44332"/>
    <n v="5282"/>
    <n v="628876"/>
    <n v="61988"/>
    <n v="566888"/>
    <n v="306808"/>
    <n v="260080"/>
  </r>
  <r>
    <s v="05"/>
    <x v="1"/>
    <x v="36"/>
    <x v="36"/>
    <n v="35.85"/>
    <n v="255"/>
    <n v="290.85000000000002"/>
    <n v="0.82"/>
    <n v="3"/>
    <n v="0"/>
    <n v="258"/>
    <n v="311.92"/>
    <n v="56.57"/>
    <n v="63.45"/>
    <n v="33.15"/>
    <n v="3.95"/>
    <n v="90722"/>
    <n v="21543"/>
    <n v="112265"/>
    <n v="14595"/>
    <n v="16370"/>
    <n v="256"/>
    <n v="10599"/>
    <n v="1265"/>
    <n v="155350"/>
    <n v="21809"/>
    <n v="133541"/>
    <n v="59472"/>
    <n v="74069"/>
  </r>
  <r>
    <s v="05"/>
    <x v="1"/>
    <x v="37"/>
    <x v="37"/>
    <n v="17.8"/>
    <n v="164.1"/>
    <n v="181.9"/>
    <n v="0.53"/>
    <n v="19"/>
    <n v="0"/>
    <n v="183"/>
    <n v="311.92"/>
    <n v="56.57"/>
    <n v="63.45"/>
    <n v="33.15"/>
    <n v="3.95"/>
    <n v="56738"/>
    <n v="2526"/>
    <n v="59264"/>
    <n v="10352"/>
    <n v="11611"/>
    <n v="165"/>
    <n v="6302"/>
    <n v="752"/>
    <n v="88446"/>
    <n v="16136"/>
    <n v="72310"/>
    <n v="34336"/>
    <n v="37974"/>
  </r>
  <r>
    <s v="05"/>
    <x v="1"/>
    <x v="38"/>
    <x v="38"/>
    <n v="60.57"/>
    <n v="655.20000000000005"/>
    <n v="715.77"/>
    <n v="2.0299999999999998"/>
    <n v="64"/>
    <n v="0"/>
    <n v="719"/>
    <n v="311.92"/>
    <n v="56.57"/>
    <n v="63.45"/>
    <n v="33.15"/>
    <n v="3.95"/>
    <n v="223263"/>
    <n v="0"/>
    <n v="223263"/>
    <n v="40674"/>
    <n v="45621"/>
    <n v="633"/>
    <n v="23728"/>
    <n v="2827"/>
    <n v="336746"/>
    <n v="38009"/>
    <n v="298737"/>
    <n v="159382"/>
    <n v="139355"/>
  </r>
  <r>
    <s v="05"/>
    <x v="1"/>
    <x v="39"/>
    <x v="39"/>
    <n v="33.39"/>
    <n v="432.4"/>
    <n v="465.79"/>
    <n v="1.32"/>
    <n v="13"/>
    <n v="0"/>
    <n v="445"/>
    <n v="311.92"/>
    <n v="56.57"/>
    <n v="63.45"/>
    <n v="33.15"/>
    <n v="3.95"/>
    <n v="145289"/>
    <n v="11762"/>
    <n v="157051"/>
    <n v="25174"/>
    <n v="28235"/>
    <n v="412"/>
    <n v="15812"/>
    <n v="1887"/>
    <n v="228571"/>
    <n v="22754"/>
    <n v="205817"/>
    <n v="106117"/>
    <n v="99700"/>
  </r>
  <r>
    <s v="05"/>
    <x v="1"/>
    <x v="40"/>
    <x v="40"/>
    <n v="52.07"/>
    <n v="273.8"/>
    <n v="325.87"/>
    <n v="0.92"/>
    <n v="45"/>
    <n v="0"/>
    <n v="319"/>
    <n v="311.92"/>
    <n v="56.57"/>
    <n v="63.45"/>
    <n v="33.15"/>
    <n v="3.95"/>
    <n v="101645"/>
    <n v="7376"/>
    <n v="109021"/>
    <n v="18046"/>
    <n v="20241"/>
    <n v="287"/>
    <n v="11233"/>
    <n v="1340"/>
    <n v="160168"/>
    <n v="21324"/>
    <n v="138844"/>
    <n v="69025"/>
    <n v="69819"/>
  </r>
  <r>
    <s v="05"/>
    <x v="1"/>
    <x v="41"/>
    <x v="41"/>
    <n v="51.6"/>
    <n v="410.3"/>
    <n v="461.9"/>
    <n v="1.31"/>
    <n v="13"/>
    <n v="0"/>
    <n v="423"/>
    <n v="311.92"/>
    <n v="56.57"/>
    <n v="63.45"/>
    <n v="33.15"/>
    <n v="3.95"/>
    <n v="144076"/>
    <n v="26159"/>
    <n v="170235"/>
    <n v="23929"/>
    <n v="26839"/>
    <n v="409"/>
    <n v="15312"/>
    <n v="1825"/>
    <n v="238549"/>
    <n v="31389"/>
    <n v="207160"/>
    <n v="95992"/>
    <n v="111168"/>
  </r>
  <r>
    <s v="05"/>
    <x v="1"/>
    <x v="42"/>
    <x v="42"/>
    <n v="125.06"/>
    <n v="978.4"/>
    <n v="1103.46"/>
    <n v="3.14"/>
    <n v="9"/>
    <n v="0"/>
    <n v="987"/>
    <n v="311.92"/>
    <n v="56.57"/>
    <n v="63.45"/>
    <n v="33.15"/>
    <n v="3.95"/>
    <n v="344191"/>
    <n v="0"/>
    <n v="344191"/>
    <n v="55835"/>
    <n v="62625"/>
    <n v="979"/>
    <n v="36580"/>
    <n v="4359"/>
    <n v="504569"/>
    <n v="46312"/>
    <n v="458257"/>
    <n v="257998"/>
    <n v="200259"/>
  </r>
  <r>
    <s v="05"/>
    <x v="1"/>
    <x v="43"/>
    <x v="43"/>
    <n v="15.35"/>
    <n v="211.7"/>
    <n v="227.05"/>
    <n v="0.64"/>
    <n v="0"/>
    <n v="0"/>
    <n v="212"/>
    <n v="311.92"/>
    <n v="56.57"/>
    <n v="63.45"/>
    <n v="33.15"/>
    <n v="3.95"/>
    <n v="70821"/>
    <n v="0"/>
    <n v="70821"/>
    <n v="11993"/>
    <n v="13451"/>
    <n v="200"/>
    <n v="7527"/>
    <n v="897"/>
    <n v="104889"/>
    <n v="10377"/>
    <n v="94512"/>
    <n v="52237"/>
    <n v="42275"/>
  </r>
  <r>
    <s v="05"/>
    <x v="1"/>
    <x v="44"/>
    <x v="44"/>
    <n v="93.37"/>
    <n v="673.7"/>
    <n v="767.07"/>
    <n v="2.17"/>
    <n v="82"/>
    <n v="8.3000000000000007"/>
    <n v="747"/>
    <n v="311.92"/>
    <n v="56.57"/>
    <n v="63.45"/>
    <n v="33.15"/>
    <n v="3.95"/>
    <n v="239264"/>
    <n v="26783"/>
    <n v="266047"/>
    <n v="42258"/>
    <n v="47397"/>
    <n v="677"/>
    <n v="25428"/>
    <n v="3030"/>
    <n v="384837"/>
    <n v="52222"/>
    <n v="332615"/>
    <n v="159315"/>
    <n v="173300"/>
  </r>
  <r>
    <s v="05"/>
    <x v="1"/>
    <x v="45"/>
    <x v="45"/>
    <n v="66.599999999999994"/>
    <n v="574.4"/>
    <n v="641"/>
    <n v="1.81"/>
    <n v="16"/>
    <n v="0"/>
    <n v="590"/>
    <n v="311.92"/>
    <n v="56.57"/>
    <n v="63.45"/>
    <n v="33.15"/>
    <n v="3.95"/>
    <n v="199941"/>
    <n v="2489"/>
    <n v="202430"/>
    <n v="33376"/>
    <n v="37436"/>
    <n v="565"/>
    <n v="21249"/>
    <n v="2532"/>
    <n v="297588"/>
    <n v="38887"/>
    <n v="258701"/>
    <n v="137883"/>
    <n v="120818"/>
  </r>
  <r>
    <s v="05"/>
    <x v="1"/>
    <x v="46"/>
    <x v="46"/>
    <n v="40.15"/>
    <n v="217"/>
    <n v="257.14999999999998"/>
    <n v="0.73"/>
    <n v="11"/>
    <n v="0"/>
    <n v="228"/>
    <n v="311.92"/>
    <n v="56.57"/>
    <n v="63.45"/>
    <n v="33.15"/>
    <n v="3.95"/>
    <n v="80210"/>
    <n v="3802"/>
    <n v="84012"/>
    <n v="12898"/>
    <n v="14467"/>
    <n v="228"/>
    <n v="8525"/>
    <n v="1016"/>
    <n v="121146"/>
    <n v="13144"/>
    <n v="108002"/>
    <n v="57772"/>
    <n v="50230"/>
  </r>
  <r>
    <s v="05"/>
    <x v="1"/>
    <x v="47"/>
    <x v="47"/>
    <n v="47.33"/>
    <n v="367"/>
    <n v="414.33"/>
    <n v="1.17"/>
    <n v="9"/>
    <n v="0"/>
    <n v="376"/>
    <n v="311.92"/>
    <n v="56.57"/>
    <n v="63.45"/>
    <n v="33.15"/>
    <n v="3.95"/>
    <n v="129238"/>
    <n v="0"/>
    <n v="129238"/>
    <n v="21270"/>
    <n v="23857"/>
    <n v="365"/>
    <n v="13735"/>
    <n v="1637"/>
    <n v="190102"/>
    <n v="23788"/>
    <n v="166314"/>
    <n v="90473"/>
    <n v="75841"/>
  </r>
  <r>
    <s v="05"/>
    <x v="1"/>
    <x v="48"/>
    <x v="48"/>
    <n v="65.819999999999993"/>
    <n v="483"/>
    <n v="548.82000000000005"/>
    <n v="1.55"/>
    <n v="3"/>
    <n v="0"/>
    <n v="486"/>
    <n v="311.92"/>
    <n v="56.57"/>
    <n v="63.45"/>
    <n v="33.15"/>
    <n v="3.95"/>
    <n v="171188"/>
    <n v="0"/>
    <n v="171188"/>
    <n v="27493"/>
    <n v="30837"/>
    <n v="483"/>
    <n v="18193"/>
    <n v="2168"/>
    <n v="250362"/>
    <n v="29208"/>
    <n v="221154"/>
    <n v="122141"/>
    <n v="99013"/>
  </r>
  <r>
    <s v="05"/>
    <x v="1"/>
    <x v="49"/>
    <x v="49"/>
    <n v="109.57"/>
    <n v="946.8"/>
    <n v="1056.3699999999999"/>
    <n v="2.99"/>
    <n v="33"/>
    <n v="0"/>
    <n v="980"/>
    <n v="311.92"/>
    <n v="56.57"/>
    <n v="63.45"/>
    <n v="33.15"/>
    <n v="3.95"/>
    <n v="329503"/>
    <n v="0"/>
    <n v="329503"/>
    <n v="55439"/>
    <n v="62181"/>
    <n v="933"/>
    <n v="35019"/>
    <n v="4173"/>
    <n v="487248"/>
    <n v="55190"/>
    <n v="432058"/>
    <n v="236130"/>
    <n v="195928"/>
  </r>
  <r>
    <s v="05"/>
    <x v="1"/>
    <x v="50"/>
    <x v="50"/>
    <n v="63.22"/>
    <n v="629.9"/>
    <n v="693.12"/>
    <n v="1.96"/>
    <n v="1"/>
    <n v="0"/>
    <n v="631"/>
    <n v="311.92"/>
    <n v="56.57"/>
    <n v="63.45"/>
    <n v="33.15"/>
    <n v="3.95"/>
    <n v="216198"/>
    <n v="0"/>
    <n v="216198"/>
    <n v="35696"/>
    <n v="40037"/>
    <n v="611"/>
    <n v="22977"/>
    <n v="2738"/>
    <n v="318257"/>
    <n v="35146"/>
    <n v="283111"/>
    <n v="155998"/>
    <n v="127113"/>
  </r>
  <r>
    <s v="05"/>
    <x v="1"/>
    <x v="51"/>
    <x v="51"/>
    <n v="80.63"/>
    <n v="573.70000000000005"/>
    <n v="654.33000000000004"/>
    <n v="1.85"/>
    <n v="7"/>
    <n v="0"/>
    <n v="581"/>
    <n v="311.92"/>
    <n v="56.57"/>
    <n v="63.45"/>
    <n v="33.15"/>
    <n v="3.95"/>
    <n v="204099"/>
    <n v="0"/>
    <n v="204099"/>
    <n v="32867"/>
    <n v="36864"/>
    <n v="577"/>
    <n v="21691"/>
    <n v="2585"/>
    <n v="298683"/>
    <n v="32474"/>
    <n v="266209"/>
    <n v="147973"/>
    <n v="118236"/>
  </r>
  <r>
    <s v="05"/>
    <x v="1"/>
    <x v="52"/>
    <x v="52"/>
    <n v="332.89"/>
    <n v="1958"/>
    <n v="2290.89"/>
    <n v="6.48"/>
    <n v="185"/>
    <n v="0.5"/>
    <n v="2143"/>
    <n v="311.92"/>
    <n v="56.57"/>
    <n v="63.45"/>
    <n v="33.15"/>
    <n v="3.95"/>
    <n v="714574"/>
    <n v="0"/>
    <n v="714574"/>
    <n v="121230"/>
    <n v="135973"/>
    <n v="2021"/>
    <n v="75943"/>
    <n v="9049"/>
    <n v="1058790"/>
    <n v="101066"/>
    <n v="957724"/>
    <n v="530700"/>
    <n v="427024"/>
  </r>
  <r>
    <s v="05"/>
    <x v="1"/>
    <x v="53"/>
    <x v="53"/>
    <n v="115.22"/>
    <n v="1167.7"/>
    <n v="1282.92"/>
    <n v="3.64"/>
    <n v="8"/>
    <n v="0"/>
    <n v="1176"/>
    <n v="311.92"/>
    <n v="56.57"/>
    <n v="63.45"/>
    <n v="33.15"/>
    <n v="3.95"/>
    <n v="400168"/>
    <n v="0"/>
    <n v="400168"/>
    <n v="66526"/>
    <n v="74617"/>
    <n v="1135"/>
    <n v="42529"/>
    <n v="5068"/>
    <n v="590043"/>
    <n v="56032"/>
    <n v="534011"/>
    <n v="297766"/>
    <n v="236245"/>
  </r>
  <r>
    <s v="05"/>
    <x v="1"/>
    <x v="54"/>
    <x v="54"/>
    <n v="306.70999999999998"/>
    <n v="2390"/>
    <n v="2696.71"/>
    <n v="7.63"/>
    <n v="214"/>
    <n v="4.5"/>
    <n v="2600"/>
    <n v="311.92"/>
    <n v="56.57"/>
    <n v="63.45"/>
    <n v="33.15"/>
    <n v="3.95"/>
    <n v="841158"/>
    <n v="0"/>
    <n v="841158"/>
    <n v="147082"/>
    <n v="164970"/>
    <n v="2380"/>
    <n v="89396"/>
    <n v="10652"/>
    <n v="1255638"/>
    <n v="89007"/>
    <n v="1166631"/>
    <n v="654674"/>
    <n v="511957"/>
  </r>
  <r>
    <s v="05"/>
    <x v="1"/>
    <x v="55"/>
    <x v="55"/>
    <n v="24.53"/>
    <n v="141.69999999999999"/>
    <n v="166.23"/>
    <n v="0.47"/>
    <n v="5"/>
    <n v="0"/>
    <n v="147"/>
    <n v="311.92"/>
    <n v="56.57"/>
    <n v="63.45"/>
    <n v="33.15"/>
    <n v="3.95"/>
    <n v="51850"/>
    <n v="11661"/>
    <n v="63511"/>
    <n v="8316"/>
    <n v="9327"/>
    <n v="147"/>
    <n v="5804"/>
    <n v="692"/>
    <n v="87797"/>
    <n v="10017"/>
    <n v="77780"/>
    <n v="36154"/>
    <n v="41626"/>
  </r>
  <r>
    <s v="05"/>
    <x v="1"/>
    <x v="56"/>
    <x v="56"/>
    <n v="18.27"/>
    <n v="135"/>
    <n v="153.27000000000001"/>
    <n v="0.44"/>
    <n v="14"/>
    <n v="0"/>
    <n v="149"/>
    <n v="311.92"/>
    <n v="56.57"/>
    <n v="63.45"/>
    <n v="33.15"/>
    <n v="3.95"/>
    <n v="47808"/>
    <n v="9967"/>
    <n v="57775"/>
    <n v="8429"/>
    <n v="9454"/>
    <n v="137"/>
    <n v="5305"/>
    <n v="633"/>
    <n v="81733"/>
    <n v="11565"/>
    <n v="70168"/>
    <n v="30956"/>
    <n v="39212"/>
  </r>
  <r>
    <s v="05"/>
    <x v="1"/>
    <x v="57"/>
    <x v="57"/>
    <n v="225.81"/>
    <n v="1718"/>
    <n v="1943.81"/>
    <n v="5.5"/>
    <n v="77"/>
    <n v="0.9"/>
    <n v="1794"/>
    <n v="311.92"/>
    <n v="56.57"/>
    <n v="63.45"/>
    <n v="33.15"/>
    <n v="3.95"/>
    <n v="606313"/>
    <n v="4639"/>
    <n v="610952"/>
    <n v="101487"/>
    <n v="113829"/>
    <n v="1716"/>
    <n v="64437"/>
    <n v="7678"/>
    <n v="900099"/>
    <n v="94005"/>
    <n v="806094"/>
    <n v="442046"/>
    <n v="364048"/>
  </r>
  <r>
    <s v="05"/>
    <x v="1"/>
    <x v="58"/>
    <x v="58"/>
    <n v="38.659999999999997"/>
    <n v="284.39999999999998"/>
    <n v="323.06"/>
    <n v="0.91"/>
    <n v="33"/>
    <n v="0"/>
    <n v="317"/>
    <n v="311.92"/>
    <n v="56.57"/>
    <n v="63.45"/>
    <n v="33.15"/>
    <n v="3.95"/>
    <n v="100769"/>
    <n v="15210"/>
    <n v="115979"/>
    <n v="17933"/>
    <n v="20114"/>
    <n v="284"/>
    <n v="10825"/>
    <n v="1292"/>
    <n v="166427"/>
    <n v="19619"/>
    <n v="146808"/>
    <n v="69603"/>
    <n v="77205"/>
  </r>
  <r>
    <s v="07"/>
    <x v="2"/>
    <x v="59"/>
    <x v="59"/>
    <n v="93.27"/>
    <n v="646.70000000000005"/>
    <n v="739.97"/>
    <n v="0"/>
    <n v="16"/>
    <n v="0.3"/>
    <n v="662"/>
    <n v="305.29000000000002"/>
    <n v="56.52"/>
    <n v="63.07"/>
    <n v="38.42"/>
    <n v="4.42"/>
    <n v="225905"/>
    <n v="0"/>
    <n v="225905"/>
    <n v="37416"/>
    <n v="41752"/>
    <n v="0"/>
    <n v="28430"/>
    <n v="3271"/>
    <n v="336774"/>
    <n v="41289"/>
    <n v="295485"/>
    <n v="166525"/>
    <n v="128960"/>
  </r>
  <r>
    <s v="07"/>
    <x v="2"/>
    <x v="60"/>
    <x v="60"/>
    <n v="25.44"/>
    <n v="274.2"/>
    <n v="299.64"/>
    <n v="0"/>
    <n v="0"/>
    <n v="0"/>
    <n v="274"/>
    <n v="305.29000000000002"/>
    <n v="56.52"/>
    <n v="63.07"/>
    <n v="38.42"/>
    <n v="4.42"/>
    <n v="91477"/>
    <n v="0"/>
    <n v="91477"/>
    <n v="15486"/>
    <n v="17281"/>
    <n v="0"/>
    <n v="11512"/>
    <n v="1324"/>
    <n v="137080"/>
    <n v="14957"/>
    <n v="122123"/>
    <n v="69193"/>
    <n v="52930"/>
  </r>
  <r>
    <s v="07"/>
    <x v="2"/>
    <x v="61"/>
    <x v="61"/>
    <n v="106.79"/>
    <n v="803.3"/>
    <n v="910.09"/>
    <n v="0"/>
    <n v="27"/>
    <n v="0"/>
    <n v="830"/>
    <n v="305.29000000000002"/>
    <n v="56.52"/>
    <n v="63.07"/>
    <n v="38.42"/>
    <n v="4.42"/>
    <n v="277841"/>
    <n v="4279"/>
    <n v="282120"/>
    <n v="46912"/>
    <n v="52348"/>
    <n v="0"/>
    <n v="34966"/>
    <n v="4023"/>
    <n v="420369"/>
    <n v="39100"/>
    <n v="381269"/>
    <n v="216490"/>
    <n v="164779"/>
  </r>
  <r>
    <s v="07"/>
    <x v="2"/>
    <x v="62"/>
    <x v="62"/>
    <n v="63.07"/>
    <n v="520.20000000000005"/>
    <n v="583.27"/>
    <n v="0"/>
    <n v="1"/>
    <n v="0"/>
    <n v="521"/>
    <n v="305.29000000000002"/>
    <n v="56.52"/>
    <n v="63.07"/>
    <n v="38.42"/>
    <n v="4.42"/>
    <n v="178066"/>
    <n v="8446"/>
    <n v="186512"/>
    <n v="29447"/>
    <n v="32859"/>
    <n v="0"/>
    <n v="22618"/>
    <n v="2604"/>
    <n v="274040"/>
    <n v="29783"/>
    <n v="244257"/>
    <n v="134257"/>
    <n v="110000"/>
  </r>
  <r>
    <s v="07"/>
    <x v="2"/>
    <x v="63"/>
    <x v="63"/>
    <n v="89.31"/>
    <n v="791.5"/>
    <n v="880.81"/>
    <n v="0"/>
    <n v="0"/>
    <n v="0"/>
    <n v="792"/>
    <n v="305.29000000000002"/>
    <n v="56.52"/>
    <n v="63.07"/>
    <n v="38.42"/>
    <n v="4.42"/>
    <n v="268902"/>
    <n v="1818"/>
    <n v="270720"/>
    <n v="44764"/>
    <n v="49951"/>
    <n v="0"/>
    <n v="33841"/>
    <n v="3895"/>
    <n v="403171"/>
    <n v="39506"/>
    <n v="363665"/>
    <n v="207863"/>
    <n v="155802"/>
  </r>
  <r>
    <s v="07"/>
    <x v="2"/>
    <x v="64"/>
    <x v="64"/>
    <n v="70.989999999999995"/>
    <n v="551.6"/>
    <n v="622.59"/>
    <n v="0"/>
    <n v="0"/>
    <n v="0"/>
    <n v="552"/>
    <n v="305.29000000000002"/>
    <n v="56.52"/>
    <n v="63.07"/>
    <n v="38.42"/>
    <n v="4.42"/>
    <n v="190071"/>
    <n v="0"/>
    <n v="190071"/>
    <n v="31199"/>
    <n v="34815"/>
    <n v="0"/>
    <n v="23920"/>
    <n v="2752"/>
    <n v="282757"/>
    <n v="29369"/>
    <n v="253388"/>
    <n v="145479"/>
    <n v="107909"/>
  </r>
  <r>
    <s v="07"/>
    <x v="2"/>
    <x v="65"/>
    <x v="65"/>
    <n v="32.799999999999997"/>
    <n v="240.6"/>
    <n v="273.39999999999998"/>
    <n v="0"/>
    <n v="16"/>
    <n v="0.7"/>
    <n v="256"/>
    <n v="305.29000000000002"/>
    <n v="56.52"/>
    <n v="63.07"/>
    <n v="38.42"/>
    <n v="4.42"/>
    <n v="83466"/>
    <n v="9732"/>
    <n v="93198"/>
    <n v="14469"/>
    <n v="16146"/>
    <n v="0"/>
    <n v="11770"/>
    <n v="1355"/>
    <n v="136938"/>
    <n v="14140"/>
    <n v="122798"/>
    <n v="64054"/>
    <n v="58744"/>
  </r>
  <r>
    <s v="07"/>
    <x v="2"/>
    <x v="66"/>
    <x v="66"/>
    <n v="683.97"/>
    <n v="5237.6000000000004"/>
    <n v="5921.57"/>
    <n v="0"/>
    <n v="293"/>
    <n v="1.2"/>
    <n v="5529"/>
    <n v="305.29000000000002"/>
    <n v="56.52"/>
    <n v="63.07"/>
    <n v="38.42"/>
    <n v="4.42"/>
    <n v="1807796"/>
    <n v="0"/>
    <n v="1807796"/>
    <n v="312499"/>
    <n v="348714"/>
    <n v="0"/>
    <n v="227507"/>
    <n v="26173"/>
    <n v="2722689"/>
    <n v="198163"/>
    <n v="2524526"/>
    <n v="1464851"/>
    <n v="1059675"/>
  </r>
  <r>
    <s v="07"/>
    <x v="2"/>
    <x v="67"/>
    <x v="67"/>
    <n v="114.34"/>
    <n v="797"/>
    <n v="911.34"/>
    <n v="0"/>
    <n v="48"/>
    <n v="0"/>
    <n v="845"/>
    <n v="305.29000000000002"/>
    <n v="56.52"/>
    <n v="63.07"/>
    <n v="38.42"/>
    <n v="4.42"/>
    <n v="278223"/>
    <n v="2681"/>
    <n v="280904"/>
    <n v="47759"/>
    <n v="53294"/>
    <n v="0"/>
    <n v="35479"/>
    <n v="4084"/>
    <n v="421520"/>
    <n v="46457"/>
    <n v="375063"/>
    <n v="210005"/>
    <n v="165058"/>
  </r>
  <r>
    <s v="07"/>
    <x v="2"/>
    <x v="68"/>
    <x v="68"/>
    <n v="254.85"/>
    <n v="1541.6"/>
    <n v="1796.45"/>
    <n v="0"/>
    <n v="186"/>
    <n v="3.2"/>
    <n v="1724"/>
    <n v="305.29000000000002"/>
    <n v="56.52"/>
    <n v="63.07"/>
    <n v="38.42"/>
    <n v="4.42"/>
    <n v="548438"/>
    <n v="0"/>
    <n v="548438"/>
    <n v="97440"/>
    <n v="108733"/>
    <n v="0"/>
    <n v="69020"/>
    <n v="7940"/>
    <n v="831571"/>
    <n v="82982"/>
    <n v="748589"/>
    <n v="421533"/>
    <n v="327056"/>
  </r>
  <r>
    <s v="07"/>
    <x v="2"/>
    <x v="69"/>
    <x v="69"/>
    <n v="35.24"/>
    <n v="310"/>
    <n v="345.24"/>
    <n v="0"/>
    <n v="5"/>
    <n v="0"/>
    <n v="315"/>
    <n v="305.29000000000002"/>
    <n v="56.52"/>
    <n v="63.07"/>
    <n v="38.42"/>
    <n v="4.42"/>
    <n v="105398"/>
    <n v="12396"/>
    <n v="117794"/>
    <n v="17804"/>
    <n v="19867"/>
    <n v="0"/>
    <n v="13480"/>
    <n v="1552"/>
    <n v="170497"/>
    <n v="18545"/>
    <n v="151952"/>
    <n v="78654"/>
    <n v="73298"/>
  </r>
  <r>
    <s v="07"/>
    <x v="2"/>
    <x v="70"/>
    <x v="70"/>
    <n v="190.67"/>
    <n v="1219.5999999999999"/>
    <n v="1410.27"/>
    <n v="0"/>
    <n v="28"/>
    <n v="0"/>
    <n v="1248"/>
    <n v="305.29000000000002"/>
    <n v="56.52"/>
    <n v="63.07"/>
    <n v="38.42"/>
    <n v="4.42"/>
    <n v="430541"/>
    <n v="0"/>
    <n v="430541"/>
    <n v="70537"/>
    <n v="78711"/>
    <n v="0"/>
    <n v="54183"/>
    <n v="6233"/>
    <n v="640205"/>
    <n v="69828"/>
    <n v="570377"/>
    <n v="326232"/>
    <n v="244145"/>
  </r>
  <r>
    <s v="07"/>
    <x v="2"/>
    <x v="71"/>
    <x v="71"/>
    <n v="59.8"/>
    <n v="778.5"/>
    <n v="838.3"/>
    <n v="0"/>
    <n v="8"/>
    <n v="0"/>
    <n v="787"/>
    <n v="305.29000000000002"/>
    <n v="56.52"/>
    <n v="63.07"/>
    <n v="38.42"/>
    <n v="4.42"/>
    <n v="255925"/>
    <n v="0"/>
    <n v="255925"/>
    <n v="44481"/>
    <n v="49636"/>
    <n v="0"/>
    <n v="32207"/>
    <n v="3705"/>
    <n v="385954"/>
    <n v="32842"/>
    <n v="353112"/>
    <n v="202585"/>
    <n v="150527"/>
  </r>
  <r>
    <s v="07"/>
    <x v="2"/>
    <x v="72"/>
    <x v="72"/>
    <n v="114.3"/>
    <n v="867.7"/>
    <n v="982"/>
    <n v="0"/>
    <n v="9"/>
    <n v="0"/>
    <n v="877"/>
    <n v="305.29000000000002"/>
    <n v="56.52"/>
    <n v="63.07"/>
    <n v="38.42"/>
    <n v="4.42"/>
    <n v="299795"/>
    <n v="1427"/>
    <n v="301222"/>
    <n v="49568"/>
    <n v="55312"/>
    <n v="0"/>
    <n v="37774"/>
    <n v="4348"/>
    <n v="448224"/>
    <n v="36304"/>
    <n v="411920"/>
    <n v="239534"/>
    <n v="172386"/>
  </r>
  <r>
    <s v="07"/>
    <x v="2"/>
    <x v="73"/>
    <x v="73"/>
    <n v="43.85"/>
    <n v="407"/>
    <n v="450.85"/>
    <n v="0"/>
    <n v="14"/>
    <n v="0"/>
    <n v="421"/>
    <n v="305.29000000000002"/>
    <n v="56.52"/>
    <n v="63.07"/>
    <n v="38.42"/>
    <n v="4.42"/>
    <n v="137640"/>
    <n v="16042"/>
    <n v="153682"/>
    <n v="23795"/>
    <n v="26552"/>
    <n v="0"/>
    <n v="17479"/>
    <n v="2012"/>
    <n v="223520"/>
    <n v="22973"/>
    <n v="200547"/>
    <n v="103820"/>
    <n v="96727"/>
  </r>
  <r>
    <s v="07"/>
    <x v="2"/>
    <x v="74"/>
    <x v="74"/>
    <n v="96.18"/>
    <n v="558.29999999999995"/>
    <n v="654.48"/>
    <n v="0"/>
    <n v="6"/>
    <n v="0"/>
    <n v="564"/>
    <n v="305.29000000000002"/>
    <n v="56.52"/>
    <n v="63.07"/>
    <n v="38.42"/>
    <n v="4.42"/>
    <n v="199806"/>
    <n v="0"/>
    <n v="199806"/>
    <n v="31877"/>
    <n v="35571"/>
    <n v="0"/>
    <n v="25145"/>
    <n v="2893"/>
    <n v="295292"/>
    <n v="28849"/>
    <n v="266443"/>
    <n v="154955"/>
    <n v="111488"/>
  </r>
  <r>
    <s v="07"/>
    <x v="2"/>
    <x v="75"/>
    <x v="75"/>
    <n v="73.650000000000006"/>
    <n v="557.5"/>
    <n v="631.15"/>
    <n v="0"/>
    <n v="7"/>
    <n v="0"/>
    <n v="565"/>
    <n v="305.29000000000002"/>
    <n v="56.52"/>
    <n v="63.07"/>
    <n v="38.42"/>
    <n v="4.42"/>
    <n v="192684"/>
    <n v="22919"/>
    <n v="215603"/>
    <n v="31934"/>
    <n v="35635"/>
    <n v="0"/>
    <n v="24291"/>
    <n v="2796"/>
    <n v="310259"/>
    <n v="36691"/>
    <n v="273568"/>
    <n v="140610"/>
    <n v="132958"/>
  </r>
  <r>
    <s v="07"/>
    <x v="2"/>
    <x v="76"/>
    <x v="76"/>
    <n v="140.30000000000001"/>
    <n v="631.1"/>
    <n v="771.4"/>
    <n v="0"/>
    <n v="2"/>
    <n v="0"/>
    <n v="633"/>
    <n v="305.29000000000002"/>
    <n v="56.52"/>
    <n v="63.07"/>
    <n v="38.42"/>
    <n v="4.42"/>
    <n v="235501"/>
    <n v="0"/>
    <n v="235501"/>
    <n v="35777"/>
    <n v="39923"/>
    <n v="0"/>
    <n v="29637"/>
    <n v="3410"/>
    <n v="344248"/>
    <n v="31253"/>
    <n v="312995"/>
    <n v="185387"/>
    <n v="127608"/>
  </r>
  <r>
    <s v="07"/>
    <x v="2"/>
    <x v="77"/>
    <x v="77"/>
    <n v="149"/>
    <n v="1073.5"/>
    <n v="1222.5"/>
    <n v="0"/>
    <n v="4"/>
    <n v="0"/>
    <n v="1078"/>
    <n v="305.29000000000002"/>
    <n v="56.52"/>
    <n v="63.07"/>
    <n v="38.42"/>
    <n v="4.42"/>
    <n v="373217"/>
    <n v="47552"/>
    <n v="420769"/>
    <n v="60929"/>
    <n v="67989"/>
    <n v="0"/>
    <n v="47046"/>
    <n v="5415"/>
    <n v="602148"/>
    <n v="73519"/>
    <n v="528629"/>
    <n v="269897"/>
    <n v="258732"/>
  </r>
  <r>
    <s v="07"/>
    <x v="2"/>
    <x v="78"/>
    <x v="78"/>
    <n v="28.07"/>
    <n v="275.60000000000002"/>
    <n v="303.67"/>
    <n v="0"/>
    <n v="7"/>
    <n v="0"/>
    <n v="283"/>
    <n v="305.29000000000002"/>
    <n v="56.52"/>
    <n v="63.07"/>
    <n v="38.42"/>
    <n v="4.42"/>
    <n v="92707"/>
    <n v="12668"/>
    <n v="105375"/>
    <n v="15995"/>
    <n v="17849"/>
    <n v="0"/>
    <n v="11798"/>
    <n v="1358"/>
    <n v="152375"/>
    <n v="17366"/>
    <n v="135009"/>
    <n v="68063"/>
    <n v="66946"/>
  </r>
  <r>
    <s v="07"/>
    <x v="2"/>
    <x v="79"/>
    <x v="79"/>
    <n v="84.97"/>
    <n v="899.6"/>
    <n v="984.57"/>
    <n v="0"/>
    <n v="4"/>
    <n v="0"/>
    <n v="904"/>
    <n v="305.29000000000002"/>
    <n v="56.52"/>
    <n v="63.07"/>
    <n v="38.42"/>
    <n v="4.42"/>
    <n v="300579"/>
    <n v="35571"/>
    <n v="336150"/>
    <n v="51094"/>
    <n v="57015"/>
    <n v="0"/>
    <n v="37827"/>
    <n v="4352"/>
    <n v="486438"/>
    <n v="49755"/>
    <n v="436683"/>
    <n v="226752"/>
    <n v="209931"/>
  </r>
  <r>
    <s v="07"/>
    <x v="2"/>
    <x v="80"/>
    <x v="80"/>
    <n v="69.86"/>
    <n v="590.4"/>
    <n v="660.26"/>
    <n v="0"/>
    <n v="1"/>
    <n v="0"/>
    <n v="591"/>
    <n v="305.29000000000002"/>
    <n v="56.52"/>
    <n v="63.07"/>
    <n v="38.42"/>
    <n v="4.42"/>
    <n v="201571"/>
    <n v="7044"/>
    <n v="208615"/>
    <n v="33403"/>
    <n v="37274"/>
    <n v="0"/>
    <n v="25367"/>
    <n v="2918"/>
    <n v="307577"/>
    <n v="38194"/>
    <n v="269383"/>
    <n v="147233"/>
    <n v="122150"/>
  </r>
  <r>
    <s v="07"/>
    <x v="2"/>
    <x v="81"/>
    <x v="81"/>
    <n v="257.74"/>
    <n v="1612.6"/>
    <n v="1870.34"/>
    <n v="0"/>
    <n v="35"/>
    <n v="0.1"/>
    <n v="1648"/>
    <n v="305.29000000000002"/>
    <n v="56.52"/>
    <n v="63.07"/>
    <n v="38.42"/>
    <n v="4.42"/>
    <n v="570996"/>
    <n v="0"/>
    <n v="570996"/>
    <n v="93145"/>
    <n v="103939"/>
    <n v="0"/>
    <n v="71858"/>
    <n v="8267"/>
    <n v="848205"/>
    <n v="81962"/>
    <n v="766243"/>
    <n v="443304"/>
    <n v="322939"/>
  </r>
  <r>
    <s v="07"/>
    <x v="2"/>
    <x v="82"/>
    <x v="82"/>
    <n v="85.18"/>
    <n v="653.1"/>
    <n v="738.28"/>
    <n v="0"/>
    <n v="5"/>
    <n v="0"/>
    <n v="658"/>
    <n v="305.29000000000002"/>
    <n v="56.52"/>
    <n v="63.07"/>
    <n v="38.42"/>
    <n v="4.42"/>
    <n v="225390"/>
    <n v="0"/>
    <n v="225390"/>
    <n v="37190"/>
    <n v="41500"/>
    <n v="0"/>
    <n v="28365"/>
    <n v="3263"/>
    <n v="335708"/>
    <n v="29520"/>
    <n v="306188"/>
    <n v="177819"/>
    <n v="128369"/>
  </r>
  <r>
    <s v="07"/>
    <x v="2"/>
    <x v="83"/>
    <x v="83"/>
    <n v="183.03"/>
    <n v="1190.9000000000001"/>
    <n v="1373.93"/>
    <n v="0"/>
    <n v="5"/>
    <n v="0"/>
    <n v="1196"/>
    <n v="305.29000000000002"/>
    <n v="56.52"/>
    <n v="63.07"/>
    <n v="38.42"/>
    <n v="4.42"/>
    <n v="419447"/>
    <n v="0"/>
    <n v="419447"/>
    <n v="67598"/>
    <n v="75432"/>
    <n v="0"/>
    <n v="52786"/>
    <n v="6073"/>
    <n v="621336"/>
    <n v="56126"/>
    <n v="565210"/>
    <n v="329728"/>
    <n v="235482"/>
  </r>
  <r>
    <s v="07"/>
    <x v="2"/>
    <x v="84"/>
    <x v="84"/>
    <n v="36.69"/>
    <n v="438.4"/>
    <n v="475.09"/>
    <n v="0"/>
    <n v="3"/>
    <n v="0"/>
    <n v="441"/>
    <n v="305.29000000000002"/>
    <n v="56.52"/>
    <n v="63.07"/>
    <n v="38.42"/>
    <n v="4.42"/>
    <n v="145040"/>
    <n v="8114"/>
    <n v="153154"/>
    <n v="24925"/>
    <n v="27814"/>
    <n v="0"/>
    <n v="18499"/>
    <n v="2129"/>
    <n v="226521"/>
    <n v="23920"/>
    <n v="202601"/>
    <n v="109779"/>
    <n v="92822"/>
  </r>
  <r>
    <s v="07"/>
    <x v="2"/>
    <x v="85"/>
    <x v="85"/>
    <n v="89.48"/>
    <n v="690.4"/>
    <n v="779.88"/>
    <n v="0"/>
    <n v="14"/>
    <n v="0"/>
    <n v="704"/>
    <n v="305.29000000000002"/>
    <n v="56.52"/>
    <n v="63.07"/>
    <n v="38.42"/>
    <n v="4.42"/>
    <n v="238090"/>
    <n v="0"/>
    <n v="238090"/>
    <n v="39790"/>
    <n v="44401"/>
    <n v="0"/>
    <n v="29963"/>
    <n v="3447"/>
    <n v="355691"/>
    <n v="34532"/>
    <n v="321159"/>
    <n v="184489"/>
    <n v="136670"/>
  </r>
  <r>
    <s v="07"/>
    <x v="2"/>
    <x v="86"/>
    <x v="86"/>
    <n v="194.71"/>
    <n v="1437.5"/>
    <n v="1632.21"/>
    <n v="0"/>
    <n v="139"/>
    <n v="3.9"/>
    <n v="1573"/>
    <n v="305.29000000000002"/>
    <n v="56.52"/>
    <n v="63.07"/>
    <n v="38.42"/>
    <n v="4.42"/>
    <n v="498297"/>
    <n v="0"/>
    <n v="498297"/>
    <n v="88906"/>
    <n v="99209"/>
    <n v="0"/>
    <n v="62710"/>
    <n v="7214"/>
    <n v="756336"/>
    <n v="73977"/>
    <n v="682359"/>
    <n v="384413"/>
    <n v="297946"/>
  </r>
  <r>
    <s v="07"/>
    <x v="2"/>
    <x v="87"/>
    <x v="87"/>
    <n v="128.88"/>
    <n v="1052.7"/>
    <n v="1181.58"/>
    <n v="0"/>
    <n v="5"/>
    <n v="0"/>
    <n v="1058"/>
    <n v="305.29000000000002"/>
    <n v="56.52"/>
    <n v="63.07"/>
    <n v="38.42"/>
    <n v="4.42"/>
    <n v="360725"/>
    <n v="7126"/>
    <n v="367851"/>
    <n v="59798"/>
    <n v="66728"/>
    <n v="0"/>
    <n v="46461"/>
    <n v="5348"/>
    <n v="546186"/>
    <n v="49711"/>
    <n v="496475"/>
    <n v="283314"/>
    <n v="213161"/>
  </r>
  <r>
    <s v="07"/>
    <x v="2"/>
    <x v="88"/>
    <x v="88"/>
    <n v="53.62"/>
    <n v="432.1"/>
    <n v="485.72"/>
    <n v="0"/>
    <n v="16"/>
    <n v="0"/>
    <n v="448"/>
    <n v="305.29000000000002"/>
    <n v="56.52"/>
    <n v="63.07"/>
    <n v="38.42"/>
    <n v="4.42"/>
    <n v="148285"/>
    <n v="0"/>
    <n v="148285"/>
    <n v="25321"/>
    <n v="28255"/>
    <n v="0"/>
    <n v="18661"/>
    <n v="2147"/>
    <n v="222669"/>
    <n v="15951"/>
    <n v="206718"/>
    <n v="120458"/>
    <n v="86260"/>
  </r>
  <r>
    <s v="07"/>
    <x v="2"/>
    <x v="89"/>
    <x v="89"/>
    <n v="98.27"/>
    <n v="919.2"/>
    <n v="1017.47"/>
    <n v="0"/>
    <n v="118"/>
    <n v="0"/>
    <n v="1037"/>
    <n v="305.29000000000002"/>
    <n v="56.52"/>
    <n v="63.07"/>
    <n v="38.42"/>
    <n v="4.42"/>
    <n v="310623"/>
    <n v="0"/>
    <n v="310623"/>
    <n v="58611"/>
    <n v="65404"/>
    <n v="0"/>
    <n v="39091"/>
    <n v="4497"/>
    <n v="478226"/>
    <n v="41079"/>
    <n v="437147"/>
    <n v="244667"/>
    <n v="192480"/>
  </r>
  <r>
    <s v="07"/>
    <x v="2"/>
    <x v="90"/>
    <x v="90"/>
    <n v="83.03"/>
    <n v="595.70000000000005"/>
    <n v="678.73"/>
    <n v="0"/>
    <n v="0"/>
    <n v="0"/>
    <n v="596"/>
    <n v="305.29000000000002"/>
    <n v="56.52"/>
    <n v="63.07"/>
    <n v="38.42"/>
    <n v="4.42"/>
    <n v="207209"/>
    <n v="3748"/>
    <n v="210957"/>
    <n v="33686"/>
    <n v="37590"/>
    <n v="0"/>
    <n v="26645"/>
    <n v="3067"/>
    <n v="311945"/>
    <n v="32934"/>
    <n v="279011"/>
    <n v="158316"/>
    <n v="120695"/>
  </r>
  <r>
    <s v="07"/>
    <x v="2"/>
    <x v="91"/>
    <x v="91"/>
    <n v="672.46"/>
    <n v="5364.6"/>
    <n v="6037.06"/>
    <n v="0"/>
    <n v="216"/>
    <n v="3.7"/>
    <n v="5577"/>
    <n v="305.29000000000002"/>
    <n v="56.52"/>
    <n v="63.07"/>
    <n v="38.42"/>
    <n v="4.42"/>
    <n v="1843054"/>
    <n v="0"/>
    <n v="1843054"/>
    <n v="315212"/>
    <n v="351741"/>
    <n v="0"/>
    <n v="231944"/>
    <n v="26684"/>
    <n v="2768635"/>
    <n v="232815"/>
    <n v="2535820"/>
    <n v="1462633"/>
    <n v="1073187"/>
  </r>
  <r>
    <s v="07"/>
    <x v="2"/>
    <x v="92"/>
    <x v="92"/>
    <n v="636.74"/>
    <n v="3593.4"/>
    <n v="4230.1400000000003"/>
    <n v="0"/>
    <n v="466"/>
    <n v="5.9"/>
    <n v="4054"/>
    <n v="305.29000000000002"/>
    <n v="56.52"/>
    <n v="63.07"/>
    <n v="38.42"/>
    <n v="4.42"/>
    <n v="1291419"/>
    <n v="13366"/>
    <n v="1304785"/>
    <n v="229132"/>
    <n v="255686"/>
    <n v="0"/>
    <n v="162522"/>
    <n v="18697"/>
    <n v="1970822"/>
    <n v="218724"/>
    <n v="1752098"/>
    <n v="969268"/>
    <n v="782830"/>
  </r>
  <r>
    <s v="07"/>
    <x v="2"/>
    <x v="93"/>
    <x v="93"/>
    <n v="51.56"/>
    <n v="487.4"/>
    <n v="538.96"/>
    <n v="0"/>
    <n v="3"/>
    <n v="0"/>
    <n v="490"/>
    <n v="305.29000000000002"/>
    <n v="56.52"/>
    <n v="63.07"/>
    <n v="38.42"/>
    <n v="4.42"/>
    <n v="164539"/>
    <n v="8998"/>
    <n v="173537"/>
    <n v="27695"/>
    <n v="30904"/>
    <n v="0"/>
    <n v="20707"/>
    <n v="2382"/>
    <n v="255225"/>
    <n v="24738"/>
    <n v="230487"/>
    <n v="126623"/>
    <n v="103864"/>
  </r>
  <r>
    <s v="07"/>
    <x v="2"/>
    <x v="94"/>
    <x v="94"/>
    <n v="71.59"/>
    <n v="599.79999999999995"/>
    <n v="671.39"/>
    <n v="0"/>
    <n v="2"/>
    <n v="0"/>
    <n v="602"/>
    <n v="305.29000000000002"/>
    <n v="56.52"/>
    <n v="63.07"/>
    <n v="38.42"/>
    <n v="4.42"/>
    <n v="204969"/>
    <n v="0"/>
    <n v="204969"/>
    <n v="34025"/>
    <n v="37968"/>
    <n v="0"/>
    <n v="25795"/>
    <n v="2968"/>
    <n v="305725"/>
    <n v="37009"/>
    <n v="268716"/>
    <n v="151545"/>
    <n v="117171"/>
  </r>
  <r>
    <s v="07"/>
    <x v="2"/>
    <x v="95"/>
    <x v="95"/>
    <n v="68.16"/>
    <n v="575.6"/>
    <n v="643.76"/>
    <n v="0"/>
    <n v="1"/>
    <n v="0"/>
    <n v="577"/>
    <n v="305.29000000000002"/>
    <n v="56.52"/>
    <n v="63.07"/>
    <n v="38.42"/>
    <n v="4.42"/>
    <n v="196533"/>
    <n v="11343"/>
    <n v="207876"/>
    <n v="32612"/>
    <n v="36391"/>
    <n v="0"/>
    <n v="24735"/>
    <n v="2847"/>
    <n v="304461"/>
    <n v="32769"/>
    <n v="271692"/>
    <n v="148028"/>
    <n v="123664"/>
  </r>
  <r>
    <s v="07"/>
    <x v="2"/>
    <x v="96"/>
    <x v="96"/>
    <n v="48.41"/>
    <n v="458"/>
    <n v="506.41"/>
    <n v="0"/>
    <n v="1"/>
    <n v="0"/>
    <n v="459"/>
    <n v="305.29000000000002"/>
    <n v="56.52"/>
    <n v="63.07"/>
    <n v="38.42"/>
    <n v="4.42"/>
    <n v="154602"/>
    <n v="5520"/>
    <n v="160122"/>
    <n v="25943"/>
    <n v="28949"/>
    <n v="0"/>
    <n v="19456"/>
    <n v="2238"/>
    <n v="236708"/>
    <n v="29571"/>
    <n v="207137"/>
    <n v="112649"/>
    <n v="94488"/>
  </r>
  <r>
    <s v="07"/>
    <x v="2"/>
    <x v="97"/>
    <x v="97"/>
    <n v="59.19"/>
    <n v="446"/>
    <n v="505.19"/>
    <n v="0"/>
    <n v="0"/>
    <n v="0"/>
    <n v="446"/>
    <n v="305.29000000000002"/>
    <n v="56.52"/>
    <n v="63.07"/>
    <n v="38.42"/>
    <n v="4.42"/>
    <n v="154229"/>
    <n v="5450"/>
    <n v="159679"/>
    <n v="25208"/>
    <n v="28129"/>
    <n v="0"/>
    <n v="19409"/>
    <n v="2233"/>
    <n v="234658"/>
    <n v="23815"/>
    <n v="210843"/>
    <n v="118062"/>
    <n v="92781"/>
  </r>
  <r>
    <s v="07"/>
    <x v="2"/>
    <x v="98"/>
    <x v="98"/>
    <n v="58.91"/>
    <n v="511.5"/>
    <n v="570.41"/>
    <n v="0"/>
    <n v="0"/>
    <n v="0"/>
    <n v="512"/>
    <n v="305.29000000000002"/>
    <n v="56.52"/>
    <n v="63.07"/>
    <n v="38.42"/>
    <n v="4.42"/>
    <n v="174140"/>
    <n v="0"/>
    <n v="174140"/>
    <n v="28938"/>
    <n v="32292"/>
    <n v="0"/>
    <n v="21915"/>
    <n v="2521"/>
    <n v="259806"/>
    <n v="25116"/>
    <n v="234690"/>
    <n v="135078"/>
    <n v="99612"/>
  </r>
  <r>
    <s v="07"/>
    <x v="2"/>
    <x v="99"/>
    <x v="99"/>
    <n v="81.39"/>
    <n v="918.7"/>
    <n v="1000.09"/>
    <n v="0"/>
    <n v="1"/>
    <n v="0"/>
    <n v="920"/>
    <n v="305.29000000000002"/>
    <n v="56.52"/>
    <n v="63.07"/>
    <n v="38.42"/>
    <n v="4.42"/>
    <n v="305317"/>
    <n v="2100"/>
    <n v="307417"/>
    <n v="51998"/>
    <n v="58024"/>
    <n v="0"/>
    <n v="38423"/>
    <n v="4420"/>
    <n v="460282"/>
    <n v="47573"/>
    <n v="412709"/>
    <n v="233291"/>
    <n v="179418"/>
  </r>
  <r>
    <s v="07"/>
    <x v="2"/>
    <x v="100"/>
    <x v="100"/>
    <n v="67.209999999999994"/>
    <n v="414"/>
    <n v="481.21"/>
    <n v="0"/>
    <n v="6"/>
    <n v="0"/>
    <n v="420"/>
    <n v="305.29000000000002"/>
    <n v="56.52"/>
    <n v="63.07"/>
    <n v="38.42"/>
    <n v="4.42"/>
    <n v="146909"/>
    <n v="11114"/>
    <n v="158023"/>
    <n v="23738"/>
    <n v="26489"/>
    <n v="0"/>
    <n v="18488"/>
    <n v="2127"/>
    <n v="228865"/>
    <n v="29454"/>
    <n v="199411"/>
    <n v="105689"/>
    <n v="93722"/>
  </r>
  <r>
    <s v="07"/>
    <x v="2"/>
    <x v="101"/>
    <x v="101"/>
    <n v="256.02999999999997"/>
    <n v="1541.1"/>
    <n v="1797.13"/>
    <n v="0"/>
    <n v="1"/>
    <n v="0"/>
    <n v="1542"/>
    <n v="305.29000000000002"/>
    <n v="56.52"/>
    <n v="63.07"/>
    <n v="38.42"/>
    <n v="4.42"/>
    <n v="548646"/>
    <n v="0"/>
    <n v="548646"/>
    <n v="87154"/>
    <n v="97254"/>
    <n v="0"/>
    <n v="69046"/>
    <n v="7943"/>
    <n v="810043"/>
    <n v="75549"/>
    <n v="734494"/>
    <n v="429157"/>
    <n v="305337"/>
  </r>
  <r>
    <s v="07"/>
    <x v="2"/>
    <x v="102"/>
    <x v="102"/>
    <n v="60.18"/>
    <n v="577.79999999999995"/>
    <n v="637.98"/>
    <n v="0"/>
    <n v="0"/>
    <n v="0"/>
    <n v="578"/>
    <n v="305.29000000000002"/>
    <n v="56.52"/>
    <n v="63.07"/>
    <n v="38.42"/>
    <n v="4.42"/>
    <n v="194769"/>
    <n v="4503"/>
    <n v="199272"/>
    <n v="32669"/>
    <n v="36454"/>
    <n v="0"/>
    <n v="24511"/>
    <n v="2820"/>
    <n v="295726"/>
    <n v="34964"/>
    <n v="260762"/>
    <n v="144206"/>
    <n v="116556"/>
  </r>
  <r>
    <s v="07"/>
    <x v="2"/>
    <x v="103"/>
    <x v="103"/>
    <n v="118.29"/>
    <n v="818.8"/>
    <n v="937.09"/>
    <n v="0"/>
    <n v="3"/>
    <n v="0"/>
    <n v="822"/>
    <n v="305.29000000000002"/>
    <n v="56.52"/>
    <n v="63.07"/>
    <n v="38.42"/>
    <n v="4.42"/>
    <n v="286084"/>
    <n v="0"/>
    <n v="286084"/>
    <n v="46459"/>
    <n v="51844"/>
    <n v="0"/>
    <n v="36003"/>
    <n v="4142"/>
    <n v="424532"/>
    <n v="48164"/>
    <n v="376368"/>
    <n v="215008"/>
    <n v="161360"/>
  </r>
  <r>
    <s v="07"/>
    <x v="2"/>
    <x v="104"/>
    <x v="104"/>
    <n v="54.17"/>
    <n v="410"/>
    <n v="464.17"/>
    <n v="0"/>
    <n v="4"/>
    <n v="0"/>
    <n v="414"/>
    <n v="305.29000000000002"/>
    <n v="56.52"/>
    <n v="63.07"/>
    <n v="38.42"/>
    <n v="4.42"/>
    <n v="141706"/>
    <n v="10618"/>
    <n v="152324"/>
    <n v="23399"/>
    <n v="26111"/>
    <n v="0"/>
    <n v="17893"/>
    <n v="2060"/>
    <n v="221787"/>
    <n v="22675"/>
    <n v="199112"/>
    <n v="107750"/>
    <n v="91362"/>
  </r>
  <r>
    <s v="07"/>
    <x v="2"/>
    <x v="105"/>
    <x v="105"/>
    <n v="137.13999999999999"/>
    <n v="1054.4000000000001"/>
    <n v="1191.54"/>
    <n v="0"/>
    <n v="28"/>
    <n v="0"/>
    <n v="1082"/>
    <n v="305.29000000000002"/>
    <n v="56.52"/>
    <n v="63.07"/>
    <n v="38.42"/>
    <n v="4.42"/>
    <n v="363765"/>
    <n v="26105"/>
    <n v="389870"/>
    <n v="61155"/>
    <n v="68242"/>
    <n v="0"/>
    <n v="45779"/>
    <n v="5267"/>
    <n v="570313"/>
    <n v="54340"/>
    <n v="515973"/>
    <n v="280293"/>
    <n v="235680"/>
  </r>
  <r>
    <s v="07"/>
    <x v="2"/>
    <x v="106"/>
    <x v="106"/>
    <n v="66.69"/>
    <n v="678.6"/>
    <n v="745.29"/>
    <n v="0"/>
    <n v="25"/>
    <n v="0"/>
    <n v="704"/>
    <n v="305.29000000000002"/>
    <n v="56.52"/>
    <n v="63.07"/>
    <n v="38.42"/>
    <n v="4.42"/>
    <n v="227530"/>
    <n v="0"/>
    <n v="227530"/>
    <n v="39790"/>
    <n v="44401"/>
    <n v="0"/>
    <n v="28634"/>
    <n v="3294"/>
    <n v="343649"/>
    <n v="33496"/>
    <n v="310153"/>
    <n v="175811"/>
    <n v="134342"/>
  </r>
  <r>
    <s v="07"/>
    <x v="2"/>
    <x v="107"/>
    <x v="107"/>
    <n v="2338.4"/>
    <n v="10776.7"/>
    <n v="13115.1"/>
    <n v="0"/>
    <n v="1333"/>
    <n v="4.0999999999999996"/>
    <n v="12106"/>
    <n v="305.29000000000002"/>
    <n v="56.52"/>
    <n v="63.07"/>
    <n v="38.42"/>
    <n v="4.42"/>
    <n v="4003909"/>
    <n v="0"/>
    <n v="4003909"/>
    <n v="684231"/>
    <n v="763525"/>
    <n v="0"/>
    <n v="503882"/>
    <n v="57969"/>
    <n v="6013516"/>
    <n v="541622"/>
    <n v="5471894"/>
    <n v="3141623"/>
    <n v="2330271"/>
  </r>
  <r>
    <s v="07"/>
    <x v="2"/>
    <x v="108"/>
    <x v="108"/>
    <n v="265.68"/>
    <n v="2118"/>
    <n v="2383.6799999999998"/>
    <n v="0"/>
    <n v="112"/>
    <n v="2.1"/>
    <n v="2228"/>
    <n v="305.29000000000002"/>
    <n v="56.52"/>
    <n v="63.07"/>
    <n v="38.42"/>
    <n v="4.42"/>
    <n v="727714"/>
    <n v="0"/>
    <n v="727714"/>
    <n v="125927"/>
    <n v="140520"/>
    <n v="0"/>
    <n v="91581"/>
    <n v="10536"/>
    <n v="1096278"/>
    <n v="88570"/>
    <n v="1007708"/>
    <n v="580863"/>
    <n v="426845"/>
  </r>
  <r>
    <s v="07"/>
    <x v="2"/>
    <x v="109"/>
    <x v="109"/>
    <n v="115.79"/>
    <n v="704"/>
    <n v="819.79"/>
    <n v="0"/>
    <n v="39"/>
    <n v="0"/>
    <n v="743"/>
    <n v="305.29000000000002"/>
    <n v="56.52"/>
    <n v="63.07"/>
    <n v="38.42"/>
    <n v="4.42"/>
    <n v="250274"/>
    <n v="0"/>
    <n v="250274"/>
    <n v="41994"/>
    <n v="46861"/>
    <n v="0"/>
    <n v="31496"/>
    <n v="3623"/>
    <n v="374248"/>
    <n v="44215"/>
    <n v="330033"/>
    <n v="186014"/>
    <n v="144019"/>
  </r>
  <r>
    <s v="07"/>
    <x v="2"/>
    <x v="110"/>
    <x v="110"/>
    <n v="53.54"/>
    <n v="539.29999999999995"/>
    <n v="592.84"/>
    <n v="0"/>
    <n v="46"/>
    <n v="0.2"/>
    <n v="585"/>
    <n v="305.29000000000002"/>
    <n v="56.52"/>
    <n v="63.07"/>
    <n v="38.42"/>
    <n v="4.42"/>
    <n v="180988"/>
    <n v="11220"/>
    <n v="192208"/>
    <n v="33064"/>
    <n v="36896"/>
    <n v="0"/>
    <n v="22777"/>
    <n v="2620"/>
    <n v="287565"/>
    <n v="32056"/>
    <n v="255509"/>
    <n v="134437"/>
    <n v="121072"/>
  </r>
  <r>
    <s v="07"/>
    <x v="2"/>
    <x v="111"/>
    <x v="111"/>
    <n v="89.19"/>
    <n v="870.1"/>
    <n v="959.29"/>
    <n v="0"/>
    <n v="2"/>
    <n v="0"/>
    <n v="872"/>
    <n v="305.29000000000002"/>
    <n v="56.52"/>
    <n v="63.07"/>
    <n v="38.42"/>
    <n v="4.42"/>
    <n v="292862"/>
    <n v="1901"/>
    <n v="294763"/>
    <n v="49285"/>
    <n v="54997"/>
    <n v="0"/>
    <n v="37230"/>
    <n v="4285"/>
    <n v="440560"/>
    <n v="38932"/>
    <n v="401628"/>
    <n v="230894"/>
    <n v="170734"/>
  </r>
  <r>
    <s v="09"/>
    <x v="3"/>
    <x v="112"/>
    <x v="112"/>
    <n v="33.4"/>
    <n v="240.3"/>
    <n v="273.7"/>
    <n v="0.5"/>
    <n v="22"/>
    <n v="0"/>
    <n v="262"/>
    <n v="302.93"/>
    <n v="56.03"/>
    <n v="61.15"/>
    <n v="27.49"/>
    <n v="3.23"/>
    <n v="82912"/>
    <n v="10419"/>
    <n v="93331"/>
    <n v="14680"/>
    <n v="16021"/>
    <n v="151"/>
    <n v="7524"/>
    <n v="884"/>
    <n v="132591"/>
    <n v="16393"/>
    <n v="116198"/>
    <n v="57275"/>
    <n v="58923"/>
  </r>
  <r>
    <s v="09"/>
    <x v="3"/>
    <x v="113"/>
    <x v="113"/>
    <n v="68.150000000000006"/>
    <n v="595.29999999999995"/>
    <n v="663.45"/>
    <n v="1.21"/>
    <n v="160"/>
    <n v="4.3"/>
    <n v="751"/>
    <n v="302.93"/>
    <n v="56.03"/>
    <n v="61.15"/>
    <n v="27.49"/>
    <n v="3.23"/>
    <n v="200979"/>
    <n v="0"/>
    <n v="200979"/>
    <n v="42079"/>
    <n v="45924"/>
    <n v="367"/>
    <n v="18238"/>
    <n v="2143"/>
    <n v="309730"/>
    <n v="33230"/>
    <n v="276500"/>
    <n v="145340"/>
    <n v="131160"/>
  </r>
  <r>
    <s v="09"/>
    <x v="3"/>
    <x v="114"/>
    <x v="114"/>
    <n v="22.24"/>
    <n v="207.3"/>
    <n v="229.54"/>
    <n v="0.42"/>
    <n v="1"/>
    <n v="0"/>
    <n v="208"/>
    <n v="302.93"/>
    <n v="56.03"/>
    <n v="61.15"/>
    <n v="27.49"/>
    <n v="3.23"/>
    <n v="69535"/>
    <n v="0"/>
    <n v="69535"/>
    <n v="11654"/>
    <n v="12719"/>
    <n v="127"/>
    <n v="6310"/>
    <n v="741"/>
    <n v="101086"/>
    <n v="11567"/>
    <n v="89519"/>
    <n v="50214"/>
    <n v="39305"/>
  </r>
  <r>
    <s v="09"/>
    <x v="3"/>
    <x v="115"/>
    <x v="115"/>
    <n v="484.7"/>
    <n v="4185.3"/>
    <n v="4670"/>
    <n v="8.5500000000000007"/>
    <n v="231"/>
    <n v="0"/>
    <n v="4416"/>
    <n v="302.93"/>
    <n v="56.03"/>
    <n v="61.15"/>
    <n v="27.49"/>
    <n v="3.23"/>
    <n v="1414683"/>
    <n v="0"/>
    <n v="1414683"/>
    <n v="247428"/>
    <n v="270038"/>
    <n v="2590"/>
    <n v="128378"/>
    <n v="15084"/>
    <n v="2078201"/>
    <n v="185946"/>
    <n v="1892255"/>
    <n v="1071011"/>
    <n v="821244"/>
  </r>
  <r>
    <s v="09"/>
    <x v="3"/>
    <x v="116"/>
    <x v="116"/>
    <n v="56.55"/>
    <n v="424.9"/>
    <n v="481.45"/>
    <n v="0.88"/>
    <n v="0"/>
    <n v="0"/>
    <n v="425"/>
    <n v="302.93"/>
    <n v="56.03"/>
    <n v="61.15"/>
    <n v="27.49"/>
    <n v="3.23"/>
    <n v="145846"/>
    <n v="9873"/>
    <n v="155719"/>
    <n v="23813"/>
    <n v="25989"/>
    <n v="267"/>
    <n v="13235"/>
    <n v="1555"/>
    <n v="220578"/>
    <n v="24342"/>
    <n v="196236"/>
    <n v="105243"/>
    <n v="90993"/>
  </r>
  <r>
    <s v="09"/>
    <x v="3"/>
    <x v="117"/>
    <x v="117"/>
    <n v="87.13"/>
    <n v="821"/>
    <n v="908.13"/>
    <n v="1.66"/>
    <n v="22"/>
    <n v="0"/>
    <n v="843"/>
    <n v="302.93"/>
    <n v="56.03"/>
    <n v="61.15"/>
    <n v="27.49"/>
    <n v="3.23"/>
    <n v="275100"/>
    <n v="6554"/>
    <n v="281654"/>
    <n v="47233"/>
    <n v="51549"/>
    <n v="503"/>
    <n v="25407"/>
    <n v="2989"/>
    <n v="409335"/>
    <n v="41235"/>
    <n v="368100"/>
    <n v="203691"/>
    <n v="164409"/>
  </r>
  <r>
    <s v="09"/>
    <x v="3"/>
    <x v="118"/>
    <x v="118"/>
    <n v="167.15"/>
    <n v="1472.6"/>
    <n v="1639.75"/>
    <n v="3"/>
    <n v="157"/>
    <n v="0"/>
    <n v="1630"/>
    <n v="302.93"/>
    <n v="56.03"/>
    <n v="61.15"/>
    <n v="27.49"/>
    <n v="3.23"/>
    <n v="496729"/>
    <n v="0"/>
    <n v="496729"/>
    <n v="91329"/>
    <n v="99675"/>
    <n v="909"/>
    <n v="45077"/>
    <n v="5296"/>
    <n v="739015"/>
    <n v="77370"/>
    <n v="661645"/>
    <n v="363978"/>
    <n v="297667"/>
  </r>
  <r>
    <s v="09"/>
    <x v="3"/>
    <x v="119"/>
    <x v="119"/>
    <n v="784.53"/>
    <n v="3732.4"/>
    <n v="4516.93"/>
    <n v="8.26"/>
    <n v="161"/>
    <n v="0"/>
    <n v="3893"/>
    <n v="302.93"/>
    <n v="56.03"/>
    <n v="61.15"/>
    <n v="27.49"/>
    <n v="3.23"/>
    <n v="1368314"/>
    <n v="0"/>
    <n v="1368314"/>
    <n v="218125"/>
    <n v="238057"/>
    <n v="2502"/>
    <n v="124170"/>
    <n v="14590"/>
    <n v="1965758"/>
    <n v="219420"/>
    <n v="1746338"/>
    <n v="996335"/>
    <n v="750003"/>
  </r>
  <r>
    <s v="09"/>
    <x v="3"/>
    <x v="120"/>
    <x v="120"/>
    <n v="113.9"/>
    <n v="752.9"/>
    <n v="866.8"/>
    <n v="1.59"/>
    <n v="0"/>
    <n v="0"/>
    <n v="753"/>
    <n v="302.93"/>
    <n v="56.03"/>
    <n v="61.15"/>
    <n v="27.49"/>
    <n v="3.23"/>
    <n v="262580"/>
    <n v="36493"/>
    <n v="299073"/>
    <n v="42191"/>
    <n v="46046"/>
    <n v="482"/>
    <n v="24376"/>
    <n v="2868"/>
    <n v="415036"/>
    <n v="48308"/>
    <n v="366728"/>
    <n v="185613"/>
    <n v="181115"/>
  </r>
  <r>
    <s v="09"/>
    <x v="3"/>
    <x v="121"/>
    <x v="121"/>
    <n v="3442.35"/>
    <n v="15053.7"/>
    <n v="18496.05"/>
    <n v="33.85"/>
    <n v="1911"/>
    <n v="2.5"/>
    <n v="16962"/>
    <n v="302.93"/>
    <n v="56.03"/>
    <n v="61.15"/>
    <n v="27.49"/>
    <n v="3.23"/>
    <n v="5603008"/>
    <n v="0"/>
    <n v="5603008"/>
    <n v="950381"/>
    <n v="1037226"/>
    <n v="10254"/>
    <n v="508456"/>
    <n v="59742"/>
    <n v="8169067"/>
    <n v="800370"/>
    <n v="7368697"/>
    <n v="4177944"/>
    <n v="3190753"/>
  </r>
  <r>
    <s v="09"/>
    <x v="3"/>
    <x v="122"/>
    <x v="122"/>
    <n v="25.84"/>
    <n v="205.5"/>
    <n v="231.34"/>
    <n v="0.42"/>
    <n v="0"/>
    <n v="0"/>
    <n v="206"/>
    <n v="302.93"/>
    <n v="56.03"/>
    <n v="61.15"/>
    <n v="27.49"/>
    <n v="3.23"/>
    <n v="70080"/>
    <n v="4933"/>
    <n v="75013"/>
    <n v="11542"/>
    <n v="12597"/>
    <n v="127"/>
    <n v="6360"/>
    <n v="747"/>
    <n v="106386"/>
    <n v="13150"/>
    <n v="93236"/>
    <n v="49116"/>
    <n v="44120"/>
  </r>
  <r>
    <s v="09"/>
    <x v="3"/>
    <x v="123"/>
    <x v="123"/>
    <n v="69.27"/>
    <n v="555.29999999999995"/>
    <n v="624.57000000000005"/>
    <n v="1.1399999999999999"/>
    <n v="6"/>
    <n v="0"/>
    <n v="561"/>
    <n v="302.93"/>
    <n v="56.03"/>
    <n v="61.15"/>
    <n v="27.49"/>
    <n v="3.23"/>
    <n v="189201"/>
    <n v="0"/>
    <n v="189201"/>
    <n v="31433"/>
    <n v="34305"/>
    <n v="345"/>
    <n v="17169"/>
    <n v="2017"/>
    <n v="274470"/>
    <n v="27628"/>
    <n v="246842"/>
    <n v="140477"/>
    <n v="106365"/>
  </r>
  <r>
    <s v="09"/>
    <x v="3"/>
    <x v="124"/>
    <x v="124"/>
    <n v="100.84"/>
    <n v="592.9"/>
    <n v="693.74"/>
    <n v="1.27"/>
    <n v="0"/>
    <n v="0"/>
    <n v="593"/>
    <n v="302.93"/>
    <n v="56.03"/>
    <n v="61.15"/>
    <n v="27.49"/>
    <n v="3.23"/>
    <n v="210155"/>
    <n v="9122"/>
    <n v="219277"/>
    <n v="33226"/>
    <n v="36262"/>
    <n v="385"/>
    <n v="19071"/>
    <n v="2241"/>
    <n v="310462"/>
    <n v="35711"/>
    <n v="274751"/>
    <n v="151013"/>
    <n v="123738"/>
  </r>
  <r>
    <s v="09"/>
    <x v="3"/>
    <x v="125"/>
    <x v="125"/>
    <n v="106.09"/>
    <n v="711.7"/>
    <n v="817.79"/>
    <n v="1.5"/>
    <n v="0"/>
    <n v="0"/>
    <n v="712"/>
    <n v="302.93"/>
    <n v="56.03"/>
    <n v="61.15"/>
    <n v="27.49"/>
    <n v="3.23"/>
    <n v="247733"/>
    <n v="5590"/>
    <n v="253323"/>
    <n v="39893"/>
    <n v="43539"/>
    <n v="454"/>
    <n v="22922"/>
    <n v="2697"/>
    <n v="362828"/>
    <n v="39308"/>
    <n v="323520"/>
    <n v="181302"/>
    <n v="142218"/>
  </r>
  <r>
    <s v="09"/>
    <x v="3"/>
    <x v="126"/>
    <x v="126"/>
    <n v="331.77"/>
    <n v="1305.3"/>
    <n v="1637.07"/>
    <n v="3"/>
    <n v="109"/>
    <n v="0"/>
    <n v="1414"/>
    <n v="302.93"/>
    <n v="56.03"/>
    <n v="61.15"/>
    <n v="27.49"/>
    <n v="3.23"/>
    <n v="495918"/>
    <n v="0"/>
    <n v="495918"/>
    <n v="79226"/>
    <n v="86466"/>
    <n v="909"/>
    <n v="45003"/>
    <n v="5288"/>
    <n v="712810"/>
    <n v="74194"/>
    <n v="638616"/>
    <n v="366434"/>
    <n v="272182"/>
  </r>
  <r>
    <s v="09"/>
    <x v="3"/>
    <x v="127"/>
    <x v="127"/>
    <n v="766.59"/>
    <n v="4894"/>
    <n v="5660.59"/>
    <n v="10.36"/>
    <n v="179"/>
    <n v="0"/>
    <n v="5073"/>
    <n v="302.93"/>
    <n v="56.03"/>
    <n v="61.15"/>
    <n v="27.49"/>
    <n v="3.23"/>
    <n v="1714763"/>
    <n v="2024"/>
    <n v="1716787"/>
    <n v="284240"/>
    <n v="310214"/>
    <n v="3138"/>
    <n v="155610"/>
    <n v="18284"/>
    <n v="2488273"/>
    <n v="253669"/>
    <n v="2234604"/>
    <n v="1269911"/>
    <n v="964693"/>
  </r>
  <r>
    <s v="09"/>
    <x v="3"/>
    <x v="128"/>
    <x v="128"/>
    <n v="313.64"/>
    <n v="3077.3"/>
    <n v="3390.94"/>
    <n v="6.21"/>
    <n v="63"/>
    <n v="0"/>
    <n v="3140"/>
    <n v="302.93"/>
    <n v="56.03"/>
    <n v="61.15"/>
    <n v="27.49"/>
    <n v="3.23"/>
    <n v="1027217"/>
    <n v="0"/>
    <n v="1027217"/>
    <n v="175934"/>
    <n v="192011"/>
    <n v="1881"/>
    <n v="93217"/>
    <n v="10953"/>
    <n v="1501213"/>
    <n v="130713"/>
    <n v="1370500"/>
    <n v="781979"/>
    <n v="588521"/>
  </r>
  <r>
    <s v="09"/>
    <x v="3"/>
    <x v="129"/>
    <x v="129"/>
    <n v="43.23"/>
    <n v="522.6"/>
    <n v="565.83000000000004"/>
    <n v="1.04"/>
    <n v="3"/>
    <n v="0"/>
    <n v="526"/>
    <n v="302.93"/>
    <n v="56.03"/>
    <n v="61.15"/>
    <n v="27.49"/>
    <n v="3.23"/>
    <n v="171407"/>
    <n v="3798"/>
    <n v="175205"/>
    <n v="29472"/>
    <n v="32165"/>
    <n v="315"/>
    <n v="15555"/>
    <n v="1828"/>
    <n v="254540"/>
    <n v="30807"/>
    <n v="223733"/>
    <n v="121491"/>
    <n v="102242"/>
  </r>
  <r>
    <s v="09"/>
    <x v="3"/>
    <x v="130"/>
    <x v="130"/>
    <n v="320.2"/>
    <n v="5036.7"/>
    <n v="5356.9"/>
    <n v="9.8000000000000007"/>
    <n v="125"/>
    <n v="0"/>
    <n v="5162"/>
    <n v="302.93"/>
    <n v="56.03"/>
    <n v="61.15"/>
    <n v="27.49"/>
    <n v="3.23"/>
    <n v="1622766"/>
    <n v="0"/>
    <n v="1622766"/>
    <n v="289227"/>
    <n v="315656"/>
    <n v="2969"/>
    <n v="147261"/>
    <n v="17303"/>
    <n v="2395182"/>
    <n v="135851"/>
    <n v="2259331"/>
    <n v="1305988"/>
    <n v="953343"/>
  </r>
  <r>
    <s v="09"/>
    <x v="3"/>
    <x v="131"/>
    <x v="131"/>
    <n v="153.84"/>
    <n v="1332.8"/>
    <n v="1486.64"/>
    <n v="2.72"/>
    <n v="4"/>
    <n v="0"/>
    <n v="1337"/>
    <n v="302.93"/>
    <n v="56.03"/>
    <n v="61.15"/>
    <n v="27.49"/>
    <n v="3.23"/>
    <n v="450348"/>
    <n v="3494"/>
    <n v="453842"/>
    <n v="74912"/>
    <n v="81758"/>
    <n v="824"/>
    <n v="41067"/>
    <n v="4831"/>
    <n v="657234"/>
    <n v="51632"/>
    <n v="605602"/>
    <n v="348734"/>
    <n v="256868"/>
  </r>
  <r>
    <s v="09"/>
    <x v="3"/>
    <x v="132"/>
    <x v="132"/>
    <n v="68.349999999999994"/>
    <n v="838.3"/>
    <n v="906.65"/>
    <n v="1.66"/>
    <n v="1"/>
    <n v="0"/>
    <n v="839"/>
    <n v="302.93"/>
    <n v="56.03"/>
    <n v="61.15"/>
    <n v="27.49"/>
    <n v="3.23"/>
    <n v="274651"/>
    <n v="0"/>
    <n v="274651"/>
    <n v="47009"/>
    <n v="51305"/>
    <n v="503"/>
    <n v="24924"/>
    <n v="2928"/>
    <n v="401320"/>
    <n v="40568"/>
    <n v="360752"/>
    <n v="203462"/>
    <n v="157290"/>
  </r>
  <r>
    <s v="10"/>
    <x v="4"/>
    <x v="133"/>
    <x v="133"/>
    <n v="43.88"/>
    <n v="514.20000000000005"/>
    <n v="558.08000000000004"/>
    <n v="0"/>
    <n v="25"/>
    <n v="0"/>
    <n v="539"/>
    <n v="301.01"/>
    <n v="56.21"/>
    <n v="61.75"/>
    <n v="28.24"/>
    <n v="3.29"/>
    <n v="167988"/>
    <n v="989"/>
    <n v="168977"/>
    <n v="30297"/>
    <n v="33283"/>
    <n v="0"/>
    <n v="15819"/>
    <n v="1845"/>
    <n v="250221"/>
    <n v="28260"/>
    <n v="221961"/>
    <n v="122227"/>
    <n v="99734"/>
  </r>
  <r>
    <s v="10"/>
    <x v="4"/>
    <x v="134"/>
    <x v="134"/>
    <n v="140.9"/>
    <n v="1267.0999999999999"/>
    <n v="1408"/>
    <n v="0"/>
    <n v="64"/>
    <n v="0.3"/>
    <n v="1331"/>
    <n v="301.01"/>
    <n v="56.21"/>
    <n v="61.75"/>
    <n v="28.24"/>
    <n v="3.29"/>
    <n v="423822"/>
    <n v="0"/>
    <n v="423822"/>
    <n v="74816"/>
    <n v="82189"/>
    <n v="0"/>
    <n v="39762"/>
    <n v="4632"/>
    <n v="625221"/>
    <n v="60223"/>
    <n v="564998"/>
    <n v="319275"/>
    <n v="245723"/>
  </r>
  <r>
    <s v="10"/>
    <x v="4"/>
    <x v="135"/>
    <x v="135"/>
    <n v="36.090000000000003"/>
    <n v="488.4"/>
    <n v="524.49"/>
    <n v="0"/>
    <n v="0"/>
    <n v="0"/>
    <n v="488"/>
    <n v="301.01"/>
    <n v="56.21"/>
    <n v="61.75"/>
    <n v="28.24"/>
    <n v="3.29"/>
    <n v="157877"/>
    <n v="16451"/>
    <n v="174328"/>
    <n v="27430"/>
    <n v="30134"/>
    <n v="0"/>
    <n v="15806"/>
    <n v="1843"/>
    <n v="249541"/>
    <n v="34138"/>
    <n v="215403"/>
    <n v="108340"/>
    <n v="107063"/>
  </r>
  <r>
    <s v="10"/>
    <x v="4"/>
    <x v="136"/>
    <x v="136"/>
    <n v="140.19"/>
    <n v="1502.1"/>
    <n v="1642.29"/>
    <n v="0"/>
    <n v="141"/>
    <n v="0"/>
    <n v="1643"/>
    <n v="301.01"/>
    <n v="56.21"/>
    <n v="61.75"/>
    <n v="28.24"/>
    <n v="3.29"/>
    <n v="494346"/>
    <n v="0"/>
    <n v="494346"/>
    <n v="92353"/>
    <n v="101455"/>
    <n v="0"/>
    <n v="46378"/>
    <n v="5403"/>
    <n v="739935"/>
    <n v="79586"/>
    <n v="660349"/>
    <n v="363060"/>
    <n v="297289"/>
  </r>
  <r>
    <s v="10"/>
    <x v="4"/>
    <x v="137"/>
    <x v="137"/>
    <n v="2521.4499999999998"/>
    <n v="16963.2"/>
    <n v="19484.650000000001"/>
    <n v="0"/>
    <n v="1997"/>
    <n v="19.3"/>
    <n v="18941"/>
    <n v="301.01"/>
    <n v="56.21"/>
    <n v="61.75"/>
    <n v="28.24"/>
    <n v="3.29"/>
    <n v="5865074"/>
    <n v="0"/>
    <n v="5865074"/>
    <n v="1064674"/>
    <n v="1169607"/>
    <n v="0"/>
    <n v="550247"/>
    <n v="64104"/>
    <n v="8713706"/>
    <n v="846317"/>
    <n v="7867389"/>
    <n v="4405381"/>
    <n v="3462008"/>
  </r>
  <r>
    <s v="10"/>
    <x v="4"/>
    <x v="138"/>
    <x v="138"/>
    <n v="131.58000000000001"/>
    <n v="1331.4"/>
    <n v="1462.98"/>
    <n v="0"/>
    <n v="7"/>
    <n v="0"/>
    <n v="1338"/>
    <n v="301.01"/>
    <n v="56.21"/>
    <n v="61.75"/>
    <n v="28.24"/>
    <n v="3.29"/>
    <n v="440372"/>
    <n v="0"/>
    <n v="440372"/>
    <n v="75209"/>
    <n v="82622"/>
    <n v="0"/>
    <n v="41315"/>
    <n v="4813"/>
    <n v="644331"/>
    <n v="46594"/>
    <n v="597737"/>
    <n v="347723"/>
    <n v="250014"/>
  </r>
  <r>
    <s v="10"/>
    <x v="4"/>
    <x v="139"/>
    <x v="139"/>
    <n v="36.25"/>
    <n v="458.9"/>
    <n v="495.15"/>
    <n v="0"/>
    <n v="2"/>
    <n v="0"/>
    <n v="461"/>
    <n v="301.01"/>
    <n v="56.21"/>
    <n v="61.75"/>
    <n v="28.24"/>
    <n v="3.29"/>
    <n v="149045"/>
    <n v="4942"/>
    <n v="153987"/>
    <n v="25913"/>
    <n v="28467"/>
    <n v="0"/>
    <n v="14415"/>
    <n v="1681"/>
    <n v="224463"/>
    <n v="23775"/>
    <n v="200688"/>
    <n v="110167"/>
    <n v="90521"/>
  </r>
  <r>
    <s v="10"/>
    <x v="4"/>
    <x v="140"/>
    <x v="140"/>
    <n v="270.27"/>
    <n v="2381.6999999999998"/>
    <n v="2651.97"/>
    <n v="0"/>
    <n v="36"/>
    <n v="0"/>
    <n v="2418"/>
    <n v="301.01"/>
    <n v="56.21"/>
    <n v="61.75"/>
    <n v="28.24"/>
    <n v="3.29"/>
    <n v="798269"/>
    <n v="0"/>
    <n v="798269"/>
    <n v="135916"/>
    <n v="149312"/>
    <n v="0"/>
    <n v="74892"/>
    <n v="8725"/>
    <n v="1167114"/>
    <n v="54531"/>
    <n v="1112583"/>
    <n v="660255"/>
    <n v="452328"/>
  </r>
  <r>
    <s v="10"/>
    <x v="4"/>
    <x v="141"/>
    <x v="141"/>
    <n v="603.58000000000004"/>
    <n v="5139.6000000000004"/>
    <n v="5743.18"/>
    <n v="0"/>
    <n v="110"/>
    <n v="0"/>
    <n v="5250"/>
    <n v="301.01"/>
    <n v="56.21"/>
    <n v="61.75"/>
    <n v="28.24"/>
    <n v="3.29"/>
    <n v="1728755"/>
    <n v="0"/>
    <n v="1728755"/>
    <n v="295103"/>
    <n v="324188"/>
    <n v="0"/>
    <n v="162187"/>
    <n v="18895"/>
    <n v="2529128"/>
    <n v="142066"/>
    <n v="2387062"/>
    <n v="1405893"/>
    <n v="981169"/>
  </r>
  <r>
    <s v="10"/>
    <x v="4"/>
    <x v="142"/>
    <x v="142"/>
    <n v="63.54"/>
    <n v="467.7"/>
    <n v="531.24"/>
    <n v="0"/>
    <n v="3"/>
    <n v="0"/>
    <n v="471"/>
    <n v="301.01"/>
    <n v="56.21"/>
    <n v="61.75"/>
    <n v="28.24"/>
    <n v="3.29"/>
    <n v="159909"/>
    <n v="15277"/>
    <n v="175186"/>
    <n v="26475"/>
    <n v="29084"/>
    <n v="0"/>
    <n v="15002"/>
    <n v="1748"/>
    <n v="247495"/>
    <n v="31450"/>
    <n v="216045"/>
    <n v="111735"/>
    <n v="104310"/>
  </r>
  <r>
    <s v="10"/>
    <x v="4"/>
    <x v="143"/>
    <x v="143"/>
    <n v="49.17"/>
    <n v="351.8"/>
    <n v="400.97"/>
    <n v="0"/>
    <n v="9"/>
    <n v="0"/>
    <n v="361"/>
    <n v="301.01"/>
    <n v="56.21"/>
    <n v="61.75"/>
    <n v="28.24"/>
    <n v="3.29"/>
    <n v="120696"/>
    <n v="0"/>
    <n v="120696"/>
    <n v="20292"/>
    <n v="22292"/>
    <n v="0"/>
    <n v="11323"/>
    <n v="1319"/>
    <n v="175922"/>
    <n v="19800"/>
    <n v="156122"/>
    <n v="88273"/>
    <n v="67849"/>
  </r>
  <r>
    <s v="10"/>
    <x v="4"/>
    <x v="144"/>
    <x v="144"/>
    <n v="73.400000000000006"/>
    <n v="631.79999999999995"/>
    <n v="705.2"/>
    <n v="0"/>
    <n v="11"/>
    <n v="0"/>
    <n v="643"/>
    <n v="301.01"/>
    <n v="56.21"/>
    <n v="61.75"/>
    <n v="28.24"/>
    <n v="3.29"/>
    <n v="212272"/>
    <n v="0"/>
    <n v="212272"/>
    <n v="36143"/>
    <n v="39705"/>
    <n v="0"/>
    <n v="19915"/>
    <n v="2320"/>
    <n v="310355"/>
    <n v="28769"/>
    <n v="281586"/>
    <n v="161304"/>
    <n v="120282"/>
  </r>
  <r>
    <s v="10"/>
    <x v="4"/>
    <x v="145"/>
    <x v="145"/>
    <n v="1394.88"/>
    <n v="14285"/>
    <n v="15679.88"/>
    <n v="0"/>
    <n v="985"/>
    <n v="5.0999999999999996"/>
    <n v="15265"/>
    <n v="301.01"/>
    <n v="56.21"/>
    <n v="61.75"/>
    <n v="28.24"/>
    <n v="3.29"/>
    <n v="4719801"/>
    <n v="0"/>
    <n v="4719801"/>
    <n v="858046"/>
    <n v="942614"/>
    <n v="0"/>
    <n v="442800"/>
    <n v="51587"/>
    <n v="7014848"/>
    <n v="485100"/>
    <n v="6529748"/>
    <n v="3741098"/>
    <n v="2788650"/>
  </r>
  <r>
    <s v="10"/>
    <x v="4"/>
    <x v="146"/>
    <x v="146"/>
    <n v="60.8"/>
    <n v="550.1"/>
    <n v="610.9"/>
    <n v="0"/>
    <n v="2"/>
    <n v="0"/>
    <n v="552"/>
    <n v="301.01"/>
    <n v="56.21"/>
    <n v="61.75"/>
    <n v="28.24"/>
    <n v="3.29"/>
    <n v="183887"/>
    <n v="3721"/>
    <n v="187608"/>
    <n v="31028"/>
    <n v="34086"/>
    <n v="0"/>
    <n v="17252"/>
    <n v="2010"/>
    <n v="271984"/>
    <n v="30923"/>
    <n v="241061"/>
    <n v="133733"/>
    <n v="107328"/>
  </r>
  <r>
    <s v="10"/>
    <x v="4"/>
    <x v="147"/>
    <x v="147"/>
    <n v="719.61"/>
    <n v="7556.7"/>
    <n v="8276.31"/>
    <n v="0"/>
    <n v="440"/>
    <n v="0"/>
    <n v="7997"/>
    <n v="301.01"/>
    <n v="56.21"/>
    <n v="61.75"/>
    <n v="28.24"/>
    <n v="3.29"/>
    <n v="2491252"/>
    <n v="0"/>
    <n v="2491252"/>
    <n v="449511"/>
    <n v="493815"/>
    <n v="0"/>
    <n v="233723"/>
    <n v="27229"/>
    <n v="3695530"/>
    <n v="225812"/>
    <n v="3469718"/>
    <n v="2004902"/>
    <n v="1464816"/>
  </r>
  <r>
    <s v="10"/>
    <x v="4"/>
    <x v="148"/>
    <x v="148"/>
    <n v="31.35"/>
    <n v="636.79999999999995"/>
    <n v="668.15"/>
    <n v="0"/>
    <n v="6"/>
    <n v="0"/>
    <n v="643"/>
    <n v="301.01"/>
    <n v="56.21"/>
    <n v="61.75"/>
    <n v="28.24"/>
    <n v="3.29"/>
    <n v="201120"/>
    <n v="7024"/>
    <n v="208144"/>
    <n v="36143"/>
    <n v="39705"/>
    <n v="0"/>
    <n v="18869"/>
    <n v="2198"/>
    <n v="305059"/>
    <n v="27550"/>
    <n v="277509"/>
    <n v="152537"/>
    <n v="124972"/>
  </r>
  <r>
    <s v="10"/>
    <x v="4"/>
    <x v="149"/>
    <x v="149"/>
    <n v="29.94"/>
    <n v="363.7"/>
    <n v="393.64"/>
    <n v="0"/>
    <n v="7"/>
    <n v="0"/>
    <n v="371"/>
    <n v="301.01"/>
    <n v="56.21"/>
    <n v="61.75"/>
    <n v="28.24"/>
    <n v="3.29"/>
    <n v="118490"/>
    <n v="10108"/>
    <n v="128598"/>
    <n v="20854"/>
    <n v="22909"/>
    <n v="0"/>
    <n v="11116"/>
    <n v="1295"/>
    <n v="184772"/>
    <n v="18559"/>
    <n v="166213"/>
    <n v="87538"/>
    <n v="78675"/>
  </r>
  <r>
    <s v="10"/>
    <x v="4"/>
    <x v="150"/>
    <x v="150"/>
    <n v="222.03"/>
    <n v="1931.9"/>
    <n v="2153.9299999999998"/>
    <n v="0"/>
    <n v="75"/>
    <n v="0"/>
    <n v="2007"/>
    <n v="301.01"/>
    <n v="56.21"/>
    <n v="61.75"/>
    <n v="28.24"/>
    <n v="3.29"/>
    <n v="648354"/>
    <n v="0"/>
    <n v="648354"/>
    <n v="112813"/>
    <n v="123932"/>
    <n v="0"/>
    <n v="60827"/>
    <n v="7086"/>
    <n v="953012"/>
    <n v="80131"/>
    <n v="872881"/>
    <n v="500417"/>
    <n v="372464"/>
  </r>
  <r>
    <s v="10"/>
    <x v="4"/>
    <x v="151"/>
    <x v="151"/>
    <n v="161"/>
    <n v="1259"/>
    <n v="1420"/>
    <n v="0"/>
    <n v="50"/>
    <n v="0"/>
    <n v="1309"/>
    <n v="301.01"/>
    <n v="56.21"/>
    <n v="61.75"/>
    <n v="28.24"/>
    <n v="3.29"/>
    <n v="427434"/>
    <n v="0"/>
    <n v="427434"/>
    <n v="73579"/>
    <n v="80831"/>
    <n v="0"/>
    <n v="40101"/>
    <n v="4672"/>
    <n v="626617"/>
    <n v="55121"/>
    <n v="571496"/>
    <n v="327612"/>
    <n v="243884"/>
  </r>
  <r>
    <s v="10"/>
    <x v="4"/>
    <x v="152"/>
    <x v="152"/>
    <n v="80.8"/>
    <n v="535.5"/>
    <n v="616.29999999999995"/>
    <n v="0"/>
    <n v="9"/>
    <n v="0"/>
    <n v="545"/>
    <n v="301.01"/>
    <n v="56.21"/>
    <n v="61.75"/>
    <n v="28.24"/>
    <n v="3.29"/>
    <n v="185512"/>
    <n v="0"/>
    <n v="185512"/>
    <n v="30634"/>
    <n v="33654"/>
    <n v="0"/>
    <n v="17404"/>
    <n v="2028"/>
    <n v="269232"/>
    <n v="35327"/>
    <n v="233905"/>
    <n v="130784"/>
    <n v="103121"/>
  </r>
  <r>
    <s v="10"/>
    <x v="4"/>
    <x v="153"/>
    <x v="153"/>
    <n v="125.55"/>
    <n v="962.3"/>
    <n v="1087.8499999999999"/>
    <n v="0"/>
    <n v="77"/>
    <n v="3.3"/>
    <n v="1036"/>
    <n v="301.01"/>
    <n v="56.21"/>
    <n v="61.75"/>
    <n v="28.24"/>
    <n v="3.29"/>
    <n v="327454"/>
    <n v="18259"/>
    <n v="345713"/>
    <n v="58234"/>
    <n v="63973"/>
    <n v="0"/>
    <n v="30909"/>
    <n v="3605"/>
    <n v="502434"/>
    <n v="48152"/>
    <n v="454282"/>
    <n v="245270"/>
    <n v="209012"/>
  </r>
  <r>
    <s v="10"/>
    <x v="4"/>
    <x v="154"/>
    <x v="154"/>
    <n v="69.349999999999994"/>
    <n v="1121.8"/>
    <n v="1191.1500000000001"/>
    <n v="0"/>
    <n v="25"/>
    <n v="0"/>
    <n v="1147"/>
    <n v="301.01"/>
    <n v="56.21"/>
    <n v="61.75"/>
    <n v="28.24"/>
    <n v="3.29"/>
    <n v="358548"/>
    <n v="0"/>
    <n v="358548"/>
    <n v="64473"/>
    <n v="70827"/>
    <n v="0"/>
    <n v="33638"/>
    <n v="3919"/>
    <n v="531405"/>
    <n v="45951"/>
    <n v="485454"/>
    <n v="275100"/>
    <n v="210354"/>
  </r>
  <r>
    <s v="10"/>
    <x v="4"/>
    <x v="155"/>
    <x v="155"/>
    <n v="113.79"/>
    <n v="774.3"/>
    <n v="888.09"/>
    <n v="0"/>
    <n v="1"/>
    <n v="0"/>
    <n v="775"/>
    <n v="301.01"/>
    <n v="56.21"/>
    <n v="61.75"/>
    <n v="28.24"/>
    <n v="3.29"/>
    <n v="267324"/>
    <n v="13700"/>
    <n v="281024"/>
    <n v="43563"/>
    <n v="47856"/>
    <n v="0"/>
    <n v="25629"/>
    <n v="2989"/>
    <n v="401061"/>
    <n v="44471"/>
    <n v="356590"/>
    <n v="195512"/>
    <n v="161078"/>
  </r>
  <r>
    <s v="10"/>
    <x v="4"/>
    <x v="156"/>
    <x v="156"/>
    <n v="50.36"/>
    <n v="618.20000000000005"/>
    <n v="668.56"/>
    <n v="0"/>
    <n v="1"/>
    <n v="0"/>
    <n v="619"/>
    <n v="301.01"/>
    <n v="56.21"/>
    <n v="61.75"/>
    <n v="28.24"/>
    <n v="3.29"/>
    <n v="201243"/>
    <n v="14526"/>
    <n v="215769"/>
    <n v="34794"/>
    <n v="38223"/>
    <n v="0"/>
    <n v="18880"/>
    <n v="2200"/>
    <n v="309866"/>
    <n v="34751"/>
    <n v="275115"/>
    <n v="145446"/>
    <n v="129669"/>
  </r>
  <r>
    <s v="10"/>
    <x v="4"/>
    <x v="157"/>
    <x v="157"/>
    <n v="28.66"/>
    <n v="212"/>
    <n v="240.66"/>
    <n v="0"/>
    <n v="0"/>
    <n v="0"/>
    <n v="212"/>
    <n v="301.01"/>
    <n v="56.21"/>
    <n v="61.75"/>
    <n v="28.24"/>
    <n v="3.29"/>
    <n v="72441"/>
    <n v="6061"/>
    <n v="78502"/>
    <n v="11917"/>
    <n v="13091"/>
    <n v="0"/>
    <n v="6796"/>
    <n v="792"/>
    <n v="111098"/>
    <n v="14596"/>
    <n v="96502"/>
    <n v="50269"/>
    <n v="46233"/>
  </r>
  <r>
    <s v="10"/>
    <x v="4"/>
    <x v="158"/>
    <x v="158"/>
    <n v="103.09"/>
    <n v="1397.1"/>
    <n v="1500.19"/>
    <n v="0"/>
    <n v="23"/>
    <n v="0"/>
    <n v="1420"/>
    <n v="301.01"/>
    <n v="56.21"/>
    <n v="61.75"/>
    <n v="28.24"/>
    <n v="3.29"/>
    <n v="451572"/>
    <n v="0"/>
    <n v="451572"/>
    <n v="79818"/>
    <n v="87685"/>
    <n v="0"/>
    <n v="42365"/>
    <n v="4936"/>
    <n v="666376"/>
    <n v="48951"/>
    <n v="617425"/>
    <n v="355395"/>
    <n v="262030"/>
  </r>
  <r>
    <s v="10"/>
    <x v="4"/>
    <x v="159"/>
    <x v="159"/>
    <n v="40.340000000000003"/>
    <n v="382.1"/>
    <n v="422.44"/>
    <n v="0"/>
    <n v="8"/>
    <n v="0"/>
    <n v="390"/>
    <n v="301.01"/>
    <n v="56.21"/>
    <n v="61.75"/>
    <n v="28.24"/>
    <n v="3.29"/>
    <n v="127159"/>
    <n v="1826"/>
    <n v="128985"/>
    <n v="21922"/>
    <n v="24083"/>
    <n v="0"/>
    <n v="11947"/>
    <n v="1393"/>
    <n v="188330"/>
    <n v="21853"/>
    <n v="166477"/>
    <n v="92028"/>
    <n v="74449"/>
  </r>
  <r>
    <s v="10"/>
    <x v="4"/>
    <x v="160"/>
    <x v="160"/>
    <n v="96.33"/>
    <n v="877.1"/>
    <n v="973.43"/>
    <n v="0"/>
    <n v="2"/>
    <n v="0"/>
    <n v="879"/>
    <n v="301.01"/>
    <n v="56.21"/>
    <n v="61.75"/>
    <n v="28.24"/>
    <n v="3.29"/>
    <n v="293012"/>
    <n v="0"/>
    <n v="293012"/>
    <n v="49409"/>
    <n v="54278"/>
    <n v="0"/>
    <n v="27490"/>
    <n v="3203"/>
    <n v="427392"/>
    <n v="38524"/>
    <n v="388868"/>
    <n v="223845"/>
    <n v="165023"/>
  </r>
  <r>
    <s v="10"/>
    <x v="4"/>
    <x v="161"/>
    <x v="161"/>
    <n v="198.65"/>
    <n v="1505.6"/>
    <n v="1704.25"/>
    <n v="0"/>
    <n v="2"/>
    <n v="0"/>
    <n v="1508"/>
    <n v="301.01"/>
    <n v="56.21"/>
    <n v="61.75"/>
    <n v="28.24"/>
    <n v="3.29"/>
    <n v="512996"/>
    <n v="23912"/>
    <n v="536908"/>
    <n v="84765"/>
    <n v="93119"/>
    <n v="0"/>
    <n v="48819"/>
    <n v="5694"/>
    <n v="769305"/>
    <n v="88383"/>
    <n v="680922"/>
    <n v="371742"/>
    <n v="309180"/>
  </r>
  <r>
    <s v="10"/>
    <x v="4"/>
    <x v="162"/>
    <x v="162"/>
    <n v="219.39"/>
    <n v="1714.5"/>
    <n v="1933.89"/>
    <n v="0"/>
    <n v="73"/>
    <n v="0.6"/>
    <n v="1787"/>
    <n v="301.01"/>
    <n v="56.21"/>
    <n v="61.75"/>
    <n v="28.24"/>
    <n v="3.29"/>
    <n v="582120"/>
    <n v="14409"/>
    <n v="596529"/>
    <n v="100447"/>
    <n v="110347"/>
    <n v="0"/>
    <n v="55846"/>
    <n v="6513"/>
    <n v="869682"/>
    <n v="80503"/>
    <n v="789179"/>
    <n v="442122"/>
    <n v="347057"/>
  </r>
  <r>
    <s v="10"/>
    <x v="4"/>
    <x v="163"/>
    <x v="163"/>
    <n v="95.35"/>
    <n v="736.2"/>
    <n v="831.55"/>
    <n v="0"/>
    <n v="17"/>
    <n v="0"/>
    <n v="753"/>
    <n v="301.01"/>
    <n v="56.21"/>
    <n v="61.75"/>
    <n v="28.24"/>
    <n v="3.29"/>
    <n v="250305"/>
    <n v="3087"/>
    <n v="253392"/>
    <n v="42326"/>
    <n v="46498"/>
    <n v="0"/>
    <n v="23722"/>
    <n v="2767"/>
    <n v="368705"/>
    <n v="35036"/>
    <n v="333669"/>
    <n v="189362"/>
    <n v="144307"/>
  </r>
  <r>
    <s v="10"/>
    <x v="4"/>
    <x v="164"/>
    <x v="164"/>
    <n v="87.7"/>
    <n v="1101.4000000000001"/>
    <n v="1189.0999999999999"/>
    <n v="0"/>
    <n v="78"/>
    <n v="1"/>
    <n v="1178"/>
    <n v="301.01"/>
    <n v="56.21"/>
    <n v="61.75"/>
    <n v="28.24"/>
    <n v="3.29"/>
    <n v="357931"/>
    <n v="0"/>
    <n v="357931"/>
    <n v="66215"/>
    <n v="72742"/>
    <n v="0"/>
    <n v="33580"/>
    <n v="3912"/>
    <n v="534380"/>
    <n v="51123"/>
    <n v="483257"/>
    <n v="269375"/>
    <n v="213882"/>
  </r>
  <r>
    <s v="11"/>
    <x v="5"/>
    <x v="165"/>
    <x v="165"/>
    <n v="45.5"/>
    <n v="309"/>
    <n v="354.5"/>
    <n v="0"/>
    <n v="0"/>
    <n v="0"/>
    <n v="309"/>
    <n v="293.91000000000003"/>
    <n v="56.09"/>
    <n v="61.57"/>
    <n v="24.47"/>
    <n v="3.1"/>
    <n v="104191"/>
    <n v="2132"/>
    <n v="106323"/>
    <n v="17332"/>
    <n v="19025"/>
    <n v="0"/>
    <n v="8675"/>
    <n v="1099"/>
    <n v="152454"/>
    <n v="16927"/>
    <n v="135527"/>
    <n v="77218"/>
    <n v="58309"/>
  </r>
  <r>
    <s v="11"/>
    <x v="5"/>
    <x v="166"/>
    <x v="166"/>
    <n v="169.36"/>
    <n v="1797.8"/>
    <n v="1967.16"/>
    <n v="0"/>
    <n v="30"/>
    <n v="0"/>
    <n v="1828"/>
    <n v="293.91000000000003"/>
    <n v="56.09"/>
    <n v="61.57"/>
    <n v="24.47"/>
    <n v="3.1"/>
    <n v="578168"/>
    <n v="0"/>
    <n v="578168"/>
    <n v="102533"/>
    <n v="112550"/>
    <n v="0"/>
    <n v="48136"/>
    <n v="6098"/>
    <n v="847485"/>
    <n v="62785"/>
    <n v="784700"/>
    <n v="459633"/>
    <n v="325067"/>
  </r>
  <r>
    <s v="11"/>
    <x v="5"/>
    <x v="167"/>
    <x v="167"/>
    <n v="471.52"/>
    <n v="4387.3999999999996"/>
    <n v="4858.92"/>
    <n v="0"/>
    <n v="123"/>
    <n v="0"/>
    <n v="4510"/>
    <n v="293.91000000000003"/>
    <n v="56.09"/>
    <n v="61.57"/>
    <n v="24.47"/>
    <n v="3.1"/>
    <n v="1428085"/>
    <n v="0"/>
    <n v="1428085"/>
    <n v="252966"/>
    <n v="277681"/>
    <n v="0"/>
    <n v="118898"/>
    <n v="15063"/>
    <n v="2092693"/>
    <n v="203105"/>
    <n v="1889588"/>
    <n v="1087279"/>
    <n v="802309"/>
  </r>
  <r>
    <s v="11"/>
    <x v="5"/>
    <x v="168"/>
    <x v="168"/>
    <n v="1186.94"/>
    <n v="11977"/>
    <n v="13163.94"/>
    <n v="0"/>
    <n v="505"/>
    <n v="0.4"/>
    <n v="12482"/>
    <n v="293.91000000000003"/>
    <n v="56.09"/>
    <n v="61.57"/>
    <n v="24.47"/>
    <n v="3.1"/>
    <n v="3869014"/>
    <n v="0"/>
    <n v="3869014"/>
    <n v="700115"/>
    <n v="768517"/>
    <n v="0"/>
    <n v="322122"/>
    <n v="40808"/>
    <n v="5700576"/>
    <n v="253394"/>
    <n v="5447182"/>
    <n v="3242554"/>
    <n v="2204628"/>
  </r>
  <r>
    <s v="11"/>
    <x v="5"/>
    <x v="169"/>
    <x v="169"/>
    <n v="55.96"/>
    <n v="498.9"/>
    <n v="554.86"/>
    <n v="0"/>
    <n v="3"/>
    <n v="0"/>
    <n v="502"/>
    <n v="293.91000000000003"/>
    <n v="56.09"/>
    <n v="61.57"/>
    <n v="24.47"/>
    <n v="3.1"/>
    <n v="163079"/>
    <n v="4348"/>
    <n v="167427"/>
    <n v="28157"/>
    <n v="30908"/>
    <n v="0"/>
    <n v="13577"/>
    <n v="1720"/>
    <n v="241789"/>
    <n v="31621"/>
    <n v="210168"/>
    <n v="115733"/>
    <n v="94435"/>
  </r>
  <r>
    <s v="11"/>
    <x v="5"/>
    <x v="170"/>
    <x v="170"/>
    <n v="130.91999999999999"/>
    <n v="1622.3"/>
    <n v="1753.22"/>
    <n v="0"/>
    <n v="17"/>
    <n v="0"/>
    <n v="1639"/>
    <n v="293.91000000000003"/>
    <n v="56.09"/>
    <n v="61.57"/>
    <n v="24.47"/>
    <n v="3.1"/>
    <n v="515289"/>
    <n v="0"/>
    <n v="515289"/>
    <n v="91932"/>
    <n v="100913"/>
    <n v="0"/>
    <n v="42901"/>
    <n v="5435"/>
    <n v="756470"/>
    <n v="53719"/>
    <n v="702751"/>
    <n v="411883"/>
    <n v="290868"/>
  </r>
  <r>
    <s v="11"/>
    <x v="5"/>
    <x v="171"/>
    <x v="171"/>
    <n v="29.01"/>
    <n v="309.10000000000002"/>
    <n v="338.11"/>
    <n v="0"/>
    <n v="3"/>
    <n v="0"/>
    <n v="312"/>
    <n v="293.91000000000003"/>
    <n v="56.09"/>
    <n v="61.57"/>
    <n v="24.47"/>
    <n v="3.1"/>
    <n v="99374"/>
    <n v="11174"/>
    <n v="110548"/>
    <n v="17500"/>
    <n v="19210"/>
    <n v="0"/>
    <n v="8376"/>
    <n v="1065"/>
    <n v="156699"/>
    <n v="14723"/>
    <n v="141976"/>
    <n v="75188"/>
    <n v="66788"/>
  </r>
  <r>
    <s v="11"/>
    <x v="5"/>
    <x v="172"/>
    <x v="172"/>
    <n v="229.6"/>
    <n v="2142.1999999999998"/>
    <n v="2371.8000000000002"/>
    <n v="0"/>
    <n v="40"/>
    <n v="0"/>
    <n v="2182"/>
    <n v="293.91000000000003"/>
    <n v="56.09"/>
    <n v="61.57"/>
    <n v="24.47"/>
    <n v="3.1"/>
    <n v="697096"/>
    <n v="0"/>
    <n v="697096"/>
    <n v="122388"/>
    <n v="134346"/>
    <n v="0"/>
    <n v="58038"/>
    <n v="7353"/>
    <n v="1019221"/>
    <n v="39354"/>
    <n v="979867"/>
    <n v="590525"/>
    <n v="389342"/>
  </r>
  <r>
    <s v="11"/>
    <x v="5"/>
    <x v="173"/>
    <x v="173"/>
    <n v="321.20999999999998"/>
    <n v="2060.8000000000002"/>
    <n v="2382.0100000000002"/>
    <n v="0"/>
    <n v="182"/>
    <n v="4.3"/>
    <n v="2239"/>
    <n v="293.91000000000003"/>
    <n v="56.09"/>
    <n v="61.57"/>
    <n v="24.47"/>
    <n v="3.1"/>
    <n v="700097"/>
    <n v="0"/>
    <n v="700097"/>
    <n v="125586"/>
    <n v="137855"/>
    <n v="0"/>
    <n v="58288"/>
    <n v="7384"/>
    <n v="1029210"/>
    <n v="105619"/>
    <n v="923591"/>
    <n v="526971"/>
    <n v="396620"/>
  </r>
  <r>
    <s v="11"/>
    <x v="5"/>
    <x v="174"/>
    <x v="174"/>
    <n v="211.45"/>
    <n v="1981.5"/>
    <n v="2192.9499999999998"/>
    <n v="0"/>
    <n v="29"/>
    <n v="0"/>
    <n v="2011"/>
    <n v="293.91000000000003"/>
    <n v="56.09"/>
    <n v="61.57"/>
    <n v="24.47"/>
    <n v="3.1"/>
    <n v="644530"/>
    <n v="0"/>
    <n v="644530"/>
    <n v="112797"/>
    <n v="123817"/>
    <n v="0"/>
    <n v="53661"/>
    <n v="6798"/>
    <n v="941603"/>
    <n v="58812"/>
    <n v="882791"/>
    <n v="523569"/>
    <n v="359222"/>
  </r>
  <r>
    <s v="11"/>
    <x v="5"/>
    <x v="175"/>
    <x v="175"/>
    <n v="232.16"/>
    <n v="1718.7"/>
    <n v="1950.86"/>
    <n v="0"/>
    <n v="884"/>
    <n v="20"/>
    <n v="2583"/>
    <n v="293.91000000000003"/>
    <n v="56.09"/>
    <n v="61.57"/>
    <n v="24.47"/>
    <n v="3.1"/>
    <n v="573377"/>
    <n v="0"/>
    <n v="573377"/>
    <n v="144880"/>
    <n v="159035"/>
    <n v="0"/>
    <n v="47738"/>
    <n v="6048"/>
    <n v="931078"/>
    <n v="92884"/>
    <n v="838194"/>
    <n v="425207"/>
    <n v="412987"/>
  </r>
  <r>
    <s v="11"/>
    <x v="5"/>
    <x v="176"/>
    <x v="176"/>
    <n v="111.69"/>
    <n v="759.8"/>
    <n v="871.49"/>
    <n v="0"/>
    <n v="11"/>
    <n v="0"/>
    <n v="771"/>
    <n v="293.91000000000003"/>
    <n v="56.09"/>
    <n v="61.57"/>
    <n v="24.47"/>
    <n v="3.1"/>
    <n v="256140"/>
    <n v="0"/>
    <n v="256140"/>
    <n v="43245"/>
    <n v="47470"/>
    <n v="0"/>
    <n v="21325"/>
    <n v="2702"/>
    <n v="370882"/>
    <n v="41179"/>
    <n v="329703"/>
    <n v="190263"/>
    <n v="139440"/>
  </r>
  <r>
    <s v="11"/>
    <x v="5"/>
    <x v="177"/>
    <x v="177"/>
    <n v="54.91"/>
    <n v="459.2"/>
    <n v="514.11"/>
    <n v="0"/>
    <n v="6"/>
    <n v="0"/>
    <n v="465"/>
    <n v="293.91000000000003"/>
    <n v="56.09"/>
    <n v="61.57"/>
    <n v="24.47"/>
    <n v="3.1"/>
    <n v="151102"/>
    <n v="4049"/>
    <n v="155151"/>
    <n v="26082"/>
    <n v="28630"/>
    <n v="0"/>
    <n v="12580"/>
    <n v="1594"/>
    <n v="224037"/>
    <n v="23962"/>
    <n v="200075"/>
    <n v="112570"/>
    <n v="87505"/>
  </r>
  <r>
    <s v="11"/>
    <x v="5"/>
    <x v="178"/>
    <x v="178"/>
    <n v="38.200000000000003"/>
    <n v="489.9"/>
    <n v="528.1"/>
    <n v="0"/>
    <n v="0"/>
    <n v="0"/>
    <n v="490"/>
    <n v="293.91000000000003"/>
    <n v="56.09"/>
    <n v="61.57"/>
    <n v="24.47"/>
    <n v="3.1"/>
    <n v="155214"/>
    <n v="4877"/>
    <n v="160091"/>
    <n v="27484"/>
    <n v="30169"/>
    <n v="0"/>
    <n v="13260"/>
    <n v="1685"/>
    <n v="232689"/>
    <n v="26655"/>
    <n v="206034"/>
    <n v="113978"/>
    <n v="92056"/>
  </r>
  <r>
    <s v="11"/>
    <x v="5"/>
    <x v="179"/>
    <x v="179"/>
    <n v="56.29"/>
    <n v="423"/>
    <n v="479.29"/>
    <n v="0"/>
    <n v="0"/>
    <n v="0"/>
    <n v="423"/>
    <n v="293.91000000000003"/>
    <n v="56.09"/>
    <n v="61.57"/>
    <n v="24.47"/>
    <n v="3.1"/>
    <n v="140868"/>
    <n v="3338"/>
    <n v="144206"/>
    <n v="23726"/>
    <n v="26044"/>
    <n v="0"/>
    <n v="11945"/>
    <n v="1518"/>
    <n v="207439"/>
    <n v="24283"/>
    <n v="183156"/>
    <n v="103251"/>
    <n v="79905"/>
  </r>
  <r>
    <s v="11"/>
    <x v="5"/>
    <x v="180"/>
    <x v="180"/>
    <n v="243.78"/>
    <n v="2933.1"/>
    <n v="3176.88"/>
    <n v="0"/>
    <n v="76"/>
    <n v="0"/>
    <n v="3009"/>
    <n v="293.91000000000003"/>
    <n v="56.09"/>
    <n v="61.57"/>
    <n v="24.47"/>
    <n v="3.1"/>
    <n v="933717"/>
    <n v="0"/>
    <n v="933717"/>
    <n v="168775"/>
    <n v="185264"/>
    <n v="0"/>
    <n v="77738"/>
    <n v="9848"/>
    <n v="1375342"/>
    <n v="64515"/>
    <n v="1310827"/>
    <n v="779168"/>
    <n v="531659"/>
  </r>
  <r>
    <s v="11"/>
    <x v="5"/>
    <x v="181"/>
    <x v="181"/>
    <n v="6031.55"/>
    <n v="32788.800000000003"/>
    <n v="38820.35"/>
    <n v="0"/>
    <n v="2331"/>
    <n v="3.9"/>
    <n v="35116"/>
    <n v="293.91000000000003"/>
    <n v="56.09"/>
    <n v="61.57"/>
    <n v="24.47"/>
    <n v="3.1"/>
    <n v="11409689"/>
    <n v="0"/>
    <n v="11409689"/>
    <n v="1969656"/>
    <n v="2162092"/>
    <n v="0"/>
    <n v="949934"/>
    <n v="120343"/>
    <n v="16611714"/>
    <n v="1502984"/>
    <n v="15108730"/>
    <n v="8806536"/>
    <n v="6302194"/>
  </r>
  <r>
    <s v="11"/>
    <x v="5"/>
    <x v="182"/>
    <x v="182"/>
    <n v="48.42"/>
    <n v="575.4"/>
    <n v="623.82000000000005"/>
    <n v="0"/>
    <n v="6"/>
    <n v="0"/>
    <n v="581"/>
    <n v="293.91000000000003"/>
    <n v="56.09"/>
    <n v="61.57"/>
    <n v="24.47"/>
    <n v="3.1"/>
    <n v="183347"/>
    <n v="10466"/>
    <n v="193813"/>
    <n v="32588"/>
    <n v="35772"/>
    <n v="0"/>
    <n v="15265"/>
    <n v="1934"/>
    <n v="279372"/>
    <n v="22833"/>
    <n v="256539"/>
    <n v="142835"/>
    <n v="113704"/>
  </r>
  <r>
    <s v="11"/>
    <x v="5"/>
    <x v="183"/>
    <x v="183"/>
    <n v="60.76"/>
    <n v="427.2"/>
    <n v="487.96"/>
    <n v="0"/>
    <n v="0"/>
    <n v="0"/>
    <n v="427"/>
    <n v="293.91000000000003"/>
    <n v="56.09"/>
    <n v="61.57"/>
    <n v="24.47"/>
    <n v="3.1"/>
    <n v="143416"/>
    <n v="12115"/>
    <n v="155531"/>
    <n v="23950"/>
    <n v="26290"/>
    <n v="0"/>
    <n v="11940"/>
    <n v="1513"/>
    <n v="219224"/>
    <n v="29687"/>
    <n v="189537"/>
    <n v="99900"/>
    <n v="89637"/>
  </r>
  <r>
    <s v="11"/>
    <x v="5"/>
    <x v="184"/>
    <x v="184"/>
    <n v="118.6"/>
    <n v="1532.3"/>
    <n v="1650.9"/>
    <n v="0"/>
    <n v="39"/>
    <n v="0"/>
    <n v="1571"/>
    <n v="293.91000000000003"/>
    <n v="56.09"/>
    <n v="61.57"/>
    <n v="24.47"/>
    <n v="3.1"/>
    <n v="485216"/>
    <n v="0"/>
    <n v="485216"/>
    <n v="88117"/>
    <n v="96726"/>
    <n v="0"/>
    <n v="40398"/>
    <n v="5118"/>
    <n v="715575"/>
    <n v="38933"/>
    <n v="676642"/>
    <n v="399497"/>
    <n v="277145"/>
  </r>
  <r>
    <s v="11"/>
    <x v="5"/>
    <x v="185"/>
    <x v="185"/>
    <n v="28.96"/>
    <n v="275"/>
    <n v="303.95999999999998"/>
    <n v="0"/>
    <n v="14"/>
    <n v="0"/>
    <n v="289"/>
    <n v="293.91000000000003"/>
    <n v="56.09"/>
    <n v="61.57"/>
    <n v="24.47"/>
    <n v="3.1"/>
    <n v="89337"/>
    <n v="8693"/>
    <n v="98030"/>
    <n v="16210"/>
    <n v="17794"/>
    <n v="0"/>
    <n v="7438"/>
    <n v="942"/>
    <n v="140414"/>
    <n v="17419"/>
    <n v="122995"/>
    <n v="63303"/>
    <n v="59692"/>
  </r>
  <r>
    <s v="11"/>
    <x v="5"/>
    <x v="186"/>
    <x v="186"/>
    <n v="42.78"/>
    <n v="431.8"/>
    <n v="474.58"/>
    <n v="0"/>
    <n v="0"/>
    <n v="0"/>
    <n v="432"/>
    <n v="293.91000000000003"/>
    <n v="56.09"/>
    <n v="61.57"/>
    <n v="24.47"/>
    <n v="3.1"/>
    <n v="139484"/>
    <n v="10396"/>
    <n v="149880"/>
    <n v="24231"/>
    <n v="26598"/>
    <n v="0"/>
    <n v="11662"/>
    <n v="1482"/>
    <n v="213853"/>
    <n v="21657"/>
    <n v="192196"/>
    <n v="104437"/>
    <n v="87759"/>
  </r>
  <r>
    <s v="11"/>
    <x v="5"/>
    <x v="187"/>
    <x v="187"/>
    <n v="386.79"/>
    <n v="3496.6"/>
    <n v="3883.39"/>
    <n v="0"/>
    <n v="13"/>
    <n v="0"/>
    <n v="3510"/>
    <n v="293.91000000000003"/>
    <n v="56.09"/>
    <n v="61.57"/>
    <n v="24.47"/>
    <n v="3.1"/>
    <n v="1141367"/>
    <n v="0"/>
    <n v="1141367"/>
    <n v="196876"/>
    <n v="216111"/>
    <n v="0"/>
    <n v="95027"/>
    <n v="12039"/>
    <n v="1661420"/>
    <n v="139171"/>
    <n v="1522249"/>
    <n v="892142"/>
    <n v="630107"/>
  </r>
  <r>
    <s v="11"/>
    <x v="5"/>
    <x v="188"/>
    <x v="188"/>
    <n v="91.14"/>
    <n v="860.8"/>
    <n v="951.94"/>
    <n v="0"/>
    <n v="3"/>
    <n v="0"/>
    <n v="864"/>
    <n v="293.91000000000003"/>
    <n v="56.09"/>
    <n v="61.57"/>
    <n v="24.47"/>
    <n v="3.1"/>
    <n v="279785"/>
    <n v="0"/>
    <n v="279785"/>
    <n v="48462"/>
    <n v="53196"/>
    <n v="0"/>
    <n v="23294"/>
    <n v="2951"/>
    <n v="407688"/>
    <n v="33511"/>
    <n v="374177"/>
    <n v="219296"/>
    <n v="154881"/>
  </r>
  <r>
    <s v="11"/>
    <x v="5"/>
    <x v="189"/>
    <x v="189"/>
    <n v="668.36"/>
    <n v="7057.6"/>
    <n v="7725.96"/>
    <n v="0"/>
    <n v="365"/>
    <n v="0"/>
    <n v="7423"/>
    <n v="293.91000000000003"/>
    <n v="56.09"/>
    <n v="61.57"/>
    <n v="24.47"/>
    <n v="3.1"/>
    <n v="2270737"/>
    <n v="0"/>
    <n v="2270737"/>
    <n v="416356"/>
    <n v="457034"/>
    <n v="0"/>
    <n v="189054"/>
    <n v="23950"/>
    <n v="3357131"/>
    <n v="179185"/>
    <n v="3177946"/>
    <n v="1872597"/>
    <n v="1305349"/>
  </r>
  <r>
    <s v="11"/>
    <x v="5"/>
    <x v="190"/>
    <x v="190"/>
    <n v="254.38"/>
    <n v="1757.7"/>
    <n v="2012.08"/>
    <n v="0"/>
    <n v="21"/>
    <n v="0"/>
    <n v="1779"/>
    <n v="293.91000000000003"/>
    <n v="56.09"/>
    <n v="61.57"/>
    <n v="24.47"/>
    <n v="3.1"/>
    <n v="591370"/>
    <n v="0"/>
    <n v="591370"/>
    <n v="99784"/>
    <n v="109533"/>
    <n v="0"/>
    <n v="49236"/>
    <n v="6237"/>
    <n v="856160"/>
    <n v="89650"/>
    <n v="766510"/>
    <n v="444698"/>
    <n v="321812"/>
  </r>
  <r>
    <s v="11"/>
    <x v="5"/>
    <x v="191"/>
    <x v="191"/>
    <n v="57.08"/>
    <n v="463.3"/>
    <n v="520.38"/>
    <n v="0"/>
    <n v="47"/>
    <n v="0"/>
    <n v="510"/>
    <n v="293.91000000000003"/>
    <n v="56.09"/>
    <n v="61.57"/>
    <n v="24.47"/>
    <n v="3.1"/>
    <n v="152945"/>
    <n v="0"/>
    <n v="152945"/>
    <n v="28606"/>
    <n v="31401"/>
    <n v="0"/>
    <n v="12734"/>
    <n v="1613"/>
    <n v="227299"/>
    <n v="23232"/>
    <n v="204067"/>
    <n v="114965"/>
    <n v="89102"/>
  </r>
  <r>
    <s v="11"/>
    <x v="5"/>
    <x v="192"/>
    <x v="192"/>
    <n v="74.91"/>
    <n v="662.3"/>
    <n v="737.21"/>
    <n v="0"/>
    <n v="11"/>
    <n v="0"/>
    <n v="673"/>
    <n v="293.91000000000003"/>
    <n v="56.09"/>
    <n v="61.57"/>
    <n v="24.47"/>
    <n v="3.1"/>
    <n v="216673"/>
    <n v="2108"/>
    <n v="218781"/>
    <n v="37749"/>
    <n v="41437"/>
    <n v="0"/>
    <n v="18040"/>
    <n v="2285"/>
    <n v="318292"/>
    <n v="25816"/>
    <n v="292476"/>
    <n v="169965"/>
    <n v="122511"/>
  </r>
  <r>
    <s v="11"/>
    <x v="5"/>
    <x v="193"/>
    <x v="193"/>
    <n v="51.78"/>
    <n v="516.70000000000005"/>
    <n v="568.48"/>
    <n v="0"/>
    <n v="23"/>
    <n v="0"/>
    <n v="540"/>
    <n v="293.91000000000003"/>
    <n v="56.09"/>
    <n v="61.57"/>
    <n v="24.47"/>
    <n v="3.1"/>
    <n v="167082"/>
    <n v="0"/>
    <n v="167082"/>
    <n v="30289"/>
    <n v="33248"/>
    <n v="0"/>
    <n v="13911"/>
    <n v="1762"/>
    <n v="246292"/>
    <n v="22923"/>
    <n v="223369"/>
    <n v="128048"/>
    <n v="95321"/>
  </r>
  <r>
    <s v="11"/>
    <x v="5"/>
    <x v="194"/>
    <x v="194"/>
    <n v="50.03"/>
    <n v="345.1"/>
    <n v="395.13"/>
    <n v="0"/>
    <n v="0"/>
    <n v="0"/>
    <n v="345"/>
    <n v="293.91000000000003"/>
    <n v="56.09"/>
    <n v="61.57"/>
    <n v="24.47"/>
    <n v="3.1"/>
    <n v="116133"/>
    <n v="0"/>
    <n v="116133"/>
    <n v="19351"/>
    <n v="21242"/>
    <n v="0"/>
    <n v="9669"/>
    <n v="1225"/>
    <n v="167620"/>
    <n v="20816"/>
    <n v="146804"/>
    <n v="84119"/>
    <n v="62685"/>
  </r>
  <r>
    <s v="11"/>
    <x v="5"/>
    <x v="195"/>
    <x v="195"/>
    <n v="185.98"/>
    <n v="1482.3"/>
    <n v="1668.28"/>
    <n v="0"/>
    <n v="6"/>
    <n v="0"/>
    <n v="1488"/>
    <n v="293.91000000000003"/>
    <n v="56.09"/>
    <n v="61.57"/>
    <n v="24.47"/>
    <n v="3.1"/>
    <n v="490324"/>
    <n v="5319"/>
    <n v="495643"/>
    <n v="83462"/>
    <n v="91616"/>
    <n v="0"/>
    <n v="40823"/>
    <n v="5172"/>
    <n v="716716"/>
    <n v="69114"/>
    <n v="647602"/>
    <n v="373932"/>
    <n v="273670"/>
  </r>
  <r>
    <s v="11"/>
    <x v="5"/>
    <x v="196"/>
    <x v="196"/>
    <n v="413.63"/>
    <n v="3031.4"/>
    <n v="3445.03"/>
    <n v="0"/>
    <n v="96"/>
    <n v="1.1000000000000001"/>
    <n v="3126"/>
    <n v="293.91000000000003"/>
    <n v="56.09"/>
    <n v="61.57"/>
    <n v="24.47"/>
    <n v="3.1"/>
    <n v="1012529"/>
    <n v="0"/>
    <n v="1012529"/>
    <n v="175337"/>
    <n v="192468"/>
    <n v="0"/>
    <n v="84300"/>
    <n v="10680"/>
    <n v="1475314"/>
    <n v="154889"/>
    <n v="1320425"/>
    <n v="760008"/>
    <n v="560417"/>
  </r>
  <r>
    <s v="11"/>
    <x v="5"/>
    <x v="197"/>
    <x v="197"/>
    <n v="100.93"/>
    <n v="1727.5"/>
    <n v="1828.43"/>
    <n v="0"/>
    <n v="36"/>
    <n v="0"/>
    <n v="1764"/>
    <n v="293.91000000000003"/>
    <n v="56.09"/>
    <n v="61.57"/>
    <n v="24.47"/>
    <n v="3.1"/>
    <n v="537394"/>
    <n v="0"/>
    <n v="537394"/>
    <n v="98943"/>
    <n v="108609"/>
    <n v="0"/>
    <n v="44742"/>
    <n v="5668"/>
    <n v="795356"/>
    <n v="39904"/>
    <n v="755452"/>
    <n v="445672"/>
    <n v="309780"/>
  </r>
  <r>
    <s v="11"/>
    <x v="5"/>
    <x v="198"/>
    <x v="198"/>
    <n v="313.39999999999998"/>
    <n v="2993.6"/>
    <n v="3307"/>
    <n v="0"/>
    <n v="58"/>
    <n v="0"/>
    <n v="3052"/>
    <n v="293.91000000000003"/>
    <n v="56.09"/>
    <n v="61.57"/>
    <n v="24.47"/>
    <n v="3.1"/>
    <n v="971960"/>
    <n v="0"/>
    <n v="971960"/>
    <n v="171187"/>
    <n v="187912"/>
    <n v="0"/>
    <n v="80922"/>
    <n v="10252"/>
    <n v="1422233"/>
    <n v="95234"/>
    <n v="1326999"/>
    <n v="783006"/>
    <n v="543993"/>
  </r>
  <r>
    <s v="11"/>
    <x v="5"/>
    <x v="199"/>
    <x v="199"/>
    <n v="65.849999999999994"/>
    <n v="609.20000000000005"/>
    <n v="675.05"/>
    <n v="0"/>
    <n v="8"/>
    <n v="0"/>
    <n v="617"/>
    <n v="293.91000000000003"/>
    <n v="56.09"/>
    <n v="61.57"/>
    <n v="24.47"/>
    <n v="3.1"/>
    <n v="198404"/>
    <n v="572"/>
    <n v="198976"/>
    <n v="34608"/>
    <n v="37989"/>
    <n v="0"/>
    <n v="16518"/>
    <n v="2093"/>
    <n v="290184"/>
    <n v="31557"/>
    <n v="258627"/>
    <n v="147716"/>
    <n v="110911"/>
  </r>
  <r>
    <s v="11"/>
    <x v="5"/>
    <x v="200"/>
    <x v="200"/>
    <n v="107.76"/>
    <n v="1070.9000000000001"/>
    <n v="1178.6600000000001"/>
    <n v="0"/>
    <n v="20"/>
    <n v="0"/>
    <n v="1091"/>
    <n v="293.91000000000003"/>
    <n v="56.09"/>
    <n v="61.57"/>
    <n v="24.47"/>
    <n v="3.1"/>
    <n v="346420"/>
    <n v="0"/>
    <n v="346420"/>
    <n v="61194"/>
    <n v="67173"/>
    <n v="0"/>
    <n v="28842"/>
    <n v="3654"/>
    <n v="507283"/>
    <n v="44572"/>
    <n v="462711"/>
    <n v="268445"/>
    <n v="194266"/>
  </r>
  <r>
    <s v="11"/>
    <x v="5"/>
    <x v="201"/>
    <x v="201"/>
    <n v="73.959999999999994"/>
    <n v="696.9"/>
    <n v="770.86"/>
    <n v="0"/>
    <n v="7"/>
    <n v="0"/>
    <n v="704"/>
    <n v="293.91000000000003"/>
    <n v="56.09"/>
    <n v="61.57"/>
    <n v="24.47"/>
    <n v="3.1"/>
    <n v="226563"/>
    <n v="1016"/>
    <n v="227579"/>
    <n v="39487"/>
    <n v="43345"/>
    <n v="0"/>
    <n v="18863"/>
    <n v="2390"/>
    <n v="331664"/>
    <n v="32669"/>
    <n v="298995"/>
    <n v="172049"/>
    <n v="126946"/>
  </r>
  <r>
    <s v="11"/>
    <x v="5"/>
    <x v="202"/>
    <x v="202"/>
    <n v="225.71"/>
    <n v="2159.9"/>
    <n v="2385.61"/>
    <n v="0"/>
    <n v="609"/>
    <n v="5.4"/>
    <n v="2764"/>
    <n v="293.91000000000003"/>
    <n v="56.09"/>
    <n v="61.57"/>
    <n v="24.47"/>
    <n v="3.1"/>
    <n v="701155"/>
    <n v="0"/>
    <n v="701155"/>
    <n v="155033"/>
    <n v="170179"/>
    <n v="0"/>
    <n v="58376"/>
    <n v="7395"/>
    <n v="1092138"/>
    <n v="94924"/>
    <n v="997214"/>
    <n v="538622"/>
    <n v="458592"/>
  </r>
  <r>
    <s v="11"/>
    <x v="5"/>
    <x v="203"/>
    <x v="203"/>
    <n v="220.84"/>
    <n v="1811.8"/>
    <n v="2032.64"/>
    <n v="0"/>
    <n v="116"/>
    <n v="9.4"/>
    <n v="1918"/>
    <n v="293.91000000000003"/>
    <n v="56.09"/>
    <n v="61.57"/>
    <n v="24.47"/>
    <n v="3.1"/>
    <n v="597413"/>
    <n v="0"/>
    <n v="597413"/>
    <n v="107581"/>
    <n v="118091"/>
    <n v="0"/>
    <n v="49739"/>
    <n v="6301"/>
    <n v="879125"/>
    <n v="80425"/>
    <n v="798700"/>
    <n v="459383"/>
    <n v="339317"/>
  </r>
  <r>
    <s v="11"/>
    <x v="5"/>
    <x v="204"/>
    <x v="204"/>
    <n v="93.77"/>
    <n v="681"/>
    <n v="774.77"/>
    <n v="0"/>
    <n v="2"/>
    <n v="0"/>
    <n v="683"/>
    <n v="293.91000000000003"/>
    <n v="56.09"/>
    <n v="61.57"/>
    <n v="24.47"/>
    <n v="3.1"/>
    <n v="227713"/>
    <n v="0"/>
    <n v="227713"/>
    <n v="38309"/>
    <n v="42052"/>
    <n v="0"/>
    <n v="18959"/>
    <n v="2402"/>
    <n v="329435"/>
    <n v="30464"/>
    <n v="298971"/>
    <n v="175292"/>
    <n v="123679"/>
  </r>
  <r>
    <s v="11"/>
    <x v="5"/>
    <x v="205"/>
    <x v="205"/>
    <n v="81.290000000000006"/>
    <n v="1041.5999999999999"/>
    <n v="1122.8900000000001"/>
    <n v="0"/>
    <n v="10"/>
    <n v="0"/>
    <n v="1052"/>
    <n v="293.91000000000003"/>
    <n v="56.09"/>
    <n v="61.57"/>
    <n v="24.47"/>
    <n v="3.1"/>
    <n v="330029"/>
    <n v="0"/>
    <n v="330029"/>
    <n v="59007"/>
    <n v="64772"/>
    <n v="0"/>
    <n v="27477"/>
    <n v="3481"/>
    <n v="484766"/>
    <n v="47283"/>
    <n v="437483"/>
    <n v="250923"/>
    <n v="186560"/>
  </r>
  <r>
    <s v="11"/>
    <x v="5"/>
    <x v="206"/>
    <x v="206"/>
    <n v="168.72"/>
    <n v="1126.5"/>
    <n v="1295.22"/>
    <n v="0"/>
    <n v="53"/>
    <n v="0.2"/>
    <n v="1179"/>
    <n v="293.91000000000003"/>
    <n v="56.09"/>
    <n v="61.57"/>
    <n v="24.47"/>
    <n v="3.1"/>
    <n v="380678"/>
    <n v="0"/>
    <n v="380678"/>
    <n v="66130"/>
    <n v="72591"/>
    <n v="0"/>
    <n v="31694"/>
    <n v="4015"/>
    <n v="555108"/>
    <n v="66136"/>
    <n v="488972"/>
    <n v="277835"/>
    <n v="211137"/>
  </r>
  <r>
    <s v="11"/>
    <x v="5"/>
    <x v="207"/>
    <x v="207"/>
    <n v="773.54"/>
    <n v="6894.4"/>
    <n v="7667.94"/>
    <n v="0"/>
    <n v="279"/>
    <n v="0"/>
    <n v="7173"/>
    <n v="293.91000000000003"/>
    <n v="56.09"/>
    <n v="61.57"/>
    <n v="24.47"/>
    <n v="3.1"/>
    <n v="2253684"/>
    <n v="0"/>
    <n v="2253684"/>
    <n v="402334"/>
    <n v="441642"/>
    <n v="0"/>
    <n v="187634"/>
    <n v="23771"/>
    <n v="3309065"/>
    <n v="198481"/>
    <n v="3110584"/>
    <n v="1837894"/>
    <n v="1272690"/>
  </r>
  <r>
    <s v="11"/>
    <x v="5"/>
    <x v="208"/>
    <x v="208"/>
    <n v="72.290000000000006"/>
    <n v="540.9"/>
    <n v="613.19000000000005"/>
    <n v="0"/>
    <n v="0"/>
    <n v="0"/>
    <n v="541"/>
    <n v="293.91000000000003"/>
    <n v="56.09"/>
    <n v="61.57"/>
    <n v="24.47"/>
    <n v="3.1"/>
    <n v="180223"/>
    <n v="8181"/>
    <n v="188404"/>
    <n v="30345"/>
    <n v="33309"/>
    <n v="0"/>
    <n v="15005"/>
    <n v="1901"/>
    <n v="268964"/>
    <n v="26643"/>
    <n v="242321"/>
    <n v="136202"/>
    <n v="106119"/>
  </r>
  <r>
    <s v="11"/>
    <x v="5"/>
    <x v="209"/>
    <x v="209"/>
    <n v="48.2"/>
    <n v="332.4"/>
    <n v="380.6"/>
    <n v="0"/>
    <n v="10"/>
    <n v="0"/>
    <n v="342"/>
    <n v="293.91000000000003"/>
    <n v="56.09"/>
    <n v="61.57"/>
    <n v="24.47"/>
    <n v="3.1"/>
    <n v="111862"/>
    <n v="6437"/>
    <n v="118299"/>
    <n v="19183"/>
    <n v="21057"/>
    <n v="0"/>
    <n v="9313"/>
    <n v="1180"/>
    <n v="169032"/>
    <n v="20920"/>
    <n v="148112"/>
    <n v="80156"/>
    <n v="67956"/>
  </r>
  <r>
    <s v="11"/>
    <x v="5"/>
    <x v="210"/>
    <x v="210"/>
    <n v="43.77"/>
    <n v="393.4"/>
    <n v="437.17"/>
    <n v="0"/>
    <n v="12"/>
    <n v="0"/>
    <n v="405"/>
    <n v="293.91000000000003"/>
    <n v="56.09"/>
    <n v="61.57"/>
    <n v="24.47"/>
    <n v="3.1"/>
    <n v="128489"/>
    <n v="0"/>
    <n v="128489"/>
    <n v="22716"/>
    <n v="24936"/>
    <n v="0"/>
    <n v="10698"/>
    <n v="1355"/>
    <n v="188194"/>
    <n v="19730"/>
    <n v="168464"/>
    <n v="96369"/>
    <n v="72095"/>
  </r>
  <r>
    <s v="11"/>
    <x v="5"/>
    <x v="211"/>
    <x v="211"/>
    <n v="333.13"/>
    <n v="3374"/>
    <n v="3707.13"/>
    <n v="0"/>
    <n v="400"/>
    <n v="1.5"/>
    <n v="3773"/>
    <n v="293.91000000000003"/>
    <n v="56.09"/>
    <n v="61.57"/>
    <n v="24.47"/>
    <n v="3.1"/>
    <n v="1089563"/>
    <n v="0"/>
    <n v="1089563"/>
    <n v="211628"/>
    <n v="232304"/>
    <n v="0"/>
    <n v="90713"/>
    <n v="11492"/>
    <n v="1635700"/>
    <n v="138380"/>
    <n v="1497320"/>
    <n v="846122"/>
    <n v="651198"/>
  </r>
  <r>
    <s v="11"/>
    <x v="5"/>
    <x v="212"/>
    <x v="212"/>
    <n v="53.01"/>
    <n v="724.3"/>
    <n v="777.31"/>
    <n v="0"/>
    <n v="29"/>
    <n v="0"/>
    <n v="753"/>
    <n v="293.91000000000003"/>
    <n v="56.09"/>
    <n v="61.57"/>
    <n v="24.47"/>
    <n v="3.1"/>
    <n v="228459"/>
    <n v="0"/>
    <n v="228459"/>
    <n v="42236"/>
    <n v="46362"/>
    <n v="0"/>
    <n v="19021"/>
    <n v="2410"/>
    <n v="338488"/>
    <n v="22227"/>
    <n v="316261"/>
    <n v="184204"/>
    <n v="132057"/>
  </r>
  <r>
    <s v="11"/>
    <x v="5"/>
    <x v="213"/>
    <x v="213"/>
    <n v="905.62"/>
    <n v="11197.6"/>
    <n v="12103.22"/>
    <n v="0"/>
    <n v="1128"/>
    <n v="0.4"/>
    <n v="12325"/>
    <n v="293.91000000000003"/>
    <n v="56.09"/>
    <n v="61.57"/>
    <n v="24.47"/>
    <n v="3.1"/>
    <n v="3557257"/>
    <n v="0"/>
    <n v="3557257"/>
    <n v="691309"/>
    <n v="758850"/>
    <n v="0"/>
    <n v="296166"/>
    <n v="37520"/>
    <n v="5341102"/>
    <n v="115205"/>
    <n v="5225897"/>
    <n v="3099047"/>
    <n v="2126850"/>
  </r>
  <r>
    <s v="11"/>
    <x v="5"/>
    <x v="214"/>
    <x v="214"/>
    <n v="151.59"/>
    <n v="962.4"/>
    <n v="1113.99"/>
    <n v="0"/>
    <n v="0"/>
    <n v="0"/>
    <n v="962"/>
    <n v="293.91000000000003"/>
    <n v="56.09"/>
    <n v="61.57"/>
    <n v="24.47"/>
    <n v="3.1"/>
    <n v="327413"/>
    <n v="0"/>
    <n v="327413"/>
    <n v="53959"/>
    <n v="59230"/>
    <n v="0"/>
    <n v="27259"/>
    <n v="3453"/>
    <n v="471314"/>
    <n v="43965"/>
    <n v="427349"/>
    <n v="251877"/>
    <n v="175472"/>
  </r>
  <r>
    <s v="11"/>
    <x v="5"/>
    <x v="215"/>
    <x v="215"/>
    <n v="1054.3699999999999"/>
    <n v="8940.2000000000007"/>
    <n v="9994.57"/>
    <n v="0"/>
    <n v="1296"/>
    <n v="3.3"/>
    <n v="10233"/>
    <n v="293.91000000000003"/>
    <n v="56.09"/>
    <n v="61.57"/>
    <n v="24.47"/>
    <n v="3.1"/>
    <n v="2937504"/>
    <n v="0"/>
    <n v="2937504"/>
    <n v="573969"/>
    <n v="630046"/>
    <n v="0"/>
    <n v="244567"/>
    <n v="30983"/>
    <n v="4417069"/>
    <n v="390197"/>
    <n v="4026872"/>
    <n v="2264061"/>
    <n v="1762811"/>
  </r>
  <r>
    <s v="11"/>
    <x v="5"/>
    <x v="216"/>
    <x v="216"/>
    <n v="191.33"/>
    <n v="1717.9"/>
    <n v="1909.23"/>
    <n v="0"/>
    <n v="22"/>
    <n v="0"/>
    <n v="1740"/>
    <n v="293.91000000000003"/>
    <n v="56.09"/>
    <n v="61.57"/>
    <n v="24.47"/>
    <n v="3.1"/>
    <n v="561142"/>
    <n v="0"/>
    <n v="561142"/>
    <n v="97597"/>
    <n v="107132"/>
    <n v="0"/>
    <n v="46719"/>
    <n v="5919"/>
    <n v="818509"/>
    <n v="70332"/>
    <n v="748177"/>
    <n v="436703"/>
    <n v="311474"/>
  </r>
  <r>
    <s v="11"/>
    <x v="5"/>
    <x v="217"/>
    <x v="217"/>
    <n v="79.78"/>
    <n v="934.5"/>
    <n v="1014.28"/>
    <n v="0"/>
    <n v="45"/>
    <n v="0"/>
    <n v="980"/>
    <n v="293.91000000000003"/>
    <n v="56.09"/>
    <n v="61.57"/>
    <n v="24.47"/>
    <n v="3.1"/>
    <n v="298107"/>
    <n v="3577"/>
    <n v="301684"/>
    <n v="54968"/>
    <n v="60339"/>
    <n v="0"/>
    <n v="24988"/>
    <n v="3176"/>
    <n v="445155"/>
    <n v="30067"/>
    <n v="415088"/>
    <n v="239496"/>
    <n v="175592"/>
  </r>
  <r>
    <s v="12"/>
    <x v="6"/>
    <x v="218"/>
    <x v="218"/>
    <n v="74.22"/>
    <n v="563.29999999999995"/>
    <n v="637.52"/>
    <n v="0"/>
    <n v="13"/>
    <n v="0"/>
    <n v="576"/>
    <n v="308.55"/>
    <n v="56.5"/>
    <n v="63.35"/>
    <n v="31.03"/>
    <n v="3.71"/>
    <n v="196707"/>
    <n v="0"/>
    <n v="196707"/>
    <n v="32544"/>
    <n v="36490"/>
    <n v="0"/>
    <n v="19782"/>
    <n v="2365"/>
    <n v="287888"/>
    <n v="26925"/>
    <n v="260963"/>
    <n v="146952"/>
    <n v="114011"/>
  </r>
  <r>
    <s v="12"/>
    <x v="6"/>
    <x v="219"/>
    <x v="219"/>
    <n v="38.409999999999997"/>
    <n v="278"/>
    <n v="316.41000000000003"/>
    <n v="0"/>
    <n v="77"/>
    <n v="0"/>
    <n v="355"/>
    <n v="308.55"/>
    <n v="56.5"/>
    <n v="63.35"/>
    <n v="31.03"/>
    <n v="3.71"/>
    <n v="97628"/>
    <n v="7699"/>
    <n v="105327"/>
    <n v="20058"/>
    <n v="22489"/>
    <n v="0"/>
    <n v="9818"/>
    <n v="1174"/>
    <n v="158866"/>
    <n v="20681"/>
    <n v="138185"/>
    <n v="65617"/>
    <n v="72568"/>
  </r>
  <r>
    <s v="12"/>
    <x v="6"/>
    <x v="220"/>
    <x v="220"/>
    <n v="65.959999999999994"/>
    <n v="589.29999999999995"/>
    <n v="655.26"/>
    <n v="0"/>
    <n v="374"/>
    <n v="6.2"/>
    <n v="957"/>
    <n v="308.55"/>
    <n v="56.5"/>
    <n v="63.35"/>
    <n v="31.03"/>
    <n v="3.71"/>
    <n v="202180"/>
    <n v="422"/>
    <n v="202602"/>
    <n v="54071"/>
    <n v="60626"/>
    <n v="0"/>
    <n v="20333"/>
    <n v="2431"/>
    <n v="340063"/>
    <n v="31059"/>
    <n v="309004"/>
    <n v="147657"/>
    <n v="161347"/>
  </r>
  <r>
    <s v="12"/>
    <x v="6"/>
    <x v="221"/>
    <x v="221"/>
    <n v="83.59"/>
    <n v="774.4"/>
    <n v="857.99"/>
    <n v="0"/>
    <n v="116"/>
    <n v="0"/>
    <n v="890"/>
    <n v="308.55"/>
    <n v="56.5"/>
    <n v="63.35"/>
    <n v="31.03"/>
    <n v="3.71"/>
    <n v="264733"/>
    <n v="0"/>
    <n v="264733"/>
    <n v="50285"/>
    <n v="56382"/>
    <n v="0"/>
    <n v="26623"/>
    <n v="3183"/>
    <n v="401206"/>
    <n v="34843"/>
    <n v="366363"/>
    <n v="199165"/>
    <n v="167198"/>
  </r>
  <r>
    <s v="12"/>
    <x v="6"/>
    <x v="222"/>
    <x v="222"/>
    <n v="46.02"/>
    <n v="268.8"/>
    <n v="314.82"/>
    <n v="0"/>
    <n v="0"/>
    <n v="0"/>
    <n v="269"/>
    <n v="308.55"/>
    <n v="56.5"/>
    <n v="63.35"/>
    <n v="31.03"/>
    <n v="3.71"/>
    <n v="97138"/>
    <n v="2543"/>
    <n v="99681"/>
    <n v="15199"/>
    <n v="17041"/>
    <n v="0"/>
    <n v="9769"/>
    <n v="1168"/>
    <n v="142858"/>
    <n v="17747"/>
    <n v="125111"/>
    <n v="68117"/>
    <n v="56994"/>
  </r>
  <r>
    <s v="12"/>
    <x v="6"/>
    <x v="223"/>
    <x v="223"/>
    <n v="124.1"/>
    <n v="1014.1"/>
    <n v="1138.2"/>
    <n v="0"/>
    <n v="2"/>
    <n v="0"/>
    <n v="1016"/>
    <n v="308.55"/>
    <n v="56.5"/>
    <n v="63.35"/>
    <n v="31.03"/>
    <n v="3.71"/>
    <n v="351192"/>
    <n v="0"/>
    <n v="351192"/>
    <n v="57404"/>
    <n v="64364"/>
    <n v="0"/>
    <n v="35318"/>
    <n v="4223"/>
    <n v="512501"/>
    <n v="53299"/>
    <n v="459202"/>
    <n v="257134"/>
    <n v="202068"/>
  </r>
  <r>
    <s v="12"/>
    <x v="6"/>
    <x v="224"/>
    <x v="224"/>
    <n v="280.49"/>
    <n v="2170.1999999999998"/>
    <n v="2450.69"/>
    <n v="0"/>
    <n v="149"/>
    <n v="0.3"/>
    <n v="2319"/>
    <n v="308.55"/>
    <n v="56.5"/>
    <n v="63.35"/>
    <n v="31.03"/>
    <n v="3.71"/>
    <n v="756160"/>
    <n v="0"/>
    <n v="756160"/>
    <n v="131024"/>
    <n v="146909"/>
    <n v="0"/>
    <n v="76045"/>
    <n v="9092"/>
    <n v="1119230"/>
    <n v="77738"/>
    <n v="1041492"/>
    <n v="590663"/>
    <n v="450829"/>
  </r>
  <r>
    <s v="12"/>
    <x v="6"/>
    <x v="225"/>
    <x v="225"/>
    <n v="40.72"/>
    <n v="459"/>
    <n v="499.72"/>
    <n v="0"/>
    <n v="1"/>
    <n v="0"/>
    <n v="460"/>
    <n v="308.55"/>
    <n v="56.5"/>
    <n v="63.35"/>
    <n v="31.03"/>
    <n v="3.71"/>
    <n v="154189"/>
    <n v="0"/>
    <n v="154189"/>
    <n v="25990"/>
    <n v="29141"/>
    <n v="0"/>
    <n v="15506"/>
    <n v="1854"/>
    <n v="226680"/>
    <n v="25821"/>
    <n v="200859"/>
    <n v="110472"/>
    <n v="90387"/>
  </r>
  <r>
    <s v="12"/>
    <x v="6"/>
    <x v="226"/>
    <x v="226"/>
    <n v="40.21"/>
    <n v="432.1"/>
    <n v="472.31"/>
    <n v="0"/>
    <n v="5"/>
    <n v="0"/>
    <n v="437"/>
    <n v="308.55"/>
    <n v="56.5"/>
    <n v="63.35"/>
    <n v="31.03"/>
    <n v="3.71"/>
    <n v="145731"/>
    <n v="5733"/>
    <n v="151464"/>
    <n v="24691"/>
    <n v="27684"/>
    <n v="0"/>
    <n v="14656"/>
    <n v="1752"/>
    <n v="220247"/>
    <n v="24051"/>
    <n v="196196"/>
    <n v="104767"/>
    <n v="91429"/>
  </r>
  <r>
    <s v="12"/>
    <x v="6"/>
    <x v="227"/>
    <x v="227"/>
    <n v="112.88"/>
    <n v="625.29999999999995"/>
    <n v="738.18"/>
    <n v="0"/>
    <n v="122"/>
    <n v="0"/>
    <n v="747"/>
    <n v="308.55"/>
    <n v="56.5"/>
    <n v="63.35"/>
    <n v="31.03"/>
    <n v="3.71"/>
    <n v="227765"/>
    <n v="0"/>
    <n v="227765"/>
    <n v="42206"/>
    <n v="47322"/>
    <n v="0"/>
    <n v="22906"/>
    <n v="2739"/>
    <n v="342938"/>
    <n v="41896"/>
    <n v="301042"/>
    <n v="159436"/>
    <n v="141606"/>
  </r>
  <r>
    <s v="12"/>
    <x v="6"/>
    <x v="228"/>
    <x v="228"/>
    <n v="46.63"/>
    <n v="521.1"/>
    <n v="567.73"/>
    <n v="0"/>
    <n v="17"/>
    <n v="0"/>
    <n v="538"/>
    <n v="308.55"/>
    <n v="56.5"/>
    <n v="63.35"/>
    <n v="31.03"/>
    <n v="3.71"/>
    <n v="175173"/>
    <n v="118"/>
    <n v="175291"/>
    <n v="30397"/>
    <n v="34082"/>
    <n v="0"/>
    <n v="17617"/>
    <n v="2106"/>
    <n v="259493"/>
    <n v="25986"/>
    <n v="233507"/>
    <n v="128857"/>
    <n v="104650"/>
  </r>
  <r>
    <s v="12"/>
    <x v="6"/>
    <x v="229"/>
    <x v="229"/>
    <n v="45.74"/>
    <n v="440.3"/>
    <n v="486.04"/>
    <n v="0"/>
    <n v="3"/>
    <n v="0"/>
    <n v="443"/>
    <n v="308.55"/>
    <n v="56.5"/>
    <n v="63.35"/>
    <n v="31.03"/>
    <n v="3.71"/>
    <n v="149968"/>
    <n v="13257"/>
    <n v="163225"/>
    <n v="25030"/>
    <n v="28064"/>
    <n v="0"/>
    <n v="15723"/>
    <n v="1883"/>
    <n v="233925"/>
    <n v="21764"/>
    <n v="212161"/>
    <n v="111520"/>
    <n v="100641"/>
  </r>
  <r>
    <s v="12"/>
    <x v="6"/>
    <x v="230"/>
    <x v="230"/>
    <n v="53.54"/>
    <n v="615.29999999999995"/>
    <n v="668.84"/>
    <n v="0"/>
    <n v="15"/>
    <n v="0"/>
    <n v="630"/>
    <n v="308.55"/>
    <n v="56.5"/>
    <n v="63.35"/>
    <n v="31.03"/>
    <n v="3.71"/>
    <n v="206371"/>
    <n v="0"/>
    <n v="206371"/>
    <n v="35595"/>
    <n v="39911"/>
    <n v="0"/>
    <n v="20754"/>
    <n v="2481"/>
    <n v="305112"/>
    <n v="28228"/>
    <n v="276884"/>
    <n v="154191"/>
    <n v="122693"/>
  </r>
  <r>
    <s v="12"/>
    <x v="6"/>
    <x v="231"/>
    <x v="231"/>
    <n v="346.79"/>
    <n v="2254.4"/>
    <n v="2601.19"/>
    <n v="0"/>
    <n v="439"/>
    <n v="0.1"/>
    <n v="2693"/>
    <n v="308.55"/>
    <n v="56.5"/>
    <n v="63.35"/>
    <n v="31.03"/>
    <n v="3.71"/>
    <n v="802597"/>
    <n v="0"/>
    <n v="802597"/>
    <n v="152155"/>
    <n v="170602"/>
    <n v="0"/>
    <n v="80715"/>
    <n v="9650"/>
    <n v="1215719"/>
    <n v="105133"/>
    <n v="1110586"/>
    <n v="604315"/>
    <n v="506271"/>
  </r>
  <r>
    <s v="12"/>
    <x v="6"/>
    <x v="232"/>
    <x v="232"/>
    <n v="70.39"/>
    <n v="613.79999999999995"/>
    <n v="684.19"/>
    <n v="0"/>
    <n v="35"/>
    <n v="0"/>
    <n v="649"/>
    <n v="308.55"/>
    <n v="56.5"/>
    <n v="63.35"/>
    <n v="31.03"/>
    <n v="3.71"/>
    <n v="211107"/>
    <n v="24270"/>
    <n v="235377"/>
    <n v="36669"/>
    <n v="41114"/>
    <n v="0"/>
    <n v="22514"/>
    <n v="2696"/>
    <n v="338370"/>
    <n v="42589"/>
    <n v="295781"/>
    <n v="145458"/>
    <n v="150323"/>
  </r>
  <r>
    <s v="12"/>
    <x v="6"/>
    <x v="233"/>
    <x v="233"/>
    <n v="59.69"/>
    <n v="421.3"/>
    <n v="480.99"/>
    <n v="0"/>
    <n v="7"/>
    <n v="0"/>
    <n v="428"/>
    <n v="308.55"/>
    <n v="56.5"/>
    <n v="63.35"/>
    <n v="31.03"/>
    <n v="3.71"/>
    <n v="148409"/>
    <n v="140"/>
    <n v="148549"/>
    <n v="24182"/>
    <n v="27114"/>
    <n v="0"/>
    <n v="14925"/>
    <n v="1784"/>
    <n v="216554"/>
    <n v="28045"/>
    <n v="188509"/>
    <n v="103140"/>
    <n v="85369"/>
  </r>
  <r>
    <s v="12"/>
    <x v="6"/>
    <x v="234"/>
    <x v="234"/>
    <n v="167.55"/>
    <n v="1458.3"/>
    <n v="1625.85"/>
    <n v="0"/>
    <n v="527"/>
    <n v="11.2"/>
    <n v="1974"/>
    <n v="308.55"/>
    <n v="56.5"/>
    <n v="63.35"/>
    <n v="31.03"/>
    <n v="3.71"/>
    <n v="501656"/>
    <n v="0"/>
    <n v="501656"/>
    <n v="111531"/>
    <n v="125053"/>
    <n v="0"/>
    <n v="50450"/>
    <n v="6032"/>
    <n v="794722"/>
    <n v="71335"/>
    <n v="723387"/>
    <n v="372099"/>
    <n v="351288"/>
  </r>
  <r>
    <s v="12"/>
    <x v="6"/>
    <x v="235"/>
    <x v="235"/>
    <n v="112.06"/>
    <n v="987.4"/>
    <n v="1099.46"/>
    <n v="0"/>
    <n v="26"/>
    <n v="0"/>
    <n v="1013"/>
    <n v="308.55"/>
    <n v="56.5"/>
    <n v="63.35"/>
    <n v="31.03"/>
    <n v="3.71"/>
    <n v="339238"/>
    <n v="0"/>
    <n v="339238"/>
    <n v="57235"/>
    <n v="64174"/>
    <n v="0"/>
    <n v="34116"/>
    <n v="4079"/>
    <n v="498842"/>
    <n v="58024"/>
    <n v="440818"/>
    <n v="241842"/>
    <n v="198976"/>
  </r>
  <r>
    <s v="12"/>
    <x v="6"/>
    <x v="236"/>
    <x v="236"/>
    <n v="46.92"/>
    <n v="318.7"/>
    <n v="365.62"/>
    <n v="0"/>
    <n v="188"/>
    <n v="4.7"/>
    <n v="502"/>
    <n v="308.55"/>
    <n v="56.5"/>
    <n v="63.35"/>
    <n v="31.03"/>
    <n v="3.71"/>
    <n v="112812"/>
    <n v="19186"/>
    <n v="131998"/>
    <n v="28363"/>
    <n v="31802"/>
    <n v="0"/>
    <n v="11963"/>
    <n v="1432"/>
    <n v="205558"/>
    <n v="24390"/>
    <n v="181168"/>
    <n v="76023"/>
    <n v="105145"/>
  </r>
  <r>
    <s v="12"/>
    <x v="6"/>
    <x v="237"/>
    <x v="237"/>
    <n v="51.2"/>
    <n v="407.3"/>
    <n v="458.5"/>
    <n v="0"/>
    <n v="0"/>
    <n v="0"/>
    <n v="407"/>
    <n v="308.55"/>
    <n v="56.5"/>
    <n v="63.35"/>
    <n v="31.03"/>
    <n v="3.71"/>
    <n v="141470"/>
    <n v="3925"/>
    <n v="145395"/>
    <n v="22996"/>
    <n v="25783"/>
    <n v="0"/>
    <n v="14450"/>
    <n v="1730"/>
    <n v="210354"/>
    <n v="24876"/>
    <n v="185478"/>
    <n v="100427"/>
    <n v="85051"/>
  </r>
  <r>
    <s v="12"/>
    <x v="6"/>
    <x v="238"/>
    <x v="238"/>
    <n v="102.98"/>
    <n v="804.9"/>
    <n v="907.88"/>
    <n v="0"/>
    <n v="454"/>
    <n v="0.9"/>
    <n v="1258"/>
    <n v="308.55"/>
    <n v="56.5"/>
    <n v="63.35"/>
    <n v="31.03"/>
    <n v="3.71"/>
    <n v="280126"/>
    <n v="0"/>
    <n v="280126"/>
    <n v="71077"/>
    <n v="79694"/>
    <n v="0"/>
    <n v="28172"/>
    <n v="3368"/>
    <n v="462437"/>
    <n v="28717"/>
    <n v="433720"/>
    <n v="218898"/>
    <n v="214822"/>
  </r>
  <r>
    <s v="12"/>
    <x v="6"/>
    <x v="239"/>
    <x v="239"/>
    <n v="43.69"/>
    <n v="260"/>
    <n v="303.69"/>
    <n v="0"/>
    <n v="7"/>
    <n v="0"/>
    <n v="267"/>
    <n v="308.55"/>
    <n v="56.5"/>
    <n v="63.35"/>
    <n v="31.03"/>
    <n v="3.71"/>
    <n v="93704"/>
    <n v="11255"/>
    <n v="104959"/>
    <n v="15086"/>
    <n v="16914"/>
    <n v="0"/>
    <n v="9460"/>
    <n v="1133"/>
    <n v="147552"/>
    <n v="13977"/>
    <n v="133575"/>
    <n v="68894"/>
    <n v="64681"/>
  </r>
  <r>
    <s v="12"/>
    <x v="6"/>
    <x v="240"/>
    <x v="240"/>
    <n v="210.28"/>
    <n v="1438.7"/>
    <n v="1648.98"/>
    <n v="0"/>
    <n v="37"/>
    <n v="0"/>
    <n v="1476"/>
    <n v="308.55"/>
    <n v="56.5"/>
    <n v="63.35"/>
    <n v="31.03"/>
    <n v="3.71"/>
    <n v="508793"/>
    <n v="0"/>
    <n v="508793"/>
    <n v="83394"/>
    <n v="93505"/>
    <n v="0"/>
    <n v="51168"/>
    <n v="6118"/>
    <n v="742978"/>
    <n v="56471"/>
    <n v="686507"/>
    <n v="393272"/>
    <n v="293235"/>
  </r>
  <r>
    <s v="12"/>
    <x v="6"/>
    <x v="241"/>
    <x v="241"/>
    <n v="156.29"/>
    <n v="1087.9000000000001"/>
    <n v="1244.19"/>
    <n v="0"/>
    <n v="213"/>
    <n v="4"/>
    <n v="1297"/>
    <n v="308.55"/>
    <n v="56.5"/>
    <n v="63.35"/>
    <n v="31.03"/>
    <n v="3.71"/>
    <n v="383895"/>
    <n v="0"/>
    <n v="383895"/>
    <n v="73281"/>
    <n v="82165"/>
    <n v="0"/>
    <n v="38607"/>
    <n v="4616"/>
    <n v="582564"/>
    <n v="53257"/>
    <n v="529307"/>
    <n v="286083"/>
    <n v="243224"/>
  </r>
  <r>
    <s v="12"/>
    <x v="6"/>
    <x v="242"/>
    <x v="242"/>
    <n v="68.989999999999995"/>
    <n v="750.2"/>
    <n v="819.19"/>
    <n v="0"/>
    <n v="12"/>
    <n v="0"/>
    <n v="762"/>
    <n v="308.55"/>
    <n v="56.5"/>
    <n v="63.35"/>
    <n v="31.03"/>
    <n v="3.71"/>
    <n v="252761"/>
    <n v="2787"/>
    <n v="255548"/>
    <n v="43053"/>
    <n v="48273"/>
    <n v="0"/>
    <n v="25685"/>
    <n v="3075"/>
    <n v="375634"/>
    <n v="43971"/>
    <n v="331663"/>
    <n v="179756"/>
    <n v="151907"/>
  </r>
  <r>
    <s v="12"/>
    <x v="6"/>
    <x v="243"/>
    <x v="243"/>
    <n v="183.09"/>
    <n v="1334.7"/>
    <n v="1517.79"/>
    <n v="0"/>
    <n v="699"/>
    <n v="0"/>
    <n v="2034"/>
    <n v="308.55"/>
    <n v="56.5"/>
    <n v="63.35"/>
    <n v="31.03"/>
    <n v="3.71"/>
    <n v="468314"/>
    <n v="0"/>
    <n v="468314"/>
    <n v="114921"/>
    <n v="128854"/>
    <n v="0"/>
    <n v="47097"/>
    <n v="5631"/>
    <n v="764817"/>
    <n v="48328"/>
    <n v="716489"/>
    <n v="365634"/>
    <n v="350855"/>
  </r>
  <r>
    <s v="12"/>
    <x v="6"/>
    <x v="244"/>
    <x v="244"/>
    <n v="2336.56"/>
    <n v="14569.6"/>
    <n v="16906.16"/>
    <n v="0"/>
    <n v="1364"/>
    <n v="13.3"/>
    <n v="15920"/>
    <n v="308.55"/>
    <n v="56.5"/>
    <n v="63.35"/>
    <n v="31.03"/>
    <n v="3.71"/>
    <n v="5216396"/>
    <n v="0"/>
    <n v="5216396"/>
    <n v="899480"/>
    <n v="1008532"/>
    <n v="0"/>
    <n v="524598"/>
    <n v="62722"/>
    <n v="7711728"/>
    <n v="680000"/>
    <n v="7031728"/>
    <n v="3930986"/>
    <n v="3100742"/>
  </r>
  <r>
    <s v="12"/>
    <x v="6"/>
    <x v="245"/>
    <x v="245"/>
    <n v="112.29"/>
    <n v="611.6"/>
    <n v="723.89"/>
    <n v="0"/>
    <n v="54"/>
    <n v="0.1"/>
    <n v="666"/>
    <n v="308.55"/>
    <n v="56.5"/>
    <n v="63.35"/>
    <n v="31.03"/>
    <n v="3.71"/>
    <n v="223356"/>
    <n v="0"/>
    <n v="223356"/>
    <n v="37629"/>
    <n v="42191"/>
    <n v="0"/>
    <n v="22462"/>
    <n v="2686"/>
    <n v="328324"/>
    <n v="39658"/>
    <n v="288666"/>
    <n v="157776"/>
    <n v="130890"/>
  </r>
  <r>
    <s v="12"/>
    <x v="6"/>
    <x v="246"/>
    <x v="246"/>
    <n v="81.37"/>
    <n v="938.2"/>
    <n v="1019.57"/>
    <n v="0"/>
    <n v="121"/>
    <n v="0"/>
    <n v="1059"/>
    <n v="308.55"/>
    <n v="56.5"/>
    <n v="63.35"/>
    <n v="31.03"/>
    <n v="3.71"/>
    <n v="314588"/>
    <n v="0"/>
    <n v="314588"/>
    <n v="59834"/>
    <n v="67088"/>
    <n v="0"/>
    <n v="31637"/>
    <n v="3783"/>
    <n v="476930"/>
    <n v="39031"/>
    <n v="437899"/>
    <n v="239047"/>
    <n v="198852"/>
  </r>
  <r>
    <s v="12"/>
    <x v="6"/>
    <x v="247"/>
    <x v="247"/>
    <n v="113.94"/>
    <n v="629.9"/>
    <n v="743.84"/>
    <n v="0"/>
    <n v="5"/>
    <n v="0"/>
    <n v="635"/>
    <n v="308.55"/>
    <n v="56.5"/>
    <n v="63.35"/>
    <n v="31.03"/>
    <n v="3.71"/>
    <n v="229512"/>
    <n v="11100"/>
    <n v="240612"/>
    <n v="35878"/>
    <n v="40227"/>
    <n v="0"/>
    <n v="23081"/>
    <n v="2760"/>
    <n v="342558"/>
    <n v="33583"/>
    <n v="308975"/>
    <n v="169292"/>
    <n v="139683"/>
  </r>
  <r>
    <s v="12"/>
    <x v="6"/>
    <x v="248"/>
    <x v="248"/>
    <n v="111.55"/>
    <n v="828"/>
    <n v="939.55"/>
    <n v="0"/>
    <n v="106"/>
    <n v="0.2"/>
    <n v="934"/>
    <n v="308.55"/>
    <n v="56.5"/>
    <n v="63.35"/>
    <n v="31.03"/>
    <n v="3.71"/>
    <n v="289898"/>
    <n v="0"/>
    <n v="289898"/>
    <n v="52771"/>
    <n v="59169"/>
    <n v="0"/>
    <n v="29154"/>
    <n v="3486"/>
    <n v="434478"/>
    <n v="37148"/>
    <n v="397330"/>
    <n v="219105"/>
    <n v="178225"/>
  </r>
  <r>
    <s v="12"/>
    <x v="6"/>
    <x v="249"/>
    <x v="249"/>
    <n v="77.53"/>
    <n v="563.5"/>
    <n v="641.03"/>
    <n v="0"/>
    <n v="12"/>
    <n v="0"/>
    <n v="576"/>
    <n v="308.55"/>
    <n v="56.5"/>
    <n v="63.35"/>
    <n v="31.03"/>
    <n v="3.71"/>
    <n v="197790"/>
    <n v="0"/>
    <n v="197790"/>
    <n v="32544"/>
    <n v="36490"/>
    <n v="0"/>
    <n v="19891"/>
    <n v="2378"/>
    <n v="289093"/>
    <n v="31987"/>
    <n v="257106"/>
    <n v="142847"/>
    <n v="114259"/>
  </r>
  <r>
    <s v="12"/>
    <x v="6"/>
    <x v="250"/>
    <x v="250"/>
    <n v="32.07"/>
    <n v="204.3"/>
    <n v="236.37"/>
    <n v="0"/>
    <n v="2"/>
    <n v="0"/>
    <n v="206"/>
    <n v="308.55"/>
    <n v="56.5"/>
    <n v="63.35"/>
    <n v="31.03"/>
    <n v="3.71"/>
    <n v="72932"/>
    <n v="0"/>
    <n v="72932"/>
    <n v="11639"/>
    <n v="13050"/>
    <n v="0"/>
    <n v="7335"/>
    <n v="877"/>
    <n v="105833"/>
    <n v="11015"/>
    <n v="94818"/>
    <n v="53453"/>
    <n v="41365"/>
  </r>
  <r>
    <s v="12"/>
    <x v="6"/>
    <x v="251"/>
    <x v="251"/>
    <n v="75.739999999999995"/>
    <n v="550.6"/>
    <n v="626.34"/>
    <n v="0"/>
    <n v="1"/>
    <n v="0"/>
    <n v="552"/>
    <n v="308.55"/>
    <n v="56.5"/>
    <n v="63.35"/>
    <n v="31.03"/>
    <n v="3.71"/>
    <n v="193257"/>
    <n v="0"/>
    <n v="193257"/>
    <n v="31188"/>
    <n v="34969"/>
    <n v="0"/>
    <n v="19435"/>
    <n v="2324"/>
    <n v="281173"/>
    <n v="27534"/>
    <n v="253639"/>
    <n v="143294"/>
    <n v="110345"/>
  </r>
  <r>
    <s v="13"/>
    <x v="7"/>
    <x v="252"/>
    <x v="252"/>
    <n v="93.23"/>
    <n v="784.6"/>
    <n v="877.83"/>
    <n v="0"/>
    <n v="2"/>
    <n v="0"/>
    <n v="787"/>
    <n v="301.97000000000003"/>
    <n v="56.22"/>
    <n v="62.15"/>
    <n v="31.01"/>
    <n v="3.32"/>
    <n v="265078"/>
    <n v="0"/>
    <n v="265078"/>
    <n v="44245"/>
    <n v="48912"/>
    <n v="0"/>
    <n v="27222"/>
    <n v="2914"/>
    <n v="388371"/>
    <n v="42239"/>
    <n v="346132"/>
    <n v="196821"/>
    <n v="149311"/>
  </r>
  <r>
    <s v="13"/>
    <x v="7"/>
    <x v="253"/>
    <x v="253"/>
    <n v="212"/>
    <n v="1328.8"/>
    <n v="1540.8"/>
    <n v="0"/>
    <n v="0"/>
    <n v="0"/>
    <n v="1329"/>
    <n v="301.97000000000003"/>
    <n v="56.22"/>
    <n v="62.15"/>
    <n v="31.01"/>
    <n v="3.32"/>
    <n v="465275"/>
    <n v="710"/>
    <n v="465985"/>
    <n v="74716"/>
    <n v="82597"/>
    <n v="0"/>
    <n v="47780"/>
    <n v="5115"/>
    <n v="676193"/>
    <n v="68797"/>
    <n v="607396"/>
    <n v="350808"/>
    <n v="256588"/>
  </r>
  <r>
    <s v="13"/>
    <x v="7"/>
    <x v="254"/>
    <x v="254"/>
    <n v="53.86"/>
    <n v="473.6"/>
    <n v="527.46"/>
    <n v="0"/>
    <n v="4"/>
    <n v="0"/>
    <n v="478"/>
    <n v="301.97000000000003"/>
    <n v="56.22"/>
    <n v="62.15"/>
    <n v="31.01"/>
    <n v="3.32"/>
    <n v="159277"/>
    <n v="107"/>
    <n v="159384"/>
    <n v="26873"/>
    <n v="29708"/>
    <n v="0"/>
    <n v="16357"/>
    <n v="1751"/>
    <n v="234073"/>
    <n v="29839"/>
    <n v="204234"/>
    <n v="113804"/>
    <n v="90430"/>
  </r>
  <r>
    <s v="13"/>
    <x v="7"/>
    <x v="255"/>
    <x v="255"/>
    <n v="53.83"/>
    <n v="393.7"/>
    <n v="447.53"/>
    <n v="0"/>
    <n v="3"/>
    <n v="0"/>
    <n v="397"/>
    <n v="301.97000000000003"/>
    <n v="56.22"/>
    <n v="62.15"/>
    <n v="31.01"/>
    <n v="3.32"/>
    <n v="135141"/>
    <n v="8190"/>
    <n v="143331"/>
    <n v="22319"/>
    <n v="24674"/>
    <n v="0"/>
    <n v="14020"/>
    <n v="1500"/>
    <n v="205844"/>
    <n v="25701"/>
    <n v="180143"/>
    <n v="96331"/>
    <n v="83812"/>
  </r>
  <r>
    <s v="13"/>
    <x v="7"/>
    <x v="256"/>
    <x v="256"/>
    <n v="48.78"/>
    <n v="491.6"/>
    <n v="540.38"/>
    <n v="0"/>
    <n v="0"/>
    <n v="0"/>
    <n v="492"/>
    <n v="301.97000000000003"/>
    <n v="56.22"/>
    <n v="62.15"/>
    <n v="31.01"/>
    <n v="3.32"/>
    <n v="163179"/>
    <n v="0"/>
    <n v="163179"/>
    <n v="27660"/>
    <n v="30578"/>
    <n v="0"/>
    <n v="16757"/>
    <n v="1794"/>
    <n v="239968"/>
    <n v="25872"/>
    <n v="214096"/>
    <n v="121289"/>
    <n v="92807"/>
  </r>
  <r>
    <s v="13"/>
    <x v="7"/>
    <x v="257"/>
    <x v="257"/>
    <n v="85.81"/>
    <n v="615.4"/>
    <n v="701.21"/>
    <n v="0"/>
    <n v="0"/>
    <n v="0"/>
    <n v="615"/>
    <n v="301.97000000000003"/>
    <n v="56.22"/>
    <n v="62.15"/>
    <n v="31.01"/>
    <n v="3.32"/>
    <n v="211744"/>
    <n v="13845"/>
    <n v="225589"/>
    <n v="34575"/>
    <n v="38222"/>
    <n v="0"/>
    <n v="21745"/>
    <n v="2328"/>
    <n v="322459"/>
    <n v="35545"/>
    <n v="286914"/>
    <n v="155416"/>
    <n v="131498"/>
  </r>
  <r>
    <s v="13"/>
    <x v="7"/>
    <x v="258"/>
    <x v="258"/>
    <n v="95"/>
    <n v="990.7"/>
    <n v="1085.7"/>
    <n v="0"/>
    <n v="76"/>
    <n v="1.8"/>
    <n v="1065"/>
    <n v="301.97000000000003"/>
    <n v="56.22"/>
    <n v="62.15"/>
    <n v="31.01"/>
    <n v="3.32"/>
    <n v="327849"/>
    <n v="0"/>
    <n v="327849"/>
    <n v="59874"/>
    <n v="66190"/>
    <n v="0"/>
    <n v="33668"/>
    <n v="3605"/>
    <n v="491186"/>
    <n v="50182"/>
    <n v="441004"/>
    <n v="245488"/>
    <n v="195516"/>
  </r>
  <r>
    <s v="13"/>
    <x v="7"/>
    <x v="259"/>
    <x v="259"/>
    <n v="205.62"/>
    <n v="1450.1"/>
    <n v="1655.72"/>
    <n v="0"/>
    <n v="2"/>
    <n v="0"/>
    <n v="1452"/>
    <n v="301.97000000000003"/>
    <n v="56.22"/>
    <n v="62.15"/>
    <n v="31.01"/>
    <n v="3.32"/>
    <n v="499978"/>
    <n v="0"/>
    <n v="499978"/>
    <n v="81631"/>
    <n v="90242"/>
    <n v="0"/>
    <n v="51344"/>
    <n v="5497"/>
    <n v="728692"/>
    <n v="66523"/>
    <n v="662169"/>
    <n v="384379"/>
    <n v="277790"/>
  </r>
  <r>
    <s v="13"/>
    <x v="7"/>
    <x v="260"/>
    <x v="260"/>
    <n v="57.46"/>
    <n v="413.8"/>
    <n v="471.26"/>
    <n v="0"/>
    <n v="0"/>
    <n v="0"/>
    <n v="414"/>
    <n v="301.97000000000003"/>
    <n v="56.22"/>
    <n v="62.15"/>
    <n v="31.01"/>
    <n v="3.32"/>
    <n v="142306"/>
    <n v="9244"/>
    <n v="151550"/>
    <n v="23275"/>
    <n v="25730"/>
    <n v="0"/>
    <n v="14614"/>
    <n v="1565"/>
    <n v="216734"/>
    <n v="28933"/>
    <n v="187801"/>
    <n v="99406"/>
    <n v="88395"/>
  </r>
  <r>
    <s v="13"/>
    <x v="7"/>
    <x v="261"/>
    <x v="261"/>
    <n v="2152.96"/>
    <n v="9053.9"/>
    <n v="11206.86"/>
    <n v="0"/>
    <n v="400"/>
    <n v="0.8"/>
    <n v="9453"/>
    <n v="301.97000000000003"/>
    <n v="56.22"/>
    <n v="62.15"/>
    <n v="31.01"/>
    <n v="3.32"/>
    <n v="3384136"/>
    <n v="0"/>
    <n v="3384136"/>
    <n v="531448"/>
    <n v="587504"/>
    <n v="0"/>
    <n v="347525"/>
    <n v="37207"/>
    <n v="4887820"/>
    <n v="450650"/>
    <n v="4437170"/>
    <n v="2601315"/>
    <n v="1835855"/>
  </r>
  <r>
    <s v="13"/>
    <x v="7"/>
    <x v="262"/>
    <x v="262"/>
    <n v="195.92"/>
    <n v="1447.5"/>
    <n v="1643.42"/>
    <n v="0"/>
    <n v="119"/>
    <n v="0.9"/>
    <n v="1566"/>
    <n v="301.97000000000003"/>
    <n v="56.22"/>
    <n v="62.15"/>
    <n v="31.01"/>
    <n v="3.32"/>
    <n v="496264"/>
    <n v="0"/>
    <n v="496264"/>
    <n v="88041"/>
    <n v="97327"/>
    <n v="0"/>
    <n v="50962"/>
    <n v="5456"/>
    <n v="738050"/>
    <n v="73855"/>
    <n v="664195"/>
    <n v="373697"/>
    <n v="290498"/>
  </r>
  <r>
    <s v="13"/>
    <x v="7"/>
    <x v="263"/>
    <x v="263"/>
    <n v="14.38"/>
    <n v="103"/>
    <n v="117.38"/>
    <n v="0"/>
    <n v="0"/>
    <n v="0"/>
    <n v="103"/>
    <n v="301.97000000000003"/>
    <n v="56.22"/>
    <n v="62.15"/>
    <n v="31.01"/>
    <n v="3.32"/>
    <n v="35445"/>
    <n v="0"/>
    <n v="35445"/>
    <n v="5791"/>
    <n v="6401"/>
    <n v="0"/>
    <n v="3640"/>
    <n v="390"/>
    <n v="51667"/>
    <n v="6461"/>
    <n v="45206"/>
    <n v="25505"/>
    <n v="19701"/>
  </r>
  <r>
    <s v="13"/>
    <x v="7"/>
    <x v="264"/>
    <x v="264"/>
    <n v="87.23"/>
    <n v="552"/>
    <n v="639.23"/>
    <n v="0"/>
    <n v="0"/>
    <n v="0"/>
    <n v="552"/>
    <n v="301.97000000000003"/>
    <n v="56.22"/>
    <n v="62.15"/>
    <n v="31.01"/>
    <n v="3.32"/>
    <n v="193028"/>
    <n v="0"/>
    <n v="193028"/>
    <n v="31033"/>
    <n v="34307"/>
    <n v="0"/>
    <n v="19823"/>
    <n v="2122"/>
    <n v="280313"/>
    <n v="31373"/>
    <n v="248940"/>
    <n v="142709"/>
    <n v="106231"/>
  </r>
  <r>
    <s v="13"/>
    <x v="7"/>
    <x v="265"/>
    <x v="265"/>
    <n v="49.53"/>
    <n v="491.5"/>
    <n v="541.03"/>
    <n v="0"/>
    <n v="3"/>
    <n v="0"/>
    <n v="495"/>
    <n v="301.97000000000003"/>
    <n v="56.22"/>
    <n v="62.15"/>
    <n v="31.01"/>
    <n v="3.32"/>
    <n v="163375"/>
    <n v="6056"/>
    <n v="169431"/>
    <n v="27829"/>
    <n v="30764"/>
    <n v="0"/>
    <n v="16777"/>
    <n v="1796"/>
    <n v="246597"/>
    <n v="25766"/>
    <n v="220831"/>
    <n v="121572"/>
    <n v="99259"/>
  </r>
  <r>
    <s v="13"/>
    <x v="7"/>
    <x v="266"/>
    <x v="266"/>
    <n v="24.61"/>
    <n v="190.5"/>
    <n v="215.11"/>
    <n v="0"/>
    <n v="2"/>
    <n v="0"/>
    <n v="193"/>
    <n v="301.97000000000003"/>
    <n v="56.22"/>
    <n v="62.15"/>
    <n v="31.01"/>
    <n v="3.32"/>
    <n v="64957"/>
    <n v="8188"/>
    <n v="73145"/>
    <n v="10850"/>
    <n v="11995"/>
    <n v="0"/>
    <n v="6671"/>
    <n v="714"/>
    <n v="103375"/>
    <n v="12000"/>
    <n v="91375"/>
    <n v="46581"/>
    <n v="44794"/>
  </r>
  <r>
    <s v="13"/>
    <x v="7"/>
    <x v="267"/>
    <x v="267"/>
    <n v="52.5"/>
    <n v="471.3"/>
    <n v="523.79999999999995"/>
    <n v="0"/>
    <n v="0"/>
    <n v="0"/>
    <n v="471"/>
    <n v="301.97000000000003"/>
    <n v="56.22"/>
    <n v="62.15"/>
    <n v="31.01"/>
    <n v="3.32"/>
    <n v="158172"/>
    <n v="0"/>
    <n v="158172"/>
    <n v="26480"/>
    <n v="29273"/>
    <n v="0"/>
    <n v="16243"/>
    <n v="1739"/>
    <n v="231907"/>
    <n v="20998"/>
    <n v="210909"/>
    <n v="121648"/>
    <n v="89261"/>
  </r>
  <r>
    <s v="13"/>
    <x v="7"/>
    <x v="268"/>
    <x v="268"/>
    <n v="202.03"/>
    <n v="2007.5"/>
    <n v="2209.5300000000002"/>
    <n v="0"/>
    <n v="18"/>
    <n v="0"/>
    <n v="2026"/>
    <n v="301.97000000000003"/>
    <n v="56.22"/>
    <n v="62.15"/>
    <n v="31.01"/>
    <n v="3.32"/>
    <n v="667212"/>
    <n v="0"/>
    <n v="667212"/>
    <n v="113902"/>
    <n v="125916"/>
    <n v="0"/>
    <n v="68518"/>
    <n v="7336"/>
    <n v="982884"/>
    <n v="89118"/>
    <n v="893766"/>
    <n v="512604"/>
    <n v="381162"/>
  </r>
  <r>
    <s v="13"/>
    <x v="7"/>
    <x v="269"/>
    <x v="269"/>
    <n v="91.25"/>
    <n v="475.8"/>
    <n v="567.04999999999995"/>
    <n v="0"/>
    <n v="0"/>
    <n v="0"/>
    <n v="476"/>
    <n v="301.97000000000003"/>
    <n v="56.22"/>
    <n v="62.15"/>
    <n v="31.01"/>
    <n v="3.32"/>
    <n v="171232"/>
    <n v="10915"/>
    <n v="182147"/>
    <n v="26761"/>
    <n v="29583"/>
    <n v="0"/>
    <n v="18341"/>
    <n v="1962"/>
    <n v="258794"/>
    <n v="31091"/>
    <n v="227703"/>
    <n v="124170"/>
    <n v="103533"/>
  </r>
  <r>
    <s v="13"/>
    <x v="7"/>
    <x v="270"/>
    <x v="270"/>
    <n v="31.46"/>
    <n v="227"/>
    <n v="258.45999999999998"/>
    <n v="0"/>
    <n v="0"/>
    <n v="0"/>
    <n v="227"/>
    <n v="301.97000000000003"/>
    <n v="56.22"/>
    <n v="62.15"/>
    <n v="31.01"/>
    <n v="3.32"/>
    <n v="78047"/>
    <n v="5690"/>
    <n v="83737"/>
    <n v="12762"/>
    <n v="14108"/>
    <n v="0"/>
    <n v="8015"/>
    <n v="858"/>
    <n v="119480"/>
    <n v="14961"/>
    <n v="104519"/>
    <n v="55425"/>
    <n v="49094"/>
  </r>
  <r>
    <s v="13"/>
    <x v="7"/>
    <x v="271"/>
    <x v="271"/>
    <n v="177.28"/>
    <n v="1419.9"/>
    <n v="1597.18"/>
    <n v="0"/>
    <n v="83"/>
    <n v="0.8"/>
    <n v="1502"/>
    <n v="301.97000000000003"/>
    <n v="56.22"/>
    <n v="62.15"/>
    <n v="31.01"/>
    <n v="3.32"/>
    <n v="482300"/>
    <n v="0"/>
    <n v="482300"/>
    <n v="84442"/>
    <n v="93349"/>
    <n v="0"/>
    <n v="49529"/>
    <n v="5303"/>
    <n v="714923"/>
    <n v="75561"/>
    <n v="639362"/>
    <n v="359400"/>
    <n v="279962"/>
  </r>
  <r>
    <s v="13"/>
    <x v="7"/>
    <x v="272"/>
    <x v="272"/>
    <n v="88.12"/>
    <n v="683.2"/>
    <n v="771.32"/>
    <n v="0"/>
    <n v="9"/>
    <n v="0"/>
    <n v="692"/>
    <n v="301.97000000000003"/>
    <n v="56.22"/>
    <n v="62.15"/>
    <n v="31.01"/>
    <n v="3.32"/>
    <n v="232916"/>
    <n v="0"/>
    <n v="232916"/>
    <n v="38904"/>
    <n v="43008"/>
    <n v="0"/>
    <n v="23919"/>
    <n v="2561"/>
    <n v="341308"/>
    <n v="45080"/>
    <n v="296228"/>
    <n v="164974"/>
    <n v="131254"/>
  </r>
  <r>
    <s v="13"/>
    <x v="7"/>
    <x v="273"/>
    <x v="273"/>
    <n v="52.41"/>
    <n v="314.2"/>
    <n v="366.61"/>
    <n v="0"/>
    <n v="0"/>
    <n v="0"/>
    <n v="314"/>
    <n v="301.97000000000003"/>
    <n v="56.22"/>
    <n v="62.15"/>
    <n v="31.01"/>
    <n v="3.32"/>
    <n v="110705"/>
    <n v="0"/>
    <n v="110705"/>
    <n v="17653"/>
    <n v="19515"/>
    <n v="0"/>
    <n v="11369"/>
    <n v="1217"/>
    <n v="160459"/>
    <n v="16904"/>
    <n v="143555"/>
    <n v="82935"/>
    <n v="60620"/>
  </r>
  <r>
    <s v="13"/>
    <x v="7"/>
    <x v="274"/>
    <x v="274"/>
    <n v="40.54"/>
    <n v="447.7"/>
    <n v="488.24"/>
    <n v="0"/>
    <n v="2"/>
    <n v="0"/>
    <n v="450"/>
    <n v="301.97000000000003"/>
    <n v="56.22"/>
    <n v="62.15"/>
    <n v="31.01"/>
    <n v="3.32"/>
    <n v="147434"/>
    <n v="1474"/>
    <n v="148908"/>
    <n v="25299"/>
    <n v="27968"/>
    <n v="0"/>
    <n v="15289"/>
    <n v="1636"/>
    <n v="219100"/>
    <n v="21840"/>
    <n v="197260"/>
    <n v="111286"/>
    <n v="85974"/>
  </r>
  <r>
    <s v="13"/>
    <x v="7"/>
    <x v="275"/>
    <x v="275"/>
    <n v="377.58"/>
    <n v="2542.8000000000002"/>
    <n v="2920.38"/>
    <n v="0"/>
    <n v="184"/>
    <n v="0"/>
    <n v="2727"/>
    <n v="301.97000000000003"/>
    <n v="56.22"/>
    <n v="62.15"/>
    <n v="31.01"/>
    <n v="3.32"/>
    <n v="881867"/>
    <n v="0"/>
    <n v="881867"/>
    <n v="153312"/>
    <n v="169483"/>
    <n v="0"/>
    <n v="90561"/>
    <n v="9696"/>
    <n v="1304919"/>
    <n v="112825"/>
    <n v="1192094"/>
    <n v="682482"/>
    <n v="509612"/>
  </r>
  <r>
    <s v="13"/>
    <x v="7"/>
    <x v="276"/>
    <x v="276"/>
    <n v="58.77"/>
    <n v="565.1"/>
    <n v="623.87"/>
    <n v="0"/>
    <n v="0"/>
    <n v="0"/>
    <n v="565"/>
    <n v="301.97000000000003"/>
    <n v="56.22"/>
    <n v="62.15"/>
    <n v="31.01"/>
    <n v="3.32"/>
    <n v="188390"/>
    <n v="0"/>
    <n v="188390"/>
    <n v="31764"/>
    <n v="35115"/>
    <n v="0"/>
    <n v="19346"/>
    <n v="2071"/>
    <n v="276686"/>
    <n v="28459"/>
    <n v="248227"/>
    <n v="141439"/>
    <n v="106788"/>
  </r>
  <r>
    <s v="13"/>
    <x v="7"/>
    <x v="277"/>
    <x v="277"/>
    <n v="136.94999999999999"/>
    <n v="809.3"/>
    <n v="946.25"/>
    <n v="0"/>
    <n v="13"/>
    <n v="0"/>
    <n v="822"/>
    <n v="301.97000000000003"/>
    <n v="56.22"/>
    <n v="62.15"/>
    <n v="31.01"/>
    <n v="3.32"/>
    <n v="285739"/>
    <n v="2407"/>
    <n v="288146"/>
    <n v="46213"/>
    <n v="51087"/>
    <n v="0"/>
    <n v="29343"/>
    <n v="3142"/>
    <n v="417931"/>
    <n v="44838"/>
    <n v="373093"/>
    <n v="212855"/>
    <n v="160238"/>
  </r>
  <r>
    <s v="13"/>
    <x v="7"/>
    <x v="278"/>
    <x v="278"/>
    <n v="44.26"/>
    <n v="249.1"/>
    <n v="293.36"/>
    <n v="0"/>
    <n v="0"/>
    <n v="0"/>
    <n v="249"/>
    <n v="301.97000000000003"/>
    <n v="56.22"/>
    <n v="62.15"/>
    <n v="31.01"/>
    <n v="3.32"/>
    <n v="88586"/>
    <n v="4282"/>
    <n v="92868"/>
    <n v="13999"/>
    <n v="15475"/>
    <n v="0"/>
    <n v="9535"/>
    <n v="1020"/>
    <n v="132897"/>
    <n v="14742"/>
    <n v="118155"/>
    <n v="65633"/>
    <n v="52522"/>
  </r>
  <r>
    <s v="13"/>
    <x v="7"/>
    <x v="279"/>
    <x v="279"/>
    <n v="85.21"/>
    <n v="607.4"/>
    <n v="692.61"/>
    <n v="0"/>
    <n v="1"/>
    <n v="0"/>
    <n v="608"/>
    <n v="301.97000000000003"/>
    <n v="56.22"/>
    <n v="62.15"/>
    <n v="31.01"/>
    <n v="3.32"/>
    <n v="209147"/>
    <n v="3218"/>
    <n v="212365"/>
    <n v="34182"/>
    <n v="37787"/>
    <n v="0"/>
    <n v="21478"/>
    <n v="2299"/>
    <n v="308111"/>
    <n v="39236"/>
    <n v="268875"/>
    <n v="149382"/>
    <n v="119493"/>
  </r>
  <r>
    <s v="13"/>
    <x v="7"/>
    <x v="280"/>
    <x v="280"/>
    <n v="32.64"/>
    <n v="243.2"/>
    <n v="275.83999999999997"/>
    <n v="0"/>
    <n v="0"/>
    <n v="0"/>
    <n v="243"/>
    <n v="301.97000000000003"/>
    <n v="56.22"/>
    <n v="62.15"/>
    <n v="31.01"/>
    <n v="3.32"/>
    <n v="83295"/>
    <n v="4798"/>
    <n v="88093"/>
    <n v="13661"/>
    <n v="15102"/>
    <n v="0"/>
    <n v="8586"/>
    <n v="919"/>
    <n v="126361"/>
    <n v="15048"/>
    <n v="111313"/>
    <n v="60107"/>
    <n v="51206"/>
  </r>
  <r>
    <s v="13"/>
    <x v="7"/>
    <x v="281"/>
    <x v="281"/>
    <n v="84.65"/>
    <n v="642.1"/>
    <n v="726.75"/>
    <n v="0"/>
    <n v="12"/>
    <n v="0"/>
    <n v="654"/>
    <n v="301.97000000000003"/>
    <n v="56.22"/>
    <n v="62.15"/>
    <n v="31.01"/>
    <n v="3.32"/>
    <n v="219457"/>
    <n v="1782"/>
    <n v="221239"/>
    <n v="36768"/>
    <n v="40646"/>
    <n v="0"/>
    <n v="22537"/>
    <n v="2413"/>
    <n v="323603"/>
    <n v="39610"/>
    <n v="283993"/>
    <n v="158307"/>
    <n v="125686"/>
  </r>
  <r>
    <s v="13"/>
    <x v="7"/>
    <x v="282"/>
    <x v="282"/>
    <n v="29.54"/>
    <n v="190.3"/>
    <n v="219.84"/>
    <n v="0"/>
    <n v="8"/>
    <n v="0"/>
    <n v="198"/>
    <n v="301.97000000000003"/>
    <n v="56.22"/>
    <n v="62.15"/>
    <n v="31.01"/>
    <n v="3.32"/>
    <n v="66385"/>
    <n v="6381"/>
    <n v="72766"/>
    <n v="11132"/>
    <n v="12306"/>
    <n v="0"/>
    <n v="6817"/>
    <n v="730"/>
    <n v="103751"/>
    <n v="14187"/>
    <n v="89564"/>
    <n v="45682"/>
    <n v="43882"/>
  </r>
  <r>
    <s v="13"/>
    <x v="7"/>
    <x v="283"/>
    <x v="283"/>
    <n v="134.85"/>
    <n v="1032.5999999999999"/>
    <n v="1167.45"/>
    <n v="0"/>
    <n v="0"/>
    <n v="0"/>
    <n v="1033"/>
    <n v="301.97000000000003"/>
    <n v="56.22"/>
    <n v="62.15"/>
    <n v="31.01"/>
    <n v="3.32"/>
    <n v="352535"/>
    <n v="27342"/>
    <n v="379877"/>
    <n v="58075"/>
    <n v="64201"/>
    <n v="0"/>
    <n v="36203"/>
    <n v="3876"/>
    <n v="542232"/>
    <n v="62151"/>
    <n v="480081"/>
    <n v="255781"/>
    <n v="224300"/>
  </r>
  <r>
    <s v="13"/>
    <x v="7"/>
    <x v="284"/>
    <x v="284"/>
    <n v="68.42"/>
    <n v="695.2"/>
    <n v="763.62"/>
    <n v="0"/>
    <n v="4"/>
    <n v="0"/>
    <n v="699"/>
    <n v="301.97000000000003"/>
    <n v="56.22"/>
    <n v="62.15"/>
    <n v="31.01"/>
    <n v="3.32"/>
    <n v="230590"/>
    <n v="0"/>
    <n v="230590"/>
    <n v="39298"/>
    <n v="43443"/>
    <n v="0"/>
    <n v="23680"/>
    <n v="2535"/>
    <n v="339546"/>
    <n v="33188"/>
    <n v="306358"/>
    <n v="174769"/>
    <n v="131589"/>
  </r>
  <r>
    <s v="13"/>
    <x v="7"/>
    <x v="285"/>
    <x v="285"/>
    <n v="136.80000000000001"/>
    <n v="1050.7"/>
    <n v="1187.5"/>
    <n v="0"/>
    <n v="7"/>
    <n v="0"/>
    <n v="1058"/>
    <n v="301.97000000000003"/>
    <n v="56.22"/>
    <n v="62.15"/>
    <n v="31.01"/>
    <n v="3.32"/>
    <n v="358589"/>
    <n v="1831"/>
    <n v="360420"/>
    <n v="59481"/>
    <n v="65755"/>
    <n v="0"/>
    <n v="37007"/>
    <n v="3959"/>
    <n v="526622"/>
    <n v="57385"/>
    <n v="469237"/>
    <n v="266206"/>
    <n v="203031"/>
  </r>
  <r>
    <s v="13"/>
    <x v="7"/>
    <x v="286"/>
    <x v="286"/>
    <n v="72.09"/>
    <n v="373.6"/>
    <n v="445.69"/>
    <n v="0"/>
    <n v="0"/>
    <n v="0"/>
    <n v="374"/>
    <n v="301.97000000000003"/>
    <n v="56.22"/>
    <n v="62.15"/>
    <n v="31.01"/>
    <n v="3.32"/>
    <n v="134585"/>
    <n v="3141"/>
    <n v="137726"/>
    <n v="21026"/>
    <n v="23244"/>
    <n v="0"/>
    <n v="14141"/>
    <n v="1513"/>
    <n v="197650"/>
    <n v="22474"/>
    <n v="175176"/>
    <n v="99254"/>
    <n v="75922"/>
  </r>
  <r>
    <s v="13"/>
    <x v="7"/>
    <x v="287"/>
    <x v="287"/>
    <n v="34.36"/>
    <n v="195"/>
    <n v="229.36"/>
    <n v="0"/>
    <n v="1"/>
    <n v="0"/>
    <n v="196"/>
    <n v="301.97000000000003"/>
    <n v="56.22"/>
    <n v="62.15"/>
    <n v="31.01"/>
    <n v="3.32"/>
    <n v="69260"/>
    <n v="9988"/>
    <n v="79248"/>
    <n v="11019"/>
    <n v="12181"/>
    <n v="0"/>
    <n v="7357"/>
    <n v="787"/>
    <n v="110592"/>
    <n v="15658"/>
    <n v="94934"/>
    <n v="47074"/>
    <n v="47860"/>
  </r>
  <r>
    <s v="13"/>
    <x v="7"/>
    <x v="288"/>
    <x v="288"/>
    <n v="18.38"/>
    <n v="172.1"/>
    <n v="190.48"/>
    <n v="0"/>
    <n v="0"/>
    <n v="0"/>
    <n v="172"/>
    <n v="301.97000000000003"/>
    <n v="56.22"/>
    <n v="62.15"/>
    <n v="31.01"/>
    <n v="3.32"/>
    <n v="57519"/>
    <n v="8705"/>
    <n v="66224"/>
    <n v="9670"/>
    <n v="10690"/>
    <n v="0"/>
    <n v="6342"/>
    <n v="678"/>
    <n v="93604"/>
    <n v="12066"/>
    <n v="81538"/>
    <n v="40288"/>
    <n v="41250"/>
  </r>
  <r>
    <s v="13"/>
    <x v="7"/>
    <x v="289"/>
    <x v="289"/>
    <n v="45.88"/>
    <n v="631.1"/>
    <n v="676.98"/>
    <n v="0"/>
    <n v="52"/>
    <n v="0"/>
    <n v="683"/>
    <n v="301.97000000000003"/>
    <n v="56.22"/>
    <n v="62.15"/>
    <n v="31.01"/>
    <n v="3.32"/>
    <n v="204428"/>
    <n v="0"/>
    <n v="204428"/>
    <n v="38398"/>
    <n v="42448"/>
    <n v="0"/>
    <n v="20993"/>
    <n v="2248"/>
    <n v="308515"/>
    <n v="22629"/>
    <n v="285886"/>
    <n v="161733"/>
    <n v="124153"/>
  </r>
  <r>
    <s v="13"/>
    <x v="7"/>
    <x v="290"/>
    <x v="290"/>
    <n v="67.64"/>
    <n v="641"/>
    <n v="708.64"/>
    <n v="0"/>
    <n v="3"/>
    <n v="0"/>
    <n v="644"/>
    <n v="301.97000000000003"/>
    <n v="56.22"/>
    <n v="62.15"/>
    <n v="31.01"/>
    <n v="3.32"/>
    <n v="213988"/>
    <n v="0"/>
    <n v="213988"/>
    <n v="36206"/>
    <n v="40025"/>
    <n v="0"/>
    <n v="21975"/>
    <n v="2353"/>
    <n v="314547"/>
    <n v="33287"/>
    <n v="281260"/>
    <n v="159697"/>
    <n v="121563"/>
  </r>
  <r>
    <s v="13"/>
    <x v="7"/>
    <x v="291"/>
    <x v="291"/>
    <n v="79.91"/>
    <n v="719"/>
    <n v="798.91"/>
    <n v="0"/>
    <n v="19"/>
    <n v="0"/>
    <n v="738"/>
    <n v="301.97000000000003"/>
    <n v="56.22"/>
    <n v="62.15"/>
    <n v="31.01"/>
    <n v="3.32"/>
    <n v="241247"/>
    <n v="0"/>
    <n v="241247"/>
    <n v="41490"/>
    <n v="45867"/>
    <n v="0"/>
    <n v="24774"/>
    <n v="2652"/>
    <n v="356030"/>
    <n v="30799"/>
    <n v="325231"/>
    <n v="186768"/>
    <n v="138463"/>
  </r>
  <r>
    <s v="13"/>
    <x v="7"/>
    <x v="292"/>
    <x v="292"/>
    <n v="28.72"/>
    <n v="303"/>
    <n v="331.72"/>
    <n v="0"/>
    <n v="0"/>
    <n v="0"/>
    <n v="303"/>
    <n v="301.97000000000003"/>
    <n v="56.22"/>
    <n v="62.15"/>
    <n v="31.01"/>
    <n v="3.32"/>
    <n v="100169"/>
    <n v="12667"/>
    <n v="112836"/>
    <n v="17035"/>
    <n v="18831"/>
    <n v="0"/>
    <n v="10287"/>
    <n v="1101"/>
    <n v="160090"/>
    <n v="20643"/>
    <n v="139447"/>
    <n v="69694"/>
    <n v="69753"/>
  </r>
  <r>
    <s v="13"/>
    <x v="7"/>
    <x v="293"/>
    <x v="293"/>
    <n v="67.489999999999995"/>
    <n v="341.7"/>
    <n v="409.19"/>
    <n v="0"/>
    <n v="0"/>
    <n v="0"/>
    <n v="342"/>
    <n v="301.97000000000003"/>
    <n v="56.22"/>
    <n v="62.15"/>
    <n v="31.01"/>
    <n v="3.32"/>
    <n v="123563"/>
    <n v="24397"/>
    <n v="147960"/>
    <n v="19227"/>
    <n v="21255"/>
    <n v="0"/>
    <n v="13003"/>
    <n v="1391"/>
    <n v="202836"/>
    <n v="25347"/>
    <n v="177489"/>
    <n v="86434"/>
    <n v="91055"/>
  </r>
  <r>
    <s v="13"/>
    <x v="7"/>
    <x v="294"/>
    <x v="294"/>
    <n v="39.99"/>
    <n v="466"/>
    <n v="505.99"/>
    <n v="0"/>
    <n v="2"/>
    <n v="0"/>
    <n v="468"/>
    <n v="301.97000000000003"/>
    <n v="56.22"/>
    <n v="62.15"/>
    <n v="31.01"/>
    <n v="3.32"/>
    <n v="152794"/>
    <n v="1692"/>
    <n v="154486"/>
    <n v="26311"/>
    <n v="29086"/>
    <n v="0"/>
    <n v="15691"/>
    <n v="1680"/>
    <n v="227254"/>
    <n v="25428"/>
    <n v="201826"/>
    <n v="112369"/>
    <n v="89457"/>
  </r>
  <r>
    <s v="15"/>
    <x v="8"/>
    <x v="295"/>
    <x v="295"/>
    <n v="127.86"/>
    <n v="1163.4000000000001"/>
    <n v="1291.26"/>
    <n v="0"/>
    <n v="0"/>
    <n v="0"/>
    <n v="1163"/>
    <n v="299.33"/>
    <n v="56.19"/>
    <n v="61.72"/>
    <n v="30.02"/>
    <n v="3.27"/>
    <n v="386513"/>
    <n v="4526"/>
    <n v="391039"/>
    <n v="65349"/>
    <n v="71780"/>
    <n v="0"/>
    <n v="38764"/>
    <n v="4222"/>
    <n v="571154"/>
    <n v="57955"/>
    <n v="513199"/>
    <n v="292351"/>
    <n v="220848"/>
  </r>
  <r>
    <s v="15"/>
    <x v="8"/>
    <x v="296"/>
    <x v="296"/>
    <n v="761.94"/>
    <n v="4137.3999999999996"/>
    <n v="4899.34"/>
    <n v="0"/>
    <n v="355"/>
    <n v="3.8"/>
    <n v="4489"/>
    <n v="299.33"/>
    <n v="56.19"/>
    <n v="61.72"/>
    <n v="30.02"/>
    <n v="3.27"/>
    <n v="1466519"/>
    <n v="55947"/>
    <n v="1522466"/>
    <n v="252237"/>
    <n v="277061"/>
    <n v="0"/>
    <n v="147788"/>
    <n v="16091"/>
    <n v="2215643"/>
    <n v="231008"/>
    <n v="1984635"/>
    <n v="1098914"/>
    <n v="885721"/>
  </r>
  <r>
    <s v="15"/>
    <x v="8"/>
    <x v="297"/>
    <x v="297"/>
    <n v="81.2"/>
    <n v="570.9"/>
    <n v="652.1"/>
    <n v="0"/>
    <n v="0"/>
    <n v="0"/>
    <n v="571"/>
    <n v="299.33"/>
    <n v="56.19"/>
    <n v="61.72"/>
    <n v="30.02"/>
    <n v="3.27"/>
    <n v="195193"/>
    <n v="0"/>
    <n v="195193"/>
    <n v="32084"/>
    <n v="35242"/>
    <n v="0"/>
    <n v="19576"/>
    <n v="2132"/>
    <n v="284227"/>
    <n v="29808"/>
    <n v="254419"/>
    <n v="147100"/>
    <n v="107319"/>
  </r>
  <r>
    <s v="15"/>
    <x v="8"/>
    <x v="298"/>
    <x v="298"/>
    <n v="161.04"/>
    <n v="1374.8"/>
    <n v="1535.84"/>
    <n v="0"/>
    <n v="0"/>
    <n v="0"/>
    <n v="1375"/>
    <n v="299.33"/>
    <n v="56.19"/>
    <n v="61.72"/>
    <n v="30.02"/>
    <n v="3.27"/>
    <n v="459723"/>
    <n v="0"/>
    <n v="459723"/>
    <n v="77261"/>
    <n v="84865"/>
    <n v="0"/>
    <n v="46106"/>
    <n v="5022"/>
    <n v="672977"/>
    <n v="76839"/>
    <n v="596138"/>
    <n v="339819"/>
    <n v="256319"/>
  </r>
  <r>
    <s v="15"/>
    <x v="8"/>
    <x v="299"/>
    <x v="299"/>
    <n v="71.42"/>
    <n v="764"/>
    <n v="835.42"/>
    <n v="0"/>
    <n v="14"/>
    <n v="0"/>
    <n v="778"/>
    <n v="299.33"/>
    <n v="56.19"/>
    <n v="61.72"/>
    <n v="30.02"/>
    <n v="3.27"/>
    <n v="250066"/>
    <n v="6336"/>
    <n v="256402"/>
    <n v="43716"/>
    <n v="48018"/>
    <n v="0"/>
    <n v="25079"/>
    <n v="2732"/>
    <n v="375947"/>
    <n v="46695"/>
    <n v="329252"/>
    <n v="179946"/>
    <n v="149306"/>
  </r>
  <r>
    <s v="15"/>
    <x v="8"/>
    <x v="300"/>
    <x v="300"/>
    <n v="153.9"/>
    <n v="1275.8"/>
    <n v="1429.7"/>
    <n v="0"/>
    <n v="3"/>
    <n v="0"/>
    <n v="1279"/>
    <n v="299.33"/>
    <n v="56.19"/>
    <n v="61.72"/>
    <n v="30.02"/>
    <n v="3.27"/>
    <n v="427952"/>
    <n v="12429"/>
    <n v="440381"/>
    <n v="71867"/>
    <n v="78940"/>
    <n v="0"/>
    <n v="42920"/>
    <n v="4675"/>
    <n v="638783"/>
    <n v="69564"/>
    <n v="569219"/>
    <n v="318300"/>
    <n v="250919"/>
  </r>
  <r>
    <s v="15"/>
    <x v="8"/>
    <x v="301"/>
    <x v="301"/>
    <n v="57.51"/>
    <n v="508.4"/>
    <n v="565.91"/>
    <n v="0"/>
    <n v="4"/>
    <n v="0"/>
    <n v="512"/>
    <n v="299.33"/>
    <n v="56.19"/>
    <n v="61.72"/>
    <n v="30.02"/>
    <n v="3.27"/>
    <n v="169394"/>
    <n v="0"/>
    <n v="169394"/>
    <n v="28769"/>
    <n v="31601"/>
    <n v="0"/>
    <n v="16989"/>
    <n v="1851"/>
    <n v="248604"/>
    <n v="20792"/>
    <n v="227812"/>
    <n v="132735"/>
    <n v="95077"/>
  </r>
  <r>
    <s v="15"/>
    <x v="8"/>
    <x v="302"/>
    <x v="302"/>
    <n v="109.36"/>
    <n v="1153.8"/>
    <n v="1263.1600000000001"/>
    <n v="0"/>
    <n v="3"/>
    <n v="0"/>
    <n v="1157"/>
    <n v="299.33"/>
    <n v="56.19"/>
    <n v="61.72"/>
    <n v="30.02"/>
    <n v="3.27"/>
    <n v="378102"/>
    <n v="0"/>
    <n v="378102"/>
    <n v="65012"/>
    <n v="71410"/>
    <n v="0"/>
    <n v="37920"/>
    <n v="4131"/>
    <n v="556575"/>
    <n v="56419"/>
    <n v="500156"/>
    <n v="286264"/>
    <n v="213892"/>
  </r>
  <r>
    <s v="15"/>
    <x v="8"/>
    <x v="303"/>
    <x v="303"/>
    <n v="112.05"/>
    <n v="891.2"/>
    <n v="1003.25"/>
    <n v="0"/>
    <n v="19"/>
    <n v="0"/>
    <n v="910"/>
    <n v="299.33"/>
    <n v="56.19"/>
    <n v="61.72"/>
    <n v="30.02"/>
    <n v="3.27"/>
    <n v="300303"/>
    <n v="0"/>
    <n v="300303"/>
    <n v="51133"/>
    <n v="56165"/>
    <n v="0"/>
    <n v="30118"/>
    <n v="3281"/>
    <n v="441000"/>
    <n v="44907"/>
    <n v="396093"/>
    <n v="227266"/>
    <n v="168827"/>
  </r>
  <r>
    <s v="15"/>
    <x v="8"/>
    <x v="304"/>
    <x v="304"/>
    <n v="321.93"/>
    <n v="1621.7"/>
    <n v="1943.63"/>
    <n v="0"/>
    <n v="120"/>
    <n v="0"/>
    <n v="1742"/>
    <n v="299.33"/>
    <n v="56.19"/>
    <n v="61.72"/>
    <n v="30.02"/>
    <n v="3.27"/>
    <n v="581787"/>
    <n v="0"/>
    <n v="581787"/>
    <n v="97883"/>
    <n v="107516"/>
    <n v="0"/>
    <n v="58348"/>
    <n v="6356"/>
    <n v="851890"/>
    <n v="91881"/>
    <n v="760009"/>
    <n v="435407"/>
    <n v="324602"/>
  </r>
  <r>
    <s v="15"/>
    <x v="8"/>
    <x v="305"/>
    <x v="305"/>
    <n v="351.68"/>
    <n v="2109.3000000000002"/>
    <n v="2460.98"/>
    <n v="0"/>
    <n v="278"/>
    <n v="4.7"/>
    <n v="2383"/>
    <n v="299.33"/>
    <n v="56.19"/>
    <n v="61.72"/>
    <n v="30.02"/>
    <n v="3.27"/>
    <n v="736645"/>
    <n v="0"/>
    <n v="736645"/>
    <n v="133901"/>
    <n v="147079"/>
    <n v="0"/>
    <n v="73879"/>
    <n v="8047"/>
    <n v="1099551"/>
    <n v="124889"/>
    <n v="974662"/>
    <n v="542750"/>
    <n v="431912"/>
  </r>
  <r>
    <s v="15"/>
    <x v="8"/>
    <x v="306"/>
    <x v="306"/>
    <n v="372.85"/>
    <n v="1875"/>
    <n v="2247.85"/>
    <n v="0"/>
    <n v="62"/>
    <n v="0.6"/>
    <n v="1936"/>
    <n v="299.33"/>
    <n v="56.19"/>
    <n v="61.72"/>
    <n v="30.02"/>
    <n v="3.27"/>
    <n v="672849"/>
    <n v="0"/>
    <n v="672849"/>
    <n v="108784"/>
    <n v="119490"/>
    <n v="0"/>
    <n v="67480"/>
    <n v="7350"/>
    <n v="975953"/>
    <n v="104456"/>
    <n v="871497"/>
    <n v="505362"/>
    <n v="366135"/>
  </r>
  <r>
    <s v="15"/>
    <x v="8"/>
    <x v="307"/>
    <x v="307"/>
    <n v="45.93"/>
    <n v="332.6"/>
    <n v="378.53"/>
    <n v="0"/>
    <n v="1"/>
    <n v="0"/>
    <n v="334"/>
    <n v="299.33"/>
    <n v="56.19"/>
    <n v="61.72"/>
    <n v="30.02"/>
    <n v="3.27"/>
    <n v="113305"/>
    <n v="1548"/>
    <n v="114853"/>
    <n v="18767"/>
    <n v="20614"/>
    <n v="0"/>
    <n v="11511"/>
    <n v="1253"/>
    <n v="166998"/>
    <n v="17793"/>
    <n v="149205"/>
    <n v="85061"/>
    <n v="64144"/>
  </r>
  <r>
    <s v="15"/>
    <x v="8"/>
    <x v="308"/>
    <x v="308"/>
    <n v="95.72"/>
    <n v="807.6"/>
    <n v="903.32"/>
    <n v="0"/>
    <n v="0"/>
    <n v="0"/>
    <n v="808"/>
    <n v="299.33"/>
    <n v="56.19"/>
    <n v="61.72"/>
    <n v="30.02"/>
    <n v="3.27"/>
    <n v="270391"/>
    <n v="0"/>
    <n v="270391"/>
    <n v="45402"/>
    <n v="49870"/>
    <n v="0"/>
    <n v="27118"/>
    <n v="2954"/>
    <n v="395735"/>
    <n v="41596"/>
    <n v="354139"/>
    <n v="203466"/>
    <n v="150673"/>
  </r>
  <r>
    <s v="15"/>
    <x v="8"/>
    <x v="309"/>
    <x v="309"/>
    <n v="44.17"/>
    <n v="351"/>
    <n v="395.17"/>
    <n v="0"/>
    <n v="0"/>
    <n v="0"/>
    <n v="351"/>
    <n v="299.33"/>
    <n v="56.19"/>
    <n v="61.72"/>
    <n v="30.02"/>
    <n v="3.27"/>
    <n v="118286"/>
    <n v="0"/>
    <n v="118286"/>
    <n v="19723"/>
    <n v="21664"/>
    <n v="0"/>
    <n v="11863"/>
    <n v="1292"/>
    <n v="172828"/>
    <n v="14721"/>
    <n v="158107"/>
    <n v="92484"/>
    <n v="65623"/>
  </r>
  <r>
    <s v="15"/>
    <x v="8"/>
    <x v="310"/>
    <x v="310"/>
    <n v="16.100000000000001"/>
    <n v="205.6"/>
    <n v="221.7"/>
    <n v="0"/>
    <n v="0"/>
    <n v="0"/>
    <n v="206"/>
    <n v="299.33"/>
    <n v="56.19"/>
    <n v="61.72"/>
    <n v="30.02"/>
    <n v="3.27"/>
    <n v="66361"/>
    <n v="3261"/>
    <n v="69622"/>
    <n v="11575"/>
    <n v="12714"/>
    <n v="0"/>
    <n v="6655"/>
    <n v="725"/>
    <n v="101291"/>
    <n v="10949"/>
    <n v="90342"/>
    <n v="49196"/>
    <n v="41146"/>
  </r>
  <r>
    <s v="15"/>
    <x v="8"/>
    <x v="311"/>
    <x v="311"/>
    <n v="28.41"/>
    <n v="219.3"/>
    <n v="247.71"/>
    <n v="0"/>
    <n v="0"/>
    <n v="0"/>
    <n v="219"/>
    <n v="299.33"/>
    <n v="56.19"/>
    <n v="61.72"/>
    <n v="30.02"/>
    <n v="3.27"/>
    <n v="74147"/>
    <n v="0"/>
    <n v="74147"/>
    <n v="12306"/>
    <n v="13517"/>
    <n v="0"/>
    <n v="7436"/>
    <n v="810"/>
    <n v="108216"/>
    <n v="12939"/>
    <n v="95277"/>
    <n v="54262"/>
    <n v="41015"/>
  </r>
  <r>
    <s v="15"/>
    <x v="8"/>
    <x v="312"/>
    <x v="312"/>
    <n v="266.08"/>
    <n v="1922"/>
    <n v="2188.08"/>
    <n v="0"/>
    <n v="5"/>
    <n v="0"/>
    <n v="1927"/>
    <n v="299.33"/>
    <n v="56.19"/>
    <n v="61.72"/>
    <n v="30.02"/>
    <n v="3.27"/>
    <n v="654958"/>
    <n v="0"/>
    <n v="654958"/>
    <n v="108278"/>
    <n v="118934"/>
    <n v="0"/>
    <n v="65686"/>
    <n v="7155"/>
    <n v="955011"/>
    <n v="93333"/>
    <n v="861678"/>
    <n v="500271"/>
    <n v="361407"/>
  </r>
  <r>
    <s v="15"/>
    <x v="8"/>
    <x v="313"/>
    <x v="313"/>
    <n v="55.11"/>
    <n v="495.2"/>
    <n v="550.30999999999995"/>
    <n v="0"/>
    <n v="2"/>
    <n v="0"/>
    <n v="497"/>
    <n v="299.33"/>
    <n v="56.19"/>
    <n v="61.72"/>
    <n v="30.02"/>
    <n v="3.27"/>
    <n v="164724"/>
    <n v="2649"/>
    <n v="167373"/>
    <n v="27926"/>
    <n v="30675"/>
    <n v="0"/>
    <n v="16520"/>
    <n v="1800"/>
    <n v="244294"/>
    <n v="25009"/>
    <n v="219285"/>
    <n v="124285"/>
    <n v="95000"/>
  </r>
  <r>
    <s v="15"/>
    <x v="8"/>
    <x v="314"/>
    <x v="314"/>
    <n v="51.48"/>
    <n v="450.1"/>
    <n v="501.58"/>
    <n v="0"/>
    <n v="25"/>
    <n v="0"/>
    <n v="475"/>
    <n v="299.33"/>
    <n v="56.19"/>
    <n v="61.72"/>
    <n v="30.02"/>
    <n v="3.27"/>
    <n v="150138"/>
    <n v="19371"/>
    <n v="169509"/>
    <n v="26690"/>
    <n v="29317"/>
    <n v="0"/>
    <n v="15713"/>
    <n v="1711"/>
    <n v="242940"/>
    <n v="25355"/>
    <n v="217585"/>
    <n v="111445"/>
    <n v="106140"/>
  </r>
  <r>
    <s v="15"/>
    <x v="8"/>
    <x v="315"/>
    <x v="315"/>
    <n v="292.87"/>
    <n v="2328.5"/>
    <n v="2621.37"/>
    <n v="0"/>
    <n v="182"/>
    <n v="0"/>
    <n v="2511"/>
    <n v="299.33"/>
    <n v="56.19"/>
    <n v="61.72"/>
    <n v="30.02"/>
    <n v="3.27"/>
    <n v="784655"/>
    <n v="0"/>
    <n v="784655"/>
    <n v="141093"/>
    <n v="154979"/>
    <n v="0"/>
    <n v="78694"/>
    <n v="8572"/>
    <n v="1167993"/>
    <n v="115216"/>
    <n v="1052777"/>
    <n v="595936"/>
    <n v="456841"/>
  </r>
  <r>
    <s v="15"/>
    <x v="8"/>
    <x v="316"/>
    <x v="316"/>
    <n v="545.99"/>
    <n v="4655.1000000000004"/>
    <n v="5201.09"/>
    <n v="0"/>
    <n v="141"/>
    <n v="0.1"/>
    <n v="4796"/>
    <n v="299.33"/>
    <n v="56.19"/>
    <n v="61.72"/>
    <n v="30.02"/>
    <n v="3.27"/>
    <n v="1556842"/>
    <n v="0"/>
    <n v="1556842"/>
    <n v="269487"/>
    <n v="296009"/>
    <n v="0"/>
    <n v="156137"/>
    <n v="17008"/>
    <n v="2295483"/>
    <n v="217386"/>
    <n v="2078097"/>
    <n v="1193618"/>
    <n v="884479"/>
  </r>
  <r>
    <s v="15"/>
    <x v="8"/>
    <x v="317"/>
    <x v="317"/>
    <n v="61.61"/>
    <n v="598.29999999999995"/>
    <n v="659.91"/>
    <n v="0"/>
    <n v="2"/>
    <n v="0"/>
    <n v="600"/>
    <n v="299.33"/>
    <n v="56.19"/>
    <n v="61.72"/>
    <n v="30.02"/>
    <n v="3.27"/>
    <n v="197531"/>
    <n v="5075"/>
    <n v="202606"/>
    <n v="33714"/>
    <n v="37032"/>
    <n v="0"/>
    <n v="19810"/>
    <n v="2158"/>
    <n v="295320"/>
    <n v="33180"/>
    <n v="262140"/>
    <n v="145847"/>
    <n v="116293"/>
  </r>
  <r>
    <s v="15"/>
    <x v="8"/>
    <x v="318"/>
    <x v="318"/>
    <n v="31.12"/>
    <n v="274"/>
    <n v="305.12"/>
    <n v="0"/>
    <n v="0"/>
    <n v="0"/>
    <n v="274"/>
    <n v="299.33"/>
    <n v="56.19"/>
    <n v="61.72"/>
    <n v="30.02"/>
    <n v="3.27"/>
    <n v="91332"/>
    <n v="1567"/>
    <n v="92899"/>
    <n v="15396"/>
    <n v="16911"/>
    <n v="0"/>
    <n v="9160"/>
    <n v="998"/>
    <n v="135364"/>
    <n v="16442"/>
    <n v="118922"/>
    <n v="66335"/>
    <n v="52587"/>
  </r>
  <r>
    <s v="15"/>
    <x v="8"/>
    <x v="319"/>
    <x v="319"/>
    <n v="60.09"/>
    <n v="554.5"/>
    <n v="614.59"/>
    <n v="0"/>
    <n v="0"/>
    <n v="0"/>
    <n v="555"/>
    <n v="299.33"/>
    <n v="56.19"/>
    <n v="61.72"/>
    <n v="30.02"/>
    <n v="3.27"/>
    <n v="183965"/>
    <n v="0"/>
    <n v="183965"/>
    <n v="31185"/>
    <n v="34255"/>
    <n v="0"/>
    <n v="18450"/>
    <n v="2010"/>
    <n v="269865"/>
    <n v="32703"/>
    <n v="237162"/>
    <n v="134029"/>
    <n v="103133"/>
  </r>
  <r>
    <s v="15"/>
    <x v="8"/>
    <x v="320"/>
    <x v="320"/>
    <n v="43.36"/>
    <n v="285.8"/>
    <n v="329.16"/>
    <n v="0"/>
    <n v="2"/>
    <n v="0"/>
    <n v="288"/>
    <n v="299.33"/>
    <n v="56.19"/>
    <n v="61.72"/>
    <n v="30.02"/>
    <n v="3.27"/>
    <n v="98527"/>
    <n v="0"/>
    <n v="98527"/>
    <n v="16183"/>
    <n v="17775"/>
    <n v="0"/>
    <n v="9881"/>
    <n v="1076"/>
    <n v="143442"/>
    <n v="17232"/>
    <n v="126210"/>
    <n v="72065"/>
    <n v="54145"/>
  </r>
  <r>
    <s v="15"/>
    <x v="8"/>
    <x v="321"/>
    <x v="321"/>
    <n v="106.64"/>
    <n v="999.2"/>
    <n v="1105.8399999999999"/>
    <n v="0"/>
    <n v="2"/>
    <n v="0"/>
    <n v="1001"/>
    <n v="299.33"/>
    <n v="56.19"/>
    <n v="61.72"/>
    <n v="30.02"/>
    <n v="3.27"/>
    <n v="331011"/>
    <n v="6427"/>
    <n v="337438"/>
    <n v="56246"/>
    <n v="61782"/>
    <n v="0"/>
    <n v="33197"/>
    <n v="3616"/>
    <n v="492279"/>
    <n v="61494"/>
    <n v="430785"/>
    <n v="238509"/>
    <n v="192276"/>
  </r>
  <r>
    <s v="15"/>
    <x v="8"/>
    <x v="322"/>
    <x v="322"/>
    <n v="66.09"/>
    <n v="482.1"/>
    <n v="548.19000000000005"/>
    <n v="0"/>
    <n v="4"/>
    <n v="0"/>
    <n v="486"/>
    <n v="299.33"/>
    <n v="56.19"/>
    <n v="61.72"/>
    <n v="30.02"/>
    <n v="3.27"/>
    <n v="164090"/>
    <n v="0"/>
    <n v="164090"/>
    <n v="27308"/>
    <n v="29996"/>
    <n v="0"/>
    <n v="16457"/>
    <n v="1793"/>
    <n v="239644"/>
    <n v="26545"/>
    <n v="213099"/>
    <n v="122174"/>
    <n v="90925"/>
  </r>
  <r>
    <s v="15"/>
    <x v="8"/>
    <x v="323"/>
    <x v="323"/>
    <n v="101.54"/>
    <n v="619.1"/>
    <n v="720.64"/>
    <n v="0"/>
    <n v="0"/>
    <n v="0"/>
    <n v="619"/>
    <n v="299.33"/>
    <n v="56.19"/>
    <n v="61.72"/>
    <n v="30.02"/>
    <n v="3.27"/>
    <n v="215709"/>
    <n v="13297"/>
    <n v="229006"/>
    <n v="34782"/>
    <n v="38205"/>
    <n v="0"/>
    <n v="21634"/>
    <n v="2356"/>
    <n v="325983"/>
    <n v="34892"/>
    <n v="291091"/>
    <n v="160610"/>
    <n v="130481"/>
  </r>
  <r>
    <s v="15"/>
    <x v="8"/>
    <x v="324"/>
    <x v="324"/>
    <n v="71.73"/>
    <n v="572.29999999999995"/>
    <n v="644.03"/>
    <n v="0"/>
    <n v="0"/>
    <n v="0"/>
    <n v="572"/>
    <n v="299.33"/>
    <n v="56.19"/>
    <n v="61.72"/>
    <n v="30.02"/>
    <n v="3.27"/>
    <n v="192777"/>
    <n v="0"/>
    <n v="192777"/>
    <n v="32141"/>
    <n v="35304"/>
    <n v="0"/>
    <n v="19334"/>
    <n v="2106"/>
    <n v="281662"/>
    <n v="35052"/>
    <n v="246610"/>
    <n v="139667"/>
    <n v="106943"/>
  </r>
  <r>
    <s v="15"/>
    <x v="8"/>
    <x v="325"/>
    <x v="325"/>
    <n v="49.32"/>
    <n v="473.3"/>
    <n v="522.62"/>
    <n v="0"/>
    <n v="11"/>
    <n v="0"/>
    <n v="484"/>
    <n v="299.33"/>
    <n v="56.19"/>
    <n v="61.72"/>
    <n v="30.02"/>
    <n v="3.27"/>
    <n v="156436"/>
    <n v="0"/>
    <n v="156436"/>
    <n v="27196"/>
    <n v="29872"/>
    <n v="0"/>
    <n v="15689"/>
    <n v="1709"/>
    <n v="230902"/>
    <n v="21967"/>
    <n v="208935"/>
    <n v="119815"/>
    <n v="89120"/>
  </r>
  <r>
    <s v="15"/>
    <x v="8"/>
    <x v="326"/>
    <x v="326"/>
    <n v="32.79"/>
    <n v="321.3"/>
    <n v="354.09"/>
    <n v="0"/>
    <n v="0"/>
    <n v="0"/>
    <n v="321"/>
    <n v="299.33"/>
    <n v="56.19"/>
    <n v="61.72"/>
    <n v="30.02"/>
    <n v="3.27"/>
    <n v="105990"/>
    <n v="9738"/>
    <n v="115728"/>
    <n v="18037"/>
    <n v="19812"/>
    <n v="0"/>
    <n v="11092"/>
    <n v="1208"/>
    <n v="165877"/>
    <n v="18261"/>
    <n v="147616"/>
    <n v="78312"/>
    <n v="69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grandTotalCaption="AEA Total" updatedVersion="4" minRefreshableVersion="3" showDrill="0" useAutoFormatting="1" itemPrintTitles="1" createdVersion="4" indent="0" compact="0" compactData="0" multipleFieldFilters="0">
  <location ref="A4:V58" firstHeaderRow="0" firstDataRow="1" firstDataCol="2"/>
  <pivotFields count="29">
    <pivotField compact="0" outline="0" showAll="0" defaultSubtotal="0"/>
    <pivotField compact="0" outline="0" showAll="0" defaultSubtotal="0">
      <items count="9">
        <item x="2"/>
        <item h="1" x="4"/>
        <item h="1" x="8"/>
        <item h="1" x="7"/>
        <item h="1" x="5"/>
        <item h="1" x="0"/>
        <item h="1" x="3"/>
        <item h="1" x="6"/>
        <item h="1" x="1"/>
      </items>
    </pivotField>
    <pivotField axis="axisRow" compact="0" outline="0" showAll="0" defaultSubtotal="0">
      <items count="333">
        <item x="59"/>
        <item x="165"/>
        <item x="166"/>
        <item x="218"/>
        <item x="21"/>
        <item x="295"/>
        <item x="133"/>
        <item x="60"/>
        <item x="22"/>
        <item x="0"/>
        <item x="95"/>
        <item x="23"/>
        <item x="167"/>
        <item x="134"/>
        <item x="112"/>
        <item x="168"/>
        <item x="61"/>
        <item x="41"/>
        <item x="219"/>
        <item x="253"/>
        <item x="169"/>
        <item m="1" x="331"/>
        <item x="252"/>
        <item x="170"/>
        <item m="1" x="328"/>
        <item x="171"/>
        <item x="62"/>
        <item x="254"/>
        <item x="135"/>
        <item x="113"/>
        <item x="63"/>
        <item x="114"/>
        <item x="136"/>
        <item x="115"/>
        <item x="303"/>
        <item x="172"/>
        <item x="173"/>
        <item x="220"/>
        <item x="110"/>
        <item x="64"/>
        <item x="96"/>
        <item x="296"/>
        <item x="256"/>
        <item x="65"/>
        <item x="116"/>
        <item x="117"/>
        <item x="297"/>
        <item x="174"/>
        <item x="175"/>
        <item x="66"/>
        <item x="137"/>
        <item x="138"/>
        <item x="298"/>
        <item x="299"/>
        <item x="1"/>
        <item x="118"/>
        <item x="139"/>
        <item x="257"/>
        <item x="221"/>
        <item x="300"/>
        <item x="68"/>
        <item x="222"/>
        <item x="223"/>
        <item x="258"/>
        <item x="24"/>
        <item x="259"/>
        <item x="69"/>
        <item x="25"/>
        <item x="140"/>
        <item x="70"/>
        <item x="119"/>
        <item x="176"/>
        <item x="141"/>
        <item x="177"/>
        <item x="178"/>
        <item x="120"/>
        <item x="179"/>
        <item x="260"/>
        <item x="261"/>
        <item x="262"/>
        <item x="180"/>
        <item x="301"/>
        <item x="121"/>
        <item x="302"/>
        <item x="3"/>
        <item x="122"/>
        <item x="224"/>
        <item x="71"/>
        <item x="181"/>
        <item x="263"/>
        <item x="72"/>
        <item x="4"/>
        <item x="73"/>
        <item x="255"/>
        <item x="123"/>
        <item x="105"/>
        <item x="26"/>
        <item x="182"/>
        <item x="74"/>
        <item x="124"/>
        <item x="265"/>
        <item x="5"/>
        <item x="237"/>
        <item x="6"/>
        <item x="76"/>
        <item x="28"/>
        <item x="142"/>
        <item x="266"/>
        <item x="29"/>
        <item x="183"/>
        <item x="304"/>
        <item x="77"/>
        <item x="30"/>
        <item x="305"/>
        <item x="267"/>
        <item x="225"/>
        <item x="79"/>
        <item x="226"/>
        <item x="184"/>
        <item x="31"/>
        <item x="80"/>
        <item x="268"/>
        <item x="185"/>
        <item x="32"/>
        <item x="281"/>
        <item x="78"/>
        <item x="81"/>
        <item x="269"/>
        <item x="82"/>
        <item x="186"/>
        <item x="2"/>
        <item x="143"/>
        <item x="270"/>
        <item x="83"/>
        <item x="271"/>
        <item m="1" x="332"/>
        <item x="34"/>
        <item x="227"/>
        <item x="144"/>
        <item x="228"/>
        <item x="7"/>
        <item x="84"/>
        <item x="85"/>
        <item x="35"/>
        <item x="86"/>
        <item x="187"/>
        <item x="188"/>
        <item x="145"/>
        <item x="87"/>
        <item x="146"/>
        <item x="272"/>
        <item x="88"/>
        <item x="33"/>
        <item x="89"/>
        <item x="189"/>
        <item x="306"/>
        <item x="307"/>
        <item x="229"/>
        <item x="190"/>
        <item x="90"/>
        <item x="273"/>
        <item x="36"/>
        <item x="230"/>
        <item x="75"/>
        <item x="231"/>
        <item x="274"/>
        <item x="275"/>
        <item x="155"/>
        <item x="147"/>
        <item x="148"/>
        <item x="276"/>
        <item x="149"/>
        <item x="125"/>
        <item x="37"/>
        <item x="191"/>
        <item x="192"/>
        <item x="264"/>
        <item x="38"/>
        <item x="232"/>
        <item x="126"/>
        <item x="9"/>
        <item x="233"/>
        <item x="150"/>
        <item x="91"/>
        <item x="193"/>
        <item x="92"/>
        <item x="234"/>
        <item x="308"/>
        <item x="194"/>
        <item x="152"/>
        <item x="151"/>
        <item x="277"/>
        <item x="8"/>
        <item x="93"/>
        <item x="153"/>
        <item x="309"/>
        <item x="278"/>
        <item x="310"/>
        <item x="311"/>
        <item x="279"/>
        <item x="312"/>
        <item x="154"/>
        <item x="280"/>
        <item x="127"/>
        <item x="94"/>
        <item x="195"/>
        <item x="39"/>
        <item x="10"/>
        <item x="313"/>
        <item x="196"/>
        <item x="67"/>
        <item x="129"/>
        <item x="11"/>
        <item m="1" x="329"/>
        <item x="314"/>
        <item x="156"/>
        <item x="40"/>
        <item x="197"/>
        <item x="128"/>
        <item x="97"/>
        <item m="1" x="330"/>
        <item x="98"/>
        <item x="198"/>
        <item x="284"/>
        <item x="235"/>
        <item x="12"/>
        <item x="199"/>
        <item x="42"/>
        <item x="157"/>
        <item x="282"/>
        <item x="99"/>
        <item x="315"/>
        <item x="316"/>
        <item x="201"/>
        <item x="43"/>
        <item x="245"/>
        <item x="317"/>
        <item x="202"/>
        <item x="203"/>
        <item x="130"/>
        <item x="204"/>
        <item x="44"/>
        <item x="13"/>
        <item x="200"/>
        <item x="45"/>
        <item x="283"/>
        <item x="236"/>
        <item x="14"/>
        <item x="238"/>
        <item x="205"/>
        <item x="100"/>
        <item x="46"/>
        <item x="102"/>
        <item x="206"/>
        <item x="47"/>
        <item x="239"/>
        <item x="240"/>
        <item x="318"/>
        <item x="109"/>
        <item x="241"/>
        <item x="285"/>
        <item x="242"/>
        <item x="286"/>
        <item x="319"/>
        <item x="243"/>
        <item x="244"/>
        <item x="48"/>
        <item x="49"/>
        <item x="158"/>
        <item x="208"/>
        <item x="50"/>
        <item x="51"/>
        <item x="287"/>
        <item x="101"/>
        <item x="15"/>
        <item x="207"/>
        <item x="52"/>
        <item x="53"/>
        <item x="159"/>
        <item x="288"/>
        <item x="16"/>
        <item x="54"/>
        <item x="55"/>
        <item x="214"/>
        <item x="103"/>
        <item x="160"/>
        <item x="289"/>
        <item x="290"/>
        <item x="320"/>
        <item x="104"/>
        <item x="17"/>
        <item x="209"/>
        <item x="56"/>
        <item x="291"/>
        <item x="210"/>
        <item x="211"/>
        <item m="1" x="327"/>
        <item x="321"/>
        <item x="212"/>
        <item x="292"/>
        <item x="161"/>
        <item x="322"/>
        <item x="27"/>
        <item x="323"/>
        <item x="106"/>
        <item x="162"/>
        <item x="107"/>
        <item x="213"/>
        <item x="108"/>
        <item x="324"/>
        <item x="57"/>
        <item x="58"/>
        <item x="163"/>
        <item x="325"/>
        <item x="18"/>
        <item x="19"/>
        <item x="215"/>
        <item x="20"/>
        <item x="293"/>
        <item x="131"/>
        <item x="246"/>
        <item x="111"/>
        <item x="247"/>
        <item x="248"/>
        <item x="249"/>
        <item x="250"/>
        <item x="164"/>
        <item x="132"/>
        <item x="326"/>
        <item x="216"/>
        <item x="294"/>
        <item x="251"/>
        <item x="217"/>
      </items>
    </pivotField>
    <pivotField axis="axisRow" compact="0" outline="0" showAll="0" defaultSubtotal="0">
      <items count="355">
        <item x="165"/>
        <item x="166"/>
        <item x="59"/>
        <item m="1" x="333"/>
        <item x="218"/>
        <item x="21"/>
        <item x="295"/>
        <item x="133"/>
        <item x="60"/>
        <item m="1" x="332"/>
        <item x="0"/>
        <item m="1" x="351"/>
        <item x="167"/>
        <item x="134"/>
        <item x="112"/>
        <item x="168"/>
        <item x="61"/>
        <item x="219"/>
        <item x="253"/>
        <item x="169"/>
        <item m="1" x="339"/>
        <item x="170"/>
        <item m="1" x="342"/>
        <item x="171"/>
        <item x="62"/>
        <item x="254"/>
        <item x="135"/>
        <item x="113"/>
        <item x="63"/>
        <item x="114"/>
        <item x="136"/>
        <item x="115"/>
        <item x="172"/>
        <item x="173"/>
        <item x="220"/>
        <item x="255"/>
        <item x="64"/>
        <item x="296"/>
        <item x="65"/>
        <item m="1" x="344"/>
        <item x="256"/>
        <item x="117"/>
        <item x="297"/>
        <item x="174"/>
        <item x="175"/>
        <item x="66"/>
        <item x="137"/>
        <item x="138"/>
        <item x="298"/>
        <item x="139"/>
        <item x="1"/>
        <item x="118"/>
        <item x="257"/>
        <item x="299"/>
        <item x="221"/>
        <item x="67"/>
        <item x="300"/>
        <item x="68"/>
        <item x="222"/>
        <item x="223"/>
        <item x="258"/>
        <item m="1" x="327"/>
        <item x="259"/>
        <item x="69"/>
        <item x="25"/>
        <item x="2"/>
        <item m="1" x="340"/>
        <item x="70"/>
        <item x="119"/>
        <item x="176"/>
        <item m="1" x="329"/>
        <item x="177"/>
        <item x="178"/>
        <item x="120"/>
        <item x="179"/>
        <item x="260"/>
        <item x="261"/>
        <item m="1" x="352"/>
        <item x="180"/>
        <item x="301"/>
        <item x="121"/>
        <item x="302"/>
        <item x="3"/>
        <item x="122"/>
        <item x="224"/>
        <item x="71"/>
        <item x="181"/>
        <item x="263"/>
        <item x="72"/>
        <item x="4"/>
        <item x="73"/>
        <item x="123"/>
        <item x="26"/>
        <item x="182"/>
        <item x="74"/>
        <item x="75"/>
        <item m="1" x="341"/>
        <item x="27"/>
        <item x="265"/>
        <item x="5"/>
        <item x="124"/>
        <item m="1" x="350"/>
        <item x="6"/>
        <item x="76"/>
        <item x="28"/>
        <item m="1" x="345"/>
        <item x="266"/>
        <item m="1" x="346"/>
        <item x="183"/>
        <item x="304"/>
        <item m="1" x="328"/>
        <item x="30"/>
        <item x="305"/>
        <item x="267"/>
        <item x="225"/>
        <item m="1" x="338"/>
        <item x="226"/>
        <item x="184"/>
        <item x="31"/>
        <item x="80"/>
        <item x="268"/>
        <item x="185"/>
        <item x="78"/>
        <item x="32"/>
        <item m="1" x="335"/>
        <item x="81"/>
        <item x="269"/>
        <item x="82"/>
        <item x="186"/>
        <item x="270"/>
        <item x="83"/>
        <item x="271"/>
        <item m="1" x="349"/>
        <item x="34"/>
        <item x="227"/>
        <item x="144"/>
        <item x="228"/>
        <item x="143"/>
        <item x="7"/>
        <item x="84"/>
        <item x="85"/>
        <item x="35"/>
        <item x="272"/>
        <item x="86"/>
        <item x="187"/>
        <item x="188"/>
        <item x="145"/>
        <item x="87"/>
        <item x="146"/>
        <item x="88"/>
        <item x="89"/>
        <item x="189"/>
        <item x="306"/>
        <item x="307"/>
        <item x="229"/>
        <item x="190"/>
        <item x="90"/>
        <item x="273"/>
        <item x="36"/>
        <item x="230"/>
        <item x="231"/>
        <item x="274"/>
        <item x="275"/>
        <item x="147"/>
        <item x="148"/>
        <item x="276"/>
        <item x="149"/>
        <item x="125"/>
        <item x="37"/>
        <item x="191"/>
        <item x="192"/>
        <item x="38"/>
        <item m="1" x="334"/>
        <item x="126"/>
        <item x="9"/>
        <item x="233"/>
        <item x="150"/>
        <item x="91"/>
        <item x="193"/>
        <item x="92"/>
        <item x="308"/>
        <item x="194"/>
        <item x="8"/>
        <item x="152"/>
        <item x="151"/>
        <item x="277"/>
        <item x="234"/>
        <item x="93"/>
        <item x="153"/>
        <item x="309"/>
        <item x="278"/>
        <item x="310"/>
        <item x="311"/>
        <item x="279"/>
        <item x="312"/>
        <item x="154"/>
        <item x="280"/>
        <item x="127"/>
        <item x="94"/>
        <item x="195"/>
        <item x="10"/>
        <item x="313"/>
        <item x="39"/>
        <item x="196"/>
        <item m="1" x="331"/>
        <item m="1" x="330"/>
        <item x="155"/>
        <item m="1" x="347"/>
        <item x="96"/>
        <item x="40"/>
        <item x="156"/>
        <item x="314"/>
        <item x="197"/>
        <item x="128"/>
        <item x="97"/>
        <item m="1" x="336"/>
        <item m="1" x="353"/>
        <item x="129"/>
        <item m="1" x="348"/>
        <item x="98"/>
        <item x="198"/>
        <item m="1" x="337"/>
        <item x="12"/>
        <item x="199"/>
        <item x="42"/>
        <item x="157"/>
        <item x="282"/>
        <item x="99"/>
        <item x="315"/>
        <item x="316"/>
        <item x="201"/>
        <item x="43"/>
        <item x="200"/>
        <item x="317"/>
        <item x="202"/>
        <item x="203"/>
        <item x="130"/>
        <item x="204"/>
        <item x="44"/>
        <item x="13"/>
        <item x="45"/>
        <item x="283"/>
        <item x="236"/>
        <item x="14"/>
        <item x="237"/>
        <item x="284"/>
        <item x="238"/>
        <item x="205"/>
        <item x="100"/>
        <item x="46"/>
        <item x="206"/>
        <item x="47"/>
        <item x="239"/>
        <item x="240"/>
        <item x="318"/>
        <item x="241"/>
        <item x="285"/>
        <item x="242"/>
        <item x="286"/>
        <item x="319"/>
        <item x="243"/>
        <item x="48"/>
        <item x="244"/>
        <item x="158"/>
        <item x="49"/>
        <item x="50"/>
        <item x="245"/>
        <item x="287"/>
        <item x="101"/>
        <item x="15"/>
        <item x="207"/>
        <item x="208"/>
        <item x="51"/>
        <item x="52"/>
        <item x="53"/>
        <item x="159"/>
        <item x="102"/>
        <item x="288"/>
        <item x="16"/>
        <item x="54"/>
        <item x="55"/>
        <item x="103"/>
        <item x="160"/>
        <item x="289"/>
        <item x="290"/>
        <item x="320"/>
        <item x="104"/>
        <item x="17"/>
        <item x="209"/>
        <item x="56"/>
        <item x="291"/>
        <item x="105"/>
        <item x="210"/>
        <item x="211"/>
        <item m="1" x="354"/>
        <item m="1" x="343"/>
        <item x="212"/>
        <item x="292"/>
        <item x="161"/>
        <item x="322"/>
        <item x="323"/>
        <item x="106"/>
        <item x="162"/>
        <item x="107"/>
        <item x="213"/>
        <item x="108"/>
        <item x="324"/>
        <item x="57"/>
        <item x="58"/>
        <item x="163"/>
        <item x="325"/>
        <item x="18"/>
        <item x="214"/>
        <item x="19"/>
        <item x="215"/>
        <item x="109"/>
        <item x="110"/>
        <item x="293"/>
        <item x="131"/>
        <item x="246"/>
        <item x="111"/>
        <item x="247"/>
        <item x="248"/>
        <item x="20"/>
        <item x="249"/>
        <item x="250"/>
        <item x="164"/>
        <item x="132"/>
        <item x="326"/>
        <item x="216"/>
        <item x="294"/>
        <item x="251"/>
        <item x="217"/>
        <item x="11"/>
        <item x="22"/>
        <item x="23"/>
        <item x="24"/>
        <item x="29"/>
        <item x="33"/>
        <item x="41"/>
        <item x="77"/>
        <item x="79"/>
        <item x="95"/>
        <item x="116"/>
        <item x="140"/>
        <item x="141"/>
        <item x="142"/>
        <item x="232"/>
        <item x="235"/>
        <item x="252"/>
        <item x="262"/>
        <item x="264"/>
        <item x="281"/>
        <item x="303"/>
        <item x="321"/>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54">
    <i>
      <x/>
      <x v="2"/>
    </i>
    <i>
      <x v="7"/>
      <x v="8"/>
    </i>
    <i>
      <x v="10"/>
      <x v="342"/>
    </i>
    <i>
      <x v="16"/>
      <x v="16"/>
    </i>
    <i>
      <x v="26"/>
      <x v="24"/>
    </i>
    <i>
      <x v="30"/>
      <x v="28"/>
    </i>
    <i>
      <x v="38"/>
      <x v="316"/>
    </i>
    <i>
      <x v="39"/>
      <x v="36"/>
    </i>
    <i>
      <x v="40"/>
      <x v="208"/>
    </i>
    <i>
      <x v="43"/>
      <x v="38"/>
    </i>
    <i>
      <x v="49"/>
      <x v="45"/>
    </i>
    <i>
      <x v="60"/>
      <x v="57"/>
    </i>
    <i>
      <x v="66"/>
      <x v="63"/>
    </i>
    <i>
      <x v="69"/>
      <x v="67"/>
    </i>
    <i>
      <x v="87"/>
      <x v="85"/>
    </i>
    <i>
      <x v="90"/>
      <x v="88"/>
    </i>
    <i>
      <x v="92"/>
      <x v="90"/>
    </i>
    <i>
      <x v="95"/>
      <x v="291"/>
    </i>
    <i>
      <x v="98"/>
      <x v="94"/>
    </i>
    <i>
      <x v="104"/>
      <x v="103"/>
    </i>
    <i>
      <x v="111"/>
      <x v="340"/>
    </i>
    <i>
      <x v="116"/>
      <x v="341"/>
    </i>
    <i>
      <x v="120"/>
      <x v="119"/>
    </i>
    <i>
      <x v="125"/>
      <x v="122"/>
    </i>
    <i>
      <x v="126"/>
      <x v="125"/>
    </i>
    <i>
      <x v="128"/>
      <x v="127"/>
    </i>
    <i>
      <x v="133"/>
      <x v="130"/>
    </i>
    <i>
      <x v="141"/>
      <x v="139"/>
    </i>
    <i>
      <x v="142"/>
      <x v="140"/>
    </i>
    <i>
      <x v="144"/>
      <x v="143"/>
    </i>
    <i>
      <x v="148"/>
      <x v="147"/>
    </i>
    <i>
      <x v="151"/>
      <x v="149"/>
    </i>
    <i>
      <x v="153"/>
      <x v="150"/>
    </i>
    <i>
      <x v="159"/>
      <x v="156"/>
    </i>
    <i>
      <x v="163"/>
      <x v="95"/>
    </i>
    <i>
      <x v="183"/>
      <x v="177"/>
    </i>
    <i>
      <x v="185"/>
      <x v="179"/>
    </i>
    <i>
      <x v="193"/>
      <x v="187"/>
    </i>
    <i>
      <x v="204"/>
      <x v="198"/>
    </i>
    <i>
      <x v="210"/>
      <x v="55"/>
    </i>
    <i>
      <x v="219"/>
      <x v="214"/>
    </i>
    <i>
      <x v="221"/>
      <x v="219"/>
    </i>
    <i>
      <x v="230"/>
      <x v="227"/>
    </i>
    <i>
      <x v="250"/>
      <x v="248"/>
    </i>
    <i>
      <x v="252"/>
      <x v="276"/>
    </i>
    <i>
      <x v="258"/>
      <x v="315"/>
    </i>
    <i>
      <x v="273"/>
      <x v="268"/>
    </i>
    <i>
      <x v="284"/>
      <x v="281"/>
    </i>
    <i>
      <x v="289"/>
      <x v="286"/>
    </i>
    <i>
      <x v="304"/>
      <x v="301"/>
    </i>
    <i>
      <x v="306"/>
      <x v="303"/>
    </i>
    <i>
      <x v="308"/>
      <x v="305"/>
    </i>
    <i>
      <x v="321"/>
      <x v="320"/>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Media Services District Cost " fld="19" baseField="3" baseItem="130" numFmtId="3"/>
    <dataField name="AEA Ed Services District Cost " fld="20"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9">
    <format dxfId="28">
      <pivotArea field="2" type="button" dataOnly="0" labelOnly="1" outline="0" axis="axisRow" fieldPosition="0"/>
    </format>
    <format dxfId="27">
      <pivotArea field="3" type="button" dataOnly="0" labelOnly="1" outline="0" axis="axisRow" fieldPosition="1"/>
    </format>
    <format dxfId="26">
      <pivotArea dataOnly="0" labelOnly="1" outline="0" fieldPosition="0">
        <references count="1">
          <reference field="4294967294" count="20">
            <x v="0"/>
            <x v="1"/>
            <x v="2"/>
            <x v="3"/>
            <x v="4"/>
            <x v="5"/>
            <x v="6"/>
            <x v="7"/>
            <x v="8"/>
            <x v="9"/>
            <x v="10"/>
            <x v="11"/>
            <x v="12"/>
            <x v="13"/>
            <x v="14"/>
            <x v="15"/>
            <x v="16"/>
            <x v="17"/>
            <x v="18"/>
            <x v="19"/>
          </reference>
        </references>
      </pivotArea>
    </format>
    <format dxfId="25">
      <pivotArea type="all" dataOnly="0" outline="0" fieldPosition="0"/>
    </format>
    <format dxfId="24">
      <pivotArea field="2" type="button" dataOnly="0" labelOnly="1" outline="0" axis="axisRow" fieldPosition="0"/>
    </format>
    <format dxfId="23">
      <pivotArea field="3" type="button" dataOnly="0" labelOnly="1" outline="0" axis="axisRow" fieldPosition="1"/>
    </format>
    <format dxfId="22">
      <pivotArea dataOnly="0" labelOnly="1" outline="0" fieldPosition="0">
        <references count="1">
          <reference field="4294967294" count="20">
            <x v="0"/>
            <x v="1"/>
            <x v="2"/>
            <x v="3"/>
            <x v="4"/>
            <x v="5"/>
            <x v="6"/>
            <x v="7"/>
            <x v="8"/>
            <x v="9"/>
            <x v="10"/>
            <x v="11"/>
            <x v="12"/>
            <x v="13"/>
            <x v="14"/>
            <x v="15"/>
            <x v="16"/>
            <x v="17"/>
            <x v="18"/>
            <x v="19"/>
          </reference>
        </references>
      </pivotArea>
    </format>
    <format dxfId="21">
      <pivotArea grandRow="1" outline="0" collapsedLevelsAreSubtotals="1" fieldPosition="0"/>
    </format>
    <format dxfId="20">
      <pivotArea dataOnly="0" labelOnly="1" grandRow="1" outline="0" fieldPosition="0"/>
    </format>
    <format dxfId="19">
      <pivotArea outline="0" fieldPosition="0">
        <references count="1">
          <reference field="4294967294" count="1">
            <x v="0"/>
          </reference>
        </references>
      </pivotArea>
    </format>
    <format dxfId="18">
      <pivotArea outline="0" fieldPosition="0">
        <references count="1">
          <reference field="4294967294" count="1">
            <x v="1"/>
          </reference>
        </references>
      </pivotArea>
    </format>
    <format dxfId="17">
      <pivotArea outline="0" fieldPosition="0">
        <references count="1">
          <reference field="4294967294" count="1">
            <x v="2"/>
          </reference>
        </references>
      </pivotArea>
    </format>
    <format dxfId="16">
      <pivotArea outline="0" fieldPosition="0">
        <references count="1">
          <reference field="4294967294" count="1">
            <x v="3"/>
          </reference>
        </references>
      </pivotArea>
    </format>
    <format dxfId="15">
      <pivotArea outline="0" fieldPosition="0">
        <references count="1">
          <reference field="4294967294" count="1">
            <x v="4"/>
          </reference>
        </references>
      </pivotArea>
    </format>
    <format dxfId="14">
      <pivotArea outline="0" fieldPosition="0">
        <references count="1">
          <reference field="4294967294" count="1">
            <x v="5"/>
          </reference>
        </references>
      </pivotArea>
    </format>
    <format dxfId="13">
      <pivotArea outline="0" fieldPosition="0">
        <references count="1">
          <reference field="4294967294" count="1">
            <x v="6"/>
          </reference>
        </references>
      </pivotArea>
    </format>
    <format dxfId="12">
      <pivotArea outline="0" fieldPosition="0">
        <references count="1">
          <reference field="4294967294" count="1">
            <x v="7"/>
          </reference>
        </references>
      </pivotArea>
    </format>
    <format dxfId="11">
      <pivotArea outline="0" fieldPosition="0">
        <references count="1">
          <reference field="4294967294" count="1">
            <x v="8"/>
          </reference>
        </references>
      </pivotArea>
    </format>
    <format dxfId="10">
      <pivotArea outline="0" fieldPosition="0">
        <references count="1">
          <reference field="4294967294" count="1">
            <x v="9"/>
          </reference>
        </references>
      </pivotArea>
    </format>
    <format dxfId="9">
      <pivotArea outline="0" fieldPosition="0">
        <references count="1">
          <reference field="4294967294" count="1">
            <x v="10"/>
          </reference>
        </references>
      </pivotArea>
    </format>
    <format dxfId="8">
      <pivotArea outline="0" fieldPosition="0">
        <references count="1">
          <reference field="4294967294" count="1">
            <x v="11"/>
          </reference>
        </references>
      </pivotArea>
    </format>
    <format dxfId="7">
      <pivotArea outline="0" fieldPosition="0">
        <references count="1">
          <reference field="4294967294" count="1">
            <x v="12"/>
          </reference>
        </references>
      </pivotArea>
    </format>
    <format dxfId="6">
      <pivotArea outline="0" fieldPosition="0">
        <references count="1">
          <reference field="4294967294" count="1">
            <x v="13"/>
          </reference>
        </references>
      </pivotArea>
    </format>
    <format dxfId="5">
      <pivotArea outline="0" fieldPosition="0">
        <references count="1">
          <reference field="4294967294" count="1">
            <x v="14"/>
          </reference>
        </references>
      </pivotArea>
    </format>
    <format dxfId="4">
      <pivotArea outline="0" fieldPosition="0">
        <references count="1">
          <reference field="4294967294" count="1">
            <x v="15"/>
          </reference>
        </references>
      </pivotArea>
    </format>
    <format dxfId="3">
      <pivotArea outline="0" fieldPosition="0">
        <references count="1">
          <reference field="4294967294" count="1">
            <x v="16"/>
          </reference>
        </references>
      </pivotArea>
    </format>
    <format dxfId="2">
      <pivotArea outline="0" fieldPosition="0">
        <references count="1">
          <reference field="4294967294" count="1">
            <x v="17"/>
          </reference>
        </references>
      </pivotArea>
    </format>
    <format dxfId="1">
      <pivotArea outline="0" fieldPosition="0">
        <references count="1">
          <reference field="4294967294" count="1">
            <x v="18"/>
          </reference>
        </references>
      </pivotArea>
    </format>
    <format dxfId="0">
      <pivotArea outline="0" fieldPosition="0">
        <references count="1">
          <reference field="4294967294" count="1">
            <x v="19"/>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EA_Name" sourceName="AEA Name">
  <pivotTables>
    <pivotTable tabId="4" name="PivotTable1"/>
  </pivotTables>
  <data>
    <tabular pivotCacheId="1">
      <items count="9">
        <i x="2" s="1"/>
        <i x="4"/>
        <i x="8"/>
        <i x="7"/>
        <i x="5"/>
        <i x="0"/>
        <i x="3"/>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EA Name" cache="Slicer_AEA_Name" caption="AEA Name" rowHeight="241300"/>
</slicers>
</file>

<file path=xl/tables/table1.xml><?xml version="1.0" encoding="utf-8"?>
<table xmlns="http://schemas.openxmlformats.org/spreadsheetml/2006/main" id="1" name="Detail" displayName="Detail" ref="A2:AC329" totalsRowShown="0" headerRowDxfId="59" headerRowBorderDxfId="58">
  <tableColumns count="29">
    <tableColumn id="1" name="AEA" dataDxfId="57"/>
    <tableColumn id="2" name="AEA Name" dataDxfId="56"/>
    <tableColumn id="3" name="Dist" dataDxfId="55"/>
    <tableColumn id="4" name="District" dataDxfId="54"/>
    <tableColumn id="5" name="Total Special Ed Weighting in Addition to 1.0" dataDxfId="53"/>
    <tableColumn id="6" name="Budget Enrollment" dataDxfId="52"/>
    <tableColumn id="7" name="AEA Weighted Enrollment" dataDxfId="51"/>
    <tableColumn id="8" name="AEA Supplementary Weight for Sharing" dataDxfId="50"/>
    <tableColumn id="9" name="Resident Accredited Nonpublic Students" dataDxfId="49"/>
    <tableColumn id="10" name="Shared-Time Nonpublic Pupils Counted in Line 1.1" dataDxfId="48"/>
    <tableColumn id="11" name="Total Enrollment Served - AEA Media and Ed Services" dataDxfId="47"/>
    <tableColumn id="12" name="AEA Special Ed Support Cost Per Pupil" dataDxfId="46"/>
    <tableColumn id="13" name="AEA Media Cost Per Pupil" dataDxfId="45"/>
    <tableColumn id="14" name="AEA Ed Services Cost Per Pupil" dataDxfId="44"/>
    <tableColumn id="15" name="AEA Teacher Salary Supplement District Cost Per Pupil" dataDxfId="43"/>
    <tableColumn id="16" name="Professional Development Supplement District Cost Per Pupil" dataDxfId="42"/>
    <tableColumn id="17" name="AEA Special Ed Support District Cost without Adjustment" dataDxfId="41"/>
    <tableColumn id="18" name="AEA Special Ed Support Adjustment" dataDxfId="40"/>
    <tableColumn id="19" name="Special Education Total Cost" dataDxfId="39"/>
    <tableColumn id="20" name="AEA Media Services District Cost" dataDxfId="38"/>
    <tableColumn id="21" name="AEA Ed Services District Cost" dataDxfId="37"/>
    <tableColumn id="22" name="AEA Sharing District Cost" dataDxfId="36"/>
    <tableColumn id="23" name="AEA Teacher Salary Supplement District Cost" dataDxfId="35"/>
    <tableColumn id="24" name="AEA Professional Development Supplement District Cost" dataDxfId="34"/>
    <tableColumn id="25" name="Subtotal Budget" dataDxfId="33"/>
    <tableColumn id="26" name="AEA Statewide State Aid Reduction" dataDxfId="32"/>
    <tableColumn id="27" name="Total Budget" dataDxfId="31"/>
    <tableColumn id="28" name="State Aid Portion" dataDxfId="30"/>
    <tableColumn id="29" name="Property Tax Portion" dataDxfId="29"/>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1"/>
  <sheetViews>
    <sheetView tabSelected="1" topLeftCell="A2" zoomScaleNormal="100" workbookViewId="0">
      <selection activeCell="A2" sqref="A2"/>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s>
  <sheetData>
    <row r="1" spans="1:11"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1" s="10" customFormat="1" ht="31.5" customHeight="1" x14ac:dyDescent="0.25">
      <c r="A2" s="7" t="s">
        <v>365</v>
      </c>
      <c r="B2" s="7" t="s">
        <v>366</v>
      </c>
      <c r="C2" s="8" t="s">
        <v>370</v>
      </c>
      <c r="D2" s="8" t="s">
        <v>344</v>
      </c>
      <c r="E2" s="8" t="s">
        <v>371</v>
      </c>
      <c r="F2" s="8" t="s">
        <v>372</v>
      </c>
      <c r="G2" s="8" t="s">
        <v>373</v>
      </c>
      <c r="H2" s="8" t="s">
        <v>374</v>
      </c>
      <c r="I2" s="8" t="s">
        <v>375</v>
      </c>
      <c r="J2" s="8" t="s">
        <v>376</v>
      </c>
      <c r="K2" s="8" t="s">
        <v>377</v>
      </c>
    </row>
    <row r="3" spans="1:11" x14ac:dyDescent="0.25">
      <c r="A3" s="1" t="str">
        <f t="array" ref="A3">IFERROR(INDEX(Detail[AEA], MATCH(0,COUNTIF(Summary!$A$2:'Summary'!A2, Detail[AEA]), 0)),"")</f>
        <v>01</v>
      </c>
      <c r="B3" t="str">
        <f>INDEX(Detail[],MATCH(Summary!$A3,Detail[AEA],0),2)</f>
        <v>Keystone AEA 1</v>
      </c>
      <c r="C3" s="2">
        <f>SUMIFS(INDEX(Detail[],0,MATCH(C$1,Detail[#Headers],0)),Detail[AEA],$A3)</f>
        <v>4267.9699999999993</v>
      </c>
      <c r="D3" s="3">
        <f>SUMIFS(INDEX(Detail[],0,MATCH(D$1,Detail[#Headers],0)),Detail[AEA],$A3)</f>
        <v>28210.9</v>
      </c>
      <c r="E3" s="2">
        <f>SUMIFS(INDEX(Detail[],0,MATCH(E$1,Detail[#Headers],0)),Detail[AEA],$A3)</f>
        <v>32478.87</v>
      </c>
      <c r="F3" s="4">
        <f>SUMIFS(INDEX(Detail[],0,MATCH(F$1,Detail[#Headers],0)),Detail[AEA],$A3)</f>
        <v>3993</v>
      </c>
      <c r="G3" s="3">
        <f>SUMIFS(INDEX(Detail[],0,MATCH(G$1,Detail[#Headers],0)),Detail[AEA],$A3)</f>
        <v>24.1</v>
      </c>
      <c r="H3" s="4">
        <f>SUMIFS(INDEX(Detail[],0,MATCH(H$1,Detail[#Headers],0)),Detail[AEA],$A3)</f>
        <v>32179</v>
      </c>
      <c r="I3" s="2">
        <f>INDEX(Detail[],MATCH($A3,Detail[AEA],0),MATCH(I$1,Detail[#Headers],0))</f>
        <v>316.17</v>
      </c>
      <c r="J3" s="2">
        <f>INDEX(Detail[],MATCH($A3,Detail[AEA],0),MATCH(J$1,Detail[#Headers],0))</f>
        <v>56.49</v>
      </c>
      <c r="K3" s="2">
        <f>INDEX(Detail[],MATCH($A3,Detail[AEA],0),MATCH(K$1,Detail[#Headers],0))</f>
        <v>62.98</v>
      </c>
    </row>
    <row r="4" spans="1:11" x14ac:dyDescent="0.25">
      <c r="A4" s="1" t="str">
        <f t="array" ref="A4">IFERROR(INDEX(Detail[AEA], MATCH(0,COUNTIF(Summary!$A$2:'Summary'!A3, Detail[AEA]), 0)),"")</f>
        <v>05</v>
      </c>
      <c r="B4" t="str">
        <f>INDEX(Detail[],MATCH(Summary!$A4,Detail[AEA],0),2)</f>
        <v>Prairie Lakes AEA 8</v>
      </c>
      <c r="C4" s="2">
        <f>SUMIFS(INDEX(Detail[],0,MATCH(C$1,Detail[#Headers],0)),Detail[AEA],$A4)</f>
        <v>4151.68</v>
      </c>
      <c r="D4" s="3">
        <f>SUMIFS(INDEX(Detail[],0,MATCH(D$1,Detail[#Headers],0)),Detail[AEA],$A4)</f>
        <v>29830.200000000004</v>
      </c>
      <c r="E4" s="2">
        <f>SUMIFS(INDEX(Detail[],0,MATCH(E$1,Detail[#Headers],0)),Detail[AEA],$A4)</f>
        <v>33981.879999999997</v>
      </c>
      <c r="F4" s="4">
        <f>SUMIFS(INDEX(Detail[],0,MATCH(F$1,Detail[#Headers],0)),Detail[AEA],$A4)</f>
        <v>2129</v>
      </c>
      <c r="G4" s="3">
        <f>SUMIFS(INDEX(Detail[],0,MATCH(G$1,Detail[#Headers],0)),Detail[AEA],$A4)</f>
        <v>31.2</v>
      </c>
      <c r="H4" s="4">
        <f>SUMIFS(INDEX(Detail[],0,MATCH(H$1,Detail[#Headers],0)),Detail[AEA],$A4)</f>
        <v>31929</v>
      </c>
      <c r="I4" s="2">
        <f>INDEX(Detail[],MATCH($A4,Detail[AEA],0),MATCH(I$1,Detail[#Headers],0))</f>
        <v>311.92</v>
      </c>
      <c r="J4" s="2">
        <f>INDEX(Detail[],MATCH($A4,Detail[AEA],0),MATCH(J$1,Detail[#Headers],0))</f>
        <v>56.57</v>
      </c>
      <c r="K4" s="2">
        <f>INDEX(Detail[],MATCH($A4,Detail[AEA],0),MATCH(K$1,Detail[#Headers],0))</f>
        <v>63.45</v>
      </c>
    </row>
    <row r="5" spans="1:11" x14ac:dyDescent="0.25">
      <c r="A5" s="1" t="str">
        <f t="array" ref="A5">IFERROR(INDEX(Detail[AEA], MATCH(0,COUNTIF(Summary!$A$2:'Summary'!A4, Detail[AEA]), 0)),"")</f>
        <v>07</v>
      </c>
      <c r="B5" t="str">
        <f>INDEX(Detail[],MATCH(Summary!$A5,Detail[AEA],0),2)</f>
        <v>Central Rivers</v>
      </c>
      <c r="C5" s="2">
        <f>SUMIFS(INDEX(Detail[],0,MATCH(C$1,Detail[#Headers],0)),Detail[AEA],$A5)</f>
        <v>9202.0700000000033</v>
      </c>
      <c r="D5" s="3">
        <f>SUMIFS(INDEX(Detail[],0,MATCH(D$1,Detail[#Headers],0)),Detail[AEA],$A5)</f>
        <v>62053.500000000007</v>
      </c>
      <c r="E5" s="2">
        <f>SUMIFS(INDEX(Detail[],0,MATCH(E$1,Detail[#Headers],0)),Detail[AEA],$A5)</f>
        <v>71255.569999999978</v>
      </c>
      <c r="F5" s="4">
        <f>SUMIFS(INDEX(Detail[],0,MATCH(F$1,Detail[#Headers],0)),Detail[AEA],$A5)</f>
        <v>3311</v>
      </c>
      <c r="G5" s="3">
        <f>SUMIFS(INDEX(Detail[],0,MATCH(G$1,Detail[#Headers],0)),Detail[AEA],$A5)</f>
        <v>25.400000000000002</v>
      </c>
      <c r="H5" s="4">
        <f>SUMIFS(INDEX(Detail[],0,MATCH(H$1,Detail[#Headers],0)),Detail[AEA],$A5)</f>
        <v>65343</v>
      </c>
      <c r="I5" s="2">
        <f>INDEX(Detail[],MATCH($A5,Detail[AEA],0),MATCH(I$1,Detail[#Headers],0))</f>
        <v>305.29000000000002</v>
      </c>
      <c r="J5" s="2">
        <f>INDEX(Detail[],MATCH($A5,Detail[AEA],0),MATCH(J$1,Detail[#Headers],0))</f>
        <v>56.52</v>
      </c>
      <c r="K5" s="2">
        <f>INDEX(Detail[],MATCH($A5,Detail[AEA],0),MATCH(K$1,Detail[#Headers],0))</f>
        <v>63.07</v>
      </c>
    </row>
    <row r="6" spans="1:11" x14ac:dyDescent="0.25">
      <c r="A6" s="1" t="str">
        <f t="array" ref="A6">IFERROR(INDEX(Detail[AEA], MATCH(0,COUNTIF(Summary!$A$2:'Summary'!A5, Detail[AEA]), 0)),"")</f>
        <v>09</v>
      </c>
      <c r="B6" t="str">
        <f>INDEX(Detail[],MATCH(Summary!$A6,Detail[AEA],0),2)</f>
        <v>Mississippi Bend AEA 9</v>
      </c>
      <c r="C6" s="2">
        <f>SUMIFS(INDEX(Detail[],0,MATCH(C$1,Detail[#Headers],0)),Detail[AEA],$A6)</f>
        <v>7559.760000000002</v>
      </c>
      <c r="D6" s="3">
        <f>SUMIFS(INDEX(Detail[],0,MATCH(D$1,Detail[#Headers],0)),Detail[AEA],$A6)</f>
        <v>46558.1</v>
      </c>
      <c r="E6" s="2">
        <f>SUMIFS(INDEX(Detail[],0,MATCH(E$1,Detail[#Headers],0)),Detail[AEA],$A6)</f>
        <v>54117.86</v>
      </c>
      <c r="F6" s="4">
        <f>SUMIFS(INDEX(Detail[],0,MATCH(F$1,Detail[#Headers],0)),Detail[AEA],$A6)</f>
        <v>3155</v>
      </c>
      <c r="G6" s="3">
        <f>SUMIFS(INDEX(Detail[],0,MATCH(G$1,Detail[#Headers],0)),Detail[AEA],$A6)</f>
        <v>6.8</v>
      </c>
      <c r="H6" s="4">
        <f>SUMIFS(INDEX(Detail[],0,MATCH(H$1,Detail[#Headers],0)),Detail[AEA],$A6)</f>
        <v>49706</v>
      </c>
      <c r="I6" s="2">
        <f>INDEX(Detail[],MATCH($A6,Detail[AEA],0),MATCH(I$1,Detail[#Headers],0))</f>
        <v>302.93</v>
      </c>
      <c r="J6" s="2">
        <f>INDEX(Detail[],MATCH($A6,Detail[AEA],0),MATCH(J$1,Detail[#Headers],0))</f>
        <v>56.03</v>
      </c>
      <c r="K6" s="2">
        <f>INDEX(Detail[],MATCH($A6,Detail[AEA],0),MATCH(K$1,Detail[#Headers],0))</f>
        <v>61.15</v>
      </c>
    </row>
    <row r="7" spans="1:11" x14ac:dyDescent="0.25">
      <c r="A7" s="1" t="str">
        <f t="array" ref="A7">IFERROR(INDEX(Detail[AEA], MATCH(0,COUNTIF(Summary!$A$2:'Summary'!A6, Detail[AEA]), 0)),"")</f>
        <v>10</v>
      </c>
      <c r="B7" t="str">
        <f>INDEX(Detail[],MATCH(Summary!$A7,Detail[AEA],0),2)</f>
        <v>Grant Wood AEA 10</v>
      </c>
      <c r="C7" s="2">
        <f>SUMIFS(INDEX(Detail[],0,MATCH(C$1,Detail[#Headers],0)),Detail[AEA],$A7)</f>
        <v>8039.2699999999995</v>
      </c>
      <c r="D7" s="3">
        <f>SUMIFS(INDEX(Detail[],0,MATCH(D$1,Detail[#Headers],0)),Detail[AEA],$A7)</f>
        <v>70019.199999999997</v>
      </c>
      <c r="E7" s="2">
        <f>SUMIFS(INDEX(Detail[],0,MATCH(E$1,Detail[#Headers],0)),Detail[AEA],$A7)</f>
        <v>78058.47</v>
      </c>
      <c r="F7" s="4">
        <f>SUMIFS(INDEX(Detail[],0,MATCH(F$1,Detail[#Headers],0)),Detail[AEA],$A7)</f>
        <v>4286</v>
      </c>
      <c r="G7" s="3">
        <f>SUMIFS(INDEX(Detail[],0,MATCH(G$1,Detail[#Headers],0)),Detail[AEA],$A7)</f>
        <v>29.600000000000005</v>
      </c>
      <c r="H7" s="4">
        <f>SUMIFS(INDEX(Detail[],0,MATCH(H$1,Detail[#Headers],0)),Detail[AEA],$A7)</f>
        <v>74277</v>
      </c>
      <c r="I7" s="2">
        <f>INDEX(Detail[],MATCH($A7,Detail[AEA],0),MATCH(I$1,Detail[#Headers],0))</f>
        <v>301.01</v>
      </c>
      <c r="J7" s="2">
        <f>INDEX(Detail[],MATCH($A7,Detail[AEA],0),MATCH(J$1,Detail[#Headers],0))</f>
        <v>56.21</v>
      </c>
      <c r="K7" s="2">
        <f>INDEX(Detail[],MATCH($A7,Detail[AEA],0),MATCH(K$1,Detail[#Headers],0))</f>
        <v>61.75</v>
      </c>
    </row>
    <row r="8" spans="1:11" x14ac:dyDescent="0.25">
      <c r="A8" s="1" t="str">
        <f t="array" ref="A8">IFERROR(INDEX(Detail[AEA], MATCH(0,COUNTIF(Summary!$A$2:'Summary'!A7, Detail[AEA]), 0)),"")</f>
        <v>11</v>
      </c>
      <c r="B8" t="str">
        <f>INDEX(Detail[],MATCH(Summary!$A8,Detail[AEA],0),2)</f>
        <v>Heartland AEA 11</v>
      </c>
      <c r="C8" s="2">
        <f>SUMIFS(INDEX(Detail[],0,MATCH(C$1,Detail[#Headers],0)),Detail[AEA],$A8)</f>
        <v>17312.510000000002</v>
      </c>
      <c r="D8" s="3">
        <f>SUMIFS(INDEX(Detail[],0,MATCH(D$1,Detail[#Headers],0)),Detail[AEA],$A8)</f>
        <v>139504.9</v>
      </c>
      <c r="E8" s="2">
        <f>SUMIFS(INDEX(Detail[],0,MATCH(E$1,Detail[#Headers],0)),Detail[AEA],$A8)</f>
        <v>156817.41000000006</v>
      </c>
      <c r="F8" s="4">
        <f>SUMIFS(INDEX(Detail[],0,MATCH(F$1,Detail[#Headers],0)),Detail[AEA],$A8)</f>
        <v>9024</v>
      </c>
      <c r="G8" s="3">
        <f>SUMIFS(INDEX(Detail[],0,MATCH(G$1,Detail[#Headers],0)),Detail[AEA],$A8)</f>
        <v>49.9</v>
      </c>
      <c r="H8" s="4">
        <f>SUMIFS(INDEX(Detail[],0,MATCH(H$1,Detail[#Headers],0)),Detail[AEA],$A8)</f>
        <v>148480</v>
      </c>
      <c r="I8" s="2">
        <f>INDEX(Detail[],MATCH($A8,Detail[AEA],0),MATCH(I$1,Detail[#Headers],0))</f>
        <v>293.91000000000003</v>
      </c>
      <c r="J8" s="2">
        <f>INDEX(Detail[],MATCH($A8,Detail[AEA],0),MATCH(J$1,Detail[#Headers],0))</f>
        <v>56.09</v>
      </c>
      <c r="K8" s="2">
        <f>INDEX(Detail[],MATCH($A8,Detail[AEA],0),MATCH(K$1,Detail[#Headers],0))</f>
        <v>61.57</v>
      </c>
    </row>
    <row r="9" spans="1:11" x14ac:dyDescent="0.25">
      <c r="A9" s="1" t="str">
        <f t="array" ref="A9">IFERROR(INDEX(Detail[AEA], MATCH(0,COUNTIF(Summary!$A$2:'Summary'!A8, Detail[AEA]), 0)),"")</f>
        <v>12</v>
      </c>
      <c r="B9" t="str">
        <f>INDEX(Detail[],MATCH(Summary!$A9,Detail[AEA],0),2)</f>
        <v>Northwest AEA</v>
      </c>
      <c r="C9" s="2">
        <f>SUMIFS(INDEX(Detail[],0,MATCH(C$1,Detail[#Headers],0)),Detail[AEA],$A9)</f>
        <v>5613.4799999999987</v>
      </c>
      <c r="D9" s="3">
        <f>SUMIFS(INDEX(Detail[],0,MATCH(D$1,Detail[#Headers],0)),Detail[AEA],$A9)</f>
        <v>39784.5</v>
      </c>
      <c r="E9" s="2">
        <f>SUMIFS(INDEX(Detail[],0,MATCH(E$1,Detail[#Headers],0)),Detail[AEA],$A9)</f>
        <v>45397.979999999996</v>
      </c>
      <c r="F9" s="4">
        <f>SUMIFS(INDEX(Detail[],0,MATCH(F$1,Detail[#Headers],0)),Detail[AEA],$A9)</f>
        <v>5203</v>
      </c>
      <c r="G9" s="3">
        <f>SUMIFS(INDEX(Detail[],0,MATCH(G$1,Detail[#Headers],0)),Detail[AEA],$A9)</f>
        <v>41</v>
      </c>
      <c r="H9" s="4">
        <f>SUMIFS(INDEX(Detail[],0,MATCH(H$1,Detail[#Headers],0)),Detail[AEA],$A9)</f>
        <v>44945</v>
      </c>
      <c r="I9" s="2">
        <f>INDEX(Detail[],MATCH($A9,Detail[AEA],0),MATCH(I$1,Detail[#Headers],0))</f>
        <v>308.55</v>
      </c>
      <c r="J9" s="2">
        <f>INDEX(Detail[],MATCH($A9,Detail[AEA],0),MATCH(J$1,Detail[#Headers],0))</f>
        <v>56.5</v>
      </c>
      <c r="K9" s="2">
        <f>INDEX(Detail[],MATCH($A9,Detail[AEA],0),MATCH(K$1,Detail[#Headers],0))</f>
        <v>63.35</v>
      </c>
    </row>
    <row r="10" spans="1:11" x14ac:dyDescent="0.25">
      <c r="A10" s="1" t="str">
        <f t="array" ref="A10">IFERROR(INDEX(Detail[AEA], MATCH(0,COUNTIF(Summary!$A$2:'Summary'!A9, Detail[AEA]), 0)),"")</f>
        <v>13</v>
      </c>
      <c r="B10" t="str">
        <f>INDEX(Detail[],MATCH(Summary!$A10,Detail[AEA],0),2)</f>
        <v>Green Hills AEA 13</v>
      </c>
      <c r="C10" s="2">
        <f>SUMIFS(INDEX(Detail[],0,MATCH(C$1,Detail[#Headers],0)),Detail[AEA],$A10)</f>
        <v>5809.9400000000023</v>
      </c>
      <c r="D10" s="3">
        <f>SUMIFS(INDEX(Detail[],0,MATCH(D$1,Detail[#Headers],0)),Detail[AEA],$A10)</f>
        <v>37297.599999999991</v>
      </c>
      <c r="E10" s="2">
        <f>SUMIFS(INDEX(Detail[],0,MATCH(E$1,Detail[#Headers],0)),Detail[AEA],$A10)</f>
        <v>43107.540000000008</v>
      </c>
      <c r="F10" s="4">
        <f>SUMIFS(INDEX(Detail[],0,MATCH(F$1,Detail[#Headers],0)),Detail[AEA],$A10)</f>
        <v>1029</v>
      </c>
      <c r="G10" s="3">
        <f>SUMIFS(INDEX(Detail[],0,MATCH(G$1,Detail[#Headers],0)),Detail[AEA],$A10)</f>
        <v>4.3</v>
      </c>
      <c r="H10" s="4">
        <f>SUMIFS(INDEX(Detail[],0,MATCH(H$1,Detail[#Headers],0)),Detail[AEA],$A10)</f>
        <v>38325</v>
      </c>
      <c r="I10" s="2">
        <f>INDEX(Detail[],MATCH($A10,Detail[AEA],0),MATCH(I$1,Detail[#Headers],0))</f>
        <v>301.97000000000003</v>
      </c>
      <c r="J10" s="2">
        <f>INDEX(Detail[],MATCH($A10,Detail[AEA],0),MATCH(J$1,Detail[#Headers],0))</f>
        <v>56.22</v>
      </c>
      <c r="K10" s="2">
        <f>INDEX(Detail[],MATCH($A10,Detail[AEA],0),MATCH(K$1,Detail[#Headers],0))</f>
        <v>62.15</v>
      </c>
    </row>
    <row r="11" spans="1:11" x14ac:dyDescent="0.25">
      <c r="A11" s="1" t="str">
        <f t="array" ref="A11">IFERROR(INDEX(Detail[AEA], MATCH(0,COUNTIF(Summary!$A$2:'Summary'!A10, Detail[AEA]), 0)),"")</f>
        <v>15</v>
      </c>
      <c r="B11" t="str">
        <f>INDEX(Detail[],MATCH(Summary!$A11,Detail[AEA],0),2)</f>
        <v>Great Prairie AEA 15</v>
      </c>
      <c r="C11" s="2">
        <f>SUMIFS(INDEX(Detail[],0,MATCH(C$1,Detail[#Headers],0)),Detail[AEA],$A11)</f>
        <v>4748.8899999999985</v>
      </c>
      <c r="D11" s="3">
        <f>SUMIFS(INDEX(Detail[],0,MATCH(D$1,Detail[#Headers],0)),Detail[AEA],$A11)</f>
        <v>34392.600000000006</v>
      </c>
      <c r="E11" s="2">
        <f>SUMIFS(INDEX(Detail[],0,MATCH(E$1,Detail[#Headers],0)),Detail[AEA],$A11)</f>
        <v>39141.490000000005</v>
      </c>
      <c r="F11" s="4">
        <f>SUMIFS(INDEX(Detail[],0,MATCH(F$1,Detail[#Headers],0)),Detail[AEA],$A11)</f>
        <v>1235</v>
      </c>
      <c r="G11" s="3">
        <f>SUMIFS(INDEX(Detail[],0,MATCH(G$1,Detail[#Headers],0)),Detail[AEA],$A11)</f>
        <v>9.1999999999999993</v>
      </c>
      <c r="H11" s="4">
        <f>SUMIFS(INDEX(Detail[],0,MATCH(H$1,Detail[#Headers],0)),Detail[AEA],$A11)</f>
        <v>35619</v>
      </c>
      <c r="I11" s="2">
        <f>INDEX(Detail[],MATCH($A11,Detail[AEA],0),MATCH(I$1,Detail[#Headers],0))</f>
        <v>299.33</v>
      </c>
      <c r="J11" s="2">
        <f>INDEX(Detail[],MATCH($A11,Detail[AEA],0),MATCH(J$1,Detail[#Headers],0))</f>
        <v>56.19</v>
      </c>
      <c r="K11" s="2">
        <f>INDEX(Detail[],MATCH($A11,Detail[AEA],0),MATCH(K$1,Detail[#Headers],0))</f>
        <v>61.72</v>
      </c>
    </row>
    <row r="12" spans="1:11" ht="15.75" thickBot="1" x14ac:dyDescent="0.3">
      <c r="C12" s="9">
        <f t="shared" ref="C12:H12" si="0">SUM(C3:C11)</f>
        <v>66705.569999999992</v>
      </c>
      <c r="D12" s="19">
        <f t="shared" si="0"/>
        <v>487651.5</v>
      </c>
      <c r="E12" s="9">
        <f t="shared" si="0"/>
        <v>554357.07000000007</v>
      </c>
      <c r="F12" s="12">
        <f t="shared" si="0"/>
        <v>33365</v>
      </c>
      <c r="G12" s="19">
        <f t="shared" si="0"/>
        <v>221.5</v>
      </c>
      <c r="H12" s="12">
        <f t="shared" si="0"/>
        <v>520803</v>
      </c>
    </row>
    <row r="13" spans="1:11" ht="7.5" customHeight="1" thickTop="1" x14ac:dyDescent="0.25"/>
    <row r="14" spans="1:11"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Detail[[#Headers],[AEA Media Services District Cost]]</f>
        <v>AEA Media Services District Cost</v>
      </c>
      <c r="I14" s="13" t="str">
        <f>Detail[[#Headers],[AEA Ed Services District Cost]]</f>
        <v>AEA Ed Services District Cost</v>
      </c>
      <c r="J14" s="13" t="str">
        <f>Detail[[#Headers],[AEA Sharing District Cost]]</f>
        <v>AEA Sharing District Cost</v>
      </c>
      <c r="K14" s="14"/>
    </row>
    <row r="15" spans="1:11" ht="31.5" customHeight="1" x14ac:dyDescent="0.25">
      <c r="A15" s="6" t="str">
        <f>A2</f>
        <v>AEA</v>
      </c>
      <c r="B15" s="6" t="str">
        <f>B2</f>
        <v>AEA Name</v>
      </c>
      <c r="C15" s="8" t="s">
        <v>378</v>
      </c>
      <c r="D15" s="8" t="s">
        <v>379</v>
      </c>
      <c r="E15" s="8" t="s">
        <v>380</v>
      </c>
      <c r="F15" s="8" t="s">
        <v>381</v>
      </c>
      <c r="G15" s="8" t="s">
        <v>382</v>
      </c>
      <c r="H15" s="8" t="s">
        <v>383</v>
      </c>
      <c r="I15" s="8" t="s">
        <v>384</v>
      </c>
      <c r="J15" s="8" t="s">
        <v>385</v>
      </c>
      <c r="K15" s="11"/>
    </row>
    <row r="16" spans="1:11" x14ac:dyDescent="0.25">
      <c r="A16" t="str">
        <f t="shared" ref="A16:B16" si="1">A3</f>
        <v>01</v>
      </c>
      <c r="B16" t="str">
        <f t="shared" si="1"/>
        <v>Keystone AEA 1</v>
      </c>
      <c r="C16" s="2">
        <f>INDEX(Detail[],MATCH($A16,Detail[AEA],0),MATCH(C$14,Detail[#Headers],0))</f>
        <v>31.19</v>
      </c>
      <c r="D16" s="2">
        <f>INDEX(Detail[],MATCH($A16,Detail[AEA],0),MATCH(D$14,Detail[#Headers],0))</f>
        <v>3.36</v>
      </c>
      <c r="E16" s="4">
        <f>SUMIFS(INDEX(Detail[],0,MATCH(E$14,Detail[#Headers],0)),Detail[AEA],$A16)</f>
        <v>10268847</v>
      </c>
      <c r="F16" s="4">
        <f>SUMIFS(INDEX(Detail[],0,MATCH(F$14,Detail[#Headers],0)),Detail[AEA],$A16)</f>
        <v>102385</v>
      </c>
      <c r="G16" s="4">
        <f>SUMIFS(INDEX(Detail[],0,MATCH(G$14,Detail[#Headers],0)),Detail[AEA],$A16)</f>
        <v>10371232</v>
      </c>
      <c r="H16" s="4">
        <f>SUMIFS(INDEX(Detail[],0,MATCH(H$14,Detail[#Headers],0)),Detail[AEA],$A16)</f>
        <v>1817792</v>
      </c>
      <c r="I16" s="4">
        <f>SUMIFS(INDEX(Detail[],0,MATCH(I$14,Detail[#Headers],0)),Detail[AEA],$A16)</f>
        <v>2026631</v>
      </c>
      <c r="J16" s="4">
        <f>SUMIFS(INDEX(Detail[],0,MATCH(J$14,Detail[#Headers],0)),Detail[AEA],$A16)</f>
        <v>0</v>
      </c>
    </row>
    <row r="17" spans="1:16" x14ac:dyDescent="0.25">
      <c r="A17" t="str">
        <f t="shared" ref="A17:B17" si="2">A4</f>
        <v>05</v>
      </c>
      <c r="B17" t="str">
        <f t="shared" si="2"/>
        <v>Prairie Lakes AEA 8</v>
      </c>
      <c r="C17" s="2">
        <f>INDEX(Detail[],MATCH($A17,Detail[AEA],0),MATCH(C$14,Detail[#Headers],0))</f>
        <v>33.15</v>
      </c>
      <c r="D17" s="2">
        <f>INDEX(Detail[],MATCH($A17,Detail[AEA],0),MATCH(D$14,Detail[#Headers],0))</f>
        <v>3.95</v>
      </c>
      <c r="E17" s="4">
        <f>SUMIFS(INDEX(Detail[],0,MATCH(E$14,Detail[#Headers],0)),Detail[AEA],$A17)</f>
        <v>10599625</v>
      </c>
      <c r="F17" s="4">
        <f>SUMIFS(INDEX(Detail[],0,MATCH(F$14,Detail[#Headers],0)),Detail[AEA],$A17)</f>
        <v>215363</v>
      </c>
      <c r="G17" s="4">
        <f>SUMIFS(INDEX(Detail[],0,MATCH(G$14,Detail[#Headers],0)),Detail[AEA],$A17)</f>
        <v>10814988</v>
      </c>
      <c r="H17" s="4">
        <f>SUMIFS(INDEX(Detail[],0,MATCH(H$14,Detail[#Headers],0)),Detail[AEA],$A17)</f>
        <v>1806225</v>
      </c>
      <c r="I17" s="4">
        <f>SUMIFS(INDEX(Detail[],0,MATCH(I$14,Detail[#Headers],0)),Detail[AEA],$A17)</f>
        <v>2025893</v>
      </c>
      <c r="J17" s="4">
        <f>SUMIFS(INDEX(Detail[],0,MATCH(J$14,Detail[#Headers],0)),Detail[AEA],$A17)</f>
        <v>30001</v>
      </c>
    </row>
    <row r="18" spans="1:16" x14ac:dyDescent="0.25">
      <c r="A18" t="str">
        <f t="shared" ref="A18:B18" si="3">A5</f>
        <v>07</v>
      </c>
      <c r="B18" t="str">
        <f t="shared" si="3"/>
        <v>Central Rivers</v>
      </c>
      <c r="C18" s="2">
        <f>INDEX(Detail[],MATCH($A18,Detail[AEA],0),MATCH(C$14,Detail[#Headers],0))</f>
        <v>38.42</v>
      </c>
      <c r="D18" s="2">
        <f>INDEX(Detail[],MATCH($A18,Detail[AEA],0),MATCH(D$14,Detail[#Headers],0))</f>
        <v>4.42</v>
      </c>
      <c r="E18" s="4">
        <f>SUMIFS(INDEX(Detail[],0,MATCH(E$14,Detail[#Headers],0)),Detail[AEA],$A18)</f>
        <v>21753609</v>
      </c>
      <c r="F18" s="4">
        <f>SUMIFS(INDEX(Detail[],0,MATCH(F$14,Detail[#Headers],0)),Detail[AEA],$A18)</f>
        <v>313801</v>
      </c>
      <c r="G18" s="4">
        <f>SUMIFS(INDEX(Detail[],0,MATCH(G$14,Detail[#Headers],0)),Detail[AEA],$A18)</f>
        <v>22067410</v>
      </c>
      <c r="H18" s="4">
        <f>SUMIFS(INDEX(Detail[],0,MATCH(H$14,Detail[#Headers],0)),Detail[AEA],$A18)</f>
        <v>3693183</v>
      </c>
      <c r="I18" s="4">
        <f>SUMIFS(INDEX(Detail[],0,MATCH(I$14,Detail[#Headers],0)),Detail[AEA],$A18)</f>
        <v>4121177</v>
      </c>
      <c r="J18" s="4">
        <f>SUMIFS(INDEX(Detail[],0,MATCH(J$14,Detail[#Headers],0)),Detail[AEA],$A18)</f>
        <v>0</v>
      </c>
    </row>
    <row r="19" spans="1:16" x14ac:dyDescent="0.25">
      <c r="A19" t="str">
        <f t="shared" ref="A19:B19" si="4">A6</f>
        <v>09</v>
      </c>
      <c r="B19" t="str">
        <f t="shared" si="4"/>
        <v>Mississippi Bend AEA 9</v>
      </c>
      <c r="C19" s="2">
        <f>INDEX(Detail[],MATCH($A19,Detail[AEA],0),MATCH(C$14,Detail[#Headers],0))</f>
        <v>27.49</v>
      </c>
      <c r="D19" s="2">
        <f>INDEX(Detail[],MATCH($A19,Detail[AEA],0),MATCH(D$14,Detail[#Headers],0))</f>
        <v>3.23</v>
      </c>
      <c r="E19" s="4">
        <f>SUMIFS(INDEX(Detail[],0,MATCH(E$14,Detail[#Headers],0)),Detail[AEA],$A19)</f>
        <v>16393925</v>
      </c>
      <c r="F19" s="4">
        <f>SUMIFS(INDEX(Detail[],0,MATCH(F$14,Detail[#Headers],0)),Detail[AEA],$A19)</f>
        <v>92300</v>
      </c>
      <c r="G19" s="4">
        <f>SUMIFS(INDEX(Detail[],0,MATCH(G$14,Detail[#Headers],0)),Detail[AEA],$A19)</f>
        <v>16486225</v>
      </c>
      <c r="H19" s="4">
        <f>SUMIFS(INDEX(Detail[],0,MATCH(H$14,Detail[#Headers],0)),Detail[AEA],$A19)</f>
        <v>2785027</v>
      </c>
      <c r="I19" s="4">
        <f>SUMIFS(INDEX(Detail[],0,MATCH(I$14,Detail[#Headers],0)),Detail[AEA],$A19)</f>
        <v>3039522</v>
      </c>
      <c r="J19" s="4">
        <f>SUMIFS(INDEX(Detail[],0,MATCH(J$14,Detail[#Headers],0)),Detail[AEA],$A19)</f>
        <v>30002</v>
      </c>
    </row>
    <row r="20" spans="1:16" x14ac:dyDescent="0.25">
      <c r="A20" t="str">
        <f t="shared" ref="A20:B20" si="5">A7</f>
        <v>10</v>
      </c>
      <c r="B20" t="str">
        <f t="shared" si="5"/>
        <v>Grant Wood AEA 10</v>
      </c>
      <c r="C20" s="2">
        <f>INDEX(Detail[],MATCH($A20,Detail[AEA],0),MATCH(C$14,Detail[#Headers],0))</f>
        <v>28.24</v>
      </c>
      <c r="D20" s="2">
        <f>INDEX(Detail[],MATCH($A20,Detail[AEA],0),MATCH(D$14,Detail[#Headers],0))</f>
        <v>3.29</v>
      </c>
      <c r="E20" s="4">
        <f>SUMIFS(INDEX(Detail[],0,MATCH(E$14,Detail[#Headers],0)),Detail[AEA],$A20)</f>
        <v>23496380</v>
      </c>
      <c r="F20" s="4">
        <f>SUMIFS(INDEX(Detail[],0,MATCH(F$14,Detail[#Headers],0)),Detail[AEA],$A20)</f>
        <v>154292</v>
      </c>
      <c r="G20" s="4">
        <f>SUMIFS(INDEX(Detail[],0,MATCH(G$14,Detail[#Headers],0)),Detail[AEA],$A20)</f>
        <v>23650672</v>
      </c>
      <c r="H20" s="4">
        <f>SUMIFS(INDEX(Detail[],0,MATCH(H$14,Detail[#Headers],0)),Detail[AEA],$A20)</f>
        <v>4175112</v>
      </c>
      <c r="I20" s="4">
        <f>SUMIFS(INDEX(Detail[],0,MATCH(I$14,Detail[#Headers],0)),Detail[AEA],$A20)</f>
        <v>4586606</v>
      </c>
      <c r="J20" s="4">
        <f>SUMIFS(INDEX(Detail[],0,MATCH(J$14,Detail[#Headers],0)),Detail[AEA],$A20)</f>
        <v>0</v>
      </c>
    </row>
    <row r="21" spans="1:16" x14ac:dyDescent="0.25">
      <c r="A21" t="str">
        <f t="shared" ref="A21:B21" si="6">A8</f>
        <v>11</v>
      </c>
      <c r="B21" t="str">
        <f t="shared" si="6"/>
        <v>Heartland AEA 11</v>
      </c>
      <c r="C21" s="2">
        <f>INDEX(Detail[],MATCH($A21,Detail[AEA],0),MATCH(C$14,Detail[#Headers],0))</f>
        <v>24.47</v>
      </c>
      <c r="D21" s="2">
        <f>INDEX(Detail[],MATCH($A21,Detail[AEA],0),MATCH(D$14,Detail[#Headers],0))</f>
        <v>3.1</v>
      </c>
      <c r="E21" s="4">
        <f>SUMIFS(INDEX(Detail[],0,MATCH(E$14,Detail[#Headers],0)),Detail[AEA],$A21)</f>
        <v>46090207</v>
      </c>
      <c r="F21" s="4">
        <f>SUMIFS(INDEX(Detail[],0,MATCH(F$14,Detail[#Headers],0)),Detail[AEA],$A21)</f>
        <v>98798</v>
      </c>
      <c r="G21" s="4">
        <f>SUMIFS(INDEX(Detail[],0,MATCH(G$14,Detail[#Headers],0)),Detail[AEA],$A21)</f>
        <v>46189005</v>
      </c>
      <c r="H21" s="4">
        <f>SUMIFS(INDEX(Detail[],0,MATCH(H$14,Detail[#Headers],0)),Detail[AEA],$A21)</f>
        <v>8328245</v>
      </c>
      <c r="I21" s="4">
        <f>SUMIFS(INDEX(Detail[],0,MATCH(I$14,Detail[#Headers],0)),Detail[AEA],$A21)</f>
        <v>9141912</v>
      </c>
      <c r="J21" s="4">
        <f>SUMIFS(INDEX(Detail[],0,MATCH(J$14,Detail[#Headers],0)),Detail[AEA],$A21)</f>
        <v>0</v>
      </c>
    </row>
    <row r="22" spans="1:16" x14ac:dyDescent="0.25">
      <c r="A22" t="str">
        <f t="shared" ref="A22:B22" si="7">A9</f>
        <v>12</v>
      </c>
      <c r="B22" t="str">
        <f t="shared" si="7"/>
        <v>Northwest AEA</v>
      </c>
      <c r="C22" s="2">
        <f>INDEX(Detail[],MATCH($A22,Detail[AEA],0),MATCH(C$14,Detail[#Headers],0))</f>
        <v>31.03</v>
      </c>
      <c r="D22" s="2">
        <f>INDEX(Detail[],MATCH($A22,Detail[AEA],0),MATCH(D$14,Detail[#Headers],0))</f>
        <v>3.71</v>
      </c>
      <c r="E22" s="4">
        <f>SUMIFS(INDEX(Detail[],0,MATCH(E$14,Detail[#Headers],0)),Detail[AEA],$A22)</f>
        <v>14007546</v>
      </c>
      <c r="F22" s="4">
        <f>SUMIFS(INDEX(Detail[],0,MATCH(F$14,Detail[#Headers],0)),Detail[AEA],$A22)</f>
        <v>102435</v>
      </c>
      <c r="G22" s="4">
        <f>SUMIFS(INDEX(Detail[],0,MATCH(G$14,Detail[#Headers],0)),Detail[AEA],$A22)</f>
        <v>14109981</v>
      </c>
      <c r="H22" s="4">
        <f>SUMIFS(INDEX(Detail[],0,MATCH(H$14,Detail[#Headers],0)),Detail[AEA],$A22)</f>
        <v>2539400</v>
      </c>
      <c r="I22" s="4">
        <f>SUMIFS(INDEX(Detail[],0,MATCH(I$14,Detail[#Headers],0)),Detail[AEA],$A22)</f>
        <v>2847268</v>
      </c>
      <c r="J22" s="4">
        <f>SUMIFS(INDEX(Detail[],0,MATCH(J$14,Detail[#Headers],0)),Detail[AEA],$A22)</f>
        <v>0</v>
      </c>
    </row>
    <row r="23" spans="1:16" x14ac:dyDescent="0.25">
      <c r="A23" t="str">
        <f t="shared" ref="A23:B23" si="8">A10</f>
        <v>13</v>
      </c>
      <c r="B23" t="str">
        <f t="shared" si="8"/>
        <v>Green Hills AEA 13</v>
      </c>
      <c r="C23" s="2">
        <f>INDEX(Detail[],MATCH($A23,Detail[AEA],0),MATCH(C$14,Detail[#Headers],0))</f>
        <v>31.01</v>
      </c>
      <c r="D23" s="2">
        <f>INDEX(Detail[],MATCH($A23,Detail[AEA],0),MATCH(D$14,Detail[#Headers],0))</f>
        <v>3.32</v>
      </c>
      <c r="E23" s="4">
        <f>SUMIFS(INDEX(Detail[],0,MATCH(E$14,Detail[#Headers],0)),Detail[AEA],$A23)</f>
        <v>13017183</v>
      </c>
      <c r="F23" s="4">
        <f>SUMIFS(INDEX(Detail[],0,MATCH(F$14,Detail[#Headers],0)),Detail[AEA],$A23)</f>
        <v>177050</v>
      </c>
      <c r="G23" s="4">
        <f>SUMIFS(INDEX(Detail[],0,MATCH(G$14,Detail[#Headers],0)),Detail[AEA],$A23)</f>
        <v>13194233</v>
      </c>
      <c r="H23" s="4">
        <f>SUMIFS(INDEX(Detail[],0,MATCH(H$14,Detail[#Headers],0)),Detail[AEA],$A23)</f>
        <v>2154630</v>
      </c>
      <c r="I23" s="4">
        <f>SUMIFS(INDEX(Detail[],0,MATCH(I$14,Detail[#Headers],0)),Detail[AEA],$A23)</f>
        <v>2381898</v>
      </c>
      <c r="J23" s="4">
        <f>SUMIFS(INDEX(Detail[],0,MATCH(J$14,Detail[#Headers],0)),Detail[AEA],$A23)</f>
        <v>0</v>
      </c>
    </row>
    <row r="24" spans="1:16" x14ac:dyDescent="0.25">
      <c r="A24" t="str">
        <f t="shared" ref="A24:B24" si="9">A11</f>
        <v>15</v>
      </c>
      <c r="B24" t="str">
        <f t="shared" si="9"/>
        <v>Great Prairie AEA 15</v>
      </c>
      <c r="C24" s="2">
        <f>INDEX(Detail[],MATCH($A24,Detail[AEA],0),MATCH(C$14,Detail[#Headers],0))</f>
        <v>30.02</v>
      </c>
      <c r="D24" s="2">
        <f>INDEX(Detail[],MATCH($A24,Detail[AEA],0),MATCH(D$14,Detail[#Headers],0))</f>
        <v>3.27</v>
      </c>
      <c r="E24" s="4">
        <f>SUMIFS(INDEX(Detail[],0,MATCH(E$14,Detail[#Headers],0)),Detail[AEA],$A24)</f>
        <v>11716221</v>
      </c>
      <c r="F24" s="4">
        <f>SUMIFS(INDEX(Detail[],0,MATCH(F$14,Detail[#Headers],0)),Detail[AEA],$A24)</f>
        <v>142171</v>
      </c>
      <c r="G24" s="4">
        <f>SUMIFS(INDEX(Detail[],0,MATCH(G$14,Detail[#Headers],0)),Detail[AEA],$A24)</f>
        <v>11858392</v>
      </c>
      <c r="H24" s="4">
        <f>SUMIFS(INDEX(Detail[],0,MATCH(H$14,Detail[#Headers],0)),Detail[AEA],$A24)</f>
        <v>2001431</v>
      </c>
      <c r="I24" s="4">
        <f>SUMIFS(INDEX(Detail[],0,MATCH(I$14,Detail[#Headers],0)),Detail[AEA],$A24)</f>
        <v>2198404</v>
      </c>
      <c r="J24" s="4">
        <f>SUMIFS(INDEX(Detail[],0,MATCH(J$14,Detail[#Headers],0)),Detail[AEA],$A24)</f>
        <v>0</v>
      </c>
    </row>
    <row r="25" spans="1:16" ht="15.75" thickBot="1" x14ac:dyDescent="0.3">
      <c r="E25" s="12">
        <f t="shared" ref="E25:J25" si="10">SUM(E16:E24)</f>
        <v>167343543</v>
      </c>
      <c r="F25" s="12">
        <f t="shared" si="10"/>
        <v>1398595</v>
      </c>
      <c r="G25" s="12">
        <f t="shared" si="10"/>
        <v>168742138</v>
      </c>
      <c r="H25" s="12">
        <f t="shared" si="10"/>
        <v>29301045</v>
      </c>
      <c r="I25" s="12">
        <f t="shared" si="10"/>
        <v>32369311</v>
      </c>
      <c r="J25" s="12">
        <f t="shared" si="10"/>
        <v>60003</v>
      </c>
    </row>
    <row r="26" spans="1:16" ht="7.5" customHeight="1" thickTop="1" x14ac:dyDescent="0.25">
      <c r="F26" s="4"/>
      <c r="G26" s="4"/>
      <c r="H26" s="4"/>
      <c r="I26" s="4"/>
      <c r="J26" s="4"/>
    </row>
    <row r="27" spans="1:16"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6" ht="45" x14ac:dyDescent="0.25">
      <c r="A28" s="6" t="str">
        <f>A15</f>
        <v>AEA</v>
      </c>
      <c r="B28" s="6" t="str">
        <f>B15</f>
        <v>AEA Name</v>
      </c>
      <c r="C28" s="8" t="s">
        <v>386</v>
      </c>
      <c r="D28" s="8" t="s">
        <v>391</v>
      </c>
      <c r="E28" s="8" t="s">
        <v>360</v>
      </c>
      <c r="F28" s="8" t="s">
        <v>387</v>
      </c>
      <c r="G28" s="8" t="s">
        <v>362</v>
      </c>
      <c r="H28" s="8" t="s">
        <v>388</v>
      </c>
      <c r="I28" s="15" t="s">
        <v>389</v>
      </c>
      <c r="J28" s="16"/>
    </row>
    <row r="29" spans="1:16" x14ac:dyDescent="0.25">
      <c r="A29" t="str">
        <f t="shared" ref="A29:B29" si="11">A16</f>
        <v>01</v>
      </c>
      <c r="B29" t="str">
        <f t="shared" si="11"/>
        <v>Keystone AEA 1</v>
      </c>
      <c r="C29" s="4">
        <f>SUMIFS(INDEX(Detail[],0,MATCH(C$27,Detail[#Headers],0)),Detail[AEA],$A29)</f>
        <v>1013482</v>
      </c>
      <c r="D29" s="4">
        <f>SUMIFS(INDEX(Detail[],0,MATCH(D$27,Detail[#Headers],0)),Detail[AEA],$A29)</f>
        <v>109174</v>
      </c>
      <c r="E29" s="4">
        <f>SUMIFS(INDEX(Detail[],0,MATCH(E$27,Detail[#Headers],0)),Detail[AEA],$A29)</f>
        <v>15338311</v>
      </c>
      <c r="F29" s="4">
        <f>SUMIFS(INDEX(Detail[],0,MATCH(F$27,Detail[#Headers],0)),Detail[AEA],$A29)</f>
        <v>1596490</v>
      </c>
      <c r="G29" s="4">
        <f>SUMIFS(INDEX(Detail[],0,MATCH(G$27,Detail[#Headers],0)),Detail[AEA],$A29)</f>
        <v>13741821</v>
      </c>
      <c r="H29" s="4">
        <f>SUMIFS(INDEX(Detail[],0,MATCH(H$27,Detail[#Headers],0)),Detail[AEA],$A29)</f>
        <v>7256135</v>
      </c>
      <c r="I29" s="4">
        <f>SUMIFS(INDEX(Detail[],0,MATCH(I$27,Detail[#Headers],0)),Detail[AEA],$A29)</f>
        <v>6485686</v>
      </c>
      <c r="J29" s="18"/>
    </row>
    <row r="30" spans="1:16" x14ac:dyDescent="0.25">
      <c r="A30" t="str">
        <f t="shared" ref="A30:B30" si="12">A17</f>
        <v>05</v>
      </c>
      <c r="B30" t="str">
        <f t="shared" si="12"/>
        <v>Prairie Lakes AEA 8</v>
      </c>
      <c r="C30" s="4">
        <f>SUMIFS(INDEX(Detail[],0,MATCH(C$27,Detail[#Headers],0)),Detail[AEA],$A30)</f>
        <v>1133637</v>
      </c>
      <c r="D30" s="4">
        <f>SUMIFS(INDEX(Detail[],0,MATCH(D$27,Detail[#Headers],0)),Detail[AEA],$A30)</f>
        <v>135148</v>
      </c>
      <c r="E30" s="4">
        <f>SUMIFS(INDEX(Detail[],0,MATCH(E$27,Detail[#Headers],0)),Detail[AEA],$A30)</f>
        <v>15945892</v>
      </c>
      <c r="F30" s="4">
        <f>SUMIFS(INDEX(Detail[],0,MATCH(F$27,Detail[#Headers],0)),Detail[AEA],$A30)</f>
        <v>1697682</v>
      </c>
      <c r="G30" s="4">
        <f>SUMIFS(INDEX(Detail[],0,MATCH(G$27,Detail[#Headers],0)),Detail[AEA],$A30)</f>
        <v>14248210</v>
      </c>
      <c r="H30" s="4">
        <f>SUMIFS(INDEX(Detail[],0,MATCH(H$27,Detail[#Headers],0)),Detail[AEA],$A30)</f>
        <v>7681682</v>
      </c>
      <c r="I30" s="4">
        <f>SUMIFS(INDEX(Detail[],0,MATCH(I$27,Detail[#Headers],0)),Detail[AEA],$A30)</f>
        <v>6566528</v>
      </c>
      <c r="J30" s="18"/>
    </row>
    <row r="31" spans="1:16" x14ac:dyDescent="0.25">
      <c r="A31" t="str">
        <f t="shared" ref="A31:B31" si="13">A18</f>
        <v>07</v>
      </c>
      <c r="B31" t="str">
        <f t="shared" si="13"/>
        <v>Central Rivers</v>
      </c>
      <c r="C31" s="4">
        <f>SUMIFS(INDEX(Detail[],0,MATCH(C$27,Detail[#Headers],0)),Detail[AEA],$A31)</f>
        <v>2742562</v>
      </c>
      <c r="D31" s="4">
        <f>SUMIFS(INDEX(Detail[],0,MATCH(D$27,Detail[#Headers],0)),Detail[AEA],$A31)</f>
        <v>315541</v>
      </c>
      <c r="E31" s="4">
        <f>SUMIFS(INDEX(Detail[],0,MATCH(E$27,Detail[#Headers],0)),Detail[AEA],$A31)</f>
        <v>32939873</v>
      </c>
      <c r="F31" s="4">
        <f>SUMIFS(INDEX(Detail[],0,MATCH(F$27,Detail[#Headers],0)),Detail[AEA],$A31)</f>
        <v>3147744</v>
      </c>
      <c r="G31" s="4">
        <f>SUMIFS(INDEX(Detail[],0,MATCH(G$27,Detail[#Headers],0)),Detail[AEA],$A31)</f>
        <v>29792129</v>
      </c>
      <c r="H31" s="4">
        <f>SUMIFS(INDEX(Detail[],0,MATCH(H$27,Detail[#Headers],0)),Detail[AEA],$A31)</f>
        <v>16869181</v>
      </c>
      <c r="I31" s="4">
        <f>SUMIFS(INDEX(Detail[],0,MATCH(I$27,Detail[#Headers],0)),Detail[AEA],$A31)</f>
        <v>12922948</v>
      </c>
      <c r="J31" s="18"/>
      <c r="O31" s="4"/>
      <c r="P31" s="4"/>
    </row>
    <row r="32" spans="1:16" x14ac:dyDescent="0.25">
      <c r="A32" t="str">
        <f t="shared" ref="A32:B32" si="14">A19</f>
        <v>09</v>
      </c>
      <c r="B32" t="str">
        <f t="shared" si="14"/>
        <v>Mississippi Bend AEA 9</v>
      </c>
      <c r="C32" s="4">
        <f>SUMIFS(INDEX(Detail[],0,MATCH(C$27,Detail[#Headers],0)),Detail[AEA],$A32)</f>
        <v>1489330</v>
      </c>
      <c r="D32" s="4">
        <f>SUMIFS(INDEX(Detail[],0,MATCH(D$27,Detail[#Headers],0)),Detail[AEA],$A32)</f>
        <v>175009</v>
      </c>
      <c r="E32" s="4">
        <f>SUMIFS(INDEX(Detail[],0,MATCH(E$27,Detail[#Headers],0)),Detail[AEA],$A32)</f>
        <v>24005115</v>
      </c>
      <c r="F32" s="4">
        <f>SUMIFS(INDEX(Detail[],0,MATCH(F$27,Detail[#Headers],0)),Detail[AEA],$A32)</f>
        <v>2291412</v>
      </c>
      <c r="G32" s="4">
        <f>SUMIFS(INDEX(Detail[],0,MATCH(G$27,Detail[#Headers],0)),Detail[AEA],$A32)</f>
        <v>21713703</v>
      </c>
      <c r="H32" s="4">
        <f>SUMIFS(INDEX(Detail[],0,MATCH(H$27,Detail[#Headers],0)),Detail[AEA],$A32)</f>
        <v>12276551</v>
      </c>
      <c r="I32" s="4">
        <f>SUMIFS(INDEX(Detail[],0,MATCH(I$27,Detail[#Headers],0)),Detail[AEA],$A32)</f>
        <v>9437152</v>
      </c>
      <c r="J32" s="18"/>
    </row>
    <row r="33" spans="1:10" x14ac:dyDescent="0.25">
      <c r="A33" t="str">
        <f t="shared" ref="A33:B33" si="15">A20</f>
        <v>10</v>
      </c>
      <c r="B33" t="str">
        <f t="shared" si="15"/>
        <v>Grant Wood AEA 10</v>
      </c>
      <c r="C33" s="4">
        <f>SUMIFS(INDEX(Detail[],0,MATCH(C$27,Detail[#Headers],0)),Detail[AEA],$A33)</f>
        <v>2208774</v>
      </c>
      <c r="D33" s="4">
        <f>SUMIFS(INDEX(Detail[],0,MATCH(D$27,Detail[#Headers],0)),Detail[AEA],$A33)</f>
        <v>257356</v>
      </c>
      <c r="E33" s="4">
        <f>SUMIFS(INDEX(Detail[],0,MATCH(E$27,Detail[#Headers],0)),Detail[AEA],$A33)</f>
        <v>34878520</v>
      </c>
      <c r="F33" s="4">
        <f>SUMIFS(INDEX(Detail[],0,MATCH(F$27,Detail[#Headers],0)),Detail[AEA],$A33)</f>
        <v>2906326</v>
      </c>
      <c r="G33" s="4">
        <f>SUMIFS(INDEX(Detail[],0,MATCH(G$27,Detail[#Headers],0)),Detail[AEA],$A33)</f>
        <v>31972194</v>
      </c>
      <c r="H33" s="4">
        <f>SUMIFS(INDEX(Detail[],0,MATCH(H$27,Detail[#Headers],0)),Detail[AEA],$A33)</f>
        <v>18137720</v>
      </c>
      <c r="I33" s="4">
        <f>SUMIFS(INDEX(Detail[],0,MATCH(I$27,Detail[#Headers],0)),Detail[AEA],$A33)</f>
        <v>13834474</v>
      </c>
      <c r="J33" s="18"/>
    </row>
    <row r="34" spans="1:10" x14ac:dyDescent="0.25">
      <c r="A34" t="str">
        <f t="shared" ref="A34:B34" si="16">A21</f>
        <v>11</v>
      </c>
      <c r="B34" t="str">
        <f t="shared" si="16"/>
        <v>Heartland AEA 11</v>
      </c>
      <c r="C34" s="4">
        <f>SUMIFS(INDEX(Detail[],0,MATCH(C$27,Detail[#Headers],0)),Detail[AEA],$A34)</f>
        <v>3838198</v>
      </c>
      <c r="D34" s="4">
        <f>SUMIFS(INDEX(Detail[],0,MATCH(D$27,Detail[#Headers],0)),Detail[AEA],$A34)</f>
        <v>486275</v>
      </c>
      <c r="E34" s="4">
        <f>SUMIFS(INDEX(Detail[],0,MATCH(E$27,Detail[#Headers],0)),Detail[AEA],$A34)</f>
        <v>67983635</v>
      </c>
      <c r="F34" s="4">
        <f>SUMIFS(INDEX(Detail[],0,MATCH(F$27,Detail[#Headers],0)),Detail[AEA],$A34)</f>
        <v>5144672</v>
      </c>
      <c r="G34" s="4">
        <f>SUMIFS(INDEX(Detail[],0,MATCH(G$27,Detail[#Headers],0)),Detail[AEA],$A34)</f>
        <v>62838963</v>
      </c>
      <c r="H34" s="4">
        <f>SUMIFS(INDEX(Detail[],0,MATCH(H$27,Detail[#Headers],0)),Detail[AEA],$A34)</f>
        <v>36502342</v>
      </c>
      <c r="I34" s="4">
        <f>SUMIFS(INDEX(Detail[],0,MATCH(I$27,Detail[#Headers],0)),Detail[AEA],$A34)</f>
        <v>26336621</v>
      </c>
      <c r="J34" s="18"/>
    </row>
    <row r="35" spans="1:10" x14ac:dyDescent="0.25">
      <c r="A35" t="str">
        <f t="shared" ref="A35:B35" si="17">A22</f>
        <v>12</v>
      </c>
      <c r="B35" t="str">
        <f t="shared" si="17"/>
        <v>Northwest AEA</v>
      </c>
      <c r="C35" s="4">
        <f>SUMIFS(INDEX(Detail[],0,MATCH(C$27,Detail[#Headers],0)),Detail[AEA],$A35)</f>
        <v>1411765</v>
      </c>
      <c r="D35" s="4">
        <f>SUMIFS(INDEX(Detail[],0,MATCH(D$27,Detail[#Headers],0)),Detail[AEA],$A35)</f>
        <v>168811</v>
      </c>
      <c r="E35" s="4">
        <f>SUMIFS(INDEX(Detail[],0,MATCH(E$27,Detail[#Headers],0)),Detail[AEA],$A35)</f>
        <v>21077225</v>
      </c>
      <c r="F35" s="4">
        <f>SUMIFS(INDEX(Detail[],0,MATCH(F$27,Detail[#Headers],0)),Detail[AEA],$A35)</f>
        <v>1929107</v>
      </c>
      <c r="G35" s="4">
        <f>SUMIFS(INDEX(Detail[],0,MATCH(G$27,Detail[#Headers],0)),Detail[AEA],$A35)</f>
        <v>19148118</v>
      </c>
      <c r="H35" s="4">
        <f>SUMIFS(INDEX(Detail[],0,MATCH(H$27,Detail[#Headers],0)),Detail[AEA],$A35)</f>
        <v>10456189</v>
      </c>
      <c r="I35" s="4">
        <f>SUMIFS(INDEX(Detail[],0,MATCH(I$27,Detail[#Headers],0)),Detail[AEA],$A35)</f>
        <v>8691929</v>
      </c>
      <c r="J35" s="18"/>
    </row>
    <row r="36" spans="1:10" x14ac:dyDescent="0.25">
      <c r="A36" t="str">
        <f t="shared" ref="A36:B36" si="18">A23</f>
        <v>13</v>
      </c>
      <c r="B36" t="str">
        <f t="shared" si="18"/>
        <v>Green Hills AEA 13</v>
      </c>
      <c r="C36" s="4">
        <f>SUMIFS(INDEX(Detail[],0,MATCH(C$27,Detail[#Headers],0)),Detail[AEA],$A36)</f>
        <v>1339784</v>
      </c>
      <c r="D36" s="4">
        <f>SUMIFS(INDEX(Detail[],0,MATCH(D$27,Detail[#Headers],0)),Detail[AEA],$A36)</f>
        <v>143429</v>
      </c>
      <c r="E36" s="4">
        <f>SUMIFS(INDEX(Detail[],0,MATCH(E$27,Detail[#Headers],0)),Detail[AEA],$A36)</f>
        <v>19213974</v>
      </c>
      <c r="F36" s="4">
        <f>SUMIFS(INDEX(Detail[],0,MATCH(F$27,Detail[#Headers],0)),Detail[AEA],$A36)</f>
        <v>1959289</v>
      </c>
      <c r="G36" s="4">
        <f>SUMIFS(INDEX(Detail[],0,MATCH(G$27,Detail[#Headers],0)),Detail[AEA],$A36)</f>
        <v>17254685</v>
      </c>
      <c r="H36" s="4">
        <f>SUMIFS(INDEX(Detail[],0,MATCH(H$27,Detail[#Headers],0)),Detail[AEA],$A36)</f>
        <v>9783517</v>
      </c>
      <c r="I36" s="4">
        <f>SUMIFS(INDEX(Detail[],0,MATCH(I$27,Detail[#Headers],0)),Detail[AEA],$A36)</f>
        <v>7471168</v>
      </c>
      <c r="J36" s="18"/>
    </row>
    <row r="37" spans="1:10" x14ac:dyDescent="0.25">
      <c r="A37" t="str">
        <f t="shared" ref="A37:B37" si="19">A24</f>
        <v>15</v>
      </c>
      <c r="B37" t="str">
        <f t="shared" si="19"/>
        <v>Great Prairie AEA 15</v>
      </c>
      <c r="C37" s="4">
        <f>SUMIFS(INDEX(Detail[],0,MATCH(C$27,Detail[#Headers],0)),Detail[AEA],$A37)</f>
        <v>1177004</v>
      </c>
      <c r="D37" s="4">
        <f>SUMIFS(INDEX(Detail[],0,MATCH(D$27,Detail[#Headers],0)),Detail[AEA],$A37)</f>
        <v>128200</v>
      </c>
      <c r="E37" s="4">
        <f>SUMIFS(INDEX(Detail[],0,MATCH(E$27,Detail[#Headers],0)),Detail[AEA],$A37)</f>
        <v>17363431</v>
      </c>
      <c r="F37" s="4">
        <f>SUMIFS(INDEX(Detail[],0,MATCH(F$27,Detail[#Headers],0)),Detail[AEA],$A37)</f>
        <v>1827278</v>
      </c>
      <c r="G37" s="4">
        <f>SUMIFS(INDEX(Detail[],0,MATCH(G$27,Detail[#Headers],0)),Detail[AEA],$A37)</f>
        <v>15536153</v>
      </c>
      <c r="H37" s="4">
        <f>SUMIFS(INDEX(Detail[],0,MATCH(H$27,Detail[#Headers],0)),Detail[AEA],$A37)</f>
        <v>8793601</v>
      </c>
      <c r="I37" s="4">
        <f>SUMIFS(INDEX(Detail[],0,MATCH(I$27,Detail[#Headers],0)),Detail[AEA],$A37)</f>
        <v>6742552</v>
      </c>
      <c r="J37" s="18"/>
    </row>
    <row r="38" spans="1:10" ht="15.75" thickBot="1" x14ac:dyDescent="0.3">
      <c r="C38" s="12">
        <f t="shared" ref="C38:I38" si="20">SUM(C29:C37)</f>
        <v>16354536</v>
      </c>
      <c r="D38" s="12">
        <f t="shared" si="20"/>
        <v>1918943</v>
      </c>
      <c r="E38" s="12">
        <f t="shared" si="20"/>
        <v>248745976</v>
      </c>
      <c r="F38" s="12">
        <f t="shared" si="20"/>
        <v>22500000</v>
      </c>
      <c r="G38" s="12">
        <f t="shared" si="20"/>
        <v>226245976</v>
      </c>
      <c r="H38" s="12">
        <f t="shared" si="20"/>
        <v>127756918</v>
      </c>
      <c r="I38" s="12">
        <f t="shared" si="20"/>
        <v>98489058</v>
      </c>
      <c r="J38" s="18"/>
    </row>
    <row r="39" spans="1:10" ht="15.75" thickTop="1" x14ac:dyDescent="0.25"/>
    <row r="41" spans="1:10" x14ac:dyDescent="0.25">
      <c r="H41" s="4"/>
    </row>
  </sheetData>
  <sheetProtection sheet="1" objects="1" scenarios="1"/>
  <pageMargins left="0.25" right="0.25" top="0.75" bottom="0.75" header="0.3" footer="0.3"/>
  <pageSetup scale="90" fitToWidth="0" orientation="landscape" r:id="rId1"/>
  <headerFooter>
    <oddHeader xml:space="preserve">&amp;C&amp;"-,Bold"&amp;14FY 2020 AEA Enrollments and Cost - Final - 2.06% of Growth - $22.5 million Reduction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29"/>
  <sheetViews>
    <sheetView workbookViewId="0">
      <pane xSplit="4" ySplit="2" topLeftCell="E302" activePane="bottomRight" state="frozen"/>
      <selection pane="topRight" activeCell="E1" sqref="E1"/>
      <selection pane="bottomLeft" activeCell="A3" sqref="A3"/>
      <selection pane="bottomRight"/>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bestFit="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bestFit="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743</v>
      </c>
    </row>
    <row r="2" spans="1:29" s="7" customFormat="1" ht="89.25" customHeight="1" x14ac:dyDescent="0.25">
      <c r="A2" s="7" t="s">
        <v>365</v>
      </c>
      <c r="B2" s="7" t="s">
        <v>366</v>
      </c>
      <c r="C2" s="7" t="s">
        <v>732</v>
      </c>
      <c r="D2" s="7" t="s">
        <v>367</v>
      </c>
      <c r="E2" s="8" t="s">
        <v>343</v>
      </c>
      <c r="F2" s="8" t="s">
        <v>344</v>
      </c>
      <c r="G2" s="8" t="s">
        <v>345</v>
      </c>
      <c r="H2" s="8" t="s">
        <v>346</v>
      </c>
      <c r="I2" s="8" t="s">
        <v>347</v>
      </c>
      <c r="J2" s="8" t="s">
        <v>348</v>
      </c>
      <c r="K2" s="8" t="s">
        <v>349</v>
      </c>
      <c r="L2" s="8" t="s">
        <v>350</v>
      </c>
      <c r="M2" s="8" t="s">
        <v>368</v>
      </c>
      <c r="N2" s="8" t="s">
        <v>351</v>
      </c>
      <c r="O2" s="8" t="s">
        <v>352</v>
      </c>
      <c r="P2" s="8" t="s">
        <v>353</v>
      </c>
      <c r="Q2" s="8" t="s">
        <v>354</v>
      </c>
      <c r="R2" s="8" t="s">
        <v>369</v>
      </c>
      <c r="S2" s="8" t="s">
        <v>355</v>
      </c>
      <c r="T2" s="8" t="s">
        <v>356</v>
      </c>
      <c r="U2" s="8" t="s">
        <v>357</v>
      </c>
      <c r="V2" s="8" t="s">
        <v>358</v>
      </c>
      <c r="W2" s="8" t="s">
        <v>359</v>
      </c>
      <c r="X2" s="8" t="s">
        <v>390</v>
      </c>
      <c r="Y2" s="8" t="s">
        <v>360</v>
      </c>
      <c r="Z2" s="8" t="s">
        <v>361</v>
      </c>
      <c r="AA2" s="8" t="s">
        <v>362</v>
      </c>
      <c r="AB2" s="8" t="s">
        <v>363</v>
      </c>
      <c r="AC2" s="8" t="s">
        <v>364</v>
      </c>
    </row>
    <row r="3" spans="1:29" x14ac:dyDescent="0.25">
      <c r="A3" s="1" t="s">
        <v>0</v>
      </c>
      <c r="B3" s="1" t="s">
        <v>733</v>
      </c>
      <c r="C3" s="1" t="s">
        <v>1</v>
      </c>
      <c r="D3" s="1" t="s">
        <v>413</v>
      </c>
      <c r="E3" s="2">
        <v>144.37</v>
      </c>
      <c r="F3" s="3">
        <v>1094.4000000000001</v>
      </c>
      <c r="G3" s="2">
        <v>1238.77</v>
      </c>
      <c r="H3" s="2">
        <v>0</v>
      </c>
      <c r="I3" s="4">
        <v>164</v>
      </c>
      <c r="J3" s="3">
        <v>2.1</v>
      </c>
      <c r="K3" s="4">
        <v>1256</v>
      </c>
      <c r="L3" s="2">
        <v>316.17</v>
      </c>
      <c r="M3" s="2">
        <v>56.49</v>
      </c>
      <c r="N3" s="2">
        <v>62.98</v>
      </c>
      <c r="O3" s="2">
        <v>31.19</v>
      </c>
      <c r="P3" s="2">
        <v>3.36</v>
      </c>
      <c r="Q3" s="4">
        <v>391662</v>
      </c>
      <c r="R3" s="4">
        <v>692</v>
      </c>
      <c r="S3" s="4">
        <v>392354</v>
      </c>
      <c r="T3" s="4">
        <v>70951</v>
      </c>
      <c r="U3" s="4">
        <v>79103</v>
      </c>
      <c r="V3" s="4">
        <v>0</v>
      </c>
      <c r="W3" s="4">
        <v>38637</v>
      </c>
      <c r="X3" s="4">
        <v>4162</v>
      </c>
      <c r="Y3" s="4">
        <v>585207</v>
      </c>
      <c r="Z3" s="4">
        <v>73532</v>
      </c>
      <c r="AA3" s="4">
        <v>511675</v>
      </c>
      <c r="AB3" s="4">
        <v>264094</v>
      </c>
      <c r="AC3" s="4">
        <v>247581</v>
      </c>
    </row>
    <row r="4" spans="1:29" x14ac:dyDescent="0.25">
      <c r="A4" s="1" t="s">
        <v>0</v>
      </c>
      <c r="B4" s="1" t="s">
        <v>733</v>
      </c>
      <c r="C4" s="1" t="s">
        <v>2</v>
      </c>
      <c r="D4" s="1" t="s">
        <v>414</v>
      </c>
      <c r="E4" s="2">
        <v>56.04</v>
      </c>
      <c r="F4" s="3">
        <v>424.1</v>
      </c>
      <c r="G4" s="2">
        <v>480.14</v>
      </c>
      <c r="H4" s="2">
        <v>0</v>
      </c>
      <c r="I4" s="4">
        <v>2</v>
      </c>
      <c r="J4" s="3">
        <v>0</v>
      </c>
      <c r="K4" s="4">
        <v>426</v>
      </c>
      <c r="L4" s="2">
        <v>316.17</v>
      </c>
      <c r="M4" s="2">
        <v>56.49</v>
      </c>
      <c r="N4" s="2">
        <v>62.98</v>
      </c>
      <c r="O4" s="2">
        <v>31.19</v>
      </c>
      <c r="P4" s="2">
        <v>3.36</v>
      </c>
      <c r="Q4" s="4">
        <v>151806</v>
      </c>
      <c r="R4" s="4">
        <v>17190</v>
      </c>
      <c r="S4" s="4">
        <v>168996</v>
      </c>
      <c r="T4" s="4">
        <v>24065</v>
      </c>
      <c r="U4" s="4">
        <v>26829</v>
      </c>
      <c r="V4" s="4">
        <v>0</v>
      </c>
      <c r="W4" s="4">
        <v>14976</v>
      </c>
      <c r="X4" s="4">
        <v>1613</v>
      </c>
      <c r="Y4" s="4">
        <v>236479</v>
      </c>
      <c r="Z4" s="4">
        <v>29988</v>
      </c>
      <c r="AA4" s="4">
        <v>206491</v>
      </c>
      <c r="AB4" s="4">
        <v>100874</v>
      </c>
      <c r="AC4" s="4">
        <v>105617</v>
      </c>
    </row>
    <row r="5" spans="1:29" x14ac:dyDescent="0.25">
      <c r="A5" s="1" t="s">
        <v>0</v>
      </c>
      <c r="B5" s="1" t="s">
        <v>733</v>
      </c>
      <c r="C5" s="1" t="s">
        <v>3</v>
      </c>
      <c r="D5" s="1" t="s">
        <v>415</v>
      </c>
      <c r="E5" s="2">
        <v>74.42</v>
      </c>
      <c r="F5" s="3">
        <v>588.4</v>
      </c>
      <c r="G5" s="2">
        <v>662.82</v>
      </c>
      <c r="H5" s="2">
        <v>0</v>
      </c>
      <c r="I5" s="4">
        <v>68</v>
      </c>
      <c r="J5" s="3">
        <v>3.4</v>
      </c>
      <c r="K5" s="4">
        <v>653</v>
      </c>
      <c r="L5" s="2">
        <v>316.17</v>
      </c>
      <c r="M5" s="2">
        <v>56.49</v>
      </c>
      <c r="N5" s="2">
        <v>62.98</v>
      </c>
      <c r="O5" s="2">
        <v>31.19</v>
      </c>
      <c r="P5" s="2">
        <v>3.36</v>
      </c>
      <c r="Q5" s="4">
        <v>209564</v>
      </c>
      <c r="R5" s="4">
        <v>0</v>
      </c>
      <c r="S5" s="4">
        <v>209564</v>
      </c>
      <c r="T5" s="4">
        <v>36888</v>
      </c>
      <c r="U5" s="4">
        <v>41126</v>
      </c>
      <c r="V5" s="4">
        <v>0</v>
      </c>
      <c r="W5" s="4">
        <v>20673</v>
      </c>
      <c r="X5" s="4">
        <v>2227</v>
      </c>
      <c r="Y5" s="4">
        <v>310478</v>
      </c>
      <c r="Z5" s="4">
        <v>39375</v>
      </c>
      <c r="AA5" s="4">
        <v>271103</v>
      </c>
      <c r="AB5" s="4">
        <v>141276</v>
      </c>
      <c r="AC5" s="4">
        <v>129827</v>
      </c>
    </row>
    <row r="6" spans="1:29" x14ac:dyDescent="0.25">
      <c r="A6" s="1" t="s">
        <v>0</v>
      </c>
      <c r="B6" s="1" t="s">
        <v>733</v>
      </c>
      <c r="C6" s="1" t="s">
        <v>4</v>
      </c>
      <c r="D6" s="1" t="s">
        <v>416</v>
      </c>
      <c r="E6" s="2">
        <v>157.65</v>
      </c>
      <c r="F6" s="3">
        <v>1626.1</v>
      </c>
      <c r="G6" s="2">
        <v>1783.75</v>
      </c>
      <c r="H6" s="2">
        <v>0</v>
      </c>
      <c r="I6" s="4">
        <v>106</v>
      </c>
      <c r="J6" s="3">
        <v>0.8</v>
      </c>
      <c r="K6" s="4">
        <v>1731</v>
      </c>
      <c r="L6" s="2">
        <v>316.17</v>
      </c>
      <c r="M6" s="2">
        <v>56.49</v>
      </c>
      <c r="N6" s="2">
        <v>62.98</v>
      </c>
      <c r="O6" s="2">
        <v>31.19</v>
      </c>
      <c r="P6" s="2">
        <v>3.36</v>
      </c>
      <c r="Q6" s="4">
        <v>563968</v>
      </c>
      <c r="R6" s="4">
        <v>0</v>
      </c>
      <c r="S6" s="4">
        <v>563968</v>
      </c>
      <c r="T6" s="4">
        <v>97784</v>
      </c>
      <c r="U6" s="4">
        <v>109018</v>
      </c>
      <c r="V6" s="4">
        <v>0</v>
      </c>
      <c r="W6" s="4">
        <v>55635</v>
      </c>
      <c r="X6" s="4">
        <v>5993</v>
      </c>
      <c r="Y6" s="4">
        <v>832398</v>
      </c>
      <c r="Z6" s="4">
        <v>93008</v>
      </c>
      <c r="AA6" s="4">
        <v>739390</v>
      </c>
      <c r="AB6" s="4">
        <v>393153</v>
      </c>
      <c r="AC6" s="4">
        <v>346237</v>
      </c>
    </row>
    <row r="7" spans="1:29" x14ac:dyDescent="0.25">
      <c r="A7" s="1" t="s">
        <v>0</v>
      </c>
      <c r="B7" s="1" t="s">
        <v>733</v>
      </c>
      <c r="C7" s="1" t="s">
        <v>5</v>
      </c>
      <c r="D7" s="1" t="s">
        <v>417</v>
      </c>
      <c r="E7" s="2">
        <v>1876.85</v>
      </c>
      <c r="F7" s="3">
        <v>10429.799999999999</v>
      </c>
      <c r="G7" s="2">
        <v>12306.65</v>
      </c>
      <c r="H7" s="2">
        <v>0</v>
      </c>
      <c r="I7" s="4">
        <v>1606</v>
      </c>
      <c r="J7" s="3">
        <v>2.1</v>
      </c>
      <c r="K7" s="4">
        <v>12034</v>
      </c>
      <c r="L7" s="2">
        <v>316.17</v>
      </c>
      <c r="M7" s="2">
        <v>56.49</v>
      </c>
      <c r="N7" s="2">
        <v>62.98</v>
      </c>
      <c r="O7" s="2">
        <v>31.19</v>
      </c>
      <c r="P7" s="2">
        <v>3.36</v>
      </c>
      <c r="Q7" s="4">
        <v>3890994</v>
      </c>
      <c r="R7" s="4">
        <v>0</v>
      </c>
      <c r="S7" s="4">
        <v>3890994</v>
      </c>
      <c r="T7" s="4">
        <v>679801</v>
      </c>
      <c r="U7" s="4">
        <v>757901</v>
      </c>
      <c r="V7" s="4">
        <v>0</v>
      </c>
      <c r="W7" s="4">
        <v>383844</v>
      </c>
      <c r="X7" s="4">
        <v>41350</v>
      </c>
      <c r="Y7" s="4">
        <v>5753890</v>
      </c>
      <c r="Z7" s="4">
        <v>514177</v>
      </c>
      <c r="AA7" s="4">
        <v>5239713</v>
      </c>
      <c r="AB7" s="4">
        <v>2840000</v>
      </c>
      <c r="AC7" s="4">
        <v>2399713</v>
      </c>
    </row>
    <row r="8" spans="1:29" x14ac:dyDescent="0.25">
      <c r="A8" s="1" t="s">
        <v>0</v>
      </c>
      <c r="B8" s="1" t="s">
        <v>733</v>
      </c>
      <c r="C8" s="1" t="s">
        <v>6</v>
      </c>
      <c r="D8" s="1" t="s">
        <v>418</v>
      </c>
      <c r="E8" s="2">
        <v>29.04</v>
      </c>
      <c r="F8" s="3">
        <v>327.10000000000002</v>
      </c>
      <c r="G8" s="2">
        <v>356.14</v>
      </c>
      <c r="H8" s="2">
        <v>0</v>
      </c>
      <c r="I8" s="4">
        <v>5</v>
      </c>
      <c r="J8" s="3">
        <v>0</v>
      </c>
      <c r="K8" s="4">
        <v>332</v>
      </c>
      <c r="L8" s="2">
        <v>316.17</v>
      </c>
      <c r="M8" s="2">
        <v>56.49</v>
      </c>
      <c r="N8" s="2">
        <v>62.98</v>
      </c>
      <c r="O8" s="2">
        <v>31.19</v>
      </c>
      <c r="P8" s="2">
        <v>3.36</v>
      </c>
      <c r="Q8" s="4">
        <v>112601</v>
      </c>
      <c r="R8" s="4">
        <v>15626</v>
      </c>
      <c r="S8" s="4">
        <v>128227</v>
      </c>
      <c r="T8" s="4">
        <v>18755</v>
      </c>
      <c r="U8" s="4">
        <v>20909</v>
      </c>
      <c r="V8" s="4">
        <v>0</v>
      </c>
      <c r="W8" s="4">
        <v>11108</v>
      </c>
      <c r="X8" s="4">
        <v>1197</v>
      </c>
      <c r="Y8" s="4">
        <v>180196</v>
      </c>
      <c r="Z8" s="4">
        <v>23749</v>
      </c>
      <c r="AA8" s="4">
        <v>156447</v>
      </c>
      <c r="AB8" s="4">
        <v>73317</v>
      </c>
      <c r="AC8" s="4">
        <v>83130</v>
      </c>
    </row>
    <row r="9" spans="1:29" x14ac:dyDescent="0.25">
      <c r="A9" s="1" t="s">
        <v>0</v>
      </c>
      <c r="B9" s="1" t="s">
        <v>733</v>
      </c>
      <c r="C9" s="1" t="s">
        <v>7</v>
      </c>
      <c r="D9" s="1" t="s">
        <v>419</v>
      </c>
      <c r="E9" s="2">
        <v>42.22</v>
      </c>
      <c r="F9" s="3">
        <v>419</v>
      </c>
      <c r="G9" s="2">
        <v>461.22</v>
      </c>
      <c r="H9" s="2">
        <v>0</v>
      </c>
      <c r="I9" s="4">
        <v>36</v>
      </c>
      <c r="J9" s="3">
        <v>0</v>
      </c>
      <c r="K9" s="4">
        <v>455</v>
      </c>
      <c r="L9" s="2">
        <v>316.17</v>
      </c>
      <c r="M9" s="2">
        <v>56.49</v>
      </c>
      <c r="N9" s="2">
        <v>62.98</v>
      </c>
      <c r="O9" s="2">
        <v>31.19</v>
      </c>
      <c r="P9" s="2">
        <v>3.36</v>
      </c>
      <c r="Q9" s="4">
        <v>145824</v>
      </c>
      <c r="R9" s="4">
        <v>0</v>
      </c>
      <c r="S9" s="4">
        <v>145824</v>
      </c>
      <c r="T9" s="4">
        <v>25703</v>
      </c>
      <c r="U9" s="4">
        <v>28656</v>
      </c>
      <c r="V9" s="4">
        <v>0</v>
      </c>
      <c r="W9" s="4">
        <v>14385</v>
      </c>
      <c r="X9" s="4">
        <v>1550</v>
      </c>
      <c r="Y9" s="4">
        <v>216118</v>
      </c>
      <c r="Z9" s="4">
        <v>27107</v>
      </c>
      <c r="AA9" s="4">
        <v>189011</v>
      </c>
      <c r="AB9" s="4">
        <v>98598</v>
      </c>
      <c r="AC9" s="4">
        <v>90413</v>
      </c>
    </row>
    <row r="10" spans="1:29" x14ac:dyDescent="0.25">
      <c r="A10" s="1" t="s">
        <v>0</v>
      </c>
      <c r="B10" s="1" t="s">
        <v>733</v>
      </c>
      <c r="C10" s="1" t="s">
        <v>8</v>
      </c>
      <c r="D10" s="1" t="s">
        <v>420</v>
      </c>
      <c r="E10" s="2">
        <v>171.26</v>
      </c>
      <c r="F10" s="3">
        <v>1171.2</v>
      </c>
      <c r="G10" s="2">
        <v>1342.46</v>
      </c>
      <c r="H10" s="2">
        <v>0</v>
      </c>
      <c r="I10" s="4">
        <v>170</v>
      </c>
      <c r="J10" s="3">
        <v>1.4</v>
      </c>
      <c r="K10" s="4">
        <v>1340</v>
      </c>
      <c r="L10" s="2">
        <v>316.17</v>
      </c>
      <c r="M10" s="2">
        <v>56.49</v>
      </c>
      <c r="N10" s="2">
        <v>62.98</v>
      </c>
      <c r="O10" s="2">
        <v>31.19</v>
      </c>
      <c r="P10" s="2">
        <v>3.36</v>
      </c>
      <c r="Q10" s="4">
        <v>424446</v>
      </c>
      <c r="R10" s="4">
        <v>7484</v>
      </c>
      <c r="S10" s="4">
        <v>431930</v>
      </c>
      <c r="T10" s="4">
        <v>75697</v>
      </c>
      <c r="U10" s="4">
        <v>84393</v>
      </c>
      <c r="V10" s="4">
        <v>0</v>
      </c>
      <c r="W10" s="4">
        <v>41871</v>
      </c>
      <c r="X10" s="4">
        <v>4511</v>
      </c>
      <c r="Y10" s="4">
        <v>638402</v>
      </c>
      <c r="Z10" s="4">
        <v>74965</v>
      </c>
      <c r="AA10" s="4">
        <v>563437</v>
      </c>
      <c r="AB10" s="4">
        <v>290922</v>
      </c>
      <c r="AC10" s="4">
        <v>272515</v>
      </c>
    </row>
    <row r="11" spans="1:29" x14ac:dyDescent="0.25">
      <c r="A11" s="1" t="s">
        <v>0</v>
      </c>
      <c r="B11" s="1" t="s">
        <v>733</v>
      </c>
      <c r="C11" s="1" t="s">
        <v>10</v>
      </c>
      <c r="D11" s="1" t="s">
        <v>422</v>
      </c>
      <c r="E11" s="2">
        <v>100.34</v>
      </c>
      <c r="F11" s="3">
        <v>772.1</v>
      </c>
      <c r="G11" s="2">
        <v>872.44</v>
      </c>
      <c r="H11" s="2">
        <v>0</v>
      </c>
      <c r="I11" s="4">
        <v>1</v>
      </c>
      <c r="J11" s="3">
        <v>0</v>
      </c>
      <c r="K11" s="4">
        <v>773</v>
      </c>
      <c r="L11" s="2">
        <v>316.17</v>
      </c>
      <c r="M11" s="2">
        <v>56.49</v>
      </c>
      <c r="N11" s="2">
        <v>62.98</v>
      </c>
      <c r="O11" s="2">
        <v>31.19</v>
      </c>
      <c r="P11" s="2">
        <v>3.36</v>
      </c>
      <c r="Q11" s="4">
        <v>275839</v>
      </c>
      <c r="R11" s="4">
        <v>0</v>
      </c>
      <c r="S11" s="4">
        <v>275839</v>
      </c>
      <c r="T11" s="4">
        <v>43667</v>
      </c>
      <c r="U11" s="4">
        <v>48684</v>
      </c>
      <c r="V11" s="4">
        <v>0</v>
      </c>
      <c r="W11" s="4">
        <v>27211</v>
      </c>
      <c r="X11" s="4">
        <v>2931</v>
      </c>
      <c r="Y11" s="4">
        <v>398332</v>
      </c>
      <c r="Z11" s="4">
        <v>49021</v>
      </c>
      <c r="AA11" s="4">
        <v>349311</v>
      </c>
      <c r="AB11" s="4">
        <v>188762</v>
      </c>
      <c r="AC11" s="4">
        <v>160549</v>
      </c>
    </row>
    <row r="12" spans="1:29" x14ac:dyDescent="0.25">
      <c r="A12" s="1" t="s">
        <v>0</v>
      </c>
      <c r="B12" s="1" t="s">
        <v>733</v>
      </c>
      <c r="C12" s="1" t="s">
        <v>9</v>
      </c>
      <c r="D12" s="1" t="s">
        <v>421</v>
      </c>
      <c r="E12" s="2">
        <v>66.19</v>
      </c>
      <c r="F12" s="3">
        <v>699.4</v>
      </c>
      <c r="G12" s="2">
        <v>765.59</v>
      </c>
      <c r="H12" s="2">
        <v>0</v>
      </c>
      <c r="I12" s="4">
        <v>30</v>
      </c>
      <c r="J12" s="3">
        <v>0</v>
      </c>
      <c r="K12" s="4">
        <v>729</v>
      </c>
      <c r="L12" s="2">
        <v>316.17</v>
      </c>
      <c r="M12" s="2">
        <v>56.49</v>
      </c>
      <c r="N12" s="2">
        <v>62.98</v>
      </c>
      <c r="O12" s="2">
        <v>31.19</v>
      </c>
      <c r="P12" s="2">
        <v>3.36</v>
      </c>
      <c r="Q12" s="4">
        <v>242057</v>
      </c>
      <c r="R12" s="4">
        <v>0</v>
      </c>
      <c r="S12" s="4">
        <v>242057</v>
      </c>
      <c r="T12" s="4">
        <v>41181</v>
      </c>
      <c r="U12" s="4">
        <v>45912</v>
      </c>
      <c r="V12" s="4">
        <v>0</v>
      </c>
      <c r="W12" s="4">
        <v>23879</v>
      </c>
      <c r="X12" s="4">
        <v>2572</v>
      </c>
      <c r="Y12" s="4">
        <v>355601</v>
      </c>
      <c r="Z12" s="4">
        <v>45215</v>
      </c>
      <c r="AA12" s="4">
        <v>310386</v>
      </c>
      <c r="AB12" s="4">
        <v>163446</v>
      </c>
      <c r="AC12" s="4">
        <v>146940</v>
      </c>
    </row>
    <row r="13" spans="1:29" x14ac:dyDescent="0.25">
      <c r="A13" s="1" t="s">
        <v>0</v>
      </c>
      <c r="B13" s="1" t="s">
        <v>733</v>
      </c>
      <c r="C13" s="1" t="s">
        <v>11</v>
      </c>
      <c r="D13" s="1" t="s">
        <v>423</v>
      </c>
      <c r="E13" s="2">
        <v>113.44</v>
      </c>
      <c r="F13" s="3">
        <v>940.6</v>
      </c>
      <c r="G13" s="2">
        <v>1054.04</v>
      </c>
      <c r="H13" s="2">
        <v>0</v>
      </c>
      <c r="I13" s="4">
        <v>132</v>
      </c>
      <c r="J13" s="3">
        <v>2.6</v>
      </c>
      <c r="K13" s="4">
        <v>1070</v>
      </c>
      <c r="L13" s="2">
        <v>316.17</v>
      </c>
      <c r="M13" s="2">
        <v>56.49</v>
      </c>
      <c r="N13" s="2">
        <v>62.98</v>
      </c>
      <c r="O13" s="2">
        <v>31.19</v>
      </c>
      <c r="P13" s="2">
        <v>3.36</v>
      </c>
      <c r="Q13" s="4">
        <v>333256</v>
      </c>
      <c r="R13" s="4">
        <v>2570</v>
      </c>
      <c r="S13" s="4">
        <v>335826</v>
      </c>
      <c r="T13" s="4">
        <v>60444</v>
      </c>
      <c r="U13" s="4">
        <v>67389</v>
      </c>
      <c r="V13" s="4">
        <v>0</v>
      </c>
      <c r="W13" s="4">
        <v>33097</v>
      </c>
      <c r="X13" s="4">
        <v>3563</v>
      </c>
      <c r="Y13" s="4">
        <v>500319</v>
      </c>
      <c r="Z13" s="4">
        <v>58022</v>
      </c>
      <c r="AA13" s="4">
        <v>442297</v>
      </c>
      <c r="AB13" s="4">
        <v>229500</v>
      </c>
      <c r="AC13" s="4">
        <v>212797</v>
      </c>
    </row>
    <row r="14" spans="1:29" x14ac:dyDescent="0.25">
      <c r="A14" s="1" t="s">
        <v>0</v>
      </c>
      <c r="B14" s="1" t="s">
        <v>733</v>
      </c>
      <c r="C14" s="1" t="s">
        <v>12</v>
      </c>
      <c r="D14" s="1" t="s">
        <v>424</v>
      </c>
      <c r="E14" s="2">
        <v>175.18</v>
      </c>
      <c r="F14" s="3">
        <v>1124.4000000000001</v>
      </c>
      <c r="G14" s="2">
        <v>1299.58</v>
      </c>
      <c r="H14" s="2">
        <v>0</v>
      </c>
      <c r="I14" s="4">
        <v>5</v>
      </c>
      <c r="J14" s="3">
        <v>0</v>
      </c>
      <c r="K14" s="4">
        <v>1129</v>
      </c>
      <c r="L14" s="2">
        <v>316.17</v>
      </c>
      <c r="M14" s="2">
        <v>56.49</v>
      </c>
      <c r="N14" s="2">
        <v>62.98</v>
      </c>
      <c r="O14" s="2">
        <v>31.19</v>
      </c>
      <c r="P14" s="2">
        <v>3.36</v>
      </c>
      <c r="Q14" s="4">
        <v>410888</v>
      </c>
      <c r="R14" s="4">
        <v>26084</v>
      </c>
      <c r="S14" s="4">
        <v>436972</v>
      </c>
      <c r="T14" s="4">
        <v>63777</v>
      </c>
      <c r="U14" s="4">
        <v>71104</v>
      </c>
      <c r="V14" s="4">
        <v>0</v>
      </c>
      <c r="W14" s="4">
        <v>40534</v>
      </c>
      <c r="X14" s="4">
        <v>4367</v>
      </c>
      <c r="Y14" s="4">
        <v>616754</v>
      </c>
      <c r="Z14" s="4">
        <v>80898</v>
      </c>
      <c r="AA14" s="4">
        <v>535856</v>
      </c>
      <c r="AB14" s="4">
        <v>273303</v>
      </c>
      <c r="AC14" s="4">
        <v>262553</v>
      </c>
    </row>
    <row r="15" spans="1:29" x14ac:dyDescent="0.25">
      <c r="A15" s="1" t="s">
        <v>0</v>
      </c>
      <c r="B15" s="1" t="s">
        <v>733</v>
      </c>
      <c r="C15" s="1" t="s">
        <v>13</v>
      </c>
      <c r="D15" s="1" t="s">
        <v>425</v>
      </c>
      <c r="E15" s="2">
        <v>267.27</v>
      </c>
      <c r="F15" s="3">
        <v>1320.6</v>
      </c>
      <c r="G15" s="2">
        <v>1587.87</v>
      </c>
      <c r="H15" s="2">
        <v>0</v>
      </c>
      <c r="I15" s="4">
        <v>65</v>
      </c>
      <c r="J15" s="3">
        <v>3.4</v>
      </c>
      <c r="K15" s="4">
        <v>1382</v>
      </c>
      <c r="L15" s="2">
        <v>316.17</v>
      </c>
      <c r="M15" s="2">
        <v>56.49</v>
      </c>
      <c r="N15" s="2">
        <v>62.98</v>
      </c>
      <c r="O15" s="2">
        <v>31.19</v>
      </c>
      <c r="P15" s="2">
        <v>3.36</v>
      </c>
      <c r="Q15" s="4">
        <v>502037</v>
      </c>
      <c r="R15" s="4">
        <v>0</v>
      </c>
      <c r="S15" s="4">
        <v>502037</v>
      </c>
      <c r="T15" s="4">
        <v>78069</v>
      </c>
      <c r="U15" s="4">
        <v>87038</v>
      </c>
      <c r="V15" s="4">
        <v>0</v>
      </c>
      <c r="W15" s="4">
        <v>49526</v>
      </c>
      <c r="X15" s="4">
        <v>5335</v>
      </c>
      <c r="Y15" s="4">
        <v>722005</v>
      </c>
      <c r="Z15" s="4">
        <v>78419</v>
      </c>
      <c r="AA15" s="4">
        <v>643586</v>
      </c>
      <c r="AB15" s="4">
        <v>354355</v>
      </c>
      <c r="AC15" s="4">
        <v>289231</v>
      </c>
    </row>
    <row r="16" spans="1:29" x14ac:dyDescent="0.25">
      <c r="A16" s="1" t="s">
        <v>0</v>
      </c>
      <c r="B16" s="1" t="s">
        <v>733</v>
      </c>
      <c r="C16" s="1" t="s">
        <v>14</v>
      </c>
      <c r="D16" s="1" t="s">
        <v>426</v>
      </c>
      <c r="E16" s="2">
        <v>93.8</v>
      </c>
      <c r="F16" s="3">
        <v>729</v>
      </c>
      <c r="G16" s="2">
        <v>822.8</v>
      </c>
      <c r="H16" s="2">
        <v>0</v>
      </c>
      <c r="I16" s="4">
        <v>1</v>
      </c>
      <c r="J16" s="3">
        <v>0</v>
      </c>
      <c r="K16" s="4">
        <v>730</v>
      </c>
      <c r="L16" s="2">
        <v>316.17</v>
      </c>
      <c r="M16" s="2">
        <v>56.49</v>
      </c>
      <c r="N16" s="2">
        <v>62.98</v>
      </c>
      <c r="O16" s="2">
        <v>31.19</v>
      </c>
      <c r="P16" s="2">
        <v>3.36</v>
      </c>
      <c r="Q16" s="4">
        <v>260145</v>
      </c>
      <c r="R16" s="4">
        <v>0</v>
      </c>
      <c r="S16" s="4">
        <v>260145</v>
      </c>
      <c r="T16" s="4">
        <v>41238</v>
      </c>
      <c r="U16" s="4">
        <v>45975</v>
      </c>
      <c r="V16" s="4">
        <v>0</v>
      </c>
      <c r="W16" s="4">
        <v>25663</v>
      </c>
      <c r="X16" s="4">
        <v>2765</v>
      </c>
      <c r="Y16" s="4">
        <v>375786</v>
      </c>
      <c r="Z16" s="4">
        <v>30686</v>
      </c>
      <c r="AA16" s="4">
        <v>345100</v>
      </c>
      <c r="AB16" s="4">
        <v>193568</v>
      </c>
      <c r="AC16" s="4">
        <v>151532</v>
      </c>
    </row>
    <row r="17" spans="1:29" x14ac:dyDescent="0.25">
      <c r="A17" s="1" t="s">
        <v>0</v>
      </c>
      <c r="B17" s="1" t="s">
        <v>733</v>
      </c>
      <c r="C17" s="1" t="s">
        <v>15</v>
      </c>
      <c r="D17" s="1" t="s">
        <v>427</v>
      </c>
      <c r="E17" s="2">
        <v>42.73</v>
      </c>
      <c r="F17" s="3">
        <v>313.60000000000002</v>
      </c>
      <c r="G17" s="2">
        <v>356.33</v>
      </c>
      <c r="H17" s="2">
        <v>0</v>
      </c>
      <c r="I17" s="4">
        <v>4</v>
      </c>
      <c r="J17" s="3">
        <v>0</v>
      </c>
      <c r="K17" s="4">
        <v>318</v>
      </c>
      <c r="L17" s="2">
        <v>316.17</v>
      </c>
      <c r="M17" s="2">
        <v>56.49</v>
      </c>
      <c r="N17" s="2">
        <v>62.98</v>
      </c>
      <c r="O17" s="2">
        <v>31.19</v>
      </c>
      <c r="P17" s="2">
        <v>3.36</v>
      </c>
      <c r="Q17" s="4">
        <v>112661</v>
      </c>
      <c r="R17" s="4">
        <v>971</v>
      </c>
      <c r="S17" s="4">
        <v>113632</v>
      </c>
      <c r="T17" s="4">
        <v>17964</v>
      </c>
      <c r="U17" s="4">
        <v>20028</v>
      </c>
      <c r="V17" s="4">
        <v>0</v>
      </c>
      <c r="W17" s="4">
        <v>11199</v>
      </c>
      <c r="X17" s="4">
        <v>1206</v>
      </c>
      <c r="Y17" s="4">
        <v>164029</v>
      </c>
      <c r="Z17" s="4">
        <v>21332</v>
      </c>
      <c r="AA17" s="4">
        <v>142697</v>
      </c>
      <c r="AB17" s="4">
        <v>75880</v>
      </c>
      <c r="AC17" s="4">
        <v>66817</v>
      </c>
    </row>
    <row r="18" spans="1:29" x14ac:dyDescent="0.25">
      <c r="A18" s="1" t="s">
        <v>0</v>
      </c>
      <c r="B18" s="1" t="s">
        <v>733</v>
      </c>
      <c r="C18" s="1" t="s">
        <v>16</v>
      </c>
      <c r="D18" s="1" t="s">
        <v>428</v>
      </c>
      <c r="E18" s="2">
        <v>101.46</v>
      </c>
      <c r="F18" s="3">
        <v>501.8</v>
      </c>
      <c r="G18" s="2">
        <v>603.26</v>
      </c>
      <c r="H18" s="2">
        <v>0</v>
      </c>
      <c r="I18" s="4">
        <v>190</v>
      </c>
      <c r="J18" s="3">
        <v>2.8</v>
      </c>
      <c r="K18" s="4">
        <v>689</v>
      </c>
      <c r="L18" s="2">
        <v>316.17</v>
      </c>
      <c r="M18" s="2">
        <v>56.49</v>
      </c>
      <c r="N18" s="2">
        <v>62.98</v>
      </c>
      <c r="O18" s="2">
        <v>31.19</v>
      </c>
      <c r="P18" s="2">
        <v>3.36</v>
      </c>
      <c r="Q18" s="4">
        <v>190733</v>
      </c>
      <c r="R18" s="4">
        <v>2802</v>
      </c>
      <c r="S18" s="4">
        <v>193535</v>
      </c>
      <c r="T18" s="4">
        <v>38922</v>
      </c>
      <c r="U18" s="4">
        <v>43393</v>
      </c>
      <c r="V18" s="4">
        <v>0</v>
      </c>
      <c r="W18" s="4">
        <v>18816</v>
      </c>
      <c r="X18" s="4">
        <v>2027</v>
      </c>
      <c r="Y18" s="4">
        <v>296693</v>
      </c>
      <c r="Z18" s="4">
        <v>37693</v>
      </c>
      <c r="AA18" s="4">
        <v>259000</v>
      </c>
      <c r="AB18" s="4">
        <v>126726</v>
      </c>
      <c r="AC18" s="4">
        <v>132274</v>
      </c>
    </row>
    <row r="19" spans="1:29" x14ac:dyDescent="0.25">
      <c r="A19" s="1" t="s">
        <v>0</v>
      </c>
      <c r="B19" s="1" t="s">
        <v>733</v>
      </c>
      <c r="C19" s="1" t="s">
        <v>17</v>
      </c>
      <c r="D19" s="1" t="s">
        <v>429</v>
      </c>
      <c r="E19" s="2">
        <v>90.83</v>
      </c>
      <c r="F19" s="3">
        <v>599</v>
      </c>
      <c r="G19" s="2">
        <v>689.83</v>
      </c>
      <c r="H19" s="2">
        <v>0</v>
      </c>
      <c r="I19" s="4">
        <v>0</v>
      </c>
      <c r="J19" s="3">
        <v>0</v>
      </c>
      <c r="K19" s="4">
        <v>599</v>
      </c>
      <c r="L19" s="2">
        <v>316.17</v>
      </c>
      <c r="M19" s="2">
        <v>56.49</v>
      </c>
      <c r="N19" s="2">
        <v>62.98</v>
      </c>
      <c r="O19" s="2">
        <v>31.19</v>
      </c>
      <c r="P19" s="2">
        <v>3.36</v>
      </c>
      <c r="Q19" s="4">
        <v>218104</v>
      </c>
      <c r="R19" s="4">
        <v>1110</v>
      </c>
      <c r="S19" s="4">
        <v>219214</v>
      </c>
      <c r="T19" s="4">
        <v>33838</v>
      </c>
      <c r="U19" s="4">
        <v>37725</v>
      </c>
      <c r="V19" s="4">
        <v>0</v>
      </c>
      <c r="W19" s="4">
        <v>21605</v>
      </c>
      <c r="X19" s="4">
        <v>2326</v>
      </c>
      <c r="Y19" s="4">
        <v>314708</v>
      </c>
      <c r="Z19" s="4">
        <v>41746</v>
      </c>
      <c r="AA19" s="4">
        <v>272962</v>
      </c>
      <c r="AB19" s="4">
        <v>146365</v>
      </c>
      <c r="AC19" s="4">
        <v>126597</v>
      </c>
    </row>
    <row r="20" spans="1:29" x14ac:dyDescent="0.25">
      <c r="A20" s="1" t="s">
        <v>0</v>
      </c>
      <c r="B20" s="1" t="s">
        <v>733</v>
      </c>
      <c r="C20" s="1" t="s">
        <v>18</v>
      </c>
      <c r="D20" s="1" t="s">
        <v>430</v>
      </c>
      <c r="E20" s="2">
        <v>62.68</v>
      </c>
      <c r="F20" s="3">
        <v>343.2</v>
      </c>
      <c r="G20" s="2">
        <v>405.88</v>
      </c>
      <c r="H20" s="2">
        <v>0</v>
      </c>
      <c r="I20" s="4">
        <v>60</v>
      </c>
      <c r="J20" s="3">
        <v>0.2</v>
      </c>
      <c r="K20" s="4">
        <v>403</v>
      </c>
      <c r="L20" s="2">
        <v>316.17</v>
      </c>
      <c r="M20" s="2">
        <v>56.49</v>
      </c>
      <c r="N20" s="2">
        <v>62.98</v>
      </c>
      <c r="O20" s="2">
        <v>31.19</v>
      </c>
      <c r="P20" s="2">
        <v>3.36</v>
      </c>
      <c r="Q20" s="4">
        <v>128327</v>
      </c>
      <c r="R20" s="4">
        <v>18427</v>
      </c>
      <c r="S20" s="4">
        <v>146754</v>
      </c>
      <c r="T20" s="4">
        <v>22765</v>
      </c>
      <c r="U20" s="4">
        <v>25381</v>
      </c>
      <c r="V20" s="4">
        <v>0</v>
      </c>
      <c r="W20" s="4">
        <v>12659</v>
      </c>
      <c r="X20" s="4">
        <v>1364</v>
      </c>
      <c r="Y20" s="4">
        <v>208923</v>
      </c>
      <c r="Z20" s="4">
        <v>29583</v>
      </c>
      <c r="AA20" s="4">
        <v>179340</v>
      </c>
      <c r="AB20" s="4">
        <v>81039</v>
      </c>
      <c r="AC20" s="4">
        <v>98301</v>
      </c>
    </row>
    <row r="21" spans="1:29" x14ac:dyDescent="0.25">
      <c r="A21" s="1" t="s">
        <v>0</v>
      </c>
      <c r="B21" s="1" t="s">
        <v>733</v>
      </c>
      <c r="C21" s="1" t="s">
        <v>19</v>
      </c>
      <c r="D21" s="1" t="s">
        <v>431</v>
      </c>
      <c r="E21" s="2">
        <v>26.96</v>
      </c>
      <c r="F21" s="3">
        <v>254</v>
      </c>
      <c r="G21" s="2">
        <v>280.95999999999998</v>
      </c>
      <c r="H21" s="2">
        <v>0</v>
      </c>
      <c r="I21" s="4">
        <v>2</v>
      </c>
      <c r="J21" s="3">
        <v>0</v>
      </c>
      <c r="K21" s="4">
        <v>256</v>
      </c>
      <c r="L21" s="2">
        <v>316.17</v>
      </c>
      <c r="M21" s="2">
        <v>56.49</v>
      </c>
      <c r="N21" s="2">
        <v>62.98</v>
      </c>
      <c r="O21" s="2">
        <v>31.19</v>
      </c>
      <c r="P21" s="2">
        <v>3.36</v>
      </c>
      <c r="Q21" s="4">
        <v>88831</v>
      </c>
      <c r="R21" s="4">
        <v>9429</v>
      </c>
      <c r="S21" s="4">
        <v>98260</v>
      </c>
      <c r="T21" s="4">
        <v>14461</v>
      </c>
      <c r="U21" s="4">
        <v>16123</v>
      </c>
      <c r="V21" s="4">
        <v>0</v>
      </c>
      <c r="W21" s="4">
        <v>8835</v>
      </c>
      <c r="X21" s="4">
        <v>951</v>
      </c>
      <c r="Y21" s="4">
        <v>138630</v>
      </c>
      <c r="Z21" s="4">
        <v>16863</v>
      </c>
      <c r="AA21" s="4">
        <v>121767</v>
      </c>
      <c r="AB21" s="4">
        <v>59791</v>
      </c>
      <c r="AC21" s="4">
        <v>61976</v>
      </c>
    </row>
    <row r="22" spans="1:29" x14ac:dyDescent="0.25">
      <c r="A22" s="1" t="s">
        <v>0</v>
      </c>
      <c r="B22" s="1" t="s">
        <v>733</v>
      </c>
      <c r="C22" s="1" t="s">
        <v>20</v>
      </c>
      <c r="D22" s="1" t="s">
        <v>432</v>
      </c>
      <c r="E22" s="2">
        <v>187.48</v>
      </c>
      <c r="F22" s="3">
        <v>1439.4</v>
      </c>
      <c r="G22" s="2">
        <v>1626.88</v>
      </c>
      <c r="H22" s="2">
        <v>0</v>
      </c>
      <c r="I22" s="4">
        <v>159</v>
      </c>
      <c r="J22" s="3">
        <v>0.9</v>
      </c>
      <c r="K22" s="4">
        <v>1598</v>
      </c>
      <c r="L22" s="2">
        <v>316.17</v>
      </c>
      <c r="M22" s="2">
        <v>56.49</v>
      </c>
      <c r="N22" s="2">
        <v>62.98</v>
      </c>
      <c r="O22" s="2">
        <v>31.19</v>
      </c>
      <c r="P22" s="2">
        <v>3.36</v>
      </c>
      <c r="Q22" s="4">
        <v>514371</v>
      </c>
      <c r="R22" s="4">
        <v>0</v>
      </c>
      <c r="S22" s="4">
        <v>514371</v>
      </c>
      <c r="T22" s="4">
        <v>90271</v>
      </c>
      <c r="U22" s="4">
        <v>100642</v>
      </c>
      <c r="V22" s="4">
        <v>0</v>
      </c>
      <c r="W22" s="4">
        <v>50742</v>
      </c>
      <c r="X22" s="4">
        <v>5466</v>
      </c>
      <c r="Y22" s="4">
        <v>761492</v>
      </c>
      <c r="Z22" s="4">
        <v>90517</v>
      </c>
      <c r="AA22" s="4">
        <v>670975</v>
      </c>
      <c r="AB22" s="4">
        <v>352888</v>
      </c>
      <c r="AC22" s="4">
        <v>318087</v>
      </c>
    </row>
    <row r="23" spans="1:29" x14ac:dyDescent="0.25">
      <c r="A23" s="1" t="s">
        <v>0</v>
      </c>
      <c r="B23" s="1" t="s">
        <v>733</v>
      </c>
      <c r="C23" s="1" t="s">
        <v>21</v>
      </c>
      <c r="D23" s="1" t="s">
        <v>433</v>
      </c>
      <c r="E23" s="2">
        <v>387.76</v>
      </c>
      <c r="F23" s="3">
        <v>3093.7</v>
      </c>
      <c r="G23" s="2">
        <v>3481.46</v>
      </c>
      <c r="H23" s="2">
        <v>0</v>
      </c>
      <c r="I23" s="4">
        <v>1187</v>
      </c>
      <c r="J23" s="3">
        <v>4.4000000000000004</v>
      </c>
      <c r="K23" s="4">
        <v>4276</v>
      </c>
      <c r="L23" s="2">
        <v>316.17</v>
      </c>
      <c r="M23" s="2">
        <v>56.49</v>
      </c>
      <c r="N23" s="2">
        <v>62.98</v>
      </c>
      <c r="O23" s="2">
        <v>31.19</v>
      </c>
      <c r="P23" s="2">
        <v>3.36</v>
      </c>
      <c r="Q23" s="4">
        <v>1100733</v>
      </c>
      <c r="R23" s="4">
        <v>0</v>
      </c>
      <c r="S23" s="4">
        <v>1100733</v>
      </c>
      <c r="T23" s="4">
        <v>241551</v>
      </c>
      <c r="U23" s="4">
        <v>269302</v>
      </c>
      <c r="V23" s="4">
        <v>0</v>
      </c>
      <c r="W23" s="4">
        <v>108587</v>
      </c>
      <c r="X23" s="4">
        <v>11698</v>
      </c>
      <c r="Y23" s="4">
        <v>1731871</v>
      </c>
      <c r="Z23" s="4">
        <v>140594</v>
      </c>
      <c r="AA23" s="4">
        <v>1591277</v>
      </c>
      <c r="AB23" s="4">
        <v>808278</v>
      </c>
      <c r="AC23" s="4">
        <v>782999</v>
      </c>
    </row>
    <row r="24" spans="1:29" x14ac:dyDescent="0.25">
      <c r="A24" s="1" t="s">
        <v>22</v>
      </c>
      <c r="B24" s="1" t="s">
        <v>734</v>
      </c>
      <c r="C24" s="1" t="s">
        <v>23</v>
      </c>
      <c r="D24" s="1" t="s">
        <v>434</v>
      </c>
      <c r="E24" s="2">
        <v>25.98</v>
      </c>
      <c r="F24" s="3">
        <v>202.2</v>
      </c>
      <c r="G24" s="2">
        <v>228.18</v>
      </c>
      <c r="H24" s="2">
        <v>0.64</v>
      </c>
      <c r="I24" s="4">
        <v>0</v>
      </c>
      <c r="J24" s="3">
        <v>0</v>
      </c>
      <c r="K24" s="4">
        <v>202</v>
      </c>
      <c r="L24" s="2">
        <v>311.92</v>
      </c>
      <c r="M24" s="2">
        <v>56.57</v>
      </c>
      <c r="N24" s="2">
        <v>63.45</v>
      </c>
      <c r="O24" s="2">
        <v>33.15</v>
      </c>
      <c r="P24" s="2">
        <v>3.95</v>
      </c>
      <c r="Q24" s="4">
        <v>71174</v>
      </c>
      <c r="R24" s="4">
        <v>3098</v>
      </c>
      <c r="S24" s="4">
        <v>74272</v>
      </c>
      <c r="T24" s="4">
        <v>11427</v>
      </c>
      <c r="U24" s="4">
        <v>12817</v>
      </c>
      <c r="V24" s="4">
        <v>200</v>
      </c>
      <c r="W24" s="4">
        <v>7619</v>
      </c>
      <c r="X24" s="4">
        <v>909</v>
      </c>
      <c r="Y24" s="4">
        <v>107244</v>
      </c>
      <c r="Z24" s="4">
        <v>14109</v>
      </c>
      <c r="AA24" s="4">
        <v>93135</v>
      </c>
      <c r="AB24" s="4">
        <v>48878</v>
      </c>
      <c r="AC24" s="4">
        <v>44257</v>
      </c>
    </row>
    <row r="25" spans="1:29" x14ac:dyDescent="0.25">
      <c r="A25" s="1" t="s">
        <v>22</v>
      </c>
      <c r="B25" s="1" t="s">
        <v>734</v>
      </c>
      <c r="C25" s="1" t="s">
        <v>24</v>
      </c>
      <c r="D25" s="1" t="s">
        <v>435</v>
      </c>
      <c r="E25" s="2">
        <v>197.07</v>
      </c>
      <c r="F25" s="3">
        <v>1290.5</v>
      </c>
      <c r="G25" s="2">
        <v>1487.57</v>
      </c>
      <c r="H25" s="2">
        <v>4.21</v>
      </c>
      <c r="I25" s="4">
        <v>331</v>
      </c>
      <c r="J25" s="3">
        <v>10.7</v>
      </c>
      <c r="K25" s="4">
        <v>1611</v>
      </c>
      <c r="L25" s="2">
        <v>311.92</v>
      </c>
      <c r="M25" s="2">
        <v>56.57</v>
      </c>
      <c r="N25" s="2">
        <v>63.45</v>
      </c>
      <c r="O25" s="2">
        <v>33.15</v>
      </c>
      <c r="P25" s="2">
        <v>3.95</v>
      </c>
      <c r="Q25" s="4">
        <v>464003</v>
      </c>
      <c r="R25" s="4">
        <v>2938</v>
      </c>
      <c r="S25" s="4">
        <v>466941</v>
      </c>
      <c r="T25" s="4">
        <v>91134</v>
      </c>
      <c r="U25" s="4">
        <v>102218</v>
      </c>
      <c r="V25" s="4">
        <v>1313</v>
      </c>
      <c r="W25" s="4">
        <v>49652</v>
      </c>
      <c r="X25" s="4">
        <v>5924</v>
      </c>
      <c r="Y25" s="4">
        <v>717182</v>
      </c>
      <c r="Z25" s="4">
        <v>83780</v>
      </c>
      <c r="AA25" s="4">
        <v>633402</v>
      </c>
      <c r="AB25" s="4">
        <v>326840</v>
      </c>
      <c r="AC25" s="4">
        <v>306562</v>
      </c>
    </row>
    <row r="26" spans="1:29" x14ac:dyDescent="0.25">
      <c r="A26" s="1" t="s">
        <v>22</v>
      </c>
      <c r="B26" s="1" t="s">
        <v>734</v>
      </c>
      <c r="C26" s="1" t="s">
        <v>25</v>
      </c>
      <c r="D26" s="1" t="s">
        <v>436</v>
      </c>
      <c r="E26" s="2">
        <v>78.98</v>
      </c>
      <c r="F26" s="3">
        <v>812.9</v>
      </c>
      <c r="G26" s="2">
        <v>891.88</v>
      </c>
      <c r="H26" s="2">
        <v>2.52</v>
      </c>
      <c r="I26" s="4">
        <v>14</v>
      </c>
      <c r="J26" s="3">
        <v>0</v>
      </c>
      <c r="K26" s="4">
        <v>827</v>
      </c>
      <c r="L26" s="2">
        <v>311.92</v>
      </c>
      <c r="M26" s="2">
        <v>56.57</v>
      </c>
      <c r="N26" s="2">
        <v>63.45</v>
      </c>
      <c r="O26" s="2">
        <v>33.15</v>
      </c>
      <c r="P26" s="2">
        <v>3.95</v>
      </c>
      <c r="Q26" s="4">
        <v>278195</v>
      </c>
      <c r="R26" s="4">
        <v>0</v>
      </c>
      <c r="S26" s="4">
        <v>278195</v>
      </c>
      <c r="T26" s="4">
        <v>46783</v>
      </c>
      <c r="U26" s="4">
        <v>52473</v>
      </c>
      <c r="V26" s="4">
        <v>786</v>
      </c>
      <c r="W26" s="4">
        <v>29566</v>
      </c>
      <c r="X26" s="4">
        <v>3523</v>
      </c>
      <c r="Y26" s="4">
        <v>411326</v>
      </c>
      <c r="Z26" s="4">
        <v>44685</v>
      </c>
      <c r="AA26" s="4">
        <v>366641</v>
      </c>
      <c r="AB26" s="4">
        <v>201271</v>
      </c>
      <c r="AC26" s="4">
        <v>165370</v>
      </c>
    </row>
    <row r="27" spans="1:29" x14ac:dyDescent="0.25">
      <c r="A27" s="1" t="s">
        <v>22</v>
      </c>
      <c r="B27" s="1" t="s">
        <v>734</v>
      </c>
      <c r="C27" s="1" t="s">
        <v>26</v>
      </c>
      <c r="D27" s="1" t="s">
        <v>437</v>
      </c>
      <c r="E27" s="2">
        <v>129.54</v>
      </c>
      <c r="F27" s="3">
        <v>942.5</v>
      </c>
      <c r="G27" s="2">
        <v>1072.04</v>
      </c>
      <c r="H27" s="2">
        <v>3.03</v>
      </c>
      <c r="I27" s="4">
        <v>4</v>
      </c>
      <c r="J27" s="3">
        <v>0</v>
      </c>
      <c r="K27" s="4">
        <v>947</v>
      </c>
      <c r="L27" s="2">
        <v>311.92</v>
      </c>
      <c r="M27" s="2">
        <v>56.57</v>
      </c>
      <c r="N27" s="2">
        <v>63.45</v>
      </c>
      <c r="O27" s="2">
        <v>33.15</v>
      </c>
      <c r="P27" s="2">
        <v>3.95</v>
      </c>
      <c r="Q27" s="4">
        <v>334391</v>
      </c>
      <c r="R27" s="4">
        <v>0</v>
      </c>
      <c r="S27" s="4">
        <v>334391</v>
      </c>
      <c r="T27" s="4">
        <v>53572</v>
      </c>
      <c r="U27" s="4">
        <v>60087</v>
      </c>
      <c r="V27" s="4">
        <v>945</v>
      </c>
      <c r="W27" s="4">
        <v>35538</v>
      </c>
      <c r="X27" s="4">
        <v>4235</v>
      </c>
      <c r="Y27" s="4">
        <v>488768</v>
      </c>
      <c r="Z27" s="4">
        <v>52020</v>
      </c>
      <c r="AA27" s="4">
        <v>436748</v>
      </c>
      <c r="AB27" s="4">
        <v>243620</v>
      </c>
      <c r="AC27" s="4">
        <v>193128</v>
      </c>
    </row>
    <row r="28" spans="1:29" x14ac:dyDescent="0.25">
      <c r="A28" s="1" t="s">
        <v>22</v>
      </c>
      <c r="B28" s="1" t="s">
        <v>734</v>
      </c>
      <c r="C28" s="1" t="s">
        <v>27</v>
      </c>
      <c r="D28" s="1" t="s">
        <v>438</v>
      </c>
      <c r="E28" s="2">
        <v>42.32</v>
      </c>
      <c r="F28" s="3">
        <v>312</v>
      </c>
      <c r="G28" s="2">
        <v>354.32</v>
      </c>
      <c r="H28" s="2">
        <v>1</v>
      </c>
      <c r="I28" s="4">
        <v>17</v>
      </c>
      <c r="J28" s="3">
        <v>0</v>
      </c>
      <c r="K28" s="4">
        <v>329</v>
      </c>
      <c r="L28" s="2">
        <v>311.92</v>
      </c>
      <c r="M28" s="2">
        <v>56.57</v>
      </c>
      <c r="N28" s="2">
        <v>63.45</v>
      </c>
      <c r="O28" s="2">
        <v>33.15</v>
      </c>
      <c r="P28" s="2">
        <v>3.95</v>
      </c>
      <c r="Q28" s="4">
        <v>110519</v>
      </c>
      <c r="R28" s="4">
        <v>14514</v>
      </c>
      <c r="S28" s="4">
        <v>125033</v>
      </c>
      <c r="T28" s="4">
        <v>18612</v>
      </c>
      <c r="U28" s="4">
        <v>20875</v>
      </c>
      <c r="V28" s="4">
        <v>312</v>
      </c>
      <c r="W28" s="4">
        <v>12524</v>
      </c>
      <c r="X28" s="4">
        <v>1494</v>
      </c>
      <c r="Y28" s="4">
        <v>178850</v>
      </c>
      <c r="Z28" s="4">
        <v>23296</v>
      </c>
      <c r="AA28" s="4">
        <v>155554</v>
      </c>
      <c r="AB28" s="4">
        <v>75288</v>
      </c>
      <c r="AC28" s="4">
        <v>80266</v>
      </c>
    </row>
    <row r="29" spans="1:29" x14ac:dyDescent="0.25">
      <c r="A29" s="1" t="s">
        <v>22</v>
      </c>
      <c r="B29" s="1" t="s">
        <v>734</v>
      </c>
      <c r="C29" s="1" t="s">
        <v>28</v>
      </c>
      <c r="D29" s="1" t="s">
        <v>439</v>
      </c>
      <c r="E29" s="2">
        <v>154.06</v>
      </c>
      <c r="F29" s="3">
        <v>894.7</v>
      </c>
      <c r="G29" s="2">
        <v>1048.76</v>
      </c>
      <c r="H29" s="2">
        <v>2.97</v>
      </c>
      <c r="I29" s="4">
        <v>5</v>
      </c>
      <c r="J29" s="3">
        <v>0</v>
      </c>
      <c r="K29" s="4">
        <v>900</v>
      </c>
      <c r="L29" s="2">
        <v>311.92</v>
      </c>
      <c r="M29" s="2">
        <v>56.57</v>
      </c>
      <c r="N29" s="2">
        <v>63.45</v>
      </c>
      <c r="O29" s="2">
        <v>33.15</v>
      </c>
      <c r="P29" s="2">
        <v>3.95</v>
      </c>
      <c r="Q29" s="4">
        <v>327129</v>
      </c>
      <c r="R29" s="4">
        <v>0</v>
      </c>
      <c r="S29" s="4">
        <v>327129</v>
      </c>
      <c r="T29" s="4">
        <v>50913</v>
      </c>
      <c r="U29" s="4">
        <v>57105</v>
      </c>
      <c r="V29" s="4">
        <v>926</v>
      </c>
      <c r="W29" s="4">
        <v>34766</v>
      </c>
      <c r="X29" s="4">
        <v>4143</v>
      </c>
      <c r="Y29" s="4">
        <v>474982</v>
      </c>
      <c r="Z29" s="4">
        <v>45100</v>
      </c>
      <c r="AA29" s="4">
        <v>429882</v>
      </c>
      <c r="AB29" s="4">
        <v>244121</v>
      </c>
      <c r="AC29" s="4">
        <v>185761</v>
      </c>
    </row>
    <row r="30" spans="1:29" x14ac:dyDescent="0.25">
      <c r="A30" s="1" t="s">
        <v>22</v>
      </c>
      <c r="B30" s="1" t="s">
        <v>734</v>
      </c>
      <c r="C30" s="1" t="s">
        <v>29</v>
      </c>
      <c r="D30" s="1" t="s">
        <v>440</v>
      </c>
      <c r="E30" s="2">
        <v>121.33</v>
      </c>
      <c r="F30" s="3">
        <v>834.5</v>
      </c>
      <c r="G30" s="2">
        <v>955.83</v>
      </c>
      <c r="H30" s="2">
        <v>2.71</v>
      </c>
      <c r="I30" s="4">
        <v>46</v>
      </c>
      <c r="J30" s="3">
        <v>0</v>
      </c>
      <c r="K30" s="4">
        <v>881</v>
      </c>
      <c r="L30" s="2">
        <v>311.92</v>
      </c>
      <c r="M30" s="2">
        <v>56.57</v>
      </c>
      <c r="N30" s="2">
        <v>63.45</v>
      </c>
      <c r="O30" s="2">
        <v>33.15</v>
      </c>
      <c r="P30" s="2">
        <v>3.95</v>
      </c>
      <c r="Q30" s="4">
        <v>298142</v>
      </c>
      <c r="R30" s="4">
        <v>0</v>
      </c>
      <c r="S30" s="4">
        <v>298142</v>
      </c>
      <c r="T30" s="4">
        <v>49838</v>
      </c>
      <c r="U30" s="4">
        <v>55899</v>
      </c>
      <c r="V30" s="4">
        <v>845</v>
      </c>
      <c r="W30" s="4">
        <v>31686</v>
      </c>
      <c r="X30" s="4">
        <v>3776</v>
      </c>
      <c r="Y30" s="4">
        <v>440186</v>
      </c>
      <c r="Z30" s="4">
        <v>51797</v>
      </c>
      <c r="AA30" s="4">
        <v>388389</v>
      </c>
      <c r="AB30" s="4">
        <v>211798</v>
      </c>
      <c r="AC30" s="4">
        <v>176591</v>
      </c>
    </row>
    <row r="31" spans="1:29" x14ac:dyDescent="0.25">
      <c r="A31" s="1" t="s">
        <v>22</v>
      </c>
      <c r="B31" s="1" t="s">
        <v>734</v>
      </c>
      <c r="C31" s="1" t="s">
        <v>30</v>
      </c>
      <c r="D31" s="1" t="s">
        <v>441</v>
      </c>
      <c r="E31" s="2">
        <v>114.23</v>
      </c>
      <c r="F31" s="3">
        <v>703.4</v>
      </c>
      <c r="G31" s="2">
        <v>817.63</v>
      </c>
      <c r="H31" s="2">
        <v>2.31</v>
      </c>
      <c r="I31" s="4">
        <v>83</v>
      </c>
      <c r="J31" s="3">
        <v>3.2</v>
      </c>
      <c r="K31" s="4">
        <v>783</v>
      </c>
      <c r="L31" s="2">
        <v>311.92</v>
      </c>
      <c r="M31" s="2">
        <v>56.57</v>
      </c>
      <c r="N31" s="2">
        <v>63.45</v>
      </c>
      <c r="O31" s="2">
        <v>33.15</v>
      </c>
      <c r="P31" s="2">
        <v>3.95</v>
      </c>
      <c r="Q31" s="4">
        <v>255035</v>
      </c>
      <c r="R31" s="4">
        <v>0</v>
      </c>
      <c r="S31" s="4">
        <v>255035</v>
      </c>
      <c r="T31" s="4">
        <v>44294</v>
      </c>
      <c r="U31" s="4">
        <v>49681</v>
      </c>
      <c r="V31" s="4">
        <v>721</v>
      </c>
      <c r="W31" s="4">
        <v>27104</v>
      </c>
      <c r="X31" s="4">
        <v>3230</v>
      </c>
      <c r="Y31" s="4">
        <v>380065</v>
      </c>
      <c r="Z31" s="4">
        <v>39116</v>
      </c>
      <c r="AA31" s="4">
        <v>340949</v>
      </c>
      <c r="AB31" s="4">
        <v>186364</v>
      </c>
      <c r="AC31" s="4">
        <v>154585</v>
      </c>
    </row>
    <row r="32" spans="1:29" x14ac:dyDescent="0.25">
      <c r="A32" s="1" t="s">
        <v>22</v>
      </c>
      <c r="B32" s="1" t="s">
        <v>734</v>
      </c>
      <c r="C32" s="1" t="s">
        <v>31</v>
      </c>
      <c r="D32" s="1" t="s">
        <v>442</v>
      </c>
      <c r="E32" s="2">
        <v>147.59</v>
      </c>
      <c r="F32" s="3">
        <v>1269.5999999999999</v>
      </c>
      <c r="G32" s="2">
        <v>1417.19</v>
      </c>
      <c r="H32" s="2">
        <v>4.01</v>
      </c>
      <c r="I32" s="4">
        <v>4</v>
      </c>
      <c r="J32" s="3">
        <v>0</v>
      </c>
      <c r="K32" s="4">
        <v>1274</v>
      </c>
      <c r="L32" s="2">
        <v>311.92</v>
      </c>
      <c r="M32" s="2">
        <v>56.57</v>
      </c>
      <c r="N32" s="2">
        <v>63.45</v>
      </c>
      <c r="O32" s="2">
        <v>33.15</v>
      </c>
      <c r="P32" s="2">
        <v>3.95</v>
      </c>
      <c r="Q32" s="4">
        <v>442050</v>
      </c>
      <c r="R32" s="4">
        <v>24964</v>
      </c>
      <c r="S32" s="4">
        <v>467014</v>
      </c>
      <c r="T32" s="4">
        <v>72070</v>
      </c>
      <c r="U32" s="4">
        <v>80835</v>
      </c>
      <c r="V32" s="4">
        <v>1251</v>
      </c>
      <c r="W32" s="4">
        <v>47896</v>
      </c>
      <c r="X32" s="4">
        <v>5715</v>
      </c>
      <c r="Y32" s="4">
        <v>674781</v>
      </c>
      <c r="Z32" s="4">
        <v>70397</v>
      </c>
      <c r="AA32" s="4">
        <v>604384</v>
      </c>
      <c r="AB32" s="4">
        <v>321460</v>
      </c>
      <c r="AC32" s="4">
        <v>282924</v>
      </c>
    </row>
    <row r="33" spans="1:29" x14ac:dyDescent="0.25">
      <c r="A33" s="1" t="s">
        <v>22</v>
      </c>
      <c r="B33" s="1" t="s">
        <v>734</v>
      </c>
      <c r="C33" s="1" t="s">
        <v>32</v>
      </c>
      <c r="D33" s="1" t="s">
        <v>443</v>
      </c>
      <c r="E33" s="2">
        <v>726.1</v>
      </c>
      <c r="F33" s="3">
        <v>3661.3</v>
      </c>
      <c r="G33" s="2">
        <v>4387.3999999999996</v>
      </c>
      <c r="H33" s="2">
        <v>12.42</v>
      </c>
      <c r="I33" s="4">
        <v>615</v>
      </c>
      <c r="J33" s="3">
        <v>1.8</v>
      </c>
      <c r="K33" s="4">
        <v>4275</v>
      </c>
      <c r="L33" s="2">
        <v>311.92</v>
      </c>
      <c r="M33" s="2">
        <v>56.57</v>
      </c>
      <c r="N33" s="2">
        <v>63.45</v>
      </c>
      <c r="O33" s="2">
        <v>33.15</v>
      </c>
      <c r="P33" s="2">
        <v>3.95</v>
      </c>
      <c r="Q33" s="4">
        <v>1368518</v>
      </c>
      <c r="R33" s="4">
        <v>13993</v>
      </c>
      <c r="S33" s="4">
        <v>1382511</v>
      </c>
      <c r="T33" s="4">
        <v>241837</v>
      </c>
      <c r="U33" s="4">
        <v>271249</v>
      </c>
      <c r="V33" s="4">
        <v>3874</v>
      </c>
      <c r="W33" s="4">
        <v>147007</v>
      </c>
      <c r="X33" s="4">
        <v>17540</v>
      </c>
      <c r="Y33" s="4">
        <v>2064018</v>
      </c>
      <c r="Z33" s="4">
        <v>212765</v>
      </c>
      <c r="AA33" s="4">
        <v>1851253</v>
      </c>
      <c r="AB33" s="4">
        <v>998939</v>
      </c>
      <c r="AC33" s="4">
        <v>852314</v>
      </c>
    </row>
    <row r="34" spans="1:29" x14ac:dyDescent="0.25">
      <c r="A34" s="1" t="s">
        <v>22</v>
      </c>
      <c r="B34" s="1" t="s">
        <v>734</v>
      </c>
      <c r="C34" s="1" t="s">
        <v>33</v>
      </c>
      <c r="D34" s="1" t="s">
        <v>444</v>
      </c>
      <c r="E34" s="2">
        <v>38.18</v>
      </c>
      <c r="F34" s="3">
        <v>161</v>
      </c>
      <c r="G34" s="2">
        <v>199.18</v>
      </c>
      <c r="H34" s="2">
        <v>0.56000000000000005</v>
      </c>
      <c r="I34" s="4">
        <v>6</v>
      </c>
      <c r="J34" s="3">
        <v>0</v>
      </c>
      <c r="K34" s="4">
        <v>167</v>
      </c>
      <c r="L34" s="2">
        <v>311.92</v>
      </c>
      <c r="M34" s="2">
        <v>56.57</v>
      </c>
      <c r="N34" s="2">
        <v>63.45</v>
      </c>
      <c r="O34" s="2">
        <v>33.15</v>
      </c>
      <c r="P34" s="2">
        <v>3.95</v>
      </c>
      <c r="Q34" s="4">
        <v>62128</v>
      </c>
      <c r="R34" s="4">
        <v>0</v>
      </c>
      <c r="S34" s="4">
        <v>62128</v>
      </c>
      <c r="T34" s="4">
        <v>9447</v>
      </c>
      <c r="U34" s="4">
        <v>10596</v>
      </c>
      <c r="V34" s="4">
        <v>175</v>
      </c>
      <c r="W34" s="4">
        <v>6603</v>
      </c>
      <c r="X34" s="4">
        <v>787</v>
      </c>
      <c r="Y34" s="4">
        <v>89736</v>
      </c>
      <c r="Z34" s="4">
        <v>10845</v>
      </c>
      <c r="AA34" s="4">
        <v>78891</v>
      </c>
      <c r="AB34" s="4">
        <v>44083</v>
      </c>
      <c r="AC34" s="4">
        <v>34808</v>
      </c>
    </row>
    <row r="35" spans="1:29" x14ac:dyDescent="0.25">
      <c r="A35" s="1" t="s">
        <v>22</v>
      </c>
      <c r="B35" s="1" t="s">
        <v>734</v>
      </c>
      <c r="C35" s="1" t="s">
        <v>34</v>
      </c>
      <c r="D35" s="1" t="s">
        <v>445</v>
      </c>
      <c r="E35" s="2">
        <v>32.68</v>
      </c>
      <c r="F35" s="3">
        <v>382</v>
      </c>
      <c r="G35" s="2">
        <v>414.68</v>
      </c>
      <c r="H35" s="2">
        <v>1.17</v>
      </c>
      <c r="I35" s="4">
        <v>9</v>
      </c>
      <c r="J35" s="3">
        <v>0</v>
      </c>
      <c r="K35" s="4">
        <v>391</v>
      </c>
      <c r="L35" s="2">
        <v>311.92</v>
      </c>
      <c r="M35" s="2">
        <v>56.57</v>
      </c>
      <c r="N35" s="2">
        <v>63.45</v>
      </c>
      <c r="O35" s="2">
        <v>33.15</v>
      </c>
      <c r="P35" s="2">
        <v>3.95</v>
      </c>
      <c r="Q35" s="4">
        <v>129347</v>
      </c>
      <c r="R35" s="4">
        <v>212</v>
      </c>
      <c r="S35" s="4">
        <v>129559</v>
      </c>
      <c r="T35" s="4">
        <v>22119</v>
      </c>
      <c r="U35" s="4">
        <v>24809</v>
      </c>
      <c r="V35" s="4">
        <v>365</v>
      </c>
      <c r="W35" s="4">
        <v>13776</v>
      </c>
      <c r="X35" s="4">
        <v>1644</v>
      </c>
      <c r="Y35" s="4">
        <v>192272</v>
      </c>
      <c r="Z35" s="4">
        <v>23426</v>
      </c>
      <c r="AA35" s="4">
        <v>168846</v>
      </c>
      <c r="AB35" s="4">
        <v>90966</v>
      </c>
      <c r="AC35" s="4">
        <v>77880</v>
      </c>
    </row>
    <row r="36" spans="1:29" x14ac:dyDescent="0.25">
      <c r="A36" s="1" t="s">
        <v>22</v>
      </c>
      <c r="B36" s="1" t="s">
        <v>734</v>
      </c>
      <c r="C36" s="1" t="s">
        <v>35</v>
      </c>
      <c r="D36" s="1" t="s">
        <v>446</v>
      </c>
      <c r="E36" s="2">
        <v>161.77000000000001</v>
      </c>
      <c r="F36" s="3">
        <v>1210.4000000000001</v>
      </c>
      <c r="G36" s="2">
        <v>1372.17</v>
      </c>
      <c r="H36" s="2">
        <v>3.88</v>
      </c>
      <c r="I36" s="4">
        <v>0</v>
      </c>
      <c r="J36" s="3">
        <v>0</v>
      </c>
      <c r="K36" s="4">
        <v>1210</v>
      </c>
      <c r="L36" s="2">
        <v>311.92</v>
      </c>
      <c r="M36" s="2">
        <v>56.57</v>
      </c>
      <c r="N36" s="2">
        <v>63.45</v>
      </c>
      <c r="O36" s="2">
        <v>33.15</v>
      </c>
      <c r="P36" s="2">
        <v>3.95</v>
      </c>
      <c r="Q36" s="4">
        <v>428007</v>
      </c>
      <c r="R36" s="4">
        <v>9915</v>
      </c>
      <c r="S36" s="4">
        <v>437922</v>
      </c>
      <c r="T36" s="4">
        <v>68450</v>
      </c>
      <c r="U36" s="4">
        <v>76775</v>
      </c>
      <c r="V36" s="4">
        <v>1210</v>
      </c>
      <c r="W36" s="4">
        <v>46239</v>
      </c>
      <c r="X36" s="4">
        <v>5517</v>
      </c>
      <c r="Y36" s="4">
        <v>636113</v>
      </c>
      <c r="Z36" s="4">
        <v>79359</v>
      </c>
      <c r="AA36" s="4">
        <v>556754</v>
      </c>
      <c r="AB36" s="4">
        <v>299897</v>
      </c>
      <c r="AC36" s="4">
        <v>256857</v>
      </c>
    </row>
    <row r="37" spans="1:29" x14ac:dyDescent="0.25">
      <c r="A37" s="1" t="s">
        <v>22</v>
      </c>
      <c r="B37" s="1" t="s">
        <v>734</v>
      </c>
      <c r="C37" s="1" t="s">
        <v>36</v>
      </c>
      <c r="D37" s="1" t="s">
        <v>447</v>
      </c>
      <c r="E37" s="2">
        <v>37.67</v>
      </c>
      <c r="F37" s="3">
        <v>298.39999999999998</v>
      </c>
      <c r="G37" s="2">
        <v>336.07</v>
      </c>
      <c r="H37" s="2">
        <v>0.95</v>
      </c>
      <c r="I37" s="4">
        <v>2</v>
      </c>
      <c r="J37" s="3">
        <v>0</v>
      </c>
      <c r="K37" s="4">
        <v>300</v>
      </c>
      <c r="L37" s="2">
        <v>311.92</v>
      </c>
      <c r="M37" s="2">
        <v>56.57</v>
      </c>
      <c r="N37" s="2">
        <v>63.45</v>
      </c>
      <c r="O37" s="2">
        <v>33.15</v>
      </c>
      <c r="P37" s="2">
        <v>3.95</v>
      </c>
      <c r="Q37" s="4">
        <v>104827</v>
      </c>
      <c r="R37" s="4">
        <v>1812</v>
      </c>
      <c r="S37" s="4">
        <v>106639</v>
      </c>
      <c r="T37" s="4">
        <v>16971</v>
      </c>
      <c r="U37" s="4">
        <v>19035</v>
      </c>
      <c r="V37" s="4">
        <v>296</v>
      </c>
      <c r="W37" s="4">
        <v>11180</v>
      </c>
      <c r="X37" s="4">
        <v>1334</v>
      </c>
      <c r="Y37" s="4">
        <v>155455</v>
      </c>
      <c r="Z37" s="4">
        <v>15519</v>
      </c>
      <c r="AA37" s="4">
        <v>139936</v>
      </c>
      <c r="AB37" s="4">
        <v>77206</v>
      </c>
      <c r="AC37" s="4">
        <v>62730</v>
      </c>
    </row>
    <row r="38" spans="1:29" x14ac:dyDescent="0.25">
      <c r="A38" s="1" t="s">
        <v>22</v>
      </c>
      <c r="B38" s="1" t="s">
        <v>734</v>
      </c>
      <c r="C38" s="1" t="s">
        <v>37</v>
      </c>
      <c r="D38" s="1" t="s">
        <v>448</v>
      </c>
      <c r="E38" s="2">
        <v>123.71</v>
      </c>
      <c r="F38" s="3">
        <v>1213.5999999999999</v>
      </c>
      <c r="G38" s="2">
        <v>1337.31</v>
      </c>
      <c r="H38" s="2">
        <v>3.79</v>
      </c>
      <c r="I38" s="4">
        <v>129</v>
      </c>
      <c r="J38" s="3">
        <v>1.3</v>
      </c>
      <c r="K38" s="4">
        <v>1341</v>
      </c>
      <c r="L38" s="2">
        <v>311.92</v>
      </c>
      <c r="M38" s="2">
        <v>56.57</v>
      </c>
      <c r="N38" s="2">
        <v>63.45</v>
      </c>
      <c r="O38" s="2">
        <v>33.15</v>
      </c>
      <c r="P38" s="2">
        <v>3.95</v>
      </c>
      <c r="Q38" s="4">
        <v>417134</v>
      </c>
      <c r="R38" s="4">
        <v>0</v>
      </c>
      <c r="S38" s="4">
        <v>417134</v>
      </c>
      <c r="T38" s="4">
        <v>75860</v>
      </c>
      <c r="U38" s="4">
        <v>85086</v>
      </c>
      <c r="V38" s="4">
        <v>1182</v>
      </c>
      <c r="W38" s="4">
        <v>44332</v>
      </c>
      <c r="X38" s="4">
        <v>5282</v>
      </c>
      <c r="Y38" s="4">
        <v>628876</v>
      </c>
      <c r="Z38" s="4">
        <v>61988</v>
      </c>
      <c r="AA38" s="4">
        <v>566888</v>
      </c>
      <c r="AB38" s="4">
        <v>306808</v>
      </c>
      <c r="AC38" s="4">
        <v>260080</v>
      </c>
    </row>
    <row r="39" spans="1:29" x14ac:dyDescent="0.25">
      <c r="A39" s="1" t="s">
        <v>22</v>
      </c>
      <c r="B39" s="1" t="s">
        <v>734</v>
      </c>
      <c r="C39" s="1" t="s">
        <v>38</v>
      </c>
      <c r="D39" s="1" t="s">
        <v>449</v>
      </c>
      <c r="E39" s="2">
        <v>35.85</v>
      </c>
      <c r="F39" s="3">
        <v>255</v>
      </c>
      <c r="G39" s="2">
        <v>290.85000000000002</v>
      </c>
      <c r="H39" s="2">
        <v>0.82</v>
      </c>
      <c r="I39" s="4">
        <v>3</v>
      </c>
      <c r="J39" s="3">
        <v>0</v>
      </c>
      <c r="K39" s="4">
        <v>258</v>
      </c>
      <c r="L39" s="2">
        <v>311.92</v>
      </c>
      <c r="M39" s="2">
        <v>56.57</v>
      </c>
      <c r="N39" s="2">
        <v>63.45</v>
      </c>
      <c r="O39" s="2">
        <v>33.15</v>
      </c>
      <c r="P39" s="2">
        <v>3.95</v>
      </c>
      <c r="Q39" s="4">
        <v>90722</v>
      </c>
      <c r="R39" s="4">
        <v>21543</v>
      </c>
      <c r="S39" s="4">
        <v>112265</v>
      </c>
      <c r="T39" s="4">
        <v>14595</v>
      </c>
      <c r="U39" s="4">
        <v>16370</v>
      </c>
      <c r="V39" s="4">
        <v>256</v>
      </c>
      <c r="W39" s="4">
        <v>10599</v>
      </c>
      <c r="X39" s="4">
        <v>1265</v>
      </c>
      <c r="Y39" s="4">
        <v>155350</v>
      </c>
      <c r="Z39" s="4">
        <v>21809</v>
      </c>
      <c r="AA39" s="4">
        <v>133541</v>
      </c>
      <c r="AB39" s="4">
        <v>59472</v>
      </c>
      <c r="AC39" s="4">
        <v>74069</v>
      </c>
    </row>
    <row r="40" spans="1:29" x14ac:dyDescent="0.25">
      <c r="A40" s="1" t="s">
        <v>22</v>
      </c>
      <c r="B40" s="1" t="s">
        <v>734</v>
      </c>
      <c r="C40" s="1" t="s">
        <v>39</v>
      </c>
      <c r="D40" s="1" t="s">
        <v>450</v>
      </c>
      <c r="E40" s="2">
        <v>17.8</v>
      </c>
      <c r="F40" s="3">
        <v>164.1</v>
      </c>
      <c r="G40" s="2">
        <v>181.9</v>
      </c>
      <c r="H40" s="2">
        <v>0.53</v>
      </c>
      <c r="I40" s="4">
        <v>19</v>
      </c>
      <c r="J40" s="3">
        <v>0</v>
      </c>
      <c r="K40" s="4">
        <v>183</v>
      </c>
      <c r="L40" s="2">
        <v>311.92</v>
      </c>
      <c r="M40" s="2">
        <v>56.57</v>
      </c>
      <c r="N40" s="2">
        <v>63.45</v>
      </c>
      <c r="O40" s="2">
        <v>33.15</v>
      </c>
      <c r="P40" s="2">
        <v>3.95</v>
      </c>
      <c r="Q40" s="4">
        <v>56738</v>
      </c>
      <c r="R40" s="4">
        <v>2526</v>
      </c>
      <c r="S40" s="4">
        <v>59264</v>
      </c>
      <c r="T40" s="4">
        <v>10352</v>
      </c>
      <c r="U40" s="4">
        <v>11611</v>
      </c>
      <c r="V40" s="4">
        <v>165</v>
      </c>
      <c r="W40" s="4">
        <v>6302</v>
      </c>
      <c r="X40" s="4">
        <v>752</v>
      </c>
      <c r="Y40" s="4">
        <v>88446</v>
      </c>
      <c r="Z40" s="4">
        <v>16136</v>
      </c>
      <c r="AA40" s="4">
        <v>72310</v>
      </c>
      <c r="AB40" s="4">
        <v>34336</v>
      </c>
      <c r="AC40" s="4">
        <v>37974</v>
      </c>
    </row>
    <row r="41" spans="1:29" x14ac:dyDescent="0.25">
      <c r="A41" s="1" t="s">
        <v>22</v>
      </c>
      <c r="B41" s="1" t="s">
        <v>734</v>
      </c>
      <c r="C41" s="1" t="s">
        <v>40</v>
      </c>
      <c r="D41" s="1" t="s">
        <v>451</v>
      </c>
      <c r="E41" s="2">
        <v>60.57</v>
      </c>
      <c r="F41" s="3">
        <v>655.20000000000005</v>
      </c>
      <c r="G41" s="2">
        <v>715.77</v>
      </c>
      <c r="H41" s="2">
        <v>2.0299999999999998</v>
      </c>
      <c r="I41" s="4">
        <v>64</v>
      </c>
      <c r="J41" s="3">
        <v>0</v>
      </c>
      <c r="K41" s="4">
        <v>719</v>
      </c>
      <c r="L41" s="2">
        <v>311.92</v>
      </c>
      <c r="M41" s="2">
        <v>56.57</v>
      </c>
      <c r="N41" s="2">
        <v>63.45</v>
      </c>
      <c r="O41" s="2">
        <v>33.15</v>
      </c>
      <c r="P41" s="2">
        <v>3.95</v>
      </c>
      <c r="Q41" s="4">
        <v>223263</v>
      </c>
      <c r="R41" s="4">
        <v>0</v>
      </c>
      <c r="S41" s="4">
        <v>223263</v>
      </c>
      <c r="T41" s="4">
        <v>40674</v>
      </c>
      <c r="U41" s="4">
        <v>45621</v>
      </c>
      <c r="V41" s="4">
        <v>633</v>
      </c>
      <c r="W41" s="4">
        <v>23728</v>
      </c>
      <c r="X41" s="4">
        <v>2827</v>
      </c>
      <c r="Y41" s="4">
        <v>336746</v>
      </c>
      <c r="Z41" s="4">
        <v>38009</v>
      </c>
      <c r="AA41" s="4">
        <v>298737</v>
      </c>
      <c r="AB41" s="4">
        <v>159382</v>
      </c>
      <c r="AC41" s="4">
        <v>139355</v>
      </c>
    </row>
    <row r="42" spans="1:29" x14ac:dyDescent="0.25">
      <c r="A42" s="1" t="s">
        <v>22</v>
      </c>
      <c r="B42" s="1" t="s">
        <v>734</v>
      </c>
      <c r="C42" s="1" t="s">
        <v>41</v>
      </c>
      <c r="D42" s="1" t="s">
        <v>452</v>
      </c>
      <c r="E42" s="2">
        <v>33.39</v>
      </c>
      <c r="F42" s="3">
        <v>432.4</v>
      </c>
      <c r="G42" s="2">
        <v>465.79</v>
      </c>
      <c r="H42" s="2">
        <v>1.32</v>
      </c>
      <c r="I42" s="4">
        <v>13</v>
      </c>
      <c r="J42" s="3">
        <v>0</v>
      </c>
      <c r="K42" s="4">
        <v>445</v>
      </c>
      <c r="L42" s="2">
        <v>311.92</v>
      </c>
      <c r="M42" s="2">
        <v>56.57</v>
      </c>
      <c r="N42" s="2">
        <v>63.45</v>
      </c>
      <c r="O42" s="2">
        <v>33.15</v>
      </c>
      <c r="P42" s="2">
        <v>3.95</v>
      </c>
      <c r="Q42" s="4">
        <v>145289</v>
      </c>
      <c r="R42" s="4">
        <v>11762</v>
      </c>
      <c r="S42" s="4">
        <v>157051</v>
      </c>
      <c r="T42" s="4">
        <v>25174</v>
      </c>
      <c r="U42" s="4">
        <v>28235</v>
      </c>
      <c r="V42" s="4">
        <v>412</v>
      </c>
      <c r="W42" s="4">
        <v>15812</v>
      </c>
      <c r="X42" s="4">
        <v>1887</v>
      </c>
      <c r="Y42" s="4">
        <v>228571</v>
      </c>
      <c r="Z42" s="4">
        <v>22754</v>
      </c>
      <c r="AA42" s="4">
        <v>205817</v>
      </c>
      <c r="AB42" s="4">
        <v>106117</v>
      </c>
      <c r="AC42" s="4">
        <v>99700</v>
      </c>
    </row>
    <row r="43" spans="1:29" x14ac:dyDescent="0.25">
      <c r="A43" s="1" t="s">
        <v>22</v>
      </c>
      <c r="B43" s="1" t="s">
        <v>734</v>
      </c>
      <c r="C43" s="1" t="s">
        <v>42</v>
      </c>
      <c r="D43" s="1" t="s">
        <v>453</v>
      </c>
      <c r="E43" s="2">
        <v>52.07</v>
      </c>
      <c r="F43" s="3">
        <v>273.8</v>
      </c>
      <c r="G43" s="2">
        <v>325.87</v>
      </c>
      <c r="H43" s="2">
        <v>0.92</v>
      </c>
      <c r="I43" s="4">
        <v>45</v>
      </c>
      <c r="J43" s="3">
        <v>0</v>
      </c>
      <c r="K43" s="4">
        <v>319</v>
      </c>
      <c r="L43" s="2">
        <v>311.92</v>
      </c>
      <c r="M43" s="2">
        <v>56.57</v>
      </c>
      <c r="N43" s="2">
        <v>63.45</v>
      </c>
      <c r="O43" s="2">
        <v>33.15</v>
      </c>
      <c r="P43" s="2">
        <v>3.95</v>
      </c>
      <c r="Q43" s="4">
        <v>101645</v>
      </c>
      <c r="R43" s="4">
        <v>7376</v>
      </c>
      <c r="S43" s="4">
        <v>109021</v>
      </c>
      <c r="T43" s="4">
        <v>18046</v>
      </c>
      <c r="U43" s="4">
        <v>20241</v>
      </c>
      <c r="V43" s="4">
        <v>287</v>
      </c>
      <c r="W43" s="4">
        <v>11233</v>
      </c>
      <c r="X43" s="4">
        <v>1340</v>
      </c>
      <c r="Y43" s="4">
        <v>160168</v>
      </c>
      <c r="Z43" s="4">
        <v>21324</v>
      </c>
      <c r="AA43" s="4">
        <v>138844</v>
      </c>
      <c r="AB43" s="4">
        <v>69025</v>
      </c>
      <c r="AC43" s="4">
        <v>69819</v>
      </c>
    </row>
    <row r="44" spans="1:29" x14ac:dyDescent="0.25">
      <c r="A44" s="1" t="s">
        <v>22</v>
      </c>
      <c r="B44" s="1" t="s">
        <v>734</v>
      </c>
      <c r="C44" s="1" t="s">
        <v>43</v>
      </c>
      <c r="D44" s="1" t="s">
        <v>454</v>
      </c>
      <c r="E44" s="2">
        <v>51.6</v>
      </c>
      <c r="F44" s="3">
        <v>410.3</v>
      </c>
      <c r="G44" s="2">
        <v>461.9</v>
      </c>
      <c r="H44" s="2">
        <v>1.31</v>
      </c>
      <c r="I44" s="4">
        <v>13</v>
      </c>
      <c r="J44" s="3">
        <v>0</v>
      </c>
      <c r="K44" s="4">
        <v>423</v>
      </c>
      <c r="L44" s="2">
        <v>311.92</v>
      </c>
      <c r="M44" s="2">
        <v>56.57</v>
      </c>
      <c r="N44" s="2">
        <v>63.45</v>
      </c>
      <c r="O44" s="2">
        <v>33.15</v>
      </c>
      <c r="P44" s="2">
        <v>3.95</v>
      </c>
      <c r="Q44" s="4">
        <v>144076</v>
      </c>
      <c r="R44" s="4">
        <v>26159</v>
      </c>
      <c r="S44" s="4">
        <v>170235</v>
      </c>
      <c r="T44" s="4">
        <v>23929</v>
      </c>
      <c r="U44" s="4">
        <v>26839</v>
      </c>
      <c r="V44" s="4">
        <v>409</v>
      </c>
      <c r="W44" s="4">
        <v>15312</v>
      </c>
      <c r="X44" s="4">
        <v>1825</v>
      </c>
      <c r="Y44" s="4">
        <v>238549</v>
      </c>
      <c r="Z44" s="4">
        <v>31389</v>
      </c>
      <c r="AA44" s="4">
        <v>207160</v>
      </c>
      <c r="AB44" s="4">
        <v>95992</v>
      </c>
      <c r="AC44" s="4">
        <v>111168</v>
      </c>
    </row>
    <row r="45" spans="1:29" x14ac:dyDescent="0.25">
      <c r="A45" s="1" t="s">
        <v>22</v>
      </c>
      <c r="B45" s="1" t="s">
        <v>734</v>
      </c>
      <c r="C45" s="1" t="s">
        <v>45</v>
      </c>
      <c r="D45" s="1" t="s">
        <v>455</v>
      </c>
      <c r="E45" s="2">
        <v>125.06</v>
      </c>
      <c r="F45" s="3">
        <v>978.4</v>
      </c>
      <c r="G45" s="2">
        <v>1103.46</v>
      </c>
      <c r="H45" s="2">
        <v>3.14</v>
      </c>
      <c r="I45" s="4">
        <v>9</v>
      </c>
      <c r="J45" s="3">
        <v>0</v>
      </c>
      <c r="K45" s="4">
        <v>987</v>
      </c>
      <c r="L45" s="2">
        <v>311.92</v>
      </c>
      <c r="M45" s="2">
        <v>56.57</v>
      </c>
      <c r="N45" s="2">
        <v>63.45</v>
      </c>
      <c r="O45" s="2">
        <v>33.15</v>
      </c>
      <c r="P45" s="2">
        <v>3.95</v>
      </c>
      <c r="Q45" s="4">
        <v>344191</v>
      </c>
      <c r="R45" s="4">
        <v>0</v>
      </c>
      <c r="S45" s="4">
        <v>344191</v>
      </c>
      <c r="T45" s="4">
        <v>55835</v>
      </c>
      <c r="U45" s="4">
        <v>62625</v>
      </c>
      <c r="V45" s="4">
        <v>979</v>
      </c>
      <c r="W45" s="4">
        <v>36580</v>
      </c>
      <c r="X45" s="4">
        <v>4359</v>
      </c>
      <c r="Y45" s="4">
        <v>504569</v>
      </c>
      <c r="Z45" s="4">
        <v>46312</v>
      </c>
      <c r="AA45" s="4">
        <v>458257</v>
      </c>
      <c r="AB45" s="4">
        <v>257998</v>
      </c>
      <c r="AC45" s="4">
        <v>200259</v>
      </c>
    </row>
    <row r="46" spans="1:29" x14ac:dyDescent="0.25">
      <c r="A46" s="1" t="s">
        <v>22</v>
      </c>
      <c r="B46" s="1" t="s">
        <v>734</v>
      </c>
      <c r="C46" s="1" t="s">
        <v>46</v>
      </c>
      <c r="D46" s="1" t="s">
        <v>456</v>
      </c>
      <c r="E46" s="2">
        <v>15.35</v>
      </c>
      <c r="F46" s="3">
        <v>211.7</v>
      </c>
      <c r="G46" s="2">
        <v>227.05</v>
      </c>
      <c r="H46" s="2">
        <v>0.64</v>
      </c>
      <c r="I46" s="4">
        <v>0</v>
      </c>
      <c r="J46" s="3">
        <v>0</v>
      </c>
      <c r="K46" s="4">
        <v>212</v>
      </c>
      <c r="L46" s="2">
        <v>311.92</v>
      </c>
      <c r="M46" s="2">
        <v>56.57</v>
      </c>
      <c r="N46" s="2">
        <v>63.45</v>
      </c>
      <c r="O46" s="2">
        <v>33.15</v>
      </c>
      <c r="P46" s="2">
        <v>3.95</v>
      </c>
      <c r="Q46" s="4">
        <v>70821</v>
      </c>
      <c r="R46" s="4">
        <v>0</v>
      </c>
      <c r="S46" s="4">
        <v>70821</v>
      </c>
      <c r="T46" s="4">
        <v>11993</v>
      </c>
      <c r="U46" s="4">
        <v>13451</v>
      </c>
      <c r="V46" s="4">
        <v>200</v>
      </c>
      <c r="W46" s="4">
        <v>7527</v>
      </c>
      <c r="X46" s="4">
        <v>897</v>
      </c>
      <c r="Y46" s="4">
        <v>104889</v>
      </c>
      <c r="Z46" s="4">
        <v>10377</v>
      </c>
      <c r="AA46" s="4">
        <v>94512</v>
      </c>
      <c r="AB46" s="4">
        <v>52237</v>
      </c>
      <c r="AC46" s="4">
        <v>42275</v>
      </c>
    </row>
    <row r="47" spans="1:29" x14ac:dyDescent="0.25">
      <c r="A47" s="1" t="s">
        <v>22</v>
      </c>
      <c r="B47" s="1" t="s">
        <v>734</v>
      </c>
      <c r="C47" s="1" t="s">
        <v>47</v>
      </c>
      <c r="D47" s="1" t="s">
        <v>457</v>
      </c>
      <c r="E47" s="2">
        <v>93.37</v>
      </c>
      <c r="F47" s="3">
        <v>673.7</v>
      </c>
      <c r="G47" s="2">
        <v>767.07</v>
      </c>
      <c r="H47" s="2">
        <v>2.17</v>
      </c>
      <c r="I47" s="4">
        <v>82</v>
      </c>
      <c r="J47" s="3">
        <v>8.3000000000000007</v>
      </c>
      <c r="K47" s="4">
        <v>747</v>
      </c>
      <c r="L47" s="2">
        <v>311.92</v>
      </c>
      <c r="M47" s="2">
        <v>56.57</v>
      </c>
      <c r="N47" s="2">
        <v>63.45</v>
      </c>
      <c r="O47" s="2">
        <v>33.15</v>
      </c>
      <c r="P47" s="2">
        <v>3.95</v>
      </c>
      <c r="Q47" s="4">
        <v>239264</v>
      </c>
      <c r="R47" s="4">
        <v>26783</v>
      </c>
      <c r="S47" s="4">
        <v>266047</v>
      </c>
      <c r="T47" s="4">
        <v>42258</v>
      </c>
      <c r="U47" s="4">
        <v>47397</v>
      </c>
      <c r="V47" s="4">
        <v>677</v>
      </c>
      <c r="W47" s="4">
        <v>25428</v>
      </c>
      <c r="X47" s="4">
        <v>3030</v>
      </c>
      <c r="Y47" s="4">
        <v>384837</v>
      </c>
      <c r="Z47" s="4">
        <v>52222</v>
      </c>
      <c r="AA47" s="4">
        <v>332615</v>
      </c>
      <c r="AB47" s="4">
        <v>159315</v>
      </c>
      <c r="AC47" s="4">
        <v>173300</v>
      </c>
    </row>
    <row r="48" spans="1:29" x14ac:dyDescent="0.25">
      <c r="A48" s="1" t="s">
        <v>22</v>
      </c>
      <c r="B48" s="1" t="s">
        <v>734</v>
      </c>
      <c r="C48" s="1" t="s">
        <v>48</v>
      </c>
      <c r="D48" s="1" t="s">
        <v>458</v>
      </c>
      <c r="E48" s="2">
        <v>66.599999999999994</v>
      </c>
      <c r="F48" s="3">
        <v>574.4</v>
      </c>
      <c r="G48" s="2">
        <v>641</v>
      </c>
      <c r="H48" s="2">
        <v>1.81</v>
      </c>
      <c r="I48" s="4">
        <v>16</v>
      </c>
      <c r="J48" s="3">
        <v>0</v>
      </c>
      <c r="K48" s="4">
        <v>590</v>
      </c>
      <c r="L48" s="2">
        <v>311.92</v>
      </c>
      <c r="M48" s="2">
        <v>56.57</v>
      </c>
      <c r="N48" s="2">
        <v>63.45</v>
      </c>
      <c r="O48" s="2">
        <v>33.15</v>
      </c>
      <c r="P48" s="2">
        <v>3.95</v>
      </c>
      <c r="Q48" s="4">
        <v>199941</v>
      </c>
      <c r="R48" s="4">
        <v>2489</v>
      </c>
      <c r="S48" s="4">
        <v>202430</v>
      </c>
      <c r="T48" s="4">
        <v>33376</v>
      </c>
      <c r="U48" s="4">
        <v>37436</v>
      </c>
      <c r="V48" s="4">
        <v>565</v>
      </c>
      <c r="W48" s="4">
        <v>21249</v>
      </c>
      <c r="X48" s="4">
        <v>2532</v>
      </c>
      <c r="Y48" s="4">
        <v>297588</v>
      </c>
      <c r="Z48" s="4">
        <v>38887</v>
      </c>
      <c r="AA48" s="4">
        <v>258701</v>
      </c>
      <c r="AB48" s="4">
        <v>137883</v>
      </c>
      <c r="AC48" s="4">
        <v>120818</v>
      </c>
    </row>
    <row r="49" spans="1:29" x14ac:dyDescent="0.25">
      <c r="A49" s="1" t="s">
        <v>22</v>
      </c>
      <c r="B49" s="1" t="s">
        <v>734</v>
      </c>
      <c r="C49" s="1" t="s">
        <v>49</v>
      </c>
      <c r="D49" s="1" t="s">
        <v>459</v>
      </c>
      <c r="E49" s="2">
        <v>40.15</v>
      </c>
      <c r="F49" s="3">
        <v>217</v>
      </c>
      <c r="G49" s="2">
        <v>257.14999999999998</v>
      </c>
      <c r="H49" s="2">
        <v>0.73</v>
      </c>
      <c r="I49" s="4">
        <v>11</v>
      </c>
      <c r="J49" s="3">
        <v>0</v>
      </c>
      <c r="K49" s="4">
        <v>228</v>
      </c>
      <c r="L49" s="2">
        <v>311.92</v>
      </c>
      <c r="M49" s="2">
        <v>56.57</v>
      </c>
      <c r="N49" s="2">
        <v>63.45</v>
      </c>
      <c r="O49" s="2">
        <v>33.15</v>
      </c>
      <c r="P49" s="2">
        <v>3.95</v>
      </c>
      <c r="Q49" s="4">
        <v>80210</v>
      </c>
      <c r="R49" s="4">
        <v>3802</v>
      </c>
      <c r="S49" s="4">
        <v>84012</v>
      </c>
      <c r="T49" s="4">
        <v>12898</v>
      </c>
      <c r="U49" s="4">
        <v>14467</v>
      </c>
      <c r="V49" s="4">
        <v>228</v>
      </c>
      <c r="W49" s="4">
        <v>8525</v>
      </c>
      <c r="X49" s="4">
        <v>1016</v>
      </c>
      <c r="Y49" s="4">
        <v>121146</v>
      </c>
      <c r="Z49" s="4">
        <v>13144</v>
      </c>
      <c r="AA49" s="4">
        <v>108002</v>
      </c>
      <c r="AB49" s="4">
        <v>57772</v>
      </c>
      <c r="AC49" s="4">
        <v>50230</v>
      </c>
    </row>
    <row r="50" spans="1:29" x14ac:dyDescent="0.25">
      <c r="A50" s="1" t="s">
        <v>22</v>
      </c>
      <c r="B50" s="1" t="s">
        <v>734</v>
      </c>
      <c r="C50" s="1" t="s">
        <v>50</v>
      </c>
      <c r="D50" s="1" t="s">
        <v>460</v>
      </c>
      <c r="E50" s="2">
        <v>47.33</v>
      </c>
      <c r="F50" s="3">
        <v>367</v>
      </c>
      <c r="G50" s="2">
        <v>414.33</v>
      </c>
      <c r="H50" s="2">
        <v>1.17</v>
      </c>
      <c r="I50" s="4">
        <v>9</v>
      </c>
      <c r="J50" s="3">
        <v>0</v>
      </c>
      <c r="K50" s="4">
        <v>376</v>
      </c>
      <c r="L50" s="2">
        <v>311.92</v>
      </c>
      <c r="M50" s="2">
        <v>56.57</v>
      </c>
      <c r="N50" s="2">
        <v>63.45</v>
      </c>
      <c r="O50" s="2">
        <v>33.15</v>
      </c>
      <c r="P50" s="2">
        <v>3.95</v>
      </c>
      <c r="Q50" s="4">
        <v>129238</v>
      </c>
      <c r="R50" s="4">
        <v>0</v>
      </c>
      <c r="S50" s="4">
        <v>129238</v>
      </c>
      <c r="T50" s="4">
        <v>21270</v>
      </c>
      <c r="U50" s="4">
        <v>23857</v>
      </c>
      <c r="V50" s="4">
        <v>365</v>
      </c>
      <c r="W50" s="4">
        <v>13735</v>
      </c>
      <c r="X50" s="4">
        <v>1637</v>
      </c>
      <c r="Y50" s="4">
        <v>190102</v>
      </c>
      <c r="Z50" s="4">
        <v>23788</v>
      </c>
      <c r="AA50" s="4">
        <v>166314</v>
      </c>
      <c r="AB50" s="4">
        <v>90473</v>
      </c>
      <c r="AC50" s="4">
        <v>75841</v>
      </c>
    </row>
    <row r="51" spans="1:29" x14ac:dyDescent="0.25">
      <c r="A51" s="1" t="s">
        <v>22</v>
      </c>
      <c r="B51" s="1" t="s">
        <v>734</v>
      </c>
      <c r="C51" s="1" t="s">
        <v>51</v>
      </c>
      <c r="D51" s="1" t="s">
        <v>461</v>
      </c>
      <c r="E51" s="2">
        <v>65.819999999999993</v>
      </c>
      <c r="F51" s="3">
        <v>483</v>
      </c>
      <c r="G51" s="2">
        <v>548.82000000000005</v>
      </c>
      <c r="H51" s="2">
        <v>1.55</v>
      </c>
      <c r="I51" s="4">
        <v>3</v>
      </c>
      <c r="J51" s="3">
        <v>0</v>
      </c>
      <c r="K51" s="4">
        <v>486</v>
      </c>
      <c r="L51" s="2">
        <v>311.92</v>
      </c>
      <c r="M51" s="2">
        <v>56.57</v>
      </c>
      <c r="N51" s="2">
        <v>63.45</v>
      </c>
      <c r="O51" s="2">
        <v>33.15</v>
      </c>
      <c r="P51" s="2">
        <v>3.95</v>
      </c>
      <c r="Q51" s="4">
        <v>171188</v>
      </c>
      <c r="R51" s="4">
        <v>0</v>
      </c>
      <c r="S51" s="4">
        <v>171188</v>
      </c>
      <c r="T51" s="4">
        <v>27493</v>
      </c>
      <c r="U51" s="4">
        <v>30837</v>
      </c>
      <c r="V51" s="4">
        <v>483</v>
      </c>
      <c r="W51" s="4">
        <v>18193</v>
      </c>
      <c r="X51" s="4">
        <v>2168</v>
      </c>
      <c r="Y51" s="4">
        <v>250362</v>
      </c>
      <c r="Z51" s="4">
        <v>29208</v>
      </c>
      <c r="AA51" s="4">
        <v>221154</v>
      </c>
      <c r="AB51" s="4">
        <v>122141</v>
      </c>
      <c r="AC51" s="4">
        <v>99013</v>
      </c>
    </row>
    <row r="52" spans="1:29" x14ac:dyDescent="0.25">
      <c r="A52" s="1" t="s">
        <v>22</v>
      </c>
      <c r="B52" s="1" t="s">
        <v>734</v>
      </c>
      <c r="C52" s="1" t="s">
        <v>52</v>
      </c>
      <c r="D52" s="1" t="s">
        <v>462</v>
      </c>
      <c r="E52" s="2">
        <v>109.57</v>
      </c>
      <c r="F52" s="3">
        <v>946.8</v>
      </c>
      <c r="G52" s="2">
        <v>1056.3699999999999</v>
      </c>
      <c r="H52" s="2">
        <v>2.99</v>
      </c>
      <c r="I52" s="4">
        <v>33</v>
      </c>
      <c r="J52" s="3">
        <v>0</v>
      </c>
      <c r="K52" s="4">
        <v>980</v>
      </c>
      <c r="L52" s="2">
        <v>311.92</v>
      </c>
      <c r="M52" s="2">
        <v>56.57</v>
      </c>
      <c r="N52" s="2">
        <v>63.45</v>
      </c>
      <c r="O52" s="2">
        <v>33.15</v>
      </c>
      <c r="P52" s="2">
        <v>3.95</v>
      </c>
      <c r="Q52" s="4">
        <v>329503</v>
      </c>
      <c r="R52" s="4">
        <v>0</v>
      </c>
      <c r="S52" s="4">
        <v>329503</v>
      </c>
      <c r="T52" s="4">
        <v>55439</v>
      </c>
      <c r="U52" s="4">
        <v>62181</v>
      </c>
      <c r="V52" s="4">
        <v>933</v>
      </c>
      <c r="W52" s="4">
        <v>35019</v>
      </c>
      <c r="X52" s="4">
        <v>4173</v>
      </c>
      <c r="Y52" s="4">
        <v>487248</v>
      </c>
      <c r="Z52" s="4">
        <v>55190</v>
      </c>
      <c r="AA52" s="4">
        <v>432058</v>
      </c>
      <c r="AB52" s="4">
        <v>236130</v>
      </c>
      <c r="AC52" s="4">
        <v>195928</v>
      </c>
    </row>
    <row r="53" spans="1:29" x14ac:dyDescent="0.25">
      <c r="A53" s="1" t="s">
        <v>22</v>
      </c>
      <c r="B53" s="1" t="s">
        <v>734</v>
      </c>
      <c r="C53" s="1" t="s">
        <v>53</v>
      </c>
      <c r="D53" s="1" t="s">
        <v>463</v>
      </c>
      <c r="E53" s="2">
        <v>63.22</v>
      </c>
      <c r="F53" s="3">
        <v>629.9</v>
      </c>
      <c r="G53" s="2">
        <v>693.12</v>
      </c>
      <c r="H53" s="2">
        <v>1.96</v>
      </c>
      <c r="I53" s="4">
        <v>1</v>
      </c>
      <c r="J53" s="3">
        <v>0</v>
      </c>
      <c r="K53" s="4">
        <v>631</v>
      </c>
      <c r="L53" s="2">
        <v>311.92</v>
      </c>
      <c r="M53" s="2">
        <v>56.57</v>
      </c>
      <c r="N53" s="2">
        <v>63.45</v>
      </c>
      <c r="O53" s="2">
        <v>33.15</v>
      </c>
      <c r="P53" s="2">
        <v>3.95</v>
      </c>
      <c r="Q53" s="4">
        <v>216198</v>
      </c>
      <c r="R53" s="4">
        <v>0</v>
      </c>
      <c r="S53" s="4">
        <v>216198</v>
      </c>
      <c r="T53" s="4">
        <v>35696</v>
      </c>
      <c r="U53" s="4">
        <v>40037</v>
      </c>
      <c r="V53" s="4">
        <v>611</v>
      </c>
      <c r="W53" s="4">
        <v>22977</v>
      </c>
      <c r="X53" s="4">
        <v>2738</v>
      </c>
      <c r="Y53" s="4">
        <v>318257</v>
      </c>
      <c r="Z53" s="4">
        <v>35146</v>
      </c>
      <c r="AA53" s="4">
        <v>283111</v>
      </c>
      <c r="AB53" s="4">
        <v>155998</v>
      </c>
      <c r="AC53" s="4">
        <v>127113</v>
      </c>
    </row>
    <row r="54" spans="1:29" x14ac:dyDescent="0.25">
      <c r="A54" s="1" t="s">
        <v>22</v>
      </c>
      <c r="B54" s="1" t="s">
        <v>734</v>
      </c>
      <c r="C54" s="1" t="s">
        <v>54</v>
      </c>
      <c r="D54" s="1" t="s">
        <v>464</v>
      </c>
      <c r="E54" s="2">
        <v>80.63</v>
      </c>
      <c r="F54" s="3">
        <v>573.70000000000005</v>
      </c>
      <c r="G54" s="2">
        <v>654.33000000000004</v>
      </c>
      <c r="H54" s="2">
        <v>1.85</v>
      </c>
      <c r="I54" s="4">
        <v>7</v>
      </c>
      <c r="J54" s="3">
        <v>0</v>
      </c>
      <c r="K54" s="4">
        <v>581</v>
      </c>
      <c r="L54" s="2">
        <v>311.92</v>
      </c>
      <c r="M54" s="2">
        <v>56.57</v>
      </c>
      <c r="N54" s="2">
        <v>63.45</v>
      </c>
      <c r="O54" s="2">
        <v>33.15</v>
      </c>
      <c r="P54" s="2">
        <v>3.95</v>
      </c>
      <c r="Q54" s="4">
        <v>204099</v>
      </c>
      <c r="R54" s="4">
        <v>0</v>
      </c>
      <c r="S54" s="4">
        <v>204099</v>
      </c>
      <c r="T54" s="4">
        <v>32867</v>
      </c>
      <c r="U54" s="4">
        <v>36864</v>
      </c>
      <c r="V54" s="4">
        <v>577</v>
      </c>
      <c r="W54" s="4">
        <v>21691</v>
      </c>
      <c r="X54" s="4">
        <v>2585</v>
      </c>
      <c r="Y54" s="4">
        <v>298683</v>
      </c>
      <c r="Z54" s="4">
        <v>32474</v>
      </c>
      <c r="AA54" s="4">
        <v>266209</v>
      </c>
      <c r="AB54" s="4">
        <v>147973</v>
      </c>
      <c r="AC54" s="4">
        <v>118236</v>
      </c>
    </row>
    <row r="55" spans="1:29" x14ac:dyDescent="0.25">
      <c r="A55" s="1" t="s">
        <v>22</v>
      </c>
      <c r="B55" s="1" t="s">
        <v>734</v>
      </c>
      <c r="C55" s="1" t="s">
        <v>55</v>
      </c>
      <c r="D55" s="1" t="s">
        <v>465</v>
      </c>
      <c r="E55" s="2">
        <v>332.89</v>
      </c>
      <c r="F55" s="3">
        <v>1958</v>
      </c>
      <c r="G55" s="2">
        <v>2290.89</v>
      </c>
      <c r="H55" s="2">
        <v>6.48</v>
      </c>
      <c r="I55" s="4">
        <v>185</v>
      </c>
      <c r="J55" s="3">
        <v>0.5</v>
      </c>
      <c r="K55" s="4">
        <v>2143</v>
      </c>
      <c r="L55" s="2">
        <v>311.92</v>
      </c>
      <c r="M55" s="2">
        <v>56.57</v>
      </c>
      <c r="N55" s="2">
        <v>63.45</v>
      </c>
      <c r="O55" s="2">
        <v>33.15</v>
      </c>
      <c r="P55" s="2">
        <v>3.95</v>
      </c>
      <c r="Q55" s="4">
        <v>714574</v>
      </c>
      <c r="R55" s="4">
        <v>0</v>
      </c>
      <c r="S55" s="4">
        <v>714574</v>
      </c>
      <c r="T55" s="4">
        <v>121230</v>
      </c>
      <c r="U55" s="4">
        <v>135973</v>
      </c>
      <c r="V55" s="4">
        <v>2021</v>
      </c>
      <c r="W55" s="4">
        <v>75943</v>
      </c>
      <c r="X55" s="4">
        <v>9049</v>
      </c>
      <c r="Y55" s="4">
        <v>1058790</v>
      </c>
      <c r="Z55" s="4">
        <v>101066</v>
      </c>
      <c r="AA55" s="4">
        <v>957724</v>
      </c>
      <c r="AB55" s="4">
        <v>530700</v>
      </c>
      <c r="AC55" s="4">
        <v>427024</v>
      </c>
    </row>
    <row r="56" spans="1:29" x14ac:dyDescent="0.25">
      <c r="A56" s="1" t="s">
        <v>22</v>
      </c>
      <c r="B56" s="1" t="s">
        <v>734</v>
      </c>
      <c r="C56" s="1" t="s">
        <v>56</v>
      </c>
      <c r="D56" s="1" t="s">
        <v>466</v>
      </c>
      <c r="E56" s="2">
        <v>115.22</v>
      </c>
      <c r="F56" s="3">
        <v>1167.7</v>
      </c>
      <c r="G56" s="2">
        <v>1282.92</v>
      </c>
      <c r="H56" s="2">
        <v>3.64</v>
      </c>
      <c r="I56" s="4">
        <v>8</v>
      </c>
      <c r="J56" s="3">
        <v>0</v>
      </c>
      <c r="K56" s="4">
        <v>1176</v>
      </c>
      <c r="L56" s="2">
        <v>311.92</v>
      </c>
      <c r="M56" s="2">
        <v>56.57</v>
      </c>
      <c r="N56" s="2">
        <v>63.45</v>
      </c>
      <c r="O56" s="2">
        <v>33.15</v>
      </c>
      <c r="P56" s="2">
        <v>3.95</v>
      </c>
      <c r="Q56" s="4">
        <v>400168</v>
      </c>
      <c r="R56" s="4">
        <v>0</v>
      </c>
      <c r="S56" s="4">
        <v>400168</v>
      </c>
      <c r="T56" s="4">
        <v>66526</v>
      </c>
      <c r="U56" s="4">
        <v>74617</v>
      </c>
      <c r="V56" s="4">
        <v>1135</v>
      </c>
      <c r="W56" s="4">
        <v>42529</v>
      </c>
      <c r="X56" s="4">
        <v>5068</v>
      </c>
      <c r="Y56" s="4">
        <v>590043</v>
      </c>
      <c r="Z56" s="4">
        <v>56032</v>
      </c>
      <c r="AA56" s="4">
        <v>534011</v>
      </c>
      <c r="AB56" s="4">
        <v>297766</v>
      </c>
      <c r="AC56" s="4">
        <v>236245</v>
      </c>
    </row>
    <row r="57" spans="1:29" x14ac:dyDescent="0.25">
      <c r="A57" s="1" t="s">
        <v>22</v>
      </c>
      <c r="B57" s="1" t="s">
        <v>734</v>
      </c>
      <c r="C57" s="1" t="s">
        <v>57</v>
      </c>
      <c r="D57" s="1" t="s">
        <v>467</v>
      </c>
      <c r="E57" s="2">
        <v>306.70999999999998</v>
      </c>
      <c r="F57" s="3">
        <v>2390</v>
      </c>
      <c r="G57" s="2">
        <v>2696.71</v>
      </c>
      <c r="H57" s="2">
        <v>7.63</v>
      </c>
      <c r="I57" s="4">
        <v>214</v>
      </c>
      <c r="J57" s="3">
        <v>4.5</v>
      </c>
      <c r="K57" s="4">
        <v>2600</v>
      </c>
      <c r="L57" s="2">
        <v>311.92</v>
      </c>
      <c r="M57" s="2">
        <v>56.57</v>
      </c>
      <c r="N57" s="2">
        <v>63.45</v>
      </c>
      <c r="O57" s="2">
        <v>33.15</v>
      </c>
      <c r="P57" s="2">
        <v>3.95</v>
      </c>
      <c r="Q57" s="4">
        <v>841158</v>
      </c>
      <c r="R57" s="4">
        <v>0</v>
      </c>
      <c r="S57" s="4">
        <v>841158</v>
      </c>
      <c r="T57" s="4">
        <v>147082</v>
      </c>
      <c r="U57" s="4">
        <v>164970</v>
      </c>
      <c r="V57" s="4">
        <v>2380</v>
      </c>
      <c r="W57" s="4">
        <v>89396</v>
      </c>
      <c r="X57" s="4">
        <v>10652</v>
      </c>
      <c r="Y57" s="4">
        <v>1255638</v>
      </c>
      <c r="Z57" s="4">
        <v>89007</v>
      </c>
      <c r="AA57" s="4">
        <v>1166631</v>
      </c>
      <c r="AB57" s="4">
        <v>654674</v>
      </c>
      <c r="AC57" s="4">
        <v>511957</v>
      </c>
    </row>
    <row r="58" spans="1:29" x14ac:dyDescent="0.25">
      <c r="A58" s="1" t="s">
        <v>22</v>
      </c>
      <c r="B58" s="1" t="s">
        <v>734</v>
      </c>
      <c r="C58" s="1" t="s">
        <v>58</v>
      </c>
      <c r="D58" s="1" t="s">
        <v>468</v>
      </c>
      <c r="E58" s="2">
        <v>24.53</v>
      </c>
      <c r="F58" s="3">
        <v>141.69999999999999</v>
      </c>
      <c r="G58" s="2">
        <v>166.23</v>
      </c>
      <c r="H58" s="2">
        <v>0.47</v>
      </c>
      <c r="I58" s="4">
        <v>5</v>
      </c>
      <c r="J58" s="3">
        <v>0</v>
      </c>
      <c r="K58" s="4">
        <v>147</v>
      </c>
      <c r="L58" s="2">
        <v>311.92</v>
      </c>
      <c r="M58" s="2">
        <v>56.57</v>
      </c>
      <c r="N58" s="2">
        <v>63.45</v>
      </c>
      <c r="O58" s="2">
        <v>33.15</v>
      </c>
      <c r="P58" s="2">
        <v>3.95</v>
      </c>
      <c r="Q58" s="4">
        <v>51850</v>
      </c>
      <c r="R58" s="4">
        <v>11661</v>
      </c>
      <c r="S58" s="4">
        <v>63511</v>
      </c>
      <c r="T58" s="4">
        <v>8316</v>
      </c>
      <c r="U58" s="4">
        <v>9327</v>
      </c>
      <c r="V58" s="4">
        <v>147</v>
      </c>
      <c r="W58" s="4">
        <v>5804</v>
      </c>
      <c r="X58" s="4">
        <v>692</v>
      </c>
      <c r="Y58" s="4">
        <v>87797</v>
      </c>
      <c r="Z58" s="4">
        <v>10017</v>
      </c>
      <c r="AA58" s="4">
        <v>77780</v>
      </c>
      <c r="AB58" s="4">
        <v>36154</v>
      </c>
      <c r="AC58" s="4">
        <v>41626</v>
      </c>
    </row>
    <row r="59" spans="1:29" x14ac:dyDescent="0.25">
      <c r="A59" s="1" t="s">
        <v>22</v>
      </c>
      <c r="B59" s="1" t="s">
        <v>734</v>
      </c>
      <c r="C59" s="1" t="s">
        <v>59</v>
      </c>
      <c r="D59" s="1" t="s">
        <v>469</v>
      </c>
      <c r="E59" s="2">
        <v>18.27</v>
      </c>
      <c r="F59" s="3">
        <v>135</v>
      </c>
      <c r="G59" s="2">
        <v>153.27000000000001</v>
      </c>
      <c r="H59" s="2">
        <v>0.44</v>
      </c>
      <c r="I59" s="4">
        <v>14</v>
      </c>
      <c r="J59" s="3">
        <v>0</v>
      </c>
      <c r="K59" s="4">
        <v>149</v>
      </c>
      <c r="L59" s="2">
        <v>311.92</v>
      </c>
      <c r="M59" s="2">
        <v>56.57</v>
      </c>
      <c r="N59" s="2">
        <v>63.45</v>
      </c>
      <c r="O59" s="2">
        <v>33.15</v>
      </c>
      <c r="P59" s="2">
        <v>3.95</v>
      </c>
      <c r="Q59" s="4">
        <v>47808</v>
      </c>
      <c r="R59" s="4">
        <v>9967</v>
      </c>
      <c r="S59" s="4">
        <v>57775</v>
      </c>
      <c r="T59" s="4">
        <v>8429</v>
      </c>
      <c r="U59" s="4">
        <v>9454</v>
      </c>
      <c r="V59" s="4">
        <v>137</v>
      </c>
      <c r="W59" s="4">
        <v>5305</v>
      </c>
      <c r="X59" s="4">
        <v>633</v>
      </c>
      <c r="Y59" s="4">
        <v>81733</v>
      </c>
      <c r="Z59" s="4">
        <v>11565</v>
      </c>
      <c r="AA59" s="4">
        <v>70168</v>
      </c>
      <c r="AB59" s="4">
        <v>30956</v>
      </c>
      <c r="AC59" s="4">
        <v>39212</v>
      </c>
    </row>
    <row r="60" spans="1:29" x14ac:dyDescent="0.25">
      <c r="A60" s="1" t="s">
        <v>22</v>
      </c>
      <c r="B60" s="1" t="s">
        <v>734</v>
      </c>
      <c r="C60" s="1" t="s">
        <v>60</v>
      </c>
      <c r="D60" s="1" t="s">
        <v>470</v>
      </c>
      <c r="E60" s="2">
        <v>225.81</v>
      </c>
      <c r="F60" s="3">
        <v>1718</v>
      </c>
      <c r="G60" s="2">
        <v>1943.81</v>
      </c>
      <c r="H60" s="2">
        <v>5.5</v>
      </c>
      <c r="I60" s="4">
        <v>77</v>
      </c>
      <c r="J60" s="3">
        <v>0.9</v>
      </c>
      <c r="K60" s="4">
        <v>1794</v>
      </c>
      <c r="L60" s="2">
        <v>311.92</v>
      </c>
      <c r="M60" s="2">
        <v>56.57</v>
      </c>
      <c r="N60" s="2">
        <v>63.45</v>
      </c>
      <c r="O60" s="2">
        <v>33.15</v>
      </c>
      <c r="P60" s="2">
        <v>3.95</v>
      </c>
      <c r="Q60" s="4">
        <v>606313</v>
      </c>
      <c r="R60" s="4">
        <v>4639</v>
      </c>
      <c r="S60" s="4">
        <v>610952</v>
      </c>
      <c r="T60" s="4">
        <v>101487</v>
      </c>
      <c r="U60" s="4">
        <v>113829</v>
      </c>
      <c r="V60" s="4">
        <v>1716</v>
      </c>
      <c r="W60" s="4">
        <v>64437</v>
      </c>
      <c r="X60" s="4">
        <v>7678</v>
      </c>
      <c r="Y60" s="4">
        <v>900099</v>
      </c>
      <c r="Z60" s="4">
        <v>94005</v>
      </c>
      <c r="AA60" s="4">
        <v>806094</v>
      </c>
      <c r="AB60" s="4">
        <v>442046</v>
      </c>
      <c r="AC60" s="4">
        <v>364048</v>
      </c>
    </row>
    <row r="61" spans="1:29" x14ac:dyDescent="0.25">
      <c r="A61" s="1" t="s">
        <v>22</v>
      </c>
      <c r="B61" s="1" t="s">
        <v>734</v>
      </c>
      <c r="C61" s="1" t="s">
        <v>61</v>
      </c>
      <c r="D61" s="1" t="s">
        <v>471</v>
      </c>
      <c r="E61" s="2">
        <v>38.659999999999997</v>
      </c>
      <c r="F61" s="3">
        <v>284.39999999999998</v>
      </c>
      <c r="G61" s="2">
        <v>323.06</v>
      </c>
      <c r="H61" s="2">
        <v>0.91</v>
      </c>
      <c r="I61" s="4">
        <v>33</v>
      </c>
      <c r="J61" s="3">
        <v>0</v>
      </c>
      <c r="K61" s="4">
        <v>317</v>
      </c>
      <c r="L61" s="2">
        <v>311.92</v>
      </c>
      <c r="M61" s="2">
        <v>56.57</v>
      </c>
      <c r="N61" s="2">
        <v>63.45</v>
      </c>
      <c r="O61" s="2">
        <v>33.15</v>
      </c>
      <c r="P61" s="2">
        <v>3.95</v>
      </c>
      <c r="Q61" s="4">
        <v>100769</v>
      </c>
      <c r="R61" s="4">
        <v>15210</v>
      </c>
      <c r="S61" s="4">
        <v>115979</v>
      </c>
      <c r="T61" s="4">
        <v>17933</v>
      </c>
      <c r="U61" s="4">
        <v>20114</v>
      </c>
      <c r="V61" s="4">
        <v>284</v>
      </c>
      <c r="W61" s="4">
        <v>10825</v>
      </c>
      <c r="X61" s="4">
        <v>1292</v>
      </c>
      <c r="Y61" s="4">
        <v>166427</v>
      </c>
      <c r="Z61" s="4">
        <v>19619</v>
      </c>
      <c r="AA61" s="4">
        <v>146808</v>
      </c>
      <c r="AB61" s="4">
        <v>69603</v>
      </c>
      <c r="AC61" s="4">
        <v>77205</v>
      </c>
    </row>
    <row r="62" spans="1:29" x14ac:dyDescent="0.25">
      <c r="A62" s="1" t="s">
        <v>62</v>
      </c>
      <c r="B62" s="1" t="s">
        <v>735</v>
      </c>
      <c r="C62" s="1" t="s">
        <v>63</v>
      </c>
      <c r="D62" s="1" t="s">
        <v>64</v>
      </c>
      <c r="E62" s="2">
        <v>93.27</v>
      </c>
      <c r="F62" s="3">
        <v>646.70000000000005</v>
      </c>
      <c r="G62" s="2">
        <v>739.97</v>
      </c>
      <c r="H62" s="2">
        <v>0</v>
      </c>
      <c r="I62" s="4">
        <v>16</v>
      </c>
      <c r="J62" s="3">
        <v>0.3</v>
      </c>
      <c r="K62" s="4">
        <v>662</v>
      </c>
      <c r="L62" s="2">
        <v>305.29000000000002</v>
      </c>
      <c r="M62" s="2">
        <v>56.52</v>
      </c>
      <c r="N62" s="2">
        <v>63.07</v>
      </c>
      <c r="O62" s="2">
        <v>38.42</v>
      </c>
      <c r="P62" s="2">
        <v>4.42</v>
      </c>
      <c r="Q62" s="4">
        <v>225905</v>
      </c>
      <c r="R62" s="4">
        <v>0</v>
      </c>
      <c r="S62" s="4">
        <v>225905</v>
      </c>
      <c r="T62" s="4">
        <v>37416</v>
      </c>
      <c r="U62" s="4">
        <v>41752</v>
      </c>
      <c r="V62" s="4">
        <v>0</v>
      </c>
      <c r="W62" s="4">
        <v>28430</v>
      </c>
      <c r="X62" s="4">
        <v>3271</v>
      </c>
      <c r="Y62" s="4">
        <v>336774</v>
      </c>
      <c r="Z62" s="4">
        <v>41289</v>
      </c>
      <c r="AA62" s="4">
        <v>295485</v>
      </c>
      <c r="AB62" s="4">
        <v>166525</v>
      </c>
      <c r="AC62" s="4">
        <v>128960</v>
      </c>
    </row>
    <row r="63" spans="1:29" x14ac:dyDescent="0.25">
      <c r="A63" s="1" t="s">
        <v>62</v>
      </c>
      <c r="B63" s="1" t="s">
        <v>735</v>
      </c>
      <c r="C63" s="1" t="s">
        <v>65</v>
      </c>
      <c r="D63" s="1" t="s">
        <v>472</v>
      </c>
      <c r="E63" s="2">
        <v>25.44</v>
      </c>
      <c r="F63" s="3">
        <v>274.2</v>
      </c>
      <c r="G63" s="2">
        <v>299.64</v>
      </c>
      <c r="H63" s="2">
        <v>0</v>
      </c>
      <c r="I63" s="4">
        <v>0</v>
      </c>
      <c r="J63" s="3">
        <v>0</v>
      </c>
      <c r="K63" s="4">
        <v>274</v>
      </c>
      <c r="L63" s="2">
        <v>305.29000000000002</v>
      </c>
      <c r="M63" s="2">
        <v>56.52</v>
      </c>
      <c r="N63" s="2">
        <v>63.07</v>
      </c>
      <c r="O63" s="2">
        <v>38.42</v>
      </c>
      <c r="P63" s="2">
        <v>4.42</v>
      </c>
      <c r="Q63" s="4">
        <v>91477</v>
      </c>
      <c r="R63" s="4">
        <v>0</v>
      </c>
      <c r="S63" s="4">
        <v>91477</v>
      </c>
      <c r="T63" s="4">
        <v>15486</v>
      </c>
      <c r="U63" s="4">
        <v>17281</v>
      </c>
      <c r="V63" s="4">
        <v>0</v>
      </c>
      <c r="W63" s="4">
        <v>11512</v>
      </c>
      <c r="X63" s="4">
        <v>1324</v>
      </c>
      <c r="Y63" s="4">
        <v>137080</v>
      </c>
      <c r="Z63" s="4">
        <v>14957</v>
      </c>
      <c r="AA63" s="4">
        <v>122123</v>
      </c>
      <c r="AB63" s="4">
        <v>69193</v>
      </c>
      <c r="AC63" s="4">
        <v>52930</v>
      </c>
    </row>
    <row r="64" spans="1:29" x14ac:dyDescent="0.25">
      <c r="A64" s="1" t="s">
        <v>62</v>
      </c>
      <c r="B64" s="1" t="s">
        <v>735</v>
      </c>
      <c r="C64" s="1" t="s">
        <v>66</v>
      </c>
      <c r="D64" s="1" t="s">
        <v>473</v>
      </c>
      <c r="E64" s="2">
        <v>106.79</v>
      </c>
      <c r="F64" s="3">
        <v>803.3</v>
      </c>
      <c r="G64" s="2">
        <v>910.09</v>
      </c>
      <c r="H64" s="2">
        <v>0</v>
      </c>
      <c r="I64" s="4">
        <v>27</v>
      </c>
      <c r="J64" s="3">
        <v>0</v>
      </c>
      <c r="K64" s="4">
        <v>830</v>
      </c>
      <c r="L64" s="2">
        <v>305.29000000000002</v>
      </c>
      <c r="M64" s="2">
        <v>56.52</v>
      </c>
      <c r="N64" s="2">
        <v>63.07</v>
      </c>
      <c r="O64" s="2">
        <v>38.42</v>
      </c>
      <c r="P64" s="2">
        <v>4.42</v>
      </c>
      <c r="Q64" s="4">
        <v>277841</v>
      </c>
      <c r="R64" s="4">
        <v>4279</v>
      </c>
      <c r="S64" s="4">
        <v>282120</v>
      </c>
      <c r="T64" s="4">
        <v>46912</v>
      </c>
      <c r="U64" s="4">
        <v>52348</v>
      </c>
      <c r="V64" s="4">
        <v>0</v>
      </c>
      <c r="W64" s="4">
        <v>34966</v>
      </c>
      <c r="X64" s="4">
        <v>4023</v>
      </c>
      <c r="Y64" s="4">
        <v>420369</v>
      </c>
      <c r="Z64" s="4">
        <v>39100</v>
      </c>
      <c r="AA64" s="4">
        <v>381269</v>
      </c>
      <c r="AB64" s="4">
        <v>216490</v>
      </c>
      <c r="AC64" s="4">
        <v>164779</v>
      </c>
    </row>
    <row r="65" spans="1:29" x14ac:dyDescent="0.25">
      <c r="A65" s="1" t="s">
        <v>62</v>
      </c>
      <c r="B65" s="1" t="s">
        <v>735</v>
      </c>
      <c r="C65" s="1" t="s">
        <v>67</v>
      </c>
      <c r="D65" s="1" t="s">
        <v>68</v>
      </c>
      <c r="E65" s="2">
        <v>63.07</v>
      </c>
      <c r="F65" s="3">
        <v>520.20000000000005</v>
      </c>
      <c r="G65" s="2">
        <v>583.27</v>
      </c>
      <c r="H65" s="2">
        <v>0</v>
      </c>
      <c r="I65" s="4">
        <v>1</v>
      </c>
      <c r="J65" s="3">
        <v>0</v>
      </c>
      <c r="K65" s="4">
        <v>521</v>
      </c>
      <c r="L65" s="2">
        <v>305.29000000000002</v>
      </c>
      <c r="M65" s="2">
        <v>56.52</v>
      </c>
      <c r="N65" s="2">
        <v>63.07</v>
      </c>
      <c r="O65" s="2">
        <v>38.42</v>
      </c>
      <c r="P65" s="2">
        <v>4.42</v>
      </c>
      <c r="Q65" s="4">
        <v>178066</v>
      </c>
      <c r="R65" s="4">
        <v>8446</v>
      </c>
      <c r="S65" s="4">
        <v>186512</v>
      </c>
      <c r="T65" s="4">
        <v>29447</v>
      </c>
      <c r="U65" s="4">
        <v>32859</v>
      </c>
      <c r="V65" s="4">
        <v>0</v>
      </c>
      <c r="W65" s="4">
        <v>22618</v>
      </c>
      <c r="X65" s="4">
        <v>2604</v>
      </c>
      <c r="Y65" s="4">
        <v>274040</v>
      </c>
      <c r="Z65" s="4">
        <v>29783</v>
      </c>
      <c r="AA65" s="4">
        <v>244257</v>
      </c>
      <c r="AB65" s="4">
        <v>134257</v>
      </c>
      <c r="AC65" s="4">
        <v>110000</v>
      </c>
    </row>
    <row r="66" spans="1:29" x14ac:dyDescent="0.25">
      <c r="A66" s="1" t="s">
        <v>62</v>
      </c>
      <c r="B66" s="1" t="s">
        <v>735</v>
      </c>
      <c r="C66" s="1" t="s">
        <v>69</v>
      </c>
      <c r="D66" s="1" t="s">
        <v>474</v>
      </c>
      <c r="E66" s="2">
        <v>89.31</v>
      </c>
      <c r="F66" s="3">
        <v>791.5</v>
      </c>
      <c r="G66" s="2">
        <v>880.81</v>
      </c>
      <c r="H66" s="2">
        <v>0</v>
      </c>
      <c r="I66" s="4">
        <v>0</v>
      </c>
      <c r="J66" s="3">
        <v>0</v>
      </c>
      <c r="K66" s="4">
        <v>792</v>
      </c>
      <c r="L66" s="2">
        <v>305.29000000000002</v>
      </c>
      <c r="M66" s="2">
        <v>56.52</v>
      </c>
      <c r="N66" s="2">
        <v>63.07</v>
      </c>
      <c r="O66" s="2">
        <v>38.42</v>
      </c>
      <c r="P66" s="2">
        <v>4.42</v>
      </c>
      <c r="Q66" s="4">
        <v>268902</v>
      </c>
      <c r="R66" s="4">
        <v>1818</v>
      </c>
      <c r="S66" s="4">
        <v>270720</v>
      </c>
      <c r="T66" s="4">
        <v>44764</v>
      </c>
      <c r="U66" s="4">
        <v>49951</v>
      </c>
      <c r="V66" s="4">
        <v>0</v>
      </c>
      <c r="W66" s="4">
        <v>33841</v>
      </c>
      <c r="X66" s="4">
        <v>3895</v>
      </c>
      <c r="Y66" s="4">
        <v>403171</v>
      </c>
      <c r="Z66" s="4">
        <v>39506</v>
      </c>
      <c r="AA66" s="4">
        <v>363665</v>
      </c>
      <c r="AB66" s="4">
        <v>207863</v>
      </c>
      <c r="AC66" s="4">
        <v>155802</v>
      </c>
    </row>
    <row r="67" spans="1:29" x14ac:dyDescent="0.25">
      <c r="A67" s="1" t="s">
        <v>62</v>
      </c>
      <c r="B67" s="1" t="s">
        <v>735</v>
      </c>
      <c r="C67" s="1" t="s">
        <v>70</v>
      </c>
      <c r="D67" s="1" t="s">
        <v>475</v>
      </c>
      <c r="E67" s="2">
        <v>70.989999999999995</v>
      </c>
      <c r="F67" s="3">
        <v>551.6</v>
      </c>
      <c r="G67" s="2">
        <v>622.59</v>
      </c>
      <c r="H67" s="2">
        <v>0</v>
      </c>
      <c r="I67" s="4">
        <v>0</v>
      </c>
      <c r="J67" s="3">
        <v>0</v>
      </c>
      <c r="K67" s="4">
        <v>552</v>
      </c>
      <c r="L67" s="2">
        <v>305.29000000000002</v>
      </c>
      <c r="M67" s="2">
        <v>56.52</v>
      </c>
      <c r="N67" s="2">
        <v>63.07</v>
      </c>
      <c r="O67" s="2">
        <v>38.42</v>
      </c>
      <c r="P67" s="2">
        <v>4.42</v>
      </c>
      <c r="Q67" s="4">
        <v>190071</v>
      </c>
      <c r="R67" s="4">
        <v>0</v>
      </c>
      <c r="S67" s="4">
        <v>190071</v>
      </c>
      <c r="T67" s="4">
        <v>31199</v>
      </c>
      <c r="U67" s="4">
        <v>34815</v>
      </c>
      <c r="V67" s="4">
        <v>0</v>
      </c>
      <c r="W67" s="4">
        <v>23920</v>
      </c>
      <c r="X67" s="4">
        <v>2752</v>
      </c>
      <c r="Y67" s="4">
        <v>282757</v>
      </c>
      <c r="Z67" s="4">
        <v>29369</v>
      </c>
      <c r="AA67" s="4">
        <v>253388</v>
      </c>
      <c r="AB67" s="4">
        <v>145479</v>
      </c>
      <c r="AC67" s="4">
        <v>107909</v>
      </c>
    </row>
    <row r="68" spans="1:29" x14ac:dyDescent="0.25">
      <c r="A68" s="1" t="s">
        <v>62</v>
      </c>
      <c r="B68" s="1" t="s">
        <v>735</v>
      </c>
      <c r="C68" s="1" t="s">
        <v>71</v>
      </c>
      <c r="D68" s="1" t="s">
        <v>72</v>
      </c>
      <c r="E68" s="2">
        <v>32.799999999999997</v>
      </c>
      <c r="F68" s="3">
        <v>240.6</v>
      </c>
      <c r="G68" s="2">
        <v>273.39999999999998</v>
      </c>
      <c r="H68" s="2">
        <v>0</v>
      </c>
      <c r="I68" s="4">
        <v>16</v>
      </c>
      <c r="J68" s="3">
        <v>0.7</v>
      </c>
      <c r="K68" s="4">
        <v>256</v>
      </c>
      <c r="L68" s="2">
        <v>305.29000000000002</v>
      </c>
      <c r="M68" s="2">
        <v>56.52</v>
      </c>
      <c r="N68" s="2">
        <v>63.07</v>
      </c>
      <c r="O68" s="2">
        <v>38.42</v>
      </c>
      <c r="P68" s="2">
        <v>4.42</v>
      </c>
      <c r="Q68" s="4">
        <v>83466</v>
      </c>
      <c r="R68" s="4">
        <v>9732</v>
      </c>
      <c r="S68" s="4">
        <v>93198</v>
      </c>
      <c r="T68" s="4">
        <v>14469</v>
      </c>
      <c r="U68" s="4">
        <v>16146</v>
      </c>
      <c r="V68" s="4">
        <v>0</v>
      </c>
      <c r="W68" s="4">
        <v>11770</v>
      </c>
      <c r="X68" s="4">
        <v>1355</v>
      </c>
      <c r="Y68" s="4">
        <v>136938</v>
      </c>
      <c r="Z68" s="4">
        <v>14140</v>
      </c>
      <c r="AA68" s="4">
        <v>122798</v>
      </c>
      <c r="AB68" s="4">
        <v>64054</v>
      </c>
      <c r="AC68" s="4">
        <v>58744</v>
      </c>
    </row>
    <row r="69" spans="1:29" x14ac:dyDescent="0.25">
      <c r="A69" s="1" t="s">
        <v>62</v>
      </c>
      <c r="B69" s="1" t="s">
        <v>735</v>
      </c>
      <c r="C69" s="1" t="s">
        <v>73</v>
      </c>
      <c r="D69" s="1" t="s">
        <v>476</v>
      </c>
      <c r="E69" s="2">
        <v>683.97</v>
      </c>
      <c r="F69" s="3">
        <v>5237.6000000000004</v>
      </c>
      <c r="G69" s="2">
        <v>5921.57</v>
      </c>
      <c r="H69" s="2">
        <v>0</v>
      </c>
      <c r="I69" s="4">
        <v>293</v>
      </c>
      <c r="J69" s="3">
        <v>1.2</v>
      </c>
      <c r="K69" s="4">
        <v>5529</v>
      </c>
      <c r="L69" s="2">
        <v>305.29000000000002</v>
      </c>
      <c r="M69" s="2">
        <v>56.52</v>
      </c>
      <c r="N69" s="2">
        <v>63.07</v>
      </c>
      <c r="O69" s="2">
        <v>38.42</v>
      </c>
      <c r="P69" s="2">
        <v>4.42</v>
      </c>
      <c r="Q69" s="4">
        <v>1807796</v>
      </c>
      <c r="R69" s="4">
        <v>0</v>
      </c>
      <c r="S69" s="4">
        <v>1807796</v>
      </c>
      <c r="T69" s="4">
        <v>312499</v>
      </c>
      <c r="U69" s="4">
        <v>348714</v>
      </c>
      <c r="V69" s="4">
        <v>0</v>
      </c>
      <c r="W69" s="4">
        <v>227507</v>
      </c>
      <c r="X69" s="4">
        <v>26173</v>
      </c>
      <c r="Y69" s="4">
        <v>2722689</v>
      </c>
      <c r="Z69" s="4">
        <v>198163</v>
      </c>
      <c r="AA69" s="4">
        <v>2524526</v>
      </c>
      <c r="AB69" s="4">
        <v>1464851</v>
      </c>
      <c r="AC69" s="4">
        <v>1059675</v>
      </c>
    </row>
    <row r="70" spans="1:29" x14ac:dyDescent="0.25">
      <c r="A70" s="1" t="s">
        <v>62</v>
      </c>
      <c r="B70" s="1" t="s">
        <v>735</v>
      </c>
      <c r="C70" s="1" t="s">
        <v>74</v>
      </c>
      <c r="D70" s="1" t="s">
        <v>477</v>
      </c>
      <c r="E70" s="2">
        <v>114.34</v>
      </c>
      <c r="F70" s="3">
        <v>797</v>
      </c>
      <c r="G70" s="2">
        <v>911.34</v>
      </c>
      <c r="H70" s="2">
        <v>0</v>
      </c>
      <c r="I70" s="4">
        <v>48</v>
      </c>
      <c r="J70" s="3">
        <v>0</v>
      </c>
      <c r="K70" s="4">
        <v>845</v>
      </c>
      <c r="L70" s="2">
        <v>305.29000000000002</v>
      </c>
      <c r="M70" s="2">
        <v>56.52</v>
      </c>
      <c r="N70" s="2">
        <v>63.07</v>
      </c>
      <c r="O70" s="2">
        <v>38.42</v>
      </c>
      <c r="P70" s="2">
        <v>4.42</v>
      </c>
      <c r="Q70" s="4">
        <v>278223</v>
      </c>
      <c r="R70" s="4">
        <v>2681</v>
      </c>
      <c r="S70" s="4">
        <v>280904</v>
      </c>
      <c r="T70" s="4">
        <v>47759</v>
      </c>
      <c r="U70" s="4">
        <v>53294</v>
      </c>
      <c r="V70" s="4">
        <v>0</v>
      </c>
      <c r="W70" s="4">
        <v>35479</v>
      </c>
      <c r="X70" s="4">
        <v>4084</v>
      </c>
      <c r="Y70" s="4">
        <v>421520</v>
      </c>
      <c r="Z70" s="4">
        <v>46457</v>
      </c>
      <c r="AA70" s="4">
        <v>375063</v>
      </c>
      <c r="AB70" s="4">
        <v>210005</v>
      </c>
      <c r="AC70" s="4">
        <v>165058</v>
      </c>
    </row>
    <row r="71" spans="1:29" x14ac:dyDescent="0.25">
      <c r="A71" s="1" t="s">
        <v>62</v>
      </c>
      <c r="B71" s="1" t="s">
        <v>735</v>
      </c>
      <c r="C71" s="1" t="s">
        <v>75</v>
      </c>
      <c r="D71" s="1" t="s">
        <v>478</v>
      </c>
      <c r="E71" s="2">
        <v>254.85</v>
      </c>
      <c r="F71" s="3">
        <v>1541.6</v>
      </c>
      <c r="G71" s="2">
        <v>1796.45</v>
      </c>
      <c r="H71" s="2">
        <v>0</v>
      </c>
      <c r="I71" s="4">
        <v>186</v>
      </c>
      <c r="J71" s="3">
        <v>3.2</v>
      </c>
      <c r="K71" s="4">
        <v>1724</v>
      </c>
      <c r="L71" s="2">
        <v>305.29000000000002</v>
      </c>
      <c r="M71" s="2">
        <v>56.52</v>
      </c>
      <c r="N71" s="2">
        <v>63.07</v>
      </c>
      <c r="O71" s="2">
        <v>38.42</v>
      </c>
      <c r="P71" s="2">
        <v>4.42</v>
      </c>
      <c r="Q71" s="4">
        <v>548438</v>
      </c>
      <c r="R71" s="4">
        <v>0</v>
      </c>
      <c r="S71" s="4">
        <v>548438</v>
      </c>
      <c r="T71" s="4">
        <v>97440</v>
      </c>
      <c r="U71" s="4">
        <v>108733</v>
      </c>
      <c r="V71" s="4">
        <v>0</v>
      </c>
      <c r="W71" s="4">
        <v>69020</v>
      </c>
      <c r="X71" s="4">
        <v>7940</v>
      </c>
      <c r="Y71" s="4">
        <v>831571</v>
      </c>
      <c r="Z71" s="4">
        <v>82982</v>
      </c>
      <c r="AA71" s="4">
        <v>748589</v>
      </c>
      <c r="AB71" s="4">
        <v>421533</v>
      </c>
      <c r="AC71" s="4">
        <v>327056</v>
      </c>
    </row>
    <row r="72" spans="1:29" x14ac:dyDescent="0.25">
      <c r="A72" s="1" t="s">
        <v>62</v>
      </c>
      <c r="B72" s="1" t="s">
        <v>735</v>
      </c>
      <c r="C72" s="1" t="s">
        <v>76</v>
      </c>
      <c r="D72" s="1" t="s">
        <v>479</v>
      </c>
      <c r="E72" s="2">
        <v>35.24</v>
      </c>
      <c r="F72" s="3">
        <v>310</v>
      </c>
      <c r="G72" s="2">
        <v>345.24</v>
      </c>
      <c r="H72" s="2">
        <v>0</v>
      </c>
      <c r="I72" s="4">
        <v>5</v>
      </c>
      <c r="J72" s="3">
        <v>0</v>
      </c>
      <c r="K72" s="4">
        <v>315</v>
      </c>
      <c r="L72" s="2">
        <v>305.29000000000002</v>
      </c>
      <c r="M72" s="2">
        <v>56.52</v>
      </c>
      <c r="N72" s="2">
        <v>63.07</v>
      </c>
      <c r="O72" s="2">
        <v>38.42</v>
      </c>
      <c r="P72" s="2">
        <v>4.42</v>
      </c>
      <c r="Q72" s="4">
        <v>105398</v>
      </c>
      <c r="R72" s="4">
        <v>12396</v>
      </c>
      <c r="S72" s="4">
        <v>117794</v>
      </c>
      <c r="T72" s="4">
        <v>17804</v>
      </c>
      <c r="U72" s="4">
        <v>19867</v>
      </c>
      <c r="V72" s="4">
        <v>0</v>
      </c>
      <c r="W72" s="4">
        <v>13480</v>
      </c>
      <c r="X72" s="4">
        <v>1552</v>
      </c>
      <c r="Y72" s="4">
        <v>170497</v>
      </c>
      <c r="Z72" s="4">
        <v>18545</v>
      </c>
      <c r="AA72" s="4">
        <v>151952</v>
      </c>
      <c r="AB72" s="4">
        <v>78654</v>
      </c>
      <c r="AC72" s="4">
        <v>73298</v>
      </c>
    </row>
    <row r="73" spans="1:29" x14ac:dyDescent="0.25">
      <c r="A73" s="1" t="s">
        <v>62</v>
      </c>
      <c r="B73" s="1" t="s">
        <v>735</v>
      </c>
      <c r="C73" s="1" t="s">
        <v>77</v>
      </c>
      <c r="D73" s="1" t="s">
        <v>480</v>
      </c>
      <c r="E73" s="2">
        <v>190.67</v>
      </c>
      <c r="F73" s="3">
        <v>1219.5999999999999</v>
      </c>
      <c r="G73" s="2">
        <v>1410.27</v>
      </c>
      <c r="H73" s="2">
        <v>0</v>
      </c>
      <c r="I73" s="4">
        <v>28</v>
      </c>
      <c r="J73" s="3">
        <v>0</v>
      </c>
      <c r="K73" s="4">
        <v>1248</v>
      </c>
      <c r="L73" s="2">
        <v>305.29000000000002</v>
      </c>
      <c r="M73" s="2">
        <v>56.52</v>
      </c>
      <c r="N73" s="2">
        <v>63.07</v>
      </c>
      <c r="O73" s="2">
        <v>38.42</v>
      </c>
      <c r="P73" s="2">
        <v>4.42</v>
      </c>
      <c r="Q73" s="4">
        <v>430541</v>
      </c>
      <c r="R73" s="4">
        <v>0</v>
      </c>
      <c r="S73" s="4">
        <v>430541</v>
      </c>
      <c r="T73" s="4">
        <v>70537</v>
      </c>
      <c r="U73" s="4">
        <v>78711</v>
      </c>
      <c r="V73" s="4">
        <v>0</v>
      </c>
      <c r="W73" s="4">
        <v>54183</v>
      </c>
      <c r="X73" s="4">
        <v>6233</v>
      </c>
      <c r="Y73" s="4">
        <v>640205</v>
      </c>
      <c r="Z73" s="4">
        <v>69828</v>
      </c>
      <c r="AA73" s="4">
        <v>570377</v>
      </c>
      <c r="AB73" s="4">
        <v>326232</v>
      </c>
      <c r="AC73" s="4">
        <v>244145</v>
      </c>
    </row>
    <row r="74" spans="1:29" x14ac:dyDescent="0.25">
      <c r="A74" s="1" t="s">
        <v>62</v>
      </c>
      <c r="B74" s="1" t="s">
        <v>735</v>
      </c>
      <c r="C74" s="1" t="s">
        <v>78</v>
      </c>
      <c r="D74" s="1" t="s">
        <v>481</v>
      </c>
      <c r="E74" s="2">
        <v>59.8</v>
      </c>
      <c r="F74" s="3">
        <v>778.5</v>
      </c>
      <c r="G74" s="2">
        <v>838.3</v>
      </c>
      <c r="H74" s="2">
        <v>0</v>
      </c>
      <c r="I74" s="4">
        <v>8</v>
      </c>
      <c r="J74" s="3">
        <v>0</v>
      </c>
      <c r="K74" s="4">
        <v>787</v>
      </c>
      <c r="L74" s="2">
        <v>305.29000000000002</v>
      </c>
      <c r="M74" s="2">
        <v>56.52</v>
      </c>
      <c r="N74" s="2">
        <v>63.07</v>
      </c>
      <c r="O74" s="2">
        <v>38.42</v>
      </c>
      <c r="P74" s="2">
        <v>4.42</v>
      </c>
      <c r="Q74" s="4">
        <v>255925</v>
      </c>
      <c r="R74" s="4">
        <v>0</v>
      </c>
      <c r="S74" s="4">
        <v>255925</v>
      </c>
      <c r="T74" s="4">
        <v>44481</v>
      </c>
      <c r="U74" s="4">
        <v>49636</v>
      </c>
      <c r="V74" s="4">
        <v>0</v>
      </c>
      <c r="W74" s="4">
        <v>32207</v>
      </c>
      <c r="X74" s="4">
        <v>3705</v>
      </c>
      <c r="Y74" s="4">
        <v>385954</v>
      </c>
      <c r="Z74" s="4">
        <v>32842</v>
      </c>
      <c r="AA74" s="4">
        <v>353112</v>
      </c>
      <c r="AB74" s="4">
        <v>202585</v>
      </c>
      <c r="AC74" s="4">
        <v>150527</v>
      </c>
    </row>
    <row r="75" spans="1:29" x14ac:dyDescent="0.25">
      <c r="A75" s="1" t="s">
        <v>62</v>
      </c>
      <c r="B75" s="1" t="s">
        <v>735</v>
      </c>
      <c r="C75" s="1" t="s">
        <v>79</v>
      </c>
      <c r="D75" s="1" t="s">
        <v>482</v>
      </c>
      <c r="E75" s="2">
        <v>114.3</v>
      </c>
      <c r="F75" s="3">
        <v>867.7</v>
      </c>
      <c r="G75" s="2">
        <v>982</v>
      </c>
      <c r="H75" s="2">
        <v>0</v>
      </c>
      <c r="I75" s="4">
        <v>9</v>
      </c>
      <c r="J75" s="3">
        <v>0</v>
      </c>
      <c r="K75" s="4">
        <v>877</v>
      </c>
      <c r="L75" s="2">
        <v>305.29000000000002</v>
      </c>
      <c r="M75" s="2">
        <v>56.52</v>
      </c>
      <c r="N75" s="2">
        <v>63.07</v>
      </c>
      <c r="O75" s="2">
        <v>38.42</v>
      </c>
      <c r="P75" s="2">
        <v>4.42</v>
      </c>
      <c r="Q75" s="4">
        <v>299795</v>
      </c>
      <c r="R75" s="4">
        <v>1427</v>
      </c>
      <c r="S75" s="4">
        <v>301222</v>
      </c>
      <c r="T75" s="4">
        <v>49568</v>
      </c>
      <c r="U75" s="4">
        <v>55312</v>
      </c>
      <c r="V75" s="4">
        <v>0</v>
      </c>
      <c r="W75" s="4">
        <v>37774</v>
      </c>
      <c r="X75" s="4">
        <v>4348</v>
      </c>
      <c r="Y75" s="4">
        <v>448224</v>
      </c>
      <c r="Z75" s="4">
        <v>36304</v>
      </c>
      <c r="AA75" s="4">
        <v>411920</v>
      </c>
      <c r="AB75" s="4">
        <v>239534</v>
      </c>
      <c r="AC75" s="4">
        <v>172386</v>
      </c>
    </row>
    <row r="76" spans="1:29" x14ac:dyDescent="0.25">
      <c r="A76" s="1" t="s">
        <v>62</v>
      </c>
      <c r="B76" s="1" t="s">
        <v>735</v>
      </c>
      <c r="C76" s="1" t="s">
        <v>80</v>
      </c>
      <c r="D76" s="1" t="s">
        <v>483</v>
      </c>
      <c r="E76" s="2">
        <v>43.85</v>
      </c>
      <c r="F76" s="3">
        <v>407</v>
      </c>
      <c r="G76" s="2">
        <v>450.85</v>
      </c>
      <c r="H76" s="2">
        <v>0</v>
      </c>
      <c r="I76" s="4">
        <v>14</v>
      </c>
      <c r="J76" s="3">
        <v>0</v>
      </c>
      <c r="K76" s="4">
        <v>421</v>
      </c>
      <c r="L76" s="2">
        <v>305.29000000000002</v>
      </c>
      <c r="M76" s="2">
        <v>56.52</v>
      </c>
      <c r="N76" s="2">
        <v>63.07</v>
      </c>
      <c r="O76" s="2">
        <v>38.42</v>
      </c>
      <c r="P76" s="2">
        <v>4.42</v>
      </c>
      <c r="Q76" s="4">
        <v>137640</v>
      </c>
      <c r="R76" s="4">
        <v>16042</v>
      </c>
      <c r="S76" s="4">
        <v>153682</v>
      </c>
      <c r="T76" s="4">
        <v>23795</v>
      </c>
      <c r="U76" s="4">
        <v>26552</v>
      </c>
      <c r="V76" s="4">
        <v>0</v>
      </c>
      <c r="W76" s="4">
        <v>17479</v>
      </c>
      <c r="X76" s="4">
        <v>2012</v>
      </c>
      <c r="Y76" s="4">
        <v>223520</v>
      </c>
      <c r="Z76" s="4">
        <v>22973</v>
      </c>
      <c r="AA76" s="4">
        <v>200547</v>
      </c>
      <c r="AB76" s="4">
        <v>103820</v>
      </c>
      <c r="AC76" s="4">
        <v>96727</v>
      </c>
    </row>
    <row r="77" spans="1:29" x14ac:dyDescent="0.25">
      <c r="A77" s="1" t="s">
        <v>62</v>
      </c>
      <c r="B77" s="1" t="s">
        <v>735</v>
      </c>
      <c r="C77" s="1" t="s">
        <v>81</v>
      </c>
      <c r="D77" s="1" t="s">
        <v>484</v>
      </c>
      <c r="E77" s="2">
        <v>96.18</v>
      </c>
      <c r="F77" s="3">
        <v>558.29999999999995</v>
      </c>
      <c r="G77" s="2">
        <v>654.48</v>
      </c>
      <c r="H77" s="2">
        <v>0</v>
      </c>
      <c r="I77" s="4">
        <v>6</v>
      </c>
      <c r="J77" s="3">
        <v>0</v>
      </c>
      <c r="K77" s="4">
        <v>564</v>
      </c>
      <c r="L77" s="2">
        <v>305.29000000000002</v>
      </c>
      <c r="M77" s="2">
        <v>56.52</v>
      </c>
      <c r="N77" s="2">
        <v>63.07</v>
      </c>
      <c r="O77" s="2">
        <v>38.42</v>
      </c>
      <c r="P77" s="2">
        <v>4.42</v>
      </c>
      <c r="Q77" s="4">
        <v>199806</v>
      </c>
      <c r="R77" s="4">
        <v>0</v>
      </c>
      <c r="S77" s="4">
        <v>199806</v>
      </c>
      <c r="T77" s="4">
        <v>31877</v>
      </c>
      <c r="U77" s="4">
        <v>35571</v>
      </c>
      <c r="V77" s="4">
        <v>0</v>
      </c>
      <c r="W77" s="4">
        <v>25145</v>
      </c>
      <c r="X77" s="4">
        <v>2893</v>
      </c>
      <c r="Y77" s="4">
        <v>295292</v>
      </c>
      <c r="Z77" s="4">
        <v>28849</v>
      </c>
      <c r="AA77" s="4">
        <v>266443</v>
      </c>
      <c r="AB77" s="4">
        <v>154955</v>
      </c>
      <c r="AC77" s="4">
        <v>111488</v>
      </c>
    </row>
    <row r="78" spans="1:29" x14ac:dyDescent="0.25">
      <c r="A78" s="1" t="s">
        <v>62</v>
      </c>
      <c r="B78" s="1" t="s">
        <v>735</v>
      </c>
      <c r="C78" s="1" t="s">
        <v>82</v>
      </c>
      <c r="D78" s="1" t="s">
        <v>485</v>
      </c>
      <c r="E78" s="2">
        <v>73.650000000000006</v>
      </c>
      <c r="F78" s="3">
        <v>557.5</v>
      </c>
      <c r="G78" s="2">
        <v>631.15</v>
      </c>
      <c r="H78" s="2">
        <v>0</v>
      </c>
      <c r="I78" s="4">
        <v>7</v>
      </c>
      <c r="J78" s="3">
        <v>0</v>
      </c>
      <c r="K78" s="4">
        <v>565</v>
      </c>
      <c r="L78" s="2">
        <v>305.29000000000002</v>
      </c>
      <c r="M78" s="2">
        <v>56.52</v>
      </c>
      <c r="N78" s="2">
        <v>63.07</v>
      </c>
      <c r="O78" s="2">
        <v>38.42</v>
      </c>
      <c r="P78" s="2">
        <v>4.42</v>
      </c>
      <c r="Q78" s="4">
        <v>192684</v>
      </c>
      <c r="R78" s="4">
        <v>22919</v>
      </c>
      <c r="S78" s="4">
        <v>215603</v>
      </c>
      <c r="T78" s="4">
        <v>31934</v>
      </c>
      <c r="U78" s="4">
        <v>35635</v>
      </c>
      <c r="V78" s="4">
        <v>0</v>
      </c>
      <c r="W78" s="4">
        <v>24291</v>
      </c>
      <c r="X78" s="4">
        <v>2796</v>
      </c>
      <c r="Y78" s="4">
        <v>310259</v>
      </c>
      <c r="Z78" s="4">
        <v>36691</v>
      </c>
      <c r="AA78" s="4">
        <v>273568</v>
      </c>
      <c r="AB78" s="4">
        <v>140610</v>
      </c>
      <c r="AC78" s="4">
        <v>132958</v>
      </c>
    </row>
    <row r="79" spans="1:29" x14ac:dyDescent="0.25">
      <c r="A79" s="1" t="s">
        <v>62</v>
      </c>
      <c r="B79" s="1" t="s">
        <v>735</v>
      </c>
      <c r="C79" s="1" t="s">
        <v>83</v>
      </c>
      <c r="D79" s="1" t="s">
        <v>486</v>
      </c>
      <c r="E79" s="2">
        <v>140.30000000000001</v>
      </c>
      <c r="F79" s="3">
        <v>631.1</v>
      </c>
      <c r="G79" s="2">
        <v>771.4</v>
      </c>
      <c r="H79" s="2">
        <v>0</v>
      </c>
      <c r="I79" s="4">
        <v>2</v>
      </c>
      <c r="J79" s="3">
        <v>0</v>
      </c>
      <c r="K79" s="4">
        <v>633</v>
      </c>
      <c r="L79" s="2">
        <v>305.29000000000002</v>
      </c>
      <c r="M79" s="2">
        <v>56.52</v>
      </c>
      <c r="N79" s="2">
        <v>63.07</v>
      </c>
      <c r="O79" s="2">
        <v>38.42</v>
      </c>
      <c r="P79" s="2">
        <v>4.42</v>
      </c>
      <c r="Q79" s="4">
        <v>235501</v>
      </c>
      <c r="R79" s="4">
        <v>0</v>
      </c>
      <c r="S79" s="4">
        <v>235501</v>
      </c>
      <c r="T79" s="4">
        <v>35777</v>
      </c>
      <c r="U79" s="4">
        <v>39923</v>
      </c>
      <c r="V79" s="4">
        <v>0</v>
      </c>
      <c r="W79" s="4">
        <v>29637</v>
      </c>
      <c r="X79" s="4">
        <v>3410</v>
      </c>
      <c r="Y79" s="4">
        <v>344248</v>
      </c>
      <c r="Z79" s="4">
        <v>31253</v>
      </c>
      <c r="AA79" s="4">
        <v>312995</v>
      </c>
      <c r="AB79" s="4">
        <v>185387</v>
      </c>
      <c r="AC79" s="4">
        <v>127608</v>
      </c>
    </row>
    <row r="80" spans="1:29" x14ac:dyDescent="0.25">
      <c r="A80" s="1" t="s">
        <v>62</v>
      </c>
      <c r="B80" s="1" t="s">
        <v>735</v>
      </c>
      <c r="C80" s="1" t="s">
        <v>84</v>
      </c>
      <c r="D80" s="1" t="s">
        <v>487</v>
      </c>
      <c r="E80" s="2">
        <v>149</v>
      </c>
      <c r="F80" s="3">
        <v>1073.5</v>
      </c>
      <c r="G80" s="2">
        <v>1222.5</v>
      </c>
      <c r="H80" s="2">
        <v>0</v>
      </c>
      <c r="I80" s="4">
        <v>4</v>
      </c>
      <c r="J80" s="3">
        <v>0</v>
      </c>
      <c r="K80" s="4">
        <v>1078</v>
      </c>
      <c r="L80" s="2">
        <v>305.29000000000002</v>
      </c>
      <c r="M80" s="2">
        <v>56.52</v>
      </c>
      <c r="N80" s="2">
        <v>63.07</v>
      </c>
      <c r="O80" s="2">
        <v>38.42</v>
      </c>
      <c r="P80" s="2">
        <v>4.42</v>
      </c>
      <c r="Q80" s="4">
        <v>373217</v>
      </c>
      <c r="R80" s="4">
        <v>47552</v>
      </c>
      <c r="S80" s="4">
        <v>420769</v>
      </c>
      <c r="T80" s="4">
        <v>60929</v>
      </c>
      <c r="U80" s="4">
        <v>67989</v>
      </c>
      <c r="V80" s="4">
        <v>0</v>
      </c>
      <c r="W80" s="4">
        <v>47046</v>
      </c>
      <c r="X80" s="4">
        <v>5415</v>
      </c>
      <c r="Y80" s="4">
        <v>602148</v>
      </c>
      <c r="Z80" s="4">
        <v>73519</v>
      </c>
      <c r="AA80" s="4">
        <v>528629</v>
      </c>
      <c r="AB80" s="4">
        <v>269897</v>
      </c>
      <c r="AC80" s="4">
        <v>258732</v>
      </c>
    </row>
    <row r="81" spans="1:29" x14ac:dyDescent="0.25">
      <c r="A81" s="1" t="s">
        <v>62</v>
      </c>
      <c r="B81" s="1" t="s">
        <v>735</v>
      </c>
      <c r="C81" s="1" t="s">
        <v>87</v>
      </c>
      <c r="D81" s="1" t="s">
        <v>88</v>
      </c>
      <c r="E81" s="2">
        <v>28.07</v>
      </c>
      <c r="F81" s="3">
        <v>275.60000000000002</v>
      </c>
      <c r="G81" s="2">
        <v>303.67</v>
      </c>
      <c r="H81" s="2">
        <v>0</v>
      </c>
      <c r="I81" s="4">
        <v>7</v>
      </c>
      <c r="J81" s="3">
        <v>0</v>
      </c>
      <c r="K81" s="4">
        <v>283</v>
      </c>
      <c r="L81" s="2">
        <v>305.29000000000002</v>
      </c>
      <c r="M81" s="2">
        <v>56.52</v>
      </c>
      <c r="N81" s="2">
        <v>63.07</v>
      </c>
      <c r="O81" s="2">
        <v>38.42</v>
      </c>
      <c r="P81" s="2">
        <v>4.42</v>
      </c>
      <c r="Q81" s="4">
        <v>92707</v>
      </c>
      <c r="R81" s="4">
        <v>12668</v>
      </c>
      <c r="S81" s="4">
        <v>105375</v>
      </c>
      <c r="T81" s="4">
        <v>15995</v>
      </c>
      <c r="U81" s="4">
        <v>17849</v>
      </c>
      <c r="V81" s="4">
        <v>0</v>
      </c>
      <c r="W81" s="4">
        <v>11798</v>
      </c>
      <c r="X81" s="4">
        <v>1358</v>
      </c>
      <c r="Y81" s="4">
        <v>152375</v>
      </c>
      <c r="Z81" s="4">
        <v>17366</v>
      </c>
      <c r="AA81" s="4">
        <v>135009</v>
      </c>
      <c r="AB81" s="4">
        <v>68063</v>
      </c>
      <c r="AC81" s="4">
        <v>66946</v>
      </c>
    </row>
    <row r="82" spans="1:29" x14ac:dyDescent="0.25">
      <c r="A82" s="1" t="s">
        <v>62</v>
      </c>
      <c r="B82" s="1" t="s">
        <v>735</v>
      </c>
      <c r="C82" s="1" t="s">
        <v>85</v>
      </c>
      <c r="D82" s="1" t="s">
        <v>488</v>
      </c>
      <c r="E82" s="2">
        <v>84.97</v>
      </c>
      <c r="F82" s="3">
        <v>899.6</v>
      </c>
      <c r="G82" s="2">
        <v>984.57</v>
      </c>
      <c r="H82" s="2">
        <v>0</v>
      </c>
      <c r="I82" s="4">
        <v>4</v>
      </c>
      <c r="J82" s="3">
        <v>0</v>
      </c>
      <c r="K82" s="4">
        <v>904</v>
      </c>
      <c r="L82" s="2">
        <v>305.29000000000002</v>
      </c>
      <c r="M82" s="2">
        <v>56.52</v>
      </c>
      <c r="N82" s="2">
        <v>63.07</v>
      </c>
      <c r="O82" s="2">
        <v>38.42</v>
      </c>
      <c r="P82" s="2">
        <v>4.42</v>
      </c>
      <c r="Q82" s="4">
        <v>300579</v>
      </c>
      <c r="R82" s="4">
        <v>35571</v>
      </c>
      <c r="S82" s="4">
        <v>336150</v>
      </c>
      <c r="T82" s="4">
        <v>51094</v>
      </c>
      <c r="U82" s="4">
        <v>57015</v>
      </c>
      <c r="V82" s="4">
        <v>0</v>
      </c>
      <c r="W82" s="4">
        <v>37827</v>
      </c>
      <c r="X82" s="4">
        <v>4352</v>
      </c>
      <c r="Y82" s="4">
        <v>486438</v>
      </c>
      <c r="Z82" s="4">
        <v>49755</v>
      </c>
      <c r="AA82" s="4">
        <v>436683</v>
      </c>
      <c r="AB82" s="4">
        <v>226752</v>
      </c>
      <c r="AC82" s="4">
        <v>209931</v>
      </c>
    </row>
    <row r="83" spans="1:29" x14ac:dyDescent="0.25">
      <c r="A83" s="1" t="s">
        <v>62</v>
      </c>
      <c r="B83" s="1" t="s">
        <v>735</v>
      </c>
      <c r="C83" s="1" t="s">
        <v>86</v>
      </c>
      <c r="D83" s="1" t="s">
        <v>489</v>
      </c>
      <c r="E83" s="2">
        <v>69.86</v>
      </c>
      <c r="F83" s="3">
        <v>590.4</v>
      </c>
      <c r="G83" s="2">
        <v>660.26</v>
      </c>
      <c r="H83" s="2">
        <v>0</v>
      </c>
      <c r="I83" s="4">
        <v>1</v>
      </c>
      <c r="J83" s="3">
        <v>0</v>
      </c>
      <c r="K83" s="4">
        <v>591</v>
      </c>
      <c r="L83" s="2">
        <v>305.29000000000002</v>
      </c>
      <c r="M83" s="2">
        <v>56.52</v>
      </c>
      <c r="N83" s="2">
        <v>63.07</v>
      </c>
      <c r="O83" s="2">
        <v>38.42</v>
      </c>
      <c r="P83" s="2">
        <v>4.42</v>
      </c>
      <c r="Q83" s="4">
        <v>201571</v>
      </c>
      <c r="R83" s="4">
        <v>7044</v>
      </c>
      <c r="S83" s="4">
        <v>208615</v>
      </c>
      <c r="T83" s="4">
        <v>33403</v>
      </c>
      <c r="U83" s="4">
        <v>37274</v>
      </c>
      <c r="V83" s="4">
        <v>0</v>
      </c>
      <c r="W83" s="4">
        <v>25367</v>
      </c>
      <c r="X83" s="4">
        <v>2918</v>
      </c>
      <c r="Y83" s="4">
        <v>307577</v>
      </c>
      <c r="Z83" s="4">
        <v>38194</v>
      </c>
      <c r="AA83" s="4">
        <v>269383</v>
      </c>
      <c r="AB83" s="4">
        <v>147233</v>
      </c>
      <c r="AC83" s="4">
        <v>122150</v>
      </c>
    </row>
    <row r="84" spans="1:29" x14ac:dyDescent="0.25">
      <c r="A84" s="1" t="s">
        <v>62</v>
      </c>
      <c r="B84" s="1" t="s">
        <v>735</v>
      </c>
      <c r="C84" s="1" t="s">
        <v>89</v>
      </c>
      <c r="D84" s="1" t="s">
        <v>490</v>
      </c>
      <c r="E84" s="2">
        <v>257.74</v>
      </c>
      <c r="F84" s="3">
        <v>1612.6</v>
      </c>
      <c r="G84" s="2">
        <v>1870.34</v>
      </c>
      <c r="H84" s="2">
        <v>0</v>
      </c>
      <c r="I84" s="4">
        <v>35</v>
      </c>
      <c r="J84" s="3">
        <v>0.1</v>
      </c>
      <c r="K84" s="4">
        <v>1648</v>
      </c>
      <c r="L84" s="2">
        <v>305.29000000000002</v>
      </c>
      <c r="M84" s="2">
        <v>56.52</v>
      </c>
      <c r="N84" s="2">
        <v>63.07</v>
      </c>
      <c r="O84" s="2">
        <v>38.42</v>
      </c>
      <c r="P84" s="2">
        <v>4.42</v>
      </c>
      <c r="Q84" s="4">
        <v>570996</v>
      </c>
      <c r="R84" s="4">
        <v>0</v>
      </c>
      <c r="S84" s="4">
        <v>570996</v>
      </c>
      <c r="T84" s="4">
        <v>93145</v>
      </c>
      <c r="U84" s="4">
        <v>103939</v>
      </c>
      <c r="V84" s="4">
        <v>0</v>
      </c>
      <c r="W84" s="4">
        <v>71858</v>
      </c>
      <c r="X84" s="4">
        <v>8267</v>
      </c>
      <c r="Y84" s="4">
        <v>848205</v>
      </c>
      <c r="Z84" s="4">
        <v>81962</v>
      </c>
      <c r="AA84" s="4">
        <v>766243</v>
      </c>
      <c r="AB84" s="4">
        <v>443304</v>
      </c>
      <c r="AC84" s="4">
        <v>322939</v>
      </c>
    </row>
    <row r="85" spans="1:29" x14ac:dyDescent="0.25">
      <c r="A85" s="1" t="s">
        <v>62</v>
      </c>
      <c r="B85" s="1" t="s">
        <v>735</v>
      </c>
      <c r="C85" s="1" t="s">
        <v>90</v>
      </c>
      <c r="D85" s="1" t="s">
        <v>491</v>
      </c>
      <c r="E85" s="2">
        <v>85.18</v>
      </c>
      <c r="F85" s="3">
        <v>653.1</v>
      </c>
      <c r="G85" s="2">
        <v>738.28</v>
      </c>
      <c r="H85" s="2">
        <v>0</v>
      </c>
      <c r="I85" s="4">
        <v>5</v>
      </c>
      <c r="J85" s="3">
        <v>0</v>
      </c>
      <c r="K85" s="4">
        <v>658</v>
      </c>
      <c r="L85" s="2">
        <v>305.29000000000002</v>
      </c>
      <c r="M85" s="2">
        <v>56.52</v>
      </c>
      <c r="N85" s="2">
        <v>63.07</v>
      </c>
      <c r="O85" s="2">
        <v>38.42</v>
      </c>
      <c r="P85" s="2">
        <v>4.42</v>
      </c>
      <c r="Q85" s="4">
        <v>225390</v>
      </c>
      <c r="R85" s="4">
        <v>0</v>
      </c>
      <c r="S85" s="4">
        <v>225390</v>
      </c>
      <c r="T85" s="4">
        <v>37190</v>
      </c>
      <c r="U85" s="4">
        <v>41500</v>
      </c>
      <c r="V85" s="4">
        <v>0</v>
      </c>
      <c r="W85" s="4">
        <v>28365</v>
      </c>
      <c r="X85" s="4">
        <v>3263</v>
      </c>
      <c r="Y85" s="4">
        <v>335708</v>
      </c>
      <c r="Z85" s="4">
        <v>29520</v>
      </c>
      <c r="AA85" s="4">
        <v>306188</v>
      </c>
      <c r="AB85" s="4">
        <v>177819</v>
      </c>
      <c r="AC85" s="4">
        <v>128369</v>
      </c>
    </row>
    <row r="86" spans="1:29" x14ac:dyDescent="0.25">
      <c r="A86" s="1" t="s">
        <v>62</v>
      </c>
      <c r="B86" s="1" t="s">
        <v>735</v>
      </c>
      <c r="C86" s="1" t="s">
        <v>91</v>
      </c>
      <c r="D86" s="1" t="s">
        <v>492</v>
      </c>
      <c r="E86" s="2">
        <v>183.03</v>
      </c>
      <c r="F86" s="3">
        <v>1190.9000000000001</v>
      </c>
      <c r="G86" s="2">
        <v>1373.93</v>
      </c>
      <c r="H86" s="2">
        <v>0</v>
      </c>
      <c r="I86" s="4">
        <v>5</v>
      </c>
      <c r="J86" s="3">
        <v>0</v>
      </c>
      <c r="K86" s="4">
        <v>1196</v>
      </c>
      <c r="L86" s="2">
        <v>305.29000000000002</v>
      </c>
      <c r="M86" s="2">
        <v>56.52</v>
      </c>
      <c r="N86" s="2">
        <v>63.07</v>
      </c>
      <c r="O86" s="2">
        <v>38.42</v>
      </c>
      <c r="P86" s="2">
        <v>4.42</v>
      </c>
      <c r="Q86" s="4">
        <v>419447</v>
      </c>
      <c r="R86" s="4">
        <v>0</v>
      </c>
      <c r="S86" s="4">
        <v>419447</v>
      </c>
      <c r="T86" s="4">
        <v>67598</v>
      </c>
      <c r="U86" s="4">
        <v>75432</v>
      </c>
      <c r="V86" s="4">
        <v>0</v>
      </c>
      <c r="W86" s="4">
        <v>52786</v>
      </c>
      <c r="X86" s="4">
        <v>6073</v>
      </c>
      <c r="Y86" s="4">
        <v>621336</v>
      </c>
      <c r="Z86" s="4">
        <v>56126</v>
      </c>
      <c r="AA86" s="4">
        <v>565210</v>
      </c>
      <c r="AB86" s="4">
        <v>329728</v>
      </c>
      <c r="AC86" s="4">
        <v>235482</v>
      </c>
    </row>
    <row r="87" spans="1:29" x14ac:dyDescent="0.25">
      <c r="A87" s="1" t="s">
        <v>62</v>
      </c>
      <c r="B87" s="1" t="s">
        <v>735</v>
      </c>
      <c r="C87" s="1" t="s">
        <v>92</v>
      </c>
      <c r="D87" s="1" t="s">
        <v>493</v>
      </c>
      <c r="E87" s="2">
        <v>36.69</v>
      </c>
      <c r="F87" s="3">
        <v>438.4</v>
      </c>
      <c r="G87" s="2">
        <v>475.09</v>
      </c>
      <c r="H87" s="2">
        <v>0</v>
      </c>
      <c r="I87" s="4">
        <v>3</v>
      </c>
      <c r="J87" s="3">
        <v>0</v>
      </c>
      <c r="K87" s="4">
        <v>441</v>
      </c>
      <c r="L87" s="2">
        <v>305.29000000000002</v>
      </c>
      <c r="M87" s="2">
        <v>56.52</v>
      </c>
      <c r="N87" s="2">
        <v>63.07</v>
      </c>
      <c r="O87" s="2">
        <v>38.42</v>
      </c>
      <c r="P87" s="2">
        <v>4.42</v>
      </c>
      <c r="Q87" s="4">
        <v>145040</v>
      </c>
      <c r="R87" s="4">
        <v>8114</v>
      </c>
      <c r="S87" s="4">
        <v>153154</v>
      </c>
      <c r="T87" s="4">
        <v>24925</v>
      </c>
      <c r="U87" s="4">
        <v>27814</v>
      </c>
      <c r="V87" s="4">
        <v>0</v>
      </c>
      <c r="W87" s="4">
        <v>18499</v>
      </c>
      <c r="X87" s="4">
        <v>2129</v>
      </c>
      <c r="Y87" s="4">
        <v>226521</v>
      </c>
      <c r="Z87" s="4">
        <v>23920</v>
      </c>
      <c r="AA87" s="4">
        <v>202601</v>
      </c>
      <c r="AB87" s="4">
        <v>109779</v>
      </c>
      <c r="AC87" s="4">
        <v>92822</v>
      </c>
    </row>
    <row r="88" spans="1:29" x14ac:dyDescent="0.25">
      <c r="A88" s="1" t="s">
        <v>62</v>
      </c>
      <c r="B88" s="1" t="s">
        <v>735</v>
      </c>
      <c r="C88" s="1" t="s">
        <v>93</v>
      </c>
      <c r="D88" s="1" t="s">
        <v>494</v>
      </c>
      <c r="E88" s="2">
        <v>89.48</v>
      </c>
      <c r="F88" s="3">
        <v>690.4</v>
      </c>
      <c r="G88" s="2">
        <v>779.88</v>
      </c>
      <c r="H88" s="2">
        <v>0</v>
      </c>
      <c r="I88" s="4">
        <v>14</v>
      </c>
      <c r="J88" s="3">
        <v>0</v>
      </c>
      <c r="K88" s="4">
        <v>704</v>
      </c>
      <c r="L88" s="2">
        <v>305.29000000000002</v>
      </c>
      <c r="M88" s="2">
        <v>56.52</v>
      </c>
      <c r="N88" s="2">
        <v>63.07</v>
      </c>
      <c r="O88" s="2">
        <v>38.42</v>
      </c>
      <c r="P88" s="2">
        <v>4.42</v>
      </c>
      <c r="Q88" s="4">
        <v>238090</v>
      </c>
      <c r="R88" s="4">
        <v>0</v>
      </c>
      <c r="S88" s="4">
        <v>238090</v>
      </c>
      <c r="T88" s="4">
        <v>39790</v>
      </c>
      <c r="U88" s="4">
        <v>44401</v>
      </c>
      <c r="V88" s="4">
        <v>0</v>
      </c>
      <c r="W88" s="4">
        <v>29963</v>
      </c>
      <c r="X88" s="4">
        <v>3447</v>
      </c>
      <c r="Y88" s="4">
        <v>355691</v>
      </c>
      <c r="Z88" s="4">
        <v>34532</v>
      </c>
      <c r="AA88" s="4">
        <v>321159</v>
      </c>
      <c r="AB88" s="4">
        <v>184489</v>
      </c>
      <c r="AC88" s="4">
        <v>136670</v>
      </c>
    </row>
    <row r="89" spans="1:29" x14ac:dyDescent="0.25">
      <c r="A89" s="1" t="s">
        <v>62</v>
      </c>
      <c r="B89" s="1" t="s">
        <v>735</v>
      </c>
      <c r="C89" s="1" t="s">
        <v>94</v>
      </c>
      <c r="D89" s="1" t="s">
        <v>495</v>
      </c>
      <c r="E89" s="2">
        <v>194.71</v>
      </c>
      <c r="F89" s="3">
        <v>1437.5</v>
      </c>
      <c r="G89" s="2">
        <v>1632.21</v>
      </c>
      <c r="H89" s="2">
        <v>0</v>
      </c>
      <c r="I89" s="4">
        <v>139</v>
      </c>
      <c r="J89" s="3">
        <v>3.9</v>
      </c>
      <c r="K89" s="4">
        <v>1573</v>
      </c>
      <c r="L89" s="2">
        <v>305.29000000000002</v>
      </c>
      <c r="M89" s="2">
        <v>56.52</v>
      </c>
      <c r="N89" s="2">
        <v>63.07</v>
      </c>
      <c r="O89" s="2">
        <v>38.42</v>
      </c>
      <c r="P89" s="2">
        <v>4.42</v>
      </c>
      <c r="Q89" s="4">
        <v>498297</v>
      </c>
      <c r="R89" s="4">
        <v>0</v>
      </c>
      <c r="S89" s="4">
        <v>498297</v>
      </c>
      <c r="T89" s="4">
        <v>88906</v>
      </c>
      <c r="U89" s="4">
        <v>99209</v>
      </c>
      <c r="V89" s="4">
        <v>0</v>
      </c>
      <c r="W89" s="4">
        <v>62710</v>
      </c>
      <c r="X89" s="4">
        <v>7214</v>
      </c>
      <c r="Y89" s="4">
        <v>756336</v>
      </c>
      <c r="Z89" s="4">
        <v>73977</v>
      </c>
      <c r="AA89" s="4">
        <v>682359</v>
      </c>
      <c r="AB89" s="4">
        <v>384413</v>
      </c>
      <c r="AC89" s="4">
        <v>297946</v>
      </c>
    </row>
    <row r="90" spans="1:29" x14ac:dyDescent="0.25">
      <c r="A90" s="1" t="s">
        <v>62</v>
      </c>
      <c r="B90" s="1" t="s">
        <v>735</v>
      </c>
      <c r="C90" s="1" t="s">
        <v>95</v>
      </c>
      <c r="D90" s="1" t="s">
        <v>496</v>
      </c>
      <c r="E90" s="2">
        <v>128.88</v>
      </c>
      <c r="F90" s="3">
        <v>1052.7</v>
      </c>
      <c r="G90" s="2">
        <v>1181.58</v>
      </c>
      <c r="H90" s="2">
        <v>0</v>
      </c>
      <c r="I90" s="4">
        <v>5</v>
      </c>
      <c r="J90" s="3">
        <v>0</v>
      </c>
      <c r="K90" s="4">
        <v>1058</v>
      </c>
      <c r="L90" s="2">
        <v>305.29000000000002</v>
      </c>
      <c r="M90" s="2">
        <v>56.52</v>
      </c>
      <c r="N90" s="2">
        <v>63.07</v>
      </c>
      <c r="O90" s="2">
        <v>38.42</v>
      </c>
      <c r="P90" s="2">
        <v>4.42</v>
      </c>
      <c r="Q90" s="4">
        <v>360725</v>
      </c>
      <c r="R90" s="4">
        <v>7126</v>
      </c>
      <c r="S90" s="4">
        <v>367851</v>
      </c>
      <c r="T90" s="4">
        <v>59798</v>
      </c>
      <c r="U90" s="4">
        <v>66728</v>
      </c>
      <c r="V90" s="4">
        <v>0</v>
      </c>
      <c r="W90" s="4">
        <v>46461</v>
      </c>
      <c r="X90" s="4">
        <v>5348</v>
      </c>
      <c r="Y90" s="4">
        <v>546186</v>
      </c>
      <c r="Z90" s="4">
        <v>49711</v>
      </c>
      <c r="AA90" s="4">
        <v>496475</v>
      </c>
      <c r="AB90" s="4">
        <v>283314</v>
      </c>
      <c r="AC90" s="4">
        <v>213161</v>
      </c>
    </row>
    <row r="91" spans="1:29" x14ac:dyDescent="0.25">
      <c r="A91" s="1" t="s">
        <v>62</v>
      </c>
      <c r="B91" s="1" t="s">
        <v>735</v>
      </c>
      <c r="C91" s="1" t="s">
        <v>96</v>
      </c>
      <c r="D91" s="1" t="s">
        <v>497</v>
      </c>
      <c r="E91" s="2">
        <v>53.62</v>
      </c>
      <c r="F91" s="3">
        <v>432.1</v>
      </c>
      <c r="G91" s="2">
        <v>485.72</v>
      </c>
      <c r="H91" s="2">
        <v>0</v>
      </c>
      <c r="I91" s="4">
        <v>16</v>
      </c>
      <c r="J91" s="3">
        <v>0</v>
      </c>
      <c r="K91" s="4">
        <v>448</v>
      </c>
      <c r="L91" s="2">
        <v>305.29000000000002</v>
      </c>
      <c r="M91" s="2">
        <v>56.52</v>
      </c>
      <c r="N91" s="2">
        <v>63.07</v>
      </c>
      <c r="O91" s="2">
        <v>38.42</v>
      </c>
      <c r="P91" s="2">
        <v>4.42</v>
      </c>
      <c r="Q91" s="4">
        <v>148285</v>
      </c>
      <c r="R91" s="4">
        <v>0</v>
      </c>
      <c r="S91" s="4">
        <v>148285</v>
      </c>
      <c r="T91" s="4">
        <v>25321</v>
      </c>
      <c r="U91" s="4">
        <v>28255</v>
      </c>
      <c r="V91" s="4">
        <v>0</v>
      </c>
      <c r="W91" s="4">
        <v>18661</v>
      </c>
      <c r="X91" s="4">
        <v>2147</v>
      </c>
      <c r="Y91" s="4">
        <v>222669</v>
      </c>
      <c r="Z91" s="4">
        <v>15951</v>
      </c>
      <c r="AA91" s="4">
        <v>206718</v>
      </c>
      <c r="AB91" s="4">
        <v>120458</v>
      </c>
      <c r="AC91" s="4">
        <v>86260</v>
      </c>
    </row>
    <row r="92" spans="1:29" x14ac:dyDescent="0.25">
      <c r="A92" s="1" t="s">
        <v>62</v>
      </c>
      <c r="B92" s="1" t="s">
        <v>735</v>
      </c>
      <c r="C92" s="1" t="s">
        <v>97</v>
      </c>
      <c r="D92" s="1" t="s">
        <v>498</v>
      </c>
      <c r="E92" s="2">
        <v>98.27</v>
      </c>
      <c r="F92" s="3">
        <v>919.2</v>
      </c>
      <c r="G92" s="2">
        <v>1017.47</v>
      </c>
      <c r="H92" s="2">
        <v>0</v>
      </c>
      <c r="I92" s="4">
        <v>118</v>
      </c>
      <c r="J92" s="3">
        <v>0</v>
      </c>
      <c r="K92" s="4">
        <v>1037</v>
      </c>
      <c r="L92" s="2">
        <v>305.29000000000002</v>
      </c>
      <c r="M92" s="2">
        <v>56.52</v>
      </c>
      <c r="N92" s="2">
        <v>63.07</v>
      </c>
      <c r="O92" s="2">
        <v>38.42</v>
      </c>
      <c r="P92" s="2">
        <v>4.42</v>
      </c>
      <c r="Q92" s="4">
        <v>310623</v>
      </c>
      <c r="R92" s="4">
        <v>0</v>
      </c>
      <c r="S92" s="4">
        <v>310623</v>
      </c>
      <c r="T92" s="4">
        <v>58611</v>
      </c>
      <c r="U92" s="4">
        <v>65404</v>
      </c>
      <c r="V92" s="4">
        <v>0</v>
      </c>
      <c r="W92" s="4">
        <v>39091</v>
      </c>
      <c r="X92" s="4">
        <v>4497</v>
      </c>
      <c r="Y92" s="4">
        <v>478226</v>
      </c>
      <c r="Z92" s="4">
        <v>41079</v>
      </c>
      <c r="AA92" s="4">
        <v>437147</v>
      </c>
      <c r="AB92" s="4">
        <v>244667</v>
      </c>
      <c r="AC92" s="4">
        <v>192480</v>
      </c>
    </row>
    <row r="93" spans="1:29" x14ac:dyDescent="0.25">
      <c r="A93" s="1" t="s">
        <v>62</v>
      </c>
      <c r="B93" s="1" t="s">
        <v>735</v>
      </c>
      <c r="C93" s="1" t="s">
        <v>98</v>
      </c>
      <c r="D93" s="1" t="s">
        <v>499</v>
      </c>
      <c r="E93" s="2">
        <v>83.03</v>
      </c>
      <c r="F93" s="3">
        <v>595.70000000000005</v>
      </c>
      <c r="G93" s="2">
        <v>678.73</v>
      </c>
      <c r="H93" s="2">
        <v>0</v>
      </c>
      <c r="I93" s="4">
        <v>0</v>
      </c>
      <c r="J93" s="3">
        <v>0</v>
      </c>
      <c r="K93" s="4">
        <v>596</v>
      </c>
      <c r="L93" s="2">
        <v>305.29000000000002</v>
      </c>
      <c r="M93" s="2">
        <v>56.52</v>
      </c>
      <c r="N93" s="2">
        <v>63.07</v>
      </c>
      <c r="O93" s="2">
        <v>38.42</v>
      </c>
      <c r="P93" s="2">
        <v>4.42</v>
      </c>
      <c r="Q93" s="4">
        <v>207209</v>
      </c>
      <c r="R93" s="4">
        <v>3748</v>
      </c>
      <c r="S93" s="4">
        <v>210957</v>
      </c>
      <c r="T93" s="4">
        <v>33686</v>
      </c>
      <c r="U93" s="4">
        <v>37590</v>
      </c>
      <c r="V93" s="4">
        <v>0</v>
      </c>
      <c r="W93" s="4">
        <v>26645</v>
      </c>
      <c r="X93" s="4">
        <v>3067</v>
      </c>
      <c r="Y93" s="4">
        <v>311945</v>
      </c>
      <c r="Z93" s="4">
        <v>32934</v>
      </c>
      <c r="AA93" s="4">
        <v>279011</v>
      </c>
      <c r="AB93" s="4">
        <v>158316</v>
      </c>
      <c r="AC93" s="4">
        <v>120695</v>
      </c>
    </row>
    <row r="94" spans="1:29" x14ac:dyDescent="0.25">
      <c r="A94" s="1" t="s">
        <v>62</v>
      </c>
      <c r="B94" s="1" t="s">
        <v>735</v>
      </c>
      <c r="C94" s="1" t="s">
        <v>99</v>
      </c>
      <c r="D94" s="1" t="s">
        <v>500</v>
      </c>
      <c r="E94" s="2">
        <v>672.46</v>
      </c>
      <c r="F94" s="3">
        <v>5364.6</v>
      </c>
      <c r="G94" s="2">
        <v>6037.06</v>
      </c>
      <c r="H94" s="2">
        <v>0</v>
      </c>
      <c r="I94" s="4">
        <v>216</v>
      </c>
      <c r="J94" s="3">
        <v>3.7</v>
      </c>
      <c r="K94" s="4">
        <v>5577</v>
      </c>
      <c r="L94" s="2">
        <v>305.29000000000002</v>
      </c>
      <c r="M94" s="2">
        <v>56.52</v>
      </c>
      <c r="N94" s="2">
        <v>63.07</v>
      </c>
      <c r="O94" s="2">
        <v>38.42</v>
      </c>
      <c r="P94" s="2">
        <v>4.42</v>
      </c>
      <c r="Q94" s="4">
        <v>1843054</v>
      </c>
      <c r="R94" s="4">
        <v>0</v>
      </c>
      <c r="S94" s="4">
        <v>1843054</v>
      </c>
      <c r="T94" s="4">
        <v>315212</v>
      </c>
      <c r="U94" s="4">
        <v>351741</v>
      </c>
      <c r="V94" s="4">
        <v>0</v>
      </c>
      <c r="W94" s="4">
        <v>231944</v>
      </c>
      <c r="X94" s="4">
        <v>26684</v>
      </c>
      <c r="Y94" s="4">
        <v>2768635</v>
      </c>
      <c r="Z94" s="4">
        <v>232815</v>
      </c>
      <c r="AA94" s="4">
        <v>2535820</v>
      </c>
      <c r="AB94" s="4">
        <v>1462633</v>
      </c>
      <c r="AC94" s="4">
        <v>1073187</v>
      </c>
    </row>
    <row r="95" spans="1:29" x14ac:dyDescent="0.25">
      <c r="A95" s="1" t="s">
        <v>62</v>
      </c>
      <c r="B95" s="1" t="s">
        <v>735</v>
      </c>
      <c r="C95" s="1" t="s">
        <v>100</v>
      </c>
      <c r="D95" s="1" t="s">
        <v>501</v>
      </c>
      <c r="E95" s="2">
        <v>636.74</v>
      </c>
      <c r="F95" s="3">
        <v>3593.4</v>
      </c>
      <c r="G95" s="2">
        <v>4230.1400000000003</v>
      </c>
      <c r="H95" s="2">
        <v>0</v>
      </c>
      <c r="I95" s="4">
        <v>466</v>
      </c>
      <c r="J95" s="3">
        <v>5.9</v>
      </c>
      <c r="K95" s="4">
        <v>4054</v>
      </c>
      <c r="L95" s="2">
        <v>305.29000000000002</v>
      </c>
      <c r="M95" s="2">
        <v>56.52</v>
      </c>
      <c r="N95" s="2">
        <v>63.07</v>
      </c>
      <c r="O95" s="2">
        <v>38.42</v>
      </c>
      <c r="P95" s="2">
        <v>4.42</v>
      </c>
      <c r="Q95" s="4">
        <v>1291419</v>
      </c>
      <c r="R95" s="4">
        <v>13366</v>
      </c>
      <c r="S95" s="4">
        <v>1304785</v>
      </c>
      <c r="T95" s="4">
        <v>229132</v>
      </c>
      <c r="U95" s="4">
        <v>255686</v>
      </c>
      <c r="V95" s="4">
        <v>0</v>
      </c>
      <c r="W95" s="4">
        <v>162522</v>
      </c>
      <c r="X95" s="4">
        <v>18697</v>
      </c>
      <c r="Y95" s="4">
        <v>1970822</v>
      </c>
      <c r="Z95" s="4">
        <v>218724</v>
      </c>
      <c r="AA95" s="4">
        <v>1752098</v>
      </c>
      <c r="AB95" s="4">
        <v>969268</v>
      </c>
      <c r="AC95" s="4">
        <v>782830</v>
      </c>
    </row>
    <row r="96" spans="1:29" x14ac:dyDescent="0.25">
      <c r="A96" s="1" t="s">
        <v>62</v>
      </c>
      <c r="B96" s="1" t="s">
        <v>735</v>
      </c>
      <c r="C96" s="1" t="s">
        <v>101</v>
      </c>
      <c r="D96" s="1" t="s">
        <v>502</v>
      </c>
      <c r="E96" s="2">
        <v>51.56</v>
      </c>
      <c r="F96" s="3">
        <v>487.4</v>
      </c>
      <c r="G96" s="2">
        <v>538.96</v>
      </c>
      <c r="H96" s="2">
        <v>0</v>
      </c>
      <c r="I96" s="4">
        <v>3</v>
      </c>
      <c r="J96" s="3">
        <v>0</v>
      </c>
      <c r="K96" s="4">
        <v>490</v>
      </c>
      <c r="L96" s="2">
        <v>305.29000000000002</v>
      </c>
      <c r="M96" s="2">
        <v>56.52</v>
      </c>
      <c r="N96" s="2">
        <v>63.07</v>
      </c>
      <c r="O96" s="2">
        <v>38.42</v>
      </c>
      <c r="P96" s="2">
        <v>4.42</v>
      </c>
      <c r="Q96" s="4">
        <v>164539</v>
      </c>
      <c r="R96" s="4">
        <v>8998</v>
      </c>
      <c r="S96" s="4">
        <v>173537</v>
      </c>
      <c r="T96" s="4">
        <v>27695</v>
      </c>
      <c r="U96" s="4">
        <v>30904</v>
      </c>
      <c r="V96" s="4">
        <v>0</v>
      </c>
      <c r="W96" s="4">
        <v>20707</v>
      </c>
      <c r="X96" s="4">
        <v>2382</v>
      </c>
      <c r="Y96" s="4">
        <v>255225</v>
      </c>
      <c r="Z96" s="4">
        <v>24738</v>
      </c>
      <c r="AA96" s="4">
        <v>230487</v>
      </c>
      <c r="AB96" s="4">
        <v>126623</v>
      </c>
      <c r="AC96" s="4">
        <v>103864</v>
      </c>
    </row>
    <row r="97" spans="1:29" x14ac:dyDescent="0.25">
      <c r="A97" s="1" t="s">
        <v>62</v>
      </c>
      <c r="B97" s="1" t="s">
        <v>735</v>
      </c>
      <c r="C97" s="1" t="s">
        <v>102</v>
      </c>
      <c r="D97" s="1" t="s">
        <v>503</v>
      </c>
      <c r="E97" s="2">
        <v>71.59</v>
      </c>
      <c r="F97" s="3">
        <v>599.79999999999995</v>
      </c>
      <c r="G97" s="2">
        <v>671.39</v>
      </c>
      <c r="H97" s="2">
        <v>0</v>
      </c>
      <c r="I97" s="4">
        <v>2</v>
      </c>
      <c r="J97" s="3">
        <v>0</v>
      </c>
      <c r="K97" s="4">
        <v>602</v>
      </c>
      <c r="L97" s="2">
        <v>305.29000000000002</v>
      </c>
      <c r="M97" s="2">
        <v>56.52</v>
      </c>
      <c r="N97" s="2">
        <v>63.07</v>
      </c>
      <c r="O97" s="2">
        <v>38.42</v>
      </c>
      <c r="P97" s="2">
        <v>4.42</v>
      </c>
      <c r="Q97" s="4">
        <v>204969</v>
      </c>
      <c r="R97" s="4">
        <v>0</v>
      </c>
      <c r="S97" s="4">
        <v>204969</v>
      </c>
      <c r="T97" s="4">
        <v>34025</v>
      </c>
      <c r="U97" s="4">
        <v>37968</v>
      </c>
      <c r="V97" s="4">
        <v>0</v>
      </c>
      <c r="W97" s="4">
        <v>25795</v>
      </c>
      <c r="X97" s="4">
        <v>2968</v>
      </c>
      <c r="Y97" s="4">
        <v>305725</v>
      </c>
      <c r="Z97" s="4">
        <v>37009</v>
      </c>
      <c r="AA97" s="4">
        <v>268716</v>
      </c>
      <c r="AB97" s="4">
        <v>151545</v>
      </c>
      <c r="AC97" s="4">
        <v>117171</v>
      </c>
    </row>
    <row r="98" spans="1:29" x14ac:dyDescent="0.25">
      <c r="A98" s="1" t="s">
        <v>62</v>
      </c>
      <c r="B98" s="1" t="s">
        <v>735</v>
      </c>
      <c r="C98" s="1" t="s">
        <v>103</v>
      </c>
      <c r="D98" s="1" t="s">
        <v>504</v>
      </c>
      <c r="E98" s="2">
        <v>68.16</v>
      </c>
      <c r="F98" s="3">
        <v>575.6</v>
      </c>
      <c r="G98" s="2">
        <v>643.76</v>
      </c>
      <c r="H98" s="2">
        <v>0</v>
      </c>
      <c r="I98" s="4">
        <v>1</v>
      </c>
      <c r="J98" s="3">
        <v>0</v>
      </c>
      <c r="K98" s="4">
        <v>577</v>
      </c>
      <c r="L98" s="2">
        <v>305.29000000000002</v>
      </c>
      <c r="M98" s="2">
        <v>56.52</v>
      </c>
      <c r="N98" s="2">
        <v>63.07</v>
      </c>
      <c r="O98" s="2">
        <v>38.42</v>
      </c>
      <c r="P98" s="2">
        <v>4.42</v>
      </c>
      <c r="Q98" s="4">
        <v>196533</v>
      </c>
      <c r="R98" s="4">
        <v>11343</v>
      </c>
      <c r="S98" s="4">
        <v>207876</v>
      </c>
      <c r="T98" s="4">
        <v>32612</v>
      </c>
      <c r="U98" s="4">
        <v>36391</v>
      </c>
      <c r="V98" s="4">
        <v>0</v>
      </c>
      <c r="W98" s="4">
        <v>24735</v>
      </c>
      <c r="X98" s="4">
        <v>2847</v>
      </c>
      <c r="Y98" s="4">
        <v>304461</v>
      </c>
      <c r="Z98" s="4">
        <v>32769</v>
      </c>
      <c r="AA98" s="4">
        <v>271692</v>
      </c>
      <c r="AB98" s="4">
        <v>148028</v>
      </c>
      <c r="AC98" s="4">
        <v>123664</v>
      </c>
    </row>
    <row r="99" spans="1:29" x14ac:dyDescent="0.25">
      <c r="A99" s="1" t="s">
        <v>62</v>
      </c>
      <c r="B99" s="1" t="s">
        <v>735</v>
      </c>
      <c r="C99" s="1" t="s">
        <v>104</v>
      </c>
      <c r="D99" s="1" t="s">
        <v>505</v>
      </c>
      <c r="E99" s="2">
        <v>48.41</v>
      </c>
      <c r="F99" s="3">
        <v>458</v>
      </c>
      <c r="G99" s="2">
        <v>506.41</v>
      </c>
      <c r="H99" s="2">
        <v>0</v>
      </c>
      <c r="I99" s="4">
        <v>1</v>
      </c>
      <c r="J99" s="3">
        <v>0</v>
      </c>
      <c r="K99" s="4">
        <v>459</v>
      </c>
      <c r="L99" s="2">
        <v>305.29000000000002</v>
      </c>
      <c r="M99" s="2">
        <v>56.52</v>
      </c>
      <c r="N99" s="2">
        <v>63.07</v>
      </c>
      <c r="O99" s="2">
        <v>38.42</v>
      </c>
      <c r="P99" s="2">
        <v>4.42</v>
      </c>
      <c r="Q99" s="4">
        <v>154602</v>
      </c>
      <c r="R99" s="4">
        <v>5520</v>
      </c>
      <c r="S99" s="4">
        <v>160122</v>
      </c>
      <c r="T99" s="4">
        <v>25943</v>
      </c>
      <c r="U99" s="4">
        <v>28949</v>
      </c>
      <c r="V99" s="4">
        <v>0</v>
      </c>
      <c r="W99" s="4">
        <v>19456</v>
      </c>
      <c r="X99" s="4">
        <v>2238</v>
      </c>
      <c r="Y99" s="4">
        <v>236708</v>
      </c>
      <c r="Z99" s="4">
        <v>29571</v>
      </c>
      <c r="AA99" s="4">
        <v>207137</v>
      </c>
      <c r="AB99" s="4">
        <v>112649</v>
      </c>
      <c r="AC99" s="4">
        <v>94488</v>
      </c>
    </row>
    <row r="100" spans="1:29" x14ac:dyDescent="0.25">
      <c r="A100" s="1" t="s">
        <v>62</v>
      </c>
      <c r="B100" s="1" t="s">
        <v>735</v>
      </c>
      <c r="C100" s="1" t="s">
        <v>105</v>
      </c>
      <c r="D100" s="1" t="s">
        <v>506</v>
      </c>
      <c r="E100" s="2">
        <v>59.19</v>
      </c>
      <c r="F100" s="3">
        <v>446</v>
      </c>
      <c r="G100" s="2">
        <v>505.19</v>
      </c>
      <c r="H100" s="2">
        <v>0</v>
      </c>
      <c r="I100" s="4">
        <v>0</v>
      </c>
      <c r="J100" s="3">
        <v>0</v>
      </c>
      <c r="K100" s="4">
        <v>446</v>
      </c>
      <c r="L100" s="2">
        <v>305.29000000000002</v>
      </c>
      <c r="M100" s="2">
        <v>56.52</v>
      </c>
      <c r="N100" s="2">
        <v>63.07</v>
      </c>
      <c r="O100" s="2">
        <v>38.42</v>
      </c>
      <c r="P100" s="2">
        <v>4.42</v>
      </c>
      <c r="Q100" s="4">
        <v>154229</v>
      </c>
      <c r="R100" s="4">
        <v>5450</v>
      </c>
      <c r="S100" s="4">
        <v>159679</v>
      </c>
      <c r="T100" s="4">
        <v>25208</v>
      </c>
      <c r="U100" s="4">
        <v>28129</v>
      </c>
      <c r="V100" s="4">
        <v>0</v>
      </c>
      <c r="W100" s="4">
        <v>19409</v>
      </c>
      <c r="X100" s="4">
        <v>2233</v>
      </c>
      <c r="Y100" s="4">
        <v>234658</v>
      </c>
      <c r="Z100" s="4">
        <v>23815</v>
      </c>
      <c r="AA100" s="4">
        <v>210843</v>
      </c>
      <c r="AB100" s="4">
        <v>118062</v>
      </c>
      <c r="AC100" s="4">
        <v>92781</v>
      </c>
    </row>
    <row r="101" spans="1:29" x14ac:dyDescent="0.25">
      <c r="A101" s="1" t="s">
        <v>62</v>
      </c>
      <c r="B101" s="1" t="s">
        <v>735</v>
      </c>
      <c r="C101" s="1" t="s">
        <v>106</v>
      </c>
      <c r="D101" s="1" t="s">
        <v>507</v>
      </c>
      <c r="E101" s="2">
        <v>58.91</v>
      </c>
      <c r="F101" s="3">
        <v>511.5</v>
      </c>
      <c r="G101" s="2">
        <v>570.41</v>
      </c>
      <c r="H101" s="2">
        <v>0</v>
      </c>
      <c r="I101" s="4">
        <v>0</v>
      </c>
      <c r="J101" s="3">
        <v>0</v>
      </c>
      <c r="K101" s="4">
        <v>512</v>
      </c>
      <c r="L101" s="2">
        <v>305.29000000000002</v>
      </c>
      <c r="M101" s="2">
        <v>56.52</v>
      </c>
      <c r="N101" s="2">
        <v>63.07</v>
      </c>
      <c r="O101" s="2">
        <v>38.42</v>
      </c>
      <c r="P101" s="2">
        <v>4.42</v>
      </c>
      <c r="Q101" s="4">
        <v>174140</v>
      </c>
      <c r="R101" s="4">
        <v>0</v>
      </c>
      <c r="S101" s="4">
        <v>174140</v>
      </c>
      <c r="T101" s="4">
        <v>28938</v>
      </c>
      <c r="U101" s="4">
        <v>32292</v>
      </c>
      <c r="V101" s="4">
        <v>0</v>
      </c>
      <c r="W101" s="4">
        <v>21915</v>
      </c>
      <c r="X101" s="4">
        <v>2521</v>
      </c>
      <c r="Y101" s="4">
        <v>259806</v>
      </c>
      <c r="Z101" s="4">
        <v>25116</v>
      </c>
      <c r="AA101" s="4">
        <v>234690</v>
      </c>
      <c r="AB101" s="4">
        <v>135078</v>
      </c>
      <c r="AC101" s="4">
        <v>99612</v>
      </c>
    </row>
    <row r="102" spans="1:29" x14ac:dyDescent="0.25">
      <c r="A102" s="1" t="s">
        <v>62</v>
      </c>
      <c r="B102" s="1" t="s">
        <v>735</v>
      </c>
      <c r="C102" s="1" t="s">
        <v>107</v>
      </c>
      <c r="D102" s="1" t="s">
        <v>508</v>
      </c>
      <c r="E102" s="2">
        <v>81.39</v>
      </c>
      <c r="F102" s="3">
        <v>918.7</v>
      </c>
      <c r="G102" s="2">
        <v>1000.09</v>
      </c>
      <c r="H102" s="2">
        <v>0</v>
      </c>
      <c r="I102" s="4">
        <v>1</v>
      </c>
      <c r="J102" s="3">
        <v>0</v>
      </c>
      <c r="K102" s="4">
        <v>920</v>
      </c>
      <c r="L102" s="2">
        <v>305.29000000000002</v>
      </c>
      <c r="M102" s="2">
        <v>56.52</v>
      </c>
      <c r="N102" s="2">
        <v>63.07</v>
      </c>
      <c r="O102" s="2">
        <v>38.42</v>
      </c>
      <c r="P102" s="2">
        <v>4.42</v>
      </c>
      <c r="Q102" s="4">
        <v>305317</v>
      </c>
      <c r="R102" s="4">
        <v>2100</v>
      </c>
      <c r="S102" s="4">
        <v>307417</v>
      </c>
      <c r="T102" s="4">
        <v>51998</v>
      </c>
      <c r="U102" s="4">
        <v>58024</v>
      </c>
      <c r="V102" s="4">
        <v>0</v>
      </c>
      <c r="W102" s="4">
        <v>38423</v>
      </c>
      <c r="X102" s="4">
        <v>4420</v>
      </c>
      <c r="Y102" s="4">
        <v>460282</v>
      </c>
      <c r="Z102" s="4">
        <v>47573</v>
      </c>
      <c r="AA102" s="4">
        <v>412709</v>
      </c>
      <c r="AB102" s="4">
        <v>233291</v>
      </c>
      <c r="AC102" s="4">
        <v>179418</v>
      </c>
    </row>
    <row r="103" spans="1:29" x14ac:dyDescent="0.25">
      <c r="A103" s="1" t="s">
        <v>62</v>
      </c>
      <c r="B103" s="1" t="s">
        <v>735</v>
      </c>
      <c r="C103" s="1" t="s">
        <v>108</v>
      </c>
      <c r="D103" s="1" t="s">
        <v>509</v>
      </c>
      <c r="E103" s="2">
        <v>67.209999999999994</v>
      </c>
      <c r="F103" s="3">
        <v>414</v>
      </c>
      <c r="G103" s="2">
        <v>481.21</v>
      </c>
      <c r="H103" s="2">
        <v>0</v>
      </c>
      <c r="I103" s="4">
        <v>6</v>
      </c>
      <c r="J103" s="3">
        <v>0</v>
      </c>
      <c r="K103" s="4">
        <v>420</v>
      </c>
      <c r="L103" s="2">
        <v>305.29000000000002</v>
      </c>
      <c r="M103" s="2">
        <v>56.52</v>
      </c>
      <c r="N103" s="2">
        <v>63.07</v>
      </c>
      <c r="O103" s="2">
        <v>38.42</v>
      </c>
      <c r="P103" s="2">
        <v>4.42</v>
      </c>
      <c r="Q103" s="4">
        <v>146909</v>
      </c>
      <c r="R103" s="4">
        <v>11114</v>
      </c>
      <c r="S103" s="4">
        <v>158023</v>
      </c>
      <c r="T103" s="4">
        <v>23738</v>
      </c>
      <c r="U103" s="4">
        <v>26489</v>
      </c>
      <c r="V103" s="4">
        <v>0</v>
      </c>
      <c r="W103" s="4">
        <v>18488</v>
      </c>
      <c r="X103" s="4">
        <v>2127</v>
      </c>
      <c r="Y103" s="4">
        <v>228865</v>
      </c>
      <c r="Z103" s="4">
        <v>29454</v>
      </c>
      <c r="AA103" s="4">
        <v>199411</v>
      </c>
      <c r="AB103" s="4">
        <v>105689</v>
      </c>
      <c r="AC103" s="4">
        <v>93722</v>
      </c>
    </row>
    <row r="104" spans="1:29" x14ac:dyDescent="0.25">
      <c r="A104" s="1" t="s">
        <v>62</v>
      </c>
      <c r="B104" s="1" t="s">
        <v>735</v>
      </c>
      <c r="C104" s="1" t="s">
        <v>109</v>
      </c>
      <c r="D104" s="1" t="s">
        <v>510</v>
      </c>
      <c r="E104" s="2">
        <v>256.02999999999997</v>
      </c>
      <c r="F104" s="3">
        <v>1541.1</v>
      </c>
      <c r="G104" s="2">
        <v>1797.13</v>
      </c>
      <c r="H104" s="2">
        <v>0</v>
      </c>
      <c r="I104" s="4">
        <v>1</v>
      </c>
      <c r="J104" s="3">
        <v>0</v>
      </c>
      <c r="K104" s="4">
        <v>1542</v>
      </c>
      <c r="L104" s="2">
        <v>305.29000000000002</v>
      </c>
      <c r="M104" s="2">
        <v>56.52</v>
      </c>
      <c r="N104" s="2">
        <v>63.07</v>
      </c>
      <c r="O104" s="2">
        <v>38.42</v>
      </c>
      <c r="P104" s="2">
        <v>4.42</v>
      </c>
      <c r="Q104" s="4">
        <v>548646</v>
      </c>
      <c r="R104" s="4">
        <v>0</v>
      </c>
      <c r="S104" s="4">
        <v>548646</v>
      </c>
      <c r="T104" s="4">
        <v>87154</v>
      </c>
      <c r="U104" s="4">
        <v>97254</v>
      </c>
      <c r="V104" s="4">
        <v>0</v>
      </c>
      <c r="W104" s="4">
        <v>69046</v>
      </c>
      <c r="X104" s="4">
        <v>7943</v>
      </c>
      <c r="Y104" s="4">
        <v>810043</v>
      </c>
      <c r="Z104" s="4">
        <v>75549</v>
      </c>
      <c r="AA104" s="4">
        <v>734494</v>
      </c>
      <c r="AB104" s="4">
        <v>429157</v>
      </c>
      <c r="AC104" s="4">
        <v>305337</v>
      </c>
    </row>
    <row r="105" spans="1:29" x14ac:dyDescent="0.25">
      <c r="A105" s="1" t="s">
        <v>62</v>
      </c>
      <c r="B105" s="1" t="s">
        <v>735</v>
      </c>
      <c r="C105" s="1" t="s">
        <v>110</v>
      </c>
      <c r="D105" s="1" t="s">
        <v>511</v>
      </c>
      <c r="E105" s="2">
        <v>60.18</v>
      </c>
      <c r="F105" s="3">
        <v>577.79999999999995</v>
      </c>
      <c r="G105" s="2">
        <v>637.98</v>
      </c>
      <c r="H105" s="2">
        <v>0</v>
      </c>
      <c r="I105" s="4">
        <v>0</v>
      </c>
      <c r="J105" s="3">
        <v>0</v>
      </c>
      <c r="K105" s="4">
        <v>578</v>
      </c>
      <c r="L105" s="2">
        <v>305.29000000000002</v>
      </c>
      <c r="M105" s="2">
        <v>56.52</v>
      </c>
      <c r="N105" s="2">
        <v>63.07</v>
      </c>
      <c r="O105" s="2">
        <v>38.42</v>
      </c>
      <c r="P105" s="2">
        <v>4.42</v>
      </c>
      <c r="Q105" s="4">
        <v>194769</v>
      </c>
      <c r="R105" s="4">
        <v>4503</v>
      </c>
      <c r="S105" s="4">
        <v>199272</v>
      </c>
      <c r="T105" s="4">
        <v>32669</v>
      </c>
      <c r="U105" s="4">
        <v>36454</v>
      </c>
      <c r="V105" s="4">
        <v>0</v>
      </c>
      <c r="W105" s="4">
        <v>24511</v>
      </c>
      <c r="X105" s="4">
        <v>2820</v>
      </c>
      <c r="Y105" s="4">
        <v>295726</v>
      </c>
      <c r="Z105" s="4">
        <v>34964</v>
      </c>
      <c r="AA105" s="4">
        <v>260762</v>
      </c>
      <c r="AB105" s="4">
        <v>144206</v>
      </c>
      <c r="AC105" s="4">
        <v>116556</v>
      </c>
    </row>
    <row r="106" spans="1:29" x14ac:dyDescent="0.25">
      <c r="A106" s="1" t="s">
        <v>62</v>
      </c>
      <c r="B106" s="1" t="s">
        <v>735</v>
      </c>
      <c r="C106" s="1" t="s">
        <v>111</v>
      </c>
      <c r="D106" s="1" t="s">
        <v>512</v>
      </c>
      <c r="E106" s="2">
        <v>118.29</v>
      </c>
      <c r="F106" s="3">
        <v>818.8</v>
      </c>
      <c r="G106" s="2">
        <v>937.09</v>
      </c>
      <c r="H106" s="2">
        <v>0</v>
      </c>
      <c r="I106" s="4">
        <v>3</v>
      </c>
      <c r="J106" s="3">
        <v>0</v>
      </c>
      <c r="K106" s="4">
        <v>822</v>
      </c>
      <c r="L106" s="2">
        <v>305.29000000000002</v>
      </c>
      <c r="M106" s="2">
        <v>56.52</v>
      </c>
      <c r="N106" s="2">
        <v>63.07</v>
      </c>
      <c r="O106" s="2">
        <v>38.42</v>
      </c>
      <c r="P106" s="2">
        <v>4.42</v>
      </c>
      <c r="Q106" s="4">
        <v>286084</v>
      </c>
      <c r="R106" s="4">
        <v>0</v>
      </c>
      <c r="S106" s="4">
        <v>286084</v>
      </c>
      <c r="T106" s="4">
        <v>46459</v>
      </c>
      <c r="U106" s="4">
        <v>51844</v>
      </c>
      <c r="V106" s="4">
        <v>0</v>
      </c>
      <c r="W106" s="4">
        <v>36003</v>
      </c>
      <c r="X106" s="4">
        <v>4142</v>
      </c>
      <c r="Y106" s="4">
        <v>424532</v>
      </c>
      <c r="Z106" s="4">
        <v>48164</v>
      </c>
      <c r="AA106" s="4">
        <v>376368</v>
      </c>
      <c r="AB106" s="4">
        <v>215008</v>
      </c>
      <c r="AC106" s="4">
        <v>161360</v>
      </c>
    </row>
    <row r="107" spans="1:29" x14ac:dyDescent="0.25">
      <c r="A107" s="1" t="s">
        <v>62</v>
      </c>
      <c r="B107" s="1" t="s">
        <v>735</v>
      </c>
      <c r="C107" s="1" t="s">
        <v>112</v>
      </c>
      <c r="D107" s="1" t="s">
        <v>513</v>
      </c>
      <c r="E107" s="2">
        <v>54.17</v>
      </c>
      <c r="F107" s="3">
        <v>410</v>
      </c>
      <c r="G107" s="2">
        <v>464.17</v>
      </c>
      <c r="H107" s="2">
        <v>0</v>
      </c>
      <c r="I107" s="4">
        <v>4</v>
      </c>
      <c r="J107" s="3">
        <v>0</v>
      </c>
      <c r="K107" s="4">
        <v>414</v>
      </c>
      <c r="L107" s="2">
        <v>305.29000000000002</v>
      </c>
      <c r="M107" s="2">
        <v>56.52</v>
      </c>
      <c r="N107" s="2">
        <v>63.07</v>
      </c>
      <c r="O107" s="2">
        <v>38.42</v>
      </c>
      <c r="P107" s="2">
        <v>4.42</v>
      </c>
      <c r="Q107" s="4">
        <v>141706</v>
      </c>
      <c r="R107" s="4">
        <v>10618</v>
      </c>
      <c r="S107" s="4">
        <v>152324</v>
      </c>
      <c r="T107" s="4">
        <v>23399</v>
      </c>
      <c r="U107" s="4">
        <v>26111</v>
      </c>
      <c r="V107" s="4">
        <v>0</v>
      </c>
      <c r="W107" s="4">
        <v>17893</v>
      </c>
      <c r="X107" s="4">
        <v>2060</v>
      </c>
      <c r="Y107" s="4">
        <v>221787</v>
      </c>
      <c r="Z107" s="4">
        <v>22675</v>
      </c>
      <c r="AA107" s="4">
        <v>199112</v>
      </c>
      <c r="AB107" s="4">
        <v>107750</v>
      </c>
      <c r="AC107" s="4">
        <v>91362</v>
      </c>
    </row>
    <row r="108" spans="1:29" x14ac:dyDescent="0.25">
      <c r="A108" s="1" t="s">
        <v>62</v>
      </c>
      <c r="B108" s="1" t="s">
        <v>735</v>
      </c>
      <c r="C108" s="1" t="s">
        <v>113</v>
      </c>
      <c r="D108" s="1" t="s">
        <v>514</v>
      </c>
      <c r="E108" s="2">
        <v>137.13999999999999</v>
      </c>
      <c r="F108" s="3">
        <v>1054.4000000000001</v>
      </c>
      <c r="G108" s="2">
        <v>1191.54</v>
      </c>
      <c r="H108" s="2">
        <v>0</v>
      </c>
      <c r="I108" s="4">
        <v>28</v>
      </c>
      <c r="J108" s="3">
        <v>0</v>
      </c>
      <c r="K108" s="4">
        <v>1082</v>
      </c>
      <c r="L108" s="2">
        <v>305.29000000000002</v>
      </c>
      <c r="M108" s="2">
        <v>56.52</v>
      </c>
      <c r="N108" s="2">
        <v>63.07</v>
      </c>
      <c r="O108" s="2">
        <v>38.42</v>
      </c>
      <c r="P108" s="2">
        <v>4.42</v>
      </c>
      <c r="Q108" s="4">
        <v>363765</v>
      </c>
      <c r="R108" s="4">
        <v>26105</v>
      </c>
      <c r="S108" s="4">
        <v>389870</v>
      </c>
      <c r="T108" s="4">
        <v>61155</v>
      </c>
      <c r="U108" s="4">
        <v>68242</v>
      </c>
      <c r="V108" s="4">
        <v>0</v>
      </c>
      <c r="W108" s="4">
        <v>45779</v>
      </c>
      <c r="X108" s="4">
        <v>5267</v>
      </c>
      <c r="Y108" s="4">
        <v>570313</v>
      </c>
      <c r="Z108" s="4">
        <v>54340</v>
      </c>
      <c r="AA108" s="4">
        <v>515973</v>
      </c>
      <c r="AB108" s="4">
        <v>280293</v>
      </c>
      <c r="AC108" s="4">
        <v>235680</v>
      </c>
    </row>
    <row r="109" spans="1:29" x14ac:dyDescent="0.25">
      <c r="A109" s="1" t="s">
        <v>62</v>
      </c>
      <c r="B109" s="1" t="s">
        <v>735</v>
      </c>
      <c r="C109" s="1" t="s">
        <v>114</v>
      </c>
      <c r="D109" s="1" t="s">
        <v>515</v>
      </c>
      <c r="E109" s="2">
        <v>66.69</v>
      </c>
      <c r="F109" s="3">
        <v>678.6</v>
      </c>
      <c r="G109" s="2">
        <v>745.29</v>
      </c>
      <c r="H109" s="2">
        <v>0</v>
      </c>
      <c r="I109" s="4">
        <v>25</v>
      </c>
      <c r="J109" s="3">
        <v>0</v>
      </c>
      <c r="K109" s="4">
        <v>704</v>
      </c>
      <c r="L109" s="2">
        <v>305.29000000000002</v>
      </c>
      <c r="M109" s="2">
        <v>56.52</v>
      </c>
      <c r="N109" s="2">
        <v>63.07</v>
      </c>
      <c r="O109" s="2">
        <v>38.42</v>
      </c>
      <c r="P109" s="2">
        <v>4.42</v>
      </c>
      <c r="Q109" s="4">
        <v>227530</v>
      </c>
      <c r="R109" s="4">
        <v>0</v>
      </c>
      <c r="S109" s="4">
        <v>227530</v>
      </c>
      <c r="T109" s="4">
        <v>39790</v>
      </c>
      <c r="U109" s="4">
        <v>44401</v>
      </c>
      <c r="V109" s="4">
        <v>0</v>
      </c>
      <c r="W109" s="4">
        <v>28634</v>
      </c>
      <c r="X109" s="4">
        <v>3294</v>
      </c>
      <c r="Y109" s="4">
        <v>343649</v>
      </c>
      <c r="Z109" s="4">
        <v>33496</v>
      </c>
      <c r="AA109" s="4">
        <v>310153</v>
      </c>
      <c r="AB109" s="4">
        <v>175811</v>
      </c>
      <c r="AC109" s="4">
        <v>134342</v>
      </c>
    </row>
    <row r="110" spans="1:29" x14ac:dyDescent="0.25">
      <c r="A110" s="1" t="s">
        <v>62</v>
      </c>
      <c r="B110" s="1" t="s">
        <v>735</v>
      </c>
      <c r="C110" s="1" t="s">
        <v>115</v>
      </c>
      <c r="D110" s="1" t="s">
        <v>516</v>
      </c>
      <c r="E110" s="2">
        <v>2338.4</v>
      </c>
      <c r="F110" s="3">
        <v>10776.7</v>
      </c>
      <c r="G110" s="2">
        <v>13115.1</v>
      </c>
      <c r="H110" s="2">
        <v>0</v>
      </c>
      <c r="I110" s="4">
        <v>1333</v>
      </c>
      <c r="J110" s="3">
        <v>4.0999999999999996</v>
      </c>
      <c r="K110" s="4">
        <v>12106</v>
      </c>
      <c r="L110" s="2">
        <v>305.29000000000002</v>
      </c>
      <c r="M110" s="2">
        <v>56.52</v>
      </c>
      <c r="N110" s="2">
        <v>63.07</v>
      </c>
      <c r="O110" s="2">
        <v>38.42</v>
      </c>
      <c r="P110" s="2">
        <v>4.42</v>
      </c>
      <c r="Q110" s="4">
        <v>4003909</v>
      </c>
      <c r="R110" s="4">
        <v>0</v>
      </c>
      <c r="S110" s="4">
        <v>4003909</v>
      </c>
      <c r="T110" s="4">
        <v>684231</v>
      </c>
      <c r="U110" s="4">
        <v>763525</v>
      </c>
      <c r="V110" s="4">
        <v>0</v>
      </c>
      <c r="W110" s="4">
        <v>503882</v>
      </c>
      <c r="X110" s="4">
        <v>57969</v>
      </c>
      <c r="Y110" s="4">
        <v>6013516</v>
      </c>
      <c r="Z110" s="4">
        <v>541622</v>
      </c>
      <c r="AA110" s="4">
        <v>5471894</v>
      </c>
      <c r="AB110" s="4">
        <v>3141623</v>
      </c>
      <c r="AC110" s="4">
        <v>2330271</v>
      </c>
    </row>
    <row r="111" spans="1:29" x14ac:dyDescent="0.25">
      <c r="A111" s="1" t="s">
        <v>62</v>
      </c>
      <c r="B111" s="1" t="s">
        <v>735</v>
      </c>
      <c r="C111" s="1" t="s">
        <v>116</v>
      </c>
      <c r="D111" s="1" t="s">
        <v>517</v>
      </c>
      <c r="E111" s="2">
        <v>265.68</v>
      </c>
      <c r="F111" s="3">
        <v>2118</v>
      </c>
      <c r="G111" s="2">
        <v>2383.6799999999998</v>
      </c>
      <c r="H111" s="2">
        <v>0</v>
      </c>
      <c r="I111" s="4">
        <v>112</v>
      </c>
      <c r="J111" s="3">
        <v>2.1</v>
      </c>
      <c r="K111" s="4">
        <v>2228</v>
      </c>
      <c r="L111" s="2">
        <v>305.29000000000002</v>
      </c>
      <c r="M111" s="2">
        <v>56.52</v>
      </c>
      <c r="N111" s="2">
        <v>63.07</v>
      </c>
      <c r="O111" s="2">
        <v>38.42</v>
      </c>
      <c r="P111" s="2">
        <v>4.42</v>
      </c>
      <c r="Q111" s="4">
        <v>727714</v>
      </c>
      <c r="R111" s="4">
        <v>0</v>
      </c>
      <c r="S111" s="4">
        <v>727714</v>
      </c>
      <c r="T111" s="4">
        <v>125927</v>
      </c>
      <c r="U111" s="4">
        <v>140520</v>
      </c>
      <c r="V111" s="4">
        <v>0</v>
      </c>
      <c r="W111" s="4">
        <v>91581</v>
      </c>
      <c r="X111" s="4">
        <v>10536</v>
      </c>
      <c r="Y111" s="4">
        <v>1096278</v>
      </c>
      <c r="Z111" s="4">
        <v>88570</v>
      </c>
      <c r="AA111" s="4">
        <v>1007708</v>
      </c>
      <c r="AB111" s="4">
        <v>580863</v>
      </c>
      <c r="AC111" s="4">
        <v>426845</v>
      </c>
    </row>
    <row r="112" spans="1:29" x14ac:dyDescent="0.25">
      <c r="A112" s="1" t="s">
        <v>62</v>
      </c>
      <c r="B112" s="1" t="s">
        <v>735</v>
      </c>
      <c r="C112" s="1" t="s">
        <v>117</v>
      </c>
      <c r="D112" s="1" t="s">
        <v>518</v>
      </c>
      <c r="E112" s="2">
        <v>115.79</v>
      </c>
      <c r="F112" s="3">
        <v>704</v>
      </c>
      <c r="G112" s="2">
        <v>819.79</v>
      </c>
      <c r="H112" s="2">
        <v>0</v>
      </c>
      <c r="I112" s="4">
        <v>39</v>
      </c>
      <c r="J112" s="3">
        <v>0</v>
      </c>
      <c r="K112" s="4">
        <v>743</v>
      </c>
      <c r="L112" s="2">
        <v>305.29000000000002</v>
      </c>
      <c r="M112" s="2">
        <v>56.52</v>
      </c>
      <c r="N112" s="2">
        <v>63.07</v>
      </c>
      <c r="O112" s="2">
        <v>38.42</v>
      </c>
      <c r="P112" s="2">
        <v>4.42</v>
      </c>
      <c r="Q112" s="4">
        <v>250274</v>
      </c>
      <c r="R112" s="4">
        <v>0</v>
      </c>
      <c r="S112" s="4">
        <v>250274</v>
      </c>
      <c r="T112" s="4">
        <v>41994</v>
      </c>
      <c r="U112" s="4">
        <v>46861</v>
      </c>
      <c r="V112" s="4">
        <v>0</v>
      </c>
      <c r="W112" s="4">
        <v>31496</v>
      </c>
      <c r="X112" s="4">
        <v>3623</v>
      </c>
      <c r="Y112" s="4">
        <v>374248</v>
      </c>
      <c r="Z112" s="4">
        <v>44215</v>
      </c>
      <c r="AA112" s="4">
        <v>330033</v>
      </c>
      <c r="AB112" s="4">
        <v>186014</v>
      </c>
      <c r="AC112" s="4">
        <v>144019</v>
      </c>
    </row>
    <row r="113" spans="1:29" x14ac:dyDescent="0.25">
      <c r="A113" s="1" t="s">
        <v>62</v>
      </c>
      <c r="B113" s="1" t="s">
        <v>735</v>
      </c>
      <c r="C113" s="1" t="s">
        <v>118</v>
      </c>
      <c r="D113" s="1" t="s">
        <v>519</v>
      </c>
      <c r="E113" s="2">
        <v>53.54</v>
      </c>
      <c r="F113" s="3">
        <v>539.29999999999995</v>
      </c>
      <c r="G113" s="2">
        <v>592.84</v>
      </c>
      <c r="H113" s="2">
        <v>0</v>
      </c>
      <c r="I113" s="4">
        <v>46</v>
      </c>
      <c r="J113" s="3">
        <v>0.2</v>
      </c>
      <c r="K113" s="4">
        <v>585</v>
      </c>
      <c r="L113" s="2">
        <v>305.29000000000002</v>
      </c>
      <c r="M113" s="2">
        <v>56.52</v>
      </c>
      <c r="N113" s="2">
        <v>63.07</v>
      </c>
      <c r="O113" s="2">
        <v>38.42</v>
      </c>
      <c r="P113" s="2">
        <v>4.42</v>
      </c>
      <c r="Q113" s="4">
        <v>180988</v>
      </c>
      <c r="R113" s="4">
        <v>11220</v>
      </c>
      <c r="S113" s="4">
        <v>192208</v>
      </c>
      <c r="T113" s="4">
        <v>33064</v>
      </c>
      <c r="U113" s="4">
        <v>36896</v>
      </c>
      <c r="V113" s="4">
        <v>0</v>
      </c>
      <c r="W113" s="4">
        <v>22777</v>
      </c>
      <c r="X113" s="4">
        <v>2620</v>
      </c>
      <c r="Y113" s="4">
        <v>287565</v>
      </c>
      <c r="Z113" s="4">
        <v>32056</v>
      </c>
      <c r="AA113" s="4">
        <v>255509</v>
      </c>
      <c r="AB113" s="4">
        <v>134437</v>
      </c>
      <c r="AC113" s="4">
        <v>121072</v>
      </c>
    </row>
    <row r="114" spans="1:29" x14ac:dyDescent="0.25">
      <c r="A114" s="1" t="s">
        <v>62</v>
      </c>
      <c r="B114" s="1" t="s">
        <v>735</v>
      </c>
      <c r="C114" s="1" t="s">
        <v>119</v>
      </c>
      <c r="D114" s="1" t="s">
        <v>520</v>
      </c>
      <c r="E114" s="2">
        <v>89.19</v>
      </c>
      <c r="F114" s="3">
        <v>870.1</v>
      </c>
      <c r="G114" s="2">
        <v>959.29</v>
      </c>
      <c r="H114" s="2">
        <v>0</v>
      </c>
      <c r="I114" s="4">
        <v>2</v>
      </c>
      <c r="J114" s="3">
        <v>0</v>
      </c>
      <c r="K114" s="4">
        <v>872</v>
      </c>
      <c r="L114" s="2">
        <v>305.29000000000002</v>
      </c>
      <c r="M114" s="2">
        <v>56.52</v>
      </c>
      <c r="N114" s="2">
        <v>63.07</v>
      </c>
      <c r="O114" s="2">
        <v>38.42</v>
      </c>
      <c r="P114" s="2">
        <v>4.42</v>
      </c>
      <c r="Q114" s="4">
        <v>292862</v>
      </c>
      <c r="R114" s="4">
        <v>1901</v>
      </c>
      <c r="S114" s="4">
        <v>294763</v>
      </c>
      <c r="T114" s="4">
        <v>49285</v>
      </c>
      <c r="U114" s="4">
        <v>54997</v>
      </c>
      <c r="V114" s="4">
        <v>0</v>
      </c>
      <c r="W114" s="4">
        <v>37230</v>
      </c>
      <c r="X114" s="4">
        <v>4285</v>
      </c>
      <c r="Y114" s="4">
        <v>440560</v>
      </c>
      <c r="Z114" s="4">
        <v>38932</v>
      </c>
      <c r="AA114" s="4">
        <v>401628</v>
      </c>
      <c r="AB114" s="4">
        <v>230894</v>
      </c>
      <c r="AC114" s="4">
        <v>170734</v>
      </c>
    </row>
    <row r="115" spans="1:29" x14ac:dyDescent="0.25">
      <c r="A115" s="1" t="s">
        <v>120</v>
      </c>
      <c r="B115" s="1" t="s">
        <v>736</v>
      </c>
      <c r="C115" s="1" t="s">
        <v>121</v>
      </c>
      <c r="D115" s="1" t="s">
        <v>521</v>
      </c>
      <c r="E115" s="2">
        <v>33.4</v>
      </c>
      <c r="F115" s="3">
        <v>240.3</v>
      </c>
      <c r="G115" s="2">
        <v>273.7</v>
      </c>
      <c r="H115" s="2">
        <v>0.5</v>
      </c>
      <c r="I115" s="4">
        <v>22</v>
      </c>
      <c r="J115" s="3">
        <v>0</v>
      </c>
      <c r="K115" s="4">
        <v>262</v>
      </c>
      <c r="L115" s="2">
        <v>302.93</v>
      </c>
      <c r="M115" s="2">
        <v>56.03</v>
      </c>
      <c r="N115" s="2">
        <v>61.15</v>
      </c>
      <c r="O115" s="2">
        <v>27.49</v>
      </c>
      <c r="P115" s="2">
        <v>3.23</v>
      </c>
      <c r="Q115" s="4">
        <v>82912</v>
      </c>
      <c r="R115" s="4">
        <v>10419</v>
      </c>
      <c r="S115" s="4">
        <v>93331</v>
      </c>
      <c r="T115" s="4">
        <v>14680</v>
      </c>
      <c r="U115" s="4">
        <v>16021</v>
      </c>
      <c r="V115" s="4">
        <v>151</v>
      </c>
      <c r="W115" s="4">
        <v>7524</v>
      </c>
      <c r="X115" s="4">
        <v>884</v>
      </c>
      <c r="Y115" s="4">
        <v>132591</v>
      </c>
      <c r="Z115" s="4">
        <v>16393</v>
      </c>
      <c r="AA115" s="4">
        <v>116198</v>
      </c>
      <c r="AB115" s="4">
        <v>57275</v>
      </c>
      <c r="AC115" s="4">
        <v>58923</v>
      </c>
    </row>
    <row r="116" spans="1:29" x14ac:dyDescent="0.25">
      <c r="A116" s="1" t="s">
        <v>120</v>
      </c>
      <c r="B116" s="1" t="s">
        <v>736</v>
      </c>
      <c r="C116" s="1" t="s">
        <v>122</v>
      </c>
      <c r="D116" s="1" t="s">
        <v>522</v>
      </c>
      <c r="E116" s="2">
        <v>68.150000000000006</v>
      </c>
      <c r="F116" s="3">
        <v>595.29999999999995</v>
      </c>
      <c r="G116" s="2">
        <v>663.45</v>
      </c>
      <c r="H116" s="2">
        <v>1.21</v>
      </c>
      <c r="I116" s="4">
        <v>160</v>
      </c>
      <c r="J116" s="3">
        <v>4.3</v>
      </c>
      <c r="K116" s="4">
        <v>751</v>
      </c>
      <c r="L116" s="2">
        <v>302.93</v>
      </c>
      <c r="M116" s="2">
        <v>56.03</v>
      </c>
      <c r="N116" s="2">
        <v>61.15</v>
      </c>
      <c r="O116" s="2">
        <v>27.49</v>
      </c>
      <c r="P116" s="2">
        <v>3.23</v>
      </c>
      <c r="Q116" s="4">
        <v>200979</v>
      </c>
      <c r="R116" s="4">
        <v>0</v>
      </c>
      <c r="S116" s="4">
        <v>200979</v>
      </c>
      <c r="T116" s="4">
        <v>42079</v>
      </c>
      <c r="U116" s="4">
        <v>45924</v>
      </c>
      <c r="V116" s="4">
        <v>367</v>
      </c>
      <c r="W116" s="4">
        <v>18238</v>
      </c>
      <c r="X116" s="4">
        <v>2143</v>
      </c>
      <c r="Y116" s="4">
        <v>309730</v>
      </c>
      <c r="Z116" s="4">
        <v>33230</v>
      </c>
      <c r="AA116" s="4">
        <v>276500</v>
      </c>
      <c r="AB116" s="4">
        <v>145340</v>
      </c>
      <c r="AC116" s="4">
        <v>131160</v>
      </c>
    </row>
    <row r="117" spans="1:29" x14ac:dyDescent="0.25">
      <c r="A117" s="1" t="s">
        <v>120</v>
      </c>
      <c r="B117" s="1" t="s">
        <v>736</v>
      </c>
      <c r="C117" s="1" t="s">
        <v>123</v>
      </c>
      <c r="D117" s="1" t="s">
        <v>523</v>
      </c>
      <c r="E117" s="2">
        <v>22.24</v>
      </c>
      <c r="F117" s="3">
        <v>207.3</v>
      </c>
      <c r="G117" s="2">
        <v>229.54</v>
      </c>
      <c r="H117" s="2">
        <v>0.42</v>
      </c>
      <c r="I117" s="4">
        <v>1</v>
      </c>
      <c r="J117" s="3">
        <v>0</v>
      </c>
      <c r="K117" s="4">
        <v>208</v>
      </c>
      <c r="L117" s="2">
        <v>302.93</v>
      </c>
      <c r="M117" s="2">
        <v>56.03</v>
      </c>
      <c r="N117" s="2">
        <v>61.15</v>
      </c>
      <c r="O117" s="2">
        <v>27.49</v>
      </c>
      <c r="P117" s="2">
        <v>3.23</v>
      </c>
      <c r="Q117" s="4">
        <v>69535</v>
      </c>
      <c r="R117" s="4">
        <v>0</v>
      </c>
      <c r="S117" s="4">
        <v>69535</v>
      </c>
      <c r="T117" s="4">
        <v>11654</v>
      </c>
      <c r="U117" s="4">
        <v>12719</v>
      </c>
      <c r="V117" s="4">
        <v>127</v>
      </c>
      <c r="W117" s="4">
        <v>6310</v>
      </c>
      <c r="X117" s="4">
        <v>741</v>
      </c>
      <c r="Y117" s="4">
        <v>101086</v>
      </c>
      <c r="Z117" s="4">
        <v>11567</v>
      </c>
      <c r="AA117" s="4">
        <v>89519</v>
      </c>
      <c r="AB117" s="4">
        <v>50214</v>
      </c>
      <c r="AC117" s="4">
        <v>39305</v>
      </c>
    </row>
    <row r="118" spans="1:29" x14ac:dyDescent="0.25">
      <c r="A118" s="1" t="s">
        <v>120</v>
      </c>
      <c r="B118" s="1" t="s">
        <v>736</v>
      </c>
      <c r="C118" s="1" t="s">
        <v>124</v>
      </c>
      <c r="D118" s="1" t="s">
        <v>524</v>
      </c>
      <c r="E118" s="2">
        <v>484.7</v>
      </c>
      <c r="F118" s="3">
        <v>4185.3</v>
      </c>
      <c r="G118" s="2">
        <v>4670</v>
      </c>
      <c r="H118" s="2">
        <v>8.5500000000000007</v>
      </c>
      <c r="I118" s="4">
        <v>231</v>
      </c>
      <c r="J118" s="3">
        <v>0</v>
      </c>
      <c r="K118" s="4">
        <v>4416</v>
      </c>
      <c r="L118" s="2">
        <v>302.93</v>
      </c>
      <c r="M118" s="2">
        <v>56.03</v>
      </c>
      <c r="N118" s="2">
        <v>61.15</v>
      </c>
      <c r="O118" s="2">
        <v>27.49</v>
      </c>
      <c r="P118" s="2">
        <v>3.23</v>
      </c>
      <c r="Q118" s="4">
        <v>1414683</v>
      </c>
      <c r="R118" s="4">
        <v>0</v>
      </c>
      <c r="S118" s="4">
        <v>1414683</v>
      </c>
      <c r="T118" s="4">
        <v>247428</v>
      </c>
      <c r="U118" s="4">
        <v>270038</v>
      </c>
      <c r="V118" s="4">
        <v>2590</v>
      </c>
      <c r="W118" s="4">
        <v>128378</v>
      </c>
      <c r="X118" s="4">
        <v>15084</v>
      </c>
      <c r="Y118" s="4">
        <v>2078201</v>
      </c>
      <c r="Z118" s="4">
        <v>185946</v>
      </c>
      <c r="AA118" s="4">
        <v>1892255</v>
      </c>
      <c r="AB118" s="4">
        <v>1071011</v>
      </c>
      <c r="AC118" s="4">
        <v>821244</v>
      </c>
    </row>
    <row r="119" spans="1:29" x14ac:dyDescent="0.25">
      <c r="A119" s="1" t="s">
        <v>120</v>
      </c>
      <c r="B119" s="1" t="s">
        <v>736</v>
      </c>
      <c r="C119" s="1" t="s">
        <v>125</v>
      </c>
      <c r="D119" s="1" t="s">
        <v>525</v>
      </c>
      <c r="E119" s="2">
        <v>56.55</v>
      </c>
      <c r="F119" s="3">
        <v>424.9</v>
      </c>
      <c r="G119" s="2">
        <v>481.45</v>
      </c>
      <c r="H119" s="2">
        <v>0.88</v>
      </c>
      <c r="I119" s="4">
        <v>0</v>
      </c>
      <c r="J119" s="3">
        <v>0</v>
      </c>
      <c r="K119" s="4">
        <v>425</v>
      </c>
      <c r="L119" s="2">
        <v>302.93</v>
      </c>
      <c r="M119" s="2">
        <v>56.03</v>
      </c>
      <c r="N119" s="2">
        <v>61.15</v>
      </c>
      <c r="O119" s="2">
        <v>27.49</v>
      </c>
      <c r="P119" s="2">
        <v>3.23</v>
      </c>
      <c r="Q119" s="4">
        <v>145846</v>
      </c>
      <c r="R119" s="4">
        <v>9873</v>
      </c>
      <c r="S119" s="4">
        <v>155719</v>
      </c>
      <c r="T119" s="4">
        <v>23813</v>
      </c>
      <c r="U119" s="4">
        <v>25989</v>
      </c>
      <c r="V119" s="4">
        <v>267</v>
      </c>
      <c r="W119" s="4">
        <v>13235</v>
      </c>
      <c r="X119" s="4">
        <v>1555</v>
      </c>
      <c r="Y119" s="4">
        <v>220578</v>
      </c>
      <c r="Z119" s="4">
        <v>24342</v>
      </c>
      <c r="AA119" s="4">
        <v>196236</v>
      </c>
      <c r="AB119" s="4">
        <v>105243</v>
      </c>
      <c r="AC119" s="4">
        <v>90993</v>
      </c>
    </row>
    <row r="120" spans="1:29" x14ac:dyDescent="0.25">
      <c r="A120" s="1" t="s">
        <v>120</v>
      </c>
      <c r="B120" s="1" t="s">
        <v>736</v>
      </c>
      <c r="C120" s="1" t="s">
        <v>126</v>
      </c>
      <c r="D120" s="1" t="s">
        <v>526</v>
      </c>
      <c r="E120" s="2">
        <v>87.13</v>
      </c>
      <c r="F120" s="3">
        <v>821</v>
      </c>
      <c r="G120" s="2">
        <v>908.13</v>
      </c>
      <c r="H120" s="2">
        <v>1.66</v>
      </c>
      <c r="I120" s="4">
        <v>22</v>
      </c>
      <c r="J120" s="3">
        <v>0</v>
      </c>
      <c r="K120" s="4">
        <v>843</v>
      </c>
      <c r="L120" s="2">
        <v>302.93</v>
      </c>
      <c r="M120" s="2">
        <v>56.03</v>
      </c>
      <c r="N120" s="2">
        <v>61.15</v>
      </c>
      <c r="O120" s="2">
        <v>27.49</v>
      </c>
      <c r="P120" s="2">
        <v>3.23</v>
      </c>
      <c r="Q120" s="4">
        <v>275100</v>
      </c>
      <c r="R120" s="4">
        <v>6554</v>
      </c>
      <c r="S120" s="4">
        <v>281654</v>
      </c>
      <c r="T120" s="4">
        <v>47233</v>
      </c>
      <c r="U120" s="4">
        <v>51549</v>
      </c>
      <c r="V120" s="4">
        <v>503</v>
      </c>
      <c r="W120" s="4">
        <v>25407</v>
      </c>
      <c r="X120" s="4">
        <v>2989</v>
      </c>
      <c r="Y120" s="4">
        <v>409335</v>
      </c>
      <c r="Z120" s="4">
        <v>41235</v>
      </c>
      <c r="AA120" s="4">
        <v>368100</v>
      </c>
      <c r="AB120" s="4">
        <v>203691</v>
      </c>
      <c r="AC120" s="4">
        <v>164409</v>
      </c>
    </row>
    <row r="121" spans="1:29" x14ac:dyDescent="0.25">
      <c r="A121" s="1" t="s">
        <v>120</v>
      </c>
      <c r="B121" s="1" t="s">
        <v>736</v>
      </c>
      <c r="C121" s="1" t="s">
        <v>127</v>
      </c>
      <c r="D121" s="1" t="s">
        <v>527</v>
      </c>
      <c r="E121" s="2">
        <v>167.15</v>
      </c>
      <c r="F121" s="3">
        <v>1472.6</v>
      </c>
      <c r="G121" s="2">
        <v>1639.75</v>
      </c>
      <c r="H121" s="2">
        <v>3</v>
      </c>
      <c r="I121" s="4">
        <v>157</v>
      </c>
      <c r="J121" s="3">
        <v>0</v>
      </c>
      <c r="K121" s="4">
        <v>1630</v>
      </c>
      <c r="L121" s="2">
        <v>302.93</v>
      </c>
      <c r="M121" s="2">
        <v>56.03</v>
      </c>
      <c r="N121" s="2">
        <v>61.15</v>
      </c>
      <c r="O121" s="2">
        <v>27.49</v>
      </c>
      <c r="P121" s="2">
        <v>3.23</v>
      </c>
      <c r="Q121" s="4">
        <v>496729</v>
      </c>
      <c r="R121" s="4">
        <v>0</v>
      </c>
      <c r="S121" s="4">
        <v>496729</v>
      </c>
      <c r="T121" s="4">
        <v>91329</v>
      </c>
      <c r="U121" s="4">
        <v>99675</v>
      </c>
      <c r="V121" s="4">
        <v>909</v>
      </c>
      <c r="W121" s="4">
        <v>45077</v>
      </c>
      <c r="X121" s="4">
        <v>5296</v>
      </c>
      <c r="Y121" s="4">
        <v>739015</v>
      </c>
      <c r="Z121" s="4">
        <v>77370</v>
      </c>
      <c r="AA121" s="4">
        <v>661645</v>
      </c>
      <c r="AB121" s="4">
        <v>363978</v>
      </c>
      <c r="AC121" s="4">
        <v>297667</v>
      </c>
    </row>
    <row r="122" spans="1:29" x14ac:dyDescent="0.25">
      <c r="A122" s="1" t="s">
        <v>120</v>
      </c>
      <c r="B122" s="1" t="s">
        <v>736</v>
      </c>
      <c r="C122" s="1" t="s">
        <v>128</v>
      </c>
      <c r="D122" s="1" t="s">
        <v>528</v>
      </c>
      <c r="E122" s="2">
        <v>784.53</v>
      </c>
      <c r="F122" s="3">
        <v>3732.4</v>
      </c>
      <c r="G122" s="2">
        <v>4516.93</v>
      </c>
      <c r="H122" s="2">
        <v>8.26</v>
      </c>
      <c r="I122" s="4">
        <v>161</v>
      </c>
      <c r="J122" s="3">
        <v>0</v>
      </c>
      <c r="K122" s="4">
        <v>3893</v>
      </c>
      <c r="L122" s="2">
        <v>302.93</v>
      </c>
      <c r="M122" s="2">
        <v>56.03</v>
      </c>
      <c r="N122" s="2">
        <v>61.15</v>
      </c>
      <c r="O122" s="2">
        <v>27.49</v>
      </c>
      <c r="P122" s="2">
        <v>3.23</v>
      </c>
      <c r="Q122" s="4">
        <v>1368314</v>
      </c>
      <c r="R122" s="4">
        <v>0</v>
      </c>
      <c r="S122" s="4">
        <v>1368314</v>
      </c>
      <c r="T122" s="4">
        <v>218125</v>
      </c>
      <c r="U122" s="4">
        <v>238057</v>
      </c>
      <c r="V122" s="4">
        <v>2502</v>
      </c>
      <c r="W122" s="4">
        <v>124170</v>
      </c>
      <c r="X122" s="4">
        <v>14590</v>
      </c>
      <c r="Y122" s="4">
        <v>1965758</v>
      </c>
      <c r="Z122" s="4">
        <v>219420</v>
      </c>
      <c r="AA122" s="4">
        <v>1746338</v>
      </c>
      <c r="AB122" s="4">
        <v>996335</v>
      </c>
      <c r="AC122" s="4">
        <v>750003</v>
      </c>
    </row>
    <row r="123" spans="1:29" x14ac:dyDescent="0.25">
      <c r="A123" s="1" t="s">
        <v>120</v>
      </c>
      <c r="B123" s="1" t="s">
        <v>736</v>
      </c>
      <c r="C123" s="1" t="s">
        <v>129</v>
      </c>
      <c r="D123" s="1" t="s">
        <v>529</v>
      </c>
      <c r="E123" s="2">
        <v>113.9</v>
      </c>
      <c r="F123" s="3">
        <v>752.9</v>
      </c>
      <c r="G123" s="2">
        <v>866.8</v>
      </c>
      <c r="H123" s="2">
        <v>1.59</v>
      </c>
      <c r="I123" s="4">
        <v>0</v>
      </c>
      <c r="J123" s="3">
        <v>0</v>
      </c>
      <c r="K123" s="4">
        <v>753</v>
      </c>
      <c r="L123" s="2">
        <v>302.93</v>
      </c>
      <c r="M123" s="2">
        <v>56.03</v>
      </c>
      <c r="N123" s="2">
        <v>61.15</v>
      </c>
      <c r="O123" s="2">
        <v>27.49</v>
      </c>
      <c r="P123" s="2">
        <v>3.23</v>
      </c>
      <c r="Q123" s="4">
        <v>262580</v>
      </c>
      <c r="R123" s="4">
        <v>36493</v>
      </c>
      <c r="S123" s="4">
        <v>299073</v>
      </c>
      <c r="T123" s="4">
        <v>42191</v>
      </c>
      <c r="U123" s="4">
        <v>46046</v>
      </c>
      <c r="V123" s="4">
        <v>482</v>
      </c>
      <c r="W123" s="4">
        <v>24376</v>
      </c>
      <c r="X123" s="4">
        <v>2868</v>
      </c>
      <c r="Y123" s="4">
        <v>415036</v>
      </c>
      <c r="Z123" s="4">
        <v>48308</v>
      </c>
      <c r="AA123" s="4">
        <v>366728</v>
      </c>
      <c r="AB123" s="4">
        <v>185613</v>
      </c>
      <c r="AC123" s="4">
        <v>181115</v>
      </c>
    </row>
    <row r="124" spans="1:29" x14ac:dyDescent="0.25">
      <c r="A124" s="1" t="s">
        <v>120</v>
      </c>
      <c r="B124" s="1" t="s">
        <v>736</v>
      </c>
      <c r="C124" s="1" t="s">
        <v>130</v>
      </c>
      <c r="D124" s="1" t="s">
        <v>530</v>
      </c>
      <c r="E124" s="2">
        <v>3442.35</v>
      </c>
      <c r="F124" s="3">
        <v>15053.7</v>
      </c>
      <c r="G124" s="2">
        <v>18496.05</v>
      </c>
      <c r="H124" s="2">
        <v>33.85</v>
      </c>
      <c r="I124" s="4">
        <v>1911</v>
      </c>
      <c r="J124" s="3">
        <v>2.5</v>
      </c>
      <c r="K124" s="4">
        <v>16962</v>
      </c>
      <c r="L124" s="2">
        <v>302.93</v>
      </c>
      <c r="M124" s="2">
        <v>56.03</v>
      </c>
      <c r="N124" s="2">
        <v>61.15</v>
      </c>
      <c r="O124" s="2">
        <v>27.49</v>
      </c>
      <c r="P124" s="2">
        <v>3.23</v>
      </c>
      <c r="Q124" s="4">
        <v>5603008</v>
      </c>
      <c r="R124" s="4">
        <v>0</v>
      </c>
      <c r="S124" s="4">
        <v>5603008</v>
      </c>
      <c r="T124" s="4">
        <v>950381</v>
      </c>
      <c r="U124" s="4">
        <v>1037226</v>
      </c>
      <c r="V124" s="4">
        <v>10254</v>
      </c>
      <c r="W124" s="4">
        <v>508456</v>
      </c>
      <c r="X124" s="4">
        <v>59742</v>
      </c>
      <c r="Y124" s="4">
        <v>8169067</v>
      </c>
      <c r="Z124" s="4">
        <v>800370</v>
      </c>
      <c r="AA124" s="4">
        <v>7368697</v>
      </c>
      <c r="AB124" s="4">
        <v>4177944</v>
      </c>
      <c r="AC124" s="4">
        <v>3190753</v>
      </c>
    </row>
    <row r="125" spans="1:29" x14ac:dyDescent="0.25">
      <c r="A125" s="1" t="s">
        <v>120</v>
      </c>
      <c r="B125" s="1" t="s">
        <v>736</v>
      </c>
      <c r="C125" s="1" t="s">
        <v>131</v>
      </c>
      <c r="D125" s="1" t="s">
        <v>531</v>
      </c>
      <c r="E125" s="2">
        <v>25.84</v>
      </c>
      <c r="F125" s="3">
        <v>205.5</v>
      </c>
      <c r="G125" s="2">
        <v>231.34</v>
      </c>
      <c r="H125" s="2">
        <v>0.42</v>
      </c>
      <c r="I125" s="4">
        <v>0</v>
      </c>
      <c r="J125" s="3">
        <v>0</v>
      </c>
      <c r="K125" s="4">
        <v>206</v>
      </c>
      <c r="L125" s="2">
        <v>302.93</v>
      </c>
      <c r="M125" s="2">
        <v>56.03</v>
      </c>
      <c r="N125" s="2">
        <v>61.15</v>
      </c>
      <c r="O125" s="2">
        <v>27.49</v>
      </c>
      <c r="P125" s="2">
        <v>3.23</v>
      </c>
      <c r="Q125" s="4">
        <v>70080</v>
      </c>
      <c r="R125" s="4">
        <v>4933</v>
      </c>
      <c r="S125" s="4">
        <v>75013</v>
      </c>
      <c r="T125" s="4">
        <v>11542</v>
      </c>
      <c r="U125" s="4">
        <v>12597</v>
      </c>
      <c r="V125" s="4">
        <v>127</v>
      </c>
      <c r="W125" s="4">
        <v>6360</v>
      </c>
      <c r="X125" s="4">
        <v>747</v>
      </c>
      <c r="Y125" s="4">
        <v>106386</v>
      </c>
      <c r="Z125" s="4">
        <v>13150</v>
      </c>
      <c r="AA125" s="4">
        <v>93236</v>
      </c>
      <c r="AB125" s="4">
        <v>49116</v>
      </c>
      <c r="AC125" s="4">
        <v>44120</v>
      </c>
    </row>
    <row r="126" spans="1:29" x14ac:dyDescent="0.25">
      <c r="A126" s="1" t="s">
        <v>120</v>
      </c>
      <c r="B126" s="1" t="s">
        <v>736</v>
      </c>
      <c r="C126" s="1" t="s">
        <v>132</v>
      </c>
      <c r="D126" s="1" t="s">
        <v>532</v>
      </c>
      <c r="E126" s="2">
        <v>69.27</v>
      </c>
      <c r="F126" s="3">
        <v>555.29999999999995</v>
      </c>
      <c r="G126" s="2">
        <v>624.57000000000005</v>
      </c>
      <c r="H126" s="2">
        <v>1.1399999999999999</v>
      </c>
      <c r="I126" s="4">
        <v>6</v>
      </c>
      <c r="J126" s="3">
        <v>0</v>
      </c>
      <c r="K126" s="4">
        <v>561</v>
      </c>
      <c r="L126" s="2">
        <v>302.93</v>
      </c>
      <c r="M126" s="2">
        <v>56.03</v>
      </c>
      <c r="N126" s="2">
        <v>61.15</v>
      </c>
      <c r="O126" s="2">
        <v>27.49</v>
      </c>
      <c r="P126" s="2">
        <v>3.23</v>
      </c>
      <c r="Q126" s="4">
        <v>189201</v>
      </c>
      <c r="R126" s="4">
        <v>0</v>
      </c>
      <c r="S126" s="4">
        <v>189201</v>
      </c>
      <c r="T126" s="4">
        <v>31433</v>
      </c>
      <c r="U126" s="4">
        <v>34305</v>
      </c>
      <c r="V126" s="4">
        <v>345</v>
      </c>
      <c r="W126" s="4">
        <v>17169</v>
      </c>
      <c r="X126" s="4">
        <v>2017</v>
      </c>
      <c r="Y126" s="4">
        <v>274470</v>
      </c>
      <c r="Z126" s="4">
        <v>27628</v>
      </c>
      <c r="AA126" s="4">
        <v>246842</v>
      </c>
      <c r="AB126" s="4">
        <v>140477</v>
      </c>
      <c r="AC126" s="4">
        <v>106365</v>
      </c>
    </row>
    <row r="127" spans="1:29" x14ac:dyDescent="0.25">
      <c r="A127" s="1" t="s">
        <v>120</v>
      </c>
      <c r="B127" s="1" t="s">
        <v>736</v>
      </c>
      <c r="C127" s="1" t="s">
        <v>133</v>
      </c>
      <c r="D127" s="1" t="s">
        <v>533</v>
      </c>
      <c r="E127" s="2">
        <v>100.84</v>
      </c>
      <c r="F127" s="3">
        <v>592.9</v>
      </c>
      <c r="G127" s="2">
        <v>693.74</v>
      </c>
      <c r="H127" s="2">
        <v>1.27</v>
      </c>
      <c r="I127" s="4">
        <v>0</v>
      </c>
      <c r="J127" s="3">
        <v>0</v>
      </c>
      <c r="K127" s="4">
        <v>593</v>
      </c>
      <c r="L127" s="2">
        <v>302.93</v>
      </c>
      <c r="M127" s="2">
        <v>56.03</v>
      </c>
      <c r="N127" s="2">
        <v>61.15</v>
      </c>
      <c r="O127" s="2">
        <v>27.49</v>
      </c>
      <c r="P127" s="2">
        <v>3.23</v>
      </c>
      <c r="Q127" s="4">
        <v>210155</v>
      </c>
      <c r="R127" s="4">
        <v>9122</v>
      </c>
      <c r="S127" s="4">
        <v>219277</v>
      </c>
      <c r="T127" s="4">
        <v>33226</v>
      </c>
      <c r="U127" s="4">
        <v>36262</v>
      </c>
      <c r="V127" s="4">
        <v>385</v>
      </c>
      <c r="W127" s="4">
        <v>19071</v>
      </c>
      <c r="X127" s="4">
        <v>2241</v>
      </c>
      <c r="Y127" s="4">
        <v>310462</v>
      </c>
      <c r="Z127" s="4">
        <v>35711</v>
      </c>
      <c r="AA127" s="4">
        <v>274751</v>
      </c>
      <c r="AB127" s="4">
        <v>151013</v>
      </c>
      <c r="AC127" s="4">
        <v>123738</v>
      </c>
    </row>
    <row r="128" spans="1:29" x14ac:dyDescent="0.25">
      <c r="A128" s="1" t="s">
        <v>120</v>
      </c>
      <c r="B128" s="1" t="s">
        <v>736</v>
      </c>
      <c r="C128" s="1" t="s">
        <v>134</v>
      </c>
      <c r="D128" s="1" t="s">
        <v>534</v>
      </c>
      <c r="E128" s="2">
        <v>106.09</v>
      </c>
      <c r="F128" s="3">
        <v>711.7</v>
      </c>
      <c r="G128" s="2">
        <v>817.79</v>
      </c>
      <c r="H128" s="2">
        <v>1.5</v>
      </c>
      <c r="I128" s="4">
        <v>0</v>
      </c>
      <c r="J128" s="3">
        <v>0</v>
      </c>
      <c r="K128" s="4">
        <v>712</v>
      </c>
      <c r="L128" s="2">
        <v>302.93</v>
      </c>
      <c r="M128" s="2">
        <v>56.03</v>
      </c>
      <c r="N128" s="2">
        <v>61.15</v>
      </c>
      <c r="O128" s="2">
        <v>27.49</v>
      </c>
      <c r="P128" s="2">
        <v>3.23</v>
      </c>
      <c r="Q128" s="4">
        <v>247733</v>
      </c>
      <c r="R128" s="4">
        <v>5590</v>
      </c>
      <c r="S128" s="4">
        <v>253323</v>
      </c>
      <c r="T128" s="4">
        <v>39893</v>
      </c>
      <c r="U128" s="4">
        <v>43539</v>
      </c>
      <c r="V128" s="4">
        <v>454</v>
      </c>
      <c r="W128" s="4">
        <v>22922</v>
      </c>
      <c r="X128" s="4">
        <v>2697</v>
      </c>
      <c r="Y128" s="4">
        <v>362828</v>
      </c>
      <c r="Z128" s="4">
        <v>39308</v>
      </c>
      <c r="AA128" s="4">
        <v>323520</v>
      </c>
      <c r="AB128" s="4">
        <v>181302</v>
      </c>
      <c r="AC128" s="4">
        <v>142218</v>
      </c>
    </row>
    <row r="129" spans="1:29" x14ac:dyDescent="0.25">
      <c r="A129" s="1" t="s">
        <v>120</v>
      </c>
      <c r="B129" s="1" t="s">
        <v>736</v>
      </c>
      <c r="C129" s="1" t="s">
        <v>135</v>
      </c>
      <c r="D129" s="1" t="s">
        <v>535</v>
      </c>
      <c r="E129" s="2">
        <v>331.77</v>
      </c>
      <c r="F129" s="3">
        <v>1305.3</v>
      </c>
      <c r="G129" s="2">
        <v>1637.07</v>
      </c>
      <c r="H129" s="2">
        <v>3</v>
      </c>
      <c r="I129" s="4">
        <v>109</v>
      </c>
      <c r="J129" s="3">
        <v>0</v>
      </c>
      <c r="K129" s="4">
        <v>1414</v>
      </c>
      <c r="L129" s="2">
        <v>302.93</v>
      </c>
      <c r="M129" s="2">
        <v>56.03</v>
      </c>
      <c r="N129" s="2">
        <v>61.15</v>
      </c>
      <c r="O129" s="2">
        <v>27.49</v>
      </c>
      <c r="P129" s="2">
        <v>3.23</v>
      </c>
      <c r="Q129" s="4">
        <v>495918</v>
      </c>
      <c r="R129" s="4">
        <v>0</v>
      </c>
      <c r="S129" s="4">
        <v>495918</v>
      </c>
      <c r="T129" s="4">
        <v>79226</v>
      </c>
      <c r="U129" s="4">
        <v>86466</v>
      </c>
      <c r="V129" s="4">
        <v>909</v>
      </c>
      <c r="W129" s="4">
        <v>45003</v>
      </c>
      <c r="X129" s="4">
        <v>5288</v>
      </c>
      <c r="Y129" s="4">
        <v>712810</v>
      </c>
      <c r="Z129" s="4">
        <v>74194</v>
      </c>
      <c r="AA129" s="4">
        <v>638616</v>
      </c>
      <c r="AB129" s="4">
        <v>366434</v>
      </c>
      <c r="AC129" s="4">
        <v>272182</v>
      </c>
    </row>
    <row r="130" spans="1:29" x14ac:dyDescent="0.25">
      <c r="A130" s="1" t="s">
        <v>120</v>
      </c>
      <c r="B130" s="1" t="s">
        <v>736</v>
      </c>
      <c r="C130" s="1" t="s">
        <v>136</v>
      </c>
      <c r="D130" s="1" t="s">
        <v>536</v>
      </c>
      <c r="E130" s="2">
        <v>766.59</v>
      </c>
      <c r="F130" s="3">
        <v>4894</v>
      </c>
      <c r="G130" s="2">
        <v>5660.59</v>
      </c>
      <c r="H130" s="2">
        <v>10.36</v>
      </c>
      <c r="I130" s="4">
        <v>179</v>
      </c>
      <c r="J130" s="3">
        <v>0</v>
      </c>
      <c r="K130" s="4">
        <v>5073</v>
      </c>
      <c r="L130" s="2">
        <v>302.93</v>
      </c>
      <c r="M130" s="2">
        <v>56.03</v>
      </c>
      <c r="N130" s="2">
        <v>61.15</v>
      </c>
      <c r="O130" s="2">
        <v>27.49</v>
      </c>
      <c r="P130" s="2">
        <v>3.23</v>
      </c>
      <c r="Q130" s="4">
        <v>1714763</v>
      </c>
      <c r="R130" s="4">
        <v>2024</v>
      </c>
      <c r="S130" s="4">
        <v>1716787</v>
      </c>
      <c r="T130" s="4">
        <v>284240</v>
      </c>
      <c r="U130" s="4">
        <v>310214</v>
      </c>
      <c r="V130" s="4">
        <v>3138</v>
      </c>
      <c r="W130" s="4">
        <v>155610</v>
      </c>
      <c r="X130" s="4">
        <v>18284</v>
      </c>
      <c r="Y130" s="4">
        <v>2488273</v>
      </c>
      <c r="Z130" s="4">
        <v>253669</v>
      </c>
      <c r="AA130" s="4">
        <v>2234604</v>
      </c>
      <c r="AB130" s="4">
        <v>1269911</v>
      </c>
      <c r="AC130" s="4">
        <v>964693</v>
      </c>
    </row>
    <row r="131" spans="1:29" x14ac:dyDescent="0.25">
      <c r="A131" s="1" t="s">
        <v>120</v>
      </c>
      <c r="B131" s="1" t="s">
        <v>736</v>
      </c>
      <c r="C131" s="1" t="s">
        <v>137</v>
      </c>
      <c r="D131" s="1" t="s">
        <v>537</v>
      </c>
      <c r="E131" s="2">
        <v>313.64</v>
      </c>
      <c r="F131" s="3">
        <v>3077.3</v>
      </c>
      <c r="G131" s="2">
        <v>3390.94</v>
      </c>
      <c r="H131" s="2">
        <v>6.21</v>
      </c>
      <c r="I131" s="4">
        <v>63</v>
      </c>
      <c r="J131" s="3">
        <v>0</v>
      </c>
      <c r="K131" s="4">
        <v>3140</v>
      </c>
      <c r="L131" s="2">
        <v>302.93</v>
      </c>
      <c r="M131" s="2">
        <v>56.03</v>
      </c>
      <c r="N131" s="2">
        <v>61.15</v>
      </c>
      <c r="O131" s="2">
        <v>27.49</v>
      </c>
      <c r="P131" s="2">
        <v>3.23</v>
      </c>
      <c r="Q131" s="4">
        <v>1027217</v>
      </c>
      <c r="R131" s="4">
        <v>0</v>
      </c>
      <c r="S131" s="4">
        <v>1027217</v>
      </c>
      <c r="T131" s="4">
        <v>175934</v>
      </c>
      <c r="U131" s="4">
        <v>192011</v>
      </c>
      <c r="V131" s="4">
        <v>1881</v>
      </c>
      <c r="W131" s="4">
        <v>93217</v>
      </c>
      <c r="X131" s="4">
        <v>10953</v>
      </c>
      <c r="Y131" s="4">
        <v>1501213</v>
      </c>
      <c r="Z131" s="4">
        <v>130713</v>
      </c>
      <c r="AA131" s="4">
        <v>1370500</v>
      </c>
      <c r="AB131" s="4">
        <v>781979</v>
      </c>
      <c r="AC131" s="4">
        <v>588521</v>
      </c>
    </row>
    <row r="132" spans="1:29" x14ac:dyDescent="0.25">
      <c r="A132" s="1" t="s">
        <v>120</v>
      </c>
      <c r="B132" s="1" t="s">
        <v>736</v>
      </c>
      <c r="C132" s="1" t="s">
        <v>138</v>
      </c>
      <c r="D132" s="1" t="s">
        <v>538</v>
      </c>
      <c r="E132" s="2">
        <v>43.23</v>
      </c>
      <c r="F132" s="3">
        <v>522.6</v>
      </c>
      <c r="G132" s="2">
        <v>565.83000000000004</v>
      </c>
      <c r="H132" s="2">
        <v>1.04</v>
      </c>
      <c r="I132" s="4">
        <v>3</v>
      </c>
      <c r="J132" s="3">
        <v>0</v>
      </c>
      <c r="K132" s="4">
        <v>526</v>
      </c>
      <c r="L132" s="2">
        <v>302.93</v>
      </c>
      <c r="M132" s="2">
        <v>56.03</v>
      </c>
      <c r="N132" s="2">
        <v>61.15</v>
      </c>
      <c r="O132" s="2">
        <v>27.49</v>
      </c>
      <c r="P132" s="2">
        <v>3.23</v>
      </c>
      <c r="Q132" s="4">
        <v>171407</v>
      </c>
      <c r="R132" s="4">
        <v>3798</v>
      </c>
      <c r="S132" s="4">
        <v>175205</v>
      </c>
      <c r="T132" s="4">
        <v>29472</v>
      </c>
      <c r="U132" s="4">
        <v>32165</v>
      </c>
      <c r="V132" s="4">
        <v>315</v>
      </c>
      <c r="W132" s="4">
        <v>15555</v>
      </c>
      <c r="X132" s="4">
        <v>1828</v>
      </c>
      <c r="Y132" s="4">
        <v>254540</v>
      </c>
      <c r="Z132" s="4">
        <v>30807</v>
      </c>
      <c r="AA132" s="4">
        <v>223733</v>
      </c>
      <c r="AB132" s="4">
        <v>121491</v>
      </c>
      <c r="AC132" s="4">
        <v>102242</v>
      </c>
    </row>
    <row r="133" spans="1:29" x14ac:dyDescent="0.25">
      <c r="A133" s="1" t="s">
        <v>120</v>
      </c>
      <c r="B133" s="1" t="s">
        <v>736</v>
      </c>
      <c r="C133" s="1" t="s">
        <v>139</v>
      </c>
      <c r="D133" s="1" t="s">
        <v>539</v>
      </c>
      <c r="E133" s="2">
        <v>320.2</v>
      </c>
      <c r="F133" s="3">
        <v>5036.7</v>
      </c>
      <c r="G133" s="2">
        <v>5356.9</v>
      </c>
      <c r="H133" s="2">
        <v>9.8000000000000007</v>
      </c>
      <c r="I133" s="4">
        <v>125</v>
      </c>
      <c r="J133" s="3">
        <v>0</v>
      </c>
      <c r="K133" s="4">
        <v>5162</v>
      </c>
      <c r="L133" s="2">
        <v>302.93</v>
      </c>
      <c r="M133" s="2">
        <v>56.03</v>
      </c>
      <c r="N133" s="2">
        <v>61.15</v>
      </c>
      <c r="O133" s="2">
        <v>27.49</v>
      </c>
      <c r="P133" s="2">
        <v>3.23</v>
      </c>
      <c r="Q133" s="4">
        <v>1622766</v>
      </c>
      <c r="R133" s="4">
        <v>0</v>
      </c>
      <c r="S133" s="4">
        <v>1622766</v>
      </c>
      <c r="T133" s="4">
        <v>289227</v>
      </c>
      <c r="U133" s="4">
        <v>315656</v>
      </c>
      <c r="V133" s="4">
        <v>2969</v>
      </c>
      <c r="W133" s="4">
        <v>147261</v>
      </c>
      <c r="X133" s="4">
        <v>17303</v>
      </c>
      <c r="Y133" s="4">
        <v>2395182</v>
      </c>
      <c r="Z133" s="4">
        <v>135851</v>
      </c>
      <c r="AA133" s="4">
        <v>2259331</v>
      </c>
      <c r="AB133" s="4">
        <v>1305988</v>
      </c>
      <c r="AC133" s="4">
        <v>953343</v>
      </c>
    </row>
    <row r="134" spans="1:29" x14ac:dyDescent="0.25">
      <c r="A134" s="1" t="s">
        <v>120</v>
      </c>
      <c r="B134" s="1" t="s">
        <v>736</v>
      </c>
      <c r="C134" s="1" t="s">
        <v>140</v>
      </c>
      <c r="D134" s="1" t="s">
        <v>540</v>
      </c>
      <c r="E134" s="2">
        <v>153.84</v>
      </c>
      <c r="F134" s="3">
        <v>1332.8</v>
      </c>
      <c r="G134" s="2">
        <v>1486.64</v>
      </c>
      <c r="H134" s="2">
        <v>2.72</v>
      </c>
      <c r="I134" s="4">
        <v>4</v>
      </c>
      <c r="J134" s="3">
        <v>0</v>
      </c>
      <c r="K134" s="4">
        <v>1337</v>
      </c>
      <c r="L134" s="2">
        <v>302.93</v>
      </c>
      <c r="M134" s="2">
        <v>56.03</v>
      </c>
      <c r="N134" s="2">
        <v>61.15</v>
      </c>
      <c r="O134" s="2">
        <v>27.49</v>
      </c>
      <c r="P134" s="2">
        <v>3.23</v>
      </c>
      <c r="Q134" s="4">
        <v>450348</v>
      </c>
      <c r="R134" s="4">
        <v>3494</v>
      </c>
      <c r="S134" s="4">
        <v>453842</v>
      </c>
      <c r="T134" s="4">
        <v>74912</v>
      </c>
      <c r="U134" s="4">
        <v>81758</v>
      </c>
      <c r="V134" s="4">
        <v>824</v>
      </c>
      <c r="W134" s="4">
        <v>41067</v>
      </c>
      <c r="X134" s="4">
        <v>4831</v>
      </c>
      <c r="Y134" s="4">
        <v>657234</v>
      </c>
      <c r="Z134" s="4">
        <v>51632</v>
      </c>
      <c r="AA134" s="4">
        <v>605602</v>
      </c>
      <c r="AB134" s="4">
        <v>348734</v>
      </c>
      <c r="AC134" s="4">
        <v>256868</v>
      </c>
    </row>
    <row r="135" spans="1:29" x14ac:dyDescent="0.25">
      <c r="A135" s="1" t="s">
        <v>120</v>
      </c>
      <c r="B135" s="1" t="s">
        <v>736</v>
      </c>
      <c r="C135" s="1" t="s">
        <v>141</v>
      </c>
      <c r="D135" s="1" t="s">
        <v>541</v>
      </c>
      <c r="E135" s="2">
        <v>68.349999999999994</v>
      </c>
      <c r="F135" s="3">
        <v>838.3</v>
      </c>
      <c r="G135" s="2">
        <v>906.65</v>
      </c>
      <c r="H135" s="2">
        <v>1.66</v>
      </c>
      <c r="I135" s="4">
        <v>1</v>
      </c>
      <c r="J135" s="3">
        <v>0</v>
      </c>
      <c r="K135" s="4">
        <v>839</v>
      </c>
      <c r="L135" s="2">
        <v>302.93</v>
      </c>
      <c r="M135" s="2">
        <v>56.03</v>
      </c>
      <c r="N135" s="2">
        <v>61.15</v>
      </c>
      <c r="O135" s="2">
        <v>27.49</v>
      </c>
      <c r="P135" s="2">
        <v>3.23</v>
      </c>
      <c r="Q135" s="4">
        <v>274651</v>
      </c>
      <c r="R135" s="4">
        <v>0</v>
      </c>
      <c r="S135" s="4">
        <v>274651</v>
      </c>
      <c r="T135" s="4">
        <v>47009</v>
      </c>
      <c r="U135" s="4">
        <v>51305</v>
      </c>
      <c r="V135" s="4">
        <v>503</v>
      </c>
      <c r="W135" s="4">
        <v>24924</v>
      </c>
      <c r="X135" s="4">
        <v>2928</v>
      </c>
      <c r="Y135" s="4">
        <v>401320</v>
      </c>
      <c r="Z135" s="4">
        <v>40568</v>
      </c>
      <c r="AA135" s="4">
        <v>360752</v>
      </c>
      <c r="AB135" s="4">
        <v>203462</v>
      </c>
      <c r="AC135" s="4">
        <v>157290</v>
      </c>
    </row>
    <row r="136" spans="1:29" x14ac:dyDescent="0.25">
      <c r="A136" s="1" t="s">
        <v>142</v>
      </c>
      <c r="B136" s="1" t="s">
        <v>737</v>
      </c>
      <c r="C136" s="1" t="s">
        <v>143</v>
      </c>
      <c r="D136" s="1" t="s">
        <v>542</v>
      </c>
      <c r="E136" s="2">
        <v>43.88</v>
      </c>
      <c r="F136" s="3">
        <v>514.20000000000005</v>
      </c>
      <c r="G136" s="2">
        <v>558.08000000000004</v>
      </c>
      <c r="H136" s="2">
        <v>0</v>
      </c>
      <c r="I136" s="4">
        <v>25</v>
      </c>
      <c r="J136" s="3">
        <v>0</v>
      </c>
      <c r="K136" s="4">
        <v>539</v>
      </c>
      <c r="L136" s="2">
        <v>301.01</v>
      </c>
      <c r="M136" s="2">
        <v>56.21</v>
      </c>
      <c r="N136" s="2">
        <v>61.75</v>
      </c>
      <c r="O136" s="2">
        <v>28.24</v>
      </c>
      <c r="P136" s="2">
        <v>3.29</v>
      </c>
      <c r="Q136" s="4">
        <v>167988</v>
      </c>
      <c r="R136" s="4">
        <v>989</v>
      </c>
      <c r="S136" s="4">
        <v>168977</v>
      </c>
      <c r="T136" s="4">
        <v>30297</v>
      </c>
      <c r="U136" s="4">
        <v>33283</v>
      </c>
      <c r="V136" s="4">
        <v>0</v>
      </c>
      <c r="W136" s="4">
        <v>15819</v>
      </c>
      <c r="X136" s="4">
        <v>1845</v>
      </c>
      <c r="Y136" s="4">
        <v>250221</v>
      </c>
      <c r="Z136" s="4">
        <v>28260</v>
      </c>
      <c r="AA136" s="4">
        <v>221961</v>
      </c>
      <c r="AB136" s="4">
        <v>122227</v>
      </c>
      <c r="AC136" s="4">
        <v>99734</v>
      </c>
    </row>
    <row r="137" spans="1:29" x14ac:dyDescent="0.25">
      <c r="A137" s="1" t="s">
        <v>142</v>
      </c>
      <c r="B137" s="1" t="s">
        <v>737</v>
      </c>
      <c r="C137" s="1" t="s">
        <v>144</v>
      </c>
      <c r="D137" s="1" t="s">
        <v>543</v>
      </c>
      <c r="E137" s="2">
        <v>140.9</v>
      </c>
      <c r="F137" s="3">
        <v>1267.0999999999999</v>
      </c>
      <c r="G137" s="2">
        <v>1408</v>
      </c>
      <c r="H137" s="2">
        <v>0</v>
      </c>
      <c r="I137" s="4">
        <v>64</v>
      </c>
      <c r="J137" s="3">
        <v>0.3</v>
      </c>
      <c r="K137" s="4">
        <v>1331</v>
      </c>
      <c r="L137" s="2">
        <v>301.01</v>
      </c>
      <c r="M137" s="2">
        <v>56.21</v>
      </c>
      <c r="N137" s="2">
        <v>61.75</v>
      </c>
      <c r="O137" s="2">
        <v>28.24</v>
      </c>
      <c r="P137" s="2">
        <v>3.29</v>
      </c>
      <c r="Q137" s="4">
        <v>423822</v>
      </c>
      <c r="R137" s="4">
        <v>0</v>
      </c>
      <c r="S137" s="4">
        <v>423822</v>
      </c>
      <c r="T137" s="4">
        <v>74816</v>
      </c>
      <c r="U137" s="4">
        <v>82189</v>
      </c>
      <c r="V137" s="4">
        <v>0</v>
      </c>
      <c r="W137" s="4">
        <v>39762</v>
      </c>
      <c r="X137" s="4">
        <v>4632</v>
      </c>
      <c r="Y137" s="4">
        <v>625221</v>
      </c>
      <c r="Z137" s="4">
        <v>60223</v>
      </c>
      <c r="AA137" s="4">
        <v>564998</v>
      </c>
      <c r="AB137" s="4">
        <v>319275</v>
      </c>
      <c r="AC137" s="4">
        <v>245723</v>
      </c>
    </row>
    <row r="138" spans="1:29" x14ac:dyDescent="0.25">
      <c r="A138" s="1" t="s">
        <v>142</v>
      </c>
      <c r="B138" s="1" t="s">
        <v>737</v>
      </c>
      <c r="C138" s="1" t="s">
        <v>145</v>
      </c>
      <c r="D138" s="1" t="s">
        <v>544</v>
      </c>
      <c r="E138" s="2">
        <v>36.090000000000003</v>
      </c>
      <c r="F138" s="3">
        <v>488.4</v>
      </c>
      <c r="G138" s="2">
        <v>524.49</v>
      </c>
      <c r="H138" s="2">
        <v>0</v>
      </c>
      <c r="I138" s="4">
        <v>0</v>
      </c>
      <c r="J138" s="3">
        <v>0</v>
      </c>
      <c r="K138" s="4">
        <v>488</v>
      </c>
      <c r="L138" s="2">
        <v>301.01</v>
      </c>
      <c r="M138" s="2">
        <v>56.21</v>
      </c>
      <c r="N138" s="2">
        <v>61.75</v>
      </c>
      <c r="O138" s="2">
        <v>28.24</v>
      </c>
      <c r="P138" s="2">
        <v>3.29</v>
      </c>
      <c r="Q138" s="4">
        <v>157877</v>
      </c>
      <c r="R138" s="4">
        <v>16451</v>
      </c>
      <c r="S138" s="4">
        <v>174328</v>
      </c>
      <c r="T138" s="4">
        <v>27430</v>
      </c>
      <c r="U138" s="4">
        <v>30134</v>
      </c>
      <c r="V138" s="4">
        <v>0</v>
      </c>
      <c r="W138" s="4">
        <v>15806</v>
      </c>
      <c r="X138" s="4">
        <v>1843</v>
      </c>
      <c r="Y138" s="4">
        <v>249541</v>
      </c>
      <c r="Z138" s="4">
        <v>34138</v>
      </c>
      <c r="AA138" s="4">
        <v>215403</v>
      </c>
      <c r="AB138" s="4">
        <v>108340</v>
      </c>
      <c r="AC138" s="4">
        <v>107063</v>
      </c>
    </row>
    <row r="139" spans="1:29" x14ac:dyDescent="0.25">
      <c r="A139" s="1" t="s">
        <v>142</v>
      </c>
      <c r="B139" s="1" t="s">
        <v>737</v>
      </c>
      <c r="C139" s="1" t="s">
        <v>146</v>
      </c>
      <c r="D139" s="1" t="s">
        <v>545</v>
      </c>
      <c r="E139" s="2">
        <v>140.19</v>
      </c>
      <c r="F139" s="3">
        <v>1502.1</v>
      </c>
      <c r="G139" s="2">
        <v>1642.29</v>
      </c>
      <c r="H139" s="2">
        <v>0</v>
      </c>
      <c r="I139" s="4">
        <v>141</v>
      </c>
      <c r="J139" s="3">
        <v>0</v>
      </c>
      <c r="K139" s="4">
        <v>1643</v>
      </c>
      <c r="L139" s="2">
        <v>301.01</v>
      </c>
      <c r="M139" s="2">
        <v>56.21</v>
      </c>
      <c r="N139" s="2">
        <v>61.75</v>
      </c>
      <c r="O139" s="2">
        <v>28.24</v>
      </c>
      <c r="P139" s="2">
        <v>3.29</v>
      </c>
      <c r="Q139" s="4">
        <v>494346</v>
      </c>
      <c r="R139" s="4">
        <v>0</v>
      </c>
      <c r="S139" s="4">
        <v>494346</v>
      </c>
      <c r="T139" s="4">
        <v>92353</v>
      </c>
      <c r="U139" s="4">
        <v>101455</v>
      </c>
      <c r="V139" s="4">
        <v>0</v>
      </c>
      <c r="W139" s="4">
        <v>46378</v>
      </c>
      <c r="X139" s="4">
        <v>5403</v>
      </c>
      <c r="Y139" s="4">
        <v>739935</v>
      </c>
      <c r="Z139" s="4">
        <v>79586</v>
      </c>
      <c r="AA139" s="4">
        <v>660349</v>
      </c>
      <c r="AB139" s="4">
        <v>363060</v>
      </c>
      <c r="AC139" s="4">
        <v>297289</v>
      </c>
    </row>
    <row r="140" spans="1:29" x14ac:dyDescent="0.25">
      <c r="A140" s="1" t="s">
        <v>142</v>
      </c>
      <c r="B140" s="1" t="s">
        <v>737</v>
      </c>
      <c r="C140" s="1" t="s">
        <v>147</v>
      </c>
      <c r="D140" s="1" t="s">
        <v>546</v>
      </c>
      <c r="E140" s="2">
        <v>2521.4499999999998</v>
      </c>
      <c r="F140" s="3">
        <v>16963.2</v>
      </c>
      <c r="G140" s="2">
        <v>19484.650000000001</v>
      </c>
      <c r="H140" s="2">
        <v>0</v>
      </c>
      <c r="I140" s="4">
        <v>1997</v>
      </c>
      <c r="J140" s="3">
        <v>19.3</v>
      </c>
      <c r="K140" s="4">
        <v>18941</v>
      </c>
      <c r="L140" s="2">
        <v>301.01</v>
      </c>
      <c r="M140" s="2">
        <v>56.21</v>
      </c>
      <c r="N140" s="2">
        <v>61.75</v>
      </c>
      <c r="O140" s="2">
        <v>28.24</v>
      </c>
      <c r="P140" s="2">
        <v>3.29</v>
      </c>
      <c r="Q140" s="4">
        <v>5865074</v>
      </c>
      <c r="R140" s="4">
        <v>0</v>
      </c>
      <c r="S140" s="4">
        <v>5865074</v>
      </c>
      <c r="T140" s="4">
        <v>1064674</v>
      </c>
      <c r="U140" s="4">
        <v>1169607</v>
      </c>
      <c r="V140" s="4">
        <v>0</v>
      </c>
      <c r="W140" s="4">
        <v>550247</v>
      </c>
      <c r="X140" s="4">
        <v>64104</v>
      </c>
      <c r="Y140" s="4">
        <v>8713706</v>
      </c>
      <c r="Z140" s="4">
        <v>846317</v>
      </c>
      <c r="AA140" s="4">
        <v>7867389</v>
      </c>
      <c r="AB140" s="4">
        <v>4405381</v>
      </c>
      <c r="AC140" s="4">
        <v>3462008</v>
      </c>
    </row>
    <row r="141" spans="1:29" x14ac:dyDescent="0.25">
      <c r="A141" s="1" t="s">
        <v>142</v>
      </c>
      <c r="B141" s="1" t="s">
        <v>737</v>
      </c>
      <c r="C141" s="1" t="s">
        <v>148</v>
      </c>
      <c r="D141" s="1" t="s">
        <v>547</v>
      </c>
      <c r="E141" s="2">
        <v>131.58000000000001</v>
      </c>
      <c r="F141" s="3">
        <v>1331.4</v>
      </c>
      <c r="G141" s="2">
        <v>1462.98</v>
      </c>
      <c r="H141" s="2">
        <v>0</v>
      </c>
      <c r="I141" s="4">
        <v>7</v>
      </c>
      <c r="J141" s="3">
        <v>0</v>
      </c>
      <c r="K141" s="4">
        <v>1338</v>
      </c>
      <c r="L141" s="2">
        <v>301.01</v>
      </c>
      <c r="M141" s="2">
        <v>56.21</v>
      </c>
      <c r="N141" s="2">
        <v>61.75</v>
      </c>
      <c r="O141" s="2">
        <v>28.24</v>
      </c>
      <c r="P141" s="2">
        <v>3.29</v>
      </c>
      <c r="Q141" s="4">
        <v>440372</v>
      </c>
      <c r="R141" s="4">
        <v>0</v>
      </c>
      <c r="S141" s="4">
        <v>440372</v>
      </c>
      <c r="T141" s="4">
        <v>75209</v>
      </c>
      <c r="U141" s="4">
        <v>82622</v>
      </c>
      <c r="V141" s="4">
        <v>0</v>
      </c>
      <c r="W141" s="4">
        <v>41315</v>
      </c>
      <c r="X141" s="4">
        <v>4813</v>
      </c>
      <c r="Y141" s="4">
        <v>644331</v>
      </c>
      <c r="Z141" s="4">
        <v>46594</v>
      </c>
      <c r="AA141" s="4">
        <v>597737</v>
      </c>
      <c r="AB141" s="4">
        <v>347723</v>
      </c>
      <c r="AC141" s="4">
        <v>250014</v>
      </c>
    </row>
    <row r="142" spans="1:29" x14ac:dyDescent="0.25">
      <c r="A142" s="1" t="s">
        <v>142</v>
      </c>
      <c r="B142" s="1" t="s">
        <v>737</v>
      </c>
      <c r="C142" s="1" t="s">
        <v>149</v>
      </c>
      <c r="D142" s="1" t="s">
        <v>548</v>
      </c>
      <c r="E142" s="2">
        <v>36.25</v>
      </c>
      <c r="F142" s="3">
        <v>458.9</v>
      </c>
      <c r="G142" s="2">
        <v>495.15</v>
      </c>
      <c r="H142" s="2">
        <v>0</v>
      </c>
      <c r="I142" s="4">
        <v>2</v>
      </c>
      <c r="J142" s="3">
        <v>0</v>
      </c>
      <c r="K142" s="4">
        <v>461</v>
      </c>
      <c r="L142" s="2">
        <v>301.01</v>
      </c>
      <c r="M142" s="2">
        <v>56.21</v>
      </c>
      <c r="N142" s="2">
        <v>61.75</v>
      </c>
      <c r="O142" s="2">
        <v>28.24</v>
      </c>
      <c r="P142" s="2">
        <v>3.29</v>
      </c>
      <c r="Q142" s="4">
        <v>149045</v>
      </c>
      <c r="R142" s="4">
        <v>4942</v>
      </c>
      <c r="S142" s="4">
        <v>153987</v>
      </c>
      <c r="T142" s="4">
        <v>25913</v>
      </c>
      <c r="U142" s="4">
        <v>28467</v>
      </c>
      <c r="V142" s="4">
        <v>0</v>
      </c>
      <c r="W142" s="4">
        <v>14415</v>
      </c>
      <c r="X142" s="4">
        <v>1681</v>
      </c>
      <c r="Y142" s="4">
        <v>224463</v>
      </c>
      <c r="Z142" s="4">
        <v>23775</v>
      </c>
      <c r="AA142" s="4">
        <v>200688</v>
      </c>
      <c r="AB142" s="4">
        <v>110167</v>
      </c>
      <c r="AC142" s="4">
        <v>90521</v>
      </c>
    </row>
    <row r="143" spans="1:29" x14ac:dyDescent="0.25">
      <c r="A143" s="1" t="s">
        <v>142</v>
      </c>
      <c r="B143" s="1" t="s">
        <v>737</v>
      </c>
      <c r="C143" s="1" t="s">
        <v>150</v>
      </c>
      <c r="D143" s="1" t="s">
        <v>549</v>
      </c>
      <c r="E143" s="2">
        <v>270.27</v>
      </c>
      <c r="F143" s="3">
        <v>2381.6999999999998</v>
      </c>
      <c r="G143" s="2">
        <v>2651.97</v>
      </c>
      <c r="H143" s="2">
        <v>0</v>
      </c>
      <c r="I143" s="4">
        <v>36</v>
      </c>
      <c r="J143" s="3">
        <v>0</v>
      </c>
      <c r="K143" s="4">
        <v>2418</v>
      </c>
      <c r="L143" s="2">
        <v>301.01</v>
      </c>
      <c r="M143" s="2">
        <v>56.21</v>
      </c>
      <c r="N143" s="2">
        <v>61.75</v>
      </c>
      <c r="O143" s="2">
        <v>28.24</v>
      </c>
      <c r="P143" s="2">
        <v>3.29</v>
      </c>
      <c r="Q143" s="4">
        <v>798269</v>
      </c>
      <c r="R143" s="4">
        <v>0</v>
      </c>
      <c r="S143" s="4">
        <v>798269</v>
      </c>
      <c r="T143" s="4">
        <v>135916</v>
      </c>
      <c r="U143" s="4">
        <v>149312</v>
      </c>
      <c r="V143" s="4">
        <v>0</v>
      </c>
      <c r="W143" s="4">
        <v>74892</v>
      </c>
      <c r="X143" s="4">
        <v>8725</v>
      </c>
      <c r="Y143" s="4">
        <v>1167114</v>
      </c>
      <c r="Z143" s="4">
        <v>54531</v>
      </c>
      <c r="AA143" s="4">
        <v>1112583</v>
      </c>
      <c r="AB143" s="4">
        <v>660255</v>
      </c>
      <c r="AC143" s="4">
        <v>452328</v>
      </c>
    </row>
    <row r="144" spans="1:29" x14ac:dyDescent="0.25">
      <c r="A144" s="1" t="s">
        <v>142</v>
      </c>
      <c r="B144" s="1" t="s">
        <v>737</v>
      </c>
      <c r="C144" s="1" t="s">
        <v>151</v>
      </c>
      <c r="D144" s="1" t="s">
        <v>550</v>
      </c>
      <c r="E144" s="2">
        <v>603.58000000000004</v>
      </c>
      <c r="F144" s="3">
        <v>5139.6000000000004</v>
      </c>
      <c r="G144" s="2">
        <v>5743.18</v>
      </c>
      <c r="H144" s="2">
        <v>0</v>
      </c>
      <c r="I144" s="4">
        <v>110</v>
      </c>
      <c r="J144" s="3">
        <v>0</v>
      </c>
      <c r="K144" s="4">
        <v>5250</v>
      </c>
      <c r="L144" s="2">
        <v>301.01</v>
      </c>
      <c r="M144" s="2">
        <v>56.21</v>
      </c>
      <c r="N144" s="2">
        <v>61.75</v>
      </c>
      <c r="O144" s="2">
        <v>28.24</v>
      </c>
      <c r="P144" s="2">
        <v>3.29</v>
      </c>
      <c r="Q144" s="4">
        <v>1728755</v>
      </c>
      <c r="R144" s="4">
        <v>0</v>
      </c>
      <c r="S144" s="4">
        <v>1728755</v>
      </c>
      <c r="T144" s="4">
        <v>295103</v>
      </c>
      <c r="U144" s="4">
        <v>324188</v>
      </c>
      <c r="V144" s="4">
        <v>0</v>
      </c>
      <c r="W144" s="4">
        <v>162187</v>
      </c>
      <c r="X144" s="4">
        <v>18895</v>
      </c>
      <c r="Y144" s="4">
        <v>2529128</v>
      </c>
      <c r="Z144" s="4">
        <v>142066</v>
      </c>
      <c r="AA144" s="4">
        <v>2387062</v>
      </c>
      <c r="AB144" s="4">
        <v>1405893</v>
      </c>
      <c r="AC144" s="4">
        <v>981169</v>
      </c>
    </row>
    <row r="145" spans="1:29" x14ac:dyDescent="0.25">
      <c r="A145" s="1" t="s">
        <v>142</v>
      </c>
      <c r="B145" s="1" t="s">
        <v>737</v>
      </c>
      <c r="C145" s="1" t="s">
        <v>152</v>
      </c>
      <c r="D145" s="1" t="s">
        <v>551</v>
      </c>
      <c r="E145" s="2">
        <v>63.54</v>
      </c>
      <c r="F145" s="3">
        <v>467.7</v>
      </c>
      <c r="G145" s="2">
        <v>531.24</v>
      </c>
      <c r="H145" s="2">
        <v>0</v>
      </c>
      <c r="I145" s="4">
        <v>3</v>
      </c>
      <c r="J145" s="3">
        <v>0</v>
      </c>
      <c r="K145" s="4">
        <v>471</v>
      </c>
      <c r="L145" s="2">
        <v>301.01</v>
      </c>
      <c r="M145" s="2">
        <v>56.21</v>
      </c>
      <c r="N145" s="2">
        <v>61.75</v>
      </c>
      <c r="O145" s="2">
        <v>28.24</v>
      </c>
      <c r="P145" s="2">
        <v>3.29</v>
      </c>
      <c r="Q145" s="4">
        <v>159909</v>
      </c>
      <c r="R145" s="4">
        <v>15277</v>
      </c>
      <c r="S145" s="4">
        <v>175186</v>
      </c>
      <c r="T145" s="4">
        <v>26475</v>
      </c>
      <c r="U145" s="4">
        <v>29084</v>
      </c>
      <c r="V145" s="4">
        <v>0</v>
      </c>
      <c r="W145" s="4">
        <v>15002</v>
      </c>
      <c r="X145" s="4">
        <v>1748</v>
      </c>
      <c r="Y145" s="4">
        <v>247495</v>
      </c>
      <c r="Z145" s="4">
        <v>31450</v>
      </c>
      <c r="AA145" s="4">
        <v>216045</v>
      </c>
      <c r="AB145" s="4">
        <v>111735</v>
      </c>
      <c r="AC145" s="4">
        <v>104310</v>
      </c>
    </row>
    <row r="146" spans="1:29" x14ac:dyDescent="0.25">
      <c r="A146" s="1" t="s">
        <v>142</v>
      </c>
      <c r="B146" s="1" t="s">
        <v>737</v>
      </c>
      <c r="C146" s="1" t="s">
        <v>154</v>
      </c>
      <c r="D146" s="1" t="s">
        <v>155</v>
      </c>
      <c r="E146" s="2">
        <v>49.17</v>
      </c>
      <c r="F146" s="3">
        <v>351.8</v>
      </c>
      <c r="G146" s="2">
        <v>400.97</v>
      </c>
      <c r="H146" s="2">
        <v>0</v>
      </c>
      <c r="I146" s="4">
        <v>9</v>
      </c>
      <c r="J146" s="3">
        <v>0</v>
      </c>
      <c r="K146" s="4">
        <v>361</v>
      </c>
      <c r="L146" s="2">
        <v>301.01</v>
      </c>
      <c r="M146" s="2">
        <v>56.21</v>
      </c>
      <c r="N146" s="2">
        <v>61.75</v>
      </c>
      <c r="O146" s="2">
        <v>28.24</v>
      </c>
      <c r="P146" s="2">
        <v>3.29</v>
      </c>
      <c r="Q146" s="4">
        <v>120696</v>
      </c>
      <c r="R146" s="4">
        <v>0</v>
      </c>
      <c r="S146" s="4">
        <v>120696</v>
      </c>
      <c r="T146" s="4">
        <v>20292</v>
      </c>
      <c r="U146" s="4">
        <v>22292</v>
      </c>
      <c r="V146" s="4">
        <v>0</v>
      </c>
      <c r="W146" s="4">
        <v>11323</v>
      </c>
      <c r="X146" s="4">
        <v>1319</v>
      </c>
      <c r="Y146" s="4">
        <v>175922</v>
      </c>
      <c r="Z146" s="4">
        <v>19800</v>
      </c>
      <c r="AA146" s="4">
        <v>156122</v>
      </c>
      <c r="AB146" s="4">
        <v>88273</v>
      </c>
      <c r="AC146" s="4">
        <v>67849</v>
      </c>
    </row>
    <row r="147" spans="1:29" x14ac:dyDescent="0.25">
      <c r="A147" s="1" t="s">
        <v>142</v>
      </c>
      <c r="B147" s="1" t="s">
        <v>737</v>
      </c>
      <c r="C147" s="1" t="s">
        <v>153</v>
      </c>
      <c r="D147" s="1" t="s">
        <v>552</v>
      </c>
      <c r="E147" s="2">
        <v>73.400000000000006</v>
      </c>
      <c r="F147" s="3">
        <v>631.79999999999995</v>
      </c>
      <c r="G147" s="2">
        <v>705.2</v>
      </c>
      <c r="H147" s="2">
        <v>0</v>
      </c>
      <c r="I147" s="4">
        <v>11</v>
      </c>
      <c r="J147" s="3">
        <v>0</v>
      </c>
      <c r="K147" s="4">
        <v>643</v>
      </c>
      <c r="L147" s="2">
        <v>301.01</v>
      </c>
      <c r="M147" s="2">
        <v>56.21</v>
      </c>
      <c r="N147" s="2">
        <v>61.75</v>
      </c>
      <c r="O147" s="2">
        <v>28.24</v>
      </c>
      <c r="P147" s="2">
        <v>3.29</v>
      </c>
      <c r="Q147" s="4">
        <v>212272</v>
      </c>
      <c r="R147" s="4">
        <v>0</v>
      </c>
      <c r="S147" s="4">
        <v>212272</v>
      </c>
      <c r="T147" s="4">
        <v>36143</v>
      </c>
      <c r="U147" s="4">
        <v>39705</v>
      </c>
      <c r="V147" s="4">
        <v>0</v>
      </c>
      <c r="W147" s="4">
        <v>19915</v>
      </c>
      <c r="X147" s="4">
        <v>2320</v>
      </c>
      <c r="Y147" s="4">
        <v>310355</v>
      </c>
      <c r="Z147" s="4">
        <v>28769</v>
      </c>
      <c r="AA147" s="4">
        <v>281586</v>
      </c>
      <c r="AB147" s="4">
        <v>161304</v>
      </c>
      <c r="AC147" s="4">
        <v>120282</v>
      </c>
    </row>
    <row r="148" spans="1:29" x14ac:dyDescent="0.25">
      <c r="A148" s="1" t="s">
        <v>142</v>
      </c>
      <c r="B148" s="1" t="s">
        <v>737</v>
      </c>
      <c r="C148" s="1" t="s">
        <v>156</v>
      </c>
      <c r="D148" s="1" t="s">
        <v>553</v>
      </c>
      <c r="E148" s="2">
        <v>1394.88</v>
      </c>
      <c r="F148" s="3">
        <v>14285</v>
      </c>
      <c r="G148" s="2">
        <v>15679.88</v>
      </c>
      <c r="H148" s="2">
        <v>0</v>
      </c>
      <c r="I148" s="4">
        <v>985</v>
      </c>
      <c r="J148" s="3">
        <v>5.0999999999999996</v>
      </c>
      <c r="K148" s="4">
        <v>15265</v>
      </c>
      <c r="L148" s="2">
        <v>301.01</v>
      </c>
      <c r="M148" s="2">
        <v>56.21</v>
      </c>
      <c r="N148" s="2">
        <v>61.75</v>
      </c>
      <c r="O148" s="2">
        <v>28.24</v>
      </c>
      <c r="P148" s="2">
        <v>3.29</v>
      </c>
      <c r="Q148" s="4">
        <v>4719801</v>
      </c>
      <c r="R148" s="4">
        <v>0</v>
      </c>
      <c r="S148" s="4">
        <v>4719801</v>
      </c>
      <c r="T148" s="4">
        <v>858046</v>
      </c>
      <c r="U148" s="4">
        <v>942614</v>
      </c>
      <c r="V148" s="4">
        <v>0</v>
      </c>
      <c r="W148" s="4">
        <v>442800</v>
      </c>
      <c r="X148" s="4">
        <v>51587</v>
      </c>
      <c r="Y148" s="4">
        <v>7014848</v>
      </c>
      <c r="Z148" s="4">
        <v>485100</v>
      </c>
      <c r="AA148" s="4">
        <v>6529748</v>
      </c>
      <c r="AB148" s="4">
        <v>3741098</v>
      </c>
      <c r="AC148" s="4">
        <v>2788650</v>
      </c>
    </row>
    <row r="149" spans="1:29" x14ac:dyDescent="0.25">
      <c r="A149" s="1" t="s">
        <v>142</v>
      </c>
      <c r="B149" s="1" t="s">
        <v>737</v>
      </c>
      <c r="C149" s="1" t="s">
        <v>157</v>
      </c>
      <c r="D149" s="1" t="s">
        <v>554</v>
      </c>
      <c r="E149" s="2">
        <v>60.8</v>
      </c>
      <c r="F149" s="3">
        <v>550.1</v>
      </c>
      <c r="G149" s="2">
        <v>610.9</v>
      </c>
      <c r="H149" s="2">
        <v>0</v>
      </c>
      <c r="I149" s="4">
        <v>2</v>
      </c>
      <c r="J149" s="3">
        <v>0</v>
      </c>
      <c r="K149" s="4">
        <v>552</v>
      </c>
      <c r="L149" s="2">
        <v>301.01</v>
      </c>
      <c r="M149" s="2">
        <v>56.21</v>
      </c>
      <c r="N149" s="2">
        <v>61.75</v>
      </c>
      <c r="O149" s="2">
        <v>28.24</v>
      </c>
      <c r="P149" s="2">
        <v>3.29</v>
      </c>
      <c r="Q149" s="4">
        <v>183887</v>
      </c>
      <c r="R149" s="4">
        <v>3721</v>
      </c>
      <c r="S149" s="4">
        <v>187608</v>
      </c>
      <c r="T149" s="4">
        <v>31028</v>
      </c>
      <c r="U149" s="4">
        <v>34086</v>
      </c>
      <c r="V149" s="4">
        <v>0</v>
      </c>
      <c r="W149" s="4">
        <v>17252</v>
      </c>
      <c r="X149" s="4">
        <v>2010</v>
      </c>
      <c r="Y149" s="4">
        <v>271984</v>
      </c>
      <c r="Z149" s="4">
        <v>30923</v>
      </c>
      <c r="AA149" s="4">
        <v>241061</v>
      </c>
      <c r="AB149" s="4">
        <v>133733</v>
      </c>
      <c r="AC149" s="4">
        <v>107328</v>
      </c>
    </row>
    <row r="150" spans="1:29" x14ac:dyDescent="0.25">
      <c r="A150" s="1" t="s">
        <v>142</v>
      </c>
      <c r="B150" s="1" t="s">
        <v>737</v>
      </c>
      <c r="C150" s="1" t="s">
        <v>158</v>
      </c>
      <c r="D150" s="1" t="s">
        <v>555</v>
      </c>
      <c r="E150" s="2">
        <v>719.61</v>
      </c>
      <c r="F150" s="3">
        <v>7556.7</v>
      </c>
      <c r="G150" s="2">
        <v>8276.31</v>
      </c>
      <c r="H150" s="2">
        <v>0</v>
      </c>
      <c r="I150" s="4">
        <v>440</v>
      </c>
      <c r="J150" s="3">
        <v>0</v>
      </c>
      <c r="K150" s="4">
        <v>7997</v>
      </c>
      <c r="L150" s="2">
        <v>301.01</v>
      </c>
      <c r="M150" s="2">
        <v>56.21</v>
      </c>
      <c r="N150" s="2">
        <v>61.75</v>
      </c>
      <c r="O150" s="2">
        <v>28.24</v>
      </c>
      <c r="P150" s="2">
        <v>3.29</v>
      </c>
      <c r="Q150" s="4">
        <v>2491252</v>
      </c>
      <c r="R150" s="4">
        <v>0</v>
      </c>
      <c r="S150" s="4">
        <v>2491252</v>
      </c>
      <c r="T150" s="4">
        <v>449511</v>
      </c>
      <c r="U150" s="4">
        <v>493815</v>
      </c>
      <c r="V150" s="4">
        <v>0</v>
      </c>
      <c r="W150" s="4">
        <v>233723</v>
      </c>
      <c r="X150" s="4">
        <v>27229</v>
      </c>
      <c r="Y150" s="4">
        <v>3695530</v>
      </c>
      <c r="Z150" s="4">
        <v>225812</v>
      </c>
      <c r="AA150" s="4">
        <v>3469718</v>
      </c>
      <c r="AB150" s="4">
        <v>2004902</v>
      </c>
      <c r="AC150" s="4">
        <v>1464816</v>
      </c>
    </row>
    <row r="151" spans="1:29" x14ac:dyDescent="0.25">
      <c r="A151" s="1" t="s">
        <v>142</v>
      </c>
      <c r="B151" s="1" t="s">
        <v>737</v>
      </c>
      <c r="C151" s="1" t="s">
        <v>159</v>
      </c>
      <c r="D151" s="1" t="s">
        <v>556</v>
      </c>
      <c r="E151" s="2">
        <v>31.35</v>
      </c>
      <c r="F151" s="3">
        <v>636.79999999999995</v>
      </c>
      <c r="G151" s="2">
        <v>668.15</v>
      </c>
      <c r="H151" s="2">
        <v>0</v>
      </c>
      <c r="I151" s="4">
        <v>6</v>
      </c>
      <c r="J151" s="3">
        <v>0</v>
      </c>
      <c r="K151" s="4">
        <v>643</v>
      </c>
      <c r="L151" s="2">
        <v>301.01</v>
      </c>
      <c r="M151" s="2">
        <v>56.21</v>
      </c>
      <c r="N151" s="2">
        <v>61.75</v>
      </c>
      <c r="O151" s="2">
        <v>28.24</v>
      </c>
      <c r="P151" s="2">
        <v>3.29</v>
      </c>
      <c r="Q151" s="4">
        <v>201120</v>
      </c>
      <c r="R151" s="4">
        <v>7024</v>
      </c>
      <c r="S151" s="4">
        <v>208144</v>
      </c>
      <c r="T151" s="4">
        <v>36143</v>
      </c>
      <c r="U151" s="4">
        <v>39705</v>
      </c>
      <c r="V151" s="4">
        <v>0</v>
      </c>
      <c r="W151" s="4">
        <v>18869</v>
      </c>
      <c r="X151" s="4">
        <v>2198</v>
      </c>
      <c r="Y151" s="4">
        <v>305059</v>
      </c>
      <c r="Z151" s="4">
        <v>27550</v>
      </c>
      <c r="AA151" s="4">
        <v>277509</v>
      </c>
      <c r="AB151" s="4">
        <v>152537</v>
      </c>
      <c r="AC151" s="4">
        <v>124972</v>
      </c>
    </row>
    <row r="152" spans="1:29" x14ac:dyDescent="0.25">
      <c r="A152" s="1" t="s">
        <v>142</v>
      </c>
      <c r="B152" s="1" t="s">
        <v>737</v>
      </c>
      <c r="C152" s="1" t="s">
        <v>160</v>
      </c>
      <c r="D152" s="1" t="s">
        <v>557</v>
      </c>
      <c r="E152" s="2">
        <v>29.94</v>
      </c>
      <c r="F152" s="3">
        <v>363.7</v>
      </c>
      <c r="G152" s="2">
        <v>393.64</v>
      </c>
      <c r="H152" s="2">
        <v>0</v>
      </c>
      <c r="I152" s="4">
        <v>7</v>
      </c>
      <c r="J152" s="3">
        <v>0</v>
      </c>
      <c r="K152" s="4">
        <v>371</v>
      </c>
      <c r="L152" s="2">
        <v>301.01</v>
      </c>
      <c r="M152" s="2">
        <v>56.21</v>
      </c>
      <c r="N152" s="2">
        <v>61.75</v>
      </c>
      <c r="O152" s="2">
        <v>28.24</v>
      </c>
      <c r="P152" s="2">
        <v>3.29</v>
      </c>
      <c r="Q152" s="4">
        <v>118490</v>
      </c>
      <c r="R152" s="4">
        <v>10108</v>
      </c>
      <c r="S152" s="4">
        <v>128598</v>
      </c>
      <c r="T152" s="4">
        <v>20854</v>
      </c>
      <c r="U152" s="4">
        <v>22909</v>
      </c>
      <c r="V152" s="4">
        <v>0</v>
      </c>
      <c r="W152" s="4">
        <v>11116</v>
      </c>
      <c r="X152" s="4">
        <v>1295</v>
      </c>
      <c r="Y152" s="4">
        <v>184772</v>
      </c>
      <c r="Z152" s="4">
        <v>18559</v>
      </c>
      <c r="AA152" s="4">
        <v>166213</v>
      </c>
      <c r="AB152" s="4">
        <v>87538</v>
      </c>
      <c r="AC152" s="4">
        <v>78675</v>
      </c>
    </row>
    <row r="153" spans="1:29" x14ac:dyDescent="0.25">
      <c r="A153" s="1" t="s">
        <v>142</v>
      </c>
      <c r="B153" s="1" t="s">
        <v>737</v>
      </c>
      <c r="C153" s="1" t="s">
        <v>161</v>
      </c>
      <c r="D153" s="1" t="s">
        <v>558</v>
      </c>
      <c r="E153" s="2">
        <v>222.03</v>
      </c>
      <c r="F153" s="3">
        <v>1931.9</v>
      </c>
      <c r="G153" s="2">
        <v>2153.9299999999998</v>
      </c>
      <c r="H153" s="2">
        <v>0</v>
      </c>
      <c r="I153" s="4">
        <v>75</v>
      </c>
      <c r="J153" s="3">
        <v>0</v>
      </c>
      <c r="K153" s="4">
        <v>2007</v>
      </c>
      <c r="L153" s="2">
        <v>301.01</v>
      </c>
      <c r="M153" s="2">
        <v>56.21</v>
      </c>
      <c r="N153" s="2">
        <v>61.75</v>
      </c>
      <c r="O153" s="2">
        <v>28.24</v>
      </c>
      <c r="P153" s="2">
        <v>3.29</v>
      </c>
      <c r="Q153" s="4">
        <v>648354</v>
      </c>
      <c r="R153" s="4">
        <v>0</v>
      </c>
      <c r="S153" s="4">
        <v>648354</v>
      </c>
      <c r="T153" s="4">
        <v>112813</v>
      </c>
      <c r="U153" s="4">
        <v>123932</v>
      </c>
      <c r="V153" s="4">
        <v>0</v>
      </c>
      <c r="W153" s="4">
        <v>60827</v>
      </c>
      <c r="X153" s="4">
        <v>7086</v>
      </c>
      <c r="Y153" s="4">
        <v>953012</v>
      </c>
      <c r="Z153" s="4">
        <v>80131</v>
      </c>
      <c r="AA153" s="4">
        <v>872881</v>
      </c>
      <c r="AB153" s="4">
        <v>500417</v>
      </c>
      <c r="AC153" s="4">
        <v>372464</v>
      </c>
    </row>
    <row r="154" spans="1:29" x14ac:dyDescent="0.25">
      <c r="A154" s="1" t="s">
        <v>142</v>
      </c>
      <c r="B154" s="1" t="s">
        <v>737</v>
      </c>
      <c r="C154" s="1" t="s">
        <v>162</v>
      </c>
      <c r="D154" s="1" t="s">
        <v>559</v>
      </c>
      <c r="E154" s="2">
        <v>161</v>
      </c>
      <c r="F154" s="3">
        <v>1259</v>
      </c>
      <c r="G154" s="2">
        <v>1420</v>
      </c>
      <c r="H154" s="2">
        <v>0</v>
      </c>
      <c r="I154" s="4">
        <v>50</v>
      </c>
      <c r="J154" s="3">
        <v>0</v>
      </c>
      <c r="K154" s="4">
        <v>1309</v>
      </c>
      <c r="L154" s="2">
        <v>301.01</v>
      </c>
      <c r="M154" s="2">
        <v>56.21</v>
      </c>
      <c r="N154" s="2">
        <v>61.75</v>
      </c>
      <c r="O154" s="2">
        <v>28.24</v>
      </c>
      <c r="P154" s="2">
        <v>3.29</v>
      </c>
      <c r="Q154" s="4">
        <v>427434</v>
      </c>
      <c r="R154" s="4">
        <v>0</v>
      </c>
      <c r="S154" s="4">
        <v>427434</v>
      </c>
      <c r="T154" s="4">
        <v>73579</v>
      </c>
      <c r="U154" s="4">
        <v>80831</v>
      </c>
      <c r="V154" s="4">
        <v>0</v>
      </c>
      <c r="W154" s="4">
        <v>40101</v>
      </c>
      <c r="X154" s="4">
        <v>4672</v>
      </c>
      <c r="Y154" s="4">
        <v>626617</v>
      </c>
      <c r="Z154" s="4">
        <v>55121</v>
      </c>
      <c r="AA154" s="4">
        <v>571496</v>
      </c>
      <c r="AB154" s="4">
        <v>327612</v>
      </c>
      <c r="AC154" s="4">
        <v>243884</v>
      </c>
    </row>
    <row r="155" spans="1:29" x14ac:dyDescent="0.25">
      <c r="A155" s="1" t="s">
        <v>142</v>
      </c>
      <c r="B155" s="1" t="s">
        <v>737</v>
      </c>
      <c r="C155" s="1" t="s">
        <v>163</v>
      </c>
      <c r="D155" s="1" t="s">
        <v>560</v>
      </c>
      <c r="E155" s="2">
        <v>80.8</v>
      </c>
      <c r="F155" s="3">
        <v>535.5</v>
      </c>
      <c r="G155" s="2">
        <v>616.29999999999995</v>
      </c>
      <c r="H155" s="2">
        <v>0</v>
      </c>
      <c r="I155" s="4">
        <v>9</v>
      </c>
      <c r="J155" s="3">
        <v>0</v>
      </c>
      <c r="K155" s="4">
        <v>545</v>
      </c>
      <c r="L155" s="2">
        <v>301.01</v>
      </c>
      <c r="M155" s="2">
        <v>56.21</v>
      </c>
      <c r="N155" s="2">
        <v>61.75</v>
      </c>
      <c r="O155" s="2">
        <v>28.24</v>
      </c>
      <c r="P155" s="2">
        <v>3.29</v>
      </c>
      <c r="Q155" s="4">
        <v>185512</v>
      </c>
      <c r="R155" s="4">
        <v>0</v>
      </c>
      <c r="S155" s="4">
        <v>185512</v>
      </c>
      <c r="T155" s="4">
        <v>30634</v>
      </c>
      <c r="U155" s="4">
        <v>33654</v>
      </c>
      <c r="V155" s="4">
        <v>0</v>
      </c>
      <c r="W155" s="4">
        <v>17404</v>
      </c>
      <c r="X155" s="4">
        <v>2028</v>
      </c>
      <c r="Y155" s="4">
        <v>269232</v>
      </c>
      <c r="Z155" s="4">
        <v>35327</v>
      </c>
      <c r="AA155" s="4">
        <v>233905</v>
      </c>
      <c r="AB155" s="4">
        <v>130784</v>
      </c>
      <c r="AC155" s="4">
        <v>103121</v>
      </c>
    </row>
    <row r="156" spans="1:29" x14ac:dyDescent="0.25">
      <c r="A156" s="1" t="s">
        <v>142</v>
      </c>
      <c r="B156" s="1" t="s">
        <v>737</v>
      </c>
      <c r="C156" s="1" t="s">
        <v>164</v>
      </c>
      <c r="D156" s="1" t="s">
        <v>561</v>
      </c>
      <c r="E156" s="2">
        <v>125.55</v>
      </c>
      <c r="F156" s="3">
        <v>962.3</v>
      </c>
      <c r="G156" s="2">
        <v>1087.8499999999999</v>
      </c>
      <c r="H156" s="2">
        <v>0</v>
      </c>
      <c r="I156" s="4">
        <v>77</v>
      </c>
      <c r="J156" s="3">
        <v>3.3</v>
      </c>
      <c r="K156" s="4">
        <v>1036</v>
      </c>
      <c r="L156" s="2">
        <v>301.01</v>
      </c>
      <c r="M156" s="2">
        <v>56.21</v>
      </c>
      <c r="N156" s="2">
        <v>61.75</v>
      </c>
      <c r="O156" s="2">
        <v>28.24</v>
      </c>
      <c r="P156" s="2">
        <v>3.29</v>
      </c>
      <c r="Q156" s="4">
        <v>327454</v>
      </c>
      <c r="R156" s="4">
        <v>18259</v>
      </c>
      <c r="S156" s="4">
        <v>345713</v>
      </c>
      <c r="T156" s="4">
        <v>58234</v>
      </c>
      <c r="U156" s="4">
        <v>63973</v>
      </c>
      <c r="V156" s="4">
        <v>0</v>
      </c>
      <c r="W156" s="4">
        <v>30909</v>
      </c>
      <c r="X156" s="4">
        <v>3605</v>
      </c>
      <c r="Y156" s="4">
        <v>502434</v>
      </c>
      <c r="Z156" s="4">
        <v>48152</v>
      </c>
      <c r="AA156" s="4">
        <v>454282</v>
      </c>
      <c r="AB156" s="4">
        <v>245270</v>
      </c>
      <c r="AC156" s="4">
        <v>209012</v>
      </c>
    </row>
    <row r="157" spans="1:29" x14ac:dyDescent="0.25">
      <c r="A157" s="1" t="s">
        <v>142</v>
      </c>
      <c r="B157" s="1" t="s">
        <v>737</v>
      </c>
      <c r="C157" s="1" t="s">
        <v>165</v>
      </c>
      <c r="D157" s="1" t="s">
        <v>562</v>
      </c>
      <c r="E157" s="2">
        <v>69.349999999999994</v>
      </c>
      <c r="F157" s="3">
        <v>1121.8</v>
      </c>
      <c r="G157" s="2">
        <v>1191.1500000000001</v>
      </c>
      <c r="H157" s="2">
        <v>0</v>
      </c>
      <c r="I157" s="4">
        <v>25</v>
      </c>
      <c r="J157" s="3">
        <v>0</v>
      </c>
      <c r="K157" s="4">
        <v>1147</v>
      </c>
      <c r="L157" s="2">
        <v>301.01</v>
      </c>
      <c r="M157" s="2">
        <v>56.21</v>
      </c>
      <c r="N157" s="2">
        <v>61.75</v>
      </c>
      <c r="O157" s="2">
        <v>28.24</v>
      </c>
      <c r="P157" s="2">
        <v>3.29</v>
      </c>
      <c r="Q157" s="4">
        <v>358548</v>
      </c>
      <c r="R157" s="4">
        <v>0</v>
      </c>
      <c r="S157" s="4">
        <v>358548</v>
      </c>
      <c r="T157" s="4">
        <v>64473</v>
      </c>
      <c r="U157" s="4">
        <v>70827</v>
      </c>
      <c r="V157" s="4">
        <v>0</v>
      </c>
      <c r="W157" s="4">
        <v>33638</v>
      </c>
      <c r="X157" s="4">
        <v>3919</v>
      </c>
      <c r="Y157" s="4">
        <v>531405</v>
      </c>
      <c r="Z157" s="4">
        <v>45951</v>
      </c>
      <c r="AA157" s="4">
        <v>485454</v>
      </c>
      <c r="AB157" s="4">
        <v>275100</v>
      </c>
      <c r="AC157" s="4">
        <v>210354</v>
      </c>
    </row>
    <row r="158" spans="1:29" x14ac:dyDescent="0.25">
      <c r="A158" s="1" t="s">
        <v>142</v>
      </c>
      <c r="B158" s="1" t="s">
        <v>737</v>
      </c>
      <c r="C158" s="1" t="s">
        <v>166</v>
      </c>
      <c r="D158" s="1" t="s">
        <v>563</v>
      </c>
      <c r="E158" s="2">
        <v>113.79</v>
      </c>
      <c r="F158" s="3">
        <v>774.3</v>
      </c>
      <c r="G158" s="2">
        <v>888.09</v>
      </c>
      <c r="H158" s="2">
        <v>0</v>
      </c>
      <c r="I158" s="4">
        <v>1</v>
      </c>
      <c r="J158" s="3">
        <v>0</v>
      </c>
      <c r="K158" s="4">
        <v>775</v>
      </c>
      <c r="L158" s="2">
        <v>301.01</v>
      </c>
      <c r="M158" s="2">
        <v>56.21</v>
      </c>
      <c r="N158" s="2">
        <v>61.75</v>
      </c>
      <c r="O158" s="2">
        <v>28.24</v>
      </c>
      <c r="P158" s="2">
        <v>3.29</v>
      </c>
      <c r="Q158" s="4">
        <v>267324</v>
      </c>
      <c r="R158" s="4">
        <v>13700</v>
      </c>
      <c r="S158" s="4">
        <v>281024</v>
      </c>
      <c r="T158" s="4">
        <v>43563</v>
      </c>
      <c r="U158" s="4">
        <v>47856</v>
      </c>
      <c r="V158" s="4">
        <v>0</v>
      </c>
      <c r="W158" s="4">
        <v>25629</v>
      </c>
      <c r="X158" s="4">
        <v>2989</v>
      </c>
      <c r="Y158" s="4">
        <v>401061</v>
      </c>
      <c r="Z158" s="4">
        <v>44471</v>
      </c>
      <c r="AA158" s="4">
        <v>356590</v>
      </c>
      <c r="AB158" s="4">
        <v>195512</v>
      </c>
      <c r="AC158" s="4">
        <v>161078</v>
      </c>
    </row>
    <row r="159" spans="1:29" x14ac:dyDescent="0.25">
      <c r="A159" s="1" t="s">
        <v>142</v>
      </c>
      <c r="B159" s="1" t="s">
        <v>737</v>
      </c>
      <c r="C159" s="1" t="s">
        <v>167</v>
      </c>
      <c r="D159" s="1" t="s">
        <v>564</v>
      </c>
      <c r="E159" s="2">
        <v>50.36</v>
      </c>
      <c r="F159" s="3">
        <v>618.20000000000005</v>
      </c>
      <c r="G159" s="2">
        <v>668.56</v>
      </c>
      <c r="H159" s="2">
        <v>0</v>
      </c>
      <c r="I159" s="4">
        <v>1</v>
      </c>
      <c r="J159" s="3">
        <v>0</v>
      </c>
      <c r="K159" s="4">
        <v>619</v>
      </c>
      <c r="L159" s="2">
        <v>301.01</v>
      </c>
      <c r="M159" s="2">
        <v>56.21</v>
      </c>
      <c r="N159" s="2">
        <v>61.75</v>
      </c>
      <c r="O159" s="2">
        <v>28.24</v>
      </c>
      <c r="P159" s="2">
        <v>3.29</v>
      </c>
      <c r="Q159" s="4">
        <v>201243</v>
      </c>
      <c r="R159" s="4">
        <v>14526</v>
      </c>
      <c r="S159" s="4">
        <v>215769</v>
      </c>
      <c r="T159" s="4">
        <v>34794</v>
      </c>
      <c r="U159" s="4">
        <v>38223</v>
      </c>
      <c r="V159" s="4">
        <v>0</v>
      </c>
      <c r="W159" s="4">
        <v>18880</v>
      </c>
      <c r="X159" s="4">
        <v>2200</v>
      </c>
      <c r="Y159" s="4">
        <v>309866</v>
      </c>
      <c r="Z159" s="4">
        <v>34751</v>
      </c>
      <c r="AA159" s="4">
        <v>275115</v>
      </c>
      <c r="AB159" s="4">
        <v>145446</v>
      </c>
      <c r="AC159" s="4">
        <v>129669</v>
      </c>
    </row>
    <row r="160" spans="1:29" x14ac:dyDescent="0.25">
      <c r="A160" s="1" t="s">
        <v>142</v>
      </c>
      <c r="B160" s="1" t="s">
        <v>737</v>
      </c>
      <c r="C160" s="1" t="s">
        <v>168</v>
      </c>
      <c r="D160" s="1" t="s">
        <v>565</v>
      </c>
      <c r="E160" s="2">
        <v>28.66</v>
      </c>
      <c r="F160" s="3">
        <v>212</v>
      </c>
      <c r="G160" s="2">
        <v>240.66</v>
      </c>
      <c r="H160" s="2">
        <v>0</v>
      </c>
      <c r="I160" s="4">
        <v>0</v>
      </c>
      <c r="J160" s="3">
        <v>0</v>
      </c>
      <c r="K160" s="4">
        <v>212</v>
      </c>
      <c r="L160" s="2">
        <v>301.01</v>
      </c>
      <c r="M160" s="2">
        <v>56.21</v>
      </c>
      <c r="N160" s="2">
        <v>61.75</v>
      </c>
      <c r="O160" s="2">
        <v>28.24</v>
      </c>
      <c r="P160" s="2">
        <v>3.29</v>
      </c>
      <c r="Q160" s="4">
        <v>72441</v>
      </c>
      <c r="R160" s="4">
        <v>6061</v>
      </c>
      <c r="S160" s="4">
        <v>78502</v>
      </c>
      <c r="T160" s="4">
        <v>11917</v>
      </c>
      <c r="U160" s="4">
        <v>13091</v>
      </c>
      <c r="V160" s="4">
        <v>0</v>
      </c>
      <c r="W160" s="4">
        <v>6796</v>
      </c>
      <c r="X160" s="4">
        <v>792</v>
      </c>
      <c r="Y160" s="4">
        <v>111098</v>
      </c>
      <c r="Z160" s="4">
        <v>14596</v>
      </c>
      <c r="AA160" s="4">
        <v>96502</v>
      </c>
      <c r="AB160" s="4">
        <v>50269</v>
      </c>
      <c r="AC160" s="4">
        <v>46233</v>
      </c>
    </row>
    <row r="161" spans="1:29" x14ac:dyDescent="0.25">
      <c r="A161" s="1" t="s">
        <v>142</v>
      </c>
      <c r="B161" s="1" t="s">
        <v>737</v>
      </c>
      <c r="C161" s="1" t="s">
        <v>169</v>
      </c>
      <c r="D161" s="1" t="s">
        <v>566</v>
      </c>
      <c r="E161" s="2">
        <v>103.09</v>
      </c>
      <c r="F161" s="3">
        <v>1397.1</v>
      </c>
      <c r="G161" s="2">
        <v>1500.19</v>
      </c>
      <c r="H161" s="2">
        <v>0</v>
      </c>
      <c r="I161" s="4">
        <v>23</v>
      </c>
      <c r="J161" s="3">
        <v>0</v>
      </c>
      <c r="K161" s="4">
        <v>1420</v>
      </c>
      <c r="L161" s="2">
        <v>301.01</v>
      </c>
      <c r="M161" s="2">
        <v>56.21</v>
      </c>
      <c r="N161" s="2">
        <v>61.75</v>
      </c>
      <c r="O161" s="2">
        <v>28.24</v>
      </c>
      <c r="P161" s="2">
        <v>3.29</v>
      </c>
      <c r="Q161" s="4">
        <v>451572</v>
      </c>
      <c r="R161" s="4">
        <v>0</v>
      </c>
      <c r="S161" s="4">
        <v>451572</v>
      </c>
      <c r="T161" s="4">
        <v>79818</v>
      </c>
      <c r="U161" s="4">
        <v>87685</v>
      </c>
      <c r="V161" s="4">
        <v>0</v>
      </c>
      <c r="W161" s="4">
        <v>42365</v>
      </c>
      <c r="X161" s="4">
        <v>4936</v>
      </c>
      <c r="Y161" s="4">
        <v>666376</v>
      </c>
      <c r="Z161" s="4">
        <v>48951</v>
      </c>
      <c r="AA161" s="4">
        <v>617425</v>
      </c>
      <c r="AB161" s="4">
        <v>355395</v>
      </c>
      <c r="AC161" s="4">
        <v>262030</v>
      </c>
    </row>
    <row r="162" spans="1:29" x14ac:dyDescent="0.25">
      <c r="A162" s="1" t="s">
        <v>142</v>
      </c>
      <c r="B162" s="1" t="s">
        <v>737</v>
      </c>
      <c r="C162" s="1" t="s">
        <v>170</v>
      </c>
      <c r="D162" s="1" t="s">
        <v>567</v>
      </c>
      <c r="E162" s="2">
        <v>40.340000000000003</v>
      </c>
      <c r="F162" s="3">
        <v>382.1</v>
      </c>
      <c r="G162" s="2">
        <v>422.44</v>
      </c>
      <c r="H162" s="2">
        <v>0</v>
      </c>
      <c r="I162" s="4">
        <v>8</v>
      </c>
      <c r="J162" s="3">
        <v>0</v>
      </c>
      <c r="K162" s="4">
        <v>390</v>
      </c>
      <c r="L162" s="2">
        <v>301.01</v>
      </c>
      <c r="M162" s="2">
        <v>56.21</v>
      </c>
      <c r="N162" s="2">
        <v>61.75</v>
      </c>
      <c r="O162" s="2">
        <v>28.24</v>
      </c>
      <c r="P162" s="2">
        <v>3.29</v>
      </c>
      <c r="Q162" s="4">
        <v>127159</v>
      </c>
      <c r="R162" s="4">
        <v>1826</v>
      </c>
      <c r="S162" s="4">
        <v>128985</v>
      </c>
      <c r="T162" s="4">
        <v>21922</v>
      </c>
      <c r="U162" s="4">
        <v>24083</v>
      </c>
      <c r="V162" s="4">
        <v>0</v>
      </c>
      <c r="W162" s="4">
        <v>11947</v>
      </c>
      <c r="X162" s="4">
        <v>1393</v>
      </c>
      <c r="Y162" s="4">
        <v>188330</v>
      </c>
      <c r="Z162" s="4">
        <v>21853</v>
      </c>
      <c r="AA162" s="4">
        <v>166477</v>
      </c>
      <c r="AB162" s="4">
        <v>92028</v>
      </c>
      <c r="AC162" s="4">
        <v>74449</v>
      </c>
    </row>
    <row r="163" spans="1:29" x14ac:dyDescent="0.25">
      <c r="A163" s="1" t="s">
        <v>142</v>
      </c>
      <c r="B163" s="1" t="s">
        <v>737</v>
      </c>
      <c r="C163" s="1" t="s">
        <v>171</v>
      </c>
      <c r="D163" s="1" t="s">
        <v>568</v>
      </c>
      <c r="E163" s="2">
        <v>96.33</v>
      </c>
      <c r="F163" s="3">
        <v>877.1</v>
      </c>
      <c r="G163" s="2">
        <v>973.43</v>
      </c>
      <c r="H163" s="2">
        <v>0</v>
      </c>
      <c r="I163" s="4">
        <v>2</v>
      </c>
      <c r="J163" s="3">
        <v>0</v>
      </c>
      <c r="K163" s="4">
        <v>879</v>
      </c>
      <c r="L163" s="2">
        <v>301.01</v>
      </c>
      <c r="M163" s="2">
        <v>56.21</v>
      </c>
      <c r="N163" s="2">
        <v>61.75</v>
      </c>
      <c r="O163" s="2">
        <v>28.24</v>
      </c>
      <c r="P163" s="2">
        <v>3.29</v>
      </c>
      <c r="Q163" s="4">
        <v>293012</v>
      </c>
      <c r="R163" s="4">
        <v>0</v>
      </c>
      <c r="S163" s="4">
        <v>293012</v>
      </c>
      <c r="T163" s="4">
        <v>49409</v>
      </c>
      <c r="U163" s="4">
        <v>54278</v>
      </c>
      <c r="V163" s="4">
        <v>0</v>
      </c>
      <c r="W163" s="4">
        <v>27490</v>
      </c>
      <c r="X163" s="4">
        <v>3203</v>
      </c>
      <c r="Y163" s="4">
        <v>427392</v>
      </c>
      <c r="Z163" s="4">
        <v>38524</v>
      </c>
      <c r="AA163" s="4">
        <v>388868</v>
      </c>
      <c r="AB163" s="4">
        <v>223845</v>
      </c>
      <c r="AC163" s="4">
        <v>165023</v>
      </c>
    </row>
    <row r="164" spans="1:29" x14ac:dyDescent="0.25">
      <c r="A164" s="1" t="s">
        <v>142</v>
      </c>
      <c r="B164" s="1" t="s">
        <v>737</v>
      </c>
      <c r="C164" s="1" t="s">
        <v>172</v>
      </c>
      <c r="D164" s="1" t="s">
        <v>569</v>
      </c>
      <c r="E164" s="2">
        <v>198.65</v>
      </c>
      <c r="F164" s="3">
        <v>1505.6</v>
      </c>
      <c r="G164" s="2">
        <v>1704.25</v>
      </c>
      <c r="H164" s="2">
        <v>0</v>
      </c>
      <c r="I164" s="4">
        <v>2</v>
      </c>
      <c r="J164" s="3">
        <v>0</v>
      </c>
      <c r="K164" s="4">
        <v>1508</v>
      </c>
      <c r="L164" s="2">
        <v>301.01</v>
      </c>
      <c r="M164" s="2">
        <v>56.21</v>
      </c>
      <c r="N164" s="2">
        <v>61.75</v>
      </c>
      <c r="O164" s="2">
        <v>28.24</v>
      </c>
      <c r="P164" s="2">
        <v>3.29</v>
      </c>
      <c r="Q164" s="4">
        <v>512996</v>
      </c>
      <c r="R164" s="4">
        <v>23912</v>
      </c>
      <c r="S164" s="4">
        <v>536908</v>
      </c>
      <c r="T164" s="4">
        <v>84765</v>
      </c>
      <c r="U164" s="4">
        <v>93119</v>
      </c>
      <c r="V164" s="4">
        <v>0</v>
      </c>
      <c r="W164" s="4">
        <v>48819</v>
      </c>
      <c r="X164" s="4">
        <v>5694</v>
      </c>
      <c r="Y164" s="4">
        <v>769305</v>
      </c>
      <c r="Z164" s="4">
        <v>88383</v>
      </c>
      <c r="AA164" s="4">
        <v>680922</v>
      </c>
      <c r="AB164" s="4">
        <v>371742</v>
      </c>
      <c r="AC164" s="4">
        <v>309180</v>
      </c>
    </row>
    <row r="165" spans="1:29" x14ac:dyDescent="0.25">
      <c r="A165" s="1" t="s">
        <v>142</v>
      </c>
      <c r="B165" s="1" t="s">
        <v>737</v>
      </c>
      <c r="C165" s="1" t="s">
        <v>173</v>
      </c>
      <c r="D165" s="1" t="s">
        <v>570</v>
      </c>
      <c r="E165" s="2">
        <v>219.39</v>
      </c>
      <c r="F165" s="3">
        <v>1714.5</v>
      </c>
      <c r="G165" s="2">
        <v>1933.89</v>
      </c>
      <c r="H165" s="2">
        <v>0</v>
      </c>
      <c r="I165" s="4">
        <v>73</v>
      </c>
      <c r="J165" s="3">
        <v>0.6</v>
      </c>
      <c r="K165" s="4">
        <v>1787</v>
      </c>
      <c r="L165" s="2">
        <v>301.01</v>
      </c>
      <c r="M165" s="2">
        <v>56.21</v>
      </c>
      <c r="N165" s="2">
        <v>61.75</v>
      </c>
      <c r="O165" s="2">
        <v>28.24</v>
      </c>
      <c r="P165" s="2">
        <v>3.29</v>
      </c>
      <c r="Q165" s="4">
        <v>582120</v>
      </c>
      <c r="R165" s="4">
        <v>14409</v>
      </c>
      <c r="S165" s="4">
        <v>596529</v>
      </c>
      <c r="T165" s="4">
        <v>100447</v>
      </c>
      <c r="U165" s="4">
        <v>110347</v>
      </c>
      <c r="V165" s="4">
        <v>0</v>
      </c>
      <c r="W165" s="4">
        <v>55846</v>
      </c>
      <c r="X165" s="4">
        <v>6513</v>
      </c>
      <c r="Y165" s="4">
        <v>869682</v>
      </c>
      <c r="Z165" s="4">
        <v>80503</v>
      </c>
      <c r="AA165" s="4">
        <v>789179</v>
      </c>
      <c r="AB165" s="4">
        <v>442122</v>
      </c>
      <c r="AC165" s="4">
        <v>347057</v>
      </c>
    </row>
    <row r="166" spans="1:29" x14ac:dyDescent="0.25">
      <c r="A166" s="1" t="s">
        <v>142</v>
      </c>
      <c r="B166" s="1" t="s">
        <v>737</v>
      </c>
      <c r="C166" s="1" t="s">
        <v>174</v>
      </c>
      <c r="D166" s="1" t="s">
        <v>571</v>
      </c>
      <c r="E166" s="2">
        <v>95.35</v>
      </c>
      <c r="F166" s="3">
        <v>736.2</v>
      </c>
      <c r="G166" s="2">
        <v>831.55</v>
      </c>
      <c r="H166" s="2">
        <v>0</v>
      </c>
      <c r="I166" s="4">
        <v>17</v>
      </c>
      <c r="J166" s="3">
        <v>0</v>
      </c>
      <c r="K166" s="4">
        <v>753</v>
      </c>
      <c r="L166" s="2">
        <v>301.01</v>
      </c>
      <c r="M166" s="2">
        <v>56.21</v>
      </c>
      <c r="N166" s="2">
        <v>61.75</v>
      </c>
      <c r="O166" s="2">
        <v>28.24</v>
      </c>
      <c r="P166" s="2">
        <v>3.29</v>
      </c>
      <c r="Q166" s="4">
        <v>250305</v>
      </c>
      <c r="R166" s="4">
        <v>3087</v>
      </c>
      <c r="S166" s="4">
        <v>253392</v>
      </c>
      <c r="T166" s="4">
        <v>42326</v>
      </c>
      <c r="U166" s="4">
        <v>46498</v>
      </c>
      <c r="V166" s="4">
        <v>0</v>
      </c>
      <c r="W166" s="4">
        <v>23722</v>
      </c>
      <c r="X166" s="4">
        <v>2767</v>
      </c>
      <c r="Y166" s="4">
        <v>368705</v>
      </c>
      <c r="Z166" s="4">
        <v>35036</v>
      </c>
      <c r="AA166" s="4">
        <v>333669</v>
      </c>
      <c r="AB166" s="4">
        <v>189362</v>
      </c>
      <c r="AC166" s="4">
        <v>144307</v>
      </c>
    </row>
    <row r="167" spans="1:29" x14ac:dyDescent="0.25">
      <c r="A167" s="1" t="s">
        <v>142</v>
      </c>
      <c r="B167" s="1" t="s">
        <v>737</v>
      </c>
      <c r="C167" s="1" t="s">
        <v>175</v>
      </c>
      <c r="D167" s="1" t="s">
        <v>572</v>
      </c>
      <c r="E167" s="2">
        <v>87.7</v>
      </c>
      <c r="F167" s="3">
        <v>1101.4000000000001</v>
      </c>
      <c r="G167" s="2">
        <v>1189.0999999999999</v>
      </c>
      <c r="H167" s="2">
        <v>0</v>
      </c>
      <c r="I167" s="4">
        <v>78</v>
      </c>
      <c r="J167" s="3">
        <v>1</v>
      </c>
      <c r="K167" s="4">
        <v>1178</v>
      </c>
      <c r="L167" s="2">
        <v>301.01</v>
      </c>
      <c r="M167" s="2">
        <v>56.21</v>
      </c>
      <c r="N167" s="2">
        <v>61.75</v>
      </c>
      <c r="O167" s="2">
        <v>28.24</v>
      </c>
      <c r="P167" s="2">
        <v>3.29</v>
      </c>
      <c r="Q167" s="4">
        <v>357931</v>
      </c>
      <c r="R167" s="4">
        <v>0</v>
      </c>
      <c r="S167" s="4">
        <v>357931</v>
      </c>
      <c r="T167" s="4">
        <v>66215</v>
      </c>
      <c r="U167" s="4">
        <v>72742</v>
      </c>
      <c r="V167" s="4">
        <v>0</v>
      </c>
      <c r="W167" s="4">
        <v>33580</v>
      </c>
      <c r="X167" s="4">
        <v>3912</v>
      </c>
      <c r="Y167" s="4">
        <v>534380</v>
      </c>
      <c r="Z167" s="4">
        <v>51123</v>
      </c>
      <c r="AA167" s="4">
        <v>483257</v>
      </c>
      <c r="AB167" s="4">
        <v>269375</v>
      </c>
      <c r="AC167" s="4">
        <v>213882</v>
      </c>
    </row>
    <row r="168" spans="1:29" x14ac:dyDescent="0.25">
      <c r="A168" s="1" t="s">
        <v>176</v>
      </c>
      <c r="B168" s="1" t="s">
        <v>738</v>
      </c>
      <c r="C168" s="1" t="s">
        <v>177</v>
      </c>
      <c r="D168" s="1" t="s">
        <v>573</v>
      </c>
      <c r="E168" s="2">
        <v>45.5</v>
      </c>
      <c r="F168" s="3">
        <v>309</v>
      </c>
      <c r="G168" s="2">
        <v>354.5</v>
      </c>
      <c r="H168" s="2">
        <v>0</v>
      </c>
      <c r="I168" s="4">
        <v>0</v>
      </c>
      <c r="J168" s="3">
        <v>0</v>
      </c>
      <c r="K168" s="4">
        <v>309</v>
      </c>
      <c r="L168" s="2">
        <v>293.91000000000003</v>
      </c>
      <c r="M168" s="2">
        <v>56.09</v>
      </c>
      <c r="N168" s="2">
        <v>61.57</v>
      </c>
      <c r="O168" s="2">
        <v>24.47</v>
      </c>
      <c r="P168" s="2">
        <v>3.1</v>
      </c>
      <c r="Q168" s="4">
        <v>104191</v>
      </c>
      <c r="R168" s="4">
        <v>2132</v>
      </c>
      <c r="S168" s="4">
        <v>106323</v>
      </c>
      <c r="T168" s="4">
        <v>17332</v>
      </c>
      <c r="U168" s="4">
        <v>19025</v>
      </c>
      <c r="V168" s="4">
        <v>0</v>
      </c>
      <c r="W168" s="4">
        <v>8675</v>
      </c>
      <c r="X168" s="4">
        <v>1099</v>
      </c>
      <c r="Y168" s="4">
        <v>152454</v>
      </c>
      <c r="Z168" s="4">
        <v>16927</v>
      </c>
      <c r="AA168" s="4">
        <v>135527</v>
      </c>
      <c r="AB168" s="4">
        <v>77218</v>
      </c>
      <c r="AC168" s="4">
        <v>58309</v>
      </c>
    </row>
    <row r="169" spans="1:29" x14ac:dyDescent="0.25">
      <c r="A169" s="1" t="s">
        <v>176</v>
      </c>
      <c r="B169" s="1" t="s">
        <v>738</v>
      </c>
      <c r="C169" s="1" t="s">
        <v>178</v>
      </c>
      <c r="D169" s="1" t="s">
        <v>574</v>
      </c>
      <c r="E169" s="2">
        <v>169.36</v>
      </c>
      <c r="F169" s="3">
        <v>1797.8</v>
      </c>
      <c r="G169" s="2">
        <v>1967.16</v>
      </c>
      <c r="H169" s="2">
        <v>0</v>
      </c>
      <c r="I169" s="4">
        <v>30</v>
      </c>
      <c r="J169" s="3">
        <v>0</v>
      </c>
      <c r="K169" s="4">
        <v>1828</v>
      </c>
      <c r="L169" s="2">
        <v>293.91000000000003</v>
      </c>
      <c r="M169" s="2">
        <v>56.09</v>
      </c>
      <c r="N169" s="2">
        <v>61.57</v>
      </c>
      <c r="O169" s="2">
        <v>24.47</v>
      </c>
      <c r="P169" s="2">
        <v>3.1</v>
      </c>
      <c r="Q169" s="4">
        <v>578168</v>
      </c>
      <c r="R169" s="4">
        <v>0</v>
      </c>
      <c r="S169" s="4">
        <v>578168</v>
      </c>
      <c r="T169" s="4">
        <v>102533</v>
      </c>
      <c r="U169" s="4">
        <v>112550</v>
      </c>
      <c r="V169" s="4">
        <v>0</v>
      </c>
      <c r="W169" s="4">
        <v>48136</v>
      </c>
      <c r="X169" s="4">
        <v>6098</v>
      </c>
      <c r="Y169" s="4">
        <v>847485</v>
      </c>
      <c r="Z169" s="4">
        <v>62785</v>
      </c>
      <c r="AA169" s="4">
        <v>784700</v>
      </c>
      <c r="AB169" s="4">
        <v>459633</v>
      </c>
      <c r="AC169" s="4">
        <v>325067</v>
      </c>
    </row>
    <row r="170" spans="1:29" x14ac:dyDescent="0.25">
      <c r="A170" s="1" t="s">
        <v>176</v>
      </c>
      <c r="B170" s="1" t="s">
        <v>738</v>
      </c>
      <c r="C170" s="1" t="s">
        <v>179</v>
      </c>
      <c r="D170" s="1" t="s">
        <v>575</v>
      </c>
      <c r="E170" s="2">
        <v>471.52</v>
      </c>
      <c r="F170" s="3">
        <v>4387.3999999999996</v>
      </c>
      <c r="G170" s="2">
        <v>4858.92</v>
      </c>
      <c r="H170" s="2">
        <v>0</v>
      </c>
      <c r="I170" s="4">
        <v>123</v>
      </c>
      <c r="J170" s="3">
        <v>0</v>
      </c>
      <c r="K170" s="4">
        <v>4510</v>
      </c>
      <c r="L170" s="2">
        <v>293.91000000000003</v>
      </c>
      <c r="M170" s="2">
        <v>56.09</v>
      </c>
      <c r="N170" s="2">
        <v>61.57</v>
      </c>
      <c r="O170" s="2">
        <v>24.47</v>
      </c>
      <c r="P170" s="2">
        <v>3.1</v>
      </c>
      <c r="Q170" s="4">
        <v>1428085</v>
      </c>
      <c r="R170" s="4">
        <v>0</v>
      </c>
      <c r="S170" s="4">
        <v>1428085</v>
      </c>
      <c r="T170" s="4">
        <v>252966</v>
      </c>
      <c r="U170" s="4">
        <v>277681</v>
      </c>
      <c r="V170" s="4">
        <v>0</v>
      </c>
      <c r="W170" s="4">
        <v>118898</v>
      </c>
      <c r="X170" s="4">
        <v>15063</v>
      </c>
      <c r="Y170" s="4">
        <v>2092693</v>
      </c>
      <c r="Z170" s="4">
        <v>203105</v>
      </c>
      <c r="AA170" s="4">
        <v>1889588</v>
      </c>
      <c r="AB170" s="4">
        <v>1087279</v>
      </c>
      <c r="AC170" s="4">
        <v>802309</v>
      </c>
    </row>
    <row r="171" spans="1:29" x14ac:dyDescent="0.25">
      <c r="A171" s="1" t="s">
        <v>176</v>
      </c>
      <c r="B171" s="1" t="s">
        <v>738</v>
      </c>
      <c r="C171" s="1" t="s">
        <v>180</v>
      </c>
      <c r="D171" s="1" t="s">
        <v>576</v>
      </c>
      <c r="E171" s="2">
        <v>1186.94</v>
      </c>
      <c r="F171" s="3">
        <v>11977</v>
      </c>
      <c r="G171" s="2">
        <v>13163.94</v>
      </c>
      <c r="H171" s="2">
        <v>0</v>
      </c>
      <c r="I171" s="4">
        <v>505</v>
      </c>
      <c r="J171" s="3">
        <v>0.4</v>
      </c>
      <c r="K171" s="4">
        <v>12482</v>
      </c>
      <c r="L171" s="2">
        <v>293.91000000000003</v>
      </c>
      <c r="M171" s="2">
        <v>56.09</v>
      </c>
      <c r="N171" s="2">
        <v>61.57</v>
      </c>
      <c r="O171" s="2">
        <v>24.47</v>
      </c>
      <c r="P171" s="2">
        <v>3.1</v>
      </c>
      <c r="Q171" s="4">
        <v>3869014</v>
      </c>
      <c r="R171" s="4">
        <v>0</v>
      </c>
      <c r="S171" s="4">
        <v>3869014</v>
      </c>
      <c r="T171" s="4">
        <v>700115</v>
      </c>
      <c r="U171" s="4">
        <v>768517</v>
      </c>
      <c r="V171" s="4">
        <v>0</v>
      </c>
      <c r="W171" s="4">
        <v>322122</v>
      </c>
      <c r="X171" s="4">
        <v>40808</v>
      </c>
      <c r="Y171" s="4">
        <v>5700576</v>
      </c>
      <c r="Z171" s="4">
        <v>253394</v>
      </c>
      <c r="AA171" s="4">
        <v>5447182</v>
      </c>
      <c r="AB171" s="4">
        <v>3242554</v>
      </c>
      <c r="AC171" s="4">
        <v>2204628</v>
      </c>
    </row>
    <row r="172" spans="1:29" x14ac:dyDescent="0.25">
      <c r="A172" s="1" t="s">
        <v>176</v>
      </c>
      <c r="B172" s="1" t="s">
        <v>738</v>
      </c>
      <c r="C172" s="1" t="s">
        <v>181</v>
      </c>
      <c r="D172" s="1" t="s">
        <v>577</v>
      </c>
      <c r="E172" s="2">
        <v>55.96</v>
      </c>
      <c r="F172" s="3">
        <v>498.9</v>
      </c>
      <c r="G172" s="2">
        <v>554.86</v>
      </c>
      <c r="H172" s="2">
        <v>0</v>
      </c>
      <c r="I172" s="4">
        <v>3</v>
      </c>
      <c r="J172" s="3">
        <v>0</v>
      </c>
      <c r="K172" s="4">
        <v>502</v>
      </c>
      <c r="L172" s="2">
        <v>293.91000000000003</v>
      </c>
      <c r="M172" s="2">
        <v>56.09</v>
      </c>
      <c r="N172" s="2">
        <v>61.57</v>
      </c>
      <c r="O172" s="2">
        <v>24.47</v>
      </c>
      <c r="P172" s="2">
        <v>3.1</v>
      </c>
      <c r="Q172" s="4">
        <v>163079</v>
      </c>
      <c r="R172" s="4">
        <v>4348</v>
      </c>
      <c r="S172" s="4">
        <v>167427</v>
      </c>
      <c r="T172" s="4">
        <v>28157</v>
      </c>
      <c r="U172" s="4">
        <v>30908</v>
      </c>
      <c r="V172" s="4">
        <v>0</v>
      </c>
      <c r="W172" s="4">
        <v>13577</v>
      </c>
      <c r="X172" s="4">
        <v>1720</v>
      </c>
      <c r="Y172" s="4">
        <v>241789</v>
      </c>
      <c r="Z172" s="4">
        <v>31621</v>
      </c>
      <c r="AA172" s="4">
        <v>210168</v>
      </c>
      <c r="AB172" s="4">
        <v>115733</v>
      </c>
      <c r="AC172" s="4">
        <v>94435</v>
      </c>
    </row>
    <row r="173" spans="1:29" x14ac:dyDescent="0.25">
      <c r="A173" s="1" t="s">
        <v>176</v>
      </c>
      <c r="B173" s="1" t="s">
        <v>738</v>
      </c>
      <c r="C173" s="1" t="s">
        <v>182</v>
      </c>
      <c r="D173" s="1" t="s">
        <v>578</v>
      </c>
      <c r="E173" s="2">
        <v>130.91999999999999</v>
      </c>
      <c r="F173" s="3">
        <v>1622.3</v>
      </c>
      <c r="G173" s="2">
        <v>1753.22</v>
      </c>
      <c r="H173" s="2">
        <v>0</v>
      </c>
      <c r="I173" s="4">
        <v>17</v>
      </c>
      <c r="J173" s="3">
        <v>0</v>
      </c>
      <c r="K173" s="4">
        <v>1639</v>
      </c>
      <c r="L173" s="2">
        <v>293.91000000000003</v>
      </c>
      <c r="M173" s="2">
        <v>56.09</v>
      </c>
      <c r="N173" s="2">
        <v>61.57</v>
      </c>
      <c r="O173" s="2">
        <v>24.47</v>
      </c>
      <c r="P173" s="2">
        <v>3.1</v>
      </c>
      <c r="Q173" s="4">
        <v>515289</v>
      </c>
      <c r="R173" s="4">
        <v>0</v>
      </c>
      <c r="S173" s="4">
        <v>515289</v>
      </c>
      <c r="T173" s="4">
        <v>91932</v>
      </c>
      <c r="U173" s="4">
        <v>100913</v>
      </c>
      <c r="V173" s="4">
        <v>0</v>
      </c>
      <c r="W173" s="4">
        <v>42901</v>
      </c>
      <c r="X173" s="4">
        <v>5435</v>
      </c>
      <c r="Y173" s="4">
        <v>756470</v>
      </c>
      <c r="Z173" s="4">
        <v>53719</v>
      </c>
      <c r="AA173" s="4">
        <v>702751</v>
      </c>
      <c r="AB173" s="4">
        <v>411883</v>
      </c>
      <c r="AC173" s="4">
        <v>290868</v>
      </c>
    </row>
    <row r="174" spans="1:29" x14ac:dyDescent="0.25">
      <c r="A174" s="1" t="s">
        <v>176</v>
      </c>
      <c r="B174" s="1" t="s">
        <v>738</v>
      </c>
      <c r="C174" s="1" t="s">
        <v>183</v>
      </c>
      <c r="D174" s="1" t="s">
        <v>579</v>
      </c>
      <c r="E174" s="2">
        <v>29.01</v>
      </c>
      <c r="F174" s="3">
        <v>309.10000000000002</v>
      </c>
      <c r="G174" s="2">
        <v>338.11</v>
      </c>
      <c r="H174" s="2">
        <v>0</v>
      </c>
      <c r="I174" s="4">
        <v>3</v>
      </c>
      <c r="J174" s="3">
        <v>0</v>
      </c>
      <c r="K174" s="4">
        <v>312</v>
      </c>
      <c r="L174" s="2">
        <v>293.91000000000003</v>
      </c>
      <c r="M174" s="2">
        <v>56.09</v>
      </c>
      <c r="N174" s="2">
        <v>61.57</v>
      </c>
      <c r="O174" s="2">
        <v>24.47</v>
      </c>
      <c r="P174" s="2">
        <v>3.1</v>
      </c>
      <c r="Q174" s="4">
        <v>99374</v>
      </c>
      <c r="R174" s="4">
        <v>11174</v>
      </c>
      <c r="S174" s="4">
        <v>110548</v>
      </c>
      <c r="T174" s="4">
        <v>17500</v>
      </c>
      <c r="U174" s="4">
        <v>19210</v>
      </c>
      <c r="V174" s="4">
        <v>0</v>
      </c>
      <c r="W174" s="4">
        <v>8376</v>
      </c>
      <c r="X174" s="4">
        <v>1065</v>
      </c>
      <c r="Y174" s="4">
        <v>156699</v>
      </c>
      <c r="Z174" s="4">
        <v>14723</v>
      </c>
      <c r="AA174" s="4">
        <v>141976</v>
      </c>
      <c r="AB174" s="4">
        <v>75188</v>
      </c>
      <c r="AC174" s="4">
        <v>66788</v>
      </c>
    </row>
    <row r="175" spans="1:29" x14ac:dyDescent="0.25">
      <c r="A175" s="1" t="s">
        <v>176</v>
      </c>
      <c r="B175" s="1" t="s">
        <v>738</v>
      </c>
      <c r="C175" s="1" t="s">
        <v>184</v>
      </c>
      <c r="D175" s="1" t="s">
        <v>580</v>
      </c>
      <c r="E175" s="2">
        <v>229.6</v>
      </c>
      <c r="F175" s="3">
        <v>2142.1999999999998</v>
      </c>
      <c r="G175" s="2">
        <v>2371.8000000000002</v>
      </c>
      <c r="H175" s="2">
        <v>0</v>
      </c>
      <c r="I175" s="4">
        <v>40</v>
      </c>
      <c r="J175" s="3">
        <v>0</v>
      </c>
      <c r="K175" s="4">
        <v>2182</v>
      </c>
      <c r="L175" s="2">
        <v>293.91000000000003</v>
      </c>
      <c r="M175" s="2">
        <v>56.09</v>
      </c>
      <c r="N175" s="2">
        <v>61.57</v>
      </c>
      <c r="O175" s="2">
        <v>24.47</v>
      </c>
      <c r="P175" s="2">
        <v>3.1</v>
      </c>
      <c r="Q175" s="4">
        <v>697096</v>
      </c>
      <c r="R175" s="4">
        <v>0</v>
      </c>
      <c r="S175" s="4">
        <v>697096</v>
      </c>
      <c r="T175" s="4">
        <v>122388</v>
      </c>
      <c r="U175" s="4">
        <v>134346</v>
      </c>
      <c r="V175" s="4">
        <v>0</v>
      </c>
      <c r="W175" s="4">
        <v>58038</v>
      </c>
      <c r="X175" s="4">
        <v>7353</v>
      </c>
      <c r="Y175" s="4">
        <v>1019221</v>
      </c>
      <c r="Z175" s="4">
        <v>39354</v>
      </c>
      <c r="AA175" s="4">
        <v>979867</v>
      </c>
      <c r="AB175" s="4">
        <v>590525</v>
      </c>
      <c r="AC175" s="4">
        <v>389342</v>
      </c>
    </row>
    <row r="176" spans="1:29" x14ac:dyDescent="0.25">
      <c r="A176" s="1" t="s">
        <v>176</v>
      </c>
      <c r="B176" s="1" t="s">
        <v>738</v>
      </c>
      <c r="C176" s="1" t="s">
        <v>185</v>
      </c>
      <c r="D176" s="1" t="s">
        <v>581</v>
      </c>
      <c r="E176" s="2">
        <v>321.20999999999998</v>
      </c>
      <c r="F176" s="3">
        <v>2060.8000000000002</v>
      </c>
      <c r="G176" s="2">
        <v>2382.0100000000002</v>
      </c>
      <c r="H176" s="2">
        <v>0</v>
      </c>
      <c r="I176" s="4">
        <v>182</v>
      </c>
      <c r="J176" s="3">
        <v>4.3</v>
      </c>
      <c r="K176" s="4">
        <v>2239</v>
      </c>
      <c r="L176" s="2">
        <v>293.91000000000003</v>
      </c>
      <c r="M176" s="2">
        <v>56.09</v>
      </c>
      <c r="N176" s="2">
        <v>61.57</v>
      </c>
      <c r="O176" s="2">
        <v>24.47</v>
      </c>
      <c r="P176" s="2">
        <v>3.1</v>
      </c>
      <c r="Q176" s="4">
        <v>700097</v>
      </c>
      <c r="R176" s="4">
        <v>0</v>
      </c>
      <c r="S176" s="4">
        <v>700097</v>
      </c>
      <c r="T176" s="4">
        <v>125586</v>
      </c>
      <c r="U176" s="4">
        <v>137855</v>
      </c>
      <c r="V176" s="4">
        <v>0</v>
      </c>
      <c r="W176" s="4">
        <v>58288</v>
      </c>
      <c r="X176" s="4">
        <v>7384</v>
      </c>
      <c r="Y176" s="4">
        <v>1029210</v>
      </c>
      <c r="Z176" s="4">
        <v>105619</v>
      </c>
      <c r="AA176" s="4">
        <v>923591</v>
      </c>
      <c r="AB176" s="4">
        <v>526971</v>
      </c>
      <c r="AC176" s="4">
        <v>396620</v>
      </c>
    </row>
    <row r="177" spans="1:29" x14ac:dyDescent="0.25">
      <c r="A177" s="1" t="s">
        <v>176</v>
      </c>
      <c r="B177" s="1" t="s">
        <v>738</v>
      </c>
      <c r="C177" s="1" t="s">
        <v>186</v>
      </c>
      <c r="D177" s="1" t="s">
        <v>582</v>
      </c>
      <c r="E177" s="2">
        <v>211.45</v>
      </c>
      <c r="F177" s="3">
        <v>1981.5</v>
      </c>
      <c r="G177" s="2">
        <v>2192.9499999999998</v>
      </c>
      <c r="H177" s="2">
        <v>0</v>
      </c>
      <c r="I177" s="4">
        <v>29</v>
      </c>
      <c r="J177" s="3">
        <v>0</v>
      </c>
      <c r="K177" s="4">
        <v>2011</v>
      </c>
      <c r="L177" s="2">
        <v>293.91000000000003</v>
      </c>
      <c r="M177" s="2">
        <v>56.09</v>
      </c>
      <c r="N177" s="2">
        <v>61.57</v>
      </c>
      <c r="O177" s="2">
        <v>24.47</v>
      </c>
      <c r="P177" s="2">
        <v>3.1</v>
      </c>
      <c r="Q177" s="4">
        <v>644530</v>
      </c>
      <c r="R177" s="4">
        <v>0</v>
      </c>
      <c r="S177" s="4">
        <v>644530</v>
      </c>
      <c r="T177" s="4">
        <v>112797</v>
      </c>
      <c r="U177" s="4">
        <v>123817</v>
      </c>
      <c r="V177" s="4">
        <v>0</v>
      </c>
      <c r="W177" s="4">
        <v>53661</v>
      </c>
      <c r="X177" s="4">
        <v>6798</v>
      </c>
      <c r="Y177" s="4">
        <v>941603</v>
      </c>
      <c r="Z177" s="4">
        <v>58812</v>
      </c>
      <c r="AA177" s="4">
        <v>882791</v>
      </c>
      <c r="AB177" s="4">
        <v>523569</v>
      </c>
      <c r="AC177" s="4">
        <v>359222</v>
      </c>
    </row>
    <row r="178" spans="1:29" x14ac:dyDescent="0.25">
      <c r="A178" s="1" t="s">
        <v>176</v>
      </c>
      <c r="B178" s="1" t="s">
        <v>738</v>
      </c>
      <c r="C178" s="1" t="s">
        <v>187</v>
      </c>
      <c r="D178" s="1" t="s">
        <v>583</v>
      </c>
      <c r="E178" s="2">
        <v>232.16</v>
      </c>
      <c r="F178" s="3">
        <v>1718.7</v>
      </c>
      <c r="G178" s="2">
        <v>1950.86</v>
      </c>
      <c r="H178" s="2">
        <v>0</v>
      </c>
      <c r="I178" s="4">
        <v>884</v>
      </c>
      <c r="J178" s="3">
        <v>20</v>
      </c>
      <c r="K178" s="4">
        <v>2583</v>
      </c>
      <c r="L178" s="2">
        <v>293.91000000000003</v>
      </c>
      <c r="M178" s="2">
        <v>56.09</v>
      </c>
      <c r="N178" s="2">
        <v>61.57</v>
      </c>
      <c r="O178" s="2">
        <v>24.47</v>
      </c>
      <c r="P178" s="2">
        <v>3.1</v>
      </c>
      <c r="Q178" s="4">
        <v>573377</v>
      </c>
      <c r="R178" s="4">
        <v>0</v>
      </c>
      <c r="S178" s="4">
        <v>573377</v>
      </c>
      <c r="T178" s="4">
        <v>144880</v>
      </c>
      <c r="U178" s="4">
        <v>159035</v>
      </c>
      <c r="V178" s="4">
        <v>0</v>
      </c>
      <c r="W178" s="4">
        <v>47738</v>
      </c>
      <c r="X178" s="4">
        <v>6048</v>
      </c>
      <c r="Y178" s="4">
        <v>931078</v>
      </c>
      <c r="Z178" s="4">
        <v>92884</v>
      </c>
      <c r="AA178" s="4">
        <v>838194</v>
      </c>
      <c r="AB178" s="4">
        <v>425207</v>
      </c>
      <c r="AC178" s="4">
        <v>412987</v>
      </c>
    </row>
    <row r="179" spans="1:29" x14ac:dyDescent="0.25">
      <c r="A179" s="1" t="s">
        <v>176</v>
      </c>
      <c r="B179" s="1" t="s">
        <v>738</v>
      </c>
      <c r="C179" s="1" t="s">
        <v>188</v>
      </c>
      <c r="D179" s="1" t="s">
        <v>584</v>
      </c>
      <c r="E179" s="2">
        <v>111.69</v>
      </c>
      <c r="F179" s="3">
        <v>759.8</v>
      </c>
      <c r="G179" s="2">
        <v>871.49</v>
      </c>
      <c r="H179" s="2">
        <v>0</v>
      </c>
      <c r="I179" s="4">
        <v>11</v>
      </c>
      <c r="J179" s="3">
        <v>0</v>
      </c>
      <c r="K179" s="4">
        <v>771</v>
      </c>
      <c r="L179" s="2">
        <v>293.91000000000003</v>
      </c>
      <c r="M179" s="2">
        <v>56.09</v>
      </c>
      <c r="N179" s="2">
        <v>61.57</v>
      </c>
      <c r="O179" s="2">
        <v>24.47</v>
      </c>
      <c r="P179" s="2">
        <v>3.1</v>
      </c>
      <c r="Q179" s="4">
        <v>256140</v>
      </c>
      <c r="R179" s="4">
        <v>0</v>
      </c>
      <c r="S179" s="4">
        <v>256140</v>
      </c>
      <c r="T179" s="4">
        <v>43245</v>
      </c>
      <c r="U179" s="4">
        <v>47470</v>
      </c>
      <c r="V179" s="4">
        <v>0</v>
      </c>
      <c r="W179" s="4">
        <v>21325</v>
      </c>
      <c r="X179" s="4">
        <v>2702</v>
      </c>
      <c r="Y179" s="4">
        <v>370882</v>
      </c>
      <c r="Z179" s="4">
        <v>41179</v>
      </c>
      <c r="AA179" s="4">
        <v>329703</v>
      </c>
      <c r="AB179" s="4">
        <v>190263</v>
      </c>
      <c r="AC179" s="4">
        <v>139440</v>
      </c>
    </row>
    <row r="180" spans="1:29" x14ac:dyDescent="0.25">
      <c r="A180" s="1" t="s">
        <v>176</v>
      </c>
      <c r="B180" s="1" t="s">
        <v>738</v>
      </c>
      <c r="C180" s="1" t="s">
        <v>189</v>
      </c>
      <c r="D180" s="1" t="s">
        <v>585</v>
      </c>
      <c r="E180" s="2">
        <v>54.91</v>
      </c>
      <c r="F180" s="3">
        <v>459.2</v>
      </c>
      <c r="G180" s="2">
        <v>514.11</v>
      </c>
      <c r="H180" s="2">
        <v>0</v>
      </c>
      <c r="I180" s="4">
        <v>6</v>
      </c>
      <c r="J180" s="3">
        <v>0</v>
      </c>
      <c r="K180" s="4">
        <v>465</v>
      </c>
      <c r="L180" s="2">
        <v>293.91000000000003</v>
      </c>
      <c r="M180" s="2">
        <v>56.09</v>
      </c>
      <c r="N180" s="2">
        <v>61.57</v>
      </c>
      <c r="O180" s="2">
        <v>24.47</v>
      </c>
      <c r="P180" s="2">
        <v>3.1</v>
      </c>
      <c r="Q180" s="4">
        <v>151102</v>
      </c>
      <c r="R180" s="4">
        <v>4049</v>
      </c>
      <c r="S180" s="4">
        <v>155151</v>
      </c>
      <c r="T180" s="4">
        <v>26082</v>
      </c>
      <c r="U180" s="4">
        <v>28630</v>
      </c>
      <c r="V180" s="4">
        <v>0</v>
      </c>
      <c r="W180" s="4">
        <v>12580</v>
      </c>
      <c r="X180" s="4">
        <v>1594</v>
      </c>
      <c r="Y180" s="4">
        <v>224037</v>
      </c>
      <c r="Z180" s="4">
        <v>23962</v>
      </c>
      <c r="AA180" s="4">
        <v>200075</v>
      </c>
      <c r="AB180" s="4">
        <v>112570</v>
      </c>
      <c r="AC180" s="4">
        <v>87505</v>
      </c>
    </row>
    <row r="181" spans="1:29" x14ac:dyDescent="0.25">
      <c r="A181" s="1" t="s">
        <v>176</v>
      </c>
      <c r="B181" s="1" t="s">
        <v>738</v>
      </c>
      <c r="C181" s="1" t="s">
        <v>190</v>
      </c>
      <c r="D181" s="1" t="s">
        <v>586</v>
      </c>
      <c r="E181" s="2">
        <v>38.200000000000003</v>
      </c>
      <c r="F181" s="3">
        <v>489.9</v>
      </c>
      <c r="G181" s="2">
        <v>528.1</v>
      </c>
      <c r="H181" s="2">
        <v>0</v>
      </c>
      <c r="I181" s="4">
        <v>0</v>
      </c>
      <c r="J181" s="3">
        <v>0</v>
      </c>
      <c r="K181" s="4">
        <v>490</v>
      </c>
      <c r="L181" s="2">
        <v>293.91000000000003</v>
      </c>
      <c r="M181" s="2">
        <v>56.09</v>
      </c>
      <c r="N181" s="2">
        <v>61.57</v>
      </c>
      <c r="O181" s="2">
        <v>24.47</v>
      </c>
      <c r="P181" s="2">
        <v>3.1</v>
      </c>
      <c r="Q181" s="4">
        <v>155214</v>
      </c>
      <c r="R181" s="4">
        <v>4877</v>
      </c>
      <c r="S181" s="4">
        <v>160091</v>
      </c>
      <c r="T181" s="4">
        <v>27484</v>
      </c>
      <c r="U181" s="4">
        <v>30169</v>
      </c>
      <c r="V181" s="4">
        <v>0</v>
      </c>
      <c r="W181" s="4">
        <v>13260</v>
      </c>
      <c r="X181" s="4">
        <v>1685</v>
      </c>
      <c r="Y181" s="4">
        <v>232689</v>
      </c>
      <c r="Z181" s="4">
        <v>26655</v>
      </c>
      <c r="AA181" s="4">
        <v>206034</v>
      </c>
      <c r="AB181" s="4">
        <v>113978</v>
      </c>
      <c r="AC181" s="4">
        <v>92056</v>
      </c>
    </row>
    <row r="182" spans="1:29" x14ac:dyDescent="0.25">
      <c r="A182" s="1" t="s">
        <v>176</v>
      </c>
      <c r="B182" s="1" t="s">
        <v>738</v>
      </c>
      <c r="C182" s="1" t="s">
        <v>191</v>
      </c>
      <c r="D182" s="1" t="s">
        <v>587</v>
      </c>
      <c r="E182" s="2">
        <v>56.29</v>
      </c>
      <c r="F182" s="3">
        <v>423</v>
      </c>
      <c r="G182" s="2">
        <v>479.29</v>
      </c>
      <c r="H182" s="2">
        <v>0</v>
      </c>
      <c r="I182" s="4">
        <v>0</v>
      </c>
      <c r="J182" s="3">
        <v>0</v>
      </c>
      <c r="K182" s="4">
        <v>423</v>
      </c>
      <c r="L182" s="2">
        <v>293.91000000000003</v>
      </c>
      <c r="M182" s="2">
        <v>56.09</v>
      </c>
      <c r="N182" s="2">
        <v>61.57</v>
      </c>
      <c r="O182" s="2">
        <v>24.47</v>
      </c>
      <c r="P182" s="2">
        <v>3.1</v>
      </c>
      <c r="Q182" s="4">
        <v>140868</v>
      </c>
      <c r="R182" s="4">
        <v>3338</v>
      </c>
      <c r="S182" s="4">
        <v>144206</v>
      </c>
      <c r="T182" s="4">
        <v>23726</v>
      </c>
      <c r="U182" s="4">
        <v>26044</v>
      </c>
      <c r="V182" s="4">
        <v>0</v>
      </c>
      <c r="W182" s="4">
        <v>11945</v>
      </c>
      <c r="X182" s="4">
        <v>1518</v>
      </c>
      <c r="Y182" s="4">
        <v>207439</v>
      </c>
      <c r="Z182" s="4">
        <v>24283</v>
      </c>
      <c r="AA182" s="4">
        <v>183156</v>
      </c>
      <c r="AB182" s="4">
        <v>103251</v>
      </c>
      <c r="AC182" s="4">
        <v>79905</v>
      </c>
    </row>
    <row r="183" spans="1:29" x14ac:dyDescent="0.25">
      <c r="A183" s="1" t="s">
        <v>176</v>
      </c>
      <c r="B183" s="1" t="s">
        <v>738</v>
      </c>
      <c r="C183" s="1" t="s">
        <v>192</v>
      </c>
      <c r="D183" s="1" t="s">
        <v>588</v>
      </c>
      <c r="E183" s="2">
        <v>243.78</v>
      </c>
      <c r="F183" s="3">
        <v>2933.1</v>
      </c>
      <c r="G183" s="2">
        <v>3176.88</v>
      </c>
      <c r="H183" s="2">
        <v>0</v>
      </c>
      <c r="I183" s="4">
        <v>76</v>
      </c>
      <c r="J183" s="3">
        <v>0</v>
      </c>
      <c r="K183" s="4">
        <v>3009</v>
      </c>
      <c r="L183" s="2">
        <v>293.91000000000003</v>
      </c>
      <c r="M183" s="2">
        <v>56.09</v>
      </c>
      <c r="N183" s="2">
        <v>61.57</v>
      </c>
      <c r="O183" s="2">
        <v>24.47</v>
      </c>
      <c r="P183" s="2">
        <v>3.1</v>
      </c>
      <c r="Q183" s="4">
        <v>933717</v>
      </c>
      <c r="R183" s="4">
        <v>0</v>
      </c>
      <c r="S183" s="4">
        <v>933717</v>
      </c>
      <c r="T183" s="4">
        <v>168775</v>
      </c>
      <c r="U183" s="4">
        <v>185264</v>
      </c>
      <c r="V183" s="4">
        <v>0</v>
      </c>
      <c r="W183" s="4">
        <v>77738</v>
      </c>
      <c r="X183" s="4">
        <v>9848</v>
      </c>
      <c r="Y183" s="4">
        <v>1375342</v>
      </c>
      <c r="Z183" s="4">
        <v>64515</v>
      </c>
      <c r="AA183" s="4">
        <v>1310827</v>
      </c>
      <c r="AB183" s="4">
        <v>779168</v>
      </c>
      <c r="AC183" s="4">
        <v>531659</v>
      </c>
    </row>
    <row r="184" spans="1:29" x14ac:dyDescent="0.25">
      <c r="A184" s="1" t="s">
        <v>176</v>
      </c>
      <c r="B184" s="1" t="s">
        <v>738</v>
      </c>
      <c r="C184" s="1" t="s">
        <v>193</v>
      </c>
      <c r="D184" s="1" t="s">
        <v>589</v>
      </c>
      <c r="E184" s="2">
        <v>6031.55</v>
      </c>
      <c r="F184" s="3">
        <v>32788.800000000003</v>
      </c>
      <c r="G184" s="2">
        <v>38820.35</v>
      </c>
      <c r="H184" s="2">
        <v>0</v>
      </c>
      <c r="I184" s="4">
        <v>2331</v>
      </c>
      <c r="J184" s="3">
        <v>3.9</v>
      </c>
      <c r="K184" s="4">
        <v>35116</v>
      </c>
      <c r="L184" s="2">
        <v>293.91000000000003</v>
      </c>
      <c r="M184" s="2">
        <v>56.09</v>
      </c>
      <c r="N184" s="2">
        <v>61.57</v>
      </c>
      <c r="O184" s="2">
        <v>24.47</v>
      </c>
      <c r="P184" s="2">
        <v>3.1</v>
      </c>
      <c r="Q184" s="4">
        <v>11409689</v>
      </c>
      <c r="R184" s="4">
        <v>0</v>
      </c>
      <c r="S184" s="4">
        <v>11409689</v>
      </c>
      <c r="T184" s="4">
        <v>1969656</v>
      </c>
      <c r="U184" s="4">
        <v>2162092</v>
      </c>
      <c r="V184" s="4">
        <v>0</v>
      </c>
      <c r="W184" s="4">
        <v>949934</v>
      </c>
      <c r="X184" s="4">
        <v>120343</v>
      </c>
      <c r="Y184" s="4">
        <v>16611714</v>
      </c>
      <c r="Z184" s="4">
        <v>1502984</v>
      </c>
      <c r="AA184" s="4">
        <v>15108730</v>
      </c>
      <c r="AB184" s="4">
        <v>8806536</v>
      </c>
      <c r="AC184" s="4">
        <v>6302194</v>
      </c>
    </row>
    <row r="185" spans="1:29" x14ac:dyDescent="0.25">
      <c r="A185" s="1" t="s">
        <v>176</v>
      </c>
      <c r="B185" s="1" t="s">
        <v>738</v>
      </c>
      <c r="C185" s="1" t="s">
        <v>194</v>
      </c>
      <c r="D185" s="1" t="s">
        <v>590</v>
      </c>
      <c r="E185" s="2">
        <v>48.42</v>
      </c>
      <c r="F185" s="3">
        <v>575.4</v>
      </c>
      <c r="G185" s="2">
        <v>623.82000000000005</v>
      </c>
      <c r="H185" s="2">
        <v>0</v>
      </c>
      <c r="I185" s="4">
        <v>6</v>
      </c>
      <c r="J185" s="3">
        <v>0</v>
      </c>
      <c r="K185" s="4">
        <v>581</v>
      </c>
      <c r="L185" s="2">
        <v>293.91000000000003</v>
      </c>
      <c r="M185" s="2">
        <v>56.09</v>
      </c>
      <c r="N185" s="2">
        <v>61.57</v>
      </c>
      <c r="O185" s="2">
        <v>24.47</v>
      </c>
      <c r="P185" s="2">
        <v>3.1</v>
      </c>
      <c r="Q185" s="4">
        <v>183347</v>
      </c>
      <c r="R185" s="4">
        <v>10466</v>
      </c>
      <c r="S185" s="4">
        <v>193813</v>
      </c>
      <c r="T185" s="4">
        <v>32588</v>
      </c>
      <c r="U185" s="4">
        <v>35772</v>
      </c>
      <c r="V185" s="4">
        <v>0</v>
      </c>
      <c r="W185" s="4">
        <v>15265</v>
      </c>
      <c r="X185" s="4">
        <v>1934</v>
      </c>
      <c r="Y185" s="4">
        <v>279372</v>
      </c>
      <c r="Z185" s="4">
        <v>22833</v>
      </c>
      <c r="AA185" s="4">
        <v>256539</v>
      </c>
      <c r="AB185" s="4">
        <v>142835</v>
      </c>
      <c r="AC185" s="4">
        <v>113704</v>
      </c>
    </row>
    <row r="186" spans="1:29" x14ac:dyDescent="0.25">
      <c r="A186" s="1" t="s">
        <v>176</v>
      </c>
      <c r="B186" s="1" t="s">
        <v>738</v>
      </c>
      <c r="C186" s="1" t="s">
        <v>195</v>
      </c>
      <c r="D186" s="1" t="s">
        <v>591</v>
      </c>
      <c r="E186" s="2">
        <v>60.76</v>
      </c>
      <c r="F186" s="3">
        <v>427.2</v>
      </c>
      <c r="G186" s="2">
        <v>487.96</v>
      </c>
      <c r="H186" s="2">
        <v>0</v>
      </c>
      <c r="I186" s="4">
        <v>0</v>
      </c>
      <c r="J186" s="3">
        <v>0</v>
      </c>
      <c r="K186" s="4">
        <v>427</v>
      </c>
      <c r="L186" s="2">
        <v>293.91000000000003</v>
      </c>
      <c r="M186" s="2">
        <v>56.09</v>
      </c>
      <c r="N186" s="2">
        <v>61.57</v>
      </c>
      <c r="O186" s="2">
        <v>24.47</v>
      </c>
      <c r="P186" s="2">
        <v>3.1</v>
      </c>
      <c r="Q186" s="4">
        <v>143416</v>
      </c>
      <c r="R186" s="4">
        <v>12115</v>
      </c>
      <c r="S186" s="4">
        <v>155531</v>
      </c>
      <c r="T186" s="4">
        <v>23950</v>
      </c>
      <c r="U186" s="4">
        <v>26290</v>
      </c>
      <c r="V186" s="4">
        <v>0</v>
      </c>
      <c r="W186" s="4">
        <v>11940</v>
      </c>
      <c r="X186" s="4">
        <v>1513</v>
      </c>
      <c r="Y186" s="4">
        <v>219224</v>
      </c>
      <c r="Z186" s="4">
        <v>29687</v>
      </c>
      <c r="AA186" s="4">
        <v>189537</v>
      </c>
      <c r="AB186" s="4">
        <v>99900</v>
      </c>
      <c r="AC186" s="4">
        <v>89637</v>
      </c>
    </row>
    <row r="187" spans="1:29" x14ac:dyDescent="0.25">
      <c r="A187" s="1" t="s">
        <v>176</v>
      </c>
      <c r="B187" s="1" t="s">
        <v>738</v>
      </c>
      <c r="C187" s="1" t="s">
        <v>196</v>
      </c>
      <c r="D187" s="1" t="s">
        <v>592</v>
      </c>
      <c r="E187" s="2">
        <v>118.6</v>
      </c>
      <c r="F187" s="3">
        <v>1532.3</v>
      </c>
      <c r="G187" s="2">
        <v>1650.9</v>
      </c>
      <c r="H187" s="2">
        <v>0</v>
      </c>
      <c r="I187" s="4">
        <v>39</v>
      </c>
      <c r="J187" s="3">
        <v>0</v>
      </c>
      <c r="K187" s="4">
        <v>1571</v>
      </c>
      <c r="L187" s="2">
        <v>293.91000000000003</v>
      </c>
      <c r="M187" s="2">
        <v>56.09</v>
      </c>
      <c r="N187" s="2">
        <v>61.57</v>
      </c>
      <c r="O187" s="2">
        <v>24.47</v>
      </c>
      <c r="P187" s="2">
        <v>3.1</v>
      </c>
      <c r="Q187" s="4">
        <v>485216</v>
      </c>
      <c r="R187" s="4">
        <v>0</v>
      </c>
      <c r="S187" s="4">
        <v>485216</v>
      </c>
      <c r="T187" s="4">
        <v>88117</v>
      </c>
      <c r="U187" s="4">
        <v>96726</v>
      </c>
      <c r="V187" s="4">
        <v>0</v>
      </c>
      <c r="W187" s="4">
        <v>40398</v>
      </c>
      <c r="X187" s="4">
        <v>5118</v>
      </c>
      <c r="Y187" s="4">
        <v>715575</v>
      </c>
      <c r="Z187" s="4">
        <v>38933</v>
      </c>
      <c r="AA187" s="4">
        <v>676642</v>
      </c>
      <c r="AB187" s="4">
        <v>399497</v>
      </c>
      <c r="AC187" s="4">
        <v>277145</v>
      </c>
    </row>
    <row r="188" spans="1:29" x14ac:dyDescent="0.25">
      <c r="A188" s="1" t="s">
        <v>176</v>
      </c>
      <c r="B188" s="1" t="s">
        <v>738</v>
      </c>
      <c r="C188" s="1" t="s">
        <v>197</v>
      </c>
      <c r="D188" s="1" t="s">
        <v>593</v>
      </c>
      <c r="E188" s="2">
        <v>28.96</v>
      </c>
      <c r="F188" s="3">
        <v>275</v>
      </c>
      <c r="G188" s="2">
        <v>303.95999999999998</v>
      </c>
      <c r="H188" s="2">
        <v>0</v>
      </c>
      <c r="I188" s="4">
        <v>14</v>
      </c>
      <c r="J188" s="3">
        <v>0</v>
      </c>
      <c r="K188" s="4">
        <v>289</v>
      </c>
      <c r="L188" s="2">
        <v>293.91000000000003</v>
      </c>
      <c r="M188" s="2">
        <v>56.09</v>
      </c>
      <c r="N188" s="2">
        <v>61.57</v>
      </c>
      <c r="O188" s="2">
        <v>24.47</v>
      </c>
      <c r="P188" s="2">
        <v>3.1</v>
      </c>
      <c r="Q188" s="4">
        <v>89337</v>
      </c>
      <c r="R188" s="4">
        <v>8693</v>
      </c>
      <c r="S188" s="4">
        <v>98030</v>
      </c>
      <c r="T188" s="4">
        <v>16210</v>
      </c>
      <c r="U188" s="4">
        <v>17794</v>
      </c>
      <c r="V188" s="4">
        <v>0</v>
      </c>
      <c r="W188" s="4">
        <v>7438</v>
      </c>
      <c r="X188" s="4">
        <v>942</v>
      </c>
      <c r="Y188" s="4">
        <v>140414</v>
      </c>
      <c r="Z188" s="4">
        <v>17419</v>
      </c>
      <c r="AA188" s="4">
        <v>122995</v>
      </c>
      <c r="AB188" s="4">
        <v>63303</v>
      </c>
      <c r="AC188" s="4">
        <v>59692</v>
      </c>
    </row>
    <row r="189" spans="1:29" x14ac:dyDescent="0.25">
      <c r="A189" s="1" t="s">
        <v>176</v>
      </c>
      <c r="B189" s="1" t="s">
        <v>738</v>
      </c>
      <c r="C189" s="1" t="s">
        <v>198</v>
      </c>
      <c r="D189" s="1" t="s">
        <v>594</v>
      </c>
      <c r="E189" s="2">
        <v>42.78</v>
      </c>
      <c r="F189" s="3">
        <v>431.8</v>
      </c>
      <c r="G189" s="2">
        <v>474.58</v>
      </c>
      <c r="H189" s="2">
        <v>0</v>
      </c>
      <c r="I189" s="4">
        <v>0</v>
      </c>
      <c r="J189" s="3">
        <v>0</v>
      </c>
      <c r="K189" s="4">
        <v>432</v>
      </c>
      <c r="L189" s="2">
        <v>293.91000000000003</v>
      </c>
      <c r="M189" s="2">
        <v>56.09</v>
      </c>
      <c r="N189" s="2">
        <v>61.57</v>
      </c>
      <c r="O189" s="2">
        <v>24.47</v>
      </c>
      <c r="P189" s="2">
        <v>3.1</v>
      </c>
      <c r="Q189" s="4">
        <v>139484</v>
      </c>
      <c r="R189" s="4">
        <v>10396</v>
      </c>
      <c r="S189" s="4">
        <v>149880</v>
      </c>
      <c r="T189" s="4">
        <v>24231</v>
      </c>
      <c r="U189" s="4">
        <v>26598</v>
      </c>
      <c r="V189" s="4">
        <v>0</v>
      </c>
      <c r="W189" s="4">
        <v>11662</v>
      </c>
      <c r="X189" s="4">
        <v>1482</v>
      </c>
      <c r="Y189" s="4">
        <v>213853</v>
      </c>
      <c r="Z189" s="4">
        <v>21657</v>
      </c>
      <c r="AA189" s="4">
        <v>192196</v>
      </c>
      <c r="AB189" s="4">
        <v>104437</v>
      </c>
      <c r="AC189" s="4">
        <v>87759</v>
      </c>
    </row>
    <row r="190" spans="1:29" x14ac:dyDescent="0.25">
      <c r="A190" s="1" t="s">
        <v>176</v>
      </c>
      <c r="B190" s="1" t="s">
        <v>738</v>
      </c>
      <c r="C190" s="1" t="s">
        <v>199</v>
      </c>
      <c r="D190" s="1" t="s">
        <v>595</v>
      </c>
      <c r="E190" s="2">
        <v>386.79</v>
      </c>
      <c r="F190" s="3">
        <v>3496.6</v>
      </c>
      <c r="G190" s="2">
        <v>3883.39</v>
      </c>
      <c r="H190" s="2">
        <v>0</v>
      </c>
      <c r="I190" s="4">
        <v>13</v>
      </c>
      <c r="J190" s="3">
        <v>0</v>
      </c>
      <c r="K190" s="4">
        <v>3510</v>
      </c>
      <c r="L190" s="2">
        <v>293.91000000000003</v>
      </c>
      <c r="M190" s="2">
        <v>56.09</v>
      </c>
      <c r="N190" s="2">
        <v>61.57</v>
      </c>
      <c r="O190" s="2">
        <v>24.47</v>
      </c>
      <c r="P190" s="2">
        <v>3.1</v>
      </c>
      <c r="Q190" s="4">
        <v>1141367</v>
      </c>
      <c r="R190" s="4">
        <v>0</v>
      </c>
      <c r="S190" s="4">
        <v>1141367</v>
      </c>
      <c r="T190" s="4">
        <v>196876</v>
      </c>
      <c r="U190" s="4">
        <v>216111</v>
      </c>
      <c r="V190" s="4">
        <v>0</v>
      </c>
      <c r="W190" s="4">
        <v>95027</v>
      </c>
      <c r="X190" s="4">
        <v>12039</v>
      </c>
      <c r="Y190" s="4">
        <v>1661420</v>
      </c>
      <c r="Z190" s="4">
        <v>139171</v>
      </c>
      <c r="AA190" s="4">
        <v>1522249</v>
      </c>
      <c r="AB190" s="4">
        <v>892142</v>
      </c>
      <c r="AC190" s="4">
        <v>630107</v>
      </c>
    </row>
    <row r="191" spans="1:29" x14ac:dyDescent="0.25">
      <c r="A191" s="1" t="s">
        <v>176</v>
      </c>
      <c r="B191" s="1" t="s">
        <v>738</v>
      </c>
      <c r="C191" s="1" t="s">
        <v>200</v>
      </c>
      <c r="D191" s="1" t="s">
        <v>596</v>
      </c>
      <c r="E191" s="2">
        <v>91.14</v>
      </c>
      <c r="F191" s="3">
        <v>860.8</v>
      </c>
      <c r="G191" s="2">
        <v>951.94</v>
      </c>
      <c r="H191" s="2">
        <v>0</v>
      </c>
      <c r="I191" s="4">
        <v>3</v>
      </c>
      <c r="J191" s="3">
        <v>0</v>
      </c>
      <c r="K191" s="4">
        <v>864</v>
      </c>
      <c r="L191" s="2">
        <v>293.91000000000003</v>
      </c>
      <c r="M191" s="2">
        <v>56.09</v>
      </c>
      <c r="N191" s="2">
        <v>61.57</v>
      </c>
      <c r="O191" s="2">
        <v>24.47</v>
      </c>
      <c r="P191" s="2">
        <v>3.1</v>
      </c>
      <c r="Q191" s="4">
        <v>279785</v>
      </c>
      <c r="R191" s="4">
        <v>0</v>
      </c>
      <c r="S191" s="4">
        <v>279785</v>
      </c>
      <c r="T191" s="4">
        <v>48462</v>
      </c>
      <c r="U191" s="4">
        <v>53196</v>
      </c>
      <c r="V191" s="4">
        <v>0</v>
      </c>
      <c r="W191" s="4">
        <v>23294</v>
      </c>
      <c r="X191" s="4">
        <v>2951</v>
      </c>
      <c r="Y191" s="4">
        <v>407688</v>
      </c>
      <c r="Z191" s="4">
        <v>33511</v>
      </c>
      <c r="AA191" s="4">
        <v>374177</v>
      </c>
      <c r="AB191" s="4">
        <v>219296</v>
      </c>
      <c r="AC191" s="4">
        <v>154881</v>
      </c>
    </row>
    <row r="192" spans="1:29" x14ac:dyDescent="0.25">
      <c r="A192" s="1" t="s">
        <v>176</v>
      </c>
      <c r="B192" s="1" t="s">
        <v>738</v>
      </c>
      <c r="C192" s="1" t="s">
        <v>201</v>
      </c>
      <c r="D192" s="1" t="s">
        <v>597</v>
      </c>
      <c r="E192" s="2">
        <v>668.36</v>
      </c>
      <c r="F192" s="3">
        <v>7057.6</v>
      </c>
      <c r="G192" s="2">
        <v>7725.96</v>
      </c>
      <c r="H192" s="2">
        <v>0</v>
      </c>
      <c r="I192" s="4">
        <v>365</v>
      </c>
      <c r="J192" s="3">
        <v>0</v>
      </c>
      <c r="K192" s="4">
        <v>7423</v>
      </c>
      <c r="L192" s="2">
        <v>293.91000000000003</v>
      </c>
      <c r="M192" s="2">
        <v>56.09</v>
      </c>
      <c r="N192" s="2">
        <v>61.57</v>
      </c>
      <c r="O192" s="2">
        <v>24.47</v>
      </c>
      <c r="P192" s="2">
        <v>3.1</v>
      </c>
      <c r="Q192" s="4">
        <v>2270737</v>
      </c>
      <c r="R192" s="4">
        <v>0</v>
      </c>
      <c r="S192" s="4">
        <v>2270737</v>
      </c>
      <c r="T192" s="4">
        <v>416356</v>
      </c>
      <c r="U192" s="4">
        <v>457034</v>
      </c>
      <c r="V192" s="4">
        <v>0</v>
      </c>
      <c r="W192" s="4">
        <v>189054</v>
      </c>
      <c r="X192" s="4">
        <v>23950</v>
      </c>
      <c r="Y192" s="4">
        <v>3357131</v>
      </c>
      <c r="Z192" s="4">
        <v>179185</v>
      </c>
      <c r="AA192" s="4">
        <v>3177946</v>
      </c>
      <c r="AB192" s="4">
        <v>1872597</v>
      </c>
      <c r="AC192" s="4">
        <v>1305349</v>
      </c>
    </row>
    <row r="193" spans="1:29" x14ac:dyDescent="0.25">
      <c r="A193" s="1" t="s">
        <v>176</v>
      </c>
      <c r="B193" s="1" t="s">
        <v>738</v>
      </c>
      <c r="C193" s="1" t="s">
        <v>202</v>
      </c>
      <c r="D193" s="1" t="s">
        <v>598</v>
      </c>
      <c r="E193" s="2">
        <v>254.38</v>
      </c>
      <c r="F193" s="3">
        <v>1757.7</v>
      </c>
      <c r="G193" s="2">
        <v>2012.08</v>
      </c>
      <c r="H193" s="2">
        <v>0</v>
      </c>
      <c r="I193" s="4">
        <v>21</v>
      </c>
      <c r="J193" s="3">
        <v>0</v>
      </c>
      <c r="K193" s="4">
        <v>1779</v>
      </c>
      <c r="L193" s="2">
        <v>293.91000000000003</v>
      </c>
      <c r="M193" s="2">
        <v>56.09</v>
      </c>
      <c r="N193" s="2">
        <v>61.57</v>
      </c>
      <c r="O193" s="2">
        <v>24.47</v>
      </c>
      <c r="P193" s="2">
        <v>3.1</v>
      </c>
      <c r="Q193" s="4">
        <v>591370</v>
      </c>
      <c r="R193" s="4">
        <v>0</v>
      </c>
      <c r="S193" s="4">
        <v>591370</v>
      </c>
      <c r="T193" s="4">
        <v>99784</v>
      </c>
      <c r="U193" s="4">
        <v>109533</v>
      </c>
      <c r="V193" s="4">
        <v>0</v>
      </c>
      <c r="W193" s="4">
        <v>49236</v>
      </c>
      <c r="X193" s="4">
        <v>6237</v>
      </c>
      <c r="Y193" s="4">
        <v>856160</v>
      </c>
      <c r="Z193" s="4">
        <v>89650</v>
      </c>
      <c r="AA193" s="4">
        <v>766510</v>
      </c>
      <c r="AB193" s="4">
        <v>444698</v>
      </c>
      <c r="AC193" s="4">
        <v>321812</v>
      </c>
    </row>
    <row r="194" spans="1:29" x14ac:dyDescent="0.25">
      <c r="A194" s="1" t="s">
        <v>176</v>
      </c>
      <c r="B194" s="1" t="s">
        <v>738</v>
      </c>
      <c r="C194" s="1" t="s">
        <v>203</v>
      </c>
      <c r="D194" s="1" t="s">
        <v>599</v>
      </c>
      <c r="E194" s="2">
        <v>57.08</v>
      </c>
      <c r="F194" s="3">
        <v>463.3</v>
      </c>
      <c r="G194" s="2">
        <v>520.38</v>
      </c>
      <c r="H194" s="2">
        <v>0</v>
      </c>
      <c r="I194" s="4">
        <v>47</v>
      </c>
      <c r="J194" s="3">
        <v>0</v>
      </c>
      <c r="K194" s="4">
        <v>510</v>
      </c>
      <c r="L194" s="2">
        <v>293.91000000000003</v>
      </c>
      <c r="M194" s="2">
        <v>56.09</v>
      </c>
      <c r="N194" s="2">
        <v>61.57</v>
      </c>
      <c r="O194" s="2">
        <v>24.47</v>
      </c>
      <c r="P194" s="2">
        <v>3.1</v>
      </c>
      <c r="Q194" s="4">
        <v>152945</v>
      </c>
      <c r="R194" s="4">
        <v>0</v>
      </c>
      <c r="S194" s="4">
        <v>152945</v>
      </c>
      <c r="T194" s="4">
        <v>28606</v>
      </c>
      <c r="U194" s="4">
        <v>31401</v>
      </c>
      <c r="V194" s="4">
        <v>0</v>
      </c>
      <c r="W194" s="4">
        <v>12734</v>
      </c>
      <c r="X194" s="4">
        <v>1613</v>
      </c>
      <c r="Y194" s="4">
        <v>227299</v>
      </c>
      <c r="Z194" s="4">
        <v>23232</v>
      </c>
      <c r="AA194" s="4">
        <v>204067</v>
      </c>
      <c r="AB194" s="4">
        <v>114965</v>
      </c>
      <c r="AC194" s="4">
        <v>89102</v>
      </c>
    </row>
    <row r="195" spans="1:29" x14ac:dyDescent="0.25">
      <c r="A195" s="1" t="s">
        <v>176</v>
      </c>
      <c r="B195" s="1" t="s">
        <v>738</v>
      </c>
      <c r="C195" s="1" t="s">
        <v>204</v>
      </c>
      <c r="D195" s="1" t="s">
        <v>600</v>
      </c>
      <c r="E195" s="2">
        <v>74.91</v>
      </c>
      <c r="F195" s="3">
        <v>662.3</v>
      </c>
      <c r="G195" s="2">
        <v>737.21</v>
      </c>
      <c r="H195" s="2">
        <v>0</v>
      </c>
      <c r="I195" s="4">
        <v>11</v>
      </c>
      <c r="J195" s="3">
        <v>0</v>
      </c>
      <c r="K195" s="4">
        <v>673</v>
      </c>
      <c r="L195" s="2">
        <v>293.91000000000003</v>
      </c>
      <c r="M195" s="2">
        <v>56.09</v>
      </c>
      <c r="N195" s="2">
        <v>61.57</v>
      </c>
      <c r="O195" s="2">
        <v>24.47</v>
      </c>
      <c r="P195" s="2">
        <v>3.1</v>
      </c>
      <c r="Q195" s="4">
        <v>216673</v>
      </c>
      <c r="R195" s="4">
        <v>2108</v>
      </c>
      <c r="S195" s="4">
        <v>218781</v>
      </c>
      <c r="T195" s="4">
        <v>37749</v>
      </c>
      <c r="U195" s="4">
        <v>41437</v>
      </c>
      <c r="V195" s="4">
        <v>0</v>
      </c>
      <c r="W195" s="4">
        <v>18040</v>
      </c>
      <c r="X195" s="4">
        <v>2285</v>
      </c>
      <c r="Y195" s="4">
        <v>318292</v>
      </c>
      <c r="Z195" s="4">
        <v>25816</v>
      </c>
      <c r="AA195" s="4">
        <v>292476</v>
      </c>
      <c r="AB195" s="4">
        <v>169965</v>
      </c>
      <c r="AC195" s="4">
        <v>122511</v>
      </c>
    </row>
    <row r="196" spans="1:29" x14ac:dyDescent="0.25">
      <c r="A196" s="1" t="s">
        <v>176</v>
      </c>
      <c r="B196" s="1" t="s">
        <v>738</v>
      </c>
      <c r="C196" s="1" t="s">
        <v>205</v>
      </c>
      <c r="D196" s="1" t="s">
        <v>601</v>
      </c>
      <c r="E196" s="2">
        <v>51.78</v>
      </c>
      <c r="F196" s="3">
        <v>516.70000000000005</v>
      </c>
      <c r="G196" s="2">
        <v>568.48</v>
      </c>
      <c r="H196" s="2">
        <v>0</v>
      </c>
      <c r="I196" s="4">
        <v>23</v>
      </c>
      <c r="J196" s="3">
        <v>0</v>
      </c>
      <c r="K196" s="4">
        <v>540</v>
      </c>
      <c r="L196" s="2">
        <v>293.91000000000003</v>
      </c>
      <c r="M196" s="2">
        <v>56.09</v>
      </c>
      <c r="N196" s="2">
        <v>61.57</v>
      </c>
      <c r="O196" s="2">
        <v>24.47</v>
      </c>
      <c r="P196" s="2">
        <v>3.1</v>
      </c>
      <c r="Q196" s="4">
        <v>167082</v>
      </c>
      <c r="R196" s="4">
        <v>0</v>
      </c>
      <c r="S196" s="4">
        <v>167082</v>
      </c>
      <c r="T196" s="4">
        <v>30289</v>
      </c>
      <c r="U196" s="4">
        <v>33248</v>
      </c>
      <c r="V196" s="4">
        <v>0</v>
      </c>
      <c r="W196" s="4">
        <v>13911</v>
      </c>
      <c r="X196" s="4">
        <v>1762</v>
      </c>
      <c r="Y196" s="4">
        <v>246292</v>
      </c>
      <c r="Z196" s="4">
        <v>22923</v>
      </c>
      <c r="AA196" s="4">
        <v>223369</v>
      </c>
      <c r="AB196" s="4">
        <v>128048</v>
      </c>
      <c r="AC196" s="4">
        <v>95321</v>
      </c>
    </row>
    <row r="197" spans="1:29" x14ac:dyDescent="0.25">
      <c r="A197" s="1" t="s">
        <v>176</v>
      </c>
      <c r="B197" s="1" t="s">
        <v>738</v>
      </c>
      <c r="C197" s="1" t="s">
        <v>206</v>
      </c>
      <c r="D197" s="1" t="s">
        <v>602</v>
      </c>
      <c r="E197" s="2">
        <v>50.03</v>
      </c>
      <c r="F197" s="3">
        <v>345.1</v>
      </c>
      <c r="G197" s="2">
        <v>395.13</v>
      </c>
      <c r="H197" s="2">
        <v>0</v>
      </c>
      <c r="I197" s="4">
        <v>0</v>
      </c>
      <c r="J197" s="3">
        <v>0</v>
      </c>
      <c r="K197" s="4">
        <v>345</v>
      </c>
      <c r="L197" s="2">
        <v>293.91000000000003</v>
      </c>
      <c r="M197" s="2">
        <v>56.09</v>
      </c>
      <c r="N197" s="2">
        <v>61.57</v>
      </c>
      <c r="O197" s="2">
        <v>24.47</v>
      </c>
      <c r="P197" s="2">
        <v>3.1</v>
      </c>
      <c r="Q197" s="4">
        <v>116133</v>
      </c>
      <c r="R197" s="4">
        <v>0</v>
      </c>
      <c r="S197" s="4">
        <v>116133</v>
      </c>
      <c r="T197" s="4">
        <v>19351</v>
      </c>
      <c r="U197" s="4">
        <v>21242</v>
      </c>
      <c r="V197" s="4">
        <v>0</v>
      </c>
      <c r="W197" s="4">
        <v>9669</v>
      </c>
      <c r="X197" s="4">
        <v>1225</v>
      </c>
      <c r="Y197" s="4">
        <v>167620</v>
      </c>
      <c r="Z197" s="4">
        <v>20816</v>
      </c>
      <c r="AA197" s="4">
        <v>146804</v>
      </c>
      <c r="AB197" s="4">
        <v>84119</v>
      </c>
      <c r="AC197" s="4">
        <v>62685</v>
      </c>
    </row>
    <row r="198" spans="1:29" x14ac:dyDescent="0.25">
      <c r="A198" s="1" t="s">
        <v>176</v>
      </c>
      <c r="B198" s="1" t="s">
        <v>738</v>
      </c>
      <c r="C198" s="1" t="s">
        <v>207</v>
      </c>
      <c r="D198" s="1" t="s">
        <v>603</v>
      </c>
      <c r="E198" s="2">
        <v>185.98</v>
      </c>
      <c r="F198" s="3">
        <v>1482.3</v>
      </c>
      <c r="G198" s="2">
        <v>1668.28</v>
      </c>
      <c r="H198" s="2">
        <v>0</v>
      </c>
      <c r="I198" s="4">
        <v>6</v>
      </c>
      <c r="J198" s="3">
        <v>0</v>
      </c>
      <c r="K198" s="4">
        <v>1488</v>
      </c>
      <c r="L198" s="2">
        <v>293.91000000000003</v>
      </c>
      <c r="M198" s="2">
        <v>56.09</v>
      </c>
      <c r="N198" s="2">
        <v>61.57</v>
      </c>
      <c r="O198" s="2">
        <v>24.47</v>
      </c>
      <c r="P198" s="2">
        <v>3.1</v>
      </c>
      <c r="Q198" s="4">
        <v>490324</v>
      </c>
      <c r="R198" s="4">
        <v>5319</v>
      </c>
      <c r="S198" s="4">
        <v>495643</v>
      </c>
      <c r="T198" s="4">
        <v>83462</v>
      </c>
      <c r="U198" s="4">
        <v>91616</v>
      </c>
      <c r="V198" s="4">
        <v>0</v>
      </c>
      <c r="W198" s="4">
        <v>40823</v>
      </c>
      <c r="X198" s="4">
        <v>5172</v>
      </c>
      <c r="Y198" s="4">
        <v>716716</v>
      </c>
      <c r="Z198" s="4">
        <v>69114</v>
      </c>
      <c r="AA198" s="4">
        <v>647602</v>
      </c>
      <c r="AB198" s="4">
        <v>373932</v>
      </c>
      <c r="AC198" s="4">
        <v>273670</v>
      </c>
    </row>
    <row r="199" spans="1:29" x14ac:dyDescent="0.25">
      <c r="A199" s="1" t="s">
        <v>176</v>
      </c>
      <c r="B199" s="1" t="s">
        <v>738</v>
      </c>
      <c r="C199" s="1" t="s">
        <v>208</v>
      </c>
      <c r="D199" s="1" t="s">
        <v>604</v>
      </c>
      <c r="E199" s="2">
        <v>413.63</v>
      </c>
      <c r="F199" s="3">
        <v>3031.4</v>
      </c>
      <c r="G199" s="2">
        <v>3445.03</v>
      </c>
      <c r="H199" s="2">
        <v>0</v>
      </c>
      <c r="I199" s="4">
        <v>96</v>
      </c>
      <c r="J199" s="3">
        <v>1.1000000000000001</v>
      </c>
      <c r="K199" s="4">
        <v>3126</v>
      </c>
      <c r="L199" s="2">
        <v>293.91000000000003</v>
      </c>
      <c r="M199" s="2">
        <v>56.09</v>
      </c>
      <c r="N199" s="2">
        <v>61.57</v>
      </c>
      <c r="O199" s="2">
        <v>24.47</v>
      </c>
      <c r="P199" s="2">
        <v>3.1</v>
      </c>
      <c r="Q199" s="4">
        <v>1012529</v>
      </c>
      <c r="R199" s="4">
        <v>0</v>
      </c>
      <c r="S199" s="4">
        <v>1012529</v>
      </c>
      <c r="T199" s="4">
        <v>175337</v>
      </c>
      <c r="U199" s="4">
        <v>192468</v>
      </c>
      <c r="V199" s="4">
        <v>0</v>
      </c>
      <c r="W199" s="4">
        <v>84300</v>
      </c>
      <c r="X199" s="4">
        <v>10680</v>
      </c>
      <c r="Y199" s="4">
        <v>1475314</v>
      </c>
      <c r="Z199" s="4">
        <v>154889</v>
      </c>
      <c r="AA199" s="4">
        <v>1320425</v>
      </c>
      <c r="AB199" s="4">
        <v>760008</v>
      </c>
      <c r="AC199" s="4">
        <v>560417</v>
      </c>
    </row>
    <row r="200" spans="1:29" x14ac:dyDescent="0.25">
      <c r="A200" s="1" t="s">
        <v>176</v>
      </c>
      <c r="B200" s="1" t="s">
        <v>738</v>
      </c>
      <c r="C200" s="1" t="s">
        <v>209</v>
      </c>
      <c r="D200" s="1" t="s">
        <v>605</v>
      </c>
      <c r="E200" s="2">
        <v>100.93</v>
      </c>
      <c r="F200" s="3">
        <v>1727.5</v>
      </c>
      <c r="G200" s="2">
        <v>1828.43</v>
      </c>
      <c r="H200" s="2">
        <v>0</v>
      </c>
      <c r="I200" s="4">
        <v>36</v>
      </c>
      <c r="J200" s="3">
        <v>0</v>
      </c>
      <c r="K200" s="4">
        <v>1764</v>
      </c>
      <c r="L200" s="2">
        <v>293.91000000000003</v>
      </c>
      <c r="M200" s="2">
        <v>56.09</v>
      </c>
      <c r="N200" s="2">
        <v>61.57</v>
      </c>
      <c r="O200" s="2">
        <v>24.47</v>
      </c>
      <c r="P200" s="2">
        <v>3.1</v>
      </c>
      <c r="Q200" s="4">
        <v>537394</v>
      </c>
      <c r="R200" s="4">
        <v>0</v>
      </c>
      <c r="S200" s="4">
        <v>537394</v>
      </c>
      <c r="T200" s="4">
        <v>98943</v>
      </c>
      <c r="U200" s="4">
        <v>108609</v>
      </c>
      <c r="V200" s="4">
        <v>0</v>
      </c>
      <c r="W200" s="4">
        <v>44742</v>
      </c>
      <c r="X200" s="4">
        <v>5668</v>
      </c>
      <c r="Y200" s="4">
        <v>795356</v>
      </c>
      <c r="Z200" s="4">
        <v>39904</v>
      </c>
      <c r="AA200" s="4">
        <v>755452</v>
      </c>
      <c r="AB200" s="4">
        <v>445672</v>
      </c>
      <c r="AC200" s="4">
        <v>309780</v>
      </c>
    </row>
    <row r="201" spans="1:29" x14ac:dyDescent="0.25">
      <c r="A201" s="1" t="s">
        <v>176</v>
      </c>
      <c r="B201" s="1" t="s">
        <v>738</v>
      </c>
      <c r="C201" s="1" t="s">
        <v>210</v>
      </c>
      <c r="D201" s="1" t="s">
        <v>606</v>
      </c>
      <c r="E201" s="2">
        <v>313.39999999999998</v>
      </c>
      <c r="F201" s="3">
        <v>2993.6</v>
      </c>
      <c r="G201" s="2">
        <v>3307</v>
      </c>
      <c r="H201" s="2">
        <v>0</v>
      </c>
      <c r="I201" s="4">
        <v>58</v>
      </c>
      <c r="J201" s="3">
        <v>0</v>
      </c>
      <c r="K201" s="4">
        <v>3052</v>
      </c>
      <c r="L201" s="2">
        <v>293.91000000000003</v>
      </c>
      <c r="M201" s="2">
        <v>56.09</v>
      </c>
      <c r="N201" s="2">
        <v>61.57</v>
      </c>
      <c r="O201" s="2">
        <v>24.47</v>
      </c>
      <c r="P201" s="2">
        <v>3.1</v>
      </c>
      <c r="Q201" s="4">
        <v>971960</v>
      </c>
      <c r="R201" s="4">
        <v>0</v>
      </c>
      <c r="S201" s="4">
        <v>971960</v>
      </c>
      <c r="T201" s="4">
        <v>171187</v>
      </c>
      <c r="U201" s="4">
        <v>187912</v>
      </c>
      <c r="V201" s="4">
        <v>0</v>
      </c>
      <c r="W201" s="4">
        <v>80922</v>
      </c>
      <c r="X201" s="4">
        <v>10252</v>
      </c>
      <c r="Y201" s="4">
        <v>1422233</v>
      </c>
      <c r="Z201" s="4">
        <v>95234</v>
      </c>
      <c r="AA201" s="4">
        <v>1326999</v>
      </c>
      <c r="AB201" s="4">
        <v>783006</v>
      </c>
      <c r="AC201" s="4">
        <v>543993</v>
      </c>
    </row>
    <row r="202" spans="1:29" x14ac:dyDescent="0.25">
      <c r="A202" s="1" t="s">
        <v>176</v>
      </c>
      <c r="B202" s="1" t="s">
        <v>738</v>
      </c>
      <c r="C202" s="1" t="s">
        <v>211</v>
      </c>
      <c r="D202" s="1" t="s">
        <v>607</v>
      </c>
      <c r="E202" s="2">
        <v>65.849999999999994</v>
      </c>
      <c r="F202" s="3">
        <v>609.20000000000005</v>
      </c>
      <c r="G202" s="2">
        <v>675.05</v>
      </c>
      <c r="H202" s="2">
        <v>0</v>
      </c>
      <c r="I202" s="4">
        <v>8</v>
      </c>
      <c r="J202" s="3">
        <v>0</v>
      </c>
      <c r="K202" s="4">
        <v>617</v>
      </c>
      <c r="L202" s="2">
        <v>293.91000000000003</v>
      </c>
      <c r="M202" s="2">
        <v>56.09</v>
      </c>
      <c r="N202" s="2">
        <v>61.57</v>
      </c>
      <c r="O202" s="2">
        <v>24.47</v>
      </c>
      <c r="P202" s="2">
        <v>3.1</v>
      </c>
      <c r="Q202" s="4">
        <v>198404</v>
      </c>
      <c r="R202" s="4">
        <v>572</v>
      </c>
      <c r="S202" s="4">
        <v>198976</v>
      </c>
      <c r="T202" s="4">
        <v>34608</v>
      </c>
      <c r="U202" s="4">
        <v>37989</v>
      </c>
      <c r="V202" s="4">
        <v>0</v>
      </c>
      <c r="W202" s="4">
        <v>16518</v>
      </c>
      <c r="X202" s="4">
        <v>2093</v>
      </c>
      <c r="Y202" s="4">
        <v>290184</v>
      </c>
      <c r="Z202" s="4">
        <v>31557</v>
      </c>
      <c r="AA202" s="4">
        <v>258627</v>
      </c>
      <c r="AB202" s="4">
        <v>147716</v>
      </c>
      <c r="AC202" s="4">
        <v>110911</v>
      </c>
    </row>
    <row r="203" spans="1:29" x14ac:dyDescent="0.25">
      <c r="A203" s="1" t="s">
        <v>176</v>
      </c>
      <c r="B203" s="1" t="s">
        <v>738</v>
      </c>
      <c r="C203" s="1" t="s">
        <v>213</v>
      </c>
      <c r="D203" s="1" t="s">
        <v>214</v>
      </c>
      <c r="E203" s="2">
        <v>107.76</v>
      </c>
      <c r="F203" s="3">
        <v>1070.9000000000001</v>
      </c>
      <c r="G203" s="2">
        <v>1178.6600000000001</v>
      </c>
      <c r="H203" s="2">
        <v>0</v>
      </c>
      <c r="I203" s="4">
        <v>20</v>
      </c>
      <c r="J203" s="3">
        <v>0</v>
      </c>
      <c r="K203" s="4">
        <v>1091</v>
      </c>
      <c r="L203" s="2">
        <v>293.91000000000003</v>
      </c>
      <c r="M203" s="2">
        <v>56.09</v>
      </c>
      <c r="N203" s="2">
        <v>61.57</v>
      </c>
      <c r="O203" s="2">
        <v>24.47</v>
      </c>
      <c r="P203" s="2">
        <v>3.1</v>
      </c>
      <c r="Q203" s="4">
        <v>346420</v>
      </c>
      <c r="R203" s="4">
        <v>0</v>
      </c>
      <c r="S203" s="4">
        <v>346420</v>
      </c>
      <c r="T203" s="4">
        <v>61194</v>
      </c>
      <c r="U203" s="4">
        <v>67173</v>
      </c>
      <c r="V203" s="4">
        <v>0</v>
      </c>
      <c r="W203" s="4">
        <v>28842</v>
      </c>
      <c r="X203" s="4">
        <v>3654</v>
      </c>
      <c r="Y203" s="4">
        <v>507283</v>
      </c>
      <c r="Z203" s="4">
        <v>44572</v>
      </c>
      <c r="AA203" s="4">
        <v>462711</v>
      </c>
      <c r="AB203" s="4">
        <v>268445</v>
      </c>
      <c r="AC203" s="4">
        <v>194266</v>
      </c>
    </row>
    <row r="204" spans="1:29" x14ac:dyDescent="0.25">
      <c r="A204" s="1" t="s">
        <v>176</v>
      </c>
      <c r="B204" s="1" t="s">
        <v>738</v>
      </c>
      <c r="C204" s="1" t="s">
        <v>212</v>
      </c>
      <c r="D204" s="1" t="s">
        <v>608</v>
      </c>
      <c r="E204" s="2">
        <v>73.959999999999994</v>
      </c>
      <c r="F204" s="3">
        <v>696.9</v>
      </c>
      <c r="G204" s="2">
        <v>770.86</v>
      </c>
      <c r="H204" s="2">
        <v>0</v>
      </c>
      <c r="I204" s="4">
        <v>7</v>
      </c>
      <c r="J204" s="3">
        <v>0</v>
      </c>
      <c r="K204" s="4">
        <v>704</v>
      </c>
      <c r="L204" s="2">
        <v>293.91000000000003</v>
      </c>
      <c r="M204" s="2">
        <v>56.09</v>
      </c>
      <c r="N204" s="2">
        <v>61.57</v>
      </c>
      <c r="O204" s="2">
        <v>24.47</v>
      </c>
      <c r="P204" s="2">
        <v>3.1</v>
      </c>
      <c r="Q204" s="4">
        <v>226563</v>
      </c>
      <c r="R204" s="4">
        <v>1016</v>
      </c>
      <c r="S204" s="4">
        <v>227579</v>
      </c>
      <c r="T204" s="4">
        <v>39487</v>
      </c>
      <c r="U204" s="4">
        <v>43345</v>
      </c>
      <c r="V204" s="4">
        <v>0</v>
      </c>
      <c r="W204" s="4">
        <v>18863</v>
      </c>
      <c r="X204" s="4">
        <v>2390</v>
      </c>
      <c r="Y204" s="4">
        <v>331664</v>
      </c>
      <c r="Z204" s="4">
        <v>32669</v>
      </c>
      <c r="AA204" s="4">
        <v>298995</v>
      </c>
      <c r="AB204" s="4">
        <v>172049</v>
      </c>
      <c r="AC204" s="4">
        <v>126946</v>
      </c>
    </row>
    <row r="205" spans="1:29" x14ac:dyDescent="0.25">
      <c r="A205" s="1" t="s">
        <v>176</v>
      </c>
      <c r="B205" s="1" t="s">
        <v>738</v>
      </c>
      <c r="C205" s="1" t="s">
        <v>215</v>
      </c>
      <c r="D205" s="1" t="s">
        <v>609</v>
      </c>
      <c r="E205" s="2">
        <v>225.71</v>
      </c>
      <c r="F205" s="3">
        <v>2159.9</v>
      </c>
      <c r="G205" s="2">
        <v>2385.61</v>
      </c>
      <c r="H205" s="2">
        <v>0</v>
      </c>
      <c r="I205" s="4">
        <v>609</v>
      </c>
      <c r="J205" s="3">
        <v>5.4</v>
      </c>
      <c r="K205" s="4">
        <v>2764</v>
      </c>
      <c r="L205" s="2">
        <v>293.91000000000003</v>
      </c>
      <c r="M205" s="2">
        <v>56.09</v>
      </c>
      <c r="N205" s="2">
        <v>61.57</v>
      </c>
      <c r="O205" s="2">
        <v>24.47</v>
      </c>
      <c r="P205" s="2">
        <v>3.1</v>
      </c>
      <c r="Q205" s="4">
        <v>701155</v>
      </c>
      <c r="R205" s="4">
        <v>0</v>
      </c>
      <c r="S205" s="4">
        <v>701155</v>
      </c>
      <c r="T205" s="4">
        <v>155033</v>
      </c>
      <c r="U205" s="4">
        <v>170179</v>
      </c>
      <c r="V205" s="4">
        <v>0</v>
      </c>
      <c r="W205" s="4">
        <v>58376</v>
      </c>
      <c r="X205" s="4">
        <v>7395</v>
      </c>
      <c r="Y205" s="4">
        <v>1092138</v>
      </c>
      <c r="Z205" s="4">
        <v>94924</v>
      </c>
      <c r="AA205" s="4">
        <v>997214</v>
      </c>
      <c r="AB205" s="4">
        <v>538622</v>
      </c>
      <c r="AC205" s="4">
        <v>458592</v>
      </c>
    </row>
    <row r="206" spans="1:29" x14ac:dyDescent="0.25">
      <c r="A206" s="1" t="s">
        <v>176</v>
      </c>
      <c r="B206" s="1" t="s">
        <v>738</v>
      </c>
      <c r="C206" s="1" t="s">
        <v>216</v>
      </c>
      <c r="D206" s="1" t="s">
        <v>610</v>
      </c>
      <c r="E206" s="2">
        <v>220.84</v>
      </c>
      <c r="F206" s="3">
        <v>1811.8</v>
      </c>
      <c r="G206" s="2">
        <v>2032.64</v>
      </c>
      <c r="H206" s="2">
        <v>0</v>
      </c>
      <c r="I206" s="4">
        <v>116</v>
      </c>
      <c r="J206" s="3">
        <v>9.4</v>
      </c>
      <c r="K206" s="4">
        <v>1918</v>
      </c>
      <c r="L206" s="2">
        <v>293.91000000000003</v>
      </c>
      <c r="M206" s="2">
        <v>56.09</v>
      </c>
      <c r="N206" s="2">
        <v>61.57</v>
      </c>
      <c r="O206" s="2">
        <v>24.47</v>
      </c>
      <c r="P206" s="2">
        <v>3.1</v>
      </c>
      <c r="Q206" s="4">
        <v>597413</v>
      </c>
      <c r="R206" s="4">
        <v>0</v>
      </c>
      <c r="S206" s="4">
        <v>597413</v>
      </c>
      <c r="T206" s="4">
        <v>107581</v>
      </c>
      <c r="U206" s="4">
        <v>118091</v>
      </c>
      <c r="V206" s="4">
        <v>0</v>
      </c>
      <c r="W206" s="4">
        <v>49739</v>
      </c>
      <c r="X206" s="4">
        <v>6301</v>
      </c>
      <c r="Y206" s="4">
        <v>879125</v>
      </c>
      <c r="Z206" s="4">
        <v>80425</v>
      </c>
      <c r="AA206" s="4">
        <v>798700</v>
      </c>
      <c r="AB206" s="4">
        <v>459383</v>
      </c>
      <c r="AC206" s="4">
        <v>339317</v>
      </c>
    </row>
    <row r="207" spans="1:29" x14ac:dyDescent="0.25">
      <c r="A207" s="1" t="s">
        <v>176</v>
      </c>
      <c r="B207" s="1" t="s">
        <v>738</v>
      </c>
      <c r="C207" s="1" t="s">
        <v>217</v>
      </c>
      <c r="D207" s="1" t="s">
        <v>611</v>
      </c>
      <c r="E207" s="2">
        <v>93.77</v>
      </c>
      <c r="F207" s="3">
        <v>681</v>
      </c>
      <c r="G207" s="2">
        <v>774.77</v>
      </c>
      <c r="H207" s="2">
        <v>0</v>
      </c>
      <c r="I207" s="4">
        <v>2</v>
      </c>
      <c r="J207" s="3">
        <v>0</v>
      </c>
      <c r="K207" s="4">
        <v>683</v>
      </c>
      <c r="L207" s="2">
        <v>293.91000000000003</v>
      </c>
      <c r="M207" s="2">
        <v>56.09</v>
      </c>
      <c r="N207" s="2">
        <v>61.57</v>
      </c>
      <c r="O207" s="2">
        <v>24.47</v>
      </c>
      <c r="P207" s="2">
        <v>3.1</v>
      </c>
      <c r="Q207" s="4">
        <v>227713</v>
      </c>
      <c r="R207" s="4">
        <v>0</v>
      </c>
      <c r="S207" s="4">
        <v>227713</v>
      </c>
      <c r="T207" s="4">
        <v>38309</v>
      </c>
      <c r="U207" s="4">
        <v>42052</v>
      </c>
      <c r="V207" s="4">
        <v>0</v>
      </c>
      <c r="W207" s="4">
        <v>18959</v>
      </c>
      <c r="X207" s="4">
        <v>2402</v>
      </c>
      <c r="Y207" s="4">
        <v>329435</v>
      </c>
      <c r="Z207" s="4">
        <v>30464</v>
      </c>
      <c r="AA207" s="4">
        <v>298971</v>
      </c>
      <c r="AB207" s="4">
        <v>175292</v>
      </c>
      <c r="AC207" s="4">
        <v>123679</v>
      </c>
    </row>
    <row r="208" spans="1:29" x14ac:dyDescent="0.25">
      <c r="A208" s="1" t="s">
        <v>176</v>
      </c>
      <c r="B208" s="1" t="s">
        <v>738</v>
      </c>
      <c r="C208" s="1" t="s">
        <v>218</v>
      </c>
      <c r="D208" s="1" t="s">
        <v>612</v>
      </c>
      <c r="E208" s="2">
        <v>81.290000000000006</v>
      </c>
      <c r="F208" s="3">
        <v>1041.5999999999999</v>
      </c>
      <c r="G208" s="2">
        <v>1122.8900000000001</v>
      </c>
      <c r="H208" s="2">
        <v>0</v>
      </c>
      <c r="I208" s="4">
        <v>10</v>
      </c>
      <c r="J208" s="3">
        <v>0</v>
      </c>
      <c r="K208" s="4">
        <v>1052</v>
      </c>
      <c r="L208" s="2">
        <v>293.91000000000003</v>
      </c>
      <c r="M208" s="2">
        <v>56.09</v>
      </c>
      <c r="N208" s="2">
        <v>61.57</v>
      </c>
      <c r="O208" s="2">
        <v>24.47</v>
      </c>
      <c r="P208" s="2">
        <v>3.1</v>
      </c>
      <c r="Q208" s="4">
        <v>330029</v>
      </c>
      <c r="R208" s="4">
        <v>0</v>
      </c>
      <c r="S208" s="4">
        <v>330029</v>
      </c>
      <c r="T208" s="4">
        <v>59007</v>
      </c>
      <c r="U208" s="4">
        <v>64772</v>
      </c>
      <c r="V208" s="4">
        <v>0</v>
      </c>
      <c r="W208" s="4">
        <v>27477</v>
      </c>
      <c r="X208" s="4">
        <v>3481</v>
      </c>
      <c r="Y208" s="4">
        <v>484766</v>
      </c>
      <c r="Z208" s="4">
        <v>47283</v>
      </c>
      <c r="AA208" s="4">
        <v>437483</v>
      </c>
      <c r="AB208" s="4">
        <v>250923</v>
      </c>
      <c r="AC208" s="4">
        <v>186560</v>
      </c>
    </row>
    <row r="209" spans="1:29" x14ac:dyDescent="0.25">
      <c r="A209" s="1" t="s">
        <v>176</v>
      </c>
      <c r="B209" s="1" t="s">
        <v>738</v>
      </c>
      <c r="C209" s="1" t="s">
        <v>219</v>
      </c>
      <c r="D209" s="1" t="s">
        <v>613</v>
      </c>
      <c r="E209" s="2">
        <v>168.72</v>
      </c>
      <c r="F209" s="3">
        <v>1126.5</v>
      </c>
      <c r="G209" s="2">
        <v>1295.22</v>
      </c>
      <c r="H209" s="2">
        <v>0</v>
      </c>
      <c r="I209" s="4">
        <v>53</v>
      </c>
      <c r="J209" s="3">
        <v>0.2</v>
      </c>
      <c r="K209" s="4">
        <v>1179</v>
      </c>
      <c r="L209" s="2">
        <v>293.91000000000003</v>
      </c>
      <c r="M209" s="2">
        <v>56.09</v>
      </c>
      <c r="N209" s="2">
        <v>61.57</v>
      </c>
      <c r="O209" s="2">
        <v>24.47</v>
      </c>
      <c r="P209" s="2">
        <v>3.1</v>
      </c>
      <c r="Q209" s="4">
        <v>380678</v>
      </c>
      <c r="R209" s="4">
        <v>0</v>
      </c>
      <c r="S209" s="4">
        <v>380678</v>
      </c>
      <c r="T209" s="4">
        <v>66130</v>
      </c>
      <c r="U209" s="4">
        <v>72591</v>
      </c>
      <c r="V209" s="4">
        <v>0</v>
      </c>
      <c r="W209" s="4">
        <v>31694</v>
      </c>
      <c r="X209" s="4">
        <v>4015</v>
      </c>
      <c r="Y209" s="4">
        <v>555108</v>
      </c>
      <c r="Z209" s="4">
        <v>66136</v>
      </c>
      <c r="AA209" s="4">
        <v>488972</v>
      </c>
      <c r="AB209" s="4">
        <v>277835</v>
      </c>
      <c r="AC209" s="4">
        <v>211137</v>
      </c>
    </row>
    <row r="210" spans="1:29" x14ac:dyDescent="0.25">
      <c r="A210" s="1" t="s">
        <v>176</v>
      </c>
      <c r="B210" s="1" t="s">
        <v>738</v>
      </c>
      <c r="C210" s="1" t="s">
        <v>220</v>
      </c>
      <c r="D210" s="1" t="s">
        <v>614</v>
      </c>
      <c r="E210" s="2">
        <v>773.54</v>
      </c>
      <c r="F210" s="3">
        <v>6894.4</v>
      </c>
      <c r="G210" s="2">
        <v>7667.94</v>
      </c>
      <c r="H210" s="2">
        <v>0</v>
      </c>
      <c r="I210" s="4">
        <v>279</v>
      </c>
      <c r="J210" s="3">
        <v>0</v>
      </c>
      <c r="K210" s="4">
        <v>7173</v>
      </c>
      <c r="L210" s="2">
        <v>293.91000000000003</v>
      </c>
      <c r="M210" s="2">
        <v>56.09</v>
      </c>
      <c r="N210" s="2">
        <v>61.57</v>
      </c>
      <c r="O210" s="2">
        <v>24.47</v>
      </c>
      <c r="P210" s="2">
        <v>3.1</v>
      </c>
      <c r="Q210" s="4">
        <v>2253684</v>
      </c>
      <c r="R210" s="4">
        <v>0</v>
      </c>
      <c r="S210" s="4">
        <v>2253684</v>
      </c>
      <c r="T210" s="4">
        <v>402334</v>
      </c>
      <c r="U210" s="4">
        <v>441642</v>
      </c>
      <c r="V210" s="4">
        <v>0</v>
      </c>
      <c r="W210" s="4">
        <v>187634</v>
      </c>
      <c r="X210" s="4">
        <v>23771</v>
      </c>
      <c r="Y210" s="4">
        <v>3309065</v>
      </c>
      <c r="Z210" s="4">
        <v>198481</v>
      </c>
      <c r="AA210" s="4">
        <v>3110584</v>
      </c>
      <c r="AB210" s="4">
        <v>1837894</v>
      </c>
      <c r="AC210" s="4">
        <v>1272690</v>
      </c>
    </row>
    <row r="211" spans="1:29" x14ac:dyDescent="0.25">
      <c r="A211" s="1" t="s">
        <v>176</v>
      </c>
      <c r="B211" s="1" t="s">
        <v>738</v>
      </c>
      <c r="C211" s="1" t="s">
        <v>221</v>
      </c>
      <c r="D211" s="1" t="s">
        <v>615</v>
      </c>
      <c r="E211" s="2">
        <v>72.290000000000006</v>
      </c>
      <c r="F211" s="3">
        <v>540.9</v>
      </c>
      <c r="G211" s="2">
        <v>613.19000000000005</v>
      </c>
      <c r="H211" s="2">
        <v>0</v>
      </c>
      <c r="I211" s="4">
        <v>0</v>
      </c>
      <c r="J211" s="3">
        <v>0</v>
      </c>
      <c r="K211" s="4">
        <v>541</v>
      </c>
      <c r="L211" s="2">
        <v>293.91000000000003</v>
      </c>
      <c r="M211" s="2">
        <v>56.09</v>
      </c>
      <c r="N211" s="2">
        <v>61.57</v>
      </c>
      <c r="O211" s="2">
        <v>24.47</v>
      </c>
      <c r="P211" s="2">
        <v>3.1</v>
      </c>
      <c r="Q211" s="4">
        <v>180223</v>
      </c>
      <c r="R211" s="4">
        <v>8181</v>
      </c>
      <c r="S211" s="4">
        <v>188404</v>
      </c>
      <c r="T211" s="4">
        <v>30345</v>
      </c>
      <c r="U211" s="4">
        <v>33309</v>
      </c>
      <c r="V211" s="4">
        <v>0</v>
      </c>
      <c r="W211" s="4">
        <v>15005</v>
      </c>
      <c r="X211" s="4">
        <v>1901</v>
      </c>
      <c r="Y211" s="4">
        <v>268964</v>
      </c>
      <c r="Z211" s="4">
        <v>26643</v>
      </c>
      <c r="AA211" s="4">
        <v>242321</v>
      </c>
      <c r="AB211" s="4">
        <v>136202</v>
      </c>
      <c r="AC211" s="4">
        <v>106119</v>
      </c>
    </row>
    <row r="212" spans="1:29" x14ac:dyDescent="0.25">
      <c r="A212" s="1" t="s">
        <v>176</v>
      </c>
      <c r="B212" s="1" t="s">
        <v>738</v>
      </c>
      <c r="C212" s="1" t="s">
        <v>222</v>
      </c>
      <c r="D212" s="1" t="s">
        <v>616</v>
      </c>
      <c r="E212" s="2">
        <v>48.2</v>
      </c>
      <c r="F212" s="3">
        <v>332.4</v>
      </c>
      <c r="G212" s="2">
        <v>380.6</v>
      </c>
      <c r="H212" s="2">
        <v>0</v>
      </c>
      <c r="I212" s="4">
        <v>10</v>
      </c>
      <c r="J212" s="3">
        <v>0</v>
      </c>
      <c r="K212" s="4">
        <v>342</v>
      </c>
      <c r="L212" s="2">
        <v>293.91000000000003</v>
      </c>
      <c r="M212" s="2">
        <v>56.09</v>
      </c>
      <c r="N212" s="2">
        <v>61.57</v>
      </c>
      <c r="O212" s="2">
        <v>24.47</v>
      </c>
      <c r="P212" s="2">
        <v>3.1</v>
      </c>
      <c r="Q212" s="4">
        <v>111862</v>
      </c>
      <c r="R212" s="4">
        <v>6437</v>
      </c>
      <c r="S212" s="4">
        <v>118299</v>
      </c>
      <c r="T212" s="4">
        <v>19183</v>
      </c>
      <c r="U212" s="4">
        <v>21057</v>
      </c>
      <c r="V212" s="4">
        <v>0</v>
      </c>
      <c r="W212" s="4">
        <v>9313</v>
      </c>
      <c r="X212" s="4">
        <v>1180</v>
      </c>
      <c r="Y212" s="4">
        <v>169032</v>
      </c>
      <c r="Z212" s="4">
        <v>20920</v>
      </c>
      <c r="AA212" s="4">
        <v>148112</v>
      </c>
      <c r="AB212" s="4">
        <v>80156</v>
      </c>
      <c r="AC212" s="4">
        <v>67956</v>
      </c>
    </row>
    <row r="213" spans="1:29" x14ac:dyDescent="0.25">
      <c r="A213" s="1" t="s">
        <v>176</v>
      </c>
      <c r="B213" s="1" t="s">
        <v>738</v>
      </c>
      <c r="C213" s="1" t="s">
        <v>223</v>
      </c>
      <c r="D213" s="1" t="s">
        <v>617</v>
      </c>
      <c r="E213" s="2">
        <v>43.77</v>
      </c>
      <c r="F213" s="3">
        <v>393.4</v>
      </c>
      <c r="G213" s="2">
        <v>437.17</v>
      </c>
      <c r="H213" s="2">
        <v>0</v>
      </c>
      <c r="I213" s="4">
        <v>12</v>
      </c>
      <c r="J213" s="3">
        <v>0</v>
      </c>
      <c r="K213" s="4">
        <v>405</v>
      </c>
      <c r="L213" s="2">
        <v>293.91000000000003</v>
      </c>
      <c r="M213" s="2">
        <v>56.09</v>
      </c>
      <c r="N213" s="2">
        <v>61.57</v>
      </c>
      <c r="O213" s="2">
        <v>24.47</v>
      </c>
      <c r="P213" s="2">
        <v>3.1</v>
      </c>
      <c r="Q213" s="4">
        <v>128489</v>
      </c>
      <c r="R213" s="4">
        <v>0</v>
      </c>
      <c r="S213" s="4">
        <v>128489</v>
      </c>
      <c r="T213" s="4">
        <v>22716</v>
      </c>
      <c r="U213" s="4">
        <v>24936</v>
      </c>
      <c r="V213" s="4">
        <v>0</v>
      </c>
      <c r="W213" s="4">
        <v>10698</v>
      </c>
      <c r="X213" s="4">
        <v>1355</v>
      </c>
      <c r="Y213" s="4">
        <v>188194</v>
      </c>
      <c r="Z213" s="4">
        <v>19730</v>
      </c>
      <c r="AA213" s="4">
        <v>168464</v>
      </c>
      <c r="AB213" s="4">
        <v>96369</v>
      </c>
      <c r="AC213" s="4">
        <v>72095</v>
      </c>
    </row>
    <row r="214" spans="1:29" x14ac:dyDescent="0.25">
      <c r="A214" s="1" t="s">
        <v>176</v>
      </c>
      <c r="B214" s="1" t="s">
        <v>738</v>
      </c>
      <c r="C214" s="1" t="s">
        <v>224</v>
      </c>
      <c r="D214" s="1" t="s">
        <v>618</v>
      </c>
      <c r="E214" s="2">
        <v>333.13</v>
      </c>
      <c r="F214" s="3">
        <v>3374</v>
      </c>
      <c r="G214" s="2">
        <v>3707.13</v>
      </c>
      <c r="H214" s="2">
        <v>0</v>
      </c>
      <c r="I214" s="4">
        <v>400</v>
      </c>
      <c r="J214" s="3">
        <v>1.5</v>
      </c>
      <c r="K214" s="4">
        <v>3773</v>
      </c>
      <c r="L214" s="2">
        <v>293.91000000000003</v>
      </c>
      <c r="M214" s="2">
        <v>56.09</v>
      </c>
      <c r="N214" s="2">
        <v>61.57</v>
      </c>
      <c r="O214" s="2">
        <v>24.47</v>
      </c>
      <c r="P214" s="2">
        <v>3.1</v>
      </c>
      <c r="Q214" s="4">
        <v>1089563</v>
      </c>
      <c r="R214" s="4">
        <v>0</v>
      </c>
      <c r="S214" s="4">
        <v>1089563</v>
      </c>
      <c r="T214" s="4">
        <v>211628</v>
      </c>
      <c r="U214" s="4">
        <v>232304</v>
      </c>
      <c r="V214" s="4">
        <v>0</v>
      </c>
      <c r="W214" s="4">
        <v>90713</v>
      </c>
      <c r="X214" s="4">
        <v>11492</v>
      </c>
      <c r="Y214" s="4">
        <v>1635700</v>
      </c>
      <c r="Z214" s="4">
        <v>138380</v>
      </c>
      <c r="AA214" s="4">
        <v>1497320</v>
      </c>
      <c r="AB214" s="4">
        <v>846122</v>
      </c>
      <c r="AC214" s="4">
        <v>651198</v>
      </c>
    </row>
    <row r="215" spans="1:29" x14ac:dyDescent="0.25">
      <c r="A215" s="1" t="s">
        <v>176</v>
      </c>
      <c r="B215" s="1" t="s">
        <v>738</v>
      </c>
      <c r="C215" s="1" t="s">
        <v>225</v>
      </c>
      <c r="D215" s="1" t="s">
        <v>619</v>
      </c>
      <c r="E215" s="2">
        <v>53.01</v>
      </c>
      <c r="F215" s="3">
        <v>724.3</v>
      </c>
      <c r="G215" s="2">
        <v>777.31</v>
      </c>
      <c r="H215" s="2">
        <v>0</v>
      </c>
      <c r="I215" s="4">
        <v>29</v>
      </c>
      <c r="J215" s="3">
        <v>0</v>
      </c>
      <c r="K215" s="4">
        <v>753</v>
      </c>
      <c r="L215" s="2">
        <v>293.91000000000003</v>
      </c>
      <c r="M215" s="2">
        <v>56.09</v>
      </c>
      <c r="N215" s="2">
        <v>61.57</v>
      </c>
      <c r="O215" s="2">
        <v>24.47</v>
      </c>
      <c r="P215" s="2">
        <v>3.1</v>
      </c>
      <c r="Q215" s="4">
        <v>228459</v>
      </c>
      <c r="R215" s="4">
        <v>0</v>
      </c>
      <c r="S215" s="4">
        <v>228459</v>
      </c>
      <c r="T215" s="4">
        <v>42236</v>
      </c>
      <c r="U215" s="4">
        <v>46362</v>
      </c>
      <c r="V215" s="4">
        <v>0</v>
      </c>
      <c r="W215" s="4">
        <v>19021</v>
      </c>
      <c r="X215" s="4">
        <v>2410</v>
      </c>
      <c r="Y215" s="4">
        <v>338488</v>
      </c>
      <c r="Z215" s="4">
        <v>22227</v>
      </c>
      <c r="AA215" s="4">
        <v>316261</v>
      </c>
      <c r="AB215" s="4">
        <v>184204</v>
      </c>
      <c r="AC215" s="4">
        <v>132057</v>
      </c>
    </row>
    <row r="216" spans="1:29" x14ac:dyDescent="0.25">
      <c r="A216" s="1" t="s">
        <v>176</v>
      </c>
      <c r="B216" s="1" t="s">
        <v>738</v>
      </c>
      <c r="C216" s="1" t="s">
        <v>226</v>
      </c>
      <c r="D216" s="1" t="s">
        <v>620</v>
      </c>
      <c r="E216" s="2">
        <v>905.62</v>
      </c>
      <c r="F216" s="3">
        <v>11197.6</v>
      </c>
      <c r="G216" s="2">
        <v>12103.22</v>
      </c>
      <c r="H216" s="2">
        <v>0</v>
      </c>
      <c r="I216" s="4">
        <v>1128</v>
      </c>
      <c r="J216" s="3">
        <v>0.4</v>
      </c>
      <c r="K216" s="4">
        <v>12325</v>
      </c>
      <c r="L216" s="2">
        <v>293.91000000000003</v>
      </c>
      <c r="M216" s="2">
        <v>56.09</v>
      </c>
      <c r="N216" s="2">
        <v>61.57</v>
      </c>
      <c r="O216" s="2">
        <v>24.47</v>
      </c>
      <c r="P216" s="2">
        <v>3.1</v>
      </c>
      <c r="Q216" s="4">
        <v>3557257</v>
      </c>
      <c r="R216" s="4">
        <v>0</v>
      </c>
      <c r="S216" s="4">
        <v>3557257</v>
      </c>
      <c r="T216" s="4">
        <v>691309</v>
      </c>
      <c r="U216" s="4">
        <v>758850</v>
      </c>
      <c r="V216" s="4">
        <v>0</v>
      </c>
      <c r="W216" s="4">
        <v>296166</v>
      </c>
      <c r="X216" s="4">
        <v>37520</v>
      </c>
      <c r="Y216" s="4">
        <v>5341102</v>
      </c>
      <c r="Z216" s="4">
        <v>115205</v>
      </c>
      <c r="AA216" s="4">
        <v>5225897</v>
      </c>
      <c r="AB216" s="4">
        <v>3099047</v>
      </c>
      <c r="AC216" s="4">
        <v>2126850</v>
      </c>
    </row>
    <row r="217" spans="1:29" x14ac:dyDescent="0.25">
      <c r="A217" s="1" t="s">
        <v>176</v>
      </c>
      <c r="B217" s="1" t="s">
        <v>738</v>
      </c>
      <c r="C217" s="1" t="s">
        <v>227</v>
      </c>
      <c r="D217" s="1" t="s">
        <v>621</v>
      </c>
      <c r="E217" s="2">
        <v>151.59</v>
      </c>
      <c r="F217" s="3">
        <v>962.4</v>
      </c>
      <c r="G217" s="2">
        <v>1113.99</v>
      </c>
      <c r="H217" s="2">
        <v>0</v>
      </c>
      <c r="I217" s="4">
        <v>0</v>
      </c>
      <c r="J217" s="3">
        <v>0</v>
      </c>
      <c r="K217" s="4">
        <v>962</v>
      </c>
      <c r="L217" s="2">
        <v>293.91000000000003</v>
      </c>
      <c r="M217" s="2">
        <v>56.09</v>
      </c>
      <c r="N217" s="2">
        <v>61.57</v>
      </c>
      <c r="O217" s="2">
        <v>24.47</v>
      </c>
      <c r="P217" s="2">
        <v>3.1</v>
      </c>
      <c r="Q217" s="4">
        <v>327413</v>
      </c>
      <c r="R217" s="4">
        <v>0</v>
      </c>
      <c r="S217" s="4">
        <v>327413</v>
      </c>
      <c r="T217" s="4">
        <v>53959</v>
      </c>
      <c r="U217" s="4">
        <v>59230</v>
      </c>
      <c r="V217" s="4">
        <v>0</v>
      </c>
      <c r="W217" s="4">
        <v>27259</v>
      </c>
      <c r="X217" s="4">
        <v>3453</v>
      </c>
      <c r="Y217" s="4">
        <v>471314</v>
      </c>
      <c r="Z217" s="4">
        <v>43965</v>
      </c>
      <c r="AA217" s="4">
        <v>427349</v>
      </c>
      <c r="AB217" s="4">
        <v>251877</v>
      </c>
      <c r="AC217" s="4">
        <v>175472</v>
      </c>
    </row>
    <row r="218" spans="1:29" x14ac:dyDescent="0.25">
      <c r="A218" s="1" t="s">
        <v>176</v>
      </c>
      <c r="B218" s="1" t="s">
        <v>738</v>
      </c>
      <c r="C218" s="1" t="s">
        <v>228</v>
      </c>
      <c r="D218" s="1" t="s">
        <v>622</v>
      </c>
      <c r="E218" s="2">
        <v>1054.3699999999999</v>
      </c>
      <c r="F218" s="3">
        <v>8940.2000000000007</v>
      </c>
      <c r="G218" s="2">
        <v>9994.57</v>
      </c>
      <c r="H218" s="2">
        <v>0</v>
      </c>
      <c r="I218" s="4">
        <v>1296</v>
      </c>
      <c r="J218" s="3">
        <v>3.3</v>
      </c>
      <c r="K218" s="4">
        <v>10233</v>
      </c>
      <c r="L218" s="2">
        <v>293.91000000000003</v>
      </c>
      <c r="M218" s="2">
        <v>56.09</v>
      </c>
      <c r="N218" s="2">
        <v>61.57</v>
      </c>
      <c r="O218" s="2">
        <v>24.47</v>
      </c>
      <c r="P218" s="2">
        <v>3.1</v>
      </c>
      <c r="Q218" s="4">
        <v>2937504</v>
      </c>
      <c r="R218" s="4">
        <v>0</v>
      </c>
      <c r="S218" s="4">
        <v>2937504</v>
      </c>
      <c r="T218" s="4">
        <v>573969</v>
      </c>
      <c r="U218" s="4">
        <v>630046</v>
      </c>
      <c r="V218" s="4">
        <v>0</v>
      </c>
      <c r="W218" s="4">
        <v>244567</v>
      </c>
      <c r="X218" s="4">
        <v>30983</v>
      </c>
      <c r="Y218" s="4">
        <v>4417069</v>
      </c>
      <c r="Z218" s="4">
        <v>390197</v>
      </c>
      <c r="AA218" s="4">
        <v>4026872</v>
      </c>
      <c r="AB218" s="4">
        <v>2264061</v>
      </c>
      <c r="AC218" s="4">
        <v>1762811</v>
      </c>
    </row>
    <row r="219" spans="1:29" x14ac:dyDescent="0.25">
      <c r="A219" s="1" t="s">
        <v>176</v>
      </c>
      <c r="B219" s="1" t="s">
        <v>738</v>
      </c>
      <c r="C219" s="1" t="s">
        <v>229</v>
      </c>
      <c r="D219" s="1" t="s">
        <v>623</v>
      </c>
      <c r="E219" s="2">
        <v>191.33</v>
      </c>
      <c r="F219" s="3">
        <v>1717.9</v>
      </c>
      <c r="G219" s="2">
        <v>1909.23</v>
      </c>
      <c r="H219" s="2">
        <v>0</v>
      </c>
      <c r="I219" s="4">
        <v>22</v>
      </c>
      <c r="J219" s="3">
        <v>0</v>
      </c>
      <c r="K219" s="4">
        <v>1740</v>
      </c>
      <c r="L219" s="2">
        <v>293.91000000000003</v>
      </c>
      <c r="M219" s="2">
        <v>56.09</v>
      </c>
      <c r="N219" s="2">
        <v>61.57</v>
      </c>
      <c r="O219" s="2">
        <v>24.47</v>
      </c>
      <c r="P219" s="2">
        <v>3.1</v>
      </c>
      <c r="Q219" s="4">
        <v>561142</v>
      </c>
      <c r="R219" s="4">
        <v>0</v>
      </c>
      <c r="S219" s="4">
        <v>561142</v>
      </c>
      <c r="T219" s="4">
        <v>97597</v>
      </c>
      <c r="U219" s="4">
        <v>107132</v>
      </c>
      <c r="V219" s="4">
        <v>0</v>
      </c>
      <c r="W219" s="4">
        <v>46719</v>
      </c>
      <c r="X219" s="4">
        <v>5919</v>
      </c>
      <c r="Y219" s="4">
        <v>818509</v>
      </c>
      <c r="Z219" s="4">
        <v>70332</v>
      </c>
      <c r="AA219" s="4">
        <v>748177</v>
      </c>
      <c r="AB219" s="4">
        <v>436703</v>
      </c>
      <c r="AC219" s="4">
        <v>311474</v>
      </c>
    </row>
    <row r="220" spans="1:29" x14ac:dyDescent="0.25">
      <c r="A220" s="1" t="s">
        <v>176</v>
      </c>
      <c r="B220" s="1" t="s">
        <v>738</v>
      </c>
      <c r="C220" s="1" t="s">
        <v>230</v>
      </c>
      <c r="D220" s="1" t="s">
        <v>624</v>
      </c>
      <c r="E220" s="2">
        <v>79.78</v>
      </c>
      <c r="F220" s="3">
        <v>934.5</v>
      </c>
      <c r="G220" s="2">
        <v>1014.28</v>
      </c>
      <c r="H220" s="2">
        <v>0</v>
      </c>
      <c r="I220" s="4">
        <v>45</v>
      </c>
      <c r="J220" s="3">
        <v>0</v>
      </c>
      <c r="K220" s="4">
        <v>980</v>
      </c>
      <c r="L220" s="2">
        <v>293.91000000000003</v>
      </c>
      <c r="M220" s="2">
        <v>56.09</v>
      </c>
      <c r="N220" s="2">
        <v>61.57</v>
      </c>
      <c r="O220" s="2">
        <v>24.47</v>
      </c>
      <c r="P220" s="2">
        <v>3.1</v>
      </c>
      <c r="Q220" s="4">
        <v>298107</v>
      </c>
      <c r="R220" s="4">
        <v>3577</v>
      </c>
      <c r="S220" s="4">
        <v>301684</v>
      </c>
      <c r="T220" s="4">
        <v>54968</v>
      </c>
      <c r="U220" s="4">
        <v>60339</v>
      </c>
      <c r="V220" s="4">
        <v>0</v>
      </c>
      <c r="W220" s="4">
        <v>24988</v>
      </c>
      <c r="X220" s="4">
        <v>3176</v>
      </c>
      <c r="Y220" s="4">
        <v>445155</v>
      </c>
      <c r="Z220" s="4">
        <v>30067</v>
      </c>
      <c r="AA220" s="4">
        <v>415088</v>
      </c>
      <c r="AB220" s="4">
        <v>239496</v>
      </c>
      <c r="AC220" s="4">
        <v>175592</v>
      </c>
    </row>
    <row r="221" spans="1:29" x14ac:dyDescent="0.25">
      <c r="A221" s="1" t="s">
        <v>231</v>
      </c>
      <c r="B221" s="1" t="s">
        <v>739</v>
      </c>
      <c r="C221" s="1" t="s">
        <v>232</v>
      </c>
      <c r="D221" s="1" t="s">
        <v>625</v>
      </c>
      <c r="E221" s="2">
        <v>74.22</v>
      </c>
      <c r="F221" s="3">
        <v>563.29999999999995</v>
      </c>
      <c r="G221" s="2">
        <v>637.52</v>
      </c>
      <c r="H221" s="2">
        <v>0</v>
      </c>
      <c r="I221" s="4">
        <v>13</v>
      </c>
      <c r="J221" s="3">
        <v>0</v>
      </c>
      <c r="K221" s="4">
        <v>576</v>
      </c>
      <c r="L221" s="2">
        <v>308.55</v>
      </c>
      <c r="M221" s="2">
        <v>56.5</v>
      </c>
      <c r="N221" s="2">
        <v>63.35</v>
      </c>
      <c r="O221" s="2">
        <v>31.03</v>
      </c>
      <c r="P221" s="2">
        <v>3.71</v>
      </c>
      <c r="Q221" s="4">
        <v>196707</v>
      </c>
      <c r="R221" s="4">
        <v>0</v>
      </c>
      <c r="S221" s="4">
        <v>196707</v>
      </c>
      <c r="T221" s="4">
        <v>32544</v>
      </c>
      <c r="U221" s="4">
        <v>36490</v>
      </c>
      <c r="V221" s="4">
        <v>0</v>
      </c>
      <c r="W221" s="4">
        <v>19782</v>
      </c>
      <c r="X221" s="4">
        <v>2365</v>
      </c>
      <c r="Y221" s="4">
        <v>287888</v>
      </c>
      <c r="Z221" s="4">
        <v>26925</v>
      </c>
      <c r="AA221" s="4">
        <v>260963</v>
      </c>
      <c r="AB221" s="4">
        <v>146952</v>
      </c>
      <c r="AC221" s="4">
        <v>114011</v>
      </c>
    </row>
    <row r="222" spans="1:29" x14ac:dyDescent="0.25">
      <c r="A222" s="1" t="s">
        <v>231</v>
      </c>
      <c r="B222" s="1" t="s">
        <v>739</v>
      </c>
      <c r="C222" s="1" t="s">
        <v>233</v>
      </c>
      <c r="D222" s="1" t="s">
        <v>626</v>
      </c>
      <c r="E222" s="2">
        <v>38.409999999999997</v>
      </c>
      <c r="F222" s="3">
        <v>278</v>
      </c>
      <c r="G222" s="2">
        <v>316.41000000000003</v>
      </c>
      <c r="H222" s="2">
        <v>0</v>
      </c>
      <c r="I222" s="4">
        <v>77</v>
      </c>
      <c r="J222" s="3">
        <v>0</v>
      </c>
      <c r="K222" s="4">
        <v>355</v>
      </c>
      <c r="L222" s="2">
        <v>308.55</v>
      </c>
      <c r="M222" s="2">
        <v>56.5</v>
      </c>
      <c r="N222" s="2">
        <v>63.35</v>
      </c>
      <c r="O222" s="2">
        <v>31.03</v>
      </c>
      <c r="P222" s="2">
        <v>3.71</v>
      </c>
      <c r="Q222" s="4">
        <v>97628</v>
      </c>
      <c r="R222" s="4">
        <v>7699</v>
      </c>
      <c r="S222" s="4">
        <v>105327</v>
      </c>
      <c r="T222" s="4">
        <v>20058</v>
      </c>
      <c r="U222" s="4">
        <v>22489</v>
      </c>
      <c r="V222" s="4">
        <v>0</v>
      </c>
      <c r="W222" s="4">
        <v>9818</v>
      </c>
      <c r="X222" s="4">
        <v>1174</v>
      </c>
      <c r="Y222" s="4">
        <v>158866</v>
      </c>
      <c r="Z222" s="4">
        <v>20681</v>
      </c>
      <c r="AA222" s="4">
        <v>138185</v>
      </c>
      <c r="AB222" s="4">
        <v>65617</v>
      </c>
      <c r="AC222" s="4">
        <v>72568</v>
      </c>
    </row>
    <row r="223" spans="1:29" x14ac:dyDescent="0.25">
      <c r="A223" s="1" t="s">
        <v>231</v>
      </c>
      <c r="B223" s="1" t="s">
        <v>739</v>
      </c>
      <c r="C223" s="1" t="s">
        <v>234</v>
      </c>
      <c r="D223" s="1" t="s">
        <v>627</v>
      </c>
      <c r="E223" s="2">
        <v>65.959999999999994</v>
      </c>
      <c r="F223" s="3">
        <v>589.29999999999995</v>
      </c>
      <c r="G223" s="2">
        <v>655.26</v>
      </c>
      <c r="H223" s="2">
        <v>0</v>
      </c>
      <c r="I223" s="4">
        <v>374</v>
      </c>
      <c r="J223" s="3">
        <v>6.2</v>
      </c>
      <c r="K223" s="4">
        <v>957</v>
      </c>
      <c r="L223" s="2">
        <v>308.55</v>
      </c>
      <c r="M223" s="2">
        <v>56.5</v>
      </c>
      <c r="N223" s="2">
        <v>63.35</v>
      </c>
      <c r="O223" s="2">
        <v>31.03</v>
      </c>
      <c r="P223" s="2">
        <v>3.71</v>
      </c>
      <c r="Q223" s="4">
        <v>202180</v>
      </c>
      <c r="R223" s="4">
        <v>422</v>
      </c>
      <c r="S223" s="4">
        <v>202602</v>
      </c>
      <c r="T223" s="4">
        <v>54071</v>
      </c>
      <c r="U223" s="4">
        <v>60626</v>
      </c>
      <c r="V223" s="4">
        <v>0</v>
      </c>
      <c r="W223" s="4">
        <v>20333</v>
      </c>
      <c r="X223" s="4">
        <v>2431</v>
      </c>
      <c r="Y223" s="4">
        <v>340063</v>
      </c>
      <c r="Z223" s="4">
        <v>31059</v>
      </c>
      <c r="AA223" s="4">
        <v>309004</v>
      </c>
      <c r="AB223" s="4">
        <v>147657</v>
      </c>
      <c r="AC223" s="4">
        <v>161347</v>
      </c>
    </row>
    <row r="224" spans="1:29" x14ac:dyDescent="0.25">
      <c r="A224" s="1" t="s">
        <v>231</v>
      </c>
      <c r="B224" s="1" t="s">
        <v>739</v>
      </c>
      <c r="C224" s="1" t="s">
        <v>235</v>
      </c>
      <c r="D224" s="1" t="s">
        <v>628</v>
      </c>
      <c r="E224" s="2">
        <v>83.59</v>
      </c>
      <c r="F224" s="3">
        <v>774.4</v>
      </c>
      <c r="G224" s="2">
        <v>857.99</v>
      </c>
      <c r="H224" s="2">
        <v>0</v>
      </c>
      <c r="I224" s="4">
        <v>116</v>
      </c>
      <c r="J224" s="3">
        <v>0</v>
      </c>
      <c r="K224" s="4">
        <v>890</v>
      </c>
      <c r="L224" s="2">
        <v>308.55</v>
      </c>
      <c r="M224" s="2">
        <v>56.5</v>
      </c>
      <c r="N224" s="2">
        <v>63.35</v>
      </c>
      <c r="O224" s="2">
        <v>31.03</v>
      </c>
      <c r="P224" s="2">
        <v>3.71</v>
      </c>
      <c r="Q224" s="4">
        <v>264733</v>
      </c>
      <c r="R224" s="4">
        <v>0</v>
      </c>
      <c r="S224" s="4">
        <v>264733</v>
      </c>
      <c r="T224" s="4">
        <v>50285</v>
      </c>
      <c r="U224" s="4">
        <v>56382</v>
      </c>
      <c r="V224" s="4">
        <v>0</v>
      </c>
      <c r="W224" s="4">
        <v>26623</v>
      </c>
      <c r="X224" s="4">
        <v>3183</v>
      </c>
      <c r="Y224" s="4">
        <v>401206</v>
      </c>
      <c r="Z224" s="4">
        <v>34843</v>
      </c>
      <c r="AA224" s="4">
        <v>366363</v>
      </c>
      <c r="AB224" s="4">
        <v>199165</v>
      </c>
      <c r="AC224" s="4">
        <v>167198</v>
      </c>
    </row>
    <row r="225" spans="1:29" x14ac:dyDescent="0.25">
      <c r="A225" s="1" t="s">
        <v>231</v>
      </c>
      <c r="B225" s="1" t="s">
        <v>739</v>
      </c>
      <c r="C225" s="1" t="s">
        <v>236</v>
      </c>
      <c r="D225" s="1" t="s">
        <v>629</v>
      </c>
      <c r="E225" s="2">
        <v>46.02</v>
      </c>
      <c r="F225" s="3">
        <v>268.8</v>
      </c>
      <c r="G225" s="2">
        <v>314.82</v>
      </c>
      <c r="H225" s="2">
        <v>0</v>
      </c>
      <c r="I225" s="4">
        <v>0</v>
      </c>
      <c r="J225" s="3">
        <v>0</v>
      </c>
      <c r="K225" s="4">
        <v>269</v>
      </c>
      <c r="L225" s="2">
        <v>308.55</v>
      </c>
      <c r="M225" s="2">
        <v>56.5</v>
      </c>
      <c r="N225" s="2">
        <v>63.35</v>
      </c>
      <c r="O225" s="2">
        <v>31.03</v>
      </c>
      <c r="P225" s="2">
        <v>3.71</v>
      </c>
      <c r="Q225" s="4">
        <v>97138</v>
      </c>
      <c r="R225" s="4">
        <v>2543</v>
      </c>
      <c r="S225" s="4">
        <v>99681</v>
      </c>
      <c r="T225" s="4">
        <v>15199</v>
      </c>
      <c r="U225" s="4">
        <v>17041</v>
      </c>
      <c r="V225" s="4">
        <v>0</v>
      </c>
      <c r="W225" s="4">
        <v>9769</v>
      </c>
      <c r="X225" s="4">
        <v>1168</v>
      </c>
      <c r="Y225" s="4">
        <v>142858</v>
      </c>
      <c r="Z225" s="4">
        <v>17747</v>
      </c>
      <c r="AA225" s="4">
        <v>125111</v>
      </c>
      <c r="AB225" s="4">
        <v>68117</v>
      </c>
      <c r="AC225" s="4">
        <v>56994</v>
      </c>
    </row>
    <row r="226" spans="1:29" x14ac:dyDescent="0.25">
      <c r="A226" s="1" t="s">
        <v>231</v>
      </c>
      <c r="B226" s="1" t="s">
        <v>739</v>
      </c>
      <c r="C226" s="1" t="s">
        <v>237</v>
      </c>
      <c r="D226" s="1" t="s">
        <v>630</v>
      </c>
      <c r="E226" s="2">
        <v>124.1</v>
      </c>
      <c r="F226" s="3">
        <v>1014.1</v>
      </c>
      <c r="G226" s="2">
        <v>1138.2</v>
      </c>
      <c r="H226" s="2">
        <v>0</v>
      </c>
      <c r="I226" s="4">
        <v>2</v>
      </c>
      <c r="J226" s="3">
        <v>0</v>
      </c>
      <c r="K226" s="4">
        <v>1016</v>
      </c>
      <c r="L226" s="2">
        <v>308.55</v>
      </c>
      <c r="M226" s="2">
        <v>56.5</v>
      </c>
      <c r="N226" s="2">
        <v>63.35</v>
      </c>
      <c r="O226" s="2">
        <v>31.03</v>
      </c>
      <c r="P226" s="2">
        <v>3.71</v>
      </c>
      <c r="Q226" s="4">
        <v>351192</v>
      </c>
      <c r="R226" s="4">
        <v>0</v>
      </c>
      <c r="S226" s="4">
        <v>351192</v>
      </c>
      <c r="T226" s="4">
        <v>57404</v>
      </c>
      <c r="U226" s="4">
        <v>64364</v>
      </c>
      <c r="V226" s="4">
        <v>0</v>
      </c>
      <c r="W226" s="4">
        <v>35318</v>
      </c>
      <c r="X226" s="4">
        <v>4223</v>
      </c>
      <c r="Y226" s="4">
        <v>512501</v>
      </c>
      <c r="Z226" s="4">
        <v>53299</v>
      </c>
      <c r="AA226" s="4">
        <v>459202</v>
      </c>
      <c r="AB226" s="4">
        <v>257134</v>
      </c>
      <c r="AC226" s="4">
        <v>202068</v>
      </c>
    </row>
    <row r="227" spans="1:29" x14ac:dyDescent="0.25">
      <c r="A227" s="1" t="s">
        <v>231</v>
      </c>
      <c r="B227" s="1" t="s">
        <v>739</v>
      </c>
      <c r="C227" s="1" t="s">
        <v>238</v>
      </c>
      <c r="D227" s="1" t="s">
        <v>631</v>
      </c>
      <c r="E227" s="2">
        <v>280.49</v>
      </c>
      <c r="F227" s="3">
        <v>2170.1999999999998</v>
      </c>
      <c r="G227" s="2">
        <v>2450.69</v>
      </c>
      <c r="H227" s="2">
        <v>0</v>
      </c>
      <c r="I227" s="4">
        <v>149</v>
      </c>
      <c r="J227" s="3">
        <v>0.3</v>
      </c>
      <c r="K227" s="4">
        <v>2319</v>
      </c>
      <c r="L227" s="2">
        <v>308.55</v>
      </c>
      <c r="M227" s="2">
        <v>56.5</v>
      </c>
      <c r="N227" s="2">
        <v>63.35</v>
      </c>
      <c r="O227" s="2">
        <v>31.03</v>
      </c>
      <c r="P227" s="2">
        <v>3.71</v>
      </c>
      <c r="Q227" s="4">
        <v>756160</v>
      </c>
      <c r="R227" s="4">
        <v>0</v>
      </c>
      <c r="S227" s="4">
        <v>756160</v>
      </c>
      <c r="T227" s="4">
        <v>131024</v>
      </c>
      <c r="U227" s="4">
        <v>146909</v>
      </c>
      <c r="V227" s="4">
        <v>0</v>
      </c>
      <c r="W227" s="4">
        <v>76045</v>
      </c>
      <c r="X227" s="4">
        <v>9092</v>
      </c>
      <c r="Y227" s="4">
        <v>1119230</v>
      </c>
      <c r="Z227" s="4">
        <v>77738</v>
      </c>
      <c r="AA227" s="4">
        <v>1041492</v>
      </c>
      <c r="AB227" s="4">
        <v>590663</v>
      </c>
      <c r="AC227" s="4">
        <v>450829</v>
      </c>
    </row>
    <row r="228" spans="1:29" x14ac:dyDescent="0.25">
      <c r="A228" s="1" t="s">
        <v>231</v>
      </c>
      <c r="B228" s="1" t="s">
        <v>739</v>
      </c>
      <c r="C228" s="1" t="s">
        <v>239</v>
      </c>
      <c r="D228" s="1" t="s">
        <v>632</v>
      </c>
      <c r="E228" s="2">
        <v>40.72</v>
      </c>
      <c r="F228" s="3">
        <v>459</v>
      </c>
      <c r="G228" s="2">
        <v>499.72</v>
      </c>
      <c r="H228" s="2">
        <v>0</v>
      </c>
      <c r="I228" s="4">
        <v>1</v>
      </c>
      <c r="J228" s="3">
        <v>0</v>
      </c>
      <c r="K228" s="4">
        <v>460</v>
      </c>
      <c r="L228" s="2">
        <v>308.55</v>
      </c>
      <c r="M228" s="2">
        <v>56.5</v>
      </c>
      <c r="N228" s="2">
        <v>63.35</v>
      </c>
      <c r="O228" s="2">
        <v>31.03</v>
      </c>
      <c r="P228" s="2">
        <v>3.71</v>
      </c>
      <c r="Q228" s="4">
        <v>154189</v>
      </c>
      <c r="R228" s="4">
        <v>0</v>
      </c>
      <c r="S228" s="4">
        <v>154189</v>
      </c>
      <c r="T228" s="4">
        <v>25990</v>
      </c>
      <c r="U228" s="4">
        <v>29141</v>
      </c>
      <c r="V228" s="4">
        <v>0</v>
      </c>
      <c r="W228" s="4">
        <v>15506</v>
      </c>
      <c r="X228" s="4">
        <v>1854</v>
      </c>
      <c r="Y228" s="4">
        <v>226680</v>
      </c>
      <c r="Z228" s="4">
        <v>25821</v>
      </c>
      <c r="AA228" s="4">
        <v>200859</v>
      </c>
      <c r="AB228" s="4">
        <v>110472</v>
      </c>
      <c r="AC228" s="4">
        <v>90387</v>
      </c>
    </row>
    <row r="229" spans="1:29" x14ac:dyDescent="0.25">
      <c r="A229" s="1" t="s">
        <v>231</v>
      </c>
      <c r="B229" s="1" t="s">
        <v>739</v>
      </c>
      <c r="C229" s="1" t="s">
        <v>240</v>
      </c>
      <c r="D229" s="1" t="s">
        <v>633</v>
      </c>
      <c r="E229" s="2">
        <v>40.21</v>
      </c>
      <c r="F229" s="3">
        <v>432.1</v>
      </c>
      <c r="G229" s="2">
        <v>472.31</v>
      </c>
      <c r="H229" s="2">
        <v>0</v>
      </c>
      <c r="I229" s="4">
        <v>5</v>
      </c>
      <c r="J229" s="3">
        <v>0</v>
      </c>
      <c r="K229" s="4">
        <v>437</v>
      </c>
      <c r="L229" s="2">
        <v>308.55</v>
      </c>
      <c r="M229" s="2">
        <v>56.5</v>
      </c>
      <c r="N229" s="2">
        <v>63.35</v>
      </c>
      <c r="O229" s="2">
        <v>31.03</v>
      </c>
      <c r="P229" s="2">
        <v>3.71</v>
      </c>
      <c r="Q229" s="4">
        <v>145731</v>
      </c>
      <c r="R229" s="4">
        <v>5733</v>
      </c>
      <c r="S229" s="4">
        <v>151464</v>
      </c>
      <c r="T229" s="4">
        <v>24691</v>
      </c>
      <c r="U229" s="4">
        <v>27684</v>
      </c>
      <c r="V229" s="4">
        <v>0</v>
      </c>
      <c r="W229" s="4">
        <v>14656</v>
      </c>
      <c r="X229" s="4">
        <v>1752</v>
      </c>
      <c r="Y229" s="4">
        <v>220247</v>
      </c>
      <c r="Z229" s="4">
        <v>24051</v>
      </c>
      <c r="AA229" s="4">
        <v>196196</v>
      </c>
      <c r="AB229" s="4">
        <v>104767</v>
      </c>
      <c r="AC229" s="4">
        <v>91429</v>
      </c>
    </row>
    <row r="230" spans="1:29" x14ac:dyDescent="0.25">
      <c r="A230" s="1" t="s">
        <v>231</v>
      </c>
      <c r="B230" s="1" t="s">
        <v>739</v>
      </c>
      <c r="C230" s="1" t="s">
        <v>241</v>
      </c>
      <c r="D230" s="1" t="s">
        <v>634</v>
      </c>
      <c r="E230" s="2">
        <v>112.88</v>
      </c>
      <c r="F230" s="3">
        <v>625.29999999999995</v>
      </c>
      <c r="G230" s="2">
        <v>738.18</v>
      </c>
      <c r="H230" s="2">
        <v>0</v>
      </c>
      <c r="I230" s="4">
        <v>122</v>
      </c>
      <c r="J230" s="3">
        <v>0</v>
      </c>
      <c r="K230" s="4">
        <v>747</v>
      </c>
      <c r="L230" s="2">
        <v>308.55</v>
      </c>
      <c r="M230" s="2">
        <v>56.5</v>
      </c>
      <c r="N230" s="2">
        <v>63.35</v>
      </c>
      <c r="O230" s="2">
        <v>31.03</v>
      </c>
      <c r="P230" s="2">
        <v>3.71</v>
      </c>
      <c r="Q230" s="4">
        <v>227765</v>
      </c>
      <c r="R230" s="4">
        <v>0</v>
      </c>
      <c r="S230" s="4">
        <v>227765</v>
      </c>
      <c r="T230" s="4">
        <v>42206</v>
      </c>
      <c r="U230" s="4">
        <v>47322</v>
      </c>
      <c r="V230" s="4">
        <v>0</v>
      </c>
      <c r="W230" s="4">
        <v>22906</v>
      </c>
      <c r="X230" s="4">
        <v>2739</v>
      </c>
      <c r="Y230" s="4">
        <v>342938</v>
      </c>
      <c r="Z230" s="4">
        <v>41896</v>
      </c>
      <c r="AA230" s="4">
        <v>301042</v>
      </c>
      <c r="AB230" s="4">
        <v>159436</v>
      </c>
      <c r="AC230" s="4">
        <v>141606</v>
      </c>
    </row>
    <row r="231" spans="1:29" x14ac:dyDescent="0.25">
      <c r="A231" s="1" t="s">
        <v>231</v>
      </c>
      <c r="B231" s="1" t="s">
        <v>739</v>
      </c>
      <c r="C231" s="1" t="s">
        <v>242</v>
      </c>
      <c r="D231" s="1" t="s">
        <v>635</v>
      </c>
      <c r="E231" s="2">
        <v>46.63</v>
      </c>
      <c r="F231" s="3">
        <v>521.1</v>
      </c>
      <c r="G231" s="2">
        <v>567.73</v>
      </c>
      <c r="H231" s="2">
        <v>0</v>
      </c>
      <c r="I231" s="4">
        <v>17</v>
      </c>
      <c r="J231" s="3">
        <v>0</v>
      </c>
      <c r="K231" s="4">
        <v>538</v>
      </c>
      <c r="L231" s="2">
        <v>308.55</v>
      </c>
      <c r="M231" s="2">
        <v>56.5</v>
      </c>
      <c r="N231" s="2">
        <v>63.35</v>
      </c>
      <c r="O231" s="2">
        <v>31.03</v>
      </c>
      <c r="P231" s="2">
        <v>3.71</v>
      </c>
      <c r="Q231" s="4">
        <v>175173</v>
      </c>
      <c r="R231" s="4">
        <v>118</v>
      </c>
      <c r="S231" s="4">
        <v>175291</v>
      </c>
      <c r="T231" s="4">
        <v>30397</v>
      </c>
      <c r="U231" s="4">
        <v>34082</v>
      </c>
      <c r="V231" s="4">
        <v>0</v>
      </c>
      <c r="W231" s="4">
        <v>17617</v>
      </c>
      <c r="X231" s="4">
        <v>2106</v>
      </c>
      <c r="Y231" s="4">
        <v>259493</v>
      </c>
      <c r="Z231" s="4">
        <v>25986</v>
      </c>
      <c r="AA231" s="4">
        <v>233507</v>
      </c>
      <c r="AB231" s="4">
        <v>128857</v>
      </c>
      <c r="AC231" s="4">
        <v>104650</v>
      </c>
    </row>
    <row r="232" spans="1:29" x14ac:dyDescent="0.25">
      <c r="A232" s="1" t="s">
        <v>231</v>
      </c>
      <c r="B232" s="1" t="s">
        <v>739</v>
      </c>
      <c r="C232" s="1" t="s">
        <v>243</v>
      </c>
      <c r="D232" s="1" t="s">
        <v>636</v>
      </c>
      <c r="E232" s="2">
        <v>45.74</v>
      </c>
      <c r="F232" s="3">
        <v>440.3</v>
      </c>
      <c r="G232" s="2">
        <v>486.04</v>
      </c>
      <c r="H232" s="2">
        <v>0</v>
      </c>
      <c r="I232" s="4">
        <v>3</v>
      </c>
      <c r="J232" s="3">
        <v>0</v>
      </c>
      <c r="K232" s="4">
        <v>443</v>
      </c>
      <c r="L232" s="2">
        <v>308.55</v>
      </c>
      <c r="M232" s="2">
        <v>56.5</v>
      </c>
      <c r="N232" s="2">
        <v>63.35</v>
      </c>
      <c r="O232" s="2">
        <v>31.03</v>
      </c>
      <c r="P232" s="2">
        <v>3.71</v>
      </c>
      <c r="Q232" s="4">
        <v>149968</v>
      </c>
      <c r="R232" s="4">
        <v>13257</v>
      </c>
      <c r="S232" s="4">
        <v>163225</v>
      </c>
      <c r="T232" s="4">
        <v>25030</v>
      </c>
      <c r="U232" s="4">
        <v>28064</v>
      </c>
      <c r="V232" s="4">
        <v>0</v>
      </c>
      <c r="W232" s="4">
        <v>15723</v>
      </c>
      <c r="X232" s="4">
        <v>1883</v>
      </c>
      <c r="Y232" s="4">
        <v>233925</v>
      </c>
      <c r="Z232" s="4">
        <v>21764</v>
      </c>
      <c r="AA232" s="4">
        <v>212161</v>
      </c>
      <c r="AB232" s="4">
        <v>111520</v>
      </c>
      <c r="AC232" s="4">
        <v>100641</v>
      </c>
    </row>
    <row r="233" spans="1:29" x14ac:dyDescent="0.25">
      <c r="A233" s="1" t="s">
        <v>231</v>
      </c>
      <c r="B233" s="1" t="s">
        <v>739</v>
      </c>
      <c r="C233" s="1" t="s">
        <v>244</v>
      </c>
      <c r="D233" s="1" t="s">
        <v>637</v>
      </c>
      <c r="E233" s="2">
        <v>53.54</v>
      </c>
      <c r="F233" s="3">
        <v>615.29999999999995</v>
      </c>
      <c r="G233" s="2">
        <v>668.84</v>
      </c>
      <c r="H233" s="2">
        <v>0</v>
      </c>
      <c r="I233" s="4">
        <v>15</v>
      </c>
      <c r="J233" s="3">
        <v>0</v>
      </c>
      <c r="K233" s="4">
        <v>630</v>
      </c>
      <c r="L233" s="2">
        <v>308.55</v>
      </c>
      <c r="M233" s="2">
        <v>56.5</v>
      </c>
      <c r="N233" s="2">
        <v>63.35</v>
      </c>
      <c r="O233" s="2">
        <v>31.03</v>
      </c>
      <c r="P233" s="2">
        <v>3.71</v>
      </c>
      <c r="Q233" s="4">
        <v>206371</v>
      </c>
      <c r="R233" s="4">
        <v>0</v>
      </c>
      <c r="S233" s="4">
        <v>206371</v>
      </c>
      <c r="T233" s="4">
        <v>35595</v>
      </c>
      <c r="U233" s="4">
        <v>39911</v>
      </c>
      <c r="V233" s="4">
        <v>0</v>
      </c>
      <c r="W233" s="4">
        <v>20754</v>
      </c>
      <c r="X233" s="4">
        <v>2481</v>
      </c>
      <c r="Y233" s="4">
        <v>305112</v>
      </c>
      <c r="Z233" s="4">
        <v>28228</v>
      </c>
      <c r="AA233" s="4">
        <v>276884</v>
      </c>
      <c r="AB233" s="4">
        <v>154191</v>
      </c>
      <c r="AC233" s="4">
        <v>122693</v>
      </c>
    </row>
    <row r="234" spans="1:29" x14ac:dyDescent="0.25">
      <c r="A234" s="1" t="s">
        <v>231</v>
      </c>
      <c r="B234" s="1" t="s">
        <v>739</v>
      </c>
      <c r="C234" s="1" t="s">
        <v>245</v>
      </c>
      <c r="D234" s="1" t="s">
        <v>638</v>
      </c>
      <c r="E234" s="2">
        <v>346.79</v>
      </c>
      <c r="F234" s="3">
        <v>2254.4</v>
      </c>
      <c r="G234" s="2">
        <v>2601.19</v>
      </c>
      <c r="H234" s="2">
        <v>0</v>
      </c>
      <c r="I234" s="4">
        <v>439</v>
      </c>
      <c r="J234" s="3">
        <v>0.1</v>
      </c>
      <c r="K234" s="4">
        <v>2693</v>
      </c>
      <c r="L234" s="2">
        <v>308.55</v>
      </c>
      <c r="M234" s="2">
        <v>56.5</v>
      </c>
      <c r="N234" s="2">
        <v>63.35</v>
      </c>
      <c r="O234" s="2">
        <v>31.03</v>
      </c>
      <c r="P234" s="2">
        <v>3.71</v>
      </c>
      <c r="Q234" s="4">
        <v>802597</v>
      </c>
      <c r="R234" s="4">
        <v>0</v>
      </c>
      <c r="S234" s="4">
        <v>802597</v>
      </c>
      <c r="T234" s="4">
        <v>152155</v>
      </c>
      <c r="U234" s="4">
        <v>170602</v>
      </c>
      <c r="V234" s="4">
        <v>0</v>
      </c>
      <c r="W234" s="4">
        <v>80715</v>
      </c>
      <c r="X234" s="4">
        <v>9650</v>
      </c>
      <c r="Y234" s="4">
        <v>1215719</v>
      </c>
      <c r="Z234" s="4">
        <v>105133</v>
      </c>
      <c r="AA234" s="4">
        <v>1110586</v>
      </c>
      <c r="AB234" s="4">
        <v>604315</v>
      </c>
      <c r="AC234" s="4">
        <v>506271</v>
      </c>
    </row>
    <row r="235" spans="1:29" x14ac:dyDescent="0.25">
      <c r="A235" s="1" t="s">
        <v>231</v>
      </c>
      <c r="B235" s="1" t="s">
        <v>739</v>
      </c>
      <c r="C235" s="1" t="s">
        <v>246</v>
      </c>
      <c r="D235" s="1" t="s">
        <v>639</v>
      </c>
      <c r="E235" s="2">
        <v>70.39</v>
      </c>
      <c r="F235" s="3">
        <v>613.79999999999995</v>
      </c>
      <c r="G235" s="2">
        <v>684.19</v>
      </c>
      <c r="H235" s="2">
        <v>0</v>
      </c>
      <c r="I235" s="4">
        <v>35</v>
      </c>
      <c r="J235" s="3">
        <v>0</v>
      </c>
      <c r="K235" s="4">
        <v>649</v>
      </c>
      <c r="L235" s="2">
        <v>308.55</v>
      </c>
      <c r="M235" s="2">
        <v>56.5</v>
      </c>
      <c r="N235" s="2">
        <v>63.35</v>
      </c>
      <c r="O235" s="2">
        <v>31.03</v>
      </c>
      <c r="P235" s="2">
        <v>3.71</v>
      </c>
      <c r="Q235" s="4">
        <v>211107</v>
      </c>
      <c r="R235" s="4">
        <v>24270</v>
      </c>
      <c r="S235" s="4">
        <v>235377</v>
      </c>
      <c r="T235" s="4">
        <v>36669</v>
      </c>
      <c r="U235" s="4">
        <v>41114</v>
      </c>
      <c r="V235" s="4">
        <v>0</v>
      </c>
      <c r="W235" s="4">
        <v>22514</v>
      </c>
      <c r="X235" s="4">
        <v>2696</v>
      </c>
      <c r="Y235" s="4">
        <v>338370</v>
      </c>
      <c r="Z235" s="4">
        <v>42589</v>
      </c>
      <c r="AA235" s="4">
        <v>295781</v>
      </c>
      <c r="AB235" s="4">
        <v>145458</v>
      </c>
      <c r="AC235" s="4">
        <v>150323</v>
      </c>
    </row>
    <row r="236" spans="1:29" x14ac:dyDescent="0.25">
      <c r="A236" s="1" t="s">
        <v>231</v>
      </c>
      <c r="B236" s="1" t="s">
        <v>739</v>
      </c>
      <c r="C236" s="1" t="s">
        <v>247</v>
      </c>
      <c r="D236" s="1" t="s">
        <v>640</v>
      </c>
      <c r="E236" s="2">
        <v>59.69</v>
      </c>
      <c r="F236" s="3">
        <v>421.3</v>
      </c>
      <c r="G236" s="2">
        <v>480.99</v>
      </c>
      <c r="H236" s="2">
        <v>0</v>
      </c>
      <c r="I236" s="4">
        <v>7</v>
      </c>
      <c r="J236" s="3">
        <v>0</v>
      </c>
      <c r="K236" s="4">
        <v>428</v>
      </c>
      <c r="L236" s="2">
        <v>308.55</v>
      </c>
      <c r="M236" s="2">
        <v>56.5</v>
      </c>
      <c r="N236" s="2">
        <v>63.35</v>
      </c>
      <c r="O236" s="2">
        <v>31.03</v>
      </c>
      <c r="P236" s="2">
        <v>3.71</v>
      </c>
      <c r="Q236" s="4">
        <v>148409</v>
      </c>
      <c r="R236" s="4">
        <v>140</v>
      </c>
      <c r="S236" s="4">
        <v>148549</v>
      </c>
      <c r="T236" s="4">
        <v>24182</v>
      </c>
      <c r="U236" s="4">
        <v>27114</v>
      </c>
      <c r="V236" s="4">
        <v>0</v>
      </c>
      <c r="W236" s="4">
        <v>14925</v>
      </c>
      <c r="X236" s="4">
        <v>1784</v>
      </c>
      <c r="Y236" s="4">
        <v>216554</v>
      </c>
      <c r="Z236" s="4">
        <v>28045</v>
      </c>
      <c r="AA236" s="4">
        <v>188509</v>
      </c>
      <c r="AB236" s="4">
        <v>103140</v>
      </c>
      <c r="AC236" s="4">
        <v>85369</v>
      </c>
    </row>
    <row r="237" spans="1:29" x14ac:dyDescent="0.25">
      <c r="A237" s="1" t="s">
        <v>231</v>
      </c>
      <c r="B237" s="1" t="s">
        <v>739</v>
      </c>
      <c r="C237" s="1" t="s">
        <v>248</v>
      </c>
      <c r="D237" s="1" t="s">
        <v>641</v>
      </c>
      <c r="E237" s="2">
        <v>167.55</v>
      </c>
      <c r="F237" s="3">
        <v>1458.3</v>
      </c>
      <c r="G237" s="2">
        <v>1625.85</v>
      </c>
      <c r="H237" s="2">
        <v>0</v>
      </c>
      <c r="I237" s="4">
        <v>527</v>
      </c>
      <c r="J237" s="3">
        <v>11.2</v>
      </c>
      <c r="K237" s="4">
        <v>1974</v>
      </c>
      <c r="L237" s="2">
        <v>308.55</v>
      </c>
      <c r="M237" s="2">
        <v>56.5</v>
      </c>
      <c r="N237" s="2">
        <v>63.35</v>
      </c>
      <c r="O237" s="2">
        <v>31.03</v>
      </c>
      <c r="P237" s="2">
        <v>3.71</v>
      </c>
      <c r="Q237" s="4">
        <v>501656</v>
      </c>
      <c r="R237" s="4">
        <v>0</v>
      </c>
      <c r="S237" s="4">
        <v>501656</v>
      </c>
      <c r="T237" s="4">
        <v>111531</v>
      </c>
      <c r="U237" s="4">
        <v>125053</v>
      </c>
      <c r="V237" s="4">
        <v>0</v>
      </c>
      <c r="W237" s="4">
        <v>50450</v>
      </c>
      <c r="X237" s="4">
        <v>6032</v>
      </c>
      <c r="Y237" s="4">
        <v>794722</v>
      </c>
      <c r="Z237" s="4">
        <v>71335</v>
      </c>
      <c r="AA237" s="4">
        <v>723387</v>
      </c>
      <c r="AB237" s="4">
        <v>372099</v>
      </c>
      <c r="AC237" s="4">
        <v>351288</v>
      </c>
    </row>
    <row r="238" spans="1:29" x14ac:dyDescent="0.25">
      <c r="A238" s="1" t="s">
        <v>231</v>
      </c>
      <c r="B238" s="1" t="s">
        <v>739</v>
      </c>
      <c r="C238" s="1" t="s">
        <v>44</v>
      </c>
      <c r="D238" s="1" t="s">
        <v>642</v>
      </c>
      <c r="E238" s="2">
        <v>112.06</v>
      </c>
      <c r="F238" s="3">
        <v>987.4</v>
      </c>
      <c r="G238" s="2">
        <v>1099.46</v>
      </c>
      <c r="H238" s="2">
        <v>0</v>
      </c>
      <c r="I238" s="4">
        <v>26</v>
      </c>
      <c r="J238" s="3">
        <v>0</v>
      </c>
      <c r="K238" s="4">
        <v>1013</v>
      </c>
      <c r="L238" s="2">
        <v>308.55</v>
      </c>
      <c r="M238" s="2">
        <v>56.5</v>
      </c>
      <c r="N238" s="2">
        <v>63.35</v>
      </c>
      <c r="O238" s="2">
        <v>31.03</v>
      </c>
      <c r="P238" s="2">
        <v>3.71</v>
      </c>
      <c r="Q238" s="4">
        <v>339238</v>
      </c>
      <c r="R238" s="4">
        <v>0</v>
      </c>
      <c r="S238" s="4">
        <v>339238</v>
      </c>
      <c r="T238" s="4">
        <v>57235</v>
      </c>
      <c r="U238" s="4">
        <v>64174</v>
      </c>
      <c r="V238" s="4">
        <v>0</v>
      </c>
      <c r="W238" s="4">
        <v>34116</v>
      </c>
      <c r="X238" s="4">
        <v>4079</v>
      </c>
      <c r="Y238" s="4">
        <v>498842</v>
      </c>
      <c r="Z238" s="4">
        <v>58024</v>
      </c>
      <c r="AA238" s="4">
        <v>440818</v>
      </c>
      <c r="AB238" s="4">
        <v>241842</v>
      </c>
      <c r="AC238" s="4">
        <v>198976</v>
      </c>
    </row>
    <row r="239" spans="1:29" x14ac:dyDescent="0.25">
      <c r="A239" s="1" t="s">
        <v>231</v>
      </c>
      <c r="B239" s="1" t="s">
        <v>739</v>
      </c>
      <c r="C239" s="1" t="s">
        <v>249</v>
      </c>
      <c r="D239" s="1" t="s">
        <v>643</v>
      </c>
      <c r="E239" s="2">
        <v>46.92</v>
      </c>
      <c r="F239" s="3">
        <v>318.7</v>
      </c>
      <c r="G239" s="2">
        <v>365.62</v>
      </c>
      <c r="H239" s="2">
        <v>0</v>
      </c>
      <c r="I239" s="4">
        <v>188</v>
      </c>
      <c r="J239" s="3">
        <v>4.7</v>
      </c>
      <c r="K239" s="4">
        <v>502</v>
      </c>
      <c r="L239" s="2">
        <v>308.55</v>
      </c>
      <c r="M239" s="2">
        <v>56.5</v>
      </c>
      <c r="N239" s="2">
        <v>63.35</v>
      </c>
      <c r="O239" s="2">
        <v>31.03</v>
      </c>
      <c r="P239" s="2">
        <v>3.71</v>
      </c>
      <c r="Q239" s="4">
        <v>112812</v>
      </c>
      <c r="R239" s="4">
        <v>19186</v>
      </c>
      <c r="S239" s="4">
        <v>131998</v>
      </c>
      <c r="T239" s="4">
        <v>28363</v>
      </c>
      <c r="U239" s="4">
        <v>31802</v>
      </c>
      <c r="V239" s="4">
        <v>0</v>
      </c>
      <c r="W239" s="4">
        <v>11963</v>
      </c>
      <c r="X239" s="4">
        <v>1432</v>
      </c>
      <c r="Y239" s="4">
        <v>205558</v>
      </c>
      <c r="Z239" s="4">
        <v>24390</v>
      </c>
      <c r="AA239" s="4">
        <v>181168</v>
      </c>
      <c r="AB239" s="4">
        <v>76023</v>
      </c>
      <c r="AC239" s="4">
        <v>105145</v>
      </c>
    </row>
    <row r="240" spans="1:29" x14ac:dyDescent="0.25">
      <c r="A240" s="1" t="s">
        <v>231</v>
      </c>
      <c r="B240" s="1" t="s">
        <v>739</v>
      </c>
      <c r="C240" s="1" t="s">
        <v>250</v>
      </c>
      <c r="D240" s="1" t="s">
        <v>644</v>
      </c>
      <c r="E240" s="2">
        <v>51.2</v>
      </c>
      <c r="F240" s="3">
        <v>407.3</v>
      </c>
      <c r="G240" s="2">
        <v>458.5</v>
      </c>
      <c r="H240" s="2">
        <v>0</v>
      </c>
      <c r="I240" s="4">
        <v>0</v>
      </c>
      <c r="J240" s="3">
        <v>0</v>
      </c>
      <c r="K240" s="4">
        <v>407</v>
      </c>
      <c r="L240" s="2">
        <v>308.55</v>
      </c>
      <c r="M240" s="2">
        <v>56.5</v>
      </c>
      <c r="N240" s="2">
        <v>63.35</v>
      </c>
      <c r="O240" s="2">
        <v>31.03</v>
      </c>
      <c r="P240" s="2">
        <v>3.71</v>
      </c>
      <c r="Q240" s="4">
        <v>141470</v>
      </c>
      <c r="R240" s="4">
        <v>3925</v>
      </c>
      <c r="S240" s="4">
        <v>145395</v>
      </c>
      <c r="T240" s="4">
        <v>22996</v>
      </c>
      <c r="U240" s="4">
        <v>25783</v>
      </c>
      <c r="V240" s="4">
        <v>0</v>
      </c>
      <c r="W240" s="4">
        <v>14450</v>
      </c>
      <c r="X240" s="4">
        <v>1730</v>
      </c>
      <c r="Y240" s="4">
        <v>210354</v>
      </c>
      <c r="Z240" s="4">
        <v>24876</v>
      </c>
      <c r="AA240" s="4">
        <v>185478</v>
      </c>
      <c r="AB240" s="4">
        <v>100427</v>
      </c>
      <c r="AC240" s="4">
        <v>85051</v>
      </c>
    </row>
    <row r="241" spans="1:29" x14ac:dyDescent="0.25">
      <c r="A241" s="1" t="s">
        <v>231</v>
      </c>
      <c r="B241" s="1" t="s">
        <v>739</v>
      </c>
      <c r="C241" s="1" t="s">
        <v>251</v>
      </c>
      <c r="D241" s="1" t="s">
        <v>645</v>
      </c>
      <c r="E241" s="2">
        <v>102.98</v>
      </c>
      <c r="F241" s="3">
        <v>804.9</v>
      </c>
      <c r="G241" s="2">
        <v>907.88</v>
      </c>
      <c r="H241" s="2">
        <v>0</v>
      </c>
      <c r="I241" s="4">
        <v>454</v>
      </c>
      <c r="J241" s="3">
        <v>0.9</v>
      </c>
      <c r="K241" s="4">
        <v>1258</v>
      </c>
      <c r="L241" s="2">
        <v>308.55</v>
      </c>
      <c r="M241" s="2">
        <v>56.5</v>
      </c>
      <c r="N241" s="2">
        <v>63.35</v>
      </c>
      <c r="O241" s="2">
        <v>31.03</v>
      </c>
      <c r="P241" s="2">
        <v>3.71</v>
      </c>
      <c r="Q241" s="4">
        <v>280126</v>
      </c>
      <c r="R241" s="4">
        <v>0</v>
      </c>
      <c r="S241" s="4">
        <v>280126</v>
      </c>
      <c r="T241" s="4">
        <v>71077</v>
      </c>
      <c r="U241" s="4">
        <v>79694</v>
      </c>
      <c r="V241" s="4">
        <v>0</v>
      </c>
      <c r="W241" s="4">
        <v>28172</v>
      </c>
      <c r="X241" s="4">
        <v>3368</v>
      </c>
      <c r="Y241" s="4">
        <v>462437</v>
      </c>
      <c r="Z241" s="4">
        <v>28717</v>
      </c>
      <c r="AA241" s="4">
        <v>433720</v>
      </c>
      <c r="AB241" s="4">
        <v>218898</v>
      </c>
      <c r="AC241" s="4">
        <v>214822</v>
      </c>
    </row>
    <row r="242" spans="1:29" x14ac:dyDescent="0.25">
      <c r="A242" s="1" t="s">
        <v>231</v>
      </c>
      <c r="B242" s="1" t="s">
        <v>739</v>
      </c>
      <c r="C242" s="1" t="s">
        <v>252</v>
      </c>
      <c r="D242" s="1" t="s">
        <v>646</v>
      </c>
      <c r="E242" s="2">
        <v>43.69</v>
      </c>
      <c r="F242" s="3">
        <v>260</v>
      </c>
      <c r="G242" s="2">
        <v>303.69</v>
      </c>
      <c r="H242" s="2">
        <v>0</v>
      </c>
      <c r="I242" s="4">
        <v>7</v>
      </c>
      <c r="J242" s="3">
        <v>0</v>
      </c>
      <c r="K242" s="4">
        <v>267</v>
      </c>
      <c r="L242" s="2">
        <v>308.55</v>
      </c>
      <c r="M242" s="2">
        <v>56.5</v>
      </c>
      <c r="N242" s="2">
        <v>63.35</v>
      </c>
      <c r="O242" s="2">
        <v>31.03</v>
      </c>
      <c r="P242" s="2">
        <v>3.71</v>
      </c>
      <c r="Q242" s="4">
        <v>93704</v>
      </c>
      <c r="R242" s="4">
        <v>11255</v>
      </c>
      <c r="S242" s="4">
        <v>104959</v>
      </c>
      <c r="T242" s="4">
        <v>15086</v>
      </c>
      <c r="U242" s="4">
        <v>16914</v>
      </c>
      <c r="V242" s="4">
        <v>0</v>
      </c>
      <c r="W242" s="4">
        <v>9460</v>
      </c>
      <c r="X242" s="4">
        <v>1133</v>
      </c>
      <c r="Y242" s="4">
        <v>147552</v>
      </c>
      <c r="Z242" s="4">
        <v>13977</v>
      </c>
      <c r="AA242" s="4">
        <v>133575</v>
      </c>
      <c r="AB242" s="4">
        <v>68894</v>
      </c>
      <c r="AC242" s="4">
        <v>64681</v>
      </c>
    </row>
    <row r="243" spans="1:29" x14ac:dyDescent="0.25">
      <c r="A243" s="1" t="s">
        <v>231</v>
      </c>
      <c r="B243" s="1" t="s">
        <v>739</v>
      </c>
      <c r="C243" s="1" t="s">
        <v>253</v>
      </c>
      <c r="D243" s="1" t="s">
        <v>647</v>
      </c>
      <c r="E243" s="2">
        <v>210.28</v>
      </c>
      <c r="F243" s="3">
        <v>1438.7</v>
      </c>
      <c r="G243" s="2">
        <v>1648.98</v>
      </c>
      <c r="H243" s="2">
        <v>0</v>
      </c>
      <c r="I243" s="4">
        <v>37</v>
      </c>
      <c r="J243" s="3">
        <v>0</v>
      </c>
      <c r="K243" s="4">
        <v>1476</v>
      </c>
      <c r="L243" s="2">
        <v>308.55</v>
      </c>
      <c r="M243" s="2">
        <v>56.5</v>
      </c>
      <c r="N243" s="2">
        <v>63.35</v>
      </c>
      <c r="O243" s="2">
        <v>31.03</v>
      </c>
      <c r="P243" s="2">
        <v>3.71</v>
      </c>
      <c r="Q243" s="4">
        <v>508793</v>
      </c>
      <c r="R243" s="4">
        <v>0</v>
      </c>
      <c r="S243" s="4">
        <v>508793</v>
      </c>
      <c r="T243" s="4">
        <v>83394</v>
      </c>
      <c r="U243" s="4">
        <v>93505</v>
      </c>
      <c r="V243" s="4">
        <v>0</v>
      </c>
      <c r="W243" s="4">
        <v>51168</v>
      </c>
      <c r="X243" s="4">
        <v>6118</v>
      </c>
      <c r="Y243" s="4">
        <v>742978</v>
      </c>
      <c r="Z243" s="4">
        <v>56471</v>
      </c>
      <c r="AA243" s="4">
        <v>686507</v>
      </c>
      <c r="AB243" s="4">
        <v>393272</v>
      </c>
      <c r="AC243" s="4">
        <v>293235</v>
      </c>
    </row>
    <row r="244" spans="1:29" x14ac:dyDescent="0.25">
      <c r="A244" s="1" t="s">
        <v>231</v>
      </c>
      <c r="B244" s="1" t="s">
        <v>739</v>
      </c>
      <c r="C244" s="1" t="s">
        <v>254</v>
      </c>
      <c r="D244" s="1" t="s">
        <v>648</v>
      </c>
      <c r="E244" s="2">
        <v>156.29</v>
      </c>
      <c r="F244" s="3">
        <v>1087.9000000000001</v>
      </c>
      <c r="G244" s="2">
        <v>1244.19</v>
      </c>
      <c r="H244" s="2">
        <v>0</v>
      </c>
      <c r="I244" s="4">
        <v>213</v>
      </c>
      <c r="J244" s="3">
        <v>4</v>
      </c>
      <c r="K244" s="4">
        <v>1297</v>
      </c>
      <c r="L244" s="2">
        <v>308.55</v>
      </c>
      <c r="M244" s="2">
        <v>56.5</v>
      </c>
      <c r="N244" s="2">
        <v>63.35</v>
      </c>
      <c r="O244" s="2">
        <v>31.03</v>
      </c>
      <c r="P244" s="2">
        <v>3.71</v>
      </c>
      <c r="Q244" s="4">
        <v>383895</v>
      </c>
      <c r="R244" s="4">
        <v>0</v>
      </c>
      <c r="S244" s="4">
        <v>383895</v>
      </c>
      <c r="T244" s="4">
        <v>73281</v>
      </c>
      <c r="U244" s="4">
        <v>82165</v>
      </c>
      <c r="V244" s="4">
        <v>0</v>
      </c>
      <c r="W244" s="4">
        <v>38607</v>
      </c>
      <c r="X244" s="4">
        <v>4616</v>
      </c>
      <c r="Y244" s="4">
        <v>582564</v>
      </c>
      <c r="Z244" s="4">
        <v>53257</v>
      </c>
      <c r="AA244" s="4">
        <v>529307</v>
      </c>
      <c r="AB244" s="4">
        <v>286083</v>
      </c>
      <c r="AC244" s="4">
        <v>243224</v>
      </c>
    </row>
    <row r="245" spans="1:29" x14ac:dyDescent="0.25">
      <c r="A245" s="1" t="s">
        <v>231</v>
      </c>
      <c r="B245" s="1" t="s">
        <v>739</v>
      </c>
      <c r="C245" s="1" t="s">
        <v>255</v>
      </c>
      <c r="D245" s="1" t="s">
        <v>649</v>
      </c>
      <c r="E245" s="2">
        <v>68.989999999999995</v>
      </c>
      <c r="F245" s="3">
        <v>750.2</v>
      </c>
      <c r="G245" s="2">
        <v>819.19</v>
      </c>
      <c r="H245" s="2">
        <v>0</v>
      </c>
      <c r="I245" s="4">
        <v>12</v>
      </c>
      <c r="J245" s="3">
        <v>0</v>
      </c>
      <c r="K245" s="4">
        <v>762</v>
      </c>
      <c r="L245" s="2">
        <v>308.55</v>
      </c>
      <c r="M245" s="2">
        <v>56.5</v>
      </c>
      <c r="N245" s="2">
        <v>63.35</v>
      </c>
      <c r="O245" s="2">
        <v>31.03</v>
      </c>
      <c r="P245" s="2">
        <v>3.71</v>
      </c>
      <c r="Q245" s="4">
        <v>252761</v>
      </c>
      <c r="R245" s="4">
        <v>2787</v>
      </c>
      <c r="S245" s="4">
        <v>255548</v>
      </c>
      <c r="T245" s="4">
        <v>43053</v>
      </c>
      <c r="U245" s="4">
        <v>48273</v>
      </c>
      <c r="V245" s="4">
        <v>0</v>
      </c>
      <c r="W245" s="4">
        <v>25685</v>
      </c>
      <c r="X245" s="4">
        <v>3075</v>
      </c>
      <c r="Y245" s="4">
        <v>375634</v>
      </c>
      <c r="Z245" s="4">
        <v>43971</v>
      </c>
      <c r="AA245" s="4">
        <v>331663</v>
      </c>
      <c r="AB245" s="4">
        <v>179756</v>
      </c>
      <c r="AC245" s="4">
        <v>151907</v>
      </c>
    </row>
    <row r="246" spans="1:29" x14ac:dyDescent="0.25">
      <c r="A246" s="1" t="s">
        <v>231</v>
      </c>
      <c r="B246" s="1" t="s">
        <v>739</v>
      </c>
      <c r="C246" s="1" t="s">
        <v>256</v>
      </c>
      <c r="D246" s="1" t="s">
        <v>650</v>
      </c>
      <c r="E246" s="2">
        <v>183.09</v>
      </c>
      <c r="F246" s="3">
        <v>1334.7</v>
      </c>
      <c r="G246" s="2">
        <v>1517.79</v>
      </c>
      <c r="H246" s="2">
        <v>0</v>
      </c>
      <c r="I246" s="4">
        <v>699</v>
      </c>
      <c r="J246" s="3">
        <v>0</v>
      </c>
      <c r="K246" s="4">
        <v>2034</v>
      </c>
      <c r="L246" s="2">
        <v>308.55</v>
      </c>
      <c r="M246" s="2">
        <v>56.5</v>
      </c>
      <c r="N246" s="2">
        <v>63.35</v>
      </c>
      <c r="O246" s="2">
        <v>31.03</v>
      </c>
      <c r="P246" s="2">
        <v>3.71</v>
      </c>
      <c r="Q246" s="4">
        <v>468314</v>
      </c>
      <c r="R246" s="4">
        <v>0</v>
      </c>
      <c r="S246" s="4">
        <v>468314</v>
      </c>
      <c r="T246" s="4">
        <v>114921</v>
      </c>
      <c r="U246" s="4">
        <v>128854</v>
      </c>
      <c r="V246" s="4">
        <v>0</v>
      </c>
      <c r="W246" s="4">
        <v>47097</v>
      </c>
      <c r="X246" s="4">
        <v>5631</v>
      </c>
      <c r="Y246" s="4">
        <v>764817</v>
      </c>
      <c r="Z246" s="4">
        <v>48328</v>
      </c>
      <c r="AA246" s="4">
        <v>716489</v>
      </c>
      <c r="AB246" s="4">
        <v>365634</v>
      </c>
      <c r="AC246" s="4">
        <v>350855</v>
      </c>
    </row>
    <row r="247" spans="1:29" x14ac:dyDescent="0.25">
      <c r="A247" s="1" t="s">
        <v>231</v>
      </c>
      <c r="B247" s="1" t="s">
        <v>739</v>
      </c>
      <c r="C247" s="1" t="s">
        <v>257</v>
      </c>
      <c r="D247" s="1" t="s">
        <v>651</v>
      </c>
      <c r="E247" s="2">
        <v>2336.56</v>
      </c>
      <c r="F247" s="3">
        <v>14569.6</v>
      </c>
      <c r="G247" s="2">
        <v>16906.16</v>
      </c>
      <c r="H247" s="2">
        <v>0</v>
      </c>
      <c r="I247" s="4">
        <v>1364</v>
      </c>
      <c r="J247" s="3">
        <v>13.3</v>
      </c>
      <c r="K247" s="4">
        <v>15920</v>
      </c>
      <c r="L247" s="2">
        <v>308.55</v>
      </c>
      <c r="M247" s="2">
        <v>56.5</v>
      </c>
      <c r="N247" s="2">
        <v>63.35</v>
      </c>
      <c r="O247" s="2">
        <v>31.03</v>
      </c>
      <c r="P247" s="2">
        <v>3.71</v>
      </c>
      <c r="Q247" s="4">
        <v>5216396</v>
      </c>
      <c r="R247" s="4">
        <v>0</v>
      </c>
      <c r="S247" s="4">
        <v>5216396</v>
      </c>
      <c r="T247" s="4">
        <v>899480</v>
      </c>
      <c r="U247" s="4">
        <v>1008532</v>
      </c>
      <c r="V247" s="4">
        <v>0</v>
      </c>
      <c r="W247" s="4">
        <v>524598</v>
      </c>
      <c r="X247" s="4">
        <v>62722</v>
      </c>
      <c r="Y247" s="4">
        <v>7711728</v>
      </c>
      <c r="Z247" s="4">
        <v>680000</v>
      </c>
      <c r="AA247" s="4">
        <v>7031728</v>
      </c>
      <c r="AB247" s="4">
        <v>3930986</v>
      </c>
      <c r="AC247" s="4">
        <v>3100742</v>
      </c>
    </row>
    <row r="248" spans="1:29" x14ac:dyDescent="0.25">
      <c r="A248" s="1" t="s">
        <v>231</v>
      </c>
      <c r="B248" s="1" t="s">
        <v>739</v>
      </c>
      <c r="C248" s="1" t="s">
        <v>258</v>
      </c>
      <c r="D248" s="1" t="s">
        <v>652</v>
      </c>
      <c r="E248" s="2">
        <v>112.29</v>
      </c>
      <c r="F248" s="3">
        <v>611.6</v>
      </c>
      <c r="G248" s="2">
        <v>723.89</v>
      </c>
      <c r="H248" s="2">
        <v>0</v>
      </c>
      <c r="I248" s="4">
        <v>54</v>
      </c>
      <c r="J248" s="3">
        <v>0.1</v>
      </c>
      <c r="K248" s="4">
        <v>666</v>
      </c>
      <c r="L248" s="2">
        <v>308.55</v>
      </c>
      <c r="M248" s="2">
        <v>56.5</v>
      </c>
      <c r="N248" s="2">
        <v>63.35</v>
      </c>
      <c r="O248" s="2">
        <v>31.03</v>
      </c>
      <c r="P248" s="2">
        <v>3.71</v>
      </c>
      <c r="Q248" s="4">
        <v>223356</v>
      </c>
      <c r="R248" s="4">
        <v>0</v>
      </c>
      <c r="S248" s="4">
        <v>223356</v>
      </c>
      <c r="T248" s="4">
        <v>37629</v>
      </c>
      <c r="U248" s="4">
        <v>42191</v>
      </c>
      <c r="V248" s="4">
        <v>0</v>
      </c>
      <c r="W248" s="4">
        <v>22462</v>
      </c>
      <c r="X248" s="4">
        <v>2686</v>
      </c>
      <c r="Y248" s="4">
        <v>328324</v>
      </c>
      <c r="Z248" s="4">
        <v>39658</v>
      </c>
      <c r="AA248" s="4">
        <v>288666</v>
      </c>
      <c r="AB248" s="4">
        <v>157776</v>
      </c>
      <c r="AC248" s="4">
        <v>130890</v>
      </c>
    </row>
    <row r="249" spans="1:29" x14ac:dyDescent="0.25">
      <c r="A249" s="1" t="s">
        <v>231</v>
      </c>
      <c r="B249" s="1" t="s">
        <v>739</v>
      </c>
      <c r="C249" s="1" t="s">
        <v>259</v>
      </c>
      <c r="D249" s="1" t="s">
        <v>653</v>
      </c>
      <c r="E249" s="2">
        <v>81.37</v>
      </c>
      <c r="F249" s="3">
        <v>938.2</v>
      </c>
      <c r="G249" s="2">
        <v>1019.57</v>
      </c>
      <c r="H249" s="2">
        <v>0</v>
      </c>
      <c r="I249" s="4">
        <v>121</v>
      </c>
      <c r="J249" s="3">
        <v>0</v>
      </c>
      <c r="K249" s="4">
        <v>1059</v>
      </c>
      <c r="L249" s="2">
        <v>308.55</v>
      </c>
      <c r="M249" s="2">
        <v>56.5</v>
      </c>
      <c r="N249" s="2">
        <v>63.35</v>
      </c>
      <c r="O249" s="2">
        <v>31.03</v>
      </c>
      <c r="P249" s="2">
        <v>3.71</v>
      </c>
      <c r="Q249" s="4">
        <v>314588</v>
      </c>
      <c r="R249" s="4">
        <v>0</v>
      </c>
      <c r="S249" s="4">
        <v>314588</v>
      </c>
      <c r="T249" s="4">
        <v>59834</v>
      </c>
      <c r="U249" s="4">
        <v>67088</v>
      </c>
      <c r="V249" s="4">
        <v>0</v>
      </c>
      <c r="W249" s="4">
        <v>31637</v>
      </c>
      <c r="X249" s="4">
        <v>3783</v>
      </c>
      <c r="Y249" s="4">
        <v>476930</v>
      </c>
      <c r="Z249" s="4">
        <v>39031</v>
      </c>
      <c r="AA249" s="4">
        <v>437899</v>
      </c>
      <c r="AB249" s="4">
        <v>239047</v>
      </c>
      <c r="AC249" s="4">
        <v>198852</v>
      </c>
    </row>
    <row r="250" spans="1:29" x14ac:dyDescent="0.25">
      <c r="A250" s="1" t="s">
        <v>231</v>
      </c>
      <c r="B250" s="1" t="s">
        <v>739</v>
      </c>
      <c r="C250" s="1" t="s">
        <v>260</v>
      </c>
      <c r="D250" s="1" t="s">
        <v>654</v>
      </c>
      <c r="E250" s="2">
        <v>113.94</v>
      </c>
      <c r="F250" s="3">
        <v>629.9</v>
      </c>
      <c r="G250" s="2">
        <v>743.84</v>
      </c>
      <c r="H250" s="2">
        <v>0</v>
      </c>
      <c r="I250" s="4">
        <v>5</v>
      </c>
      <c r="J250" s="3">
        <v>0</v>
      </c>
      <c r="K250" s="4">
        <v>635</v>
      </c>
      <c r="L250" s="2">
        <v>308.55</v>
      </c>
      <c r="M250" s="2">
        <v>56.5</v>
      </c>
      <c r="N250" s="2">
        <v>63.35</v>
      </c>
      <c r="O250" s="2">
        <v>31.03</v>
      </c>
      <c r="P250" s="2">
        <v>3.71</v>
      </c>
      <c r="Q250" s="4">
        <v>229512</v>
      </c>
      <c r="R250" s="4">
        <v>11100</v>
      </c>
      <c r="S250" s="4">
        <v>240612</v>
      </c>
      <c r="T250" s="4">
        <v>35878</v>
      </c>
      <c r="U250" s="4">
        <v>40227</v>
      </c>
      <c r="V250" s="4">
        <v>0</v>
      </c>
      <c r="W250" s="4">
        <v>23081</v>
      </c>
      <c r="X250" s="4">
        <v>2760</v>
      </c>
      <c r="Y250" s="4">
        <v>342558</v>
      </c>
      <c r="Z250" s="4">
        <v>33583</v>
      </c>
      <c r="AA250" s="4">
        <v>308975</v>
      </c>
      <c r="AB250" s="4">
        <v>169292</v>
      </c>
      <c r="AC250" s="4">
        <v>139683</v>
      </c>
    </row>
    <row r="251" spans="1:29" x14ac:dyDescent="0.25">
      <c r="A251" s="1" t="s">
        <v>231</v>
      </c>
      <c r="B251" s="1" t="s">
        <v>739</v>
      </c>
      <c r="C251" s="1" t="s">
        <v>261</v>
      </c>
      <c r="D251" s="1" t="s">
        <v>655</v>
      </c>
      <c r="E251" s="2">
        <v>111.55</v>
      </c>
      <c r="F251" s="3">
        <v>828</v>
      </c>
      <c r="G251" s="2">
        <v>939.55</v>
      </c>
      <c r="H251" s="2">
        <v>0</v>
      </c>
      <c r="I251" s="4">
        <v>106</v>
      </c>
      <c r="J251" s="3">
        <v>0.2</v>
      </c>
      <c r="K251" s="4">
        <v>934</v>
      </c>
      <c r="L251" s="2">
        <v>308.55</v>
      </c>
      <c r="M251" s="2">
        <v>56.5</v>
      </c>
      <c r="N251" s="2">
        <v>63.35</v>
      </c>
      <c r="O251" s="2">
        <v>31.03</v>
      </c>
      <c r="P251" s="2">
        <v>3.71</v>
      </c>
      <c r="Q251" s="4">
        <v>289898</v>
      </c>
      <c r="R251" s="4">
        <v>0</v>
      </c>
      <c r="S251" s="4">
        <v>289898</v>
      </c>
      <c r="T251" s="4">
        <v>52771</v>
      </c>
      <c r="U251" s="4">
        <v>59169</v>
      </c>
      <c r="V251" s="4">
        <v>0</v>
      </c>
      <c r="W251" s="4">
        <v>29154</v>
      </c>
      <c r="X251" s="4">
        <v>3486</v>
      </c>
      <c r="Y251" s="4">
        <v>434478</v>
      </c>
      <c r="Z251" s="4">
        <v>37148</v>
      </c>
      <c r="AA251" s="4">
        <v>397330</v>
      </c>
      <c r="AB251" s="4">
        <v>219105</v>
      </c>
      <c r="AC251" s="4">
        <v>178225</v>
      </c>
    </row>
    <row r="252" spans="1:29" x14ac:dyDescent="0.25">
      <c r="A252" s="1" t="s">
        <v>231</v>
      </c>
      <c r="B252" s="1" t="s">
        <v>739</v>
      </c>
      <c r="C252" s="1" t="s">
        <v>262</v>
      </c>
      <c r="D252" s="1" t="s">
        <v>656</v>
      </c>
      <c r="E252" s="2">
        <v>77.53</v>
      </c>
      <c r="F252" s="3">
        <v>563.5</v>
      </c>
      <c r="G252" s="2">
        <v>641.03</v>
      </c>
      <c r="H252" s="2">
        <v>0</v>
      </c>
      <c r="I252" s="4">
        <v>12</v>
      </c>
      <c r="J252" s="3">
        <v>0</v>
      </c>
      <c r="K252" s="4">
        <v>576</v>
      </c>
      <c r="L252" s="2">
        <v>308.55</v>
      </c>
      <c r="M252" s="2">
        <v>56.5</v>
      </c>
      <c r="N252" s="2">
        <v>63.35</v>
      </c>
      <c r="O252" s="2">
        <v>31.03</v>
      </c>
      <c r="P252" s="2">
        <v>3.71</v>
      </c>
      <c r="Q252" s="4">
        <v>197790</v>
      </c>
      <c r="R252" s="4">
        <v>0</v>
      </c>
      <c r="S252" s="4">
        <v>197790</v>
      </c>
      <c r="T252" s="4">
        <v>32544</v>
      </c>
      <c r="U252" s="4">
        <v>36490</v>
      </c>
      <c r="V252" s="4">
        <v>0</v>
      </c>
      <c r="W252" s="4">
        <v>19891</v>
      </c>
      <c r="X252" s="4">
        <v>2378</v>
      </c>
      <c r="Y252" s="4">
        <v>289093</v>
      </c>
      <c r="Z252" s="4">
        <v>31987</v>
      </c>
      <c r="AA252" s="4">
        <v>257106</v>
      </c>
      <c r="AB252" s="4">
        <v>142847</v>
      </c>
      <c r="AC252" s="4">
        <v>114259</v>
      </c>
    </row>
    <row r="253" spans="1:29" x14ac:dyDescent="0.25">
      <c r="A253" s="1" t="s">
        <v>231</v>
      </c>
      <c r="B253" s="1" t="s">
        <v>739</v>
      </c>
      <c r="C253" s="1" t="s">
        <v>263</v>
      </c>
      <c r="D253" s="1" t="s">
        <v>657</v>
      </c>
      <c r="E253" s="2">
        <v>32.07</v>
      </c>
      <c r="F253" s="3">
        <v>204.3</v>
      </c>
      <c r="G253" s="2">
        <v>236.37</v>
      </c>
      <c r="H253" s="2">
        <v>0</v>
      </c>
      <c r="I253" s="4">
        <v>2</v>
      </c>
      <c r="J253" s="3">
        <v>0</v>
      </c>
      <c r="K253" s="4">
        <v>206</v>
      </c>
      <c r="L253" s="2">
        <v>308.55</v>
      </c>
      <c r="M253" s="2">
        <v>56.5</v>
      </c>
      <c r="N253" s="2">
        <v>63.35</v>
      </c>
      <c r="O253" s="2">
        <v>31.03</v>
      </c>
      <c r="P253" s="2">
        <v>3.71</v>
      </c>
      <c r="Q253" s="4">
        <v>72932</v>
      </c>
      <c r="R253" s="4">
        <v>0</v>
      </c>
      <c r="S253" s="4">
        <v>72932</v>
      </c>
      <c r="T253" s="4">
        <v>11639</v>
      </c>
      <c r="U253" s="4">
        <v>13050</v>
      </c>
      <c r="V253" s="4">
        <v>0</v>
      </c>
      <c r="W253" s="4">
        <v>7335</v>
      </c>
      <c r="X253" s="4">
        <v>877</v>
      </c>
      <c r="Y253" s="4">
        <v>105833</v>
      </c>
      <c r="Z253" s="4">
        <v>11015</v>
      </c>
      <c r="AA253" s="4">
        <v>94818</v>
      </c>
      <c r="AB253" s="4">
        <v>53453</v>
      </c>
      <c r="AC253" s="4">
        <v>41365</v>
      </c>
    </row>
    <row r="254" spans="1:29" x14ac:dyDescent="0.25">
      <c r="A254" s="1" t="s">
        <v>231</v>
      </c>
      <c r="B254" s="1" t="s">
        <v>739</v>
      </c>
      <c r="C254" s="1" t="s">
        <v>264</v>
      </c>
      <c r="D254" s="1" t="s">
        <v>658</v>
      </c>
      <c r="E254" s="2">
        <v>75.739999999999995</v>
      </c>
      <c r="F254" s="3">
        <v>550.6</v>
      </c>
      <c r="G254" s="2">
        <v>626.34</v>
      </c>
      <c r="H254" s="2">
        <v>0</v>
      </c>
      <c r="I254" s="4">
        <v>1</v>
      </c>
      <c r="J254" s="3">
        <v>0</v>
      </c>
      <c r="K254" s="4">
        <v>552</v>
      </c>
      <c r="L254" s="2">
        <v>308.55</v>
      </c>
      <c r="M254" s="2">
        <v>56.5</v>
      </c>
      <c r="N254" s="2">
        <v>63.35</v>
      </c>
      <c r="O254" s="2">
        <v>31.03</v>
      </c>
      <c r="P254" s="2">
        <v>3.71</v>
      </c>
      <c r="Q254" s="4">
        <v>193257</v>
      </c>
      <c r="R254" s="4">
        <v>0</v>
      </c>
      <c r="S254" s="4">
        <v>193257</v>
      </c>
      <c r="T254" s="4">
        <v>31188</v>
      </c>
      <c r="U254" s="4">
        <v>34969</v>
      </c>
      <c r="V254" s="4">
        <v>0</v>
      </c>
      <c r="W254" s="4">
        <v>19435</v>
      </c>
      <c r="X254" s="4">
        <v>2324</v>
      </c>
      <c r="Y254" s="4">
        <v>281173</v>
      </c>
      <c r="Z254" s="4">
        <v>27534</v>
      </c>
      <c r="AA254" s="4">
        <v>253639</v>
      </c>
      <c r="AB254" s="4">
        <v>143294</v>
      </c>
      <c r="AC254" s="4">
        <v>110345</v>
      </c>
    </row>
    <row r="255" spans="1:29" x14ac:dyDescent="0.25">
      <c r="A255" s="1" t="s">
        <v>265</v>
      </c>
      <c r="B255" s="1" t="s">
        <v>740</v>
      </c>
      <c r="C255" s="1" t="s">
        <v>266</v>
      </c>
      <c r="D255" s="1" t="s">
        <v>659</v>
      </c>
      <c r="E255" s="2">
        <v>93.23</v>
      </c>
      <c r="F255" s="3">
        <v>784.6</v>
      </c>
      <c r="G255" s="2">
        <v>877.83</v>
      </c>
      <c r="H255" s="2">
        <v>0</v>
      </c>
      <c r="I255" s="4">
        <v>2</v>
      </c>
      <c r="J255" s="3">
        <v>0</v>
      </c>
      <c r="K255" s="4">
        <v>787</v>
      </c>
      <c r="L255" s="2">
        <v>301.97000000000003</v>
      </c>
      <c r="M255" s="2">
        <v>56.22</v>
      </c>
      <c r="N255" s="2">
        <v>62.15</v>
      </c>
      <c r="O255" s="2">
        <v>31.01</v>
      </c>
      <c r="P255" s="2">
        <v>3.32</v>
      </c>
      <c r="Q255" s="4">
        <v>265078</v>
      </c>
      <c r="R255" s="4">
        <v>0</v>
      </c>
      <c r="S255" s="4">
        <v>265078</v>
      </c>
      <c r="T255" s="4">
        <v>44245</v>
      </c>
      <c r="U255" s="4">
        <v>48912</v>
      </c>
      <c r="V255" s="4">
        <v>0</v>
      </c>
      <c r="W255" s="4">
        <v>27222</v>
      </c>
      <c r="X255" s="4">
        <v>2914</v>
      </c>
      <c r="Y255" s="4">
        <v>388371</v>
      </c>
      <c r="Z255" s="4">
        <v>42239</v>
      </c>
      <c r="AA255" s="4">
        <v>346132</v>
      </c>
      <c r="AB255" s="4">
        <v>196821</v>
      </c>
      <c r="AC255" s="4">
        <v>149311</v>
      </c>
    </row>
    <row r="256" spans="1:29" x14ac:dyDescent="0.25">
      <c r="A256" s="1" t="s">
        <v>265</v>
      </c>
      <c r="B256" s="1" t="s">
        <v>740</v>
      </c>
      <c r="C256" s="1" t="s">
        <v>267</v>
      </c>
      <c r="D256" s="1" t="s">
        <v>660</v>
      </c>
      <c r="E256" s="2">
        <v>212</v>
      </c>
      <c r="F256" s="3">
        <v>1328.8</v>
      </c>
      <c r="G256" s="2">
        <v>1540.8</v>
      </c>
      <c r="H256" s="2">
        <v>0</v>
      </c>
      <c r="I256" s="4">
        <v>0</v>
      </c>
      <c r="J256" s="3">
        <v>0</v>
      </c>
      <c r="K256" s="4">
        <v>1329</v>
      </c>
      <c r="L256" s="2">
        <v>301.97000000000003</v>
      </c>
      <c r="M256" s="2">
        <v>56.22</v>
      </c>
      <c r="N256" s="2">
        <v>62.15</v>
      </c>
      <c r="O256" s="2">
        <v>31.01</v>
      </c>
      <c r="P256" s="2">
        <v>3.32</v>
      </c>
      <c r="Q256" s="4">
        <v>465275</v>
      </c>
      <c r="R256" s="4">
        <v>710</v>
      </c>
      <c r="S256" s="4">
        <v>465985</v>
      </c>
      <c r="T256" s="4">
        <v>74716</v>
      </c>
      <c r="U256" s="4">
        <v>82597</v>
      </c>
      <c r="V256" s="4">
        <v>0</v>
      </c>
      <c r="W256" s="4">
        <v>47780</v>
      </c>
      <c r="X256" s="4">
        <v>5115</v>
      </c>
      <c r="Y256" s="4">
        <v>676193</v>
      </c>
      <c r="Z256" s="4">
        <v>68797</v>
      </c>
      <c r="AA256" s="4">
        <v>607396</v>
      </c>
      <c r="AB256" s="4">
        <v>350808</v>
      </c>
      <c r="AC256" s="4">
        <v>256588</v>
      </c>
    </row>
    <row r="257" spans="1:29" x14ac:dyDescent="0.25">
      <c r="A257" s="1" t="s">
        <v>265</v>
      </c>
      <c r="B257" s="1" t="s">
        <v>740</v>
      </c>
      <c r="C257" s="1" t="s">
        <v>268</v>
      </c>
      <c r="D257" s="1" t="s">
        <v>661</v>
      </c>
      <c r="E257" s="2">
        <v>53.86</v>
      </c>
      <c r="F257" s="3">
        <v>473.6</v>
      </c>
      <c r="G257" s="2">
        <v>527.46</v>
      </c>
      <c r="H257" s="2">
        <v>0</v>
      </c>
      <c r="I257" s="4">
        <v>4</v>
      </c>
      <c r="J257" s="3">
        <v>0</v>
      </c>
      <c r="K257" s="4">
        <v>478</v>
      </c>
      <c r="L257" s="2">
        <v>301.97000000000003</v>
      </c>
      <c r="M257" s="2">
        <v>56.22</v>
      </c>
      <c r="N257" s="2">
        <v>62.15</v>
      </c>
      <c r="O257" s="2">
        <v>31.01</v>
      </c>
      <c r="P257" s="2">
        <v>3.32</v>
      </c>
      <c r="Q257" s="4">
        <v>159277</v>
      </c>
      <c r="R257" s="4">
        <v>107</v>
      </c>
      <c r="S257" s="4">
        <v>159384</v>
      </c>
      <c r="T257" s="4">
        <v>26873</v>
      </c>
      <c r="U257" s="4">
        <v>29708</v>
      </c>
      <c r="V257" s="4">
        <v>0</v>
      </c>
      <c r="W257" s="4">
        <v>16357</v>
      </c>
      <c r="X257" s="4">
        <v>1751</v>
      </c>
      <c r="Y257" s="4">
        <v>234073</v>
      </c>
      <c r="Z257" s="4">
        <v>29839</v>
      </c>
      <c r="AA257" s="4">
        <v>204234</v>
      </c>
      <c r="AB257" s="4">
        <v>113804</v>
      </c>
      <c r="AC257" s="4">
        <v>90430</v>
      </c>
    </row>
    <row r="258" spans="1:29" x14ac:dyDescent="0.25">
      <c r="A258" s="1" t="s">
        <v>265</v>
      </c>
      <c r="B258" s="1" t="s">
        <v>740</v>
      </c>
      <c r="C258" s="1" t="s">
        <v>269</v>
      </c>
      <c r="D258" s="1" t="s">
        <v>662</v>
      </c>
      <c r="E258" s="2">
        <v>53.83</v>
      </c>
      <c r="F258" s="3">
        <v>393.7</v>
      </c>
      <c r="G258" s="2">
        <v>447.53</v>
      </c>
      <c r="H258" s="2">
        <v>0</v>
      </c>
      <c r="I258" s="4">
        <v>3</v>
      </c>
      <c r="J258" s="3">
        <v>0</v>
      </c>
      <c r="K258" s="4">
        <v>397</v>
      </c>
      <c r="L258" s="2">
        <v>301.97000000000003</v>
      </c>
      <c r="M258" s="2">
        <v>56.22</v>
      </c>
      <c r="N258" s="2">
        <v>62.15</v>
      </c>
      <c r="O258" s="2">
        <v>31.01</v>
      </c>
      <c r="P258" s="2">
        <v>3.32</v>
      </c>
      <c r="Q258" s="4">
        <v>135141</v>
      </c>
      <c r="R258" s="4">
        <v>8190</v>
      </c>
      <c r="S258" s="4">
        <v>143331</v>
      </c>
      <c r="T258" s="4">
        <v>22319</v>
      </c>
      <c r="U258" s="4">
        <v>24674</v>
      </c>
      <c r="V258" s="4">
        <v>0</v>
      </c>
      <c r="W258" s="4">
        <v>14020</v>
      </c>
      <c r="X258" s="4">
        <v>1500</v>
      </c>
      <c r="Y258" s="4">
        <v>205844</v>
      </c>
      <c r="Z258" s="4">
        <v>25701</v>
      </c>
      <c r="AA258" s="4">
        <v>180143</v>
      </c>
      <c r="AB258" s="4">
        <v>96331</v>
      </c>
      <c r="AC258" s="4">
        <v>83812</v>
      </c>
    </row>
    <row r="259" spans="1:29" x14ac:dyDescent="0.25">
      <c r="A259" s="1" t="s">
        <v>265</v>
      </c>
      <c r="B259" s="1" t="s">
        <v>740</v>
      </c>
      <c r="C259" s="1" t="s">
        <v>270</v>
      </c>
      <c r="D259" s="1" t="s">
        <v>271</v>
      </c>
      <c r="E259" s="2">
        <v>48.78</v>
      </c>
      <c r="F259" s="3">
        <v>491.6</v>
      </c>
      <c r="G259" s="2">
        <v>540.38</v>
      </c>
      <c r="H259" s="2">
        <v>0</v>
      </c>
      <c r="I259" s="4">
        <v>0</v>
      </c>
      <c r="J259" s="3">
        <v>0</v>
      </c>
      <c r="K259" s="4">
        <v>492</v>
      </c>
      <c r="L259" s="2">
        <v>301.97000000000003</v>
      </c>
      <c r="M259" s="2">
        <v>56.22</v>
      </c>
      <c r="N259" s="2">
        <v>62.15</v>
      </c>
      <c r="O259" s="2">
        <v>31.01</v>
      </c>
      <c r="P259" s="2">
        <v>3.32</v>
      </c>
      <c r="Q259" s="4">
        <v>163179</v>
      </c>
      <c r="R259" s="4">
        <v>0</v>
      </c>
      <c r="S259" s="4">
        <v>163179</v>
      </c>
      <c r="T259" s="4">
        <v>27660</v>
      </c>
      <c r="U259" s="4">
        <v>30578</v>
      </c>
      <c r="V259" s="4">
        <v>0</v>
      </c>
      <c r="W259" s="4">
        <v>16757</v>
      </c>
      <c r="X259" s="4">
        <v>1794</v>
      </c>
      <c r="Y259" s="4">
        <v>239968</v>
      </c>
      <c r="Z259" s="4">
        <v>25872</v>
      </c>
      <c r="AA259" s="4">
        <v>214096</v>
      </c>
      <c r="AB259" s="4">
        <v>121289</v>
      </c>
      <c r="AC259" s="4">
        <v>92807</v>
      </c>
    </row>
    <row r="260" spans="1:29" x14ac:dyDescent="0.25">
      <c r="A260" s="1" t="s">
        <v>265</v>
      </c>
      <c r="B260" s="1" t="s">
        <v>740</v>
      </c>
      <c r="C260" s="1" t="s">
        <v>272</v>
      </c>
      <c r="D260" s="1" t="s">
        <v>663</v>
      </c>
      <c r="E260" s="2">
        <v>85.81</v>
      </c>
      <c r="F260" s="3">
        <v>615.4</v>
      </c>
      <c r="G260" s="2">
        <v>701.21</v>
      </c>
      <c r="H260" s="2">
        <v>0</v>
      </c>
      <c r="I260" s="4">
        <v>0</v>
      </c>
      <c r="J260" s="3">
        <v>0</v>
      </c>
      <c r="K260" s="4">
        <v>615</v>
      </c>
      <c r="L260" s="2">
        <v>301.97000000000003</v>
      </c>
      <c r="M260" s="2">
        <v>56.22</v>
      </c>
      <c r="N260" s="2">
        <v>62.15</v>
      </c>
      <c r="O260" s="2">
        <v>31.01</v>
      </c>
      <c r="P260" s="2">
        <v>3.32</v>
      </c>
      <c r="Q260" s="4">
        <v>211744</v>
      </c>
      <c r="R260" s="4">
        <v>13845</v>
      </c>
      <c r="S260" s="4">
        <v>225589</v>
      </c>
      <c r="T260" s="4">
        <v>34575</v>
      </c>
      <c r="U260" s="4">
        <v>38222</v>
      </c>
      <c r="V260" s="4">
        <v>0</v>
      </c>
      <c r="W260" s="4">
        <v>21745</v>
      </c>
      <c r="X260" s="4">
        <v>2328</v>
      </c>
      <c r="Y260" s="4">
        <v>322459</v>
      </c>
      <c r="Z260" s="4">
        <v>35545</v>
      </c>
      <c r="AA260" s="4">
        <v>286914</v>
      </c>
      <c r="AB260" s="4">
        <v>155416</v>
      </c>
      <c r="AC260" s="4">
        <v>131498</v>
      </c>
    </row>
    <row r="261" spans="1:29" x14ac:dyDescent="0.25">
      <c r="A261" s="1" t="s">
        <v>265</v>
      </c>
      <c r="B261" s="1" t="s">
        <v>740</v>
      </c>
      <c r="C261" s="1" t="s">
        <v>273</v>
      </c>
      <c r="D261" s="1" t="s">
        <v>664</v>
      </c>
      <c r="E261" s="2">
        <v>95</v>
      </c>
      <c r="F261" s="3">
        <v>990.7</v>
      </c>
      <c r="G261" s="2">
        <v>1085.7</v>
      </c>
      <c r="H261" s="2">
        <v>0</v>
      </c>
      <c r="I261" s="4">
        <v>76</v>
      </c>
      <c r="J261" s="3">
        <v>1.8</v>
      </c>
      <c r="K261" s="4">
        <v>1065</v>
      </c>
      <c r="L261" s="2">
        <v>301.97000000000003</v>
      </c>
      <c r="M261" s="2">
        <v>56.22</v>
      </c>
      <c r="N261" s="2">
        <v>62.15</v>
      </c>
      <c r="O261" s="2">
        <v>31.01</v>
      </c>
      <c r="P261" s="2">
        <v>3.32</v>
      </c>
      <c r="Q261" s="4">
        <v>327849</v>
      </c>
      <c r="R261" s="4">
        <v>0</v>
      </c>
      <c r="S261" s="4">
        <v>327849</v>
      </c>
      <c r="T261" s="4">
        <v>59874</v>
      </c>
      <c r="U261" s="4">
        <v>66190</v>
      </c>
      <c r="V261" s="4">
        <v>0</v>
      </c>
      <c r="W261" s="4">
        <v>33668</v>
      </c>
      <c r="X261" s="4">
        <v>3605</v>
      </c>
      <c r="Y261" s="4">
        <v>491186</v>
      </c>
      <c r="Z261" s="4">
        <v>50182</v>
      </c>
      <c r="AA261" s="4">
        <v>441004</v>
      </c>
      <c r="AB261" s="4">
        <v>245488</v>
      </c>
      <c r="AC261" s="4">
        <v>195516</v>
      </c>
    </row>
    <row r="262" spans="1:29" x14ac:dyDescent="0.25">
      <c r="A262" s="1" t="s">
        <v>265</v>
      </c>
      <c r="B262" s="1" t="s">
        <v>740</v>
      </c>
      <c r="C262" s="1" t="s">
        <v>274</v>
      </c>
      <c r="D262" s="1" t="s">
        <v>665</v>
      </c>
      <c r="E262" s="2">
        <v>205.62</v>
      </c>
      <c r="F262" s="3">
        <v>1450.1</v>
      </c>
      <c r="G262" s="2">
        <v>1655.72</v>
      </c>
      <c r="H262" s="2">
        <v>0</v>
      </c>
      <c r="I262" s="4">
        <v>2</v>
      </c>
      <c r="J262" s="3">
        <v>0</v>
      </c>
      <c r="K262" s="4">
        <v>1452</v>
      </c>
      <c r="L262" s="2">
        <v>301.97000000000003</v>
      </c>
      <c r="M262" s="2">
        <v>56.22</v>
      </c>
      <c r="N262" s="2">
        <v>62.15</v>
      </c>
      <c r="O262" s="2">
        <v>31.01</v>
      </c>
      <c r="P262" s="2">
        <v>3.32</v>
      </c>
      <c r="Q262" s="4">
        <v>499978</v>
      </c>
      <c r="R262" s="4">
        <v>0</v>
      </c>
      <c r="S262" s="4">
        <v>499978</v>
      </c>
      <c r="T262" s="4">
        <v>81631</v>
      </c>
      <c r="U262" s="4">
        <v>90242</v>
      </c>
      <c r="V262" s="4">
        <v>0</v>
      </c>
      <c r="W262" s="4">
        <v>51344</v>
      </c>
      <c r="X262" s="4">
        <v>5497</v>
      </c>
      <c r="Y262" s="4">
        <v>728692</v>
      </c>
      <c r="Z262" s="4">
        <v>66523</v>
      </c>
      <c r="AA262" s="4">
        <v>662169</v>
      </c>
      <c r="AB262" s="4">
        <v>384379</v>
      </c>
      <c r="AC262" s="4">
        <v>277790</v>
      </c>
    </row>
    <row r="263" spans="1:29" x14ac:dyDescent="0.25">
      <c r="A263" s="1" t="s">
        <v>265</v>
      </c>
      <c r="B263" s="1" t="s">
        <v>740</v>
      </c>
      <c r="C263" s="1" t="s">
        <v>275</v>
      </c>
      <c r="D263" s="1" t="s">
        <v>666</v>
      </c>
      <c r="E263" s="2">
        <v>57.46</v>
      </c>
      <c r="F263" s="3">
        <v>413.8</v>
      </c>
      <c r="G263" s="2">
        <v>471.26</v>
      </c>
      <c r="H263" s="2">
        <v>0</v>
      </c>
      <c r="I263" s="4">
        <v>0</v>
      </c>
      <c r="J263" s="3">
        <v>0</v>
      </c>
      <c r="K263" s="4">
        <v>414</v>
      </c>
      <c r="L263" s="2">
        <v>301.97000000000003</v>
      </c>
      <c r="M263" s="2">
        <v>56.22</v>
      </c>
      <c r="N263" s="2">
        <v>62.15</v>
      </c>
      <c r="O263" s="2">
        <v>31.01</v>
      </c>
      <c r="P263" s="2">
        <v>3.32</v>
      </c>
      <c r="Q263" s="4">
        <v>142306</v>
      </c>
      <c r="R263" s="4">
        <v>9244</v>
      </c>
      <c r="S263" s="4">
        <v>151550</v>
      </c>
      <c r="T263" s="4">
        <v>23275</v>
      </c>
      <c r="U263" s="4">
        <v>25730</v>
      </c>
      <c r="V263" s="4">
        <v>0</v>
      </c>
      <c r="W263" s="4">
        <v>14614</v>
      </c>
      <c r="X263" s="4">
        <v>1565</v>
      </c>
      <c r="Y263" s="4">
        <v>216734</v>
      </c>
      <c r="Z263" s="4">
        <v>28933</v>
      </c>
      <c r="AA263" s="4">
        <v>187801</v>
      </c>
      <c r="AB263" s="4">
        <v>99406</v>
      </c>
      <c r="AC263" s="4">
        <v>88395</v>
      </c>
    </row>
    <row r="264" spans="1:29" x14ac:dyDescent="0.25">
      <c r="A264" s="1" t="s">
        <v>265</v>
      </c>
      <c r="B264" s="1" t="s">
        <v>740</v>
      </c>
      <c r="C264" s="1" t="s">
        <v>276</v>
      </c>
      <c r="D264" s="1" t="s">
        <v>667</v>
      </c>
      <c r="E264" s="2">
        <v>2152.96</v>
      </c>
      <c r="F264" s="3">
        <v>9053.9</v>
      </c>
      <c r="G264" s="2">
        <v>11206.86</v>
      </c>
      <c r="H264" s="2">
        <v>0</v>
      </c>
      <c r="I264" s="4">
        <v>400</v>
      </c>
      <c r="J264" s="3">
        <v>0.8</v>
      </c>
      <c r="K264" s="4">
        <v>9453</v>
      </c>
      <c r="L264" s="2">
        <v>301.97000000000003</v>
      </c>
      <c r="M264" s="2">
        <v>56.22</v>
      </c>
      <c r="N264" s="2">
        <v>62.15</v>
      </c>
      <c r="O264" s="2">
        <v>31.01</v>
      </c>
      <c r="P264" s="2">
        <v>3.32</v>
      </c>
      <c r="Q264" s="4">
        <v>3384136</v>
      </c>
      <c r="R264" s="4">
        <v>0</v>
      </c>
      <c r="S264" s="4">
        <v>3384136</v>
      </c>
      <c r="T264" s="4">
        <v>531448</v>
      </c>
      <c r="U264" s="4">
        <v>587504</v>
      </c>
      <c r="V264" s="4">
        <v>0</v>
      </c>
      <c r="W264" s="4">
        <v>347525</v>
      </c>
      <c r="X264" s="4">
        <v>37207</v>
      </c>
      <c r="Y264" s="4">
        <v>4887820</v>
      </c>
      <c r="Z264" s="4">
        <v>450650</v>
      </c>
      <c r="AA264" s="4">
        <v>4437170</v>
      </c>
      <c r="AB264" s="4">
        <v>2601315</v>
      </c>
      <c r="AC264" s="4">
        <v>1835855</v>
      </c>
    </row>
    <row r="265" spans="1:29" x14ac:dyDescent="0.25">
      <c r="A265" s="1" t="s">
        <v>265</v>
      </c>
      <c r="B265" s="1" t="s">
        <v>740</v>
      </c>
      <c r="C265" s="1" t="s">
        <v>277</v>
      </c>
      <c r="D265" s="1" t="s">
        <v>668</v>
      </c>
      <c r="E265" s="2">
        <v>195.92</v>
      </c>
      <c r="F265" s="3">
        <v>1447.5</v>
      </c>
      <c r="G265" s="2">
        <v>1643.42</v>
      </c>
      <c r="H265" s="2">
        <v>0</v>
      </c>
      <c r="I265" s="4">
        <v>119</v>
      </c>
      <c r="J265" s="3">
        <v>0.9</v>
      </c>
      <c r="K265" s="4">
        <v>1566</v>
      </c>
      <c r="L265" s="2">
        <v>301.97000000000003</v>
      </c>
      <c r="M265" s="2">
        <v>56.22</v>
      </c>
      <c r="N265" s="2">
        <v>62.15</v>
      </c>
      <c r="O265" s="2">
        <v>31.01</v>
      </c>
      <c r="P265" s="2">
        <v>3.32</v>
      </c>
      <c r="Q265" s="4">
        <v>496264</v>
      </c>
      <c r="R265" s="4">
        <v>0</v>
      </c>
      <c r="S265" s="4">
        <v>496264</v>
      </c>
      <c r="T265" s="4">
        <v>88041</v>
      </c>
      <c r="U265" s="4">
        <v>97327</v>
      </c>
      <c r="V265" s="4">
        <v>0</v>
      </c>
      <c r="W265" s="4">
        <v>50962</v>
      </c>
      <c r="X265" s="4">
        <v>5456</v>
      </c>
      <c r="Y265" s="4">
        <v>738050</v>
      </c>
      <c r="Z265" s="4">
        <v>73855</v>
      </c>
      <c r="AA265" s="4">
        <v>664195</v>
      </c>
      <c r="AB265" s="4">
        <v>373697</v>
      </c>
      <c r="AC265" s="4">
        <v>290498</v>
      </c>
    </row>
    <row r="266" spans="1:29" x14ac:dyDescent="0.25">
      <c r="A266" s="1" t="s">
        <v>265</v>
      </c>
      <c r="B266" s="1" t="s">
        <v>740</v>
      </c>
      <c r="C266" s="1" t="s">
        <v>278</v>
      </c>
      <c r="D266" s="1" t="s">
        <v>669</v>
      </c>
      <c r="E266" s="2">
        <v>14.38</v>
      </c>
      <c r="F266" s="3">
        <v>103</v>
      </c>
      <c r="G266" s="2">
        <v>117.38</v>
      </c>
      <c r="H266" s="2">
        <v>0</v>
      </c>
      <c r="I266" s="4">
        <v>0</v>
      </c>
      <c r="J266" s="3">
        <v>0</v>
      </c>
      <c r="K266" s="4">
        <v>103</v>
      </c>
      <c r="L266" s="2">
        <v>301.97000000000003</v>
      </c>
      <c r="M266" s="2">
        <v>56.22</v>
      </c>
      <c r="N266" s="2">
        <v>62.15</v>
      </c>
      <c r="O266" s="2">
        <v>31.01</v>
      </c>
      <c r="P266" s="2">
        <v>3.32</v>
      </c>
      <c r="Q266" s="4">
        <v>35445</v>
      </c>
      <c r="R266" s="4">
        <v>0</v>
      </c>
      <c r="S266" s="4">
        <v>35445</v>
      </c>
      <c r="T266" s="4">
        <v>5791</v>
      </c>
      <c r="U266" s="4">
        <v>6401</v>
      </c>
      <c r="V266" s="4">
        <v>0</v>
      </c>
      <c r="W266" s="4">
        <v>3640</v>
      </c>
      <c r="X266" s="4">
        <v>390</v>
      </c>
      <c r="Y266" s="4">
        <v>51667</v>
      </c>
      <c r="Z266" s="4">
        <v>6461</v>
      </c>
      <c r="AA266" s="4">
        <v>45206</v>
      </c>
      <c r="AB266" s="4">
        <v>25505</v>
      </c>
      <c r="AC266" s="4">
        <v>19701</v>
      </c>
    </row>
    <row r="267" spans="1:29" x14ac:dyDescent="0.25">
      <c r="A267" s="1" t="s">
        <v>265</v>
      </c>
      <c r="B267" s="1" t="s">
        <v>740</v>
      </c>
      <c r="C267" s="1" t="s">
        <v>279</v>
      </c>
      <c r="D267" s="1" t="s">
        <v>670</v>
      </c>
      <c r="E267" s="2">
        <v>87.23</v>
      </c>
      <c r="F267" s="3">
        <v>552</v>
      </c>
      <c r="G267" s="2">
        <v>639.23</v>
      </c>
      <c r="H267" s="2">
        <v>0</v>
      </c>
      <c r="I267" s="4">
        <v>0</v>
      </c>
      <c r="J267" s="3">
        <v>0</v>
      </c>
      <c r="K267" s="4">
        <v>552</v>
      </c>
      <c r="L267" s="2">
        <v>301.97000000000003</v>
      </c>
      <c r="M267" s="2">
        <v>56.22</v>
      </c>
      <c r="N267" s="2">
        <v>62.15</v>
      </c>
      <c r="O267" s="2">
        <v>31.01</v>
      </c>
      <c r="P267" s="2">
        <v>3.32</v>
      </c>
      <c r="Q267" s="4">
        <v>193028</v>
      </c>
      <c r="R267" s="4">
        <v>0</v>
      </c>
      <c r="S267" s="4">
        <v>193028</v>
      </c>
      <c r="T267" s="4">
        <v>31033</v>
      </c>
      <c r="U267" s="4">
        <v>34307</v>
      </c>
      <c r="V267" s="4">
        <v>0</v>
      </c>
      <c r="W267" s="4">
        <v>19823</v>
      </c>
      <c r="X267" s="4">
        <v>2122</v>
      </c>
      <c r="Y267" s="4">
        <v>280313</v>
      </c>
      <c r="Z267" s="4">
        <v>31373</v>
      </c>
      <c r="AA267" s="4">
        <v>248940</v>
      </c>
      <c r="AB267" s="4">
        <v>142709</v>
      </c>
      <c r="AC267" s="4">
        <v>106231</v>
      </c>
    </row>
    <row r="268" spans="1:29" x14ac:dyDescent="0.25">
      <c r="A268" s="1" t="s">
        <v>265</v>
      </c>
      <c r="B268" s="1" t="s">
        <v>740</v>
      </c>
      <c r="C268" s="1" t="s">
        <v>280</v>
      </c>
      <c r="D268" s="1" t="s">
        <v>671</v>
      </c>
      <c r="E268" s="2">
        <v>49.53</v>
      </c>
      <c r="F268" s="3">
        <v>491.5</v>
      </c>
      <c r="G268" s="2">
        <v>541.03</v>
      </c>
      <c r="H268" s="2">
        <v>0</v>
      </c>
      <c r="I268" s="4">
        <v>3</v>
      </c>
      <c r="J268" s="3">
        <v>0</v>
      </c>
      <c r="K268" s="4">
        <v>495</v>
      </c>
      <c r="L268" s="2">
        <v>301.97000000000003</v>
      </c>
      <c r="M268" s="2">
        <v>56.22</v>
      </c>
      <c r="N268" s="2">
        <v>62.15</v>
      </c>
      <c r="O268" s="2">
        <v>31.01</v>
      </c>
      <c r="P268" s="2">
        <v>3.32</v>
      </c>
      <c r="Q268" s="4">
        <v>163375</v>
      </c>
      <c r="R268" s="4">
        <v>6056</v>
      </c>
      <c r="S268" s="4">
        <v>169431</v>
      </c>
      <c r="T268" s="4">
        <v>27829</v>
      </c>
      <c r="U268" s="4">
        <v>30764</v>
      </c>
      <c r="V268" s="4">
        <v>0</v>
      </c>
      <c r="W268" s="4">
        <v>16777</v>
      </c>
      <c r="X268" s="4">
        <v>1796</v>
      </c>
      <c r="Y268" s="4">
        <v>246597</v>
      </c>
      <c r="Z268" s="4">
        <v>25766</v>
      </c>
      <c r="AA268" s="4">
        <v>220831</v>
      </c>
      <c r="AB268" s="4">
        <v>121572</v>
      </c>
      <c r="AC268" s="4">
        <v>99259</v>
      </c>
    </row>
    <row r="269" spans="1:29" x14ac:dyDescent="0.25">
      <c r="A269" s="1" t="s">
        <v>265</v>
      </c>
      <c r="B269" s="1" t="s">
        <v>740</v>
      </c>
      <c r="C269" s="1" t="s">
        <v>281</v>
      </c>
      <c r="D269" s="1" t="s">
        <v>672</v>
      </c>
      <c r="E269" s="2">
        <v>24.61</v>
      </c>
      <c r="F269" s="3">
        <v>190.5</v>
      </c>
      <c r="G269" s="2">
        <v>215.11</v>
      </c>
      <c r="H269" s="2">
        <v>0</v>
      </c>
      <c r="I269" s="4">
        <v>2</v>
      </c>
      <c r="J269" s="3">
        <v>0</v>
      </c>
      <c r="K269" s="4">
        <v>193</v>
      </c>
      <c r="L269" s="2">
        <v>301.97000000000003</v>
      </c>
      <c r="M269" s="2">
        <v>56.22</v>
      </c>
      <c r="N269" s="2">
        <v>62.15</v>
      </c>
      <c r="O269" s="2">
        <v>31.01</v>
      </c>
      <c r="P269" s="2">
        <v>3.32</v>
      </c>
      <c r="Q269" s="4">
        <v>64957</v>
      </c>
      <c r="R269" s="4">
        <v>8188</v>
      </c>
      <c r="S269" s="4">
        <v>73145</v>
      </c>
      <c r="T269" s="4">
        <v>10850</v>
      </c>
      <c r="U269" s="4">
        <v>11995</v>
      </c>
      <c r="V269" s="4">
        <v>0</v>
      </c>
      <c r="W269" s="4">
        <v>6671</v>
      </c>
      <c r="X269" s="4">
        <v>714</v>
      </c>
      <c r="Y269" s="4">
        <v>103375</v>
      </c>
      <c r="Z269" s="4">
        <v>12000</v>
      </c>
      <c r="AA269" s="4">
        <v>91375</v>
      </c>
      <c r="AB269" s="4">
        <v>46581</v>
      </c>
      <c r="AC269" s="4">
        <v>44794</v>
      </c>
    </row>
    <row r="270" spans="1:29" x14ac:dyDescent="0.25">
      <c r="A270" s="1" t="s">
        <v>265</v>
      </c>
      <c r="B270" s="1" t="s">
        <v>740</v>
      </c>
      <c r="C270" s="1" t="s">
        <v>282</v>
      </c>
      <c r="D270" s="1" t="s">
        <v>673</v>
      </c>
      <c r="E270" s="2">
        <v>52.5</v>
      </c>
      <c r="F270" s="3">
        <v>471.3</v>
      </c>
      <c r="G270" s="2">
        <v>523.79999999999995</v>
      </c>
      <c r="H270" s="2">
        <v>0</v>
      </c>
      <c r="I270" s="4">
        <v>0</v>
      </c>
      <c r="J270" s="3">
        <v>0</v>
      </c>
      <c r="K270" s="4">
        <v>471</v>
      </c>
      <c r="L270" s="2">
        <v>301.97000000000003</v>
      </c>
      <c r="M270" s="2">
        <v>56.22</v>
      </c>
      <c r="N270" s="2">
        <v>62.15</v>
      </c>
      <c r="O270" s="2">
        <v>31.01</v>
      </c>
      <c r="P270" s="2">
        <v>3.32</v>
      </c>
      <c r="Q270" s="4">
        <v>158172</v>
      </c>
      <c r="R270" s="4">
        <v>0</v>
      </c>
      <c r="S270" s="4">
        <v>158172</v>
      </c>
      <c r="T270" s="4">
        <v>26480</v>
      </c>
      <c r="U270" s="4">
        <v>29273</v>
      </c>
      <c r="V270" s="4">
        <v>0</v>
      </c>
      <c r="W270" s="4">
        <v>16243</v>
      </c>
      <c r="X270" s="4">
        <v>1739</v>
      </c>
      <c r="Y270" s="4">
        <v>231907</v>
      </c>
      <c r="Z270" s="4">
        <v>20998</v>
      </c>
      <c r="AA270" s="4">
        <v>210909</v>
      </c>
      <c r="AB270" s="4">
        <v>121648</v>
      </c>
      <c r="AC270" s="4">
        <v>89261</v>
      </c>
    </row>
    <row r="271" spans="1:29" x14ac:dyDescent="0.25">
      <c r="A271" s="1" t="s">
        <v>265</v>
      </c>
      <c r="B271" s="1" t="s">
        <v>740</v>
      </c>
      <c r="C271" s="1" t="s">
        <v>283</v>
      </c>
      <c r="D271" s="1" t="s">
        <v>674</v>
      </c>
      <c r="E271" s="2">
        <v>202.03</v>
      </c>
      <c r="F271" s="3">
        <v>2007.5</v>
      </c>
      <c r="G271" s="2">
        <v>2209.5300000000002</v>
      </c>
      <c r="H271" s="2">
        <v>0</v>
      </c>
      <c r="I271" s="4">
        <v>18</v>
      </c>
      <c r="J271" s="3">
        <v>0</v>
      </c>
      <c r="K271" s="4">
        <v>2026</v>
      </c>
      <c r="L271" s="2">
        <v>301.97000000000003</v>
      </c>
      <c r="M271" s="2">
        <v>56.22</v>
      </c>
      <c r="N271" s="2">
        <v>62.15</v>
      </c>
      <c r="O271" s="2">
        <v>31.01</v>
      </c>
      <c r="P271" s="2">
        <v>3.32</v>
      </c>
      <c r="Q271" s="4">
        <v>667212</v>
      </c>
      <c r="R271" s="4">
        <v>0</v>
      </c>
      <c r="S271" s="4">
        <v>667212</v>
      </c>
      <c r="T271" s="4">
        <v>113902</v>
      </c>
      <c r="U271" s="4">
        <v>125916</v>
      </c>
      <c r="V271" s="4">
        <v>0</v>
      </c>
      <c r="W271" s="4">
        <v>68518</v>
      </c>
      <c r="X271" s="4">
        <v>7336</v>
      </c>
      <c r="Y271" s="4">
        <v>982884</v>
      </c>
      <c r="Z271" s="4">
        <v>89118</v>
      </c>
      <c r="AA271" s="4">
        <v>893766</v>
      </c>
      <c r="AB271" s="4">
        <v>512604</v>
      </c>
      <c r="AC271" s="4">
        <v>381162</v>
      </c>
    </row>
    <row r="272" spans="1:29" x14ac:dyDescent="0.25">
      <c r="A272" s="1" t="s">
        <v>265</v>
      </c>
      <c r="B272" s="1" t="s">
        <v>740</v>
      </c>
      <c r="C272" s="1" t="s">
        <v>284</v>
      </c>
      <c r="D272" s="1" t="s">
        <v>675</v>
      </c>
      <c r="E272" s="2">
        <v>91.25</v>
      </c>
      <c r="F272" s="3">
        <v>475.8</v>
      </c>
      <c r="G272" s="2">
        <v>567.04999999999995</v>
      </c>
      <c r="H272" s="2">
        <v>0</v>
      </c>
      <c r="I272" s="4">
        <v>0</v>
      </c>
      <c r="J272" s="3">
        <v>0</v>
      </c>
      <c r="K272" s="4">
        <v>476</v>
      </c>
      <c r="L272" s="2">
        <v>301.97000000000003</v>
      </c>
      <c r="M272" s="2">
        <v>56.22</v>
      </c>
      <c r="N272" s="2">
        <v>62.15</v>
      </c>
      <c r="O272" s="2">
        <v>31.01</v>
      </c>
      <c r="P272" s="2">
        <v>3.32</v>
      </c>
      <c r="Q272" s="4">
        <v>171232</v>
      </c>
      <c r="R272" s="4">
        <v>10915</v>
      </c>
      <c r="S272" s="4">
        <v>182147</v>
      </c>
      <c r="T272" s="4">
        <v>26761</v>
      </c>
      <c r="U272" s="4">
        <v>29583</v>
      </c>
      <c r="V272" s="4">
        <v>0</v>
      </c>
      <c r="W272" s="4">
        <v>18341</v>
      </c>
      <c r="X272" s="4">
        <v>1962</v>
      </c>
      <c r="Y272" s="4">
        <v>258794</v>
      </c>
      <c r="Z272" s="4">
        <v>31091</v>
      </c>
      <c r="AA272" s="4">
        <v>227703</v>
      </c>
      <c r="AB272" s="4">
        <v>124170</v>
      </c>
      <c r="AC272" s="4">
        <v>103533</v>
      </c>
    </row>
    <row r="273" spans="1:29" x14ac:dyDescent="0.25">
      <c r="A273" s="1" t="s">
        <v>265</v>
      </c>
      <c r="B273" s="1" t="s">
        <v>740</v>
      </c>
      <c r="C273" s="1" t="s">
        <v>285</v>
      </c>
      <c r="D273" s="1" t="s">
        <v>676</v>
      </c>
      <c r="E273" s="2">
        <v>31.46</v>
      </c>
      <c r="F273" s="3">
        <v>227</v>
      </c>
      <c r="G273" s="2">
        <v>258.45999999999998</v>
      </c>
      <c r="H273" s="2">
        <v>0</v>
      </c>
      <c r="I273" s="4">
        <v>0</v>
      </c>
      <c r="J273" s="3">
        <v>0</v>
      </c>
      <c r="K273" s="4">
        <v>227</v>
      </c>
      <c r="L273" s="2">
        <v>301.97000000000003</v>
      </c>
      <c r="M273" s="2">
        <v>56.22</v>
      </c>
      <c r="N273" s="2">
        <v>62.15</v>
      </c>
      <c r="O273" s="2">
        <v>31.01</v>
      </c>
      <c r="P273" s="2">
        <v>3.32</v>
      </c>
      <c r="Q273" s="4">
        <v>78047</v>
      </c>
      <c r="R273" s="4">
        <v>5690</v>
      </c>
      <c r="S273" s="4">
        <v>83737</v>
      </c>
      <c r="T273" s="4">
        <v>12762</v>
      </c>
      <c r="U273" s="4">
        <v>14108</v>
      </c>
      <c r="V273" s="4">
        <v>0</v>
      </c>
      <c r="W273" s="4">
        <v>8015</v>
      </c>
      <c r="X273" s="4">
        <v>858</v>
      </c>
      <c r="Y273" s="4">
        <v>119480</v>
      </c>
      <c r="Z273" s="4">
        <v>14961</v>
      </c>
      <c r="AA273" s="4">
        <v>104519</v>
      </c>
      <c r="AB273" s="4">
        <v>55425</v>
      </c>
      <c r="AC273" s="4">
        <v>49094</v>
      </c>
    </row>
    <row r="274" spans="1:29" x14ac:dyDescent="0.25">
      <c r="A274" s="1" t="s">
        <v>265</v>
      </c>
      <c r="B274" s="1" t="s">
        <v>740</v>
      </c>
      <c r="C274" s="1" t="s">
        <v>286</v>
      </c>
      <c r="D274" s="1" t="s">
        <v>677</v>
      </c>
      <c r="E274" s="2">
        <v>177.28</v>
      </c>
      <c r="F274" s="3">
        <v>1419.9</v>
      </c>
      <c r="G274" s="2">
        <v>1597.18</v>
      </c>
      <c r="H274" s="2">
        <v>0</v>
      </c>
      <c r="I274" s="4">
        <v>83</v>
      </c>
      <c r="J274" s="3">
        <v>0.8</v>
      </c>
      <c r="K274" s="4">
        <v>1502</v>
      </c>
      <c r="L274" s="2">
        <v>301.97000000000003</v>
      </c>
      <c r="M274" s="2">
        <v>56.22</v>
      </c>
      <c r="N274" s="2">
        <v>62.15</v>
      </c>
      <c r="O274" s="2">
        <v>31.01</v>
      </c>
      <c r="P274" s="2">
        <v>3.32</v>
      </c>
      <c r="Q274" s="4">
        <v>482300</v>
      </c>
      <c r="R274" s="4">
        <v>0</v>
      </c>
      <c r="S274" s="4">
        <v>482300</v>
      </c>
      <c r="T274" s="4">
        <v>84442</v>
      </c>
      <c r="U274" s="4">
        <v>93349</v>
      </c>
      <c r="V274" s="4">
        <v>0</v>
      </c>
      <c r="W274" s="4">
        <v>49529</v>
      </c>
      <c r="X274" s="4">
        <v>5303</v>
      </c>
      <c r="Y274" s="4">
        <v>714923</v>
      </c>
      <c r="Z274" s="4">
        <v>75561</v>
      </c>
      <c r="AA274" s="4">
        <v>639362</v>
      </c>
      <c r="AB274" s="4">
        <v>359400</v>
      </c>
      <c r="AC274" s="4">
        <v>279962</v>
      </c>
    </row>
    <row r="275" spans="1:29" x14ac:dyDescent="0.25">
      <c r="A275" s="1" t="s">
        <v>265</v>
      </c>
      <c r="B275" s="1" t="s">
        <v>740</v>
      </c>
      <c r="C275" s="1" t="s">
        <v>287</v>
      </c>
      <c r="D275" s="1" t="s">
        <v>678</v>
      </c>
      <c r="E275" s="2">
        <v>88.12</v>
      </c>
      <c r="F275" s="3">
        <v>683.2</v>
      </c>
      <c r="G275" s="2">
        <v>771.32</v>
      </c>
      <c r="H275" s="2">
        <v>0</v>
      </c>
      <c r="I275" s="4">
        <v>9</v>
      </c>
      <c r="J275" s="3">
        <v>0</v>
      </c>
      <c r="K275" s="4">
        <v>692</v>
      </c>
      <c r="L275" s="2">
        <v>301.97000000000003</v>
      </c>
      <c r="M275" s="2">
        <v>56.22</v>
      </c>
      <c r="N275" s="2">
        <v>62.15</v>
      </c>
      <c r="O275" s="2">
        <v>31.01</v>
      </c>
      <c r="P275" s="2">
        <v>3.32</v>
      </c>
      <c r="Q275" s="4">
        <v>232916</v>
      </c>
      <c r="R275" s="4">
        <v>0</v>
      </c>
      <c r="S275" s="4">
        <v>232916</v>
      </c>
      <c r="T275" s="4">
        <v>38904</v>
      </c>
      <c r="U275" s="4">
        <v>43008</v>
      </c>
      <c r="V275" s="4">
        <v>0</v>
      </c>
      <c r="W275" s="4">
        <v>23919</v>
      </c>
      <c r="X275" s="4">
        <v>2561</v>
      </c>
      <c r="Y275" s="4">
        <v>341308</v>
      </c>
      <c r="Z275" s="4">
        <v>45080</v>
      </c>
      <c r="AA275" s="4">
        <v>296228</v>
      </c>
      <c r="AB275" s="4">
        <v>164974</v>
      </c>
      <c r="AC275" s="4">
        <v>131254</v>
      </c>
    </row>
    <row r="276" spans="1:29" x14ac:dyDescent="0.25">
      <c r="A276" s="1" t="s">
        <v>265</v>
      </c>
      <c r="B276" s="1" t="s">
        <v>740</v>
      </c>
      <c r="C276" s="1" t="s">
        <v>288</v>
      </c>
      <c r="D276" s="1" t="s">
        <v>679</v>
      </c>
      <c r="E276" s="2">
        <v>52.41</v>
      </c>
      <c r="F276" s="3">
        <v>314.2</v>
      </c>
      <c r="G276" s="2">
        <v>366.61</v>
      </c>
      <c r="H276" s="2">
        <v>0</v>
      </c>
      <c r="I276" s="4">
        <v>0</v>
      </c>
      <c r="J276" s="3">
        <v>0</v>
      </c>
      <c r="K276" s="4">
        <v>314</v>
      </c>
      <c r="L276" s="2">
        <v>301.97000000000003</v>
      </c>
      <c r="M276" s="2">
        <v>56.22</v>
      </c>
      <c r="N276" s="2">
        <v>62.15</v>
      </c>
      <c r="O276" s="2">
        <v>31.01</v>
      </c>
      <c r="P276" s="2">
        <v>3.32</v>
      </c>
      <c r="Q276" s="4">
        <v>110705</v>
      </c>
      <c r="R276" s="4">
        <v>0</v>
      </c>
      <c r="S276" s="4">
        <v>110705</v>
      </c>
      <c r="T276" s="4">
        <v>17653</v>
      </c>
      <c r="U276" s="4">
        <v>19515</v>
      </c>
      <c r="V276" s="4">
        <v>0</v>
      </c>
      <c r="W276" s="4">
        <v>11369</v>
      </c>
      <c r="X276" s="4">
        <v>1217</v>
      </c>
      <c r="Y276" s="4">
        <v>160459</v>
      </c>
      <c r="Z276" s="4">
        <v>16904</v>
      </c>
      <c r="AA276" s="4">
        <v>143555</v>
      </c>
      <c r="AB276" s="4">
        <v>82935</v>
      </c>
      <c r="AC276" s="4">
        <v>60620</v>
      </c>
    </row>
    <row r="277" spans="1:29" x14ac:dyDescent="0.25">
      <c r="A277" s="1" t="s">
        <v>265</v>
      </c>
      <c r="B277" s="1" t="s">
        <v>740</v>
      </c>
      <c r="C277" s="1" t="s">
        <v>289</v>
      </c>
      <c r="D277" s="1" t="s">
        <v>680</v>
      </c>
      <c r="E277" s="2">
        <v>40.54</v>
      </c>
      <c r="F277" s="3">
        <v>447.7</v>
      </c>
      <c r="G277" s="2">
        <v>488.24</v>
      </c>
      <c r="H277" s="2">
        <v>0</v>
      </c>
      <c r="I277" s="4">
        <v>2</v>
      </c>
      <c r="J277" s="3">
        <v>0</v>
      </c>
      <c r="K277" s="4">
        <v>450</v>
      </c>
      <c r="L277" s="2">
        <v>301.97000000000003</v>
      </c>
      <c r="M277" s="2">
        <v>56.22</v>
      </c>
      <c r="N277" s="2">
        <v>62.15</v>
      </c>
      <c r="O277" s="2">
        <v>31.01</v>
      </c>
      <c r="P277" s="2">
        <v>3.32</v>
      </c>
      <c r="Q277" s="4">
        <v>147434</v>
      </c>
      <c r="R277" s="4">
        <v>1474</v>
      </c>
      <c r="S277" s="4">
        <v>148908</v>
      </c>
      <c r="T277" s="4">
        <v>25299</v>
      </c>
      <c r="U277" s="4">
        <v>27968</v>
      </c>
      <c r="V277" s="4">
        <v>0</v>
      </c>
      <c r="W277" s="4">
        <v>15289</v>
      </c>
      <c r="X277" s="4">
        <v>1636</v>
      </c>
      <c r="Y277" s="4">
        <v>219100</v>
      </c>
      <c r="Z277" s="4">
        <v>21840</v>
      </c>
      <c r="AA277" s="4">
        <v>197260</v>
      </c>
      <c r="AB277" s="4">
        <v>111286</v>
      </c>
      <c r="AC277" s="4">
        <v>85974</v>
      </c>
    </row>
    <row r="278" spans="1:29" x14ac:dyDescent="0.25">
      <c r="A278" s="1" t="s">
        <v>265</v>
      </c>
      <c r="B278" s="1" t="s">
        <v>740</v>
      </c>
      <c r="C278" s="1" t="s">
        <v>290</v>
      </c>
      <c r="D278" s="1" t="s">
        <v>681</v>
      </c>
      <c r="E278" s="2">
        <v>377.58</v>
      </c>
      <c r="F278" s="3">
        <v>2542.8000000000002</v>
      </c>
      <c r="G278" s="2">
        <v>2920.38</v>
      </c>
      <c r="H278" s="2">
        <v>0</v>
      </c>
      <c r="I278" s="4">
        <v>184</v>
      </c>
      <c r="J278" s="3">
        <v>0</v>
      </c>
      <c r="K278" s="4">
        <v>2727</v>
      </c>
      <c r="L278" s="2">
        <v>301.97000000000003</v>
      </c>
      <c r="M278" s="2">
        <v>56.22</v>
      </c>
      <c r="N278" s="2">
        <v>62.15</v>
      </c>
      <c r="O278" s="2">
        <v>31.01</v>
      </c>
      <c r="P278" s="2">
        <v>3.32</v>
      </c>
      <c r="Q278" s="4">
        <v>881867</v>
      </c>
      <c r="R278" s="4">
        <v>0</v>
      </c>
      <c r="S278" s="4">
        <v>881867</v>
      </c>
      <c r="T278" s="4">
        <v>153312</v>
      </c>
      <c r="U278" s="4">
        <v>169483</v>
      </c>
      <c r="V278" s="4">
        <v>0</v>
      </c>
      <c r="W278" s="4">
        <v>90561</v>
      </c>
      <c r="X278" s="4">
        <v>9696</v>
      </c>
      <c r="Y278" s="4">
        <v>1304919</v>
      </c>
      <c r="Z278" s="4">
        <v>112825</v>
      </c>
      <c r="AA278" s="4">
        <v>1192094</v>
      </c>
      <c r="AB278" s="4">
        <v>682482</v>
      </c>
      <c r="AC278" s="4">
        <v>509612</v>
      </c>
    </row>
    <row r="279" spans="1:29" x14ac:dyDescent="0.25">
      <c r="A279" s="1" t="s">
        <v>265</v>
      </c>
      <c r="B279" s="1" t="s">
        <v>740</v>
      </c>
      <c r="C279" s="1" t="s">
        <v>291</v>
      </c>
      <c r="D279" s="1" t="s">
        <v>682</v>
      </c>
      <c r="E279" s="2">
        <v>58.77</v>
      </c>
      <c r="F279" s="3">
        <v>565.1</v>
      </c>
      <c r="G279" s="2">
        <v>623.87</v>
      </c>
      <c r="H279" s="2">
        <v>0</v>
      </c>
      <c r="I279" s="4">
        <v>0</v>
      </c>
      <c r="J279" s="3">
        <v>0</v>
      </c>
      <c r="K279" s="4">
        <v>565</v>
      </c>
      <c r="L279" s="2">
        <v>301.97000000000003</v>
      </c>
      <c r="M279" s="2">
        <v>56.22</v>
      </c>
      <c r="N279" s="2">
        <v>62.15</v>
      </c>
      <c r="O279" s="2">
        <v>31.01</v>
      </c>
      <c r="P279" s="2">
        <v>3.32</v>
      </c>
      <c r="Q279" s="4">
        <v>188390</v>
      </c>
      <c r="R279" s="4">
        <v>0</v>
      </c>
      <c r="S279" s="4">
        <v>188390</v>
      </c>
      <c r="T279" s="4">
        <v>31764</v>
      </c>
      <c r="U279" s="4">
        <v>35115</v>
      </c>
      <c r="V279" s="4">
        <v>0</v>
      </c>
      <c r="W279" s="4">
        <v>19346</v>
      </c>
      <c r="X279" s="4">
        <v>2071</v>
      </c>
      <c r="Y279" s="4">
        <v>276686</v>
      </c>
      <c r="Z279" s="4">
        <v>28459</v>
      </c>
      <c r="AA279" s="4">
        <v>248227</v>
      </c>
      <c r="AB279" s="4">
        <v>141439</v>
      </c>
      <c r="AC279" s="4">
        <v>106788</v>
      </c>
    </row>
    <row r="280" spans="1:29" x14ac:dyDescent="0.25">
      <c r="A280" s="1" t="s">
        <v>265</v>
      </c>
      <c r="B280" s="1" t="s">
        <v>740</v>
      </c>
      <c r="C280" s="1" t="s">
        <v>292</v>
      </c>
      <c r="D280" s="1" t="s">
        <v>683</v>
      </c>
      <c r="E280" s="2">
        <v>136.94999999999999</v>
      </c>
      <c r="F280" s="3">
        <v>809.3</v>
      </c>
      <c r="G280" s="2">
        <v>946.25</v>
      </c>
      <c r="H280" s="2">
        <v>0</v>
      </c>
      <c r="I280" s="4">
        <v>13</v>
      </c>
      <c r="J280" s="3">
        <v>0</v>
      </c>
      <c r="K280" s="4">
        <v>822</v>
      </c>
      <c r="L280" s="2">
        <v>301.97000000000003</v>
      </c>
      <c r="M280" s="2">
        <v>56.22</v>
      </c>
      <c r="N280" s="2">
        <v>62.15</v>
      </c>
      <c r="O280" s="2">
        <v>31.01</v>
      </c>
      <c r="P280" s="2">
        <v>3.32</v>
      </c>
      <c r="Q280" s="4">
        <v>285739</v>
      </c>
      <c r="R280" s="4">
        <v>2407</v>
      </c>
      <c r="S280" s="4">
        <v>288146</v>
      </c>
      <c r="T280" s="4">
        <v>46213</v>
      </c>
      <c r="U280" s="4">
        <v>51087</v>
      </c>
      <c r="V280" s="4">
        <v>0</v>
      </c>
      <c r="W280" s="4">
        <v>29343</v>
      </c>
      <c r="X280" s="4">
        <v>3142</v>
      </c>
      <c r="Y280" s="4">
        <v>417931</v>
      </c>
      <c r="Z280" s="4">
        <v>44838</v>
      </c>
      <c r="AA280" s="4">
        <v>373093</v>
      </c>
      <c r="AB280" s="4">
        <v>212855</v>
      </c>
      <c r="AC280" s="4">
        <v>160238</v>
      </c>
    </row>
    <row r="281" spans="1:29" x14ac:dyDescent="0.25">
      <c r="A281" s="1" t="s">
        <v>265</v>
      </c>
      <c r="B281" s="1" t="s">
        <v>740</v>
      </c>
      <c r="C281" s="1" t="s">
        <v>293</v>
      </c>
      <c r="D281" s="1" t="s">
        <v>684</v>
      </c>
      <c r="E281" s="2">
        <v>44.26</v>
      </c>
      <c r="F281" s="3">
        <v>249.1</v>
      </c>
      <c r="G281" s="2">
        <v>293.36</v>
      </c>
      <c r="H281" s="2">
        <v>0</v>
      </c>
      <c r="I281" s="4">
        <v>0</v>
      </c>
      <c r="J281" s="3">
        <v>0</v>
      </c>
      <c r="K281" s="4">
        <v>249</v>
      </c>
      <c r="L281" s="2">
        <v>301.97000000000003</v>
      </c>
      <c r="M281" s="2">
        <v>56.22</v>
      </c>
      <c r="N281" s="2">
        <v>62.15</v>
      </c>
      <c r="O281" s="2">
        <v>31.01</v>
      </c>
      <c r="P281" s="2">
        <v>3.32</v>
      </c>
      <c r="Q281" s="4">
        <v>88586</v>
      </c>
      <c r="R281" s="4">
        <v>4282</v>
      </c>
      <c r="S281" s="4">
        <v>92868</v>
      </c>
      <c r="T281" s="4">
        <v>13999</v>
      </c>
      <c r="U281" s="4">
        <v>15475</v>
      </c>
      <c r="V281" s="4">
        <v>0</v>
      </c>
      <c r="W281" s="4">
        <v>9535</v>
      </c>
      <c r="X281" s="4">
        <v>1020</v>
      </c>
      <c r="Y281" s="4">
        <v>132897</v>
      </c>
      <c r="Z281" s="4">
        <v>14742</v>
      </c>
      <c r="AA281" s="4">
        <v>118155</v>
      </c>
      <c r="AB281" s="4">
        <v>65633</v>
      </c>
      <c r="AC281" s="4">
        <v>52522</v>
      </c>
    </row>
    <row r="282" spans="1:29" x14ac:dyDescent="0.25">
      <c r="A282" s="1" t="s">
        <v>265</v>
      </c>
      <c r="B282" s="1" t="s">
        <v>740</v>
      </c>
      <c r="C282" s="1" t="s">
        <v>294</v>
      </c>
      <c r="D282" s="1" t="s">
        <v>685</v>
      </c>
      <c r="E282" s="2">
        <v>85.21</v>
      </c>
      <c r="F282" s="3">
        <v>607.4</v>
      </c>
      <c r="G282" s="2">
        <v>692.61</v>
      </c>
      <c r="H282" s="2">
        <v>0</v>
      </c>
      <c r="I282" s="4">
        <v>1</v>
      </c>
      <c r="J282" s="3">
        <v>0</v>
      </c>
      <c r="K282" s="4">
        <v>608</v>
      </c>
      <c r="L282" s="2">
        <v>301.97000000000003</v>
      </c>
      <c r="M282" s="2">
        <v>56.22</v>
      </c>
      <c r="N282" s="2">
        <v>62.15</v>
      </c>
      <c r="O282" s="2">
        <v>31.01</v>
      </c>
      <c r="P282" s="2">
        <v>3.32</v>
      </c>
      <c r="Q282" s="4">
        <v>209147</v>
      </c>
      <c r="R282" s="4">
        <v>3218</v>
      </c>
      <c r="S282" s="4">
        <v>212365</v>
      </c>
      <c r="T282" s="4">
        <v>34182</v>
      </c>
      <c r="U282" s="4">
        <v>37787</v>
      </c>
      <c r="V282" s="4">
        <v>0</v>
      </c>
      <c r="W282" s="4">
        <v>21478</v>
      </c>
      <c r="X282" s="4">
        <v>2299</v>
      </c>
      <c r="Y282" s="4">
        <v>308111</v>
      </c>
      <c r="Z282" s="4">
        <v>39236</v>
      </c>
      <c r="AA282" s="4">
        <v>268875</v>
      </c>
      <c r="AB282" s="4">
        <v>149382</v>
      </c>
      <c r="AC282" s="4">
        <v>119493</v>
      </c>
    </row>
    <row r="283" spans="1:29" x14ac:dyDescent="0.25">
      <c r="A283" s="1" t="s">
        <v>265</v>
      </c>
      <c r="B283" s="1" t="s">
        <v>740</v>
      </c>
      <c r="C283" s="1" t="s">
        <v>295</v>
      </c>
      <c r="D283" s="1" t="s">
        <v>686</v>
      </c>
      <c r="E283" s="2">
        <v>32.64</v>
      </c>
      <c r="F283" s="3">
        <v>243.2</v>
      </c>
      <c r="G283" s="2">
        <v>275.83999999999997</v>
      </c>
      <c r="H283" s="2">
        <v>0</v>
      </c>
      <c r="I283" s="4">
        <v>0</v>
      </c>
      <c r="J283" s="3">
        <v>0</v>
      </c>
      <c r="K283" s="4">
        <v>243</v>
      </c>
      <c r="L283" s="2">
        <v>301.97000000000003</v>
      </c>
      <c r="M283" s="2">
        <v>56.22</v>
      </c>
      <c r="N283" s="2">
        <v>62.15</v>
      </c>
      <c r="O283" s="2">
        <v>31.01</v>
      </c>
      <c r="P283" s="2">
        <v>3.32</v>
      </c>
      <c r="Q283" s="4">
        <v>83295</v>
      </c>
      <c r="R283" s="4">
        <v>4798</v>
      </c>
      <c r="S283" s="4">
        <v>88093</v>
      </c>
      <c r="T283" s="4">
        <v>13661</v>
      </c>
      <c r="U283" s="4">
        <v>15102</v>
      </c>
      <c r="V283" s="4">
        <v>0</v>
      </c>
      <c r="W283" s="4">
        <v>8586</v>
      </c>
      <c r="X283" s="4">
        <v>919</v>
      </c>
      <c r="Y283" s="4">
        <v>126361</v>
      </c>
      <c r="Z283" s="4">
        <v>15048</v>
      </c>
      <c r="AA283" s="4">
        <v>111313</v>
      </c>
      <c r="AB283" s="4">
        <v>60107</v>
      </c>
      <c r="AC283" s="4">
        <v>51206</v>
      </c>
    </row>
    <row r="284" spans="1:29" x14ac:dyDescent="0.25">
      <c r="A284" s="1" t="s">
        <v>265</v>
      </c>
      <c r="B284" s="1" t="s">
        <v>740</v>
      </c>
      <c r="C284" s="1" t="s">
        <v>296</v>
      </c>
      <c r="D284" s="1" t="s">
        <v>687</v>
      </c>
      <c r="E284" s="2">
        <v>84.65</v>
      </c>
      <c r="F284" s="3">
        <v>642.1</v>
      </c>
      <c r="G284" s="2">
        <v>726.75</v>
      </c>
      <c r="H284" s="2">
        <v>0</v>
      </c>
      <c r="I284" s="4">
        <v>12</v>
      </c>
      <c r="J284" s="3">
        <v>0</v>
      </c>
      <c r="K284" s="4">
        <v>654</v>
      </c>
      <c r="L284" s="2">
        <v>301.97000000000003</v>
      </c>
      <c r="M284" s="2">
        <v>56.22</v>
      </c>
      <c r="N284" s="2">
        <v>62.15</v>
      </c>
      <c r="O284" s="2">
        <v>31.01</v>
      </c>
      <c r="P284" s="2">
        <v>3.32</v>
      </c>
      <c r="Q284" s="4">
        <v>219457</v>
      </c>
      <c r="R284" s="4">
        <v>1782</v>
      </c>
      <c r="S284" s="4">
        <v>221239</v>
      </c>
      <c r="T284" s="4">
        <v>36768</v>
      </c>
      <c r="U284" s="4">
        <v>40646</v>
      </c>
      <c r="V284" s="4">
        <v>0</v>
      </c>
      <c r="W284" s="4">
        <v>22537</v>
      </c>
      <c r="X284" s="4">
        <v>2413</v>
      </c>
      <c r="Y284" s="4">
        <v>323603</v>
      </c>
      <c r="Z284" s="4">
        <v>39610</v>
      </c>
      <c r="AA284" s="4">
        <v>283993</v>
      </c>
      <c r="AB284" s="4">
        <v>158307</v>
      </c>
      <c r="AC284" s="4">
        <v>125686</v>
      </c>
    </row>
    <row r="285" spans="1:29" x14ac:dyDescent="0.25">
      <c r="A285" s="1" t="s">
        <v>265</v>
      </c>
      <c r="B285" s="1" t="s">
        <v>740</v>
      </c>
      <c r="C285" s="1" t="s">
        <v>297</v>
      </c>
      <c r="D285" s="1" t="s">
        <v>688</v>
      </c>
      <c r="E285" s="2">
        <v>29.54</v>
      </c>
      <c r="F285" s="3">
        <v>190.3</v>
      </c>
      <c r="G285" s="2">
        <v>219.84</v>
      </c>
      <c r="H285" s="2">
        <v>0</v>
      </c>
      <c r="I285" s="4">
        <v>8</v>
      </c>
      <c r="J285" s="3">
        <v>0</v>
      </c>
      <c r="K285" s="4">
        <v>198</v>
      </c>
      <c r="L285" s="2">
        <v>301.97000000000003</v>
      </c>
      <c r="M285" s="2">
        <v>56.22</v>
      </c>
      <c r="N285" s="2">
        <v>62.15</v>
      </c>
      <c r="O285" s="2">
        <v>31.01</v>
      </c>
      <c r="P285" s="2">
        <v>3.32</v>
      </c>
      <c r="Q285" s="4">
        <v>66385</v>
      </c>
      <c r="R285" s="4">
        <v>6381</v>
      </c>
      <c r="S285" s="4">
        <v>72766</v>
      </c>
      <c r="T285" s="4">
        <v>11132</v>
      </c>
      <c r="U285" s="4">
        <v>12306</v>
      </c>
      <c r="V285" s="4">
        <v>0</v>
      </c>
      <c r="W285" s="4">
        <v>6817</v>
      </c>
      <c r="X285" s="4">
        <v>730</v>
      </c>
      <c r="Y285" s="4">
        <v>103751</v>
      </c>
      <c r="Z285" s="4">
        <v>14187</v>
      </c>
      <c r="AA285" s="4">
        <v>89564</v>
      </c>
      <c r="AB285" s="4">
        <v>45682</v>
      </c>
      <c r="AC285" s="4">
        <v>43882</v>
      </c>
    </row>
    <row r="286" spans="1:29" x14ac:dyDescent="0.25">
      <c r="A286" s="1" t="s">
        <v>265</v>
      </c>
      <c r="B286" s="1" t="s">
        <v>740</v>
      </c>
      <c r="C286" s="1" t="s">
        <v>298</v>
      </c>
      <c r="D286" s="1" t="s">
        <v>689</v>
      </c>
      <c r="E286" s="2">
        <v>134.85</v>
      </c>
      <c r="F286" s="3">
        <v>1032.5999999999999</v>
      </c>
      <c r="G286" s="2">
        <v>1167.45</v>
      </c>
      <c r="H286" s="2">
        <v>0</v>
      </c>
      <c r="I286" s="4">
        <v>0</v>
      </c>
      <c r="J286" s="3">
        <v>0</v>
      </c>
      <c r="K286" s="4">
        <v>1033</v>
      </c>
      <c r="L286" s="2">
        <v>301.97000000000003</v>
      </c>
      <c r="M286" s="2">
        <v>56.22</v>
      </c>
      <c r="N286" s="2">
        <v>62.15</v>
      </c>
      <c r="O286" s="2">
        <v>31.01</v>
      </c>
      <c r="P286" s="2">
        <v>3.32</v>
      </c>
      <c r="Q286" s="4">
        <v>352535</v>
      </c>
      <c r="R286" s="4">
        <v>27342</v>
      </c>
      <c r="S286" s="4">
        <v>379877</v>
      </c>
      <c r="T286" s="4">
        <v>58075</v>
      </c>
      <c r="U286" s="4">
        <v>64201</v>
      </c>
      <c r="V286" s="4">
        <v>0</v>
      </c>
      <c r="W286" s="4">
        <v>36203</v>
      </c>
      <c r="X286" s="4">
        <v>3876</v>
      </c>
      <c r="Y286" s="4">
        <v>542232</v>
      </c>
      <c r="Z286" s="4">
        <v>62151</v>
      </c>
      <c r="AA286" s="4">
        <v>480081</v>
      </c>
      <c r="AB286" s="4">
        <v>255781</v>
      </c>
      <c r="AC286" s="4">
        <v>224300</v>
      </c>
    </row>
    <row r="287" spans="1:29" x14ac:dyDescent="0.25">
      <c r="A287" s="1" t="s">
        <v>265</v>
      </c>
      <c r="B287" s="1" t="s">
        <v>740</v>
      </c>
      <c r="C287" s="1" t="s">
        <v>299</v>
      </c>
      <c r="D287" s="1" t="s">
        <v>690</v>
      </c>
      <c r="E287" s="2">
        <v>68.42</v>
      </c>
      <c r="F287" s="3">
        <v>695.2</v>
      </c>
      <c r="G287" s="2">
        <v>763.62</v>
      </c>
      <c r="H287" s="2">
        <v>0</v>
      </c>
      <c r="I287" s="4">
        <v>4</v>
      </c>
      <c r="J287" s="3">
        <v>0</v>
      </c>
      <c r="K287" s="4">
        <v>699</v>
      </c>
      <c r="L287" s="2">
        <v>301.97000000000003</v>
      </c>
      <c r="M287" s="2">
        <v>56.22</v>
      </c>
      <c r="N287" s="2">
        <v>62.15</v>
      </c>
      <c r="O287" s="2">
        <v>31.01</v>
      </c>
      <c r="P287" s="2">
        <v>3.32</v>
      </c>
      <c r="Q287" s="4">
        <v>230590</v>
      </c>
      <c r="R287" s="4">
        <v>0</v>
      </c>
      <c r="S287" s="4">
        <v>230590</v>
      </c>
      <c r="T287" s="4">
        <v>39298</v>
      </c>
      <c r="U287" s="4">
        <v>43443</v>
      </c>
      <c r="V287" s="4">
        <v>0</v>
      </c>
      <c r="W287" s="4">
        <v>23680</v>
      </c>
      <c r="X287" s="4">
        <v>2535</v>
      </c>
      <c r="Y287" s="4">
        <v>339546</v>
      </c>
      <c r="Z287" s="4">
        <v>33188</v>
      </c>
      <c r="AA287" s="4">
        <v>306358</v>
      </c>
      <c r="AB287" s="4">
        <v>174769</v>
      </c>
      <c r="AC287" s="4">
        <v>131589</v>
      </c>
    </row>
    <row r="288" spans="1:29" x14ac:dyDescent="0.25">
      <c r="A288" s="1" t="s">
        <v>265</v>
      </c>
      <c r="B288" s="1" t="s">
        <v>740</v>
      </c>
      <c r="C288" s="1" t="s">
        <v>300</v>
      </c>
      <c r="D288" s="1" t="s">
        <v>691</v>
      </c>
      <c r="E288" s="2">
        <v>136.80000000000001</v>
      </c>
      <c r="F288" s="3">
        <v>1050.7</v>
      </c>
      <c r="G288" s="2">
        <v>1187.5</v>
      </c>
      <c r="H288" s="2">
        <v>0</v>
      </c>
      <c r="I288" s="4">
        <v>7</v>
      </c>
      <c r="J288" s="3">
        <v>0</v>
      </c>
      <c r="K288" s="4">
        <v>1058</v>
      </c>
      <c r="L288" s="2">
        <v>301.97000000000003</v>
      </c>
      <c r="M288" s="2">
        <v>56.22</v>
      </c>
      <c r="N288" s="2">
        <v>62.15</v>
      </c>
      <c r="O288" s="2">
        <v>31.01</v>
      </c>
      <c r="P288" s="2">
        <v>3.32</v>
      </c>
      <c r="Q288" s="4">
        <v>358589</v>
      </c>
      <c r="R288" s="4">
        <v>1831</v>
      </c>
      <c r="S288" s="4">
        <v>360420</v>
      </c>
      <c r="T288" s="4">
        <v>59481</v>
      </c>
      <c r="U288" s="4">
        <v>65755</v>
      </c>
      <c r="V288" s="4">
        <v>0</v>
      </c>
      <c r="W288" s="4">
        <v>37007</v>
      </c>
      <c r="X288" s="4">
        <v>3959</v>
      </c>
      <c r="Y288" s="4">
        <v>526622</v>
      </c>
      <c r="Z288" s="4">
        <v>57385</v>
      </c>
      <c r="AA288" s="4">
        <v>469237</v>
      </c>
      <c r="AB288" s="4">
        <v>266206</v>
      </c>
      <c r="AC288" s="4">
        <v>203031</v>
      </c>
    </row>
    <row r="289" spans="1:29" x14ac:dyDescent="0.25">
      <c r="A289" s="1" t="s">
        <v>265</v>
      </c>
      <c r="B289" s="1" t="s">
        <v>740</v>
      </c>
      <c r="C289" s="1" t="s">
        <v>301</v>
      </c>
      <c r="D289" s="1" t="s">
        <v>692</v>
      </c>
      <c r="E289" s="2">
        <v>72.09</v>
      </c>
      <c r="F289" s="3">
        <v>373.6</v>
      </c>
      <c r="G289" s="2">
        <v>445.69</v>
      </c>
      <c r="H289" s="2">
        <v>0</v>
      </c>
      <c r="I289" s="4">
        <v>0</v>
      </c>
      <c r="J289" s="3">
        <v>0</v>
      </c>
      <c r="K289" s="4">
        <v>374</v>
      </c>
      <c r="L289" s="2">
        <v>301.97000000000003</v>
      </c>
      <c r="M289" s="2">
        <v>56.22</v>
      </c>
      <c r="N289" s="2">
        <v>62.15</v>
      </c>
      <c r="O289" s="2">
        <v>31.01</v>
      </c>
      <c r="P289" s="2">
        <v>3.32</v>
      </c>
      <c r="Q289" s="4">
        <v>134585</v>
      </c>
      <c r="R289" s="4">
        <v>3141</v>
      </c>
      <c r="S289" s="4">
        <v>137726</v>
      </c>
      <c r="T289" s="4">
        <v>21026</v>
      </c>
      <c r="U289" s="4">
        <v>23244</v>
      </c>
      <c r="V289" s="4">
        <v>0</v>
      </c>
      <c r="W289" s="4">
        <v>14141</v>
      </c>
      <c r="X289" s="4">
        <v>1513</v>
      </c>
      <c r="Y289" s="4">
        <v>197650</v>
      </c>
      <c r="Z289" s="4">
        <v>22474</v>
      </c>
      <c r="AA289" s="4">
        <v>175176</v>
      </c>
      <c r="AB289" s="4">
        <v>99254</v>
      </c>
      <c r="AC289" s="4">
        <v>75922</v>
      </c>
    </row>
    <row r="290" spans="1:29" x14ac:dyDescent="0.25">
      <c r="A290" s="1" t="s">
        <v>265</v>
      </c>
      <c r="B290" s="1" t="s">
        <v>740</v>
      </c>
      <c r="C290" s="1" t="s">
        <v>302</v>
      </c>
      <c r="D290" s="1" t="s">
        <v>693</v>
      </c>
      <c r="E290" s="2">
        <v>34.36</v>
      </c>
      <c r="F290" s="3">
        <v>195</v>
      </c>
      <c r="G290" s="2">
        <v>229.36</v>
      </c>
      <c r="H290" s="2">
        <v>0</v>
      </c>
      <c r="I290" s="4">
        <v>1</v>
      </c>
      <c r="J290" s="3">
        <v>0</v>
      </c>
      <c r="K290" s="4">
        <v>196</v>
      </c>
      <c r="L290" s="2">
        <v>301.97000000000003</v>
      </c>
      <c r="M290" s="2">
        <v>56.22</v>
      </c>
      <c r="N290" s="2">
        <v>62.15</v>
      </c>
      <c r="O290" s="2">
        <v>31.01</v>
      </c>
      <c r="P290" s="2">
        <v>3.32</v>
      </c>
      <c r="Q290" s="4">
        <v>69260</v>
      </c>
      <c r="R290" s="4">
        <v>9988</v>
      </c>
      <c r="S290" s="4">
        <v>79248</v>
      </c>
      <c r="T290" s="4">
        <v>11019</v>
      </c>
      <c r="U290" s="4">
        <v>12181</v>
      </c>
      <c r="V290" s="4">
        <v>0</v>
      </c>
      <c r="W290" s="4">
        <v>7357</v>
      </c>
      <c r="X290" s="4">
        <v>787</v>
      </c>
      <c r="Y290" s="4">
        <v>110592</v>
      </c>
      <c r="Z290" s="4">
        <v>15658</v>
      </c>
      <c r="AA290" s="4">
        <v>94934</v>
      </c>
      <c r="AB290" s="4">
        <v>47074</v>
      </c>
      <c r="AC290" s="4">
        <v>47860</v>
      </c>
    </row>
    <row r="291" spans="1:29" x14ac:dyDescent="0.25">
      <c r="A291" s="1" t="s">
        <v>265</v>
      </c>
      <c r="B291" s="1" t="s">
        <v>740</v>
      </c>
      <c r="C291" s="1" t="s">
        <v>303</v>
      </c>
      <c r="D291" s="1" t="s">
        <v>694</v>
      </c>
      <c r="E291" s="2">
        <v>18.38</v>
      </c>
      <c r="F291" s="3">
        <v>172.1</v>
      </c>
      <c r="G291" s="2">
        <v>190.48</v>
      </c>
      <c r="H291" s="2">
        <v>0</v>
      </c>
      <c r="I291" s="4">
        <v>0</v>
      </c>
      <c r="J291" s="3">
        <v>0</v>
      </c>
      <c r="K291" s="4">
        <v>172</v>
      </c>
      <c r="L291" s="2">
        <v>301.97000000000003</v>
      </c>
      <c r="M291" s="2">
        <v>56.22</v>
      </c>
      <c r="N291" s="2">
        <v>62.15</v>
      </c>
      <c r="O291" s="2">
        <v>31.01</v>
      </c>
      <c r="P291" s="2">
        <v>3.32</v>
      </c>
      <c r="Q291" s="4">
        <v>57519</v>
      </c>
      <c r="R291" s="4">
        <v>8705</v>
      </c>
      <c r="S291" s="4">
        <v>66224</v>
      </c>
      <c r="T291" s="4">
        <v>9670</v>
      </c>
      <c r="U291" s="4">
        <v>10690</v>
      </c>
      <c r="V291" s="4">
        <v>0</v>
      </c>
      <c r="W291" s="4">
        <v>6342</v>
      </c>
      <c r="X291" s="4">
        <v>678</v>
      </c>
      <c r="Y291" s="4">
        <v>93604</v>
      </c>
      <c r="Z291" s="4">
        <v>12066</v>
      </c>
      <c r="AA291" s="4">
        <v>81538</v>
      </c>
      <c r="AB291" s="4">
        <v>40288</v>
      </c>
      <c r="AC291" s="4">
        <v>41250</v>
      </c>
    </row>
    <row r="292" spans="1:29" x14ac:dyDescent="0.25">
      <c r="A292" s="1" t="s">
        <v>265</v>
      </c>
      <c r="B292" s="1" t="s">
        <v>740</v>
      </c>
      <c r="C292" s="1" t="s">
        <v>304</v>
      </c>
      <c r="D292" s="1" t="s">
        <v>695</v>
      </c>
      <c r="E292" s="2">
        <v>45.88</v>
      </c>
      <c r="F292" s="3">
        <v>631.1</v>
      </c>
      <c r="G292" s="2">
        <v>676.98</v>
      </c>
      <c r="H292" s="2">
        <v>0</v>
      </c>
      <c r="I292" s="4">
        <v>52</v>
      </c>
      <c r="J292" s="3">
        <v>0</v>
      </c>
      <c r="K292" s="4">
        <v>683</v>
      </c>
      <c r="L292" s="2">
        <v>301.97000000000003</v>
      </c>
      <c r="M292" s="2">
        <v>56.22</v>
      </c>
      <c r="N292" s="2">
        <v>62.15</v>
      </c>
      <c r="O292" s="2">
        <v>31.01</v>
      </c>
      <c r="P292" s="2">
        <v>3.32</v>
      </c>
      <c r="Q292" s="4">
        <v>204428</v>
      </c>
      <c r="R292" s="4">
        <v>0</v>
      </c>
      <c r="S292" s="4">
        <v>204428</v>
      </c>
      <c r="T292" s="4">
        <v>38398</v>
      </c>
      <c r="U292" s="4">
        <v>42448</v>
      </c>
      <c r="V292" s="4">
        <v>0</v>
      </c>
      <c r="W292" s="4">
        <v>20993</v>
      </c>
      <c r="X292" s="4">
        <v>2248</v>
      </c>
      <c r="Y292" s="4">
        <v>308515</v>
      </c>
      <c r="Z292" s="4">
        <v>22629</v>
      </c>
      <c r="AA292" s="4">
        <v>285886</v>
      </c>
      <c r="AB292" s="4">
        <v>161733</v>
      </c>
      <c r="AC292" s="4">
        <v>124153</v>
      </c>
    </row>
    <row r="293" spans="1:29" x14ac:dyDescent="0.25">
      <c r="A293" s="1" t="s">
        <v>265</v>
      </c>
      <c r="B293" s="1" t="s">
        <v>740</v>
      </c>
      <c r="C293" s="1" t="s">
        <v>305</v>
      </c>
      <c r="D293" s="1" t="s">
        <v>696</v>
      </c>
      <c r="E293" s="2">
        <v>67.64</v>
      </c>
      <c r="F293" s="3">
        <v>641</v>
      </c>
      <c r="G293" s="2">
        <v>708.64</v>
      </c>
      <c r="H293" s="2">
        <v>0</v>
      </c>
      <c r="I293" s="4">
        <v>3</v>
      </c>
      <c r="J293" s="3">
        <v>0</v>
      </c>
      <c r="K293" s="4">
        <v>644</v>
      </c>
      <c r="L293" s="2">
        <v>301.97000000000003</v>
      </c>
      <c r="M293" s="2">
        <v>56.22</v>
      </c>
      <c r="N293" s="2">
        <v>62.15</v>
      </c>
      <c r="O293" s="2">
        <v>31.01</v>
      </c>
      <c r="P293" s="2">
        <v>3.32</v>
      </c>
      <c r="Q293" s="4">
        <v>213988</v>
      </c>
      <c r="R293" s="4">
        <v>0</v>
      </c>
      <c r="S293" s="4">
        <v>213988</v>
      </c>
      <c r="T293" s="4">
        <v>36206</v>
      </c>
      <c r="U293" s="4">
        <v>40025</v>
      </c>
      <c r="V293" s="4">
        <v>0</v>
      </c>
      <c r="W293" s="4">
        <v>21975</v>
      </c>
      <c r="X293" s="4">
        <v>2353</v>
      </c>
      <c r="Y293" s="4">
        <v>314547</v>
      </c>
      <c r="Z293" s="4">
        <v>33287</v>
      </c>
      <c r="AA293" s="4">
        <v>281260</v>
      </c>
      <c r="AB293" s="4">
        <v>159697</v>
      </c>
      <c r="AC293" s="4">
        <v>121563</v>
      </c>
    </row>
    <row r="294" spans="1:29" x14ac:dyDescent="0.25">
      <c r="A294" s="1" t="s">
        <v>265</v>
      </c>
      <c r="B294" s="1" t="s">
        <v>740</v>
      </c>
      <c r="C294" s="1" t="s">
        <v>306</v>
      </c>
      <c r="D294" s="1" t="s">
        <v>697</v>
      </c>
      <c r="E294" s="2">
        <v>79.91</v>
      </c>
      <c r="F294" s="3">
        <v>719</v>
      </c>
      <c r="G294" s="2">
        <v>798.91</v>
      </c>
      <c r="H294" s="2">
        <v>0</v>
      </c>
      <c r="I294" s="4">
        <v>19</v>
      </c>
      <c r="J294" s="3">
        <v>0</v>
      </c>
      <c r="K294" s="4">
        <v>738</v>
      </c>
      <c r="L294" s="2">
        <v>301.97000000000003</v>
      </c>
      <c r="M294" s="2">
        <v>56.22</v>
      </c>
      <c r="N294" s="2">
        <v>62.15</v>
      </c>
      <c r="O294" s="2">
        <v>31.01</v>
      </c>
      <c r="P294" s="2">
        <v>3.32</v>
      </c>
      <c r="Q294" s="4">
        <v>241247</v>
      </c>
      <c r="R294" s="4">
        <v>0</v>
      </c>
      <c r="S294" s="4">
        <v>241247</v>
      </c>
      <c r="T294" s="4">
        <v>41490</v>
      </c>
      <c r="U294" s="4">
        <v>45867</v>
      </c>
      <c r="V294" s="4">
        <v>0</v>
      </c>
      <c r="W294" s="4">
        <v>24774</v>
      </c>
      <c r="X294" s="4">
        <v>2652</v>
      </c>
      <c r="Y294" s="4">
        <v>356030</v>
      </c>
      <c r="Z294" s="4">
        <v>30799</v>
      </c>
      <c r="AA294" s="4">
        <v>325231</v>
      </c>
      <c r="AB294" s="4">
        <v>186768</v>
      </c>
      <c r="AC294" s="4">
        <v>138463</v>
      </c>
    </row>
    <row r="295" spans="1:29" x14ac:dyDescent="0.25">
      <c r="A295" s="1" t="s">
        <v>265</v>
      </c>
      <c r="B295" s="1" t="s">
        <v>740</v>
      </c>
      <c r="C295" s="1" t="s">
        <v>307</v>
      </c>
      <c r="D295" s="1" t="s">
        <v>698</v>
      </c>
      <c r="E295" s="2">
        <v>28.72</v>
      </c>
      <c r="F295" s="3">
        <v>303</v>
      </c>
      <c r="G295" s="2">
        <v>331.72</v>
      </c>
      <c r="H295" s="2">
        <v>0</v>
      </c>
      <c r="I295" s="4">
        <v>0</v>
      </c>
      <c r="J295" s="3">
        <v>0</v>
      </c>
      <c r="K295" s="4">
        <v>303</v>
      </c>
      <c r="L295" s="2">
        <v>301.97000000000003</v>
      </c>
      <c r="M295" s="2">
        <v>56.22</v>
      </c>
      <c r="N295" s="2">
        <v>62.15</v>
      </c>
      <c r="O295" s="2">
        <v>31.01</v>
      </c>
      <c r="P295" s="2">
        <v>3.32</v>
      </c>
      <c r="Q295" s="4">
        <v>100169</v>
      </c>
      <c r="R295" s="4">
        <v>12667</v>
      </c>
      <c r="S295" s="4">
        <v>112836</v>
      </c>
      <c r="T295" s="4">
        <v>17035</v>
      </c>
      <c r="U295" s="4">
        <v>18831</v>
      </c>
      <c r="V295" s="4">
        <v>0</v>
      </c>
      <c r="W295" s="4">
        <v>10287</v>
      </c>
      <c r="X295" s="4">
        <v>1101</v>
      </c>
      <c r="Y295" s="4">
        <v>160090</v>
      </c>
      <c r="Z295" s="4">
        <v>20643</v>
      </c>
      <c r="AA295" s="4">
        <v>139447</v>
      </c>
      <c r="AB295" s="4">
        <v>69694</v>
      </c>
      <c r="AC295" s="4">
        <v>69753</v>
      </c>
    </row>
    <row r="296" spans="1:29" x14ac:dyDescent="0.25">
      <c r="A296" s="1" t="s">
        <v>265</v>
      </c>
      <c r="B296" s="1" t="s">
        <v>740</v>
      </c>
      <c r="C296" s="1" t="s">
        <v>308</v>
      </c>
      <c r="D296" s="1" t="s">
        <v>699</v>
      </c>
      <c r="E296" s="2">
        <v>67.489999999999995</v>
      </c>
      <c r="F296" s="3">
        <v>341.7</v>
      </c>
      <c r="G296" s="2">
        <v>409.19</v>
      </c>
      <c r="H296" s="2">
        <v>0</v>
      </c>
      <c r="I296" s="4">
        <v>0</v>
      </c>
      <c r="J296" s="3">
        <v>0</v>
      </c>
      <c r="K296" s="4">
        <v>342</v>
      </c>
      <c r="L296" s="2">
        <v>301.97000000000003</v>
      </c>
      <c r="M296" s="2">
        <v>56.22</v>
      </c>
      <c r="N296" s="2">
        <v>62.15</v>
      </c>
      <c r="O296" s="2">
        <v>31.01</v>
      </c>
      <c r="P296" s="2">
        <v>3.32</v>
      </c>
      <c r="Q296" s="4">
        <v>123563</v>
      </c>
      <c r="R296" s="4">
        <v>24397</v>
      </c>
      <c r="S296" s="4">
        <v>147960</v>
      </c>
      <c r="T296" s="4">
        <v>19227</v>
      </c>
      <c r="U296" s="4">
        <v>21255</v>
      </c>
      <c r="V296" s="4">
        <v>0</v>
      </c>
      <c r="W296" s="4">
        <v>13003</v>
      </c>
      <c r="X296" s="4">
        <v>1391</v>
      </c>
      <c r="Y296" s="4">
        <v>202836</v>
      </c>
      <c r="Z296" s="4">
        <v>25347</v>
      </c>
      <c r="AA296" s="4">
        <v>177489</v>
      </c>
      <c r="AB296" s="4">
        <v>86434</v>
      </c>
      <c r="AC296" s="4">
        <v>91055</v>
      </c>
    </row>
    <row r="297" spans="1:29" x14ac:dyDescent="0.25">
      <c r="A297" s="1" t="s">
        <v>265</v>
      </c>
      <c r="B297" s="1" t="s">
        <v>740</v>
      </c>
      <c r="C297" s="1" t="s">
        <v>309</v>
      </c>
      <c r="D297" s="1" t="s">
        <v>700</v>
      </c>
      <c r="E297" s="2">
        <v>39.99</v>
      </c>
      <c r="F297" s="3">
        <v>466</v>
      </c>
      <c r="G297" s="2">
        <v>505.99</v>
      </c>
      <c r="H297" s="2">
        <v>0</v>
      </c>
      <c r="I297" s="4">
        <v>2</v>
      </c>
      <c r="J297" s="3">
        <v>0</v>
      </c>
      <c r="K297" s="4">
        <v>468</v>
      </c>
      <c r="L297" s="2">
        <v>301.97000000000003</v>
      </c>
      <c r="M297" s="2">
        <v>56.22</v>
      </c>
      <c r="N297" s="2">
        <v>62.15</v>
      </c>
      <c r="O297" s="2">
        <v>31.01</v>
      </c>
      <c r="P297" s="2">
        <v>3.32</v>
      </c>
      <c r="Q297" s="4">
        <v>152794</v>
      </c>
      <c r="R297" s="4">
        <v>1692</v>
      </c>
      <c r="S297" s="4">
        <v>154486</v>
      </c>
      <c r="T297" s="4">
        <v>26311</v>
      </c>
      <c r="U297" s="4">
        <v>29086</v>
      </c>
      <c r="V297" s="4">
        <v>0</v>
      </c>
      <c r="W297" s="4">
        <v>15691</v>
      </c>
      <c r="X297" s="4">
        <v>1680</v>
      </c>
      <c r="Y297" s="4">
        <v>227254</v>
      </c>
      <c r="Z297" s="4">
        <v>25428</v>
      </c>
      <c r="AA297" s="4">
        <v>201826</v>
      </c>
      <c r="AB297" s="4">
        <v>112369</v>
      </c>
      <c r="AC297" s="4">
        <v>89457</v>
      </c>
    </row>
    <row r="298" spans="1:29" x14ac:dyDescent="0.25">
      <c r="A298" s="1" t="s">
        <v>310</v>
      </c>
      <c r="B298" s="1" t="s">
        <v>741</v>
      </c>
      <c r="C298" s="1" t="s">
        <v>311</v>
      </c>
      <c r="D298" s="1" t="s">
        <v>701</v>
      </c>
      <c r="E298" s="2">
        <v>127.86</v>
      </c>
      <c r="F298" s="3">
        <v>1163.4000000000001</v>
      </c>
      <c r="G298" s="2">
        <v>1291.26</v>
      </c>
      <c r="H298" s="2">
        <v>0</v>
      </c>
      <c r="I298" s="4">
        <v>0</v>
      </c>
      <c r="J298" s="3">
        <v>0</v>
      </c>
      <c r="K298" s="4">
        <v>1163</v>
      </c>
      <c r="L298" s="2">
        <v>299.33</v>
      </c>
      <c r="M298" s="2">
        <v>56.19</v>
      </c>
      <c r="N298" s="2">
        <v>61.72</v>
      </c>
      <c r="O298" s="2">
        <v>30.02</v>
      </c>
      <c r="P298" s="2">
        <v>3.27</v>
      </c>
      <c r="Q298" s="4">
        <v>386513</v>
      </c>
      <c r="R298" s="4">
        <v>4526</v>
      </c>
      <c r="S298" s="4">
        <v>391039</v>
      </c>
      <c r="T298" s="4">
        <v>65349</v>
      </c>
      <c r="U298" s="4">
        <v>71780</v>
      </c>
      <c r="V298" s="4">
        <v>0</v>
      </c>
      <c r="W298" s="4">
        <v>38764</v>
      </c>
      <c r="X298" s="4">
        <v>4222</v>
      </c>
      <c r="Y298" s="4">
        <v>571154</v>
      </c>
      <c r="Z298" s="4">
        <v>57955</v>
      </c>
      <c r="AA298" s="4">
        <v>513199</v>
      </c>
      <c r="AB298" s="4">
        <v>292351</v>
      </c>
      <c r="AC298" s="4">
        <v>220848</v>
      </c>
    </row>
    <row r="299" spans="1:29" x14ac:dyDescent="0.25">
      <c r="A299" s="1" t="s">
        <v>310</v>
      </c>
      <c r="B299" s="1" t="s">
        <v>741</v>
      </c>
      <c r="C299" s="1" t="s">
        <v>312</v>
      </c>
      <c r="D299" s="1" t="s">
        <v>702</v>
      </c>
      <c r="E299" s="2">
        <v>761.94</v>
      </c>
      <c r="F299" s="3">
        <v>4137.3999999999996</v>
      </c>
      <c r="G299" s="2">
        <v>4899.34</v>
      </c>
      <c r="H299" s="2">
        <v>0</v>
      </c>
      <c r="I299" s="4">
        <v>355</v>
      </c>
      <c r="J299" s="3">
        <v>3.8</v>
      </c>
      <c r="K299" s="4">
        <v>4489</v>
      </c>
      <c r="L299" s="2">
        <v>299.33</v>
      </c>
      <c r="M299" s="2">
        <v>56.19</v>
      </c>
      <c r="N299" s="2">
        <v>61.72</v>
      </c>
      <c r="O299" s="2">
        <v>30.02</v>
      </c>
      <c r="P299" s="2">
        <v>3.27</v>
      </c>
      <c r="Q299" s="4">
        <v>1466519</v>
      </c>
      <c r="R299" s="4">
        <v>55947</v>
      </c>
      <c r="S299" s="4">
        <v>1522466</v>
      </c>
      <c r="T299" s="4">
        <v>252237</v>
      </c>
      <c r="U299" s="4">
        <v>277061</v>
      </c>
      <c r="V299" s="4">
        <v>0</v>
      </c>
      <c r="W299" s="4">
        <v>147788</v>
      </c>
      <c r="X299" s="4">
        <v>16091</v>
      </c>
      <c r="Y299" s="4">
        <v>2215643</v>
      </c>
      <c r="Z299" s="4">
        <v>231008</v>
      </c>
      <c r="AA299" s="4">
        <v>1984635</v>
      </c>
      <c r="AB299" s="4">
        <v>1098914</v>
      </c>
      <c r="AC299" s="4">
        <v>885721</v>
      </c>
    </row>
    <row r="300" spans="1:29" x14ac:dyDescent="0.25">
      <c r="A300" s="1" t="s">
        <v>310</v>
      </c>
      <c r="B300" s="1" t="s">
        <v>741</v>
      </c>
      <c r="C300" s="1" t="s">
        <v>313</v>
      </c>
      <c r="D300" s="1" t="s">
        <v>703</v>
      </c>
      <c r="E300" s="2">
        <v>81.2</v>
      </c>
      <c r="F300" s="3">
        <v>570.9</v>
      </c>
      <c r="G300" s="2">
        <v>652.1</v>
      </c>
      <c r="H300" s="2">
        <v>0</v>
      </c>
      <c r="I300" s="4">
        <v>0</v>
      </c>
      <c r="J300" s="3">
        <v>0</v>
      </c>
      <c r="K300" s="4">
        <v>571</v>
      </c>
      <c r="L300" s="2">
        <v>299.33</v>
      </c>
      <c r="M300" s="2">
        <v>56.19</v>
      </c>
      <c r="N300" s="2">
        <v>61.72</v>
      </c>
      <c r="O300" s="2">
        <v>30.02</v>
      </c>
      <c r="P300" s="2">
        <v>3.27</v>
      </c>
      <c r="Q300" s="4">
        <v>195193</v>
      </c>
      <c r="R300" s="4">
        <v>0</v>
      </c>
      <c r="S300" s="4">
        <v>195193</v>
      </c>
      <c r="T300" s="4">
        <v>32084</v>
      </c>
      <c r="U300" s="4">
        <v>35242</v>
      </c>
      <c r="V300" s="4">
        <v>0</v>
      </c>
      <c r="W300" s="4">
        <v>19576</v>
      </c>
      <c r="X300" s="4">
        <v>2132</v>
      </c>
      <c r="Y300" s="4">
        <v>284227</v>
      </c>
      <c r="Z300" s="4">
        <v>29808</v>
      </c>
      <c r="AA300" s="4">
        <v>254419</v>
      </c>
      <c r="AB300" s="4">
        <v>147100</v>
      </c>
      <c r="AC300" s="4">
        <v>107319</v>
      </c>
    </row>
    <row r="301" spans="1:29" x14ac:dyDescent="0.25">
      <c r="A301" s="1" t="s">
        <v>310</v>
      </c>
      <c r="B301" s="1" t="s">
        <v>741</v>
      </c>
      <c r="C301" s="1" t="s">
        <v>314</v>
      </c>
      <c r="D301" s="1" t="s">
        <v>704</v>
      </c>
      <c r="E301" s="2">
        <v>161.04</v>
      </c>
      <c r="F301" s="3">
        <v>1374.8</v>
      </c>
      <c r="G301" s="2">
        <v>1535.84</v>
      </c>
      <c r="H301" s="2">
        <v>0</v>
      </c>
      <c r="I301" s="4">
        <v>0</v>
      </c>
      <c r="J301" s="3">
        <v>0</v>
      </c>
      <c r="K301" s="4">
        <v>1375</v>
      </c>
      <c r="L301" s="2">
        <v>299.33</v>
      </c>
      <c r="M301" s="2">
        <v>56.19</v>
      </c>
      <c r="N301" s="2">
        <v>61.72</v>
      </c>
      <c r="O301" s="2">
        <v>30.02</v>
      </c>
      <c r="P301" s="2">
        <v>3.27</v>
      </c>
      <c r="Q301" s="4">
        <v>459723</v>
      </c>
      <c r="R301" s="4">
        <v>0</v>
      </c>
      <c r="S301" s="4">
        <v>459723</v>
      </c>
      <c r="T301" s="4">
        <v>77261</v>
      </c>
      <c r="U301" s="4">
        <v>84865</v>
      </c>
      <c r="V301" s="4">
        <v>0</v>
      </c>
      <c r="W301" s="4">
        <v>46106</v>
      </c>
      <c r="X301" s="4">
        <v>5022</v>
      </c>
      <c r="Y301" s="4">
        <v>672977</v>
      </c>
      <c r="Z301" s="4">
        <v>76839</v>
      </c>
      <c r="AA301" s="4">
        <v>596138</v>
      </c>
      <c r="AB301" s="4">
        <v>339819</v>
      </c>
      <c r="AC301" s="4">
        <v>256319</v>
      </c>
    </row>
    <row r="302" spans="1:29" x14ac:dyDescent="0.25">
      <c r="A302" s="1" t="s">
        <v>310</v>
      </c>
      <c r="B302" s="1" t="s">
        <v>741</v>
      </c>
      <c r="C302" s="1" t="s">
        <v>315</v>
      </c>
      <c r="D302" s="1" t="s">
        <v>705</v>
      </c>
      <c r="E302" s="2">
        <v>71.42</v>
      </c>
      <c r="F302" s="3">
        <v>764</v>
      </c>
      <c r="G302" s="2">
        <v>835.42</v>
      </c>
      <c r="H302" s="2">
        <v>0</v>
      </c>
      <c r="I302" s="4">
        <v>14</v>
      </c>
      <c r="J302" s="3">
        <v>0</v>
      </c>
      <c r="K302" s="4">
        <v>778</v>
      </c>
      <c r="L302" s="2">
        <v>299.33</v>
      </c>
      <c r="M302" s="2">
        <v>56.19</v>
      </c>
      <c r="N302" s="2">
        <v>61.72</v>
      </c>
      <c r="O302" s="2">
        <v>30.02</v>
      </c>
      <c r="P302" s="2">
        <v>3.27</v>
      </c>
      <c r="Q302" s="4">
        <v>250066</v>
      </c>
      <c r="R302" s="4">
        <v>6336</v>
      </c>
      <c r="S302" s="4">
        <v>256402</v>
      </c>
      <c r="T302" s="4">
        <v>43716</v>
      </c>
      <c r="U302" s="4">
        <v>48018</v>
      </c>
      <c r="V302" s="4">
        <v>0</v>
      </c>
      <c r="W302" s="4">
        <v>25079</v>
      </c>
      <c r="X302" s="4">
        <v>2732</v>
      </c>
      <c r="Y302" s="4">
        <v>375947</v>
      </c>
      <c r="Z302" s="4">
        <v>46695</v>
      </c>
      <c r="AA302" s="4">
        <v>329252</v>
      </c>
      <c r="AB302" s="4">
        <v>179946</v>
      </c>
      <c r="AC302" s="4">
        <v>149306</v>
      </c>
    </row>
    <row r="303" spans="1:29" x14ac:dyDescent="0.25">
      <c r="A303" s="1" t="s">
        <v>310</v>
      </c>
      <c r="B303" s="1" t="s">
        <v>741</v>
      </c>
      <c r="C303" s="1" t="s">
        <v>316</v>
      </c>
      <c r="D303" s="1" t="s">
        <v>706</v>
      </c>
      <c r="E303" s="2">
        <v>153.9</v>
      </c>
      <c r="F303" s="3">
        <v>1275.8</v>
      </c>
      <c r="G303" s="2">
        <v>1429.7</v>
      </c>
      <c r="H303" s="2">
        <v>0</v>
      </c>
      <c r="I303" s="4">
        <v>3</v>
      </c>
      <c r="J303" s="3">
        <v>0</v>
      </c>
      <c r="K303" s="4">
        <v>1279</v>
      </c>
      <c r="L303" s="2">
        <v>299.33</v>
      </c>
      <c r="M303" s="2">
        <v>56.19</v>
      </c>
      <c r="N303" s="2">
        <v>61.72</v>
      </c>
      <c r="O303" s="2">
        <v>30.02</v>
      </c>
      <c r="P303" s="2">
        <v>3.27</v>
      </c>
      <c r="Q303" s="4">
        <v>427952</v>
      </c>
      <c r="R303" s="4">
        <v>12429</v>
      </c>
      <c r="S303" s="4">
        <v>440381</v>
      </c>
      <c r="T303" s="4">
        <v>71867</v>
      </c>
      <c r="U303" s="4">
        <v>78940</v>
      </c>
      <c r="V303" s="4">
        <v>0</v>
      </c>
      <c r="W303" s="4">
        <v>42920</v>
      </c>
      <c r="X303" s="4">
        <v>4675</v>
      </c>
      <c r="Y303" s="4">
        <v>638783</v>
      </c>
      <c r="Z303" s="4">
        <v>69564</v>
      </c>
      <c r="AA303" s="4">
        <v>569219</v>
      </c>
      <c r="AB303" s="4">
        <v>318300</v>
      </c>
      <c r="AC303" s="4">
        <v>250919</v>
      </c>
    </row>
    <row r="304" spans="1:29" x14ac:dyDescent="0.25">
      <c r="A304" s="1" t="s">
        <v>310</v>
      </c>
      <c r="B304" s="1" t="s">
        <v>741</v>
      </c>
      <c r="C304" s="1" t="s">
        <v>317</v>
      </c>
      <c r="D304" s="1" t="s">
        <v>707</v>
      </c>
      <c r="E304" s="2">
        <v>57.51</v>
      </c>
      <c r="F304" s="3">
        <v>508.4</v>
      </c>
      <c r="G304" s="2">
        <v>565.91</v>
      </c>
      <c r="H304" s="2">
        <v>0</v>
      </c>
      <c r="I304" s="4">
        <v>4</v>
      </c>
      <c r="J304" s="3">
        <v>0</v>
      </c>
      <c r="K304" s="4">
        <v>512</v>
      </c>
      <c r="L304" s="2">
        <v>299.33</v>
      </c>
      <c r="M304" s="2">
        <v>56.19</v>
      </c>
      <c r="N304" s="2">
        <v>61.72</v>
      </c>
      <c r="O304" s="2">
        <v>30.02</v>
      </c>
      <c r="P304" s="2">
        <v>3.27</v>
      </c>
      <c r="Q304" s="4">
        <v>169394</v>
      </c>
      <c r="R304" s="4">
        <v>0</v>
      </c>
      <c r="S304" s="4">
        <v>169394</v>
      </c>
      <c r="T304" s="4">
        <v>28769</v>
      </c>
      <c r="U304" s="4">
        <v>31601</v>
      </c>
      <c r="V304" s="4">
        <v>0</v>
      </c>
      <c r="W304" s="4">
        <v>16989</v>
      </c>
      <c r="X304" s="4">
        <v>1851</v>
      </c>
      <c r="Y304" s="4">
        <v>248604</v>
      </c>
      <c r="Z304" s="4">
        <v>20792</v>
      </c>
      <c r="AA304" s="4">
        <v>227812</v>
      </c>
      <c r="AB304" s="4">
        <v>132735</v>
      </c>
      <c r="AC304" s="4">
        <v>95077</v>
      </c>
    </row>
    <row r="305" spans="1:29" x14ac:dyDescent="0.25">
      <c r="A305" s="1" t="s">
        <v>310</v>
      </c>
      <c r="B305" s="1" t="s">
        <v>741</v>
      </c>
      <c r="C305" s="1" t="s">
        <v>318</v>
      </c>
      <c r="D305" s="1" t="s">
        <v>708</v>
      </c>
      <c r="E305" s="2">
        <v>109.36</v>
      </c>
      <c r="F305" s="3">
        <v>1153.8</v>
      </c>
      <c r="G305" s="2">
        <v>1263.1600000000001</v>
      </c>
      <c r="H305" s="2">
        <v>0</v>
      </c>
      <c r="I305" s="4">
        <v>3</v>
      </c>
      <c r="J305" s="3">
        <v>0</v>
      </c>
      <c r="K305" s="4">
        <v>1157</v>
      </c>
      <c r="L305" s="2">
        <v>299.33</v>
      </c>
      <c r="M305" s="2">
        <v>56.19</v>
      </c>
      <c r="N305" s="2">
        <v>61.72</v>
      </c>
      <c r="O305" s="2">
        <v>30.02</v>
      </c>
      <c r="P305" s="2">
        <v>3.27</v>
      </c>
      <c r="Q305" s="4">
        <v>378102</v>
      </c>
      <c r="R305" s="4">
        <v>0</v>
      </c>
      <c r="S305" s="4">
        <v>378102</v>
      </c>
      <c r="T305" s="4">
        <v>65012</v>
      </c>
      <c r="U305" s="4">
        <v>71410</v>
      </c>
      <c r="V305" s="4">
        <v>0</v>
      </c>
      <c r="W305" s="4">
        <v>37920</v>
      </c>
      <c r="X305" s="4">
        <v>4131</v>
      </c>
      <c r="Y305" s="4">
        <v>556575</v>
      </c>
      <c r="Z305" s="4">
        <v>56419</v>
      </c>
      <c r="AA305" s="4">
        <v>500156</v>
      </c>
      <c r="AB305" s="4">
        <v>286264</v>
      </c>
      <c r="AC305" s="4">
        <v>213892</v>
      </c>
    </row>
    <row r="306" spans="1:29" x14ac:dyDescent="0.25">
      <c r="A306" s="1" t="s">
        <v>310</v>
      </c>
      <c r="B306" s="1" t="s">
        <v>741</v>
      </c>
      <c r="C306" s="1" t="s">
        <v>319</v>
      </c>
      <c r="D306" s="1" t="s">
        <v>709</v>
      </c>
      <c r="E306" s="2">
        <v>112.05</v>
      </c>
      <c r="F306" s="3">
        <v>891.2</v>
      </c>
      <c r="G306" s="2">
        <v>1003.25</v>
      </c>
      <c r="H306" s="2">
        <v>0</v>
      </c>
      <c r="I306" s="4">
        <v>19</v>
      </c>
      <c r="J306" s="3">
        <v>0</v>
      </c>
      <c r="K306" s="4">
        <v>910</v>
      </c>
      <c r="L306" s="2">
        <v>299.33</v>
      </c>
      <c r="M306" s="2">
        <v>56.19</v>
      </c>
      <c r="N306" s="2">
        <v>61.72</v>
      </c>
      <c r="O306" s="2">
        <v>30.02</v>
      </c>
      <c r="P306" s="2">
        <v>3.27</v>
      </c>
      <c r="Q306" s="4">
        <v>300303</v>
      </c>
      <c r="R306" s="4">
        <v>0</v>
      </c>
      <c r="S306" s="4">
        <v>300303</v>
      </c>
      <c r="T306" s="4">
        <v>51133</v>
      </c>
      <c r="U306" s="4">
        <v>56165</v>
      </c>
      <c r="V306" s="4">
        <v>0</v>
      </c>
      <c r="W306" s="4">
        <v>30118</v>
      </c>
      <c r="X306" s="4">
        <v>3281</v>
      </c>
      <c r="Y306" s="4">
        <v>441000</v>
      </c>
      <c r="Z306" s="4">
        <v>44907</v>
      </c>
      <c r="AA306" s="4">
        <v>396093</v>
      </c>
      <c r="AB306" s="4">
        <v>227266</v>
      </c>
      <c r="AC306" s="4">
        <v>168827</v>
      </c>
    </row>
    <row r="307" spans="1:29" x14ac:dyDescent="0.25">
      <c r="A307" s="1" t="s">
        <v>310</v>
      </c>
      <c r="B307" s="1" t="s">
        <v>741</v>
      </c>
      <c r="C307" s="1" t="s">
        <v>320</v>
      </c>
      <c r="D307" s="1" t="s">
        <v>710</v>
      </c>
      <c r="E307" s="2">
        <v>321.93</v>
      </c>
      <c r="F307" s="3">
        <v>1621.7</v>
      </c>
      <c r="G307" s="2">
        <v>1943.63</v>
      </c>
      <c r="H307" s="2">
        <v>0</v>
      </c>
      <c r="I307" s="4">
        <v>120</v>
      </c>
      <c r="J307" s="3">
        <v>0</v>
      </c>
      <c r="K307" s="4">
        <v>1742</v>
      </c>
      <c r="L307" s="2">
        <v>299.33</v>
      </c>
      <c r="M307" s="2">
        <v>56.19</v>
      </c>
      <c r="N307" s="2">
        <v>61.72</v>
      </c>
      <c r="O307" s="2">
        <v>30.02</v>
      </c>
      <c r="P307" s="2">
        <v>3.27</v>
      </c>
      <c r="Q307" s="4">
        <v>581787</v>
      </c>
      <c r="R307" s="4">
        <v>0</v>
      </c>
      <c r="S307" s="4">
        <v>581787</v>
      </c>
      <c r="T307" s="4">
        <v>97883</v>
      </c>
      <c r="U307" s="4">
        <v>107516</v>
      </c>
      <c r="V307" s="4">
        <v>0</v>
      </c>
      <c r="W307" s="4">
        <v>58348</v>
      </c>
      <c r="X307" s="4">
        <v>6356</v>
      </c>
      <c r="Y307" s="4">
        <v>851890</v>
      </c>
      <c r="Z307" s="4">
        <v>91881</v>
      </c>
      <c r="AA307" s="4">
        <v>760009</v>
      </c>
      <c r="AB307" s="4">
        <v>435407</v>
      </c>
      <c r="AC307" s="4">
        <v>324602</v>
      </c>
    </row>
    <row r="308" spans="1:29" x14ac:dyDescent="0.25">
      <c r="A308" s="1" t="s">
        <v>310</v>
      </c>
      <c r="B308" s="1" t="s">
        <v>741</v>
      </c>
      <c r="C308" s="1" t="s">
        <v>321</v>
      </c>
      <c r="D308" s="1" t="s">
        <v>711</v>
      </c>
      <c r="E308" s="2">
        <v>351.68</v>
      </c>
      <c r="F308" s="3">
        <v>2109.3000000000002</v>
      </c>
      <c r="G308" s="2">
        <v>2460.98</v>
      </c>
      <c r="H308" s="2">
        <v>0</v>
      </c>
      <c r="I308" s="4">
        <v>278</v>
      </c>
      <c r="J308" s="3">
        <v>4.7</v>
      </c>
      <c r="K308" s="4">
        <v>2383</v>
      </c>
      <c r="L308" s="2">
        <v>299.33</v>
      </c>
      <c r="M308" s="2">
        <v>56.19</v>
      </c>
      <c r="N308" s="2">
        <v>61.72</v>
      </c>
      <c r="O308" s="2">
        <v>30.02</v>
      </c>
      <c r="P308" s="2">
        <v>3.27</v>
      </c>
      <c r="Q308" s="4">
        <v>736645</v>
      </c>
      <c r="R308" s="4">
        <v>0</v>
      </c>
      <c r="S308" s="4">
        <v>736645</v>
      </c>
      <c r="T308" s="4">
        <v>133901</v>
      </c>
      <c r="U308" s="4">
        <v>147079</v>
      </c>
      <c r="V308" s="4">
        <v>0</v>
      </c>
      <c r="W308" s="4">
        <v>73879</v>
      </c>
      <c r="X308" s="4">
        <v>8047</v>
      </c>
      <c r="Y308" s="4">
        <v>1099551</v>
      </c>
      <c r="Z308" s="4">
        <v>124889</v>
      </c>
      <c r="AA308" s="4">
        <v>974662</v>
      </c>
      <c r="AB308" s="4">
        <v>542750</v>
      </c>
      <c r="AC308" s="4">
        <v>431912</v>
      </c>
    </row>
    <row r="309" spans="1:29" x14ac:dyDescent="0.25">
      <c r="A309" s="1" t="s">
        <v>310</v>
      </c>
      <c r="B309" s="1" t="s">
        <v>741</v>
      </c>
      <c r="C309" s="1" t="s">
        <v>322</v>
      </c>
      <c r="D309" s="1" t="s">
        <v>712</v>
      </c>
      <c r="E309" s="2">
        <v>372.85</v>
      </c>
      <c r="F309" s="3">
        <v>1875</v>
      </c>
      <c r="G309" s="2">
        <v>2247.85</v>
      </c>
      <c r="H309" s="2">
        <v>0</v>
      </c>
      <c r="I309" s="4">
        <v>62</v>
      </c>
      <c r="J309" s="3">
        <v>0.6</v>
      </c>
      <c r="K309" s="4">
        <v>1936</v>
      </c>
      <c r="L309" s="2">
        <v>299.33</v>
      </c>
      <c r="M309" s="2">
        <v>56.19</v>
      </c>
      <c r="N309" s="2">
        <v>61.72</v>
      </c>
      <c r="O309" s="2">
        <v>30.02</v>
      </c>
      <c r="P309" s="2">
        <v>3.27</v>
      </c>
      <c r="Q309" s="4">
        <v>672849</v>
      </c>
      <c r="R309" s="4">
        <v>0</v>
      </c>
      <c r="S309" s="4">
        <v>672849</v>
      </c>
      <c r="T309" s="4">
        <v>108784</v>
      </c>
      <c r="U309" s="4">
        <v>119490</v>
      </c>
      <c r="V309" s="4">
        <v>0</v>
      </c>
      <c r="W309" s="4">
        <v>67480</v>
      </c>
      <c r="X309" s="4">
        <v>7350</v>
      </c>
      <c r="Y309" s="4">
        <v>975953</v>
      </c>
      <c r="Z309" s="4">
        <v>104456</v>
      </c>
      <c r="AA309" s="4">
        <v>871497</v>
      </c>
      <c r="AB309" s="4">
        <v>505362</v>
      </c>
      <c r="AC309" s="4">
        <v>366135</v>
      </c>
    </row>
    <row r="310" spans="1:29" x14ac:dyDescent="0.25">
      <c r="A310" s="1" t="s">
        <v>310</v>
      </c>
      <c r="B310" s="1" t="s">
        <v>741</v>
      </c>
      <c r="C310" s="1" t="s">
        <v>323</v>
      </c>
      <c r="D310" s="1" t="s">
        <v>713</v>
      </c>
      <c r="E310" s="2">
        <v>45.93</v>
      </c>
      <c r="F310" s="3">
        <v>332.6</v>
      </c>
      <c r="G310" s="2">
        <v>378.53</v>
      </c>
      <c r="H310" s="2">
        <v>0</v>
      </c>
      <c r="I310" s="4">
        <v>1</v>
      </c>
      <c r="J310" s="3">
        <v>0</v>
      </c>
      <c r="K310" s="4">
        <v>334</v>
      </c>
      <c r="L310" s="2">
        <v>299.33</v>
      </c>
      <c r="M310" s="2">
        <v>56.19</v>
      </c>
      <c r="N310" s="2">
        <v>61.72</v>
      </c>
      <c r="O310" s="2">
        <v>30.02</v>
      </c>
      <c r="P310" s="2">
        <v>3.27</v>
      </c>
      <c r="Q310" s="4">
        <v>113305</v>
      </c>
      <c r="R310" s="4">
        <v>1548</v>
      </c>
      <c r="S310" s="4">
        <v>114853</v>
      </c>
      <c r="T310" s="4">
        <v>18767</v>
      </c>
      <c r="U310" s="4">
        <v>20614</v>
      </c>
      <c r="V310" s="4">
        <v>0</v>
      </c>
      <c r="W310" s="4">
        <v>11511</v>
      </c>
      <c r="X310" s="4">
        <v>1253</v>
      </c>
      <c r="Y310" s="4">
        <v>166998</v>
      </c>
      <c r="Z310" s="4">
        <v>17793</v>
      </c>
      <c r="AA310" s="4">
        <v>149205</v>
      </c>
      <c r="AB310" s="4">
        <v>85061</v>
      </c>
      <c r="AC310" s="4">
        <v>64144</v>
      </c>
    </row>
    <row r="311" spans="1:29" x14ac:dyDescent="0.25">
      <c r="A311" s="1" t="s">
        <v>310</v>
      </c>
      <c r="B311" s="1" t="s">
        <v>741</v>
      </c>
      <c r="C311" s="1" t="s">
        <v>324</v>
      </c>
      <c r="D311" s="1" t="s">
        <v>714</v>
      </c>
      <c r="E311" s="2">
        <v>95.72</v>
      </c>
      <c r="F311" s="3">
        <v>807.6</v>
      </c>
      <c r="G311" s="2">
        <v>903.32</v>
      </c>
      <c r="H311" s="2">
        <v>0</v>
      </c>
      <c r="I311" s="4">
        <v>0</v>
      </c>
      <c r="J311" s="3">
        <v>0</v>
      </c>
      <c r="K311" s="4">
        <v>808</v>
      </c>
      <c r="L311" s="2">
        <v>299.33</v>
      </c>
      <c r="M311" s="2">
        <v>56.19</v>
      </c>
      <c r="N311" s="2">
        <v>61.72</v>
      </c>
      <c r="O311" s="2">
        <v>30.02</v>
      </c>
      <c r="P311" s="2">
        <v>3.27</v>
      </c>
      <c r="Q311" s="4">
        <v>270391</v>
      </c>
      <c r="R311" s="4">
        <v>0</v>
      </c>
      <c r="S311" s="4">
        <v>270391</v>
      </c>
      <c r="T311" s="4">
        <v>45402</v>
      </c>
      <c r="U311" s="4">
        <v>49870</v>
      </c>
      <c r="V311" s="4">
        <v>0</v>
      </c>
      <c r="W311" s="4">
        <v>27118</v>
      </c>
      <c r="X311" s="4">
        <v>2954</v>
      </c>
      <c r="Y311" s="4">
        <v>395735</v>
      </c>
      <c r="Z311" s="4">
        <v>41596</v>
      </c>
      <c r="AA311" s="4">
        <v>354139</v>
      </c>
      <c r="AB311" s="4">
        <v>203466</v>
      </c>
      <c r="AC311" s="4">
        <v>150673</v>
      </c>
    </row>
    <row r="312" spans="1:29" x14ac:dyDescent="0.25">
      <c r="A312" s="1" t="s">
        <v>310</v>
      </c>
      <c r="B312" s="1" t="s">
        <v>741</v>
      </c>
      <c r="C312" s="1" t="s">
        <v>325</v>
      </c>
      <c r="D312" s="1" t="s">
        <v>715</v>
      </c>
      <c r="E312" s="2">
        <v>44.17</v>
      </c>
      <c r="F312" s="3">
        <v>351</v>
      </c>
      <c r="G312" s="2">
        <v>395.17</v>
      </c>
      <c r="H312" s="2">
        <v>0</v>
      </c>
      <c r="I312" s="4">
        <v>0</v>
      </c>
      <c r="J312" s="3">
        <v>0</v>
      </c>
      <c r="K312" s="4">
        <v>351</v>
      </c>
      <c r="L312" s="2">
        <v>299.33</v>
      </c>
      <c r="M312" s="2">
        <v>56.19</v>
      </c>
      <c r="N312" s="2">
        <v>61.72</v>
      </c>
      <c r="O312" s="2">
        <v>30.02</v>
      </c>
      <c r="P312" s="2">
        <v>3.27</v>
      </c>
      <c r="Q312" s="4">
        <v>118286</v>
      </c>
      <c r="R312" s="4">
        <v>0</v>
      </c>
      <c r="S312" s="4">
        <v>118286</v>
      </c>
      <c r="T312" s="4">
        <v>19723</v>
      </c>
      <c r="U312" s="4">
        <v>21664</v>
      </c>
      <c r="V312" s="4">
        <v>0</v>
      </c>
      <c r="W312" s="4">
        <v>11863</v>
      </c>
      <c r="X312" s="4">
        <v>1292</v>
      </c>
      <c r="Y312" s="4">
        <v>172828</v>
      </c>
      <c r="Z312" s="4">
        <v>14721</v>
      </c>
      <c r="AA312" s="4">
        <v>158107</v>
      </c>
      <c r="AB312" s="4">
        <v>92484</v>
      </c>
      <c r="AC312" s="4">
        <v>65623</v>
      </c>
    </row>
    <row r="313" spans="1:29" x14ac:dyDescent="0.25">
      <c r="A313" s="1" t="s">
        <v>310</v>
      </c>
      <c r="B313" s="1" t="s">
        <v>741</v>
      </c>
      <c r="C313" s="1" t="s">
        <v>326</v>
      </c>
      <c r="D313" s="1" t="s">
        <v>716</v>
      </c>
      <c r="E313" s="2">
        <v>16.100000000000001</v>
      </c>
      <c r="F313" s="3">
        <v>205.6</v>
      </c>
      <c r="G313" s="2">
        <v>221.7</v>
      </c>
      <c r="H313" s="2">
        <v>0</v>
      </c>
      <c r="I313" s="4">
        <v>0</v>
      </c>
      <c r="J313" s="3">
        <v>0</v>
      </c>
      <c r="K313" s="4">
        <v>206</v>
      </c>
      <c r="L313" s="2">
        <v>299.33</v>
      </c>
      <c r="M313" s="2">
        <v>56.19</v>
      </c>
      <c r="N313" s="2">
        <v>61.72</v>
      </c>
      <c r="O313" s="2">
        <v>30.02</v>
      </c>
      <c r="P313" s="2">
        <v>3.27</v>
      </c>
      <c r="Q313" s="4">
        <v>66361</v>
      </c>
      <c r="R313" s="4">
        <v>3261</v>
      </c>
      <c r="S313" s="4">
        <v>69622</v>
      </c>
      <c r="T313" s="4">
        <v>11575</v>
      </c>
      <c r="U313" s="4">
        <v>12714</v>
      </c>
      <c r="V313" s="4">
        <v>0</v>
      </c>
      <c r="W313" s="4">
        <v>6655</v>
      </c>
      <c r="X313" s="4">
        <v>725</v>
      </c>
      <c r="Y313" s="4">
        <v>101291</v>
      </c>
      <c r="Z313" s="4">
        <v>10949</v>
      </c>
      <c r="AA313" s="4">
        <v>90342</v>
      </c>
      <c r="AB313" s="4">
        <v>49196</v>
      </c>
      <c r="AC313" s="4">
        <v>41146</v>
      </c>
    </row>
    <row r="314" spans="1:29" x14ac:dyDescent="0.25">
      <c r="A314" s="1" t="s">
        <v>310</v>
      </c>
      <c r="B314" s="1" t="s">
        <v>741</v>
      </c>
      <c r="C314" s="1" t="s">
        <v>327</v>
      </c>
      <c r="D314" s="1" t="s">
        <v>717</v>
      </c>
      <c r="E314" s="2">
        <v>28.41</v>
      </c>
      <c r="F314" s="3">
        <v>219.3</v>
      </c>
      <c r="G314" s="2">
        <v>247.71</v>
      </c>
      <c r="H314" s="2">
        <v>0</v>
      </c>
      <c r="I314" s="4">
        <v>0</v>
      </c>
      <c r="J314" s="3">
        <v>0</v>
      </c>
      <c r="K314" s="4">
        <v>219</v>
      </c>
      <c r="L314" s="2">
        <v>299.33</v>
      </c>
      <c r="M314" s="2">
        <v>56.19</v>
      </c>
      <c r="N314" s="2">
        <v>61.72</v>
      </c>
      <c r="O314" s="2">
        <v>30.02</v>
      </c>
      <c r="P314" s="2">
        <v>3.27</v>
      </c>
      <c r="Q314" s="4">
        <v>74147</v>
      </c>
      <c r="R314" s="4">
        <v>0</v>
      </c>
      <c r="S314" s="4">
        <v>74147</v>
      </c>
      <c r="T314" s="4">
        <v>12306</v>
      </c>
      <c r="U314" s="4">
        <v>13517</v>
      </c>
      <c r="V314" s="4">
        <v>0</v>
      </c>
      <c r="W314" s="4">
        <v>7436</v>
      </c>
      <c r="X314" s="4">
        <v>810</v>
      </c>
      <c r="Y314" s="4">
        <v>108216</v>
      </c>
      <c r="Z314" s="4">
        <v>12939</v>
      </c>
      <c r="AA314" s="4">
        <v>95277</v>
      </c>
      <c r="AB314" s="4">
        <v>54262</v>
      </c>
      <c r="AC314" s="4">
        <v>41015</v>
      </c>
    </row>
    <row r="315" spans="1:29" x14ac:dyDescent="0.25">
      <c r="A315" s="1" t="s">
        <v>310</v>
      </c>
      <c r="B315" s="1" t="s">
        <v>741</v>
      </c>
      <c r="C315" s="1" t="s">
        <v>328</v>
      </c>
      <c r="D315" s="1" t="s">
        <v>718</v>
      </c>
      <c r="E315" s="2">
        <v>266.08</v>
      </c>
      <c r="F315" s="3">
        <v>1922</v>
      </c>
      <c r="G315" s="2">
        <v>2188.08</v>
      </c>
      <c r="H315" s="2">
        <v>0</v>
      </c>
      <c r="I315" s="4">
        <v>5</v>
      </c>
      <c r="J315" s="3">
        <v>0</v>
      </c>
      <c r="K315" s="4">
        <v>1927</v>
      </c>
      <c r="L315" s="2">
        <v>299.33</v>
      </c>
      <c r="M315" s="2">
        <v>56.19</v>
      </c>
      <c r="N315" s="2">
        <v>61.72</v>
      </c>
      <c r="O315" s="2">
        <v>30.02</v>
      </c>
      <c r="P315" s="2">
        <v>3.27</v>
      </c>
      <c r="Q315" s="4">
        <v>654958</v>
      </c>
      <c r="R315" s="4">
        <v>0</v>
      </c>
      <c r="S315" s="4">
        <v>654958</v>
      </c>
      <c r="T315" s="4">
        <v>108278</v>
      </c>
      <c r="U315" s="4">
        <v>118934</v>
      </c>
      <c r="V315" s="4">
        <v>0</v>
      </c>
      <c r="W315" s="4">
        <v>65686</v>
      </c>
      <c r="X315" s="4">
        <v>7155</v>
      </c>
      <c r="Y315" s="4">
        <v>955011</v>
      </c>
      <c r="Z315" s="4">
        <v>93333</v>
      </c>
      <c r="AA315" s="4">
        <v>861678</v>
      </c>
      <c r="AB315" s="4">
        <v>500271</v>
      </c>
      <c r="AC315" s="4">
        <v>361407</v>
      </c>
    </row>
    <row r="316" spans="1:29" x14ac:dyDescent="0.25">
      <c r="A316" s="1" t="s">
        <v>310</v>
      </c>
      <c r="B316" s="1" t="s">
        <v>741</v>
      </c>
      <c r="C316" s="1" t="s">
        <v>329</v>
      </c>
      <c r="D316" s="1" t="s">
        <v>719</v>
      </c>
      <c r="E316" s="2">
        <v>55.11</v>
      </c>
      <c r="F316" s="3">
        <v>495.2</v>
      </c>
      <c r="G316" s="2">
        <v>550.30999999999995</v>
      </c>
      <c r="H316" s="2">
        <v>0</v>
      </c>
      <c r="I316" s="4">
        <v>2</v>
      </c>
      <c r="J316" s="3">
        <v>0</v>
      </c>
      <c r="K316" s="4">
        <v>497</v>
      </c>
      <c r="L316" s="2">
        <v>299.33</v>
      </c>
      <c r="M316" s="2">
        <v>56.19</v>
      </c>
      <c r="N316" s="2">
        <v>61.72</v>
      </c>
      <c r="O316" s="2">
        <v>30.02</v>
      </c>
      <c r="P316" s="2">
        <v>3.27</v>
      </c>
      <c r="Q316" s="4">
        <v>164724</v>
      </c>
      <c r="R316" s="4">
        <v>2649</v>
      </c>
      <c r="S316" s="4">
        <v>167373</v>
      </c>
      <c r="T316" s="4">
        <v>27926</v>
      </c>
      <c r="U316" s="4">
        <v>30675</v>
      </c>
      <c r="V316" s="4">
        <v>0</v>
      </c>
      <c r="W316" s="4">
        <v>16520</v>
      </c>
      <c r="X316" s="4">
        <v>1800</v>
      </c>
      <c r="Y316" s="4">
        <v>244294</v>
      </c>
      <c r="Z316" s="4">
        <v>25009</v>
      </c>
      <c r="AA316" s="4">
        <v>219285</v>
      </c>
      <c r="AB316" s="4">
        <v>124285</v>
      </c>
      <c r="AC316" s="4">
        <v>95000</v>
      </c>
    </row>
    <row r="317" spans="1:29" x14ac:dyDescent="0.25">
      <c r="A317" s="1" t="s">
        <v>310</v>
      </c>
      <c r="B317" s="1" t="s">
        <v>741</v>
      </c>
      <c r="C317" s="1" t="s">
        <v>330</v>
      </c>
      <c r="D317" s="1" t="s">
        <v>720</v>
      </c>
      <c r="E317" s="2">
        <v>51.48</v>
      </c>
      <c r="F317" s="3">
        <v>450.1</v>
      </c>
      <c r="G317" s="2">
        <v>501.58</v>
      </c>
      <c r="H317" s="2">
        <v>0</v>
      </c>
      <c r="I317" s="4">
        <v>25</v>
      </c>
      <c r="J317" s="3">
        <v>0</v>
      </c>
      <c r="K317" s="4">
        <v>475</v>
      </c>
      <c r="L317" s="2">
        <v>299.33</v>
      </c>
      <c r="M317" s="2">
        <v>56.19</v>
      </c>
      <c r="N317" s="2">
        <v>61.72</v>
      </c>
      <c r="O317" s="2">
        <v>30.02</v>
      </c>
      <c r="P317" s="2">
        <v>3.27</v>
      </c>
      <c r="Q317" s="4">
        <v>150138</v>
      </c>
      <c r="R317" s="4">
        <v>19371</v>
      </c>
      <c r="S317" s="4">
        <v>169509</v>
      </c>
      <c r="T317" s="4">
        <v>26690</v>
      </c>
      <c r="U317" s="4">
        <v>29317</v>
      </c>
      <c r="V317" s="4">
        <v>0</v>
      </c>
      <c r="W317" s="4">
        <v>15713</v>
      </c>
      <c r="X317" s="4">
        <v>1711</v>
      </c>
      <c r="Y317" s="4">
        <v>242940</v>
      </c>
      <c r="Z317" s="4">
        <v>25355</v>
      </c>
      <c r="AA317" s="4">
        <v>217585</v>
      </c>
      <c r="AB317" s="4">
        <v>111445</v>
      </c>
      <c r="AC317" s="4">
        <v>106140</v>
      </c>
    </row>
    <row r="318" spans="1:29" x14ac:dyDescent="0.25">
      <c r="A318" s="1" t="s">
        <v>310</v>
      </c>
      <c r="B318" s="1" t="s">
        <v>741</v>
      </c>
      <c r="C318" s="1" t="s">
        <v>331</v>
      </c>
      <c r="D318" s="1" t="s">
        <v>721</v>
      </c>
      <c r="E318" s="2">
        <v>292.87</v>
      </c>
      <c r="F318" s="3">
        <v>2328.5</v>
      </c>
      <c r="G318" s="2">
        <v>2621.37</v>
      </c>
      <c r="H318" s="2">
        <v>0</v>
      </c>
      <c r="I318" s="4">
        <v>182</v>
      </c>
      <c r="J318" s="3">
        <v>0</v>
      </c>
      <c r="K318" s="4">
        <v>2511</v>
      </c>
      <c r="L318" s="2">
        <v>299.33</v>
      </c>
      <c r="M318" s="2">
        <v>56.19</v>
      </c>
      <c r="N318" s="2">
        <v>61.72</v>
      </c>
      <c r="O318" s="2">
        <v>30.02</v>
      </c>
      <c r="P318" s="2">
        <v>3.27</v>
      </c>
      <c r="Q318" s="4">
        <v>784655</v>
      </c>
      <c r="R318" s="4">
        <v>0</v>
      </c>
      <c r="S318" s="4">
        <v>784655</v>
      </c>
      <c r="T318" s="4">
        <v>141093</v>
      </c>
      <c r="U318" s="4">
        <v>154979</v>
      </c>
      <c r="V318" s="4">
        <v>0</v>
      </c>
      <c r="W318" s="4">
        <v>78694</v>
      </c>
      <c r="X318" s="4">
        <v>8572</v>
      </c>
      <c r="Y318" s="4">
        <v>1167993</v>
      </c>
      <c r="Z318" s="4">
        <v>115216</v>
      </c>
      <c r="AA318" s="4">
        <v>1052777</v>
      </c>
      <c r="AB318" s="4">
        <v>595936</v>
      </c>
      <c r="AC318" s="4">
        <v>456841</v>
      </c>
    </row>
    <row r="319" spans="1:29" x14ac:dyDescent="0.25">
      <c r="A319" s="1" t="s">
        <v>310</v>
      </c>
      <c r="B319" s="1" t="s">
        <v>741</v>
      </c>
      <c r="C319" s="1" t="s">
        <v>332</v>
      </c>
      <c r="D319" s="1" t="s">
        <v>722</v>
      </c>
      <c r="E319" s="2">
        <v>545.99</v>
      </c>
      <c r="F319" s="3">
        <v>4655.1000000000004</v>
      </c>
      <c r="G319" s="2">
        <v>5201.09</v>
      </c>
      <c r="H319" s="2">
        <v>0</v>
      </c>
      <c r="I319" s="4">
        <v>141</v>
      </c>
      <c r="J319" s="3">
        <v>0.1</v>
      </c>
      <c r="K319" s="4">
        <v>4796</v>
      </c>
      <c r="L319" s="2">
        <v>299.33</v>
      </c>
      <c r="M319" s="2">
        <v>56.19</v>
      </c>
      <c r="N319" s="2">
        <v>61.72</v>
      </c>
      <c r="O319" s="2">
        <v>30.02</v>
      </c>
      <c r="P319" s="2">
        <v>3.27</v>
      </c>
      <c r="Q319" s="4">
        <v>1556842</v>
      </c>
      <c r="R319" s="4">
        <v>0</v>
      </c>
      <c r="S319" s="4">
        <v>1556842</v>
      </c>
      <c r="T319" s="4">
        <v>269487</v>
      </c>
      <c r="U319" s="4">
        <v>296009</v>
      </c>
      <c r="V319" s="4">
        <v>0</v>
      </c>
      <c r="W319" s="4">
        <v>156137</v>
      </c>
      <c r="X319" s="4">
        <v>17008</v>
      </c>
      <c r="Y319" s="4">
        <v>2295483</v>
      </c>
      <c r="Z319" s="4">
        <v>217386</v>
      </c>
      <c r="AA319" s="4">
        <v>2078097</v>
      </c>
      <c r="AB319" s="4">
        <v>1193618</v>
      </c>
      <c r="AC319" s="4">
        <v>884479</v>
      </c>
    </row>
    <row r="320" spans="1:29" x14ac:dyDescent="0.25">
      <c r="A320" s="1" t="s">
        <v>310</v>
      </c>
      <c r="B320" s="1" t="s">
        <v>741</v>
      </c>
      <c r="C320" s="1" t="s">
        <v>333</v>
      </c>
      <c r="D320" s="1" t="s">
        <v>723</v>
      </c>
      <c r="E320" s="2">
        <v>61.61</v>
      </c>
      <c r="F320" s="3">
        <v>598.29999999999995</v>
      </c>
      <c r="G320" s="2">
        <v>659.91</v>
      </c>
      <c r="H320" s="2">
        <v>0</v>
      </c>
      <c r="I320" s="4">
        <v>2</v>
      </c>
      <c r="J320" s="3">
        <v>0</v>
      </c>
      <c r="K320" s="4">
        <v>600</v>
      </c>
      <c r="L320" s="2">
        <v>299.33</v>
      </c>
      <c r="M320" s="2">
        <v>56.19</v>
      </c>
      <c r="N320" s="2">
        <v>61.72</v>
      </c>
      <c r="O320" s="2">
        <v>30.02</v>
      </c>
      <c r="P320" s="2">
        <v>3.27</v>
      </c>
      <c r="Q320" s="4">
        <v>197531</v>
      </c>
      <c r="R320" s="4">
        <v>5075</v>
      </c>
      <c r="S320" s="4">
        <v>202606</v>
      </c>
      <c r="T320" s="4">
        <v>33714</v>
      </c>
      <c r="U320" s="4">
        <v>37032</v>
      </c>
      <c r="V320" s="4">
        <v>0</v>
      </c>
      <c r="W320" s="4">
        <v>19810</v>
      </c>
      <c r="X320" s="4">
        <v>2158</v>
      </c>
      <c r="Y320" s="4">
        <v>295320</v>
      </c>
      <c r="Z320" s="4">
        <v>33180</v>
      </c>
      <c r="AA320" s="4">
        <v>262140</v>
      </c>
      <c r="AB320" s="4">
        <v>145847</v>
      </c>
      <c r="AC320" s="4">
        <v>116293</v>
      </c>
    </row>
    <row r="321" spans="1:29" x14ac:dyDescent="0.25">
      <c r="A321" s="1" t="s">
        <v>310</v>
      </c>
      <c r="B321" s="1" t="s">
        <v>741</v>
      </c>
      <c r="C321" s="1" t="s">
        <v>334</v>
      </c>
      <c r="D321" s="1" t="s">
        <v>724</v>
      </c>
      <c r="E321" s="2">
        <v>31.12</v>
      </c>
      <c r="F321" s="3">
        <v>274</v>
      </c>
      <c r="G321" s="2">
        <v>305.12</v>
      </c>
      <c r="H321" s="2">
        <v>0</v>
      </c>
      <c r="I321" s="4">
        <v>0</v>
      </c>
      <c r="J321" s="3">
        <v>0</v>
      </c>
      <c r="K321" s="4">
        <v>274</v>
      </c>
      <c r="L321" s="2">
        <v>299.33</v>
      </c>
      <c r="M321" s="2">
        <v>56.19</v>
      </c>
      <c r="N321" s="2">
        <v>61.72</v>
      </c>
      <c r="O321" s="2">
        <v>30.02</v>
      </c>
      <c r="P321" s="2">
        <v>3.27</v>
      </c>
      <c r="Q321" s="4">
        <v>91332</v>
      </c>
      <c r="R321" s="4">
        <v>1567</v>
      </c>
      <c r="S321" s="4">
        <v>92899</v>
      </c>
      <c r="T321" s="4">
        <v>15396</v>
      </c>
      <c r="U321" s="4">
        <v>16911</v>
      </c>
      <c r="V321" s="4">
        <v>0</v>
      </c>
      <c r="W321" s="4">
        <v>9160</v>
      </c>
      <c r="X321" s="4">
        <v>998</v>
      </c>
      <c r="Y321" s="4">
        <v>135364</v>
      </c>
      <c r="Z321" s="4">
        <v>16442</v>
      </c>
      <c r="AA321" s="4">
        <v>118922</v>
      </c>
      <c r="AB321" s="4">
        <v>66335</v>
      </c>
      <c r="AC321" s="4">
        <v>52587</v>
      </c>
    </row>
    <row r="322" spans="1:29" x14ac:dyDescent="0.25">
      <c r="A322" s="1" t="s">
        <v>310</v>
      </c>
      <c r="B322" s="1" t="s">
        <v>741</v>
      </c>
      <c r="C322" s="1" t="s">
        <v>335</v>
      </c>
      <c r="D322" s="1" t="s">
        <v>725</v>
      </c>
      <c r="E322" s="2">
        <v>60.09</v>
      </c>
      <c r="F322" s="3">
        <v>554.5</v>
      </c>
      <c r="G322" s="2">
        <v>614.59</v>
      </c>
      <c r="H322" s="2">
        <v>0</v>
      </c>
      <c r="I322" s="4">
        <v>0</v>
      </c>
      <c r="J322" s="3">
        <v>0</v>
      </c>
      <c r="K322" s="4">
        <v>555</v>
      </c>
      <c r="L322" s="2">
        <v>299.33</v>
      </c>
      <c r="M322" s="2">
        <v>56.19</v>
      </c>
      <c r="N322" s="2">
        <v>61.72</v>
      </c>
      <c r="O322" s="2">
        <v>30.02</v>
      </c>
      <c r="P322" s="2">
        <v>3.27</v>
      </c>
      <c r="Q322" s="4">
        <v>183965</v>
      </c>
      <c r="R322" s="4">
        <v>0</v>
      </c>
      <c r="S322" s="4">
        <v>183965</v>
      </c>
      <c r="T322" s="4">
        <v>31185</v>
      </c>
      <c r="U322" s="4">
        <v>34255</v>
      </c>
      <c r="V322" s="4">
        <v>0</v>
      </c>
      <c r="W322" s="4">
        <v>18450</v>
      </c>
      <c r="X322" s="4">
        <v>2010</v>
      </c>
      <c r="Y322" s="4">
        <v>269865</v>
      </c>
      <c r="Z322" s="4">
        <v>32703</v>
      </c>
      <c r="AA322" s="4">
        <v>237162</v>
      </c>
      <c r="AB322" s="4">
        <v>134029</v>
      </c>
      <c r="AC322" s="4">
        <v>103133</v>
      </c>
    </row>
    <row r="323" spans="1:29" x14ac:dyDescent="0.25">
      <c r="A323" s="1" t="s">
        <v>310</v>
      </c>
      <c r="B323" s="1" t="s">
        <v>741</v>
      </c>
      <c r="C323" s="1" t="s">
        <v>336</v>
      </c>
      <c r="D323" s="1" t="s">
        <v>726</v>
      </c>
      <c r="E323" s="2">
        <v>43.36</v>
      </c>
      <c r="F323" s="3">
        <v>285.8</v>
      </c>
      <c r="G323" s="2">
        <v>329.16</v>
      </c>
      <c r="H323" s="2">
        <v>0</v>
      </c>
      <c r="I323" s="4">
        <v>2</v>
      </c>
      <c r="J323" s="3">
        <v>0</v>
      </c>
      <c r="K323" s="4">
        <v>288</v>
      </c>
      <c r="L323" s="2">
        <v>299.33</v>
      </c>
      <c r="M323" s="2">
        <v>56.19</v>
      </c>
      <c r="N323" s="2">
        <v>61.72</v>
      </c>
      <c r="O323" s="2">
        <v>30.02</v>
      </c>
      <c r="P323" s="2">
        <v>3.27</v>
      </c>
      <c r="Q323" s="4">
        <v>98527</v>
      </c>
      <c r="R323" s="4">
        <v>0</v>
      </c>
      <c r="S323" s="4">
        <v>98527</v>
      </c>
      <c r="T323" s="4">
        <v>16183</v>
      </c>
      <c r="U323" s="4">
        <v>17775</v>
      </c>
      <c r="V323" s="4">
        <v>0</v>
      </c>
      <c r="W323" s="4">
        <v>9881</v>
      </c>
      <c r="X323" s="4">
        <v>1076</v>
      </c>
      <c r="Y323" s="4">
        <v>143442</v>
      </c>
      <c r="Z323" s="4">
        <v>17232</v>
      </c>
      <c r="AA323" s="4">
        <v>126210</v>
      </c>
      <c r="AB323" s="4">
        <v>72065</v>
      </c>
      <c r="AC323" s="4">
        <v>54145</v>
      </c>
    </row>
    <row r="324" spans="1:29" x14ac:dyDescent="0.25">
      <c r="A324" s="1" t="s">
        <v>310</v>
      </c>
      <c r="B324" s="1" t="s">
        <v>741</v>
      </c>
      <c r="C324" s="1" t="s">
        <v>337</v>
      </c>
      <c r="D324" s="1" t="s">
        <v>742</v>
      </c>
      <c r="E324" s="2">
        <v>106.64</v>
      </c>
      <c r="F324" s="3">
        <v>999.2</v>
      </c>
      <c r="G324" s="2">
        <v>1105.8399999999999</v>
      </c>
      <c r="H324" s="2">
        <v>0</v>
      </c>
      <c r="I324" s="4">
        <v>2</v>
      </c>
      <c r="J324" s="3">
        <v>0</v>
      </c>
      <c r="K324" s="4">
        <v>1001</v>
      </c>
      <c r="L324" s="2">
        <v>299.33</v>
      </c>
      <c r="M324" s="2">
        <v>56.19</v>
      </c>
      <c r="N324" s="2">
        <v>61.72</v>
      </c>
      <c r="O324" s="2">
        <v>30.02</v>
      </c>
      <c r="P324" s="2">
        <v>3.27</v>
      </c>
      <c r="Q324" s="4">
        <v>331011</v>
      </c>
      <c r="R324" s="4">
        <v>6427</v>
      </c>
      <c r="S324" s="4">
        <v>337438</v>
      </c>
      <c r="T324" s="4">
        <v>56246</v>
      </c>
      <c r="U324" s="4">
        <v>61782</v>
      </c>
      <c r="V324" s="4">
        <v>0</v>
      </c>
      <c r="W324" s="4">
        <v>33197</v>
      </c>
      <c r="X324" s="4">
        <v>3616</v>
      </c>
      <c r="Y324" s="4">
        <v>492279</v>
      </c>
      <c r="Z324" s="4">
        <v>61494</v>
      </c>
      <c r="AA324" s="4">
        <v>430785</v>
      </c>
      <c r="AB324" s="4">
        <v>238509</v>
      </c>
      <c r="AC324" s="4">
        <v>192276</v>
      </c>
    </row>
    <row r="325" spans="1:29" x14ac:dyDescent="0.25">
      <c r="A325" s="1" t="s">
        <v>310</v>
      </c>
      <c r="B325" s="1" t="s">
        <v>741</v>
      </c>
      <c r="C325" s="1" t="s">
        <v>338</v>
      </c>
      <c r="D325" s="1" t="s">
        <v>727</v>
      </c>
      <c r="E325" s="2">
        <v>66.09</v>
      </c>
      <c r="F325" s="3">
        <v>482.1</v>
      </c>
      <c r="G325" s="2">
        <v>548.19000000000005</v>
      </c>
      <c r="H325" s="2">
        <v>0</v>
      </c>
      <c r="I325" s="4">
        <v>4</v>
      </c>
      <c r="J325" s="3">
        <v>0</v>
      </c>
      <c r="K325" s="4">
        <v>486</v>
      </c>
      <c r="L325" s="2">
        <v>299.33</v>
      </c>
      <c r="M325" s="2">
        <v>56.19</v>
      </c>
      <c r="N325" s="2">
        <v>61.72</v>
      </c>
      <c r="O325" s="2">
        <v>30.02</v>
      </c>
      <c r="P325" s="2">
        <v>3.27</v>
      </c>
      <c r="Q325" s="4">
        <v>164090</v>
      </c>
      <c r="R325" s="4">
        <v>0</v>
      </c>
      <c r="S325" s="4">
        <v>164090</v>
      </c>
      <c r="T325" s="4">
        <v>27308</v>
      </c>
      <c r="U325" s="4">
        <v>29996</v>
      </c>
      <c r="V325" s="4">
        <v>0</v>
      </c>
      <c r="W325" s="4">
        <v>16457</v>
      </c>
      <c r="X325" s="4">
        <v>1793</v>
      </c>
      <c r="Y325" s="4">
        <v>239644</v>
      </c>
      <c r="Z325" s="4">
        <v>26545</v>
      </c>
      <c r="AA325" s="4">
        <v>213099</v>
      </c>
      <c r="AB325" s="4">
        <v>122174</v>
      </c>
      <c r="AC325" s="4">
        <v>90925</v>
      </c>
    </row>
    <row r="326" spans="1:29" x14ac:dyDescent="0.25">
      <c r="A326" s="1" t="s">
        <v>310</v>
      </c>
      <c r="B326" s="1" t="s">
        <v>741</v>
      </c>
      <c r="C326" s="1" t="s">
        <v>339</v>
      </c>
      <c r="D326" s="1" t="s">
        <v>728</v>
      </c>
      <c r="E326" s="2">
        <v>101.54</v>
      </c>
      <c r="F326" s="3">
        <v>619.1</v>
      </c>
      <c r="G326" s="2">
        <v>720.64</v>
      </c>
      <c r="H326" s="2">
        <v>0</v>
      </c>
      <c r="I326" s="4">
        <v>0</v>
      </c>
      <c r="J326" s="3">
        <v>0</v>
      </c>
      <c r="K326" s="4">
        <v>619</v>
      </c>
      <c r="L326" s="2">
        <v>299.33</v>
      </c>
      <c r="M326" s="2">
        <v>56.19</v>
      </c>
      <c r="N326" s="2">
        <v>61.72</v>
      </c>
      <c r="O326" s="2">
        <v>30.02</v>
      </c>
      <c r="P326" s="2">
        <v>3.27</v>
      </c>
      <c r="Q326" s="4">
        <v>215709</v>
      </c>
      <c r="R326" s="4">
        <v>13297</v>
      </c>
      <c r="S326" s="4">
        <v>229006</v>
      </c>
      <c r="T326" s="4">
        <v>34782</v>
      </c>
      <c r="U326" s="4">
        <v>38205</v>
      </c>
      <c r="V326" s="4">
        <v>0</v>
      </c>
      <c r="W326" s="4">
        <v>21634</v>
      </c>
      <c r="X326" s="4">
        <v>2356</v>
      </c>
      <c r="Y326" s="4">
        <v>325983</v>
      </c>
      <c r="Z326" s="4">
        <v>34892</v>
      </c>
      <c r="AA326" s="4">
        <v>291091</v>
      </c>
      <c r="AB326" s="4">
        <v>160610</v>
      </c>
      <c r="AC326" s="4">
        <v>130481</v>
      </c>
    </row>
    <row r="327" spans="1:29" x14ac:dyDescent="0.25">
      <c r="A327" s="1" t="s">
        <v>310</v>
      </c>
      <c r="B327" s="1" t="s">
        <v>741</v>
      </c>
      <c r="C327" s="1" t="s">
        <v>340</v>
      </c>
      <c r="D327" s="1" t="s">
        <v>729</v>
      </c>
      <c r="E327" s="2">
        <v>71.73</v>
      </c>
      <c r="F327" s="3">
        <v>572.29999999999995</v>
      </c>
      <c r="G327" s="2">
        <v>644.03</v>
      </c>
      <c r="H327" s="2">
        <v>0</v>
      </c>
      <c r="I327" s="4">
        <v>0</v>
      </c>
      <c r="J327" s="3">
        <v>0</v>
      </c>
      <c r="K327" s="4">
        <v>572</v>
      </c>
      <c r="L327" s="2">
        <v>299.33</v>
      </c>
      <c r="M327" s="2">
        <v>56.19</v>
      </c>
      <c r="N327" s="2">
        <v>61.72</v>
      </c>
      <c r="O327" s="2">
        <v>30.02</v>
      </c>
      <c r="P327" s="2">
        <v>3.27</v>
      </c>
      <c r="Q327" s="4">
        <v>192777</v>
      </c>
      <c r="R327" s="4">
        <v>0</v>
      </c>
      <c r="S327" s="4">
        <v>192777</v>
      </c>
      <c r="T327" s="4">
        <v>32141</v>
      </c>
      <c r="U327" s="4">
        <v>35304</v>
      </c>
      <c r="V327" s="4">
        <v>0</v>
      </c>
      <c r="W327" s="4">
        <v>19334</v>
      </c>
      <c r="X327" s="4">
        <v>2106</v>
      </c>
      <c r="Y327" s="4">
        <v>281662</v>
      </c>
      <c r="Z327" s="4">
        <v>35052</v>
      </c>
      <c r="AA327" s="4">
        <v>246610</v>
      </c>
      <c r="AB327" s="4">
        <v>139667</v>
      </c>
      <c r="AC327" s="4">
        <v>106943</v>
      </c>
    </row>
    <row r="328" spans="1:29" x14ac:dyDescent="0.25">
      <c r="A328" s="1" t="s">
        <v>310</v>
      </c>
      <c r="B328" s="1" t="s">
        <v>741</v>
      </c>
      <c r="C328" s="1" t="s">
        <v>341</v>
      </c>
      <c r="D328" s="1" t="s">
        <v>730</v>
      </c>
      <c r="E328" s="2">
        <v>49.32</v>
      </c>
      <c r="F328" s="3">
        <v>473.3</v>
      </c>
      <c r="G328" s="2">
        <v>522.62</v>
      </c>
      <c r="H328" s="2">
        <v>0</v>
      </c>
      <c r="I328" s="4">
        <v>11</v>
      </c>
      <c r="J328" s="3">
        <v>0</v>
      </c>
      <c r="K328" s="4">
        <v>484</v>
      </c>
      <c r="L328" s="2">
        <v>299.33</v>
      </c>
      <c r="M328" s="2">
        <v>56.19</v>
      </c>
      <c r="N328" s="2">
        <v>61.72</v>
      </c>
      <c r="O328" s="2">
        <v>30.02</v>
      </c>
      <c r="P328" s="2">
        <v>3.27</v>
      </c>
      <c r="Q328" s="4">
        <v>156436</v>
      </c>
      <c r="R328" s="4">
        <v>0</v>
      </c>
      <c r="S328" s="4">
        <v>156436</v>
      </c>
      <c r="T328" s="4">
        <v>27196</v>
      </c>
      <c r="U328" s="4">
        <v>29872</v>
      </c>
      <c r="V328" s="4">
        <v>0</v>
      </c>
      <c r="W328" s="4">
        <v>15689</v>
      </c>
      <c r="X328" s="4">
        <v>1709</v>
      </c>
      <c r="Y328" s="4">
        <v>230902</v>
      </c>
      <c r="Z328" s="4">
        <v>21967</v>
      </c>
      <c r="AA328" s="4">
        <v>208935</v>
      </c>
      <c r="AB328" s="4">
        <v>119815</v>
      </c>
      <c r="AC328" s="4">
        <v>89120</v>
      </c>
    </row>
    <row r="329" spans="1:29" x14ac:dyDescent="0.25">
      <c r="A329" s="1" t="s">
        <v>310</v>
      </c>
      <c r="B329" s="1" t="s">
        <v>741</v>
      </c>
      <c r="C329" s="1" t="s">
        <v>342</v>
      </c>
      <c r="D329" s="1" t="s">
        <v>731</v>
      </c>
      <c r="E329" s="2">
        <v>32.79</v>
      </c>
      <c r="F329" s="3">
        <v>321.3</v>
      </c>
      <c r="G329" s="2">
        <v>354.09</v>
      </c>
      <c r="H329" s="2">
        <v>0</v>
      </c>
      <c r="I329" s="4">
        <v>0</v>
      </c>
      <c r="J329" s="3">
        <v>0</v>
      </c>
      <c r="K329" s="4">
        <v>321</v>
      </c>
      <c r="L329" s="2">
        <v>299.33</v>
      </c>
      <c r="M329" s="2">
        <v>56.19</v>
      </c>
      <c r="N329" s="2">
        <v>61.72</v>
      </c>
      <c r="O329" s="2">
        <v>30.02</v>
      </c>
      <c r="P329" s="2">
        <v>3.27</v>
      </c>
      <c r="Q329" s="4">
        <v>105990</v>
      </c>
      <c r="R329" s="4">
        <v>9738</v>
      </c>
      <c r="S329" s="4">
        <v>115728</v>
      </c>
      <c r="T329" s="4">
        <v>18037</v>
      </c>
      <c r="U329" s="4">
        <v>19812</v>
      </c>
      <c r="V329" s="4">
        <v>0</v>
      </c>
      <c r="W329" s="4">
        <v>11092</v>
      </c>
      <c r="X329" s="4">
        <v>1208</v>
      </c>
      <c r="Y329" s="4">
        <v>165877</v>
      </c>
      <c r="Z329" s="4">
        <v>18261</v>
      </c>
      <c r="AA329" s="4">
        <v>147616</v>
      </c>
      <c r="AB329" s="4">
        <v>78312</v>
      </c>
      <c r="AC329" s="4">
        <v>69304</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38"/>
  <sheetViews>
    <sheetView workbookViewId="0">
      <selection activeCell="H38" sqref="H38"/>
    </sheetView>
  </sheetViews>
  <sheetFormatPr defaultRowHeight="12.75" x14ac:dyDescent="0.2"/>
  <cols>
    <col min="1" max="1" width="8.42578125" style="20" bestFit="1" customWidth="1"/>
    <col min="2" max="2" width="23.42578125" style="20" customWidth="1"/>
    <col min="3" max="3" width="11.28515625" style="20" customWidth="1"/>
    <col min="4" max="4" width="9.7109375" style="20" bestFit="1" customWidth="1"/>
    <col min="5" max="5" width="9.7109375" style="20" customWidth="1"/>
    <col min="6" max="6" width="13.140625" style="20" bestFit="1" customWidth="1"/>
    <col min="7" max="7" width="9.42578125" style="20" bestFit="1" customWidth="1"/>
    <col min="8" max="8" width="10.85546875" style="20" customWidth="1"/>
    <col min="9" max="9" width="11.42578125" style="20" bestFit="1" customWidth="1"/>
    <col min="10" max="10" width="10.42578125" style="20" customWidth="1"/>
    <col min="11" max="11" width="10.28515625" style="20" bestFit="1" customWidth="1"/>
    <col min="12" max="12" width="9.85546875" style="20" customWidth="1"/>
    <col min="13" max="13" width="9.42578125" style="20" customWidth="1"/>
    <col min="14" max="14" width="8.85546875" style="20" customWidth="1"/>
    <col min="15" max="15" width="6.7109375" style="20" bestFit="1" customWidth="1"/>
    <col min="16" max="16" width="10.5703125" style="20" bestFit="1" customWidth="1"/>
    <col min="17" max="17" width="11.7109375" style="20" bestFit="1" customWidth="1"/>
    <col min="18" max="18" width="9.85546875" style="20" customWidth="1"/>
    <col min="19" max="19" width="8.85546875" style="20" customWidth="1"/>
    <col min="20" max="20" width="10.85546875" style="20" bestFit="1" customWidth="1"/>
    <col min="21" max="21" width="9.85546875" style="20"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31" t="str">
        <f>CONCATENATE(INDEX(Detail[],MATCH(A5,Detail[Dist],0),2)," Detail by School District")</f>
        <v>Central Rivers Detail by School District</v>
      </c>
    </row>
    <row r="2" spans="1:22" ht="15.75" customHeight="1" x14ac:dyDescent="0.2">
      <c r="B2" s="31"/>
    </row>
    <row r="3" spans="1:22" ht="16.5" customHeight="1" x14ac:dyDescent="0.2">
      <c r="B3" s="31"/>
    </row>
    <row r="4" spans="1:22" s="21" customFormat="1" ht="63.75" x14ac:dyDescent="0.2">
      <c r="A4" s="22" t="s">
        <v>732</v>
      </c>
      <c r="B4" s="22" t="s">
        <v>367</v>
      </c>
      <c r="C4" s="23" t="s">
        <v>392</v>
      </c>
      <c r="D4" s="23" t="s">
        <v>393</v>
      </c>
      <c r="E4" s="23" t="s">
        <v>394</v>
      </c>
      <c r="F4" s="23" t="s">
        <v>395</v>
      </c>
      <c r="G4" s="23" t="s">
        <v>396</v>
      </c>
      <c r="H4" s="23" t="s">
        <v>397</v>
      </c>
      <c r="I4" s="23" t="s">
        <v>399</v>
      </c>
      <c r="J4" s="23" t="s">
        <v>400</v>
      </c>
      <c r="K4" s="23" t="s">
        <v>401</v>
      </c>
      <c r="L4" s="23" t="s">
        <v>402</v>
      </c>
      <c r="M4" s="23" t="s">
        <v>403</v>
      </c>
      <c r="N4" s="23" t="s">
        <v>404</v>
      </c>
      <c r="O4" s="23" t="s">
        <v>405</v>
      </c>
      <c r="P4" s="23" t="s">
        <v>406</v>
      </c>
      <c r="Q4" s="23" t="s">
        <v>407</v>
      </c>
      <c r="R4" s="23" t="s">
        <v>408</v>
      </c>
      <c r="S4" s="23" t="s">
        <v>409</v>
      </c>
      <c r="T4" s="23" t="s">
        <v>410</v>
      </c>
      <c r="U4" s="23" t="s">
        <v>411</v>
      </c>
      <c r="V4" s="23" t="s">
        <v>412</v>
      </c>
    </row>
    <row r="5" spans="1:22" x14ac:dyDescent="0.2">
      <c r="A5" s="20" t="s">
        <v>63</v>
      </c>
      <c r="B5" s="20" t="s">
        <v>64</v>
      </c>
      <c r="C5" s="25">
        <v>93.27</v>
      </c>
      <c r="D5" s="27">
        <v>646.70000000000005</v>
      </c>
      <c r="E5" s="25">
        <v>739.97</v>
      </c>
      <c r="F5" s="25">
        <v>0</v>
      </c>
      <c r="G5" s="29">
        <v>16</v>
      </c>
      <c r="H5" s="27">
        <v>0.3</v>
      </c>
      <c r="I5" s="29">
        <v>662</v>
      </c>
      <c r="J5" s="29">
        <v>225905</v>
      </c>
      <c r="K5" s="29">
        <v>0</v>
      </c>
      <c r="L5" s="29">
        <v>225905</v>
      </c>
      <c r="M5" s="29">
        <v>37416</v>
      </c>
      <c r="N5" s="29">
        <v>41752</v>
      </c>
      <c r="O5" s="29">
        <v>0</v>
      </c>
      <c r="P5" s="29">
        <v>28430</v>
      </c>
      <c r="Q5" s="29">
        <v>3271</v>
      </c>
      <c r="R5" s="29">
        <v>336774</v>
      </c>
      <c r="S5" s="29">
        <v>41289</v>
      </c>
      <c r="T5" s="29">
        <v>295485</v>
      </c>
      <c r="U5" s="29">
        <v>166525</v>
      </c>
      <c r="V5" s="29">
        <v>128960</v>
      </c>
    </row>
    <row r="6" spans="1:22" x14ac:dyDescent="0.2">
      <c r="A6" s="20" t="s">
        <v>65</v>
      </c>
      <c r="B6" s="20" t="s">
        <v>472</v>
      </c>
      <c r="C6" s="25">
        <v>25.44</v>
      </c>
      <c r="D6" s="27">
        <v>274.2</v>
      </c>
      <c r="E6" s="25">
        <v>299.64</v>
      </c>
      <c r="F6" s="25">
        <v>0</v>
      </c>
      <c r="G6" s="29">
        <v>0</v>
      </c>
      <c r="H6" s="27">
        <v>0</v>
      </c>
      <c r="I6" s="29">
        <v>274</v>
      </c>
      <c r="J6" s="29">
        <v>91477</v>
      </c>
      <c r="K6" s="29">
        <v>0</v>
      </c>
      <c r="L6" s="29">
        <v>91477</v>
      </c>
      <c r="M6" s="29">
        <v>15486</v>
      </c>
      <c r="N6" s="29">
        <v>17281</v>
      </c>
      <c r="O6" s="29">
        <v>0</v>
      </c>
      <c r="P6" s="29">
        <v>11512</v>
      </c>
      <c r="Q6" s="29">
        <v>1324</v>
      </c>
      <c r="R6" s="29">
        <v>137080</v>
      </c>
      <c r="S6" s="29">
        <v>14957</v>
      </c>
      <c r="T6" s="29">
        <v>122123</v>
      </c>
      <c r="U6" s="29">
        <v>69193</v>
      </c>
      <c r="V6" s="29">
        <v>52930</v>
      </c>
    </row>
    <row r="7" spans="1:22" x14ac:dyDescent="0.2">
      <c r="A7" s="20" t="s">
        <v>103</v>
      </c>
      <c r="B7" s="20" t="s">
        <v>504</v>
      </c>
      <c r="C7" s="25">
        <v>68.16</v>
      </c>
      <c r="D7" s="27">
        <v>575.6</v>
      </c>
      <c r="E7" s="25">
        <v>643.76</v>
      </c>
      <c r="F7" s="25">
        <v>0</v>
      </c>
      <c r="G7" s="29">
        <v>1</v>
      </c>
      <c r="H7" s="27">
        <v>0</v>
      </c>
      <c r="I7" s="29">
        <v>577</v>
      </c>
      <c r="J7" s="29">
        <v>196533</v>
      </c>
      <c r="K7" s="29">
        <v>11343</v>
      </c>
      <c r="L7" s="29">
        <v>207876</v>
      </c>
      <c r="M7" s="29">
        <v>32612</v>
      </c>
      <c r="N7" s="29">
        <v>36391</v>
      </c>
      <c r="O7" s="29">
        <v>0</v>
      </c>
      <c r="P7" s="29">
        <v>24735</v>
      </c>
      <c r="Q7" s="29">
        <v>2847</v>
      </c>
      <c r="R7" s="29">
        <v>304461</v>
      </c>
      <c r="S7" s="29">
        <v>32769</v>
      </c>
      <c r="T7" s="29">
        <v>271692</v>
      </c>
      <c r="U7" s="29">
        <v>148028</v>
      </c>
      <c r="V7" s="29">
        <v>123664</v>
      </c>
    </row>
    <row r="8" spans="1:22" x14ac:dyDescent="0.2">
      <c r="A8" s="20" t="s">
        <v>66</v>
      </c>
      <c r="B8" s="20" t="s">
        <v>473</v>
      </c>
      <c r="C8" s="25">
        <v>106.79</v>
      </c>
      <c r="D8" s="27">
        <v>803.3</v>
      </c>
      <c r="E8" s="25">
        <v>910.09</v>
      </c>
      <c r="F8" s="25">
        <v>0</v>
      </c>
      <c r="G8" s="29">
        <v>27</v>
      </c>
      <c r="H8" s="27">
        <v>0</v>
      </c>
      <c r="I8" s="29">
        <v>830</v>
      </c>
      <c r="J8" s="29">
        <v>277841</v>
      </c>
      <c r="K8" s="29">
        <v>4279</v>
      </c>
      <c r="L8" s="29">
        <v>282120</v>
      </c>
      <c r="M8" s="29">
        <v>46912</v>
      </c>
      <c r="N8" s="29">
        <v>52348</v>
      </c>
      <c r="O8" s="29">
        <v>0</v>
      </c>
      <c r="P8" s="29">
        <v>34966</v>
      </c>
      <c r="Q8" s="29">
        <v>4023</v>
      </c>
      <c r="R8" s="29">
        <v>420369</v>
      </c>
      <c r="S8" s="29">
        <v>39100</v>
      </c>
      <c r="T8" s="29">
        <v>381269</v>
      </c>
      <c r="U8" s="29">
        <v>216490</v>
      </c>
      <c r="V8" s="29">
        <v>164779</v>
      </c>
    </row>
    <row r="9" spans="1:22" x14ac:dyDescent="0.2">
      <c r="A9" s="20" t="s">
        <v>67</v>
      </c>
      <c r="B9" s="20" t="s">
        <v>68</v>
      </c>
      <c r="C9" s="25">
        <v>63.07</v>
      </c>
      <c r="D9" s="27">
        <v>520.20000000000005</v>
      </c>
      <c r="E9" s="25">
        <v>583.27</v>
      </c>
      <c r="F9" s="25">
        <v>0</v>
      </c>
      <c r="G9" s="29">
        <v>1</v>
      </c>
      <c r="H9" s="27">
        <v>0</v>
      </c>
      <c r="I9" s="29">
        <v>521</v>
      </c>
      <c r="J9" s="29">
        <v>178066</v>
      </c>
      <c r="K9" s="29">
        <v>8446</v>
      </c>
      <c r="L9" s="29">
        <v>186512</v>
      </c>
      <c r="M9" s="29">
        <v>29447</v>
      </c>
      <c r="N9" s="29">
        <v>32859</v>
      </c>
      <c r="O9" s="29">
        <v>0</v>
      </c>
      <c r="P9" s="29">
        <v>22618</v>
      </c>
      <c r="Q9" s="29">
        <v>2604</v>
      </c>
      <c r="R9" s="29">
        <v>274040</v>
      </c>
      <c r="S9" s="29">
        <v>29783</v>
      </c>
      <c r="T9" s="29">
        <v>244257</v>
      </c>
      <c r="U9" s="29">
        <v>134257</v>
      </c>
      <c r="V9" s="29">
        <v>110000</v>
      </c>
    </row>
    <row r="10" spans="1:22" x14ac:dyDescent="0.2">
      <c r="A10" s="20" t="s">
        <v>69</v>
      </c>
      <c r="B10" s="20" t="s">
        <v>474</v>
      </c>
      <c r="C10" s="25">
        <v>89.31</v>
      </c>
      <c r="D10" s="27">
        <v>791.5</v>
      </c>
      <c r="E10" s="25">
        <v>880.81</v>
      </c>
      <c r="F10" s="25">
        <v>0</v>
      </c>
      <c r="G10" s="29">
        <v>0</v>
      </c>
      <c r="H10" s="27">
        <v>0</v>
      </c>
      <c r="I10" s="29">
        <v>792</v>
      </c>
      <c r="J10" s="29">
        <v>268902</v>
      </c>
      <c r="K10" s="29">
        <v>1818</v>
      </c>
      <c r="L10" s="29">
        <v>270720</v>
      </c>
      <c r="M10" s="29">
        <v>44764</v>
      </c>
      <c r="N10" s="29">
        <v>49951</v>
      </c>
      <c r="O10" s="29">
        <v>0</v>
      </c>
      <c r="P10" s="29">
        <v>33841</v>
      </c>
      <c r="Q10" s="29">
        <v>3895</v>
      </c>
      <c r="R10" s="29">
        <v>403171</v>
      </c>
      <c r="S10" s="29">
        <v>39506</v>
      </c>
      <c r="T10" s="29">
        <v>363665</v>
      </c>
      <c r="U10" s="29">
        <v>207863</v>
      </c>
      <c r="V10" s="29">
        <v>155802</v>
      </c>
    </row>
    <row r="11" spans="1:22" x14ac:dyDescent="0.2">
      <c r="A11" s="20" t="s">
        <v>118</v>
      </c>
      <c r="B11" s="20" t="s">
        <v>519</v>
      </c>
      <c r="C11" s="25">
        <v>53.54</v>
      </c>
      <c r="D11" s="27">
        <v>539.29999999999995</v>
      </c>
      <c r="E11" s="25">
        <v>592.84</v>
      </c>
      <c r="F11" s="25">
        <v>0</v>
      </c>
      <c r="G11" s="29">
        <v>46</v>
      </c>
      <c r="H11" s="27">
        <v>0.2</v>
      </c>
      <c r="I11" s="29">
        <v>585</v>
      </c>
      <c r="J11" s="29">
        <v>180988</v>
      </c>
      <c r="K11" s="29">
        <v>11220</v>
      </c>
      <c r="L11" s="29">
        <v>192208</v>
      </c>
      <c r="M11" s="29">
        <v>33064</v>
      </c>
      <c r="N11" s="29">
        <v>36896</v>
      </c>
      <c r="O11" s="29">
        <v>0</v>
      </c>
      <c r="P11" s="29">
        <v>22777</v>
      </c>
      <c r="Q11" s="29">
        <v>2620</v>
      </c>
      <c r="R11" s="29">
        <v>287565</v>
      </c>
      <c r="S11" s="29">
        <v>32056</v>
      </c>
      <c r="T11" s="29">
        <v>255509</v>
      </c>
      <c r="U11" s="29">
        <v>134437</v>
      </c>
      <c r="V11" s="29">
        <v>121072</v>
      </c>
    </row>
    <row r="12" spans="1:22" x14ac:dyDescent="0.2">
      <c r="A12" s="20" t="s">
        <v>70</v>
      </c>
      <c r="B12" s="20" t="s">
        <v>475</v>
      </c>
      <c r="C12" s="25">
        <v>70.989999999999995</v>
      </c>
      <c r="D12" s="27">
        <v>551.6</v>
      </c>
      <c r="E12" s="25">
        <v>622.59</v>
      </c>
      <c r="F12" s="25">
        <v>0</v>
      </c>
      <c r="G12" s="29">
        <v>0</v>
      </c>
      <c r="H12" s="27">
        <v>0</v>
      </c>
      <c r="I12" s="29">
        <v>552</v>
      </c>
      <c r="J12" s="29">
        <v>190071</v>
      </c>
      <c r="K12" s="29">
        <v>0</v>
      </c>
      <c r="L12" s="29">
        <v>190071</v>
      </c>
      <c r="M12" s="29">
        <v>31199</v>
      </c>
      <c r="N12" s="29">
        <v>34815</v>
      </c>
      <c r="O12" s="29">
        <v>0</v>
      </c>
      <c r="P12" s="29">
        <v>23920</v>
      </c>
      <c r="Q12" s="29">
        <v>2752</v>
      </c>
      <c r="R12" s="29">
        <v>282757</v>
      </c>
      <c r="S12" s="29">
        <v>29369</v>
      </c>
      <c r="T12" s="29">
        <v>253388</v>
      </c>
      <c r="U12" s="29">
        <v>145479</v>
      </c>
      <c r="V12" s="29">
        <v>107909</v>
      </c>
    </row>
    <row r="13" spans="1:22" x14ac:dyDescent="0.2">
      <c r="A13" s="20" t="s">
        <v>104</v>
      </c>
      <c r="B13" s="20" t="s">
        <v>505</v>
      </c>
      <c r="C13" s="25">
        <v>48.41</v>
      </c>
      <c r="D13" s="27">
        <v>458</v>
      </c>
      <c r="E13" s="25">
        <v>506.41</v>
      </c>
      <c r="F13" s="25">
        <v>0</v>
      </c>
      <c r="G13" s="29">
        <v>1</v>
      </c>
      <c r="H13" s="27">
        <v>0</v>
      </c>
      <c r="I13" s="29">
        <v>459</v>
      </c>
      <c r="J13" s="29">
        <v>154602</v>
      </c>
      <c r="K13" s="29">
        <v>5520</v>
      </c>
      <c r="L13" s="29">
        <v>160122</v>
      </c>
      <c r="M13" s="29">
        <v>25943</v>
      </c>
      <c r="N13" s="29">
        <v>28949</v>
      </c>
      <c r="O13" s="29">
        <v>0</v>
      </c>
      <c r="P13" s="29">
        <v>19456</v>
      </c>
      <c r="Q13" s="29">
        <v>2238</v>
      </c>
      <c r="R13" s="29">
        <v>236708</v>
      </c>
      <c r="S13" s="29">
        <v>29571</v>
      </c>
      <c r="T13" s="29">
        <v>207137</v>
      </c>
      <c r="U13" s="29">
        <v>112649</v>
      </c>
      <c r="V13" s="29">
        <v>94488</v>
      </c>
    </row>
    <row r="14" spans="1:22" x14ac:dyDescent="0.2">
      <c r="A14" s="20" t="s">
        <v>71</v>
      </c>
      <c r="B14" s="20" t="s">
        <v>72</v>
      </c>
      <c r="C14" s="25">
        <v>32.799999999999997</v>
      </c>
      <c r="D14" s="27">
        <v>240.6</v>
      </c>
      <c r="E14" s="25">
        <v>273.39999999999998</v>
      </c>
      <c r="F14" s="25">
        <v>0</v>
      </c>
      <c r="G14" s="29">
        <v>16</v>
      </c>
      <c r="H14" s="27">
        <v>0.7</v>
      </c>
      <c r="I14" s="29">
        <v>256</v>
      </c>
      <c r="J14" s="29">
        <v>83466</v>
      </c>
      <c r="K14" s="29">
        <v>9732</v>
      </c>
      <c r="L14" s="29">
        <v>93198</v>
      </c>
      <c r="M14" s="29">
        <v>14469</v>
      </c>
      <c r="N14" s="29">
        <v>16146</v>
      </c>
      <c r="O14" s="29">
        <v>0</v>
      </c>
      <c r="P14" s="29">
        <v>11770</v>
      </c>
      <c r="Q14" s="29">
        <v>1355</v>
      </c>
      <c r="R14" s="29">
        <v>136938</v>
      </c>
      <c r="S14" s="29">
        <v>14140</v>
      </c>
      <c r="T14" s="29">
        <v>122798</v>
      </c>
      <c r="U14" s="29">
        <v>64054</v>
      </c>
      <c r="V14" s="29">
        <v>58744</v>
      </c>
    </row>
    <row r="15" spans="1:22" x14ac:dyDescent="0.2">
      <c r="A15" s="20" t="s">
        <v>73</v>
      </c>
      <c r="B15" s="20" t="s">
        <v>476</v>
      </c>
      <c r="C15" s="25">
        <v>683.97</v>
      </c>
      <c r="D15" s="27">
        <v>5237.6000000000004</v>
      </c>
      <c r="E15" s="25">
        <v>5921.57</v>
      </c>
      <c r="F15" s="25">
        <v>0</v>
      </c>
      <c r="G15" s="29">
        <v>293</v>
      </c>
      <c r="H15" s="27">
        <v>1.2</v>
      </c>
      <c r="I15" s="29">
        <v>5529</v>
      </c>
      <c r="J15" s="29">
        <v>1807796</v>
      </c>
      <c r="K15" s="29">
        <v>0</v>
      </c>
      <c r="L15" s="29">
        <v>1807796</v>
      </c>
      <c r="M15" s="29">
        <v>312499</v>
      </c>
      <c r="N15" s="29">
        <v>348714</v>
      </c>
      <c r="O15" s="29">
        <v>0</v>
      </c>
      <c r="P15" s="29">
        <v>227507</v>
      </c>
      <c r="Q15" s="29">
        <v>26173</v>
      </c>
      <c r="R15" s="29">
        <v>2722689</v>
      </c>
      <c r="S15" s="29">
        <v>198163</v>
      </c>
      <c r="T15" s="29">
        <v>2524526</v>
      </c>
      <c r="U15" s="29">
        <v>1464851</v>
      </c>
      <c r="V15" s="29">
        <v>1059675</v>
      </c>
    </row>
    <row r="16" spans="1:22" x14ac:dyDescent="0.2">
      <c r="A16" s="20" t="s">
        <v>75</v>
      </c>
      <c r="B16" s="20" t="s">
        <v>478</v>
      </c>
      <c r="C16" s="25">
        <v>254.85</v>
      </c>
      <c r="D16" s="27">
        <v>1541.6</v>
      </c>
      <c r="E16" s="25">
        <v>1796.45</v>
      </c>
      <c r="F16" s="25">
        <v>0</v>
      </c>
      <c r="G16" s="29">
        <v>186</v>
      </c>
      <c r="H16" s="27">
        <v>3.2</v>
      </c>
      <c r="I16" s="29">
        <v>1724</v>
      </c>
      <c r="J16" s="29">
        <v>548438</v>
      </c>
      <c r="K16" s="29">
        <v>0</v>
      </c>
      <c r="L16" s="29">
        <v>548438</v>
      </c>
      <c r="M16" s="29">
        <v>97440</v>
      </c>
      <c r="N16" s="29">
        <v>108733</v>
      </c>
      <c r="O16" s="29">
        <v>0</v>
      </c>
      <c r="P16" s="29">
        <v>69020</v>
      </c>
      <c r="Q16" s="29">
        <v>7940</v>
      </c>
      <c r="R16" s="29">
        <v>831571</v>
      </c>
      <c r="S16" s="29">
        <v>82982</v>
      </c>
      <c r="T16" s="29">
        <v>748589</v>
      </c>
      <c r="U16" s="29">
        <v>421533</v>
      </c>
      <c r="V16" s="29">
        <v>327056</v>
      </c>
    </row>
    <row r="17" spans="1:22" x14ac:dyDescent="0.2">
      <c r="A17" s="20" t="s">
        <v>76</v>
      </c>
      <c r="B17" s="20" t="s">
        <v>479</v>
      </c>
      <c r="C17" s="25">
        <v>35.24</v>
      </c>
      <c r="D17" s="27">
        <v>310</v>
      </c>
      <c r="E17" s="25">
        <v>345.24</v>
      </c>
      <c r="F17" s="25">
        <v>0</v>
      </c>
      <c r="G17" s="29">
        <v>5</v>
      </c>
      <c r="H17" s="27">
        <v>0</v>
      </c>
      <c r="I17" s="29">
        <v>315</v>
      </c>
      <c r="J17" s="29">
        <v>105398</v>
      </c>
      <c r="K17" s="29">
        <v>12396</v>
      </c>
      <c r="L17" s="29">
        <v>117794</v>
      </c>
      <c r="M17" s="29">
        <v>17804</v>
      </c>
      <c r="N17" s="29">
        <v>19867</v>
      </c>
      <c r="O17" s="29">
        <v>0</v>
      </c>
      <c r="P17" s="29">
        <v>13480</v>
      </c>
      <c r="Q17" s="29">
        <v>1552</v>
      </c>
      <c r="R17" s="29">
        <v>170497</v>
      </c>
      <c r="S17" s="29">
        <v>18545</v>
      </c>
      <c r="T17" s="29">
        <v>151952</v>
      </c>
      <c r="U17" s="29">
        <v>78654</v>
      </c>
      <c r="V17" s="29">
        <v>73298</v>
      </c>
    </row>
    <row r="18" spans="1:22" x14ac:dyDescent="0.2">
      <c r="A18" s="20" t="s">
        <v>77</v>
      </c>
      <c r="B18" s="20" t="s">
        <v>480</v>
      </c>
      <c r="C18" s="25">
        <v>190.67</v>
      </c>
      <c r="D18" s="27">
        <v>1219.5999999999999</v>
      </c>
      <c r="E18" s="25">
        <v>1410.27</v>
      </c>
      <c r="F18" s="25">
        <v>0</v>
      </c>
      <c r="G18" s="29">
        <v>28</v>
      </c>
      <c r="H18" s="27">
        <v>0</v>
      </c>
      <c r="I18" s="29">
        <v>1248</v>
      </c>
      <c r="J18" s="29">
        <v>430541</v>
      </c>
      <c r="K18" s="29">
        <v>0</v>
      </c>
      <c r="L18" s="29">
        <v>430541</v>
      </c>
      <c r="M18" s="29">
        <v>70537</v>
      </c>
      <c r="N18" s="29">
        <v>78711</v>
      </c>
      <c r="O18" s="29">
        <v>0</v>
      </c>
      <c r="P18" s="29">
        <v>54183</v>
      </c>
      <c r="Q18" s="29">
        <v>6233</v>
      </c>
      <c r="R18" s="29">
        <v>640205</v>
      </c>
      <c r="S18" s="29">
        <v>69828</v>
      </c>
      <c r="T18" s="29">
        <v>570377</v>
      </c>
      <c r="U18" s="29">
        <v>326232</v>
      </c>
      <c r="V18" s="29">
        <v>244145</v>
      </c>
    </row>
    <row r="19" spans="1:22" x14ac:dyDescent="0.2">
      <c r="A19" s="20" t="s">
        <v>78</v>
      </c>
      <c r="B19" s="20" t="s">
        <v>481</v>
      </c>
      <c r="C19" s="25">
        <v>59.8</v>
      </c>
      <c r="D19" s="27">
        <v>778.5</v>
      </c>
      <c r="E19" s="25">
        <v>838.3</v>
      </c>
      <c r="F19" s="25">
        <v>0</v>
      </c>
      <c r="G19" s="29">
        <v>8</v>
      </c>
      <c r="H19" s="27">
        <v>0</v>
      </c>
      <c r="I19" s="29">
        <v>787</v>
      </c>
      <c r="J19" s="29">
        <v>255925</v>
      </c>
      <c r="K19" s="29">
        <v>0</v>
      </c>
      <c r="L19" s="29">
        <v>255925</v>
      </c>
      <c r="M19" s="29">
        <v>44481</v>
      </c>
      <c r="N19" s="29">
        <v>49636</v>
      </c>
      <c r="O19" s="29">
        <v>0</v>
      </c>
      <c r="P19" s="29">
        <v>32207</v>
      </c>
      <c r="Q19" s="29">
        <v>3705</v>
      </c>
      <c r="R19" s="29">
        <v>385954</v>
      </c>
      <c r="S19" s="29">
        <v>32842</v>
      </c>
      <c r="T19" s="29">
        <v>353112</v>
      </c>
      <c r="U19" s="29">
        <v>202585</v>
      </c>
      <c r="V19" s="29">
        <v>150527</v>
      </c>
    </row>
    <row r="20" spans="1:22" x14ac:dyDescent="0.2">
      <c r="A20" s="20" t="s">
        <v>79</v>
      </c>
      <c r="B20" s="20" t="s">
        <v>482</v>
      </c>
      <c r="C20" s="25">
        <v>114.3</v>
      </c>
      <c r="D20" s="27">
        <v>867.7</v>
      </c>
      <c r="E20" s="25">
        <v>982</v>
      </c>
      <c r="F20" s="25">
        <v>0</v>
      </c>
      <c r="G20" s="29">
        <v>9</v>
      </c>
      <c r="H20" s="27">
        <v>0</v>
      </c>
      <c r="I20" s="29">
        <v>877</v>
      </c>
      <c r="J20" s="29">
        <v>299795</v>
      </c>
      <c r="K20" s="29">
        <v>1427</v>
      </c>
      <c r="L20" s="29">
        <v>301222</v>
      </c>
      <c r="M20" s="29">
        <v>49568</v>
      </c>
      <c r="N20" s="29">
        <v>55312</v>
      </c>
      <c r="O20" s="29">
        <v>0</v>
      </c>
      <c r="P20" s="29">
        <v>37774</v>
      </c>
      <c r="Q20" s="29">
        <v>4348</v>
      </c>
      <c r="R20" s="29">
        <v>448224</v>
      </c>
      <c r="S20" s="29">
        <v>36304</v>
      </c>
      <c r="T20" s="29">
        <v>411920</v>
      </c>
      <c r="U20" s="29">
        <v>239534</v>
      </c>
      <c r="V20" s="29">
        <v>172386</v>
      </c>
    </row>
    <row r="21" spans="1:22" x14ac:dyDescent="0.2">
      <c r="A21" s="20" t="s">
        <v>80</v>
      </c>
      <c r="B21" s="20" t="s">
        <v>483</v>
      </c>
      <c r="C21" s="25">
        <v>43.85</v>
      </c>
      <c r="D21" s="27">
        <v>407</v>
      </c>
      <c r="E21" s="25">
        <v>450.85</v>
      </c>
      <c r="F21" s="25">
        <v>0</v>
      </c>
      <c r="G21" s="29">
        <v>14</v>
      </c>
      <c r="H21" s="27">
        <v>0</v>
      </c>
      <c r="I21" s="29">
        <v>421</v>
      </c>
      <c r="J21" s="29">
        <v>137640</v>
      </c>
      <c r="K21" s="29">
        <v>16042</v>
      </c>
      <c r="L21" s="29">
        <v>153682</v>
      </c>
      <c r="M21" s="29">
        <v>23795</v>
      </c>
      <c r="N21" s="29">
        <v>26552</v>
      </c>
      <c r="O21" s="29">
        <v>0</v>
      </c>
      <c r="P21" s="29">
        <v>17479</v>
      </c>
      <c r="Q21" s="29">
        <v>2012</v>
      </c>
      <c r="R21" s="29">
        <v>223520</v>
      </c>
      <c r="S21" s="29">
        <v>22973</v>
      </c>
      <c r="T21" s="29">
        <v>200547</v>
      </c>
      <c r="U21" s="29">
        <v>103820</v>
      </c>
      <c r="V21" s="29">
        <v>96727</v>
      </c>
    </row>
    <row r="22" spans="1:22" x14ac:dyDescent="0.2">
      <c r="A22" s="20" t="s">
        <v>113</v>
      </c>
      <c r="B22" s="20" t="s">
        <v>514</v>
      </c>
      <c r="C22" s="25">
        <v>137.13999999999999</v>
      </c>
      <c r="D22" s="27">
        <v>1054.4000000000001</v>
      </c>
      <c r="E22" s="25">
        <v>1191.54</v>
      </c>
      <c r="F22" s="25">
        <v>0</v>
      </c>
      <c r="G22" s="29">
        <v>28</v>
      </c>
      <c r="H22" s="27">
        <v>0</v>
      </c>
      <c r="I22" s="29">
        <v>1082</v>
      </c>
      <c r="J22" s="29">
        <v>363765</v>
      </c>
      <c r="K22" s="29">
        <v>26105</v>
      </c>
      <c r="L22" s="29">
        <v>389870</v>
      </c>
      <c r="M22" s="29">
        <v>61155</v>
      </c>
      <c r="N22" s="29">
        <v>68242</v>
      </c>
      <c r="O22" s="29">
        <v>0</v>
      </c>
      <c r="P22" s="29">
        <v>45779</v>
      </c>
      <c r="Q22" s="29">
        <v>5267</v>
      </c>
      <c r="R22" s="29">
        <v>570313</v>
      </c>
      <c r="S22" s="29">
        <v>54340</v>
      </c>
      <c r="T22" s="29">
        <v>515973</v>
      </c>
      <c r="U22" s="29">
        <v>280293</v>
      </c>
      <c r="V22" s="29">
        <v>235680</v>
      </c>
    </row>
    <row r="23" spans="1:22" x14ac:dyDescent="0.2">
      <c r="A23" s="20" t="s">
        <v>81</v>
      </c>
      <c r="B23" s="20" t="s">
        <v>484</v>
      </c>
      <c r="C23" s="25">
        <v>96.18</v>
      </c>
      <c r="D23" s="27">
        <v>558.29999999999995</v>
      </c>
      <c r="E23" s="25">
        <v>654.48</v>
      </c>
      <c r="F23" s="25">
        <v>0</v>
      </c>
      <c r="G23" s="29">
        <v>6</v>
      </c>
      <c r="H23" s="27">
        <v>0</v>
      </c>
      <c r="I23" s="29">
        <v>564</v>
      </c>
      <c r="J23" s="29">
        <v>199806</v>
      </c>
      <c r="K23" s="29">
        <v>0</v>
      </c>
      <c r="L23" s="29">
        <v>199806</v>
      </c>
      <c r="M23" s="29">
        <v>31877</v>
      </c>
      <c r="N23" s="29">
        <v>35571</v>
      </c>
      <c r="O23" s="29">
        <v>0</v>
      </c>
      <c r="P23" s="29">
        <v>25145</v>
      </c>
      <c r="Q23" s="29">
        <v>2893</v>
      </c>
      <c r="R23" s="29">
        <v>295292</v>
      </c>
      <c r="S23" s="29">
        <v>28849</v>
      </c>
      <c r="T23" s="29">
        <v>266443</v>
      </c>
      <c r="U23" s="29">
        <v>154955</v>
      </c>
      <c r="V23" s="29">
        <v>111488</v>
      </c>
    </row>
    <row r="24" spans="1:22" x14ac:dyDescent="0.2">
      <c r="A24" s="20" t="s">
        <v>83</v>
      </c>
      <c r="B24" s="20" t="s">
        <v>486</v>
      </c>
      <c r="C24" s="25">
        <v>140.30000000000001</v>
      </c>
      <c r="D24" s="27">
        <v>631.1</v>
      </c>
      <c r="E24" s="25">
        <v>771.4</v>
      </c>
      <c r="F24" s="25">
        <v>0</v>
      </c>
      <c r="G24" s="29">
        <v>2</v>
      </c>
      <c r="H24" s="27">
        <v>0</v>
      </c>
      <c r="I24" s="29">
        <v>633</v>
      </c>
      <c r="J24" s="29">
        <v>235501</v>
      </c>
      <c r="K24" s="29">
        <v>0</v>
      </c>
      <c r="L24" s="29">
        <v>235501</v>
      </c>
      <c r="M24" s="29">
        <v>35777</v>
      </c>
      <c r="N24" s="29">
        <v>39923</v>
      </c>
      <c r="O24" s="29">
        <v>0</v>
      </c>
      <c r="P24" s="29">
        <v>29637</v>
      </c>
      <c r="Q24" s="29">
        <v>3410</v>
      </c>
      <c r="R24" s="29">
        <v>344248</v>
      </c>
      <c r="S24" s="29">
        <v>31253</v>
      </c>
      <c r="T24" s="29">
        <v>312995</v>
      </c>
      <c r="U24" s="29">
        <v>185387</v>
      </c>
      <c r="V24" s="29">
        <v>127608</v>
      </c>
    </row>
    <row r="25" spans="1:22" x14ac:dyDescent="0.2">
      <c r="A25" s="20" t="s">
        <v>84</v>
      </c>
      <c r="B25" s="20" t="s">
        <v>487</v>
      </c>
      <c r="C25" s="25">
        <v>149</v>
      </c>
      <c r="D25" s="27">
        <v>1073.5</v>
      </c>
      <c r="E25" s="25">
        <v>1222.5</v>
      </c>
      <c r="F25" s="25">
        <v>0</v>
      </c>
      <c r="G25" s="29">
        <v>4</v>
      </c>
      <c r="H25" s="27">
        <v>0</v>
      </c>
      <c r="I25" s="29">
        <v>1078</v>
      </c>
      <c r="J25" s="29">
        <v>373217</v>
      </c>
      <c r="K25" s="29">
        <v>47552</v>
      </c>
      <c r="L25" s="29">
        <v>420769</v>
      </c>
      <c r="M25" s="29">
        <v>60929</v>
      </c>
      <c r="N25" s="29">
        <v>67989</v>
      </c>
      <c r="O25" s="29">
        <v>0</v>
      </c>
      <c r="P25" s="29">
        <v>47046</v>
      </c>
      <c r="Q25" s="29">
        <v>5415</v>
      </c>
      <c r="R25" s="29">
        <v>602148</v>
      </c>
      <c r="S25" s="29">
        <v>73519</v>
      </c>
      <c r="T25" s="29">
        <v>528629</v>
      </c>
      <c r="U25" s="29">
        <v>269897</v>
      </c>
      <c r="V25" s="29">
        <v>258732</v>
      </c>
    </row>
    <row r="26" spans="1:22" x14ac:dyDescent="0.2">
      <c r="A26" s="20" t="s">
        <v>85</v>
      </c>
      <c r="B26" s="20" t="s">
        <v>488</v>
      </c>
      <c r="C26" s="25">
        <v>84.97</v>
      </c>
      <c r="D26" s="27">
        <v>899.6</v>
      </c>
      <c r="E26" s="25">
        <v>984.57</v>
      </c>
      <c r="F26" s="25">
        <v>0</v>
      </c>
      <c r="G26" s="29">
        <v>4</v>
      </c>
      <c r="H26" s="27">
        <v>0</v>
      </c>
      <c r="I26" s="29">
        <v>904</v>
      </c>
      <c r="J26" s="29">
        <v>300579</v>
      </c>
      <c r="K26" s="29">
        <v>35571</v>
      </c>
      <c r="L26" s="29">
        <v>336150</v>
      </c>
      <c r="M26" s="29">
        <v>51094</v>
      </c>
      <c r="N26" s="29">
        <v>57015</v>
      </c>
      <c r="O26" s="29">
        <v>0</v>
      </c>
      <c r="P26" s="29">
        <v>37827</v>
      </c>
      <c r="Q26" s="29">
        <v>4352</v>
      </c>
      <c r="R26" s="29">
        <v>486438</v>
      </c>
      <c r="S26" s="29">
        <v>49755</v>
      </c>
      <c r="T26" s="29">
        <v>436683</v>
      </c>
      <c r="U26" s="29">
        <v>226752</v>
      </c>
      <c r="V26" s="29">
        <v>209931</v>
      </c>
    </row>
    <row r="27" spans="1:22" x14ac:dyDescent="0.2">
      <c r="A27" s="20" t="s">
        <v>86</v>
      </c>
      <c r="B27" s="20" t="s">
        <v>489</v>
      </c>
      <c r="C27" s="25">
        <v>69.86</v>
      </c>
      <c r="D27" s="27">
        <v>590.4</v>
      </c>
      <c r="E27" s="25">
        <v>660.26</v>
      </c>
      <c r="F27" s="25">
        <v>0</v>
      </c>
      <c r="G27" s="29">
        <v>1</v>
      </c>
      <c r="H27" s="27">
        <v>0</v>
      </c>
      <c r="I27" s="29">
        <v>591</v>
      </c>
      <c r="J27" s="29">
        <v>201571</v>
      </c>
      <c r="K27" s="29">
        <v>7044</v>
      </c>
      <c r="L27" s="29">
        <v>208615</v>
      </c>
      <c r="M27" s="29">
        <v>33403</v>
      </c>
      <c r="N27" s="29">
        <v>37274</v>
      </c>
      <c r="O27" s="29">
        <v>0</v>
      </c>
      <c r="P27" s="29">
        <v>25367</v>
      </c>
      <c r="Q27" s="29">
        <v>2918</v>
      </c>
      <c r="R27" s="29">
        <v>307577</v>
      </c>
      <c r="S27" s="29">
        <v>38194</v>
      </c>
      <c r="T27" s="29">
        <v>269383</v>
      </c>
      <c r="U27" s="29">
        <v>147233</v>
      </c>
      <c r="V27" s="29">
        <v>122150</v>
      </c>
    </row>
    <row r="28" spans="1:22" x14ac:dyDescent="0.2">
      <c r="A28" s="20" t="s">
        <v>87</v>
      </c>
      <c r="B28" s="20" t="s">
        <v>88</v>
      </c>
      <c r="C28" s="25">
        <v>28.07</v>
      </c>
      <c r="D28" s="27">
        <v>275.60000000000002</v>
      </c>
      <c r="E28" s="25">
        <v>303.67</v>
      </c>
      <c r="F28" s="25">
        <v>0</v>
      </c>
      <c r="G28" s="29">
        <v>7</v>
      </c>
      <c r="H28" s="27">
        <v>0</v>
      </c>
      <c r="I28" s="29">
        <v>283</v>
      </c>
      <c r="J28" s="29">
        <v>92707</v>
      </c>
      <c r="K28" s="29">
        <v>12668</v>
      </c>
      <c r="L28" s="29">
        <v>105375</v>
      </c>
      <c r="M28" s="29">
        <v>15995</v>
      </c>
      <c r="N28" s="29">
        <v>17849</v>
      </c>
      <c r="O28" s="29">
        <v>0</v>
      </c>
      <c r="P28" s="29">
        <v>11798</v>
      </c>
      <c r="Q28" s="29">
        <v>1358</v>
      </c>
      <c r="R28" s="29">
        <v>152375</v>
      </c>
      <c r="S28" s="29">
        <v>17366</v>
      </c>
      <c r="T28" s="29">
        <v>135009</v>
      </c>
      <c r="U28" s="29">
        <v>68063</v>
      </c>
      <c r="V28" s="29">
        <v>66946</v>
      </c>
    </row>
    <row r="29" spans="1:22" x14ac:dyDescent="0.2">
      <c r="A29" s="20" t="s">
        <v>89</v>
      </c>
      <c r="B29" s="20" t="s">
        <v>490</v>
      </c>
      <c r="C29" s="25">
        <v>257.74</v>
      </c>
      <c r="D29" s="27">
        <v>1612.6</v>
      </c>
      <c r="E29" s="25">
        <v>1870.34</v>
      </c>
      <c r="F29" s="25">
        <v>0</v>
      </c>
      <c r="G29" s="29">
        <v>35</v>
      </c>
      <c r="H29" s="27">
        <v>0.1</v>
      </c>
      <c r="I29" s="29">
        <v>1648</v>
      </c>
      <c r="J29" s="29">
        <v>570996</v>
      </c>
      <c r="K29" s="29">
        <v>0</v>
      </c>
      <c r="L29" s="29">
        <v>570996</v>
      </c>
      <c r="M29" s="29">
        <v>93145</v>
      </c>
      <c r="N29" s="29">
        <v>103939</v>
      </c>
      <c r="O29" s="29">
        <v>0</v>
      </c>
      <c r="P29" s="29">
        <v>71858</v>
      </c>
      <c r="Q29" s="29">
        <v>8267</v>
      </c>
      <c r="R29" s="29">
        <v>848205</v>
      </c>
      <c r="S29" s="29">
        <v>81962</v>
      </c>
      <c r="T29" s="29">
        <v>766243</v>
      </c>
      <c r="U29" s="29">
        <v>443304</v>
      </c>
      <c r="V29" s="29">
        <v>322939</v>
      </c>
    </row>
    <row r="30" spans="1:22" x14ac:dyDescent="0.2">
      <c r="A30" s="20" t="s">
        <v>90</v>
      </c>
      <c r="B30" s="20" t="s">
        <v>491</v>
      </c>
      <c r="C30" s="25">
        <v>85.18</v>
      </c>
      <c r="D30" s="27">
        <v>653.1</v>
      </c>
      <c r="E30" s="25">
        <v>738.28</v>
      </c>
      <c r="F30" s="25">
        <v>0</v>
      </c>
      <c r="G30" s="29">
        <v>5</v>
      </c>
      <c r="H30" s="27">
        <v>0</v>
      </c>
      <c r="I30" s="29">
        <v>658</v>
      </c>
      <c r="J30" s="29">
        <v>225390</v>
      </c>
      <c r="K30" s="29">
        <v>0</v>
      </c>
      <c r="L30" s="29">
        <v>225390</v>
      </c>
      <c r="M30" s="29">
        <v>37190</v>
      </c>
      <c r="N30" s="29">
        <v>41500</v>
      </c>
      <c r="O30" s="29">
        <v>0</v>
      </c>
      <c r="P30" s="29">
        <v>28365</v>
      </c>
      <c r="Q30" s="29">
        <v>3263</v>
      </c>
      <c r="R30" s="29">
        <v>335708</v>
      </c>
      <c r="S30" s="29">
        <v>29520</v>
      </c>
      <c r="T30" s="29">
        <v>306188</v>
      </c>
      <c r="U30" s="29">
        <v>177819</v>
      </c>
      <c r="V30" s="29">
        <v>128369</v>
      </c>
    </row>
    <row r="31" spans="1:22" x14ac:dyDescent="0.2">
      <c r="A31" s="20" t="s">
        <v>91</v>
      </c>
      <c r="B31" s="20" t="s">
        <v>492</v>
      </c>
      <c r="C31" s="25">
        <v>183.03</v>
      </c>
      <c r="D31" s="27">
        <v>1190.9000000000001</v>
      </c>
      <c r="E31" s="25">
        <v>1373.93</v>
      </c>
      <c r="F31" s="25">
        <v>0</v>
      </c>
      <c r="G31" s="29">
        <v>5</v>
      </c>
      <c r="H31" s="27">
        <v>0</v>
      </c>
      <c r="I31" s="29">
        <v>1196</v>
      </c>
      <c r="J31" s="29">
        <v>419447</v>
      </c>
      <c r="K31" s="29">
        <v>0</v>
      </c>
      <c r="L31" s="29">
        <v>419447</v>
      </c>
      <c r="M31" s="29">
        <v>67598</v>
      </c>
      <c r="N31" s="29">
        <v>75432</v>
      </c>
      <c r="O31" s="29">
        <v>0</v>
      </c>
      <c r="P31" s="29">
        <v>52786</v>
      </c>
      <c r="Q31" s="29">
        <v>6073</v>
      </c>
      <c r="R31" s="29">
        <v>621336</v>
      </c>
      <c r="S31" s="29">
        <v>56126</v>
      </c>
      <c r="T31" s="29">
        <v>565210</v>
      </c>
      <c r="U31" s="29">
        <v>329728</v>
      </c>
      <c r="V31" s="29">
        <v>235482</v>
      </c>
    </row>
    <row r="32" spans="1:22" x14ac:dyDescent="0.2">
      <c r="A32" s="20" t="s">
        <v>92</v>
      </c>
      <c r="B32" s="20" t="s">
        <v>493</v>
      </c>
      <c r="C32" s="25">
        <v>36.69</v>
      </c>
      <c r="D32" s="27">
        <v>438.4</v>
      </c>
      <c r="E32" s="25">
        <v>475.09</v>
      </c>
      <c r="F32" s="25">
        <v>0</v>
      </c>
      <c r="G32" s="29">
        <v>3</v>
      </c>
      <c r="H32" s="27">
        <v>0</v>
      </c>
      <c r="I32" s="29">
        <v>441</v>
      </c>
      <c r="J32" s="29">
        <v>145040</v>
      </c>
      <c r="K32" s="29">
        <v>8114</v>
      </c>
      <c r="L32" s="29">
        <v>153154</v>
      </c>
      <c r="M32" s="29">
        <v>24925</v>
      </c>
      <c r="N32" s="29">
        <v>27814</v>
      </c>
      <c r="O32" s="29">
        <v>0</v>
      </c>
      <c r="P32" s="29">
        <v>18499</v>
      </c>
      <c r="Q32" s="29">
        <v>2129</v>
      </c>
      <c r="R32" s="29">
        <v>226521</v>
      </c>
      <c r="S32" s="29">
        <v>23920</v>
      </c>
      <c r="T32" s="29">
        <v>202601</v>
      </c>
      <c r="U32" s="29">
        <v>109779</v>
      </c>
      <c r="V32" s="29">
        <v>92822</v>
      </c>
    </row>
    <row r="33" spans="1:22" x14ac:dyDescent="0.2">
      <c r="A33" s="20" t="s">
        <v>93</v>
      </c>
      <c r="B33" s="20" t="s">
        <v>494</v>
      </c>
      <c r="C33" s="25">
        <v>89.48</v>
      </c>
      <c r="D33" s="27">
        <v>690.4</v>
      </c>
      <c r="E33" s="25">
        <v>779.88</v>
      </c>
      <c r="F33" s="25">
        <v>0</v>
      </c>
      <c r="G33" s="29">
        <v>14</v>
      </c>
      <c r="H33" s="27">
        <v>0</v>
      </c>
      <c r="I33" s="29">
        <v>704</v>
      </c>
      <c r="J33" s="29">
        <v>238090</v>
      </c>
      <c r="K33" s="29">
        <v>0</v>
      </c>
      <c r="L33" s="29">
        <v>238090</v>
      </c>
      <c r="M33" s="29">
        <v>39790</v>
      </c>
      <c r="N33" s="29">
        <v>44401</v>
      </c>
      <c r="O33" s="29">
        <v>0</v>
      </c>
      <c r="P33" s="29">
        <v>29963</v>
      </c>
      <c r="Q33" s="29">
        <v>3447</v>
      </c>
      <c r="R33" s="29">
        <v>355691</v>
      </c>
      <c r="S33" s="29">
        <v>34532</v>
      </c>
      <c r="T33" s="29">
        <v>321159</v>
      </c>
      <c r="U33" s="29">
        <v>184489</v>
      </c>
      <c r="V33" s="29">
        <v>136670</v>
      </c>
    </row>
    <row r="34" spans="1:22" x14ac:dyDescent="0.2">
      <c r="A34" s="20" t="s">
        <v>94</v>
      </c>
      <c r="B34" s="20" t="s">
        <v>495</v>
      </c>
      <c r="C34" s="25">
        <v>194.71</v>
      </c>
      <c r="D34" s="27">
        <v>1437.5</v>
      </c>
      <c r="E34" s="25">
        <v>1632.21</v>
      </c>
      <c r="F34" s="25">
        <v>0</v>
      </c>
      <c r="G34" s="29">
        <v>139</v>
      </c>
      <c r="H34" s="27">
        <v>3.9</v>
      </c>
      <c r="I34" s="29">
        <v>1573</v>
      </c>
      <c r="J34" s="29">
        <v>498297</v>
      </c>
      <c r="K34" s="29">
        <v>0</v>
      </c>
      <c r="L34" s="29">
        <v>498297</v>
      </c>
      <c r="M34" s="29">
        <v>88906</v>
      </c>
      <c r="N34" s="29">
        <v>99209</v>
      </c>
      <c r="O34" s="29">
        <v>0</v>
      </c>
      <c r="P34" s="29">
        <v>62710</v>
      </c>
      <c r="Q34" s="29">
        <v>7214</v>
      </c>
      <c r="R34" s="29">
        <v>756336</v>
      </c>
      <c r="S34" s="29">
        <v>73977</v>
      </c>
      <c r="T34" s="29">
        <v>682359</v>
      </c>
      <c r="U34" s="29">
        <v>384413</v>
      </c>
      <c r="V34" s="29">
        <v>297946</v>
      </c>
    </row>
    <row r="35" spans="1:22" x14ac:dyDescent="0.2">
      <c r="A35" s="20" t="s">
        <v>95</v>
      </c>
      <c r="B35" s="20" t="s">
        <v>496</v>
      </c>
      <c r="C35" s="25">
        <v>128.88</v>
      </c>
      <c r="D35" s="27">
        <v>1052.7</v>
      </c>
      <c r="E35" s="25">
        <v>1181.58</v>
      </c>
      <c r="F35" s="25">
        <v>0</v>
      </c>
      <c r="G35" s="29">
        <v>5</v>
      </c>
      <c r="H35" s="27">
        <v>0</v>
      </c>
      <c r="I35" s="29">
        <v>1058</v>
      </c>
      <c r="J35" s="29">
        <v>360725</v>
      </c>
      <c r="K35" s="29">
        <v>7126</v>
      </c>
      <c r="L35" s="29">
        <v>367851</v>
      </c>
      <c r="M35" s="29">
        <v>59798</v>
      </c>
      <c r="N35" s="29">
        <v>66728</v>
      </c>
      <c r="O35" s="29">
        <v>0</v>
      </c>
      <c r="P35" s="29">
        <v>46461</v>
      </c>
      <c r="Q35" s="29">
        <v>5348</v>
      </c>
      <c r="R35" s="29">
        <v>546186</v>
      </c>
      <c r="S35" s="29">
        <v>49711</v>
      </c>
      <c r="T35" s="29">
        <v>496475</v>
      </c>
      <c r="U35" s="29">
        <v>283314</v>
      </c>
      <c r="V35" s="29">
        <v>213161</v>
      </c>
    </row>
    <row r="36" spans="1:22" x14ac:dyDescent="0.2">
      <c r="A36" s="20" t="s">
        <v>96</v>
      </c>
      <c r="B36" s="20" t="s">
        <v>497</v>
      </c>
      <c r="C36" s="25">
        <v>53.62</v>
      </c>
      <c r="D36" s="27">
        <v>432.1</v>
      </c>
      <c r="E36" s="25">
        <v>485.72</v>
      </c>
      <c r="F36" s="25">
        <v>0</v>
      </c>
      <c r="G36" s="29">
        <v>16</v>
      </c>
      <c r="H36" s="27">
        <v>0</v>
      </c>
      <c r="I36" s="29">
        <v>448</v>
      </c>
      <c r="J36" s="29">
        <v>148285</v>
      </c>
      <c r="K36" s="29">
        <v>0</v>
      </c>
      <c r="L36" s="29">
        <v>148285</v>
      </c>
      <c r="M36" s="29">
        <v>25321</v>
      </c>
      <c r="N36" s="29">
        <v>28255</v>
      </c>
      <c r="O36" s="29">
        <v>0</v>
      </c>
      <c r="P36" s="29">
        <v>18661</v>
      </c>
      <c r="Q36" s="29">
        <v>2147</v>
      </c>
      <c r="R36" s="29">
        <v>222669</v>
      </c>
      <c r="S36" s="29">
        <v>15951</v>
      </c>
      <c r="T36" s="29">
        <v>206718</v>
      </c>
      <c r="U36" s="29">
        <v>120458</v>
      </c>
      <c r="V36" s="29">
        <v>86260</v>
      </c>
    </row>
    <row r="37" spans="1:22" x14ac:dyDescent="0.2">
      <c r="A37" s="20" t="s">
        <v>97</v>
      </c>
      <c r="B37" s="20" t="s">
        <v>498</v>
      </c>
      <c r="C37" s="25">
        <v>98.27</v>
      </c>
      <c r="D37" s="27">
        <v>919.2</v>
      </c>
      <c r="E37" s="25">
        <v>1017.47</v>
      </c>
      <c r="F37" s="25">
        <v>0</v>
      </c>
      <c r="G37" s="29">
        <v>118</v>
      </c>
      <c r="H37" s="27">
        <v>0</v>
      </c>
      <c r="I37" s="29">
        <v>1037</v>
      </c>
      <c r="J37" s="29">
        <v>310623</v>
      </c>
      <c r="K37" s="29">
        <v>0</v>
      </c>
      <c r="L37" s="29">
        <v>310623</v>
      </c>
      <c r="M37" s="29">
        <v>58611</v>
      </c>
      <c r="N37" s="29">
        <v>65404</v>
      </c>
      <c r="O37" s="29">
        <v>0</v>
      </c>
      <c r="P37" s="29">
        <v>39091</v>
      </c>
      <c r="Q37" s="29">
        <v>4497</v>
      </c>
      <c r="R37" s="29">
        <v>478226</v>
      </c>
      <c r="S37" s="29">
        <v>41079</v>
      </c>
      <c r="T37" s="29">
        <v>437147</v>
      </c>
      <c r="U37" s="29">
        <v>244667</v>
      </c>
      <c r="V37" s="29">
        <v>192480</v>
      </c>
    </row>
    <row r="38" spans="1:22" x14ac:dyDescent="0.2">
      <c r="A38" s="20" t="s">
        <v>98</v>
      </c>
      <c r="B38" s="20" t="s">
        <v>499</v>
      </c>
      <c r="C38" s="25">
        <v>83.03</v>
      </c>
      <c r="D38" s="27">
        <v>595.70000000000005</v>
      </c>
      <c r="E38" s="25">
        <v>678.73</v>
      </c>
      <c r="F38" s="25">
        <v>0</v>
      </c>
      <c r="G38" s="29">
        <v>0</v>
      </c>
      <c r="H38" s="27">
        <v>0</v>
      </c>
      <c r="I38" s="29">
        <v>596</v>
      </c>
      <c r="J38" s="29">
        <v>207209</v>
      </c>
      <c r="K38" s="29">
        <v>3748</v>
      </c>
      <c r="L38" s="29">
        <v>210957</v>
      </c>
      <c r="M38" s="29">
        <v>33686</v>
      </c>
      <c r="N38" s="29">
        <v>37590</v>
      </c>
      <c r="O38" s="29">
        <v>0</v>
      </c>
      <c r="P38" s="29">
        <v>26645</v>
      </c>
      <c r="Q38" s="29">
        <v>3067</v>
      </c>
      <c r="R38" s="29">
        <v>311945</v>
      </c>
      <c r="S38" s="29">
        <v>32934</v>
      </c>
      <c r="T38" s="29">
        <v>279011</v>
      </c>
      <c r="U38" s="29">
        <v>158316</v>
      </c>
      <c r="V38" s="29">
        <v>120695</v>
      </c>
    </row>
    <row r="39" spans="1:22" x14ac:dyDescent="0.2">
      <c r="A39" s="20" t="s">
        <v>82</v>
      </c>
      <c r="B39" s="20" t="s">
        <v>485</v>
      </c>
      <c r="C39" s="25">
        <v>73.650000000000006</v>
      </c>
      <c r="D39" s="27">
        <v>557.5</v>
      </c>
      <c r="E39" s="25">
        <v>631.15</v>
      </c>
      <c r="F39" s="25">
        <v>0</v>
      </c>
      <c r="G39" s="29">
        <v>7</v>
      </c>
      <c r="H39" s="27">
        <v>0</v>
      </c>
      <c r="I39" s="29">
        <v>565</v>
      </c>
      <c r="J39" s="29">
        <v>192684</v>
      </c>
      <c r="K39" s="29">
        <v>22919</v>
      </c>
      <c r="L39" s="29">
        <v>215603</v>
      </c>
      <c r="M39" s="29">
        <v>31934</v>
      </c>
      <c r="N39" s="29">
        <v>35635</v>
      </c>
      <c r="O39" s="29">
        <v>0</v>
      </c>
      <c r="P39" s="29">
        <v>24291</v>
      </c>
      <c r="Q39" s="29">
        <v>2796</v>
      </c>
      <c r="R39" s="29">
        <v>310259</v>
      </c>
      <c r="S39" s="29">
        <v>36691</v>
      </c>
      <c r="T39" s="29">
        <v>273568</v>
      </c>
      <c r="U39" s="29">
        <v>140610</v>
      </c>
      <c r="V39" s="29">
        <v>132958</v>
      </c>
    </row>
    <row r="40" spans="1:22" x14ac:dyDescent="0.2">
      <c r="A40" s="20" t="s">
        <v>99</v>
      </c>
      <c r="B40" s="20" t="s">
        <v>500</v>
      </c>
      <c r="C40" s="25">
        <v>672.46</v>
      </c>
      <c r="D40" s="27">
        <v>5364.6</v>
      </c>
      <c r="E40" s="25">
        <v>6037.06</v>
      </c>
      <c r="F40" s="25">
        <v>0</v>
      </c>
      <c r="G40" s="29">
        <v>216</v>
      </c>
      <c r="H40" s="27">
        <v>3.7</v>
      </c>
      <c r="I40" s="29">
        <v>5577</v>
      </c>
      <c r="J40" s="29">
        <v>1843054</v>
      </c>
      <c r="K40" s="29">
        <v>0</v>
      </c>
      <c r="L40" s="29">
        <v>1843054</v>
      </c>
      <c r="M40" s="29">
        <v>315212</v>
      </c>
      <c r="N40" s="29">
        <v>351741</v>
      </c>
      <c r="O40" s="29">
        <v>0</v>
      </c>
      <c r="P40" s="29">
        <v>231944</v>
      </c>
      <c r="Q40" s="29">
        <v>26684</v>
      </c>
      <c r="R40" s="29">
        <v>2768635</v>
      </c>
      <c r="S40" s="29">
        <v>232815</v>
      </c>
      <c r="T40" s="29">
        <v>2535820</v>
      </c>
      <c r="U40" s="29">
        <v>1462633</v>
      </c>
      <c r="V40" s="29">
        <v>1073187</v>
      </c>
    </row>
    <row r="41" spans="1:22" x14ac:dyDescent="0.2">
      <c r="A41" s="20" t="s">
        <v>100</v>
      </c>
      <c r="B41" s="20" t="s">
        <v>501</v>
      </c>
      <c r="C41" s="25">
        <v>636.74</v>
      </c>
      <c r="D41" s="27">
        <v>3593.4</v>
      </c>
      <c r="E41" s="25">
        <v>4230.1400000000003</v>
      </c>
      <c r="F41" s="25">
        <v>0</v>
      </c>
      <c r="G41" s="29">
        <v>466</v>
      </c>
      <c r="H41" s="27">
        <v>5.9</v>
      </c>
      <c r="I41" s="29">
        <v>4054</v>
      </c>
      <c r="J41" s="29">
        <v>1291419</v>
      </c>
      <c r="K41" s="29">
        <v>13366</v>
      </c>
      <c r="L41" s="29">
        <v>1304785</v>
      </c>
      <c r="M41" s="29">
        <v>229132</v>
      </c>
      <c r="N41" s="29">
        <v>255686</v>
      </c>
      <c r="O41" s="29">
        <v>0</v>
      </c>
      <c r="P41" s="29">
        <v>162522</v>
      </c>
      <c r="Q41" s="29">
        <v>18697</v>
      </c>
      <c r="R41" s="29">
        <v>1970822</v>
      </c>
      <c r="S41" s="29">
        <v>218724</v>
      </c>
      <c r="T41" s="29">
        <v>1752098</v>
      </c>
      <c r="U41" s="29">
        <v>969268</v>
      </c>
      <c r="V41" s="29">
        <v>782830</v>
      </c>
    </row>
    <row r="42" spans="1:22" x14ac:dyDescent="0.2">
      <c r="A42" s="20" t="s">
        <v>101</v>
      </c>
      <c r="B42" s="20" t="s">
        <v>502</v>
      </c>
      <c r="C42" s="25">
        <v>51.56</v>
      </c>
      <c r="D42" s="27">
        <v>487.4</v>
      </c>
      <c r="E42" s="25">
        <v>538.96</v>
      </c>
      <c r="F42" s="25">
        <v>0</v>
      </c>
      <c r="G42" s="29">
        <v>3</v>
      </c>
      <c r="H42" s="27">
        <v>0</v>
      </c>
      <c r="I42" s="29">
        <v>490</v>
      </c>
      <c r="J42" s="29">
        <v>164539</v>
      </c>
      <c r="K42" s="29">
        <v>8998</v>
      </c>
      <c r="L42" s="29">
        <v>173537</v>
      </c>
      <c r="M42" s="29">
        <v>27695</v>
      </c>
      <c r="N42" s="29">
        <v>30904</v>
      </c>
      <c r="O42" s="29">
        <v>0</v>
      </c>
      <c r="P42" s="29">
        <v>20707</v>
      </c>
      <c r="Q42" s="29">
        <v>2382</v>
      </c>
      <c r="R42" s="29">
        <v>255225</v>
      </c>
      <c r="S42" s="29">
        <v>24738</v>
      </c>
      <c r="T42" s="29">
        <v>230487</v>
      </c>
      <c r="U42" s="29">
        <v>126623</v>
      </c>
      <c r="V42" s="29">
        <v>103864</v>
      </c>
    </row>
    <row r="43" spans="1:22" x14ac:dyDescent="0.2">
      <c r="A43" s="20" t="s">
        <v>102</v>
      </c>
      <c r="B43" s="20" t="s">
        <v>503</v>
      </c>
      <c r="C43" s="25">
        <v>71.59</v>
      </c>
      <c r="D43" s="27">
        <v>599.79999999999995</v>
      </c>
      <c r="E43" s="25">
        <v>671.39</v>
      </c>
      <c r="F43" s="25">
        <v>0</v>
      </c>
      <c r="G43" s="29">
        <v>2</v>
      </c>
      <c r="H43" s="27">
        <v>0</v>
      </c>
      <c r="I43" s="29">
        <v>602</v>
      </c>
      <c r="J43" s="29">
        <v>204969</v>
      </c>
      <c r="K43" s="29">
        <v>0</v>
      </c>
      <c r="L43" s="29">
        <v>204969</v>
      </c>
      <c r="M43" s="29">
        <v>34025</v>
      </c>
      <c r="N43" s="29">
        <v>37968</v>
      </c>
      <c r="O43" s="29">
        <v>0</v>
      </c>
      <c r="P43" s="29">
        <v>25795</v>
      </c>
      <c r="Q43" s="29">
        <v>2968</v>
      </c>
      <c r="R43" s="29">
        <v>305725</v>
      </c>
      <c r="S43" s="29">
        <v>37009</v>
      </c>
      <c r="T43" s="29">
        <v>268716</v>
      </c>
      <c r="U43" s="29">
        <v>151545</v>
      </c>
      <c r="V43" s="29">
        <v>117171</v>
      </c>
    </row>
    <row r="44" spans="1:22" x14ac:dyDescent="0.2">
      <c r="A44" s="20" t="s">
        <v>74</v>
      </c>
      <c r="B44" s="20" t="s">
        <v>477</v>
      </c>
      <c r="C44" s="25">
        <v>114.34</v>
      </c>
      <c r="D44" s="27">
        <v>797</v>
      </c>
      <c r="E44" s="25">
        <v>911.34</v>
      </c>
      <c r="F44" s="25">
        <v>0</v>
      </c>
      <c r="G44" s="29">
        <v>48</v>
      </c>
      <c r="H44" s="27">
        <v>0</v>
      </c>
      <c r="I44" s="29">
        <v>845</v>
      </c>
      <c r="J44" s="29">
        <v>278223</v>
      </c>
      <c r="K44" s="29">
        <v>2681</v>
      </c>
      <c r="L44" s="29">
        <v>280904</v>
      </c>
      <c r="M44" s="29">
        <v>47759</v>
      </c>
      <c r="N44" s="29">
        <v>53294</v>
      </c>
      <c r="O44" s="29">
        <v>0</v>
      </c>
      <c r="P44" s="29">
        <v>35479</v>
      </c>
      <c r="Q44" s="29">
        <v>4084</v>
      </c>
      <c r="R44" s="29">
        <v>421520</v>
      </c>
      <c r="S44" s="29">
        <v>46457</v>
      </c>
      <c r="T44" s="29">
        <v>375063</v>
      </c>
      <c r="U44" s="29">
        <v>210005</v>
      </c>
      <c r="V44" s="29">
        <v>165058</v>
      </c>
    </row>
    <row r="45" spans="1:22" x14ac:dyDescent="0.2">
      <c r="A45" s="20" t="s">
        <v>105</v>
      </c>
      <c r="B45" s="20" t="s">
        <v>506</v>
      </c>
      <c r="C45" s="25">
        <v>59.19</v>
      </c>
      <c r="D45" s="27">
        <v>446</v>
      </c>
      <c r="E45" s="25">
        <v>505.19</v>
      </c>
      <c r="F45" s="25">
        <v>0</v>
      </c>
      <c r="G45" s="29">
        <v>0</v>
      </c>
      <c r="H45" s="27">
        <v>0</v>
      </c>
      <c r="I45" s="29">
        <v>446</v>
      </c>
      <c r="J45" s="29">
        <v>154229</v>
      </c>
      <c r="K45" s="29">
        <v>5450</v>
      </c>
      <c r="L45" s="29">
        <v>159679</v>
      </c>
      <c r="M45" s="29">
        <v>25208</v>
      </c>
      <c r="N45" s="29">
        <v>28129</v>
      </c>
      <c r="O45" s="29">
        <v>0</v>
      </c>
      <c r="P45" s="29">
        <v>19409</v>
      </c>
      <c r="Q45" s="29">
        <v>2233</v>
      </c>
      <c r="R45" s="29">
        <v>234658</v>
      </c>
      <c r="S45" s="29">
        <v>23815</v>
      </c>
      <c r="T45" s="29">
        <v>210843</v>
      </c>
      <c r="U45" s="29">
        <v>118062</v>
      </c>
      <c r="V45" s="29">
        <v>92781</v>
      </c>
    </row>
    <row r="46" spans="1:22" x14ac:dyDescent="0.2">
      <c r="A46" s="20" t="s">
        <v>106</v>
      </c>
      <c r="B46" s="20" t="s">
        <v>507</v>
      </c>
      <c r="C46" s="25">
        <v>58.91</v>
      </c>
      <c r="D46" s="27">
        <v>511.5</v>
      </c>
      <c r="E46" s="25">
        <v>570.41</v>
      </c>
      <c r="F46" s="25">
        <v>0</v>
      </c>
      <c r="G46" s="29">
        <v>0</v>
      </c>
      <c r="H46" s="27">
        <v>0</v>
      </c>
      <c r="I46" s="29">
        <v>512</v>
      </c>
      <c r="J46" s="29">
        <v>174140</v>
      </c>
      <c r="K46" s="29">
        <v>0</v>
      </c>
      <c r="L46" s="29">
        <v>174140</v>
      </c>
      <c r="M46" s="29">
        <v>28938</v>
      </c>
      <c r="N46" s="29">
        <v>32292</v>
      </c>
      <c r="O46" s="29">
        <v>0</v>
      </c>
      <c r="P46" s="29">
        <v>21915</v>
      </c>
      <c r="Q46" s="29">
        <v>2521</v>
      </c>
      <c r="R46" s="29">
        <v>259806</v>
      </c>
      <c r="S46" s="29">
        <v>25116</v>
      </c>
      <c r="T46" s="29">
        <v>234690</v>
      </c>
      <c r="U46" s="29">
        <v>135078</v>
      </c>
      <c r="V46" s="29">
        <v>99612</v>
      </c>
    </row>
    <row r="47" spans="1:22" x14ac:dyDescent="0.2">
      <c r="A47" s="20" t="s">
        <v>107</v>
      </c>
      <c r="B47" s="20" t="s">
        <v>508</v>
      </c>
      <c r="C47" s="25">
        <v>81.39</v>
      </c>
      <c r="D47" s="27">
        <v>918.7</v>
      </c>
      <c r="E47" s="25">
        <v>1000.09</v>
      </c>
      <c r="F47" s="25">
        <v>0</v>
      </c>
      <c r="G47" s="29">
        <v>1</v>
      </c>
      <c r="H47" s="27">
        <v>0</v>
      </c>
      <c r="I47" s="29">
        <v>920</v>
      </c>
      <c r="J47" s="29">
        <v>305317</v>
      </c>
      <c r="K47" s="29">
        <v>2100</v>
      </c>
      <c r="L47" s="29">
        <v>307417</v>
      </c>
      <c r="M47" s="29">
        <v>51998</v>
      </c>
      <c r="N47" s="29">
        <v>58024</v>
      </c>
      <c r="O47" s="29">
        <v>0</v>
      </c>
      <c r="P47" s="29">
        <v>38423</v>
      </c>
      <c r="Q47" s="29">
        <v>4420</v>
      </c>
      <c r="R47" s="29">
        <v>460282</v>
      </c>
      <c r="S47" s="29">
        <v>47573</v>
      </c>
      <c r="T47" s="29">
        <v>412709</v>
      </c>
      <c r="U47" s="29">
        <v>233291</v>
      </c>
      <c r="V47" s="29">
        <v>179418</v>
      </c>
    </row>
    <row r="48" spans="1:22" x14ac:dyDescent="0.2">
      <c r="A48" s="20" t="s">
        <v>108</v>
      </c>
      <c r="B48" s="20" t="s">
        <v>509</v>
      </c>
      <c r="C48" s="25">
        <v>67.209999999999994</v>
      </c>
      <c r="D48" s="27">
        <v>414</v>
      </c>
      <c r="E48" s="25">
        <v>481.21</v>
      </c>
      <c r="F48" s="25">
        <v>0</v>
      </c>
      <c r="G48" s="29">
        <v>6</v>
      </c>
      <c r="H48" s="27">
        <v>0</v>
      </c>
      <c r="I48" s="29">
        <v>420</v>
      </c>
      <c r="J48" s="29">
        <v>146909</v>
      </c>
      <c r="K48" s="29">
        <v>11114</v>
      </c>
      <c r="L48" s="29">
        <v>158023</v>
      </c>
      <c r="M48" s="29">
        <v>23738</v>
      </c>
      <c r="N48" s="29">
        <v>26489</v>
      </c>
      <c r="O48" s="29">
        <v>0</v>
      </c>
      <c r="P48" s="29">
        <v>18488</v>
      </c>
      <c r="Q48" s="29">
        <v>2127</v>
      </c>
      <c r="R48" s="29">
        <v>228865</v>
      </c>
      <c r="S48" s="29">
        <v>29454</v>
      </c>
      <c r="T48" s="29">
        <v>199411</v>
      </c>
      <c r="U48" s="29">
        <v>105689</v>
      </c>
      <c r="V48" s="29">
        <v>93722</v>
      </c>
    </row>
    <row r="49" spans="1:22" x14ac:dyDescent="0.2">
      <c r="A49" s="20" t="s">
        <v>110</v>
      </c>
      <c r="B49" s="20" t="s">
        <v>511</v>
      </c>
      <c r="C49" s="25">
        <v>60.18</v>
      </c>
      <c r="D49" s="27">
        <v>577.79999999999995</v>
      </c>
      <c r="E49" s="25">
        <v>637.98</v>
      </c>
      <c r="F49" s="25">
        <v>0</v>
      </c>
      <c r="G49" s="29">
        <v>0</v>
      </c>
      <c r="H49" s="27">
        <v>0</v>
      </c>
      <c r="I49" s="29">
        <v>578</v>
      </c>
      <c r="J49" s="29">
        <v>194769</v>
      </c>
      <c r="K49" s="29">
        <v>4503</v>
      </c>
      <c r="L49" s="29">
        <v>199272</v>
      </c>
      <c r="M49" s="29">
        <v>32669</v>
      </c>
      <c r="N49" s="29">
        <v>36454</v>
      </c>
      <c r="O49" s="29">
        <v>0</v>
      </c>
      <c r="P49" s="29">
        <v>24511</v>
      </c>
      <c r="Q49" s="29">
        <v>2820</v>
      </c>
      <c r="R49" s="29">
        <v>295726</v>
      </c>
      <c r="S49" s="29">
        <v>34964</v>
      </c>
      <c r="T49" s="29">
        <v>260762</v>
      </c>
      <c r="U49" s="29">
        <v>144206</v>
      </c>
      <c r="V49" s="29">
        <v>116556</v>
      </c>
    </row>
    <row r="50" spans="1:22" x14ac:dyDescent="0.2">
      <c r="A50" s="20" t="s">
        <v>117</v>
      </c>
      <c r="B50" s="20" t="s">
        <v>518</v>
      </c>
      <c r="C50" s="25">
        <v>115.79</v>
      </c>
      <c r="D50" s="27">
        <v>704</v>
      </c>
      <c r="E50" s="25">
        <v>819.79</v>
      </c>
      <c r="F50" s="25">
        <v>0</v>
      </c>
      <c r="G50" s="29">
        <v>39</v>
      </c>
      <c r="H50" s="27">
        <v>0</v>
      </c>
      <c r="I50" s="29">
        <v>743</v>
      </c>
      <c r="J50" s="29">
        <v>250274</v>
      </c>
      <c r="K50" s="29">
        <v>0</v>
      </c>
      <c r="L50" s="29">
        <v>250274</v>
      </c>
      <c r="M50" s="29">
        <v>41994</v>
      </c>
      <c r="N50" s="29">
        <v>46861</v>
      </c>
      <c r="O50" s="29">
        <v>0</v>
      </c>
      <c r="P50" s="29">
        <v>31496</v>
      </c>
      <c r="Q50" s="29">
        <v>3623</v>
      </c>
      <c r="R50" s="29">
        <v>374248</v>
      </c>
      <c r="S50" s="29">
        <v>44215</v>
      </c>
      <c r="T50" s="29">
        <v>330033</v>
      </c>
      <c r="U50" s="29">
        <v>186014</v>
      </c>
      <c r="V50" s="29">
        <v>144019</v>
      </c>
    </row>
    <row r="51" spans="1:22" x14ac:dyDescent="0.2">
      <c r="A51" s="20" t="s">
        <v>109</v>
      </c>
      <c r="B51" s="20" t="s">
        <v>510</v>
      </c>
      <c r="C51" s="25">
        <v>256.02999999999997</v>
      </c>
      <c r="D51" s="27">
        <v>1541.1</v>
      </c>
      <c r="E51" s="25">
        <v>1797.13</v>
      </c>
      <c r="F51" s="25">
        <v>0</v>
      </c>
      <c r="G51" s="29">
        <v>1</v>
      </c>
      <c r="H51" s="27">
        <v>0</v>
      </c>
      <c r="I51" s="29">
        <v>1542</v>
      </c>
      <c r="J51" s="29">
        <v>548646</v>
      </c>
      <c r="K51" s="29">
        <v>0</v>
      </c>
      <c r="L51" s="29">
        <v>548646</v>
      </c>
      <c r="M51" s="29">
        <v>87154</v>
      </c>
      <c r="N51" s="29">
        <v>97254</v>
      </c>
      <c r="O51" s="29">
        <v>0</v>
      </c>
      <c r="P51" s="29">
        <v>69046</v>
      </c>
      <c r="Q51" s="29">
        <v>7943</v>
      </c>
      <c r="R51" s="29">
        <v>810043</v>
      </c>
      <c r="S51" s="29">
        <v>75549</v>
      </c>
      <c r="T51" s="29">
        <v>734494</v>
      </c>
      <c r="U51" s="29">
        <v>429157</v>
      </c>
      <c r="V51" s="29">
        <v>305337</v>
      </c>
    </row>
    <row r="52" spans="1:22" x14ac:dyDescent="0.2">
      <c r="A52" s="20" t="s">
        <v>111</v>
      </c>
      <c r="B52" s="20" t="s">
        <v>512</v>
      </c>
      <c r="C52" s="25">
        <v>118.29</v>
      </c>
      <c r="D52" s="27">
        <v>818.8</v>
      </c>
      <c r="E52" s="25">
        <v>937.09</v>
      </c>
      <c r="F52" s="25">
        <v>0</v>
      </c>
      <c r="G52" s="29">
        <v>3</v>
      </c>
      <c r="H52" s="27">
        <v>0</v>
      </c>
      <c r="I52" s="29">
        <v>822</v>
      </c>
      <c r="J52" s="29">
        <v>286084</v>
      </c>
      <c r="K52" s="29">
        <v>0</v>
      </c>
      <c r="L52" s="29">
        <v>286084</v>
      </c>
      <c r="M52" s="29">
        <v>46459</v>
      </c>
      <c r="N52" s="29">
        <v>51844</v>
      </c>
      <c r="O52" s="29">
        <v>0</v>
      </c>
      <c r="P52" s="29">
        <v>36003</v>
      </c>
      <c r="Q52" s="29">
        <v>4142</v>
      </c>
      <c r="R52" s="29">
        <v>424532</v>
      </c>
      <c r="S52" s="29">
        <v>48164</v>
      </c>
      <c r="T52" s="29">
        <v>376368</v>
      </c>
      <c r="U52" s="29">
        <v>215008</v>
      </c>
      <c r="V52" s="29">
        <v>161360</v>
      </c>
    </row>
    <row r="53" spans="1:22" x14ac:dyDescent="0.2">
      <c r="A53" s="20" t="s">
        <v>112</v>
      </c>
      <c r="B53" s="20" t="s">
        <v>513</v>
      </c>
      <c r="C53" s="25">
        <v>54.17</v>
      </c>
      <c r="D53" s="27">
        <v>410</v>
      </c>
      <c r="E53" s="25">
        <v>464.17</v>
      </c>
      <c r="F53" s="25">
        <v>0</v>
      </c>
      <c r="G53" s="29">
        <v>4</v>
      </c>
      <c r="H53" s="27">
        <v>0</v>
      </c>
      <c r="I53" s="29">
        <v>414</v>
      </c>
      <c r="J53" s="29">
        <v>141706</v>
      </c>
      <c r="K53" s="29">
        <v>10618</v>
      </c>
      <c r="L53" s="29">
        <v>152324</v>
      </c>
      <c r="M53" s="29">
        <v>23399</v>
      </c>
      <c r="N53" s="29">
        <v>26111</v>
      </c>
      <c r="O53" s="29">
        <v>0</v>
      </c>
      <c r="P53" s="29">
        <v>17893</v>
      </c>
      <c r="Q53" s="29">
        <v>2060</v>
      </c>
      <c r="R53" s="29">
        <v>221787</v>
      </c>
      <c r="S53" s="29">
        <v>22675</v>
      </c>
      <c r="T53" s="29">
        <v>199112</v>
      </c>
      <c r="U53" s="29">
        <v>107750</v>
      </c>
      <c r="V53" s="29">
        <v>91362</v>
      </c>
    </row>
    <row r="54" spans="1:22" x14ac:dyDescent="0.2">
      <c r="A54" s="20" t="s">
        <v>114</v>
      </c>
      <c r="B54" s="20" t="s">
        <v>515</v>
      </c>
      <c r="C54" s="25">
        <v>66.69</v>
      </c>
      <c r="D54" s="27">
        <v>678.6</v>
      </c>
      <c r="E54" s="25">
        <v>745.29</v>
      </c>
      <c r="F54" s="25">
        <v>0</v>
      </c>
      <c r="G54" s="29">
        <v>25</v>
      </c>
      <c r="H54" s="27">
        <v>0</v>
      </c>
      <c r="I54" s="29">
        <v>704</v>
      </c>
      <c r="J54" s="29">
        <v>227530</v>
      </c>
      <c r="K54" s="29">
        <v>0</v>
      </c>
      <c r="L54" s="29">
        <v>227530</v>
      </c>
      <c r="M54" s="29">
        <v>39790</v>
      </c>
      <c r="N54" s="29">
        <v>44401</v>
      </c>
      <c r="O54" s="29">
        <v>0</v>
      </c>
      <c r="P54" s="29">
        <v>28634</v>
      </c>
      <c r="Q54" s="29">
        <v>3294</v>
      </c>
      <c r="R54" s="29">
        <v>343649</v>
      </c>
      <c r="S54" s="29">
        <v>33496</v>
      </c>
      <c r="T54" s="29">
        <v>310153</v>
      </c>
      <c r="U54" s="29">
        <v>175811</v>
      </c>
      <c r="V54" s="29">
        <v>134342</v>
      </c>
    </row>
    <row r="55" spans="1:22" x14ac:dyDescent="0.2">
      <c r="A55" s="20" t="s">
        <v>115</v>
      </c>
      <c r="B55" s="20" t="s">
        <v>516</v>
      </c>
      <c r="C55" s="25">
        <v>2338.4</v>
      </c>
      <c r="D55" s="27">
        <v>10776.7</v>
      </c>
      <c r="E55" s="25">
        <v>13115.1</v>
      </c>
      <c r="F55" s="25">
        <v>0</v>
      </c>
      <c r="G55" s="29">
        <v>1333</v>
      </c>
      <c r="H55" s="27">
        <v>4.0999999999999996</v>
      </c>
      <c r="I55" s="29">
        <v>12106</v>
      </c>
      <c r="J55" s="29">
        <v>4003909</v>
      </c>
      <c r="K55" s="29">
        <v>0</v>
      </c>
      <c r="L55" s="29">
        <v>4003909</v>
      </c>
      <c r="M55" s="29">
        <v>684231</v>
      </c>
      <c r="N55" s="29">
        <v>763525</v>
      </c>
      <c r="O55" s="29">
        <v>0</v>
      </c>
      <c r="P55" s="29">
        <v>503882</v>
      </c>
      <c r="Q55" s="29">
        <v>57969</v>
      </c>
      <c r="R55" s="29">
        <v>6013516</v>
      </c>
      <c r="S55" s="29">
        <v>541622</v>
      </c>
      <c r="T55" s="29">
        <v>5471894</v>
      </c>
      <c r="U55" s="29">
        <v>3141623</v>
      </c>
      <c r="V55" s="29">
        <v>2330271</v>
      </c>
    </row>
    <row r="56" spans="1:22" x14ac:dyDescent="0.2">
      <c r="A56" s="20" t="s">
        <v>116</v>
      </c>
      <c r="B56" s="20" t="s">
        <v>517</v>
      </c>
      <c r="C56" s="25">
        <v>265.68</v>
      </c>
      <c r="D56" s="27">
        <v>2118</v>
      </c>
      <c r="E56" s="25">
        <v>2383.6799999999998</v>
      </c>
      <c r="F56" s="25">
        <v>0</v>
      </c>
      <c r="G56" s="29">
        <v>112</v>
      </c>
      <c r="H56" s="27">
        <v>2.1</v>
      </c>
      <c r="I56" s="29">
        <v>2228</v>
      </c>
      <c r="J56" s="29">
        <v>727714</v>
      </c>
      <c r="K56" s="29">
        <v>0</v>
      </c>
      <c r="L56" s="29">
        <v>727714</v>
      </c>
      <c r="M56" s="29">
        <v>125927</v>
      </c>
      <c r="N56" s="29">
        <v>140520</v>
      </c>
      <c r="O56" s="29">
        <v>0</v>
      </c>
      <c r="P56" s="29">
        <v>91581</v>
      </c>
      <c r="Q56" s="29">
        <v>10536</v>
      </c>
      <c r="R56" s="29">
        <v>1096278</v>
      </c>
      <c r="S56" s="29">
        <v>88570</v>
      </c>
      <c r="T56" s="29">
        <v>1007708</v>
      </c>
      <c r="U56" s="29">
        <v>580863</v>
      </c>
      <c r="V56" s="29">
        <v>426845</v>
      </c>
    </row>
    <row r="57" spans="1:22" x14ac:dyDescent="0.2">
      <c r="A57" s="20" t="s">
        <v>119</v>
      </c>
      <c r="B57" s="20" t="s">
        <v>520</v>
      </c>
      <c r="C57" s="25">
        <v>89.19</v>
      </c>
      <c r="D57" s="27">
        <v>870.1</v>
      </c>
      <c r="E57" s="25">
        <v>959.29</v>
      </c>
      <c r="F57" s="25">
        <v>0</v>
      </c>
      <c r="G57" s="29">
        <v>2</v>
      </c>
      <c r="H57" s="27">
        <v>0</v>
      </c>
      <c r="I57" s="29">
        <v>872</v>
      </c>
      <c r="J57" s="29">
        <v>292862</v>
      </c>
      <c r="K57" s="29">
        <v>1901</v>
      </c>
      <c r="L57" s="29">
        <v>294763</v>
      </c>
      <c r="M57" s="29">
        <v>49285</v>
      </c>
      <c r="N57" s="29">
        <v>54997</v>
      </c>
      <c r="O57" s="29">
        <v>0</v>
      </c>
      <c r="P57" s="29">
        <v>37230</v>
      </c>
      <c r="Q57" s="29">
        <v>4285</v>
      </c>
      <c r="R57" s="29">
        <v>440560</v>
      </c>
      <c r="S57" s="29">
        <v>38932</v>
      </c>
      <c r="T57" s="29">
        <v>401628</v>
      </c>
      <c r="U57" s="29">
        <v>230894</v>
      </c>
      <c r="V57" s="29">
        <v>170734</v>
      </c>
    </row>
    <row r="58" spans="1:22" x14ac:dyDescent="0.2">
      <c r="A58" s="24" t="s">
        <v>398</v>
      </c>
      <c r="B58" s="24"/>
      <c r="C58" s="26">
        <v>9202.0700000000015</v>
      </c>
      <c r="D58" s="28">
        <v>62053.500000000007</v>
      </c>
      <c r="E58" s="26">
        <v>71255.569999999978</v>
      </c>
      <c r="F58" s="26">
        <v>0</v>
      </c>
      <c r="G58" s="30">
        <v>3311</v>
      </c>
      <c r="H58" s="28">
        <v>25.400000000000006</v>
      </c>
      <c r="I58" s="30">
        <v>65343</v>
      </c>
      <c r="J58" s="30">
        <v>21753609</v>
      </c>
      <c r="K58" s="30">
        <v>313801</v>
      </c>
      <c r="L58" s="30">
        <v>22067410</v>
      </c>
      <c r="M58" s="30">
        <v>3693183</v>
      </c>
      <c r="N58" s="30">
        <v>4121177</v>
      </c>
      <c r="O58" s="30">
        <v>0</v>
      </c>
      <c r="P58" s="30">
        <v>2742562</v>
      </c>
      <c r="Q58" s="30">
        <v>315541</v>
      </c>
      <c r="R58" s="30">
        <v>32939873</v>
      </c>
      <c r="S58" s="30">
        <v>3147744</v>
      </c>
      <c r="T58" s="30">
        <v>29792129</v>
      </c>
      <c r="U58" s="30">
        <v>16869181</v>
      </c>
      <c r="V58" s="30">
        <v>12922948</v>
      </c>
    </row>
    <row r="59" spans="1:22" ht="15" x14ac:dyDescent="0.25">
      <c r="A59"/>
      <c r="B59"/>
      <c r="C59"/>
      <c r="D59"/>
      <c r="E59"/>
      <c r="F59"/>
      <c r="G59"/>
      <c r="H59"/>
      <c r="I59"/>
      <c r="J59"/>
      <c r="K59"/>
      <c r="L59"/>
      <c r="M59"/>
      <c r="N59"/>
      <c r="O59"/>
      <c r="P59"/>
      <c r="Q59"/>
      <c r="R59"/>
      <c r="S59"/>
      <c r="T59"/>
      <c r="U59"/>
      <c r="V59"/>
    </row>
    <row r="60" spans="1:22" ht="15" x14ac:dyDescent="0.25">
      <c r="A60"/>
      <c r="B60"/>
      <c r="C60"/>
      <c r="D60"/>
      <c r="E60"/>
      <c r="F60"/>
      <c r="G60"/>
      <c r="H60"/>
      <c r="I60"/>
      <c r="J60"/>
      <c r="K60"/>
      <c r="L60"/>
      <c r="M60"/>
      <c r="N60"/>
      <c r="O60"/>
      <c r="P60"/>
      <c r="Q60"/>
      <c r="R60"/>
      <c r="S60"/>
      <c r="T60"/>
      <c r="U60"/>
      <c r="V60"/>
    </row>
    <row r="61" spans="1:22" ht="15" x14ac:dyDescent="0.25">
      <c r="A61"/>
      <c r="B61"/>
      <c r="C61"/>
      <c r="D61"/>
      <c r="E61"/>
      <c r="F61"/>
      <c r="G61"/>
      <c r="H61"/>
      <c r="I61"/>
      <c r="J61"/>
      <c r="K61"/>
      <c r="L61"/>
      <c r="M61"/>
      <c r="N61"/>
      <c r="O61"/>
      <c r="P61"/>
      <c r="Q61"/>
      <c r="R61"/>
      <c r="S61"/>
      <c r="T61"/>
      <c r="U61"/>
      <c r="V61"/>
    </row>
    <row r="62" spans="1:22" ht="15" x14ac:dyDescent="0.25">
      <c r="A62"/>
      <c r="B62"/>
      <c r="C62"/>
      <c r="D62"/>
      <c r="E62"/>
      <c r="F62"/>
      <c r="G62"/>
      <c r="H62"/>
      <c r="I62"/>
      <c r="J62"/>
      <c r="K62"/>
      <c r="L62"/>
      <c r="M62"/>
      <c r="N62"/>
      <c r="O62"/>
      <c r="P62"/>
      <c r="Q62"/>
      <c r="R62"/>
      <c r="S62"/>
      <c r="T62"/>
      <c r="U62"/>
      <c r="V62"/>
    </row>
    <row r="63" spans="1:22" ht="15" x14ac:dyDescent="0.25">
      <c r="A63"/>
      <c r="B63"/>
      <c r="C63"/>
      <c r="D63"/>
      <c r="E63"/>
      <c r="F63"/>
      <c r="G63"/>
      <c r="H63"/>
      <c r="I63"/>
      <c r="J63"/>
      <c r="K63"/>
      <c r="L63"/>
      <c r="M63"/>
      <c r="N63"/>
      <c r="O63"/>
      <c r="P63"/>
      <c r="Q63"/>
      <c r="R63"/>
      <c r="S63"/>
      <c r="T63"/>
      <c r="U63"/>
      <c r="V63"/>
    </row>
    <row r="64" spans="1:22" ht="15" x14ac:dyDescent="0.25">
      <c r="A64"/>
      <c r="B64"/>
      <c r="C64"/>
      <c r="D64"/>
      <c r="E64"/>
      <c r="F64"/>
      <c r="G64"/>
      <c r="H64"/>
      <c r="I64"/>
      <c r="J64"/>
      <c r="K64"/>
      <c r="L64"/>
      <c r="M64"/>
      <c r="N64"/>
      <c r="O64"/>
      <c r="P64"/>
      <c r="Q64"/>
      <c r="R64"/>
      <c r="S64"/>
      <c r="T64"/>
      <c r="U64"/>
      <c r="V64"/>
    </row>
    <row r="65" spans="1:22" ht="15" x14ac:dyDescent="0.25">
      <c r="A65"/>
      <c r="B65"/>
      <c r="C65"/>
      <c r="D65"/>
      <c r="E65"/>
      <c r="F65"/>
      <c r="G65"/>
      <c r="H65"/>
      <c r="I65"/>
      <c r="J65"/>
      <c r="K65"/>
      <c r="L65"/>
      <c r="M65"/>
      <c r="N65"/>
      <c r="O65"/>
      <c r="P65"/>
      <c r="Q65"/>
      <c r="R65"/>
      <c r="S65"/>
      <c r="T65"/>
      <c r="U65"/>
      <c r="V65"/>
    </row>
    <row r="66" spans="1:22" ht="15" x14ac:dyDescent="0.25">
      <c r="A66"/>
      <c r="B66"/>
      <c r="C66"/>
      <c r="D66"/>
      <c r="E66"/>
      <c r="F66"/>
      <c r="G66"/>
      <c r="H66"/>
      <c r="I66"/>
      <c r="J66"/>
      <c r="K66"/>
      <c r="L66"/>
      <c r="M66"/>
      <c r="N66"/>
      <c r="O66"/>
      <c r="P66"/>
      <c r="Q66"/>
      <c r="R66"/>
      <c r="S66"/>
      <c r="T66"/>
      <c r="U66"/>
      <c r="V66"/>
    </row>
    <row r="67" spans="1:22" ht="15" x14ac:dyDescent="0.25">
      <c r="A67"/>
      <c r="B67"/>
      <c r="C67"/>
      <c r="D67"/>
      <c r="E67"/>
      <c r="F67"/>
      <c r="G67"/>
      <c r="H67"/>
      <c r="I67"/>
      <c r="J67"/>
      <c r="K67"/>
      <c r="L67"/>
      <c r="M67"/>
      <c r="N67"/>
      <c r="O67"/>
      <c r="P67"/>
      <c r="Q67"/>
      <c r="R67"/>
      <c r="S67"/>
      <c r="T67"/>
      <c r="U67"/>
      <c r="V67"/>
    </row>
    <row r="68" spans="1:22" ht="15" x14ac:dyDescent="0.25">
      <c r="A68"/>
      <c r="B68"/>
      <c r="C68"/>
      <c r="D68"/>
      <c r="E68"/>
      <c r="F68"/>
      <c r="G68"/>
      <c r="H68"/>
      <c r="I68"/>
      <c r="J68"/>
      <c r="K68"/>
      <c r="L68"/>
      <c r="M68"/>
      <c r="N68"/>
      <c r="O68"/>
      <c r="P68"/>
      <c r="Q68"/>
      <c r="R68"/>
      <c r="S68"/>
      <c r="T68"/>
      <c r="U68"/>
      <c r="V68"/>
    </row>
    <row r="69" spans="1:22" ht="15" x14ac:dyDescent="0.25">
      <c r="A69"/>
      <c r="B69"/>
      <c r="C69"/>
      <c r="D69"/>
      <c r="E69"/>
      <c r="F69"/>
      <c r="G69"/>
      <c r="H69"/>
      <c r="I69"/>
      <c r="J69"/>
      <c r="K69"/>
      <c r="L69"/>
      <c r="M69"/>
      <c r="N69"/>
      <c r="O69"/>
      <c r="P69"/>
      <c r="Q69"/>
      <c r="R69"/>
      <c r="S69"/>
      <c r="T69"/>
      <c r="U69"/>
      <c r="V69"/>
    </row>
    <row r="70" spans="1:22" ht="15" x14ac:dyDescent="0.25">
      <c r="A70"/>
      <c r="B70"/>
      <c r="C70"/>
      <c r="D70"/>
      <c r="E70"/>
      <c r="F70"/>
      <c r="G70"/>
      <c r="H70"/>
      <c r="I70"/>
      <c r="J70"/>
      <c r="K70"/>
      <c r="L70"/>
      <c r="M70"/>
      <c r="N70"/>
      <c r="O70"/>
      <c r="P70"/>
      <c r="Q70"/>
      <c r="R70"/>
      <c r="S70"/>
      <c r="T70"/>
      <c r="U70"/>
      <c r="V70"/>
    </row>
    <row r="71" spans="1:22" ht="15" x14ac:dyDescent="0.25">
      <c r="A71"/>
      <c r="B71"/>
      <c r="C71"/>
      <c r="D71"/>
      <c r="E71"/>
      <c r="F71"/>
      <c r="G71"/>
      <c r="H71"/>
      <c r="I71"/>
      <c r="J71"/>
      <c r="K71"/>
      <c r="L71"/>
      <c r="M71"/>
      <c r="N71"/>
      <c r="O71"/>
      <c r="P71"/>
      <c r="Q71"/>
      <c r="R71"/>
      <c r="S71"/>
      <c r="T71"/>
      <c r="U71"/>
      <c r="V71"/>
    </row>
    <row r="72" spans="1:22" ht="15" x14ac:dyDescent="0.25">
      <c r="A72"/>
      <c r="B72"/>
      <c r="C72"/>
      <c r="D72"/>
      <c r="E72"/>
      <c r="F72"/>
      <c r="G72"/>
      <c r="H72"/>
      <c r="I72"/>
      <c r="J72"/>
      <c r="K72"/>
      <c r="L72"/>
      <c r="M72"/>
      <c r="N72"/>
      <c r="O72"/>
      <c r="P72"/>
      <c r="Q72"/>
      <c r="R72"/>
      <c r="S72"/>
      <c r="T72"/>
      <c r="U72"/>
      <c r="V72"/>
    </row>
    <row r="73" spans="1:22" ht="15" x14ac:dyDescent="0.25">
      <c r="A73"/>
      <c r="B73"/>
      <c r="C73"/>
      <c r="D73"/>
      <c r="E73"/>
      <c r="F73"/>
      <c r="G73"/>
      <c r="H73"/>
      <c r="I73"/>
      <c r="J73"/>
      <c r="K73"/>
      <c r="L73"/>
      <c r="M73"/>
      <c r="N73"/>
      <c r="O73"/>
      <c r="P73"/>
      <c r="Q73"/>
      <c r="R73"/>
      <c r="S73"/>
      <c r="T73"/>
      <c r="U73"/>
      <c r="V73"/>
    </row>
    <row r="74" spans="1:22" ht="15" x14ac:dyDescent="0.25">
      <c r="A74"/>
      <c r="B74"/>
      <c r="C74"/>
      <c r="D74"/>
      <c r="E74"/>
      <c r="F74"/>
      <c r="G74"/>
      <c r="H74"/>
      <c r="I74"/>
      <c r="J74"/>
      <c r="K74"/>
      <c r="L74"/>
      <c r="M74"/>
      <c r="N74"/>
      <c r="O74"/>
      <c r="P74"/>
      <c r="Q74"/>
      <c r="R74"/>
      <c r="S74"/>
      <c r="T74"/>
      <c r="U74"/>
      <c r="V74"/>
    </row>
    <row r="75" spans="1:22" ht="15" x14ac:dyDescent="0.25">
      <c r="A75"/>
      <c r="B75"/>
      <c r="C75"/>
      <c r="D75"/>
      <c r="E75"/>
      <c r="F75"/>
      <c r="G75"/>
      <c r="H75"/>
      <c r="I75"/>
      <c r="J75"/>
      <c r="K75"/>
      <c r="L75"/>
      <c r="M75"/>
      <c r="N75"/>
      <c r="O75"/>
      <c r="P75"/>
      <c r="Q75"/>
      <c r="R75"/>
      <c r="S75"/>
      <c r="T75"/>
      <c r="U75"/>
      <c r="V75"/>
    </row>
    <row r="76" spans="1:22" ht="15" x14ac:dyDescent="0.25">
      <c r="A76"/>
      <c r="B76"/>
      <c r="C76"/>
      <c r="D76"/>
      <c r="E76"/>
      <c r="F76"/>
      <c r="G76"/>
      <c r="H76"/>
      <c r="I76"/>
      <c r="J76"/>
      <c r="K76"/>
      <c r="L76"/>
      <c r="M76"/>
      <c r="N76"/>
      <c r="O76"/>
      <c r="P76"/>
      <c r="Q76"/>
      <c r="R76"/>
      <c r="S76"/>
      <c r="T76"/>
      <c r="U76"/>
      <c r="V76"/>
    </row>
    <row r="77" spans="1:22" ht="15" x14ac:dyDescent="0.25">
      <c r="A77"/>
      <c r="B77"/>
      <c r="C77"/>
      <c r="D77"/>
      <c r="E77"/>
      <c r="F77"/>
      <c r="G77"/>
      <c r="H77"/>
      <c r="I77"/>
      <c r="J77"/>
      <c r="K77"/>
      <c r="L77"/>
      <c r="M77"/>
      <c r="N77"/>
      <c r="O77"/>
      <c r="P77"/>
      <c r="Q77"/>
      <c r="R77"/>
      <c r="S77"/>
      <c r="T77"/>
      <c r="U77"/>
      <c r="V77"/>
    </row>
    <row r="78" spans="1:22" ht="15" x14ac:dyDescent="0.25">
      <c r="A78"/>
      <c r="B78"/>
      <c r="C78"/>
      <c r="D78"/>
      <c r="E78"/>
      <c r="F78"/>
      <c r="G78"/>
      <c r="H78"/>
      <c r="I78"/>
      <c r="J78"/>
      <c r="K78"/>
      <c r="L78"/>
      <c r="M78"/>
      <c r="N78"/>
      <c r="O78"/>
      <c r="P78"/>
      <c r="Q78"/>
      <c r="R78"/>
      <c r="S78"/>
      <c r="T78"/>
      <c r="U78"/>
      <c r="V78"/>
    </row>
    <row r="79" spans="1:22" ht="15" x14ac:dyDescent="0.25">
      <c r="A79"/>
      <c r="B79"/>
      <c r="C79"/>
      <c r="D79"/>
      <c r="E79"/>
      <c r="F79"/>
      <c r="G79"/>
      <c r="H79"/>
      <c r="I79"/>
      <c r="J79"/>
      <c r="K79"/>
      <c r="L79"/>
      <c r="M79"/>
      <c r="N79"/>
      <c r="O79"/>
      <c r="P79"/>
      <c r="Q79"/>
      <c r="R79"/>
      <c r="S79"/>
      <c r="T79"/>
      <c r="U79"/>
      <c r="V79"/>
    </row>
    <row r="80" spans="1:22" ht="15" x14ac:dyDescent="0.25">
      <c r="A80"/>
      <c r="B80"/>
      <c r="C80"/>
      <c r="D80"/>
      <c r="E80"/>
      <c r="F80"/>
      <c r="G80"/>
      <c r="H80"/>
      <c r="I80"/>
      <c r="J80"/>
      <c r="K80"/>
      <c r="L80"/>
      <c r="M80"/>
      <c r="N80"/>
      <c r="O80"/>
      <c r="P80"/>
      <c r="Q80"/>
      <c r="R80"/>
      <c r="S80"/>
      <c r="T80"/>
      <c r="U80"/>
      <c r="V80"/>
    </row>
    <row r="81" spans="1:22" ht="15" x14ac:dyDescent="0.25">
      <c r="A81"/>
      <c r="B81"/>
      <c r="C81"/>
      <c r="D81"/>
      <c r="E81"/>
      <c r="F81"/>
      <c r="G81"/>
      <c r="H81"/>
      <c r="I81"/>
      <c r="J81"/>
      <c r="K81"/>
      <c r="L81"/>
      <c r="M81"/>
      <c r="N81"/>
      <c r="O81"/>
      <c r="P81"/>
      <c r="Q81"/>
      <c r="R81"/>
      <c r="S81"/>
      <c r="T81"/>
      <c r="U81"/>
      <c r="V81"/>
    </row>
    <row r="82" spans="1:22" ht="15" x14ac:dyDescent="0.25">
      <c r="A82"/>
      <c r="B82"/>
      <c r="C82"/>
      <c r="D82"/>
      <c r="E82"/>
      <c r="F82"/>
      <c r="G82"/>
      <c r="H82"/>
      <c r="I82"/>
      <c r="J82"/>
      <c r="K82"/>
      <c r="L82"/>
      <c r="M82"/>
      <c r="N82"/>
      <c r="O82"/>
      <c r="P82"/>
      <c r="Q82"/>
      <c r="R82"/>
      <c r="S82"/>
      <c r="T82"/>
      <c r="U82"/>
      <c r="V82"/>
    </row>
    <row r="83" spans="1:22" ht="15" x14ac:dyDescent="0.25">
      <c r="A83"/>
      <c r="B83"/>
      <c r="C83"/>
      <c r="D83"/>
      <c r="E83"/>
      <c r="F83"/>
      <c r="G83"/>
      <c r="H83"/>
      <c r="I83"/>
      <c r="J83"/>
      <c r="K83"/>
      <c r="L83"/>
      <c r="M83"/>
      <c r="N83"/>
      <c r="O83"/>
      <c r="P83"/>
      <c r="Q83"/>
      <c r="R83"/>
      <c r="S83"/>
      <c r="T83"/>
      <c r="U83"/>
      <c r="V83"/>
    </row>
    <row r="84" spans="1:22" ht="15" x14ac:dyDescent="0.25">
      <c r="A84"/>
      <c r="B84"/>
      <c r="C84"/>
      <c r="D84"/>
      <c r="E84"/>
      <c r="F84"/>
      <c r="G84"/>
      <c r="H84"/>
      <c r="I84"/>
      <c r="J84"/>
      <c r="K84"/>
      <c r="L84"/>
      <c r="M84"/>
      <c r="N84"/>
      <c r="O84"/>
      <c r="P84"/>
      <c r="Q84"/>
      <c r="R84"/>
      <c r="S84"/>
      <c r="T84"/>
      <c r="U84"/>
      <c r="V84"/>
    </row>
    <row r="85" spans="1:22" ht="15" x14ac:dyDescent="0.25">
      <c r="A85"/>
      <c r="B85"/>
      <c r="C85"/>
      <c r="D85"/>
      <c r="E85"/>
      <c r="F85"/>
      <c r="G85"/>
      <c r="H85"/>
      <c r="I85"/>
      <c r="J85"/>
      <c r="K85"/>
      <c r="L85"/>
      <c r="M85"/>
      <c r="N85"/>
      <c r="O85"/>
      <c r="P85"/>
      <c r="Q85"/>
      <c r="R85"/>
      <c r="S85"/>
      <c r="T85"/>
      <c r="U85"/>
      <c r="V85"/>
    </row>
    <row r="86" spans="1:22" ht="15" x14ac:dyDescent="0.25">
      <c r="A86"/>
      <c r="B86"/>
      <c r="C86"/>
      <c r="D86"/>
      <c r="E86"/>
      <c r="F86"/>
      <c r="G86"/>
      <c r="H86"/>
      <c r="I86"/>
      <c r="J86"/>
      <c r="K86"/>
      <c r="L86"/>
      <c r="M86"/>
      <c r="N86"/>
      <c r="O86"/>
      <c r="P86"/>
      <c r="Q86"/>
      <c r="R86"/>
      <c r="S86"/>
      <c r="T86"/>
      <c r="U86"/>
      <c r="V86"/>
    </row>
    <row r="87" spans="1:22" ht="15" x14ac:dyDescent="0.25">
      <c r="A87"/>
      <c r="B87"/>
      <c r="C87"/>
      <c r="D87"/>
      <c r="E87"/>
      <c r="F87"/>
      <c r="G87"/>
      <c r="H87"/>
      <c r="I87"/>
      <c r="J87"/>
      <c r="K87"/>
      <c r="L87"/>
      <c r="M87"/>
      <c r="N87"/>
      <c r="O87"/>
      <c r="P87"/>
      <c r="Q87"/>
      <c r="R87"/>
      <c r="S87"/>
      <c r="T87"/>
      <c r="U87"/>
      <c r="V87"/>
    </row>
    <row r="88" spans="1:22" ht="15" x14ac:dyDescent="0.25">
      <c r="A88"/>
      <c r="B88"/>
      <c r="C88"/>
      <c r="D88"/>
      <c r="E88"/>
      <c r="F88"/>
      <c r="G88"/>
      <c r="H88"/>
      <c r="I88"/>
      <c r="J88"/>
      <c r="K88"/>
      <c r="L88"/>
      <c r="M88"/>
      <c r="N88"/>
      <c r="O88"/>
      <c r="P88"/>
      <c r="Q88"/>
      <c r="R88"/>
      <c r="S88"/>
      <c r="T88"/>
      <c r="U88"/>
      <c r="V88"/>
    </row>
    <row r="89" spans="1:22" ht="15" x14ac:dyDescent="0.25">
      <c r="A89"/>
      <c r="B89"/>
      <c r="C89"/>
      <c r="D89"/>
      <c r="E89"/>
      <c r="F89"/>
      <c r="G89"/>
      <c r="H89"/>
      <c r="I89"/>
      <c r="J89"/>
      <c r="K89"/>
      <c r="L89"/>
      <c r="M89"/>
      <c r="N89"/>
      <c r="O89"/>
      <c r="P89"/>
      <c r="Q89"/>
      <c r="R89"/>
      <c r="S89"/>
      <c r="T89"/>
      <c r="U89"/>
      <c r="V89"/>
    </row>
    <row r="90" spans="1:22" ht="15" x14ac:dyDescent="0.25">
      <c r="A90"/>
      <c r="B90"/>
      <c r="C90"/>
      <c r="D90"/>
      <c r="E90"/>
      <c r="F90"/>
      <c r="G90"/>
      <c r="H90"/>
      <c r="I90"/>
      <c r="J90"/>
      <c r="K90"/>
      <c r="L90"/>
      <c r="M90"/>
      <c r="N90"/>
      <c r="O90"/>
      <c r="P90"/>
      <c r="Q90"/>
      <c r="R90"/>
      <c r="S90"/>
      <c r="T90"/>
      <c r="U90"/>
      <c r="V90"/>
    </row>
    <row r="91" spans="1:22" ht="15" x14ac:dyDescent="0.25">
      <c r="A91"/>
      <c r="B91"/>
      <c r="C91"/>
      <c r="D91"/>
      <c r="E91"/>
      <c r="F91"/>
      <c r="G91"/>
      <c r="H91"/>
      <c r="I91"/>
      <c r="J91"/>
      <c r="K91"/>
      <c r="L91"/>
      <c r="M91"/>
      <c r="N91"/>
      <c r="O91"/>
      <c r="P91"/>
      <c r="Q91"/>
      <c r="R91"/>
      <c r="S91"/>
      <c r="T91"/>
      <c r="U91"/>
      <c r="V91"/>
    </row>
    <row r="92" spans="1:22" ht="15" x14ac:dyDescent="0.25">
      <c r="A92"/>
      <c r="B92"/>
      <c r="C92"/>
      <c r="D92"/>
      <c r="E92"/>
      <c r="F92"/>
      <c r="G92"/>
      <c r="H92"/>
      <c r="I92"/>
      <c r="J92"/>
      <c r="K92"/>
      <c r="L92"/>
      <c r="M92"/>
      <c r="N92"/>
      <c r="O92"/>
      <c r="P92"/>
      <c r="Q92"/>
      <c r="R92"/>
      <c r="S92"/>
      <c r="T92"/>
      <c r="U92"/>
      <c r="V92"/>
    </row>
    <row r="93" spans="1:22" ht="15" x14ac:dyDescent="0.25">
      <c r="A93"/>
      <c r="B93"/>
      <c r="C93"/>
      <c r="D93"/>
      <c r="E93"/>
      <c r="F93"/>
      <c r="G93"/>
      <c r="H93"/>
      <c r="I93"/>
      <c r="J93"/>
      <c r="K93"/>
      <c r="L93"/>
      <c r="M93"/>
      <c r="N93"/>
      <c r="O93"/>
      <c r="P93"/>
      <c r="Q93"/>
      <c r="R93"/>
      <c r="S93"/>
      <c r="T93"/>
      <c r="U93"/>
      <c r="V93"/>
    </row>
    <row r="94" spans="1:22" ht="15" x14ac:dyDescent="0.25">
      <c r="A94"/>
      <c r="B94"/>
      <c r="C94"/>
      <c r="D94"/>
      <c r="E94"/>
      <c r="F94"/>
      <c r="G94"/>
      <c r="H94"/>
      <c r="I94"/>
      <c r="J94"/>
      <c r="K94"/>
      <c r="L94"/>
      <c r="M94"/>
      <c r="N94"/>
      <c r="O94"/>
      <c r="P94"/>
      <c r="Q94"/>
      <c r="R94"/>
      <c r="S94"/>
      <c r="T94"/>
      <c r="U94"/>
      <c r="V94"/>
    </row>
    <row r="95" spans="1:22" ht="15" x14ac:dyDescent="0.25">
      <c r="A95"/>
      <c r="B95"/>
      <c r="C95"/>
      <c r="D95"/>
      <c r="E95"/>
      <c r="F95"/>
      <c r="G95"/>
      <c r="H95"/>
      <c r="I95"/>
      <c r="J95"/>
      <c r="K95"/>
      <c r="L95"/>
      <c r="M95"/>
      <c r="N95"/>
      <c r="O95"/>
      <c r="P95"/>
      <c r="Q95"/>
      <c r="R95"/>
      <c r="S95"/>
      <c r="T95"/>
      <c r="U95"/>
      <c r="V95"/>
    </row>
    <row r="96" spans="1:22" ht="15" x14ac:dyDescent="0.25">
      <c r="A96"/>
      <c r="B96"/>
      <c r="C96"/>
      <c r="D96"/>
      <c r="E96"/>
      <c r="F96"/>
      <c r="G96"/>
      <c r="H96"/>
      <c r="I96"/>
      <c r="J96"/>
      <c r="K96"/>
      <c r="L96"/>
      <c r="M96"/>
      <c r="N96"/>
      <c r="O96"/>
      <c r="P96"/>
      <c r="Q96"/>
      <c r="R96"/>
      <c r="S96"/>
      <c r="T96"/>
      <c r="U96"/>
      <c r="V96"/>
    </row>
    <row r="97" spans="1:22" ht="15" x14ac:dyDescent="0.25">
      <c r="A97"/>
      <c r="B97"/>
      <c r="C97"/>
      <c r="D97"/>
      <c r="E97"/>
      <c r="F97"/>
      <c r="G97"/>
      <c r="H97"/>
      <c r="I97"/>
      <c r="J97"/>
      <c r="K97"/>
      <c r="L97"/>
      <c r="M97"/>
      <c r="N97"/>
      <c r="O97"/>
      <c r="P97"/>
      <c r="Q97"/>
      <c r="R97"/>
      <c r="S97"/>
      <c r="T97"/>
      <c r="U97"/>
      <c r="V97"/>
    </row>
    <row r="98" spans="1:22" ht="15" x14ac:dyDescent="0.25">
      <c r="A98"/>
      <c r="B98"/>
      <c r="C98"/>
      <c r="D98"/>
      <c r="E98"/>
      <c r="F98"/>
      <c r="G98"/>
      <c r="H98"/>
      <c r="I98"/>
      <c r="J98"/>
      <c r="K98"/>
      <c r="L98"/>
      <c r="M98"/>
      <c r="N98"/>
      <c r="O98"/>
      <c r="P98"/>
      <c r="Q98"/>
      <c r="R98"/>
      <c r="S98"/>
      <c r="T98"/>
      <c r="U98"/>
      <c r="V98"/>
    </row>
    <row r="99" spans="1:22" ht="15" x14ac:dyDescent="0.25">
      <c r="A99"/>
      <c r="B99"/>
      <c r="C99"/>
      <c r="D99"/>
      <c r="E99"/>
      <c r="F99"/>
      <c r="G99"/>
      <c r="H99"/>
      <c r="I99"/>
      <c r="J99"/>
      <c r="K99"/>
      <c r="L99"/>
      <c r="M99"/>
      <c r="N99"/>
      <c r="O99"/>
      <c r="P99"/>
      <c r="Q99"/>
      <c r="R99"/>
      <c r="S99"/>
      <c r="T99"/>
      <c r="U99"/>
      <c r="V99"/>
    </row>
    <row r="100" spans="1:22" ht="15" x14ac:dyDescent="0.25">
      <c r="A100"/>
      <c r="B100"/>
      <c r="C100"/>
      <c r="D100"/>
      <c r="E100"/>
      <c r="F100"/>
      <c r="G100"/>
      <c r="H100"/>
      <c r="I100"/>
      <c r="J100"/>
      <c r="K100"/>
      <c r="L100"/>
      <c r="M100"/>
      <c r="N100"/>
      <c r="O100"/>
      <c r="P100"/>
      <c r="Q100"/>
      <c r="R100"/>
      <c r="S100"/>
      <c r="T100"/>
      <c r="U100"/>
      <c r="V100"/>
    </row>
    <row r="101" spans="1:22" ht="15" x14ac:dyDescent="0.25">
      <c r="A101"/>
      <c r="B101"/>
      <c r="C101"/>
      <c r="D101"/>
      <c r="E101"/>
      <c r="F101"/>
      <c r="G101"/>
      <c r="H101"/>
      <c r="I101"/>
      <c r="J101"/>
      <c r="K101"/>
      <c r="L101"/>
      <c r="M101"/>
      <c r="N101"/>
      <c r="O101"/>
      <c r="P101"/>
      <c r="Q101"/>
      <c r="R101"/>
      <c r="S101"/>
      <c r="T101"/>
      <c r="U101"/>
      <c r="V101"/>
    </row>
    <row r="102" spans="1:22" ht="15" x14ac:dyDescent="0.25">
      <c r="A102"/>
      <c r="B102"/>
      <c r="C102"/>
      <c r="D102"/>
      <c r="E102"/>
      <c r="F102"/>
      <c r="G102"/>
      <c r="H102"/>
      <c r="I102"/>
      <c r="J102"/>
      <c r="K102"/>
      <c r="L102"/>
      <c r="M102"/>
      <c r="N102"/>
      <c r="O102"/>
      <c r="P102"/>
      <c r="Q102"/>
      <c r="R102"/>
      <c r="S102"/>
      <c r="T102"/>
      <c r="U102"/>
      <c r="V102"/>
    </row>
    <row r="103" spans="1:22" ht="15" x14ac:dyDescent="0.25">
      <c r="A103"/>
      <c r="B103"/>
      <c r="C103"/>
      <c r="D103"/>
      <c r="E103"/>
      <c r="F103"/>
      <c r="G103"/>
      <c r="H103"/>
      <c r="I103"/>
      <c r="J103"/>
      <c r="K103"/>
      <c r="L103"/>
      <c r="M103"/>
      <c r="N103"/>
      <c r="O103"/>
      <c r="P103"/>
      <c r="Q103"/>
      <c r="R103"/>
      <c r="S103"/>
      <c r="T103"/>
      <c r="U103"/>
      <c r="V103"/>
    </row>
    <row r="104" spans="1:22" ht="15" x14ac:dyDescent="0.25">
      <c r="A104"/>
      <c r="B104"/>
      <c r="C104"/>
      <c r="D104"/>
      <c r="E104"/>
      <c r="F104"/>
      <c r="G104"/>
      <c r="H104"/>
      <c r="I104"/>
      <c r="J104"/>
      <c r="K104"/>
      <c r="L104"/>
      <c r="M104"/>
      <c r="N104"/>
      <c r="O104"/>
      <c r="P104"/>
      <c r="Q104"/>
      <c r="R104"/>
      <c r="S104"/>
      <c r="T104"/>
      <c r="U104"/>
      <c r="V104"/>
    </row>
    <row r="105" spans="1:22" ht="15" x14ac:dyDescent="0.25">
      <c r="A105"/>
      <c r="B105"/>
      <c r="C105"/>
      <c r="D105"/>
      <c r="E105"/>
      <c r="F105"/>
      <c r="G105"/>
      <c r="H105"/>
      <c r="I105"/>
      <c r="J105"/>
      <c r="K105"/>
      <c r="L105"/>
      <c r="M105"/>
      <c r="N105"/>
      <c r="O105"/>
      <c r="P105"/>
      <c r="Q105"/>
      <c r="R105"/>
      <c r="S105"/>
      <c r="T105"/>
      <c r="U105"/>
      <c r="V105"/>
    </row>
    <row r="106" spans="1:22" ht="15" x14ac:dyDescent="0.25">
      <c r="A106"/>
      <c r="B106"/>
      <c r="C106"/>
      <c r="D106"/>
      <c r="E106"/>
      <c r="F106"/>
      <c r="G106"/>
      <c r="H106"/>
      <c r="I106"/>
      <c r="J106"/>
      <c r="K106"/>
      <c r="L106"/>
      <c r="M106"/>
      <c r="N106"/>
      <c r="O106"/>
      <c r="P106"/>
      <c r="Q106"/>
      <c r="R106"/>
      <c r="S106"/>
      <c r="T106"/>
      <c r="U106"/>
      <c r="V106"/>
    </row>
    <row r="107" spans="1:22" ht="15" x14ac:dyDescent="0.25">
      <c r="A107"/>
      <c r="B107"/>
      <c r="C107"/>
      <c r="D107"/>
      <c r="E107"/>
      <c r="F107"/>
      <c r="G107"/>
      <c r="H107"/>
      <c r="I107"/>
      <c r="J107"/>
      <c r="K107"/>
      <c r="L107"/>
      <c r="M107"/>
      <c r="N107"/>
      <c r="O107"/>
      <c r="P107"/>
      <c r="Q107"/>
      <c r="R107"/>
      <c r="S107"/>
      <c r="T107"/>
      <c r="U107"/>
      <c r="V107"/>
    </row>
    <row r="108" spans="1:22" ht="15" x14ac:dyDescent="0.25">
      <c r="A108"/>
      <c r="B108"/>
      <c r="C108"/>
      <c r="D108"/>
      <c r="E108"/>
      <c r="F108"/>
      <c r="G108"/>
      <c r="H108"/>
      <c r="I108"/>
      <c r="J108"/>
      <c r="K108"/>
      <c r="L108"/>
      <c r="M108"/>
      <c r="N108"/>
      <c r="O108"/>
      <c r="P108"/>
      <c r="Q108"/>
      <c r="R108"/>
      <c r="S108"/>
      <c r="T108"/>
      <c r="U108"/>
      <c r="V108"/>
    </row>
    <row r="109" spans="1:22" ht="15" x14ac:dyDescent="0.25">
      <c r="A109"/>
      <c r="B109"/>
      <c r="C109"/>
      <c r="D109"/>
      <c r="E109"/>
      <c r="F109"/>
      <c r="G109"/>
      <c r="H109"/>
      <c r="I109"/>
      <c r="J109"/>
      <c r="K109"/>
      <c r="L109"/>
      <c r="M109"/>
      <c r="N109"/>
      <c r="O109"/>
      <c r="P109"/>
      <c r="Q109"/>
      <c r="R109"/>
      <c r="S109"/>
      <c r="T109"/>
      <c r="U109"/>
      <c r="V109"/>
    </row>
    <row r="110" spans="1:22" ht="15" x14ac:dyDescent="0.25">
      <c r="A110"/>
      <c r="B110"/>
      <c r="C110"/>
      <c r="D110"/>
      <c r="E110"/>
      <c r="F110"/>
      <c r="G110"/>
      <c r="H110"/>
      <c r="I110"/>
      <c r="J110"/>
      <c r="K110"/>
      <c r="L110"/>
      <c r="M110"/>
      <c r="N110"/>
      <c r="O110"/>
      <c r="P110"/>
      <c r="Q110"/>
      <c r="R110"/>
      <c r="S110"/>
      <c r="T110"/>
      <c r="U110"/>
      <c r="V110"/>
    </row>
    <row r="111" spans="1:22" ht="15" x14ac:dyDescent="0.25">
      <c r="A111"/>
      <c r="B111"/>
      <c r="C111"/>
      <c r="D111"/>
      <c r="E111"/>
      <c r="F111"/>
      <c r="G111"/>
      <c r="H111"/>
      <c r="I111"/>
      <c r="J111"/>
      <c r="K111"/>
      <c r="L111"/>
      <c r="M111"/>
      <c r="N111"/>
      <c r="O111"/>
      <c r="P111"/>
      <c r="Q111"/>
      <c r="R111"/>
      <c r="S111"/>
      <c r="T111"/>
      <c r="U111"/>
      <c r="V111"/>
    </row>
    <row r="112" spans="1:22" ht="15" x14ac:dyDescent="0.25">
      <c r="A112"/>
      <c r="B112"/>
      <c r="C112"/>
      <c r="D112"/>
      <c r="E112"/>
      <c r="F112"/>
      <c r="G112"/>
      <c r="H112"/>
      <c r="I112"/>
      <c r="J112"/>
      <c r="K112"/>
      <c r="L112"/>
      <c r="M112"/>
      <c r="N112"/>
      <c r="O112"/>
      <c r="P112"/>
      <c r="Q112"/>
      <c r="R112"/>
      <c r="S112"/>
      <c r="T112"/>
      <c r="U112"/>
      <c r="V112"/>
    </row>
    <row r="113" spans="1:22" ht="15" x14ac:dyDescent="0.25">
      <c r="A113"/>
      <c r="B113"/>
      <c r="C113"/>
      <c r="D113"/>
      <c r="E113"/>
      <c r="F113"/>
      <c r="G113"/>
      <c r="H113"/>
      <c r="I113"/>
      <c r="J113"/>
      <c r="K113"/>
      <c r="L113"/>
      <c r="M113"/>
      <c r="N113"/>
      <c r="O113"/>
      <c r="P113"/>
      <c r="Q113"/>
      <c r="R113"/>
      <c r="S113"/>
      <c r="T113"/>
      <c r="U113"/>
      <c r="V113"/>
    </row>
    <row r="114" spans="1:22" ht="15" x14ac:dyDescent="0.25">
      <c r="A114"/>
      <c r="B114"/>
      <c r="C114"/>
      <c r="D114"/>
      <c r="E114"/>
      <c r="F114"/>
      <c r="G114"/>
      <c r="H114"/>
      <c r="I114"/>
      <c r="J114"/>
      <c r="K114"/>
      <c r="L114"/>
      <c r="M114"/>
      <c r="N114"/>
      <c r="O114"/>
      <c r="P114"/>
      <c r="Q114"/>
      <c r="R114"/>
      <c r="S114"/>
      <c r="T114"/>
      <c r="U114"/>
      <c r="V114"/>
    </row>
    <row r="115" spans="1:22" ht="15" x14ac:dyDescent="0.25">
      <c r="A115"/>
      <c r="B115"/>
      <c r="C115"/>
      <c r="D115"/>
      <c r="E115"/>
      <c r="F115"/>
      <c r="G115"/>
      <c r="H115"/>
      <c r="I115"/>
      <c r="J115"/>
      <c r="K115"/>
      <c r="L115"/>
      <c r="M115"/>
      <c r="N115"/>
      <c r="O115"/>
      <c r="P115"/>
      <c r="Q115"/>
      <c r="R115"/>
      <c r="S115"/>
      <c r="T115"/>
      <c r="U115"/>
      <c r="V115"/>
    </row>
    <row r="116" spans="1:22" ht="15" x14ac:dyDescent="0.25">
      <c r="A116"/>
      <c r="B116"/>
      <c r="C116"/>
      <c r="D116"/>
      <c r="E116"/>
      <c r="F116"/>
      <c r="G116"/>
      <c r="H116"/>
      <c r="I116"/>
      <c r="J116"/>
      <c r="K116"/>
      <c r="L116"/>
      <c r="M116"/>
      <c r="N116"/>
      <c r="O116"/>
      <c r="P116"/>
      <c r="Q116"/>
      <c r="R116"/>
      <c r="S116"/>
      <c r="T116"/>
      <c r="U116"/>
      <c r="V116"/>
    </row>
    <row r="117" spans="1:22" ht="15" x14ac:dyDescent="0.25">
      <c r="A117"/>
      <c r="B117"/>
      <c r="C117"/>
      <c r="D117"/>
      <c r="E117"/>
      <c r="F117"/>
      <c r="G117"/>
      <c r="H117"/>
      <c r="I117"/>
      <c r="J117"/>
      <c r="K117"/>
      <c r="L117"/>
      <c r="M117"/>
      <c r="N117"/>
      <c r="O117"/>
      <c r="P117"/>
      <c r="Q117"/>
      <c r="R117"/>
      <c r="S117"/>
      <c r="T117"/>
      <c r="U117"/>
      <c r="V117"/>
    </row>
    <row r="118" spans="1:22" ht="15" x14ac:dyDescent="0.25">
      <c r="A118"/>
      <c r="B118"/>
      <c r="C118"/>
      <c r="D118"/>
      <c r="E118"/>
      <c r="F118"/>
      <c r="G118"/>
      <c r="H118"/>
      <c r="I118"/>
      <c r="J118"/>
      <c r="K118"/>
      <c r="L118"/>
      <c r="M118"/>
      <c r="N118"/>
      <c r="O118"/>
      <c r="P118"/>
      <c r="Q118"/>
      <c r="R118"/>
      <c r="S118"/>
      <c r="T118"/>
      <c r="U118"/>
      <c r="V118"/>
    </row>
    <row r="119" spans="1:22" ht="15" x14ac:dyDescent="0.25">
      <c r="A119"/>
      <c r="B119"/>
      <c r="C119"/>
      <c r="D119"/>
      <c r="E119"/>
      <c r="F119"/>
      <c r="G119"/>
      <c r="H119"/>
      <c r="I119"/>
      <c r="J119"/>
      <c r="K119"/>
      <c r="L119"/>
      <c r="M119"/>
      <c r="N119"/>
      <c r="O119"/>
      <c r="P119"/>
      <c r="Q119"/>
      <c r="R119"/>
      <c r="S119"/>
      <c r="T119"/>
      <c r="U119"/>
      <c r="V119"/>
    </row>
    <row r="120" spans="1:22" ht="15" x14ac:dyDescent="0.25">
      <c r="A120"/>
      <c r="B120"/>
      <c r="C120"/>
      <c r="D120"/>
      <c r="E120"/>
      <c r="F120"/>
      <c r="G120"/>
      <c r="H120"/>
      <c r="I120"/>
      <c r="J120"/>
      <c r="K120"/>
      <c r="L120"/>
      <c r="M120"/>
      <c r="N120"/>
      <c r="O120"/>
      <c r="P120"/>
      <c r="Q120"/>
      <c r="R120"/>
      <c r="S120"/>
      <c r="T120"/>
      <c r="U120"/>
      <c r="V120"/>
    </row>
    <row r="121" spans="1:22" ht="15" x14ac:dyDescent="0.25">
      <c r="A121"/>
      <c r="B121"/>
      <c r="C121"/>
      <c r="D121"/>
      <c r="E121"/>
      <c r="F121"/>
      <c r="G121"/>
      <c r="H121"/>
      <c r="I121"/>
      <c r="J121"/>
      <c r="K121"/>
      <c r="L121"/>
      <c r="M121"/>
      <c r="N121"/>
      <c r="O121"/>
      <c r="P121"/>
      <c r="Q121"/>
      <c r="R121"/>
      <c r="S121"/>
      <c r="T121"/>
      <c r="U121"/>
      <c r="V121"/>
    </row>
    <row r="122" spans="1:22" ht="15" x14ac:dyDescent="0.25">
      <c r="A122"/>
      <c r="B122"/>
      <c r="C122"/>
      <c r="D122"/>
      <c r="E122"/>
      <c r="F122"/>
      <c r="G122"/>
      <c r="H122"/>
      <c r="I122"/>
      <c r="J122"/>
      <c r="K122"/>
      <c r="L122"/>
      <c r="M122"/>
      <c r="N122"/>
      <c r="O122"/>
      <c r="P122"/>
      <c r="Q122"/>
      <c r="R122"/>
      <c r="S122"/>
      <c r="T122"/>
      <c r="U122"/>
      <c r="V122"/>
    </row>
    <row r="123" spans="1:22" ht="15" x14ac:dyDescent="0.25">
      <c r="A123"/>
      <c r="B123"/>
      <c r="C123"/>
      <c r="D123"/>
      <c r="E123"/>
      <c r="F123"/>
      <c r="G123"/>
      <c r="H123"/>
      <c r="I123"/>
      <c r="J123"/>
      <c r="K123"/>
      <c r="L123"/>
      <c r="M123"/>
      <c r="N123"/>
      <c r="O123"/>
      <c r="P123"/>
      <c r="Q123"/>
      <c r="R123"/>
      <c r="S123"/>
      <c r="T123"/>
      <c r="U123"/>
      <c r="V123"/>
    </row>
    <row r="124" spans="1:22" ht="15" x14ac:dyDescent="0.25">
      <c r="A124"/>
      <c r="B124"/>
      <c r="C124"/>
      <c r="D124"/>
      <c r="E124"/>
      <c r="F124"/>
      <c r="G124"/>
      <c r="H124"/>
      <c r="I124"/>
      <c r="J124"/>
      <c r="K124"/>
      <c r="L124"/>
      <c r="M124"/>
      <c r="N124"/>
      <c r="O124"/>
      <c r="P124"/>
      <c r="Q124"/>
      <c r="R124"/>
      <c r="S124"/>
      <c r="T124"/>
      <c r="U124"/>
      <c r="V124"/>
    </row>
    <row r="125" spans="1:22" ht="15" x14ac:dyDescent="0.25">
      <c r="A125"/>
      <c r="B125"/>
      <c r="C125"/>
      <c r="D125"/>
      <c r="E125"/>
      <c r="F125"/>
      <c r="G125"/>
      <c r="H125"/>
      <c r="I125"/>
      <c r="J125"/>
      <c r="K125"/>
      <c r="L125"/>
      <c r="M125"/>
      <c r="N125"/>
      <c r="O125"/>
      <c r="P125"/>
      <c r="Q125"/>
      <c r="R125"/>
      <c r="S125"/>
      <c r="T125"/>
      <c r="U125"/>
      <c r="V125"/>
    </row>
    <row r="126" spans="1:22" ht="15" x14ac:dyDescent="0.25">
      <c r="A126"/>
      <c r="B126"/>
      <c r="C126"/>
      <c r="D126"/>
      <c r="E126"/>
      <c r="F126"/>
      <c r="G126"/>
      <c r="H126"/>
      <c r="I126"/>
      <c r="J126"/>
      <c r="K126"/>
      <c r="L126"/>
      <c r="M126"/>
      <c r="N126"/>
      <c r="O126"/>
      <c r="P126"/>
      <c r="Q126"/>
      <c r="R126"/>
      <c r="S126"/>
      <c r="T126"/>
      <c r="U126"/>
      <c r="V126"/>
    </row>
    <row r="127" spans="1:22" ht="15" x14ac:dyDescent="0.25">
      <c r="A127"/>
      <c r="B127"/>
      <c r="C127"/>
      <c r="D127"/>
      <c r="E127"/>
      <c r="F127"/>
      <c r="G127"/>
      <c r="H127"/>
      <c r="I127"/>
      <c r="J127"/>
      <c r="K127"/>
      <c r="L127"/>
      <c r="M127"/>
      <c r="N127"/>
      <c r="O127"/>
      <c r="P127"/>
      <c r="Q127"/>
      <c r="R127"/>
      <c r="S127"/>
      <c r="T127"/>
      <c r="U127"/>
      <c r="V127"/>
    </row>
    <row r="128" spans="1:22" ht="15" x14ac:dyDescent="0.25">
      <c r="A128"/>
      <c r="B128"/>
      <c r="C128"/>
      <c r="D128"/>
      <c r="E128"/>
      <c r="F128"/>
      <c r="G128"/>
      <c r="H128"/>
      <c r="I128"/>
      <c r="J128"/>
      <c r="K128"/>
      <c r="L128"/>
      <c r="M128"/>
      <c r="N128"/>
      <c r="O128"/>
      <c r="P128"/>
      <c r="Q128"/>
      <c r="R128"/>
      <c r="S128"/>
      <c r="T128"/>
      <c r="U128"/>
      <c r="V128"/>
    </row>
    <row r="129" spans="1:22" ht="15" x14ac:dyDescent="0.25">
      <c r="A129"/>
      <c r="B129"/>
      <c r="C129"/>
      <c r="D129"/>
      <c r="E129"/>
      <c r="F129"/>
      <c r="G129"/>
      <c r="H129"/>
      <c r="I129"/>
      <c r="J129"/>
      <c r="K129"/>
      <c r="L129"/>
      <c r="M129"/>
      <c r="N129"/>
      <c r="O129"/>
      <c r="P129"/>
      <c r="Q129"/>
      <c r="R129"/>
      <c r="S129"/>
      <c r="T129"/>
      <c r="U129"/>
      <c r="V129"/>
    </row>
    <row r="130" spans="1:22" ht="15" x14ac:dyDescent="0.25">
      <c r="A130"/>
      <c r="B130"/>
      <c r="C130"/>
      <c r="D130"/>
      <c r="E130"/>
      <c r="F130"/>
      <c r="G130"/>
      <c r="H130"/>
      <c r="I130"/>
      <c r="J130"/>
      <c r="K130"/>
      <c r="L130"/>
      <c r="M130"/>
      <c r="N130"/>
      <c r="O130"/>
      <c r="P130"/>
      <c r="Q130"/>
      <c r="R130"/>
      <c r="S130"/>
      <c r="T130"/>
      <c r="U130"/>
      <c r="V130"/>
    </row>
    <row r="131" spans="1:22" ht="15" x14ac:dyDescent="0.25">
      <c r="A131"/>
      <c r="B131"/>
      <c r="C131"/>
      <c r="D131"/>
      <c r="E131"/>
      <c r="F131"/>
      <c r="G131"/>
      <c r="H131"/>
      <c r="I131"/>
      <c r="J131"/>
      <c r="K131"/>
      <c r="L131"/>
      <c r="M131"/>
      <c r="N131"/>
      <c r="O131"/>
      <c r="P131"/>
      <c r="Q131"/>
      <c r="R131"/>
      <c r="S131"/>
      <c r="T131"/>
      <c r="U131"/>
      <c r="V131"/>
    </row>
    <row r="132" spans="1:22" ht="15" x14ac:dyDescent="0.25">
      <c r="A132"/>
      <c r="B132"/>
      <c r="C132"/>
      <c r="D132"/>
      <c r="E132"/>
      <c r="F132"/>
      <c r="G132"/>
      <c r="H132"/>
      <c r="I132"/>
      <c r="J132"/>
      <c r="K132"/>
      <c r="L132"/>
      <c r="M132"/>
      <c r="N132"/>
      <c r="O132"/>
      <c r="P132"/>
      <c r="Q132"/>
      <c r="R132"/>
      <c r="S132"/>
      <c r="T132"/>
      <c r="U132"/>
      <c r="V132"/>
    </row>
    <row r="133" spans="1:22" ht="15" x14ac:dyDescent="0.25">
      <c r="A133"/>
      <c r="B133"/>
      <c r="C133"/>
      <c r="D133"/>
      <c r="E133"/>
      <c r="F133"/>
      <c r="G133"/>
      <c r="H133"/>
      <c r="I133"/>
      <c r="J133"/>
      <c r="K133"/>
      <c r="L133"/>
      <c r="M133"/>
      <c r="N133"/>
      <c r="O133"/>
      <c r="P133"/>
      <c r="Q133"/>
      <c r="R133"/>
      <c r="S133"/>
      <c r="T133"/>
      <c r="U133"/>
      <c r="V133"/>
    </row>
    <row r="134" spans="1:22" ht="15" x14ac:dyDescent="0.25">
      <c r="A134"/>
      <c r="B134"/>
      <c r="C134"/>
      <c r="D134"/>
      <c r="E134"/>
      <c r="F134"/>
      <c r="G134"/>
      <c r="H134"/>
      <c r="I134"/>
      <c r="J134"/>
      <c r="K134"/>
      <c r="L134"/>
      <c r="M134"/>
      <c r="N134"/>
      <c r="O134"/>
      <c r="P134"/>
      <c r="Q134"/>
      <c r="R134"/>
      <c r="S134"/>
      <c r="T134"/>
      <c r="U134"/>
      <c r="V134"/>
    </row>
    <row r="135" spans="1:22" ht="15" x14ac:dyDescent="0.25">
      <c r="A135"/>
      <c r="B135"/>
      <c r="C135"/>
      <c r="D135"/>
      <c r="E135"/>
      <c r="F135"/>
      <c r="G135"/>
      <c r="H135"/>
      <c r="I135"/>
      <c r="J135"/>
      <c r="K135"/>
      <c r="L135"/>
      <c r="M135"/>
      <c r="N135"/>
      <c r="O135"/>
      <c r="P135"/>
      <c r="Q135"/>
      <c r="R135"/>
      <c r="S135"/>
      <c r="T135"/>
      <c r="U135"/>
      <c r="V135"/>
    </row>
    <row r="136" spans="1:22" ht="15" x14ac:dyDescent="0.25">
      <c r="A136"/>
      <c r="B136"/>
      <c r="C136"/>
      <c r="D136"/>
      <c r="E136"/>
      <c r="F136"/>
      <c r="G136"/>
      <c r="H136"/>
      <c r="I136"/>
      <c r="J136"/>
      <c r="K136"/>
      <c r="L136"/>
      <c r="M136"/>
      <c r="N136"/>
      <c r="O136"/>
      <c r="P136"/>
      <c r="Q136"/>
      <c r="R136"/>
      <c r="S136"/>
      <c r="T136"/>
      <c r="U136"/>
      <c r="V136"/>
    </row>
    <row r="137" spans="1:22" ht="15" x14ac:dyDescent="0.25">
      <c r="A137"/>
      <c r="B137"/>
      <c r="C137"/>
      <c r="D137"/>
      <c r="E137"/>
      <c r="F137"/>
      <c r="G137"/>
      <c r="H137"/>
      <c r="I137"/>
      <c r="J137"/>
      <c r="K137"/>
      <c r="L137"/>
      <c r="M137"/>
      <c r="N137"/>
      <c r="O137"/>
      <c r="P137"/>
      <c r="Q137"/>
      <c r="R137"/>
      <c r="S137"/>
      <c r="T137"/>
      <c r="U137"/>
      <c r="V137"/>
    </row>
    <row r="138" spans="1:22" ht="15" x14ac:dyDescent="0.25">
      <c r="A138"/>
      <c r="B138"/>
      <c r="C138"/>
      <c r="D138"/>
      <c r="E138"/>
      <c r="F138"/>
      <c r="G138"/>
      <c r="H138"/>
      <c r="I138"/>
      <c r="J138"/>
      <c r="K138"/>
      <c r="L138"/>
      <c r="M138"/>
      <c r="N138"/>
      <c r="O138"/>
      <c r="P138"/>
      <c r="Q138"/>
      <c r="R138"/>
      <c r="S138"/>
      <c r="T138"/>
      <c r="U138"/>
      <c r="V138"/>
    </row>
    <row r="139" spans="1:22" ht="15" x14ac:dyDescent="0.25">
      <c r="A139"/>
      <c r="B139"/>
      <c r="C139"/>
      <c r="D139"/>
      <c r="E139"/>
      <c r="F139"/>
      <c r="G139"/>
      <c r="H139"/>
      <c r="I139"/>
      <c r="J139"/>
      <c r="K139"/>
      <c r="L139"/>
      <c r="M139"/>
      <c r="N139"/>
      <c r="O139"/>
      <c r="P139"/>
      <c r="Q139"/>
      <c r="R139"/>
      <c r="S139"/>
      <c r="T139"/>
      <c r="U139"/>
      <c r="V139"/>
    </row>
    <row r="140" spans="1:22" ht="15" x14ac:dyDescent="0.25">
      <c r="A140"/>
      <c r="B140"/>
      <c r="C140"/>
      <c r="D140"/>
      <c r="E140"/>
      <c r="F140"/>
      <c r="G140"/>
      <c r="H140"/>
      <c r="I140"/>
      <c r="J140"/>
      <c r="K140"/>
      <c r="L140"/>
      <c r="M140"/>
      <c r="N140"/>
      <c r="O140"/>
      <c r="P140"/>
      <c r="Q140"/>
      <c r="R140"/>
      <c r="S140"/>
      <c r="T140"/>
      <c r="U140"/>
      <c r="V140"/>
    </row>
    <row r="141" spans="1:22" ht="15" x14ac:dyDescent="0.25">
      <c r="A141"/>
      <c r="B141"/>
      <c r="C141"/>
      <c r="D141"/>
      <c r="E141"/>
      <c r="F141"/>
      <c r="G141"/>
      <c r="H141"/>
      <c r="I141"/>
      <c r="J141"/>
      <c r="K141"/>
      <c r="L141"/>
      <c r="M141"/>
      <c r="N141"/>
      <c r="O141"/>
      <c r="P141"/>
      <c r="Q141"/>
      <c r="R141"/>
      <c r="S141"/>
      <c r="T141"/>
      <c r="U141"/>
      <c r="V141"/>
    </row>
    <row r="142" spans="1:22" ht="15" x14ac:dyDescent="0.25">
      <c r="A142"/>
      <c r="B142"/>
      <c r="C142"/>
      <c r="D142"/>
      <c r="E142"/>
      <c r="F142"/>
      <c r="G142"/>
      <c r="H142"/>
      <c r="I142"/>
      <c r="J142"/>
      <c r="K142"/>
      <c r="L142"/>
      <c r="M142"/>
      <c r="N142"/>
      <c r="O142"/>
      <c r="P142"/>
      <c r="Q142"/>
      <c r="R142"/>
      <c r="S142"/>
      <c r="T142"/>
      <c r="U142"/>
      <c r="V142"/>
    </row>
    <row r="143" spans="1:22" ht="15" x14ac:dyDescent="0.25">
      <c r="A143"/>
      <c r="B143"/>
      <c r="C143"/>
      <c r="D143"/>
      <c r="E143"/>
      <c r="F143"/>
      <c r="G143"/>
      <c r="H143"/>
      <c r="I143"/>
      <c r="J143"/>
      <c r="K143"/>
      <c r="L143"/>
      <c r="M143"/>
      <c r="N143"/>
      <c r="O143"/>
      <c r="P143"/>
      <c r="Q143"/>
      <c r="R143"/>
      <c r="S143"/>
      <c r="T143"/>
      <c r="U143"/>
      <c r="V143"/>
    </row>
    <row r="144" spans="1:22" ht="15" x14ac:dyDescent="0.25">
      <c r="A144"/>
      <c r="B144"/>
      <c r="C144"/>
      <c r="D144"/>
      <c r="E144"/>
      <c r="F144"/>
      <c r="G144"/>
      <c r="H144"/>
      <c r="I144"/>
      <c r="J144"/>
      <c r="K144"/>
      <c r="L144"/>
      <c r="M144"/>
      <c r="N144"/>
      <c r="O144"/>
      <c r="P144"/>
      <c r="Q144"/>
      <c r="R144"/>
      <c r="S144"/>
      <c r="T144"/>
      <c r="U144"/>
      <c r="V144"/>
    </row>
    <row r="145" spans="1:22" ht="15" x14ac:dyDescent="0.25">
      <c r="A145"/>
      <c r="B145"/>
      <c r="C145"/>
      <c r="D145"/>
      <c r="E145"/>
      <c r="F145"/>
      <c r="G145"/>
      <c r="H145"/>
      <c r="I145"/>
      <c r="J145"/>
      <c r="K145"/>
      <c r="L145"/>
      <c r="M145"/>
      <c r="N145"/>
      <c r="O145"/>
      <c r="P145"/>
      <c r="Q145"/>
      <c r="R145"/>
      <c r="S145"/>
      <c r="T145"/>
      <c r="U145"/>
      <c r="V145"/>
    </row>
    <row r="146" spans="1:22" ht="15" x14ac:dyDescent="0.25">
      <c r="A146"/>
      <c r="B146"/>
      <c r="C146"/>
      <c r="D146"/>
      <c r="E146"/>
      <c r="F146"/>
      <c r="G146"/>
      <c r="H146"/>
      <c r="I146"/>
      <c r="J146"/>
      <c r="K146"/>
      <c r="L146"/>
      <c r="M146"/>
      <c r="N146"/>
      <c r="O146"/>
      <c r="P146"/>
      <c r="Q146"/>
      <c r="R146"/>
      <c r="S146"/>
      <c r="T146"/>
      <c r="U146"/>
      <c r="V146"/>
    </row>
    <row r="147" spans="1:22" ht="15" x14ac:dyDescent="0.25">
      <c r="A147"/>
      <c r="B147"/>
      <c r="C147"/>
      <c r="D147"/>
      <c r="E147"/>
      <c r="F147"/>
      <c r="G147"/>
      <c r="H147"/>
      <c r="I147"/>
      <c r="J147"/>
      <c r="K147"/>
      <c r="L147"/>
      <c r="M147"/>
      <c r="N147"/>
      <c r="O147"/>
      <c r="P147"/>
      <c r="Q147"/>
      <c r="R147"/>
      <c r="S147"/>
      <c r="T147"/>
      <c r="U147"/>
      <c r="V147"/>
    </row>
    <row r="148" spans="1:22" ht="15" x14ac:dyDescent="0.25">
      <c r="A148"/>
      <c r="B148"/>
      <c r="C148"/>
      <c r="D148"/>
      <c r="E148"/>
      <c r="F148"/>
      <c r="G148"/>
      <c r="H148"/>
      <c r="I148"/>
      <c r="J148"/>
      <c r="K148"/>
      <c r="L148"/>
      <c r="M148"/>
      <c r="N148"/>
      <c r="O148"/>
      <c r="P148"/>
      <c r="Q148"/>
      <c r="R148"/>
      <c r="S148"/>
      <c r="T148"/>
      <c r="U148"/>
      <c r="V148"/>
    </row>
    <row r="149" spans="1:22" ht="15" x14ac:dyDescent="0.25">
      <c r="A149"/>
      <c r="B149"/>
      <c r="C149"/>
      <c r="D149"/>
      <c r="E149"/>
      <c r="F149"/>
      <c r="G149"/>
      <c r="H149"/>
      <c r="I149"/>
      <c r="J149"/>
      <c r="K149"/>
      <c r="L149"/>
      <c r="M149"/>
      <c r="N149"/>
      <c r="O149"/>
      <c r="P149"/>
      <c r="Q149"/>
      <c r="R149"/>
      <c r="S149"/>
      <c r="T149"/>
      <c r="U149"/>
      <c r="V149"/>
    </row>
    <row r="150" spans="1:22" ht="15" x14ac:dyDescent="0.25">
      <c r="A150"/>
      <c r="B150"/>
      <c r="C150"/>
      <c r="D150"/>
      <c r="E150"/>
      <c r="F150"/>
      <c r="G150"/>
      <c r="H150"/>
      <c r="I150"/>
      <c r="J150"/>
      <c r="K150"/>
      <c r="L150"/>
      <c r="M150"/>
      <c r="N150"/>
      <c r="O150"/>
      <c r="P150"/>
      <c r="Q150"/>
      <c r="R150"/>
      <c r="S150"/>
      <c r="T150"/>
      <c r="U150"/>
      <c r="V150"/>
    </row>
    <row r="151" spans="1:22" ht="15" x14ac:dyDescent="0.25">
      <c r="A151"/>
      <c r="B151"/>
      <c r="C151"/>
      <c r="D151"/>
      <c r="E151"/>
      <c r="F151"/>
      <c r="G151"/>
      <c r="H151"/>
      <c r="I151"/>
      <c r="J151"/>
      <c r="K151"/>
      <c r="L151"/>
      <c r="M151"/>
      <c r="N151"/>
      <c r="O151"/>
      <c r="P151"/>
      <c r="Q151"/>
      <c r="R151"/>
      <c r="S151"/>
      <c r="T151"/>
      <c r="U151"/>
      <c r="V151"/>
    </row>
    <row r="152" spans="1:22" ht="15" x14ac:dyDescent="0.25">
      <c r="A152"/>
      <c r="B152"/>
      <c r="C152"/>
      <c r="D152"/>
      <c r="E152"/>
      <c r="F152"/>
      <c r="G152"/>
      <c r="H152"/>
      <c r="I152"/>
      <c r="J152"/>
      <c r="K152"/>
      <c r="L152"/>
      <c r="M152"/>
      <c r="N152"/>
      <c r="O152"/>
      <c r="P152"/>
      <c r="Q152"/>
      <c r="R152"/>
      <c r="S152"/>
      <c r="T152"/>
      <c r="U152"/>
      <c r="V152"/>
    </row>
    <row r="153" spans="1:22" ht="15" x14ac:dyDescent="0.25">
      <c r="A153"/>
      <c r="B153"/>
      <c r="C153"/>
      <c r="D153"/>
      <c r="E153"/>
      <c r="F153"/>
      <c r="G153"/>
      <c r="H153"/>
      <c r="I153"/>
      <c r="J153"/>
      <c r="K153"/>
      <c r="L153"/>
      <c r="M153"/>
      <c r="N153"/>
      <c r="O153"/>
      <c r="P153"/>
      <c r="Q153"/>
      <c r="R153"/>
      <c r="S153"/>
      <c r="T153"/>
      <c r="U153"/>
      <c r="V153"/>
    </row>
    <row r="154" spans="1:22" ht="15" x14ac:dyDescent="0.25">
      <c r="A154"/>
      <c r="B154"/>
      <c r="C154"/>
      <c r="D154"/>
      <c r="E154"/>
      <c r="F154"/>
      <c r="G154"/>
      <c r="H154"/>
      <c r="I154"/>
      <c r="J154"/>
      <c r="K154"/>
      <c r="L154"/>
      <c r="M154"/>
      <c r="N154"/>
      <c r="O154"/>
      <c r="P154"/>
      <c r="Q154"/>
      <c r="R154"/>
      <c r="S154"/>
      <c r="T154"/>
      <c r="U154"/>
      <c r="V154"/>
    </row>
    <row r="155" spans="1:22" ht="15" x14ac:dyDescent="0.25">
      <c r="A155"/>
      <c r="B155"/>
      <c r="C155"/>
      <c r="D155"/>
      <c r="E155"/>
      <c r="F155"/>
      <c r="G155"/>
      <c r="H155"/>
      <c r="I155"/>
      <c r="J155"/>
      <c r="K155"/>
      <c r="L155"/>
      <c r="M155"/>
      <c r="N155"/>
      <c r="O155"/>
      <c r="P155"/>
      <c r="Q155"/>
      <c r="R155"/>
      <c r="S155"/>
      <c r="T155"/>
      <c r="U155"/>
      <c r="V155"/>
    </row>
    <row r="156" spans="1:22" ht="15" x14ac:dyDescent="0.25">
      <c r="A156"/>
      <c r="B156"/>
      <c r="C156"/>
      <c r="D156"/>
      <c r="E156"/>
      <c r="F156"/>
      <c r="G156"/>
      <c r="H156"/>
      <c r="I156"/>
      <c r="J156"/>
      <c r="K156"/>
      <c r="L156"/>
      <c r="M156"/>
      <c r="N156"/>
      <c r="O156"/>
      <c r="P156"/>
      <c r="Q156"/>
      <c r="R156"/>
      <c r="S156"/>
      <c r="T156"/>
      <c r="U156"/>
      <c r="V156"/>
    </row>
    <row r="157" spans="1:22" ht="15" x14ac:dyDescent="0.25">
      <c r="A157"/>
      <c r="B157"/>
      <c r="C157"/>
      <c r="D157"/>
      <c r="E157"/>
      <c r="F157"/>
      <c r="G157"/>
      <c r="H157"/>
      <c r="I157"/>
      <c r="J157"/>
      <c r="K157"/>
      <c r="L157"/>
      <c r="M157"/>
      <c r="N157"/>
      <c r="O157"/>
      <c r="P157"/>
      <c r="Q157"/>
      <c r="R157"/>
      <c r="S157"/>
      <c r="T157"/>
      <c r="U157"/>
      <c r="V157"/>
    </row>
    <row r="158" spans="1:22" ht="15" x14ac:dyDescent="0.25">
      <c r="A158"/>
      <c r="B158"/>
      <c r="C158"/>
      <c r="D158"/>
      <c r="E158"/>
      <c r="F158"/>
      <c r="G158"/>
      <c r="H158"/>
      <c r="I158"/>
      <c r="J158"/>
      <c r="K158"/>
      <c r="L158"/>
      <c r="M158"/>
      <c r="N158"/>
      <c r="O158"/>
      <c r="P158"/>
      <c r="Q158"/>
      <c r="R158"/>
      <c r="S158"/>
      <c r="T158"/>
      <c r="U158"/>
      <c r="V158"/>
    </row>
    <row r="159" spans="1:22" ht="15" x14ac:dyDescent="0.25">
      <c r="A159"/>
      <c r="B159"/>
      <c r="C159"/>
      <c r="D159"/>
      <c r="E159"/>
      <c r="F159"/>
      <c r="G159"/>
      <c r="H159"/>
      <c r="I159"/>
      <c r="J159"/>
      <c r="K159"/>
      <c r="L159"/>
      <c r="M159"/>
      <c r="N159"/>
      <c r="O159"/>
      <c r="P159"/>
      <c r="Q159"/>
      <c r="R159"/>
      <c r="S159"/>
      <c r="T159"/>
      <c r="U159"/>
      <c r="V159"/>
    </row>
    <row r="160" spans="1:22" ht="15" x14ac:dyDescent="0.25">
      <c r="A160"/>
      <c r="B160"/>
      <c r="C160"/>
      <c r="D160"/>
      <c r="E160"/>
      <c r="F160"/>
      <c r="G160"/>
      <c r="H160"/>
      <c r="I160"/>
      <c r="J160"/>
      <c r="K160"/>
      <c r="L160"/>
      <c r="M160"/>
      <c r="N160"/>
      <c r="O160"/>
      <c r="P160"/>
      <c r="Q160"/>
      <c r="R160"/>
      <c r="S160"/>
      <c r="T160"/>
      <c r="U160"/>
      <c r="V160"/>
    </row>
    <row r="161" spans="1:22" ht="15" x14ac:dyDescent="0.25">
      <c r="A161"/>
      <c r="B161"/>
      <c r="C161"/>
      <c r="D161"/>
      <c r="E161"/>
      <c r="F161"/>
      <c r="G161"/>
      <c r="H161"/>
      <c r="I161"/>
      <c r="J161"/>
      <c r="K161"/>
      <c r="L161"/>
      <c r="M161"/>
      <c r="N161"/>
      <c r="O161"/>
      <c r="P161"/>
      <c r="Q161"/>
      <c r="R161"/>
      <c r="S161"/>
      <c r="T161"/>
      <c r="U161"/>
      <c r="V161"/>
    </row>
    <row r="162" spans="1:22" ht="15" x14ac:dyDescent="0.25">
      <c r="A162"/>
      <c r="B162"/>
      <c r="C162"/>
      <c r="D162"/>
      <c r="E162"/>
      <c r="F162"/>
      <c r="G162"/>
      <c r="H162"/>
      <c r="I162"/>
      <c r="J162"/>
      <c r="K162"/>
      <c r="L162"/>
      <c r="M162"/>
      <c r="N162"/>
      <c r="O162"/>
      <c r="P162"/>
      <c r="Q162"/>
      <c r="R162"/>
      <c r="S162"/>
      <c r="T162"/>
      <c r="U162"/>
      <c r="V162"/>
    </row>
    <row r="163" spans="1:22" ht="15" x14ac:dyDescent="0.25">
      <c r="A163"/>
      <c r="B163"/>
      <c r="C163"/>
      <c r="D163"/>
      <c r="E163"/>
      <c r="F163"/>
      <c r="G163"/>
      <c r="H163"/>
      <c r="I163"/>
      <c r="J163"/>
      <c r="K163"/>
      <c r="L163"/>
      <c r="M163"/>
      <c r="N163"/>
      <c r="O163"/>
      <c r="P163"/>
      <c r="Q163"/>
      <c r="R163"/>
      <c r="S163"/>
      <c r="T163"/>
      <c r="U163"/>
      <c r="V163"/>
    </row>
    <row r="164" spans="1:22" ht="15" x14ac:dyDescent="0.25">
      <c r="A164"/>
      <c r="B164"/>
      <c r="C164"/>
      <c r="D164"/>
      <c r="E164"/>
      <c r="F164"/>
      <c r="G164"/>
      <c r="H164"/>
      <c r="I164"/>
      <c r="J164"/>
      <c r="K164"/>
      <c r="L164"/>
      <c r="M164"/>
      <c r="N164"/>
      <c r="O164"/>
      <c r="P164"/>
      <c r="Q164"/>
      <c r="R164"/>
      <c r="S164"/>
      <c r="T164"/>
      <c r="U164"/>
      <c r="V164"/>
    </row>
    <row r="165" spans="1:22" ht="15" x14ac:dyDescent="0.25">
      <c r="A165"/>
      <c r="B165"/>
      <c r="C165"/>
      <c r="D165"/>
      <c r="E165"/>
      <c r="F165"/>
      <c r="G165"/>
      <c r="H165"/>
      <c r="I165"/>
      <c r="J165"/>
      <c r="K165"/>
      <c r="L165"/>
      <c r="M165"/>
      <c r="N165"/>
      <c r="O165"/>
      <c r="P165"/>
      <c r="Q165"/>
      <c r="R165"/>
      <c r="S165"/>
      <c r="T165"/>
      <c r="U165"/>
      <c r="V165"/>
    </row>
    <row r="166" spans="1:22" ht="15" x14ac:dyDescent="0.25">
      <c r="A166"/>
      <c r="B166"/>
      <c r="C166"/>
      <c r="D166"/>
      <c r="E166"/>
      <c r="F166"/>
      <c r="G166"/>
      <c r="H166"/>
      <c r="I166"/>
      <c r="J166"/>
      <c r="K166"/>
      <c r="L166"/>
      <c r="M166"/>
      <c r="N166"/>
      <c r="O166"/>
      <c r="P166"/>
      <c r="Q166"/>
      <c r="R166"/>
      <c r="S166"/>
      <c r="T166"/>
      <c r="U166"/>
      <c r="V166"/>
    </row>
    <row r="167" spans="1:22" ht="15" x14ac:dyDescent="0.25">
      <c r="A167"/>
      <c r="B167"/>
      <c r="C167"/>
      <c r="D167"/>
      <c r="E167"/>
      <c r="F167"/>
      <c r="G167"/>
      <c r="H167"/>
      <c r="I167"/>
      <c r="J167"/>
      <c r="K167"/>
      <c r="L167"/>
      <c r="M167"/>
      <c r="N167"/>
      <c r="O167"/>
      <c r="P167"/>
      <c r="Q167"/>
      <c r="R167"/>
      <c r="S167"/>
      <c r="T167"/>
      <c r="U167"/>
      <c r="V167"/>
    </row>
    <row r="168" spans="1:22" ht="15" x14ac:dyDescent="0.25">
      <c r="A168"/>
      <c r="B168"/>
      <c r="C168"/>
      <c r="D168"/>
      <c r="E168"/>
      <c r="F168"/>
      <c r="G168"/>
      <c r="H168"/>
      <c r="I168"/>
      <c r="J168"/>
      <c r="K168"/>
      <c r="L168"/>
      <c r="M168"/>
      <c r="N168"/>
      <c r="O168"/>
      <c r="P168"/>
      <c r="Q168"/>
      <c r="R168"/>
      <c r="S168"/>
      <c r="T168"/>
      <c r="U168"/>
      <c r="V168"/>
    </row>
    <row r="169" spans="1:22" ht="15" x14ac:dyDescent="0.25">
      <c r="A169"/>
      <c r="B169"/>
      <c r="C169"/>
      <c r="D169"/>
      <c r="E169"/>
      <c r="F169"/>
      <c r="G169"/>
      <c r="H169"/>
      <c r="I169"/>
      <c r="J169"/>
      <c r="K169"/>
      <c r="L169"/>
      <c r="M169"/>
      <c r="N169"/>
      <c r="O169"/>
      <c r="P169"/>
      <c r="Q169"/>
      <c r="R169"/>
      <c r="S169"/>
      <c r="T169"/>
      <c r="U169"/>
      <c r="V169"/>
    </row>
    <row r="170" spans="1:22" ht="15" x14ac:dyDescent="0.25">
      <c r="A170"/>
      <c r="B170"/>
      <c r="C170"/>
      <c r="D170"/>
      <c r="E170"/>
      <c r="F170"/>
      <c r="G170"/>
      <c r="H170"/>
      <c r="I170"/>
      <c r="J170"/>
      <c r="K170"/>
      <c r="L170"/>
      <c r="M170"/>
      <c r="N170"/>
      <c r="O170"/>
      <c r="P170"/>
      <c r="Q170"/>
      <c r="R170"/>
      <c r="S170"/>
      <c r="T170"/>
      <c r="U170"/>
      <c r="V170"/>
    </row>
    <row r="171" spans="1:22" ht="15" x14ac:dyDescent="0.25">
      <c r="A171"/>
      <c r="B171"/>
      <c r="C171"/>
      <c r="D171"/>
      <c r="E171"/>
      <c r="F171"/>
      <c r="G171"/>
      <c r="H171"/>
      <c r="I171"/>
      <c r="J171"/>
      <c r="K171"/>
      <c r="L171"/>
      <c r="M171"/>
      <c r="N171"/>
      <c r="O171"/>
      <c r="P171"/>
      <c r="Q171"/>
      <c r="R171"/>
      <c r="S171"/>
      <c r="T171"/>
      <c r="U171"/>
      <c r="V171"/>
    </row>
    <row r="172" spans="1:22" ht="15" x14ac:dyDescent="0.25">
      <c r="A172"/>
      <c r="B172"/>
      <c r="C172"/>
      <c r="D172"/>
      <c r="E172"/>
      <c r="F172"/>
      <c r="G172"/>
      <c r="H172"/>
      <c r="I172"/>
      <c r="J172"/>
      <c r="K172"/>
      <c r="L172"/>
      <c r="M172"/>
      <c r="N172"/>
      <c r="O172"/>
      <c r="P172"/>
      <c r="Q172"/>
      <c r="R172"/>
      <c r="S172"/>
      <c r="T172"/>
      <c r="U172"/>
      <c r="V172"/>
    </row>
    <row r="173" spans="1:22" ht="15" x14ac:dyDescent="0.25">
      <c r="A173"/>
      <c r="B173"/>
      <c r="C173"/>
      <c r="D173"/>
      <c r="E173"/>
      <c r="F173"/>
      <c r="G173"/>
      <c r="H173"/>
      <c r="I173"/>
      <c r="J173"/>
      <c r="K173"/>
      <c r="L173"/>
      <c r="M173"/>
      <c r="N173"/>
      <c r="O173"/>
      <c r="P173"/>
      <c r="Q173"/>
      <c r="R173"/>
      <c r="S173"/>
      <c r="T173"/>
      <c r="U173"/>
      <c r="V173"/>
    </row>
    <row r="174" spans="1:22" ht="15" x14ac:dyDescent="0.25">
      <c r="A174"/>
      <c r="B174"/>
      <c r="C174"/>
      <c r="D174"/>
      <c r="E174"/>
      <c r="F174"/>
      <c r="G174"/>
      <c r="H174"/>
      <c r="I174"/>
      <c r="J174"/>
      <c r="K174"/>
      <c r="L174"/>
      <c r="M174"/>
      <c r="N174"/>
      <c r="O174"/>
      <c r="P174"/>
      <c r="Q174"/>
      <c r="R174"/>
      <c r="S174"/>
      <c r="T174"/>
      <c r="U174"/>
      <c r="V174"/>
    </row>
    <row r="175" spans="1:22" ht="15" x14ac:dyDescent="0.25">
      <c r="A175"/>
      <c r="B175"/>
      <c r="C175"/>
      <c r="D175"/>
      <c r="E175"/>
      <c r="F175"/>
      <c r="G175"/>
      <c r="H175"/>
      <c r="I175"/>
      <c r="J175"/>
      <c r="K175"/>
      <c r="L175"/>
      <c r="M175"/>
      <c r="N175"/>
      <c r="O175"/>
      <c r="P175"/>
      <c r="Q175"/>
      <c r="R175"/>
      <c r="S175"/>
      <c r="T175"/>
      <c r="U175"/>
      <c r="V175"/>
    </row>
    <row r="176" spans="1:22" ht="15" x14ac:dyDescent="0.25">
      <c r="A176"/>
      <c r="B176"/>
      <c r="C176"/>
      <c r="D176"/>
      <c r="E176"/>
      <c r="F176"/>
      <c r="G176"/>
      <c r="H176"/>
      <c r="I176"/>
      <c r="J176"/>
      <c r="K176"/>
      <c r="L176"/>
      <c r="M176"/>
      <c r="N176"/>
      <c r="O176"/>
      <c r="P176"/>
      <c r="Q176"/>
      <c r="R176"/>
      <c r="S176"/>
      <c r="T176"/>
      <c r="U176"/>
      <c r="V176"/>
    </row>
    <row r="177" spans="1:22" ht="15" x14ac:dyDescent="0.25">
      <c r="A177"/>
      <c r="B177"/>
      <c r="C177"/>
      <c r="D177"/>
      <c r="E177"/>
      <c r="F177"/>
      <c r="G177"/>
      <c r="H177"/>
      <c r="I177"/>
      <c r="J177"/>
      <c r="K177"/>
      <c r="L177"/>
      <c r="M177"/>
      <c r="N177"/>
      <c r="O177"/>
      <c r="P177"/>
      <c r="Q177"/>
      <c r="R177"/>
      <c r="S177"/>
      <c r="T177"/>
      <c r="U177"/>
      <c r="V177"/>
    </row>
    <row r="178" spans="1:22" ht="15" x14ac:dyDescent="0.25">
      <c r="A178"/>
      <c r="B178"/>
      <c r="C178"/>
      <c r="D178"/>
      <c r="E178"/>
      <c r="F178"/>
      <c r="G178"/>
      <c r="H178"/>
      <c r="I178"/>
      <c r="J178"/>
      <c r="K178"/>
      <c r="L178"/>
      <c r="M178"/>
      <c r="N178"/>
      <c r="O178"/>
      <c r="P178"/>
      <c r="Q178"/>
      <c r="R178"/>
      <c r="S178"/>
      <c r="T178"/>
      <c r="U178"/>
      <c r="V178"/>
    </row>
    <row r="179" spans="1:22" ht="15" x14ac:dyDescent="0.25">
      <c r="A179"/>
      <c r="B179"/>
      <c r="C179"/>
      <c r="D179"/>
      <c r="E179"/>
      <c r="F179"/>
      <c r="G179"/>
      <c r="H179"/>
      <c r="I179"/>
      <c r="J179"/>
      <c r="K179"/>
      <c r="L179"/>
      <c r="M179"/>
      <c r="N179"/>
      <c r="O179"/>
      <c r="P179"/>
      <c r="Q179"/>
      <c r="R179"/>
      <c r="S179"/>
      <c r="T179"/>
      <c r="U179"/>
      <c r="V179"/>
    </row>
    <row r="180" spans="1:22" ht="15" x14ac:dyDescent="0.25">
      <c r="A180"/>
      <c r="B180"/>
      <c r="C180"/>
      <c r="D180"/>
      <c r="E180"/>
      <c r="F180"/>
      <c r="G180"/>
      <c r="H180"/>
      <c r="I180"/>
      <c r="J180"/>
      <c r="K180"/>
      <c r="L180"/>
      <c r="M180"/>
      <c r="N180"/>
      <c r="O180"/>
      <c r="P180"/>
      <c r="Q180"/>
      <c r="R180"/>
      <c r="S180"/>
      <c r="T180"/>
      <c r="U180"/>
      <c r="V180"/>
    </row>
    <row r="181" spans="1:22" ht="15" x14ac:dyDescent="0.25">
      <c r="A181"/>
      <c r="B181"/>
      <c r="C181"/>
      <c r="D181"/>
      <c r="E181"/>
      <c r="F181"/>
      <c r="G181"/>
      <c r="H181"/>
      <c r="I181"/>
      <c r="J181"/>
      <c r="K181"/>
      <c r="L181"/>
      <c r="M181"/>
      <c r="N181"/>
      <c r="O181"/>
      <c r="P181"/>
      <c r="Q181"/>
      <c r="R181"/>
      <c r="S181"/>
      <c r="T181"/>
      <c r="U181"/>
      <c r="V181"/>
    </row>
    <row r="182" spans="1:22" ht="15" x14ac:dyDescent="0.25">
      <c r="A182"/>
      <c r="B182"/>
      <c r="C182"/>
      <c r="D182"/>
      <c r="E182"/>
      <c r="F182"/>
      <c r="G182"/>
      <c r="H182"/>
      <c r="I182"/>
      <c r="J182"/>
      <c r="K182"/>
      <c r="L182"/>
      <c r="M182"/>
      <c r="N182"/>
      <c r="O182"/>
      <c r="P182"/>
      <c r="Q182"/>
      <c r="R182"/>
      <c r="S182"/>
      <c r="T182"/>
      <c r="U182"/>
      <c r="V182"/>
    </row>
    <row r="183" spans="1:22" ht="15" x14ac:dyDescent="0.25">
      <c r="A183"/>
      <c r="B183"/>
      <c r="C183"/>
      <c r="D183"/>
      <c r="E183"/>
      <c r="F183"/>
      <c r="G183"/>
      <c r="H183"/>
      <c r="I183"/>
      <c r="J183"/>
      <c r="K183"/>
      <c r="L183"/>
      <c r="M183"/>
      <c r="N183"/>
      <c r="O183"/>
      <c r="P183"/>
      <c r="Q183"/>
      <c r="R183"/>
      <c r="S183"/>
      <c r="T183"/>
      <c r="U183"/>
      <c r="V183"/>
    </row>
    <row r="184" spans="1:22" ht="15" x14ac:dyDescent="0.25">
      <c r="A184"/>
      <c r="B184"/>
      <c r="C184"/>
      <c r="D184"/>
      <c r="E184"/>
      <c r="F184"/>
      <c r="G184"/>
      <c r="H184"/>
      <c r="I184"/>
      <c r="J184"/>
      <c r="K184"/>
      <c r="L184"/>
      <c r="M184"/>
      <c r="N184"/>
      <c r="O184"/>
      <c r="P184"/>
      <c r="Q184"/>
      <c r="R184"/>
      <c r="S184"/>
      <c r="T184"/>
      <c r="U184"/>
      <c r="V184"/>
    </row>
    <row r="185" spans="1:22" ht="15" x14ac:dyDescent="0.25">
      <c r="A185"/>
      <c r="B185"/>
      <c r="C185"/>
      <c r="D185"/>
      <c r="E185"/>
      <c r="F185"/>
      <c r="G185"/>
      <c r="H185"/>
      <c r="I185"/>
      <c r="J185"/>
      <c r="K185"/>
      <c r="L185"/>
      <c r="M185"/>
      <c r="N185"/>
      <c r="O185"/>
      <c r="P185"/>
      <c r="Q185"/>
      <c r="R185"/>
      <c r="S185"/>
      <c r="T185"/>
      <c r="U185"/>
      <c r="V185"/>
    </row>
    <row r="186" spans="1:22" ht="15" x14ac:dyDescent="0.25">
      <c r="A186"/>
      <c r="B186"/>
      <c r="C186"/>
      <c r="D186"/>
      <c r="E186"/>
      <c r="F186"/>
      <c r="G186"/>
      <c r="H186"/>
      <c r="I186"/>
      <c r="J186"/>
      <c r="K186"/>
      <c r="L186"/>
      <c r="M186"/>
      <c r="N186"/>
      <c r="O186"/>
      <c r="P186"/>
      <c r="Q186"/>
      <c r="R186"/>
      <c r="S186"/>
      <c r="T186"/>
      <c r="U186"/>
      <c r="V186"/>
    </row>
    <row r="187" spans="1:22" ht="15" x14ac:dyDescent="0.25">
      <c r="A187"/>
      <c r="B187"/>
      <c r="C187"/>
      <c r="D187"/>
      <c r="E187"/>
      <c r="F187"/>
      <c r="G187"/>
      <c r="H187"/>
      <c r="I187"/>
      <c r="J187"/>
      <c r="K187"/>
      <c r="L187"/>
      <c r="M187"/>
      <c r="N187"/>
      <c r="O187"/>
      <c r="P187"/>
      <c r="Q187"/>
      <c r="R187"/>
      <c r="S187"/>
      <c r="T187"/>
      <c r="U187"/>
      <c r="V187"/>
    </row>
    <row r="188" spans="1:22" ht="15" x14ac:dyDescent="0.25">
      <c r="A188"/>
      <c r="B188"/>
      <c r="C188"/>
      <c r="D188"/>
      <c r="E188"/>
      <c r="F188"/>
      <c r="G188"/>
      <c r="H188"/>
      <c r="I188"/>
      <c r="J188"/>
      <c r="K188"/>
      <c r="L188"/>
      <c r="M188"/>
      <c r="N188"/>
      <c r="O188"/>
      <c r="P188"/>
      <c r="Q188"/>
      <c r="R188"/>
      <c r="S188"/>
      <c r="T188"/>
      <c r="U188"/>
      <c r="V188"/>
    </row>
    <row r="189" spans="1:22" ht="15" x14ac:dyDescent="0.25">
      <c r="A189"/>
      <c r="B189"/>
      <c r="C189"/>
      <c r="D189"/>
      <c r="E189"/>
      <c r="F189"/>
      <c r="G189"/>
      <c r="H189"/>
      <c r="I189"/>
      <c r="J189"/>
      <c r="K189"/>
      <c r="L189"/>
      <c r="M189"/>
      <c r="N189"/>
      <c r="O189"/>
      <c r="P189"/>
      <c r="Q189"/>
      <c r="R189"/>
      <c r="S189"/>
      <c r="T189"/>
      <c r="U189"/>
      <c r="V189"/>
    </row>
    <row r="190" spans="1:22" ht="15" x14ac:dyDescent="0.25">
      <c r="A190"/>
      <c r="B190"/>
      <c r="C190"/>
      <c r="D190"/>
      <c r="E190"/>
      <c r="F190"/>
      <c r="G190"/>
      <c r="H190"/>
      <c r="I190"/>
      <c r="J190"/>
      <c r="K190"/>
      <c r="L190"/>
      <c r="M190"/>
      <c r="N190"/>
      <c r="O190"/>
      <c r="P190"/>
      <c r="Q190"/>
      <c r="R190"/>
      <c r="S190"/>
      <c r="T190"/>
      <c r="U190"/>
      <c r="V190"/>
    </row>
    <row r="191" spans="1:22" ht="15" x14ac:dyDescent="0.25">
      <c r="A191"/>
      <c r="B191"/>
      <c r="C191"/>
      <c r="D191"/>
      <c r="E191"/>
      <c r="F191"/>
      <c r="G191"/>
      <c r="H191"/>
      <c r="I191"/>
      <c r="J191"/>
      <c r="K191"/>
      <c r="L191"/>
      <c r="M191"/>
      <c r="N191"/>
      <c r="O191"/>
      <c r="P191"/>
      <c r="Q191"/>
      <c r="R191"/>
      <c r="S191"/>
      <c r="T191"/>
      <c r="U191"/>
      <c r="V191"/>
    </row>
    <row r="192" spans="1:22" ht="15" x14ac:dyDescent="0.25">
      <c r="A192"/>
      <c r="B192"/>
      <c r="C192"/>
      <c r="D192"/>
      <c r="E192"/>
      <c r="F192"/>
      <c r="G192"/>
      <c r="H192"/>
      <c r="I192"/>
      <c r="J192"/>
      <c r="K192"/>
      <c r="L192"/>
      <c r="M192"/>
      <c r="N192"/>
      <c r="O192"/>
      <c r="P192"/>
      <c r="Q192"/>
      <c r="R192"/>
      <c r="S192"/>
      <c r="T192"/>
      <c r="U192"/>
      <c r="V192"/>
    </row>
    <row r="193" spans="1:22" ht="15" x14ac:dyDescent="0.25">
      <c r="A193"/>
      <c r="B193"/>
      <c r="C193"/>
      <c r="D193"/>
      <c r="E193"/>
      <c r="F193"/>
      <c r="G193"/>
      <c r="H193"/>
      <c r="I193"/>
      <c r="J193"/>
      <c r="K193"/>
      <c r="L193"/>
      <c r="M193"/>
      <c r="N193"/>
      <c r="O193"/>
      <c r="P193"/>
      <c r="Q193"/>
      <c r="R193"/>
      <c r="S193"/>
      <c r="T193"/>
      <c r="U193"/>
      <c r="V193"/>
    </row>
    <row r="194" spans="1:22" ht="15" x14ac:dyDescent="0.25">
      <c r="A194"/>
      <c r="B194"/>
      <c r="C194"/>
      <c r="D194"/>
      <c r="E194"/>
      <c r="F194"/>
      <c r="G194"/>
      <c r="H194"/>
      <c r="I194"/>
      <c r="J194"/>
      <c r="K194"/>
      <c r="L194"/>
      <c r="M194"/>
      <c r="N194"/>
      <c r="O194"/>
      <c r="P194"/>
      <c r="Q194"/>
      <c r="R194"/>
      <c r="S194"/>
      <c r="T194"/>
      <c r="U194"/>
      <c r="V194"/>
    </row>
    <row r="195" spans="1:22" ht="15" x14ac:dyDescent="0.25">
      <c r="A195"/>
      <c r="B195"/>
      <c r="C195"/>
      <c r="D195"/>
      <c r="E195"/>
      <c r="F195"/>
      <c r="G195"/>
      <c r="H195"/>
      <c r="I195"/>
      <c r="J195"/>
      <c r="K195"/>
      <c r="L195"/>
      <c r="M195"/>
      <c r="N195"/>
      <c r="O195"/>
      <c r="P195"/>
      <c r="Q195"/>
      <c r="R195"/>
      <c r="S195"/>
      <c r="T195"/>
      <c r="U195"/>
      <c r="V195"/>
    </row>
    <row r="196" spans="1:22" ht="15" x14ac:dyDescent="0.25">
      <c r="A196"/>
      <c r="B196"/>
      <c r="C196"/>
      <c r="D196"/>
      <c r="E196"/>
      <c r="F196"/>
      <c r="G196"/>
      <c r="H196"/>
      <c r="I196"/>
      <c r="J196"/>
      <c r="K196"/>
      <c r="L196"/>
      <c r="M196"/>
      <c r="N196"/>
      <c r="O196"/>
      <c r="P196"/>
      <c r="Q196"/>
      <c r="R196"/>
      <c r="S196"/>
      <c r="T196"/>
      <c r="U196"/>
      <c r="V196"/>
    </row>
    <row r="197" spans="1:22" ht="15" x14ac:dyDescent="0.25">
      <c r="A197"/>
      <c r="B197"/>
      <c r="C197"/>
      <c r="D197"/>
      <c r="E197"/>
      <c r="F197"/>
      <c r="G197"/>
      <c r="H197"/>
      <c r="I197"/>
      <c r="J197"/>
      <c r="K197"/>
      <c r="L197"/>
      <c r="M197"/>
      <c r="N197"/>
      <c r="O197"/>
      <c r="P197"/>
      <c r="Q197"/>
      <c r="R197"/>
      <c r="S197"/>
      <c r="T197"/>
      <c r="U197"/>
      <c r="V197"/>
    </row>
    <row r="198" spans="1:22" ht="15" x14ac:dyDescent="0.25">
      <c r="A198"/>
      <c r="B198"/>
      <c r="C198"/>
      <c r="D198"/>
      <c r="E198"/>
      <c r="F198"/>
      <c r="G198"/>
      <c r="H198"/>
      <c r="I198"/>
      <c r="J198"/>
      <c r="K198"/>
      <c r="L198"/>
      <c r="M198"/>
      <c r="N198"/>
      <c r="O198"/>
      <c r="P198"/>
      <c r="Q198"/>
      <c r="R198"/>
      <c r="S198"/>
      <c r="T198"/>
      <c r="U198"/>
      <c r="V198"/>
    </row>
    <row r="199" spans="1:22" ht="15" x14ac:dyDescent="0.25">
      <c r="A199"/>
      <c r="B199"/>
      <c r="C199"/>
      <c r="D199"/>
      <c r="E199"/>
      <c r="F199"/>
      <c r="G199"/>
      <c r="H199"/>
      <c r="I199"/>
      <c r="J199"/>
      <c r="K199"/>
      <c r="L199"/>
      <c r="M199"/>
      <c r="N199"/>
      <c r="O199"/>
      <c r="P199"/>
      <c r="Q199"/>
      <c r="R199"/>
      <c r="S199"/>
      <c r="T199"/>
      <c r="U199"/>
      <c r="V199"/>
    </row>
    <row r="200" spans="1:22" ht="15" x14ac:dyDescent="0.25">
      <c r="A200"/>
      <c r="B200"/>
      <c r="C200"/>
      <c r="D200"/>
      <c r="E200"/>
      <c r="F200"/>
      <c r="G200"/>
      <c r="H200"/>
      <c r="I200"/>
      <c r="J200"/>
      <c r="K200"/>
      <c r="L200"/>
      <c r="M200"/>
      <c r="N200"/>
      <c r="O200"/>
      <c r="P200"/>
      <c r="Q200"/>
      <c r="R200"/>
      <c r="S200"/>
      <c r="T200"/>
      <c r="U200"/>
      <c r="V200"/>
    </row>
    <row r="201" spans="1:22" ht="15" x14ac:dyDescent="0.25">
      <c r="A201"/>
      <c r="B201"/>
      <c r="C201"/>
      <c r="D201"/>
      <c r="E201"/>
      <c r="F201"/>
      <c r="G201"/>
      <c r="H201"/>
      <c r="I201"/>
      <c r="J201"/>
      <c r="K201"/>
      <c r="L201"/>
      <c r="M201"/>
      <c r="N201"/>
      <c r="O201"/>
      <c r="P201"/>
      <c r="Q201"/>
      <c r="R201"/>
      <c r="S201"/>
      <c r="T201"/>
      <c r="U201"/>
      <c r="V201"/>
    </row>
    <row r="202" spans="1:22" ht="15" x14ac:dyDescent="0.25">
      <c r="A202"/>
      <c r="B202"/>
      <c r="C202"/>
      <c r="D202"/>
      <c r="E202"/>
      <c r="F202"/>
      <c r="G202"/>
      <c r="H202"/>
      <c r="I202"/>
      <c r="J202"/>
      <c r="K202"/>
      <c r="L202"/>
      <c r="M202"/>
      <c r="N202"/>
      <c r="O202"/>
      <c r="P202"/>
      <c r="Q202"/>
      <c r="R202"/>
      <c r="S202"/>
      <c r="T202"/>
      <c r="U202"/>
      <c r="V202"/>
    </row>
    <row r="203" spans="1:22" ht="15" x14ac:dyDescent="0.25">
      <c r="A203"/>
      <c r="B203"/>
      <c r="C203"/>
      <c r="D203"/>
      <c r="E203"/>
      <c r="F203"/>
      <c r="G203"/>
      <c r="H203"/>
      <c r="I203"/>
      <c r="J203"/>
      <c r="K203"/>
      <c r="L203"/>
      <c r="M203"/>
      <c r="N203"/>
      <c r="O203"/>
      <c r="P203"/>
      <c r="Q203"/>
      <c r="R203"/>
      <c r="S203"/>
      <c r="T203"/>
      <c r="U203"/>
      <c r="V203"/>
    </row>
    <row r="204" spans="1:22" ht="15" x14ac:dyDescent="0.25">
      <c r="A204"/>
      <c r="B204"/>
      <c r="C204"/>
      <c r="D204"/>
      <c r="E204"/>
      <c r="F204"/>
      <c r="G204"/>
      <c r="H204"/>
      <c r="I204"/>
      <c r="J204"/>
      <c r="K204"/>
      <c r="L204"/>
      <c r="M204"/>
      <c r="N204"/>
      <c r="O204"/>
      <c r="P204"/>
      <c r="Q204"/>
      <c r="R204"/>
      <c r="S204"/>
      <c r="T204"/>
      <c r="U204"/>
      <c r="V204"/>
    </row>
    <row r="205" spans="1:22" ht="15" x14ac:dyDescent="0.25">
      <c r="A205"/>
      <c r="B205"/>
      <c r="C205"/>
      <c r="D205"/>
      <c r="E205"/>
      <c r="F205"/>
      <c r="G205"/>
      <c r="H205"/>
      <c r="I205"/>
      <c r="J205"/>
      <c r="K205"/>
      <c r="L205"/>
      <c r="M205"/>
      <c r="N205"/>
      <c r="O205"/>
      <c r="P205"/>
      <c r="Q205"/>
      <c r="R205"/>
      <c r="S205"/>
      <c r="T205"/>
      <c r="U205"/>
      <c r="V205"/>
    </row>
    <row r="206" spans="1:22" ht="15" x14ac:dyDescent="0.25">
      <c r="A206"/>
      <c r="B206"/>
      <c r="C206"/>
      <c r="D206"/>
      <c r="E206"/>
      <c r="F206"/>
      <c r="G206"/>
      <c r="H206"/>
      <c r="I206"/>
      <c r="J206"/>
      <c r="K206"/>
      <c r="L206"/>
      <c r="M206"/>
      <c r="N206"/>
      <c r="O206"/>
      <c r="P206"/>
      <c r="Q206"/>
      <c r="R206"/>
      <c r="S206"/>
      <c r="T206"/>
      <c r="U206"/>
      <c r="V206"/>
    </row>
    <row r="207" spans="1:22" ht="15" x14ac:dyDescent="0.25">
      <c r="A207"/>
      <c r="B207"/>
      <c r="C207"/>
      <c r="D207"/>
      <c r="E207"/>
      <c r="F207"/>
      <c r="G207"/>
      <c r="H207"/>
      <c r="I207"/>
      <c r="J207"/>
      <c r="K207"/>
      <c r="L207"/>
      <c r="M207"/>
      <c r="N207"/>
      <c r="O207"/>
      <c r="P207"/>
      <c r="Q207"/>
      <c r="R207"/>
      <c r="S207"/>
      <c r="T207"/>
      <c r="U207"/>
      <c r="V207"/>
    </row>
    <row r="208" spans="1:22" ht="15" x14ac:dyDescent="0.25">
      <c r="A208"/>
      <c r="B208"/>
      <c r="C208"/>
      <c r="D208"/>
      <c r="E208"/>
      <c r="F208"/>
      <c r="G208"/>
      <c r="H208"/>
      <c r="I208"/>
      <c r="J208"/>
      <c r="K208"/>
      <c r="L208"/>
      <c r="M208"/>
      <c r="N208"/>
      <c r="O208"/>
      <c r="P208"/>
      <c r="Q208"/>
      <c r="R208"/>
      <c r="S208"/>
      <c r="T208"/>
      <c r="U208"/>
      <c r="V208"/>
    </row>
    <row r="209" spans="1:22" ht="15" x14ac:dyDescent="0.25">
      <c r="A209"/>
      <c r="B209"/>
      <c r="C209"/>
      <c r="D209"/>
      <c r="E209"/>
      <c r="F209"/>
      <c r="G209"/>
      <c r="H209"/>
      <c r="I209"/>
      <c r="J209"/>
      <c r="K209"/>
      <c r="L209"/>
      <c r="M209"/>
      <c r="N209"/>
      <c r="O209"/>
      <c r="P209"/>
      <c r="Q209"/>
      <c r="R209"/>
      <c r="S209"/>
      <c r="T209"/>
      <c r="U209"/>
      <c r="V209"/>
    </row>
    <row r="210" spans="1:22" ht="15" x14ac:dyDescent="0.25">
      <c r="A210"/>
      <c r="B210"/>
      <c r="C210"/>
      <c r="D210"/>
      <c r="E210"/>
      <c r="F210"/>
      <c r="G210"/>
      <c r="H210"/>
      <c r="I210"/>
      <c r="J210"/>
      <c r="K210"/>
      <c r="L210"/>
      <c r="M210"/>
      <c r="N210"/>
      <c r="O210"/>
      <c r="P210"/>
      <c r="Q210"/>
      <c r="R210"/>
      <c r="S210"/>
      <c r="T210"/>
      <c r="U210"/>
      <c r="V210"/>
    </row>
    <row r="211" spans="1:22" ht="15" x14ac:dyDescent="0.25">
      <c r="A211"/>
      <c r="B211"/>
      <c r="C211"/>
      <c r="D211"/>
      <c r="E211"/>
      <c r="F211"/>
      <c r="G211"/>
      <c r="H211"/>
      <c r="I211"/>
      <c r="J211"/>
      <c r="K211"/>
      <c r="L211"/>
      <c r="M211"/>
      <c r="N211"/>
      <c r="O211"/>
      <c r="P211"/>
      <c r="Q211"/>
      <c r="R211"/>
      <c r="S211"/>
      <c r="T211"/>
      <c r="U211"/>
      <c r="V211"/>
    </row>
    <row r="212" spans="1:22" ht="15" x14ac:dyDescent="0.25">
      <c r="A212"/>
      <c r="B212"/>
      <c r="C212"/>
      <c r="D212"/>
      <c r="E212"/>
      <c r="F212"/>
      <c r="G212"/>
      <c r="H212"/>
      <c r="I212"/>
      <c r="J212"/>
      <c r="K212"/>
      <c r="L212"/>
      <c r="M212"/>
      <c r="N212"/>
      <c r="O212"/>
      <c r="P212"/>
      <c r="Q212"/>
      <c r="R212"/>
      <c r="S212"/>
      <c r="T212"/>
      <c r="U212"/>
      <c r="V212"/>
    </row>
    <row r="213" spans="1:22" ht="15" x14ac:dyDescent="0.25">
      <c r="A213"/>
      <c r="B213"/>
      <c r="C213"/>
      <c r="D213"/>
      <c r="E213"/>
      <c r="F213"/>
      <c r="G213"/>
      <c r="H213"/>
      <c r="I213"/>
      <c r="J213"/>
      <c r="K213"/>
      <c r="L213"/>
      <c r="M213"/>
      <c r="N213"/>
      <c r="O213"/>
      <c r="P213"/>
      <c r="Q213"/>
      <c r="R213"/>
      <c r="S213"/>
      <c r="T213"/>
      <c r="U213"/>
      <c r="V213"/>
    </row>
    <row r="214" spans="1:22" ht="15" x14ac:dyDescent="0.25">
      <c r="A214"/>
      <c r="B214"/>
      <c r="C214"/>
      <c r="D214"/>
      <c r="E214"/>
      <c r="F214"/>
      <c r="G214"/>
      <c r="H214"/>
      <c r="I214"/>
      <c r="J214"/>
      <c r="K214"/>
      <c r="L214"/>
      <c r="M214"/>
      <c r="N214"/>
      <c r="O214"/>
      <c r="P214"/>
      <c r="Q214"/>
      <c r="R214"/>
      <c r="S214"/>
      <c r="T214"/>
      <c r="U214"/>
      <c r="V214"/>
    </row>
    <row r="215" spans="1:22" ht="15" x14ac:dyDescent="0.25">
      <c r="A215"/>
      <c r="B215"/>
      <c r="C215"/>
      <c r="D215"/>
      <c r="E215"/>
      <c r="F215"/>
      <c r="G215"/>
      <c r="H215"/>
      <c r="I215"/>
      <c r="J215"/>
      <c r="K215"/>
      <c r="L215"/>
      <c r="M215"/>
      <c r="N215"/>
      <c r="O215"/>
      <c r="P215"/>
      <c r="Q215"/>
      <c r="R215"/>
      <c r="S215"/>
      <c r="T215"/>
      <c r="U215"/>
      <c r="V215"/>
    </row>
    <row r="216" spans="1:22" ht="15" x14ac:dyDescent="0.25">
      <c r="A216"/>
      <c r="B216"/>
      <c r="C216"/>
      <c r="D216"/>
      <c r="E216"/>
      <c r="F216"/>
      <c r="G216"/>
      <c r="H216"/>
      <c r="I216"/>
      <c r="J216"/>
      <c r="K216"/>
      <c r="L216"/>
      <c r="M216"/>
      <c r="N216"/>
      <c r="O216"/>
      <c r="P216"/>
      <c r="Q216"/>
      <c r="R216"/>
      <c r="S216"/>
      <c r="T216"/>
      <c r="U216"/>
      <c r="V216"/>
    </row>
    <row r="217" spans="1:22" ht="15" x14ac:dyDescent="0.25">
      <c r="A217"/>
      <c r="B217"/>
      <c r="C217"/>
      <c r="D217"/>
      <c r="E217"/>
      <c r="F217"/>
      <c r="G217"/>
      <c r="H217"/>
      <c r="I217"/>
      <c r="J217"/>
      <c r="K217"/>
      <c r="L217"/>
      <c r="M217"/>
      <c r="N217"/>
      <c r="O217"/>
      <c r="P217"/>
      <c r="Q217"/>
      <c r="R217"/>
      <c r="S217"/>
      <c r="T217"/>
      <c r="U217"/>
      <c r="V217"/>
    </row>
    <row r="218" spans="1:22" ht="15" x14ac:dyDescent="0.25">
      <c r="A218"/>
      <c r="B218"/>
      <c r="C218"/>
      <c r="D218"/>
      <c r="E218"/>
      <c r="F218"/>
      <c r="G218"/>
      <c r="H218"/>
      <c r="I218"/>
      <c r="J218"/>
      <c r="K218"/>
      <c r="L218"/>
      <c r="M218"/>
      <c r="N218"/>
      <c r="O218"/>
      <c r="P218"/>
      <c r="Q218"/>
      <c r="R218"/>
      <c r="S218"/>
      <c r="T218"/>
      <c r="U218"/>
      <c r="V218"/>
    </row>
    <row r="219" spans="1:22" ht="15" x14ac:dyDescent="0.25">
      <c r="A219"/>
      <c r="B219"/>
      <c r="C219"/>
      <c r="D219"/>
      <c r="E219"/>
      <c r="F219"/>
      <c r="G219"/>
      <c r="H219"/>
      <c r="I219"/>
      <c r="J219"/>
      <c r="K219"/>
      <c r="L219"/>
      <c r="M219"/>
      <c r="N219"/>
      <c r="O219"/>
      <c r="P219"/>
      <c r="Q219"/>
      <c r="R219"/>
      <c r="S219"/>
      <c r="T219"/>
      <c r="U219"/>
      <c r="V219"/>
    </row>
    <row r="220" spans="1:22" ht="15" x14ac:dyDescent="0.25">
      <c r="A220"/>
      <c r="B220"/>
      <c r="C220"/>
      <c r="D220"/>
      <c r="E220"/>
      <c r="F220"/>
      <c r="G220"/>
      <c r="H220"/>
      <c r="I220"/>
      <c r="J220"/>
      <c r="K220"/>
      <c r="L220"/>
      <c r="M220"/>
      <c r="N220"/>
      <c r="O220"/>
      <c r="P220"/>
      <c r="Q220"/>
      <c r="R220"/>
      <c r="S220"/>
      <c r="T220"/>
      <c r="U220"/>
      <c r="V220"/>
    </row>
    <row r="221" spans="1:22" ht="15" x14ac:dyDescent="0.25">
      <c r="A221"/>
      <c r="B221"/>
      <c r="C221"/>
      <c r="D221"/>
      <c r="E221"/>
      <c r="F221"/>
      <c r="G221"/>
      <c r="H221"/>
      <c r="I221"/>
      <c r="J221"/>
      <c r="K221"/>
      <c r="L221"/>
      <c r="M221"/>
      <c r="N221"/>
      <c r="O221"/>
      <c r="P221"/>
      <c r="Q221"/>
      <c r="R221"/>
      <c r="S221"/>
      <c r="T221"/>
      <c r="U221"/>
      <c r="V221"/>
    </row>
    <row r="222" spans="1:22" ht="15" x14ac:dyDescent="0.25">
      <c r="A222"/>
      <c r="B222"/>
      <c r="C222"/>
      <c r="D222"/>
      <c r="E222"/>
      <c r="F222"/>
      <c r="G222"/>
      <c r="H222"/>
      <c r="I222"/>
      <c r="J222"/>
      <c r="K222"/>
      <c r="L222"/>
      <c r="M222"/>
      <c r="N222"/>
      <c r="O222"/>
      <c r="P222"/>
      <c r="Q222"/>
      <c r="R222"/>
      <c r="S222"/>
      <c r="T222"/>
      <c r="U222"/>
      <c r="V222"/>
    </row>
    <row r="223" spans="1:22" ht="15" x14ac:dyDescent="0.25">
      <c r="A223"/>
      <c r="B223"/>
      <c r="C223"/>
      <c r="D223"/>
      <c r="E223"/>
      <c r="F223"/>
      <c r="G223"/>
      <c r="H223"/>
      <c r="I223"/>
      <c r="J223"/>
      <c r="K223"/>
      <c r="L223"/>
      <c r="M223"/>
      <c r="N223"/>
      <c r="O223"/>
      <c r="P223"/>
      <c r="Q223"/>
      <c r="R223"/>
      <c r="S223"/>
      <c r="T223"/>
      <c r="U223"/>
      <c r="V223"/>
    </row>
    <row r="224" spans="1:22" ht="15" x14ac:dyDescent="0.25">
      <c r="A224"/>
      <c r="B224"/>
      <c r="C224"/>
      <c r="D224"/>
      <c r="E224"/>
      <c r="F224"/>
      <c r="G224"/>
      <c r="H224"/>
      <c r="I224"/>
      <c r="J224"/>
      <c r="K224"/>
      <c r="L224"/>
      <c r="M224"/>
      <c r="N224"/>
      <c r="O224"/>
      <c r="P224"/>
      <c r="Q224"/>
      <c r="R224"/>
      <c r="S224"/>
      <c r="T224"/>
      <c r="U224"/>
      <c r="V224"/>
    </row>
    <row r="225" spans="1:22" ht="15" x14ac:dyDescent="0.25">
      <c r="A225"/>
      <c r="B225"/>
      <c r="C225"/>
      <c r="D225"/>
      <c r="E225"/>
      <c r="F225"/>
      <c r="G225"/>
      <c r="H225"/>
      <c r="I225"/>
      <c r="J225"/>
      <c r="K225"/>
      <c r="L225"/>
      <c r="M225"/>
      <c r="N225"/>
      <c r="O225"/>
      <c r="P225"/>
      <c r="Q225"/>
      <c r="R225"/>
      <c r="S225"/>
      <c r="T225"/>
      <c r="U225"/>
      <c r="V225"/>
    </row>
    <row r="226" spans="1:22" ht="15" x14ac:dyDescent="0.25">
      <c r="A226"/>
      <c r="B226"/>
      <c r="C226"/>
      <c r="D226"/>
      <c r="E226"/>
      <c r="F226"/>
      <c r="G226"/>
      <c r="H226"/>
      <c r="I226"/>
      <c r="J226"/>
      <c r="K226"/>
      <c r="L226"/>
      <c r="M226"/>
      <c r="N226"/>
      <c r="O226"/>
      <c r="P226"/>
      <c r="Q226"/>
      <c r="R226"/>
      <c r="S226"/>
      <c r="T226"/>
      <c r="U226"/>
      <c r="V226"/>
    </row>
    <row r="227" spans="1:22" ht="15" x14ac:dyDescent="0.25">
      <c r="A227"/>
      <c r="B227"/>
      <c r="C227"/>
      <c r="D227"/>
      <c r="E227"/>
      <c r="F227"/>
      <c r="G227"/>
      <c r="H227"/>
      <c r="I227"/>
      <c r="J227"/>
      <c r="K227"/>
      <c r="L227"/>
      <c r="M227"/>
      <c r="N227"/>
      <c r="O227"/>
      <c r="P227"/>
      <c r="Q227"/>
      <c r="R227"/>
      <c r="S227"/>
      <c r="T227"/>
      <c r="U227"/>
      <c r="V227"/>
    </row>
    <row r="228" spans="1:22" ht="15" x14ac:dyDescent="0.25">
      <c r="A228"/>
      <c r="B228"/>
      <c r="C228"/>
      <c r="D228"/>
      <c r="E228"/>
      <c r="F228"/>
      <c r="G228"/>
      <c r="H228"/>
      <c r="I228"/>
      <c r="J228"/>
      <c r="K228"/>
      <c r="L228"/>
      <c r="M228"/>
      <c r="N228"/>
      <c r="O228"/>
      <c r="P228"/>
      <c r="Q228"/>
      <c r="R228"/>
      <c r="S228"/>
      <c r="T228"/>
      <c r="U228"/>
      <c r="V228"/>
    </row>
    <row r="229" spans="1:22" ht="15" x14ac:dyDescent="0.25">
      <c r="A229"/>
      <c r="B229"/>
      <c r="C229"/>
      <c r="D229"/>
      <c r="E229"/>
      <c r="F229"/>
      <c r="G229"/>
      <c r="H229"/>
      <c r="I229"/>
      <c r="J229"/>
      <c r="K229"/>
      <c r="L229"/>
      <c r="M229"/>
      <c r="N229"/>
      <c r="O229"/>
      <c r="P229"/>
      <c r="Q229"/>
      <c r="R229"/>
      <c r="S229"/>
      <c r="T229"/>
      <c r="U229"/>
      <c r="V229"/>
    </row>
    <row r="230" spans="1:22" ht="15" x14ac:dyDescent="0.25">
      <c r="A230"/>
      <c r="B230"/>
      <c r="C230"/>
      <c r="D230"/>
      <c r="E230"/>
      <c r="F230"/>
      <c r="G230"/>
      <c r="H230"/>
      <c r="I230"/>
      <c r="J230"/>
      <c r="K230"/>
      <c r="L230"/>
      <c r="M230"/>
      <c r="N230"/>
      <c r="O230"/>
      <c r="P230"/>
      <c r="Q230"/>
      <c r="R230"/>
      <c r="S230"/>
      <c r="T230"/>
      <c r="U230"/>
      <c r="V230"/>
    </row>
    <row r="231" spans="1:22" ht="15" x14ac:dyDescent="0.25">
      <c r="A231"/>
      <c r="B231"/>
      <c r="C231"/>
      <c r="D231"/>
      <c r="E231"/>
      <c r="F231"/>
      <c r="G231"/>
      <c r="H231"/>
      <c r="I231"/>
      <c r="J231"/>
      <c r="K231"/>
      <c r="L231"/>
      <c r="M231"/>
      <c r="N231"/>
      <c r="O231"/>
      <c r="P231"/>
      <c r="Q231"/>
      <c r="R231"/>
      <c r="S231"/>
      <c r="T231"/>
      <c r="U231"/>
      <c r="V231"/>
    </row>
    <row r="232" spans="1:22" ht="15" x14ac:dyDescent="0.25">
      <c r="A232"/>
      <c r="B232"/>
      <c r="C232"/>
      <c r="D232"/>
      <c r="E232"/>
      <c r="F232"/>
      <c r="G232"/>
      <c r="H232"/>
      <c r="I232"/>
      <c r="J232"/>
      <c r="K232"/>
      <c r="L232"/>
      <c r="M232"/>
      <c r="N232"/>
      <c r="O232"/>
      <c r="P232"/>
      <c r="Q232"/>
      <c r="R232"/>
      <c r="S232"/>
      <c r="T232"/>
      <c r="U232"/>
      <c r="V232"/>
    </row>
    <row r="233" spans="1:22" ht="15" x14ac:dyDescent="0.25">
      <c r="A233"/>
      <c r="B233"/>
      <c r="C233"/>
      <c r="D233"/>
      <c r="E233"/>
      <c r="F233"/>
      <c r="G233"/>
      <c r="H233"/>
      <c r="I233"/>
      <c r="J233"/>
      <c r="K233"/>
      <c r="L233"/>
      <c r="M233"/>
      <c r="N233"/>
      <c r="O233"/>
      <c r="P233"/>
      <c r="Q233"/>
      <c r="R233"/>
      <c r="S233"/>
      <c r="T233"/>
      <c r="U233"/>
      <c r="V233"/>
    </row>
    <row r="234" spans="1:22" ht="15" x14ac:dyDescent="0.25">
      <c r="A234"/>
      <c r="B234"/>
      <c r="C234"/>
      <c r="D234"/>
      <c r="E234"/>
      <c r="F234"/>
      <c r="G234"/>
      <c r="H234"/>
      <c r="I234"/>
      <c r="J234"/>
      <c r="K234"/>
      <c r="L234"/>
      <c r="M234"/>
      <c r="N234"/>
      <c r="O234"/>
      <c r="P234"/>
      <c r="Q234"/>
      <c r="R234"/>
      <c r="S234"/>
      <c r="T234"/>
      <c r="U234"/>
      <c r="V234"/>
    </row>
    <row r="235" spans="1:22" ht="15" x14ac:dyDescent="0.25">
      <c r="A235"/>
      <c r="B235"/>
      <c r="C235"/>
      <c r="D235"/>
      <c r="E235"/>
      <c r="F235"/>
      <c r="G235"/>
      <c r="H235"/>
      <c r="I235"/>
      <c r="J235"/>
      <c r="K235"/>
      <c r="L235"/>
      <c r="M235"/>
      <c r="N235"/>
      <c r="O235"/>
      <c r="P235"/>
      <c r="Q235"/>
      <c r="R235"/>
      <c r="S235"/>
      <c r="T235"/>
      <c r="U235"/>
      <c r="V235"/>
    </row>
    <row r="236" spans="1:22" ht="15" x14ac:dyDescent="0.25">
      <c r="A236"/>
      <c r="B236"/>
      <c r="C236"/>
      <c r="D236"/>
      <c r="E236"/>
      <c r="F236"/>
      <c r="G236"/>
      <c r="H236"/>
      <c r="I236"/>
      <c r="J236"/>
      <c r="K236"/>
      <c r="L236"/>
      <c r="M236"/>
      <c r="N236"/>
      <c r="O236"/>
      <c r="P236"/>
      <c r="Q236"/>
      <c r="R236"/>
      <c r="S236"/>
      <c r="T236"/>
      <c r="U236"/>
      <c r="V236"/>
    </row>
    <row r="237" spans="1:22" ht="15" x14ac:dyDescent="0.25">
      <c r="A237"/>
      <c r="B237"/>
      <c r="C237"/>
      <c r="D237"/>
      <c r="E237"/>
      <c r="F237"/>
      <c r="G237"/>
      <c r="H237"/>
      <c r="I237"/>
      <c r="J237"/>
      <c r="K237"/>
      <c r="L237"/>
      <c r="M237"/>
      <c r="N237"/>
      <c r="O237"/>
      <c r="P237"/>
      <c r="Q237"/>
      <c r="R237"/>
      <c r="S237"/>
      <c r="T237"/>
      <c r="U237"/>
      <c r="V237"/>
    </row>
    <row r="238" spans="1:22" ht="15" x14ac:dyDescent="0.25">
      <c r="A238"/>
      <c r="B238"/>
      <c r="C238"/>
      <c r="D238"/>
      <c r="E238"/>
      <c r="F238"/>
      <c r="G238"/>
      <c r="H238"/>
      <c r="I238"/>
      <c r="J238"/>
      <c r="K238"/>
      <c r="L238"/>
      <c r="M238"/>
      <c r="N238"/>
      <c r="O238"/>
      <c r="P238"/>
      <c r="Q238"/>
      <c r="R238"/>
      <c r="S238"/>
      <c r="T238"/>
      <c r="U238"/>
      <c r="V238"/>
    </row>
    <row r="239" spans="1:22" ht="15" x14ac:dyDescent="0.25">
      <c r="A239"/>
      <c r="B239"/>
      <c r="C239"/>
      <c r="D239"/>
      <c r="E239"/>
      <c r="F239"/>
      <c r="G239"/>
      <c r="H239"/>
      <c r="I239"/>
      <c r="J239"/>
      <c r="K239"/>
      <c r="L239"/>
      <c r="M239"/>
      <c r="N239"/>
      <c r="O239"/>
      <c r="P239"/>
      <c r="Q239"/>
      <c r="R239"/>
      <c r="S239"/>
      <c r="T239"/>
      <c r="U239"/>
      <c r="V239"/>
    </row>
    <row r="240" spans="1:22" ht="15" x14ac:dyDescent="0.25">
      <c r="A240"/>
      <c r="B240"/>
      <c r="C240"/>
      <c r="D240"/>
      <c r="E240"/>
      <c r="F240"/>
      <c r="G240"/>
      <c r="H240"/>
      <c r="I240"/>
      <c r="J240"/>
      <c r="K240"/>
      <c r="L240"/>
      <c r="M240"/>
      <c r="N240"/>
      <c r="O240"/>
      <c r="P240"/>
      <c r="Q240"/>
      <c r="R240"/>
      <c r="S240"/>
      <c r="T240"/>
      <c r="U240"/>
      <c r="V240"/>
    </row>
    <row r="241" spans="1:22" ht="15" x14ac:dyDescent="0.25">
      <c r="A241"/>
      <c r="B241"/>
      <c r="C241"/>
      <c r="D241"/>
      <c r="E241"/>
      <c r="F241"/>
      <c r="G241"/>
      <c r="H241"/>
      <c r="I241"/>
      <c r="J241"/>
      <c r="K241"/>
      <c r="L241"/>
      <c r="M241"/>
      <c r="N241"/>
      <c r="O241"/>
      <c r="P241"/>
      <c r="Q241"/>
      <c r="R241"/>
      <c r="S241"/>
      <c r="T241"/>
      <c r="U241"/>
      <c r="V241"/>
    </row>
    <row r="242" spans="1:22" ht="15" x14ac:dyDescent="0.25">
      <c r="A242"/>
      <c r="B242"/>
      <c r="C242"/>
      <c r="D242"/>
      <c r="E242"/>
      <c r="F242"/>
      <c r="G242"/>
      <c r="H242"/>
      <c r="I242"/>
      <c r="J242"/>
      <c r="K242"/>
      <c r="L242"/>
      <c r="M242"/>
      <c r="N242"/>
      <c r="O242"/>
      <c r="P242"/>
      <c r="Q242"/>
      <c r="R242"/>
      <c r="S242"/>
      <c r="T242"/>
      <c r="U242"/>
      <c r="V242"/>
    </row>
    <row r="243" spans="1:22" ht="15" x14ac:dyDescent="0.25">
      <c r="A243"/>
      <c r="B243"/>
      <c r="C243"/>
      <c r="D243"/>
      <c r="E243"/>
      <c r="F243"/>
      <c r="G243"/>
      <c r="H243"/>
      <c r="I243"/>
      <c r="J243"/>
      <c r="K243"/>
      <c r="L243"/>
      <c r="M243"/>
      <c r="N243"/>
      <c r="O243"/>
      <c r="P243"/>
      <c r="Q243"/>
      <c r="R243"/>
      <c r="S243"/>
      <c r="T243"/>
      <c r="U243"/>
      <c r="V243"/>
    </row>
    <row r="244" spans="1:22" ht="15" x14ac:dyDescent="0.25">
      <c r="A244"/>
      <c r="B244"/>
      <c r="C244"/>
      <c r="D244"/>
      <c r="E244"/>
      <c r="F244"/>
      <c r="G244"/>
      <c r="H244"/>
      <c r="I244"/>
      <c r="J244"/>
      <c r="K244"/>
      <c r="L244"/>
      <c r="M244"/>
      <c r="N244"/>
      <c r="O244"/>
      <c r="P244"/>
      <c r="Q244"/>
      <c r="R244"/>
      <c r="S244"/>
      <c r="T244"/>
      <c r="U244"/>
      <c r="V244"/>
    </row>
    <row r="245" spans="1:22" ht="15" x14ac:dyDescent="0.25">
      <c r="A245"/>
      <c r="B245"/>
      <c r="C245"/>
      <c r="D245"/>
      <c r="E245"/>
      <c r="F245"/>
      <c r="G245"/>
      <c r="H245"/>
      <c r="I245"/>
      <c r="J245"/>
      <c r="K245"/>
      <c r="L245"/>
      <c r="M245"/>
      <c r="N245"/>
      <c r="O245"/>
      <c r="P245"/>
      <c r="Q245"/>
      <c r="R245"/>
      <c r="S245"/>
      <c r="T245"/>
      <c r="U245"/>
      <c r="V245"/>
    </row>
    <row r="246" spans="1:22" ht="15" x14ac:dyDescent="0.25">
      <c r="A246"/>
      <c r="B246"/>
      <c r="C246"/>
      <c r="D246"/>
      <c r="E246"/>
      <c r="F246"/>
      <c r="G246"/>
      <c r="H246"/>
      <c r="I246"/>
      <c r="J246"/>
      <c r="K246"/>
      <c r="L246"/>
      <c r="M246"/>
      <c r="N246"/>
      <c r="O246"/>
      <c r="P246"/>
      <c r="Q246"/>
      <c r="R246"/>
      <c r="S246"/>
      <c r="T246"/>
      <c r="U246"/>
      <c r="V246"/>
    </row>
    <row r="247" spans="1:22" ht="15" x14ac:dyDescent="0.25">
      <c r="A247"/>
      <c r="B247"/>
      <c r="C247"/>
      <c r="D247"/>
      <c r="E247"/>
      <c r="F247"/>
      <c r="G247"/>
      <c r="H247"/>
      <c r="I247"/>
      <c r="J247"/>
      <c r="K247"/>
      <c r="L247"/>
      <c r="M247"/>
      <c r="N247"/>
      <c r="O247"/>
      <c r="P247"/>
      <c r="Q247"/>
      <c r="R247"/>
      <c r="S247"/>
      <c r="T247"/>
      <c r="U247"/>
      <c r="V247"/>
    </row>
    <row r="248" spans="1:22" ht="15" x14ac:dyDescent="0.25">
      <c r="A248"/>
      <c r="B248"/>
      <c r="C248"/>
      <c r="D248"/>
      <c r="E248"/>
      <c r="F248"/>
      <c r="G248"/>
      <c r="H248"/>
      <c r="I248"/>
      <c r="J248"/>
      <c r="K248"/>
      <c r="L248"/>
      <c r="M248"/>
      <c r="N248"/>
      <c r="O248"/>
      <c r="P248"/>
      <c r="Q248"/>
      <c r="R248"/>
      <c r="S248"/>
      <c r="T248"/>
      <c r="U248"/>
      <c r="V248"/>
    </row>
    <row r="249" spans="1:22" ht="15" x14ac:dyDescent="0.25">
      <c r="A249"/>
      <c r="B249"/>
      <c r="C249"/>
      <c r="D249"/>
      <c r="E249"/>
      <c r="F249"/>
      <c r="G249"/>
      <c r="H249"/>
      <c r="I249"/>
      <c r="J249"/>
      <c r="K249"/>
      <c r="L249"/>
      <c r="M249"/>
      <c r="N249"/>
      <c r="O249"/>
      <c r="P249"/>
      <c r="Q249"/>
      <c r="R249"/>
      <c r="S249"/>
      <c r="T249"/>
      <c r="U249"/>
      <c r="V249"/>
    </row>
    <row r="250" spans="1:22" ht="15" x14ac:dyDescent="0.25">
      <c r="A250"/>
      <c r="B250"/>
      <c r="C250"/>
      <c r="D250"/>
      <c r="E250"/>
      <c r="F250"/>
      <c r="G250"/>
      <c r="H250"/>
      <c r="I250"/>
      <c r="J250"/>
      <c r="K250"/>
      <c r="L250"/>
      <c r="M250"/>
      <c r="N250"/>
      <c r="O250"/>
      <c r="P250"/>
      <c r="Q250"/>
      <c r="R250"/>
      <c r="S250"/>
      <c r="T250"/>
      <c r="U250"/>
      <c r="V250"/>
    </row>
    <row r="251" spans="1:22" ht="15" x14ac:dyDescent="0.25">
      <c r="A251"/>
      <c r="B251"/>
      <c r="C251"/>
      <c r="D251"/>
      <c r="E251"/>
      <c r="F251"/>
      <c r="G251"/>
      <c r="H251"/>
      <c r="I251"/>
      <c r="J251"/>
      <c r="K251"/>
      <c r="L251"/>
      <c r="M251"/>
      <c r="N251"/>
      <c r="O251"/>
      <c r="P251"/>
      <c r="Q251"/>
      <c r="R251"/>
      <c r="S251"/>
      <c r="T251"/>
      <c r="U251"/>
      <c r="V251"/>
    </row>
    <row r="252" spans="1:22" ht="15" x14ac:dyDescent="0.25">
      <c r="A252"/>
      <c r="B252"/>
      <c r="C252"/>
      <c r="D252"/>
      <c r="E252"/>
      <c r="F252"/>
      <c r="G252"/>
      <c r="H252"/>
      <c r="I252"/>
      <c r="J252"/>
      <c r="K252"/>
      <c r="L252"/>
      <c r="M252"/>
      <c r="N252"/>
      <c r="O252"/>
      <c r="P252"/>
      <c r="Q252"/>
      <c r="R252"/>
      <c r="S252"/>
      <c r="T252"/>
      <c r="U252"/>
      <c r="V252"/>
    </row>
    <row r="253" spans="1:22" ht="15" x14ac:dyDescent="0.25">
      <c r="A253"/>
      <c r="B253"/>
      <c r="C253"/>
      <c r="D253"/>
      <c r="E253"/>
      <c r="F253"/>
      <c r="G253"/>
      <c r="H253"/>
      <c r="I253"/>
      <c r="J253"/>
      <c r="K253"/>
      <c r="L253"/>
      <c r="M253"/>
      <c r="N253"/>
      <c r="O253"/>
      <c r="P253"/>
      <c r="Q253"/>
      <c r="R253"/>
      <c r="S253"/>
      <c r="T253"/>
      <c r="U253"/>
      <c r="V253"/>
    </row>
    <row r="254" spans="1:22" ht="15" x14ac:dyDescent="0.25">
      <c r="A254"/>
      <c r="B254"/>
      <c r="C254"/>
      <c r="D254"/>
      <c r="E254"/>
      <c r="F254"/>
      <c r="G254"/>
      <c r="H254"/>
      <c r="I254"/>
      <c r="J254"/>
      <c r="K254"/>
      <c r="L254"/>
      <c r="M254"/>
      <c r="N254"/>
      <c r="O254"/>
      <c r="P254"/>
      <c r="Q254"/>
      <c r="R254"/>
      <c r="S254"/>
      <c r="T254"/>
      <c r="U254"/>
      <c r="V254"/>
    </row>
    <row r="255" spans="1:22" ht="15" x14ac:dyDescent="0.25">
      <c r="A255"/>
      <c r="B255"/>
      <c r="C255"/>
      <c r="D255"/>
      <c r="E255"/>
      <c r="F255"/>
      <c r="G255"/>
      <c r="H255"/>
      <c r="I255"/>
      <c r="J255"/>
      <c r="K255"/>
      <c r="L255"/>
      <c r="M255"/>
      <c r="N255"/>
      <c r="O255"/>
      <c r="P255"/>
      <c r="Q255"/>
      <c r="R255"/>
      <c r="S255"/>
      <c r="T255"/>
      <c r="U255"/>
      <c r="V255"/>
    </row>
    <row r="256" spans="1:22" ht="15" x14ac:dyDescent="0.25">
      <c r="A256"/>
      <c r="B256"/>
      <c r="C256"/>
      <c r="D256"/>
      <c r="E256"/>
      <c r="F256"/>
      <c r="G256"/>
      <c r="H256"/>
      <c r="I256"/>
      <c r="J256"/>
      <c r="K256"/>
      <c r="L256"/>
      <c r="M256"/>
      <c r="N256"/>
      <c r="O256"/>
      <c r="P256"/>
      <c r="Q256"/>
      <c r="R256"/>
      <c r="S256"/>
      <c r="T256"/>
      <c r="U256"/>
      <c r="V256"/>
    </row>
    <row r="257" spans="1:22" ht="15" x14ac:dyDescent="0.25">
      <c r="A257"/>
      <c r="B257"/>
      <c r="C257"/>
      <c r="D257"/>
      <c r="E257"/>
      <c r="F257"/>
      <c r="G257"/>
      <c r="H257"/>
      <c r="I257"/>
      <c r="J257"/>
      <c r="K257"/>
      <c r="L257"/>
      <c r="M257"/>
      <c r="N257"/>
      <c r="O257"/>
      <c r="P257"/>
      <c r="Q257"/>
      <c r="R257"/>
      <c r="S257"/>
      <c r="T257"/>
      <c r="U257"/>
      <c r="V257"/>
    </row>
    <row r="258" spans="1:22" ht="15" x14ac:dyDescent="0.25">
      <c r="A258"/>
      <c r="B258"/>
      <c r="C258"/>
      <c r="D258"/>
      <c r="E258"/>
      <c r="F258"/>
      <c r="G258"/>
      <c r="H258"/>
      <c r="I258"/>
      <c r="J258"/>
      <c r="K258"/>
      <c r="L258"/>
      <c r="M258"/>
      <c r="N258"/>
      <c r="O258"/>
      <c r="P258"/>
      <c r="Q258"/>
      <c r="R258"/>
      <c r="S258"/>
      <c r="T258"/>
      <c r="U258"/>
      <c r="V258"/>
    </row>
    <row r="259" spans="1:22" ht="15" x14ac:dyDescent="0.25">
      <c r="A259"/>
      <c r="B259"/>
      <c r="C259"/>
      <c r="D259"/>
      <c r="E259"/>
      <c r="F259"/>
      <c r="G259"/>
      <c r="H259"/>
      <c r="I259"/>
      <c r="J259"/>
      <c r="K259"/>
      <c r="L259"/>
      <c r="M259"/>
      <c r="N259"/>
      <c r="O259"/>
      <c r="P259"/>
      <c r="Q259"/>
      <c r="R259"/>
      <c r="S259"/>
      <c r="T259"/>
      <c r="U259"/>
      <c r="V259"/>
    </row>
    <row r="260" spans="1:22" ht="15" x14ac:dyDescent="0.25">
      <c r="A260"/>
      <c r="B260"/>
      <c r="C260"/>
      <c r="D260"/>
      <c r="E260"/>
      <c r="F260"/>
      <c r="G260"/>
      <c r="H260"/>
      <c r="I260"/>
      <c r="J260"/>
      <c r="K260"/>
      <c r="L260"/>
      <c r="M260"/>
      <c r="N260"/>
      <c r="O260"/>
      <c r="P260"/>
      <c r="Q260"/>
      <c r="R260"/>
      <c r="S260"/>
      <c r="T260"/>
      <c r="U260"/>
      <c r="V260"/>
    </row>
    <row r="261" spans="1:22" ht="15" x14ac:dyDescent="0.25">
      <c r="A261"/>
      <c r="B261"/>
      <c r="C261"/>
      <c r="D261"/>
      <c r="E261"/>
      <c r="F261"/>
      <c r="G261"/>
      <c r="H261"/>
      <c r="I261"/>
      <c r="J261"/>
      <c r="K261"/>
      <c r="L261"/>
      <c r="M261"/>
      <c r="N261"/>
      <c r="O261"/>
      <c r="P261"/>
      <c r="Q261"/>
      <c r="R261"/>
      <c r="S261"/>
      <c r="T261"/>
      <c r="U261"/>
      <c r="V261"/>
    </row>
    <row r="262" spans="1:22" ht="15" x14ac:dyDescent="0.25">
      <c r="A262"/>
      <c r="B262"/>
      <c r="C262"/>
      <c r="D262"/>
      <c r="E262"/>
      <c r="F262"/>
      <c r="G262"/>
      <c r="H262"/>
      <c r="I262"/>
      <c r="J262"/>
      <c r="K262"/>
      <c r="L262"/>
      <c r="M262"/>
      <c r="N262"/>
      <c r="O262"/>
      <c r="P262"/>
      <c r="Q262"/>
      <c r="R262"/>
      <c r="S262"/>
      <c r="T262"/>
      <c r="U262"/>
      <c r="V262"/>
    </row>
    <row r="263" spans="1:22" ht="15" x14ac:dyDescent="0.25">
      <c r="A263"/>
      <c r="B263"/>
      <c r="C263"/>
      <c r="D263"/>
      <c r="E263"/>
      <c r="F263"/>
      <c r="G263"/>
      <c r="H263"/>
      <c r="I263"/>
      <c r="J263"/>
      <c r="K263"/>
      <c r="L263"/>
      <c r="M263"/>
      <c r="N263"/>
      <c r="O263"/>
      <c r="P263"/>
      <c r="Q263"/>
      <c r="R263"/>
      <c r="S263"/>
      <c r="T263"/>
      <c r="U263"/>
      <c r="V263"/>
    </row>
    <row r="264" spans="1:22" ht="15" x14ac:dyDescent="0.25">
      <c r="A264"/>
      <c r="B264"/>
      <c r="C264"/>
      <c r="D264"/>
      <c r="E264"/>
      <c r="F264"/>
      <c r="G264"/>
      <c r="H264"/>
      <c r="I264"/>
      <c r="J264"/>
      <c r="K264"/>
      <c r="L264"/>
      <c r="M264"/>
      <c r="N264"/>
      <c r="O264"/>
      <c r="P264"/>
      <c r="Q264"/>
      <c r="R264"/>
      <c r="S264"/>
      <c r="T264"/>
      <c r="U264"/>
      <c r="V264"/>
    </row>
    <row r="265" spans="1:22" ht="15" x14ac:dyDescent="0.25">
      <c r="A265"/>
      <c r="B265"/>
      <c r="C265"/>
      <c r="D265"/>
      <c r="E265"/>
      <c r="F265"/>
      <c r="G265"/>
      <c r="H265"/>
      <c r="I265"/>
      <c r="J265"/>
      <c r="K265"/>
      <c r="L265"/>
      <c r="M265"/>
      <c r="N265"/>
      <c r="O265"/>
      <c r="P265"/>
      <c r="Q265"/>
      <c r="R265"/>
      <c r="S265"/>
      <c r="T265"/>
      <c r="U265"/>
      <c r="V265"/>
    </row>
    <row r="266" spans="1:22" ht="15" x14ac:dyDescent="0.25">
      <c r="A266"/>
      <c r="B266"/>
      <c r="C266"/>
      <c r="D266"/>
      <c r="E266"/>
      <c r="F266"/>
      <c r="G266"/>
      <c r="H266"/>
      <c r="I266"/>
      <c r="J266"/>
      <c r="K266"/>
      <c r="L266"/>
      <c r="M266"/>
      <c r="N266"/>
      <c r="O266"/>
      <c r="P266"/>
      <c r="Q266"/>
      <c r="R266"/>
      <c r="S266"/>
      <c r="T266"/>
      <c r="U266"/>
      <c r="V266"/>
    </row>
    <row r="267" spans="1:22" ht="15" x14ac:dyDescent="0.25">
      <c r="A267"/>
      <c r="B267"/>
      <c r="C267"/>
      <c r="D267"/>
      <c r="E267"/>
      <c r="F267"/>
      <c r="G267"/>
      <c r="H267"/>
      <c r="I267"/>
      <c r="J267"/>
      <c r="K267"/>
      <c r="L267"/>
      <c r="M267"/>
      <c r="N267"/>
      <c r="O267"/>
      <c r="P267"/>
      <c r="Q267"/>
      <c r="R267"/>
      <c r="S267"/>
      <c r="T267"/>
      <c r="U267"/>
      <c r="V267"/>
    </row>
    <row r="268" spans="1:22" ht="15" x14ac:dyDescent="0.25">
      <c r="A268"/>
      <c r="B268"/>
      <c r="C268"/>
      <c r="D268"/>
      <c r="E268"/>
      <c r="F268"/>
      <c r="G268"/>
      <c r="H268"/>
      <c r="I268"/>
      <c r="J268"/>
      <c r="K268"/>
      <c r="L268"/>
      <c r="M268"/>
      <c r="N268"/>
      <c r="O268"/>
      <c r="P268"/>
      <c r="Q268"/>
      <c r="R268"/>
      <c r="S268"/>
      <c r="T268"/>
      <c r="U268"/>
      <c r="V268"/>
    </row>
    <row r="269" spans="1:22" ht="15" x14ac:dyDescent="0.25">
      <c r="A269"/>
      <c r="B269"/>
      <c r="C269"/>
      <c r="D269"/>
      <c r="E269"/>
      <c r="F269"/>
      <c r="G269"/>
      <c r="H269"/>
      <c r="I269"/>
      <c r="J269"/>
      <c r="K269"/>
      <c r="L269"/>
      <c r="M269"/>
      <c r="N269"/>
      <c r="O269"/>
      <c r="P269"/>
      <c r="Q269"/>
      <c r="R269"/>
      <c r="S269"/>
      <c r="T269"/>
      <c r="U269"/>
      <c r="V269"/>
    </row>
    <row r="270" spans="1:22" ht="15" x14ac:dyDescent="0.25">
      <c r="A270"/>
      <c r="B270"/>
      <c r="C270"/>
      <c r="D270"/>
      <c r="E270"/>
      <c r="F270"/>
      <c r="G270"/>
      <c r="H270"/>
      <c r="I270"/>
      <c r="J270"/>
      <c r="K270"/>
      <c r="L270"/>
      <c r="M270"/>
      <c r="N270"/>
      <c r="O270"/>
      <c r="P270"/>
      <c r="Q270"/>
      <c r="R270"/>
      <c r="S270"/>
      <c r="T270"/>
      <c r="U270"/>
      <c r="V270"/>
    </row>
    <row r="271" spans="1:22" ht="15" x14ac:dyDescent="0.25">
      <c r="A271"/>
      <c r="B271"/>
      <c r="C271"/>
      <c r="D271"/>
      <c r="E271"/>
      <c r="F271"/>
      <c r="G271"/>
      <c r="H271"/>
      <c r="I271"/>
      <c r="J271"/>
      <c r="K271"/>
      <c r="L271"/>
      <c r="M271"/>
      <c r="N271"/>
      <c r="O271"/>
      <c r="P271"/>
      <c r="Q271"/>
      <c r="R271"/>
      <c r="S271"/>
      <c r="T271"/>
      <c r="U271"/>
      <c r="V271"/>
    </row>
    <row r="272" spans="1:22" ht="15" x14ac:dyDescent="0.25">
      <c r="A272"/>
      <c r="B272"/>
      <c r="C272"/>
      <c r="D272"/>
      <c r="E272"/>
      <c r="F272"/>
      <c r="G272"/>
      <c r="H272"/>
      <c r="I272"/>
      <c r="J272"/>
      <c r="K272"/>
      <c r="L272"/>
      <c r="M272"/>
      <c r="N272"/>
      <c r="O272"/>
      <c r="P272"/>
      <c r="Q272"/>
      <c r="R272"/>
      <c r="S272"/>
      <c r="T272"/>
      <c r="U272"/>
      <c r="V272"/>
    </row>
    <row r="273" spans="1:22" ht="15" x14ac:dyDescent="0.25">
      <c r="A273"/>
      <c r="B273"/>
      <c r="C273"/>
      <c r="D273"/>
      <c r="E273"/>
      <c r="F273"/>
      <c r="G273"/>
      <c r="H273"/>
      <c r="I273"/>
      <c r="J273"/>
      <c r="K273"/>
      <c r="L273"/>
      <c r="M273"/>
      <c r="N273"/>
      <c r="O273"/>
      <c r="P273"/>
      <c r="Q273"/>
      <c r="R273"/>
      <c r="S273"/>
      <c r="T273"/>
      <c r="U273"/>
      <c r="V273"/>
    </row>
    <row r="274" spans="1:22" ht="15" x14ac:dyDescent="0.25">
      <c r="A274"/>
      <c r="B274"/>
      <c r="C274"/>
      <c r="D274"/>
      <c r="E274"/>
      <c r="F274"/>
      <c r="G274"/>
      <c r="H274"/>
      <c r="I274"/>
      <c r="J274"/>
      <c r="K274"/>
      <c r="L274"/>
      <c r="M274"/>
      <c r="N274"/>
      <c r="O274"/>
      <c r="P274"/>
      <c r="Q274"/>
      <c r="R274"/>
      <c r="S274"/>
      <c r="T274"/>
      <c r="U274"/>
      <c r="V274"/>
    </row>
    <row r="275" spans="1:22" ht="15" x14ac:dyDescent="0.25">
      <c r="A275"/>
      <c r="B275"/>
      <c r="C275"/>
      <c r="D275"/>
      <c r="E275"/>
      <c r="F275"/>
      <c r="G275"/>
      <c r="H275"/>
      <c r="I275"/>
      <c r="J275"/>
      <c r="K275"/>
      <c r="L275"/>
      <c r="M275"/>
      <c r="N275"/>
      <c r="O275"/>
      <c r="P275"/>
      <c r="Q275"/>
      <c r="R275"/>
      <c r="S275"/>
      <c r="T275"/>
      <c r="U275"/>
      <c r="V275"/>
    </row>
    <row r="276" spans="1:22" ht="15" x14ac:dyDescent="0.25">
      <c r="A276"/>
      <c r="B276"/>
      <c r="C276"/>
      <c r="D276"/>
      <c r="E276"/>
      <c r="F276"/>
      <c r="G276"/>
      <c r="H276"/>
      <c r="I276"/>
      <c r="J276"/>
      <c r="K276"/>
      <c r="L276"/>
      <c r="M276"/>
      <c r="N276"/>
      <c r="O276"/>
      <c r="P276"/>
      <c r="Q276"/>
      <c r="R276"/>
      <c r="S276"/>
      <c r="T276"/>
      <c r="U276"/>
      <c r="V276"/>
    </row>
    <row r="277" spans="1:22" ht="15" x14ac:dyDescent="0.25">
      <c r="A277"/>
      <c r="B277"/>
      <c r="C277"/>
      <c r="D277"/>
      <c r="E277"/>
      <c r="F277"/>
      <c r="G277"/>
      <c r="H277"/>
      <c r="I277"/>
      <c r="J277"/>
      <c r="K277"/>
      <c r="L277"/>
      <c r="M277"/>
      <c r="N277"/>
      <c r="O277"/>
      <c r="P277"/>
      <c r="Q277"/>
      <c r="R277"/>
      <c r="S277"/>
      <c r="T277"/>
      <c r="U277"/>
      <c r="V277"/>
    </row>
    <row r="278" spans="1:22" ht="15" x14ac:dyDescent="0.25">
      <c r="A278"/>
      <c r="B278"/>
      <c r="C278"/>
      <c r="D278"/>
      <c r="E278"/>
      <c r="F278"/>
      <c r="G278"/>
      <c r="H278"/>
      <c r="I278"/>
      <c r="J278"/>
      <c r="K278"/>
      <c r="L278"/>
      <c r="M278"/>
      <c r="N278"/>
      <c r="O278"/>
      <c r="P278"/>
      <c r="Q278"/>
      <c r="R278"/>
      <c r="S278"/>
      <c r="T278"/>
      <c r="U278"/>
      <c r="V278"/>
    </row>
    <row r="279" spans="1:22" ht="15" x14ac:dyDescent="0.25">
      <c r="A279"/>
      <c r="B279"/>
      <c r="C279"/>
      <c r="D279"/>
      <c r="E279"/>
      <c r="F279"/>
      <c r="G279"/>
      <c r="H279"/>
      <c r="I279"/>
      <c r="J279"/>
      <c r="K279"/>
      <c r="L279"/>
      <c r="M279"/>
      <c r="N279"/>
      <c r="O279"/>
      <c r="P279"/>
      <c r="Q279"/>
      <c r="R279"/>
      <c r="S279"/>
      <c r="T279"/>
      <c r="U279"/>
      <c r="V279"/>
    </row>
    <row r="280" spans="1:22" ht="15" x14ac:dyDescent="0.25">
      <c r="A280"/>
      <c r="B280"/>
      <c r="C280"/>
      <c r="D280"/>
      <c r="E280"/>
      <c r="F280"/>
      <c r="G280"/>
      <c r="H280"/>
      <c r="I280"/>
      <c r="J280"/>
      <c r="K280"/>
      <c r="L280"/>
      <c r="M280"/>
      <c r="N280"/>
      <c r="O280"/>
      <c r="P280"/>
      <c r="Q280"/>
      <c r="R280"/>
      <c r="S280"/>
      <c r="T280"/>
      <c r="U280"/>
      <c r="V280"/>
    </row>
    <row r="281" spans="1:22" ht="15" x14ac:dyDescent="0.25">
      <c r="A281"/>
      <c r="B281"/>
      <c r="C281"/>
      <c r="D281"/>
      <c r="E281"/>
      <c r="F281"/>
      <c r="G281"/>
      <c r="H281"/>
      <c r="I281"/>
      <c r="J281"/>
      <c r="K281"/>
      <c r="L281"/>
      <c r="M281"/>
      <c r="N281"/>
      <c r="O281"/>
      <c r="P281"/>
      <c r="Q281"/>
      <c r="R281"/>
      <c r="S281"/>
      <c r="T281"/>
      <c r="U281"/>
      <c r="V281"/>
    </row>
    <row r="282" spans="1:22" ht="15" x14ac:dyDescent="0.25">
      <c r="A282"/>
      <c r="B282"/>
      <c r="C282"/>
      <c r="D282"/>
      <c r="E282"/>
      <c r="F282"/>
      <c r="G282"/>
      <c r="H282"/>
      <c r="I282"/>
      <c r="J282"/>
      <c r="K282"/>
      <c r="L282"/>
      <c r="M282"/>
      <c r="N282"/>
      <c r="O282"/>
      <c r="P282"/>
      <c r="Q282"/>
      <c r="R282"/>
      <c r="S282"/>
      <c r="T282"/>
      <c r="U282"/>
      <c r="V282"/>
    </row>
    <row r="283" spans="1:22" ht="15" x14ac:dyDescent="0.25">
      <c r="A283"/>
      <c r="B283"/>
      <c r="C283"/>
      <c r="D283"/>
      <c r="E283"/>
      <c r="F283"/>
      <c r="G283"/>
      <c r="H283"/>
      <c r="I283"/>
      <c r="J283"/>
      <c r="K283"/>
      <c r="L283"/>
      <c r="M283"/>
      <c r="N283"/>
      <c r="O283"/>
      <c r="P283"/>
      <c r="Q283"/>
      <c r="R283"/>
      <c r="S283"/>
      <c r="T283"/>
      <c r="U283"/>
      <c r="V283"/>
    </row>
    <row r="284" spans="1:22" ht="15" x14ac:dyDescent="0.25">
      <c r="A284"/>
      <c r="B284"/>
      <c r="C284"/>
      <c r="D284"/>
      <c r="E284"/>
      <c r="F284"/>
      <c r="G284"/>
      <c r="H284"/>
      <c r="I284"/>
      <c r="J284"/>
      <c r="K284"/>
      <c r="L284"/>
      <c r="M284"/>
      <c r="N284"/>
      <c r="O284"/>
      <c r="P284"/>
      <c r="Q284"/>
      <c r="R284"/>
      <c r="S284"/>
      <c r="T284"/>
      <c r="U284"/>
      <c r="V284"/>
    </row>
    <row r="285" spans="1:22" ht="15" x14ac:dyDescent="0.25">
      <c r="A285"/>
      <c r="B285"/>
      <c r="C285"/>
      <c r="D285"/>
      <c r="E285"/>
      <c r="F285"/>
      <c r="G285"/>
      <c r="H285"/>
      <c r="I285"/>
      <c r="J285"/>
      <c r="K285"/>
      <c r="L285"/>
      <c r="M285"/>
      <c r="N285"/>
      <c r="O285"/>
      <c r="P285"/>
      <c r="Q285"/>
      <c r="R285"/>
      <c r="S285"/>
      <c r="T285"/>
      <c r="U285"/>
      <c r="V285"/>
    </row>
    <row r="286" spans="1:22" ht="15" x14ac:dyDescent="0.25">
      <c r="A286"/>
      <c r="B286"/>
      <c r="C286"/>
      <c r="D286"/>
      <c r="E286"/>
      <c r="F286"/>
      <c r="G286"/>
      <c r="H286"/>
      <c r="I286"/>
      <c r="J286"/>
      <c r="K286"/>
      <c r="L286"/>
      <c r="M286"/>
      <c r="N286"/>
      <c r="O286"/>
      <c r="P286"/>
      <c r="Q286"/>
      <c r="R286"/>
      <c r="S286"/>
      <c r="T286"/>
      <c r="U286"/>
      <c r="V286"/>
    </row>
    <row r="287" spans="1:22" ht="15" x14ac:dyDescent="0.25">
      <c r="A287"/>
      <c r="B287"/>
      <c r="C287"/>
      <c r="D287"/>
      <c r="E287"/>
      <c r="F287"/>
      <c r="G287"/>
      <c r="H287"/>
      <c r="I287"/>
      <c r="J287"/>
      <c r="K287"/>
      <c r="L287"/>
      <c r="M287"/>
      <c r="N287"/>
      <c r="O287"/>
      <c r="P287"/>
      <c r="Q287"/>
      <c r="R287"/>
      <c r="S287"/>
      <c r="T287"/>
      <c r="U287"/>
      <c r="V287"/>
    </row>
    <row r="288" spans="1:22" ht="15" x14ac:dyDescent="0.25">
      <c r="A288"/>
      <c r="B288"/>
      <c r="C288"/>
      <c r="D288"/>
      <c r="E288"/>
      <c r="F288"/>
      <c r="G288"/>
      <c r="H288"/>
      <c r="I288"/>
      <c r="J288"/>
      <c r="K288"/>
      <c r="L288"/>
      <c r="M288"/>
      <c r="N288"/>
      <c r="O288"/>
      <c r="P288"/>
      <c r="Q288"/>
      <c r="R288"/>
      <c r="S288"/>
      <c r="T288"/>
      <c r="U288"/>
      <c r="V288"/>
    </row>
    <row r="289" spans="1:22" ht="15" x14ac:dyDescent="0.25">
      <c r="A289"/>
      <c r="B289"/>
      <c r="C289"/>
      <c r="D289"/>
      <c r="E289"/>
      <c r="F289"/>
      <c r="G289"/>
      <c r="H289"/>
      <c r="I289"/>
      <c r="J289"/>
      <c r="K289"/>
      <c r="L289"/>
      <c r="M289"/>
      <c r="N289"/>
      <c r="O289"/>
      <c r="P289"/>
      <c r="Q289"/>
      <c r="R289"/>
      <c r="S289"/>
      <c r="T289"/>
      <c r="U289"/>
      <c r="V289"/>
    </row>
    <row r="290" spans="1:22" ht="15" x14ac:dyDescent="0.25">
      <c r="A290"/>
      <c r="B290"/>
      <c r="C290"/>
      <c r="D290"/>
      <c r="E290"/>
      <c r="F290"/>
      <c r="G290"/>
      <c r="H290"/>
      <c r="I290"/>
      <c r="J290"/>
      <c r="K290"/>
      <c r="L290"/>
      <c r="M290"/>
      <c r="N290"/>
      <c r="O290"/>
      <c r="P290"/>
      <c r="Q290"/>
      <c r="R290"/>
      <c r="S290"/>
      <c r="T290"/>
      <c r="U290"/>
      <c r="V290"/>
    </row>
    <row r="291" spans="1:22" ht="15" x14ac:dyDescent="0.25">
      <c r="A291"/>
      <c r="B291"/>
      <c r="C291"/>
      <c r="D291"/>
      <c r="E291"/>
      <c r="F291"/>
      <c r="G291"/>
      <c r="H291"/>
      <c r="I291"/>
      <c r="J291"/>
      <c r="K291"/>
      <c r="L291"/>
      <c r="M291"/>
      <c r="N291"/>
      <c r="O291"/>
      <c r="P291"/>
      <c r="Q291"/>
      <c r="R291"/>
      <c r="S291"/>
      <c r="T291"/>
      <c r="U291"/>
      <c r="V291"/>
    </row>
    <row r="292" spans="1:22" ht="15" x14ac:dyDescent="0.25">
      <c r="A292"/>
      <c r="B292"/>
      <c r="C292"/>
      <c r="D292"/>
      <c r="E292"/>
      <c r="F292"/>
      <c r="G292"/>
      <c r="H292"/>
      <c r="I292"/>
      <c r="J292"/>
      <c r="K292"/>
      <c r="L292"/>
      <c r="M292"/>
      <c r="N292"/>
      <c r="O292"/>
      <c r="P292"/>
      <c r="Q292"/>
      <c r="R292"/>
      <c r="S292"/>
      <c r="T292"/>
      <c r="U292"/>
      <c r="V292"/>
    </row>
    <row r="293" spans="1:22" ht="15" x14ac:dyDescent="0.25">
      <c r="A293"/>
      <c r="B293"/>
      <c r="C293"/>
      <c r="D293"/>
      <c r="E293"/>
      <c r="F293"/>
      <c r="G293"/>
      <c r="H293"/>
      <c r="I293"/>
      <c r="J293"/>
      <c r="K293"/>
      <c r="L293"/>
      <c r="M293"/>
      <c r="N293"/>
      <c r="O293"/>
      <c r="P293"/>
      <c r="Q293"/>
      <c r="R293"/>
      <c r="S293"/>
      <c r="T293"/>
      <c r="U293"/>
      <c r="V293"/>
    </row>
    <row r="294" spans="1:22" ht="15" x14ac:dyDescent="0.25">
      <c r="A294"/>
      <c r="B294"/>
      <c r="C294"/>
      <c r="D294"/>
      <c r="E294"/>
      <c r="F294"/>
      <c r="G294"/>
      <c r="H294"/>
      <c r="I294"/>
      <c r="J294"/>
      <c r="K294"/>
      <c r="L294"/>
      <c r="M294"/>
      <c r="N294"/>
      <c r="O294"/>
      <c r="P294"/>
      <c r="Q294"/>
      <c r="R294"/>
      <c r="S294"/>
      <c r="T294"/>
      <c r="U294"/>
      <c r="V294"/>
    </row>
    <row r="295" spans="1:22" ht="15" x14ac:dyDescent="0.25">
      <c r="A295"/>
      <c r="B295"/>
      <c r="C295"/>
      <c r="D295"/>
      <c r="E295"/>
      <c r="F295"/>
      <c r="G295"/>
      <c r="H295"/>
      <c r="I295"/>
      <c r="J295"/>
      <c r="K295"/>
      <c r="L295"/>
      <c r="M295"/>
      <c r="N295"/>
      <c r="O295"/>
      <c r="P295"/>
      <c r="Q295"/>
      <c r="R295"/>
      <c r="S295"/>
      <c r="T295"/>
      <c r="U295"/>
      <c r="V295"/>
    </row>
    <row r="296" spans="1:22" ht="15" x14ac:dyDescent="0.25">
      <c r="A296"/>
      <c r="B296"/>
      <c r="C296"/>
      <c r="D296"/>
      <c r="E296"/>
      <c r="F296"/>
      <c r="G296"/>
      <c r="H296"/>
      <c r="I296"/>
      <c r="J296"/>
      <c r="K296"/>
      <c r="L296"/>
      <c r="M296"/>
      <c r="N296"/>
      <c r="O296"/>
      <c r="P296"/>
      <c r="Q296"/>
      <c r="R296"/>
      <c r="S296"/>
      <c r="T296"/>
      <c r="U296"/>
      <c r="V296"/>
    </row>
    <row r="297" spans="1:22" ht="15" x14ac:dyDescent="0.25">
      <c r="A297"/>
      <c r="B297"/>
      <c r="C297"/>
      <c r="D297"/>
      <c r="E297"/>
      <c r="F297"/>
      <c r="G297"/>
      <c r="H297"/>
      <c r="I297"/>
      <c r="J297"/>
      <c r="K297"/>
      <c r="L297"/>
      <c r="M297"/>
      <c r="N297"/>
      <c r="O297"/>
      <c r="P297"/>
      <c r="Q297"/>
      <c r="R297"/>
      <c r="S297"/>
      <c r="T297"/>
      <c r="U297"/>
      <c r="V297"/>
    </row>
    <row r="298" spans="1:22" ht="15" x14ac:dyDescent="0.25">
      <c r="A298"/>
      <c r="B298"/>
      <c r="C298"/>
      <c r="D298"/>
      <c r="E298"/>
      <c r="F298"/>
      <c r="G298"/>
      <c r="H298"/>
      <c r="I298"/>
      <c r="J298"/>
      <c r="K298"/>
      <c r="L298"/>
      <c r="M298"/>
      <c r="N298"/>
      <c r="O298"/>
      <c r="P298"/>
      <c r="Q298"/>
      <c r="R298"/>
      <c r="S298"/>
      <c r="T298"/>
      <c r="U298"/>
      <c r="V298"/>
    </row>
    <row r="299" spans="1:22" ht="15" x14ac:dyDescent="0.25">
      <c r="A299"/>
      <c r="B299"/>
      <c r="C299"/>
      <c r="D299"/>
      <c r="E299"/>
      <c r="F299"/>
      <c r="G299"/>
      <c r="H299"/>
      <c r="I299"/>
      <c r="J299"/>
      <c r="K299"/>
      <c r="L299"/>
      <c r="M299"/>
      <c r="N299"/>
      <c r="O299"/>
      <c r="P299"/>
      <c r="Q299"/>
      <c r="R299"/>
      <c r="S299"/>
      <c r="T299"/>
      <c r="U299"/>
      <c r="V299"/>
    </row>
    <row r="300" spans="1:22" ht="15" x14ac:dyDescent="0.25">
      <c r="A300"/>
      <c r="B300"/>
      <c r="C300"/>
      <c r="D300"/>
      <c r="E300"/>
      <c r="F300"/>
      <c r="G300"/>
      <c r="H300"/>
      <c r="I300"/>
      <c r="J300"/>
      <c r="K300"/>
      <c r="L300"/>
      <c r="M300"/>
      <c r="N300"/>
      <c r="O300"/>
      <c r="P300"/>
      <c r="Q300"/>
      <c r="R300"/>
      <c r="S300"/>
      <c r="T300"/>
      <c r="U300"/>
      <c r="V300"/>
    </row>
    <row r="301" spans="1:22" ht="15" x14ac:dyDescent="0.25">
      <c r="A301"/>
      <c r="B301"/>
      <c r="C301"/>
      <c r="D301"/>
      <c r="E301"/>
      <c r="F301"/>
      <c r="G301"/>
      <c r="H301"/>
      <c r="I301"/>
      <c r="J301"/>
      <c r="K301"/>
      <c r="L301"/>
      <c r="M301"/>
      <c r="N301"/>
      <c r="O301"/>
      <c r="P301"/>
      <c r="Q301"/>
      <c r="R301"/>
      <c r="S301"/>
      <c r="T301"/>
      <c r="U301"/>
      <c r="V301"/>
    </row>
    <row r="302" spans="1:22" ht="15" x14ac:dyDescent="0.25">
      <c r="A302"/>
      <c r="B302"/>
      <c r="C302"/>
      <c r="D302"/>
      <c r="E302"/>
      <c r="F302"/>
      <c r="G302"/>
      <c r="H302"/>
      <c r="I302"/>
      <c r="J302"/>
      <c r="K302"/>
      <c r="L302"/>
      <c r="M302"/>
      <c r="N302"/>
      <c r="O302"/>
      <c r="P302"/>
      <c r="Q302"/>
      <c r="R302"/>
      <c r="S302"/>
      <c r="T302"/>
      <c r="U302"/>
      <c r="V302"/>
    </row>
    <row r="303" spans="1:22" ht="15" x14ac:dyDescent="0.25">
      <c r="A303"/>
      <c r="B303"/>
      <c r="C303"/>
      <c r="D303"/>
      <c r="E303"/>
      <c r="F303"/>
      <c r="G303"/>
      <c r="H303"/>
      <c r="I303"/>
      <c r="J303"/>
      <c r="K303"/>
      <c r="L303"/>
      <c r="M303"/>
      <c r="N303"/>
      <c r="O303"/>
      <c r="P303"/>
      <c r="Q303"/>
      <c r="R303"/>
      <c r="S303"/>
      <c r="T303"/>
      <c r="U303"/>
      <c r="V303"/>
    </row>
    <row r="304" spans="1:22" ht="15" x14ac:dyDescent="0.25">
      <c r="A304"/>
      <c r="B304"/>
      <c r="C304"/>
      <c r="D304"/>
      <c r="E304"/>
      <c r="F304"/>
      <c r="G304"/>
      <c r="H304"/>
      <c r="I304"/>
      <c r="J304"/>
      <c r="K304"/>
      <c r="L304"/>
      <c r="M304"/>
      <c r="N304"/>
      <c r="O304"/>
      <c r="P304"/>
      <c r="Q304"/>
      <c r="R304"/>
      <c r="S304"/>
      <c r="T304"/>
      <c r="U304"/>
      <c r="V304"/>
    </row>
    <row r="305" spans="1:22" ht="15" x14ac:dyDescent="0.25">
      <c r="A305"/>
      <c r="B305"/>
      <c r="C305"/>
      <c r="D305"/>
      <c r="E305"/>
      <c r="F305"/>
      <c r="G305"/>
      <c r="H305"/>
      <c r="I305"/>
      <c r="J305"/>
      <c r="K305"/>
      <c r="L305"/>
      <c r="M305"/>
      <c r="N305"/>
      <c r="O305"/>
      <c r="P305"/>
      <c r="Q305"/>
      <c r="R305"/>
      <c r="S305"/>
      <c r="T305"/>
      <c r="U305"/>
      <c r="V305"/>
    </row>
    <row r="306" spans="1:22" ht="15" x14ac:dyDescent="0.25">
      <c r="A306"/>
      <c r="B306"/>
      <c r="C306"/>
      <c r="D306"/>
      <c r="E306"/>
      <c r="F306"/>
      <c r="G306"/>
      <c r="H306"/>
      <c r="I306"/>
      <c r="J306"/>
      <c r="K306"/>
      <c r="L306"/>
      <c r="M306"/>
      <c r="N306"/>
      <c r="O306"/>
      <c r="P306"/>
      <c r="Q306"/>
      <c r="R306"/>
      <c r="S306"/>
      <c r="T306"/>
      <c r="U306"/>
      <c r="V306"/>
    </row>
    <row r="307" spans="1:22" ht="15" x14ac:dyDescent="0.25">
      <c r="A307"/>
      <c r="B307"/>
      <c r="C307"/>
      <c r="D307"/>
      <c r="E307"/>
      <c r="F307"/>
      <c r="G307"/>
      <c r="H307"/>
      <c r="I307"/>
      <c r="J307"/>
      <c r="K307"/>
      <c r="L307"/>
      <c r="M307"/>
      <c r="N307"/>
      <c r="O307"/>
      <c r="P307"/>
      <c r="Q307"/>
      <c r="R307"/>
      <c r="S307"/>
      <c r="T307"/>
      <c r="U307"/>
      <c r="V307"/>
    </row>
    <row r="308" spans="1:22" ht="15" x14ac:dyDescent="0.25">
      <c r="A308"/>
      <c r="B308"/>
      <c r="C308"/>
      <c r="D308"/>
      <c r="E308"/>
      <c r="F308"/>
      <c r="G308"/>
      <c r="H308"/>
      <c r="I308"/>
      <c r="J308"/>
      <c r="K308"/>
      <c r="L308"/>
      <c r="M308"/>
      <c r="N308"/>
      <c r="O308"/>
      <c r="P308"/>
      <c r="Q308"/>
      <c r="R308"/>
      <c r="S308"/>
      <c r="T308"/>
      <c r="U308"/>
      <c r="V308"/>
    </row>
    <row r="309" spans="1:22" ht="15" x14ac:dyDescent="0.25">
      <c r="A309"/>
      <c r="B309"/>
      <c r="C309"/>
      <c r="D309"/>
      <c r="E309"/>
      <c r="F309"/>
      <c r="G309"/>
      <c r="H309"/>
      <c r="I309"/>
      <c r="J309"/>
      <c r="K309"/>
      <c r="L309"/>
      <c r="M309"/>
      <c r="N309"/>
      <c r="O309"/>
      <c r="P309"/>
      <c r="Q309"/>
      <c r="R309"/>
      <c r="S309"/>
      <c r="T309"/>
      <c r="U309"/>
      <c r="V309"/>
    </row>
    <row r="310" spans="1:22" ht="15" x14ac:dyDescent="0.25">
      <c r="A310"/>
      <c r="B310"/>
      <c r="C310"/>
      <c r="D310"/>
      <c r="E310"/>
      <c r="F310"/>
      <c r="G310"/>
      <c r="H310"/>
      <c r="I310"/>
      <c r="J310"/>
      <c r="K310"/>
      <c r="L310"/>
      <c r="M310"/>
      <c r="N310"/>
      <c r="O310"/>
      <c r="P310"/>
      <c r="Q310"/>
      <c r="R310"/>
      <c r="S310"/>
      <c r="T310"/>
      <c r="U310"/>
      <c r="V310"/>
    </row>
    <row r="311" spans="1:22" ht="15" x14ac:dyDescent="0.25">
      <c r="A311"/>
      <c r="B311"/>
      <c r="C311"/>
      <c r="D311"/>
      <c r="E311"/>
      <c r="F311"/>
      <c r="G311"/>
      <c r="H311"/>
      <c r="I311"/>
      <c r="J311"/>
      <c r="K311"/>
      <c r="L311"/>
      <c r="M311"/>
      <c r="N311"/>
      <c r="O311"/>
      <c r="P311"/>
      <c r="Q311"/>
      <c r="R311"/>
      <c r="S311"/>
      <c r="T311"/>
      <c r="U311"/>
      <c r="V311"/>
    </row>
    <row r="312" spans="1:22" ht="15" x14ac:dyDescent="0.25">
      <c r="A312"/>
      <c r="B312"/>
      <c r="C312"/>
      <c r="D312"/>
      <c r="E312"/>
      <c r="F312"/>
      <c r="G312"/>
      <c r="H312"/>
      <c r="I312"/>
      <c r="J312"/>
      <c r="K312"/>
      <c r="L312"/>
      <c r="M312"/>
      <c r="N312"/>
      <c r="O312"/>
      <c r="P312"/>
      <c r="Q312"/>
      <c r="R312"/>
      <c r="S312"/>
      <c r="T312"/>
      <c r="U312"/>
      <c r="V312"/>
    </row>
    <row r="313" spans="1:22" ht="15" x14ac:dyDescent="0.25">
      <c r="A313"/>
      <c r="B313"/>
      <c r="C313"/>
      <c r="D313"/>
      <c r="E313"/>
      <c r="F313"/>
      <c r="G313"/>
      <c r="H313"/>
      <c r="I313"/>
      <c r="J313"/>
      <c r="K313"/>
      <c r="L313"/>
      <c r="M313"/>
      <c r="N313"/>
      <c r="O313"/>
      <c r="P313"/>
      <c r="Q313"/>
      <c r="R313"/>
      <c r="S313"/>
      <c r="T313"/>
      <c r="U313"/>
      <c r="V313"/>
    </row>
    <row r="314" spans="1:22" ht="15" x14ac:dyDescent="0.25">
      <c r="A314"/>
      <c r="B314"/>
      <c r="C314"/>
      <c r="D314"/>
      <c r="E314"/>
      <c r="F314"/>
      <c r="G314"/>
      <c r="H314"/>
      <c r="I314"/>
      <c r="J314"/>
      <c r="K314"/>
      <c r="L314"/>
      <c r="M314"/>
      <c r="N314"/>
      <c r="O314"/>
      <c r="P314"/>
      <c r="Q314"/>
      <c r="R314"/>
      <c r="S314"/>
      <c r="T314"/>
      <c r="U314"/>
      <c r="V314"/>
    </row>
    <row r="315" spans="1:22" ht="15" x14ac:dyDescent="0.25">
      <c r="A315"/>
      <c r="B315"/>
      <c r="C315"/>
      <c r="D315"/>
      <c r="E315"/>
      <c r="F315"/>
      <c r="G315"/>
      <c r="H315"/>
      <c r="I315"/>
      <c r="J315"/>
      <c r="K315"/>
      <c r="L315"/>
      <c r="M315"/>
      <c r="N315"/>
      <c r="O315"/>
      <c r="P315"/>
      <c r="Q315"/>
      <c r="R315"/>
      <c r="S315"/>
      <c r="T315"/>
      <c r="U315"/>
      <c r="V315"/>
    </row>
    <row r="316" spans="1:22" ht="15" x14ac:dyDescent="0.25">
      <c r="A316"/>
      <c r="B316"/>
      <c r="C316"/>
      <c r="D316"/>
      <c r="E316"/>
      <c r="F316"/>
      <c r="G316"/>
      <c r="H316"/>
      <c r="I316"/>
      <c r="J316"/>
      <c r="K316"/>
      <c r="L316"/>
      <c r="M316"/>
      <c r="N316"/>
      <c r="O316"/>
      <c r="P316"/>
      <c r="Q316"/>
      <c r="R316"/>
      <c r="S316"/>
      <c r="T316"/>
      <c r="U316"/>
      <c r="V316"/>
    </row>
    <row r="317" spans="1:22" ht="15" x14ac:dyDescent="0.25">
      <c r="A317"/>
      <c r="B317"/>
      <c r="C317"/>
      <c r="D317"/>
      <c r="E317"/>
      <c r="F317"/>
      <c r="G317"/>
      <c r="H317"/>
      <c r="I317"/>
      <c r="J317"/>
      <c r="K317"/>
      <c r="L317"/>
      <c r="M317"/>
      <c r="N317"/>
      <c r="O317"/>
      <c r="P317"/>
      <c r="Q317"/>
      <c r="R317"/>
      <c r="S317"/>
      <c r="T317"/>
      <c r="U317"/>
      <c r="V317"/>
    </row>
    <row r="318" spans="1:22" ht="15" x14ac:dyDescent="0.25">
      <c r="A318"/>
      <c r="B318"/>
      <c r="C318"/>
      <c r="D318"/>
      <c r="E318"/>
      <c r="F318"/>
      <c r="G318"/>
      <c r="H318"/>
      <c r="I318"/>
      <c r="J318"/>
      <c r="K318"/>
      <c r="L318"/>
      <c r="M318"/>
      <c r="N318"/>
      <c r="O318"/>
      <c r="P318"/>
      <c r="Q318"/>
      <c r="R318"/>
      <c r="S318"/>
      <c r="T318"/>
      <c r="U318"/>
      <c r="V318"/>
    </row>
    <row r="319" spans="1:22" ht="15" x14ac:dyDescent="0.25">
      <c r="A319"/>
      <c r="B319"/>
      <c r="C319"/>
      <c r="D319"/>
      <c r="E319"/>
      <c r="F319"/>
      <c r="G319"/>
      <c r="H319"/>
      <c r="I319"/>
      <c r="J319"/>
      <c r="K319"/>
      <c r="L319"/>
      <c r="M319"/>
      <c r="N319"/>
      <c r="O319"/>
      <c r="P319"/>
      <c r="Q319"/>
      <c r="R319"/>
      <c r="S319"/>
      <c r="T319"/>
      <c r="U319"/>
      <c r="V319"/>
    </row>
    <row r="320" spans="1:22" ht="15" x14ac:dyDescent="0.25">
      <c r="A320"/>
      <c r="B320"/>
      <c r="C320"/>
      <c r="D320"/>
      <c r="E320"/>
      <c r="F320"/>
      <c r="G320"/>
      <c r="H320"/>
      <c r="I320"/>
      <c r="J320"/>
      <c r="K320"/>
      <c r="L320"/>
      <c r="M320"/>
      <c r="N320"/>
      <c r="O320"/>
      <c r="P320"/>
      <c r="Q320"/>
      <c r="R320"/>
      <c r="S320"/>
      <c r="T320"/>
      <c r="U320"/>
      <c r="V320"/>
    </row>
    <row r="321" spans="1:22" ht="15" x14ac:dyDescent="0.25">
      <c r="A321"/>
      <c r="B321"/>
      <c r="C321"/>
      <c r="D321"/>
      <c r="E321"/>
      <c r="F321"/>
      <c r="G321"/>
      <c r="H321"/>
      <c r="I321"/>
      <c r="J321"/>
      <c r="K321"/>
      <c r="L321"/>
      <c r="M321"/>
      <c r="N321"/>
      <c r="O321"/>
      <c r="P321"/>
      <c r="Q321"/>
      <c r="R321"/>
      <c r="S321"/>
      <c r="T321"/>
      <c r="U321"/>
      <c r="V321"/>
    </row>
    <row r="322" spans="1:22" ht="15" x14ac:dyDescent="0.25">
      <c r="A322"/>
      <c r="B322"/>
      <c r="C322"/>
      <c r="D322"/>
      <c r="E322"/>
      <c r="F322"/>
      <c r="G322"/>
      <c r="H322"/>
      <c r="I322"/>
      <c r="J322"/>
      <c r="K322"/>
      <c r="L322"/>
      <c r="M322"/>
      <c r="N322"/>
      <c r="O322"/>
      <c r="P322"/>
      <c r="Q322"/>
      <c r="R322"/>
      <c r="S322"/>
      <c r="T322"/>
      <c r="U322"/>
      <c r="V322"/>
    </row>
    <row r="323" spans="1:22" ht="15" x14ac:dyDescent="0.25">
      <c r="A323"/>
      <c r="B323"/>
      <c r="C323"/>
      <c r="D323"/>
      <c r="E323"/>
      <c r="F323"/>
      <c r="G323"/>
      <c r="H323"/>
      <c r="I323"/>
      <c r="J323"/>
      <c r="K323"/>
      <c r="L323"/>
      <c r="M323"/>
      <c r="N323"/>
      <c r="O323"/>
      <c r="P323"/>
      <c r="Q323"/>
      <c r="R323"/>
      <c r="S323"/>
      <c r="T323"/>
      <c r="U323"/>
      <c r="V323"/>
    </row>
    <row r="324" spans="1:22" ht="15" x14ac:dyDescent="0.25">
      <c r="A324"/>
      <c r="B324"/>
      <c r="C324"/>
      <c r="D324"/>
      <c r="E324"/>
      <c r="F324"/>
      <c r="G324"/>
      <c r="H324"/>
      <c r="I324"/>
      <c r="J324"/>
      <c r="K324"/>
      <c r="L324"/>
      <c r="M324"/>
      <c r="N324"/>
      <c r="O324"/>
      <c r="P324"/>
      <c r="Q324"/>
      <c r="R324"/>
      <c r="S324"/>
      <c r="T324"/>
      <c r="U324"/>
      <c r="V324"/>
    </row>
    <row r="325" spans="1:22" ht="15" x14ac:dyDescent="0.25">
      <c r="A325"/>
      <c r="B325"/>
      <c r="C325"/>
      <c r="D325"/>
      <c r="E325"/>
      <c r="F325"/>
      <c r="G325"/>
      <c r="H325"/>
      <c r="I325"/>
      <c r="J325"/>
      <c r="K325"/>
      <c r="L325"/>
      <c r="M325"/>
      <c r="N325"/>
      <c r="O325"/>
      <c r="P325"/>
      <c r="Q325"/>
      <c r="R325"/>
      <c r="S325"/>
      <c r="T325"/>
      <c r="U325"/>
      <c r="V325"/>
    </row>
    <row r="326" spans="1:22" ht="15" x14ac:dyDescent="0.25">
      <c r="A326"/>
      <c r="B326"/>
      <c r="C326"/>
      <c r="D326"/>
      <c r="E326"/>
      <c r="F326"/>
      <c r="G326"/>
      <c r="H326"/>
      <c r="I326"/>
      <c r="J326"/>
      <c r="K326"/>
      <c r="L326"/>
      <c r="M326"/>
      <c r="N326"/>
      <c r="O326"/>
      <c r="P326"/>
      <c r="Q326"/>
      <c r="R326"/>
      <c r="S326"/>
      <c r="T326"/>
      <c r="U326"/>
      <c r="V326"/>
    </row>
    <row r="327" spans="1:22" ht="15" x14ac:dyDescent="0.25">
      <c r="A327"/>
      <c r="B327"/>
      <c r="C327"/>
      <c r="D327"/>
      <c r="E327"/>
      <c r="F327"/>
      <c r="G327"/>
      <c r="H327"/>
      <c r="I327"/>
      <c r="J327"/>
      <c r="K327"/>
      <c r="L327"/>
      <c r="M327"/>
      <c r="N327"/>
      <c r="O327"/>
      <c r="P327"/>
      <c r="Q327"/>
      <c r="R327"/>
      <c r="S327"/>
      <c r="T327"/>
      <c r="U327"/>
      <c r="V327"/>
    </row>
    <row r="328" spans="1:22" ht="15" x14ac:dyDescent="0.25">
      <c r="A328"/>
      <c r="B328"/>
      <c r="C328"/>
      <c r="D328"/>
      <c r="E328"/>
      <c r="F328"/>
      <c r="G328"/>
      <c r="H328"/>
      <c r="I328"/>
      <c r="J328"/>
      <c r="K328"/>
      <c r="L328"/>
      <c r="M328"/>
      <c r="N328"/>
      <c r="O328"/>
      <c r="P328"/>
      <c r="Q328"/>
      <c r="R328"/>
      <c r="S328"/>
      <c r="T328"/>
      <c r="U328"/>
      <c r="V328"/>
    </row>
    <row r="329" spans="1:22" ht="15" x14ac:dyDescent="0.25">
      <c r="A329"/>
      <c r="B329"/>
      <c r="C329"/>
      <c r="D329"/>
      <c r="E329"/>
      <c r="F329"/>
      <c r="G329"/>
      <c r="H329"/>
      <c r="I329"/>
      <c r="J329"/>
      <c r="K329"/>
      <c r="L329"/>
      <c r="M329"/>
      <c r="N329"/>
      <c r="O329"/>
      <c r="P329"/>
      <c r="Q329"/>
      <c r="R329"/>
      <c r="S329"/>
      <c r="T329"/>
      <c r="U329"/>
      <c r="V329"/>
    </row>
    <row r="330" spans="1:22" ht="15" x14ac:dyDescent="0.25">
      <c r="A330"/>
      <c r="B330"/>
      <c r="C330"/>
      <c r="D330"/>
      <c r="E330"/>
      <c r="F330"/>
      <c r="G330"/>
      <c r="H330"/>
      <c r="I330"/>
      <c r="J330"/>
      <c r="K330"/>
      <c r="L330"/>
      <c r="M330"/>
      <c r="N330"/>
      <c r="O330"/>
      <c r="P330"/>
      <c r="Q330"/>
      <c r="R330"/>
      <c r="S330"/>
      <c r="T330"/>
      <c r="U330"/>
      <c r="V330"/>
    </row>
    <row r="331" spans="1:22" ht="15" x14ac:dyDescent="0.25">
      <c r="A331"/>
      <c r="B331"/>
      <c r="C331"/>
      <c r="D331"/>
      <c r="E331"/>
      <c r="F331"/>
      <c r="G331"/>
      <c r="H331"/>
      <c r="I331"/>
      <c r="J331"/>
      <c r="K331"/>
      <c r="L331"/>
      <c r="M331"/>
      <c r="N331"/>
      <c r="O331"/>
      <c r="P331"/>
      <c r="Q331"/>
      <c r="R331"/>
      <c r="S331"/>
      <c r="T331"/>
      <c r="U331"/>
      <c r="V331"/>
    </row>
    <row r="332" spans="1:22" ht="15" x14ac:dyDescent="0.25">
      <c r="A332"/>
      <c r="B332"/>
      <c r="C332"/>
      <c r="D332"/>
      <c r="E332"/>
      <c r="F332"/>
      <c r="G332"/>
      <c r="H332"/>
      <c r="I332"/>
      <c r="J332"/>
      <c r="K332"/>
      <c r="L332"/>
      <c r="M332"/>
      <c r="N332"/>
      <c r="O332"/>
      <c r="P332"/>
      <c r="Q332"/>
      <c r="R332"/>
      <c r="S332"/>
      <c r="T332"/>
      <c r="U332"/>
      <c r="V332"/>
    </row>
    <row r="333" spans="1:22" ht="15" x14ac:dyDescent="0.25">
      <c r="A333"/>
      <c r="B333"/>
      <c r="C333"/>
      <c r="D333"/>
      <c r="E333"/>
      <c r="F333"/>
      <c r="G333"/>
      <c r="H333"/>
      <c r="I333"/>
      <c r="J333"/>
      <c r="K333"/>
      <c r="L333"/>
      <c r="M333"/>
      <c r="N333"/>
      <c r="O333"/>
      <c r="P333"/>
      <c r="Q333"/>
      <c r="R333"/>
      <c r="S333"/>
      <c r="T333"/>
      <c r="U333"/>
      <c r="V333"/>
    </row>
    <row r="334" spans="1:22" ht="15" x14ac:dyDescent="0.25">
      <c r="A334"/>
      <c r="B334"/>
      <c r="C334"/>
      <c r="D334"/>
      <c r="E334"/>
      <c r="F334"/>
      <c r="G334"/>
      <c r="H334"/>
      <c r="I334"/>
      <c r="J334"/>
      <c r="K334"/>
      <c r="L334"/>
      <c r="M334"/>
      <c r="N334"/>
      <c r="O334"/>
      <c r="P334"/>
      <c r="Q334"/>
      <c r="R334"/>
      <c r="S334"/>
      <c r="T334"/>
      <c r="U334"/>
      <c r="V334"/>
    </row>
    <row r="335" spans="1:22" ht="15" x14ac:dyDescent="0.25">
      <c r="A335"/>
      <c r="B335"/>
      <c r="C335"/>
      <c r="D335"/>
      <c r="E335"/>
      <c r="F335"/>
      <c r="G335"/>
      <c r="H335"/>
      <c r="I335"/>
      <c r="J335"/>
      <c r="K335"/>
      <c r="L335"/>
      <c r="M335"/>
      <c r="N335"/>
      <c r="O335"/>
      <c r="P335"/>
      <c r="Q335"/>
      <c r="R335"/>
      <c r="S335"/>
      <c r="T335"/>
      <c r="U335"/>
      <c r="V335"/>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24" fitToWidth="2" fitToHeight="2"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Detail</vt:lpstr>
      <vt:lpstr>Detail By AEA</vt:lpstr>
      <vt:lpstr>Detail!Print_Area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 </cp:lastModifiedBy>
  <cp:lastPrinted>2019-06-13T20:21:10Z</cp:lastPrinted>
  <dcterms:created xsi:type="dcterms:W3CDTF">2017-04-24T18:31:54Z</dcterms:created>
  <dcterms:modified xsi:type="dcterms:W3CDTF">2019-06-13T20:21:22Z</dcterms:modified>
</cp:coreProperties>
</file>