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1"/>
  <workbookPr hidePivotFieldList="1" defaultThemeVersion="124226"/>
  <mc:AlternateContent xmlns:mc="http://schemas.openxmlformats.org/markup-compatibility/2006">
    <mc:Choice Requires="x15">
      <x15ac:absPath xmlns:x15ac="http://schemas.microsoft.com/office/spreadsheetml/2010/11/ac" url="H:\My Drive\AEA\FY2021\"/>
    </mc:Choice>
  </mc:AlternateContent>
  <xr:revisionPtr revIDLastSave="0" documentId="13_ncr:1_{866ABC9C-08DD-48F2-AF28-D5C382155F8A}" xr6:coauthVersionLast="36" xr6:coauthVersionMax="36" xr10:uidLastSave="{00000000-0000-0000-0000-000000000000}"/>
  <bookViews>
    <workbookView xWindow="0" yWindow="60" windowWidth="16275" windowHeight="13605" xr2:uid="{00000000-000D-0000-FFFF-FFFF00000000}"/>
  </bookViews>
  <sheets>
    <sheet name="Summary" sheetId="2" r:id="rId1"/>
    <sheet name="Detail" sheetId="1" r:id="rId2"/>
    <sheet name="Detail By AEA" sheetId="4" r:id="rId3"/>
  </sheets>
  <definedNames>
    <definedName name="AEA_Name">#REF!</definedName>
    <definedName name="_xlnm.Print_Area" localSheetId="1">Detail!$A$1:$AC$329</definedName>
    <definedName name="_xlnm.Print_Area" localSheetId="0">Summary!$A$1:$K$38</definedName>
    <definedName name="_xlnm.Print_Titles" localSheetId="1">Detail!$1:$2</definedName>
    <definedName name="_xlnm.Print_Titles" localSheetId="2">'Detail By AEA'!$A:$B,'Detail By AEA'!$4:$4</definedName>
    <definedName name="Slicer_AEA_Name">#N/A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4" l="1"/>
  <c r="I27" i="2" l="1"/>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J3" i="2" s="1"/>
  <c r="A4" i="2" l="1" a="1"/>
  <c r="A4" i="2" s="1"/>
  <c r="D4" i="2" s="1"/>
  <c r="E3" i="2"/>
  <c r="G3" i="2"/>
  <c r="I3" i="2"/>
  <c r="K3" i="2"/>
  <c r="A16" i="2"/>
  <c r="C16" i="2" s="1"/>
  <c r="D3" i="2"/>
  <c r="F3" i="2"/>
  <c r="H3" i="2"/>
  <c r="C3" i="2"/>
  <c r="B3" i="2"/>
  <c r="B16" i="2" s="1"/>
  <c r="B29" i="2" s="1"/>
  <c r="D16" i="2" l="1"/>
  <c r="A29" i="2"/>
  <c r="D29" i="2" s="1"/>
  <c r="G16" i="2"/>
  <c r="J16" i="2"/>
  <c r="F16" i="2"/>
  <c r="I16" i="2"/>
  <c r="E16" i="2"/>
  <c r="H16" i="2"/>
  <c r="A5" i="2" a="1"/>
  <c r="A5" i="2" s="1"/>
  <c r="B5" i="2" s="1"/>
  <c r="B18" i="2" s="1"/>
  <c r="B31" i="2" s="1"/>
  <c r="G4" i="2"/>
  <c r="J4" i="2"/>
  <c r="H4" i="2"/>
  <c r="C4" i="2"/>
  <c r="A17" i="2"/>
  <c r="F4" i="2"/>
  <c r="K4" i="2"/>
  <c r="I4" i="2"/>
  <c r="B4" i="2"/>
  <c r="B17" i="2" s="1"/>
  <c r="B30" i="2" s="1"/>
  <c r="E4" i="2"/>
  <c r="I29" i="2" l="1"/>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I30" i="2" l="1"/>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I31" i="2" l="1"/>
  <c r="C19" i="2"/>
  <c r="A32" i="2"/>
  <c r="D19" i="2"/>
  <c r="G19" i="2"/>
  <c r="H19" i="2"/>
  <c r="F19" i="2"/>
  <c r="J19" i="2"/>
  <c r="E19" i="2"/>
  <c r="I19" i="2"/>
  <c r="F31" i="2"/>
  <c r="C31" i="2"/>
  <c r="G31" i="2"/>
  <c r="D31" i="2"/>
  <c r="H31" i="2"/>
  <c r="E31" i="2"/>
  <c r="A8" i="2" a="1"/>
  <c r="A8" i="2" s="1"/>
  <c r="A20" i="2"/>
  <c r="J7" i="2"/>
  <c r="D7" i="2"/>
  <c r="H7" i="2"/>
  <c r="I7" i="2"/>
  <c r="K7" i="2"/>
  <c r="C7" i="2"/>
  <c r="E7" i="2"/>
  <c r="G7" i="2"/>
  <c r="F7" i="2"/>
  <c r="I32" i="2" l="1"/>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I33" i="2" l="1"/>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I34" i="2" l="1"/>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I35" i="2" l="1"/>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D38" i="2" s="1"/>
  <c r="C37" i="2"/>
  <c r="C38" i="2" s="1"/>
  <c r="G37" i="2"/>
  <c r="G38" i="2" s="1"/>
  <c r="E37" i="2"/>
  <c r="E38" i="2" s="1"/>
  <c r="F37" i="2"/>
  <c r="F38" i="2" s="1"/>
</calcChain>
</file>

<file path=xl/sharedStrings.xml><?xml version="1.0" encoding="utf-8"?>
<sst xmlns="http://schemas.openxmlformats.org/spreadsheetml/2006/main" count="2041" uniqueCount="744">
  <si>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</si>
  <si>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</si>
  <si>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</si>
  <si>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</si>
  <si>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</si>
  <si>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</si>
  <si>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</si>
  <si>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</si>
  <si>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</si>
  <si>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</si>
  <si>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</si>
  <si>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</si>
  <si>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</si>
  <si>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</si>
  <si>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</si>
  <si>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</si>
  <si>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</si>
  <si>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</si>
  <si>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</si>
  <si>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</si>
  <si>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</si>
  <si>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</si>
  <si>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</si>
  <si>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</si>
  <si>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</si>
  <si>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</si>
  <si>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</si>
  <si>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</si>
  <si>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</si>
  <si>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</si>
  <si>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</si>
  <si>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</si>
  <si>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</si>
  <si>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</si>
  <si>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</si>
  <si>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</si>
  <si>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</si>
  <si>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</si>
  <si>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</si>
  <si>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3897</t>
  </si>
  <si>
    <t>4023</t>
  </si>
  <si>
    <t>4644</t>
  </si>
  <si>
    <t>4778</t>
  </si>
  <si>
    <t>0333</t>
  </si>
  <si>
    <t>4860</t>
  </si>
  <si>
    <t>4890</t>
  </si>
  <si>
    <t>5139</t>
  </si>
  <si>
    <t>5283</t>
  </si>
  <si>
    <t>5323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</si>
  <si>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</si>
  <si>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</si>
  <si>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</si>
  <si>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</si>
  <si>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</si>
  <si>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</si>
  <si>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</si>
  <si>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</si>
  <si>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</si>
  <si>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</si>
  <si>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</si>
  <si>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</si>
  <si>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</si>
  <si>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</si>
  <si>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</si>
  <si>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</si>
  <si>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</si>
  <si>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</si>
  <si>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</si>
  <si>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</si>
  <si>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</si>
  <si>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</si>
  <si>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</si>
  <si>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</si>
  <si>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</si>
  <si>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</si>
  <si>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</si>
  <si>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</si>
  <si>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</si>
  <si>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</si>
  <si>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</si>
  <si>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</si>
  <si>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</si>
  <si>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</si>
  <si>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</si>
  <si>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</si>
  <si>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</si>
  <si>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</si>
  <si>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</si>
  <si>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</si>
  <si>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</si>
  <si>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</si>
  <si>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</si>
  <si>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</si>
  <si>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</si>
  <si>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</si>
  <si>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</si>
  <si>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</si>
  <si>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</si>
  <si>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</si>
  <si>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</si>
  <si>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</si>
  <si>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</si>
  <si>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</si>
  <si>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</si>
  <si>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</si>
  <si>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</si>
  <si>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</si>
  <si>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</si>
  <si>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</si>
  <si>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</si>
  <si>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</si>
  <si>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</si>
  <si>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</si>
  <si>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</si>
  <si>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</si>
  <si>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</si>
  <si>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</si>
  <si>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</si>
  <si>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</si>
  <si>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</si>
  <si>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</si>
  <si>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</si>
  <si>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</si>
  <si>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</si>
  <si>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</si>
  <si>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</si>
  <si>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</si>
  <si>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</si>
  <si>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</si>
  <si>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</si>
  <si>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</si>
  <si>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</si>
  <si>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</si>
  <si>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</si>
  <si>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</si>
  <si>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</si>
  <si>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</si>
  <si>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</si>
  <si>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</si>
  <si>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</si>
  <si>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</si>
  <si>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</si>
  <si>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</si>
  <si>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</si>
  <si>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</si>
  <si>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</si>
  <si>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</si>
  <si>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</si>
  <si>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</si>
  <si>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</si>
  <si>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</si>
  <si>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</si>
  <si>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</si>
  <si>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</si>
  <si>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</si>
  <si>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</si>
  <si>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</si>
  <si>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</si>
  <si>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</si>
  <si>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</si>
  <si>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</si>
  <si>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</si>
  <si>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</si>
  <si>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</si>
  <si>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</si>
  <si>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</si>
  <si>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</si>
  <si>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</si>
  <si>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</si>
  <si>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</si>
  <si>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</si>
  <si>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</si>
  <si>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</si>
  <si>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</si>
  <si>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</si>
  <si>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</si>
  <si>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</si>
  <si>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</si>
  <si>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</si>
  <si>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</si>
  <si>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</si>
  <si>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</si>
  <si>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</si>
  <si>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</si>
  <si>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</si>
  <si>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</si>
  <si>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</si>
  <si>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</si>
  <si>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</si>
  <si>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</si>
  <si>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</si>
  <si>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</si>
  <si>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</si>
  <si>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</si>
  <si>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</si>
  <si>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</si>
  <si>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</si>
  <si>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</si>
  <si>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</si>
  <si>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</si>
  <si>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</si>
  <si>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</si>
  <si>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</si>
  <si>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</si>
  <si>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</si>
  <si>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</si>
  <si>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</si>
  <si>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</si>
  <si>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</si>
  <si>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</si>
  <si>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</si>
  <si>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</si>
  <si>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</si>
  <si>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</si>
  <si>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</si>
  <si>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</si>
  <si>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</si>
  <si>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</si>
  <si>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</si>
  <si>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</si>
  <si>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</si>
  <si>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</si>
  <si>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</si>
  <si>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</si>
  <si>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</si>
  <si>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</si>
  <si>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</si>
  <si>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</si>
  <si>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</si>
  <si>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</si>
  <si>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</si>
  <si>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</si>
  <si>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</si>
  <si>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</si>
  <si>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</si>
  <si>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</si>
  <si>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</si>
  <si>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</si>
  <si>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</si>
  <si>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</si>
  <si>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</si>
  <si>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</si>
  <si>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</si>
  <si>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</si>
  <si>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</si>
  <si>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</si>
  <si>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</si>
  <si>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</si>
  <si>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</si>
  <si>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</si>
  <si>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</si>
  <si>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</si>
  <si>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</si>
  <si>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</si>
  <si>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</si>
  <si>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</si>
  <si>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</si>
  <si>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</si>
  <si>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</si>
  <si>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</si>
  <si>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</si>
  <si>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</si>
  <si>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</si>
  <si>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</si>
  <si>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</si>
  <si>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</si>
  <si>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</si>
  <si>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</si>
  <si>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</si>
  <si>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</si>
  <si>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</si>
  <si>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</si>
  <si>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</si>
  <si>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</si>
  <si>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</si>
  <si>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</si>
  <si>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</si>
  <si>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</si>
  <si>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</si>
  <si>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</si>
  <si>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</si>
  <si>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</si>
  <si>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</si>
  <si>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</si>
  <si>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</si>
  <si>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</si>
  <si>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</si>
  <si>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</si>
  <si>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</si>
  <si>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</si>
  <si>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</si>
  <si>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</si>
  <si>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</si>
  <si>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</si>
  <si>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</si>
  <si>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</si>
  <si>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</si>
  <si>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</si>
  <si>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</si>
  <si>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</si>
  <si>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</si>
  <si>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</si>
  <si>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</si>
  <si>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</si>
  <si>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</si>
  <si>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</si>
  <si>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</si>
  <si>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</si>
  <si>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</si>
  <si>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</si>
  <si>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</si>
  <si>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</si>
  <si>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</si>
  <si>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</si>
  <si>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</si>
  <si>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</si>
  <si>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</si>
  <si>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</si>
  <si>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</si>
  <si>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</si>
  <si>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</si>
  <si>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</si>
  <si>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</si>
  <si>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</si>
  <si>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</si>
  <si>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</si>
  <si>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</si>
  <si>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</si>
  <si>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</si>
  <si>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</si>
  <si>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</si>
  <si>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</si>
  <si>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</si>
  <si>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</si>
  <si>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</si>
  <si>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</si>
  <si>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</si>
  <si>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</si>
  <si>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</si>
  <si>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</si>
  <si>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</si>
  <si>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</si>
  <si>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</si>
  <si>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</si>
  <si>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</si>
  <si>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</si>
  <si>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</si>
  <si>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</si>
  <si>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</si>
  <si>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</si>
  <si>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</si>
  <si>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</si>
  <si>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</si>
  <si>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</si>
  <si>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</si>
  <si>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</si>
  <si>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</si>
  <si>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</si>
  <si>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</si>
  <si>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</si>
  <si>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</si>
  <si>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</si>
  <si>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</si>
  <si>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</si>
  <si>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</si>
  <si>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</si>
  <si>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</si>
  <si>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</si>
  <si>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</si>
  <si>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</si>
  <si>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</si>
  <si>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</si>
  <si>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</si>
  <si>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</si>
  <si>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</si>
  <si>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</si>
  <si>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</si>
  <si>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</si>
  <si>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</si>
  <si>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</si>
  <si>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</si>
  <si>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</si>
  <si>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</si>
  <si>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</si>
  <si>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</si>
  <si>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</si>
  <si>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</si>
  <si>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</si>
  <si>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</si>
  <si>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</si>
  <si>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</si>
  <si>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</si>
  <si>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</si>
  <si>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</si>
  <si>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</si>
  <si>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</si>
  <si>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</si>
  <si>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</si>
  <si>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</si>
  <si>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</si>
  <si>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</si>
  <si>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</si>
  <si>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</si>
  <si>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</si>
  <si>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</si>
  <si>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</si>
  <si>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</si>
  <si>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</si>
  <si>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</si>
  <si>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</si>
  <si>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</si>
  <si>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</si>
  <si>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</si>
  <si>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</si>
  <si>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</si>
  <si>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</si>
  <si>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</si>
  <si>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</si>
  <si>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</si>
  <si>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</si>
  <si>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</si>
  <si>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</si>
  <si>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</si>
  <si>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</si>
  <si>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</si>
  <si>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</si>
  <si>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</si>
  <si>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</si>
  <si>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</si>
  <si>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</si>
  <si>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</si>
  <si>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</si>
  <si>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</si>
  <si>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</si>
  <si>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</si>
  <si>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</si>
  <si>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</si>
  <si>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</si>
  <si>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</si>
  <si>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</si>
  <si>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</si>
  <si>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</si>
  <si>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</si>
  <si>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</si>
  <si>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</si>
  <si>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</si>
  <si>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</si>
  <si>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</si>
  <si>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</si>
  <si>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</si>
  <si>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Lu Verne</t>
  </si>
  <si>
    <t>Manson-Northwest Webster</t>
  </si>
  <si>
    <t>Newell-Fonda</t>
  </si>
  <si>
    <t>North Kossuth</t>
  </si>
  <si>
    <t>North Union</t>
  </si>
  <si>
    <t>Okoboji</t>
  </si>
  <si>
    <t>Paton-Churdan</t>
  </si>
  <si>
    <t>Pocahontas Area</t>
  </si>
  <si>
    <t>Prairie Valley</t>
  </si>
  <si>
    <t>Ruthven-Ayrshire</t>
  </si>
  <si>
    <t>Schaller-Crestland</t>
  </si>
  <si>
    <t>Sioux Central</t>
  </si>
  <si>
    <t>South Central Calhoun</t>
  </si>
  <si>
    <t>South Hamilton</t>
  </si>
  <si>
    <t>Southeast Webster-Grand</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</si>
  <si>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</si>
  <si>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</si>
  <si>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</si>
  <si>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</si>
  <si>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</si>
  <si>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</si>
  <si>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</si>
  <si>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</si>
  <si>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</si>
  <si>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</si>
  <si>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</si>
  <si>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</si>
  <si>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</si>
  <si>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</si>
  <si>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</si>
  <si>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</si>
  <si>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</si>
  <si>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</si>
  <si>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</si>
  <si>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</si>
  <si>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</si>
  <si>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</si>
  <si>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</si>
  <si>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</si>
  <si>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</si>
  <si>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</si>
  <si>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</si>
  <si>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</si>
  <si>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</si>
  <si>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</si>
  <si>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</si>
  <si>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</si>
  <si>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</si>
  <si>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</si>
  <si>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</si>
  <si>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</si>
  <si>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</si>
  <si>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</si>
  <si>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</si>
  <si>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</si>
  <si>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</si>
  <si>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</si>
  <si>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</si>
  <si>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</si>
  <si>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</si>
  <si>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</si>
  <si>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</si>
  <si>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</si>
  <si>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</si>
  <si>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</si>
  <si>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</si>
  <si>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</si>
  <si>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</si>
  <si>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</si>
  <si>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</si>
  <si>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</si>
  <si>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</si>
  <si>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</si>
  <si>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</si>
  <si>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</si>
  <si>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</si>
  <si>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</si>
  <si>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</si>
  <si>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</si>
  <si>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</si>
  <si>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</si>
  <si>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</si>
  <si>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</si>
  <si>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</si>
  <si>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</si>
  <si>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</si>
  <si>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</si>
  <si>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</si>
  <si>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</si>
  <si>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</si>
  <si>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</si>
  <si>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</si>
  <si>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</si>
  <si>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</si>
  <si>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</si>
  <si>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</si>
  <si>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</si>
  <si>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</si>
  <si>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</si>
  <si>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</si>
  <si>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</si>
  <si>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</si>
  <si>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</si>
  <si>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</si>
  <si>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</si>
  <si>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</si>
  <si>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</si>
  <si>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</si>
  <si>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</si>
  <si>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</si>
  <si>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</si>
  <si>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</si>
  <si>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</si>
  <si>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</si>
  <si>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</si>
  <si>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</si>
  <si>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</si>
  <si>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</si>
  <si>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</si>
  <si>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</si>
  <si>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</si>
  <si>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</si>
  <si>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</si>
  <si>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</si>
  <si>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</si>
  <si>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</si>
  <si>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</si>
  <si>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</si>
  <si>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</si>
  <si>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</si>
  <si>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</si>
  <si>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</si>
  <si>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</si>
  <si>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</si>
  <si>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</si>
  <si>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</si>
  <si>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</si>
  <si>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</si>
  <si>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</si>
  <si>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</si>
  <si>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</si>
  <si>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</si>
  <si>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</si>
  <si>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</si>
  <si>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</si>
  <si>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</si>
  <si>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</si>
  <si>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</si>
  <si>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</si>
  <si>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</si>
  <si>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</si>
  <si>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</si>
  <si>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</si>
  <si>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</si>
  <si>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</si>
  <si>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</si>
  <si>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</si>
  <si>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</si>
  <si>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</si>
  <si>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</si>
  <si>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</si>
  <si>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</si>
  <si>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</si>
  <si>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</si>
  <si>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</si>
  <si>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</si>
  <si>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</si>
  <si>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</si>
  <si>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</si>
  <si>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</si>
  <si>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</si>
  <si>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</si>
  <si>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</si>
  <si>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</si>
  <si>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</si>
  <si>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</si>
  <si>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</si>
  <si>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</si>
  <si>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</si>
  <si>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</si>
  <si>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</si>
  <si>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</si>
  <si>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</si>
  <si>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</si>
  <si>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</si>
  <si>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</si>
  <si>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</si>
  <si>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</si>
  <si>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</si>
  <si>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</si>
  <si>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</si>
  <si>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</si>
  <si>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</si>
  <si>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</si>
  <si>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</si>
  <si>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</si>
  <si>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</si>
  <si>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</si>
  <si>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</si>
  <si>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</si>
  <si>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</si>
  <si>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</si>
  <si>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</si>
  <si>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</si>
  <si>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</si>
  <si>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</si>
  <si>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</si>
  <si>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</si>
  <si>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</si>
  <si>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</si>
  <si>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</si>
  <si>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</si>
  <si>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</si>
  <si>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</si>
  <si>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</si>
  <si>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</si>
  <si>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</si>
  <si>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</si>
  <si>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</si>
  <si>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</si>
  <si>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</si>
  <si>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</si>
  <si>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</si>
  <si>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</si>
  <si>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</si>
  <si>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</si>
  <si>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</si>
  <si>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</si>
  <si>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</si>
  <si>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</si>
  <si>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</si>
  <si>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</si>
  <si>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</si>
  <si>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</si>
  <si>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</si>
  <si>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</si>
  <si>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</si>
  <si>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</si>
  <si>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</si>
  <si>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</si>
  <si>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</si>
  <si>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</si>
  <si>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</si>
  <si>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</si>
  <si>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</si>
  <si>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</si>
  <si>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</si>
  <si>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</si>
  <si>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</si>
  <si>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</si>
  <si>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</si>
  <si>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</si>
  <si>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</si>
  <si>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</si>
  <si>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</si>
  <si>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</si>
  <si>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</si>
  <si>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</si>
  <si>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</si>
  <si>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</si>
  <si>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</si>
  <si>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</si>
  <si>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</si>
  <si>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</si>
  <si>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</si>
  <si>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</si>
  <si>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</si>
  <si>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</si>
  <si>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</si>
  <si>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</si>
  <si>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</si>
  <si>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</si>
  <si>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</si>
  <si>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</si>
  <si>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</si>
  <si>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</si>
  <si>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</si>
  <si>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</si>
  <si>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</si>
  <si>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</si>
  <si>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</si>
  <si>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</si>
  <si>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</si>
  <si>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</si>
  <si>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</si>
  <si>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</si>
  <si>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</si>
  <si>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</si>
  <si>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</si>
  <si>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</si>
  <si>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</si>
  <si>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</si>
  <si>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</si>
  <si>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FY 2021 AEA Weights and Costs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</si>
</sst>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1">
    <xf numFmtId="0" fontId="0" fillId="0" borderId="0"/>
  </cellStyleXfs>
  <cellXfs count="32">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0" fontId="4" fillId="0" borderId="0" xfId="0" applyFont="1" applyAlignment="1">
      <alignment horizontal="center" wrapText="1"/>
    </xf>
  </cellXfs>
  <cellStyles count="1">
    <cellStyle name="Normal" xfId="0" builtinId="0"/>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numFmt numFmtId="30" formatCode="@"/>
    </dxf>
    <dxf>
      <numFmt numFmtId="30" formatCode="@"/>
    </dxf>
    <dxf>
      <numFmt numFmtId="30" formatCode="@"/>
    </dxf>
    <dxf>
      <numFmt numFmtId="30" formatCode="@"/>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xr9:uid="{00000000-0011-0000-FFFF-FFFF00000000}">
      <tableStyleElement type="wholeTabl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0</xdr:rowOff>
    </xdr:from>
    <xdr:to>
      <xdr:col>7</xdr:col>
      <xdr:colOff>400051</xdr:colOff>
      <xdr:row>13</xdr:row>
      <xdr:rowOff>123825</xdr:rowOff>
    </xdr:to>
    <mc:AlternateContent xmlns:mc="http://schemas.openxmlformats.org/markup-compatibility/2006" xmlns:a14="http://schemas.microsoft.com/office/drawing/2010/main">
      <mc:Choice Requires="a14">
        <xdr:graphicFrame macro="">
          <xdr:nvGraphicFramePr>
            <xdr:cNvPr id="2" name="AEA Nam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4591050" y="0"/>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John [IDOM]" refreshedDate="44021.323245023152" createdVersion="4" refreshedVersion="6" minRefreshableVersion="3" recordCount="327" xr:uid="{00000000-000A-0000-FFFF-FFFF0500000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3897"/>
        <s v="4023"/>
        <s v="4644"/>
        <s v="4778"/>
        <s v="0333"/>
        <s v="4890"/>
        <s v="5139"/>
        <s v="5283"/>
        <s v="532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6591" u="1"/>
        <s v="0504" u="1"/>
        <s v="4775" u="1"/>
        <s v="4787" u="1"/>
        <s v="0423" u="1"/>
        <s v="2834" u="1"/>
      </sharedItems>
    </cacheField>
    <cacheField name="District" numFmtId="49">
      <sharedItems count="355">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Lu Verne"/>
        <s v="Manson-Northwest Webster"/>
        <s v="Newell-Fonda"/>
        <s v="North Kossuth"/>
        <s v="North Union"/>
        <s v="Okoboji"/>
        <s v="Paton-Churdan"/>
        <s v="Pocahontas Area"/>
        <s v="Prairie Valley"/>
        <s v="Ruthven-Ayrshire"/>
        <s v="Schaller-Crestland"/>
        <s v="Sioux Central"/>
        <s v="South Central Calhoun"/>
        <s v="South Hamilton"/>
        <s v="Southeast Webster-Grand"/>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CLARION-GOLDFIELD-DOWS (C" u="1"/>
        <s v="FOREST CITY(FOREST CITY)" u="1"/>
        <s v="COLLEGE" u="1"/>
        <s v="NORTH BUTLER (ALLISON BRI" u="1"/>
        <s v="NODAWAY VALLEY (GREENFIEL" u="1"/>
        <s v="ALGONA (ALGONA)" u="1"/>
        <s v="AHSTW (AHST)" u="1"/>
        <s v="MAPLE VALLEY-ANTHON OTO (" u="1"/>
        <s v="GREENE COUNTY (JEFFERSON-" u="1"/>
        <s v="NORTH UNION (ARMSTRONG-RI" u="1"/>
        <s v="ODEBOLT-ARTHUR" u="1"/>
        <s v="GARNER-HAYFIELD-VENTURA (" u="1"/>
        <s v="AURELIA" u="1"/>
        <s v="CLEAR CREEK-AMANA (CLEAR" u="1"/>
        <s v="EAST MILLS (MALVERN)" u="1"/>
        <s v="BATTLE CREEK-IDA GROVE" u="1"/>
        <s v="Van Buren" u="1"/>
        <s v="CALAMUS/WHEATLAND" u="1"/>
        <s v="ENGLISH VALLEYS (ENGLISH" u="1"/>
        <s v="ESTHERVILLE-LINCOLN CENTR" u="1"/>
        <s v="NORTH FAYETTE" u="1"/>
        <s v="Northeast Hamilton" u="1"/>
        <s v="Harmony" u="1"/>
        <s v="EDDYVILLE-BLAKESBURG-FREM" u="1"/>
        <s v="ALTA" u="1"/>
        <s v="CRESTON (CRESTON)" u="1"/>
        <s v="North Winneshiek" u="1"/>
        <s v="VALLEY" u="1"/>
      </sharedItems>
    </cacheField>
    <cacheField name="Total Special Ed Weighting in Addition to 1.0" numFmtId="4">
      <sharedItems containsSemiMixedTypes="0" containsString="0" containsNumber="1" minValue="12.57" maxValue="6023.48"/>
    </cacheField>
    <cacheField name="Budget Enrollment" numFmtId="164">
      <sharedItems containsSemiMixedTypes="0" containsString="0" containsNumber="1" minValue="102" maxValue="32606.7"/>
    </cacheField>
    <cacheField name="AEA Weighted Enrollment" numFmtId="4">
      <sharedItems containsSemiMixedTypes="0" containsString="0" containsNumber="1" minValue="115.55" maxValue="38630.18"/>
    </cacheField>
    <cacheField name="AEA Supplementary Weight for Sharing" numFmtId="4">
      <sharedItems containsSemiMixedTypes="0" containsString="0" containsNumber="1" minValue="0" maxValue="35.4"/>
    </cacheField>
    <cacheField name="Resident Accredited Nonpublic Students" numFmtId="3">
      <sharedItems containsSemiMixedTypes="0" containsString="0" containsNumber="1" containsInteger="1" minValue="0" maxValue="2366"/>
    </cacheField>
    <cacheField name="Shared-Time Nonpublic Pupils Counted in Line 1.1" numFmtId="164">
      <sharedItems containsSemiMixedTypes="0" containsString="0" containsNumber="1" minValue="0" maxValue="20.8"/>
    </cacheField>
    <cacheField name="Total Enrollment Served - AEA Media and Ed Services" numFmtId="3">
      <sharedItems containsSemiMixedTypes="0" containsString="0" containsNumber="1" containsInteger="1" minValue="102" maxValue="34969"/>
    </cacheField>
    <cacheField name="AEA Special Ed Support Cost Per Pupil" numFmtId="4">
      <sharedItems containsSemiMixedTypes="0" containsString="0" containsNumber="1" minValue="300.85000000000002" maxValue="323.11"/>
    </cacheField>
    <cacheField name="AEA Media Cost Per Pupil" numFmtId="4">
      <sharedItems containsSemiMixedTypes="0" containsString="0" containsNumber="1" minValue="57.32" maxValue="57.86"/>
    </cacheField>
    <cacheField name="AEA Ed Services Cost Per Pupil" numFmtId="4">
      <sharedItems containsSemiMixedTypes="0" containsString="0" containsNumber="1" minValue="62.58" maxValue="64.88"/>
    </cacheField>
    <cacheField name="AEA Teacher Salary Supplement District Cost Per Pupil" numFmtId="4">
      <sharedItems containsSemiMixedTypes="0" containsString="0" containsNumber="1" minValue="25.18" maxValue="39.130000000000003"/>
    </cacheField>
    <cacheField name="Professional Development Supplement District Cost Per Pupil" numFmtId="4">
      <sharedItems containsSemiMixedTypes="0" containsString="0" containsNumber="1" minValue="3.18" maxValue="4.5"/>
    </cacheField>
    <cacheField name="AEA Special Ed Support District Cost without Adjustment" numFmtId="3">
      <sharedItems containsSemiMixedTypes="0" containsString="0" containsNumber="1" containsInteger="1" minValue="35695" maxValue="11621890"/>
    </cacheField>
    <cacheField name="AEA Special Ed Support Adjustment" numFmtId="3">
      <sharedItems containsSemiMixedTypes="0" containsString="0" containsNumber="1" containsInteger="1" minValue="0" maxValue="46900"/>
    </cacheField>
    <cacheField name="Special Education Total Cost" numFmtId="3">
      <sharedItems containsSemiMixedTypes="0" containsString="0" containsNumber="1" containsInteger="1" minValue="35695" maxValue="11621890"/>
    </cacheField>
    <cacheField name="AEA Media Services District Cost" numFmtId="3">
      <sharedItems containsSemiMixedTypes="0" containsString="0" containsNumber="1" containsInteger="1" minValue="5866" maxValue="2006521"/>
    </cacheField>
    <cacheField name="AEA Ed Services District Cost" numFmtId="3">
      <sharedItems containsSemiMixedTypes="0" containsString="0" containsNumber="1" containsInteger="1" minValue="6485" maxValue="2203047"/>
    </cacheField>
    <cacheField name="AEA Sharing District Cost" numFmtId="3">
      <sharedItems containsSemiMixedTypes="0" containsString="0" containsNumber="1" containsInteger="1" minValue="0" maxValue="11438"/>
    </cacheField>
    <cacheField name="AEA Teacher Salary Supplement District Cost" numFmtId="3">
      <sharedItems containsSemiMixedTypes="0" containsString="0" containsNumber="1" containsInteger="1" minValue="3665" maxValue="972708"/>
    </cacheField>
    <cacheField name="AEA Professional Development Supplement District Cost" numFmtId="3">
      <sharedItems containsSemiMixedTypes="0" containsString="0" containsNumber="1" containsInteger="1" minValue="393" maxValue="122844"/>
    </cacheField>
    <cacheField name="Subtotal Budget" numFmtId="3">
      <sharedItems containsSemiMixedTypes="0" containsString="0" containsNumber="1" containsInteger="1" minValue="52184" maxValue="16927010"/>
    </cacheField>
    <cacheField name="AEA Statewide State Aid Reduction" numFmtId="3">
      <sharedItems containsSemiMixedTypes="0" containsString="0" containsNumber="1" containsInteger="1" minValue="6461" maxValue="1502984"/>
    </cacheField>
    <cacheField name="Total Budget" numFmtId="3">
      <sharedItems containsSemiMixedTypes="0" containsString="0" containsNumber="1" containsInteger="1" minValue="45723" maxValue="15424026"/>
    </cacheField>
    <cacheField name="State Aid Portion" numFmtId="3">
      <sharedItems containsSemiMixedTypes="0" containsString="0" containsNumber="1" containsInteger="1" minValue="25855" maxValue="9018332"/>
    </cacheField>
    <cacheField name="Property Tax Portion" numFmtId="3">
      <sharedItems containsSemiMixedTypes="0" containsString="0" containsNumber="1" containsInteger="1" minValue="19868" maxValue="640569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01"/>
    <x v="0"/>
    <x v="0"/>
    <x v="0"/>
    <n v="143.32"/>
    <n v="1095"/>
    <n v="1238.32"/>
    <n v="3.52"/>
    <n v="157"/>
    <n v="1.4"/>
    <n v="1251"/>
    <n v="323.11"/>
    <n v="57.78"/>
    <n v="64.41"/>
    <n v="31.9"/>
    <n v="3.44"/>
    <n v="400114"/>
    <n v="0"/>
    <n v="400114"/>
    <n v="72283"/>
    <n v="80577"/>
    <n v="1137"/>
    <n v="39502"/>
    <n v="4260"/>
    <n v="597873"/>
    <n v="73532"/>
    <n v="524341"/>
    <n v="273239"/>
    <n v="251102"/>
  </r>
  <r>
    <s v="01"/>
    <x v="0"/>
    <x v="1"/>
    <x v="1"/>
    <n v="53.76"/>
    <n v="416.1"/>
    <n v="469.86"/>
    <n v="1.34"/>
    <n v="0"/>
    <n v="0"/>
    <n v="416"/>
    <n v="323.11"/>
    <n v="57.78"/>
    <n v="64.41"/>
    <n v="31.9"/>
    <n v="3.44"/>
    <n v="151816"/>
    <n v="17180"/>
    <n v="168996"/>
    <n v="24036"/>
    <n v="26795"/>
    <n v="433"/>
    <n v="14989"/>
    <n v="1616"/>
    <n v="236865"/>
    <n v="29988"/>
    <n v="206877"/>
    <n v="101590"/>
    <n v="105287"/>
  </r>
  <r>
    <s v="01"/>
    <x v="0"/>
    <x v="2"/>
    <x v="2"/>
    <n v="74.91"/>
    <n v="593.9"/>
    <n v="668.81"/>
    <n v="1.9"/>
    <n v="65"/>
    <n v="3.3"/>
    <n v="656"/>
    <n v="323.11"/>
    <n v="57.78"/>
    <n v="64.41"/>
    <n v="31.9"/>
    <n v="3.44"/>
    <n v="216099"/>
    <n v="0"/>
    <n v="216099"/>
    <n v="37904"/>
    <n v="42253"/>
    <n v="614"/>
    <n v="21335"/>
    <n v="2301"/>
    <n v="320506"/>
    <n v="39375"/>
    <n v="281131"/>
    <n v="147914"/>
    <n v="133217"/>
  </r>
  <r>
    <s v="01"/>
    <x v="0"/>
    <x v="3"/>
    <x v="3"/>
    <n v="184.4"/>
    <n v="1607.2"/>
    <n v="1791.6"/>
    <n v="5.09"/>
    <n v="120"/>
    <n v="0.4"/>
    <n v="1727"/>
    <n v="323.11"/>
    <n v="57.78"/>
    <n v="64.41"/>
    <n v="31.9"/>
    <n v="3.44"/>
    <n v="578884"/>
    <n v="0"/>
    <n v="578884"/>
    <n v="99786"/>
    <n v="111236"/>
    <n v="1645"/>
    <n v="57152"/>
    <n v="6163"/>
    <n v="854866"/>
    <n v="93008"/>
    <n v="761858"/>
    <n v="408699"/>
    <n v="353159"/>
  </r>
  <r>
    <s v="01"/>
    <x v="0"/>
    <x v="4"/>
    <x v="4"/>
    <n v="1959.96"/>
    <n v="10489"/>
    <n v="12448.96"/>
    <n v="35.4"/>
    <n v="1672"/>
    <n v="1.4"/>
    <n v="12160"/>
    <n v="323.11"/>
    <n v="57.78"/>
    <n v="64.41"/>
    <n v="31.9"/>
    <n v="3.44"/>
    <n v="4022383"/>
    <n v="0"/>
    <n v="4022383"/>
    <n v="702605"/>
    <n v="783226"/>
    <n v="11438"/>
    <n v="397122"/>
    <n v="42824"/>
    <n v="5959598"/>
    <n v="514177"/>
    <n v="5445421"/>
    <n v="2971953"/>
    <n v="2473468"/>
  </r>
  <r>
    <s v="01"/>
    <x v="0"/>
    <x v="5"/>
    <x v="5"/>
    <n v="27.36"/>
    <n v="323"/>
    <n v="350.36"/>
    <n v="1"/>
    <n v="6"/>
    <n v="0"/>
    <n v="329"/>
    <n v="323.11"/>
    <n v="57.78"/>
    <n v="64.41"/>
    <n v="31.9"/>
    <n v="3.44"/>
    <n v="113205"/>
    <n v="15022"/>
    <n v="128227"/>
    <n v="19010"/>
    <n v="21191"/>
    <n v="323"/>
    <n v="11176"/>
    <n v="1205"/>
    <n v="181132"/>
    <n v="23749"/>
    <n v="157383"/>
    <n v="74364"/>
    <n v="83019"/>
  </r>
  <r>
    <s v="01"/>
    <x v="0"/>
    <x v="6"/>
    <x v="6"/>
    <n v="37.92"/>
    <n v="415"/>
    <n v="452.92"/>
    <n v="1.29"/>
    <n v="33"/>
    <n v="0"/>
    <n v="448"/>
    <n v="323.11"/>
    <n v="57.78"/>
    <n v="64.41"/>
    <n v="31.9"/>
    <n v="3.44"/>
    <n v="146343"/>
    <n v="0"/>
    <n v="146343"/>
    <n v="25885"/>
    <n v="28856"/>
    <n v="417"/>
    <n v="14448"/>
    <n v="1558"/>
    <n v="217507"/>
    <n v="27107"/>
    <n v="190400"/>
    <n v="99726"/>
    <n v="90674"/>
  </r>
  <r>
    <s v="01"/>
    <x v="0"/>
    <x v="7"/>
    <x v="7"/>
    <n v="175.18"/>
    <n v="1132.8"/>
    <n v="1307.98"/>
    <n v="3.72"/>
    <n v="168"/>
    <n v="1.4"/>
    <n v="1299"/>
    <n v="323.11"/>
    <n v="57.78"/>
    <n v="64.41"/>
    <n v="31.9"/>
    <n v="3.44"/>
    <n v="422621"/>
    <n v="9309"/>
    <n v="431930"/>
    <n v="75056"/>
    <n v="83669"/>
    <n v="1202"/>
    <n v="41871"/>
    <n v="4511"/>
    <n v="638239"/>
    <n v="74965"/>
    <n v="563274"/>
    <n v="291472"/>
    <n v="271802"/>
  </r>
  <r>
    <s v="01"/>
    <x v="0"/>
    <x v="8"/>
    <x v="8"/>
    <n v="105.21"/>
    <n v="767.7"/>
    <n v="872.91"/>
    <n v="2.48"/>
    <n v="1"/>
    <n v="0"/>
    <n v="769"/>
    <n v="323.11"/>
    <n v="57.78"/>
    <n v="64.41"/>
    <n v="31.9"/>
    <n v="3.44"/>
    <n v="282046"/>
    <n v="0"/>
    <n v="282046"/>
    <n v="44433"/>
    <n v="49531"/>
    <n v="801"/>
    <n v="27846"/>
    <n v="3003"/>
    <n v="407660"/>
    <n v="49021"/>
    <n v="358639"/>
    <n v="195423"/>
    <n v="163216"/>
  </r>
  <r>
    <s v="01"/>
    <x v="0"/>
    <x v="9"/>
    <x v="9"/>
    <n v="52.65"/>
    <n v="682.6"/>
    <n v="735.25"/>
    <n v="2.09"/>
    <n v="26"/>
    <n v="0"/>
    <n v="709"/>
    <n v="323.11"/>
    <n v="57.78"/>
    <n v="64.41"/>
    <n v="31.9"/>
    <n v="3.44"/>
    <n v="237567"/>
    <n v="4490"/>
    <n v="242057"/>
    <n v="40966"/>
    <n v="45667"/>
    <n v="675"/>
    <n v="23879"/>
    <n v="2572"/>
    <n v="355816"/>
    <n v="45215"/>
    <n v="310601"/>
    <n v="161147"/>
    <n v="149454"/>
  </r>
  <r>
    <s v="01"/>
    <x v="0"/>
    <x v="10"/>
    <x v="10"/>
    <n v="105.86"/>
    <n v="915"/>
    <n v="1020.86"/>
    <n v="2.9"/>
    <n v="131"/>
    <n v="2"/>
    <n v="1044"/>
    <n v="323.11"/>
    <n v="57.78"/>
    <n v="64.41"/>
    <n v="31.9"/>
    <n v="3.44"/>
    <n v="329850"/>
    <n v="5976"/>
    <n v="335826"/>
    <n v="60322"/>
    <n v="67244"/>
    <n v="937"/>
    <n v="32876"/>
    <n v="3542"/>
    <n v="500747"/>
    <n v="58022"/>
    <n v="442725"/>
    <n v="228193"/>
    <n v="214532"/>
  </r>
  <r>
    <s v="01"/>
    <x v="0"/>
    <x v="11"/>
    <x v="11"/>
    <n v="195.47"/>
    <n v="1123.5"/>
    <n v="1318.97"/>
    <n v="3.75"/>
    <n v="6"/>
    <n v="0"/>
    <n v="1130"/>
    <n v="323.11"/>
    <n v="57.78"/>
    <n v="64.41"/>
    <n v="31.9"/>
    <n v="3.44"/>
    <n v="426172"/>
    <n v="10800"/>
    <n v="436972"/>
    <n v="65291"/>
    <n v="72783"/>
    <n v="1212"/>
    <n v="42075"/>
    <n v="4537"/>
    <n v="622870"/>
    <n v="80898"/>
    <n v="541972"/>
    <n v="288458"/>
    <n v="253514"/>
  </r>
  <r>
    <s v="01"/>
    <x v="0"/>
    <x v="12"/>
    <x v="12"/>
    <n v="286.5"/>
    <n v="1303.9000000000001"/>
    <n v="1590.4"/>
    <n v="4.5199999999999996"/>
    <n v="53"/>
    <n v="2.1"/>
    <n v="1355"/>
    <n v="323.11"/>
    <n v="57.78"/>
    <n v="64.41"/>
    <n v="31.9"/>
    <n v="3.44"/>
    <n v="513874"/>
    <n v="0"/>
    <n v="513874"/>
    <n v="78292"/>
    <n v="87276"/>
    <n v="1460"/>
    <n v="50734"/>
    <n v="5471"/>
    <n v="737107"/>
    <n v="78419"/>
    <n v="658688"/>
    <n v="366946"/>
    <n v="291742"/>
  </r>
  <r>
    <s v="01"/>
    <x v="0"/>
    <x v="13"/>
    <x v="13"/>
    <n v="94.41"/>
    <n v="758"/>
    <n v="852.41"/>
    <n v="2.42"/>
    <n v="4"/>
    <n v="0"/>
    <n v="762"/>
    <n v="323.11"/>
    <n v="57.78"/>
    <n v="64.41"/>
    <n v="31.9"/>
    <n v="3.44"/>
    <n v="275422"/>
    <n v="0"/>
    <n v="275422"/>
    <n v="44028"/>
    <n v="49080"/>
    <n v="782"/>
    <n v="27192"/>
    <n v="2932"/>
    <n v="399436"/>
    <n v="30686"/>
    <n v="368750"/>
    <n v="208017"/>
    <n v="160733"/>
  </r>
  <r>
    <s v="01"/>
    <x v="0"/>
    <x v="14"/>
    <x v="14"/>
    <n v="34.869999999999997"/>
    <n v="326.8"/>
    <n v="361.67"/>
    <n v="1.05"/>
    <n v="3"/>
    <n v="0"/>
    <n v="330"/>
    <n v="323.11"/>
    <n v="57.78"/>
    <n v="64.41"/>
    <n v="31.9"/>
    <n v="3.44"/>
    <n v="116859"/>
    <n v="0"/>
    <n v="116859"/>
    <n v="19067"/>
    <n v="21255"/>
    <n v="339"/>
    <n v="11537"/>
    <n v="1244"/>
    <n v="170301"/>
    <n v="21332"/>
    <n v="148969"/>
    <n v="79953"/>
    <n v="69016"/>
  </r>
  <r>
    <s v="01"/>
    <x v="0"/>
    <x v="15"/>
    <x v="15"/>
    <n v="103.76"/>
    <n v="523.70000000000005"/>
    <n v="627.46"/>
    <n v="1.79"/>
    <n v="263"/>
    <n v="2.7"/>
    <n v="784"/>
    <n v="323.11"/>
    <n v="57.78"/>
    <n v="64.41"/>
    <n v="31.9"/>
    <n v="3.44"/>
    <n v="202739"/>
    <n v="0"/>
    <n v="202739"/>
    <n v="45300"/>
    <n v="50497"/>
    <n v="578"/>
    <n v="20016"/>
    <n v="2158"/>
    <n v="321288"/>
    <n v="37693"/>
    <n v="283595"/>
    <n v="138018"/>
    <n v="145577"/>
  </r>
  <r>
    <s v="01"/>
    <x v="0"/>
    <x v="16"/>
    <x v="16"/>
    <n v="107.04"/>
    <n v="609.4"/>
    <n v="716.44"/>
    <n v="2.04"/>
    <n v="1"/>
    <n v="0"/>
    <n v="610"/>
    <n v="323.11"/>
    <n v="57.78"/>
    <n v="64.41"/>
    <n v="31.9"/>
    <n v="3.44"/>
    <n v="231489"/>
    <n v="0"/>
    <n v="231489"/>
    <n v="35246"/>
    <n v="39290"/>
    <n v="659"/>
    <n v="22854"/>
    <n v="2465"/>
    <n v="332003"/>
    <n v="41746"/>
    <n v="290257"/>
    <n v="158882"/>
    <n v="131375"/>
  </r>
  <r>
    <s v="01"/>
    <x v="0"/>
    <x v="17"/>
    <x v="17"/>
    <n v="56.82"/>
    <n v="357.1"/>
    <n v="413.92"/>
    <n v="1.18"/>
    <n v="66"/>
    <n v="0.1"/>
    <n v="423"/>
    <n v="323.11"/>
    <n v="57.78"/>
    <n v="64.41"/>
    <n v="31.9"/>
    <n v="3.44"/>
    <n v="133742"/>
    <n v="13012"/>
    <n v="146754"/>
    <n v="24441"/>
    <n v="27245"/>
    <n v="381"/>
    <n v="13204"/>
    <n v="1424"/>
    <n v="213449"/>
    <n v="29583"/>
    <n v="183866"/>
    <n v="86329"/>
    <n v="97537"/>
  </r>
  <r>
    <s v="01"/>
    <x v="0"/>
    <x v="18"/>
    <x v="18"/>
    <n v="34.71"/>
    <n v="262"/>
    <n v="296.70999999999998"/>
    <n v="0.84"/>
    <n v="2"/>
    <n v="0"/>
    <n v="264"/>
    <n v="323.11"/>
    <n v="57.78"/>
    <n v="64.41"/>
    <n v="31.9"/>
    <n v="3.44"/>
    <n v="95870"/>
    <n v="2390"/>
    <n v="98260"/>
    <n v="15254"/>
    <n v="17004"/>
    <n v="271"/>
    <n v="9465"/>
    <n v="1021"/>
    <n v="141275"/>
    <n v="16863"/>
    <n v="124412"/>
    <n v="66225"/>
    <n v="58187"/>
  </r>
  <r>
    <s v="01"/>
    <x v="0"/>
    <x v="19"/>
    <x v="19"/>
    <n v="171.68"/>
    <n v="1419"/>
    <n v="1590.68"/>
    <n v="4.5199999999999996"/>
    <n v="171"/>
    <n v="0.8"/>
    <n v="1589"/>
    <n v="323.11"/>
    <n v="57.78"/>
    <n v="64.41"/>
    <n v="31.9"/>
    <n v="3.44"/>
    <n v="513965"/>
    <n v="406"/>
    <n v="514371"/>
    <n v="91812"/>
    <n v="102347"/>
    <n v="1460"/>
    <n v="50743"/>
    <n v="5472"/>
    <n v="766205"/>
    <n v="90517"/>
    <n v="675688"/>
    <n v="354927"/>
    <n v="320761"/>
  </r>
  <r>
    <s v="01"/>
    <x v="0"/>
    <x v="20"/>
    <x v="20"/>
    <n v="393.58"/>
    <n v="3129.6"/>
    <n v="3523.18"/>
    <n v="10.02"/>
    <n v="1158"/>
    <n v="4.0999999999999996"/>
    <n v="4284"/>
    <n v="323.11"/>
    <n v="57.78"/>
    <n v="64.41"/>
    <n v="31.9"/>
    <n v="3.44"/>
    <n v="1138375"/>
    <n v="0"/>
    <n v="1138375"/>
    <n v="247530"/>
    <n v="275932"/>
    <n v="3238"/>
    <n v="112389"/>
    <n v="12120"/>
    <n v="1789584"/>
    <n v="140594"/>
    <n v="1648990"/>
    <n v="846016"/>
    <n v="802974"/>
  </r>
  <r>
    <s v="05"/>
    <x v="1"/>
    <x v="21"/>
    <x v="21"/>
    <n v="36.67"/>
    <n v="216.9"/>
    <n v="253.57"/>
    <n v="0.7"/>
    <n v="1"/>
    <n v="0"/>
    <n v="218"/>
    <n v="318.86"/>
    <n v="57.86"/>
    <n v="64.88"/>
    <n v="33.86"/>
    <n v="4.03"/>
    <n v="80853"/>
    <n v="0"/>
    <n v="80853"/>
    <n v="12613"/>
    <n v="14144"/>
    <n v="223"/>
    <n v="8586"/>
    <n v="1022"/>
    <n v="117441"/>
    <n v="14109"/>
    <n v="103332"/>
    <n v="57541"/>
    <n v="45791"/>
  </r>
  <r>
    <s v="05"/>
    <x v="1"/>
    <x v="22"/>
    <x v="22"/>
    <n v="200.56"/>
    <n v="1295.5999999999999"/>
    <n v="1496.16"/>
    <n v="4.1100000000000003"/>
    <n v="312"/>
    <n v="10.4"/>
    <n v="1597"/>
    <n v="318.86"/>
    <n v="57.86"/>
    <n v="64.88"/>
    <n v="33.86"/>
    <n v="4.03"/>
    <n v="477066"/>
    <n v="0"/>
    <n v="477066"/>
    <n v="92402"/>
    <n v="103613"/>
    <n v="1311"/>
    <n v="50660"/>
    <n v="6030"/>
    <n v="731082"/>
    <n v="83780"/>
    <n v="647302"/>
    <n v="338976"/>
    <n v="308326"/>
  </r>
  <r>
    <s v="05"/>
    <x v="1"/>
    <x v="23"/>
    <x v="23"/>
    <n v="79.77"/>
    <n v="803.2"/>
    <n v="882.97"/>
    <n v="2.4300000000000002"/>
    <n v="16"/>
    <n v="0"/>
    <n v="819"/>
    <n v="318.86"/>
    <n v="57.86"/>
    <n v="64.88"/>
    <n v="33.86"/>
    <n v="4.03"/>
    <n v="281544"/>
    <n v="0"/>
    <n v="281544"/>
    <n v="47387"/>
    <n v="53137"/>
    <n v="775"/>
    <n v="29897"/>
    <n v="3558"/>
    <n v="416298"/>
    <n v="44685"/>
    <n v="371613"/>
    <n v="204808"/>
    <n v="166805"/>
  </r>
  <r>
    <s v="05"/>
    <x v="1"/>
    <x v="24"/>
    <x v="24"/>
    <n v="120.02"/>
    <n v="973.4"/>
    <n v="1093.42"/>
    <n v="3.01"/>
    <n v="3"/>
    <n v="0"/>
    <n v="976"/>
    <n v="318.86"/>
    <n v="57.86"/>
    <n v="64.88"/>
    <n v="33.86"/>
    <n v="4.03"/>
    <n v="348648"/>
    <n v="0"/>
    <n v="348648"/>
    <n v="56471"/>
    <n v="63323"/>
    <n v="960"/>
    <n v="37023"/>
    <n v="4406"/>
    <n v="510831"/>
    <n v="52020"/>
    <n v="458811"/>
    <n v="256938"/>
    <n v="201873"/>
  </r>
  <r>
    <s v="05"/>
    <x v="1"/>
    <x v="25"/>
    <x v="25"/>
    <n v="36.03"/>
    <n v="288"/>
    <n v="324.02999999999997"/>
    <n v="0.89"/>
    <n v="19"/>
    <n v="0"/>
    <n v="307"/>
    <n v="318.86"/>
    <n v="57.86"/>
    <n v="64.88"/>
    <n v="33.86"/>
    <n v="4.03"/>
    <n v="103320"/>
    <n v="21713"/>
    <n v="125033"/>
    <n v="17763"/>
    <n v="19918"/>
    <n v="284"/>
    <n v="11746"/>
    <n v="1400"/>
    <n v="176144"/>
    <n v="23296"/>
    <n v="152848"/>
    <n v="69130"/>
    <n v="83718"/>
  </r>
  <r>
    <s v="05"/>
    <x v="1"/>
    <x v="26"/>
    <x v="26"/>
    <n v="143.43"/>
    <n v="959.2"/>
    <n v="1102.6300000000001"/>
    <n v="3.03"/>
    <n v="4"/>
    <n v="0"/>
    <n v="963"/>
    <n v="318.86"/>
    <n v="57.86"/>
    <n v="64.88"/>
    <n v="33.86"/>
    <n v="4.03"/>
    <n v="351585"/>
    <n v="0"/>
    <n v="351585"/>
    <n v="55719"/>
    <n v="62479"/>
    <n v="966"/>
    <n v="37335"/>
    <n v="4444"/>
    <n v="512528"/>
    <n v="45100"/>
    <n v="467428"/>
    <n v="266460"/>
    <n v="200968"/>
  </r>
  <r>
    <s v="05"/>
    <x v="1"/>
    <x v="27"/>
    <x v="27"/>
    <n v="100.97"/>
    <n v="795.9"/>
    <n v="896.87"/>
    <n v="2.4700000000000002"/>
    <n v="48"/>
    <n v="0"/>
    <n v="844"/>
    <n v="318.86"/>
    <n v="57.86"/>
    <n v="64.88"/>
    <n v="33.86"/>
    <n v="4.03"/>
    <n v="285976"/>
    <n v="12166"/>
    <n v="298142"/>
    <n v="48834"/>
    <n v="54759"/>
    <n v="788"/>
    <n v="31686"/>
    <n v="3776"/>
    <n v="437985"/>
    <n v="51797"/>
    <n v="386188"/>
    <n v="203104"/>
    <n v="183084"/>
  </r>
  <r>
    <s v="05"/>
    <x v="1"/>
    <x v="28"/>
    <x v="28"/>
    <n v="109.22"/>
    <n v="681.2"/>
    <n v="790.42"/>
    <n v="2.17"/>
    <n v="91"/>
    <n v="3.1"/>
    <n v="769"/>
    <n v="318.86"/>
    <n v="57.86"/>
    <n v="64.88"/>
    <n v="33.86"/>
    <n v="4.03"/>
    <n v="252033"/>
    <n v="3002"/>
    <n v="255035"/>
    <n v="44494"/>
    <n v="49893"/>
    <n v="692"/>
    <n v="27104"/>
    <n v="3230"/>
    <n v="380448"/>
    <n v="39116"/>
    <n v="341332"/>
    <n v="184610"/>
    <n v="156722"/>
  </r>
  <r>
    <s v="05"/>
    <x v="1"/>
    <x v="29"/>
    <x v="29"/>
    <n v="154.93"/>
    <n v="1275.3"/>
    <n v="1430.23"/>
    <n v="3.93"/>
    <n v="1"/>
    <n v="0"/>
    <n v="1276"/>
    <n v="318.86"/>
    <n v="57.86"/>
    <n v="64.88"/>
    <n v="33.86"/>
    <n v="4.03"/>
    <n v="456043"/>
    <n v="10971"/>
    <n v="467014"/>
    <n v="73829"/>
    <n v="82787"/>
    <n v="1253"/>
    <n v="48428"/>
    <n v="5764"/>
    <n v="679075"/>
    <n v="70397"/>
    <n v="608678"/>
    <n v="333730"/>
    <n v="274948"/>
  </r>
  <r>
    <s v="05"/>
    <x v="1"/>
    <x v="30"/>
    <x v="30"/>
    <n v="706.12"/>
    <n v="3668.4"/>
    <n v="4374.5200000000004"/>
    <n v="12.03"/>
    <n v="609"/>
    <n v="3.3"/>
    <n v="4274"/>
    <n v="318.86"/>
    <n v="57.86"/>
    <n v="64.88"/>
    <n v="33.86"/>
    <n v="4.03"/>
    <n v="1394859"/>
    <n v="0"/>
    <n v="1394859"/>
    <n v="247294"/>
    <n v="277297"/>
    <n v="3836"/>
    <n v="148121"/>
    <n v="17629"/>
    <n v="2089036"/>
    <n v="212765"/>
    <n v="1876271"/>
    <n v="1023303"/>
    <n v="852968"/>
  </r>
  <r>
    <s v="05"/>
    <x v="1"/>
    <x v="31"/>
    <x v="31"/>
    <n v="36.46"/>
    <n v="163"/>
    <n v="199.46"/>
    <n v="0.55000000000000004"/>
    <n v="4"/>
    <n v="0"/>
    <n v="167"/>
    <n v="318.86"/>
    <n v="57.86"/>
    <n v="64.88"/>
    <n v="33.86"/>
    <n v="4.03"/>
    <n v="63600"/>
    <n v="0"/>
    <n v="63600"/>
    <n v="9663"/>
    <n v="10835"/>
    <n v="175"/>
    <n v="6754"/>
    <n v="804"/>
    <n v="91831"/>
    <n v="10845"/>
    <n v="80986"/>
    <n v="45515"/>
    <n v="35471"/>
  </r>
  <r>
    <s v="05"/>
    <x v="1"/>
    <x v="32"/>
    <x v="32"/>
    <n v="42.36"/>
    <n v="373.1"/>
    <n v="415.46"/>
    <n v="1.1399999999999999"/>
    <n v="10"/>
    <n v="0"/>
    <n v="383"/>
    <n v="318.86"/>
    <n v="57.86"/>
    <n v="64.88"/>
    <n v="33.86"/>
    <n v="4.03"/>
    <n v="132474"/>
    <n v="0"/>
    <n v="132474"/>
    <n v="22160"/>
    <n v="24849"/>
    <n v="364"/>
    <n v="14067"/>
    <n v="1674"/>
    <n v="195588"/>
    <n v="23426"/>
    <n v="172162"/>
    <n v="93965"/>
    <n v="78197"/>
  </r>
  <r>
    <s v="05"/>
    <x v="1"/>
    <x v="33"/>
    <x v="33"/>
    <n v="174.99"/>
    <n v="1199.5999999999999"/>
    <n v="1374.59"/>
    <n v="3.78"/>
    <n v="0"/>
    <n v="0"/>
    <n v="1200"/>
    <n v="318.86"/>
    <n v="57.86"/>
    <n v="64.88"/>
    <n v="33.86"/>
    <n v="4.03"/>
    <n v="438302"/>
    <n v="0"/>
    <n v="438302"/>
    <n v="69432"/>
    <n v="77856"/>
    <n v="1205"/>
    <n v="46544"/>
    <n v="5540"/>
    <n v="638879"/>
    <n v="79359"/>
    <n v="559520"/>
    <n v="309047"/>
    <n v="250473"/>
  </r>
  <r>
    <s v="05"/>
    <x v="1"/>
    <x v="34"/>
    <x v="34"/>
    <n v="27.9"/>
    <n v="292"/>
    <n v="319.89999999999998"/>
    <n v="0.88"/>
    <n v="1"/>
    <n v="0"/>
    <n v="293"/>
    <n v="318.86"/>
    <n v="57.86"/>
    <n v="64.88"/>
    <n v="33.86"/>
    <n v="4.03"/>
    <n v="102003"/>
    <n v="4636"/>
    <n v="106639"/>
    <n v="16953"/>
    <n v="19010"/>
    <n v="281"/>
    <n v="11141"/>
    <n v="1327"/>
    <n v="155351"/>
    <n v="15519"/>
    <n v="139832"/>
    <n v="75219"/>
    <n v="64613"/>
  </r>
  <r>
    <s v="05"/>
    <x v="1"/>
    <x v="35"/>
    <x v="35"/>
    <n v="136.13"/>
    <n v="1249.7"/>
    <n v="1385.83"/>
    <n v="3.81"/>
    <n v="128"/>
    <n v="1.4"/>
    <n v="1376"/>
    <n v="318.86"/>
    <n v="57.86"/>
    <n v="64.88"/>
    <n v="33.86"/>
    <n v="4.03"/>
    <n v="441886"/>
    <n v="0"/>
    <n v="441886"/>
    <n v="79615"/>
    <n v="89275"/>
    <n v="1215"/>
    <n v="46924"/>
    <n v="5585"/>
    <n v="664500"/>
    <n v="61988"/>
    <n v="602512"/>
    <n v="329593"/>
    <n v="272919"/>
  </r>
  <r>
    <s v="05"/>
    <x v="1"/>
    <x v="36"/>
    <x v="36"/>
    <n v="43.43"/>
    <n v="276"/>
    <n v="319.43"/>
    <n v="0.88"/>
    <n v="2"/>
    <n v="0"/>
    <n v="278"/>
    <n v="318.86"/>
    <n v="57.86"/>
    <n v="64.88"/>
    <n v="33.86"/>
    <n v="4.03"/>
    <n v="101853"/>
    <n v="10412"/>
    <n v="112265"/>
    <n v="16085"/>
    <n v="18037"/>
    <n v="281"/>
    <n v="10816"/>
    <n v="1287"/>
    <n v="158771"/>
    <n v="21809"/>
    <n v="136962"/>
    <n v="68450"/>
    <n v="68512"/>
  </r>
  <r>
    <s v="05"/>
    <x v="1"/>
    <x v="37"/>
    <x v="37"/>
    <n v="17.100000000000001"/>
    <n v="146.1"/>
    <n v="163.19999999999999"/>
    <n v="0.45"/>
    <n v="22"/>
    <n v="0"/>
    <n v="168"/>
    <n v="318.86"/>
    <n v="57.86"/>
    <n v="64.88"/>
    <n v="33.86"/>
    <n v="4.03"/>
    <n v="52038"/>
    <n v="7226"/>
    <n v="59264"/>
    <n v="9720"/>
    <n v="10900"/>
    <n v="143"/>
    <n v="6030"/>
    <n v="719"/>
    <n v="86776"/>
    <n v="16136"/>
    <n v="70640"/>
    <n v="30544"/>
    <n v="40096"/>
  </r>
  <r>
    <s v="05"/>
    <x v="1"/>
    <x v="38"/>
    <x v="38"/>
    <n v="63.34"/>
    <n v="642"/>
    <n v="705.34"/>
    <n v="1.94"/>
    <n v="58"/>
    <n v="0"/>
    <n v="700"/>
    <n v="318.86"/>
    <n v="57.86"/>
    <n v="64.88"/>
    <n v="33.86"/>
    <n v="4.03"/>
    <n v="224905"/>
    <n v="0"/>
    <n v="224905"/>
    <n v="40502"/>
    <n v="45416"/>
    <n v="619"/>
    <n v="23883"/>
    <n v="2843"/>
    <n v="338168"/>
    <n v="38009"/>
    <n v="300159"/>
    <n v="161293"/>
    <n v="138866"/>
  </r>
  <r>
    <s v="05"/>
    <x v="1"/>
    <x v="39"/>
    <x v="39"/>
    <n v="36.71"/>
    <n v="451.1"/>
    <n v="487.81"/>
    <n v="1.34"/>
    <n v="8"/>
    <n v="0"/>
    <n v="459"/>
    <n v="318.86"/>
    <n v="57.86"/>
    <n v="64.88"/>
    <n v="33.86"/>
    <n v="4.03"/>
    <n v="155543"/>
    <n v="1508"/>
    <n v="157051"/>
    <n v="26558"/>
    <n v="29780"/>
    <n v="427"/>
    <n v="16517"/>
    <n v="1966"/>
    <n v="232299"/>
    <n v="22754"/>
    <n v="209545"/>
    <n v="115082"/>
    <n v="94463"/>
  </r>
  <r>
    <s v="05"/>
    <x v="1"/>
    <x v="40"/>
    <x v="40"/>
    <n v="49.1"/>
    <n v="272.10000000000002"/>
    <n v="321.2"/>
    <n v="0.88"/>
    <n v="41"/>
    <n v="0"/>
    <n v="313"/>
    <n v="318.86"/>
    <n v="57.86"/>
    <n v="64.88"/>
    <n v="33.86"/>
    <n v="4.03"/>
    <n v="102418"/>
    <n v="6603"/>
    <n v="109021"/>
    <n v="18110"/>
    <n v="20307"/>
    <n v="281"/>
    <n v="10876"/>
    <n v="1294"/>
    <n v="159889"/>
    <n v="21324"/>
    <n v="138565"/>
    <n v="69434"/>
    <n v="69131"/>
  </r>
  <r>
    <s v="05"/>
    <x v="1"/>
    <x v="41"/>
    <x v="41"/>
    <n v="54.74"/>
    <n v="403.3"/>
    <n v="458.04"/>
    <n v="1.26"/>
    <n v="14"/>
    <n v="0"/>
    <n v="417"/>
    <n v="318.86"/>
    <n v="57.86"/>
    <n v="64.88"/>
    <n v="33.86"/>
    <n v="4.03"/>
    <n v="146051"/>
    <n v="24184"/>
    <n v="170235"/>
    <n v="24128"/>
    <n v="27055"/>
    <n v="402"/>
    <n v="15509"/>
    <n v="1846"/>
    <n v="239175"/>
    <n v="31389"/>
    <n v="207786"/>
    <n v="98035"/>
    <n v="109751"/>
  </r>
  <r>
    <s v="05"/>
    <x v="1"/>
    <x v="42"/>
    <x v="42"/>
    <n v="119.99"/>
    <n v="1015.4"/>
    <n v="1135.3900000000001"/>
    <n v="3.12"/>
    <n v="9"/>
    <n v="0"/>
    <n v="1024"/>
    <n v="318.86"/>
    <n v="57.86"/>
    <n v="64.88"/>
    <n v="33.86"/>
    <n v="4.03"/>
    <n v="362030"/>
    <n v="0"/>
    <n v="362030"/>
    <n v="59249"/>
    <n v="66437"/>
    <n v="995"/>
    <n v="38444"/>
    <n v="4576"/>
    <n v="531731"/>
    <n v="46312"/>
    <n v="485419"/>
    <n v="274504"/>
    <n v="210915"/>
  </r>
  <r>
    <s v="05"/>
    <x v="1"/>
    <x v="43"/>
    <x v="43"/>
    <n v="12.57"/>
    <n v="205.6"/>
    <n v="218.17"/>
    <n v="0.6"/>
    <n v="0"/>
    <n v="0"/>
    <n v="206"/>
    <n v="318.86"/>
    <n v="57.86"/>
    <n v="64.88"/>
    <n v="33.86"/>
    <n v="4.03"/>
    <n v="69566"/>
    <n v="1255"/>
    <n v="70821"/>
    <n v="11919"/>
    <n v="13365"/>
    <n v="191"/>
    <n v="7527"/>
    <n v="897"/>
    <n v="104720"/>
    <n v="10377"/>
    <n v="94343"/>
    <n v="51427"/>
    <n v="42916"/>
  </r>
  <r>
    <s v="05"/>
    <x v="1"/>
    <x v="44"/>
    <x v="44"/>
    <n v="94.12"/>
    <n v="664.9"/>
    <n v="759.02"/>
    <n v="2.09"/>
    <n v="75"/>
    <n v="6.3"/>
    <n v="734"/>
    <n v="318.86"/>
    <n v="57.86"/>
    <n v="64.88"/>
    <n v="33.86"/>
    <n v="4.03"/>
    <n v="242021"/>
    <n v="24026"/>
    <n v="266047"/>
    <n v="42469"/>
    <n v="47622"/>
    <n v="666"/>
    <n v="25700"/>
    <n v="3059"/>
    <n v="385563"/>
    <n v="52222"/>
    <n v="333341"/>
    <n v="162248"/>
    <n v="171093"/>
  </r>
  <r>
    <s v="05"/>
    <x v="1"/>
    <x v="45"/>
    <x v="45"/>
    <n v="70.06"/>
    <n v="568.5"/>
    <n v="638.55999999999995"/>
    <n v="1.76"/>
    <n v="22"/>
    <n v="0"/>
    <n v="591"/>
    <n v="318.86"/>
    <n v="57.86"/>
    <n v="64.88"/>
    <n v="33.86"/>
    <n v="4.03"/>
    <n v="203611"/>
    <n v="0"/>
    <n v="203611"/>
    <n v="34195"/>
    <n v="38344"/>
    <n v="561"/>
    <n v="21622"/>
    <n v="2573"/>
    <n v="300906"/>
    <n v="38887"/>
    <n v="262019"/>
    <n v="141546"/>
    <n v="120473"/>
  </r>
  <r>
    <s v="05"/>
    <x v="1"/>
    <x v="46"/>
    <x v="46"/>
    <n v="42.75"/>
    <n v="225"/>
    <n v="267.75"/>
    <n v="0.74"/>
    <n v="9"/>
    <n v="0"/>
    <n v="234"/>
    <n v="318.86"/>
    <n v="57.86"/>
    <n v="64.88"/>
    <n v="33.86"/>
    <n v="4.03"/>
    <n v="85375"/>
    <n v="0"/>
    <n v="85375"/>
    <n v="13539"/>
    <n v="15182"/>
    <n v="236"/>
    <n v="9066"/>
    <n v="1079"/>
    <n v="124477"/>
    <n v="13144"/>
    <n v="111333"/>
    <n v="62513"/>
    <n v="48820"/>
  </r>
  <r>
    <s v="05"/>
    <x v="1"/>
    <x v="47"/>
    <x v="47"/>
    <n v="48.86"/>
    <n v="365"/>
    <n v="413.86"/>
    <n v="1.1399999999999999"/>
    <n v="13"/>
    <n v="0"/>
    <n v="378"/>
    <n v="318.86"/>
    <n v="57.86"/>
    <n v="64.88"/>
    <n v="33.86"/>
    <n v="4.03"/>
    <n v="131963"/>
    <n v="0"/>
    <n v="131963"/>
    <n v="21871"/>
    <n v="24525"/>
    <n v="364"/>
    <n v="14013"/>
    <n v="1668"/>
    <n v="194404"/>
    <n v="23788"/>
    <n v="170616"/>
    <n v="93153"/>
    <n v="77463"/>
  </r>
  <r>
    <s v="05"/>
    <x v="1"/>
    <x v="48"/>
    <x v="48"/>
    <n v="65.5"/>
    <n v="481.4"/>
    <n v="546.9"/>
    <n v="1.51"/>
    <n v="4"/>
    <n v="0"/>
    <n v="485"/>
    <n v="318.86"/>
    <n v="57.86"/>
    <n v="64.88"/>
    <n v="33.86"/>
    <n v="4.03"/>
    <n v="174385"/>
    <n v="0"/>
    <n v="174385"/>
    <n v="28062"/>
    <n v="31467"/>
    <n v="481"/>
    <n v="18518"/>
    <n v="2204"/>
    <n v="255117"/>
    <n v="29208"/>
    <n v="225909"/>
    <n v="125326"/>
    <n v="100583"/>
  </r>
  <r>
    <s v="05"/>
    <x v="1"/>
    <x v="49"/>
    <x v="49"/>
    <n v="127.3"/>
    <n v="936.2"/>
    <n v="1063.5"/>
    <n v="2.93"/>
    <n v="25"/>
    <n v="0"/>
    <n v="961"/>
    <n v="318.86"/>
    <n v="57.86"/>
    <n v="64.88"/>
    <n v="33.86"/>
    <n v="4.03"/>
    <n v="339108"/>
    <n v="0"/>
    <n v="339108"/>
    <n v="55603"/>
    <n v="62350"/>
    <n v="934"/>
    <n v="36010"/>
    <n v="4286"/>
    <n v="498291"/>
    <n v="55190"/>
    <n v="443101"/>
    <n v="245315"/>
    <n v="197786"/>
  </r>
  <r>
    <s v="05"/>
    <x v="1"/>
    <x v="50"/>
    <x v="50"/>
    <n v="67.27"/>
    <n v="639.4"/>
    <n v="706.67"/>
    <n v="1.94"/>
    <n v="1"/>
    <n v="0"/>
    <n v="640"/>
    <n v="318.86"/>
    <n v="57.86"/>
    <n v="64.88"/>
    <n v="33.86"/>
    <n v="4.03"/>
    <n v="225329"/>
    <n v="0"/>
    <n v="225329"/>
    <n v="37030"/>
    <n v="41523"/>
    <n v="619"/>
    <n v="23928"/>
    <n v="2848"/>
    <n v="331277"/>
    <n v="35146"/>
    <n v="296131"/>
    <n v="164531"/>
    <n v="131600"/>
  </r>
  <r>
    <s v="05"/>
    <x v="1"/>
    <x v="51"/>
    <x v="51"/>
    <n v="76.760000000000005"/>
    <n v="536.5"/>
    <n v="613.26"/>
    <n v="1.69"/>
    <n v="2"/>
    <n v="0"/>
    <n v="539"/>
    <n v="318.86"/>
    <n v="57.86"/>
    <n v="64.88"/>
    <n v="33.86"/>
    <n v="4.03"/>
    <n v="195544"/>
    <n v="8555"/>
    <n v="204099"/>
    <n v="31187"/>
    <n v="34970"/>
    <n v="539"/>
    <n v="21691"/>
    <n v="2585"/>
    <n v="295071"/>
    <n v="32474"/>
    <n v="262597"/>
    <n v="141850"/>
    <n v="120747"/>
  </r>
  <r>
    <s v="05"/>
    <x v="1"/>
    <x v="52"/>
    <x v="52"/>
    <n v="347.38"/>
    <n v="1957.2"/>
    <n v="2304.58"/>
    <n v="6.34"/>
    <n v="197"/>
    <n v="0.2"/>
    <n v="2154"/>
    <n v="318.86"/>
    <n v="57.86"/>
    <n v="64.88"/>
    <n v="33.86"/>
    <n v="4.03"/>
    <n v="734838"/>
    <n v="0"/>
    <n v="734838"/>
    <n v="124630"/>
    <n v="139752"/>
    <n v="2022"/>
    <n v="78033"/>
    <n v="9287"/>
    <n v="1088562"/>
    <n v="101066"/>
    <n v="987496"/>
    <n v="550118"/>
    <n v="437378"/>
  </r>
  <r>
    <s v="05"/>
    <x v="1"/>
    <x v="53"/>
    <x v="53"/>
    <n v="117.79"/>
    <n v="1134.2"/>
    <n v="1251.99"/>
    <n v="3.44"/>
    <n v="6"/>
    <n v="0"/>
    <n v="1140"/>
    <n v="318.86"/>
    <n v="57.86"/>
    <n v="64.88"/>
    <n v="33.86"/>
    <n v="4.03"/>
    <n v="399210"/>
    <n v="958"/>
    <n v="400168"/>
    <n v="65960"/>
    <n v="73963"/>
    <n v="1097"/>
    <n v="42529"/>
    <n v="5068"/>
    <n v="588785"/>
    <n v="56032"/>
    <n v="532753"/>
    <n v="297890"/>
    <n v="234863"/>
  </r>
  <r>
    <s v="05"/>
    <x v="1"/>
    <x v="54"/>
    <x v="54"/>
    <n v="319.87"/>
    <n v="2530.4"/>
    <n v="2850.27"/>
    <n v="7.82"/>
    <n v="227"/>
    <n v="4.3"/>
    <n v="2753"/>
    <n v="318.86"/>
    <n v="57.86"/>
    <n v="64.88"/>
    <n v="33.86"/>
    <n v="4.03"/>
    <n v="908837"/>
    <n v="0"/>
    <n v="908837"/>
    <n v="159289"/>
    <n v="178615"/>
    <n v="2493"/>
    <n v="96510"/>
    <n v="11487"/>
    <n v="1357231"/>
    <n v="89007"/>
    <n v="1268224"/>
    <n v="716364"/>
    <n v="551860"/>
  </r>
  <r>
    <s v="05"/>
    <x v="1"/>
    <x v="55"/>
    <x v="55"/>
    <n v="25.33"/>
    <n v="137.9"/>
    <n v="163.22999999999999"/>
    <n v="0.45"/>
    <n v="4"/>
    <n v="0"/>
    <n v="142"/>
    <n v="318.86"/>
    <n v="57.86"/>
    <n v="64.88"/>
    <n v="33.86"/>
    <n v="4.03"/>
    <n v="52048"/>
    <n v="11463"/>
    <n v="63511"/>
    <n v="8216"/>
    <n v="9213"/>
    <n v="143"/>
    <n v="5527"/>
    <n v="658"/>
    <n v="87268"/>
    <n v="10017"/>
    <n v="77251"/>
    <n v="36106"/>
    <n v="41145"/>
  </r>
  <r>
    <s v="05"/>
    <x v="1"/>
    <x v="56"/>
    <x v="56"/>
    <n v="18.38"/>
    <n v="150"/>
    <n v="168.38"/>
    <n v="0.46"/>
    <n v="11"/>
    <n v="0"/>
    <n v="161"/>
    <n v="318.86"/>
    <n v="57.86"/>
    <n v="64.88"/>
    <n v="33.86"/>
    <n v="4.03"/>
    <n v="53690"/>
    <n v="4085"/>
    <n v="57775"/>
    <n v="9315"/>
    <n v="10446"/>
    <n v="147"/>
    <n v="5701"/>
    <n v="679"/>
    <n v="84063"/>
    <n v="11565"/>
    <n v="72498"/>
    <n v="36012"/>
    <n v="36486"/>
  </r>
  <r>
    <s v="05"/>
    <x v="1"/>
    <x v="57"/>
    <x v="57"/>
    <n v="211.68"/>
    <n v="1773.3"/>
    <n v="1984.98"/>
    <n v="5.46"/>
    <n v="73"/>
    <n v="0.7"/>
    <n v="1846"/>
    <n v="318.86"/>
    <n v="57.86"/>
    <n v="64.88"/>
    <n v="33.86"/>
    <n v="4.03"/>
    <n v="632931"/>
    <n v="0"/>
    <n v="632931"/>
    <n v="106810"/>
    <n v="119768"/>
    <n v="1741"/>
    <n v="67211"/>
    <n v="7999"/>
    <n v="936460"/>
    <n v="94005"/>
    <n v="842455"/>
    <n v="466872"/>
    <n v="375583"/>
  </r>
  <r>
    <s v="05"/>
    <x v="1"/>
    <x v="58"/>
    <x v="58"/>
    <n v="41.98"/>
    <n v="289.5"/>
    <n v="331.48"/>
    <n v="0.91"/>
    <n v="28"/>
    <n v="0"/>
    <n v="318"/>
    <n v="318.86"/>
    <n v="57.86"/>
    <n v="64.88"/>
    <n v="33.86"/>
    <n v="4.03"/>
    <n v="105696"/>
    <n v="10283"/>
    <n v="115979"/>
    <n v="18399"/>
    <n v="20632"/>
    <n v="290"/>
    <n v="11224"/>
    <n v="1336"/>
    <n v="167860"/>
    <n v="19619"/>
    <n v="148241"/>
    <n v="74044"/>
    <n v="74197"/>
  </r>
  <r>
    <s v="07"/>
    <x v="2"/>
    <x v="59"/>
    <x v="59"/>
    <n v="85.15"/>
    <n v="645.20000000000005"/>
    <n v="730.35"/>
    <n v="0"/>
    <n v="18"/>
    <n v="0"/>
    <n v="663"/>
    <n v="312.23"/>
    <n v="57.81"/>
    <n v="64.5"/>
    <n v="39.130000000000003"/>
    <n v="4.5"/>
    <n v="228037"/>
    <n v="0"/>
    <n v="228037"/>
    <n v="38328"/>
    <n v="42764"/>
    <n v="0"/>
    <n v="28579"/>
    <n v="3287"/>
    <n v="340995"/>
    <n v="41289"/>
    <n v="299706"/>
    <n v="168782"/>
    <n v="130924"/>
  </r>
  <r>
    <s v="07"/>
    <x v="2"/>
    <x v="60"/>
    <x v="60"/>
    <n v="25.81"/>
    <n v="264.39999999999998"/>
    <n v="290.20999999999998"/>
    <n v="0"/>
    <n v="0"/>
    <n v="0"/>
    <n v="264"/>
    <n v="312.23"/>
    <n v="57.81"/>
    <n v="64.5"/>
    <n v="39.130000000000003"/>
    <n v="4.5"/>
    <n v="90612"/>
    <n v="865"/>
    <n v="91477"/>
    <n v="15262"/>
    <n v="17028"/>
    <n v="0"/>
    <n v="11512"/>
    <n v="1324"/>
    <n v="136603"/>
    <n v="14957"/>
    <n v="121646"/>
    <n v="68690"/>
    <n v="52956"/>
  </r>
  <r>
    <s v="07"/>
    <x v="2"/>
    <x v="61"/>
    <x v="61"/>
    <n v="99.29"/>
    <n v="788"/>
    <n v="887.29"/>
    <n v="0"/>
    <n v="31"/>
    <n v="0"/>
    <n v="819"/>
    <n v="312.23"/>
    <n v="57.81"/>
    <n v="64.5"/>
    <n v="39.130000000000003"/>
    <n v="4.5"/>
    <n v="277039"/>
    <n v="5081"/>
    <n v="282120"/>
    <n v="47346"/>
    <n v="52826"/>
    <n v="0"/>
    <n v="34966"/>
    <n v="4023"/>
    <n v="421281"/>
    <n v="39100"/>
    <n v="382181"/>
    <n v="216388"/>
    <n v="165793"/>
  </r>
  <r>
    <s v="07"/>
    <x v="2"/>
    <x v="62"/>
    <x v="62"/>
    <n v="73.41"/>
    <n v="504.1"/>
    <n v="577.51"/>
    <n v="0"/>
    <n v="3"/>
    <n v="0"/>
    <n v="507"/>
    <n v="312.23"/>
    <n v="57.81"/>
    <n v="64.5"/>
    <n v="39.130000000000003"/>
    <n v="4.5"/>
    <n v="180316"/>
    <n v="6196"/>
    <n v="186512"/>
    <n v="29310"/>
    <n v="32702"/>
    <n v="0"/>
    <n v="22598"/>
    <n v="2599"/>
    <n v="273721"/>
    <n v="29783"/>
    <n v="243938"/>
    <n v="136326"/>
    <n v="107612"/>
  </r>
  <r>
    <s v="07"/>
    <x v="2"/>
    <x v="63"/>
    <x v="63"/>
    <n v="83.59"/>
    <n v="774.9"/>
    <n v="858.49"/>
    <n v="0"/>
    <n v="0"/>
    <n v="0"/>
    <n v="775"/>
    <n v="312.23"/>
    <n v="57.81"/>
    <n v="64.5"/>
    <n v="39.130000000000003"/>
    <n v="4.5"/>
    <n v="268046"/>
    <n v="2674"/>
    <n v="270720"/>
    <n v="44803"/>
    <n v="49988"/>
    <n v="0"/>
    <n v="33841"/>
    <n v="3893"/>
    <n v="403245"/>
    <n v="39506"/>
    <n v="363739"/>
    <n v="207700"/>
    <n v="156039"/>
  </r>
  <r>
    <s v="07"/>
    <x v="2"/>
    <x v="64"/>
    <x v="64"/>
    <n v="61.58"/>
    <n v="540.79999999999995"/>
    <n v="602.38"/>
    <n v="0"/>
    <n v="0"/>
    <n v="0"/>
    <n v="541"/>
    <n v="312.23"/>
    <n v="57.81"/>
    <n v="64.5"/>
    <n v="39.130000000000003"/>
    <n v="4.5"/>
    <n v="188081"/>
    <n v="1990"/>
    <n v="190071"/>
    <n v="31275"/>
    <n v="34895"/>
    <n v="0"/>
    <n v="23920"/>
    <n v="2752"/>
    <n v="282913"/>
    <n v="29369"/>
    <n v="253544"/>
    <n v="144284"/>
    <n v="109260"/>
  </r>
  <r>
    <s v="07"/>
    <x v="2"/>
    <x v="65"/>
    <x v="65"/>
    <n v="40.880000000000003"/>
    <n v="247.5"/>
    <n v="288.38"/>
    <n v="0"/>
    <n v="16"/>
    <n v="0.5"/>
    <n v="263"/>
    <n v="312.23"/>
    <n v="57.81"/>
    <n v="64.5"/>
    <n v="39.130000000000003"/>
    <n v="4.5"/>
    <n v="90041"/>
    <n v="3157"/>
    <n v="93198"/>
    <n v="15204"/>
    <n v="16964"/>
    <n v="0"/>
    <n v="11284"/>
    <n v="1298"/>
    <n v="137948"/>
    <n v="14140"/>
    <n v="123808"/>
    <n v="68807"/>
    <n v="55001"/>
  </r>
  <r>
    <s v="07"/>
    <x v="2"/>
    <x v="66"/>
    <x v="66"/>
    <n v="719.06"/>
    <n v="5371.4"/>
    <n v="6090.46"/>
    <n v="0"/>
    <n v="304"/>
    <n v="2.8"/>
    <n v="5673"/>
    <n v="312.23"/>
    <n v="57.81"/>
    <n v="64.5"/>
    <n v="39.130000000000003"/>
    <n v="4.5"/>
    <n v="1901624"/>
    <n v="0"/>
    <n v="1901624"/>
    <n v="327956"/>
    <n v="365909"/>
    <n v="0"/>
    <n v="238320"/>
    <n v="27407"/>
    <n v="2861216"/>
    <n v="198163"/>
    <n v="2663053"/>
    <n v="1553636"/>
    <n v="1109417"/>
  </r>
  <r>
    <s v="07"/>
    <x v="2"/>
    <x v="67"/>
    <x v="67"/>
    <n v="95.93"/>
    <n v="791.2"/>
    <n v="887.13"/>
    <n v="0"/>
    <n v="44"/>
    <n v="0"/>
    <n v="835"/>
    <n v="312.23"/>
    <n v="57.81"/>
    <n v="64.5"/>
    <n v="39.130000000000003"/>
    <n v="4.5"/>
    <n v="276989"/>
    <n v="3915"/>
    <n v="280904"/>
    <n v="48271"/>
    <n v="53858"/>
    <n v="0"/>
    <n v="35014"/>
    <n v="4028"/>
    <n v="422075"/>
    <n v="46457"/>
    <n v="375618"/>
    <n v="209045"/>
    <n v="166573"/>
  </r>
  <r>
    <s v="07"/>
    <x v="2"/>
    <x v="68"/>
    <x v="68"/>
    <n v="278.10000000000002"/>
    <n v="1548.9"/>
    <n v="1827"/>
    <n v="0"/>
    <n v="174"/>
    <n v="7.3"/>
    <n v="1716"/>
    <n v="312.23"/>
    <n v="57.81"/>
    <n v="64.5"/>
    <n v="39.130000000000003"/>
    <n v="4.5"/>
    <n v="570444"/>
    <n v="0"/>
    <n v="570444"/>
    <n v="99202"/>
    <n v="110682"/>
    <n v="0"/>
    <n v="71491"/>
    <n v="8222"/>
    <n v="860041"/>
    <n v="82982"/>
    <n v="777059"/>
    <n v="442519"/>
    <n v="334540"/>
  </r>
  <r>
    <s v="07"/>
    <x v="2"/>
    <x v="69"/>
    <x v="69"/>
    <n v="29.1"/>
    <n v="295"/>
    <n v="324.10000000000002"/>
    <n v="0"/>
    <n v="4"/>
    <n v="0"/>
    <n v="299"/>
    <n v="312.23"/>
    <n v="57.81"/>
    <n v="64.5"/>
    <n v="39.130000000000003"/>
    <n v="4.5"/>
    <n v="101194"/>
    <n v="16600"/>
    <n v="117794"/>
    <n v="17285"/>
    <n v="19286"/>
    <n v="0"/>
    <n v="13264"/>
    <n v="1526"/>
    <n v="169155"/>
    <n v="18545"/>
    <n v="150610"/>
    <n v="75325"/>
    <n v="75285"/>
  </r>
  <r>
    <s v="07"/>
    <x v="2"/>
    <x v="70"/>
    <x v="70"/>
    <n v="213.32"/>
    <n v="1245.3"/>
    <n v="1458.62"/>
    <n v="0"/>
    <n v="81"/>
    <n v="0"/>
    <n v="1326"/>
    <n v="312.23"/>
    <n v="57.81"/>
    <n v="64.5"/>
    <n v="39.130000000000003"/>
    <n v="4.5"/>
    <n v="455425"/>
    <n v="0"/>
    <n v="455425"/>
    <n v="76656"/>
    <n v="85527"/>
    <n v="0"/>
    <n v="57076"/>
    <n v="6564"/>
    <n v="681248"/>
    <n v="69828"/>
    <n v="611420"/>
    <n v="349715"/>
    <n v="261705"/>
  </r>
  <r>
    <s v="07"/>
    <x v="2"/>
    <x v="71"/>
    <x v="71"/>
    <n v="69.3"/>
    <n v="821.6"/>
    <n v="890.9"/>
    <n v="0"/>
    <n v="6"/>
    <n v="0"/>
    <n v="828"/>
    <n v="312.23"/>
    <n v="57.81"/>
    <n v="64.5"/>
    <n v="39.130000000000003"/>
    <n v="4.5"/>
    <n v="278166"/>
    <n v="0"/>
    <n v="278166"/>
    <n v="47867"/>
    <n v="53406"/>
    <n v="0"/>
    <n v="34861"/>
    <n v="4009"/>
    <n v="418309"/>
    <n v="32842"/>
    <n v="385467"/>
    <n v="223408"/>
    <n v="162059"/>
  </r>
  <r>
    <s v="07"/>
    <x v="2"/>
    <x v="72"/>
    <x v="72"/>
    <n v="115.85"/>
    <n v="872.1"/>
    <n v="987.95"/>
    <n v="0"/>
    <n v="10"/>
    <n v="0"/>
    <n v="882"/>
    <n v="312.23"/>
    <n v="57.81"/>
    <n v="64.5"/>
    <n v="39.130000000000003"/>
    <n v="4.5"/>
    <n v="308468"/>
    <n v="0"/>
    <n v="308468"/>
    <n v="50988"/>
    <n v="56889"/>
    <n v="0"/>
    <n v="38658"/>
    <n v="4446"/>
    <n v="459449"/>
    <n v="36304"/>
    <n v="423145"/>
    <n v="247860"/>
    <n v="175285"/>
  </r>
  <r>
    <s v="07"/>
    <x v="2"/>
    <x v="73"/>
    <x v="73"/>
    <n v="45.46"/>
    <n v="386"/>
    <n v="431.46"/>
    <n v="0"/>
    <n v="12"/>
    <n v="0"/>
    <n v="398"/>
    <n v="312.23"/>
    <n v="57.81"/>
    <n v="64.5"/>
    <n v="39.130000000000003"/>
    <n v="4.5"/>
    <n v="134715"/>
    <n v="18967"/>
    <n v="153682"/>
    <n v="23008"/>
    <n v="25671"/>
    <n v="0"/>
    <n v="17322"/>
    <n v="1993"/>
    <n v="221676"/>
    <n v="22973"/>
    <n v="198703"/>
    <n v="101618"/>
    <n v="97085"/>
  </r>
  <r>
    <s v="07"/>
    <x v="2"/>
    <x v="74"/>
    <x v="74"/>
    <n v="88.8"/>
    <n v="552.29999999999995"/>
    <n v="641.1"/>
    <n v="0"/>
    <n v="10"/>
    <n v="0"/>
    <n v="562"/>
    <n v="312.23"/>
    <n v="57.81"/>
    <n v="64.5"/>
    <n v="39.130000000000003"/>
    <n v="4.5"/>
    <n v="200171"/>
    <n v="0"/>
    <n v="200171"/>
    <n v="32489"/>
    <n v="36249"/>
    <n v="0"/>
    <n v="25145"/>
    <n v="2893"/>
    <n v="296947"/>
    <n v="28849"/>
    <n v="268098"/>
    <n v="155617"/>
    <n v="112481"/>
  </r>
  <r>
    <s v="07"/>
    <x v="2"/>
    <x v="75"/>
    <x v="75"/>
    <n v="79.81"/>
    <n v="603.9"/>
    <n v="683.71"/>
    <n v="0"/>
    <n v="5"/>
    <n v="0"/>
    <n v="609"/>
    <n v="312.23"/>
    <n v="57.81"/>
    <n v="64.5"/>
    <n v="39.130000000000003"/>
    <n v="4.5"/>
    <n v="213475"/>
    <n v="2128"/>
    <n v="215603"/>
    <n v="35206"/>
    <n v="39281"/>
    <n v="0"/>
    <n v="26754"/>
    <n v="3077"/>
    <n v="319921"/>
    <n v="36691"/>
    <n v="283230"/>
    <n v="159965"/>
    <n v="123265"/>
  </r>
  <r>
    <s v="07"/>
    <x v="2"/>
    <x v="76"/>
    <x v="76"/>
    <n v="121.71"/>
    <n v="604.20000000000005"/>
    <n v="725.91"/>
    <n v="0"/>
    <n v="18"/>
    <n v="0"/>
    <n v="622"/>
    <n v="312.23"/>
    <n v="57.81"/>
    <n v="64.5"/>
    <n v="39.130000000000003"/>
    <n v="4.5"/>
    <n v="226651"/>
    <n v="8850"/>
    <n v="235501"/>
    <n v="35958"/>
    <n v="40119"/>
    <n v="0"/>
    <n v="29637"/>
    <n v="3410"/>
    <n v="344625"/>
    <n v="31253"/>
    <n v="313372"/>
    <n v="178916"/>
    <n v="134456"/>
  </r>
  <r>
    <s v="07"/>
    <x v="2"/>
    <x v="77"/>
    <x v="77"/>
    <n v="146.08000000000001"/>
    <n v="1067.2"/>
    <n v="1213.28"/>
    <n v="0"/>
    <n v="8"/>
    <n v="0"/>
    <n v="1075"/>
    <n v="312.23"/>
    <n v="57.81"/>
    <n v="64.5"/>
    <n v="39.130000000000003"/>
    <n v="4.5"/>
    <n v="378822"/>
    <n v="41947"/>
    <n v="420769"/>
    <n v="62146"/>
    <n v="69338"/>
    <n v="0"/>
    <n v="47476"/>
    <n v="5460"/>
    <n v="605189"/>
    <n v="73519"/>
    <n v="531670"/>
    <n v="275457"/>
    <n v="256213"/>
  </r>
  <r>
    <s v="07"/>
    <x v="2"/>
    <x v="78"/>
    <x v="78"/>
    <n v="21.32"/>
    <n v="259.2"/>
    <n v="280.52"/>
    <n v="0"/>
    <n v="1"/>
    <n v="0"/>
    <n v="260"/>
    <n v="312.23"/>
    <n v="57.81"/>
    <n v="64.5"/>
    <n v="39.130000000000003"/>
    <n v="4.5"/>
    <n v="87587"/>
    <n v="17788"/>
    <n v="105375"/>
    <n v="15031"/>
    <n v="16770"/>
    <n v="0"/>
    <n v="11667"/>
    <n v="1342"/>
    <n v="150185"/>
    <n v="17366"/>
    <n v="132819"/>
    <n v="64090"/>
    <n v="68729"/>
  </r>
  <r>
    <s v="07"/>
    <x v="2"/>
    <x v="79"/>
    <x v="79"/>
    <n v="79.599999999999994"/>
    <n v="846.8"/>
    <n v="926.4"/>
    <n v="0"/>
    <n v="4"/>
    <n v="0"/>
    <n v="851"/>
    <n v="312.23"/>
    <n v="57.81"/>
    <n v="64.5"/>
    <n v="39.130000000000003"/>
    <n v="4.5"/>
    <n v="289250"/>
    <n v="46900"/>
    <n v="336150"/>
    <n v="49196"/>
    <n v="54890"/>
    <n v="0"/>
    <n v="37827"/>
    <n v="4352"/>
    <n v="482415"/>
    <n v="49755"/>
    <n v="432660"/>
    <n v="218466"/>
    <n v="214194"/>
  </r>
  <r>
    <s v="07"/>
    <x v="2"/>
    <x v="80"/>
    <x v="80"/>
    <n v="85.54"/>
    <n v="605.29999999999995"/>
    <n v="690.84"/>
    <n v="0"/>
    <n v="1"/>
    <n v="0"/>
    <n v="606"/>
    <n v="312.23"/>
    <n v="57.81"/>
    <n v="64.5"/>
    <n v="39.130000000000003"/>
    <n v="4.5"/>
    <n v="215701"/>
    <n v="0"/>
    <n v="215701"/>
    <n v="35033"/>
    <n v="39087"/>
    <n v="0"/>
    <n v="27033"/>
    <n v="3109"/>
    <n v="319963"/>
    <n v="38194"/>
    <n v="281769"/>
    <n v="160513"/>
    <n v="121256"/>
  </r>
  <r>
    <s v="07"/>
    <x v="2"/>
    <x v="81"/>
    <x v="81"/>
    <n v="234.98"/>
    <n v="1619.3"/>
    <n v="1854.28"/>
    <n v="0"/>
    <n v="46"/>
    <n v="0.6"/>
    <n v="1665"/>
    <n v="312.23"/>
    <n v="57.81"/>
    <n v="64.5"/>
    <n v="39.130000000000003"/>
    <n v="4.5"/>
    <n v="578962"/>
    <n v="0"/>
    <n v="578962"/>
    <n v="96254"/>
    <n v="107393"/>
    <n v="0"/>
    <n v="72558"/>
    <n v="8344"/>
    <n v="863511"/>
    <n v="81962"/>
    <n v="781549"/>
    <n v="451384"/>
    <n v="330165"/>
  </r>
  <r>
    <s v="07"/>
    <x v="2"/>
    <x v="82"/>
    <x v="82"/>
    <n v="84.93"/>
    <n v="646"/>
    <n v="730.93"/>
    <n v="0"/>
    <n v="3"/>
    <n v="0"/>
    <n v="649"/>
    <n v="312.23"/>
    <n v="57.81"/>
    <n v="64.5"/>
    <n v="39.130000000000003"/>
    <n v="4.5"/>
    <n v="228218"/>
    <n v="0"/>
    <n v="228218"/>
    <n v="37519"/>
    <n v="41861"/>
    <n v="0"/>
    <n v="28601"/>
    <n v="3289"/>
    <n v="339488"/>
    <n v="29520"/>
    <n v="309968"/>
    <n v="180717"/>
    <n v="129251"/>
  </r>
  <r>
    <s v="07"/>
    <x v="2"/>
    <x v="83"/>
    <x v="83"/>
    <n v="153.47999999999999"/>
    <n v="1169.5999999999999"/>
    <n v="1323.08"/>
    <n v="0"/>
    <n v="5"/>
    <n v="0"/>
    <n v="1175"/>
    <n v="312.23"/>
    <n v="57.81"/>
    <n v="64.5"/>
    <n v="39.130000000000003"/>
    <n v="4.5"/>
    <n v="413105"/>
    <n v="6342"/>
    <n v="419447"/>
    <n v="67927"/>
    <n v="75788"/>
    <n v="0"/>
    <n v="52786"/>
    <n v="6073"/>
    <n v="622021"/>
    <n v="56126"/>
    <n v="565895"/>
    <n v="325565"/>
    <n v="240330"/>
  </r>
  <r>
    <s v="07"/>
    <x v="2"/>
    <x v="84"/>
    <x v="84"/>
    <n v="42.1"/>
    <n v="419.6"/>
    <n v="461.7"/>
    <n v="0"/>
    <n v="3"/>
    <n v="0.2"/>
    <n v="422"/>
    <n v="312.23"/>
    <n v="57.81"/>
    <n v="64.5"/>
    <n v="39.130000000000003"/>
    <n v="4.5"/>
    <n v="144157"/>
    <n v="8997"/>
    <n v="153154"/>
    <n v="24396"/>
    <n v="27219"/>
    <n v="0"/>
    <n v="18253"/>
    <n v="2100"/>
    <n v="225122"/>
    <n v="23920"/>
    <n v="201202"/>
    <n v="109088"/>
    <n v="92114"/>
  </r>
  <r>
    <s v="07"/>
    <x v="2"/>
    <x v="85"/>
    <x v="85"/>
    <n v="86.18"/>
    <n v="703.4"/>
    <n v="789.58"/>
    <n v="0"/>
    <n v="11"/>
    <n v="0"/>
    <n v="714"/>
    <n v="312.23"/>
    <n v="57.81"/>
    <n v="64.5"/>
    <n v="39.130000000000003"/>
    <n v="4.5"/>
    <n v="246531"/>
    <n v="0"/>
    <n v="246531"/>
    <n v="41276"/>
    <n v="46053"/>
    <n v="0"/>
    <n v="30896"/>
    <n v="3553"/>
    <n v="368309"/>
    <n v="34532"/>
    <n v="333777"/>
    <n v="192575"/>
    <n v="141202"/>
  </r>
  <r>
    <s v="07"/>
    <x v="2"/>
    <x v="86"/>
    <x v="86"/>
    <n v="205.1"/>
    <n v="1426.6"/>
    <n v="1631.7"/>
    <n v="0"/>
    <n v="139"/>
    <n v="5.5"/>
    <n v="1560"/>
    <n v="312.23"/>
    <n v="57.81"/>
    <n v="64.5"/>
    <n v="39.130000000000003"/>
    <n v="4.5"/>
    <n v="509466"/>
    <n v="0"/>
    <n v="509466"/>
    <n v="90184"/>
    <n v="100620"/>
    <n v="0"/>
    <n v="63848"/>
    <n v="7343"/>
    <n v="771461"/>
    <n v="73977"/>
    <n v="697484"/>
    <n v="395349"/>
    <n v="302135"/>
  </r>
  <r>
    <s v="07"/>
    <x v="2"/>
    <x v="87"/>
    <x v="87"/>
    <n v="124.81"/>
    <n v="1040.0999999999999"/>
    <n v="1164.9100000000001"/>
    <n v="0"/>
    <n v="2"/>
    <n v="0"/>
    <n v="1042"/>
    <n v="312.23"/>
    <n v="57.81"/>
    <n v="64.5"/>
    <n v="39.130000000000003"/>
    <n v="4.5"/>
    <n v="363720"/>
    <n v="4131"/>
    <n v="367851"/>
    <n v="60238"/>
    <n v="67209"/>
    <n v="0"/>
    <n v="45583"/>
    <n v="5242"/>
    <n v="546123"/>
    <n v="49711"/>
    <n v="496412"/>
    <n v="285352"/>
    <n v="211060"/>
  </r>
  <r>
    <s v="07"/>
    <x v="2"/>
    <x v="88"/>
    <x v="88"/>
    <n v="53.85"/>
    <n v="436.2"/>
    <n v="490.05"/>
    <n v="0"/>
    <n v="11"/>
    <n v="0"/>
    <n v="447"/>
    <n v="312.23"/>
    <n v="57.81"/>
    <n v="64.5"/>
    <n v="39.130000000000003"/>
    <n v="4.5"/>
    <n v="153008"/>
    <n v="0"/>
    <n v="153008"/>
    <n v="25841"/>
    <n v="28832"/>
    <n v="0"/>
    <n v="19176"/>
    <n v="2205"/>
    <n v="229062"/>
    <n v="15951"/>
    <n v="213111"/>
    <n v="125002"/>
    <n v="88109"/>
  </r>
  <r>
    <s v="07"/>
    <x v="2"/>
    <x v="89"/>
    <x v="89"/>
    <n v="95.4"/>
    <n v="883.8"/>
    <n v="979.2"/>
    <n v="0"/>
    <n v="123"/>
    <n v="0"/>
    <n v="1007"/>
    <n v="312.23"/>
    <n v="57.81"/>
    <n v="64.5"/>
    <n v="39.130000000000003"/>
    <n v="4.5"/>
    <n v="305736"/>
    <n v="4887"/>
    <n v="310623"/>
    <n v="58215"/>
    <n v="64952"/>
    <n v="0"/>
    <n v="39091"/>
    <n v="4497"/>
    <n v="477378"/>
    <n v="41079"/>
    <n v="436299"/>
    <n v="241434"/>
    <n v="194865"/>
  </r>
  <r>
    <s v="07"/>
    <x v="2"/>
    <x v="90"/>
    <x v="90"/>
    <n v="82.39"/>
    <n v="573.5"/>
    <n v="655.89"/>
    <n v="0"/>
    <n v="0"/>
    <n v="0"/>
    <n v="574"/>
    <n v="312.23"/>
    <n v="57.81"/>
    <n v="64.5"/>
    <n v="39.130000000000003"/>
    <n v="4.5"/>
    <n v="204789"/>
    <n v="6168"/>
    <n v="210957"/>
    <n v="33183"/>
    <n v="37023"/>
    <n v="0"/>
    <n v="26077"/>
    <n v="3000"/>
    <n v="310240"/>
    <n v="32934"/>
    <n v="277306"/>
    <n v="156180"/>
    <n v="121126"/>
  </r>
  <r>
    <s v="07"/>
    <x v="2"/>
    <x v="91"/>
    <x v="91"/>
    <n v="723.6"/>
    <n v="5420.2"/>
    <n v="6143.8"/>
    <n v="0"/>
    <n v="223"/>
    <n v="2.8"/>
    <n v="5640"/>
    <n v="312.23"/>
    <n v="57.81"/>
    <n v="64.5"/>
    <n v="39.130000000000003"/>
    <n v="4.5"/>
    <n v="1918279"/>
    <n v="0"/>
    <n v="1918279"/>
    <n v="326048"/>
    <n v="363780"/>
    <n v="0"/>
    <n v="240407"/>
    <n v="27647"/>
    <n v="2876161"/>
    <n v="232815"/>
    <n v="2643346"/>
    <n v="1534326"/>
    <n v="1109020"/>
  </r>
  <r>
    <s v="07"/>
    <x v="2"/>
    <x v="92"/>
    <x v="92"/>
    <n v="693.65"/>
    <n v="3624.6"/>
    <n v="4318.25"/>
    <n v="0"/>
    <n v="692"/>
    <n v="4.9000000000000004"/>
    <n v="4312"/>
    <n v="312.23"/>
    <n v="57.81"/>
    <n v="64.5"/>
    <n v="39.130000000000003"/>
    <n v="4.5"/>
    <n v="1348287"/>
    <n v="0"/>
    <n v="1348287"/>
    <n v="249277"/>
    <n v="278124"/>
    <n v="0"/>
    <n v="168973"/>
    <n v="19432"/>
    <n v="2064093"/>
    <n v="218724"/>
    <n v="1845369"/>
    <n v="1023334"/>
    <n v="822035"/>
  </r>
  <r>
    <s v="07"/>
    <x v="2"/>
    <x v="93"/>
    <x v="93"/>
    <n v="61.55"/>
    <n v="485.5"/>
    <n v="547.04999999999995"/>
    <n v="0"/>
    <n v="5"/>
    <n v="0"/>
    <n v="491"/>
    <n v="312.23"/>
    <n v="57.81"/>
    <n v="64.5"/>
    <n v="39.130000000000003"/>
    <n v="4.5"/>
    <n v="170805"/>
    <n v="2732"/>
    <n v="173537"/>
    <n v="28385"/>
    <n v="31670"/>
    <n v="0"/>
    <n v="21406"/>
    <n v="2462"/>
    <n v="257460"/>
    <n v="24738"/>
    <n v="232722"/>
    <n v="132610"/>
    <n v="100112"/>
  </r>
  <r>
    <s v="07"/>
    <x v="2"/>
    <x v="94"/>
    <x v="94"/>
    <n v="76.73"/>
    <n v="585.20000000000005"/>
    <n v="661.93"/>
    <n v="0"/>
    <n v="3"/>
    <n v="0"/>
    <n v="588"/>
    <n v="312.23"/>
    <n v="57.81"/>
    <n v="64.5"/>
    <n v="39.130000000000003"/>
    <n v="4.5"/>
    <n v="206674"/>
    <n v="0"/>
    <n v="206674"/>
    <n v="33992"/>
    <n v="37926"/>
    <n v="0"/>
    <n v="25901"/>
    <n v="2979"/>
    <n v="307472"/>
    <n v="37009"/>
    <n v="270463"/>
    <n v="153382"/>
    <n v="117081"/>
  </r>
  <r>
    <s v="07"/>
    <x v="2"/>
    <x v="95"/>
    <x v="95"/>
    <n v="68.25"/>
    <n v="560.6"/>
    <n v="628.85"/>
    <n v="0"/>
    <n v="2"/>
    <n v="0"/>
    <n v="563"/>
    <n v="312.23"/>
    <n v="57.81"/>
    <n v="64.5"/>
    <n v="39.130000000000003"/>
    <n v="4.5"/>
    <n v="196346"/>
    <n v="11530"/>
    <n v="207876"/>
    <n v="32547"/>
    <n v="36314"/>
    <n v="0"/>
    <n v="24733"/>
    <n v="2845"/>
    <n v="304315"/>
    <n v="32769"/>
    <n v="271546"/>
    <n v="148248"/>
    <n v="123298"/>
  </r>
  <r>
    <s v="07"/>
    <x v="2"/>
    <x v="96"/>
    <x v="96"/>
    <n v="48.29"/>
    <n v="445.2"/>
    <n v="493.49"/>
    <n v="0"/>
    <n v="1"/>
    <n v="0"/>
    <n v="446"/>
    <n v="312.23"/>
    <n v="57.81"/>
    <n v="64.5"/>
    <n v="39.130000000000003"/>
    <n v="4.5"/>
    <n v="154082"/>
    <n v="6040"/>
    <n v="160122"/>
    <n v="25783"/>
    <n v="28767"/>
    <n v="0"/>
    <n v="19456"/>
    <n v="2238"/>
    <n v="236366"/>
    <n v="29571"/>
    <n v="206795"/>
    <n v="112535"/>
    <n v="94260"/>
  </r>
  <r>
    <s v="07"/>
    <x v="2"/>
    <x v="97"/>
    <x v="97"/>
    <n v="67.040000000000006"/>
    <n v="446"/>
    <n v="513.04"/>
    <n v="0"/>
    <n v="0"/>
    <n v="0"/>
    <n v="446"/>
    <n v="312.23"/>
    <n v="57.81"/>
    <n v="64.5"/>
    <n v="39.130000000000003"/>
    <n v="4.5"/>
    <n v="160186"/>
    <n v="0"/>
    <n v="160186"/>
    <n v="25783"/>
    <n v="28767"/>
    <n v="0"/>
    <n v="20075"/>
    <n v="2309"/>
    <n v="237120"/>
    <n v="23815"/>
    <n v="213305"/>
    <n v="123751"/>
    <n v="89554"/>
  </r>
  <r>
    <s v="07"/>
    <x v="2"/>
    <x v="98"/>
    <x v="98"/>
    <n v="62.32"/>
    <n v="508.8"/>
    <n v="571.12"/>
    <n v="0"/>
    <n v="1"/>
    <n v="0"/>
    <n v="510"/>
    <n v="312.23"/>
    <n v="57.81"/>
    <n v="64.5"/>
    <n v="39.130000000000003"/>
    <n v="4.5"/>
    <n v="178321"/>
    <n v="0"/>
    <n v="178321"/>
    <n v="29483"/>
    <n v="32895"/>
    <n v="0"/>
    <n v="22348"/>
    <n v="2570"/>
    <n v="265617"/>
    <n v="25116"/>
    <n v="240501"/>
    <n v="139155"/>
    <n v="101346"/>
  </r>
  <r>
    <s v="07"/>
    <x v="2"/>
    <x v="99"/>
    <x v="99"/>
    <n v="78.14"/>
    <n v="902.4"/>
    <n v="980.54"/>
    <n v="0"/>
    <n v="5"/>
    <n v="0"/>
    <n v="907"/>
    <n v="312.23"/>
    <n v="57.81"/>
    <n v="64.5"/>
    <n v="39.130000000000003"/>
    <n v="4.5"/>
    <n v="306154"/>
    <n v="1263"/>
    <n v="307417"/>
    <n v="52434"/>
    <n v="58502"/>
    <n v="0"/>
    <n v="38423"/>
    <n v="4420"/>
    <n v="461196"/>
    <n v="47573"/>
    <n v="413623"/>
    <n v="234522"/>
    <n v="179101"/>
  </r>
  <r>
    <s v="07"/>
    <x v="2"/>
    <x v="100"/>
    <x v="100"/>
    <n v="64.36"/>
    <n v="404"/>
    <n v="468.36"/>
    <n v="0"/>
    <n v="6"/>
    <n v="0"/>
    <n v="410"/>
    <n v="312.23"/>
    <n v="57.81"/>
    <n v="64.5"/>
    <n v="39.130000000000003"/>
    <n v="4.5"/>
    <n v="146236"/>
    <n v="11787"/>
    <n v="158023"/>
    <n v="23702"/>
    <n v="26445"/>
    <n v="0"/>
    <n v="18488"/>
    <n v="2127"/>
    <n v="228785"/>
    <n v="29454"/>
    <n v="199331"/>
    <n v="105441"/>
    <n v="93890"/>
  </r>
  <r>
    <s v="07"/>
    <x v="2"/>
    <x v="101"/>
    <x v="101"/>
    <n v="252.64"/>
    <n v="1528.5"/>
    <n v="1781.14"/>
    <n v="0"/>
    <n v="1"/>
    <n v="0"/>
    <n v="1530"/>
    <n v="312.23"/>
    <n v="57.81"/>
    <n v="64.5"/>
    <n v="39.130000000000003"/>
    <n v="4.5"/>
    <n v="556125"/>
    <n v="0"/>
    <n v="556125"/>
    <n v="88449"/>
    <n v="98685"/>
    <n v="0"/>
    <n v="69696"/>
    <n v="8015"/>
    <n v="820970"/>
    <n v="75549"/>
    <n v="745421"/>
    <n v="436760"/>
    <n v="308661"/>
  </r>
  <r>
    <s v="07"/>
    <x v="2"/>
    <x v="102"/>
    <x v="102"/>
    <n v="49.32"/>
    <n v="575.1"/>
    <n v="624.41999999999996"/>
    <n v="0"/>
    <n v="0"/>
    <n v="0"/>
    <n v="575"/>
    <n v="312.23"/>
    <n v="57.81"/>
    <n v="64.5"/>
    <n v="39.130000000000003"/>
    <n v="4.5"/>
    <n v="194963"/>
    <n v="4309"/>
    <n v="199272"/>
    <n v="33241"/>
    <n v="37088"/>
    <n v="0"/>
    <n v="24511"/>
    <n v="2820"/>
    <n v="296932"/>
    <n v="34964"/>
    <n v="261968"/>
    <n v="144725"/>
    <n v="117243"/>
  </r>
  <r>
    <s v="07"/>
    <x v="2"/>
    <x v="103"/>
    <x v="103"/>
    <n v="135.46"/>
    <n v="797.3"/>
    <n v="932.76"/>
    <n v="0"/>
    <n v="2"/>
    <n v="0"/>
    <n v="799"/>
    <n v="312.23"/>
    <n v="57.81"/>
    <n v="64.5"/>
    <n v="39.130000000000003"/>
    <n v="4.5"/>
    <n v="291236"/>
    <n v="0"/>
    <n v="291236"/>
    <n v="46190"/>
    <n v="51536"/>
    <n v="0"/>
    <n v="36499"/>
    <n v="4197"/>
    <n v="429658"/>
    <n v="48164"/>
    <n v="381494"/>
    <n v="220125"/>
    <n v="161369"/>
  </r>
  <r>
    <s v="07"/>
    <x v="2"/>
    <x v="104"/>
    <x v="104"/>
    <n v="62.27"/>
    <n v="410"/>
    <n v="472.27"/>
    <n v="0"/>
    <n v="0"/>
    <n v="0"/>
    <n v="410"/>
    <n v="312.23"/>
    <n v="57.81"/>
    <n v="64.5"/>
    <n v="39.130000000000003"/>
    <n v="4.5"/>
    <n v="147457"/>
    <n v="4867"/>
    <n v="152324"/>
    <n v="23702"/>
    <n v="26445"/>
    <n v="0"/>
    <n v="18480"/>
    <n v="2125"/>
    <n v="223076"/>
    <n v="22675"/>
    <n v="200401"/>
    <n v="113164"/>
    <n v="87237"/>
  </r>
  <r>
    <s v="07"/>
    <x v="2"/>
    <x v="105"/>
    <x v="105"/>
    <n v="154.08000000000001"/>
    <n v="1035.5999999999999"/>
    <n v="1189.68"/>
    <n v="0"/>
    <n v="27"/>
    <n v="0"/>
    <n v="1063"/>
    <n v="312.23"/>
    <n v="57.81"/>
    <n v="64.5"/>
    <n v="39.130000000000003"/>
    <n v="4.5"/>
    <n v="371454"/>
    <n v="18416"/>
    <n v="389870"/>
    <n v="61452"/>
    <n v="68564"/>
    <n v="0"/>
    <n v="46552"/>
    <n v="5354"/>
    <n v="571792"/>
    <n v="54340"/>
    <n v="517452"/>
    <n v="287848"/>
    <n v="229604"/>
  </r>
  <r>
    <s v="07"/>
    <x v="2"/>
    <x v="106"/>
    <x v="106"/>
    <n v="75.8"/>
    <n v="680.6"/>
    <n v="756.4"/>
    <n v="0"/>
    <n v="26"/>
    <n v="0.1"/>
    <n v="707"/>
    <n v="312.23"/>
    <n v="57.81"/>
    <n v="64.5"/>
    <n v="39.130000000000003"/>
    <n v="4.5"/>
    <n v="236171"/>
    <n v="0"/>
    <n v="236171"/>
    <n v="40872"/>
    <n v="45602"/>
    <n v="0"/>
    <n v="29598"/>
    <n v="3404"/>
    <n v="355647"/>
    <n v="33496"/>
    <n v="322151"/>
    <n v="184068"/>
    <n v="138083"/>
  </r>
  <r>
    <s v="07"/>
    <x v="2"/>
    <x v="107"/>
    <x v="107"/>
    <n v="2363.9"/>
    <n v="10865.5"/>
    <n v="13229.4"/>
    <n v="0"/>
    <n v="1267"/>
    <n v="13"/>
    <n v="12120"/>
    <n v="312.23"/>
    <n v="57.81"/>
    <n v="64.5"/>
    <n v="39.130000000000003"/>
    <n v="4.5"/>
    <n v="4130616"/>
    <n v="0"/>
    <n v="4130616"/>
    <n v="700657"/>
    <n v="781740"/>
    <n v="0"/>
    <n v="517666"/>
    <n v="59532"/>
    <n v="6190211"/>
    <n v="541622"/>
    <n v="5648589"/>
    <n v="3263550"/>
    <n v="2385039"/>
  </r>
  <r>
    <s v="07"/>
    <x v="2"/>
    <x v="108"/>
    <x v="108"/>
    <n v="263.8"/>
    <n v="2126.1999999999998"/>
    <n v="2390"/>
    <n v="0"/>
    <n v="132"/>
    <n v="1.3"/>
    <n v="2257"/>
    <n v="312.23"/>
    <n v="57.81"/>
    <n v="64.5"/>
    <n v="39.130000000000003"/>
    <n v="4.5"/>
    <n v="746230"/>
    <n v="0"/>
    <n v="746230"/>
    <n v="130477"/>
    <n v="145577"/>
    <n v="0"/>
    <n v="93521"/>
    <n v="10755"/>
    <n v="1126560"/>
    <n v="88570"/>
    <n v="1037990"/>
    <n v="598866"/>
    <n v="439124"/>
  </r>
  <r>
    <s v="07"/>
    <x v="2"/>
    <x v="109"/>
    <x v="109"/>
    <n v="107.2"/>
    <n v="717.4"/>
    <n v="824.6"/>
    <n v="0"/>
    <n v="68"/>
    <n v="0"/>
    <n v="785"/>
    <n v="312.23"/>
    <n v="57.81"/>
    <n v="64.5"/>
    <n v="39.130000000000003"/>
    <n v="4.5"/>
    <n v="257465"/>
    <n v="0"/>
    <n v="257465"/>
    <n v="45381"/>
    <n v="50633"/>
    <n v="0"/>
    <n v="32267"/>
    <n v="3711"/>
    <n v="389457"/>
    <n v="44215"/>
    <n v="345242"/>
    <n v="192965"/>
    <n v="152277"/>
  </r>
  <r>
    <s v="07"/>
    <x v="2"/>
    <x v="110"/>
    <x v="110"/>
    <n v="45.69"/>
    <n v="561.5"/>
    <n v="607.19000000000005"/>
    <n v="0"/>
    <n v="29"/>
    <n v="0.3"/>
    <n v="590"/>
    <n v="312.23"/>
    <n v="57.81"/>
    <n v="64.5"/>
    <n v="39.130000000000003"/>
    <n v="4.5"/>
    <n v="189583"/>
    <n v="2625"/>
    <n v="192208"/>
    <n v="34108"/>
    <n v="38055"/>
    <n v="0"/>
    <n v="23759"/>
    <n v="2732"/>
    <n v="290862"/>
    <n v="32056"/>
    <n v="258806"/>
    <n v="142589"/>
    <n v="116217"/>
  </r>
  <r>
    <s v="07"/>
    <x v="2"/>
    <x v="111"/>
    <x v="111"/>
    <n v="73.849999999999994"/>
    <n v="822.2"/>
    <n v="896.05"/>
    <n v="0"/>
    <n v="1"/>
    <n v="0"/>
    <n v="823"/>
    <n v="312.23"/>
    <n v="57.81"/>
    <n v="64.5"/>
    <n v="39.130000000000003"/>
    <n v="4.5"/>
    <n v="279774"/>
    <n v="14989"/>
    <n v="294763"/>
    <n v="47578"/>
    <n v="53084"/>
    <n v="0"/>
    <n v="36856"/>
    <n v="4240"/>
    <n v="436521"/>
    <n v="38932"/>
    <n v="397589"/>
    <n v="220800"/>
    <n v="176789"/>
  </r>
  <r>
    <s v="09"/>
    <x v="3"/>
    <x v="112"/>
    <x v="112"/>
    <n v="34.14"/>
    <n v="234.3"/>
    <n v="268.44"/>
    <n v="0.49"/>
    <n v="21"/>
    <n v="0"/>
    <n v="255"/>
    <n v="309.87"/>
    <n v="57.32"/>
    <n v="62.58"/>
    <n v="28.2"/>
    <n v="3.31"/>
    <n v="83182"/>
    <n v="10149"/>
    <n v="93331"/>
    <n v="14617"/>
    <n v="15958"/>
    <n v="152"/>
    <n v="7570"/>
    <n v="889"/>
    <n v="132517"/>
    <n v="16393"/>
    <n v="116124"/>
    <n v="57685"/>
    <n v="58439"/>
  </r>
  <r>
    <s v="09"/>
    <x v="3"/>
    <x v="113"/>
    <x v="113"/>
    <n v="64.38"/>
    <n v="600.1"/>
    <n v="664.48"/>
    <n v="1.2"/>
    <n v="165"/>
    <n v="3.1"/>
    <n v="762"/>
    <n v="309.87"/>
    <n v="57.32"/>
    <n v="62.58"/>
    <n v="28.2"/>
    <n v="3.31"/>
    <n v="205902"/>
    <n v="0"/>
    <n v="205902"/>
    <n v="43678"/>
    <n v="47686"/>
    <n v="372"/>
    <n v="18738"/>
    <n v="2199"/>
    <n v="318575"/>
    <n v="33230"/>
    <n v="285345"/>
    <n v="150133"/>
    <n v="135212"/>
  </r>
  <r>
    <s v="09"/>
    <x v="3"/>
    <x v="114"/>
    <x v="114"/>
    <n v="29.1"/>
    <n v="194.4"/>
    <n v="223.5"/>
    <n v="0.41"/>
    <n v="0"/>
    <n v="0"/>
    <n v="194"/>
    <n v="309.87"/>
    <n v="57.32"/>
    <n v="62.58"/>
    <n v="28.2"/>
    <n v="3.31"/>
    <n v="69256"/>
    <n v="279"/>
    <n v="69535"/>
    <n v="11120"/>
    <n v="12141"/>
    <n v="127"/>
    <n v="6310"/>
    <n v="741"/>
    <n v="99974"/>
    <n v="11567"/>
    <n v="88407"/>
    <n v="50118"/>
    <n v="38289"/>
  </r>
  <r>
    <s v="09"/>
    <x v="3"/>
    <x v="115"/>
    <x v="115"/>
    <n v="509.46"/>
    <n v="4171"/>
    <n v="4680.46"/>
    <n v="8.48"/>
    <n v="332"/>
    <n v="0"/>
    <n v="4503"/>
    <n v="309.87"/>
    <n v="57.32"/>
    <n v="62.58"/>
    <n v="28.2"/>
    <n v="3.31"/>
    <n v="1450334"/>
    <n v="0"/>
    <n v="1450334"/>
    <n v="258112"/>
    <n v="281798"/>
    <n v="2628"/>
    <n v="131989"/>
    <n v="15492"/>
    <n v="2140353"/>
    <n v="185946"/>
    <n v="1954407"/>
    <n v="1105636"/>
    <n v="848771"/>
  </r>
  <r>
    <s v="09"/>
    <x v="3"/>
    <x v="116"/>
    <x v="116"/>
    <n v="52.97"/>
    <n v="409"/>
    <n v="461.97"/>
    <n v="0.84"/>
    <n v="0"/>
    <n v="0"/>
    <n v="409"/>
    <n v="309.87"/>
    <n v="57.32"/>
    <n v="62.58"/>
    <n v="28.2"/>
    <n v="3.31"/>
    <n v="143151"/>
    <n v="12568"/>
    <n v="155719"/>
    <n v="23444"/>
    <n v="25595"/>
    <n v="260"/>
    <n v="13235"/>
    <n v="1555"/>
    <n v="219808"/>
    <n v="24342"/>
    <n v="195466"/>
    <n v="103374"/>
    <n v="92092"/>
  </r>
  <r>
    <s v="09"/>
    <x v="3"/>
    <x v="117"/>
    <x v="117"/>
    <n v="108.44"/>
    <n v="832"/>
    <n v="940.44"/>
    <n v="1.7"/>
    <n v="19"/>
    <n v="0"/>
    <n v="851"/>
    <n v="309.87"/>
    <n v="57.32"/>
    <n v="62.58"/>
    <n v="28.2"/>
    <n v="3.31"/>
    <n v="291414"/>
    <n v="0"/>
    <n v="291414"/>
    <n v="48779"/>
    <n v="53256"/>
    <n v="527"/>
    <n v="26520"/>
    <n v="3113"/>
    <n v="423609"/>
    <n v="41235"/>
    <n v="382374"/>
    <n v="218280"/>
    <n v="164094"/>
  </r>
  <r>
    <s v="09"/>
    <x v="3"/>
    <x v="118"/>
    <x v="118"/>
    <n v="184.36"/>
    <n v="1477.5"/>
    <n v="1661.86"/>
    <n v="3.01"/>
    <n v="145"/>
    <n v="0"/>
    <n v="1623"/>
    <n v="309.87"/>
    <n v="57.32"/>
    <n v="62.58"/>
    <n v="28.2"/>
    <n v="3.31"/>
    <n v="514961"/>
    <n v="0"/>
    <n v="514961"/>
    <n v="93030"/>
    <n v="101567"/>
    <n v="933"/>
    <n v="46864"/>
    <n v="5501"/>
    <n v="762856"/>
    <n v="77370"/>
    <n v="685486"/>
    <n v="381223"/>
    <n v="304263"/>
  </r>
  <r>
    <s v="09"/>
    <x v="3"/>
    <x v="119"/>
    <x v="119"/>
    <n v="769"/>
    <n v="3624.2"/>
    <n v="4393.2"/>
    <n v="7.96"/>
    <n v="165"/>
    <n v="0"/>
    <n v="3789"/>
    <n v="309.87"/>
    <n v="57.32"/>
    <n v="62.58"/>
    <n v="28.2"/>
    <n v="3.31"/>
    <n v="1361321"/>
    <n v="6993"/>
    <n v="1368314"/>
    <n v="217185"/>
    <n v="237116"/>
    <n v="2467"/>
    <n v="124170"/>
    <n v="14590"/>
    <n v="1963842"/>
    <n v="219420"/>
    <n v="1744422"/>
    <n v="993223"/>
    <n v="751199"/>
  </r>
  <r>
    <s v="09"/>
    <x v="3"/>
    <x v="120"/>
    <x v="120"/>
    <n v="107.2"/>
    <n v="762.7"/>
    <n v="869.9"/>
    <n v="1.57"/>
    <n v="0"/>
    <n v="0"/>
    <n v="763"/>
    <n v="309.87"/>
    <n v="57.32"/>
    <n v="62.58"/>
    <n v="28.2"/>
    <n v="3.31"/>
    <n v="269556"/>
    <n v="29517"/>
    <n v="299073"/>
    <n v="43735"/>
    <n v="47749"/>
    <n v="486"/>
    <n v="24531"/>
    <n v="2879"/>
    <n v="418453"/>
    <n v="48308"/>
    <n v="370145"/>
    <n v="191741"/>
    <n v="178404"/>
  </r>
  <r>
    <s v="09"/>
    <x v="3"/>
    <x v="121"/>
    <x v="121"/>
    <n v="3069.5"/>
    <n v="14930.5"/>
    <n v="18000"/>
    <n v="32.61"/>
    <n v="1845"/>
    <n v="1.2"/>
    <n v="16774"/>
    <n v="309.87"/>
    <n v="57.32"/>
    <n v="62.58"/>
    <n v="28.2"/>
    <n v="3.31"/>
    <n v="5577660"/>
    <n v="25348"/>
    <n v="5603008"/>
    <n v="961486"/>
    <n v="1049717"/>
    <n v="10105"/>
    <n v="508456"/>
    <n v="59742"/>
    <n v="8192514"/>
    <n v="800370"/>
    <n v="7392144"/>
    <n v="4167785"/>
    <n v="3224359"/>
  </r>
  <r>
    <s v="09"/>
    <x v="3"/>
    <x v="122"/>
    <x v="122"/>
    <n v="23.2"/>
    <n v="193.4"/>
    <n v="216.6"/>
    <n v="0.39"/>
    <n v="0"/>
    <n v="0"/>
    <n v="193"/>
    <n v="309.87"/>
    <n v="57.32"/>
    <n v="62.58"/>
    <n v="28.2"/>
    <n v="3.31"/>
    <n v="67118"/>
    <n v="7895"/>
    <n v="75013"/>
    <n v="11063"/>
    <n v="12078"/>
    <n v="121"/>
    <n v="6360"/>
    <n v="747"/>
    <n v="105382"/>
    <n v="13150"/>
    <n v="92232"/>
    <n v="46903"/>
    <n v="45329"/>
  </r>
  <r>
    <s v="09"/>
    <x v="3"/>
    <x v="123"/>
    <x v="123"/>
    <n v="65.67"/>
    <n v="557.29999999999995"/>
    <n v="622.97"/>
    <n v="1.1299999999999999"/>
    <n v="1"/>
    <n v="0"/>
    <n v="558"/>
    <n v="309.87"/>
    <n v="57.32"/>
    <n v="62.58"/>
    <n v="28.2"/>
    <n v="3.31"/>
    <n v="193040"/>
    <n v="0"/>
    <n v="193040"/>
    <n v="31985"/>
    <n v="34920"/>
    <n v="350"/>
    <n v="17568"/>
    <n v="2062"/>
    <n v="279925"/>
    <n v="27628"/>
    <n v="252297"/>
    <n v="144282"/>
    <n v="108015"/>
  </r>
  <r>
    <s v="09"/>
    <x v="3"/>
    <x v="124"/>
    <x v="124"/>
    <n v="100.61"/>
    <n v="577.79999999999995"/>
    <n v="678.41"/>
    <n v="1.23"/>
    <n v="1"/>
    <n v="0"/>
    <n v="579"/>
    <n v="309.87"/>
    <n v="57.32"/>
    <n v="62.58"/>
    <n v="28.2"/>
    <n v="3.31"/>
    <n v="210219"/>
    <n v="9058"/>
    <n v="219277"/>
    <n v="33188"/>
    <n v="36234"/>
    <n v="381"/>
    <n v="19131"/>
    <n v="2246"/>
    <n v="310457"/>
    <n v="35711"/>
    <n v="274746"/>
    <n v="151498"/>
    <n v="123248"/>
  </r>
  <r>
    <s v="09"/>
    <x v="3"/>
    <x v="125"/>
    <x v="125"/>
    <n v="105.04"/>
    <n v="712"/>
    <n v="817.04"/>
    <n v="1.48"/>
    <n v="0"/>
    <n v="0"/>
    <n v="712"/>
    <n v="309.87"/>
    <n v="57.32"/>
    <n v="62.58"/>
    <n v="28.2"/>
    <n v="3.31"/>
    <n v="253176"/>
    <n v="147"/>
    <n v="253323"/>
    <n v="40812"/>
    <n v="44557"/>
    <n v="459"/>
    <n v="23041"/>
    <n v="2704"/>
    <n v="364896"/>
    <n v="39308"/>
    <n v="325588"/>
    <n v="186156"/>
    <n v="139432"/>
  </r>
  <r>
    <s v="09"/>
    <x v="3"/>
    <x v="126"/>
    <x v="126"/>
    <n v="341.54"/>
    <n v="1260.8"/>
    <n v="1602.34"/>
    <n v="2.9"/>
    <n v="113"/>
    <n v="0"/>
    <n v="1374"/>
    <n v="309.87"/>
    <n v="57.32"/>
    <n v="62.58"/>
    <n v="28.2"/>
    <n v="3.31"/>
    <n v="496517"/>
    <n v="0"/>
    <n v="496517"/>
    <n v="78758"/>
    <n v="85985"/>
    <n v="899"/>
    <n v="45186"/>
    <n v="5304"/>
    <n v="712649"/>
    <n v="74194"/>
    <n v="638455"/>
    <n v="367975"/>
    <n v="270480"/>
  </r>
  <r>
    <s v="09"/>
    <x v="3"/>
    <x v="127"/>
    <x v="127"/>
    <n v="748.66"/>
    <n v="4811.8"/>
    <n v="5560.46"/>
    <n v="10.08"/>
    <n v="172"/>
    <n v="0"/>
    <n v="4984"/>
    <n v="309.87"/>
    <n v="57.32"/>
    <n v="62.58"/>
    <n v="28.2"/>
    <n v="3.31"/>
    <n v="1723020"/>
    <n v="0"/>
    <n v="1723020"/>
    <n v="285683"/>
    <n v="311899"/>
    <n v="3123"/>
    <n v="156805"/>
    <n v="18405"/>
    <n v="2498935"/>
    <n v="253669"/>
    <n v="2245266"/>
    <n v="1280753"/>
    <n v="964513"/>
  </r>
  <r>
    <s v="09"/>
    <x v="3"/>
    <x v="128"/>
    <x v="128"/>
    <n v="285.62"/>
    <n v="3029.6"/>
    <n v="3315.22"/>
    <n v="6.01"/>
    <n v="41"/>
    <n v="0"/>
    <n v="3071"/>
    <n v="309.87"/>
    <n v="57.32"/>
    <n v="62.58"/>
    <n v="28.2"/>
    <n v="3.31"/>
    <n v="1027287"/>
    <n v="0"/>
    <n v="1027287"/>
    <n v="176030"/>
    <n v="192183"/>
    <n v="1862"/>
    <n v="93489"/>
    <n v="10973"/>
    <n v="1501824"/>
    <n v="130713"/>
    <n v="1371111"/>
    <n v="784129"/>
    <n v="586982"/>
  </r>
  <r>
    <s v="09"/>
    <x v="3"/>
    <x v="129"/>
    <x v="129"/>
    <n v="50.66"/>
    <n v="532.79999999999995"/>
    <n v="583.46"/>
    <n v="1.06"/>
    <n v="4"/>
    <n v="0"/>
    <n v="537"/>
    <n v="309.87"/>
    <n v="57.32"/>
    <n v="62.58"/>
    <n v="28.2"/>
    <n v="3.31"/>
    <n v="180797"/>
    <n v="0"/>
    <n v="180797"/>
    <n v="30781"/>
    <n v="33605"/>
    <n v="328"/>
    <n v="16454"/>
    <n v="1931"/>
    <n v="263896"/>
    <n v="30807"/>
    <n v="233089"/>
    <n v="130201"/>
    <n v="102888"/>
  </r>
  <r>
    <s v="09"/>
    <x v="3"/>
    <x v="130"/>
    <x v="130"/>
    <n v="382.06"/>
    <n v="5128.3999999999996"/>
    <n v="5510.46"/>
    <n v="9.98"/>
    <n v="104"/>
    <n v="0"/>
    <n v="5232"/>
    <n v="309.87"/>
    <n v="57.32"/>
    <n v="62.58"/>
    <n v="28.2"/>
    <n v="3.31"/>
    <n v="1707526"/>
    <n v="0"/>
    <n v="1707526"/>
    <n v="299898"/>
    <n v="327419"/>
    <n v="3093"/>
    <n v="155395"/>
    <n v="18240"/>
    <n v="2511571"/>
    <n v="135851"/>
    <n v="2375720"/>
    <n v="1384771"/>
    <n v="990949"/>
  </r>
  <r>
    <s v="09"/>
    <x v="3"/>
    <x v="131"/>
    <x v="131"/>
    <n v="152.12"/>
    <n v="1301.7"/>
    <n v="1453.82"/>
    <n v="2.63"/>
    <n v="4"/>
    <n v="0"/>
    <n v="1306"/>
    <n v="309.87"/>
    <n v="57.32"/>
    <n v="62.58"/>
    <n v="28.2"/>
    <n v="3.31"/>
    <n v="450495"/>
    <n v="3347"/>
    <n v="453842"/>
    <n v="74860"/>
    <n v="81729"/>
    <n v="815"/>
    <n v="40998"/>
    <n v="4812"/>
    <n v="657056"/>
    <n v="51632"/>
    <n v="605424"/>
    <n v="349552"/>
    <n v="255872"/>
  </r>
  <r>
    <s v="09"/>
    <x v="3"/>
    <x v="132"/>
    <x v="132"/>
    <n v="63.5"/>
    <n v="849.9"/>
    <n v="913.4"/>
    <n v="1.66"/>
    <n v="1"/>
    <n v="0"/>
    <n v="851"/>
    <n v="309.87"/>
    <n v="57.32"/>
    <n v="62.58"/>
    <n v="28.2"/>
    <n v="3.31"/>
    <n v="283035"/>
    <n v="0"/>
    <n v="283035"/>
    <n v="48779"/>
    <n v="53256"/>
    <n v="514"/>
    <n v="25758"/>
    <n v="3023"/>
    <n v="414365"/>
    <n v="40568"/>
    <n v="373797"/>
    <n v="211488"/>
    <n v="162309"/>
  </r>
  <r>
    <s v="10"/>
    <x v="4"/>
    <x v="133"/>
    <x v="133"/>
    <n v="34.89"/>
    <n v="511.8"/>
    <n v="546.69000000000005"/>
    <n v="0"/>
    <n v="25"/>
    <n v="0"/>
    <n v="537"/>
    <n v="307.95"/>
    <n v="57.5"/>
    <n v="63.18"/>
    <n v="28.95"/>
    <n v="3.37"/>
    <n v="168353"/>
    <n v="624"/>
    <n v="168977"/>
    <n v="30878"/>
    <n v="33928"/>
    <n v="0"/>
    <n v="15827"/>
    <n v="1842"/>
    <n v="251452"/>
    <n v="28260"/>
    <n v="223192"/>
    <n v="122801"/>
    <n v="100391"/>
  </r>
  <r>
    <s v="10"/>
    <x v="4"/>
    <x v="134"/>
    <x v="134"/>
    <n v="159.18"/>
    <n v="1298.2"/>
    <n v="1457.38"/>
    <n v="0"/>
    <n v="55"/>
    <n v="0.4"/>
    <n v="1353"/>
    <n v="307.95"/>
    <n v="57.5"/>
    <n v="63.18"/>
    <n v="28.95"/>
    <n v="3.37"/>
    <n v="448800"/>
    <n v="0"/>
    <n v="448800"/>
    <n v="77798"/>
    <n v="85483"/>
    <n v="0"/>
    <n v="42191"/>
    <n v="4911"/>
    <n v="659183"/>
    <n v="60223"/>
    <n v="598960"/>
    <n v="342480"/>
    <n v="256480"/>
  </r>
  <r>
    <s v="10"/>
    <x v="4"/>
    <x v="135"/>
    <x v="135"/>
    <n v="34.06"/>
    <n v="484.3"/>
    <n v="518.36"/>
    <n v="0"/>
    <n v="0"/>
    <n v="0"/>
    <n v="484"/>
    <n v="307.95"/>
    <n v="57.5"/>
    <n v="63.18"/>
    <n v="28.95"/>
    <n v="3.37"/>
    <n v="159629"/>
    <n v="14699"/>
    <n v="174328"/>
    <n v="27830"/>
    <n v="30579"/>
    <n v="0"/>
    <n v="15007"/>
    <n v="1747"/>
    <n v="249491"/>
    <n v="34138"/>
    <n v="215353"/>
    <n v="109096"/>
    <n v="106257"/>
  </r>
  <r>
    <s v="10"/>
    <x v="4"/>
    <x v="136"/>
    <x v="136"/>
    <n v="173.67"/>
    <n v="1522.3"/>
    <n v="1695.97"/>
    <n v="0"/>
    <n v="138"/>
    <n v="0"/>
    <n v="1660"/>
    <n v="307.95"/>
    <n v="57.5"/>
    <n v="63.18"/>
    <n v="28.95"/>
    <n v="3.37"/>
    <n v="522274"/>
    <n v="0"/>
    <n v="522274"/>
    <n v="95450"/>
    <n v="104879"/>
    <n v="0"/>
    <n v="49098"/>
    <n v="5715"/>
    <n v="777416"/>
    <n v="79586"/>
    <n v="697830"/>
    <n v="389044"/>
    <n v="308786"/>
  </r>
  <r>
    <s v="10"/>
    <x v="4"/>
    <x v="137"/>
    <x v="137"/>
    <n v="2513.14"/>
    <n v="16851.5"/>
    <n v="19364.64"/>
    <n v="0"/>
    <n v="1961"/>
    <n v="20.8"/>
    <n v="18792"/>
    <n v="307.95"/>
    <n v="57.5"/>
    <n v="63.18"/>
    <n v="28.95"/>
    <n v="3.37"/>
    <n v="5963341"/>
    <n v="0"/>
    <n v="5963341"/>
    <n v="1080540"/>
    <n v="1187279"/>
    <n v="0"/>
    <n v="560606"/>
    <n v="65259"/>
    <n v="8857025"/>
    <n v="846317"/>
    <n v="8010708"/>
    <n v="4504520"/>
    <n v="3506188"/>
  </r>
  <r>
    <s v="10"/>
    <x v="4"/>
    <x v="138"/>
    <x v="138"/>
    <n v="152.97"/>
    <n v="1346.6"/>
    <n v="1499.57"/>
    <n v="0"/>
    <n v="7"/>
    <n v="0"/>
    <n v="1354"/>
    <n v="307.95"/>
    <n v="57.5"/>
    <n v="63.18"/>
    <n v="28.95"/>
    <n v="3.37"/>
    <n v="461793"/>
    <n v="0"/>
    <n v="461793"/>
    <n v="77855"/>
    <n v="85546"/>
    <n v="0"/>
    <n v="43413"/>
    <n v="5054"/>
    <n v="673661"/>
    <n v="46594"/>
    <n v="627067"/>
    <n v="367768"/>
    <n v="259299"/>
  </r>
  <r>
    <s v="10"/>
    <x v="4"/>
    <x v="139"/>
    <x v="139"/>
    <n v="41.23"/>
    <n v="461.9"/>
    <n v="503.13"/>
    <n v="0"/>
    <n v="2"/>
    <n v="0"/>
    <n v="464"/>
    <n v="307.95"/>
    <n v="57.5"/>
    <n v="63.18"/>
    <n v="28.95"/>
    <n v="3.37"/>
    <n v="154939"/>
    <n v="0"/>
    <n v="154939"/>
    <n v="26680"/>
    <n v="29316"/>
    <n v="0"/>
    <n v="14566"/>
    <n v="1696"/>
    <n v="227197"/>
    <n v="23775"/>
    <n v="203422"/>
    <n v="115251"/>
    <n v="88171"/>
  </r>
  <r>
    <s v="10"/>
    <x v="4"/>
    <x v="140"/>
    <x v="140"/>
    <n v="255.59"/>
    <n v="2488.6999999999998"/>
    <n v="2744.29"/>
    <n v="0"/>
    <n v="20"/>
    <n v="0"/>
    <n v="2509"/>
    <n v="307.95"/>
    <n v="57.5"/>
    <n v="63.18"/>
    <n v="28.95"/>
    <n v="3.37"/>
    <n v="845104"/>
    <n v="0"/>
    <n v="845104"/>
    <n v="144268"/>
    <n v="158519"/>
    <n v="0"/>
    <n v="79447"/>
    <n v="9248"/>
    <n v="1236586"/>
    <n v="54531"/>
    <n v="1182055"/>
    <n v="703771"/>
    <n v="478284"/>
  </r>
  <r>
    <s v="10"/>
    <x v="4"/>
    <x v="141"/>
    <x v="141"/>
    <n v="618.84"/>
    <n v="5194.1000000000004"/>
    <n v="5812.94"/>
    <n v="0"/>
    <n v="120"/>
    <n v="0"/>
    <n v="5314"/>
    <n v="307.95"/>
    <n v="57.5"/>
    <n v="63.18"/>
    <n v="28.95"/>
    <n v="3.37"/>
    <n v="1790095"/>
    <n v="0"/>
    <n v="1790095"/>
    <n v="305555"/>
    <n v="335739"/>
    <n v="0"/>
    <n v="168285"/>
    <n v="19590"/>
    <n v="2619264"/>
    <n v="142066"/>
    <n v="2477198"/>
    <n v="1464166"/>
    <n v="1013032"/>
  </r>
  <r>
    <s v="10"/>
    <x v="4"/>
    <x v="142"/>
    <x v="142"/>
    <n v="66.099999999999994"/>
    <n v="474.7"/>
    <n v="540.79999999999995"/>
    <n v="0"/>
    <n v="4"/>
    <n v="0"/>
    <n v="479"/>
    <n v="307.95"/>
    <n v="57.5"/>
    <n v="63.18"/>
    <n v="28.95"/>
    <n v="3.37"/>
    <n v="166539"/>
    <n v="8647"/>
    <n v="175186"/>
    <n v="27543"/>
    <n v="30263"/>
    <n v="0"/>
    <n v="15656"/>
    <n v="1822"/>
    <n v="250470"/>
    <n v="31450"/>
    <n v="219020"/>
    <n v="117983"/>
    <n v="101037"/>
  </r>
  <r>
    <s v="10"/>
    <x v="4"/>
    <x v="143"/>
    <x v="143"/>
    <n v="47.15"/>
    <n v="343.7"/>
    <n v="390.85"/>
    <n v="0"/>
    <n v="9"/>
    <n v="0"/>
    <n v="353"/>
    <n v="307.95"/>
    <n v="57.5"/>
    <n v="63.18"/>
    <n v="28.95"/>
    <n v="3.37"/>
    <n v="120362"/>
    <n v="334"/>
    <n v="120696"/>
    <n v="20298"/>
    <n v="22303"/>
    <n v="0"/>
    <n v="11323"/>
    <n v="1319"/>
    <n v="175939"/>
    <n v="19800"/>
    <n v="156139"/>
    <n v="88209"/>
    <n v="67930"/>
  </r>
  <r>
    <s v="10"/>
    <x v="4"/>
    <x v="144"/>
    <x v="144"/>
    <n v="73.459999999999994"/>
    <n v="620.9"/>
    <n v="694.36"/>
    <n v="0"/>
    <n v="7"/>
    <n v="0"/>
    <n v="628"/>
    <n v="307.95"/>
    <n v="57.5"/>
    <n v="63.18"/>
    <n v="28.95"/>
    <n v="3.37"/>
    <n v="213828"/>
    <n v="0"/>
    <n v="213828"/>
    <n v="36110"/>
    <n v="39677"/>
    <n v="0"/>
    <n v="20102"/>
    <n v="2340"/>
    <n v="312057"/>
    <n v="28769"/>
    <n v="283288"/>
    <n v="163097"/>
    <n v="120191"/>
  </r>
  <r>
    <s v="10"/>
    <x v="4"/>
    <x v="145"/>
    <x v="145"/>
    <n v="1456.97"/>
    <n v="14571.6"/>
    <n v="16028.57"/>
    <n v="0"/>
    <n v="847"/>
    <n v="4.3"/>
    <n v="15414"/>
    <n v="307.95"/>
    <n v="57.5"/>
    <n v="63.18"/>
    <n v="28.95"/>
    <n v="3.37"/>
    <n v="4935998"/>
    <n v="0"/>
    <n v="4935998"/>
    <n v="886305"/>
    <n v="973857"/>
    <n v="0"/>
    <n v="464027"/>
    <n v="54016"/>
    <n v="7314203"/>
    <n v="485100"/>
    <n v="6829103"/>
    <n v="3943914"/>
    <n v="2885189"/>
  </r>
  <r>
    <s v="10"/>
    <x v="4"/>
    <x v="146"/>
    <x v="146"/>
    <n v="61.11"/>
    <n v="532.5"/>
    <n v="593.61"/>
    <n v="0"/>
    <n v="0"/>
    <n v="0"/>
    <n v="533"/>
    <n v="307.95"/>
    <n v="57.5"/>
    <n v="63.18"/>
    <n v="28.95"/>
    <n v="3.37"/>
    <n v="182802"/>
    <n v="4806"/>
    <n v="187608"/>
    <n v="30648"/>
    <n v="33675"/>
    <n v="0"/>
    <n v="17252"/>
    <n v="2010"/>
    <n v="271193"/>
    <n v="30923"/>
    <n v="240270"/>
    <n v="133180"/>
    <n v="107090"/>
  </r>
  <r>
    <s v="10"/>
    <x v="4"/>
    <x v="147"/>
    <x v="147"/>
    <n v="784.31"/>
    <n v="7675.5"/>
    <n v="8459.81"/>
    <n v="0"/>
    <n v="434"/>
    <n v="0"/>
    <n v="8110"/>
    <n v="307.95"/>
    <n v="57.5"/>
    <n v="63.18"/>
    <n v="28.95"/>
    <n v="3.37"/>
    <n v="2605198"/>
    <n v="0"/>
    <n v="2605198"/>
    <n v="466325"/>
    <n v="512390"/>
    <n v="0"/>
    <n v="244911"/>
    <n v="28510"/>
    <n v="3857334"/>
    <n v="225812"/>
    <n v="3631522"/>
    <n v="2111803"/>
    <n v="1519719"/>
  </r>
  <r>
    <s v="10"/>
    <x v="4"/>
    <x v="148"/>
    <x v="148"/>
    <n v="36.840000000000003"/>
    <n v="638.4"/>
    <n v="675.24"/>
    <n v="0"/>
    <n v="6"/>
    <n v="0"/>
    <n v="644"/>
    <n v="307.95"/>
    <n v="57.5"/>
    <n v="63.18"/>
    <n v="28.95"/>
    <n v="3.37"/>
    <n v="207940"/>
    <n v="204"/>
    <n v="208144"/>
    <n v="37030"/>
    <n v="40688"/>
    <n v="0"/>
    <n v="19548"/>
    <n v="2276"/>
    <n v="307686"/>
    <n v="27550"/>
    <n v="280136"/>
    <n v="159033"/>
    <n v="121103"/>
  </r>
  <r>
    <s v="10"/>
    <x v="4"/>
    <x v="149"/>
    <x v="149"/>
    <n v="36.57"/>
    <n v="368.8"/>
    <n v="405.37"/>
    <n v="0"/>
    <n v="4"/>
    <n v="0"/>
    <n v="373"/>
    <n v="307.95"/>
    <n v="57.5"/>
    <n v="63.18"/>
    <n v="28.95"/>
    <n v="3.37"/>
    <n v="124834"/>
    <n v="3764"/>
    <n v="128598"/>
    <n v="21448"/>
    <n v="23566"/>
    <n v="0"/>
    <n v="11735"/>
    <n v="1366"/>
    <n v="186713"/>
    <n v="18559"/>
    <n v="168154"/>
    <n v="93452"/>
    <n v="74702"/>
  </r>
  <r>
    <s v="10"/>
    <x v="4"/>
    <x v="150"/>
    <x v="150"/>
    <n v="224.89"/>
    <n v="1911"/>
    <n v="2135.89"/>
    <n v="0"/>
    <n v="72"/>
    <n v="0.1"/>
    <n v="1983"/>
    <n v="307.95"/>
    <n v="57.5"/>
    <n v="63.18"/>
    <n v="28.95"/>
    <n v="3.37"/>
    <n v="657747"/>
    <n v="0"/>
    <n v="657747"/>
    <n v="114023"/>
    <n v="125286"/>
    <n v="0"/>
    <n v="61834"/>
    <n v="7198"/>
    <n v="966088"/>
    <n v="80131"/>
    <n v="885957"/>
    <n v="510058"/>
    <n v="375899"/>
  </r>
  <r>
    <s v="10"/>
    <x v="4"/>
    <x v="151"/>
    <x v="151"/>
    <n v="160.21"/>
    <n v="1276.3"/>
    <n v="1436.51"/>
    <n v="0"/>
    <n v="64"/>
    <n v="0"/>
    <n v="1340"/>
    <n v="307.95"/>
    <n v="57.5"/>
    <n v="63.18"/>
    <n v="28.95"/>
    <n v="3.37"/>
    <n v="442373"/>
    <n v="0"/>
    <n v="442373"/>
    <n v="77050"/>
    <n v="84661"/>
    <n v="0"/>
    <n v="41587"/>
    <n v="4841"/>
    <n v="650512"/>
    <n v="55121"/>
    <n v="595391"/>
    <n v="341815"/>
    <n v="253576"/>
  </r>
  <r>
    <s v="10"/>
    <x v="4"/>
    <x v="152"/>
    <x v="152"/>
    <n v="79.290000000000006"/>
    <n v="520.20000000000005"/>
    <n v="599.49"/>
    <n v="0"/>
    <n v="8"/>
    <n v="0"/>
    <n v="528"/>
    <n v="307.95"/>
    <n v="57.5"/>
    <n v="63.18"/>
    <n v="28.95"/>
    <n v="3.37"/>
    <n v="184613"/>
    <n v="899"/>
    <n v="185512"/>
    <n v="30360"/>
    <n v="33359"/>
    <n v="0"/>
    <n v="17404"/>
    <n v="2028"/>
    <n v="268663"/>
    <n v="35327"/>
    <n v="233336"/>
    <n v="130381"/>
    <n v="102955"/>
  </r>
  <r>
    <s v="10"/>
    <x v="4"/>
    <x v="153"/>
    <x v="153"/>
    <n v="140.55000000000001"/>
    <n v="953.8"/>
    <n v="1094.3499999999999"/>
    <n v="0"/>
    <n v="84"/>
    <n v="2.8"/>
    <n v="1035"/>
    <n v="307.95"/>
    <n v="57.5"/>
    <n v="63.18"/>
    <n v="28.95"/>
    <n v="3.37"/>
    <n v="337005"/>
    <n v="8708"/>
    <n v="345713"/>
    <n v="59513"/>
    <n v="65391"/>
    <n v="0"/>
    <n v="31681"/>
    <n v="3688"/>
    <n v="505986"/>
    <n v="48152"/>
    <n v="457834"/>
    <n v="254238"/>
    <n v="203596"/>
  </r>
  <r>
    <s v="10"/>
    <x v="4"/>
    <x v="154"/>
    <x v="154"/>
    <n v="77.72"/>
    <n v="1108.3"/>
    <n v="1186.02"/>
    <n v="0"/>
    <n v="23"/>
    <n v="0"/>
    <n v="1131"/>
    <n v="307.95"/>
    <n v="57.5"/>
    <n v="63.18"/>
    <n v="28.95"/>
    <n v="3.37"/>
    <n v="365235"/>
    <n v="0"/>
    <n v="365235"/>
    <n v="65033"/>
    <n v="71457"/>
    <n v="0"/>
    <n v="34335"/>
    <n v="3997"/>
    <n v="540057"/>
    <n v="45951"/>
    <n v="494106"/>
    <n v="281770"/>
    <n v="212336"/>
  </r>
  <r>
    <s v="10"/>
    <x v="4"/>
    <x v="155"/>
    <x v="155"/>
    <n v="117.19"/>
    <n v="747.8"/>
    <n v="864.99"/>
    <n v="0"/>
    <n v="1"/>
    <n v="0"/>
    <n v="749"/>
    <n v="307.95"/>
    <n v="57.5"/>
    <n v="63.18"/>
    <n v="28.95"/>
    <n v="3.37"/>
    <n v="266374"/>
    <n v="14650"/>
    <n v="281024"/>
    <n v="43068"/>
    <n v="47322"/>
    <n v="0"/>
    <n v="25080"/>
    <n v="2922"/>
    <n v="399416"/>
    <n v="44471"/>
    <n v="354945"/>
    <n v="194589"/>
    <n v="160356"/>
  </r>
  <r>
    <s v="10"/>
    <x v="4"/>
    <x v="156"/>
    <x v="156"/>
    <n v="55.72"/>
    <n v="600.4"/>
    <n v="656.12"/>
    <n v="0"/>
    <n v="5"/>
    <n v="0"/>
    <n v="605"/>
    <n v="307.95"/>
    <n v="57.5"/>
    <n v="63.18"/>
    <n v="28.95"/>
    <n v="3.37"/>
    <n v="202052"/>
    <n v="13717"/>
    <n v="215769"/>
    <n v="34788"/>
    <n v="38224"/>
    <n v="0"/>
    <n v="18995"/>
    <n v="2211"/>
    <n v="309987"/>
    <n v="34751"/>
    <n v="275236"/>
    <n v="146548"/>
    <n v="128688"/>
  </r>
  <r>
    <s v="10"/>
    <x v="4"/>
    <x v="157"/>
    <x v="157"/>
    <n v="26.47"/>
    <n v="225"/>
    <n v="251.47"/>
    <n v="0"/>
    <n v="6"/>
    <n v="0"/>
    <n v="231"/>
    <n v="307.95"/>
    <n v="57.5"/>
    <n v="63.18"/>
    <n v="28.95"/>
    <n v="3.37"/>
    <n v="77440"/>
    <n v="1062"/>
    <n v="78502"/>
    <n v="13283"/>
    <n v="14595"/>
    <n v="0"/>
    <n v="7280"/>
    <n v="847"/>
    <n v="114507"/>
    <n v="14596"/>
    <n v="99911"/>
    <n v="54890"/>
    <n v="45021"/>
  </r>
  <r>
    <s v="10"/>
    <x v="4"/>
    <x v="158"/>
    <x v="158"/>
    <n v="97.5"/>
    <n v="1395.9"/>
    <n v="1493.4"/>
    <n v="0"/>
    <n v="22"/>
    <n v="0"/>
    <n v="1418"/>
    <n v="307.95"/>
    <n v="57.5"/>
    <n v="63.18"/>
    <n v="28.95"/>
    <n v="3.37"/>
    <n v="459893"/>
    <n v="0"/>
    <n v="459893"/>
    <n v="81535"/>
    <n v="89589"/>
    <n v="0"/>
    <n v="43234"/>
    <n v="5033"/>
    <n v="679284"/>
    <n v="48951"/>
    <n v="630333"/>
    <n v="363706"/>
    <n v="266627"/>
  </r>
  <r>
    <s v="10"/>
    <x v="4"/>
    <x v="159"/>
    <x v="159"/>
    <n v="42.38"/>
    <n v="384.4"/>
    <n v="426.78"/>
    <n v="0"/>
    <n v="7"/>
    <n v="0"/>
    <n v="391"/>
    <n v="307.95"/>
    <n v="57.5"/>
    <n v="63.18"/>
    <n v="28.95"/>
    <n v="3.37"/>
    <n v="131427"/>
    <n v="0"/>
    <n v="131427"/>
    <n v="22483"/>
    <n v="24703"/>
    <n v="0"/>
    <n v="12355"/>
    <n v="1438"/>
    <n v="192406"/>
    <n v="21853"/>
    <n v="170553"/>
    <n v="96074"/>
    <n v="74479"/>
  </r>
  <r>
    <s v="10"/>
    <x v="4"/>
    <x v="160"/>
    <x v="160"/>
    <n v="102.74"/>
    <n v="872.7"/>
    <n v="975.44"/>
    <n v="0"/>
    <n v="1"/>
    <n v="0"/>
    <n v="874"/>
    <n v="307.95"/>
    <n v="57.5"/>
    <n v="63.18"/>
    <n v="28.95"/>
    <n v="3.37"/>
    <n v="300387"/>
    <n v="0"/>
    <n v="300387"/>
    <n v="50255"/>
    <n v="55219"/>
    <n v="0"/>
    <n v="28239"/>
    <n v="3287"/>
    <n v="437387"/>
    <n v="38524"/>
    <n v="398863"/>
    <n v="231009"/>
    <n v="167854"/>
  </r>
  <r>
    <s v="10"/>
    <x v="4"/>
    <x v="161"/>
    <x v="161"/>
    <n v="206.55"/>
    <n v="1522"/>
    <n v="1728.55"/>
    <n v="0"/>
    <n v="22"/>
    <n v="0"/>
    <n v="1544"/>
    <n v="307.95"/>
    <n v="57.5"/>
    <n v="63.18"/>
    <n v="28.95"/>
    <n v="3.37"/>
    <n v="532307"/>
    <n v="4601"/>
    <n v="536908"/>
    <n v="88780"/>
    <n v="97550"/>
    <n v="0"/>
    <n v="50042"/>
    <n v="5825"/>
    <n v="779105"/>
    <n v="88383"/>
    <n v="690722"/>
    <n v="389250"/>
    <n v="301472"/>
  </r>
  <r>
    <s v="10"/>
    <x v="4"/>
    <x v="162"/>
    <x v="162"/>
    <n v="246.94"/>
    <n v="1703.9"/>
    <n v="1950.84"/>
    <n v="0"/>
    <n v="74"/>
    <n v="0.6"/>
    <n v="1777"/>
    <n v="307.95"/>
    <n v="57.5"/>
    <n v="63.18"/>
    <n v="28.95"/>
    <n v="3.37"/>
    <n v="600761"/>
    <n v="0"/>
    <n v="600761"/>
    <n v="102178"/>
    <n v="112271"/>
    <n v="0"/>
    <n v="56477"/>
    <n v="6574"/>
    <n v="878261"/>
    <n v="80503"/>
    <n v="797758"/>
    <n v="458553"/>
    <n v="339205"/>
  </r>
  <r>
    <s v="10"/>
    <x v="4"/>
    <x v="163"/>
    <x v="163"/>
    <n v="95.92"/>
    <n v="754.1"/>
    <n v="850.02"/>
    <n v="0"/>
    <n v="13"/>
    <n v="0"/>
    <n v="767"/>
    <n v="307.95"/>
    <n v="57.5"/>
    <n v="63.18"/>
    <n v="28.95"/>
    <n v="3.37"/>
    <n v="261764"/>
    <n v="0"/>
    <n v="261764"/>
    <n v="44103"/>
    <n v="48459"/>
    <n v="0"/>
    <n v="24608"/>
    <n v="2865"/>
    <n v="381799"/>
    <n v="35036"/>
    <n v="346763"/>
    <n v="199842"/>
    <n v="146921"/>
  </r>
  <r>
    <s v="10"/>
    <x v="4"/>
    <x v="164"/>
    <x v="164"/>
    <n v="86.47"/>
    <n v="1138.4000000000001"/>
    <n v="1224.8699999999999"/>
    <n v="0"/>
    <n v="61"/>
    <n v="0.7"/>
    <n v="1199"/>
    <n v="307.95"/>
    <n v="57.5"/>
    <n v="63.18"/>
    <n v="28.95"/>
    <n v="3.37"/>
    <n v="377199"/>
    <n v="0"/>
    <n v="377199"/>
    <n v="68943"/>
    <n v="75753"/>
    <n v="0"/>
    <n v="35460"/>
    <n v="4128"/>
    <n v="561483"/>
    <n v="51123"/>
    <n v="510360"/>
    <n v="287333"/>
    <n v="223027"/>
  </r>
  <r>
    <s v="11"/>
    <x v="5"/>
    <x v="165"/>
    <x v="165"/>
    <n v="40.909999999999997"/>
    <n v="297.39999999999998"/>
    <n v="338.31"/>
    <n v="0"/>
    <n v="0"/>
    <n v="0"/>
    <n v="297"/>
    <n v="300.85000000000002"/>
    <n v="57.38"/>
    <n v="63"/>
    <n v="25.18"/>
    <n v="3.18"/>
    <n v="101781"/>
    <n v="4542"/>
    <n v="106323"/>
    <n v="17042"/>
    <n v="18711"/>
    <n v="0"/>
    <n v="8675"/>
    <n v="1099"/>
    <n v="151850"/>
    <n v="16927"/>
    <n v="134923"/>
    <n v="75395"/>
    <n v="59528"/>
  </r>
  <r>
    <s v="11"/>
    <x v="5"/>
    <x v="166"/>
    <x v="166"/>
    <n v="173.06"/>
    <n v="1932.2"/>
    <n v="2105.2600000000002"/>
    <n v="0"/>
    <n v="32"/>
    <n v="0"/>
    <n v="1964"/>
    <n v="300.85000000000002"/>
    <n v="57.38"/>
    <n v="63"/>
    <n v="25.18"/>
    <n v="3.18"/>
    <n v="633367"/>
    <n v="0"/>
    <n v="633367"/>
    <n v="112694"/>
    <n v="123732"/>
    <n v="0"/>
    <n v="53010"/>
    <n v="6695"/>
    <n v="929498"/>
    <n v="62785"/>
    <n v="866713"/>
    <n v="510603"/>
    <n v="356110"/>
  </r>
  <r>
    <s v="11"/>
    <x v="5"/>
    <x v="167"/>
    <x v="167"/>
    <n v="532.29"/>
    <n v="4477.3999999999996"/>
    <n v="5009.6899999999996"/>
    <n v="0"/>
    <n v="110"/>
    <n v="0"/>
    <n v="4587"/>
    <n v="300.85000000000002"/>
    <n v="57.38"/>
    <n v="63"/>
    <n v="25.18"/>
    <n v="3.18"/>
    <n v="1507165"/>
    <n v="0"/>
    <n v="1507165"/>
    <n v="263202"/>
    <n v="288981"/>
    <n v="0"/>
    <n v="126144"/>
    <n v="15931"/>
    <n v="2201423"/>
    <n v="203105"/>
    <n v="1998318"/>
    <n v="1161334"/>
    <n v="836984"/>
  </r>
  <r>
    <s v="11"/>
    <x v="5"/>
    <x v="168"/>
    <x v="168"/>
    <n v="1261.3699999999999"/>
    <n v="12255.8"/>
    <n v="13517.17"/>
    <n v="0"/>
    <n v="595"/>
    <n v="0.9"/>
    <n v="12850"/>
    <n v="300.85000000000002"/>
    <n v="57.38"/>
    <n v="63"/>
    <n v="25.18"/>
    <n v="3.18"/>
    <n v="4066641"/>
    <n v="0"/>
    <n v="4066641"/>
    <n v="737333"/>
    <n v="809550"/>
    <n v="0"/>
    <n v="340362"/>
    <n v="42985"/>
    <n v="5996871"/>
    <n v="253394"/>
    <n v="5743477"/>
    <n v="3428142"/>
    <n v="2315335"/>
  </r>
  <r>
    <s v="11"/>
    <x v="5"/>
    <x v="169"/>
    <x v="169"/>
    <n v="68.959999999999994"/>
    <n v="514.1"/>
    <n v="583.05999999999995"/>
    <n v="0"/>
    <n v="4"/>
    <n v="0"/>
    <n v="518"/>
    <n v="300.85000000000002"/>
    <n v="57.38"/>
    <n v="63"/>
    <n v="25.18"/>
    <n v="3.18"/>
    <n v="175414"/>
    <n v="0"/>
    <n v="175414"/>
    <n v="29723"/>
    <n v="32634"/>
    <n v="0"/>
    <n v="14681"/>
    <n v="1854"/>
    <n v="254306"/>
    <n v="31621"/>
    <n v="222685"/>
    <n v="127181"/>
    <n v="95504"/>
  </r>
  <r>
    <s v="11"/>
    <x v="5"/>
    <x v="170"/>
    <x v="170"/>
    <n v="143.34"/>
    <n v="1639.3"/>
    <n v="1782.64"/>
    <n v="0"/>
    <n v="17"/>
    <n v="0"/>
    <n v="1656"/>
    <n v="300.85000000000002"/>
    <n v="57.38"/>
    <n v="63"/>
    <n v="25.18"/>
    <n v="3.18"/>
    <n v="536307"/>
    <n v="0"/>
    <n v="536307"/>
    <n v="95021"/>
    <n v="104328"/>
    <n v="0"/>
    <n v="44887"/>
    <n v="5669"/>
    <n v="786212"/>
    <n v="53719"/>
    <n v="732493"/>
    <n v="431801"/>
    <n v="300692"/>
  </r>
  <r>
    <s v="11"/>
    <x v="5"/>
    <x v="171"/>
    <x v="171"/>
    <n v="34.17"/>
    <n v="323.10000000000002"/>
    <n v="357.27"/>
    <n v="0"/>
    <n v="2"/>
    <n v="0"/>
    <n v="325"/>
    <n v="300.85000000000002"/>
    <n v="57.38"/>
    <n v="63"/>
    <n v="25.18"/>
    <n v="3.18"/>
    <n v="107485"/>
    <n v="3063"/>
    <n v="110548"/>
    <n v="18649"/>
    <n v="20475"/>
    <n v="0"/>
    <n v="8996"/>
    <n v="1136"/>
    <n v="159804"/>
    <n v="14723"/>
    <n v="145081"/>
    <n v="82583"/>
    <n v="62498"/>
  </r>
  <r>
    <s v="11"/>
    <x v="5"/>
    <x v="172"/>
    <x v="172"/>
    <n v="232.23"/>
    <n v="2268.6999999999998"/>
    <n v="2500.9299999999998"/>
    <n v="0"/>
    <n v="41"/>
    <n v="0"/>
    <n v="2310"/>
    <n v="300.85000000000002"/>
    <n v="57.38"/>
    <n v="63"/>
    <n v="25.18"/>
    <n v="3.18"/>
    <n v="752405"/>
    <n v="0"/>
    <n v="752405"/>
    <n v="132548"/>
    <n v="145530"/>
    <n v="0"/>
    <n v="62973"/>
    <n v="7953"/>
    <n v="1101409"/>
    <n v="39354"/>
    <n v="1062055"/>
    <n v="641799"/>
    <n v="420256"/>
  </r>
  <r>
    <s v="11"/>
    <x v="5"/>
    <x v="173"/>
    <x v="173"/>
    <n v="340.39"/>
    <n v="2094.8000000000002"/>
    <n v="2435.19"/>
    <n v="0"/>
    <n v="157"/>
    <n v="6.1"/>
    <n v="2246"/>
    <n v="300.85000000000002"/>
    <n v="57.38"/>
    <n v="63"/>
    <n v="25.18"/>
    <n v="3.18"/>
    <n v="732627"/>
    <n v="0"/>
    <n v="732627"/>
    <n v="128875"/>
    <n v="141498"/>
    <n v="0"/>
    <n v="61318"/>
    <n v="7744"/>
    <n v="1072062"/>
    <n v="105619"/>
    <n v="966443"/>
    <n v="557629"/>
    <n v="408814"/>
  </r>
  <r>
    <s v="11"/>
    <x v="5"/>
    <x v="174"/>
    <x v="174"/>
    <n v="206.28"/>
    <n v="1936.9"/>
    <n v="2143.1799999999998"/>
    <n v="0"/>
    <n v="21"/>
    <n v="0"/>
    <n v="1958"/>
    <n v="300.85000000000002"/>
    <n v="57.38"/>
    <n v="63"/>
    <n v="25.18"/>
    <n v="3.18"/>
    <n v="644776"/>
    <n v="0"/>
    <n v="644776"/>
    <n v="112350"/>
    <n v="123354"/>
    <n v="0"/>
    <n v="53965"/>
    <n v="6815"/>
    <n v="941260"/>
    <n v="58812"/>
    <n v="882448"/>
    <n v="524904"/>
    <n v="357544"/>
  </r>
  <r>
    <s v="11"/>
    <x v="5"/>
    <x v="175"/>
    <x v="175"/>
    <n v="240.22"/>
    <n v="1701"/>
    <n v="1941.22"/>
    <n v="0"/>
    <n v="894"/>
    <n v="12.6"/>
    <n v="2582"/>
    <n v="300.85000000000002"/>
    <n v="57.38"/>
    <n v="63"/>
    <n v="25.18"/>
    <n v="3.18"/>
    <n v="584016"/>
    <n v="0"/>
    <n v="584016"/>
    <n v="148155"/>
    <n v="162666"/>
    <n v="0"/>
    <n v="48880"/>
    <n v="6173"/>
    <n v="949890"/>
    <n v="92884"/>
    <n v="857006"/>
    <n v="435827"/>
    <n v="421179"/>
  </r>
  <r>
    <s v="11"/>
    <x v="5"/>
    <x v="176"/>
    <x v="176"/>
    <n v="107.24"/>
    <n v="763.8"/>
    <n v="871.04"/>
    <n v="0"/>
    <n v="7"/>
    <n v="0"/>
    <n v="771"/>
    <n v="300.85000000000002"/>
    <n v="57.38"/>
    <n v="63"/>
    <n v="25.18"/>
    <n v="3.18"/>
    <n v="262052"/>
    <n v="0"/>
    <n v="262052"/>
    <n v="44240"/>
    <n v="48573"/>
    <n v="0"/>
    <n v="21933"/>
    <n v="2770"/>
    <n v="379568"/>
    <n v="41179"/>
    <n v="338389"/>
    <n v="196058"/>
    <n v="142331"/>
  </r>
  <r>
    <s v="11"/>
    <x v="5"/>
    <x v="177"/>
    <x v="177"/>
    <n v="55.3"/>
    <n v="446.4"/>
    <n v="501.7"/>
    <n v="0"/>
    <n v="6"/>
    <n v="0"/>
    <n v="452"/>
    <n v="300.85000000000002"/>
    <n v="57.38"/>
    <n v="63"/>
    <n v="25.18"/>
    <n v="3.18"/>
    <n v="150936"/>
    <n v="4215"/>
    <n v="155151"/>
    <n v="25936"/>
    <n v="28476"/>
    <n v="0"/>
    <n v="12633"/>
    <n v="1595"/>
    <n v="223791"/>
    <n v="23962"/>
    <n v="199829"/>
    <n v="112681"/>
    <n v="87148"/>
  </r>
  <r>
    <s v="11"/>
    <x v="5"/>
    <x v="178"/>
    <x v="178"/>
    <n v="42.18"/>
    <n v="512"/>
    <n v="554.17999999999995"/>
    <n v="0"/>
    <n v="2"/>
    <n v="0"/>
    <n v="514"/>
    <n v="300.85000000000002"/>
    <n v="57.38"/>
    <n v="63"/>
    <n v="25.18"/>
    <n v="3.18"/>
    <n v="166725"/>
    <n v="0"/>
    <n v="166725"/>
    <n v="29493"/>
    <n v="32382"/>
    <n v="0"/>
    <n v="13954"/>
    <n v="1762"/>
    <n v="244316"/>
    <n v="26655"/>
    <n v="217661"/>
    <n v="124281"/>
    <n v="93380"/>
  </r>
  <r>
    <s v="11"/>
    <x v="5"/>
    <x v="179"/>
    <x v="179"/>
    <n v="62.33"/>
    <n v="427.9"/>
    <n v="490.23"/>
    <n v="0"/>
    <n v="1"/>
    <n v="0"/>
    <n v="429"/>
    <n v="300.85000000000002"/>
    <n v="57.38"/>
    <n v="63"/>
    <n v="25.18"/>
    <n v="3.18"/>
    <n v="147486"/>
    <n v="0"/>
    <n v="147486"/>
    <n v="24616"/>
    <n v="27027"/>
    <n v="0"/>
    <n v="12344"/>
    <n v="1559"/>
    <n v="213032"/>
    <n v="24283"/>
    <n v="188749"/>
    <n v="109236"/>
    <n v="79513"/>
  </r>
  <r>
    <s v="11"/>
    <x v="5"/>
    <x v="180"/>
    <x v="180"/>
    <n v="279.26"/>
    <n v="3127"/>
    <n v="3406.26"/>
    <n v="0"/>
    <n v="74"/>
    <n v="0"/>
    <n v="3201"/>
    <n v="300.85000000000002"/>
    <n v="57.38"/>
    <n v="63"/>
    <n v="25.18"/>
    <n v="3.18"/>
    <n v="1024773"/>
    <n v="0"/>
    <n v="1024773"/>
    <n v="183673"/>
    <n v="201663"/>
    <n v="0"/>
    <n v="85770"/>
    <n v="10832"/>
    <n v="1506711"/>
    <n v="64515"/>
    <n v="1442196"/>
    <n v="863214"/>
    <n v="578982"/>
  </r>
  <r>
    <s v="11"/>
    <x v="5"/>
    <x v="181"/>
    <x v="181"/>
    <n v="6023.48"/>
    <n v="32606.7"/>
    <n v="38630.18"/>
    <n v="0"/>
    <n v="2366"/>
    <n v="3.5"/>
    <n v="34969"/>
    <n v="300.85000000000002"/>
    <n v="57.38"/>
    <n v="63"/>
    <n v="25.18"/>
    <n v="3.18"/>
    <n v="11621890"/>
    <n v="0"/>
    <n v="11621890"/>
    <n v="2006521"/>
    <n v="2203047"/>
    <n v="0"/>
    <n v="972708"/>
    <n v="122844"/>
    <n v="16927010"/>
    <n v="1502984"/>
    <n v="15424026"/>
    <n v="9018332"/>
    <n v="6405694"/>
  </r>
  <r>
    <s v="11"/>
    <x v="5"/>
    <x v="182"/>
    <x v="182"/>
    <n v="50.09"/>
    <n v="574.1"/>
    <n v="624.19000000000005"/>
    <n v="0"/>
    <n v="4"/>
    <n v="0"/>
    <n v="578"/>
    <n v="300.85000000000002"/>
    <n v="57.38"/>
    <n v="63"/>
    <n v="25.18"/>
    <n v="3.18"/>
    <n v="187788"/>
    <n v="6025"/>
    <n v="193813"/>
    <n v="33166"/>
    <n v="36414"/>
    <n v="0"/>
    <n v="15717"/>
    <n v="1985"/>
    <n v="281095"/>
    <n v="22833"/>
    <n v="258262"/>
    <n v="147171"/>
    <n v="111091"/>
  </r>
  <r>
    <s v="11"/>
    <x v="5"/>
    <x v="183"/>
    <x v="183"/>
    <n v="63.1"/>
    <n v="416.9"/>
    <n v="480"/>
    <n v="0"/>
    <n v="0"/>
    <n v="0"/>
    <n v="417"/>
    <n v="300.85000000000002"/>
    <n v="57.38"/>
    <n v="63"/>
    <n v="25.18"/>
    <n v="3.18"/>
    <n v="144408"/>
    <n v="11123"/>
    <n v="155531"/>
    <n v="23927"/>
    <n v="26271"/>
    <n v="0"/>
    <n v="12086"/>
    <n v="1526"/>
    <n v="219341"/>
    <n v="29687"/>
    <n v="189654"/>
    <n v="101045"/>
    <n v="88609"/>
  </r>
  <r>
    <s v="11"/>
    <x v="5"/>
    <x v="184"/>
    <x v="184"/>
    <n v="115.12"/>
    <n v="1548.6"/>
    <n v="1663.72"/>
    <n v="0"/>
    <n v="33"/>
    <n v="0"/>
    <n v="1582"/>
    <n v="300.85000000000002"/>
    <n v="57.38"/>
    <n v="63"/>
    <n v="25.18"/>
    <n v="3.18"/>
    <n v="500530"/>
    <n v="0"/>
    <n v="500530"/>
    <n v="90775"/>
    <n v="99666"/>
    <n v="0"/>
    <n v="41892"/>
    <n v="5291"/>
    <n v="738154"/>
    <n v="38933"/>
    <n v="699221"/>
    <n v="414198"/>
    <n v="285023"/>
  </r>
  <r>
    <s v="11"/>
    <x v="5"/>
    <x v="185"/>
    <x v="185"/>
    <n v="28.47"/>
    <n v="288"/>
    <n v="316.47000000000003"/>
    <n v="0"/>
    <n v="15"/>
    <n v="0"/>
    <n v="303"/>
    <n v="300.85000000000002"/>
    <n v="57.38"/>
    <n v="63"/>
    <n v="25.18"/>
    <n v="3.18"/>
    <n v="95210"/>
    <n v="2820"/>
    <n v="98030"/>
    <n v="17386"/>
    <n v="19089"/>
    <n v="0"/>
    <n v="7969"/>
    <n v="1006"/>
    <n v="143480"/>
    <n v="17419"/>
    <n v="126061"/>
    <n v="68775"/>
    <n v="57286"/>
  </r>
  <r>
    <s v="11"/>
    <x v="5"/>
    <x v="186"/>
    <x v="186"/>
    <n v="45.28"/>
    <n v="436.7"/>
    <n v="481.98"/>
    <n v="0"/>
    <n v="0"/>
    <n v="0"/>
    <n v="437"/>
    <n v="300.85000000000002"/>
    <n v="57.38"/>
    <n v="63"/>
    <n v="25.18"/>
    <n v="3.18"/>
    <n v="145004"/>
    <n v="4876"/>
    <n v="149880"/>
    <n v="25075"/>
    <n v="27531"/>
    <n v="0"/>
    <n v="12136"/>
    <n v="1533"/>
    <n v="216155"/>
    <n v="21657"/>
    <n v="194498"/>
    <n v="109615"/>
    <n v="84883"/>
  </r>
  <r>
    <s v="11"/>
    <x v="5"/>
    <x v="187"/>
    <x v="187"/>
    <n v="423.77"/>
    <n v="3460.1"/>
    <n v="3883.87"/>
    <n v="0"/>
    <n v="12"/>
    <n v="0"/>
    <n v="3472"/>
    <n v="300.85000000000002"/>
    <n v="57.38"/>
    <n v="63"/>
    <n v="25.18"/>
    <n v="3.18"/>
    <n v="1168462"/>
    <n v="0"/>
    <n v="1168462"/>
    <n v="199223"/>
    <n v="218736"/>
    <n v="0"/>
    <n v="97796"/>
    <n v="12351"/>
    <n v="1696568"/>
    <n v="139171"/>
    <n v="1557397"/>
    <n v="918640"/>
    <n v="638757"/>
  </r>
  <r>
    <s v="11"/>
    <x v="5"/>
    <x v="188"/>
    <x v="188"/>
    <n v="74.540000000000006"/>
    <n v="848.2"/>
    <n v="922.74"/>
    <n v="0"/>
    <n v="4"/>
    <n v="0"/>
    <n v="852"/>
    <n v="300.85000000000002"/>
    <n v="57.38"/>
    <n v="63"/>
    <n v="25.18"/>
    <n v="3.18"/>
    <n v="277606"/>
    <n v="2179"/>
    <n v="279785"/>
    <n v="48888"/>
    <n v="53676"/>
    <n v="0"/>
    <n v="23294"/>
    <n v="2951"/>
    <n v="408594"/>
    <n v="33511"/>
    <n v="375083"/>
    <n v="217883"/>
    <n v="157200"/>
  </r>
  <r>
    <s v="11"/>
    <x v="5"/>
    <x v="189"/>
    <x v="189"/>
    <n v="735"/>
    <n v="7105.7"/>
    <n v="7840.7"/>
    <n v="0"/>
    <n v="354"/>
    <n v="0"/>
    <n v="7460"/>
    <n v="300.85000000000002"/>
    <n v="57.38"/>
    <n v="63"/>
    <n v="25.18"/>
    <n v="3.18"/>
    <n v="2358875"/>
    <n v="0"/>
    <n v="2358875"/>
    <n v="428055"/>
    <n v="469980"/>
    <n v="0"/>
    <n v="197429"/>
    <n v="24933"/>
    <n v="3479272"/>
    <n v="179185"/>
    <n v="3300087"/>
    <n v="1956308"/>
    <n v="1343779"/>
  </r>
  <r>
    <s v="11"/>
    <x v="5"/>
    <x v="190"/>
    <x v="190"/>
    <n v="253.47"/>
    <n v="1772.2"/>
    <n v="2025.67"/>
    <n v="0"/>
    <n v="18"/>
    <n v="0"/>
    <n v="1790"/>
    <n v="300.85000000000002"/>
    <n v="57.38"/>
    <n v="63"/>
    <n v="25.18"/>
    <n v="3.18"/>
    <n v="609423"/>
    <n v="0"/>
    <n v="609423"/>
    <n v="102710"/>
    <n v="112770"/>
    <n v="0"/>
    <n v="51006"/>
    <n v="6442"/>
    <n v="882351"/>
    <n v="89650"/>
    <n v="792701"/>
    <n v="462061"/>
    <n v="330640"/>
  </r>
  <r>
    <s v="11"/>
    <x v="5"/>
    <x v="191"/>
    <x v="191"/>
    <n v="58.95"/>
    <n v="452.5"/>
    <n v="511.45"/>
    <n v="0"/>
    <n v="54"/>
    <n v="0"/>
    <n v="507"/>
    <n v="300.85000000000002"/>
    <n v="57.38"/>
    <n v="63"/>
    <n v="25.18"/>
    <n v="3.18"/>
    <n v="153870"/>
    <n v="0"/>
    <n v="153870"/>
    <n v="29092"/>
    <n v="31941"/>
    <n v="0"/>
    <n v="12878"/>
    <n v="1626"/>
    <n v="229407"/>
    <n v="23232"/>
    <n v="206175"/>
    <n v="116066"/>
    <n v="90109"/>
  </r>
  <r>
    <s v="11"/>
    <x v="5"/>
    <x v="192"/>
    <x v="192"/>
    <n v="85.76"/>
    <n v="683"/>
    <n v="768.76"/>
    <n v="0"/>
    <n v="6"/>
    <n v="0"/>
    <n v="689"/>
    <n v="300.85000000000002"/>
    <n v="57.38"/>
    <n v="63"/>
    <n v="25.18"/>
    <n v="3.18"/>
    <n v="231281"/>
    <n v="0"/>
    <n v="231281"/>
    <n v="39535"/>
    <n v="43407"/>
    <n v="0"/>
    <n v="19357"/>
    <n v="2445"/>
    <n v="336025"/>
    <n v="25816"/>
    <n v="310209"/>
    <n v="183563"/>
    <n v="126646"/>
  </r>
  <r>
    <s v="11"/>
    <x v="5"/>
    <x v="193"/>
    <x v="193"/>
    <n v="57.1"/>
    <n v="516.20000000000005"/>
    <n v="573.29999999999995"/>
    <n v="0"/>
    <n v="27"/>
    <n v="0"/>
    <n v="543"/>
    <n v="300.85000000000002"/>
    <n v="57.38"/>
    <n v="63"/>
    <n v="25.18"/>
    <n v="3.18"/>
    <n v="172477"/>
    <n v="0"/>
    <n v="172477"/>
    <n v="31157"/>
    <n v="34209"/>
    <n v="0"/>
    <n v="14436"/>
    <n v="1823"/>
    <n v="254102"/>
    <n v="22923"/>
    <n v="231179"/>
    <n v="133221"/>
    <n v="97958"/>
  </r>
  <r>
    <s v="11"/>
    <x v="5"/>
    <x v="194"/>
    <x v="194"/>
    <n v="54.38"/>
    <n v="333"/>
    <n v="387.38"/>
    <n v="0"/>
    <n v="0"/>
    <n v="0"/>
    <n v="333"/>
    <n v="300.85000000000002"/>
    <n v="57.38"/>
    <n v="63"/>
    <n v="25.18"/>
    <n v="3.18"/>
    <n v="116543"/>
    <n v="0"/>
    <n v="116543"/>
    <n v="19108"/>
    <n v="20979"/>
    <n v="0"/>
    <n v="9754"/>
    <n v="1232"/>
    <n v="167616"/>
    <n v="20816"/>
    <n v="146800"/>
    <n v="84691"/>
    <n v="62109"/>
  </r>
  <r>
    <s v="11"/>
    <x v="5"/>
    <x v="195"/>
    <x v="195"/>
    <n v="175.15"/>
    <n v="1488.7"/>
    <n v="1663.85"/>
    <n v="0"/>
    <n v="4"/>
    <n v="0"/>
    <n v="1493"/>
    <n v="300.85000000000002"/>
    <n v="57.38"/>
    <n v="63"/>
    <n v="25.18"/>
    <n v="3.18"/>
    <n v="500569"/>
    <n v="0"/>
    <n v="500569"/>
    <n v="85668"/>
    <n v="94059"/>
    <n v="0"/>
    <n v="41896"/>
    <n v="5291"/>
    <n v="727483"/>
    <n v="69114"/>
    <n v="658369"/>
    <n v="384052"/>
    <n v="274317"/>
  </r>
  <r>
    <s v="11"/>
    <x v="5"/>
    <x v="196"/>
    <x v="196"/>
    <n v="460.8"/>
    <n v="2996.5"/>
    <n v="3457.3"/>
    <n v="0"/>
    <n v="90"/>
    <n v="0.1"/>
    <n v="3086"/>
    <n v="300.85000000000002"/>
    <n v="57.38"/>
    <n v="63"/>
    <n v="25.18"/>
    <n v="3.18"/>
    <n v="1040129"/>
    <n v="0"/>
    <n v="1040129"/>
    <n v="177075"/>
    <n v="194418"/>
    <n v="0"/>
    <n v="87055"/>
    <n v="10994"/>
    <n v="1509671"/>
    <n v="154889"/>
    <n v="1354782"/>
    <n v="786741"/>
    <n v="568041"/>
  </r>
  <r>
    <s v="11"/>
    <x v="5"/>
    <x v="197"/>
    <x v="197"/>
    <n v="122.39"/>
    <n v="1828"/>
    <n v="1950.39"/>
    <n v="0"/>
    <n v="30"/>
    <n v="0"/>
    <n v="1858"/>
    <n v="300.85000000000002"/>
    <n v="57.38"/>
    <n v="63"/>
    <n v="25.18"/>
    <n v="3.18"/>
    <n v="586775"/>
    <n v="0"/>
    <n v="586775"/>
    <n v="106612"/>
    <n v="117054"/>
    <n v="0"/>
    <n v="49111"/>
    <n v="6202"/>
    <n v="865754"/>
    <n v="39904"/>
    <n v="825850"/>
    <n v="491304"/>
    <n v="334546"/>
  </r>
  <r>
    <s v="11"/>
    <x v="5"/>
    <x v="198"/>
    <x v="198"/>
    <n v="328.98"/>
    <n v="3136.4"/>
    <n v="3465.38"/>
    <n v="0"/>
    <n v="73"/>
    <n v="0"/>
    <n v="3209"/>
    <n v="300.85000000000002"/>
    <n v="57.38"/>
    <n v="63"/>
    <n v="25.18"/>
    <n v="3.18"/>
    <n v="1042560"/>
    <n v="0"/>
    <n v="1042560"/>
    <n v="184132"/>
    <n v="202167"/>
    <n v="0"/>
    <n v="87258"/>
    <n v="11020"/>
    <n v="1527137"/>
    <n v="95234"/>
    <n v="1431903"/>
    <n v="848597"/>
    <n v="583306"/>
  </r>
  <r>
    <s v="11"/>
    <x v="5"/>
    <x v="199"/>
    <x v="199"/>
    <n v="52.04"/>
    <n v="626.29999999999995"/>
    <n v="678.34"/>
    <n v="0"/>
    <n v="9"/>
    <n v="0"/>
    <n v="635"/>
    <n v="300.85000000000002"/>
    <n v="57.38"/>
    <n v="63"/>
    <n v="25.18"/>
    <n v="3.18"/>
    <n v="204079"/>
    <n v="0"/>
    <n v="204079"/>
    <n v="36436"/>
    <n v="40005"/>
    <n v="0"/>
    <n v="17081"/>
    <n v="2157"/>
    <n v="299758"/>
    <n v="31557"/>
    <n v="268201"/>
    <n v="153196"/>
    <n v="115005"/>
  </r>
  <r>
    <s v="11"/>
    <x v="5"/>
    <x v="200"/>
    <x v="200"/>
    <n v="113.86"/>
    <n v="1063.4000000000001"/>
    <n v="1177.26"/>
    <n v="0"/>
    <n v="18"/>
    <n v="0"/>
    <n v="1081"/>
    <n v="300.85000000000002"/>
    <n v="57.38"/>
    <n v="63"/>
    <n v="25.18"/>
    <n v="3.18"/>
    <n v="354179"/>
    <n v="0"/>
    <n v="354179"/>
    <n v="62028"/>
    <n v="68103"/>
    <n v="0"/>
    <n v="29643"/>
    <n v="3744"/>
    <n v="517697"/>
    <n v="44572"/>
    <n v="473125"/>
    <n v="276066"/>
    <n v="197059"/>
  </r>
  <r>
    <s v="11"/>
    <x v="5"/>
    <x v="201"/>
    <x v="201"/>
    <n v="92.32"/>
    <n v="694.9"/>
    <n v="787.22"/>
    <n v="0"/>
    <n v="2"/>
    <n v="0"/>
    <n v="697"/>
    <n v="300.85000000000002"/>
    <n v="57.38"/>
    <n v="63"/>
    <n v="25.18"/>
    <n v="3.18"/>
    <n v="236835"/>
    <n v="0"/>
    <n v="236835"/>
    <n v="39994"/>
    <n v="43911"/>
    <n v="0"/>
    <n v="19822"/>
    <n v="2503"/>
    <n v="343065"/>
    <n v="32669"/>
    <n v="310396"/>
    <n v="181738"/>
    <n v="128658"/>
  </r>
  <r>
    <s v="11"/>
    <x v="5"/>
    <x v="202"/>
    <x v="202"/>
    <n v="240.81"/>
    <n v="2187"/>
    <n v="2427.81"/>
    <n v="0"/>
    <n v="597"/>
    <n v="3.5"/>
    <n v="2781"/>
    <n v="300.85000000000002"/>
    <n v="57.38"/>
    <n v="63"/>
    <n v="25.18"/>
    <n v="3.18"/>
    <n v="730407"/>
    <n v="0"/>
    <n v="730407"/>
    <n v="159574"/>
    <n v="175203"/>
    <n v="0"/>
    <n v="61132"/>
    <n v="7720"/>
    <n v="1134036"/>
    <n v="94924"/>
    <n v="1039112"/>
    <n v="566314"/>
    <n v="472798"/>
  </r>
  <r>
    <s v="11"/>
    <x v="5"/>
    <x v="203"/>
    <x v="203"/>
    <n v="208.66"/>
    <n v="1811.9"/>
    <n v="2020.56"/>
    <n v="0"/>
    <n v="106"/>
    <n v="7.5"/>
    <n v="1910"/>
    <n v="300.85000000000002"/>
    <n v="57.38"/>
    <n v="63"/>
    <n v="25.18"/>
    <n v="3.18"/>
    <n v="607885"/>
    <n v="0"/>
    <n v="607885"/>
    <n v="109596"/>
    <n v="120330"/>
    <n v="0"/>
    <n v="50878"/>
    <n v="6425"/>
    <n v="895114"/>
    <n v="80425"/>
    <n v="814689"/>
    <n v="469895"/>
    <n v="344794"/>
  </r>
  <r>
    <s v="11"/>
    <x v="5"/>
    <x v="204"/>
    <x v="204"/>
    <n v="94.35"/>
    <n v="669"/>
    <n v="763.35"/>
    <n v="0"/>
    <n v="3"/>
    <n v="0"/>
    <n v="672"/>
    <n v="300.85000000000002"/>
    <n v="57.38"/>
    <n v="63"/>
    <n v="25.18"/>
    <n v="3.18"/>
    <n v="229654"/>
    <n v="0"/>
    <n v="229654"/>
    <n v="38559"/>
    <n v="42336"/>
    <n v="0"/>
    <n v="19221"/>
    <n v="2427"/>
    <n v="332197"/>
    <n v="30464"/>
    <n v="301733"/>
    <n v="177441"/>
    <n v="124292"/>
  </r>
  <r>
    <s v="11"/>
    <x v="5"/>
    <x v="205"/>
    <x v="205"/>
    <n v="79.069999999999993"/>
    <n v="1004.9"/>
    <n v="1083.97"/>
    <n v="0"/>
    <n v="10"/>
    <n v="0"/>
    <n v="1015"/>
    <n v="300.85000000000002"/>
    <n v="57.38"/>
    <n v="63"/>
    <n v="25.18"/>
    <n v="3.18"/>
    <n v="326112"/>
    <n v="3917"/>
    <n v="330029"/>
    <n v="58241"/>
    <n v="63945"/>
    <n v="0"/>
    <n v="27477"/>
    <n v="3481"/>
    <n v="483173"/>
    <n v="47283"/>
    <n v="435890"/>
    <n v="248164"/>
    <n v="187726"/>
  </r>
  <r>
    <s v="11"/>
    <x v="5"/>
    <x v="206"/>
    <x v="206"/>
    <n v="142.03"/>
    <n v="1140.5999999999999"/>
    <n v="1282.6300000000001"/>
    <n v="0"/>
    <n v="52"/>
    <n v="0.1"/>
    <n v="1193"/>
    <n v="300.85000000000002"/>
    <n v="57.38"/>
    <n v="63"/>
    <n v="25.18"/>
    <n v="3.18"/>
    <n v="385879"/>
    <n v="0"/>
    <n v="385879"/>
    <n v="68454"/>
    <n v="75159"/>
    <n v="0"/>
    <n v="32297"/>
    <n v="4079"/>
    <n v="565868"/>
    <n v="66136"/>
    <n v="499732"/>
    <n v="283202"/>
    <n v="216530"/>
  </r>
  <r>
    <s v="11"/>
    <x v="5"/>
    <x v="207"/>
    <x v="207"/>
    <n v="863.14"/>
    <n v="6992.2"/>
    <n v="7855.34"/>
    <n v="0"/>
    <n v="287"/>
    <n v="0"/>
    <n v="7279"/>
    <n v="300.85000000000002"/>
    <n v="57.38"/>
    <n v="63"/>
    <n v="25.18"/>
    <n v="3.18"/>
    <n v="2363279"/>
    <n v="0"/>
    <n v="2363279"/>
    <n v="417669"/>
    <n v="458577"/>
    <n v="0"/>
    <n v="197797"/>
    <n v="24980"/>
    <n v="3462302"/>
    <n v="198481"/>
    <n v="3263821"/>
    <n v="1940999"/>
    <n v="1322822"/>
  </r>
  <r>
    <s v="11"/>
    <x v="5"/>
    <x v="208"/>
    <x v="208"/>
    <n v="70.760000000000005"/>
    <n v="533.79999999999995"/>
    <n v="604.55999999999995"/>
    <n v="0"/>
    <n v="0"/>
    <n v="0"/>
    <n v="534"/>
    <n v="300.85000000000002"/>
    <n v="57.38"/>
    <n v="63"/>
    <n v="25.18"/>
    <n v="3.18"/>
    <n v="181882"/>
    <n v="6522"/>
    <n v="188404"/>
    <n v="30641"/>
    <n v="33642"/>
    <n v="0"/>
    <n v="15223"/>
    <n v="1923"/>
    <n v="269833"/>
    <n v="26643"/>
    <n v="243190"/>
    <n v="138016"/>
    <n v="105174"/>
  </r>
  <r>
    <s v="11"/>
    <x v="5"/>
    <x v="209"/>
    <x v="209"/>
    <n v="62.09"/>
    <n v="323.60000000000002"/>
    <n v="385.69"/>
    <n v="0"/>
    <n v="12"/>
    <n v="0"/>
    <n v="336"/>
    <n v="300.85000000000002"/>
    <n v="57.38"/>
    <n v="63"/>
    <n v="25.18"/>
    <n v="3.18"/>
    <n v="116035"/>
    <n v="2264"/>
    <n v="118299"/>
    <n v="19280"/>
    <n v="21168"/>
    <n v="0"/>
    <n v="9712"/>
    <n v="1226"/>
    <n v="169685"/>
    <n v="20920"/>
    <n v="148765"/>
    <n v="84126"/>
    <n v="64639"/>
  </r>
  <r>
    <s v="11"/>
    <x v="5"/>
    <x v="210"/>
    <x v="210"/>
    <n v="48.32"/>
    <n v="403.3"/>
    <n v="451.62"/>
    <n v="0"/>
    <n v="6"/>
    <n v="0"/>
    <n v="409"/>
    <n v="300.85000000000002"/>
    <n v="57.38"/>
    <n v="63"/>
    <n v="25.18"/>
    <n v="3.18"/>
    <n v="135870"/>
    <n v="0"/>
    <n v="135870"/>
    <n v="23468"/>
    <n v="25767"/>
    <n v="0"/>
    <n v="11372"/>
    <n v="1436"/>
    <n v="197913"/>
    <n v="19730"/>
    <n v="178183"/>
    <n v="103273"/>
    <n v="74910"/>
  </r>
  <r>
    <s v="11"/>
    <x v="5"/>
    <x v="211"/>
    <x v="211"/>
    <n v="367.23"/>
    <n v="3438"/>
    <n v="3805.23"/>
    <n v="0"/>
    <n v="431"/>
    <n v="1"/>
    <n v="3868"/>
    <n v="300.85000000000002"/>
    <n v="57.38"/>
    <n v="63"/>
    <n v="25.18"/>
    <n v="3.18"/>
    <n v="1144803"/>
    <n v="0"/>
    <n v="1144803"/>
    <n v="221946"/>
    <n v="243684"/>
    <n v="0"/>
    <n v="95816"/>
    <n v="12101"/>
    <n v="1718350"/>
    <n v="138380"/>
    <n v="1579970"/>
    <n v="898013"/>
    <n v="681957"/>
  </r>
  <r>
    <s v="11"/>
    <x v="5"/>
    <x v="212"/>
    <x v="212"/>
    <n v="49.33"/>
    <n v="754.3"/>
    <n v="803.63"/>
    <n v="0"/>
    <n v="33"/>
    <n v="0"/>
    <n v="787"/>
    <n v="300.85000000000002"/>
    <n v="57.38"/>
    <n v="63"/>
    <n v="25.18"/>
    <n v="3.18"/>
    <n v="241772"/>
    <n v="0"/>
    <n v="241772"/>
    <n v="45158"/>
    <n v="49581"/>
    <n v="0"/>
    <n v="20235"/>
    <n v="2556"/>
    <n v="359302"/>
    <n v="22227"/>
    <n v="337075"/>
    <n v="196650"/>
    <n v="140425"/>
  </r>
  <r>
    <s v="11"/>
    <x v="5"/>
    <x v="213"/>
    <x v="213"/>
    <n v="1029.04"/>
    <n v="11701.4"/>
    <n v="12730.44"/>
    <n v="0"/>
    <n v="1127"/>
    <n v="0.4"/>
    <n v="12828"/>
    <n v="300.85000000000002"/>
    <n v="57.38"/>
    <n v="63"/>
    <n v="25.18"/>
    <n v="3.18"/>
    <n v="3829953"/>
    <n v="0"/>
    <n v="3829953"/>
    <n v="736071"/>
    <n v="808164"/>
    <n v="0"/>
    <n v="320552"/>
    <n v="40483"/>
    <n v="5735223"/>
    <n v="115205"/>
    <n v="5620018"/>
    <n v="3352057"/>
    <n v="2267961"/>
  </r>
  <r>
    <s v="11"/>
    <x v="5"/>
    <x v="214"/>
    <x v="214"/>
    <n v="151.44999999999999"/>
    <n v="953.5"/>
    <n v="1104.95"/>
    <n v="0"/>
    <n v="0"/>
    <n v="0"/>
    <n v="954"/>
    <n v="300.85000000000002"/>
    <n v="57.38"/>
    <n v="63"/>
    <n v="25.18"/>
    <n v="3.18"/>
    <n v="332424"/>
    <n v="0"/>
    <n v="332424"/>
    <n v="54741"/>
    <n v="60102"/>
    <n v="0"/>
    <n v="27823"/>
    <n v="3514"/>
    <n v="478604"/>
    <n v="43965"/>
    <n v="434639"/>
    <n v="256980"/>
    <n v="177659"/>
  </r>
  <r>
    <s v="11"/>
    <x v="5"/>
    <x v="215"/>
    <x v="215"/>
    <n v="1058.08"/>
    <n v="8989.1"/>
    <n v="10047.18"/>
    <n v="0"/>
    <n v="1282"/>
    <n v="5.7"/>
    <n v="10265"/>
    <n v="300.85000000000002"/>
    <n v="57.38"/>
    <n v="63"/>
    <n v="25.18"/>
    <n v="3.18"/>
    <n v="3022694"/>
    <n v="0"/>
    <n v="3022694"/>
    <n v="589006"/>
    <n v="646695"/>
    <n v="0"/>
    <n v="252988"/>
    <n v="31950"/>
    <n v="4543333"/>
    <n v="390197"/>
    <n v="4153136"/>
    <n v="2346253"/>
    <n v="1806883"/>
  </r>
  <r>
    <s v="11"/>
    <x v="5"/>
    <x v="216"/>
    <x v="216"/>
    <n v="192.75"/>
    <n v="1728"/>
    <n v="1920.75"/>
    <n v="0"/>
    <n v="11"/>
    <n v="0"/>
    <n v="1739"/>
    <n v="300.85000000000002"/>
    <n v="57.38"/>
    <n v="63"/>
    <n v="25.18"/>
    <n v="3.18"/>
    <n v="577858"/>
    <n v="0"/>
    <n v="577858"/>
    <n v="99784"/>
    <n v="109557"/>
    <n v="0"/>
    <n v="48364"/>
    <n v="6108"/>
    <n v="841671"/>
    <n v="70332"/>
    <n v="771339"/>
    <n v="452803"/>
    <n v="318536"/>
  </r>
  <r>
    <s v="11"/>
    <x v="5"/>
    <x v="217"/>
    <x v="217"/>
    <n v="84.72"/>
    <n v="980"/>
    <n v="1064.72"/>
    <n v="0"/>
    <n v="44"/>
    <n v="0"/>
    <n v="1024"/>
    <n v="300.85000000000002"/>
    <n v="57.38"/>
    <n v="63"/>
    <n v="25.18"/>
    <n v="3.18"/>
    <n v="320321"/>
    <n v="0"/>
    <n v="320321"/>
    <n v="58757"/>
    <n v="64512"/>
    <n v="0"/>
    <n v="26810"/>
    <n v="3386"/>
    <n v="473786"/>
    <n v="30067"/>
    <n v="443719"/>
    <n v="259921"/>
    <n v="183798"/>
  </r>
  <r>
    <s v="12"/>
    <x v="6"/>
    <x v="218"/>
    <x v="218"/>
    <n v="80"/>
    <n v="577.4"/>
    <n v="657.4"/>
    <n v="0"/>
    <n v="11"/>
    <n v="0"/>
    <n v="588"/>
    <n v="315.49"/>
    <n v="57.79"/>
    <n v="64.78"/>
    <n v="31.74"/>
    <n v="3.79"/>
    <n v="207403"/>
    <n v="0"/>
    <n v="207403"/>
    <n v="33981"/>
    <n v="38091"/>
    <n v="0"/>
    <n v="20866"/>
    <n v="2492"/>
    <n v="302833"/>
    <n v="26925"/>
    <n v="275908"/>
    <n v="156839"/>
    <n v="119069"/>
  </r>
  <r>
    <s v="12"/>
    <x v="6"/>
    <x v="219"/>
    <x v="219"/>
    <n v="41.48"/>
    <n v="274"/>
    <n v="315.48"/>
    <n v="0"/>
    <n v="71"/>
    <n v="0"/>
    <n v="345"/>
    <n v="315.49"/>
    <n v="57.79"/>
    <n v="64.78"/>
    <n v="31.74"/>
    <n v="3.79"/>
    <n v="99531"/>
    <n v="5796"/>
    <n v="105327"/>
    <n v="19938"/>
    <n v="22349"/>
    <n v="0"/>
    <n v="10013"/>
    <n v="1196"/>
    <n v="158823"/>
    <n v="20681"/>
    <n v="138142"/>
    <n v="67505"/>
    <n v="70637"/>
  </r>
  <r>
    <s v="12"/>
    <x v="6"/>
    <x v="220"/>
    <x v="220"/>
    <n v="71.37"/>
    <n v="588.6"/>
    <n v="659.97"/>
    <n v="0"/>
    <n v="577"/>
    <n v="8.6"/>
    <n v="1157"/>
    <n v="315.49"/>
    <n v="57.79"/>
    <n v="64.78"/>
    <n v="31.74"/>
    <n v="3.79"/>
    <n v="208214"/>
    <n v="0"/>
    <n v="208214"/>
    <n v="66863"/>
    <n v="74950"/>
    <n v="0"/>
    <n v="20947"/>
    <n v="2501"/>
    <n v="373475"/>
    <n v="31059"/>
    <n v="342416"/>
    <n v="153422"/>
    <n v="188994"/>
  </r>
  <r>
    <s v="12"/>
    <x v="6"/>
    <x v="221"/>
    <x v="221"/>
    <n v="89.34"/>
    <n v="756.7"/>
    <n v="846.04"/>
    <n v="0"/>
    <n v="118"/>
    <n v="0"/>
    <n v="875"/>
    <n v="315.49"/>
    <n v="57.79"/>
    <n v="64.78"/>
    <n v="31.74"/>
    <n v="3.79"/>
    <n v="266917"/>
    <n v="0"/>
    <n v="266917"/>
    <n v="50566"/>
    <n v="56683"/>
    <n v="0"/>
    <n v="26853"/>
    <n v="3206"/>
    <n v="404225"/>
    <n v="34843"/>
    <n v="369382"/>
    <n v="201650"/>
    <n v="167732"/>
  </r>
  <r>
    <s v="12"/>
    <x v="6"/>
    <x v="222"/>
    <x v="222"/>
    <n v="41.61"/>
    <n v="265.60000000000002"/>
    <n v="307.20999999999998"/>
    <n v="0"/>
    <n v="2"/>
    <n v="0"/>
    <n v="268"/>
    <n v="315.49"/>
    <n v="57.79"/>
    <n v="64.78"/>
    <n v="31.74"/>
    <n v="3.79"/>
    <n v="96922"/>
    <n v="2759"/>
    <n v="99681"/>
    <n v="15488"/>
    <n v="17361"/>
    <n v="0"/>
    <n v="9769"/>
    <n v="1168"/>
    <n v="143467"/>
    <n v="17747"/>
    <n v="125720"/>
    <n v="68149"/>
    <n v="57571"/>
  </r>
  <r>
    <s v="12"/>
    <x v="6"/>
    <x v="223"/>
    <x v="223"/>
    <n v="141.66"/>
    <n v="1027.0999999999999"/>
    <n v="1168.76"/>
    <n v="0"/>
    <n v="0"/>
    <n v="0"/>
    <n v="1027"/>
    <n v="315.49"/>
    <n v="57.79"/>
    <n v="64.78"/>
    <n v="31.74"/>
    <n v="3.79"/>
    <n v="368732"/>
    <n v="0"/>
    <n v="368732"/>
    <n v="59350"/>
    <n v="66529"/>
    <n v="0"/>
    <n v="37096"/>
    <n v="4430"/>
    <n v="536137"/>
    <n v="53299"/>
    <n v="482838"/>
    <n v="273404"/>
    <n v="209434"/>
  </r>
  <r>
    <s v="12"/>
    <x v="6"/>
    <x v="224"/>
    <x v="224"/>
    <n v="274.89"/>
    <n v="2169"/>
    <n v="2443.89"/>
    <n v="0"/>
    <n v="150"/>
    <n v="0.3"/>
    <n v="2319"/>
    <n v="315.49"/>
    <n v="57.79"/>
    <n v="64.78"/>
    <n v="31.74"/>
    <n v="3.79"/>
    <n v="771023"/>
    <n v="0"/>
    <n v="771023"/>
    <n v="134015"/>
    <n v="150225"/>
    <n v="0"/>
    <n v="77569"/>
    <n v="9262"/>
    <n v="1142094"/>
    <n v="77738"/>
    <n v="1064356"/>
    <n v="605402"/>
    <n v="458954"/>
  </r>
  <r>
    <s v="12"/>
    <x v="6"/>
    <x v="225"/>
    <x v="225"/>
    <n v="42.03"/>
    <n v="454"/>
    <n v="496.03"/>
    <n v="0"/>
    <n v="1"/>
    <n v="0"/>
    <n v="455"/>
    <n v="315.49"/>
    <n v="57.79"/>
    <n v="64.78"/>
    <n v="31.74"/>
    <n v="3.79"/>
    <n v="156493"/>
    <n v="0"/>
    <n v="156493"/>
    <n v="26294"/>
    <n v="29475"/>
    <n v="0"/>
    <n v="15744"/>
    <n v="1880"/>
    <n v="229886"/>
    <n v="25821"/>
    <n v="204065"/>
    <n v="112834"/>
    <n v="91231"/>
  </r>
  <r>
    <s v="12"/>
    <x v="6"/>
    <x v="226"/>
    <x v="226"/>
    <n v="46.81"/>
    <n v="418.1"/>
    <n v="464.91"/>
    <n v="0"/>
    <n v="7"/>
    <n v="0"/>
    <n v="425"/>
    <n v="315.49"/>
    <n v="57.79"/>
    <n v="64.78"/>
    <n v="31.74"/>
    <n v="3.79"/>
    <n v="146674"/>
    <n v="4790"/>
    <n v="151464"/>
    <n v="24561"/>
    <n v="27532"/>
    <n v="0"/>
    <n v="14756"/>
    <n v="1762"/>
    <n v="220075"/>
    <n v="24051"/>
    <n v="196024"/>
    <n v="105905"/>
    <n v="90119"/>
  </r>
  <r>
    <s v="12"/>
    <x v="6"/>
    <x v="227"/>
    <x v="227"/>
    <n v="117.37"/>
    <n v="617.5"/>
    <n v="734.87"/>
    <n v="0"/>
    <n v="98"/>
    <n v="0"/>
    <n v="716"/>
    <n v="315.49"/>
    <n v="57.79"/>
    <n v="64.78"/>
    <n v="31.74"/>
    <n v="3.79"/>
    <n v="231844"/>
    <n v="0"/>
    <n v="231844"/>
    <n v="41378"/>
    <n v="46382"/>
    <n v="0"/>
    <n v="23325"/>
    <n v="2785"/>
    <n v="345714"/>
    <n v="41896"/>
    <n v="303818"/>
    <n v="163522"/>
    <n v="140296"/>
  </r>
  <r>
    <s v="12"/>
    <x v="6"/>
    <x v="228"/>
    <x v="228"/>
    <n v="46.93"/>
    <n v="529.1"/>
    <n v="576.03"/>
    <n v="0"/>
    <n v="20"/>
    <n v="0"/>
    <n v="549"/>
    <n v="315.49"/>
    <n v="57.79"/>
    <n v="64.78"/>
    <n v="31.74"/>
    <n v="3.79"/>
    <n v="181732"/>
    <n v="0"/>
    <n v="181732"/>
    <n v="31727"/>
    <n v="35564"/>
    <n v="0"/>
    <n v="18283"/>
    <n v="2183"/>
    <n v="269489"/>
    <n v="25986"/>
    <n v="243503"/>
    <n v="135031"/>
    <n v="108472"/>
  </r>
  <r>
    <s v="12"/>
    <x v="6"/>
    <x v="229"/>
    <x v="229"/>
    <n v="46.08"/>
    <n v="458.7"/>
    <n v="504.78"/>
    <n v="0"/>
    <n v="4"/>
    <n v="0"/>
    <n v="463"/>
    <n v="315.49"/>
    <n v="57.79"/>
    <n v="64.78"/>
    <n v="31.74"/>
    <n v="3.79"/>
    <n v="159253"/>
    <n v="3972"/>
    <n v="163225"/>
    <n v="26757"/>
    <n v="29993"/>
    <n v="0"/>
    <n v="16022"/>
    <n v="1913"/>
    <n v="237910"/>
    <n v="21764"/>
    <n v="216146"/>
    <n v="119337"/>
    <n v="96809"/>
  </r>
  <r>
    <s v="12"/>
    <x v="6"/>
    <x v="230"/>
    <x v="230"/>
    <n v="59.13"/>
    <n v="610.1"/>
    <n v="669.23"/>
    <n v="0"/>
    <n v="17"/>
    <n v="0"/>
    <n v="627"/>
    <n v="315.49"/>
    <n v="57.79"/>
    <n v="64.78"/>
    <n v="31.74"/>
    <n v="3.79"/>
    <n v="211135"/>
    <n v="0"/>
    <n v="211135"/>
    <n v="36234"/>
    <n v="40617"/>
    <n v="0"/>
    <n v="21241"/>
    <n v="2536"/>
    <n v="311763"/>
    <n v="28228"/>
    <n v="283535"/>
    <n v="158841"/>
    <n v="124694"/>
  </r>
  <r>
    <s v="12"/>
    <x v="6"/>
    <x v="231"/>
    <x v="231"/>
    <n v="312.48"/>
    <n v="2208.1"/>
    <n v="2520.58"/>
    <n v="0"/>
    <n v="443"/>
    <n v="0.7"/>
    <n v="2650"/>
    <n v="315.49"/>
    <n v="57.79"/>
    <n v="64.78"/>
    <n v="31.74"/>
    <n v="3.79"/>
    <n v="795218"/>
    <n v="7379"/>
    <n v="802597"/>
    <n v="153144"/>
    <n v="171667"/>
    <n v="0"/>
    <n v="80715"/>
    <n v="9650"/>
    <n v="1217773"/>
    <n v="105133"/>
    <n v="1112640"/>
    <n v="600254"/>
    <n v="512386"/>
  </r>
  <r>
    <s v="12"/>
    <x v="6"/>
    <x v="232"/>
    <x v="232"/>
    <n v="72.040000000000006"/>
    <n v="600.79999999999995"/>
    <n v="672.84"/>
    <n v="0"/>
    <n v="28"/>
    <n v="0"/>
    <n v="629"/>
    <n v="315.49"/>
    <n v="57.79"/>
    <n v="64.78"/>
    <n v="31.74"/>
    <n v="3.79"/>
    <n v="212274"/>
    <n v="23103"/>
    <n v="235377"/>
    <n v="36350"/>
    <n v="40747"/>
    <n v="0"/>
    <n v="21356"/>
    <n v="2550"/>
    <n v="336380"/>
    <n v="42589"/>
    <n v="293791"/>
    <n v="145490"/>
    <n v="148301"/>
  </r>
  <r>
    <s v="12"/>
    <x v="6"/>
    <x v="233"/>
    <x v="233"/>
    <n v="56.45"/>
    <n v="444.1"/>
    <n v="500.55"/>
    <n v="0"/>
    <n v="8"/>
    <n v="0"/>
    <n v="452"/>
    <n v="315.49"/>
    <n v="57.79"/>
    <n v="64.78"/>
    <n v="31.74"/>
    <n v="3.79"/>
    <n v="157919"/>
    <n v="0"/>
    <n v="157919"/>
    <n v="26121"/>
    <n v="29281"/>
    <n v="0"/>
    <n v="15887"/>
    <n v="1897"/>
    <n v="231105"/>
    <n v="28045"/>
    <n v="203060"/>
    <n v="111873"/>
    <n v="91187"/>
  </r>
  <r>
    <s v="12"/>
    <x v="6"/>
    <x v="234"/>
    <x v="234"/>
    <n v="180.73"/>
    <n v="1486.5"/>
    <n v="1667.23"/>
    <n v="0"/>
    <n v="533"/>
    <n v="13.8"/>
    <n v="2006"/>
    <n v="315.49"/>
    <n v="57.79"/>
    <n v="64.78"/>
    <n v="31.74"/>
    <n v="3.79"/>
    <n v="525994"/>
    <n v="0"/>
    <n v="525994"/>
    <n v="115927"/>
    <n v="129949"/>
    <n v="0"/>
    <n v="52918"/>
    <n v="6319"/>
    <n v="831107"/>
    <n v="71335"/>
    <n v="759772"/>
    <n v="394706"/>
    <n v="365066"/>
  </r>
  <r>
    <s v="12"/>
    <x v="6"/>
    <x v="235"/>
    <x v="235"/>
    <n v="112.33"/>
    <n v="994.8"/>
    <n v="1107.1300000000001"/>
    <n v="0"/>
    <n v="21"/>
    <n v="0"/>
    <n v="1016"/>
    <n v="315.49"/>
    <n v="57.79"/>
    <n v="64.78"/>
    <n v="31.74"/>
    <n v="3.79"/>
    <n v="349288"/>
    <n v="0"/>
    <n v="349288"/>
    <n v="58715"/>
    <n v="65816"/>
    <n v="0"/>
    <n v="35140"/>
    <n v="4196"/>
    <n v="513155"/>
    <n v="58024"/>
    <n v="455131"/>
    <n v="251452"/>
    <n v="203679"/>
  </r>
  <r>
    <s v="12"/>
    <x v="6"/>
    <x v="236"/>
    <x v="236"/>
    <n v="52.66"/>
    <n v="319.7"/>
    <n v="372.36"/>
    <n v="0"/>
    <n v="192"/>
    <n v="4.7"/>
    <n v="507"/>
    <n v="315.49"/>
    <n v="57.79"/>
    <n v="64.78"/>
    <n v="31.74"/>
    <n v="3.79"/>
    <n v="117476"/>
    <n v="14522"/>
    <n v="131998"/>
    <n v="29300"/>
    <n v="32843"/>
    <n v="0"/>
    <n v="11819"/>
    <n v="1411"/>
    <n v="207371"/>
    <n v="24390"/>
    <n v="182981"/>
    <n v="79696"/>
    <n v="103285"/>
  </r>
  <r>
    <s v="12"/>
    <x v="6"/>
    <x v="237"/>
    <x v="237"/>
    <n v="56.68"/>
    <n v="388"/>
    <n v="444.68"/>
    <n v="0"/>
    <n v="0"/>
    <n v="0"/>
    <n v="388"/>
    <n v="315.49"/>
    <n v="57.79"/>
    <n v="64.78"/>
    <n v="31.74"/>
    <n v="3.79"/>
    <n v="140292"/>
    <n v="5103"/>
    <n v="145395"/>
    <n v="22423"/>
    <n v="25135"/>
    <n v="0"/>
    <n v="14227"/>
    <n v="1701"/>
    <n v="208881"/>
    <n v="24876"/>
    <n v="184005"/>
    <n v="99554"/>
    <n v="84451"/>
  </r>
  <r>
    <s v="12"/>
    <x v="6"/>
    <x v="238"/>
    <x v="238"/>
    <n v="106.3"/>
    <n v="847.6"/>
    <n v="953.9"/>
    <n v="0"/>
    <n v="380"/>
    <n v="0.4"/>
    <n v="1227"/>
    <n v="315.49"/>
    <n v="57.79"/>
    <n v="64.78"/>
    <n v="31.74"/>
    <n v="3.79"/>
    <n v="300946"/>
    <n v="0"/>
    <n v="300946"/>
    <n v="70908"/>
    <n v="79485"/>
    <n v="0"/>
    <n v="30277"/>
    <n v="3615"/>
    <n v="485231"/>
    <n v="28717"/>
    <n v="456514"/>
    <n v="237927"/>
    <n v="218587"/>
  </r>
  <r>
    <s v="12"/>
    <x v="6"/>
    <x v="239"/>
    <x v="239"/>
    <n v="37.950000000000003"/>
    <n v="249"/>
    <n v="286.95"/>
    <n v="0"/>
    <n v="1"/>
    <n v="0"/>
    <n v="250"/>
    <n v="315.49"/>
    <n v="57.79"/>
    <n v="64.78"/>
    <n v="31.74"/>
    <n v="3.79"/>
    <n v="90530"/>
    <n v="14429"/>
    <n v="104959"/>
    <n v="14448"/>
    <n v="16195"/>
    <n v="0"/>
    <n v="9424"/>
    <n v="1127"/>
    <n v="146153"/>
    <n v="13977"/>
    <n v="132176"/>
    <n v="66590"/>
    <n v="65586"/>
  </r>
  <r>
    <s v="12"/>
    <x v="6"/>
    <x v="240"/>
    <x v="240"/>
    <n v="206.28"/>
    <n v="1422.7"/>
    <n v="1628.98"/>
    <n v="0"/>
    <n v="34"/>
    <n v="0"/>
    <n v="1457"/>
    <n v="315.49"/>
    <n v="57.79"/>
    <n v="64.78"/>
    <n v="31.74"/>
    <n v="3.79"/>
    <n v="513927"/>
    <n v="0"/>
    <n v="513927"/>
    <n v="84200"/>
    <n v="94384"/>
    <n v="0"/>
    <n v="51704"/>
    <n v="6174"/>
    <n v="750389"/>
    <n v="56471"/>
    <n v="693918"/>
    <n v="398878"/>
    <n v="295040"/>
  </r>
  <r>
    <s v="12"/>
    <x v="6"/>
    <x v="241"/>
    <x v="241"/>
    <n v="160.97"/>
    <n v="1072"/>
    <n v="1232.97"/>
    <n v="0"/>
    <n v="159"/>
    <n v="3.2"/>
    <n v="1228"/>
    <n v="315.49"/>
    <n v="57.79"/>
    <n v="64.78"/>
    <n v="31.74"/>
    <n v="3.79"/>
    <n v="388990"/>
    <n v="0"/>
    <n v="388990"/>
    <n v="70966"/>
    <n v="79550"/>
    <n v="0"/>
    <n v="39134"/>
    <n v="4673"/>
    <n v="583313"/>
    <n v="53257"/>
    <n v="530056"/>
    <n v="291395"/>
    <n v="238661"/>
  </r>
  <r>
    <s v="12"/>
    <x v="6"/>
    <x v="242"/>
    <x v="242"/>
    <n v="66.5"/>
    <n v="735.3"/>
    <n v="801.8"/>
    <n v="0"/>
    <n v="14"/>
    <n v="0"/>
    <n v="749"/>
    <n v="315.49"/>
    <n v="57.79"/>
    <n v="64.78"/>
    <n v="31.74"/>
    <n v="3.79"/>
    <n v="252960"/>
    <n v="2588"/>
    <n v="255548"/>
    <n v="43285"/>
    <n v="48520"/>
    <n v="0"/>
    <n v="25449"/>
    <n v="3039"/>
    <n v="375841"/>
    <n v="43971"/>
    <n v="331870"/>
    <n v="180156"/>
    <n v="151714"/>
  </r>
  <r>
    <s v="12"/>
    <x v="6"/>
    <x v="243"/>
    <x v="243"/>
    <n v="181.19"/>
    <n v="1420.6"/>
    <n v="1601.79"/>
    <n v="0"/>
    <n v="680"/>
    <n v="0"/>
    <n v="2101"/>
    <n v="315.49"/>
    <n v="57.79"/>
    <n v="64.78"/>
    <n v="31.74"/>
    <n v="3.79"/>
    <n v="505349"/>
    <n v="0"/>
    <n v="505349"/>
    <n v="121417"/>
    <n v="136103"/>
    <n v="0"/>
    <n v="50841"/>
    <n v="6071"/>
    <n v="819781"/>
    <n v="48328"/>
    <n v="771453"/>
    <n v="399421"/>
    <n v="372032"/>
  </r>
  <r>
    <s v="12"/>
    <x v="6"/>
    <x v="244"/>
    <x v="244"/>
    <n v="2381.4699999999998"/>
    <n v="15016.9"/>
    <n v="17398.37"/>
    <n v="0"/>
    <n v="1394"/>
    <n v="11.9"/>
    <n v="16399"/>
    <n v="315.49"/>
    <n v="57.79"/>
    <n v="64.78"/>
    <n v="31.74"/>
    <n v="3.79"/>
    <n v="5489012"/>
    <n v="0"/>
    <n v="5489012"/>
    <n v="947698"/>
    <n v="1062327"/>
    <n v="0"/>
    <n v="552224"/>
    <n v="65940"/>
    <n v="8117201"/>
    <n v="680000"/>
    <n v="7437201"/>
    <n v="4183366"/>
    <n v="3253835"/>
  </r>
  <r>
    <s v="12"/>
    <x v="6"/>
    <x v="245"/>
    <x v="245"/>
    <n v="102.21"/>
    <n v="606.1"/>
    <n v="708.31"/>
    <n v="0"/>
    <n v="18"/>
    <n v="1.6"/>
    <n v="623"/>
    <n v="315.49"/>
    <n v="57.79"/>
    <n v="64.78"/>
    <n v="31.74"/>
    <n v="3.79"/>
    <n v="223465"/>
    <n v="0"/>
    <n v="223465"/>
    <n v="36003"/>
    <n v="40358"/>
    <n v="0"/>
    <n v="22482"/>
    <n v="2686"/>
    <n v="324994"/>
    <n v="39658"/>
    <n v="285336"/>
    <n v="158338"/>
    <n v="126998"/>
  </r>
  <r>
    <s v="12"/>
    <x v="6"/>
    <x v="246"/>
    <x v="246"/>
    <n v="73.02"/>
    <n v="952.3"/>
    <n v="1025.32"/>
    <n v="0"/>
    <n v="104"/>
    <n v="0"/>
    <n v="1056"/>
    <n v="315.49"/>
    <n v="57.79"/>
    <n v="64.78"/>
    <n v="31.74"/>
    <n v="3.79"/>
    <n v="323478"/>
    <n v="0"/>
    <n v="323478"/>
    <n v="61026"/>
    <n v="68408"/>
    <n v="0"/>
    <n v="32544"/>
    <n v="3886"/>
    <n v="489342"/>
    <n v="39031"/>
    <n v="450311"/>
    <n v="247577"/>
    <n v="202734"/>
  </r>
  <r>
    <s v="12"/>
    <x v="6"/>
    <x v="247"/>
    <x v="247"/>
    <n v="112.95"/>
    <n v="633.70000000000005"/>
    <n v="746.65"/>
    <n v="0"/>
    <n v="4"/>
    <n v="0"/>
    <n v="638"/>
    <n v="315.49"/>
    <n v="57.79"/>
    <n v="64.78"/>
    <n v="31.74"/>
    <n v="3.79"/>
    <n v="235561"/>
    <n v="5051"/>
    <n v="240612"/>
    <n v="36870"/>
    <n v="41330"/>
    <n v="0"/>
    <n v="23699"/>
    <n v="2830"/>
    <n v="345341"/>
    <n v="33583"/>
    <n v="311758"/>
    <n v="175129"/>
    <n v="136629"/>
  </r>
  <r>
    <s v="12"/>
    <x v="6"/>
    <x v="248"/>
    <x v="248"/>
    <n v="121.92"/>
    <n v="877.9"/>
    <n v="999.82"/>
    <n v="0"/>
    <n v="97"/>
    <n v="0.2"/>
    <n v="975"/>
    <n v="315.49"/>
    <n v="57.79"/>
    <n v="64.78"/>
    <n v="31.74"/>
    <n v="3.79"/>
    <n v="315433"/>
    <n v="0"/>
    <n v="315433"/>
    <n v="56345"/>
    <n v="63161"/>
    <n v="0"/>
    <n v="31734"/>
    <n v="3789"/>
    <n v="470462"/>
    <n v="37148"/>
    <n v="433314"/>
    <n v="242331"/>
    <n v="190983"/>
  </r>
  <r>
    <s v="12"/>
    <x v="6"/>
    <x v="249"/>
    <x v="249"/>
    <n v="74.66"/>
    <n v="551.79999999999995"/>
    <n v="626.46"/>
    <n v="0"/>
    <n v="7"/>
    <n v="0"/>
    <n v="559"/>
    <n v="315.49"/>
    <n v="57.79"/>
    <n v="64.78"/>
    <n v="31.74"/>
    <n v="3.79"/>
    <n v="197642"/>
    <n v="148"/>
    <n v="197790"/>
    <n v="32305"/>
    <n v="36212"/>
    <n v="0"/>
    <n v="19891"/>
    <n v="2378"/>
    <n v="288576"/>
    <n v="31987"/>
    <n v="256589"/>
    <n v="143138"/>
    <n v="113451"/>
  </r>
  <r>
    <s v="12"/>
    <x v="6"/>
    <x v="250"/>
    <x v="250"/>
    <n v="28.7"/>
    <n v="189.1"/>
    <n v="217.8"/>
    <n v="0"/>
    <n v="0"/>
    <n v="0"/>
    <n v="189"/>
    <n v="315.49"/>
    <n v="57.79"/>
    <n v="64.78"/>
    <n v="31.74"/>
    <n v="3.79"/>
    <n v="68714"/>
    <n v="4218"/>
    <n v="72932"/>
    <n v="10922"/>
    <n v="12243"/>
    <n v="0"/>
    <n v="7335"/>
    <n v="877"/>
    <n v="104309"/>
    <n v="11015"/>
    <n v="93294"/>
    <n v="50340"/>
    <n v="42954"/>
  </r>
  <r>
    <s v="12"/>
    <x v="6"/>
    <x v="251"/>
    <x v="251"/>
    <n v="90.53"/>
    <n v="557.1"/>
    <n v="647.63"/>
    <n v="0"/>
    <n v="2"/>
    <n v="0"/>
    <n v="559"/>
    <n v="315.49"/>
    <n v="57.79"/>
    <n v="64.78"/>
    <n v="31.74"/>
    <n v="3.79"/>
    <n v="204321"/>
    <n v="0"/>
    <n v="204321"/>
    <n v="32305"/>
    <n v="36212"/>
    <n v="0"/>
    <n v="20556"/>
    <n v="2455"/>
    <n v="295849"/>
    <n v="27534"/>
    <n v="268315"/>
    <n v="153499"/>
    <n v="114816"/>
  </r>
  <r>
    <s v="13"/>
    <x v="7"/>
    <x v="252"/>
    <x v="252"/>
    <n v="94.27"/>
    <n v="780.7"/>
    <n v="874.97"/>
    <n v="1.97"/>
    <n v="3"/>
    <n v="0"/>
    <n v="784"/>
    <n v="308.91000000000003"/>
    <n v="57.51"/>
    <n v="63.58"/>
    <n v="31.72"/>
    <n v="3.4"/>
    <n v="270287"/>
    <n v="0"/>
    <n v="270287"/>
    <n v="45088"/>
    <n v="49847"/>
    <n v="609"/>
    <n v="27754"/>
    <n v="2975"/>
    <n v="396560"/>
    <n v="42239"/>
    <n v="354321"/>
    <n v="202463"/>
    <n v="151858"/>
  </r>
  <r>
    <s v="13"/>
    <x v="7"/>
    <x v="253"/>
    <x v="253"/>
    <n v="219.61"/>
    <n v="1334.3"/>
    <n v="1553.91"/>
    <n v="3.5"/>
    <n v="0"/>
    <n v="0"/>
    <n v="1334"/>
    <n v="308.91000000000003"/>
    <n v="57.51"/>
    <n v="63.58"/>
    <n v="31.72"/>
    <n v="3.4"/>
    <n v="480018"/>
    <n v="0"/>
    <n v="480018"/>
    <n v="76718"/>
    <n v="84816"/>
    <n v="1081"/>
    <n v="49290"/>
    <n v="5283"/>
    <n v="697206"/>
    <n v="68797"/>
    <n v="628409"/>
    <n v="365784"/>
    <n v="262625"/>
  </r>
  <r>
    <s v="13"/>
    <x v="7"/>
    <x v="254"/>
    <x v="254"/>
    <n v="64.59"/>
    <n v="499"/>
    <n v="563.59"/>
    <n v="1.27"/>
    <n v="4"/>
    <n v="0"/>
    <n v="503"/>
    <n v="308.91000000000003"/>
    <n v="57.51"/>
    <n v="63.58"/>
    <n v="31.72"/>
    <n v="3.4"/>
    <n v="174099"/>
    <n v="0"/>
    <n v="174099"/>
    <n v="28928"/>
    <n v="31981"/>
    <n v="392"/>
    <n v="17877"/>
    <n v="1916"/>
    <n v="255193"/>
    <n v="29839"/>
    <n v="225354"/>
    <n v="127780"/>
    <n v="97574"/>
  </r>
  <r>
    <s v="13"/>
    <x v="7"/>
    <x v="255"/>
    <x v="255"/>
    <n v="58.15"/>
    <n v="401.3"/>
    <n v="459.45"/>
    <n v="1.04"/>
    <n v="3"/>
    <n v="0"/>
    <n v="404"/>
    <n v="308.91000000000003"/>
    <n v="57.51"/>
    <n v="63.58"/>
    <n v="31.72"/>
    <n v="3.4"/>
    <n v="141929"/>
    <n v="1402"/>
    <n v="143331"/>
    <n v="23234"/>
    <n v="25686"/>
    <n v="321"/>
    <n v="14574"/>
    <n v="1562"/>
    <n v="208708"/>
    <n v="25701"/>
    <n v="183007"/>
    <n v="102795"/>
    <n v="80212"/>
  </r>
  <r>
    <s v="13"/>
    <x v="7"/>
    <x v="256"/>
    <x v="256"/>
    <n v="49.78"/>
    <n v="505.9"/>
    <n v="555.67999999999995"/>
    <n v="1.25"/>
    <n v="0"/>
    <n v="0"/>
    <n v="506"/>
    <n v="308.91000000000003"/>
    <n v="57.51"/>
    <n v="63.58"/>
    <n v="31.72"/>
    <n v="3.4"/>
    <n v="171655"/>
    <n v="0"/>
    <n v="171655"/>
    <n v="29100"/>
    <n v="32171"/>
    <n v="386"/>
    <n v="17626"/>
    <n v="1889"/>
    <n v="252827"/>
    <n v="25872"/>
    <n v="226955"/>
    <n v="129534"/>
    <n v="97421"/>
  </r>
  <r>
    <s v="13"/>
    <x v="7"/>
    <x v="257"/>
    <x v="257"/>
    <n v="83.06"/>
    <n v="626.4"/>
    <n v="709.46"/>
    <n v="1.6"/>
    <n v="0"/>
    <n v="0"/>
    <n v="626"/>
    <n v="308.91000000000003"/>
    <n v="57.51"/>
    <n v="63.58"/>
    <n v="31.72"/>
    <n v="3.4"/>
    <n v="219159"/>
    <n v="6430"/>
    <n v="225589"/>
    <n v="36001"/>
    <n v="39801"/>
    <n v="494"/>
    <n v="22504"/>
    <n v="2412"/>
    <n v="326801"/>
    <n v="35545"/>
    <n v="291256"/>
    <n v="162870"/>
    <n v="128386"/>
  </r>
  <r>
    <s v="13"/>
    <x v="7"/>
    <x v="258"/>
    <x v="258"/>
    <n v="107.11"/>
    <n v="991.6"/>
    <n v="1098.71"/>
    <n v="2.48"/>
    <n v="67"/>
    <n v="1.3"/>
    <n v="1057"/>
    <n v="308.91000000000003"/>
    <n v="57.51"/>
    <n v="63.58"/>
    <n v="31.72"/>
    <n v="3.4"/>
    <n v="339403"/>
    <n v="0"/>
    <n v="339403"/>
    <n v="60788"/>
    <n v="67204"/>
    <n v="766"/>
    <n v="34851"/>
    <n v="3736"/>
    <n v="506748"/>
    <n v="50182"/>
    <n v="456566"/>
    <n v="257095"/>
    <n v="199471"/>
  </r>
  <r>
    <s v="13"/>
    <x v="7"/>
    <x v="259"/>
    <x v="259"/>
    <n v="196.7"/>
    <n v="1440.4"/>
    <n v="1637.1"/>
    <n v="3.69"/>
    <n v="2"/>
    <n v="0"/>
    <n v="1442"/>
    <n v="308.91000000000003"/>
    <n v="57.51"/>
    <n v="63.58"/>
    <n v="31.72"/>
    <n v="3.4"/>
    <n v="505717"/>
    <n v="0"/>
    <n v="505717"/>
    <n v="82929"/>
    <n v="91682"/>
    <n v="1140"/>
    <n v="51929"/>
    <n v="5566"/>
    <n v="738963"/>
    <n v="66523"/>
    <n v="672440"/>
    <n v="391325"/>
    <n v="281115"/>
  </r>
  <r>
    <s v="13"/>
    <x v="7"/>
    <x v="260"/>
    <x v="260"/>
    <n v="58.47"/>
    <n v="405.6"/>
    <n v="464.07"/>
    <n v="1.05"/>
    <n v="0"/>
    <n v="0"/>
    <n v="406"/>
    <n v="308.91000000000003"/>
    <n v="57.51"/>
    <n v="63.58"/>
    <n v="31.72"/>
    <n v="3.4"/>
    <n v="143356"/>
    <n v="8194"/>
    <n v="151550"/>
    <n v="23349"/>
    <n v="25813"/>
    <n v="324"/>
    <n v="14720"/>
    <n v="1578"/>
    <n v="217334"/>
    <n v="28933"/>
    <n v="188401"/>
    <n v="100854"/>
    <n v="87547"/>
  </r>
  <r>
    <s v="13"/>
    <x v="7"/>
    <x v="261"/>
    <x v="261"/>
    <n v="2154.83"/>
    <n v="9122.1"/>
    <n v="11276.93"/>
    <n v="25.37"/>
    <n v="425"/>
    <n v="0.2"/>
    <n v="9547"/>
    <n v="308.91000000000003"/>
    <n v="57.51"/>
    <n v="63.58"/>
    <n v="31.72"/>
    <n v="3.4"/>
    <n v="3483556"/>
    <n v="0"/>
    <n v="3483556"/>
    <n v="549048"/>
    <n v="606998"/>
    <n v="7837"/>
    <n v="357704"/>
    <n v="38342"/>
    <n v="5043485"/>
    <n v="450650"/>
    <n v="4592835"/>
    <n v="2703157"/>
    <n v="1889678"/>
  </r>
  <r>
    <s v="13"/>
    <x v="7"/>
    <x v="262"/>
    <x v="262"/>
    <n v="207.6"/>
    <n v="1470.7"/>
    <n v="1678.3"/>
    <n v="3.78"/>
    <n v="109"/>
    <n v="0.6"/>
    <n v="1579"/>
    <n v="308.91000000000003"/>
    <n v="57.51"/>
    <n v="63.58"/>
    <n v="31.72"/>
    <n v="3.4"/>
    <n v="518444"/>
    <n v="0"/>
    <n v="518444"/>
    <n v="90808"/>
    <n v="100393"/>
    <n v="1168"/>
    <n v="53236"/>
    <n v="5706"/>
    <n v="769755"/>
    <n v="73855"/>
    <n v="695900"/>
    <n v="395515"/>
    <n v="300385"/>
  </r>
  <r>
    <s v="13"/>
    <x v="7"/>
    <x v="263"/>
    <x v="263"/>
    <n v="13.55"/>
    <n v="102"/>
    <n v="115.55"/>
    <n v="0.26"/>
    <n v="0"/>
    <n v="0"/>
    <n v="102"/>
    <n v="308.91000000000003"/>
    <n v="57.51"/>
    <n v="63.58"/>
    <n v="31.72"/>
    <n v="3.4"/>
    <n v="35695"/>
    <n v="0"/>
    <n v="35695"/>
    <n v="5866"/>
    <n v="6485"/>
    <n v="80"/>
    <n v="3665"/>
    <n v="393"/>
    <n v="52184"/>
    <n v="6461"/>
    <n v="45723"/>
    <n v="25855"/>
    <n v="19868"/>
  </r>
  <r>
    <s v="13"/>
    <x v="7"/>
    <x v="264"/>
    <x v="264"/>
    <n v="84.61"/>
    <n v="541.1"/>
    <n v="625.71"/>
    <n v="1.41"/>
    <n v="2"/>
    <n v="0"/>
    <n v="543"/>
    <n v="308.91000000000003"/>
    <n v="57.51"/>
    <n v="63.58"/>
    <n v="31.72"/>
    <n v="3.4"/>
    <n v="193288"/>
    <n v="0"/>
    <n v="193288"/>
    <n v="31228"/>
    <n v="34524"/>
    <n v="436"/>
    <n v="19848"/>
    <n v="2127"/>
    <n v="281451"/>
    <n v="31373"/>
    <n v="250078"/>
    <n v="143619"/>
    <n v="106459"/>
  </r>
  <r>
    <s v="13"/>
    <x v="7"/>
    <x v="265"/>
    <x v="265"/>
    <n v="57.44"/>
    <n v="503"/>
    <n v="560.44000000000005"/>
    <n v="1.26"/>
    <n v="3"/>
    <n v="0"/>
    <n v="506"/>
    <n v="308.91000000000003"/>
    <n v="57.51"/>
    <n v="63.58"/>
    <n v="31.72"/>
    <n v="3.4"/>
    <n v="173126"/>
    <n v="0"/>
    <n v="173126"/>
    <n v="29100"/>
    <n v="32171"/>
    <n v="389"/>
    <n v="17777"/>
    <n v="1905"/>
    <n v="254468"/>
    <n v="25766"/>
    <n v="228702"/>
    <n v="130971"/>
    <n v="97731"/>
  </r>
  <r>
    <s v="13"/>
    <x v="7"/>
    <x v="266"/>
    <x v="266"/>
    <n v="29.59"/>
    <n v="187.2"/>
    <n v="216.79"/>
    <n v="0.49"/>
    <n v="3"/>
    <n v="0"/>
    <n v="190"/>
    <n v="308.91000000000003"/>
    <n v="57.51"/>
    <n v="63.58"/>
    <n v="31.72"/>
    <n v="3.4"/>
    <n v="66969"/>
    <n v="6176"/>
    <n v="73145"/>
    <n v="10927"/>
    <n v="12080"/>
    <n v="151"/>
    <n v="6877"/>
    <n v="737"/>
    <n v="103917"/>
    <n v="12000"/>
    <n v="91917"/>
    <n v="48630"/>
    <n v="43287"/>
  </r>
  <r>
    <s v="13"/>
    <x v="7"/>
    <x v="267"/>
    <x v="267"/>
    <n v="61.49"/>
    <n v="464.1"/>
    <n v="525.59"/>
    <n v="1.18"/>
    <n v="0"/>
    <n v="0"/>
    <n v="464"/>
    <n v="308.91000000000003"/>
    <n v="57.51"/>
    <n v="63.58"/>
    <n v="31.72"/>
    <n v="3.4"/>
    <n v="162360"/>
    <n v="0"/>
    <n v="162360"/>
    <n v="26685"/>
    <n v="29501"/>
    <n v="365"/>
    <n v="16672"/>
    <n v="1787"/>
    <n v="237370"/>
    <n v="20998"/>
    <n v="216372"/>
    <n v="125993"/>
    <n v="90379"/>
  </r>
  <r>
    <s v="13"/>
    <x v="7"/>
    <x v="268"/>
    <x v="268"/>
    <n v="193.39"/>
    <n v="1931.5"/>
    <n v="2124.89"/>
    <n v="4.79"/>
    <n v="14"/>
    <n v="0"/>
    <n v="1946"/>
    <n v="308.91000000000003"/>
    <n v="57.51"/>
    <n v="63.58"/>
    <n v="31.72"/>
    <n v="3.4"/>
    <n v="656400"/>
    <n v="10812"/>
    <n v="667212"/>
    <n v="111914"/>
    <n v="123727"/>
    <n v="1480"/>
    <n v="68518"/>
    <n v="7336"/>
    <n v="980187"/>
    <n v="89118"/>
    <n v="891069"/>
    <n v="506378"/>
    <n v="384691"/>
  </r>
  <r>
    <s v="13"/>
    <x v="7"/>
    <x v="269"/>
    <x v="269"/>
    <n v="103.65"/>
    <n v="457.5"/>
    <n v="561.15"/>
    <n v="1.27"/>
    <n v="0"/>
    <n v="0"/>
    <n v="458"/>
    <n v="308.91000000000003"/>
    <n v="57.51"/>
    <n v="63.58"/>
    <n v="31.72"/>
    <n v="3.4"/>
    <n v="173345"/>
    <n v="8802"/>
    <n v="182147"/>
    <n v="26340"/>
    <n v="29120"/>
    <n v="392"/>
    <n v="17800"/>
    <n v="1908"/>
    <n v="257707"/>
    <n v="31091"/>
    <n v="226616"/>
    <n v="125847"/>
    <n v="100769"/>
  </r>
  <r>
    <s v="13"/>
    <x v="7"/>
    <x v="270"/>
    <x v="270"/>
    <n v="39.56"/>
    <n v="199"/>
    <n v="238.56"/>
    <n v="0.54"/>
    <n v="0"/>
    <n v="0"/>
    <n v="199"/>
    <n v="308.91000000000003"/>
    <n v="57.51"/>
    <n v="63.58"/>
    <n v="31.72"/>
    <n v="3.4"/>
    <n v="73694"/>
    <n v="10043"/>
    <n v="83737"/>
    <n v="11444"/>
    <n v="12652"/>
    <n v="167"/>
    <n v="8015"/>
    <n v="858"/>
    <n v="116873"/>
    <n v="14961"/>
    <n v="101912"/>
    <n v="52252"/>
    <n v="49660"/>
  </r>
  <r>
    <s v="13"/>
    <x v="7"/>
    <x v="271"/>
    <x v="271"/>
    <n v="175.19"/>
    <n v="1384.2"/>
    <n v="1559.39"/>
    <n v="3.52"/>
    <n v="78"/>
    <n v="0.7"/>
    <n v="1462"/>
    <n v="308.91000000000003"/>
    <n v="57.51"/>
    <n v="63.58"/>
    <n v="31.72"/>
    <n v="3.4"/>
    <n v="481711"/>
    <n v="589"/>
    <n v="482300"/>
    <n v="84080"/>
    <n v="92954"/>
    <n v="1087"/>
    <n v="49529"/>
    <n v="5303"/>
    <n v="715253"/>
    <n v="75561"/>
    <n v="639692"/>
    <n v="360621"/>
    <n v="279071"/>
  </r>
  <r>
    <s v="13"/>
    <x v="7"/>
    <x v="272"/>
    <x v="272"/>
    <n v="100.18"/>
    <n v="684.7"/>
    <n v="784.88"/>
    <n v="1.77"/>
    <n v="9"/>
    <n v="0"/>
    <n v="694"/>
    <n v="308.91000000000003"/>
    <n v="57.51"/>
    <n v="63.58"/>
    <n v="31.72"/>
    <n v="3.4"/>
    <n v="242457"/>
    <n v="0"/>
    <n v="242457"/>
    <n v="39912"/>
    <n v="44125"/>
    <n v="547"/>
    <n v="24896"/>
    <n v="2669"/>
    <n v="354606"/>
    <n v="45080"/>
    <n v="309526"/>
    <n v="174428"/>
    <n v="135098"/>
  </r>
  <r>
    <s v="13"/>
    <x v="7"/>
    <x v="273"/>
    <x v="273"/>
    <n v="55.2"/>
    <n v="302.60000000000002"/>
    <n v="357.8"/>
    <n v="0.81"/>
    <n v="0"/>
    <n v="0"/>
    <n v="303"/>
    <n v="308.91000000000003"/>
    <n v="57.51"/>
    <n v="63.58"/>
    <n v="31.72"/>
    <n v="3.4"/>
    <n v="110528"/>
    <n v="177"/>
    <n v="110705"/>
    <n v="17426"/>
    <n v="19265"/>
    <n v="250"/>
    <n v="11369"/>
    <n v="1217"/>
    <n v="160232"/>
    <n v="16904"/>
    <n v="143328"/>
    <n v="83183"/>
    <n v="60145"/>
  </r>
  <r>
    <s v="13"/>
    <x v="7"/>
    <x v="274"/>
    <x v="274"/>
    <n v="33.39"/>
    <n v="441.3"/>
    <n v="474.69"/>
    <n v="1.07"/>
    <n v="2"/>
    <n v="0"/>
    <n v="443"/>
    <n v="308.91000000000003"/>
    <n v="57.51"/>
    <n v="63.58"/>
    <n v="31.72"/>
    <n v="3.4"/>
    <n v="146636"/>
    <n v="2272"/>
    <n v="148908"/>
    <n v="25477"/>
    <n v="28166"/>
    <n v="331"/>
    <n v="15140"/>
    <n v="1621"/>
    <n v="219643"/>
    <n v="21840"/>
    <n v="197803"/>
    <n v="111006"/>
    <n v="86797"/>
  </r>
  <r>
    <s v="13"/>
    <x v="7"/>
    <x v="275"/>
    <x v="275"/>
    <n v="383.08"/>
    <n v="2624.7"/>
    <n v="3007.78"/>
    <n v="6.78"/>
    <n v="200"/>
    <n v="0.6"/>
    <n v="2824"/>
    <n v="308.91000000000003"/>
    <n v="57.51"/>
    <n v="63.58"/>
    <n v="31.72"/>
    <n v="3.4"/>
    <n v="929133"/>
    <n v="0"/>
    <n v="929133"/>
    <n v="162408"/>
    <n v="179550"/>
    <n v="2094"/>
    <n v="95407"/>
    <n v="10226"/>
    <n v="1378818"/>
    <n v="112825"/>
    <n v="1265993"/>
    <n v="728361"/>
    <n v="537632"/>
  </r>
  <r>
    <s v="13"/>
    <x v="7"/>
    <x v="276"/>
    <x v="276"/>
    <n v="67.41"/>
    <n v="572.1"/>
    <n v="639.51"/>
    <n v="1.44"/>
    <n v="0"/>
    <n v="0"/>
    <n v="572"/>
    <n v="308.91000000000003"/>
    <n v="57.51"/>
    <n v="63.58"/>
    <n v="31.72"/>
    <n v="3.4"/>
    <n v="197551"/>
    <n v="0"/>
    <n v="197551"/>
    <n v="32896"/>
    <n v="36368"/>
    <n v="445"/>
    <n v="20285"/>
    <n v="2174"/>
    <n v="289719"/>
    <n v="28459"/>
    <n v="261260"/>
    <n v="150392"/>
    <n v="110868"/>
  </r>
  <r>
    <s v="13"/>
    <x v="7"/>
    <x v="277"/>
    <x v="277"/>
    <n v="120.85"/>
    <n v="803.5"/>
    <n v="924.35"/>
    <n v="2.08"/>
    <n v="13"/>
    <n v="0"/>
    <n v="817"/>
    <n v="308.91000000000003"/>
    <n v="57.51"/>
    <n v="63.58"/>
    <n v="31.72"/>
    <n v="3.4"/>
    <n v="285541"/>
    <n v="2605"/>
    <n v="288146"/>
    <n v="46986"/>
    <n v="51945"/>
    <n v="643"/>
    <n v="29343"/>
    <n v="3143"/>
    <n v="420206"/>
    <n v="44838"/>
    <n v="375368"/>
    <n v="213697"/>
    <n v="161671"/>
  </r>
  <r>
    <s v="13"/>
    <x v="7"/>
    <x v="278"/>
    <x v="278"/>
    <n v="51.04"/>
    <n v="229.7"/>
    <n v="280.74"/>
    <n v="0.63"/>
    <n v="0"/>
    <n v="0"/>
    <n v="230"/>
    <n v="308.91000000000003"/>
    <n v="57.51"/>
    <n v="63.58"/>
    <n v="31.72"/>
    <n v="3.4"/>
    <n v="86723"/>
    <n v="6145"/>
    <n v="92868"/>
    <n v="13227"/>
    <n v="14623"/>
    <n v="195"/>
    <n v="9097"/>
    <n v="974"/>
    <n v="130984"/>
    <n v="14742"/>
    <n v="116242"/>
    <n v="63983"/>
    <n v="52259"/>
  </r>
  <r>
    <s v="13"/>
    <x v="7"/>
    <x v="279"/>
    <x v="279"/>
    <n v="92.69"/>
    <n v="607"/>
    <n v="699.69"/>
    <n v="1.58"/>
    <n v="1"/>
    <n v="0"/>
    <n v="608"/>
    <n v="308.91000000000003"/>
    <n v="57.51"/>
    <n v="63.58"/>
    <n v="31.72"/>
    <n v="3.4"/>
    <n v="216141"/>
    <n v="0"/>
    <n v="216141"/>
    <n v="34966"/>
    <n v="38657"/>
    <n v="488"/>
    <n v="22194"/>
    <n v="2379"/>
    <n v="314825"/>
    <n v="39236"/>
    <n v="275589"/>
    <n v="156447"/>
    <n v="119142"/>
  </r>
  <r>
    <s v="13"/>
    <x v="7"/>
    <x v="280"/>
    <x v="280"/>
    <n v="39.159999999999997"/>
    <n v="230.5"/>
    <n v="269.66000000000003"/>
    <n v="0.61"/>
    <n v="0"/>
    <n v="0"/>
    <n v="231"/>
    <n v="308.91000000000003"/>
    <n v="57.51"/>
    <n v="63.58"/>
    <n v="31.72"/>
    <n v="3.4"/>
    <n v="83301"/>
    <n v="4792"/>
    <n v="88093"/>
    <n v="13285"/>
    <n v="14687"/>
    <n v="188"/>
    <n v="8554"/>
    <n v="917"/>
    <n v="125724"/>
    <n v="15048"/>
    <n v="110676"/>
    <n v="60369"/>
    <n v="50307"/>
  </r>
  <r>
    <s v="13"/>
    <x v="7"/>
    <x v="281"/>
    <x v="281"/>
    <n v="77.22"/>
    <n v="641.6"/>
    <n v="718.82"/>
    <n v="1.62"/>
    <n v="12"/>
    <n v="0"/>
    <n v="654"/>
    <n v="308.91000000000003"/>
    <n v="57.51"/>
    <n v="63.58"/>
    <n v="31.72"/>
    <n v="3.4"/>
    <n v="222051"/>
    <n v="0"/>
    <n v="222051"/>
    <n v="37612"/>
    <n v="41581"/>
    <n v="500"/>
    <n v="22801"/>
    <n v="2444"/>
    <n v="326989"/>
    <n v="39610"/>
    <n v="287379"/>
    <n v="161422"/>
    <n v="125957"/>
  </r>
  <r>
    <s v="13"/>
    <x v="7"/>
    <x v="282"/>
    <x v="282"/>
    <n v="29.07"/>
    <n v="172.1"/>
    <n v="201.17"/>
    <n v="0.45"/>
    <n v="8"/>
    <n v="0"/>
    <n v="180"/>
    <n v="308.91000000000003"/>
    <n v="57.51"/>
    <n v="63.58"/>
    <n v="31.72"/>
    <n v="3.4"/>
    <n v="62143"/>
    <n v="10623"/>
    <n v="72766"/>
    <n v="10352"/>
    <n v="11444"/>
    <n v="139"/>
    <n v="6817"/>
    <n v="730"/>
    <n v="102248"/>
    <n v="14187"/>
    <n v="88061"/>
    <n v="42555"/>
    <n v="45506"/>
  </r>
  <r>
    <s v="13"/>
    <x v="7"/>
    <x v="283"/>
    <x v="283"/>
    <n v="129.74"/>
    <n v="1039.2"/>
    <n v="1168.94"/>
    <n v="2.64"/>
    <n v="0"/>
    <n v="0"/>
    <n v="1039"/>
    <n v="308.91000000000003"/>
    <n v="57.51"/>
    <n v="63.58"/>
    <n v="31.72"/>
    <n v="3.4"/>
    <n v="361097"/>
    <n v="18780"/>
    <n v="379877"/>
    <n v="59753"/>
    <n v="66060"/>
    <n v="816"/>
    <n v="37079"/>
    <n v="3974"/>
    <n v="547559"/>
    <n v="62151"/>
    <n v="485408"/>
    <n v="264768"/>
    <n v="220640"/>
  </r>
  <r>
    <s v="13"/>
    <x v="7"/>
    <x v="284"/>
    <x v="284"/>
    <n v="77.239999999999995"/>
    <n v="705"/>
    <n v="782.24"/>
    <n v="1.76"/>
    <n v="4"/>
    <n v="0"/>
    <n v="709"/>
    <n v="308.91000000000003"/>
    <n v="57.51"/>
    <n v="63.58"/>
    <n v="31.72"/>
    <n v="3.4"/>
    <n v="241642"/>
    <n v="0"/>
    <n v="241642"/>
    <n v="40775"/>
    <n v="45078"/>
    <n v="544"/>
    <n v="24813"/>
    <n v="2660"/>
    <n v="355512"/>
    <n v="33188"/>
    <n v="322324"/>
    <n v="185581"/>
    <n v="136743"/>
  </r>
  <r>
    <s v="13"/>
    <x v="7"/>
    <x v="285"/>
    <x v="285"/>
    <n v="137.88999999999999"/>
    <n v="1058.4000000000001"/>
    <n v="1196.29"/>
    <n v="2.7"/>
    <n v="10"/>
    <n v="0"/>
    <n v="1068"/>
    <n v="308.91000000000003"/>
    <n v="57.51"/>
    <n v="63.58"/>
    <n v="31.72"/>
    <n v="3.4"/>
    <n v="369546"/>
    <n v="0"/>
    <n v="369546"/>
    <n v="61421"/>
    <n v="67903"/>
    <n v="834"/>
    <n v="37946"/>
    <n v="4067"/>
    <n v="541717"/>
    <n v="57385"/>
    <n v="484332"/>
    <n v="277182"/>
    <n v="207150"/>
  </r>
  <r>
    <s v="13"/>
    <x v="7"/>
    <x v="286"/>
    <x v="286"/>
    <n v="52.86"/>
    <n v="372.8"/>
    <n v="425.66"/>
    <n v="0.96"/>
    <n v="0"/>
    <n v="0"/>
    <n v="373"/>
    <n v="308.91000000000003"/>
    <n v="57.51"/>
    <n v="63.58"/>
    <n v="31.72"/>
    <n v="3.4"/>
    <n v="131491"/>
    <n v="6235"/>
    <n v="137726"/>
    <n v="21451"/>
    <n v="23715"/>
    <n v="297"/>
    <n v="13821"/>
    <n v="1480"/>
    <n v="198490"/>
    <n v="22474"/>
    <n v="176016"/>
    <n v="96922"/>
    <n v="79094"/>
  </r>
  <r>
    <s v="13"/>
    <x v="7"/>
    <x v="287"/>
    <x v="287"/>
    <n v="35.86"/>
    <n v="207"/>
    <n v="242.86"/>
    <n v="0.55000000000000004"/>
    <n v="0"/>
    <n v="0"/>
    <n v="207"/>
    <n v="308.91000000000003"/>
    <n v="57.51"/>
    <n v="63.58"/>
    <n v="31.72"/>
    <n v="3.4"/>
    <n v="75022"/>
    <n v="4226"/>
    <n v="79248"/>
    <n v="11905"/>
    <n v="13161"/>
    <n v="170"/>
    <n v="7704"/>
    <n v="826"/>
    <n v="113014"/>
    <n v="15658"/>
    <n v="97356"/>
    <n v="52264"/>
    <n v="45092"/>
  </r>
  <r>
    <s v="13"/>
    <x v="7"/>
    <x v="288"/>
    <x v="288"/>
    <n v="20.59"/>
    <n v="170"/>
    <n v="190.59"/>
    <n v="0.43"/>
    <n v="0"/>
    <n v="0"/>
    <n v="170"/>
    <n v="308.91000000000003"/>
    <n v="57.51"/>
    <n v="63.58"/>
    <n v="31.72"/>
    <n v="3.4"/>
    <n v="58875"/>
    <n v="7349"/>
    <n v="66224"/>
    <n v="9777"/>
    <n v="10809"/>
    <n v="133"/>
    <n v="6046"/>
    <n v="648"/>
    <n v="93637"/>
    <n v="12066"/>
    <n v="81571"/>
    <n v="41237"/>
    <n v="40334"/>
  </r>
  <r>
    <s v="13"/>
    <x v="7"/>
    <x v="289"/>
    <x v="289"/>
    <n v="42.42"/>
    <n v="623.70000000000005"/>
    <n v="666.12"/>
    <n v="1.5"/>
    <n v="50"/>
    <n v="0"/>
    <n v="674"/>
    <n v="308.91000000000003"/>
    <n v="57.51"/>
    <n v="63.58"/>
    <n v="31.72"/>
    <n v="3.4"/>
    <n v="205771"/>
    <n v="0"/>
    <n v="205771"/>
    <n v="38762"/>
    <n v="42853"/>
    <n v="463"/>
    <n v="21129"/>
    <n v="2265"/>
    <n v="311243"/>
    <n v="22629"/>
    <n v="288614"/>
    <n v="163664"/>
    <n v="124950"/>
  </r>
  <r>
    <s v="13"/>
    <x v="7"/>
    <x v="290"/>
    <x v="290"/>
    <n v="65.81"/>
    <n v="657"/>
    <n v="722.81"/>
    <n v="1.63"/>
    <n v="4"/>
    <n v="0"/>
    <n v="661"/>
    <n v="308.91000000000003"/>
    <n v="57.51"/>
    <n v="63.58"/>
    <n v="31.72"/>
    <n v="3.4"/>
    <n v="223283"/>
    <n v="0"/>
    <n v="223283"/>
    <n v="38014"/>
    <n v="42026"/>
    <n v="504"/>
    <n v="22928"/>
    <n v="2458"/>
    <n v="329213"/>
    <n v="33287"/>
    <n v="295926"/>
    <n v="168862"/>
    <n v="127064"/>
  </r>
  <r>
    <s v="13"/>
    <x v="7"/>
    <x v="291"/>
    <x v="291"/>
    <n v="70.64"/>
    <n v="690"/>
    <n v="760.64"/>
    <n v="1.72"/>
    <n v="19"/>
    <n v="0"/>
    <n v="709"/>
    <n v="308.91000000000003"/>
    <n v="57.51"/>
    <n v="63.58"/>
    <n v="31.72"/>
    <n v="3.4"/>
    <n v="234969"/>
    <n v="6278"/>
    <n v="241247"/>
    <n v="40775"/>
    <n v="45078"/>
    <n v="531"/>
    <n v="24774"/>
    <n v="2652"/>
    <n v="355057"/>
    <n v="30799"/>
    <n v="324258"/>
    <n v="182643"/>
    <n v="141615"/>
  </r>
  <r>
    <s v="13"/>
    <x v="7"/>
    <x v="292"/>
    <x v="292"/>
    <n v="22.81"/>
    <n v="290.2"/>
    <n v="313.01"/>
    <n v="0.71"/>
    <n v="0"/>
    <n v="0"/>
    <n v="290"/>
    <n v="308.91000000000003"/>
    <n v="57.51"/>
    <n v="63.58"/>
    <n v="31.72"/>
    <n v="3.4"/>
    <n v="96692"/>
    <n v="16144"/>
    <n v="112836"/>
    <n v="16678"/>
    <n v="18438"/>
    <n v="219"/>
    <n v="10287"/>
    <n v="1101"/>
    <n v="159559"/>
    <n v="20643"/>
    <n v="138916"/>
    <n v="67293"/>
    <n v="71623"/>
  </r>
  <r>
    <s v="13"/>
    <x v="7"/>
    <x v="293"/>
    <x v="293"/>
    <n v="47.86"/>
    <n v="322.60000000000002"/>
    <n v="370.46"/>
    <n v="0.84"/>
    <n v="0"/>
    <n v="0"/>
    <n v="323"/>
    <n v="308.91000000000003"/>
    <n v="57.51"/>
    <n v="63.58"/>
    <n v="31.72"/>
    <n v="3.4"/>
    <n v="114439"/>
    <n v="33521"/>
    <n v="147960"/>
    <n v="18576"/>
    <n v="20536"/>
    <n v="259"/>
    <n v="12689"/>
    <n v="1359"/>
    <n v="201379"/>
    <n v="25347"/>
    <n v="176032"/>
    <n v="79298"/>
    <n v="96734"/>
  </r>
  <r>
    <s v="13"/>
    <x v="7"/>
    <x v="294"/>
    <x v="294"/>
    <n v="40.799999999999997"/>
    <n v="454.1"/>
    <n v="494.9"/>
    <n v="1.1200000000000001"/>
    <n v="5"/>
    <n v="0"/>
    <n v="459"/>
    <n v="308.91000000000003"/>
    <n v="57.51"/>
    <n v="63.58"/>
    <n v="31.72"/>
    <n v="3.4"/>
    <n v="152880"/>
    <n v="1606"/>
    <n v="154486"/>
    <n v="26397"/>
    <n v="29183"/>
    <n v="346"/>
    <n v="15698"/>
    <n v="1683"/>
    <n v="227793"/>
    <n v="25428"/>
    <n v="202365"/>
    <n v="112982"/>
    <n v="89383"/>
  </r>
  <r>
    <s v="15"/>
    <x v="8"/>
    <x v="295"/>
    <x v="295"/>
    <n v="133.61000000000001"/>
    <n v="1151.0999999999999"/>
    <n v="1284.71"/>
    <n v="3.22"/>
    <n v="1"/>
    <n v="0"/>
    <n v="1152"/>
    <n v="306.27"/>
    <n v="57.48"/>
    <n v="63.15"/>
    <n v="30.73"/>
    <n v="3.35"/>
    <n v="393468"/>
    <n v="0"/>
    <n v="393468"/>
    <n v="66217"/>
    <n v="72749"/>
    <n v="986"/>
    <n v="39479"/>
    <n v="4304"/>
    <n v="577203"/>
    <n v="57955"/>
    <n v="519248"/>
    <n v="300083"/>
    <n v="219165"/>
  </r>
  <r>
    <s v="15"/>
    <x v="8"/>
    <x v="296"/>
    <x v="296"/>
    <n v="738.68"/>
    <n v="4085.6"/>
    <n v="4824.28"/>
    <n v="12.1"/>
    <n v="342"/>
    <n v="2.9"/>
    <n v="4425"/>
    <n v="306.27"/>
    <n v="57.48"/>
    <n v="63.15"/>
    <n v="30.73"/>
    <n v="3.35"/>
    <n v="1477532"/>
    <n v="44934"/>
    <n v="1522466"/>
    <n v="254349"/>
    <n v="279439"/>
    <n v="3706"/>
    <n v="148250"/>
    <n v="16161"/>
    <n v="2224371"/>
    <n v="231008"/>
    <n v="1993363"/>
    <n v="1113480"/>
    <n v="879883"/>
  </r>
  <r>
    <s v="15"/>
    <x v="8"/>
    <x v="297"/>
    <x v="297"/>
    <n v="95.1"/>
    <n v="588.70000000000005"/>
    <n v="683.8"/>
    <n v="1.71"/>
    <n v="0"/>
    <n v="0"/>
    <n v="589"/>
    <n v="306.27"/>
    <n v="57.48"/>
    <n v="63.15"/>
    <n v="30.73"/>
    <n v="3.35"/>
    <n v="209427"/>
    <n v="0"/>
    <n v="209427"/>
    <n v="33856"/>
    <n v="37195"/>
    <n v="524"/>
    <n v="21013"/>
    <n v="2291"/>
    <n v="304306"/>
    <n v="29808"/>
    <n v="274498"/>
    <n v="160760"/>
    <n v="113738"/>
  </r>
  <r>
    <s v="15"/>
    <x v="8"/>
    <x v="298"/>
    <x v="298"/>
    <n v="160.83000000000001"/>
    <n v="1359"/>
    <n v="1519.83"/>
    <n v="3.81"/>
    <n v="0"/>
    <n v="0"/>
    <n v="1359"/>
    <n v="306.27"/>
    <n v="57.48"/>
    <n v="63.15"/>
    <n v="30.73"/>
    <n v="3.35"/>
    <n v="465478"/>
    <n v="0"/>
    <n v="465478"/>
    <n v="78115"/>
    <n v="85821"/>
    <n v="1167"/>
    <n v="46704"/>
    <n v="5091"/>
    <n v="682376"/>
    <n v="76839"/>
    <n v="605537"/>
    <n v="346724"/>
    <n v="258813"/>
  </r>
  <r>
    <s v="15"/>
    <x v="8"/>
    <x v="299"/>
    <x v="299"/>
    <n v="71.11"/>
    <n v="760"/>
    <n v="831.11"/>
    <n v="2.08"/>
    <n v="4"/>
    <n v="0"/>
    <n v="764"/>
    <n v="306.27"/>
    <n v="57.48"/>
    <n v="63.15"/>
    <n v="30.73"/>
    <n v="3.35"/>
    <n v="254544"/>
    <n v="1858"/>
    <n v="256402"/>
    <n v="43915"/>
    <n v="48247"/>
    <n v="637"/>
    <n v="25540"/>
    <n v="2784"/>
    <n v="377525"/>
    <n v="46695"/>
    <n v="330830"/>
    <n v="184927"/>
    <n v="145903"/>
  </r>
  <r>
    <s v="15"/>
    <x v="8"/>
    <x v="300"/>
    <x v="300"/>
    <n v="148.47"/>
    <n v="1255.9000000000001"/>
    <n v="1404.37"/>
    <n v="3.52"/>
    <n v="3"/>
    <n v="0"/>
    <n v="1259"/>
    <n v="306.27"/>
    <n v="57.48"/>
    <n v="63.15"/>
    <n v="30.73"/>
    <n v="3.35"/>
    <n v="430116"/>
    <n v="10265"/>
    <n v="440381"/>
    <n v="72367"/>
    <n v="79506"/>
    <n v="1078"/>
    <n v="43156"/>
    <n v="4705"/>
    <n v="641193"/>
    <n v="69564"/>
    <n v="571629"/>
    <n v="321822"/>
    <n v="249807"/>
  </r>
  <r>
    <s v="15"/>
    <x v="8"/>
    <x v="301"/>
    <x v="301"/>
    <n v="57.62"/>
    <n v="507.6"/>
    <n v="565.22"/>
    <n v="1.42"/>
    <n v="5"/>
    <n v="0"/>
    <n v="513"/>
    <n v="306.27"/>
    <n v="57.48"/>
    <n v="63.15"/>
    <n v="30.73"/>
    <n v="3.35"/>
    <n v="173110"/>
    <n v="0"/>
    <n v="173110"/>
    <n v="29487"/>
    <n v="32396"/>
    <n v="435"/>
    <n v="17369"/>
    <n v="1893"/>
    <n v="254690"/>
    <n v="20792"/>
    <n v="233898"/>
    <n v="136730"/>
    <n v="97168"/>
  </r>
  <r>
    <s v="15"/>
    <x v="8"/>
    <x v="302"/>
    <x v="302"/>
    <n v="114.24"/>
    <n v="1167.0999999999999"/>
    <n v="1281.3399999999999"/>
    <n v="3.21"/>
    <n v="4"/>
    <n v="0"/>
    <n v="1171"/>
    <n v="306.27"/>
    <n v="57.48"/>
    <n v="63.15"/>
    <n v="30.73"/>
    <n v="3.35"/>
    <n v="392436"/>
    <n v="0"/>
    <n v="392436"/>
    <n v="67309"/>
    <n v="73949"/>
    <n v="983"/>
    <n v="39376"/>
    <n v="4292"/>
    <n v="578345"/>
    <n v="56419"/>
    <n v="521926"/>
    <n v="300679"/>
    <n v="221247"/>
  </r>
  <r>
    <s v="15"/>
    <x v="8"/>
    <x v="303"/>
    <x v="303"/>
    <n v="89.8"/>
    <n v="869.6"/>
    <n v="959.4"/>
    <n v="2.4300000000000002"/>
    <n v="22"/>
    <n v="0"/>
    <n v="892"/>
    <n v="306.27"/>
    <n v="57.48"/>
    <n v="63.15"/>
    <n v="30.73"/>
    <n v="3.35"/>
    <n v="293835"/>
    <n v="6468"/>
    <n v="300303"/>
    <n v="51272"/>
    <n v="56330"/>
    <n v="744"/>
    <n v="30118"/>
    <n v="3281"/>
    <n v="442048"/>
    <n v="44907"/>
    <n v="397141"/>
    <n v="223179"/>
    <n v="173962"/>
  </r>
  <r>
    <s v="15"/>
    <x v="8"/>
    <x v="304"/>
    <x v="304"/>
    <n v="301.56"/>
    <n v="1607.5"/>
    <n v="1909.06"/>
    <n v="4.79"/>
    <n v="138"/>
    <n v="0"/>
    <n v="1746"/>
    <n v="306.27"/>
    <n v="57.48"/>
    <n v="63.15"/>
    <n v="30.73"/>
    <n v="3.35"/>
    <n v="584688"/>
    <n v="0"/>
    <n v="584688"/>
    <n v="100360"/>
    <n v="110260"/>
    <n v="1467"/>
    <n v="58665"/>
    <n v="6395"/>
    <n v="861835"/>
    <n v="91881"/>
    <n v="769954"/>
    <n v="440158"/>
    <n v="329796"/>
  </r>
  <r>
    <s v="15"/>
    <x v="8"/>
    <x v="305"/>
    <x v="305"/>
    <n v="373.83"/>
    <n v="2092.8000000000002"/>
    <n v="2466.63"/>
    <n v="6.19"/>
    <n v="110"/>
    <n v="6.5"/>
    <n v="2196"/>
    <n v="306.27"/>
    <n v="57.48"/>
    <n v="63.15"/>
    <n v="30.73"/>
    <n v="3.35"/>
    <n v="755455"/>
    <n v="0"/>
    <n v="755455"/>
    <n v="126226"/>
    <n v="138677"/>
    <n v="1896"/>
    <n v="75800"/>
    <n v="8263"/>
    <n v="1106317"/>
    <n v="124889"/>
    <n v="981428"/>
    <n v="562542"/>
    <n v="418886"/>
  </r>
  <r>
    <s v="15"/>
    <x v="8"/>
    <x v="306"/>
    <x v="306"/>
    <n v="358.01"/>
    <n v="1918.7"/>
    <n v="2276.71"/>
    <n v="5.71"/>
    <n v="53"/>
    <n v="0.6"/>
    <n v="1971"/>
    <n v="306.27"/>
    <n v="57.48"/>
    <n v="63.15"/>
    <n v="30.73"/>
    <n v="3.35"/>
    <n v="697288"/>
    <n v="0"/>
    <n v="697288"/>
    <n v="113293"/>
    <n v="124469"/>
    <n v="1749"/>
    <n v="69963"/>
    <n v="7627"/>
    <n v="1014389"/>
    <n v="104456"/>
    <n v="909933"/>
    <n v="530044"/>
    <n v="379889"/>
  </r>
  <r>
    <s v="15"/>
    <x v="8"/>
    <x v="307"/>
    <x v="307"/>
    <n v="48.08"/>
    <n v="356.7"/>
    <n v="404.78"/>
    <n v="1.02"/>
    <n v="0"/>
    <n v="0"/>
    <n v="357"/>
    <n v="306.27"/>
    <n v="57.48"/>
    <n v="63.15"/>
    <n v="30.73"/>
    <n v="3.35"/>
    <n v="123972"/>
    <n v="0"/>
    <n v="123972"/>
    <n v="20520"/>
    <n v="22545"/>
    <n v="312"/>
    <n v="12439"/>
    <n v="1356"/>
    <n v="181144"/>
    <n v="17793"/>
    <n v="163351"/>
    <n v="95017"/>
    <n v="68334"/>
  </r>
  <r>
    <s v="15"/>
    <x v="8"/>
    <x v="308"/>
    <x v="308"/>
    <n v="93.68"/>
    <n v="811.6"/>
    <n v="905.28"/>
    <n v="2.27"/>
    <n v="0"/>
    <n v="0"/>
    <n v="812"/>
    <n v="306.27"/>
    <n v="57.48"/>
    <n v="63.15"/>
    <n v="30.73"/>
    <n v="3.35"/>
    <n v="277260"/>
    <n v="0"/>
    <n v="277260"/>
    <n v="46674"/>
    <n v="51278"/>
    <n v="695"/>
    <n v="27819"/>
    <n v="3033"/>
    <n v="406759"/>
    <n v="41596"/>
    <n v="365163"/>
    <n v="210698"/>
    <n v="154465"/>
  </r>
  <r>
    <s v="15"/>
    <x v="8"/>
    <x v="309"/>
    <x v="309"/>
    <n v="41.2"/>
    <n v="341.4"/>
    <n v="382.6"/>
    <n v="0.96"/>
    <n v="0"/>
    <n v="0"/>
    <n v="341"/>
    <n v="306.27"/>
    <n v="57.48"/>
    <n v="63.15"/>
    <n v="30.73"/>
    <n v="3.35"/>
    <n v="117179"/>
    <n v="1107"/>
    <n v="118286"/>
    <n v="19601"/>
    <n v="21534"/>
    <n v="294"/>
    <n v="11863"/>
    <n v="1292"/>
    <n v="172870"/>
    <n v="14721"/>
    <n v="158149"/>
    <n v="92023"/>
    <n v="66126"/>
  </r>
  <r>
    <s v="15"/>
    <x v="8"/>
    <x v="310"/>
    <x v="310"/>
    <n v="16.25"/>
    <n v="209"/>
    <n v="225.25"/>
    <n v="0.56000000000000005"/>
    <n v="0"/>
    <n v="0"/>
    <n v="209"/>
    <n v="306.27"/>
    <n v="57.48"/>
    <n v="63.15"/>
    <n v="30.73"/>
    <n v="3.35"/>
    <n v="68987"/>
    <n v="635"/>
    <n v="69622"/>
    <n v="12013"/>
    <n v="13198"/>
    <n v="172"/>
    <n v="6922"/>
    <n v="755"/>
    <n v="102682"/>
    <n v="10949"/>
    <n v="91733"/>
    <n v="51826"/>
    <n v="39907"/>
  </r>
  <r>
    <s v="15"/>
    <x v="8"/>
    <x v="311"/>
    <x v="311"/>
    <n v="27.11"/>
    <n v="208.5"/>
    <n v="235.61"/>
    <n v="0.59"/>
    <n v="0"/>
    <n v="0"/>
    <n v="209"/>
    <n v="306.27"/>
    <n v="57.48"/>
    <n v="63.15"/>
    <n v="30.73"/>
    <n v="3.35"/>
    <n v="72160"/>
    <n v="1987"/>
    <n v="74147"/>
    <n v="12013"/>
    <n v="13198"/>
    <n v="181"/>
    <n v="7436"/>
    <n v="810"/>
    <n v="107785"/>
    <n v="12939"/>
    <n v="94846"/>
    <n v="52940"/>
    <n v="41906"/>
  </r>
  <r>
    <s v="15"/>
    <x v="8"/>
    <x v="312"/>
    <x v="312"/>
    <n v="266.82"/>
    <n v="1902.8"/>
    <n v="2169.62"/>
    <n v="5.44"/>
    <n v="3"/>
    <n v="0"/>
    <n v="1906"/>
    <n v="306.27"/>
    <n v="57.48"/>
    <n v="63.15"/>
    <n v="30.73"/>
    <n v="3.35"/>
    <n v="664490"/>
    <n v="0"/>
    <n v="664490"/>
    <n v="109557"/>
    <n v="120364"/>
    <n v="1666"/>
    <n v="66672"/>
    <n v="7268"/>
    <n v="970017"/>
    <n v="93333"/>
    <n v="876684"/>
    <n v="511322"/>
    <n v="365362"/>
  </r>
  <r>
    <s v="15"/>
    <x v="8"/>
    <x v="313"/>
    <x v="313"/>
    <n v="46.34"/>
    <n v="494.1"/>
    <n v="540.44000000000005"/>
    <n v="1.36"/>
    <n v="3"/>
    <n v="0"/>
    <n v="497"/>
    <n v="306.27"/>
    <n v="57.48"/>
    <n v="63.15"/>
    <n v="30.73"/>
    <n v="3.35"/>
    <n v="165521"/>
    <n v="1852"/>
    <n v="167373"/>
    <n v="28568"/>
    <n v="31386"/>
    <n v="417"/>
    <n v="16608"/>
    <n v="1810"/>
    <n v="246162"/>
    <n v="25009"/>
    <n v="221153"/>
    <n v="125608"/>
    <n v="95545"/>
  </r>
  <r>
    <s v="15"/>
    <x v="8"/>
    <x v="314"/>
    <x v="314"/>
    <n v="59.72"/>
    <n v="488.7"/>
    <n v="548.41999999999996"/>
    <n v="1.37"/>
    <n v="21"/>
    <n v="0"/>
    <n v="510"/>
    <n v="306.27"/>
    <n v="57.48"/>
    <n v="63.15"/>
    <n v="30.73"/>
    <n v="3.35"/>
    <n v="167965"/>
    <n v="1544"/>
    <n v="169509"/>
    <n v="29315"/>
    <n v="32207"/>
    <n v="420"/>
    <n v="16853"/>
    <n v="1837"/>
    <n v="250141"/>
    <n v="25355"/>
    <n v="224786"/>
    <n v="127484"/>
    <n v="97302"/>
  </r>
  <r>
    <s v="15"/>
    <x v="8"/>
    <x v="315"/>
    <x v="315"/>
    <n v="276.77999999999997"/>
    <n v="2272.6999999999998"/>
    <n v="2549.48"/>
    <n v="6.4"/>
    <n v="192"/>
    <n v="0.4"/>
    <n v="2464"/>
    <n v="306.27"/>
    <n v="57.48"/>
    <n v="63.15"/>
    <n v="30.73"/>
    <n v="3.35"/>
    <n v="780829"/>
    <n v="3826"/>
    <n v="784655"/>
    <n v="141631"/>
    <n v="155602"/>
    <n v="1960"/>
    <n v="78694"/>
    <n v="8572"/>
    <n v="1171114"/>
    <n v="115216"/>
    <n v="1055898"/>
    <n v="595685"/>
    <n v="460213"/>
  </r>
  <r>
    <s v="15"/>
    <x v="8"/>
    <x v="316"/>
    <x v="316"/>
    <n v="612.6"/>
    <n v="4762.6000000000004"/>
    <n v="5375.2"/>
    <n v="13.48"/>
    <n v="128"/>
    <n v="0.4"/>
    <n v="4890"/>
    <n v="306.27"/>
    <n v="57.48"/>
    <n v="63.15"/>
    <n v="30.73"/>
    <n v="3.35"/>
    <n v="1646263"/>
    <n v="0"/>
    <n v="1646263"/>
    <n v="281077"/>
    <n v="308804"/>
    <n v="4129"/>
    <n v="165180"/>
    <n v="18007"/>
    <n v="2423460"/>
    <n v="217386"/>
    <n v="2206074"/>
    <n v="1280639"/>
    <n v="925435"/>
  </r>
  <r>
    <s v="15"/>
    <x v="8"/>
    <x v="317"/>
    <x v="317"/>
    <n v="66.760000000000005"/>
    <n v="610.5"/>
    <n v="677.26"/>
    <n v="1.7"/>
    <n v="1"/>
    <n v="0"/>
    <n v="612"/>
    <n v="306.27"/>
    <n v="57.48"/>
    <n v="63.15"/>
    <n v="30.73"/>
    <n v="3.35"/>
    <n v="207424"/>
    <n v="0"/>
    <n v="207424"/>
    <n v="35178"/>
    <n v="38648"/>
    <n v="521"/>
    <n v="20812"/>
    <n v="2269"/>
    <n v="304852"/>
    <n v="33180"/>
    <n v="271672"/>
    <n v="155567"/>
    <n v="116105"/>
  </r>
  <r>
    <s v="15"/>
    <x v="8"/>
    <x v="318"/>
    <x v="318"/>
    <n v="31.38"/>
    <n v="266.8"/>
    <n v="298.18"/>
    <n v="0.75"/>
    <n v="0"/>
    <n v="0"/>
    <n v="267"/>
    <n v="306.27"/>
    <n v="57.48"/>
    <n v="63.15"/>
    <n v="30.73"/>
    <n v="3.35"/>
    <n v="91324"/>
    <n v="1575"/>
    <n v="92899"/>
    <n v="15347"/>
    <n v="16861"/>
    <n v="230"/>
    <n v="9163"/>
    <n v="999"/>
    <n v="135499"/>
    <n v="16442"/>
    <n v="119057"/>
    <n v="66659"/>
    <n v="52398"/>
  </r>
  <r>
    <s v="15"/>
    <x v="8"/>
    <x v="319"/>
    <x v="319"/>
    <n v="64.180000000000007"/>
    <n v="552"/>
    <n v="616.17999999999995"/>
    <n v="1.54"/>
    <n v="0"/>
    <n v="0"/>
    <n v="552"/>
    <n v="306.27"/>
    <n v="57.48"/>
    <n v="63.15"/>
    <n v="30.73"/>
    <n v="3.35"/>
    <n v="188717"/>
    <n v="0"/>
    <n v="188717"/>
    <n v="31729"/>
    <n v="34859"/>
    <n v="472"/>
    <n v="18935"/>
    <n v="2064"/>
    <n v="276776"/>
    <n v="32703"/>
    <n v="244073"/>
    <n v="139020"/>
    <n v="105053"/>
  </r>
  <r>
    <s v="15"/>
    <x v="8"/>
    <x v="320"/>
    <x v="320"/>
    <n v="34.83"/>
    <n v="280.8"/>
    <n v="315.63"/>
    <n v="0.79"/>
    <n v="9"/>
    <n v="0"/>
    <n v="290"/>
    <n v="306.27"/>
    <n v="57.48"/>
    <n v="63.15"/>
    <n v="30.73"/>
    <n v="3.35"/>
    <n v="96668"/>
    <n v="1859"/>
    <n v="98527"/>
    <n v="16669"/>
    <n v="18314"/>
    <n v="242"/>
    <n v="9881"/>
    <n v="1076"/>
    <n v="144709"/>
    <n v="17232"/>
    <n v="127477"/>
    <n v="70931"/>
    <n v="56546"/>
  </r>
  <r>
    <s v="15"/>
    <x v="8"/>
    <x v="321"/>
    <x v="321"/>
    <n v="109.86"/>
    <n v="949.9"/>
    <n v="1059.76"/>
    <n v="2.66"/>
    <n v="1"/>
    <n v="0"/>
    <n v="951"/>
    <n v="306.27"/>
    <n v="57.48"/>
    <n v="63.15"/>
    <n v="30.73"/>
    <n v="3.35"/>
    <n v="324573"/>
    <n v="12865"/>
    <n v="337438"/>
    <n v="54663"/>
    <n v="60056"/>
    <n v="815"/>
    <n v="33197"/>
    <n v="3616"/>
    <n v="489785"/>
    <n v="61494"/>
    <n v="428291"/>
    <n v="234549"/>
    <n v="193742"/>
  </r>
  <r>
    <s v="15"/>
    <x v="8"/>
    <x v="322"/>
    <x v="322"/>
    <n v="76.489999999999995"/>
    <n v="489.8"/>
    <n v="566.29"/>
    <n v="1.42"/>
    <n v="2"/>
    <n v="0"/>
    <n v="492"/>
    <n v="306.27"/>
    <n v="57.48"/>
    <n v="63.15"/>
    <n v="30.73"/>
    <n v="3.35"/>
    <n v="173438"/>
    <n v="0"/>
    <n v="173438"/>
    <n v="28280"/>
    <n v="31070"/>
    <n v="435"/>
    <n v="17402"/>
    <n v="1897"/>
    <n v="252522"/>
    <n v="26545"/>
    <n v="225977"/>
    <n v="131275"/>
    <n v="94702"/>
  </r>
  <r>
    <s v="15"/>
    <x v="8"/>
    <x v="323"/>
    <x v="323"/>
    <n v="94"/>
    <n v="573"/>
    <n v="667"/>
    <n v="1.67"/>
    <n v="0"/>
    <n v="0"/>
    <n v="573"/>
    <n v="306.27"/>
    <n v="57.48"/>
    <n v="63.15"/>
    <n v="30.73"/>
    <n v="3.35"/>
    <n v="204282"/>
    <n v="24724"/>
    <n v="229006"/>
    <n v="32936"/>
    <n v="36185"/>
    <n v="511"/>
    <n v="21634"/>
    <n v="2356"/>
    <n v="322628"/>
    <n v="34892"/>
    <n v="287736"/>
    <n v="152253"/>
    <n v="135483"/>
  </r>
  <r>
    <s v="15"/>
    <x v="8"/>
    <x v="324"/>
    <x v="324"/>
    <n v="78.66"/>
    <n v="589"/>
    <n v="667.66"/>
    <n v="1.67"/>
    <n v="0"/>
    <n v="0"/>
    <n v="589"/>
    <n v="306.27"/>
    <n v="57.48"/>
    <n v="63.15"/>
    <n v="30.73"/>
    <n v="3.35"/>
    <n v="204484"/>
    <n v="0"/>
    <n v="204484"/>
    <n v="33856"/>
    <n v="37195"/>
    <n v="511"/>
    <n v="20517"/>
    <n v="2237"/>
    <n v="298800"/>
    <n v="35052"/>
    <n v="263748"/>
    <n v="151019"/>
    <n v="112729"/>
  </r>
  <r>
    <s v="15"/>
    <x v="8"/>
    <x v="325"/>
    <x v="325"/>
    <n v="52.8"/>
    <n v="458.4"/>
    <n v="511.2"/>
    <n v="1.28"/>
    <n v="12"/>
    <n v="0"/>
    <n v="470"/>
    <n v="306.27"/>
    <n v="57.48"/>
    <n v="63.15"/>
    <n v="30.73"/>
    <n v="3.35"/>
    <n v="156565"/>
    <n v="0"/>
    <n v="156565"/>
    <n v="27016"/>
    <n v="29681"/>
    <n v="392"/>
    <n v="15709"/>
    <n v="1713"/>
    <n v="231076"/>
    <n v="21967"/>
    <n v="209109"/>
    <n v="120500"/>
    <n v="88609"/>
  </r>
  <r>
    <s v="15"/>
    <x v="8"/>
    <x v="326"/>
    <x v="326"/>
    <n v="20.92"/>
    <n v="308.10000000000002"/>
    <n v="329.02"/>
    <n v="0.83"/>
    <n v="0"/>
    <n v="0"/>
    <n v="308"/>
    <n v="306.27"/>
    <n v="57.48"/>
    <n v="63.15"/>
    <n v="30.73"/>
    <n v="3.35"/>
    <n v="100769"/>
    <n v="14959"/>
    <n v="115728"/>
    <n v="17704"/>
    <n v="19450"/>
    <n v="254"/>
    <n v="10630"/>
    <n v="1158"/>
    <n v="164924"/>
    <n v="18261"/>
    <n v="146663"/>
    <n v="74010"/>
    <n v="726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3" applyNumberFormats="0" applyBorderFormats="0" applyFontFormats="0" applyPatternFormats="0" applyAlignmentFormats="0" applyWidthHeightFormats="1" dataCaption="Values" grandTotalCaption="AEA Total" updatedVersion="6" minRefreshableVersion="3" showDrill="0" useAutoFormatting="1" itemPrintTitles="1" createdVersion="4" indent="0" compact="0" compactData="0" multipleFieldFilters="0">
  <location ref="A4:V332" firstHeaderRow="0" firstDataRow="1" firstDataCol="2"/>
  <pivotFields count="29">
    <pivotField compact="0" outline="0" showAll="0" defaultSubtotal="0"/>
    <pivotField compact="0" outline="0" showAll="0" defaultSubtotal="0">
      <items count="9">
        <item x="2"/>
        <item x="4"/>
        <item x="8"/>
        <item x="7"/>
        <item x="5"/>
        <item x="0"/>
        <item x="3"/>
        <item x="6"/>
        <item x="1"/>
      </items>
    </pivotField>
    <pivotField axis="axisRow" compact="0" outline="0" showAll="0" defaultSubtotal="0">
      <items count="333">
        <item x="59"/>
        <item x="165"/>
        <item x="166"/>
        <item x="218"/>
        <item x="21"/>
        <item x="295"/>
        <item x="133"/>
        <item x="60"/>
        <item x="22"/>
        <item x="0"/>
        <item x="95"/>
        <item x="23"/>
        <item x="167"/>
        <item x="134"/>
        <item x="112"/>
        <item x="168"/>
        <item x="61"/>
        <item x="41"/>
        <item x="219"/>
        <item x="253"/>
        <item x="169"/>
        <item m="1" x="331"/>
        <item x="252"/>
        <item x="170"/>
        <item m="1" x="328"/>
        <item x="171"/>
        <item x="62"/>
        <item x="254"/>
        <item x="135"/>
        <item x="113"/>
        <item x="63"/>
        <item x="114"/>
        <item x="136"/>
        <item x="115"/>
        <item x="303"/>
        <item x="172"/>
        <item x="173"/>
        <item x="220"/>
        <item x="110"/>
        <item x="64"/>
        <item x="96"/>
        <item x="296"/>
        <item x="256"/>
        <item x="65"/>
        <item x="116"/>
        <item x="117"/>
        <item x="297"/>
        <item x="174"/>
        <item x="175"/>
        <item x="66"/>
        <item x="137"/>
        <item x="138"/>
        <item x="298"/>
        <item x="299"/>
        <item x="1"/>
        <item x="118"/>
        <item x="139"/>
        <item x="257"/>
        <item x="221"/>
        <item x="300"/>
        <item x="68"/>
        <item x="222"/>
        <item x="223"/>
        <item x="258"/>
        <item x="24"/>
        <item x="259"/>
        <item x="69"/>
        <item x="25"/>
        <item x="140"/>
        <item x="70"/>
        <item x="119"/>
        <item x="176"/>
        <item x="141"/>
        <item x="177"/>
        <item x="178"/>
        <item x="120"/>
        <item x="179"/>
        <item x="260"/>
        <item x="261"/>
        <item x="262"/>
        <item x="180"/>
        <item x="301"/>
        <item x="121"/>
        <item x="302"/>
        <item x="3"/>
        <item x="122"/>
        <item x="224"/>
        <item x="71"/>
        <item x="181"/>
        <item x="263"/>
        <item x="72"/>
        <item x="4"/>
        <item x="73"/>
        <item x="255"/>
        <item x="123"/>
        <item x="105"/>
        <item x="26"/>
        <item x="182"/>
        <item x="74"/>
        <item x="124"/>
        <item x="265"/>
        <item x="5"/>
        <item x="237"/>
        <item x="6"/>
        <item x="76"/>
        <item x="28"/>
        <item x="142"/>
        <item x="266"/>
        <item x="29"/>
        <item x="183"/>
        <item x="304"/>
        <item x="77"/>
        <item x="30"/>
        <item x="305"/>
        <item x="267"/>
        <item x="225"/>
        <item x="79"/>
        <item x="226"/>
        <item x="184"/>
        <item x="31"/>
        <item x="80"/>
        <item x="268"/>
        <item x="185"/>
        <item x="32"/>
        <item x="281"/>
        <item x="78"/>
        <item x="81"/>
        <item x="269"/>
        <item x="82"/>
        <item x="186"/>
        <item x="2"/>
        <item x="143"/>
        <item x="270"/>
        <item x="83"/>
        <item x="271"/>
        <item m="1" x="332"/>
        <item x="34"/>
        <item x="227"/>
        <item x="144"/>
        <item x="228"/>
        <item x="7"/>
        <item x="84"/>
        <item x="85"/>
        <item x="35"/>
        <item x="86"/>
        <item x="187"/>
        <item x="188"/>
        <item x="145"/>
        <item x="87"/>
        <item x="146"/>
        <item x="272"/>
        <item x="88"/>
        <item x="33"/>
        <item x="89"/>
        <item x="189"/>
        <item x="306"/>
        <item x="307"/>
        <item x="229"/>
        <item x="190"/>
        <item x="90"/>
        <item x="273"/>
        <item x="36"/>
        <item x="230"/>
        <item x="75"/>
        <item x="231"/>
        <item x="274"/>
        <item x="275"/>
        <item x="155"/>
        <item x="147"/>
        <item x="148"/>
        <item x="276"/>
        <item x="149"/>
        <item x="125"/>
        <item x="37"/>
        <item x="191"/>
        <item x="192"/>
        <item x="264"/>
        <item x="38"/>
        <item x="232"/>
        <item x="126"/>
        <item x="9"/>
        <item x="233"/>
        <item x="150"/>
        <item x="91"/>
        <item x="193"/>
        <item x="92"/>
        <item x="234"/>
        <item x="308"/>
        <item x="194"/>
        <item x="152"/>
        <item x="151"/>
        <item x="277"/>
        <item x="8"/>
        <item x="93"/>
        <item x="153"/>
        <item x="309"/>
        <item x="278"/>
        <item x="310"/>
        <item x="311"/>
        <item x="279"/>
        <item x="312"/>
        <item x="154"/>
        <item x="280"/>
        <item x="127"/>
        <item x="94"/>
        <item x="195"/>
        <item x="39"/>
        <item x="10"/>
        <item x="313"/>
        <item x="196"/>
        <item x="67"/>
        <item x="129"/>
        <item x="11"/>
        <item m="1" x="329"/>
        <item x="314"/>
        <item x="156"/>
        <item x="40"/>
        <item x="197"/>
        <item x="128"/>
        <item x="97"/>
        <item m="1" x="330"/>
        <item x="98"/>
        <item x="198"/>
        <item x="284"/>
        <item x="235"/>
        <item x="12"/>
        <item x="199"/>
        <item x="42"/>
        <item x="157"/>
        <item x="282"/>
        <item x="99"/>
        <item x="315"/>
        <item x="316"/>
        <item x="201"/>
        <item x="43"/>
        <item x="245"/>
        <item x="317"/>
        <item x="202"/>
        <item x="203"/>
        <item x="130"/>
        <item x="204"/>
        <item x="44"/>
        <item x="13"/>
        <item x="200"/>
        <item x="45"/>
        <item x="283"/>
        <item x="236"/>
        <item x="14"/>
        <item x="238"/>
        <item x="205"/>
        <item x="100"/>
        <item x="46"/>
        <item x="102"/>
        <item x="206"/>
        <item x="47"/>
        <item x="239"/>
        <item x="240"/>
        <item x="318"/>
        <item x="109"/>
        <item x="241"/>
        <item x="285"/>
        <item x="242"/>
        <item x="286"/>
        <item x="319"/>
        <item x="243"/>
        <item x="244"/>
        <item x="48"/>
        <item x="49"/>
        <item x="158"/>
        <item x="208"/>
        <item x="50"/>
        <item x="51"/>
        <item x="287"/>
        <item x="101"/>
        <item x="15"/>
        <item x="207"/>
        <item x="52"/>
        <item x="53"/>
        <item x="159"/>
        <item x="288"/>
        <item x="16"/>
        <item x="54"/>
        <item x="55"/>
        <item x="214"/>
        <item x="103"/>
        <item x="160"/>
        <item x="289"/>
        <item x="290"/>
        <item x="320"/>
        <item x="104"/>
        <item x="17"/>
        <item x="209"/>
        <item x="56"/>
        <item x="291"/>
        <item x="210"/>
        <item x="211"/>
        <item m="1" x="327"/>
        <item x="321"/>
        <item x="212"/>
        <item x="292"/>
        <item x="161"/>
        <item x="322"/>
        <item x="27"/>
        <item x="323"/>
        <item x="106"/>
        <item x="162"/>
        <item x="107"/>
        <item x="213"/>
        <item x="108"/>
        <item x="324"/>
        <item x="57"/>
        <item x="58"/>
        <item x="163"/>
        <item x="325"/>
        <item x="18"/>
        <item x="19"/>
        <item x="215"/>
        <item x="20"/>
        <item x="293"/>
        <item x="131"/>
        <item x="246"/>
        <item x="111"/>
        <item x="247"/>
        <item x="248"/>
        <item x="249"/>
        <item x="250"/>
        <item x="164"/>
        <item x="132"/>
        <item x="326"/>
        <item x="216"/>
        <item x="294"/>
        <item x="251"/>
        <item x="217"/>
      </items>
    </pivotField>
    <pivotField axis="axisRow" compact="0" outline="0" showAll="0" defaultSubtotal="0">
      <items count="355">
        <item x="165"/>
        <item x="166"/>
        <item x="59"/>
        <item m="1" x="333"/>
        <item x="218"/>
        <item x="21"/>
        <item x="295"/>
        <item x="133"/>
        <item x="60"/>
        <item m="1" x="332"/>
        <item x="0"/>
        <item m="1" x="351"/>
        <item x="167"/>
        <item x="134"/>
        <item x="112"/>
        <item x="168"/>
        <item x="61"/>
        <item x="219"/>
        <item x="253"/>
        <item x="169"/>
        <item m="1" x="339"/>
        <item x="170"/>
        <item m="1" x="342"/>
        <item x="171"/>
        <item x="62"/>
        <item x="254"/>
        <item x="135"/>
        <item x="113"/>
        <item x="63"/>
        <item x="114"/>
        <item x="136"/>
        <item x="115"/>
        <item x="172"/>
        <item x="173"/>
        <item x="220"/>
        <item x="255"/>
        <item x="64"/>
        <item x="296"/>
        <item x="65"/>
        <item m="1" x="344"/>
        <item x="256"/>
        <item x="117"/>
        <item x="297"/>
        <item x="174"/>
        <item x="175"/>
        <item x="66"/>
        <item x="137"/>
        <item x="138"/>
        <item x="298"/>
        <item x="139"/>
        <item x="1"/>
        <item x="118"/>
        <item x="257"/>
        <item x="299"/>
        <item x="221"/>
        <item x="67"/>
        <item x="300"/>
        <item x="68"/>
        <item x="222"/>
        <item x="223"/>
        <item x="258"/>
        <item m="1" x="327"/>
        <item x="259"/>
        <item x="69"/>
        <item x="25"/>
        <item x="2"/>
        <item m="1" x="340"/>
        <item x="70"/>
        <item x="119"/>
        <item x="176"/>
        <item m="1" x="329"/>
        <item x="177"/>
        <item x="178"/>
        <item x="120"/>
        <item x="179"/>
        <item x="260"/>
        <item x="261"/>
        <item m="1" x="352"/>
        <item x="180"/>
        <item x="301"/>
        <item x="121"/>
        <item x="302"/>
        <item x="3"/>
        <item x="122"/>
        <item x="224"/>
        <item x="71"/>
        <item x="181"/>
        <item x="263"/>
        <item x="72"/>
        <item x="4"/>
        <item x="73"/>
        <item x="123"/>
        <item x="26"/>
        <item x="182"/>
        <item x="74"/>
        <item x="75"/>
        <item m="1" x="341"/>
        <item x="27"/>
        <item x="265"/>
        <item x="5"/>
        <item x="124"/>
        <item m="1" x="350"/>
        <item x="6"/>
        <item x="76"/>
        <item x="28"/>
        <item m="1" x="345"/>
        <item x="266"/>
        <item m="1" x="346"/>
        <item x="183"/>
        <item x="304"/>
        <item m="1" x="328"/>
        <item x="30"/>
        <item x="305"/>
        <item x="267"/>
        <item x="225"/>
        <item m="1" x="338"/>
        <item x="226"/>
        <item x="184"/>
        <item x="31"/>
        <item x="80"/>
        <item x="268"/>
        <item x="185"/>
        <item x="78"/>
        <item x="32"/>
        <item m="1" x="335"/>
        <item x="81"/>
        <item x="269"/>
        <item x="82"/>
        <item x="186"/>
        <item x="270"/>
        <item x="83"/>
        <item x="271"/>
        <item m="1" x="349"/>
        <item x="34"/>
        <item x="227"/>
        <item x="144"/>
        <item x="228"/>
        <item x="143"/>
        <item x="7"/>
        <item x="84"/>
        <item x="85"/>
        <item x="35"/>
        <item x="272"/>
        <item x="86"/>
        <item x="187"/>
        <item x="188"/>
        <item x="145"/>
        <item x="87"/>
        <item x="146"/>
        <item x="88"/>
        <item x="89"/>
        <item x="189"/>
        <item x="306"/>
        <item x="307"/>
        <item x="229"/>
        <item x="190"/>
        <item x="90"/>
        <item x="273"/>
        <item x="36"/>
        <item x="230"/>
        <item x="231"/>
        <item x="274"/>
        <item x="275"/>
        <item x="147"/>
        <item x="148"/>
        <item x="276"/>
        <item x="149"/>
        <item x="125"/>
        <item x="37"/>
        <item x="191"/>
        <item x="192"/>
        <item x="38"/>
        <item m="1" x="334"/>
        <item x="126"/>
        <item x="9"/>
        <item x="233"/>
        <item x="150"/>
        <item x="91"/>
        <item x="193"/>
        <item x="92"/>
        <item x="308"/>
        <item x="194"/>
        <item x="8"/>
        <item x="152"/>
        <item x="151"/>
        <item x="277"/>
        <item x="234"/>
        <item x="93"/>
        <item x="153"/>
        <item x="309"/>
        <item x="278"/>
        <item x="310"/>
        <item x="311"/>
        <item x="279"/>
        <item x="312"/>
        <item x="154"/>
        <item x="280"/>
        <item x="127"/>
        <item x="94"/>
        <item x="195"/>
        <item x="10"/>
        <item x="313"/>
        <item x="39"/>
        <item x="196"/>
        <item m="1" x="331"/>
        <item m="1" x="330"/>
        <item x="155"/>
        <item m="1" x="347"/>
        <item x="96"/>
        <item x="40"/>
        <item x="156"/>
        <item x="314"/>
        <item x="197"/>
        <item x="128"/>
        <item x="97"/>
        <item m="1" x="336"/>
        <item m="1" x="353"/>
        <item x="129"/>
        <item m="1" x="348"/>
        <item x="98"/>
        <item x="198"/>
        <item m="1" x="337"/>
        <item x="12"/>
        <item x="199"/>
        <item x="42"/>
        <item x="157"/>
        <item x="282"/>
        <item x="99"/>
        <item x="315"/>
        <item x="316"/>
        <item x="201"/>
        <item x="43"/>
        <item x="200"/>
        <item x="317"/>
        <item x="202"/>
        <item x="203"/>
        <item x="130"/>
        <item x="204"/>
        <item x="44"/>
        <item x="13"/>
        <item x="45"/>
        <item x="283"/>
        <item x="236"/>
        <item x="14"/>
        <item x="237"/>
        <item x="284"/>
        <item x="238"/>
        <item x="205"/>
        <item x="100"/>
        <item x="46"/>
        <item x="206"/>
        <item x="47"/>
        <item x="239"/>
        <item x="240"/>
        <item x="318"/>
        <item x="241"/>
        <item x="285"/>
        <item x="242"/>
        <item x="286"/>
        <item x="319"/>
        <item x="243"/>
        <item x="48"/>
        <item x="244"/>
        <item x="158"/>
        <item x="49"/>
        <item x="50"/>
        <item x="245"/>
        <item x="287"/>
        <item x="101"/>
        <item x="15"/>
        <item x="207"/>
        <item x="208"/>
        <item x="51"/>
        <item x="52"/>
        <item x="53"/>
        <item x="159"/>
        <item x="102"/>
        <item x="288"/>
        <item x="16"/>
        <item x="54"/>
        <item x="55"/>
        <item x="103"/>
        <item x="160"/>
        <item x="289"/>
        <item x="290"/>
        <item x="320"/>
        <item x="104"/>
        <item x="17"/>
        <item x="209"/>
        <item x="56"/>
        <item x="291"/>
        <item x="105"/>
        <item x="210"/>
        <item x="211"/>
        <item m="1" x="354"/>
        <item m="1" x="343"/>
        <item x="212"/>
        <item x="292"/>
        <item x="161"/>
        <item x="322"/>
        <item x="323"/>
        <item x="106"/>
        <item x="162"/>
        <item x="107"/>
        <item x="213"/>
        <item x="108"/>
        <item x="324"/>
        <item x="57"/>
        <item x="58"/>
        <item x="163"/>
        <item x="325"/>
        <item x="18"/>
        <item x="214"/>
        <item x="19"/>
        <item x="215"/>
        <item x="109"/>
        <item x="110"/>
        <item x="293"/>
        <item x="131"/>
        <item x="246"/>
        <item x="111"/>
        <item x="247"/>
        <item x="248"/>
        <item x="20"/>
        <item x="249"/>
        <item x="250"/>
        <item x="164"/>
        <item x="132"/>
        <item x="326"/>
        <item x="216"/>
        <item x="294"/>
        <item x="251"/>
        <item x="217"/>
        <item x="11"/>
        <item x="22"/>
        <item x="23"/>
        <item x="24"/>
        <item x="29"/>
        <item x="33"/>
        <item x="41"/>
        <item x="77"/>
        <item x="79"/>
        <item x="95"/>
        <item x="116"/>
        <item x="140"/>
        <item x="141"/>
        <item x="142"/>
        <item x="232"/>
        <item x="235"/>
        <item x="252"/>
        <item x="262"/>
        <item x="264"/>
        <item x="281"/>
        <item x="303"/>
        <item x="321"/>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328">
    <i>
      <x/>
      <x v="2"/>
    </i>
    <i>
      <x v="1"/>
      <x/>
    </i>
    <i>
      <x v="2"/>
      <x v="1"/>
    </i>
    <i>
      <x v="3"/>
      <x v="4"/>
    </i>
    <i>
      <x v="4"/>
      <x v="5"/>
    </i>
    <i>
      <x v="5"/>
      <x v="6"/>
    </i>
    <i>
      <x v="6"/>
      <x v="7"/>
    </i>
    <i>
      <x v="7"/>
      <x v="8"/>
    </i>
    <i>
      <x v="8"/>
      <x v="334"/>
    </i>
    <i>
      <x v="9"/>
      <x v="10"/>
    </i>
    <i>
      <x v="10"/>
      <x v="342"/>
    </i>
    <i>
      <x v="11"/>
      <x v="335"/>
    </i>
    <i>
      <x v="12"/>
      <x v="12"/>
    </i>
    <i>
      <x v="13"/>
      <x v="13"/>
    </i>
    <i>
      <x v="14"/>
      <x v="14"/>
    </i>
    <i>
      <x v="15"/>
      <x v="15"/>
    </i>
    <i>
      <x v="16"/>
      <x v="16"/>
    </i>
    <i>
      <x v="17"/>
      <x v="339"/>
    </i>
    <i>
      <x v="18"/>
      <x v="17"/>
    </i>
    <i>
      <x v="19"/>
      <x v="18"/>
    </i>
    <i>
      <x v="20"/>
      <x v="19"/>
    </i>
    <i>
      <x v="22"/>
      <x v="349"/>
    </i>
    <i>
      <x v="23"/>
      <x v="21"/>
    </i>
    <i>
      <x v="25"/>
      <x v="23"/>
    </i>
    <i>
      <x v="26"/>
      <x v="24"/>
    </i>
    <i>
      <x v="27"/>
      <x v="25"/>
    </i>
    <i>
      <x v="28"/>
      <x v="26"/>
    </i>
    <i>
      <x v="29"/>
      <x v="27"/>
    </i>
    <i>
      <x v="30"/>
      <x v="28"/>
    </i>
    <i>
      <x v="31"/>
      <x v="29"/>
    </i>
    <i>
      <x v="32"/>
      <x v="30"/>
    </i>
    <i>
      <x v="33"/>
      <x v="31"/>
    </i>
    <i>
      <x v="34"/>
      <x v="353"/>
    </i>
    <i>
      <x v="35"/>
      <x v="32"/>
    </i>
    <i>
      <x v="36"/>
      <x v="33"/>
    </i>
    <i>
      <x v="37"/>
      <x v="34"/>
    </i>
    <i>
      <x v="38"/>
      <x v="316"/>
    </i>
    <i>
      <x v="39"/>
      <x v="36"/>
    </i>
    <i>
      <x v="40"/>
      <x v="208"/>
    </i>
    <i>
      <x v="41"/>
      <x v="37"/>
    </i>
    <i>
      <x v="42"/>
      <x v="40"/>
    </i>
    <i>
      <x v="43"/>
      <x v="38"/>
    </i>
    <i>
      <x v="44"/>
      <x v="343"/>
    </i>
    <i>
      <x v="45"/>
      <x v="41"/>
    </i>
    <i>
      <x v="46"/>
      <x v="42"/>
    </i>
    <i>
      <x v="47"/>
      <x v="43"/>
    </i>
    <i>
      <x v="48"/>
      <x v="44"/>
    </i>
    <i>
      <x v="49"/>
      <x v="45"/>
    </i>
    <i>
      <x v="50"/>
      <x v="46"/>
    </i>
    <i>
      <x v="51"/>
      <x v="47"/>
    </i>
    <i>
      <x v="52"/>
      <x v="48"/>
    </i>
    <i>
      <x v="53"/>
      <x v="53"/>
    </i>
    <i>
      <x v="54"/>
      <x v="50"/>
    </i>
    <i>
      <x v="55"/>
      <x v="51"/>
    </i>
    <i>
      <x v="56"/>
      <x v="49"/>
    </i>
    <i>
      <x v="57"/>
      <x v="52"/>
    </i>
    <i>
      <x v="58"/>
      <x v="54"/>
    </i>
    <i>
      <x v="59"/>
      <x v="56"/>
    </i>
    <i>
      <x v="60"/>
      <x v="57"/>
    </i>
    <i>
      <x v="61"/>
      <x v="58"/>
    </i>
    <i>
      <x v="62"/>
      <x v="59"/>
    </i>
    <i>
      <x v="63"/>
      <x v="60"/>
    </i>
    <i>
      <x v="64"/>
      <x v="336"/>
    </i>
    <i>
      <x v="65"/>
      <x v="62"/>
    </i>
    <i>
      <x v="66"/>
      <x v="63"/>
    </i>
    <i>
      <x v="67"/>
      <x v="64"/>
    </i>
    <i>
      <x v="68"/>
      <x v="344"/>
    </i>
    <i>
      <x v="69"/>
      <x v="67"/>
    </i>
    <i>
      <x v="70"/>
      <x v="68"/>
    </i>
    <i>
      <x v="71"/>
      <x v="69"/>
    </i>
    <i>
      <x v="72"/>
      <x v="345"/>
    </i>
    <i>
      <x v="73"/>
      <x v="71"/>
    </i>
    <i>
      <x v="74"/>
      <x v="72"/>
    </i>
    <i>
      <x v="75"/>
      <x v="73"/>
    </i>
    <i>
      <x v="76"/>
      <x v="74"/>
    </i>
    <i>
      <x v="77"/>
      <x v="75"/>
    </i>
    <i>
      <x v="78"/>
      <x v="76"/>
    </i>
    <i>
      <x v="79"/>
      <x v="350"/>
    </i>
    <i>
      <x v="80"/>
      <x v="78"/>
    </i>
    <i>
      <x v="81"/>
      <x v="79"/>
    </i>
    <i>
      <x v="82"/>
      <x v="80"/>
    </i>
    <i>
      <x v="83"/>
      <x v="81"/>
    </i>
    <i>
      <x v="84"/>
      <x v="82"/>
    </i>
    <i>
      <x v="85"/>
      <x v="83"/>
    </i>
    <i>
      <x v="86"/>
      <x v="84"/>
    </i>
    <i>
      <x v="87"/>
      <x v="85"/>
    </i>
    <i>
      <x v="88"/>
      <x v="86"/>
    </i>
    <i>
      <x v="89"/>
      <x v="87"/>
    </i>
    <i>
      <x v="90"/>
      <x v="88"/>
    </i>
    <i>
      <x v="91"/>
      <x v="89"/>
    </i>
    <i>
      <x v="92"/>
      <x v="90"/>
    </i>
    <i>
      <x v="93"/>
      <x v="35"/>
    </i>
    <i>
      <x v="94"/>
      <x v="91"/>
    </i>
    <i>
      <x v="95"/>
      <x v="291"/>
    </i>
    <i>
      <x v="96"/>
      <x v="92"/>
    </i>
    <i>
      <x v="97"/>
      <x v="93"/>
    </i>
    <i>
      <x v="98"/>
      <x v="94"/>
    </i>
    <i>
      <x v="99"/>
      <x v="100"/>
    </i>
    <i>
      <x v="100"/>
      <x v="98"/>
    </i>
    <i>
      <x v="101"/>
      <x v="99"/>
    </i>
    <i>
      <x v="102"/>
      <x v="244"/>
    </i>
    <i>
      <x v="103"/>
      <x v="102"/>
    </i>
    <i>
      <x v="104"/>
      <x v="103"/>
    </i>
    <i>
      <x v="105"/>
      <x v="104"/>
    </i>
    <i>
      <x v="106"/>
      <x v="346"/>
    </i>
    <i>
      <x v="107"/>
      <x v="106"/>
    </i>
    <i>
      <x v="108"/>
      <x v="337"/>
    </i>
    <i>
      <x v="109"/>
      <x v="108"/>
    </i>
    <i>
      <x v="110"/>
      <x v="109"/>
    </i>
    <i>
      <x v="111"/>
      <x v="340"/>
    </i>
    <i>
      <x v="112"/>
      <x v="111"/>
    </i>
    <i>
      <x v="113"/>
      <x v="112"/>
    </i>
    <i>
      <x v="114"/>
      <x v="113"/>
    </i>
    <i>
      <x v="115"/>
      <x v="114"/>
    </i>
    <i>
      <x v="116"/>
      <x v="341"/>
    </i>
    <i>
      <x v="117"/>
      <x v="116"/>
    </i>
    <i>
      <x v="118"/>
      <x v="117"/>
    </i>
    <i>
      <x v="119"/>
      <x v="118"/>
    </i>
    <i>
      <x v="120"/>
      <x v="119"/>
    </i>
    <i>
      <x v="121"/>
      <x v="120"/>
    </i>
    <i>
      <x v="122"/>
      <x v="121"/>
    </i>
    <i>
      <x v="123"/>
      <x v="123"/>
    </i>
    <i>
      <x v="124"/>
      <x v="352"/>
    </i>
    <i>
      <x v="125"/>
      <x v="122"/>
    </i>
    <i>
      <x v="126"/>
      <x v="125"/>
    </i>
    <i>
      <x v="127"/>
      <x v="126"/>
    </i>
    <i>
      <x v="128"/>
      <x v="127"/>
    </i>
    <i>
      <x v="129"/>
      <x v="128"/>
    </i>
    <i>
      <x v="130"/>
      <x v="65"/>
    </i>
    <i>
      <x v="131"/>
      <x v="137"/>
    </i>
    <i>
      <x v="132"/>
      <x v="129"/>
    </i>
    <i>
      <x v="133"/>
      <x v="130"/>
    </i>
    <i>
      <x v="134"/>
      <x v="131"/>
    </i>
    <i>
      <x v="136"/>
      <x v="133"/>
    </i>
    <i>
      <x v="137"/>
      <x v="134"/>
    </i>
    <i>
      <x v="138"/>
      <x v="135"/>
    </i>
    <i>
      <x v="139"/>
      <x v="136"/>
    </i>
    <i>
      <x v="140"/>
      <x v="138"/>
    </i>
    <i>
      <x v="141"/>
      <x v="139"/>
    </i>
    <i>
      <x v="142"/>
      <x v="140"/>
    </i>
    <i>
      <x v="143"/>
      <x v="141"/>
    </i>
    <i>
      <x v="144"/>
      <x v="143"/>
    </i>
    <i>
      <x v="145"/>
      <x v="144"/>
    </i>
    <i>
      <x v="146"/>
      <x v="145"/>
    </i>
    <i>
      <x v="147"/>
      <x v="146"/>
    </i>
    <i>
      <x v="148"/>
      <x v="147"/>
    </i>
    <i>
      <x v="149"/>
      <x v="148"/>
    </i>
    <i>
      <x v="150"/>
      <x v="142"/>
    </i>
    <i>
      <x v="151"/>
      <x v="149"/>
    </i>
    <i>
      <x v="152"/>
      <x v="338"/>
    </i>
    <i>
      <x v="153"/>
      <x v="150"/>
    </i>
    <i>
      <x v="154"/>
      <x v="151"/>
    </i>
    <i>
      <x v="155"/>
      <x v="152"/>
    </i>
    <i>
      <x v="156"/>
      <x v="153"/>
    </i>
    <i>
      <x v="157"/>
      <x v="154"/>
    </i>
    <i>
      <x v="158"/>
      <x v="155"/>
    </i>
    <i>
      <x v="159"/>
      <x v="156"/>
    </i>
    <i>
      <x v="160"/>
      <x v="157"/>
    </i>
    <i>
      <x v="161"/>
      <x v="158"/>
    </i>
    <i>
      <x v="162"/>
      <x v="159"/>
    </i>
    <i>
      <x v="163"/>
      <x v="95"/>
    </i>
    <i>
      <x v="164"/>
      <x v="160"/>
    </i>
    <i>
      <x v="165"/>
      <x v="161"/>
    </i>
    <i>
      <x v="166"/>
      <x v="162"/>
    </i>
    <i>
      <x v="167"/>
      <x v="206"/>
    </i>
    <i>
      <x v="168"/>
      <x v="163"/>
    </i>
    <i>
      <x v="169"/>
      <x v="164"/>
    </i>
    <i>
      <x v="170"/>
      <x v="165"/>
    </i>
    <i>
      <x v="171"/>
      <x v="166"/>
    </i>
    <i>
      <x v="172"/>
      <x v="167"/>
    </i>
    <i>
      <x v="173"/>
      <x v="168"/>
    </i>
    <i>
      <x v="174"/>
      <x v="169"/>
    </i>
    <i>
      <x v="175"/>
      <x v="170"/>
    </i>
    <i>
      <x v="176"/>
      <x v="351"/>
    </i>
    <i>
      <x v="177"/>
      <x v="171"/>
    </i>
    <i>
      <x v="178"/>
      <x v="347"/>
    </i>
    <i>
      <x v="179"/>
      <x v="173"/>
    </i>
    <i>
      <x v="180"/>
      <x v="174"/>
    </i>
    <i>
      <x v="181"/>
      <x v="175"/>
    </i>
    <i>
      <x v="182"/>
      <x v="176"/>
    </i>
    <i>
      <x v="183"/>
      <x v="177"/>
    </i>
    <i>
      <x v="184"/>
      <x v="178"/>
    </i>
    <i>
      <x v="185"/>
      <x v="179"/>
    </i>
    <i>
      <x v="186"/>
      <x v="186"/>
    </i>
    <i>
      <x v="187"/>
      <x v="180"/>
    </i>
    <i>
      <x v="188"/>
      <x v="181"/>
    </i>
    <i>
      <x v="189"/>
      <x v="183"/>
    </i>
    <i>
      <x v="190"/>
      <x v="184"/>
    </i>
    <i>
      <x v="191"/>
      <x v="185"/>
    </i>
    <i>
      <x v="192"/>
      <x v="182"/>
    </i>
    <i>
      <x v="193"/>
      <x v="187"/>
    </i>
    <i>
      <x v="194"/>
      <x v="188"/>
    </i>
    <i>
      <x v="195"/>
      <x v="189"/>
    </i>
    <i>
      <x v="196"/>
      <x v="190"/>
    </i>
    <i>
      <x v="197"/>
      <x v="191"/>
    </i>
    <i>
      <x v="198"/>
      <x v="192"/>
    </i>
    <i>
      <x v="199"/>
      <x v="193"/>
    </i>
    <i>
      <x v="200"/>
      <x v="194"/>
    </i>
    <i>
      <x v="201"/>
      <x v="195"/>
    </i>
    <i>
      <x v="202"/>
      <x v="196"/>
    </i>
    <i>
      <x v="203"/>
      <x v="197"/>
    </i>
    <i>
      <x v="204"/>
      <x v="198"/>
    </i>
    <i>
      <x v="205"/>
      <x v="199"/>
    </i>
    <i>
      <x v="206"/>
      <x v="202"/>
    </i>
    <i>
      <x v="207"/>
      <x v="200"/>
    </i>
    <i>
      <x v="208"/>
      <x v="201"/>
    </i>
    <i>
      <x v="209"/>
      <x v="203"/>
    </i>
    <i>
      <x v="210"/>
      <x v="55"/>
    </i>
    <i>
      <x v="211"/>
      <x v="217"/>
    </i>
    <i>
      <x v="212"/>
      <x v="333"/>
    </i>
    <i>
      <x v="214"/>
      <x v="211"/>
    </i>
    <i>
      <x v="215"/>
      <x v="210"/>
    </i>
    <i>
      <x v="216"/>
      <x v="209"/>
    </i>
    <i>
      <x v="217"/>
      <x v="212"/>
    </i>
    <i>
      <x v="218"/>
      <x v="213"/>
    </i>
    <i>
      <x v="219"/>
      <x v="214"/>
    </i>
    <i>
      <x v="221"/>
      <x v="219"/>
    </i>
    <i>
      <x v="222"/>
      <x v="220"/>
    </i>
    <i>
      <x v="223"/>
      <x v="245"/>
    </i>
    <i>
      <x v="224"/>
      <x v="348"/>
    </i>
    <i>
      <x v="225"/>
      <x v="222"/>
    </i>
    <i>
      <x v="226"/>
      <x v="223"/>
    </i>
    <i>
      <x v="227"/>
      <x v="224"/>
    </i>
    <i>
      <x v="228"/>
      <x v="225"/>
    </i>
    <i>
      <x v="229"/>
      <x v="226"/>
    </i>
    <i>
      <x v="230"/>
      <x v="227"/>
    </i>
    <i>
      <x v="231"/>
      <x v="228"/>
    </i>
    <i>
      <x v="232"/>
      <x v="229"/>
    </i>
    <i>
      <x v="233"/>
      <x v="230"/>
    </i>
    <i>
      <x v="234"/>
      <x v="231"/>
    </i>
    <i>
      <x v="235"/>
      <x v="266"/>
    </i>
    <i>
      <x v="236"/>
      <x v="233"/>
    </i>
    <i>
      <x v="237"/>
      <x v="234"/>
    </i>
    <i>
      <x v="238"/>
      <x v="235"/>
    </i>
    <i>
      <x v="239"/>
      <x v="236"/>
    </i>
    <i>
      <x v="240"/>
      <x v="237"/>
    </i>
    <i>
      <x v="241"/>
      <x v="238"/>
    </i>
    <i>
      <x v="242"/>
      <x v="239"/>
    </i>
    <i>
      <x v="243"/>
      <x v="232"/>
    </i>
    <i>
      <x v="244"/>
      <x v="240"/>
    </i>
    <i>
      <x v="245"/>
      <x v="241"/>
    </i>
    <i>
      <x v="246"/>
      <x v="242"/>
    </i>
    <i>
      <x v="247"/>
      <x v="243"/>
    </i>
    <i>
      <x v="248"/>
      <x v="246"/>
    </i>
    <i>
      <x v="249"/>
      <x v="247"/>
    </i>
    <i>
      <x v="250"/>
      <x v="248"/>
    </i>
    <i>
      <x v="251"/>
      <x v="249"/>
    </i>
    <i>
      <x v="252"/>
      <x v="276"/>
    </i>
    <i>
      <x v="253"/>
      <x v="250"/>
    </i>
    <i>
      <x v="254"/>
      <x v="251"/>
    </i>
    <i>
      <x v="255"/>
      <x v="252"/>
    </i>
    <i>
      <x v="256"/>
      <x v="253"/>
    </i>
    <i>
      <x v="257"/>
      <x v="254"/>
    </i>
    <i>
      <x v="258"/>
      <x v="315"/>
    </i>
    <i>
      <x v="259"/>
      <x v="255"/>
    </i>
    <i>
      <x v="260"/>
      <x v="256"/>
    </i>
    <i>
      <x v="261"/>
      <x v="257"/>
    </i>
    <i>
      <x v="262"/>
      <x v="258"/>
    </i>
    <i>
      <x v="263"/>
      <x v="259"/>
    </i>
    <i>
      <x v="264"/>
      <x v="260"/>
    </i>
    <i>
      <x v="265"/>
      <x v="262"/>
    </i>
    <i>
      <x v="266"/>
      <x v="261"/>
    </i>
    <i>
      <x v="267"/>
      <x v="264"/>
    </i>
    <i>
      <x v="268"/>
      <x v="263"/>
    </i>
    <i>
      <x v="269"/>
      <x v="271"/>
    </i>
    <i>
      <x v="270"/>
      <x v="265"/>
    </i>
    <i>
      <x v="271"/>
      <x v="272"/>
    </i>
    <i>
      <x v="272"/>
      <x v="267"/>
    </i>
    <i>
      <x v="273"/>
      <x v="268"/>
    </i>
    <i>
      <x v="274"/>
      <x v="269"/>
    </i>
    <i>
      <x v="275"/>
      <x v="270"/>
    </i>
    <i>
      <x v="276"/>
      <x v="273"/>
    </i>
    <i>
      <x v="277"/>
      <x v="274"/>
    </i>
    <i>
      <x v="278"/>
      <x v="275"/>
    </i>
    <i>
      <x v="279"/>
      <x v="277"/>
    </i>
    <i>
      <x v="280"/>
      <x v="278"/>
    </i>
    <i>
      <x v="281"/>
      <x v="279"/>
    </i>
    <i>
      <x v="282"/>
      <x v="280"/>
    </i>
    <i>
      <x v="283"/>
      <x v="312"/>
    </i>
    <i>
      <x v="284"/>
      <x v="281"/>
    </i>
    <i>
      <x v="285"/>
      <x v="282"/>
    </i>
    <i>
      <x v="286"/>
      <x v="283"/>
    </i>
    <i>
      <x v="287"/>
      <x v="284"/>
    </i>
    <i>
      <x v="288"/>
      <x v="285"/>
    </i>
    <i>
      <x v="289"/>
      <x v="286"/>
    </i>
    <i>
      <x v="290"/>
      <x v="287"/>
    </i>
    <i>
      <x v="291"/>
      <x v="288"/>
    </i>
    <i>
      <x v="292"/>
      <x v="289"/>
    </i>
    <i>
      <x v="293"/>
      <x v="290"/>
    </i>
    <i>
      <x v="294"/>
      <x v="292"/>
    </i>
    <i>
      <x v="295"/>
      <x v="293"/>
    </i>
    <i>
      <x v="297"/>
      <x v="354"/>
    </i>
    <i>
      <x v="298"/>
      <x v="296"/>
    </i>
    <i>
      <x v="299"/>
      <x v="297"/>
    </i>
    <i>
      <x v="300"/>
      <x v="298"/>
    </i>
    <i>
      <x v="301"/>
      <x v="299"/>
    </i>
    <i>
      <x v="302"/>
      <x v="97"/>
    </i>
    <i>
      <x v="303"/>
      <x v="300"/>
    </i>
    <i>
      <x v="304"/>
      <x v="301"/>
    </i>
    <i>
      <x v="305"/>
      <x v="302"/>
    </i>
    <i>
      <x v="306"/>
      <x v="303"/>
    </i>
    <i>
      <x v="307"/>
      <x v="304"/>
    </i>
    <i>
      <x v="308"/>
      <x v="305"/>
    </i>
    <i>
      <x v="309"/>
      <x v="306"/>
    </i>
    <i>
      <x v="310"/>
      <x v="307"/>
    </i>
    <i>
      <x v="311"/>
      <x v="308"/>
    </i>
    <i>
      <x v="312"/>
      <x v="309"/>
    </i>
    <i>
      <x v="313"/>
      <x v="310"/>
    </i>
    <i>
      <x v="314"/>
      <x v="311"/>
    </i>
    <i>
      <x v="315"/>
      <x v="313"/>
    </i>
    <i>
      <x v="316"/>
      <x v="314"/>
    </i>
    <i>
      <x v="317"/>
      <x v="323"/>
    </i>
    <i>
      <x v="318"/>
      <x v="317"/>
    </i>
    <i>
      <x v="319"/>
      <x v="318"/>
    </i>
    <i>
      <x v="320"/>
      <x v="319"/>
    </i>
    <i>
      <x v="321"/>
      <x v="320"/>
    </i>
    <i>
      <x v="322"/>
      <x v="321"/>
    </i>
    <i>
      <x v="323"/>
      <x v="322"/>
    </i>
    <i>
      <x v="324"/>
      <x v="324"/>
    </i>
    <i>
      <x v="325"/>
      <x v="325"/>
    </i>
    <i>
      <x v="326"/>
      <x v="326"/>
    </i>
    <i>
      <x v="327"/>
      <x v="327"/>
    </i>
    <i>
      <x v="328"/>
      <x v="328"/>
    </i>
    <i>
      <x v="329"/>
      <x v="329"/>
    </i>
    <i>
      <x v="330"/>
      <x v="330"/>
    </i>
    <i>
      <x v="331"/>
      <x v="331"/>
    </i>
    <i>
      <x v="332"/>
      <x v="332"/>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28">
      <pivotArea field="2" type="button" dataOnly="0" labelOnly="1" outline="0" axis="axisRow" fieldPosition="0"/>
    </format>
    <format dxfId="27">
      <pivotArea field="3" type="button" dataOnly="0" labelOnly="1" outline="0" axis="axisRow" fieldPosition="1"/>
    </format>
    <format dxfId="26">
      <pivotArea dataOnly="0" labelOnly="1" outline="0" fieldPosition="0">
        <references count="1">
          <reference field="4294967294" count="20">
            <x v="0"/>
            <x v="1"/>
            <x v="2"/>
            <x v="3"/>
            <x v="4"/>
            <x v="5"/>
            <x v="6"/>
            <x v="7"/>
            <x v="8"/>
            <x v="9"/>
            <x v="10"/>
            <x v="11"/>
            <x v="12"/>
            <x v="13"/>
            <x v="14"/>
            <x v="15"/>
            <x v="16"/>
            <x v="17"/>
            <x v="18"/>
            <x v="19"/>
          </reference>
        </references>
      </pivotArea>
    </format>
    <format dxfId="25">
      <pivotArea type="all" dataOnly="0" outline="0" fieldPosition="0"/>
    </format>
    <format dxfId="24">
      <pivotArea field="2" type="button" dataOnly="0" labelOnly="1" outline="0" axis="axisRow" fieldPosition="0"/>
    </format>
    <format dxfId="23">
      <pivotArea field="3" type="button" dataOnly="0" labelOnly="1" outline="0" axis="axisRow" fieldPosition="1"/>
    </format>
    <format dxfId="22">
      <pivotArea dataOnly="0" labelOnly="1" outline="0" fieldPosition="0">
        <references count="1">
          <reference field="4294967294" count="20">
            <x v="0"/>
            <x v="1"/>
            <x v="2"/>
            <x v="3"/>
            <x v="4"/>
            <x v="5"/>
            <x v="6"/>
            <x v="7"/>
            <x v="8"/>
            <x v="9"/>
            <x v="10"/>
            <x v="11"/>
            <x v="12"/>
            <x v="13"/>
            <x v="14"/>
            <x v="15"/>
            <x v="16"/>
            <x v="17"/>
            <x v="18"/>
            <x v="19"/>
          </reference>
        </references>
      </pivotArea>
    </format>
    <format dxfId="21">
      <pivotArea grandRow="1" outline="0" collapsedLevelsAreSubtotals="1" fieldPosition="0"/>
    </format>
    <format dxfId="20">
      <pivotArea dataOnly="0" labelOnly="1" grandRow="1" outline="0" fieldPosition="0"/>
    </format>
    <format dxfId="19">
      <pivotArea outline="0" fieldPosition="0">
        <references count="1">
          <reference field="4294967294" count="1">
            <x v="0"/>
          </reference>
        </references>
      </pivotArea>
    </format>
    <format dxfId="18">
      <pivotArea outline="0" fieldPosition="0">
        <references count="1">
          <reference field="4294967294" count="1">
            <x v="1"/>
          </reference>
        </references>
      </pivotArea>
    </format>
    <format dxfId="17">
      <pivotArea outline="0" fieldPosition="0">
        <references count="1">
          <reference field="4294967294" count="1">
            <x v="2"/>
          </reference>
        </references>
      </pivotArea>
    </format>
    <format dxfId="16">
      <pivotArea outline="0" fieldPosition="0">
        <references count="1">
          <reference field="4294967294" count="1">
            <x v="3"/>
          </reference>
        </references>
      </pivotArea>
    </format>
    <format dxfId="15">
      <pivotArea outline="0" fieldPosition="0">
        <references count="1">
          <reference field="4294967294" count="1">
            <x v="4"/>
          </reference>
        </references>
      </pivotArea>
    </format>
    <format dxfId="14">
      <pivotArea outline="0" fieldPosition="0">
        <references count="1">
          <reference field="4294967294" count="1">
            <x v="5"/>
          </reference>
        </references>
      </pivotArea>
    </format>
    <format dxfId="13">
      <pivotArea outline="0" fieldPosition="0">
        <references count="1">
          <reference field="4294967294" count="1">
            <x v="6"/>
          </reference>
        </references>
      </pivotArea>
    </format>
    <format dxfId="12">
      <pivotArea outline="0" fieldPosition="0">
        <references count="1">
          <reference field="4294967294" count="1">
            <x v="7"/>
          </reference>
        </references>
      </pivotArea>
    </format>
    <format dxfId="11">
      <pivotArea outline="0" fieldPosition="0">
        <references count="1">
          <reference field="4294967294" count="1">
            <x v="8"/>
          </reference>
        </references>
      </pivotArea>
    </format>
    <format dxfId="10">
      <pivotArea outline="0" fieldPosition="0">
        <references count="1">
          <reference field="4294967294" count="1">
            <x v="9"/>
          </reference>
        </references>
      </pivotArea>
    </format>
    <format dxfId="9">
      <pivotArea outline="0" fieldPosition="0">
        <references count="1">
          <reference field="4294967294" count="1">
            <x v="10"/>
          </reference>
        </references>
      </pivotArea>
    </format>
    <format dxfId="8">
      <pivotArea outline="0" fieldPosition="0">
        <references count="1">
          <reference field="4294967294" count="1">
            <x v="11"/>
          </reference>
        </references>
      </pivotArea>
    </format>
    <format dxfId="7">
      <pivotArea outline="0" fieldPosition="0">
        <references count="1">
          <reference field="4294967294" count="1">
            <x v="12"/>
          </reference>
        </references>
      </pivotArea>
    </format>
    <format dxfId="6">
      <pivotArea outline="0" fieldPosition="0">
        <references count="1">
          <reference field="4294967294" count="1">
            <x v="13"/>
          </reference>
        </references>
      </pivotArea>
    </format>
    <format dxfId="5">
      <pivotArea outline="0" fieldPosition="0">
        <references count="1">
          <reference field="4294967294" count="1">
            <x v="14"/>
          </reference>
        </references>
      </pivotArea>
    </format>
    <format dxfId="4">
      <pivotArea outline="0" fieldPosition="0">
        <references count="1">
          <reference field="4294967294" count="1">
            <x v="15"/>
          </reference>
        </references>
      </pivotArea>
    </format>
    <format dxfId="3">
      <pivotArea outline="0" fieldPosition="0">
        <references count="1">
          <reference field="4294967294" count="1">
            <x v="16"/>
          </reference>
        </references>
      </pivotArea>
    </format>
    <format dxfId="2">
      <pivotArea outline="0" fieldPosition="0">
        <references count="1">
          <reference field="4294967294" count="1">
            <x v="17"/>
          </reference>
        </references>
      </pivotArea>
    </format>
    <format dxfId="1">
      <pivotArea outline="0" fieldPosition="0">
        <references count="1">
          <reference field="4294967294" count="1">
            <x v="18"/>
          </reference>
        </references>
      </pivotArea>
    </format>
    <format dxfId="0">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EA_Name" xr10:uid="{00000000-0013-0000-FFFF-FFFF01000000}" sourceName="AEA Name">
  <pivotTables>
    <pivotTable tabId="4" name="PivotTable1"/>
  </pivotTables>
  <data>
    <tabular pivotCacheId="1">
      <items count="9">
        <i x="2" s="1"/>
        <i x="4" s="1"/>
        <i x="8" s="1"/>
        <i x="7" s="1"/>
        <i x="5" s="1"/>
        <i x="0" s="1"/>
        <i x="3"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EA Name" xr10:uid="{00000000-0014-0000-FFFF-FFFF01000000}" cache="Slicer_AEA_Name" caption="AEA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 displayName="Detail" ref="A2:AC329" totalsRowShown="0" headerRowDxfId="59" headerRowBorderDxfId="58">
  <tableColumns count="29">
    <tableColumn id="1" xr3:uid="{00000000-0010-0000-0000-000001000000}" name="AEA" dataDxfId="57"/>
    <tableColumn id="2" xr3:uid="{00000000-0010-0000-0000-000002000000}" name="AEA Name" dataDxfId="56"/>
    <tableColumn id="3" xr3:uid="{00000000-0010-0000-0000-000003000000}" name="Dist" dataDxfId="55"/>
    <tableColumn id="4" xr3:uid="{00000000-0010-0000-0000-000004000000}" name="District" dataDxfId="54"/>
    <tableColumn id="5" xr3:uid="{00000000-0010-0000-0000-000005000000}" name="Total Special Ed Weighting in Addition to 1.0" dataDxfId="53"/>
    <tableColumn id="6" xr3:uid="{00000000-0010-0000-0000-000006000000}" name="Budget Enrollment" dataDxfId="52"/>
    <tableColumn id="7" xr3:uid="{00000000-0010-0000-0000-000007000000}" name="AEA Weighted Enrollment" dataDxfId="51"/>
    <tableColumn id="8" xr3:uid="{00000000-0010-0000-0000-000008000000}" name="AEA Supplementary Weight for Sharing" dataDxfId="50"/>
    <tableColumn id="9" xr3:uid="{00000000-0010-0000-0000-000009000000}" name="Resident Accredited Nonpublic Students" dataDxfId="49"/>
    <tableColumn id="10" xr3:uid="{00000000-0010-0000-0000-00000A000000}" name="Shared-Time Nonpublic Pupils Counted in Line 1.1" dataDxfId="48"/>
    <tableColumn id="11" xr3:uid="{00000000-0010-0000-0000-00000B000000}" name="Total Enrollment Served - AEA Media and Ed Services" dataDxfId="47"/>
    <tableColumn id="12" xr3:uid="{00000000-0010-0000-0000-00000C000000}" name="AEA Special Ed Support Cost Per Pupil" dataDxfId="46"/>
    <tableColumn id="13" xr3:uid="{00000000-0010-0000-0000-00000D000000}" name="AEA Media Cost Per Pupil" dataDxfId="45"/>
    <tableColumn id="14" xr3:uid="{00000000-0010-0000-0000-00000E000000}" name="AEA Ed Services Cost Per Pupil" dataDxfId="44"/>
    <tableColumn id="15" xr3:uid="{00000000-0010-0000-0000-00000F000000}" name="AEA Teacher Salary Supplement District Cost Per Pupil" dataDxfId="43"/>
    <tableColumn id="16" xr3:uid="{00000000-0010-0000-0000-000010000000}" name="Professional Development Supplement District Cost Per Pupil" dataDxfId="42"/>
    <tableColumn id="17" xr3:uid="{00000000-0010-0000-0000-000011000000}" name="AEA Special Ed Support District Cost without Adjustment" dataDxfId="41"/>
    <tableColumn id="18" xr3:uid="{00000000-0010-0000-0000-000012000000}" name="AEA Special Ed Support Adjustment" dataDxfId="40"/>
    <tableColumn id="19" xr3:uid="{00000000-0010-0000-0000-000013000000}" name="Special Education Total Cost" dataDxfId="39"/>
    <tableColumn id="20" xr3:uid="{00000000-0010-0000-0000-000014000000}" name="AEA Media Services District Cost" dataDxfId="38"/>
    <tableColumn id="21" xr3:uid="{00000000-0010-0000-0000-000015000000}" name="AEA Ed Services District Cost" dataDxfId="37"/>
    <tableColumn id="22" xr3:uid="{00000000-0010-0000-0000-000016000000}" name="AEA Sharing District Cost" dataDxfId="36"/>
    <tableColumn id="23" xr3:uid="{00000000-0010-0000-0000-000017000000}" name="AEA Teacher Salary Supplement District Cost" dataDxfId="35"/>
    <tableColumn id="24" xr3:uid="{00000000-0010-0000-0000-000018000000}" name="AEA Professional Development Supplement District Cost" dataDxfId="34"/>
    <tableColumn id="25" xr3:uid="{00000000-0010-0000-0000-000019000000}" name="Subtotal Budget" dataDxfId="33"/>
    <tableColumn id="26" xr3:uid="{00000000-0010-0000-0000-00001A000000}" name="AEA Statewide State Aid Reduction" dataDxfId="32"/>
    <tableColumn id="27" xr3:uid="{00000000-0010-0000-0000-00001B000000}" name="Total Budget" dataDxfId="31"/>
    <tableColumn id="28" xr3:uid="{00000000-0010-0000-0000-00001C000000}" name="State Aid Portion" dataDxfId="30"/>
    <tableColumn id="29" xr3:uid="{00000000-0010-0000-0000-00001D000000}" name="Property Tax Portion" dataDxfId="29"/>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topLeftCell="A2" workbookViewId="0">
      <selection activeCell="A2" sqref="A2"/>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365</v>
      </c>
      <c r="B2" s="7" t="s">
        <v>366</v>
      </c>
      <c r="C2" s="8" t="s">
        <v>370</v>
      </c>
      <c r="D2" s="8" t="s">
        <v>344</v>
      </c>
      <c r="E2" s="8" t="s">
        <v>371</v>
      </c>
      <c r="F2" s="8" t="s">
        <v>372</v>
      </c>
      <c r="G2" s="8" t="s">
        <v>373</v>
      </c>
      <c r="H2" s="8" t="s">
        <v>374</v>
      </c>
      <c r="I2" s="8" t="s">
        <v>375</v>
      </c>
      <c r="J2" s="8" t="s">
        <v>376</v>
      </c>
      <c r="K2" s="8" t="s">
        <v>377</v>
      </c>
    </row>
    <row r="3" spans="1:11" x14ac:dyDescent="0.25">
      <c r="A3" s="1" t="str">
        <f t="array" ref="A3">IFERROR(INDEX(Detail[AEA], MATCH(0,COUNTIF(Summary!$A$2:'Summary'!A2, Detail[AEA]), 0)),"")</f>
        <v>01</v>
      </c>
      <c r="B3" t="str">
        <f>INDEX(Detail[],MATCH(Summary!$A3,Detail[AEA],0),2)</f>
        <v>Keystone AEA 1</v>
      </c>
      <c r="C3" s="2">
        <f>SUMIFS(INDEX(Detail[],0,MATCH(C$1,Detail[#Headers],0)),Detail[AEA],$A3)</f>
        <v>4399.37</v>
      </c>
      <c r="D3" s="3">
        <f>SUMIFS(INDEX(Detail[],0,MATCH(D$1,Detail[#Headers],0)),Detail[AEA],$A3)</f>
        <v>28250.3</v>
      </c>
      <c r="E3" s="2">
        <f>SUMIFS(INDEX(Detail[],0,MATCH(E$1,Detail[#Headers],0)),Detail[AEA],$A3)</f>
        <v>32649.669999999995</v>
      </c>
      <c r="F3" s="4">
        <f>SUMIFS(INDEX(Detail[],0,MATCH(F$1,Detail[#Headers],0)),Detail[AEA],$A3)</f>
        <v>4106</v>
      </c>
      <c r="G3" s="3">
        <f>SUMIFS(INDEX(Detail[],0,MATCH(G$1,Detail[#Headers],0)),Detail[AEA],$A3)</f>
        <v>19.7</v>
      </c>
      <c r="H3" s="4">
        <f>SUMIFS(INDEX(Detail[],0,MATCH(H$1,Detail[#Headers],0)),Detail[AEA],$A3)</f>
        <v>32339</v>
      </c>
      <c r="I3" s="2">
        <f>INDEX(Detail[],MATCH($A3,Detail[AEA],0),MATCH(I$1,Detail[#Headers],0))</f>
        <v>323.11</v>
      </c>
      <c r="J3" s="2">
        <f>INDEX(Detail[],MATCH($A3,Detail[AEA],0),MATCH(J$1,Detail[#Headers],0))</f>
        <v>57.78</v>
      </c>
      <c r="K3" s="2">
        <f>INDEX(Detail[],MATCH($A3,Detail[AEA],0),MATCH(K$1,Detail[#Headers],0))</f>
        <v>64.41</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4177.57</v>
      </c>
      <c r="D4" s="3">
        <f>SUMIFS(INDEX(Detail[],0,MATCH(D$1,Detail[#Headers],0)),Detail[AEA],$A4)</f>
        <v>30035.500000000011</v>
      </c>
      <c r="E4" s="2">
        <f>SUMIFS(INDEX(Detail[],0,MATCH(E$1,Detail[#Headers],0)),Detail[AEA],$A4)</f>
        <v>34213.070000000007</v>
      </c>
      <c r="F4" s="4">
        <f>SUMIFS(INDEX(Detail[],0,MATCH(F$1,Detail[#Headers],0)),Detail[AEA],$A4)</f>
        <v>2098</v>
      </c>
      <c r="G4" s="3">
        <f>SUMIFS(INDEX(Detail[],0,MATCH(G$1,Detail[#Headers],0)),Detail[AEA],$A4)</f>
        <v>29.7</v>
      </c>
      <c r="H4" s="4">
        <f>SUMIFS(INDEX(Detail[],0,MATCH(H$1,Detail[#Headers],0)),Detail[AEA],$A4)</f>
        <v>32103</v>
      </c>
      <c r="I4" s="2">
        <f>INDEX(Detail[],MATCH($A4,Detail[AEA],0),MATCH(I$1,Detail[#Headers],0))</f>
        <v>318.86</v>
      </c>
      <c r="J4" s="2">
        <f>INDEX(Detail[],MATCH($A4,Detail[AEA],0),MATCH(J$1,Detail[#Headers],0))</f>
        <v>57.86</v>
      </c>
      <c r="K4" s="2">
        <f>INDEX(Detail[],MATCH($A4,Detail[AEA],0),MATCH(K$1,Detail[#Headers],0))</f>
        <v>64.88</v>
      </c>
    </row>
    <row r="5" spans="1:11" x14ac:dyDescent="0.25">
      <c r="A5" s="1" t="str">
        <f t="array" ref="A5">IFERROR(INDEX(Detail[AEA], MATCH(0,COUNTIF(Summary!$A$2:'Summary'!A4, Detail[AEA]), 0)),"")</f>
        <v>07</v>
      </c>
      <c r="B5" t="str">
        <f>INDEX(Detail[],MATCH(Summary!$A5,Detail[AEA],0),2)</f>
        <v>Central Rivers</v>
      </c>
      <c r="C5" s="2">
        <f>SUMIFS(INDEX(Detail[],0,MATCH(C$1,Detail[#Headers],0)),Detail[AEA],$A5)</f>
        <v>9349.85</v>
      </c>
      <c r="D5" s="3">
        <f>SUMIFS(INDEX(Detail[],0,MATCH(D$1,Detail[#Headers],0)),Detail[AEA],$A5)</f>
        <v>62055.799999999981</v>
      </c>
      <c r="E5" s="2">
        <f>SUMIFS(INDEX(Detail[],0,MATCH(E$1,Detail[#Headers],0)),Detail[AEA],$A5)</f>
        <v>71405.650000000009</v>
      </c>
      <c r="F5" s="4">
        <f>SUMIFS(INDEX(Detail[],0,MATCH(F$1,Detail[#Headers],0)),Detail[AEA],$A5)</f>
        <v>3584</v>
      </c>
      <c r="G5" s="3">
        <f>SUMIFS(INDEX(Detail[],0,MATCH(G$1,Detail[#Headers],0)),Detail[AEA],$A5)</f>
        <v>39.299999999999997</v>
      </c>
      <c r="H5" s="4">
        <f>SUMIFS(INDEX(Detail[],0,MATCH(H$1,Detail[#Headers],0)),Detail[AEA],$A5)</f>
        <v>65601</v>
      </c>
      <c r="I5" s="2">
        <f>INDEX(Detail[],MATCH($A5,Detail[AEA],0),MATCH(I$1,Detail[#Headers],0))</f>
        <v>312.23</v>
      </c>
      <c r="J5" s="2">
        <f>INDEX(Detail[],MATCH($A5,Detail[AEA],0),MATCH(J$1,Detail[#Headers],0))</f>
        <v>57.81</v>
      </c>
      <c r="K5" s="2">
        <f>INDEX(Detail[],MATCH($A5,Detail[AEA],0),MATCH(K$1,Detail[#Headers],0))</f>
        <v>64.5</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7247.23</v>
      </c>
      <c r="D6" s="3">
        <f>SUMIFS(INDEX(Detail[],0,MATCH(D$1,Detail[#Headers],0)),Detail[AEA],$A6)</f>
        <v>46191.200000000004</v>
      </c>
      <c r="E6" s="2">
        <f>SUMIFS(INDEX(Detail[],0,MATCH(E$1,Detail[#Headers],0)),Detail[AEA],$A6)</f>
        <v>53438.43</v>
      </c>
      <c r="F6" s="4">
        <f>SUMIFS(INDEX(Detail[],0,MATCH(F$1,Detail[#Headers],0)),Detail[AEA],$A6)</f>
        <v>3133</v>
      </c>
      <c r="G6" s="3">
        <f>SUMIFS(INDEX(Detail[],0,MATCH(G$1,Detail[#Headers],0)),Detail[AEA],$A6)</f>
        <v>4.3</v>
      </c>
      <c r="H6" s="4">
        <f>SUMIFS(INDEX(Detail[],0,MATCH(H$1,Detail[#Headers],0)),Detail[AEA],$A6)</f>
        <v>49320</v>
      </c>
      <c r="I6" s="2">
        <f>INDEX(Detail[],MATCH($A6,Detail[AEA],0),MATCH(I$1,Detail[#Headers],0))</f>
        <v>309.87</v>
      </c>
      <c r="J6" s="2">
        <f>INDEX(Detail[],MATCH($A6,Detail[AEA],0),MATCH(J$1,Detail[#Headers],0))</f>
        <v>57.32</v>
      </c>
      <c r="K6" s="2">
        <f>INDEX(Detail[],MATCH($A6,Detail[AEA],0),MATCH(K$1,Detail[#Headers],0))</f>
        <v>62.58</v>
      </c>
    </row>
    <row r="7" spans="1:11" x14ac:dyDescent="0.25">
      <c r="A7" s="1" t="str">
        <f t="array" ref="A7">IFERROR(INDEX(Detail[AEA], MATCH(0,COUNTIF(Summary!$A$2:'Summary'!A6, Detail[AEA]), 0)),"")</f>
        <v>10</v>
      </c>
      <c r="B7" t="str">
        <f>INDEX(Detail[],MATCH(Summary!$A7,Detail[AEA],0),2)</f>
        <v>Grant Wood AEA 10</v>
      </c>
      <c r="C7" s="2">
        <f>SUMIFS(INDEX(Detail[],0,MATCH(C$1,Detail[#Headers],0)),Detail[AEA],$A7)</f>
        <v>8306.619999999999</v>
      </c>
      <c r="D7" s="3">
        <f>SUMIFS(INDEX(Detail[],0,MATCH(D$1,Detail[#Headers],0)),Detail[AEA],$A7)</f>
        <v>70499.700000000012</v>
      </c>
      <c r="E7" s="2">
        <f>SUMIFS(INDEX(Detail[],0,MATCH(E$1,Detail[#Headers],0)),Detail[AEA],$A7)</f>
        <v>78806.320000000007</v>
      </c>
      <c r="F7" s="4">
        <f>SUMIFS(INDEX(Detail[],0,MATCH(F$1,Detail[#Headers],0)),Detail[AEA],$A7)</f>
        <v>4102</v>
      </c>
      <c r="G7" s="3">
        <f>SUMIFS(INDEX(Detail[],0,MATCH(G$1,Detail[#Headers],0)),Detail[AEA],$A7)</f>
        <v>29.700000000000003</v>
      </c>
      <c r="H7" s="4">
        <f>SUMIFS(INDEX(Detail[],0,MATCH(H$1,Detail[#Headers],0)),Detail[AEA],$A7)</f>
        <v>74573</v>
      </c>
      <c r="I7" s="2">
        <f>INDEX(Detail[],MATCH($A7,Detail[AEA],0),MATCH(I$1,Detail[#Headers],0))</f>
        <v>307.95</v>
      </c>
      <c r="J7" s="2">
        <f>INDEX(Detail[],MATCH($A7,Detail[AEA],0),MATCH(J$1,Detail[#Headers],0))</f>
        <v>57.5</v>
      </c>
      <c r="K7" s="2">
        <f>INDEX(Detail[],MATCH($A7,Detail[AEA],0),MATCH(K$1,Detail[#Headers],0))</f>
        <v>63.18</v>
      </c>
    </row>
    <row r="8" spans="1:11" x14ac:dyDescent="0.25">
      <c r="A8" s="1" t="str">
        <f t="array" ref="A8">IFERROR(INDEX(Detail[AEA], MATCH(0,COUNTIF(Summary!$A$2:'Summary'!A7, Detail[AEA]), 0)),"")</f>
        <v>11</v>
      </c>
      <c r="B8" t="str">
        <f>INDEX(Detail[],MATCH(Summary!$A8,Detail[AEA],0),2)</f>
        <v>Heartland AEA 11</v>
      </c>
      <c r="C8" s="2">
        <f>SUMIFS(INDEX(Detail[],0,MATCH(C$1,Detail[#Headers],0)),Detail[AEA],$A8)</f>
        <v>17975.410000000003</v>
      </c>
      <c r="D8" s="3">
        <f>SUMIFS(INDEX(Detail[],0,MATCH(D$1,Detail[#Headers],0)),Detail[AEA],$A8)</f>
        <v>141204.49999999997</v>
      </c>
      <c r="E8" s="2">
        <f>SUMIFS(INDEX(Detail[],0,MATCH(E$1,Detail[#Headers],0)),Detail[AEA],$A8)</f>
        <v>159179.91000000003</v>
      </c>
      <c r="F8" s="4">
        <f>SUMIFS(INDEX(Detail[],0,MATCH(F$1,Detail[#Headers],0)),Detail[AEA],$A8)</f>
        <v>9083</v>
      </c>
      <c r="G8" s="3">
        <f>SUMIFS(INDEX(Detail[],0,MATCH(G$1,Detail[#Headers],0)),Detail[AEA],$A8)</f>
        <v>41.400000000000006</v>
      </c>
      <c r="H8" s="4">
        <f>SUMIFS(INDEX(Detail[],0,MATCH(H$1,Detail[#Headers],0)),Detail[AEA],$A8)</f>
        <v>150245</v>
      </c>
      <c r="I8" s="2">
        <f>INDEX(Detail[],MATCH($A8,Detail[AEA],0),MATCH(I$1,Detail[#Headers],0))</f>
        <v>300.85000000000002</v>
      </c>
      <c r="J8" s="2">
        <f>INDEX(Detail[],MATCH($A8,Detail[AEA],0),MATCH(J$1,Detail[#Headers],0))</f>
        <v>57.38</v>
      </c>
      <c r="K8" s="2">
        <f>INDEX(Detail[],MATCH($A8,Detail[AEA],0),MATCH(K$1,Detail[#Headers],0))</f>
        <v>63</v>
      </c>
    </row>
    <row r="9" spans="1:11" x14ac:dyDescent="0.25">
      <c r="A9" s="1" t="str">
        <f t="array" ref="A9">IFERROR(INDEX(Detail[AEA], MATCH(0,COUNTIF(Summary!$A$2:'Summary'!A8, Detail[AEA]), 0)),"")</f>
        <v>12</v>
      </c>
      <c r="B9" t="str">
        <f>INDEX(Detail[],MATCH(Summary!$A9,Detail[AEA],0),2)</f>
        <v>Northwest AEA</v>
      </c>
      <c r="C9" s="2">
        <f>SUMIFS(INDEX(Detail[],0,MATCH(C$1,Detail[#Headers],0)),Detail[AEA],$A9)</f>
        <v>5686.7199999999993</v>
      </c>
      <c r="D9" s="3">
        <f>SUMIFS(INDEX(Detail[],0,MATCH(D$1,Detail[#Headers],0)),Detail[AEA],$A9)</f>
        <v>40320</v>
      </c>
      <c r="E9" s="2">
        <f>SUMIFS(INDEX(Detail[],0,MATCH(E$1,Detail[#Headers],0)),Detail[AEA],$A9)</f>
        <v>46006.720000000001</v>
      </c>
      <c r="F9" s="4">
        <f>SUMIFS(INDEX(Detail[],0,MATCH(F$1,Detail[#Headers],0)),Detail[AEA],$A9)</f>
        <v>5195</v>
      </c>
      <c r="G9" s="3">
        <f>SUMIFS(INDEX(Detail[],0,MATCH(G$1,Detail[#Headers],0)),Detail[AEA],$A9)</f>
        <v>45.4</v>
      </c>
      <c r="H9" s="4">
        <f>SUMIFS(INDEX(Detail[],0,MATCH(H$1,Detail[#Headers],0)),Detail[AEA],$A9)</f>
        <v>45472</v>
      </c>
      <c r="I9" s="2">
        <f>INDEX(Detail[],MATCH($A9,Detail[AEA],0),MATCH(I$1,Detail[#Headers],0))</f>
        <v>315.49</v>
      </c>
      <c r="J9" s="2">
        <f>INDEX(Detail[],MATCH($A9,Detail[AEA],0),MATCH(J$1,Detail[#Headers],0))</f>
        <v>57.79</v>
      </c>
      <c r="K9" s="2">
        <f>INDEX(Detail[],MATCH($A9,Detail[AEA],0),MATCH(K$1,Detail[#Headers],0))</f>
        <v>64.78</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5846.45</v>
      </c>
      <c r="D10" s="3">
        <f>SUMIFS(INDEX(Detail[],0,MATCH(D$1,Detail[#Headers],0)),Detail[AEA],$A10)</f>
        <v>37247.399999999987</v>
      </c>
      <c r="E10" s="2">
        <f>SUMIFS(INDEX(Detail[],0,MATCH(E$1,Detail[#Headers],0)),Detail[AEA],$A10)</f>
        <v>43093.85</v>
      </c>
      <c r="F10" s="4">
        <f>SUMIFS(INDEX(Detail[],0,MATCH(F$1,Detail[#Headers],0)),Detail[AEA],$A10)</f>
        <v>1050</v>
      </c>
      <c r="G10" s="3">
        <f>SUMIFS(INDEX(Detail[],0,MATCH(G$1,Detail[#Headers],0)),Detail[AEA],$A10)</f>
        <v>3.4</v>
      </c>
      <c r="H10" s="4">
        <f>SUMIFS(INDEX(Detail[],0,MATCH(H$1,Detail[#Headers],0)),Detail[AEA],$A10)</f>
        <v>38296</v>
      </c>
      <c r="I10" s="2">
        <f>INDEX(Detail[],MATCH($A10,Detail[AEA],0),MATCH(I$1,Detail[#Headers],0))</f>
        <v>308.91000000000003</v>
      </c>
      <c r="J10" s="2">
        <f>INDEX(Detail[],MATCH($A10,Detail[AEA],0),MATCH(J$1,Detail[#Headers],0))</f>
        <v>57.51</v>
      </c>
      <c r="K10" s="2">
        <f>INDEX(Detail[],MATCH($A10,Detail[AEA],0),MATCH(K$1,Detail[#Headers],0))</f>
        <v>63.58</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4761.32</v>
      </c>
      <c r="D11" s="3">
        <f>SUMIFS(INDEX(Detail[],0,MATCH(D$1,Detail[#Headers],0)),Detail[AEA],$A11)</f>
        <v>34290</v>
      </c>
      <c r="E11" s="2">
        <f>SUMIFS(INDEX(Detail[],0,MATCH(E$1,Detail[#Headers],0)),Detail[AEA],$A11)</f>
        <v>39051.319999999985</v>
      </c>
      <c r="F11" s="4">
        <f>SUMIFS(INDEX(Detail[],0,MATCH(F$1,Detail[#Headers],0)),Detail[AEA],$A11)</f>
        <v>1054</v>
      </c>
      <c r="G11" s="3">
        <f>SUMIFS(INDEX(Detail[],0,MATCH(G$1,Detail[#Headers],0)),Detail[AEA],$A11)</f>
        <v>10.8</v>
      </c>
      <c r="H11" s="4">
        <f>SUMIFS(INDEX(Detail[],0,MATCH(H$1,Detail[#Headers],0)),Detail[AEA],$A11)</f>
        <v>35336</v>
      </c>
      <c r="I11" s="2">
        <f>INDEX(Detail[],MATCH($A11,Detail[AEA],0),MATCH(I$1,Detail[#Headers],0))</f>
        <v>306.27</v>
      </c>
      <c r="J11" s="2">
        <f>INDEX(Detail[],MATCH($A11,Detail[AEA],0),MATCH(J$1,Detail[#Headers],0))</f>
        <v>57.48</v>
      </c>
      <c r="K11" s="2">
        <f>INDEX(Detail[],MATCH($A11,Detail[AEA],0),MATCH(K$1,Detail[#Headers],0))</f>
        <v>63.15</v>
      </c>
    </row>
    <row r="12" spans="1:11" ht="15.75" thickBot="1" x14ac:dyDescent="0.3">
      <c r="C12" s="9">
        <f t="shared" ref="C12:H12" si="0">SUM(C3:C11)</f>
        <v>67750.540000000008</v>
      </c>
      <c r="D12" s="19">
        <f t="shared" si="0"/>
        <v>490094.39999999997</v>
      </c>
      <c r="E12" s="9">
        <f t="shared" si="0"/>
        <v>557844.93999999994</v>
      </c>
      <c r="F12" s="12">
        <f t="shared" si="0"/>
        <v>33405</v>
      </c>
      <c r="G12" s="19">
        <f t="shared" si="0"/>
        <v>223.70000000000002</v>
      </c>
      <c r="H12" s="12">
        <f t="shared" si="0"/>
        <v>523285</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378</v>
      </c>
      <c r="D15" s="8" t="s">
        <v>379</v>
      </c>
      <c r="E15" s="8" t="s">
        <v>380</v>
      </c>
      <c r="F15" s="8" t="s">
        <v>381</v>
      </c>
      <c r="G15" s="8" t="s">
        <v>382</v>
      </c>
      <c r="H15" s="8" t="s">
        <v>383</v>
      </c>
      <c r="I15" s="8" t="s">
        <v>384</v>
      </c>
      <c r="J15" s="8" t="s">
        <v>385</v>
      </c>
      <c r="K15" s="11"/>
    </row>
    <row r="16" spans="1:11" x14ac:dyDescent="0.25">
      <c r="A16" t="str">
        <f t="shared" ref="A16:B16" si="1">A3</f>
        <v>01</v>
      </c>
      <c r="B16" t="str">
        <f t="shared" si="1"/>
        <v>Keystone AEA 1</v>
      </c>
      <c r="C16" s="2">
        <f>INDEX(Detail[],MATCH($A16,Detail[AEA],0),MATCH(C$14,Detail[#Headers],0))</f>
        <v>31.9</v>
      </c>
      <c r="D16" s="2">
        <f>INDEX(Detail[],MATCH($A16,Detail[AEA],0),MATCH(D$14,Detail[#Headers],0))</f>
        <v>3.44</v>
      </c>
      <c r="E16" s="4">
        <f>SUMIFS(INDEX(Detail[],0,MATCH(E$14,Detail[#Headers],0)),Detail[AEA],$A16)</f>
        <v>10549435</v>
      </c>
      <c r="F16" s="4">
        <f>SUMIFS(INDEX(Detail[],0,MATCH(F$14,Detail[#Headers],0)),Detail[AEA],$A16)</f>
        <v>78585</v>
      </c>
      <c r="G16" s="4">
        <f>SUMIFS(INDEX(Detail[],0,MATCH(G$14,Detail[#Headers],0)),Detail[AEA],$A16)</f>
        <v>10628020</v>
      </c>
      <c r="H16" s="4">
        <f>SUMIFS(INDEX(Detail[],0,MATCH(H$14,Detail[#Headers],0)),Detail[AEA],$A16)</f>
        <v>1868547</v>
      </c>
      <c r="I16" s="4">
        <f>SUMIFS(INDEX(Detail[],0,MATCH(I$14,Detail[#Headers],0)),Detail[AEA],$A16)</f>
        <v>2082954</v>
      </c>
      <c r="J16" s="4">
        <f>SUMIFS(INDEX(Detail[],0,MATCH(J$14,Detail[#Headers],0)),Detail[AEA],$A16)</f>
        <v>30002</v>
      </c>
    </row>
    <row r="17" spans="1:16" x14ac:dyDescent="0.25">
      <c r="A17" t="str">
        <f t="shared" ref="A17:B17" si="2">A4</f>
        <v>05</v>
      </c>
      <c r="B17" t="str">
        <f t="shared" si="2"/>
        <v>Prairie Lakes AEA 8</v>
      </c>
      <c r="C17" s="2">
        <f>INDEX(Detail[],MATCH($A17,Detail[AEA],0),MATCH(C$14,Detail[#Headers],0))</f>
        <v>33.86</v>
      </c>
      <c r="D17" s="2">
        <f>INDEX(Detail[],MATCH($A17,Detail[AEA],0),MATCH(D$14,Detail[#Headers],0))</f>
        <v>4.03</v>
      </c>
      <c r="E17" s="4">
        <f>SUMIFS(INDEX(Detail[],0,MATCH(E$14,Detail[#Headers],0)),Detail[AEA],$A17)</f>
        <v>10909182</v>
      </c>
      <c r="F17" s="4">
        <f>SUMIFS(INDEX(Detail[],0,MATCH(F$14,Detail[#Headers],0)),Detail[AEA],$A17)</f>
        <v>163046</v>
      </c>
      <c r="G17" s="4">
        <f>SUMIFS(INDEX(Detail[],0,MATCH(G$14,Detail[#Headers],0)),Detail[AEA],$A17)</f>
        <v>11072228</v>
      </c>
      <c r="H17" s="4">
        <f>SUMIFS(INDEX(Detail[],0,MATCH(H$14,Detail[#Headers],0)),Detail[AEA],$A17)</f>
        <v>1857475</v>
      </c>
      <c r="I17" s="4">
        <f>SUMIFS(INDEX(Detail[],0,MATCH(I$14,Detail[#Headers],0)),Detail[AEA],$A17)</f>
        <v>2082844</v>
      </c>
      <c r="J17" s="4">
        <f>SUMIFS(INDEX(Detail[],0,MATCH(J$14,Detail[#Headers],0)),Detail[AEA],$A17)</f>
        <v>30000</v>
      </c>
    </row>
    <row r="18" spans="1:16" x14ac:dyDescent="0.25">
      <c r="A18" t="str">
        <f t="shared" ref="A18:B18" si="3">A5</f>
        <v>07</v>
      </c>
      <c r="B18" t="str">
        <f t="shared" si="3"/>
        <v>Central Rivers</v>
      </c>
      <c r="C18" s="2">
        <f>INDEX(Detail[],MATCH($A18,Detail[AEA],0),MATCH(C$14,Detail[#Headers],0))</f>
        <v>39.130000000000003</v>
      </c>
      <c r="D18" s="2">
        <f>INDEX(Detail[],MATCH($A18,Detail[AEA],0),MATCH(D$14,Detail[#Headers],0))</f>
        <v>4.5</v>
      </c>
      <c r="E18" s="4">
        <f>SUMIFS(INDEX(Detail[],0,MATCH(E$14,Detail[#Headers],0)),Detail[AEA],$A18)</f>
        <v>22294990</v>
      </c>
      <c r="F18" s="4">
        <f>SUMIFS(INDEX(Detail[],0,MATCH(F$14,Detail[#Headers],0)),Detail[AEA],$A18)</f>
        <v>286141</v>
      </c>
      <c r="G18" s="4">
        <f>SUMIFS(INDEX(Detail[],0,MATCH(G$14,Detail[#Headers],0)),Detail[AEA],$A18)</f>
        <v>22581131</v>
      </c>
      <c r="H18" s="4">
        <f>SUMIFS(INDEX(Detail[],0,MATCH(H$14,Detail[#Headers],0)),Detail[AEA],$A18)</f>
        <v>3792394</v>
      </c>
      <c r="I18" s="4">
        <f>SUMIFS(INDEX(Detail[],0,MATCH(I$14,Detail[#Headers],0)),Detail[AEA],$A18)</f>
        <v>4231278</v>
      </c>
      <c r="J18" s="4">
        <f>SUMIFS(INDEX(Detail[],0,MATCH(J$14,Detail[#Headers],0)),Detail[AEA],$A18)</f>
        <v>0</v>
      </c>
    </row>
    <row r="19" spans="1:16" x14ac:dyDescent="0.25">
      <c r="A19" t="str">
        <f t="shared" ref="A19:B19" si="4">A6</f>
        <v>09</v>
      </c>
      <c r="B19" t="str">
        <f t="shared" si="4"/>
        <v>Mississippi Bend AEA 9</v>
      </c>
      <c r="C19" s="2">
        <f>INDEX(Detail[],MATCH($A19,Detail[AEA],0),MATCH(C$14,Detail[#Headers],0))</f>
        <v>28.2</v>
      </c>
      <c r="D19" s="2">
        <f>INDEX(Detail[],MATCH($A19,Detail[AEA],0),MATCH(D$14,Detail[#Headers],0))</f>
        <v>3.31</v>
      </c>
      <c r="E19" s="4">
        <f>SUMIFS(INDEX(Detail[],0,MATCH(E$14,Detail[#Headers],0)),Detail[AEA],$A19)</f>
        <v>16558967</v>
      </c>
      <c r="F19" s="4">
        <f>SUMIFS(INDEX(Detail[],0,MATCH(F$14,Detail[#Headers],0)),Detail[AEA],$A19)</f>
        <v>105301</v>
      </c>
      <c r="G19" s="4">
        <f>SUMIFS(INDEX(Detail[],0,MATCH(G$14,Detail[#Headers],0)),Detail[AEA],$A19)</f>
        <v>16664268</v>
      </c>
      <c r="H19" s="4">
        <f>SUMIFS(INDEX(Detail[],0,MATCH(H$14,Detail[#Headers],0)),Detail[AEA],$A19)</f>
        <v>2827023</v>
      </c>
      <c r="I19" s="4">
        <f>SUMIFS(INDEX(Detail[],0,MATCH(I$14,Detail[#Headers],0)),Detail[AEA],$A19)</f>
        <v>3086448</v>
      </c>
      <c r="J19" s="4">
        <f>SUMIFS(INDEX(Detail[],0,MATCH(J$14,Detail[#Headers],0)),Detail[AEA],$A19)</f>
        <v>30002</v>
      </c>
    </row>
    <row r="20" spans="1:16" x14ac:dyDescent="0.25">
      <c r="A20" t="str">
        <f t="shared" ref="A20:B20" si="5">A7</f>
        <v>10</v>
      </c>
      <c r="B20" t="str">
        <f t="shared" si="5"/>
        <v>Grant Wood AEA 10</v>
      </c>
      <c r="C20" s="2">
        <f>INDEX(Detail[],MATCH($A20,Detail[AEA],0),MATCH(C$14,Detail[#Headers],0))</f>
        <v>28.95</v>
      </c>
      <c r="D20" s="2">
        <f>INDEX(Detail[],MATCH($A20,Detail[AEA],0),MATCH(D$14,Detail[#Headers],0))</f>
        <v>3.37</v>
      </c>
      <c r="E20" s="4">
        <f>SUMIFS(INDEX(Detail[],0,MATCH(E$14,Detail[#Headers],0)),Detail[AEA],$A20)</f>
        <v>24268406</v>
      </c>
      <c r="F20" s="4">
        <f>SUMIFS(INDEX(Detail[],0,MATCH(F$14,Detail[#Headers],0)),Detail[AEA],$A20)</f>
        <v>76715</v>
      </c>
      <c r="G20" s="4">
        <f>SUMIFS(INDEX(Detail[],0,MATCH(G$14,Detail[#Headers],0)),Detail[AEA],$A20)</f>
        <v>24345121</v>
      </c>
      <c r="H20" s="4">
        <f>SUMIFS(INDEX(Detail[],0,MATCH(H$14,Detail[#Headers],0)),Detail[AEA],$A20)</f>
        <v>4287956</v>
      </c>
      <c r="I20" s="4">
        <f>SUMIFS(INDEX(Detail[],0,MATCH(I$14,Detail[#Headers],0)),Detail[AEA],$A20)</f>
        <v>4711526</v>
      </c>
      <c r="J20" s="4">
        <f>SUMIFS(INDEX(Detail[],0,MATCH(J$14,Detail[#Headers],0)),Detail[AEA],$A20)</f>
        <v>0</v>
      </c>
    </row>
    <row r="21" spans="1:16" x14ac:dyDescent="0.25">
      <c r="A21" t="str">
        <f t="shared" ref="A21:B21" si="6">A8</f>
        <v>11</v>
      </c>
      <c r="B21" t="str">
        <f t="shared" si="6"/>
        <v>Heartland AEA 11</v>
      </c>
      <c r="C21" s="2">
        <f>INDEX(Detail[],MATCH($A21,Detail[AEA],0),MATCH(C$14,Detail[#Headers],0))</f>
        <v>25.18</v>
      </c>
      <c r="D21" s="2">
        <f>INDEX(Detail[],MATCH($A21,Detail[AEA],0),MATCH(D$14,Detail[#Headers],0))</f>
        <v>3.18</v>
      </c>
      <c r="E21" s="4">
        <f>SUMIFS(INDEX(Detail[],0,MATCH(E$14,Detail[#Headers],0)),Detail[AEA],$A21)</f>
        <v>47889277</v>
      </c>
      <c r="F21" s="4">
        <f>SUMIFS(INDEX(Detail[],0,MATCH(F$14,Detail[#Headers],0)),Detail[AEA],$A21)</f>
        <v>51546</v>
      </c>
      <c r="G21" s="4">
        <f>SUMIFS(INDEX(Detail[],0,MATCH(G$14,Detail[#Headers],0)),Detail[AEA],$A21)</f>
        <v>47940823</v>
      </c>
      <c r="H21" s="4">
        <f>SUMIFS(INDEX(Detail[],0,MATCH(H$14,Detail[#Headers],0)),Detail[AEA],$A21)</f>
        <v>8621058</v>
      </c>
      <c r="I21" s="4">
        <f>SUMIFS(INDEX(Detail[],0,MATCH(I$14,Detail[#Headers],0)),Detail[AEA],$A21)</f>
        <v>9465435</v>
      </c>
      <c r="J21" s="4">
        <f>SUMIFS(INDEX(Detail[],0,MATCH(J$14,Detail[#Headers],0)),Detail[AEA],$A21)</f>
        <v>0</v>
      </c>
    </row>
    <row r="22" spans="1:16" x14ac:dyDescent="0.25">
      <c r="A22" t="str">
        <f t="shared" ref="A22:B22" si="7">A9</f>
        <v>12</v>
      </c>
      <c r="B22" t="str">
        <f t="shared" si="7"/>
        <v>Northwest AEA</v>
      </c>
      <c r="C22" s="2">
        <f>INDEX(Detail[],MATCH($A22,Detail[AEA],0),MATCH(C$14,Detail[#Headers],0))</f>
        <v>31.74</v>
      </c>
      <c r="D22" s="2">
        <f>INDEX(Detail[],MATCH($A22,Detail[AEA],0),MATCH(D$14,Detail[#Headers],0))</f>
        <v>3.79</v>
      </c>
      <c r="E22" s="4">
        <f>SUMIFS(INDEX(Detail[],0,MATCH(E$14,Detail[#Headers],0)),Detail[AEA],$A22)</f>
        <v>14514662</v>
      </c>
      <c r="F22" s="4">
        <f>SUMIFS(INDEX(Detail[],0,MATCH(F$14,Detail[#Headers],0)),Detail[AEA],$A22)</f>
        <v>93858</v>
      </c>
      <c r="G22" s="4">
        <f>SUMIFS(INDEX(Detail[],0,MATCH(G$14,Detail[#Headers],0)),Detail[AEA],$A22)</f>
        <v>14608520</v>
      </c>
      <c r="H22" s="4">
        <f>SUMIFS(INDEX(Detail[],0,MATCH(H$14,Detail[#Headers],0)),Detail[AEA],$A22)</f>
        <v>2627830</v>
      </c>
      <c r="I22" s="4">
        <f>SUMIFS(INDEX(Detail[],0,MATCH(I$14,Detail[#Headers],0)),Detail[AEA],$A22)</f>
        <v>2945677</v>
      </c>
      <c r="J22" s="4">
        <f>SUMIFS(INDEX(Detail[],0,MATCH(J$14,Detail[#Headers],0)),Detail[AEA],$A22)</f>
        <v>0</v>
      </c>
    </row>
    <row r="23" spans="1:16" x14ac:dyDescent="0.25">
      <c r="A23" t="str">
        <f t="shared" ref="A23:B23" si="8">A10</f>
        <v>13</v>
      </c>
      <c r="B23" t="str">
        <f t="shared" si="8"/>
        <v>Green Hills AEA 13</v>
      </c>
      <c r="C23" s="2">
        <f>INDEX(Detail[],MATCH($A23,Detail[AEA],0),MATCH(C$14,Detail[#Headers],0))</f>
        <v>31.72</v>
      </c>
      <c r="D23" s="2">
        <f>INDEX(Detail[],MATCH($A23,Detail[AEA],0),MATCH(D$14,Detail[#Headers],0))</f>
        <v>3.4</v>
      </c>
      <c r="E23" s="4">
        <f>SUMIFS(INDEX(Detail[],0,MATCH(E$14,Detail[#Headers],0)),Detail[AEA],$A23)</f>
        <v>13312123</v>
      </c>
      <c r="F23" s="4">
        <f>SUMIFS(INDEX(Detail[],0,MATCH(F$14,Detail[#Headers],0)),Detail[AEA],$A23)</f>
        <v>173201</v>
      </c>
      <c r="G23" s="4">
        <f>SUMIFS(INDEX(Detail[],0,MATCH(G$14,Detail[#Headers],0)),Detail[AEA],$A23)</f>
        <v>13485324</v>
      </c>
      <c r="H23" s="4">
        <f>SUMIFS(INDEX(Detail[],0,MATCH(H$14,Detail[#Headers],0)),Detail[AEA],$A23)</f>
        <v>2202406</v>
      </c>
      <c r="I23" s="4">
        <f>SUMIFS(INDEX(Detail[],0,MATCH(I$14,Detail[#Headers],0)),Detail[AEA],$A23)</f>
        <v>2434857</v>
      </c>
      <c r="J23" s="4">
        <f>SUMIFS(INDEX(Detail[],0,MATCH(J$14,Detail[#Headers],0)),Detail[AEA],$A23)</f>
        <v>30001</v>
      </c>
    </row>
    <row r="24" spans="1:16" x14ac:dyDescent="0.25">
      <c r="A24" t="str">
        <f t="shared" ref="A24:B24" si="9">A11</f>
        <v>15</v>
      </c>
      <c r="B24" t="str">
        <f t="shared" si="9"/>
        <v>Great Prairie AEA 15</v>
      </c>
      <c r="C24" s="2">
        <f>INDEX(Detail[],MATCH($A24,Detail[AEA],0),MATCH(C$14,Detail[#Headers],0))</f>
        <v>30.73</v>
      </c>
      <c r="D24" s="2">
        <f>INDEX(Detail[],MATCH($A24,Detail[AEA],0),MATCH(D$14,Detail[#Headers],0))</f>
        <v>3.35</v>
      </c>
      <c r="E24" s="4">
        <f>SUMIFS(INDEX(Detail[],0,MATCH(E$14,Detail[#Headers],0)),Detail[AEA],$A24)</f>
        <v>11960247</v>
      </c>
      <c r="F24" s="4">
        <f>SUMIFS(INDEX(Detail[],0,MATCH(F$14,Detail[#Headers],0)),Detail[AEA],$A24)</f>
        <v>130458</v>
      </c>
      <c r="G24" s="4">
        <f>SUMIFS(INDEX(Detail[],0,MATCH(G$14,Detail[#Headers],0)),Detail[AEA],$A24)</f>
        <v>12090705</v>
      </c>
      <c r="H24" s="4">
        <f>SUMIFS(INDEX(Detail[],0,MATCH(H$14,Detail[#Headers],0)),Detail[AEA],$A24)</f>
        <v>2031113</v>
      </c>
      <c r="I24" s="4">
        <f>SUMIFS(INDEX(Detail[],0,MATCH(I$14,Detail[#Headers],0)),Detail[AEA],$A24)</f>
        <v>2231473</v>
      </c>
      <c r="J24" s="4">
        <f>SUMIFS(INDEX(Detail[],0,MATCH(J$14,Detail[#Headers],0)),Detail[AEA],$A24)</f>
        <v>30001</v>
      </c>
    </row>
    <row r="25" spans="1:16" ht="15.75" thickBot="1" x14ac:dyDescent="0.3">
      <c r="E25" s="12">
        <f t="shared" ref="E25:J25" si="10">SUM(E16:E24)</f>
        <v>172257289</v>
      </c>
      <c r="F25" s="12">
        <f t="shared" si="10"/>
        <v>1158851</v>
      </c>
      <c r="G25" s="12">
        <f t="shared" si="10"/>
        <v>173416140</v>
      </c>
      <c r="H25" s="12">
        <f t="shared" si="10"/>
        <v>30115802</v>
      </c>
      <c r="I25" s="12">
        <f t="shared" si="10"/>
        <v>33272492</v>
      </c>
      <c r="J25" s="12">
        <f t="shared" si="10"/>
        <v>150006</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386</v>
      </c>
      <c r="D28" s="8" t="s">
        <v>391</v>
      </c>
      <c r="E28" s="8" t="s">
        <v>360</v>
      </c>
      <c r="F28" s="8" t="s">
        <v>387</v>
      </c>
      <c r="G28" s="8" t="s">
        <v>362</v>
      </c>
      <c r="H28" s="8" t="s">
        <v>388</v>
      </c>
      <c r="I28" s="15" t="s">
        <v>389</v>
      </c>
      <c r="J28" s="16"/>
    </row>
    <row r="29" spans="1:16" x14ac:dyDescent="0.25">
      <c r="A29" t="str">
        <f t="shared" ref="A29:B29" si="11">A16</f>
        <v>01</v>
      </c>
      <c r="B29" t="str">
        <f t="shared" si="11"/>
        <v>Keystone AEA 1</v>
      </c>
      <c r="C29" s="4">
        <f>SUMIFS(INDEX(Detail[],0,MATCH(C$27,Detail[#Headers],0)),Detail[AEA],$A29)</f>
        <v>1042405</v>
      </c>
      <c r="D29" s="4">
        <f>SUMIFS(INDEX(Detail[],0,MATCH(D$27,Detail[#Headers],0)),Detail[AEA],$A29)</f>
        <v>112399</v>
      </c>
      <c r="E29" s="4">
        <f>SUMIFS(INDEX(Detail[],0,MATCH(E$27,Detail[#Headers],0)),Detail[AEA],$A29)</f>
        <v>15764327</v>
      </c>
      <c r="F29" s="4">
        <f>SUMIFS(INDEX(Detail[],0,MATCH(F$27,Detail[#Headers],0)),Detail[AEA],$A29)</f>
        <v>1596490</v>
      </c>
      <c r="G29" s="4">
        <f>SUMIFS(INDEX(Detail[],0,MATCH(G$27,Detail[#Headers],0)),Detail[AEA],$A29)</f>
        <v>14167837</v>
      </c>
      <c r="H29" s="4">
        <f>SUMIFS(INDEX(Detail[],0,MATCH(H$27,Detail[#Headers],0)),Detail[AEA],$A29)</f>
        <v>7547491</v>
      </c>
      <c r="I29" s="4">
        <f>SUMIFS(INDEX(Detail[],0,MATCH(I$27,Detail[#Headers],0)),Detail[AEA],$A29)</f>
        <v>6620346</v>
      </c>
      <c r="J29" s="18"/>
    </row>
    <row r="30" spans="1:16" x14ac:dyDescent="0.25">
      <c r="A30" t="str">
        <f t="shared" ref="A30:B30" si="12">A17</f>
        <v>05</v>
      </c>
      <c r="B30" t="str">
        <f t="shared" si="12"/>
        <v>Prairie Lakes AEA 8</v>
      </c>
      <c r="C30" s="4">
        <f>SUMIFS(INDEX(Detail[],0,MATCH(C$27,Detail[#Headers],0)),Detail[AEA],$A30)</f>
        <v>1162901</v>
      </c>
      <c r="D30" s="4">
        <f>SUMIFS(INDEX(Detail[],0,MATCH(D$27,Detail[#Headers],0)),Detail[AEA],$A30)</f>
        <v>138433</v>
      </c>
      <c r="E30" s="4">
        <f>SUMIFS(INDEX(Detail[],0,MATCH(E$27,Detail[#Headers],0)),Detail[AEA],$A30)</f>
        <v>16343881</v>
      </c>
      <c r="F30" s="4">
        <f>SUMIFS(INDEX(Detail[],0,MATCH(F$27,Detail[#Headers],0)),Detail[AEA],$A30)</f>
        <v>1697682</v>
      </c>
      <c r="G30" s="4">
        <f>SUMIFS(INDEX(Detail[],0,MATCH(G$27,Detail[#Headers],0)),Detail[AEA],$A30)</f>
        <v>14646199</v>
      </c>
      <c r="H30" s="4">
        <f>SUMIFS(INDEX(Detail[],0,MATCH(H$27,Detail[#Headers],0)),Detail[AEA],$A30)</f>
        <v>7974596</v>
      </c>
      <c r="I30" s="4">
        <f>SUMIFS(INDEX(Detail[],0,MATCH(I$27,Detail[#Headers],0)),Detail[AEA],$A30)</f>
        <v>6671603</v>
      </c>
      <c r="J30" s="18"/>
    </row>
    <row r="31" spans="1:16" x14ac:dyDescent="0.25">
      <c r="A31" t="str">
        <f t="shared" ref="A31:B31" si="13">A18</f>
        <v>07</v>
      </c>
      <c r="B31" t="str">
        <f t="shared" si="13"/>
        <v>Central Rivers</v>
      </c>
      <c r="C31" s="4">
        <f>SUMIFS(INDEX(Detail[],0,MATCH(C$27,Detail[#Headers],0)),Detail[AEA],$A31)</f>
        <v>2804729</v>
      </c>
      <c r="D31" s="4">
        <f>SUMIFS(INDEX(Detail[],0,MATCH(D$27,Detail[#Headers],0)),Detail[AEA],$A31)</f>
        <v>322574</v>
      </c>
      <c r="E31" s="4">
        <f>SUMIFS(INDEX(Detail[],0,MATCH(E$27,Detail[#Headers],0)),Detail[AEA],$A31)</f>
        <v>33732106</v>
      </c>
      <c r="F31" s="4">
        <f>SUMIFS(INDEX(Detail[],0,MATCH(F$27,Detail[#Headers],0)),Detail[AEA],$A31)</f>
        <v>3147744</v>
      </c>
      <c r="G31" s="4">
        <f>SUMIFS(INDEX(Detail[],0,MATCH(G$27,Detail[#Headers],0)),Detail[AEA],$A31)</f>
        <v>30584362</v>
      </c>
      <c r="H31" s="4">
        <f>SUMIFS(INDEX(Detail[],0,MATCH(H$27,Detail[#Headers],0)),Detail[AEA],$A31)</f>
        <v>17402537</v>
      </c>
      <c r="I31" s="4">
        <f>SUMIFS(INDEX(Detail[],0,MATCH(I$27,Detail[#Headers],0)),Detail[AEA],$A31)</f>
        <v>13181825</v>
      </c>
      <c r="J31" s="18"/>
      <c r="O31" s="4"/>
      <c r="P31" s="4"/>
    </row>
    <row r="32" spans="1:16" x14ac:dyDescent="0.25">
      <c r="A32" t="str">
        <f t="shared" ref="A32:B32" si="14">A19</f>
        <v>09</v>
      </c>
      <c r="B32" t="str">
        <f t="shared" si="14"/>
        <v>Mississippi Bend AEA 9</v>
      </c>
      <c r="C32" s="4">
        <f>SUMIFS(INDEX(Detail[],0,MATCH(C$27,Detail[#Headers],0)),Detail[AEA],$A32)</f>
        <v>1508568</v>
      </c>
      <c r="D32" s="4">
        <f>SUMIFS(INDEX(Detail[],0,MATCH(D$27,Detail[#Headers],0)),Detail[AEA],$A32)</f>
        <v>177148</v>
      </c>
      <c r="E32" s="4">
        <f>SUMIFS(INDEX(Detail[],0,MATCH(E$27,Detail[#Headers],0)),Detail[AEA],$A32)</f>
        <v>24293457</v>
      </c>
      <c r="F32" s="4">
        <f>SUMIFS(INDEX(Detail[],0,MATCH(F$27,Detail[#Headers],0)),Detail[AEA],$A32)</f>
        <v>2291412</v>
      </c>
      <c r="G32" s="4">
        <f>SUMIFS(INDEX(Detail[],0,MATCH(G$27,Detail[#Headers],0)),Detail[AEA],$A32)</f>
        <v>22002045</v>
      </c>
      <c r="H32" s="4">
        <f>SUMIFS(INDEX(Detail[],0,MATCH(H$27,Detail[#Headers],0)),Detail[AEA],$A32)</f>
        <v>12456906</v>
      </c>
      <c r="I32" s="4">
        <f>SUMIFS(INDEX(Detail[],0,MATCH(I$27,Detail[#Headers],0)),Detail[AEA],$A32)</f>
        <v>9545139</v>
      </c>
      <c r="J32" s="18"/>
    </row>
    <row r="33" spans="1:10" x14ac:dyDescent="0.25">
      <c r="A33" t="str">
        <f t="shared" ref="A33:B33" si="15">A20</f>
        <v>10</v>
      </c>
      <c r="B33" t="str">
        <f t="shared" si="15"/>
        <v>Grant Wood AEA 10</v>
      </c>
      <c r="C33" s="4">
        <f>SUMIFS(INDEX(Detail[],0,MATCH(C$27,Detail[#Headers],0)),Detail[AEA],$A33)</f>
        <v>2281605</v>
      </c>
      <c r="D33" s="4">
        <f>SUMIFS(INDEX(Detail[],0,MATCH(D$27,Detail[#Headers],0)),Detail[AEA],$A33)</f>
        <v>265603</v>
      </c>
      <c r="E33" s="4">
        <f>SUMIFS(INDEX(Detail[],0,MATCH(E$27,Detail[#Headers],0)),Detail[AEA],$A33)</f>
        <v>35891811</v>
      </c>
      <c r="F33" s="4">
        <f>SUMIFS(INDEX(Detail[],0,MATCH(F$27,Detail[#Headers],0)),Detail[AEA],$A33)</f>
        <v>2906326</v>
      </c>
      <c r="G33" s="4">
        <f>SUMIFS(INDEX(Detail[],0,MATCH(G$27,Detail[#Headers],0)),Detail[AEA],$A33)</f>
        <v>32985485</v>
      </c>
      <c r="H33" s="4">
        <f>SUMIFS(INDEX(Detail[],0,MATCH(H$27,Detail[#Headers],0)),Detail[AEA],$A33)</f>
        <v>18869624</v>
      </c>
      <c r="I33" s="4">
        <f>SUMIFS(INDEX(Detail[],0,MATCH(I$27,Detail[#Headers],0)),Detail[AEA],$A33)</f>
        <v>14115861</v>
      </c>
      <c r="J33" s="18"/>
    </row>
    <row r="34" spans="1:10" x14ac:dyDescent="0.25">
      <c r="A34" t="str">
        <f t="shared" ref="A34:B34" si="16">A21</f>
        <v>11</v>
      </c>
      <c r="B34" t="str">
        <f t="shared" si="16"/>
        <v>Heartland AEA 11</v>
      </c>
      <c r="C34" s="4">
        <f>SUMIFS(INDEX(Detail[],0,MATCH(C$27,Detail[#Headers],0)),Detail[AEA],$A34)</f>
        <v>4008546</v>
      </c>
      <c r="D34" s="4">
        <f>SUMIFS(INDEX(Detail[],0,MATCH(D$27,Detail[#Headers],0)),Detail[AEA],$A34)</f>
        <v>506266</v>
      </c>
      <c r="E34" s="4">
        <f>SUMIFS(INDEX(Detail[],0,MATCH(E$27,Detail[#Headers],0)),Detail[AEA],$A34)</f>
        <v>70542128</v>
      </c>
      <c r="F34" s="4">
        <f>SUMIFS(INDEX(Detail[],0,MATCH(F$27,Detail[#Headers],0)),Detail[AEA],$A34)</f>
        <v>5144672</v>
      </c>
      <c r="G34" s="4">
        <f>SUMIFS(INDEX(Detail[],0,MATCH(G$27,Detail[#Headers],0)),Detail[AEA],$A34)</f>
        <v>65397456</v>
      </c>
      <c r="H34" s="4">
        <f>SUMIFS(INDEX(Detail[],0,MATCH(H$27,Detail[#Headers],0)),Detail[AEA],$A34)</f>
        <v>38210038</v>
      </c>
      <c r="I34" s="4">
        <f>SUMIFS(INDEX(Detail[],0,MATCH(I$27,Detail[#Headers],0)),Detail[AEA],$A34)</f>
        <v>27187418</v>
      </c>
      <c r="J34" s="18"/>
    </row>
    <row r="35" spans="1:10" x14ac:dyDescent="0.25">
      <c r="A35" t="str">
        <f t="shared" ref="A35:B35" si="17">A22</f>
        <v>12</v>
      </c>
      <c r="B35" t="str">
        <f t="shared" si="17"/>
        <v>Northwest AEA</v>
      </c>
      <c r="C35" s="4">
        <f>SUMIFS(INDEX(Detail[],0,MATCH(C$27,Detail[#Headers],0)),Detail[AEA],$A35)</f>
        <v>1461840</v>
      </c>
      <c r="D35" s="4">
        <f>SUMIFS(INDEX(Detail[],0,MATCH(D$27,Detail[#Headers],0)),Detail[AEA],$A35)</f>
        <v>174578</v>
      </c>
      <c r="E35" s="4">
        <f>SUMIFS(INDEX(Detail[],0,MATCH(E$27,Detail[#Headers],0)),Detail[AEA],$A35)</f>
        <v>21818445</v>
      </c>
      <c r="F35" s="4">
        <f>SUMIFS(INDEX(Detail[],0,MATCH(F$27,Detail[#Headers],0)),Detail[AEA],$A35)</f>
        <v>1929107</v>
      </c>
      <c r="G35" s="4">
        <f>SUMIFS(INDEX(Detail[],0,MATCH(G$27,Detail[#Headers],0)),Detail[AEA],$A35)</f>
        <v>19889338</v>
      </c>
      <c r="H35" s="4">
        <f>SUMIFS(INDEX(Detail[],0,MATCH(H$27,Detail[#Headers],0)),Detail[AEA],$A35)</f>
        <v>10932951</v>
      </c>
      <c r="I35" s="4">
        <f>SUMIFS(INDEX(Detail[],0,MATCH(I$27,Detail[#Headers],0)),Detail[AEA],$A35)</f>
        <v>8956387</v>
      </c>
      <c r="J35" s="18"/>
    </row>
    <row r="36" spans="1:10" x14ac:dyDescent="0.25">
      <c r="A36" t="str">
        <f t="shared" ref="A36:B36" si="18">A23</f>
        <v>13</v>
      </c>
      <c r="B36" t="str">
        <f t="shared" si="18"/>
        <v>Green Hills AEA 13</v>
      </c>
      <c r="C36" s="4">
        <f>SUMIFS(INDEX(Detail[],0,MATCH(C$27,Detail[#Headers],0)),Detail[AEA],$A36)</f>
        <v>1371583</v>
      </c>
      <c r="D36" s="4">
        <f>SUMIFS(INDEX(Detail[],0,MATCH(D$27,Detail[#Headers],0)),Detail[AEA],$A36)</f>
        <v>146986</v>
      </c>
      <c r="E36" s="4">
        <f>SUMIFS(INDEX(Detail[],0,MATCH(E$27,Detail[#Headers],0)),Detail[AEA],$A36)</f>
        <v>19671157</v>
      </c>
      <c r="F36" s="4">
        <f>SUMIFS(INDEX(Detail[],0,MATCH(F$27,Detail[#Headers],0)),Detail[AEA],$A36)</f>
        <v>1959289</v>
      </c>
      <c r="G36" s="4">
        <f>SUMIFS(INDEX(Detail[],0,MATCH(G$27,Detail[#Headers],0)),Detail[AEA],$A36)</f>
        <v>17711868</v>
      </c>
      <c r="H36" s="4">
        <f>SUMIFS(INDEX(Detail[],0,MATCH(H$27,Detail[#Headers],0)),Detail[AEA],$A36)</f>
        <v>10097877</v>
      </c>
      <c r="I36" s="4">
        <f>SUMIFS(INDEX(Detail[],0,MATCH(I$27,Detail[#Headers],0)),Detail[AEA],$A36)</f>
        <v>7613991</v>
      </c>
      <c r="J36" s="18"/>
    </row>
    <row r="37" spans="1:10" x14ac:dyDescent="0.25">
      <c r="A37" t="str">
        <f t="shared" ref="A37:B37" si="19">A24</f>
        <v>15</v>
      </c>
      <c r="B37" t="str">
        <f t="shared" si="19"/>
        <v>Great Prairie AEA 15</v>
      </c>
      <c r="C37" s="4">
        <f>SUMIFS(INDEX(Detail[],0,MATCH(C$27,Detail[#Headers],0)),Detail[AEA],$A37)</f>
        <v>1203799</v>
      </c>
      <c r="D37" s="4">
        <f>SUMIFS(INDEX(Detail[],0,MATCH(D$27,Detail[#Headers],0)),Detail[AEA],$A37)</f>
        <v>131212</v>
      </c>
      <c r="E37" s="4">
        <f>SUMIFS(INDEX(Detail[],0,MATCH(E$27,Detail[#Headers],0)),Detail[AEA],$A37)</f>
        <v>17718303</v>
      </c>
      <c r="F37" s="4">
        <f>SUMIFS(INDEX(Detail[],0,MATCH(F$27,Detail[#Headers],0)),Detail[AEA],$A37)</f>
        <v>1827278</v>
      </c>
      <c r="G37" s="4">
        <f>SUMIFS(INDEX(Detail[],0,MATCH(G$27,Detail[#Headers],0)),Detail[AEA],$A37)</f>
        <v>15891025</v>
      </c>
      <c r="H37" s="4">
        <f>SUMIFS(INDEX(Detail[],0,MATCH(H$27,Detail[#Headers],0)),Detail[AEA],$A37)</f>
        <v>9060153</v>
      </c>
      <c r="I37" s="4">
        <f>SUMIFS(INDEX(Detail[],0,MATCH(I$27,Detail[#Headers],0)),Detail[AEA],$A37)</f>
        <v>6830872</v>
      </c>
      <c r="J37" s="18"/>
    </row>
    <row r="38" spans="1:10" ht="15.75" thickBot="1" x14ac:dyDescent="0.3">
      <c r="C38" s="12">
        <f t="shared" ref="C38:I38" si="20">SUM(C29:C37)</f>
        <v>16845976</v>
      </c>
      <c r="D38" s="12">
        <f t="shared" si="20"/>
        <v>1975199</v>
      </c>
      <c r="E38" s="12">
        <f t="shared" si="20"/>
        <v>255775615</v>
      </c>
      <c r="F38" s="12">
        <f t="shared" si="20"/>
        <v>22500000</v>
      </c>
      <c r="G38" s="12">
        <f t="shared" si="20"/>
        <v>233275615</v>
      </c>
      <c r="H38" s="12">
        <f t="shared" si="20"/>
        <v>132552173</v>
      </c>
      <c r="I38" s="12">
        <f t="shared" si="20"/>
        <v>100723442</v>
      </c>
      <c r="J38" s="18"/>
    </row>
    <row r="39" spans="1:10" ht="15.75" thickTop="1" x14ac:dyDescent="0.25"/>
    <row r="41" spans="1:10" x14ac:dyDescent="0.25">
      <c r="H41" s="4"/>
    </row>
  </sheetData>
  <sheetProtection sheet="1" objects="1" scenarios="1"/>
  <pageMargins left="0.25" right="0.25" top="0.75" bottom="0.75" header="0.3" footer="0.3"/>
  <pageSetup scale="90" fitToWidth="0" orientation="landscape" r:id="rId1"/>
  <headerFooter>
    <oddHeader xml:space="preserve">&amp;C&amp;"-,Bold"&amp;14FY 2021 AEA Enrollments and Cost - Final - 2.3% of Growth - $22.5 million Reduction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329"/>
  <sheetViews>
    <sheetView workbookViewId="0">
      <pane xSplit="4" ySplit="2" topLeftCell="E3"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743</v>
      </c>
    </row>
    <row r="2" spans="1:29" s="7" customFormat="1" ht="89.25" customHeight="1" x14ac:dyDescent="0.25">
      <c r="A2" s="7" t="s">
        <v>365</v>
      </c>
      <c r="B2" s="7" t="s">
        <v>366</v>
      </c>
      <c r="C2" s="7" t="s">
        <v>732</v>
      </c>
      <c r="D2" s="7" t="s">
        <v>367</v>
      </c>
      <c r="E2" s="8" t="s">
        <v>343</v>
      </c>
      <c r="F2" s="8" t="s">
        <v>344</v>
      </c>
      <c r="G2" s="8" t="s">
        <v>345</v>
      </c>
      <c r="H2" s="8" t="s">
        <v>346</v>
      </c>
      <c r="I2" s="8" t="s">
        <v>347</v>
      </c>
      <c r="J2" s="8" t="s">
        <v>348</v>
      </c>
      <c r="K2" s="8" t="s">
        <v>349</v>
      </c>
      <c r="L2" s="8" t="s">
        <v>350</v>
      </c>
      <c r="M2" s="8" t="s">
        <v>368</v>
      </c>
      <c r="N2" s="8" t="s">
        <v>351</v>
      </c>
      <c r="O2" s="8" t="s">
        <v>352</v>
      </c>
      <c r="P2" s="8" t="s">
        <v>353</v>
      </c>
      <c r="Q2" s="8" t="s">
        <v>354</v>
      </c>
      <c r="R2" s="8" t="s">
        <v>369</v>
      </c>
      <c r="S2" s="8" t="s">
        <v>355</v>
      </c>
      <c r="T2" s="8" t="s">
        <v>356</v>
      </c>
      <c r="U2" s="8" t="s">
        <v>357</v>
      </c>
      <c r="V2" s="8" t="s">
        <v>358</v>
      </c>
      <c r="W2" s="8" t="s">
        <v>359</v>
      </c>
      <c r="X2" s="8" t="s">
        <v>390</v>
      </c>
      <c r="Y2" s="8" t="s">
        <v>360</v>
      </c>
      <c r="Z2" s="8" t="s">
        <v>361</v>
      </c>
      <c r="AA2" s="8" t="s">
        <v>362</v>
      </c>
      <c r="AB2" s="8" t="s">
        <v>363</v>
      </c>
      <c r="AC2" s="8" t="s">
        <v>364</v>
      </c>
    </row>
    <row r="3" spans="1:29" x14ac:dyDescent="0.25">
      <c r="A3" s="1" t="s">
        <v>0</v>
      </c>
      <c r="B3" s="1" t="s">
        <v>733</v>
      </c>
      <c r="C3" s="1" t="s">
        <v>1</v>
      </c>
      <c r="D3" s="1" t="s">
        <v>413</v>
      </c>
      <c r="E3" s="2">
        <v>143.32</v>
      </c>
      <c r="F3" s="3">
        <v>1095</v>
      </c>
      <c r="G3" s="2">
        <v>1238.32</v>
      </c>
      <c r="H3" s="2">
        <v>3.52</v>
      </c>
      <c r="I3" s="4">
        <v>157</v>
      </c>
      <c r="J3" s="3">
        <v>1.4</v>
      </c>
      <c r="K3" s="4">
        <v>1251</v>
      </c>
      <c r="L3" s="2">
        <v>323.11</v>
      </c>
      <c r="M3" s="2">
        <v>57.78</v>
      </c>
      <c r="N3" s="2">
        <v>64.41</v>
      </c>
      <c r="O3" s="2">
        <v>31.9</v>
      </c>
      <c r="P3" s="2">
        <v>3.44</v>
      </c>
      <c r="Q3" s="4">
        <v>400114</v>
      </c>
      <c r="R3" s="4">
        <v>0</v>
      </c>
      <c r="S3" s="4">
        <v>400114</v>
      </c>
      <c r="T3" s="4">
        <v>72283</v>
      </c>
      <c r="U3" s="4">
        <v>80577</v>
      </c>
      <c r="V3" s="4">
        <v>1137</v>
      </c>
      <c r="W3" s="4">
        <v>39502</v>
      </c>
      <c r="X3" s="4">
        <v>4260</v>
      </c>
      <c r="Y3" s="4">
        <v>597873</v>
      </c>
      <c r="Z3" s="4">
        <v>73532</v>
      </c>
      <c r="AA3" s="4">
        <v>524341</v>
      </c>
      <c r="AB3" s="4">
        <v>273239</v>
      </c>
      <c r="AC3" s="4">
        <v>251102</v>
      </c>
    </row>
    <row r="4" spans="1:29" x14ac:dyDescent="0.25">
      <c r="A4" s="1" t="s">
        <v>0</v>
      </c>
      <c r="B4" s="1" t="s">
        <v>733</v>
      </c>
      <c r="C4" s="1" t="s">
        <v>2</v>
      </c>
      <c r="D4" s="1" t="s">
        <v>414</v>
      </c>
      <c r="E4" s="2">
        <v>53.76</v>
      </c>
      <c r="F4" s="3">
        <v>416.1</v>
      </c>
      <c r="G4" s="2">
        <v>469.86</v>
      </c>
      <c r="H4" s="2">
        <v>1.34</v>
      </c>
      <c r="I4" s="4">
        <v>0</v>
      </c>
      <c r="J4" s="3">
        <v>0</v>
      </c>
      <c r="K4" s="4">
        <v>416</v>
      </c>
      <c r="L4" s="2">
        <v>323.11</v>
      </c>
      <c r="M4" s="2">
        <v>57.78</v>
      </c>
      <c r="N4" s="2">
        <v>64.41</v>
      </c>
      <c r="O4" s="2">
        <v>31.9</v>
      </c>
      <c r="P4" s="2">
        <v>3.44</v>
      </c>
      <c r="Q4" s="4">
        <v>151816</v>
      </c>
      <c r="R4" s="4">
        <v>17180</v>
      </c>
      <c r="S4" s="4">
        <v>168996</v>
      </c>
      <c r="T4" s="4">
        <v>24036</v>
      </c>
      <c r="U4" s="4">
        <v>26795</v>
      </c>
      <c r="V4" s="4">
        <v>433</v>
      </c>
      <c r="W4" s="4">
        <v>14989</v>
      </c>
      <c r="X4" s="4">
        <v>1616</v>
      </c>
      <c r="Y4" s="4">
        <v>236865</v>
      </c>
      <c r="Z4" s="4">
        <v>29988</v>
      </c>
      <c r="AA4" s="4">
        <v>206877</v>
      </c>
      <c r="AB4" s="4">
        <v>101590</v>
      </c>
      <c r="AC4" s="4">
        <v>105287</v>
      </c>
    </row>
    <row r="5" spans="1:29" x14ac:dyDescent="0.25">
      <c r="A5" s="1" t="s">
        <v>0</v>
      </c>
      <c r="B5" s="1" t="s">
        <v>733</v>
      </c>
      <c r="C5" s="1" t="s">
        <v>3</v>
      </c>
      <c r="D5" s="1" t="s">
        <v>415</v>
      </c>
      <c r="E5" s="2">
        <v>74.91</v>
      </c>
      <c r="F5" s="3">
        <v>593.9</v>
      </c>
      <c r="G5" s="2">
        <v>668.81</v>
      </c>
      <c r="H5" s="2">
        <v>1.9</v>
      </c>
      <c r="I5" s="4">
        <v>65</v>
      </c>
      <c r="J5" s="3">
        <v>3.3</v>
      </c>
      <c r="K5" s="4">
        <v>656</v>
      </c>
      <c r="L5" s="2">
        <v>323.11</v>
      </c>
      <c r="M5" s="2">
        <v>57.78</v>
      </c>
      <c r="N5" s="2">
        <v>64.41</v>
      </c>
      <c r="O5" s="2">
        <v>31.9</v>
      </c>
      <c r="P5" s="2">
        <v>3.44</v>
      </c>
      <c r="Q5" s="4">
        <v>216099</v>
      </c>
      <c r="R5" s="4">
        <v>0</v>
      </c>
      <c r="S5" s="4">
        <v>216099</v>
      </c>
      <c r="T5" s="4">
        <v>37904</v>
      </c>
      <c r="U5" s="4">
        <v>42253</v>
      </c>
      <c r="V5" s="4">
        <v>614</v>
      </c>
      <c r="W5" s="4">
        <v>21335</v>
      </c>
      <c r="X5" s="4">
        <v>2301</v>
      </c>
      <c r="Y5" s="4">
        <v>320506</v>
      </c>
      <c r="Z5" s="4">
        <v>39375</v>
      </c>
      <c r="AA5" s="4">
        <v>281131</v>
      </c>
      <c r="AB5" s="4">
        <v>147914</v>
      </c>
      <c r="AC5" s="4">
        <v>133217</v>
      </c>
    </row>
    <row r="6" spans="1:29" x14ac:dyDescent="0.25">
      <c r="A6" s="1" t="s">
        <v>0</v>
      </c>
      <c r="B6" s="1" t="s">
        <v>733</v>
      </c>
      <c r="C6" s="1" t="s">
        <v>4</v>
      </c>
      <c r="D6" s="1" t="s">
        <v>416</v>
      </c>
      <c r="E6" s="2">
        <v>184.4</v>
      </c>
      <c r="F6" s="3">
        <v>1607.2</v>
      </c>
      <c r="G6" s="2">
        <v>1791.6</v>
      </c>
      <c r="H6" s="2">
        <v>5.09</v>
      </c>
      <c r="I6" s="4">
        <v>120</v>
      </c>
      <c r="J6" s="3">
        <v>0.4</v>
      </c>
      <c r="K6" s="4">
        <v>1727</v>
      </c>
      <c r="L6" s="2">
        <v>323.11</v>
      </c>
      <c r="M6" s="2">
        <v>57.78</v>
      </c>
      <c r="N6" s="2">
        <v>64.41</v>
      </c>
      <c r="O6" s="2">
        <v>31.9</v>
      </c>
      <c r="P6" s="2">
        <v>3.44</v>
      </c>
      <c r="Q6" s="4">
        <v>578884</v>
      </c>
      <c r="R6" s="4">
        <v>0</v>
      </c>
      <c r="S6" s="4">
        <v>578884</v>
      </c>
      <c r="T6" s="4">
        <v>99786</v>
      </c>
      <c r="U6" s="4">
        <v>111236</v>
      </c>
      <c r="V6" s="4">
        <v>1645</v>
      </c>
      <c r="W6" s="4">
        <v>57152</v>
      </c>
      <c r="X6" s="4">
        <v>6163</v>
      </c>
      <c r="Y6" s="4">
        <v>854866</v>
      </c>
      <c r="Z6" s="4">
        <v>93008</v>
      </c>
      <c r="AA6" s="4">
        <v>761858</v>
      </c>
      <c r="AB6" s="4">
        <v>408699</v>
      </c>
      <c r="AC6" s="4">
        <v>353159</v>
      </c>
    </row>
    <row r="7" spans="1:29" x14ac:dyDescent="0.25">
      <c r="A7" s="1" t="s">
        <v>0</v>
      </c>
      <c r="B7" s="1" t="s">
        <v>733</v>
      </c>
      <c r="C7" s="1" t="s">
        <v>5</v>
      </c>
      <c r="D7" s="1" t="s">
        <v>417</v>
      </c>
      <c r="E7" s="2">
        <v>1959.96</v>
      </c>
      <c r="F7" s="3">
        <v>10489</v>
      </c>
      <c r="G7" s="2">
        <v>12448.96</v>
      </c>
      <c r="H7" s="2">
        <v>35.4</v>
      </c>
      <c r="I7" s="4">
        <v>1672</v>
      </c>
      <c r="J7" s="3">
        <v>1.4</v>
      </c>
      <c r="K7" s="4">
        <v>12160</v>
      </c>
      <c r="L7" s="2">
        <v>323.11</v>
      </c>
      <c r="M7" s="2">
        <v>57.78</v>
      </c>
      <c r="N7" s="2">
        <v>64.41</v>
      </c>
      <c r="O7" s="2">
        <v>31.9</v>
      </c>
      <c r="P7" s="2">
        <v>3.44</v>
      </c>
      <c r="Q7" s="4">
        <v>4022383</v>
      </c>
      <c r="R7" s="4">
        <v>0</v>
      </c>
      <c r="S7" s="4">
        <v>4022383</v>
      </c>
      <c r="T7" s="4">
        <v>702605</v>
      </c>
      <c r="U7" s="4">
        <v>783226</v>
      </c>
      <c r="V7" s="4">
        <v>11438</v>
      </c>
      <c r="W7" s="4">
        <v>397122</v>
      </c>
      <c r="X7" s="4">
        <v>42824</v>
      </c>
      <c r="Y7" s="4">
        <v>5959598</v>
      </c>
      <c r="Z7" s="4">
        <v>514177</v>
      </c>
      <c r="AA7" s="4">
        <v>5445421</v>
      </c>
      <c r="AB7" s="4">
        <v>2971953</v>
      </c>
      <c r="AC7" s="4">
        <v>2473468</v>
      </c>
    </row>
    <row r="8" spans="1:29" x14ac:dyDescent="0.25">
      <c r="A8" s="1" t="s">
        <v>0</v>
      </c>
      <c r="B8" s="1" t="s">
        <v>733</v>
      </c>
      <c r="C8" s="1" t="s">
        <v>6</v>
      </c>
      <c r="D8" s="1" t="s">
        <v>418</v>
      </c>
      <c r="E8" s="2">
        <v>27.36</v>
      </c>
      <c r="F8" s="3">
        <v>323</v>
      </c>
      <c r="G8" s="2">
        <v>350.36</v>
      </c>
      <c r="H8" s="2">
        <v>1</v>
      </c>
      <c r="I8" s="4">
        <v>6</v>
      </c>
      <c r="J8" s="3">
        <v>0</v>
      </c>
      <c r="K8" s="4">
        <v>329</v>
      </c>
      <c r="L8" s="2">
        <v>323.11</v>
      </c>
      <c r="M8" s="2">
        <v>57.78</v>
      </c>
      <c r="N8" s="2">
        <v>64.41</v>
      </c>
      <c r="O8" s="2">
        <v>31.9</v>
      </c>
      <c r="P8" s="2">
        <v>3.44</v>
      </c>
      <c r="Q8" s="4">
        <v>113205</v>
      </c>
      <c r="R8" s="4">
        <v>15022</v>
      </c>
      <c r="S8" s="4">
        <v>128227</v>
      </c>
      <c r="T8" s="4">
        <v>19010</v>
      </c>
      <c r="U8" s="4">
        <v>21191</v>
      </c>
      <c r="V8" s="4">
        <v>323</v>
      </c>
      <c r="W8" s="4">
        <v>11176</v>
      </c>
      <c r="X8" s="4">
        <v>1205</v>
      </c>
      <c r="Y8" s="4">
        <v>181132</v>
      </c>
      <c r="Z8" s="4">
        <v>23749</v>
      </c>
      <c r="AA8" s="4">
        <v>157383</v>
      </c>
      <c r="AB8" s="4">
        <v>74364</v>
      </c>
      <c r="AC8" s="4">
        <v>83019</v>
      </c>
    </row>
    <row r="9" spans="1:29" x14ac:dyDescent="0.25">
      <c r="A9" s="1" t="s">
        <v>0</v>
      </c>
      <c r="B9" s="1" t="s">
        <v>733</v>
      </c>
      <c r="C9" s="1" t="s">
        <v>7</v>
      </c>
      <c r="D9" s="1" t="s">
        <v>419</v>
      </c>
      <c r="E9" s="2">
        <v>37.92</v>
      </c>
      <c r="F9" s="3">
        <v>415</v>
      </c>
      <c r="G9" s="2">
        <v>452.92</v>
      </c>
      <c r="H9" s="2">
        <v>1.29</v>
      </c>
      <c r="I9" s="4">
        <v>33</v>
      </c>
      <c r="J9" s="3">
        <v>0</v>
      </c>
      <c r="K9" s="4">
        <v>448</v>
      </c>
      <c r="L9" s="2">
        <v>323.11</v>
      </c>
      <c r="M9" s="2">
        <v>57.78</v>
      </c>
      <c r="N9" s="2">
        <v>64.41</v>
      </c>
      <c r="O9" s="2">
        <v>31.9</v>
      </c>
      <c r="P9" s="2">
        <v>3.44</v>
      </c>
      <c r="Q9" s="4">
        <v>146343</v>
      </c>
      <c r="R9" s="4">
        <v>0</v>
      </c>
      <c r="S9" s="4">
        <v>146343</v>
      </c>
      <c r="T9" s="4">
        <v>25885</v>
      </c>
      <c r="U9" s="4">
        <v>28856</v>
      </c>
      <c r="V9" s="4">
        <v>417</v>
      </c>
      <c r="W9" s="4">
        <v>14448</v>
      </c>
      <c r="X9" s="4">
        <v>1558</v>
      </c>
      <c r="Y9" s="4">
        <v>217507</v>
      </c>
      <c r="Z9" s="4">
        <v>27107</v>
      </c>
      <c r="AA9" s="4">
        <v>190400</v>
      </c>
      <c r="AB9" s="4">
        <v>99726</v>
      </c>
      <c r="AC9" s="4">
        <v>90674</v>
      </c>
    </row>
    <row r="10" spans="1:29" x14ac:dyDescent="0.25">
      <c r="A10" s="1" t="s">
        <v>0</v>
      </c>
      <c r="B10" s="1" t="s">
        <v>733</v>
      </c>
      <c r="C10" s="1" t="s">
        <v>8</v>
      </c>
      <c r="D10" s="1" t="s">
        <v>420</v>
      </c>
      <c r="E10" s="2">
        <v>175.18</v>
      </c>
      <c r="F10" s="3">
        <v>1132.8</v>
      </c>
      <c r="G10" s="2">
        <v>1307.98</v>
      </c>
      <c r="H10" s="2">
        <v>3.72</v>
      </c>
      <c r="I10" s="4">
        <v>168</v>
      </c>
      <c r="J10" s="3">
        <v>1.4</v>
      </c>
      <c r="K10" s="4">
        <v>1299</v>
      </c>
      <c r="L10" s="2">
        <v>323.11</v>
      </c>
      <c r="M10" s="2">
        <v>57.78</v>
      </c>
      <c r="N10" s="2">
        <v>64.41</v>
      </c>
      <c r="O10" s="2">
        <v>31.9</v>
      </c>
      <c r="P10" s="2">
        <v>3.44</v>
      </c>
      <c r="Q10" s="4">
        <v>422621</v>
      </c>
      <c r="R10" s="4">
        <v>9309</v>
      </c>
      <c r="S10" s="4">
        <v>431930</v>
      </c>
      <c r="T10" s="4">
        <v>75056</v>
      </c>
      <c r="U10" s="4">
        <v>83669</v>
      </c>
      <c r="V10" s="4">
        <v>1202</v>
      </c>
      <c r="W10" s="4">
        <v>41871</v>
      </c>
      <c r="X10" s="4">
        <v>4511</v>
      </c>
      <c r="Y10" s="4">
        <v>638239</v>
      </c>
      <c r="Z10" s="4">
        <v>74965</v>
      </c>
      <c r="AA10" s="4">
        <v>563274</v>
      </c>
      <c r="AB10" s="4">
        <v>291472</v>
      </c>
      <c r="AC10" s="4">
        <v>271802</v>
      </c>
    </row>
    <row r="11" spans="1:29" x14ac:dyDescent="0.25">
      <c r="A11" s="1" t="s">
        <v>0</v>
      </c>
      <c r="B11" s="1" t="s">
        <v>733</v>
      </c>
      <c r="C11" s="1" t="s">
        <v>10</v>
      </c>
      <c r="D11" s="1" t="s">
        <v>422</v>
      </c>
      <c r="E11" s="2">
        <v>105.21</v>
      </c>
      <c r="F11" s="3">
        <v>767.7</v>
      </c>
      <c r="G11" s="2">
        <v>872.91</v>
      </c>
      <c r="H11" s="2">
        <v>2.48</v>
      </c>
      <c r="I11" s="4">
        <v>1</v>
      </c>
      <c r="J11" s="3">
        <v>0</v>
      </c>
      <c r="K11" s="4">
        <v>769</v>
      </c>
      <c r="L11" s="2">
        <v>323.11</v>
      </c>
      <c r="M11" s="2">
        <v>57.78</v>
      </c>
      <c r="N11" s="2">
        <v>64.41</v>
      </c>
      <c r="O11" s="2">
        <v>31.9</v>
      </c>
      <c r="P11" s="2">
        <v>3.44</v>
      </c>
      <c r="Q11" s="4">
        <v>282046</v>
      </c>
      <c r="R11" s="4">
        <v>0</v>
      </c>
      <c r="S11" s="4">
        <v>282046</v>
      </c>
      <c r="T11" s="4">
        <v>44433</v>
      </c>
      <c r="U11" s="4">
        <v>49531</v>
      </c>
      <c r="V11" s="4">
        <v>801</v>
      </c>
      <c r="W11" s="4">
        <v>27846</v>
      </c>
      <c r="X11" s="4">
        <v>3003</v>
      </c>
      <c r="Y11" s="4">
        <v>407660</v>
      </c>
      <c r="Z11" s="4">
        <v>49021</v>
      </c>
      <c r="AA11" s="4">
        <v>358639</v>
      </c>
      <c r="AB11" s="4">
        <v>195423</v>
      </c>
      <c r="AC11" s="4">
        <v>163216</v>
      </c>
    </row>
    <row r="12" spans="1:29" x14ac:dyDescent="0.25">
      <c r="A12" s="1" t="s">
        <v>0</v>
      </c>
      <c r="B12" s="1" t="s">
        <v>733</v>
      </c>
      <c r="C12" s="1" t="s">
        <v>9</v>
      </c>
      <c r="D12" s="1" t="s">
        <v>421</v>
      </c>
      <c r="E12" s="2">
        <v>52.65</v>
      </c>
      <c r="F12" s="3">
        <v>682.6</v>
      </c>
      <c r="G12" s="2">
        <v>735.25</v>
      </c>
      <c r="H12" s="2">
        <v>2.09</v>
      </c>
      <c r="I12" s="4">
        <v>26</v>
      </c>
      <c r="J12" s="3">
        <v>0</v>
      </c>
      <c r="K12" s="4">
        <v>709</v>
      </c>
      <c r="L12" s="2">
        <v>323.11</v>
      </c>
      <c r="M12" s="2">
        <v>57.78</v>
      </c>
      <c r="N12" s="2">
        <v>64.41</v>
      </c>
      <c r="O12" s="2">
        <v>31.9</v>
      </c>
      <c r="P12" s="2">
        <v>3.44</v>
      </c>
      <c r="Q12" s="4">
        <v>237567</v>
      </c>
      <c r="R12" s="4">
        <v>4490</v>
      </c>
      <c r="S12" s="4">
        <v>242057</v>
      </c>
      <c r="T12" s="4">
        <v>40966</v>
      </c>
      <c r="U12" s="4">
        <v>45667</v>
      </c>
      <c r="V12" s="4">
        <v>675</v>
      </c>
      <c r="W12" s="4">
        <v>23879</v>
      </c>
      <c r="X12" s="4">
        <v>2572</v>
      </c>
      <c r="Y12" s="4">
        <v>355816</v>
      </c>
      <c r="Z12" s="4">
        <v>45215</v>
      </c>
      <c r="AA12" s="4">
        <v>310601</v>
      </c>
      <c r="AB12" s="4">
        <v>161147</v>
      </c>
      <c r="AC12" s="4">
        <v>149454</v>
      </c>
    </row>
    <row r="13" spans="1:29" x14ac:dyDescent="0.25">
      <c r="A13" s="1" t="s">
        <v>0</v>
      </c>
      <c r="B13" s="1" t="s">
        <v>733</v>
      </c>
      <c r="C13" s="1" t="s">
        <v>11</v>
      </c>
      <c r="D13" s="1" t="s">
        <v>423</v>
      </c>
      <c r="E13" s="2">
        <v>105.86</v>
      </c>
      <c r="F13" s="3">
        <v>915</v>
      </c>
      <c r="G13" s="2">
        <v>1020.86</v>
      </c>
      <c r="H13" s="2">
        <v>2.9</v>
      </c>
      <c r="I13" s="4">
        <v>131</v>
      </c>
      <c r="J13" s="3">
        <v>2</v>
      </c>
      <c r="K13" s="4">
        <v>1044</v>
      </c>
      <c r="L13" s="2">
        <v>323.11</v>
      </c>
      <c r="M13" s="2">
        <v>57.78</v>
      </c>
      <c r="N13" s="2">
        <v>64.41</v>
      </c>
      <c r="O13" s="2">
        <v>31.9</v>
      </c>
      <c r="P13" s="2">
        <v>3.44</v>
      </c>
      <c r="Q13" s="4">
        <v>329850</v>
      </c>
      <c r="R13" s="4">
        <v>5976</v>
      </c>
      <c r="S13" s="4">
        <v>335826</v>
      </c>
      <c r="T13" s="4">
        <v>60322</v>
      </c>
      <c r="U13" s="4">
        <v>67244</v>
      </c>
      <c r="V13" s="4">
        <v>937</v>
      </c>
      <c r="W13" s="4">
        <v>32876</v>
      </c>
      <c r="X13" s="4">
        <v>3542</v>
      </c>
      <c r="Y13" s="4">
        <v>500747</v>
      </c>
      <c r="Z13" s="4">
        <v>58022</v>
      </c>
      <c r="AA13" s="4">
        <v>442725</v>
      </c>
      <c r="AB13" s="4">
        <v>228193</v>
      </c>
      <c r="AC13" s="4">
        <v>214532</v>
      </c>
    </row>
    <row r="14" spans="1:29" x14ac:dyDescent="0.25">
      <c r="A14" s="1" t="s">
        <v>0</v>
      </c>
      <c r="B14" s="1" t="s">
        <v>733</v>
      </c>
      <c r="C14" s="1" t="s">
        <v>12</v>
      </c>
      <c r="D14" s="1" t="s">
        <v>424</v>
      </c>
      <c r="E14" s="2">
        <v>195.47</v>
      </c>
      <c r="F14" s="3">
        <v>1123.5</v>
      </c>
      <c r="G14" s="2">
        <v>1318.97</v>
      </c>
      <c r="H14" s="2">
        <v>3.75</v>
      </c>
      <c r="I14" s="4">
        <v>6</v>
      </c>
      <c r="J14" s="3">
        <v>0</v>
      </c>
      <c r="K14" s="4">
        <v>1130</v>
      </c>
      <c r="L14" s="2">
        <v>323.11</v>
      </c>
      <c r="M14" s="2">
        <v>57.78</v>
      </c>
      <c r="N14" s="2">
        <v>64.41</v>
      </c>
      <c r="O14" s="2">
        <v>31.9</v>
      </c>
      <c r="P14" s="2">
        <v>3.44</v>
      </c>
      <c r="Q14" s="4">
        <v>426172</v>
      </c>
      <c r="R14" s="4">
        <v>10800</v>
      </c>
      <c r="S14" s="4">
        <v>436972</v>
      </c>
      <c r="T14" s="4">
        <v>65291</v>
      </c>
      <c r="U14" s="4">
        <v>72783</v>
      </c>
      <c r="V14" s="4">
        <v>1212</v>
      </c>
      <c r="W14" s="4">
        <v>42075</v>
      </c>
      <c r="X14" s="4">
        <v>4537</v>
      </c>
      <c r="Y14" s="4">
        <v>622870</v>
      </c>
      <c r="Z14" s="4">
        <v>80898</v>
      </c>
      <c r="AA14" s="4">
        <v>541972</v>
      </c>
      <c r="AB14" s="4">
        <v>288458</v>
      </c>
      <c r="AC14" s="4">
        <v>253514</v>
      </c>
    </row>
    <row r="15" spans="1:29" x14ac:dyDescent="0.25">
      <c r="A15" s="1" t="s">
        <v>0</v>
      </c>
      <c r="B15" s="1" t="s">
        <v>733</v>
      </c>
      <c r="C15" s="1" t="s">
        <v>13</v>
      </c>
      <c r="D15" s="1" t="s">
        <v>425</v>
      </c>
      <c r="E15" s="2">
        <v>286.5</v>
      </c>
      <c r="F15" s="3">
        <v>1303.9000000000001</v>
      </c>
      <c r="G15" s="2">
        <v>1590.4</v>
      </c>
      <c r="H15" s="2">
        <v>4.5199999999999996</v>
      </c>
      <c r="I15" s="4">
        <v>53</v>
      </c>
      <c r="J15" s="3">
        <v>2.1</v>
      </c>
      <c r="K15" s="4">
        <v>1355</v>
      </c>
      <c r="L15" s="2">
        <v>323.11</v>
      </c>
      <c r="M15" s="2">
        <v>57.78</v>
      </c>
      <c r="N15" s="2">
        <v>64.41</v>
      </c>
      <c r="O15" s="2">
        <v>31.9</v>
      </c>
      <c r="P15" s="2">
        <v>3.44</v>
      </c>
      <c r="Q15" s="4">
        <v>513874</v>
      </c>
      <c r="R15" s="4">
        <v>0</v>
      </c>
      <c r="S15" s="4">
        <v>513874</v>
      </c>
      <c r="T15" s="4">
        <v>78292</v>
      </c>
      <c r="U15" s="4">
        <v>87276</v>
      </c>
      <c r="V15" s="4">
        <v>1460</v>
      </c>
      <c r="W15" s="4">
        <v>50734</v>
      </c>
      <c r="X15" s="4">
        <v>5471</v>
      </c>
      <c r="Y15" s="4">
        <v>737107</v>
      </c>
      <c r="Z15" s="4">
        <v>78419</v>
      </c>
      <c r="AA15" s="4">
        <v>658688</v>
      </c>
      <c r="AB15" s="4">
        <v>366946</v>
      </c>
      <c r="AC15" s="4">
        <v>291742</v>
      </c>
    </row>
    <row r="16" spans="1:29" x14ac:dyDescent="0.25">
      <c r="A16" s="1" t="s">
        <v>0</v>
      </c>
      <c r="B16" s="1" t="s">
        <v>733</v>
      </c>
      <c r="C16" s="1" t="s">
        <v>14</v>
      </c>
      <c r="D16" s="1" t="s">
        <v>426</v>
      </c>
      <c r="E16" s="2">
        <v>94.41</v>
      </c>
      <c r="F16" s="3">
        <v>758</v>
      </c>
      <c r="G16" s="2">
        <v>852.41</v>
      </c>
      <c r="H16" s="2">
        <v>2.42</v>
      </c>
      <c r="I16" s="4">
        <v>4</v>
      </c>
      <c r="J16" s="3">
        <v>0</v>
      </c>
      <c r="K16" s="4">
        <v>762</v>
      </c>
      <c r="L16" s="2">
        <v>323.11</v>
      </c>
      <c r="M16" s="2">
        <v>57.78</v>
      </c>
      <c r="N16" s="2">
        <v>64.41</v>
      </c>
      <c r="O16" s="2">
        <v>31.9</v>
      </c>
      <c r="P16" s="2">
        <v>3.44</v>
      </c>
      <c r="Q16" s="4">
        <v>275422</v>
      </c>
      <c r="R16" s="4">
        <v>0</v>
      </c>
      <c r="S16" s="4">
        <v>275422</v>
      </c>
      <c r="T16" s="4">
        <v>44028</v>
      </c>
      <c r="U16" s="4">
        <v>49080</v>
      </c>
      <c r="V16" s="4">
        <v>782</v>
      </c>
      <c r="W16" s="4">
        <v>27192</v>
      </c>
      <c r="X16" s="4">
        <v>2932</v>
      </c>
      <c r="Y16" s="4">
        <v>399436</v>
      </c>
      <c r="Z16" s="4">
        <v>30686</v>
      </c>
      <c r="AA16" s="4">
        <v>368750</v>
      </c>
      <c r="AB16" s="4">
        <v>208017</v>
      </c>
      <c r="AC16" s="4">
        <v>160733</v>
      </c>
    </row>
    <row r="17" spans="1:29" x14ac:dyDescent="0.25">
      <c r="A17" s="1" t="s">
        <v>0</v>
      </c>
      <c r="B17" s="1" t="s">
        <v>733</v>
      </c>
      <c r="C17" s="1" t="s">
        <v>15</v>
      </c>
      <c r="D17" s="1" t="s">
        <v>427</v>
      </c>
      <c r="E17" s="2">
        <v>34.869999999999997</v>
      </c>
      <c r="F17" s="3">
        <v>326.8</v>
      </c>
      <c r="G17" s="2">
        <v>361.67</v>
      </c>
      <c r="H17" s="2">
        <v>1.05</v>
      </c>
      <c r="I17" s="4">
        <v>3</v>
      </c>
      <c r="J17" s="3">
        <v>0</v>
      </c>
      <c r="K17" s="4">
        <v>330</v>
      </c>
      <c r="L17" s="2">
        <v>323.11</v>
      </c>
      <c r="M17" s="2">
        <v>57.78</v>
      </c>
      <c r="N17" s="2">
        <v>64.41</v>
      </c>
      <c r="O17" s="2">
        <v>31.9</v>
      </c>
      <c r="P17" s="2">
        <v>3.44</v>
      </c>
      <c r="Q17" s="4">
        <v>116859</v>
      </c>
      <c r="R17" s="4">
        <v>0</v>
      </c>
      <c r="S17" s="4">
        <v>116859</v>
      </c>
      <c r="T17" s="4">
        <v>19067</v>
      </c>
      <c r="U17" s="4">
        <v>21255</v>
      </c>
      <c r="V17" s="4">
        <v>339</v>
      </c>
      <c r="W17" s="4">
        <v>11537</v>
      </c>
      <c r="X17" s="4">
        <v>1244</v>
      </c>
      <c r="Y17" s="4">
        <v>170301</v>
      </c>
      <c r="Z17" s="4">
        <v>21332</v>
      </c>
      <c r="AA17" s="4">
        <v>148969</v>
      </c>
      <c r="AB17" s="4">
        <v>79953</v>
      </c>
      <c r="AC17" s="4">
        <v>69016</v>
      </c>
    </row>
    <row r="18" spans="1:29" x14ac:dyDescent="0.25">
      <c r="A18" s="1" t="s">
        <v>0</v>
      </c>
      <c r="B18" s="1" t="s">
        <v>733</v>
      </c>
      <c r="C18" s="1" t="s">
        <v>16</v>
      </c>
      <c r="D18" s="1" t="s">
        <v>428</v>
      </c>
      <c r="E18" s="2">
        <v>103.76</v>
      </c>
      <c r="F18" s="3">
        <v>523.70000000000005</v>
      </c>
      <c r="G18" s="2">
        <v>627.46</v>
      </c>
      <c r="H18" s="2">
        <v>1.79</v>
      </c>
      <c r="I18" s="4">
        <v>263</v>
      </c>
      <c r="J18" s="3">
        <v>2.7</v>
      </c>
      <c r="K18" s="4">
        <v>784</v>
      </c>
      <c r="L18" s="2">
        <v>323.11</v>
      </c>
      <c r="M18" s="2">
        <v>57.78</v>
      </c>
      <c r="N18" s="2">
        <v>64.41</v>
      </c>
      <c r="O18" s="2">
        <v>31.9</v>
      </c>
      <c r="P18" s="2">
        <v>3.44</v>
      </c>
      <c r="Q18" s="4">
        <v>202739</v>
      </c>
      <c r="R18" s="4">
        <v>0</v>
      </c>
      <c r="S18" s="4">
        <v>202739</v>
      </c>
      <c r="T18" s="4">
        <v>45300</v>
      </c>
      <c r="U18" s="4">
        <v>50497</v>
      </c>
      <c r="V18" s="4">
        <v>578</v>
      </c>
      <c r="W18" s="4">
        <v>20016</v>
      </c>
      <c r="X18" s="4">
        <v>2158</v>
      </c>
      <c r="Y18" s="4">
        <v>321288</v>
      </c>
      <c r="Z18" s="4">
        <v>37693</v>
      </c>
      <c r="AA18" s="4">
        <v>283595</v>
      </c>
      <c r="AB18" s="4">
        <v>138018</v>
      </c>
      <c r="AC18" s="4">
        <v>145577</v>
      </c>
    </row>
    <row r="19" spans="1:29" x14ac:dyDescent="0.25">
      <c r="A19" s="1" t="s">
        <v>0</v>
      </c>
      <c r="B19" s="1" t="s">
        <v>733</v>
      </c>
      <c r="C19" s="1" t="s">
        <v>17</v>
      </c>
      <c r="D19" s="1" t="s">
        <v>429</v>
      </c>
      <c r="E19" s="2">
        <v>107.04</v>
      </c>
      <c r="F19" s="3">
        <v>609.4</v>
      </c>
      <c r="G19" s="2">
        <v>716.44</v>
      </c>
      <c r="H19" s="2">
        <v>2.04</v>
      </c>
      <c r="I19" s="4">
        <v>1</v>
      </c>
      <c r="J19" s="3">
        <v>0</v>
      </c>
      <c r="K19" s="4">
        <v>610</v>
      </c>
      <c r="L19" s="2">
        <v>323.11</v>
      </c>
      <c r="M19" s="2">
        <v>57.78</v>
      </c>
      <c r="N19" s="2">
        <v>64.41</v>
      </c>
      <c r="O19" s="2">
        <v>31.9</v>
      </c>
      <c r="P19" s="2">
        <v>3.44</v>
      </c>
      <c r="Q19" s="4">
        <v>231489</v>
      </c>
      <c r="R19" s="4">
        <v>0</v>
      </c>
      <c r="S19" s="4">
        <v>231489</v>
      </c>
      <c r="T19" s="4">
        <v>35246</v>
      </c>
      <c r="U19" s="4">
        <v>39290</v>
      </c>
      <c r="V19" s="4">
        <v>659</v>
      </c>
      <c r="W19" s="4">
        <v>22854</v>
      </c>
      <c r="X19" s="4">
        <v>2465</v>
      </c>
      <c r="Y19" s="4">
        <v>332003</v>
      </c>
      <c r="Z19" s="4">
        <v>41746</v>
      </c>
      <c r="AA19" s="4">
        <v>290257</v>
      </c>
      <c r="AB19" s="4">
        <v>158882</v>
      </c>
      <c r="AC19" s="4">
        <v>131375</v>
      </c>
    </row>
    <row r="20" spans="1:29" x14ac:dyDescent="0.25">
      <c r="A20" s="1" t="s">
        <v>0</v>
      </c>
      <c r="B20" s="1" t="s">
        <v>733</v>
      </c>
      <c r="C20" s="1" t="s">
        <v>18</v>
      </c>
      <c r="D20" s="1" t="s">
        <v>430</v>
      </c>
      <c r="E20" s="2">
        <v>56.82</v>
      </c>
      <c r="F20" s="3">
        <v>357.1</v>
      </c>
      <c r="G20" s="2">
        <v>413.92</v>
      </c>
      <c r="H20" s="2">
        <v>1.18</v>
      </c>
      <c r="I20" s="4">
        <v>66</v>
      </c>
      <c r="J20" s="3">
        <v>0.1</v>
      </c>
      <c r="K20" s="4">
        <v>423</v>
      </c>
      <c r="L20" s="2">
        <v>323.11</v>
      </c>
      <c r="M20" s="2">
        <v>57.78</v>
      </c>
      <c r="N20" s="2">
        <v>64.41</v>
      </c>
      <c r="O20" s="2">
        <v>31.9</v>
      </c>
      <c r="P20" s="2">
        <v>3.44</v>
      </c>
      <c r="Q20" s="4">
        <v>133742</v>
      </c>
      <c r="R20" s="4">
        <v>13012</v>
      </c>
      <c r="S20" s="4">
        <v>146754</v>
      </c>
      <c r="T20" s="4">
        <v>24441</v>
      </c>
      <c r="U20" s="4">
        <v>27245</v>
      </c>
      <c r="V20" s="4">
        <v>381</v>
      </c>
      <c r="W20" s="4">
        <v>13204</v>
      </c>
      <c r="X20" s="4">
        <v>1424</v>
      </c>
      <c r="Y20" s="4">
        <v>213449</v>
      </c>
      <c r="Z20" s="4">
        <v>29583</v>
      </c>
      <c r="AA20" s="4">
        <v>183866</v>
      </c>
      <c r="AB20" s="4">
        <v>86329</v>
      </c>
      <c r="AC20" s="4">
        <v>97537</v>
      </c>
    </row>
    <row r="21" spans="1:29" x14ac:dyDescent="0.25">
      <c r="A21" s="1" t="s">
        <v>0</v>
      </c>
      <c r="B21" s="1" t="s">
        <v>733</v>
      </c>
      <c r="C21" s="1" t="s">
        <v>19</v>
      </c>
      <c r="D21" s="1" t="s">
        <v>431</v>
      </c>
      <c r="E21" s="2">
        <v>34.71</v>
      </c>
      <c r="F21" s="3">
        <v>262</v>
      </c>
      <c r="G21" s="2">
        <v>296.70999999999998</v>
      </c>
      <c r="H21" s="2">
        <v>0.84</v>
      </c>
      <c r="I21" s="4">
        <v>2</v>
      </c>
      <c r="J21" s="3">
        <v>0</v>
      </c>
      <c r="K21" s="4">
        <v>264</v>
      </c>
      <c r="L21" s="2">
        <v>323.11</v>
      </c>
      <c r="M21" s="2">
        <v>57.78</v>
      </c>
      <c r="N21" s="2">
        <v>64.41</v>
      </c>
      <c r="O21" s="2">
        <v>31.9</v>
      </c>
      <c r="P21" s="2">
        <v>3.44</v>
      </c>
      <c r="Q21" s="4">
        <v>95870</v>
      </c>
      <c r="R21" s="4">
        <v>2390</v>
      </c>
      <c r="S21" s="4">
        <v>98260</v>
      </c>
      <c r="T21" s="4">
        <v>15254</v>
      </c>
      <c r="U21" s="4">
        <v>17004</v>
      </c>
      <c r="V21" s="4">
        <v>271</v>
      </c>
      <c r="W21" s="4">
        <v>9465</v>
      </c>
      <c r="X21" s="4">
        <v>1021</v>
      </c>
      <c r="Y21" s="4">
        <v>141275</v>
      </c>
      <c r="Z21" s="4">
        <v>16863</v>
      </c>
      <c r="AA21" s="4">
        <v>124412</v>
      </c>
      <c r="AB21" s="4">
        <v>66225</v>
      </c>
      <c r="AC21" s="4">
        <v>58187</v>
      </c>
    </row>
    <row r="22" spans="1:29" x14ac:dyDescent="0.25">
      <c r="A22" s="1" t="s">
        <v>0</v>
      </c>
      <c r="B22" s="1" t="s">
        <v>733</v>
      </c>
      <c r="C22" s="1" t="s">
        <v>20</v>
      </c>
      <c r="D22" s="1" t="s">
        <v>432</v>
      </c>
      <c r="E22" s="2">
        <v>171.68</v>
      </c>
      <c r="F22" s="3">
        <v>1419</v>
      </c>
      <c r="G22" s="2">
        <v>1590.68</v>
      </c>
      <c r="H22" s="2">
        <v>4.5199999999999996</v>
      </c>
      <c r="I22" s="4">
        <v>171</v>
      </c>
      <c r="J22" s="3">
        <v>0.8</v>
      </c>
      <c r="K22" s="4">
        <v>1589</v>
      </c>
      <c r="L22" s="2">
        <v>323.11</v>
      </c>
      <c r="M22" s="2">
        <v>57.78</v>
      </c>
      <c r="N22" s="2">
        <v>64.41</v>
      </c>
      <c r="O22" s="2">
        <v>31.9</v>
      </c>
      <c r="P22" s="2">
        <v>3.44</v>
      </c>
      <c r="Q22" s="4">
        <v>513965</v>
      </c>
      <c r="R22" s="4">
        <v>406</v>
      </c>
      <c r="S22" s="4">
        <v>514371</v>
      </c>
      <c r="T22" s="4">
        <v>91812</v>
      </c>
      <c r="U22" s="4">
        <v>102347</v>
      </c>
      <c r="V22" s="4">
        <v>1460</v>
      </c>
      <c r="W22" s="4">
        <v>50743</v>
      </c>
      <c r="X22" s="4">
        <v>5472</v>
      </c>
      <c r="Y22" s="4">
        <v>766205</v>
      </c>
      <c r="Z22" s="4">
        <v>90517</v>
      </c>
      <c r="AA22" s="4">
        <v>675688</v>
      </c>
      <c r="AB22" s="4">
        <v>354927</v>
      </c>
      <c r="AC22" s="4">
        <v>320761</v>
      </c>
    </row>
    <row r="23" spans="1:29" x14ac:dyDescent="0.25">
      <c r="A23" s="1" t="s">
        <v>0</v>
      </c>
      <c r="B23" s="1" t="s">
        <v>733</v>
      </c>
      <c r="C23" s="1" t="s">
        <v>21</v>
      </c>
      <c r="D23" s="1" t="s">
        <v>433</v>
      </c>
      <c r="E23" s="2">
        <v>393.58</v>
      </c>
      <c r="F23" s="3">
        <v>3129.6</v>
      </c>
      <c r="G23" s="2">
        <v>3523.18</v>
      </c>
      <c r="H23" s="2">
        <v>10.02</v>
      </c>
      <c r="I23" s="4">
        <v>1158</v>
      </c>
      <c r="J23" s="3">
        <v>4.0999999999999996</v>
      </c>
      <c r="K23" s="4">
        <v>4284</v>
      </c>
      <c r="L23" s="2">
        <v>323.11</v>
      </c>
      <c r="M23" s="2">
        <v>57.78</v>
      </c>
      <c r="N23" s="2">
        <v>64.41</v>
      </c>
      <c r="O23" s="2">
        <v>31.9</v>
      </c>
      <c r="P23" s="2">
        <v>3.44</v>
      </c>
      <c r="Q23" s="4">
        <v>1138375</v>
      </c>
      <c r="R23" s="4">
        <v>0</v>
      </c>
      <c r="S23" s="4">
        <v>1138375</v>
      </c>
      <c r="T23" s="4">
        <v>247530</v>
      </c>
      <c r="U23" s="4">
        <v>275932</v>
      </c>
      <c r="V23" s="4">
        <v>3238</v>
      </c>
      <c r="W23" s="4">
        <v>112389</v>
      </c>
      <c r="X23" s="4">
        <v>12120</v>
      </c>
      <c r="Y23" s="4">
        <v>1789584</v>
      </c>
      <c r="Z23" s="4">
        <v>140594</v>
      </c>
      <c r="AA23" s="4">
        <v>1648990</v>
      </c>
      <c r="AB23" s="4">
        <v>846016</v>
      </c>
      <c r="AC23" s="4">
        <v>802974</v>
      </c>
    </row>
    <row r="24" spans="1:29" x14ac:dyDescent="0.25">
      <c r="A24" s="1" t="s">
        <v>22</v>
      </c>
      <c r="B24" s="1" t="s">
        <v>734</v>
      </c>
      <c r="C24" s="1" t="s">
        <v>23</v>
      </c>
      <c r="D24" s="1" t="s">
        <v>434</v>
      </c>
      <c r="E24" s="2">
        <v>36.67</v>
      </c>
      <c r="F24" s="3">
        <v>216.9</v>
      </c>
      <c r="G24" s="2">
        <v>253.57</v>
      </c>
      <c r="H24" s="2">
        <v>0.7</v>
      </c>
      <c r="I24" s="4">
        <v>1</v>
      </c>
      <c r="J24" s="3">
        <v>0</v>
      </c>
      <c r="K24" s="4">
        <v>218</v>
      </c>
      <c r="L24" s="2">
        <v>318.86</v>
      </c>
      <c r="M24" s="2">
        <v>57.86</v>
      </c>
      <c r="N24" s="2">
        <v>64.88</v>
      </c>
      <c r="O24" s="2">
        <v>33.86</v>
      </c>
      <c r="P24" s="2">
        <v>4.03</v>
      </c>
      <c r="Q24" s="4">
        <v>80853</v>
      </c>
      <c r="R24" s="4">
        <v>0</v>
      </c>
      <c r="S24" s="4">
        <v>80853</v>
      </c>
      <c r="T24" s="4">
        <v>12613</v>
      </c>
      <c r="U24" s="4">
        <v>14144</v>
      </c>
      <c r="V24" s="4">
        <v>223</v>
      </c>
      <c r="W24" s="4">
        <v>8586</v>
      </c>
      <c r="X24" s="4">
        <v>1022</v>
      </c>
      <c r="Y24" s="4">
        <v>117441</v>
      </c>
      <c r="Z24" s="4">
        <v>14109</v>
      </c>
      <c r="AA24" s="4">
        <v>103332</v>
      </c>
      <c r="AB24" s="4">
        <v>57541</v>
      </c>
      <c r="AC24" s="4">
        <v>45791</v>
      </c>
    </row>
    <row r="25" spans="1:29" x14ac:dyDescent="0.25">
      <c r="A25" s="1" t="s">
        <v>22</v>
      </c>
      <c r="B25" s="1" t="s">
        <v>734</v>
      </c>
      <c r="C25" s="1" t="s">
        <v>24</v>
      </c>
      <c r="D25" s="1" t="s">
        <v>435</v>
      </c>
      <c r="E25" s="2">
        <v>200.56</v>
      </c>
      <c r="F25" s="3">
        <v>1295.5999999999999</v>
      </c>
      <c r="G25" s="2">
        <v>1496.16</v>
      </c>
      <c r="H25" s="2">
        <v>4.1100000000000003</v>
      </c>
      <c r="I25" s="4">
        <v>312</v>
      </c>
      <c r="J25" s="3">
        <v>10.4</v>
      </c>
      <c r="K25" s="4">
        <v>1597</v>
      </c>
      <c r="L25" s="2">
        <v>318.86</v>
      </c>
      <c r="M25" s="2">
        <v>57.86</v>
      </c>
      <c r="N25" s="2">
        <v>64.88</v>
      </c>
      <c r="O25" s="2">
        <v>33.86</v>
      </c>
      <c r="P25" s="2">
        <v>4.03</v>
      </c>
      <c r="Q25" s="4">
        <v>477066</v>
      </c>
      <c r="R25" s="4">
        <v>0</v>
      </c>
      <c r="S25" s="4">
        <v>477066</v>
      </c>
      <c r="T25" s="4">
        <v>92402</v>
      </c>
      <c r="U25" s="4">
        <v>103613</v>
      </c>
      <c r="V25" s="4">
        <v>1311</v>
      </c>
      <c r="W25" s="4">
        <v>50660</v>
      </c>
      <c r="X25" s="4">
        <v>6030</v>
      </c>
      <c r="Y25" s="4">
        <v>731082</v>
      </c>
      <c r="Z25" s="4">
        <v>83780</v>
      </c>
      <c r="AA25" s="4">
        <v>647302</v>
      </c>
      <c r="AB25" s="4">
        <v>338976</v>
      </c>
      <c r="AC25" s="4">
        <v>308326</v>
      </c>
    </row>
    <row r="26" spans="1:29" x14ac:dyDescent="0.25">
      <c r="A26" s="1" t="s">
        <v>22</v>
      </c>
      <c r="B26" s="1" t="s">
        <v>734</v>
      </c>
      <c r="C26" s="1" t="s">
        <v>25</v>
      </c>
      <c r="D26" s="1" t="s">
        <v>436</v>
      </c>
      <c r="E26" s="2">
        <v>79.77</v>
      </c>
      <c r="F26" s="3">
        <v>803.2</v>
      </c>
      <c r="G26" s="2">
        <v>882.97</v>
      </c>
      <c r="H26" s="2">
        <v>2.4300000000000002</v>
      </c>
      <c r="I26" s="4">
        <v>16</v>
      </c>
      <c r="J26" s="3">
        <v>0</v>
      </c>
      <c r="K26" s="4">
        <v>819</v>
      </c>
      <c r="L26" s="2">
        <v>318.86</v>
      </c>
      <c r="M26" s="2">
        <v>57.86</v>
      </c>
      <c r="N26" s="2">
        <v>64.88</v>
      </c>
      <c r="O26" s="2">
        <v>33.86</v>
      </c>
      <c r="P26" s="2">
        <v>4.03</v>
      </c>
      <c r="Q26" s="4">
        <v>281544</v>
      </c>
      <c r="R26" s="4">
        <v>0</v>
      </c>
      <c r="S26" s="4">
        <v>281544</v>
      </c>
      <c r="T26" s="4">
        <v>47387</v>
      </c>
      <c r="U26" s="4">
        <v>53137</v>
      </c>
      <c r="V26" s="4">
        <v>775</v>
      </c>
      <c r="W26" s="4">
        <v>29897</v>
      </c>
      <c r="X26" s="4">
        <v>3558</v>
      </c>
      <c r="Y26" s="4">
        <v>416298</v>
      </c>
      <c r="Z26" s="4">
        <v>44685</v>
      </c>
      <c r="AA26" s="4">
        <v>371613</v>
      </c>
      <c r="AB26" s="4">
        <v>204808</v>
      </c>
      <c r="AC26" s="4">
        <v>166805</v>
      </c>
    </row>
    <row r="27" spans="1:29" x14ac:dyDescent="0.25">
      <c r="A27" s="1" t="s">
        <v>22</v>
      </c>
      <c r="B27" s="1" t="s">
        <v>734</v>
      </c>
      <c r="C27" s="1" t="s">
        <v>26</v>
      </c>
      <c r="D27" s="1" t="s">
        <v>437</v>
      </c>
      <c r="E27" s="2">
        <v>120.02</v>
      </c>
      <c r="F27" s="3">
        <v>973.4</v>
      </c>
      <c r="G27" s="2">
        <v>1093.42</v>
      </c>
      <c r="H27" s="2">
        <v>3.01</v>
      </c>
      <c r="I27" s="4">
        <v>3</v>
      </c>
      <c r="J27" s="3">
        <v>0</v>
      </c>
      <c r="K27" s="4">
        <v>976</v>
      </c>
      <c r="L27" s="2">
        <v>318.86</v>
      </c>
      <c r="M27" s="2">
        <v>57.86</v>
      </c>
      <c r="N27" s="2">
        <v>64.88</v>
      </c>
      <c r="O27" s="2">
        <v>33.86</v>
      </c>
      <c r="P27" s="2">
        <v>4.03</v>
      </c>
      <c r="Q27" s="4">
        <v>348648</v>
      </c>
      <c r="R27" s="4">
        <v>0</v>
      </c>
      <c r="S27" s="4">
        <v>348648</v>
      </c>
      <c r="T27" s="4">
        <v>56471</v>
      </c>
      <c r="U27" s="4">
        <v>63323</v>
      </c>
      <c r="V27" s="4">
        <v>960</v>
      </c>
      <c r="W27" s="4">
        <v>37023</v>
      </c>
      <c r="X27" s="4">
        <v>4406</v>
      </c>
      <c r="Y27" s="4">
        <v>510831</v>
      </c>
      <c r="Z27" s="4">
        <v>52020</v>
      </c>
      <c r="AA27" s="4">
        <v>458811</v>
      </c>
      <c r="AB27" s="4">
        <v>256938</v>
      </c>
      <c r="AC27" s="4">
        <v>201873</v>
      </c>
    </row>
    <row r="28" spans="1:29" x14ac:dyDescent="0.25">
      <c r="A28" s="1" t="s">
        <v>22</v>
      </c>
      <c r="B28" s="1" t="s">
        <v>734</v>
      </c>
      <c r="C28" s="1" t="s">
        <v>27</v>
      </c>
      <c r="D28" s="1" t="s">
        <v>438</v>
      </c>
      <c r="E28" s="2">
        <v>36.03</v>
      </c>
      <c r="F28" s="3">
        <v>288</v>
      </c>
      <c r="G28" s="2">
        <v>324.02999999999997</v>
      </c>
      <c r="H28" s="2">
        <v>0.89</v>
      </c>
      <c r="I28" s="4">
        <v>19</v>
      </c>
      <c r="J28" s="3">
        <v>0</v>
      </c>
      <c r="K28" s="4">
        <v>307</v>
      </c>
      <c r="L28" s="2">
        <v>318.86</v>
      </c>
      <c r="M28" s="2">
        <v>57.86</v>
      </c>
      <c r="N28" s="2">
        <v>64.88</v>
      </c>
      <c r="O28" s="2">
        <v>33.86</v>
      </c>
      <c r="P28" s="2">
        <v>4.03</v>
      </c>
      <c r="Q28" s="4">
        <v>103320</v>
      </c>
      <c r="R28" s="4">
        <v>21713</v>
      </c>
      <c r="S28" s="4">
        <v>125033</v>
      </c>
      <c r="T28" s="4">
        <v>17763</v>
      </c>
      <c r="U28" s="4">
        <v>19918</v>
      </c>
      <c r="V28" s="4">
        <v>284</v>
      </c>
      <c r="W28" s="4">
        <v>11746</v>
      </c>
      <c r="X28" s="4">
        <v>1400</v>
      </c>
      <c r="Y28" s="4">
        <v>176144</v>
      </c>
      <c r="Z28" s="4">
        <v>23296</v>
      </c>
      <c r="AA28" s="4">
        <v>152848</v>
      </c>
      <c r="AB28" s="4">
        <v>69130</v>
      </c>
      <c r="AC28" s="4">
        <v>83718</v>
      </c>
    </row>
    <row r="29" spans="1:29" x14ac:dyDescent="0.25">
      <c r="A29" s="1" t="s">
        <v>22</v>
      </c>
      <c r="B29" s="1" t="s">
        <v>734</v>
      </c>
      <c r="C29" s="1" t="s">
        <v>28</v>
      </c>
      <c r="D29" s="1" t="s">
        <v>439</v>
      </c>
      <c r="E29" s="2">
        <v>143.43</v>
      </c>
      <c r="F29" s="3">
        <v>959.2</v>
      </c>
      <c r="G29" s="2">
        <v>1102.6300000000001</v>
      </c>
      <c r="H29" s="2">
        <v>3.03</v>
      </c>
      <c r="I29" s="4">
        <v>4</v>
      </c>
      <c r="J29" s="3">
        <v>0</v>
      </c>
      <c r="K29" s="4">
        <v>963</v>
      </c>
      <c r="L29" s="2">
        <v>318.86</v>
      </c>
      <c r="M29" s="2">
        <v>57.86</v>
      </c>
      <c r="N29" s="2">
        <v>64.88</v>
      </c>
      <c r="O29" s="2">
        <v>33.86</v>
      </c>
      <c r="P29" s="2">
        <v>4.03</v>
      </c>
      <c r="Q29" s="4">
        <v>351585</v>
      </c>
      <c r="R29" s="4">
        <v>0</v>
      </c>
      <c r="S29" s="4">
        <v>351585</v>
      </c>
      <c r="T29" s="4">
        <v>55719</v>
      </c>
      <c r="U29" s="4">
        <v>62479</v>
      </c>
      <c r="V29" s="4">
        <v>966</v>
      </c>
      <c r="W29" s="4">
        <v>37335</v>
      </c>
      <c r="X29" s="4">
        <v>4444</v>
      </c>
      <c r="Y29" s="4">
        <v>512528</v>
      </c>
      <c r="Z29" s="4">
        <v>45100</v>
      </c>
      <c r="AA29" s="4">
        <v>467428</v>
      </c>
      <c r="AB29" s="4">
        <v>266460</v>
      </c>
      <c r="AC29" s="4">
        <v>200968</v>
      </c>
    </row>
    <row r="30" spans="1:29" x14ac:dyDescent="0.25">
      <c r="A30" s="1" t="s">
        <v>22</v>
      </c>
      <c r="B30" s="1" t="s">
        <v>734</v>
      </c>
      <c r="C30" s="1" t="s">
        <v>29</v>
      </c>
      <c r="D30" s="1" t="s">
        <v>440</v>
      </c>
      <c r="E30" s="2">
        <v>100.97</v>
      </c>
      <c r="F30" s="3">
        <v>795.9</v>
      </c>
      <c r="G30" s="2">
        <v>896.87</v>
      </c>
      <c r="H30" s="2">
        <v>2.4700000000000002</v>
      </c>
      <c r="I30" s="4">
        <v>48</v>
      </c>
      <c r="J30" s="3">
        <v>0</v>
      </c>
      <c r="K30" s="4">
        <v>844</v>
      </c>
      <c r="L30" s="2">
        <v>318.86</v>
      </c>
      <c r="M30" s="2">
        <v>57.86</v>
      </c>
      <c r="N30" s="2">
        <v>64.88</v>
      </c>
      <c r="O30" s="2">
        <v>33.86</v>
      </c>
      <c r="P30" s="2">
        <v>4.03</v>
      </c>
      <c r="Q30" s="4">
        <v>285976</v>
      </c>
      <c r="R30" s="4">
        <v>12166</v>
      </c>
      <c r="S30" s="4">
        <v>298142</v>
      </c>
      <c r="T30" s="4">
        <v>48834</v>
      </c>
      <c r="U30" s="4">
        <v>54759</v>
      </c>
      <c r="V30" s="4">
        <v>788</v>
      </c>
      <c r="W30" s="4">
        <v>31686</v>
      </c>
      <c r="X30" s="4">
        <v>3776</v>
      </c>
      <c r="Y30" s="4">
        <v>437985</v>
      </c>
      <c r="Z30" s="4">
        <v>51797</v>
      </c>
      <c r="AA30" s="4">
        <v>386188</v>
      </c>
      <c r="AB30" s="4">
        <v>203104</v>
      </c>
      <c r="AC30" s="4">
        <v>183084</v>
      </c>
    </row>
    <row r="31" spans="1:29" x14ac:dyDescent="0.25">
      <c r="A31" s="1" t="s">
        <v>22</v>
      </c>
      <c r="B31" s="1" t="s">
        <v>734</v>
      </c>
      <c r="C31" s="1" t="s">
        <v>30</v>
      </c>
      <c r="D31" s="1" t="s">
        <v>441</v>
      </c>
      <c r="E31" s="2">
        <v>109.22</v>
      </c>
      <c r="F31" s="3">
        <v>681.2</v>
      </c>
      <c r="G31" s="2">
        <v>790.42</v>
      </c>
      <c r="H31" s="2">
        <v>2.17</v>
      </c>
      <c r="I31" s="4">
        <v>91</v>
      </c>
      <c r="J31" s="3">
        <v>3.1</v>
      </c>
      <c r="K31" s="4">
        <v>769</v>
      </c>
      <c r="L31" s="2">
        <v>318.86</v>
      </c>
      <c r="M31" s="2">
        <v>57.86</v>
      </c>
      <c r="N31" s="2">
        <v>64.88</v>
      </c>
      <c r="O31" s="2">
        <v>33.86</v>
      </c>
      <c r="P31" s="2">
        <v>4.03</v>
      </c>
      <c r="Q31" s="4">
        <v>252033</v>
      </c>
      <c r="R31" s="4">
        <v>3002</v>
      </c>
      <c r="S31" s="4">
        <v>255035</v>
      </c>
      <c r="T31" s="4">
        <v>44494</v>
      </c>
      <c r="U31" s="4">
        <v>49893</v>
      </c>
      <c r="V31" s="4">
        <v>692</v>
      </c>
      <c r="W31" s="4">
        <v>27104</v>
      </c>
      <c r="X31" s="4">
        <v>3230</v>
      </c>
      <c r="Y31" s="4">
        <v>380448</v>
      </c>
      <c r="Z31" s="4">
        <v>39116</v>
      </c>
      <c r="AA31" s="4">
        <v>341332</v>
      </c>
      <c r="AB31" s="4">
        <v>184610</v>
      </c>
      <c r="AC31" s="4">
        <v>156722</v>
      </c>
    </row>
    <row r="32" spans="1:29" x14ac:dyDescent="0.25">
      <c r="A32" s="1" t="s">
        <v>22</v>
      </c>
      <c r="B32" s="1" t="s">
        <v>734</v>
      </c>
      <c r="C32" s="1" t="s">
        <v>31</v>
      </c>
      <c r="D32" s="1" t="s">
        <v>442</v>
      </c>
      <c r="E32" s="2">
        <v>154.93</v>
      </c>
      <c r="F32" s="3">
        <v>1275.3</v>
      </c>
      <c r="G32" s="2">
        <v>1430.23</v>
      </c>
      <c r="H32" s="2">
        <v>3.93</v>
      </c>
      <c r="I32" s="4">
        <v>1</v>
      </c>
      <c r="J32" s="3">
        <v>0</v>
      </c>
      <c r="K32" s="4">
        <v>1276</v>
      </c>
      <c r="L32" s="2">
        <v>318.86</v>
      </c>
      <c r="M32" s="2">
        <v>57.86</v>
      </c>
      <c r="N32" s="2">
        <v>64.88</v>
      </c>
      <c r="O32" s="2">
        <v>33.86</v>
      </c>
      <c r="P32" s="2">
        <v>4.03</v>
      </c>
      <c r="Q32" s="4">
        <v>456043</v>
      </c>
      <c r="R32" s="4">
        <v>10971</v>
      </c>
      <c r="S32" s="4">
        <v>467014</v>
      </c>
      <c r="T32" s="4">
        <v>73829</v>
      </c>
      <c r="U32" s="4">
        <v>82787</v>
      </c>
      <c r="V32" s="4">
        <v>1253</v>
      </c>
      <c r="W32" s="4">
        <v>48428</v>
      </c>
      <c r="X32" s="4">
        <v>5764</v>
      </c>
      <c r="Y32" s="4">
        <v>679075</v>
      </c>
      <c r="Z32" s="4">
        <v>70397</v>
      </c>
      <c r="AA32" s="4">
        <v>608678</v>
      </c>
      <c r="AB32" s="4">
        <v>333730</v>
      </c>
      <c r="AC32" s="4">
        <v>274948</v>
      </c>
    </row>
    <row r="33" spans="1:29" x14ac:dyDescent="0.25">
      <c r="A33" s="1" t="s">
        <v>22</v>
      </c>
      <c r="B33" s="1" t="s">
        <v>734</v>
      </c>
      <c r="C33" s="1" t="s">
        <v>32</v>
      </c>
      <c r="D33" s="1" t="s">
        <v>443</v>
      </c>
      <c r="E33" s="2">
        <v>706.12</v>
      </c>
      <c r="F33" s="3">
        <v>3668.4</v>
      </c>
      <c r="G33" s="2">
        <v>4374.5200000000004</v>
      </c>
      <c r="H33" s="2">
        <v>12.03</v>
      </c>
      <c r="I33" s="4">
        <v>609</v>
      </c>
      <c r="J33" s="3">
        <v>3.3</v>
      </c>
      <c r="K33" s="4">
        <v>4274</v>
      </c>
      <c r="L33" s="2">
        <v>318.86</v>
      </c>
      <c r="M33" s="2">
        <v>57.86</v>
      </c>
      <c r="N33" s="2">
        <v>64.88</v>
      </c>
      <c r="O33" s="2">
        <v>33.86</v>
      </c>
      <c r="P33" s="2">
        <v>4.03</v>
      </c>
      <c r="Q33" s="4">
        <v>1394859</v>
      </c>
      <c r="R33" s="4">
        <v>0</v>
      </c>
      <c r="S33" s="4">
        <v>1394859</v>
      </c>
      <c r="T33" s="4">
        <v>247294</v>
      </c>
      <c r="U33" s="4">
        <v>277297</v>
      </c>
      <c r="V33" s="4">
        <v>3836</v>
      </c>
      <c r="W33" s="4">
        <v>148121</v>
      </c>
      <c r="X33" s="4">
        <v>17629</v>
      </c>
      <c r="Y33" s="4">
        <v>2089036</v>
      </c>
      <c r="Z33" s="4">
        <v>212765</v>
      </c>
      <c r="AA33" s="4">
        <v>1876271</v>
      </c>
      <c r="AB33" s="4">
        <v>1023303</v>
      </c>
      <c r="AC33" s="4">
        <v>852968</v>
      </c>
    </row>
    <row r="34" spans="1:29" x14ac:dyDescent="0.25">
      <c r="A34" s="1" t="s">
        <v>22</v>
      </c>
      <c r="B34" s="1" t="s">
        <v>734</v>
      </c>
      <c r="C34" s="1" t="s">
        <v>33</v>
      </c>
      <c r="D34" s="1" t="s">
        <v>444</v>
      </c>
      <c r="E34" s="2">
        <v>36.46</v>
      </c>
      <c r="F34" s="3">
        <v>163</v>
      </c>
      <c r="G34" s="2">
        <v>199.46</v>
      </c>
      <c r="H34" s="2">
        <v>0.55000000000000004</v>
      </c>
      <c r="I34" s="4">
        <v>4</v>
      </c>
      <c r="J34" s="3">
        <v>0</v>
      </c>
      <c r="K34" s="4">
        <v>167</v>
      </c>
      <c r="L34" s="2">
        <v>318.86</v>
      </c>
      <c r="M34" s="2">
        <v>57.86</v>
      </c>
      <c r="N34" s="2">
        <v>64.88</v>
      </c>
      <c r="O34" s="2">
        <v>33.86</v>
      </c>
      <c r="P34" s="2">
        <v>4.03</v>
      </c>
      <c r="Q34" s="4">
        <v>63600</v>
      </c>
      <c r="R34" s="4">
        <v>0</v>
      </c>
      <c r="S34" s="4">
        <v>63600</v>
      </c>
      <c r="T34" s="4">
        <v>9663</v>
      </c>
      <c r="U34" s="4">
        <v>10835</v>
      </c>
      <c r="V34" s="4">
        <v>175</v>
      </c>
      <c r="W34" s="4">
        <v>6754</v>
      </c>
      <c r="X34" s="4">
        <v>804</v>
      </c>
      <c r="Y34" s="4">
        <v>91831</v>
      </c>
      <c r="Z34" s="4">
        <v>10845</v>
      </c>
      <c r="AA34" s="4">
        <v>80986</v>
      </c>
      <c r="AB34" s="4">
        <v>45515</v>
      </c>
      <c r="AC34" s="4">
        <v>35471</v>
      </c>
    </row>
    <row r="35" spans="1:29" x14ac:dyDescent="0.25">
      <c r="A35" s="1" t="s">
        <v>22</v>
      </c>
      <c r="B35" s="1" t="s">
        <v>734</v>
      </c>
      <c r="C35" s="1" t="s">
        <v>34</v>
      </c>
      <c r="D35" s="1" t="s">
        <v>445</v>
      </c>
      <c r="E35" s="2">
        <v>42.36</v>
      </c>
      <c r="F35" s="3">
        <v>373.1</v>
      </c>
      <c r="G35" s="2">
        <v>415.46</v>
      </c>
      <c r="H35" s="2">
        <v>1.1399999999999999</v>
      </c>
      <c r="I35" s="4">
        <v>10</v>
      </c>
      <c r="J35" s="3">
        <v>0</v>
      </c>
      <c r="K35" s="4">
        <v>383</v>
      </c>
      <c r="L35" s="2">
        <v>318.86</v>
      </c>
      <c r="M35" s="2">
        <v>57.86</v>
      </c>
      <c r="N35" s="2">
        <v>64.88</v>
      </c>
      <c r="O35" s="2">
        <v>33.86</v>
      </c>
      <c r="P35" s="2">
        <v>4.03</v>
      </c>
      <c r="Q35" s="4">
        <v>132474</v>
      </c>
      <c r="R35" s="4">
        <v>0</v>
      </c>
      <c r="S35" s="4">
        <v>132474</v>
      </c>
      <c r="T35" s="4">
        <v>22160</v>
      </c>
      <c r="U35" s="4">
        <v>24849</v>
      </c>
      <c r="V35" s="4">
        <v>364</v>
      </c>
      <c r="W35" s="4">
        <v>14067</v>
      </c>
      <c r="X35" s="4">
        <v>1674</v>
      </c>
      <c r="Y35" s="4">
        <v>195588</v>
      </c>
      <c r="Z35" s="4">
        <v>23426</v>
      </c>
      <c r="AA35" s="4">
        <v>172162</v>
      </c>
      <c r="AB35" s="4">
        <v>93965</v>
      </c>
      <c r="AC35" s="4">
        <v>78197</v>
      </c>
    </row>
    <row r="36" spans="1:29" x14ac:dyDescent="0.25">
      <c r="A36" s="1" t="s">
        <v>22</v>
      </c>
      <c r="B36" s="1" t="s">
        <v>734</v>
      </c>
      <c r="C36" s="1" t="s">
        <v>35</v>
      </c>
      <c r="D36" s="1" t="s">
        <v>446</v>
      </c>
      <c r="E36" s="2">
        <v>174.99</v>
      </c>
      <c r="F36" s="3">
        <v>1199.5999999999999</v>
      </c>
      <c r="G36" s="2">
        <v>1374.59</v>
      </c>
      <c r="H36" s="2">
        <v>3.78</v>
      </c>
      <c r="I36" s="4">
        <v>0</v>
      </c>
      <c r="J36" s="3">
        <v>0</v>
      </c>
      <c r="K36" s="4">
        <v>1200</v>
      </c>
      <c r="L36" s="2">
        <v>318.86</v>
      </c>
      <c r="M36" s="2">
        <v>57.86</v>
      </c>
      <c r="N36" s="2">
        <v>64.88</v>
      </c>
      <c r="O36" s="2">
        <v>33.86</v>
      </c>
      <c r="P36" s="2">
        <v>4.03</v>
      </c>
      <c r="Q36" s="4">
        <v>438302</v>
      </c>
      <c r="R36" s="4">
        <v>0</v>
      </c>
      <c r="S36" s="4">
        <v>438302</v>
      </c>
      <c r="T36" s="4">
        <v>69432</v>
      </c>
      <c r="U36" s="4">
        <v>77856</v>
      </c>
      <c r="V36" s="4">
        <v>1205</v>
      </c>
      <c r="W36" s="4">
        <v>46544</v>
      </c>
      <c r="X36" s="4">
        <v>5540</v>
      </c>
      <c r="Y36" s="4">
        <v>638879</v>
      </c>
      <c r="Z36" s="4">
        <v>79359</v>
      </c>
      <c r="AA36" s="4">
        <v>559520</v>
      </c>
      <c r="AB36" s="4">
        <v>309047</v>
      </c>
      <c r="AC36" s="4">
        <v>250473</v>
      </c>
    </row>
    <row r="37" spans="1:29" x14ac:dyDescent="0.25">
      <c r="A37" s="1" t="s">
        <v>22</v>
      </c>
      <c r="B37" s="1" t="s">
        <v>734</v>
      </c>
      <c r="C37" s="1" t="s">
        <v>36</v>
      </c>
      <c r="D37" s="1" t="s">
        <v>447</v>
      </c>
      <c r="E37" s="2">
        <v>27.9</v>
      </c>
      <c r="F37" s="3">
        <v>292</v>
      </c>
      <c r="G37" s="2">
        <v>319.89999999999998</v>
      </c>
      <c r="H37" s="2">
        <v>0.88</v>
      </c>
      <c r="I37" s="4">
        <v>1</v>
      </c>
      <c r="J37" s="3">
        <v>0</v>
      </c>
      <c r="K37" s="4">
        <v>293</v>
      </c>
      <c r="L37" s="2">
        <v>318.86</v>
      </c>
      <c r="M37" s="2">
        <v>57.86</v>
      </c>
      <c r="N37" s="2">
        <v>64.88</v>
      </c>
      <c r="O37" s="2">
        <v>33.86</v>
      </c>
      <c r="P37" s="2">
        <v>4.03</v>
      </c>
      <c r="Q37" s="4">
        <v>102003</v>
      </c>
      <c r="R37" s="4">
        <v>4636</v>
      </c>
      <c r="S37" s="4">
        <v>106639</v>
      </c>
      <c r="T37" s="4">
        <v>16953</v>
      </c>
      <c r="U37" s="4">
        <v>19010</v>
      </c>
      <c r="V37" s="4">
        <v>281</v>
      </c>
      <c r="W37" s="4">
        <v>11141</v>
      </c>
      <c r="X37" s="4">
        <v>1327</v>
      </c>
      <c r="Y37" s="4">
        <v>155351</v>
      </c>
      <c r="Z37" s="4">
        <v>15519</v>
      </c>
      <c r="AA37" s="4">
        <v>139832</v>
      </c>
      <c r="AB37" s="4">
        <v>75219</v>
      </c>
      <c r="AC37" s="4">
        <v>64613</v>
      </c>
    </row>
    <row r="38" spans="1:29" x14ac:dyDescent="0.25">
      <c r="A38" s="1" t="s">
        <v>22</v>
      </c>
      <c r="B38" s="1" t="s">
        <v>734</v>
      </c>
      <c r="C38" s="1" t="s">
        <v>37</v>
      </c>
      <c r="D38" s="1" t="s">
        <v>448</v>
      </c>
      <c r="E38" s="2">
        <v>136.13</v>
      </c>
      <c r="F38" s="3">
        <v>1249.7</v>
      </c>
      <c r="G38" s="2">
        <v>1385.83</v>
      </c>
      <c r="H38" s="2">
        <v>3.81</v>
      </c>
      <c r="I38" s="4">
        <v>128</v>
      </c>
      <c r="J38" s="3">
        <v>1.4</v>
      </c>
      <c r="K38" s="4">
        <v>1376</v>
      </c>
      <c r="L38" s="2">
        <v>318.86</v>
      </c>
      <c r="M38" s="2">
        <v>57.86</v>
      </c>
      <c r="N38" s="2">
        <v>64.88</v>
      </c>
      <c r="O38" s="2">
        <v>33.86</v>
      </c>
      <c r="P38" s="2">
        <v>4.03</v>
      </c>
      <c r="Q38" s="4">
        <v>441886</v>
      </c>
      <c r="R38" s="4">
        <v>0</v>
      </c>
      <c r="S38" s="4">
        <v>441886</v>
      </c>
      <c r="T38" s="4">
        <v>79615</v>
      </c>
      <c r="U38" s="4">
        <v>89275</v>
      </c>
      <c r="V38" s="4">
        <v>1215</v>
      </c>
      <c r="W38" s="4">
        <v>46924</v>
      </c>
      <c r="X38" s="4">
        <v>5585</v>
      </c>
      <c r="Y38" s="4">
        <v>664500</v>
      </c>
      <c r="Z38" s="4">
        <v>61988</v>
      </c>
      <c r="AA38" s="4">
        <v>602512</v>
      </c>
      <c r="AB38" s="4">
        <v>329593</v>
      </c>
      <c r="AC38" s="4">
        <v>272919</v>
      </c>
    </row>
    <row r="39" spans="1:29" x14ac:dyDescent="0.25">
      <c r="A39" s="1" t="s">
        <v>22</v>
      </c>
      <c r="B39" s="1" t="s">
        <v>734</v>
      </c>
      <c r="C39" s="1" t="s">
        <v>38</v>
      </c>
      <c r="D39" s="1" t="s">
        <v>449</v>
      </c>
      <c r="E39" s="2">
        <v>43.43</v>
      </c>
      <c r="F39" s="3">
        <v>276</v>
      </c>
      <c r="G39" s="2">
        <v>319.43</v>
      </c>
      <c r="H39" s="2">
        <v>0.88</v>
      </c>
      <c r="I39" s="4">
        <v>2</v>
      </c>
      <c r="J39" s="3">
        <v>0</v>
      </c>
      <c r="K39" s="4">
        <v>278</v>
      </c>
      <c r="L39" s="2">
        <v>318.86</v>
      </c>
      <c r="M39" s="2">
        <v>57.86</v>
      </c>
      <c r="N39" s="2">
        <v>64.88</v>
      </c>
      <c r="O39" s="2">
        <v>33.86</v>
      </c>
      <c r="P39" s="2">
        <v>4.03</v>
      </c>
      <c r="Q39" s="4">
        <v>101853</v>
      </c>
      <c r="R39" s="4">
        <v>10412</v>
      </c>
      <c r="S39" s="4">
        <v>112265</v>
      </c>
      <c r="T39" s="4">
        <v>16085</v>
      </c>
      <c r="U39" s="4">
        <v>18037</v>
      </c>
      <c r="V39" s="4">
        <v>281</v>
      </c>
      <c r="W39" s="4">
        <v>10816</v>
      </c>
      <c r="X39" s="4">
        <v>1287</v>
      </c>
      <c r="Y39" s="4">
        <v>158771</v>
      </c>
      <c r="Z39" s="4">
        <v>21809</v>
      </c>
      <c r="AA39" s="4">
        <v>136962</v>
      </c>
      <c r="AB39" s="4">
        <v>68450</v>
      </c>
      <c r="AC39" s="4">
        <v>68512</v>
      </c>
    </row>
    <row r="40" spans="1:29" x14ac:dyDescent="0.25">
      <c r="A40" s="1" t="s">
        <v>22</v>
      </c>
      <c r="B40" s="1" t="s">
        <v>734</v>
      </c>
      <c r="C40" s="1" t="s">
        <v>39</v>
      </c>
      <c r="D40" s="1" t="s">
        <v>450</v>
      </c>
      <c r="E40" s="2">
        <v>17.100000000000001</v>
      </c>
      <c r="F40" s="3">
        <v>146.1</v>
      </c>
      <c r="G40" s="2">
        <v>163.19999999999999</v>
      </c>
      <c r="H40" s="2">
        <v>0.45</v>
      </c>
      <c r="I40" s="4">
        <v>22</v>
      </c>
      <c r="J40" s="3">
        <v>0</v>
      </c>
      <c r="K40" s="4">
        <v>168</v>
      </c>
      <c r="L40" s="2">
        <v>318.86</v>
      </c>
      <c r="M40" s="2">
        <v>57.86</v>
      </c>
      <c r="N40" s="2">
        <v>64.88</v>
      </c>
      <c r="O40" s="2">
        <v>33.86</v>
      </c>
      <c r="P40" s="2">
        <v>4.03</v>
      </c>
      <c r="Q40" s="4">
        <v>52038</v>
      </c>
      <c r="R40" s="4">
        <v>7226</v>
      </c>
      <c r="S40" s="4">
        <v>59264</v>
      </c>
      <c r="T40" s="4">
        <v>9720</v>
      </c>
      <c r="U40" s="4">
        <v>10900</v>
      </c>
      <c r="V40" s="4">
        <v>143</v>
      </c>
      <c r="W40" s="4">
        <v>6030</v>
      </c>
      <c r="X40" s="4">
        <v>719</v>
      </c>
      <c r="Y40" s="4">
        <v>86776</v>
      </c>
      <c r="Z40" s="4">
        <v>16136</v>
      </c>
      <c r="AA40" s="4">
        <v>70640</v>
      </c>
      <c r="AB40" s="4">
        <v>30544</v>
      </c>
      <c r="AC40" s="4">
        <v>40096</v>
      </c>
    </row>
    <row r="41" spans="1:29" x14ac:dyDescent="0.25">
      <c r="A41" s="1" t="s">
        <v>22</v>
      </c>
      <c r="B41" s="1" t="s">
        <v>734</v>
      </c>
      <c r="C41" s="1" t="s">
        <v>40</v>
      </c>
      <c r="D41" s="1" t="s">
        <v>451</v>
      </c>
      <c r="E41" s="2">
        <v>63.34</v>
      </c>
      <c r="F41" s="3">
        <v>642</v>
      </c>
      <c r="G41" s="2">
        <v>705.34</v>
      </c>
      <c r="H41" s="2">
        <v>1.94</v>
      </c>
      <c r="I41" s="4">
        <v>58</v>
      </c>
      <c r="J41" s="3">
        <v>0</v>
      </c>
      <c r="K41" s="4">
        <v>700</v>
      </c>
      <c r="L41" s="2">
        <v>318.86</v>
      </c>
      <c r="M41" s="2">
        <v>57.86</v>
      </c>
      <c r="N41" s="2">
        <v>64.88</v>
      </c>
      <c r="O41" s="2">
        <v>33.86</v>
      </c>
      <c r="P41" s="2">
        <v>4.03</v>
      </c>
      <c r="Q41" s="4">
        <v>224905</v>
      </c>
      <c r="R41" s="4">
        <v>0</v>
      </c>
      <c r="S41" s="4">
        <v>224905</v>
      </c>
      <c r="T41" s="4">
        <v>40502</v>
      </c>
      <c r="U41" s="4">
        <v>45416</v>
      </c>
      <c r="V41" s="4">
        <v>619</v>
      </c>
      <c r="W41" s="4">
        <v>23883</v>
      </c>
      <c r="X41" s="4">
        <v>2843</v>
      </c>
      <c r="Y41" s="4">
        <v>338168</v>
      </c>
      <c r="Z41" s="4">
        <v>38009</v>
      </c>
      <c r="AA41" s="4">
        <v>300159</v>
      </c>
      <c r="AB41" s="4">
        <v>161293</v>
      </c>
      <c r="AC41" s="4">
        <v>138866</v>
      </c>
    </row>
    <row r="42" spans="1:29" x14ac:dyDescent="0.25">
      <c r="A42" s="1" t="s">
        <v>22</v>
      </c>
      <c r="B42" s="1" t="s">
        <v>734</v>
      </c>
      <c r="C42" s="1" t="s">
        <v>41</v>
      </c>
      <c r="D42" s="1" t="s">
        <v>452</v>
      </c>
      <c r="E42" s="2">
        <v>36.71</v>
      </c>
      <c r="F42" s="3">
        <v>451.1</v>
      </c>
      <c r="G42" s="2">
        <v>487.81</v>
      </c>
      <c r="H42" s="2">
        <v>1.34</v>
      </c>
      <c r="I42" s="4">
        <v>8</v>
      </c>
      <c r="J42" s="3">
        <v>0</v>
      </c>
      <c r="K42" s="4">
        <v>459</v>
      </c>
      <c r="L42" s="2">
        <v>318.86</v>
      </c>
      <c r="M42" s="2">
        <v>57.86</v>
      </c>
      <c r="N42" s="2">
        <v>64.88</v>
      </c>
      <c r="O42" s="2">
        <v>33.86</v>
      </c>
      <c r="P42" s="2">
        <v>4.03</v>
      </c>
      <c r="Q42" s="4">
        <v>155543</v>
      </c>
      <c r="R42" s="4">
        <v>1508</v>
      </c>
      <c r="S42" s="4">
        <v>157051</v>
      </c>
      <c r="T42" s="4">
        <v>26558</v>
      </c>
      <c r="U42" s="4">
        <v>29780</v>
      </c>
      <c r="V42" s="4">
        <v>427</v>
      </c>
      <c r="W42" s="4">
        <v>16517</v>
      </c>
      <c r="X42" s="4">
        <v>1966</v>
      </c>
      <c r="Y42" s="4">
        <v>232299</v>
      </c>
      <c r="Z42" s="4">
        <v>22754</v>
      </c>
      <c r="AA42" s="4">
        <v>209545</v>
      </c>
      <c r="AB42" s="4">
        <v>115082</v>
      </c>
      <c r="AC42" s="4">
        <v>94463</v>
      </c>
    </row>
    <row r="43" spans="1:29" x14ac:dyDescent="0.25">
      <c r="A43" s="1" t="s">
        <v>22</v>
      </c>
      <c r="B43" s="1" t="s">
        <v>734</v>
      </c>
      <c r="C43" s="1" t="s">
        <v>42</v>
      </c>
      <c r="D43" s="1" t="s">
        <v>453</v>
      </c>
      <c r="E43" s="2">
        <v>49.1</v>
      </c>
      <c r="F43" s="3">
        <v>272.10000000000002</v>
      </c>
      <c r="G43" s="2">
        <v>321.2</v>
      </c>
      <c r="H43" s="2">
        <v>0.88</v>
      </c>
      <c r="I43" s="4">
        <v>41</v>
      </c>
      <c r="J43" s="3">
        <v>0</v>
      </c>
      <c r="K43" s="4">
        <v>313</v>
      </c>
      <c r="L43" s="2">
        <v>318.86</v>
      </c>
      <c r="M43" s="2">
        <v>57.86</v>
      </c>
      <c r="N43" s="2">
        <v>64.88</v>
      </c>
      <c r="O43" s="2">
        <v>33.86</v>
      </c>
      <c r="P43" s="2">
        <v>4.03</v>
      </c>
      <c r="Q43" s="4">
        <v>102418</v>
      </c>
      <c r="R43" s="4">
        <v>6603</v>
      </c>
      <c r="S43" s="4">
        <v>109021</v>
      </c>
      <c r="T43" s="4">
        <v>18110</v>
      </c>
      <c r="U43" s="4">
        <v>20307</v>
      </c>
      <c r="V43" s="4">
        <v>281</v>
      </c>
      <c r="W43" s="4">
        <v>10876</v>
      </c>
      <c r="X43" s="4">
        <v>1294</v>
      </c>
      <c r="Y43" s="4">
        <v>159889</v>
      </c>
      <c r="Z43" s="4">
        <v>21324</v>
      </c>
      <c r="AA43" s="4">
        <v>138565</v>
      </c>
      <c r="AB43" s="4">
        <v>69434</v>
      </c>
      <c r="AC43" s="4">
        <v>69131</v>
      </c>
    </row>
    <row r="44" spans="1:29" x14ac:dyDescent="0.25">
      <c r="A44" s="1" t="s">
        <v>22</v>
      </c>
      <c r="B44" s="1" t="s">
        <v>734</v>
      </c>
      <c r="C44" s="1" t="s">
        <v>43</v>
      </c>
      <c r="D44" s="1" t="s">
        <v>454</v>
      </c>
      <c r="E44" s="2">
        <v>54.74</v>
      </c>
      <c r="F44" s="3">
        <v>403.3</v>
      </c>
      <c r="G44" s="2">
        <v>458.04</v>
      </c>
      <c r="H44" s="2">
        <v>1.26</v>
      </c>
      <c r="I44" s="4">
        <v>14</v>
      </c>
      <c r="J44" s="3">
        <v>0</v>
      </c>
      <c r="K44" s="4">
        <v>417</v>
      </c>
      <c r="L44" s="2">
        <v>318.86</v>
      </c>
      <c r="M44" s="2">
        <v>57.86</v>
      </c>
      <c r="N44" s="2">
        <v>64.88</v>
      </c>
      <c r="O44" s="2">
        <v>33.86</v>
      </c>
      <c r="P44" s="2">
        <v>4.03</v>
      </c>
      <c r="Q44" s="4">
        <v>146051</v>
      </c>
      <c r="R44" s="4">
        <v>24184</v>
      </c>
      <c r="S44" s="4">
        <v>170235</v>
      </c>
      <c r="T44" s="4">
        <v>24128</v>
      </c>
      <c r="U44" s="4">
        <v>27055</v>
      </c>
      <c r="V44" s="4">
        <v>402</v>
      </c>
      <c r="W44" s="4">
        <v>15509</v>
      </c>
      <c r="X44" s="4">
        <v>1846</v>
      </c>
      <c r="Y44" s="4">
        <v>239175</v>
      </c>
      <c r="Z44" s="4">
        <v>31389</v>
      </c>
      <c r="AA44" s="4">
        <v>207786</v>
      </c>
      <c r="AB44" s="4">
        <v>98035</v>
      </c>
      <c r="AC44" s="4">
        <v>109751</v>
      </c>
    </row>
    <row r="45" spans="1:29" x14ac:dyDescent="0.25">
      <c r="A45" s="1" t="s">
        <v>22</v>
      </c>
      <c r="B45" s="1" t="s">
        <v>734</v>
      </c>
      <c r="C45" s="1" t="s">
        <v>45</v>
      </c>
      <c r="D45" s="1" t="s">
        <v>455</v>
      </c>
      <c r="E45" s="2">
        <v>119.99</v>
      </c>
      <c r="F45" s="3">
        <v>1015.4</v>
      </c>
      <c r="G45" s="2">
        <v>1135.3900000000001</v>
      </c>
      <c r="H45" s="2">
        <v>3.12</v>
      </c>
      <c r="I45" s="4">
        <v>9</v>
      </c>
      <c r="J45" s="3">
        <v>0</v>
      </c>
      <c r="K45" s="4">
        <v>1024</v>
      </c>
      <c r="L45" s="2">
        <v>318.86</v>
      </c>
      <c r="M45" s="2">
        <v>57.86</v>
      </c>
      <c r="N45" s="2">
        <v>64.88</v>
      </c>
      <c r="O45" s="2">
        <v>33.86</v>
      </c>
      <c r="P45" s="2">
        <v>4.03</v>
      </c>
      <c r="Q45" s="4">
        <v>362030</v>
      </c>
      <c r="R45" s="4">
        <v>0</v>
      </c>
      <c r="S45" s="4">
        <v>362030</v>
      </c>
      <c r="T45" s="4">
        <v>59249</v>
      </c>
      <c r="U45" s="4">
        <v>66437</v>
      </c>
      <c r="V45" s="4">
        <v>995</v>
      </c>
      <c r="W45" s="4">
        <v>38444</v>
      </c>
      <c r="X45" s="4">
        <v>4576</v>
      </c>
      <c r="Y45" s="4">
        <v>531731</v>
      </c>
      <c r="Z45" s="4">
        <v>46312</v>
      </c>
      <c r="AA45" s="4">
        <v>485419</v>
      </c>
      <c r="AB45" s="4">
        <v>274504</v>
      </c>
      <c r="AC45" s="4">
        <v>210915</v>
      </c>
    </row>
    <row r="46" spans="1:29" x14ac:dyDescent="0.25">
      <c r="A46" s="1" t="s">
        <v>22</v>
      </c>
      <c r="B46" s="1" t="s">
        <v>734</v>
      </c>
      <c r="C46" s="1" t="s">
        <v>46</v>
      </c>
      <c r="D46" s="1" t="s">
        <v>456</v>
      </c>
      <c r="E46" s="2">
        <v>12.57</v>
      </c>
      <c r="F46" s="3">
        <v>205.6</v>
      </c>
      <c r="G46" s="2">
        <v>218.17</v>
      </c>
      <c r="H46" s="2">
        <v>0.6</v>
      </c>
      <c r="I46" s="4">
        <v>0</v>
      </c>
      <c r="J46" s="3">
        <v>0</v>
      </c>
      <c r="K46" s="4">
        <v>206</v>
      </c>
      <c r="L46" s="2">
        <v>318.86</v>
      </c>
      <c r="M46" s="2">
        <v>57.86</v>
      </c>
      <c r="N46" s="2">
        <v>64.88</v>
      </c>
      <c r="O46" s="2">
        <v>33.86</v>
      </c>
      <c r="P46" s="2">
        <v>4.03</v>
      </c>
      <c r="Q46" s="4">
        <v>69566</v>
      </c>
      <c r="R46" s="4">
        <v>1255</v>
      </c>
      <c r="S46" s="4">
        <v>70821</v>
      </c>
      <c r="T46" s="4">
        <v>11919</v>
      </c>
      <c r="U46" s="4">
        <v>13365</v>
      </c>
      <c r="V46" s="4">
        <v>191</v>
      </c>
      <c r="W46" s="4">
        <v>7527</v>
      </c>
      <c r="X46" s="4">
        <v>897</v>
      </c>
      <c r="Y46" s="4">
        <v>104720</v>
      </c>
      <c r="Z46" s="4">
        <v>10377</v>
      </c>
      <c r="AA46" s="4">
        <v>94343</v>
      </c>
      <c r="AB46" s="4">
        <v>51427</v>
      </c>
      <c r="AC46" s="4">
        <v>42916</v>
      </c>
    </row>
    <row r="47" spans="1:29" x14ac:dyDescent="0.25">
      <c r="A47" s="1" t="s">
        <v>22</v>
      </c>
      <c r="B47" s="1" t="s">
        <v>734</v>
      </c>
      <c r="C47" s="1" t="s">
        <v>47</v>
      </c>
      <c r="D47" s="1" t="s">
        <v>457</v>
      </c>
      <c r="E47" s="2">
        <v>94.12</v>
      </c>
      <c r="F47" s="3">
        <v>664.9</v>
      </c>
      <c r="G47" s="2">
        <v>759.02</v>
      </c>
      <c r="H47" s="2">
        <v>2.09</v>
      </c>
      <c r="I47" s="4">
        <v>75</v>
      </c>
      <c r="J47" s="3">
        <v>6.3</v>
      </c>
      <c r="K47" s="4">
        <v>734</v>
      </c>
      <c r="L47" s="2">
        <v>318.86</v>
      </c>
      <c r="M47" s="2">
        <v>57.86</v>
      </c>
      <c r="N47" s="2">
        <v>64.88</v>
      </c>
      <c r="O47" s="2">
        <v>33.86</v>
      </c>
      <c r="P47" s="2">
        <v>4.03</v>
      </c>
      <c r="Q47" s="4">
        <v>242021</v>
      </c>
      <c r="R47" s="4">
        <v>24026</v>
      </c>
      <c r="S47" s="4">
        <v>266047</v>
      </c>
      <c r="T47" s="4">
        <v>42469</v>
      </c>
      <c r="U47" s="4">
        <v>47622</v>
      </c>
      <c r="V47" s="4">
        <v>666</v>
      </c>
      <c r="W47" s="4">
        <v>25700</v>
      </c>
      <c r="X47" s="4">
        <v>3059</v>
      </c>
      <c r="Y47" s="4">
        <v>385563</v>
      </c>
      <c r="Z47" s="4">
        <v>52222</v>
      </c>
      <c r="AA47" s="4">
        <v>333341</v>
      </c>
      <c r="AB47" s="4">
        <v>162248</v>
      </c>
      <c r="AC47" s="4">
        <v>171093</v>
      </c>
    </row>
    <row r="48" spans="1:29" x14ac:dyDescent="0.25">
      <c r="A48" s="1" t="s">
        <v>22</v>
      </c>
      <c r="B48" s="1" t="s">
        <v>734</v>
      </c>
      <c r="C48" s="1" t="s">
        <v>48</v>
      </c>
      <c r="D48" s="1" t="s">
        <v>458</v>
      </c>
      <c r="E48" s="2">
        <v>70.06</v>
      </c>
      <c r="F48" s="3">
        <v>568.5</v>
      </c>
      <c r="G48" s="2">
        <v>638.55999999999995</v>
      </c>
      <c r="H48" s="2">
        <v>1.76</v>
      </c>
      <c r="I48" s="4">
        <v>22</v>
      </c>
      <c r="J48" s="3">
        <v>0</v>
      </c>
      <c r="K48" s="4">
        <v>591</v>
      </c>
      <c r="L48" s="2">
        <v>318.86</v>
      </c>
      <c r="M48" s="2">
        <v>57.86</v>
      </c>
      <c r="N48" s="2">
        <v>64.88</v>
      </c>
      <c r="O48" s="2">
        <v>33.86</v>
      </c>
      <c r="P48" s="2">
        <v>4.03</v>
      </c>
      <c r="Q48" s="4">
        <v>203611</v>
      </c>
      <c r="R48" s="4">
        <v>0</v>
      </c>
      <c r="S48" s="4">
        <v>203611</v>
      </c>
      <c r="T48" s="4">
        <v>34195</v>
      </c>
      <c r="U48" s="4">
        <v>38344</v>
      </c>
      <c r="V48" s="4">
        <v>561</v>
      </c>
      <c r="W48" s="4">
        <v>21622</v>
      </c>
      <c r="X48" s="4">
        <v>2573</v>
      </c>
      <c r="Y48" s="4">
        <v>300906</v>
      </c>
      <c r="Z48" s="4">
        <v>38887</v>
      </c>
      <c r="AA48" s="4">
        <v>262019</v>
      </c>
      <c r="AB48" s="4">
        <v>141546</v>
      </c>
      <c r="AC48" s="4">
        <v>120473</v>
      </c>
    </row>
    <row r="49" spans="1:29" x14ac:dyDescent="0.25">
      <c r="A49" s="1" t="s">
        <v>22</v>
      </c>
      <c r="B49" s="1" t="s">
        <v>734</v>
      </c>
      <c r="C49" s="1" t="s">
        <v>49</v>
      </c>
      <c r="D49" s="1" t="s">
        <v>459</v>
      </c>
      <c r="E49" s="2">
        <v>42.75</v>
      </c>
      <c r="F49" s="3">
        <v>225</v>
      </c>
      <c r="G49" s="2">
        <v>267.75</v>
      </c>
      <c r="H49" s="2">
        <v>0.74</v>
      </c>
      <c r="I49" s="4">
        <v>9</v>
      </c>
      <c r="J49" s="3">
        <v>0</v>
      </c>
      <c r="K49" s="4">
        <v>234</v>
      </c>
      <c r="L49" s="2">
        <v>318.86</v>
      </c>
      <c r="M49" s="2">
        <v>57.86</v>
      </c>
      <c r="N49" s="2">
        <v>64.88</v>
      </c>
      <c r="O49" s="2">
        <v>33.86</v>
      </c>
      <c r="P49" s="2">
        <v>4.03</v>
      </c>
      <c r="Q49" s="4">
        <v>85375</v>
      </c>
      <c r="R49" s="4">
        <v>0</v>
      </c>
      <c r="S49" s="4">
        <v>85375</v>
      </c>
      <c r="T49" s="4">
        <v>13539</v>
      </c>
      <c r="U49" s="4">
        <v>15182</v>
      </c>
      <c r="V49" s="4">
        <v>236</v>
      </c>
      <c r="W49" s="4">
        <v>9066</v>
      </c>
      <c r="X49" s="4">
        <v>1079</v>
      </c>
      <c r="Y49" s="4">
        <v>124477</v>
      </c>
      <c r="Z49" s="4">
        <v>13144</v>
      </c>
      <c r="AA49" s="4">
        <v>111333</v>
      </c>
      <c r="AB49" s="4">
        <v>62513</v>
      </c>
      <c r="AC49" s="4">
        <v>48820</v>
      </c>
    </row>
    <row r="50" spans="1:29" x14ac:dyDescent="0.25">
      <c r="A50" s="1" t="s">
        <v>22</v>
      </c>
      <c r="B50" s="1" t="s">
        <v>734</v>
      </c>
      <c r="C50" s="1" t="s">
        <v>50</v>
      </c>
      <c r="D50" s="1" t="s">
        <v>460</v>
      </c>
      <c r="E50" s="2">
        <v>48.86</v>
      </c>
      <c r="F50" s="3">
        <v>365</v>
      </c>
      <c r="G50" s="2">
        <v>413.86</v>
      </c>
      <c r="H50" s="2">
        <v>1.1399999999999999</v>
      </c>
      <c r="I50" s="4">
        <v>13</v>
      </c>
      <c r="J50" s="3">
        <v>0</v>
      </c>
      <c r="K50" s="4">
        <v>378</v>
      </c>
      <c r="L50" s="2">
        <v>318.86</v>
      </c>
      <c r="M50" s="2">
        <v>57.86</v>
      </c>
      <c r="N50" s="2">
        <v>64.88</v>
      </c>
      <c r="O50" s="2">
        <v>33.86</v>
      </c>
      <c r="P50" s="2">
        <v>4.03</v>
      </c>
      <c r="Q50" s="4">
        <v>131963</v>
      </c>
      <c r="R50" s="4">
        <v>0</v>
      </c>
      <c r="S50" s="4">
        <v>131963</v>
      </c>
      <c r="T50" s="4">
        <v>21871</v>
      </c>
      <c r="U50" s="4">
        <v>24525</v>
      </c>
      <c r="V50" s="4">
        <v>364</v>
      </c>
      <c r="W50" s="4">
        <v>14013</v>
      </c>
      <c r="X50" s="4">
        <v>1668</v>
      </c>
      <c r="Y50" s="4">
        <v>194404</v>
      </c>
      <c r="Z50" s="4">
        <v>23788</v>
      </c>
      <c r="AA50" s="4">
        <v>170616</v>
      </c>
      <c r="AB50" s="4">
        <v>93153</v>
      </c>
      <c r="AC50" s="4">
        <v>77463</v>
      </c>
    </row>
    <row r="51" spans="1:29" x14ac:dyDescent="0.25">
      <c r="A51" s="1" t="s">
        <v>22</v>
      </c>
      <c r="B51" s="1" t="s">
        <v>734</v>
      </c>
      <c r="C51" s="1" t="s">
        <v>51</v>
      </c>
      <c r="D51" s="1" t="s">
        <v>461</v>
      </c>
      <c r="E51" s="2">
        <v>65.5</v>
      </c>
      <c r="F51" s="3">
        <v>481.4</v>
      </c>
      <c r="G51" s="2">
        <v>546.9</v>
      </c>
      <c r="H51" s="2">
        <v>1.51</v>
      </c>
      <c r="I51" s="4">
        <v>4</v>
      </c>
      <c r="J51" s="3">
        <v>0</v>
      </c>
      <c r="K51" s="4">
        <v>485</v>
      </c>
      <c r="L51" s="2">
        <v>318.86</v>
      </c>
      <c r="M51" s="2">
        <v>57.86</v>
      </c>
      <c r="N51" s="2">
        <v>64.88</v>
      </c>
      <c r="O51" s="2">
        <v>33.86</v>
      </c>
      <c r="P51" s="2">
        <v>4.03</v>
      </c>
      <c r="Q51" s="4">
        <v>174385</v>
      </c>
      <c r="R51" s="4">
        <v>0</v>
      </c>
      <c r="S51" s="4">
        <v>174385</v>
      </c>
      <c r="T51" s="4">
        <v>28062</v>
      </c>
      <c r="U51" s="4">
        <v>31467</v>
      </c>
      <c r="V51" s="4">
        <v>481</v>
      </c>
      <c r="W51" s="4">
        <v>18518</v>
      </c>
      <c r="X51" s="4">
        <v>2204</v>
      </c>
      <c r="Y51" s="4">
        <v>255117</v>
      </c>
      <c r="Z51" s="4">
        <v>29208</v>
      </c>
      <c r="AA51" s="4">
        <v>225909</v>
      </c>
      <c r="AB51" s="4">
        <v>125326</v>
      </c>
      <c r="AC51" s="4">
        <v>100583</v>
      </c>
    </row>
    <row r="52" spans="1:29" x14ac:dyDescent="0.25">
      <c r="A52" s="1" t="s">
        <v>22</v>
      </c>
      <c r="B52" s="1" t="s">
        <v>734</v>
      </c>
      <c r="C52" s="1" t="s">
        <v>52</v>
      </c>
      <c r="D52" s="1" t="s">
        <v>462</v>
      </c>
      <c r="E52" s="2">
        <v>127.3</v>
      </c>
      <c r="F52" s="3">
        <v>936.2</v>
      </c>
      <c r="G52" s="2">
        <v>1063.5</v>
      </c>
      <c r="H52" s="2">
        <v>2.93</v>
      </c>
      <c r="I52" s="4">
        <v>25</v>
      </c>
      <c r="J52" s="3">
        <v>0</v>
      </c>
      <c r="K52" s="4">
        <v>961</v>
      </c>
      <c r="L52" s="2">
        <v>318.86</v>
      </c>
      <c r="M52" s="2">
        <v>57.86</v>
      </c>
      <c r="N52" s="2">
        <v>64.88</v>
      </c>
      <c r="O52" s="2">
        <v>33.86</v>
      </c>
      <c r="P52" s="2">
        <v>4.03</v>
      </c>
      <c r="Q52" s="4">
        <v>339108</v>
      </c>
      <c r="R52" s="4">
        <v>0</v>
      </c>
      <c r="S52" s="4">
        <v>339108</v>
      </c>
      <c r="T52" s="4">
        <v>55603</v>
      </c>
      <c r="U52" s="4">
        <v>62350</v>
      </c>
      <c r="V52" s="4">
        <v>934</v>
      </c>
      <c r="W52" s="4">
        <v>36010</v>
      </c>
      <c r="X52" s="4">
        <v>4286</v>
      </c>
      <c r="Y52" s="4">
        <v>498291</v>
      </c>
      <c r="Z52" s="4">
        <v>55190</v>
      </c>
      <c r="AA52" s="4">
        <v>443101</v>
      </c>
      <c r="AB52" s="4">
        <v>245315</v>
      </c>
      <c r="AC52" s="4">
        <v>197786</v>
      </c>
    </row>
    <row r="53" spans="1:29" x14ac:dyDescent="0.25">
      <c r="A53" s="1" t="s">
        <v>22</v>
      </c>
      <c r="B53" s="1" t="s">
        <v>734</v>
      </c>
      <c r="C53" s="1" t="s">
        <v>53</v>
      </c>
      <c r="D53" s="1" t="s">
        <v>463</v>
      </c>
      <c r="E53" s="2">
        <v>67.27</v>
      </c>
      <c r="F53" s="3">
        <v>639.4</v>
      </c>
      <c r="G53" s="2">
        <v>706.67</v>
      </c>
      <c r="H53" s="2">
        <v>1.94</v>
      </c>
      <c r="I53" s="4">
        <v>1</v>
      </c>
      <c r="J53" s="3">
        <v>0</v>
      </c>
      <c r="K53" s="4">
        <v>640</v>
      </c>
      <c r="L53" s="2">
        <v>318.86</v>
      </c>
      <c r="M53" s="2">
        <v>57.86</v>
      </c>
      <c r="N53" s="2">
        <v>64.88</v>
      </c>
      <c r="O53" s="2">
        <v>33.86</v>
      </c>
      <c r="P53" s="2">
        <v>4.03</v>
      </c>
      <c r="Q53" s="4">
        <v>225329</v>
      </c>
      <c r="R53" s="4">
        <v>0</v>
      </c>
      <c r="S53" s="4">
        <v>225329</v>
      </c>
      <c r="T53" s="4">
        <v>37030</v>
      </c>
      <c r="U53" s="4">
        <v>41523</v>
      </c>
      <c r="V53" s="4">
        <v>619</v>
      </c>
      <c r="W53" s="4">
        <v>23928</v>
      </c>
      <c r="X53" s="4">
        <v>2848</v>
      </c>
      <c r="Y53" s="4">
        <v>331277</v>
      </c>
      <c r="Z53" s="4">
        <v>35146</v>
      </c>
      <c r="AA53" s="4">
        <v>296131</v>
      </c>
      <c r="AB53" s="4">
        <v>164531</v>
      </c>
      <c r="AC53" s="4">
        <v>131600</v>
      </c>
    </row>
    <row r="54" spans="1:29" x14ac:dyDescent="0.25">
      <c r="A54" s="1" t="s">
        <v>22</v>
      </c>
      <c r="B54" s="1" t="s">
        <v>734</v>
      </c>
      <c r="C54" s="1" t="s">
        <v>54</v>
      </c>
      <c r="D54" s="1" t="s">
        <v>464</v>
      </c>
      <c r="E54" s="2">
        <v>76.760000000000005</v>
      </c>
      <c r="F54" s="3">
        <v>536.5</v>
      </c>
      <c r="G54" s="2">
        <v>613.26</v>
      </c>
      <c r="H54" s="2">
        <v>1.69</v>
      </c>
      <c r="I54" s="4">
        <v>2</v>
      </c>
      <c r="J54" s="3">
        <v>0</v>
      </c>
      <c r="K54" s="4">
        <v>539</v>
      </c>
      <c r="L54" s="2">
        <v>318.86</v>
      </c>
      <c r="M54" s="2">
        <v>57.86</v>
      </c>
      <c r="N54" s="2">
        <v>64.88</v>
      </c>
      <c r="O54" s="2">
        <v>33.86</v>
      </c>
      <c r="P54" s="2">
        <v>4.03</v>
      </c>
      <c r="Q54" s="4">
        <v>195544</v>
      </c>
      <c r="R54" s="4">
        <v>8555</v>
      </c>
      <c r="S54" s="4">
        <v>204099</v>
      </c>
      <c r="T54" s="4">
        <v>31187</v>
      </c>
      <c r="U54" s="4">
        <v>34970</v>
      </c>
      <c r="V54" s="4">
        <v>539</v>
      </c>
      <c r="W54" s="4">
        <v>21691</v>
      </c>
      <c r="X54" s="4">
        <v>2585</v>
      </c>
      <c r="Y54" s="4">
        <v>295071</v>
      </c>
      <c r="Z54" s="4">
        <v>32474</v>
      </c>
      <c r="AA54" s="4">
        <v>262597</v>
      </c>
      <c r="AB54" s="4">
        <v>141850</v>
      </c>
      <c r="AC54" s="4">
        <v>120747</v>
      </c>
    </row>
    <row r="55" spans="1:29" x14ac:dyDescent="0.25">
      <c r="A55" s="1" t="s">
        <v>22</v>
      </c>
      <c r="B55" s="1" t="s">
        <v>734</v>
      </c>
      <c r="C55" s="1" t="s">
        <v>55</v>
      </c>
      <c r="D55" s="1" t="s">
        <v>465</v>
      </c>
      <c r="E55" s="2">
        <v>347.38</v>
      </c>
      <c r="F55" s="3">
        <v>1957.2</v>
      </c>
      <c r="G55" s="2">
        <v>2304.58</v>
      </c>
      <c r="H55" s="2">
        <v>6.34</v>
      </c>
      <c r="I55" s="4">
        <v>197</v>
      </c>
      <c r="J55" s="3">
        <v>0.2</v>
      </c>
      <c r="K55" s="4">
        <v>2154</v>
      </c>
      <c r="L55" s="2">
        <v>318.86</v>
      </c>
      <c r="M55" s="2">
        <v>57.86</v>
      </c>
      <c r="N55" s="2">
        <v>64.88</v>
      </c>
      <c r="O55" s="2">
        <v>33.86</v>
      </c>
      <c r="P55" s="2">
        <v>4.03</v>
      </c>
      <c r="Q55" s="4">
        <v>734838</v>
      </c>
      <c r="R55" s="4">
        <v>0</v>
      </c>
      <c r="S55" s="4">
        <v>734838</v>
      </c>
      <c r="T55" s="4">
        <v>124630</v>
      </c>
      <c r="U55" s="4">
        <v>139752</v>
      </c>
      <c r="V55" s="4">
        <v>2022</v>
      </c>
      <c r="W55" s="4">
        <v>78033</v>
      </c>
      <c r="X55" s="4">
        <v>9287</v>
      </c>
      <c r="Y55" s="4">
        <v>1088562</v>
      </c>
      <c r="Z55" s="4">
        <v>101066</v>
      </c>
      <c r="AA55" s="4">
        <v>987496</v>
      </c>
      <c r="AB55" s="4">
        <v>550118</v>
      </c>
      <c r="AC55" s="4">
        <v>437378</v>
      </c>
    </row>
    <row r="56" spans="1:29" x14ac:dyDescent="0.25">
      <c r="A56" s="1" t="s">
        <v>22</v>
      </c>
      <c r="B56" s="1" t="s">
        <v>734</v>
      </c>
      <c r="C56" s="1" t="s">
        <v>56</v>
      </c>
      <c r="D56" s="1" t="s">
        <v>466</v>
      </c>
      <c r="E56" s="2">
        <v>117.79</v>
      </c>
      <c r="F56" s="3">
        <v>1134.2</v>
      </c>
      <c r="G56" s="2">
        <v>1251.99</v>
      </c>
      <c r="H56" s="2">
        <v>3.44</v>
      </c>
      <c r="I56" s="4">
        <v>6</v>
      </c>
      <c r="J56" s="3">
        <v>0</v>
      </c>
      <c r="K56" s="4">
        <v>1140</v>
      </c>
      <c r="L56" s="2">
        <v>318.86</v>
      </c>
      <c r="M56" s="2">
        <v>57.86</v>
      </c>
      <c r="N56" s="2">
        <v>64.88</v>
      </c>
      <c r="O56" s="2">
        <v>33.86</v>
      </c>
      <c r="P56" s="2">
        <v>4.03</v>
      </c>
      <c r="Q56" s="4">
        <v>399210</v>
      </c>
      <c r="R56" s="4">
        <v>958</v>
      </c>
      <c r="S56" s="4">
        <v>400168</v>
      </c>
      <c r="T56" s="4">
        <v>65960</v>
      </c>
      <c r="U56" s="4">
        <v>73963</v>
      </c>
      <c r="V56" s="4">
        <v>1097</v>
      </c>
      <c r="W56" s="4">
        <v>42529</v>
      </c>
      <c r="X56" s="4">
        <v>5068</v>
      </c>
      <c r="Y56" s="4">
        <v>588785</v>
      </c>
      <c r="Z56" s="4">
        <v>56032</v>
      </c>
      <c r="AA56" s="4">
        <v>532753</v>
      </c>
      <c r="AB56" s="4">
        <v>297890</v>
      </c>
      <c r="AC56" s="4">
        <v>234863</v>
      </c>
    </row>
    <row r="57" spans="1:29" x14ac:dyDescent="0.25">
      <c r="A57" s="1" t="s">
        <v>22</v>
      </c>
      <c r="B57" s="1" t="s">
        <v>734</v>
      </c>
      <c r="C57" s="1" t="s">
        <v>57</v>
      </c>
      <c r="D57" s="1" t="s">
        <v>467</v>
      </c>
      <c r="E57" s="2">
        <v>319.87</v>
      </c>
      <c r="F57" s="3">
        <v>2530.4</v>
      </c>
      <c r="G57" s="2">
        <v>2850.27</v>
      </c>
      <c r="H57" s="2">
        <v>7.82</v>
      </c>
      <c r="I57" s="4">
        <v>227</v>
      </c>
      <c r="J57" s="3">
        <v>4.3</v>
      </c>
      <c r="K57" s="4">
        <v>2753</v>
      </c>
      <c r="L57" s="2">
        <v>318.86</v>
      </c>
      <c r="M57" s="2">
        <v>57.86</v>
      </c>
      <c r="N57" s="2">
        <v>64.88</v>
      </c>
      <c r="O57" s="2">
        <v>33.86</v>
      </c>
      <c r="P57" s="2">
        <v>4.03</v>
      </c>
      <c r="Q57" s="4">
        <v>908837</v>
      </c>
      <c r="R57" s="4">
        <v>0</v>
      </c>
      <c r="S57" s="4">
        <v>908837</v>
      </c>
      <c r="T57" s="4">
        <v>159289</v>
      </c>
      <c r="U57" s="4">
        <v>178615</v>
      </c>
      <c r="V57" s="4">
        <v>2493</v>
      </c>
      <c r="W57" s="4">
        <v>96510</v>
      </c>
      <c r="X57" s="4">
        <v>11487</v>
      </c>
      <c r="Y57" s="4">
        <v>1357231</v>
      </c>
      <c r="Z57" s="4">
        <v>89007</v>
      </c>
      <c r="AA57" s="4">
        <v>1268224</v>
      </c>
      <c r="AB57" s="4">
        <v>716364</v>
      </c>
      <c r="AC57" s="4">
        <v>551860</v>
      </c>
    </row>
    <row r="58" spans="1:29" x14ac:dyDescent="0.25">
      <c r="A58" s="1" t="s">
        <v>22</v>
      </c>
      <c r="B58" s="1" t="s">
        <v>734</v>
      </c>
      <c r="C58" s="1" t="s">
        <v>58</v>
      </c>
      <c r="D58" s="1" t="s">
        <v>468</v>
      </c>
      <c r="E58" s="2">
        <v>25.33</v>
      </c>
      <c r="F58" s="3">
        <v>137.9</v>
      </c>
      <c r="G58" s="2">
        <v>163.22999999999999</v>
      </c>
      <c r="H58" s="2">
        <v>0.45</v>
      </c>
      <c r="I58" s="4">
        <v>4</v>
      </c>
      <c r="J58" s="3">
        <v>0</v>
      </c>
      <c r="K58" s="4">
        <v>142</v>
      </c>
      <c r="L58" s="2">
        <v>318.86</v>
      </c>
      <c r="M58" s="2">
        <v>57.86</v>
      </c>
      <c r="N58" s="2">
        <v>64.88</v>
      </c>
      <c r="O58" s="2">
        <v>33.86</v>
      </c>
      <c r="P58" s="2">
        <v>4.03</v>
      </c>
      <c r="Q58" s="4">
        <v>52048</v>
      </c>
      <c r="R58" s="4">
        <v>11463</v>
      </c>
      <c r="S58" s="4">
        <v>63511</v>
      </c>
      <c r="T58" s="4">
        <v>8216</v>
      </c>
      <c r="U58" s="4">
        <v>9213</v>
      </c>
      <c r="V58" s="4">
        <v>143</v>
      </c>
      <c r="W58" s="4">
        <v>5527</v>
      </c>
      <c r="X58" s="4">
        <v>658</v>
      </c>
      <c r="Y58" s="4">
        <v>87268</v>
      </c>
      <c r="Z58" s="4">
        <v>10017</v>
      </c>
      <c r="AA58" s="4">
        <v>77251</v>
      </c>
      <c r="AB58" s="4">
        <v>36106</v>
      </c>
      <c r="AC58" s="4">
        <v>41145</v>
      </c>
    </row>
    <row r="59" spans="1:29" x14ac:dyDescent="0.25">
      <c r="A59" s="1" t="s">
        <v>22</v>
      </c>
      <c r="B59" s="1" t="s">
        <v>734</v>
      </c>
      <c r="C59" s="1" t="s">
        <v>59</v>
      </c>
      <c r="D59" s="1" t="s">
        <v>469</v>
      </c>
      <c r="E59" s="2">
        <v>18.38</v>
      </c>
      <c r="F59" s="3">
        <v>150</v>
      </c>
      <c r="G59" s="2">
        <v>168.38</v>
      </c>
      <c r="H59" s="2">
        <v>0.46</v>
      </c>
      <c r="I59" s="4">
        <v>11</v>
      </c>
      <c r="J59" s="3">
        <v>0</v>
      </c>
      <c r="K59" s="4">
        <v>161</v>
      </c>
      <c r="L59" s="2">
        <v>318.86</v>
      </c>
      <c r="M59" s="2">
        <v>57.86</v>
      </c>
      <c r="N59" s="2">
        <v>64.88</v>
      </c>
      <c r="O59" s="2">
        <v>33.86</v>
      </c>
      <c r="P59" s="2">
        <v>4.03</v>
      </c>
      <c r="Q59" s="4">
        <v>53690</v>
      </c>
      <c r="R59" s="4">
        <v>4085</v>
      </c>
      <c r="S59" s="4">
        <v>57775</v>
      </c>
      <c r="T59" s="4">
        <v>9315</v>
      </c>
      <c r="U59" s="4">
        <v>10446</v>
      </c>
      <c r="V59" s="4">
        <v>147</v>
      </c>
      <c r="W59" s="4">
        <v>5701</v>
      </c>
      <c r="X59" s="4">
        <v>679</v>
      </c>
      <c r="Y59" s="4">
        <v>84063</v>
      </c>
      <c r="Z59" s="4">
        <v>11565</v>
      </c>
      <c r="AA59" s="4">
        <v>72498</v>
      </c>
      <c r="AB59" s="4">
        <v>36012</v>
      </c>
      <c r="AC59" s="4">
        <v>36486</v>
      </c>
    </row>
    <row r="60" spans="1:29" x14ac:dyDescent="0.25">
      <c r="A60" s="1" t="s">
        <v>22</v>
      </c>
      <c r="B60" s="1" t="s">
        <v>734</v>
      </c>
      <c r="C60" s="1" t="s">
        <v>60</v>
      </c>
      <c r="D60" s="1" t="s">
        <v>470</v>
      </c>
      <c r="E60" s="2">
        <v>211.68</v>
      </c>
      <c r="F60" s="3">
        <v>1773.3</v>
      </c>
      <c r="G60" s="2">
        <v>1984.98</v>
      </c>
      <c r="H60" s="2">
        <v>5.46</v>
      </c>
      <c r="I60" s="4">
        <v>73</v>
      </c>
      <c r="J60" s="3">
        <v>0.7</v>
      </c>
      <c r="K60" s="4">
        <v>1846</v>
      </c>
      <c r="L60" s="2">
        <v>318.86</v>
      </c>
      <c r="M60" s="2">
        <v>57.86</v>
      </c>
      <c r="N60" s="2">
        <v>64.88</v>
      </c>
      <c r="O60" s="2">
        <v>33.86</v>
      </c>
      <c r="P60" s="2">
        <v>4.03</v>
      </c>
      <c r="Q60" s="4">
        <v>632931</v>
      </c>
      <c r="R60" s="4">
        <v>0</v>
      </c>
      <c r="S60" s="4">
        <v>632931</v>
      </c>
      <c r="T60" s="4">
        <v>106810</v>
      </c>
      <c r="U60" s="4">
        <v>119768</v>
      </c>
      <c r="V60" s="4">
        <v>1741</v>
      </c>
      <c r="W60" s="4">
        <v>67211</v>
      </c>
      <c r="X60" s="4">
        <v>7999</v>
      </c>
      <c r="Y60" s="4">
        <v>936460</v>
      </c>
      <c r="Z60" s="4">
        <v>94005</v>
      </c>
      <c r="AA60" s="4">
        <v>842455</v>
      </c>
      <c r="AB60" s="4">
        <v>466872</v>
      </c>
      <c r="AC60" s="4">
        <v>375583</v>
      </c>
    </row>
    <row r="61" spans="1:29" x14ac:dyDescent="0.25">
      <c r="A61" s="1" t="s">
        <v>22</v>
      </c>
      <c r="B61" s="1" t="s">
        <v>734</v>
      </c>
      <c r="C61" s="1" t="s">
        <v>61</v>
      </c>
      <c r="D61" s="1" t="s">
        <v>471</v>
      </c>
      <c r="E61" s="2">
        <v>41.98</v>
      </c>
      <c r="F61" s="3">
        <v>289.5</v>
      </c>
      <c r="G61" s="2">
        <v>331.48</v>
      </c>
      <c r="H61" s="2">
        <v>0.91</v>
      </c>
      <c r="I61" s="4">
        <v>28</v>
      </c>
      <c r="J61" s="3">
        <v>0</v>
      </c>
      <c r="K61" s="4">
        <v>318</v>
      </c>
      <c r="L61" s="2">
        <v>318.86</v>
      </c>
      <c r="M61" s="2">
        <v>57.86</v>
      </c>
      <c r="N61" s="2">
        <v>64.88</v>
      </c>
      <c r="O61" s="2">
        <v>33.86</v>
      </c>
      <c r="P61" s="2">
        <v>4.03</v>
      </c>
      <c r="Q61" s="4">
        <v>105696</v>
      </c>
      <c r="R61" s="4">
        <v>10283</v>
      </c>
      <c r="S61" s="4">
        <v>115979</v>
      </c>
      <c r="T61" s="4">
        <v>18399</v>
      </c>
      <c r="U61" s="4">
        <v>20632</v>
      </c>
      <c r="V61" s="4">
        <v>290</v>
      </c>
      <c r="W61" s="4">
        <v>11224</v>
      </c>
      <c r="X61" s="4">
        <v>1336</v>
      </c>
      <c r="Y61" s="4">
        <v>167860</v>
      </c>
      <c r="Z61" s="4">
        <v>19619</v>
      </c>
      <c r="AA61" s="4">
        <v>148241</v>
      </c>
      <c r="AB61" s="4">
        <v>74044</v>
      </c>
      <c r="AC61" s="4">
        <v>74197</v>
      </c>
    </row>
    <row r="62" spans="1:29" x14ac:dyDescent="0.25">
      <c r="A62" s="1" t="s">
        <v>62</v>
      </c>
      <c r="B62" s="1" t="s">
        <v>735</v>
      </c>
      <c r="C62" s="1" t="s">
        <v>63</v>
      </c>
      <c r="D62" s="1" t="s">
        <v>64</v>
      </c>
      <c r="E62" s="2">
        <v>85.15</v>
      </c>
      <c r="F62" s="3">
        <v>645.20000000000005</v>
      </c>
      <c r="G62" s="2">
        <v>730.35</v>
      </c>
      <c r="H62" s="2">
        <v>0</v>
      </c>
      <c r="I62" s="4">
        <v>18</v>
      </c>
      <c r="J62" s="3">
        <v>0</v>
      </c>
      <c r="K62" s="4">
        <v>663</v>
      </c>
      <c r="L62" s="2">
        <v>312.23</v>
      </c>
      <c r="M62" s="2">
        <v>57.81</v>
      </c>
      <c r="N62" s="2">
        <v>64.5</v>
      </c>
      <c r="O62" s="2">
        <v>39.130000000000003</v>
      </c>
      <c r="P62" s="2">
        <v>4.5</v>
      </c>
      <c r="Q62" s="4">
        <v>228037</v>
      </c>
      <c r="R62" s="4">
        <v>0</v>
      </c>
      <c r="S62" s="4">
        <v>228037</v>
      </c>
      <c r="T62" s="4">
        <v>38328</v>
      </c>
      <c r="U62" s="4">
        <v>42764</v>
      </c>
      <c r="V62" s="4">
        <v>0</v>
      </c>
      <c r="W62" s="4">
        <v>28579</v>
      </c>
      <c r="X62" s="4">
        <v>3287</v>
      </c>
      <c r="Y62" s="4">
        <v>340995</v>
      </c>
      <c r="Z62" s="4">
        <v>41289</v>
      </c>
      <c r="AA62" s="4">
        <v>299706</v>
      </c>
      <c r="AB62" s="4">
        <v>168782</v>
      </c>
      <c r="AC62" s="4">
        <v>130924</v>
      </c>
    </row>
    <row r="63" spans="1:29" x14ac:dyDescent="0.25">
      <c r="A63" s="1" t="s">
        <v>62</v>
      </c>
      <c r="B63" s="1" t="s">
        <v>735</v>
      </c>
      <c r="C63" s="1" t="s">
        <v>65</v>
      </c>
      <c r="D63" s="1" t="s">
        <v>472</v>
      </c>
      <c r="E63" s="2">
        <v>25.81</v>
      </c>
      <c r="F63" s="3">
        <v>264.39999999999998</v>
      </c>
      <c r="G63" s="2">
        <v>290.20999999999998</v>
      </c>
      <c r="H63" s="2">
        <v>0</v>
      </c>
      <c r="I63" s="4">
        <v>0</v>
      </c>
      <c r="J63" s="3">
        <v>0</v>
      </c>
      <c r="K63" s="4">
        <v>264</v>
      </c>
      <c r="L63" s="2">
        <v>312.23</v>
      </c>
      <c r="M63" s="2">
        <v>57.81</v>
      </c>
      <c r="N63" s="2">
        <v>64.5</v>
      </c>
      <c r="O63" s="2">
        <v>39.130000000000003</v>
      </c>
      <c r="P63" s="2">
        <v>4.5</v>
      </c>
      <c r="Q63" s="4">
        <v>90612</v>
      </c>
      <c r="R63" s="4">
        <v>865</v>
      </c>
      <c r="S63" s="4">
        <v>91477</v>
      </c>
      <c r="T63" s="4">
        <v>15262</v>
      </c>
      <c r="U63" s="4">
        <v>17028</v>
      </c>
      <c r="V63" s="4">
        <v>0</v>
      </c>
      <c r="W63" s="4">
        <v>11512</v>
      </c>
      <c r="X63" s="4">
        <v>1324</v>
      </c>
      <c r="Y63" s="4">
        <v>136603</v>
      </c>
      <c r="Z63" s="4">
        <v>14957</v>
      </c>
      <c r="AA63" s="4">
        <v>121646</v>
      </c>
      <c r="AB63" s="4">
        <v>68690</v>
      </c>
      <c r="AC63" s="4">
        <v>52956</v>
      </c>
    </row>
    <row r="64" spans="1:29" x14ac:dyDescent="0.25">
      <c r="A64" s="1" t="s">
        <v>62</v>
      </c>
      <c r="B64" s="1" t="s">
        <v>735</v>
      </c>
      <c r="C64" s="1" t="s">
        <v>66</v>
      </c>
      <c r="D64" s="1" t="s">
        <v>473</v>
      </c>
      <c r="E64" s="2">
        <v>99.29</v>
      </c>
      <c r="F64" s="3">
        <v>788</v>
      </c>
      <c r="G64" s="2">
        <v>887.29</v>
      </c>
      <c r="H64" s="2">
        <v>0</v>
      </c>
      <c r="I64" s="4">
        <v>31</v>
      </c>
      <c r="J64" s="3">
        <v>0</v>
      </c>
      <c r="K64" s="4">
        <v>819</v>
      </c>
      <c r="L64" s="2">
        <v>312.23</v>
      </c>
      <c r="M64" s="2">
        <v>57.81</v>
      </c>
      <c r="N64" s="2">
        <v>64.5</v>
      </c>
      <c r="O64" s="2">
        <v>39.130000000000003</v>
      </c>
      <c r="P64" s="2">
        <v>4.5</v>
      </c>
      <c r="Q64" s="4">
        <v>277039</v>
      </c>
      <c r="R64" s="4">
        <v>5081</v>
      </c>
      <c r="S64" s="4">
        <v>282120</v>
      </c>
      <c r="T64" s="4">
        <v>47346</v>
      </c>
      <c r="U64" s="4">
        <v>52826</v>
      </c>
      <c r="V64" s="4">
        <v>0</v>
      </c>
      <c r="W64" s="4">
        <v>34966</v>
      </c>
      <c r="X64" s="4">
        <v>4023</v>
      </c>
      <c r="Y64" s="4">
        <v>421281</v>
      </c>
      <c r="Z64" s="4">
        <v>39100</v>
      </c>
      <c r="AA64" s="4">
        <v>382181</v>
      </c>
      <c r="AB64" s="4">
        <v>216388</v>
      </c>
      <c r="AC64" s="4">
        <v>165793</v>
      </c>
    </row>
    <row r="65" spans="1:29" x14ac:dyDescent="0.25">
      <c r="A65" s="1" t="s">
        <v>62</v>
      </c>
      <c r="B65" s="1" t="s">
        <v>735</v>
      </c>
      <c r="C65" s="1" t="s">
        <v>67</v>
      </c>
      <c r="D65" s="1" t="s">
        <v>68</v>
      </c>
      <c r="E65" s="2">
        <v>73.41</v>
      </c>
      <c r="F65" s="3">
        <v>504.1</v>
      </c>
      <c r="G65" s="2">
        <v>577.51</v>
      </c>
      <c r="H65" s="2">
        <v>0</v>
      </c>
      <c r="I65" s="4">
        <v>3</v>
      </c>
      <c r="J65" s="3">
        <v>0</v>
      </c>
      <c r="K65" s="4">
        <v>507</v>
      </c>
      <c r="L65" s="2">
        <v>312.23</v>
      </c>
      <c r="M65" s="2">
        <v>57.81</v>
      </c>
      <c r="N65" s="2">
        <v>64.5</v>
      </c>
      <c r="O65" s="2">
        <v>39.130000000000003</v>
      </c>
      <c r="P65" s="2">
        <v>4.5</v>
      </c>
      <c r="Q65" s="4">
        <v>180316</v>
      </c>
      <c r="R65" s="4">
        <v>6196</v>
      </c>
      <c r="S65" s="4">
        <v>186512</v>
      </c>
      <c r="T65" s="4">
        <v>29310</v>
      </c>
      <c r="U65" s="4">
        <v>32702</v>
      </c>
      <c r="V65" s="4">
        <v>0</v>
      </c>
      <c r="W65" s="4">
        <v>22598</v>
      </c>
      <c r="X65" s="4">
        <v>2599</v>
      </c>
      <c r="Y65" s="4">
        <v>273721</v>
      </c>
      <c r="Z65" s="4">
        <v>29783</v>
      </c>
      <c r="AA65" s="4">
        <v>243938</v>
      </c>
      <c r="AB65" s="4">
        <v>136326</v>
      </c>
      <c r="AC65" s="4">
        <v>107612</v>
      </c>
    </row>
    <row r="66" spans="1:29" x14ac:dyDescent="0.25">
      <c r="A66" s="1" t="s">
        <v>62</v>
      </c>
      <c r="B66" s="1" t="s">
        <v>735</v>
      </c>
      <c r="C66" s="1" t="s">
        <v>69</v>
      </c>
      <c r="D66" s="1" t="s">
        <v>474</v>
      </c>
      <c r="E66" s="2">
        <v>83.59</v>
      </c>
      <c r="F66" s="3">
        <v>774.9</v>
      </c>
      <c r="G66" s="2">
        <v>858.49</v>
      </c>
      <c r="H66" s="2">
        <v>0</v>
      </c>
      <c r="I66" s="4">
        <v>0</v>
      </c>
      <c r="J66" s="3">
        <v>0</v>
      </c>
      <c r="K66" s="4">
        <v>775</v>
      </c>
      <c r="L66" s="2">
        <v>312.23</v>
      </c>
      <c r="M66" s="2">
        <v>57.81</v>
      </c>
      <c r="N66" s="2">
        <v>64.5</v>
      </c>
      <c r="O66" s="2">
        <v>39.130000000000003</v>
      </c>
      <c r="P66" s="2">
        <v>4.5</v>
      </c>
      <c r="Q66" s="4">
        <v>268046</v>
      </c>
      <c r="R66" s="4">
        <v>2674</v>
      </c>
      <c r="S66" s="4">
        <v>270720</v>
      </c>
      <c r="T66" s="4">
        <v>44803</v>
      </c>
      <c r="U66" s="4">
        <v>49988</v>
      </c>
      <c r="V66" s="4">
        <v>0</v>
      </c>
      <c r="W66" s="4">
        <v>33841</v>
      </c>
      <c r="X66" s="4">
        <v>3893</v>
      </c>
      <c r="Y66" s="4">
        <v>403245</v>
      </c>
      <c r="Z66" s="4">
        <v>39506</v>
      </c>
      <c r="AA66" s="4">
        <v>363739</v>
      </c>
      <c r="AB66" s="4">
        <v>207700</v>
      </c>
      <c r="AC66" s="4">
        <v>156039</v>
      </c>
    </row>
    <row r="67" spans="1:29" x14ac:dyDescent="0.25">
      <c r="A67" s="1" t="s">
        <v>62</v>
      </c>
      <c r="B67" s="1" t="s">
        <v>735</v>
      </c>
      <c r="C67" s="1" t="s">
        <v>70</v>
      </c>
      <c r="D67" s="1" t="s">
        <v>475</v>
      </c>
      <c r="E67" s="2">
        <v>61.58</v>
      </c>
      <c r="F67" s="3">
        <v>540.79999999999995</v>
      </c>
      <c r="G67" s="2">
        <v>602.38</v>
      </c>
      <c r="H67" s="2">
        <v>0</v>
      </c>
      <c r="I67" s="4">
        <v>0</v>
      </c>
      <c r="J67" s="3">
        <v>0</v>
      </c>
      <c r="K67" s="4">
        <v>541</v>
      </c>
      <c r="L67" s="2">
        <v>312.23</v>
      </c>
      <c r="M67" s="2">
        <v>57.81</v>
      </c>
      <c r="N67" s="2">
        <v>64.5</v>
      </c>
      <c r="O67" s="2">
        <v>39.130000000000003</v>
      </c>
      <c r="P67" s="2">
        <v>4.5</v>
      </c>
      <c r="Q67" s="4">
        <v>188081</v>
      </c>
      <c r="R67" s="4">
        <v>1990</v>
      </c>
      <c r="S67" s="4">
        <v>190071</v>
      </c>
      <c r="T67" s="4">
        <v>31275</v>
      </c>
      <c r="U67" s="4">
        <v>34895</v>
      </c>
      <c r="V67" s="4">
        <v>0</v>
      </c>
      <c r="W67" s="4">
        <v>23920</v>
      </c>
      <c r="X67" s="4">
        <v>2752</v>
      </c>
      <c r="Y67" s="4">
        <v>282913</v>
      </c>
      <c r="Z67" s="4">
        <v>29369</v>
      </c>
      <c r="AA67" s="4">
        <v>253544</v>
      </c>
      <c r="AB67" s="4">
        <v>144284</v>
      </c>
      <c r="AC67" s="4">
        <v>109260</v>
      </c>
    </row>
    <row r="68" spans="1:29" x14ac:dyDescent="0.25">
      <c r="A68" s="1" t="s">
        <v>62</v>
      </c>
      <c r="B68" s="1" t="s">
        <v>735</v>
      </c>
      <c r="C68" s="1" t="s">
        <v>71</v>
      </c>
      <c r="D68" s="1" t="s">
        <v>72</v>
      </c>
      <c r="E68" s="2">
        <v>40.880000000000003</v>
      </c>
      <c r="F68" s="3">
        <v>247.5</v>
      </c>
      <c r="G68" s="2">
        <v>288.38</v>
      </c>
      <c r="H68" s="2">
        <v>0</v>
      </c>
      <c r="I68" s="4">
        <v>16</v>
      </c>
      <c r="J68" s="3">
        <v>0.5</v>
      </c>
      <c r="K68" s="4">
        <v>263</v>
      </c>
      <c r="L68" s="2">
        <v>312.23</v>
      </c>
      <c r="M68" s="2">
        <v>57.81</v>
      </c>
      <c r="N68" s="2">
        <v>64.5</v>
      </c>
      <c r="O68" s="2">
        <v>39.130000000000003</v>
      </c>
      <c r="P68" s="2">
        <v>4.5</v>
      </c>
      <c r="Q68" s="4">
        <v>90041</v>
      </c>
      <c r="R68" s="4">
        <v>3157</v>
      </c>
      <c r="S68" s="4">
        <v>93198</v>
      </c>
      <c r="T68" s="4">
        <v>15204</v>
      </c>
      <c r="U68" s="4">
        <v>16964</v>
      </c>
      <c r="V68" s="4">
        <v>0</v>
      </c>
      <c r="W68" s="4">
        <v>11284</v>
      </c>
      <c r="X68" s="4">
        <v>1298</v>
      </c>
      <c r="Y68" s="4">
        <v>137948</v>
      </c>
      <c r="Z68" s="4">
        <v>14140</v>
      </c>
      <c r="AA68" s="4">
        <v>123808</v>
      </c>
      <c r="AB68" s="4">
        <v>68807</v>
      </c>
      <c r="AC68" s="4">
        <v>55001</v>
      </c>
    </row>
    <row r="69" spans="1:29" x14ac:dyDescent="0.25">
      <c r="A69" s="1" t="s">
        <v>62</v>
      </c>
      <c r="B69" s="1" t="s">
        <v>735</v>
      </c>
      <c r="C69" s="1" t="s">
        <v>73</v>
      </c>
      <c r="D69" s="1" t="s">
        <v>476</v>
      </c>
      <c r="E69" s="2">
        <v>719.06</v>
      </c>
      <c r="F69" s="3">
        <v>5371.4</v>
      </c>
      <c r="G69" s="2">
        <v>6090.46</v>
      </c>
      <c r="H69" s="2">
        <v>0</v>
      </c>
      <c r="I69" s="4">
        <v>304</v>
      </c>
      <c r="J69" s="3">
        <v>2.8</v>
      </c>
      <c r="K69" s="4">
        <v>5673</v>
      </c>
      <c r="L69" s="2">
        <v>312.23</v>
      </c>
      <c r="M69" s="2">
        <v>57.81</v>
      </c>
      <c r="N69" s="2">
        <v>64.5</v>
      </c>
      <c r="O69" s="2">
        <v>39.130000000000003</v>
      </c>
      <c r="P69" s="2">
        <v>4.5</v>
      </c>
      <c r="Q69" s="4">
        <v>1901624</v>
      </c>
      <c r="R69" s="4">
        <v>0</v>
      </c>
      <c r="S69" s="4">
        <v>1901624</v>
      </c>
      <c r="T69" s="4">
        <v>327956</v>
      </c>
      <c r="U69" s="4">
        <v>365909</v>
      </c>
      <c r="V69" s="4">
        <v>0</v>
      </c>
      <c r="W69" s="4">
        <v>238320</v>
      </c>
      <c r="X69" s="4">
        <v>27407</v>
      </c>
      <c r="Y69" s="4">
        <v>2861216</v>
      </c>
      <c r="Z69" s="4">
        <v>198163</v>
      </c>
      <c r="AA69" s="4">
        <v>2663053</v>
      </c>
      <c r="AB69" s="4">
        <v>1553636</v>
      </c>
      <c r="AC69" s="4">
        <v>1109417</v>
      </c>
    </row>
    <row r="70" spans="1:29" x14ac:dyDescent="0.25">
      <c r="A70" s="1" t="s">
        <v>62</v>
      </c>
      <c r="B70" s="1" t="s">
        <v>735</v>
      </c>
      <c r="C70" s="1" t="s">
        <v>74</v>
      </c>
      <c r="D70" s="1" t="s">
        <v>477</v>
      </c>
      <c r="E70" s="2">
        <v>95.93</v>
      </c>
      <c r="F70" s="3">
        <v>791.2</v>
      </c>
      <c r="G70" s="2">
        <v>887.13</v>
      </c>
      <c r="H70" s="2">
        <v>0</v>
      </c>
      <c r="I70" s="4">
        <v>44</v>
      </c>
      <c r="J70" s="3">
        <v>0</v>
      </c>
      <c r="K70" s="4">
        <v>835</v>
      </c>
      <c r="L70" s="2">
        <v>312.23</v>
      </c>
      <c r="M70" s="2">
        <v>57.81</v>
      </c>
      <c r="N70" s="2">
        <v>64.5</v>
      </c>
      <c r="O70" s="2">
        <v>39.130000000000003</v>
      </c>
      <c r="P70" s="2">
        <v>4.5</v>
      </c>
      <c r="Q70" s="4">
        <v>276989</v>
      </c>
      <c r="R70" s="4">
        <v>3915</v>
      </c>
      <c r="S70" s="4">
        <v>280904</v>
      </c>
      <c r="T70" s="4">
        <v>48271</v>
      </c>
      <c r="U70" s="4">
        <v>53858</v>
      </c>
      <c r="V70" s="4">
        <v>0</v>
      </c>
      <c r="W70" s="4">
        <v>35014</v>
      </c>
      <c r="X70" s="4">
        <v>4028</v>
      </c>
      <c r="Y70" s="4">
        <v>422075</v>
      </c>
      <c r="Z70" s="4">
        <v>46457</v>
      </c>
      <c r="AA70" s="4">
        <v>375618</v>
      </c>
      <c r="AB70" s="4">
        <v>209045</v>
      </c>
      <c r="AC70" s="4">
        <v>166573</v>
      </c>
    </row>
    <row r="71" spans="1:29" x14ac:dyDescent="0.25">
      <c r="A71" s="1" t="s">
        <v>62</v>
      </c>
      <c r="B71" s="1" t="s">
        <v>735</v>
      </c>
      <c r="C71" s="1" t="s">
        <v>75</v>
      </c>
      <c r="D71" s="1" t="s">
        <v>478</v>
      </c>
      <c r="E71" s="2">
        <v>278.10000000000002</v>
      </c>
      <c r="F71" s="3">
        <v>1548.9</v>
      </c>
      <c r="G71" s="2">
        <v>1827</v>
      </c>
      <c r="H71" s="2">
        <v>0</v>
      </c>
      <c r="I71" s="4">
        <v>174</v>
      </c>
      <c r="J71" s="3">
        <v>7.3</v>
      </c>
      <c r="K71" s="4">
        <v>1716</v>
      </c>
      <c r="L71" s="2">
        <v>312.23</v>
      </c>
      <c r="M71" s="2">
        <v>57.81</v>
      </c>
      <c r="N71" s="2">
        <v>64.5</v>
      </c>
      <c r="O71" s="2">
        <v>39.130000000000003</v>
      </c>
      <c r="P71" s="2">
        <v>4.5</v>
      </c>
      <c r="Q71" s="4">
        <v>570444</v>
      </c>
      <c r="R71" s="4">
        <v>0</v>
      </c>
      <c r="S71" s="4">
        <v>570444</v>
      </c>
      <c r="T71" s="4">
        <v>99202</v>
      </c>
      <c r="U71" s="4">
        <v>110682</v>
      </c>
      <c r="V71" s="4">
        <v>0</v>
      </c>
      <c r="W71" s="4">
        <v>71491</v>
      </c>
      <c r="X71" s="4">
        <v>8222</v>
      </c>
      <c r="Y71" s="4">
        <v>860041</v>
      </c>
      <c r="Z71" s="4">
        <v>82982</v>
      </c>
      <c r="AA71" s="4">
        <v>777059</v>
      </c>
      <c r="AB71" s="4">
        <v>442519</v>
      </c>
      <c r="AC71" s="4">
        <v>334540</v>
      </c>
    </row>
    <row r="72" spans="1:29" x14ac:dyDescent="0.25">
      <c r="A72" s="1" t="s">
        <v>62</v>
      </c>
      <c r="B72" s="1" t="s">
        <v>735</v>
      </c>
      <c r="C72" s="1" t="s">
        <v>76</v>
      </c>
      <c r="D72" s="1" t="s">
        <v>479</v>
      </c>
      <c r="E72" s="2">
        <v>29.1</v>
      </c>
      <c r="F72" s="3">
        <v>295</v>
      </c>
      <c r="G72" s="2">
        <v>324.10000000000002</v>
      </c>
      <c r="H72" s="2">
        <v>0</v>
      </c>
      <c r="I72" s="4">
        <v>4</v>
      </c>
      <c r="J72" s="3">
        <v>0</v>
      </c>
      <c r="K72" s="4">
        <v>299</v>
      </c>
      <c r="L72" s="2">
        <v>312.23</v>
      </c>
      <c r="M72" s="2">
        <v>57.81</v>
      </c>
      <c r="N72" s="2">
        <v>64.5</v>
      </c>
      <c r="O72" s="2">
        <v>39.130000000000003</v>
      </c>
      <c r="P72" s="2">
        <v>4.5</v>
      </c>
      <c r="Q72" s="4">
        <v>101194</v>
      </c>
      <c r="R72" s="4">
        <v>16600</v>
      </c>
      <c r="S72" s="4">
        <v>117794</v>
      </c>
      <c r="T72" s="4">
        <v>17285</v>
      </c>
      <c r="U72" s="4">
        <v>19286</v>
      </c>
      <c r="V72" s="4">
        <v>0</v>
      </c>
      <c r="W72" s="4">
        <v>13264</v>
      </c>
      <c r="X72" s="4">
        <v>1526</v>
      </c>
      <c r="Y72" s="4">
        <v>169155</v>
      </c>
      <c r="Z72" s="4">
        <v>18545</v>
      </c>
      <c r="AA72" s="4">
        <v>150610</v>
      </c>
      <c r="AB72" s="4">
        <v>75325</v>
      </c>
      <c r="AC72" s="4">
        <v>75285</v>
      </c>
    </row>
    <row r="73" spans="1:29" x14ac:dyDescent="0.25">
      <c r="A73" s="1" t="s">
        <v>62</v>
      </c>
      <c r="B73" s="1" t="s">
        <v>735</v>
      </c>
      <c r="C73" s="1" t="s">
        <v>77</v>
      </c>
      <c r="D73" s="1" t="s">
        <v>480</v>
      </c>
      <c r="E73" s="2">
        <v>213.32</v>
      </c>
      <c r="F73" s="3">
        <v>1245.3</v>
      </c>
      <c r="G73" s="2">
        <v>1458.62</v>
      </c>
      <c r="H73" s="2">
        <v>0</v>
      </c>
      <c r="I73" s="4">
        <v>81</v>
      </c>
      <c r="J73" s="3">
        <v>0</v>
      </c>
      <c r="K73" s="4">
        <v>1326</v>
      </c>
      <c r="L73" s="2">
        <v>312.23</v>
      </c>
      <c r="M73" s="2">
        <v>57.81</v>
      </c>
      <c r="N73" s="2">
        <v>64.5</v>
      </c>
      <c r="O73" s="2">
        <v>39.130000000000003</v>
      </c>
      <c r="P73" s="2">
        <v>4.5</v>
      </c>
      <c r="Q73" s="4">
        <v>455425</v>
      </c>
      <c r="R73" s="4">
        <v>0</v>
      </c>
      <c r="S73" s="4">
        <v>455425</v>
      </c>
      <c r="T73" s="4">
        <v>76656</v>
      </c>
      <c r="U73" s="4">
        <v>85527</v>
      </c>
      <c r="V73" s="4">
        <v>0</v>
      </c>
      <c r="W73" s="4">
        <v>57076</v>
      </c>
      <c r="X73" s="4">
        <v>6564</v>
      </c>
      <c r="Y73" s="4">
        <v>681248</v>
      </c>
      <c r="Z73" s="4">
        <v>69828</v>
      </c>
      <c r="AA73" s="4">
        <v>611420</v>
      </c>
      <c r="AB73" s="4">
        <v>349715</v>
      </c>
      <c r="AC73" s="4">
        <v>261705</v>
      </c>
    </row>
    <row r="74" spans="1:29" x14ac:dyDescent="0.25">
      <c r="A74" s="1" t="s">
        <v>62</v>
      </c>
      <c r="B74" s="1" t="s">
        <v>735</v>
      </c>
      <c r="C74" s="1" t="s">
        <v>78</v>
      </c>
      <c r="D74" s="1" t="s">
        <v>481</v>
      </c>
      <c r="E74" s="2">
        <v>69.3</v>
      </c>
      <c r="F74" s="3">
        <v>821.6</v>
      </c>
      <c r="G74" s="2">
        <v>890.9</v>
      </c>
      <c r="H74" s="2">
        <v>0</v>
      </c>
      <c r="I74" s="4">
        <v>6</v>
      </c>
      <c r="J74" s="3">
        <v>0</v>
      </c>
      <c r="K74" s="4">
        <v>828</v>
      </c>
      <c r="L74" s="2">
        <v>312.23</v>
      </c>
      <c r="M74" s="2">
        <v>57.81</v>
      </c>
      <c r="N74" s="2">
        <v>64.5</v>
      </c>
      <c r="O74" s="2">
        <v>39.130000000000003</v>
      </c>
      <c r="P74" s="2">
        <v>4.5</v>
      </c>
      <c r="Q74" s="4">
        <v>278166</v>
      </c>
      <c r="R74" s="4">
        <v>0</v>
      </c>
      <c r="S74" s="4">
        <v>278166</v>
      </c>
      <c r="T74" s="4">
        <v>47867</v>
      </c>
      <c r="U74" s="4">
        <v>53406</v>
      </c>
      <c r="V74" s="4">
        <v>0</v>
      </c>
      <c r="W74" s="4">
        <v>34861</v>
      </c>
      <c r="X74" s="4">
        <v>4009</v>
      </c>
      <c r="Y74" s="4">
        <v>418309</v>
      </c>
      <c r="Z74" s="4">
        <v>32842</v>
      </c>
      <c r="AA74" s="4">
        <v>385467</v>
      </c>
      <c r="AB74" s="4">
        <v>223408</v>
      </c>
      <c r="AC74" s="4">
        <v>162059</v>
      </c>
    </row>
    <row r="75" spans="1:29" x14ac:dyDescent="0.25">
      <c r="A75" s="1" t="s">
        <v>62</v>
      </c>
      <c r="B75" s="1" t="s">
        <v>735</v>
      </c>
      <c r="C75" s="1" t="s">
        <v>79</v>
      </c>
      <c r="D75" s="1" t="s">
        <v>482</v>
      </c>
      <c r="E75" s="2">
        <v>115.85</v>
      </c>
      <c r="F75" s="3">
        <v>872.1</v>
      </c>
      <c r="G75" s="2">
        <v>987.95</v>
      </c>
      <c r="H75" s="2">
        <v>0</v>
      </c>
      <c r="I75" s="4">
        <v>10</v>
      </c>
      <c r="J75" s="3">
        <v>0</v>
      </c>
      <c r="K75" s="4">
        <v>882</v>
      </c>
      <c r="L75" s="2">
        <v>312.23</v>
      </c>
      <c r="M75" s="2">
        <v>57.81</v>
      </c>
      <c r="N75" s="2">
        <v>64.5</v>
      </c>
      <c r="O75" s="2">
        <v>39.130000000000003</v>
      </c>
      <c r="P75" s="2">
        <v>4.5</v>
      </c>
      <c r="Q75" s="4">
        <v>308468</v>
      </c>
      <c r="R75" s="4">
        <v>0</v>
      </c>
      <c r="S75" s="4">
        <v>308468</v>
      </c>
      <c r="T75" s="4">
        <v>50988</v>
      </c>
      <c r="U75" s="4">
        <v>56889</v>
      </c>
      <c r="V75" s="4">
        <v>0</v>
      </c>
      <c r="W75" s="4">
        <v>38658</v>
      </c>
      <c r="X75" s="4">
        <v>4446</v>
      </c>
      <c r="Y75" s="4">
        <v>459449</v>
      </c>
      <c r="Z75" s="4">
        <v>36304</v>
      </c>
      <c r="AA75" s="4">
        <v>423145</v>
      </c>
      <c r="AB75" s="4">
        <v>247860</v>
      </c>
      <c r="AC75" s="4">
        <v>175285</v>
      </c>
    </row>
    <row r="76" spans="1:29" x14ac:dyDescent="0.25">
      <c r="A76" s="1" t="s">
        <v>62</v>
      </c>
      <c r="B76" s="1" t="s">
        <v>735</v>
      </c>
      <c r="C76" s="1" t="s">
        <v>80</v>
      </c>
      <c r="D76" s="1" t="s">
        <v>483</v>
      </c>
      <c r="E76" s="2">
        <v>45.46</v>
      </c>
      <c r="F76" s="3">
        <v>386</v>
      </c>
      <c r="G76" s="2">
        <v>431.46</v>
      </c>
      <c r="H76" s="2">
        <v>0</v>
      </c>
      <c r="I76" s="4">
        <v>12</v>
      </c>
      <c r="J76" s="3">
        <v>0</v>
      </c>
      <c r="K76" s="4">
        <v>398</v>
      </c>
      <c r="L76" s="2">
        <v>312.23</v>
      </c>
      <c r="M76" s="2">
        <v>57.81</v>
      </c>
      <c r="N76" s="2">
        <v>64.5</v>
      </c>
      <c r="O76" s="2">
        <v>39.130000000000003</v>
      </c>
      <c r="P76" s="2">
        <v>4.5</v>
      </c>
      <c r="Q76" s="4">
        <v>134715</v>
      </c>
      <c r="R76" s="4">
        <v>18967</v>
      </c>
      <c r="S76" s="4">
        <v>153682</v>
      </c>
      <c r="T76" s="4">
        <v>23008</v>
      </c>
      <c r="U76" s="4">
        <v>25671</v>
      </c>
      <c r="V76" s="4">
        <v>0</v>
      </c>
      <c r="W76" s="4">
        <v>17322</v>
      </c>
      <c r="X76" s="4">
        <v>1993</v>
      </c>
      <c r="Y76" s="4">
        <v>221676</v>
      </c>
      <c r="Z76" s="4">
        <v>22973</v>
      </c>
      <c r="AA76" s="4">
        <v>198703</v>
      </c>
      <c r="AB76" s="4">
        <v>101618</v>
      </c>
      <c r="AC76" s="4">
        <v>97085</v>
      </c>
    </row>
    <row r="77" spans="1:29" x14ac:dyDescent="0.25">
      <c r="A77" s="1" t="s">
        <v>62</v>
      </c>
      <c r="B77" s="1" t="s">
        <v>735</v>
      </c>
      <c r="C77" s="1" t="s">
        <v>81</v>
      </c>
      <c r="D77" s="1" t="s">
        <v>484</v>
      </c>
      <c r="E77" s="2">
        <v>88.8</v>
      </c>
      <c r="F77" s="3">
        <v>552.29999999999995</v>
      </c>
      <c r="G77" s="2">
        <v>641.1</v>
      </c>
      <c r="H77" s="2">
        <v>0</v>
      </c>
      <c r="I77" s="4">
        <v>10</v>
      </c>
      <c r="J77" s="3">
        <v>0</v>
      </c>
      <c r="K77" s="4">
        <v>562</v>
      </c>
      <c r="L77" s="2">
        <v>312.23</v>
      </c>
      <c r="M77" s="2">
        <v>57.81</v>
      </c>
      <c r="N77" s="2">
        <v>64.5</v>
      </c>
      <c r="O77" s="2">
        <v>39.130000000000003</v>
      </c>
      <c r="P77" s="2">
        <v>4.5</v>
      </c>
      <c r="Q77" s="4">
        <v>200171</v>
      </c>
      <c r="R77" s="4">
        <v>0</v>
      </c>
      <c r="S77" s="4">
        <v>200171</v>
      </c>
      <c r="T77" s="4">
        <v>32489</v>
      </c>
      <c r="U77" s="4">
        <v>36249</v>
      </c>
      <c r="V77" s="4">
        <v>0</v>
      </c>
      <c r="W77" s="4">
        <v>25145</v>
      </c>
      <c r="X77" s="4">
        <v>2893</v>
      </c>
      <c r="Y77" s="4">
        <v>296947</v>
      </c>
      <c r="Z77" s="4">
        <v>28849</v>
      </c>
      <c r="AA77" s="4">
        <v>268098</v>
      </c>
      <c r="AB77" s="4">
        <v>155617</v>
      </c>
      <c r="AC77" s="4">
        <v>112481</v>
      </c>
    </row>
    <row r="78" spans="1:29" x14ac:dyDescent="0.25">
      <c r="A78" s="1" t="s">
        <v>62</v>
      </c>
      <c r="B78" s="1" t="s">
        <v>735</v>
      </c>
      <c r="C78" s="1" t="s">
        <v>82</v>
      </c>
      <c r="D78" s="1" t="s">
        <v>485</v>
      </c>
      <c r="E78" s="2">
        <v>79.81</v>
      </c>
      <c r="F78" s="3">
        <v>603.9</v>
      </c>
      <c r="G78" s="2">
        <v>683.71</v>
      </c>
      <c r="H78" s="2">
        <v>0</v>
      </c>
      <c r="I78" s="4">
        <v>5</v>
      </c>
      <c r="J78" s="3">
        <v>0</v>
      </c>
      <c r="K78" s="4">
        <v>609</v>
      </c>
      <c r="L78" s="2">
        <v>312.23</v>
      </c>
      <c r="M78" s="2">
        <v>57.81</v>
      </c>
      <c r="N78" s="2">
        <v>64.5</v>
      </c>
      <c r="O78" s="2">
        <v>39.130000000000003</v>
      </c>
      <c r="P78" s="2">
        <v>4.5</v>
      </c>
      <c r="Q78" s="4">
        <v>213475</v>
      </c>
      <c r="R78" s="4">
        <v>2128</v>
      </c>
      <c r="S78" s="4">
        <v>215603</v>
      </c>
      <c r="T78" s="4">
        <v>35206</v>
      </c>
      <c r="U78" s="4">
        <v>39281</v>
      </c>
      <c r="V78" s="4">
        <v>0</v>
      </c>
      <c r="W78" s="4">
        <v>26754</v>
      </c>
      <c r="X78" s="4">
        <v>3077</v>
      </c>
      <c r="Y78" s="4">
        <v>319921</v>
      </c>
      <c r="Z78" s="4">
        <v>36691</v>
      </c>
      <c r="AA78" s="4">
        <v>283230</v>
      </c>
      <c r="AB78" s="4">
        <v>159965</v>
      </c>
      <c r="AC78" s="4">
        <v>123265</v>
      </c>
    </row>
    <row r="79" spans="1:29" x14ac:dyDescent="0.25">
      <c r="A79" s="1" t="s">
        <v>62</v>
      </c>
      <c r="B79" s="1" t="s">
        <v>735</v>
      </c>
      <c r="C79" s="1" t="s">
        <v>83</v>
      </c>
      <c r="D79" s="1" t="s">
        <v>486</v>
      </c>
      <c r="E79" s="2">
        <v>121.71</v>
      </c>
      <c r="F79" s="3">
        <v>604.20000000000005</v>
      </c>
      <c r="G79" s="2">
        <v>725.91</v>
      </c>
      <c r="H79" s="2">
        <v>0</v>
      </c>
      <c r="I79" s="4">
        <v>18</v>
      </c>
      <c r="J79" s="3">
        <v>0</v>
      </c>
      <c r="K79" s="4">
        <v>622</v>
      </c>
      <c r="L79" s="2">
        <v>312.23</v>
      </c>
      <c r="M79" s="2">
        <v>57.81</v>
      </c>
      <c r="N79" s="2">
        <v>64.5</v>
      </c>
      <c r="O79" s="2">
        <v>39.130000000000003</v>
      </c>
      <c r="P79" s="2">
        <v>4.5</v>
      </c>
      <c r="Q79" s="4">
        <v>226651</v>
      </c>
      <c r="R79" s="4">
        <v>8850</v>
      </c>
      <c r="S79" s="4">
        <v>235501</v>
      </c>
      <c r="T79" s="4">
        <v>35958</v>
      </c>
      <c r="U79" s="4">
        <v>40119</v>
      </c>
      <c r="V79" s="4">
        <v>0</v>
      </c>
      <c r="W79" s="4">
        <v>29637</v>
      </c>
      <c r="X79" s="4">
        <v>3410</v>
      </c>
      <c r="Y79" s="4">
        <v>344625</v>
      </c>
      <c r="Z79" s="4">
        <v>31253</v>
      </c>
      <c r="AA79" s="4">
        <v>313372</v>
      </c>
      <c r="AB79" s="4">
        <v>178916</v>
      </c>
      <c r="AC79" s="4">
        <v>134456</v>
      </c>
    </row>
    <row r="80" spans="1:29" x14ac:dyDescent="0.25">
      <c r="A80" s="1" t="s">
        <v>62</v>
      </c>
      <c r="B80" s="1" t="s">
        <v>735</v>
      </c>
      <c r="C80" s="1" t="s">
        <v>84</v>
      </c>
      <c r="D80" s="1" t="s">
        <v>487</v>
      </c>
      <c r="E80" s="2">
        <v>146.08000000000001</v>
      </c>
      <c r="F80" s="3">
        <v>1067.2</v>
      </c>
      <c r="G80" s="2">
        <v>1213.28</v>
      </c>
      <c r="H80" s="2">
        <v>0</v>
      </c>
      <c r="I80" s="4">
        <v>8</v>
      </c>
      <c r="J80" s="3">
        <v>0</v>
      </c>
      <c r="K80" s="4">
        <v>1075</v>
      </c>
      <c r="L80" s="2">
        <v>312.23</v>
      </c>
      <c r="M80" s="2">
        <v>57.81</v>
      </c>
      <c r="N80" s="2">
        <v>64.5</v>
      </c>
      <c r="O80" s="2">
        <v>39.130000000000003</v>
      </c>
      <c r="P80" s="2">
        <v>4.5</v>
      </c>
      <c r="Q80" s="4">
        <v>378822</v>
      </c>
      <c r="R80" s="4">
        <v>41947</v>
      </c>
      <c r="S80" s="4">
        <v>420769</v>
      </c>
      <c r="T80" s="4">
        <v>62146</v>
      </c>
      <c r="U80" s="4">
        <v>69338</v>
      </c>
      <c r="V80" s="4">
        <v>0</v>
      </c>
      <c r="W80" s="4">
        <v>47476</v>
      </c>
      <c r="X80" s="4">
        <v>5460</v>
      </c>
      <c r="Y80" s="4">
        <v>605189</v>
      </c>
      <c r="Z80" s="4">
        <v>73519</v>
      </c>
      <c r="AA80" s="4">
        <v>531670</v>
      </c>
      <c r="AB80" s="4">
        <v>275457</v>
      </c>
      <c r="AC80" s="4">
        <v>256213</v>
      </c>
    </row>
    <row r="81" spans="1:29" x14ac:dyDescent="0.25">
      <c r="A81" s="1" t="s">
        <v>62</v>
      </c>
      <c r="B81" s="1" t="s">
        <v>735</v>
      </c>
      <c r="C81" s="1" t="s">
        <v>87</v>
      </c>
      <c r="D81" s="1" t="s">
        <v>88</v>
      </c>
      <c r="E81" s="2">
        <v>21.32</v>
      </c>
      <c r="F81" s="3">
        <v>259.2</v>
      </c>
      <c r="G81" s="2">
        <v>280.52</v>
      </c>
      <c r="H81" s="2">
        <v>0</v>
      </c>
      <c r="I81" s="4">
        <v>1</v>
      </c>
      <c r="J81" s="3">
        <v>0</v>
      </c>
      <c r="K81" s="4">
        <v>260</v>
      </c>
      <c r="L81" s="2">
        <v>312.23</v>
      </c>
      <c r="M81" s="2">
        <v>57.81</v>
      </c>
      <c r="N81" s="2">
        <v>64.5</v>
      </c>
      <c r="O81" s="2">
        <v>39.130000000000003</v>
      </c>
      <c r="P81" s="2">
        <v>4.5</v>
      </c>
      <c r="Q81" s="4">
        <v>87587</v>
      </c>
      <c r="R81" s="4">
        <v>17788</v>
      </c>
      <c r="S81" s="4">
        <v>105375</v>
      </c>
      <c r="T81" s="4">
        <v>15031</v>
      </c>
      <c r="U81" s="4">
        <v>16770</v>
      </c>
      <c r="V81" s="4">
        <v>0</v>
      </c>
      <c r="W81" s="4">
        <v>11667</v>
      </c>
      <c r="X81" s="4">
        <v>1342</v>
      </c>
      <c r="Y81" s="4">
        <v>150185</v>
      </c>
      <c r="Z81" s="4">
        <v>17366</v>
      </c>
      <c r="AA81" s="4">
        <v>132819</v>
      </c>
      <c r="AB81" s="4">
        <v>64090</v>
      </c>
      <c r="AC81" s="4">
        <v>68729</v>
      </c>
    </row>
    <row r="82" spans="1:29" x14ac:dyDescent="0.25">
      <c r="A82" s="1" t="s">
        <v>62</v>
      </c>
      <c r="B82" s="1" t="s">
        <v>735</v>
      </c>
      <c r="C82" s="1" t="s">
        <v>85</v>
      </c>
      <c r="D82" s="1" t="s">
        <v>488</v>
      </c>
      <c r="E82" s="2">
        <v>79.599999999999994</v>
      </c>
      <c r="F82" s="3">
        <v>846.8</v>
      </c>
      <c r="G82" s="2">
        <v>926.4</v>
      </c>
      <c r="H82" s="2">
        <v>0</v>
      </c>
      <c r="I82" s="4">
        <v>4</v>
      </c>
      <c r="J82" s="3">
        <v>0</v>
      </c>
      <c r="K82" s="4">
        <v>851</v>
      </c>
      <c r="L82" s="2">
        <v>312.23</v>
      </c>
      <c r="M82" s="2">
        <v>57.81</v>
      </c>
      <c r="N82" s="2">
        <v>64.5</v>
      </c>
      <c r="O82" s="2">
        <v>39.130000000000003</v>
      </c>
      <c r="P82" s="2">
        <v>4.5</v>
      </c>
      <c r="Q82" s="4">
        <v>289250</v>
      </c>
      <c r="R82" s="4">
        <v>46900</v>
      </c>
      <c r="S82" s="4">
        <v>336150</v>
      </c>
      <c r="T82" s="4">
        <v>49196</v>
      </c>
      <c r="U82" s="4">
        <v>54890</v>
      </c>
      <c r="V82" s="4">
        <v>0</v>
      </c>
      <c r="W82" s="4">
        <v>37827</v>
      </c>
      <c r="X82" s="4">
        <v>4352</v>
      </c>
      <c r="Y82" s="4">
        <v>482415</v>
      </c>
      <c r="Z82" s="4">
        <v>49755</v>
      </c>
      <c r="AA82" s="4">
        <v>432660</v>
      </c>
      <c r="AB82" s="4">
        <v>218466</v>
      </c>
      <c r="AC82" s="4">
        <v>214194</v>
      </c>
    </row>
    <row r="83" spans="1:29" x14ac:dyDescent="0.25">
      <c r="A83" s="1" t="s">
        <v>62</v>
      </c>
      <c r="B83" s="1" t="s">
        <v>735</v>
      </c>
      <c r="C83" s="1" t="s">
        <v>86</v>
      </c>
      <c r="D83" s="1" t="s">
        <v>489</v>
      </c>
      <c r="E83" s="2">
        <v>85.54</v>
      </c>
      <c r="F83" s="3">
        <v>605.29999999999995</v>
      </c>
      <c r="G83" s="2">
        <v>690.84</v>
      </c>
      <c r="H83" s="2">
        <v>0</v>
      </c>
      <c r="I83" s="4">
        <v>1</v>
      </c>
      <c r="J83" s="3">
        <v>0</v>
      </c>
      <c r="K83" s="4">
        <v>606</v>
      </c>
      <c r="L83" s="2">
        <v>312.23</v>
      </c>
      <c r="M83" s="2">
        <v>57.81</v>
      </c>
      <c r="N83" s="2">
        <v>64.5</v>
      </c>
      <c r="O83" s="2">
        <v>39.130000000000003</v>
      </c>
      <c r="P83" s="2">
        <v>4.5</v>
      </c>
      <c r="Q83" s="4">
        <v>215701</v>
      </c>
      <c r="R83" s="4">
        <v>0</v>
      </c>
      <c r="S83" s="4">
        <v>215701</v>
      </c>
      <c r="T83" s="4">
        <v>35033</v>
      </c>
      <c r="U83" s="4">
        <v>39087</v>
      </c>
      <c r="V83" s="4">
        <v>0</v>
      </c>
      <c r="W83" s="4">
        <v>27033</v>
      </c>
      <c r="X83" s="4">
        <v>3109</v>
      </c>
      <c r="Y83" s="4">
        <v>319963</v>
      </c>
      <c r="Z83" s="4">
        <v>38194</v>
      </c>
      <c r="AA83" s="4">
        <v>281769</v>
      </c>
      <c r="AB83" s="4">
        <v>160513</v>
      </c>
      <c r="AC83" s="4">
        <v>121256</v>
      </c>
    </row>
    <row r="84" spans="1:29" x14ac:dyDescent="0.25">
      <c r="A84" s="1" t="s">
        <v>62</v>
      </c>
      <c r="B84" s="1" t="s">
        <v>735</v>
      </c>
      <c r="C84" s="1" t="s">
        <v>89</v>
      </c>
      <c r="D84" s="1" t="s">
        <v>490</v>
      </c>
      <c r="E84" s="2">
        <v>234.98</v>
      </c>
      <c r="F84" s="3">
        <v>1619.3</v>
      </c>
      <c r="G84" s="2">
        <v>1854.28</v>
      </c>
      <c r="H84" s="2">
        <v>0</v>
      </c>
      <c r="I84" s="4">
        <v>46</v>
      </c>
      <c r="J84" s="3">
        <v>0.6</v>
      </c>
      <c r="K84" s="4">
        <v>1665</v>
      </c>
      <c r="L84" s="2">
        <v>312.23</v>
      </c>
      <c r="M84" s="2">
        <v>57.81</v>
      </c>
      <c r="N84" s="2">
        <v>64.5</v>
      </c>
      <c r="O84" s="2">
        <v>39.130000000000003</v>
      </c>
      <c r="P84" s="2">
        <v>4.5</v>
      </c>
      <c r="Q84" s="4">
        <v>578962</v>
      </c>
      <c r="R84" s="4">
        <v>0</v>
      </c>
      <c r="S84" s="4">
        <v>578962</v>
      </c>
      <c r="T84" s="4">
        <v>96254</v>
      </c>
      <c r="U84" s="4">
        <v>107393</v>
      </c>
      <c r="V84" s="4">
        <v>0</v>
      </c>
      <c r="W84" s="4">
        <v>72558</v>
      </c>
      <c r="X84" s="4">
        <v>8344</v>
      </c>
      <c r="Y84" s="4">
        <v>863511</v>
      </c>
      <c r="Z84" s="4">
        <v>81962</v>
      </c>
      <c r="AA84" s="4">
        <v>781549</v>
      </c>
      <c r="AB84" s="4">
        <v>451384</v>
      </c>
      <c r="AC84" s="4">
        <v>330165</v>
      </c>
    </row>
    <row r="85" spans="1:29" x14ac:dyDescent="0.25">
      <c r="A85" s="1" t="s">
        <v>62</v>
      </c>
      <c r="B85" s="1" t="s">
        <v>735</v>
      </c>
      <c r="C85" s="1" t="s">
        <v>90</v>
      </c>
      <c r="D85" s="1" t="s">
        <v>491</v>
      </c>
      <c r="E85" s="2">
        <v>84.93</v>
      </c>
      <c r="F85" s="3">
        <v>646</v>
      </c>
      <c r="G85" s="2">
        <v>730.93</v>
      </c>
      <c r="H85" s="2">
        <v>0</v>
      </c>
      <c r="I85" s="4">
        <v>3</v>
      </c>
      <c r="J85" s="3">
        <v>0</v>
      </c>
      <c r="K85" s="4">
        <v>649</v>
      </c>
      <c r="L85" s="2">
        <v>312.23</v>
      </c>
      <c r="M85" s="2">
        <v>57.81</v>
      </c>
      <c r="N85" s="2">
        <v>64.5</v>
      </c>
      <c r="O85" s="2">
        <v>39.130000000000003</v>
      </c>
      <c r="P85" s="2">
        <v>4.5</v>
      </c>
      <c r="Q85" s="4">
        <v>228218</v>
      </c>
      <c r="R85" s="4">
        <v>0</v>
      </c>
      <c r="S85" s="4">
        <v>228218</v>
      </c>
      <c r="T85" s="4">
        <v>37519</v>
      </c>
      <c r="U85" s="4">
        <v>41861</v>
      </c>
      <c r="V85" s="4">
        <v>0</v>
      </c>
      <c r="W85" s="4">
        <v>28601</v>
      </c>
      <c r="X85" s="4">
        <v>3289</v>
      </c>
      <c r="Y85" s="4">
        <v>339488</v>
      </c>
      <c r="Z85" s="4">
        <v>29520</v>
      </c>
      <c r="AA85" s="4">
        <v>309968</v>
      </c>
      <c r="AB85" s="4">
        <v>180717</v>
      </c>
      <c r="AC85" s="4">
        <v>129251</v>
      </c>
    </row>
    <row r="86" spans="1:29" x14ac:dyDescent="0.25">
      <c r="A86" s="1" t="s">
        <v>62</v>
      </c>
      <c r="B86" s="1" t="s">
        <v>735</v>
      </c>
      <c r="C86" s="1" t="s">
        <v>91</v>
      </c>
      <c r="D86" s="1" t="s">
        <v>492</v>
      </c>
      <c r="E86" s="2">
        <v>153.47999999999999</v>
      </c>
      <c r="F86" s="3">
        <v>1169.5999999999999</v>
      </c>
      <c r="G86" s="2">
        <v>1323.08</v>
      </c>
      <c r="H86" s="2">
        <v>0</v>
      </c>
      <c r="I86" s="4">
        <v>5</v>
      </c>
      <c r="J86" s="3">
        <v>0</v>
      </c>
      <c r="K86" s="4">
        <v>1175</v>
      </c>
      <c r="L86" s="2">
        <v>312.23</v>
      </c>
      <c r="M86" s="2">
        <v>57.81</v>
      </c>
      <c r="N86" s="2">
        <v>64.5</v>
      </c>
      <c r="O86" s="2">
        <v>39.130000000000003</v>
      </c>
      <c r="P86" s="2">
        <v>4.5</v>
      </c>
      <c r="Q86" s="4">
        <v>413105</v>
      </c>
      <c r="R86" s="4">
        <v>6342</v>
      </c>
      <c r="S86" s="4">
        <v>419447</v>
      </c>
      <c r="T86" s="4">
        <v>67927</v>
      </c>
      <c r="U86" s="4">
        <v>75788</v>
      </c>
      <c r="V86" s="4">
        <v>0</v>
      </c>
      <c r="W86" s="4">
        <v>52786</v>
      </c>
      <c r="X86" s="4">
        <v>6073</v>
      </c>
      <c r="Y86" s="4">
        <v>622021</v>
      </c>
      <c r="Z86" s="4">
        <v>56126</v>
      </c>
      <c r="AA86" s="4">
        <v>565895</v>
      </c>
      <c r="AB86" s="4">
        <v>325565</v>
      </c>
      <c r="AC86" s="4">
        <v>240330</v>
      </c>
    </row>
    <row r="87" spans="1:29" x14ac:dyDescent="0.25">
      <c r="A87" s="1" t="s">
        <v>62</v>
      </c>
      <c r="B87" s="1" t="s">
        <v>735</v>
      </c>
      <c r="C87" s="1" t="s">
        <v>92</v>
      </c>
      <c r="D87" s="1" t="s">
        <v>493</v>
      </c>
      <c r="E87" s="2">
        <v>42.1</v>
      </c>
      <c r="F87" s="3">
        <v>419.6</v>
      </c>
      <c r="G87" s="2">
        <v>461.7</v>
      </c>
      <c r="H87" s="2">
        <v>0</v>
      </c>
      <c r="I87" s="4">
        <v>3</v>
      </c>
      <c r="J87" s="3">
        <v>0.2</v>
      </c>
      <c r="K87" s="4">
        <v>422</v>
      </c>
      <c r="L87" s="2">
        <v>312.23</v>
      </c>
      <c r="M87" s="2">
        <v>57.81</v>
      </c>
      <c r="N87" s="2">
        <v>64.5</v>
      </c>
      <c r="O87" s="2">
        <v>39.130000000000003</v>
      </c>
      <c r="P87" s="2">
        <v>4.5</v>
      </c>
      <c r="Q87" s="4">
        <v>144157</v>
      </c>
      <c r="R87" s="4">
        <v>8997</v>
      </c>
      <c r="S87" s="4">
        <v>153154</v>
      </c>
      <c r="T87" s="4">
        <v>24396</v>
      </c>
      <c r="U87" s="4">
        <v>27219</v>
      </c>
      <c r="V87" s="4">
        <v>0</v>
      </c>
      <c r="W87" s="4">
        <v>18253</v>
      </c>
      <c r="X87" s="4">
        <v>2100</v>
      </c>
      <c r="Y87" s="4">
        <v>225122</v>
      </c>
      <c r="Z87" s="4">
        <v>23920</v>
      </c>
      <c r="AA87" s="4">
        <v>201202</v>
      </c>
      <c r="AB87" s="4">
        <v>109088</v>
      </c>
      <c r="AC87" s="4">
        <v>92114</v>
      </c>
    </row>
    <row r="88" spans="1:29" x14ac:dyDescent="0.25">
      <c r="A88" s="1" t="s">
        <v>62</v>
      </c>
      <c r="B88" s="1" t="s">
        <v>735</v>
      </c>
      <c r="C88" s="1" t="s">
        <v>93</v>
      </c>
      <c r="D88" s="1" t="s">
        <v>494</v>
      </c>
      <c r="E88" s="2">
        <v>86.18</v>
      </c>
      <c r="F88" s="3">
        <v>703.4</v>
      </c>
      <c r="G88" s="2">
        <v>789.58</v>
      </c>
      <c r="H88" s="2">
        <v>0</v>
      </c>
      <c r="I88" s="4">
        <v>11</v>
      </c>
      <c r="J88" s="3">
        <v>0</v>
      </c>
      <c r="K88" s="4">
        <v>714</v>
      </c>
      <c r="L88" s="2">
        <v>312.23</v>
      </c>
      <c r="M88" s="2">
        <v>57.81</v>
      </c>
      <c r="N88" s="2">
        <v>64.5</v>
      </c>
      <c r="O88" s="2">
        <v>39.130000000000003</v>
      </c>
      <c r="P88" s="2">
        <v>4.5</v>
      </c>
      <c r="Q88" s="4">
        <v>246531</v>
      </c>
      <c r="R88" s="4">
        <v>0</v>
      </c>
      <c r="S88" s="4">
        <v>246531</v>
      </c>
      <c r="T88" s="4">
        <v>41276</v>
      </c>
      <c r="U88" s="4">
        <v>46053</v>
      </c>
      <c r="V88" s="4">
        <v>0</v>
      </c>
      <c r="W88" s="4">
        <v>30896</v>
      </c>
      <c r="X88" s="4">
        <v>3553</v>
      </c>
      <c r="Y88" s="4">
        <v>368309</v>
      </c>
      <c r="Z88" s="4">
        <v>34532</v>
      </c>
      <c r="AA88" s="4">
        <v>333777</v>
      </c>
      <c r="AB88" s="4">
        <v>192575</v>
      </c>
      <c r="AC88" s="4">
        <v>141202</v>
      </c>
    </row>
    <row r="89" spans="1:29" x14ac:dyDescent="0.25">
      <c r="A89" s="1" t="s">
        <v>62</v>
      </c>
      <c r="B89" s="1" t="s">
        <v>735</v>
      </c>
      <c r="C89" s="1" t="s">
        <v>94</v>
      </c>
      <c r="D89" s="1" t="s">
        <v>495</v>
      </c>
      <c r="E89" s="2">
        <v>205.1</v>
      </c>
      <c r="F89" s="3">
        <v>1426.6</v>
      </c>
      <c r="G89" s="2">
        <v>1631.7</v>
      </c>
      <c r="H89" s="2">
        <v>0</v>
      </c>
      <c r="I89" s="4">
        <v>139</v>
      </c>
      <c r="J89" s="3">
        <v>5.5</v>
      </c>
      <c r="K89" s="4">
        <v>1560</v>
      </c>
      <c r="L89" s="2">
        <v>312.23</v>
      </c>
      <c r="M89" s="2">
        <v>57.81</v>
      </c>
      <c r="N89" s="2">
        <v>64.5</v>
      </c>
      <c r="O89" s="2">
        <v>39.130000000000003</v>
      </c>
      <c r="P89" s="2">
        <v>4.5</v>
      </c>
      <c r="Q89" s="4">
        <v>509466</v>
      </c>
      <c r="R89" s="4">
        <v>0</v>
      </c>
      <c r="S89" s="4">
        <v>509466</v>
      </c>
      <c r="T89" s="4">
        <v>90184</v>
      </c>
      <c r="U89" s="4">
        <v>100620</v>
      </c>
      <c r="V89" s="4">
        <v>0</v>
      </c>
      <c r="W89" s="4">
        <v>63848</v>
      </c>
      <c r="X89" s="4">
        <v>7343</v>
      </c>
      <c r="Y89" s="4">
        <v>771461</v>
      </c>
      <c r="Z89" s="4">
        <v>73977</v>
      </c>
      <c r="AA89" s="4">
        <v>697484</v>
      </c>
      <c r="AB89" s="4">
        <v>395349</v>
      </c>
      <c r="AC89" s="4">
        <v>302135</v>
      </c>
    </row>
    <row r="90" spans="1:29" x14ac:dyDescent="0.25">
      <c r="A90" s="1" t="s">
        <v>62</v>
      </c>
      <c r="B90" s="1" t="s">
        <v>735</v>
      </c>
      <c r="C90" s="1" t="s">
        <v>95</v>
      </c>
      <c r="D90" s="1" t="s">
        <v>496</v>
      </c>
      <c r="E90" s="2">
        <v>124.81</v>
      </c>
      <c r="F90" s="3">
        <v>1040.0999999999999</v>
      </c>
      <c r="G90" s="2">
        <v>1164.9100000000001</v>
      </c>
      <c r="H90" s="2">
        <v>0</v>
      </c>
      <c r="I90" s="4">
        <v>2</v>
      </c>
      <c r="J90" s="3">
        <v>0</v>
      </c>
      <c r="K90" s="4">
        <v>1042</v>
      </c>
      <c r="L90" s="2">
        <v>312.23</v>
      </c>
      <c r="M90" s="2">
        <v>57.81</v>
      </c>
      <c r="N90" s="2">
        <v>64.5</v>
      </c>
      <c r="O90" s="2">
        <v>39.130000000000003</v>
      </c>
      <c r="P90" s="2">
        <v>4.5</v>
      </c>
      <c r="Q90" s="4">
        <v>363720</v>
      </c>
      <c r="R90" s="4">
        <v>4131</v>
      </c>
      <c r="S90" s="4">
        <v>367851</v>
      </c>
      <c r="T90" s="4">
        <v>60238</v>
      </c>
      <c r="U90" s="4">
        <v>67209</v>
      </c>
      <c r="V90" s="4">
        <v>0</v>
      </c>
      <c r="W90" s="4">
        <v>45583</v>
      </c>
      <c r="X90" s="4">
        <v>5242</v>
      </c>
      <c r="Y90" s="4">
        <v>546123</v>
      </c>
      <c r="Z90" s="4">
        <v>49711</v>
      </c>
      <c r="AA90" s="4">
        <v>496412</v>
      </c>
      <c r="AB90" s="4">
        <v>285352</v>
      </c>
      <c r="AC90" s="4">
        <v>211060</v>
      </c>
    </row>
    <row r="91" spans="1:29" x14ac:dyDescent="0.25">
      <c r="A91" s="1" t="s">
        <v>62</v>
      </c>
      <c r="B91" s="1" t="s">
        <v>735</v>
      </c>
      <c r="C91" s="1" t="s">
        <v>96</v>
      </c>
      <c r="D91" s="1" t="s">
        <v>497</v>
      </c>
      <c r="E91" s="2">
        <v>53.85</v>
      </c>
      <c r="F91" s="3">
        <v>436.2</v>
      </c>
      <c r="G91" s="2">
        <v>490.05</v>
      </c>
      <c r="H91" s="2">
        <v>0</v>
      </c>
      <c r="I91" s="4">
        <v>11</v>
      </c>
      <c r="J91" s="3">
        <v>0</v>
      </c>
      <c r="K91" s="4">
        <v>447</v>
      </c>
      <c r="L91" s="2">
        <v>312.23</v>
      </c>
      <c r="M91" s="2">
        <v>57.81</v>
      </c>
      <c r="N91" s="2">
        <v>64.5</v>
      </c>
      <c r="O91" s="2">
        <v>39.130000000000003</v>
      </c>
      <c r="P91" s="2">
        <v>4.5</v>
      </c>
      <c r="Q91" s="4">
        <v>153008</v>
      </c>
      <c r="R91" s="4">
        <v>0</v>
      </c>
      <c r="S91" s="4">
        <v>153008</v>
      </c>
      <c r="T91" s="4">
        <v>25841</v>
      </c>
      <c r="U91" s="4">
        <v>28832</v>
      </c>
      <c r="V91" s="4">
        <v>0</v>
      </c>
      <c r="W91" s="4">
        <v>19176</v>
      </c>
      <c r="X91" s="4">
        <v>2205</v>
      </c>
      <c r="Y91" s="4">
        <v>229062</v>
      </c>
      <c r="Z91" s="4">
        <v>15951</v>
      </c>
      <c r="AA91" s="4">
        <v>213111</v>
      </c>
      <c r="AB91" s="4">
        <v>125002</v>
      </c>
      <c r="AC91" s="4">
        <v>88109</v>
      </c>
    </row>
    <row r="92" spans="1:29" x14ac:dyDescent="0.25">
      <c r="A92" s="1" t="s">
        <v>62</v>
      </c>
      <c r="B92" s="1" t="s">
        <v>735</v>
      </c>
      <c r="C92" s="1" t="s">
        <v>97</v>
      </c>
      <c r="D92" s="1" t="s">
        <v>498</v>
      </c>
      <c r="E92" s="2">
        <v>95.4</v>
      </c>
      <c r="F92" s="3">
        <v>883.8</v>
      </c>
      <c r="G92" s="2">
        <v>979.2</v>
      </c>
      <c r="H92" s="2">
        <v>0</v>
      </c>
      <c r="I92" s="4">
        <v>123</v>
      </c>
      <c r="J92" s="3">
        <v>0</v>
      </c>
      <c r="K92" s="4">
        <v>1007</v>
      </c>
      <c r="L92" s="2">
        <v>312.23</v>
      </c>
      <c r="M92" s="2">
        <v>57.81</v>
      </c>
      <c r="N92" s="2">
        <v>64.5</v>
      </c>
      <c r="O92" s="2">
        <v>39.130000000000003</v>
      </c>
      <c r="P92" s="2">
        <v>4.5</v>
      </c>
      <c r="Q92" s="4">
        <v>305736</v>
      </c>
      <c r="R92" s="4">
        <v>4887</v>
      </c>
      <c r="S92" s="4">
        <v>310623</v>
      </c>
      <c r="T92" s="4">
        <v>58215</v>
      </c>
      <c r="U92" s="4">
        <v>64952</v>
      </c>
      <c r="V92" s="4">
        <v>0</v>
      </c>
      <c r="W92" s="4">
        <v>39091</v>
      </c>
      <c r="X92" s="4">
        <v>4497</v>
      </c>
      <c r="Y92" s="4">
        <v>477378</v>
      </c>
      <c r="Z92" s="4">
        <v>41079</v>
      </c>
      <c r="AA92" s="4">
        <v>436299</v>
      </c>
      <c r="AB92" s="4">
        <v>241434</v>
      </c>
      <c r="AC92" s="4">
        <v>194865</v>
      </c>
    </row>
    <row r="93" spans="1:29" x14ac:dyDescent="0.25">
      <c r="A93" s="1" t="s">
        <v>62</v>
      </c>
      <c r="B93" s="1" t="s">
        <v>735</v>
      </c>
      <c r="C93" s="1" t="s">
        <v>98</v>
      </c>
      <c r="D93" s="1" t="s">
        <v>499</v>
      </c>
      <c r="E93" s="2">
        <v>82.39</v>
      </c>
      <c r="F93" s="3">
        <v>573.5</v>
      </c>
      <c r="G93" s="2">
        <v>655.89</v>
      </c>
      <c r="H93" s="2">
        <v>0</v>
      </c>
      <c r="I93" s="4">
        <v>0</v>
      </c>
      <c r="J93" s="3">
        <v>0</v>
      </c>
      <c r="K93" s="4">
        <v>574</v>
      </c>
      <c r="L93" s="2">
        <v>312.23</v>
      </c>
      <c r="M93" s="2">
        <v>57.81</v>
      </c>
      <c r="N93" s="2">
        <v>64.5</v>
      </c>
      <c r="O93" s="2">
        <v>39.130000000000003</v>
      </c>
      <c r="P93" s="2">
        <v>4.5</v>
      </c>
      <c r="Q93" s="4">
        <v>204789</v>
      </c>
      <c r="R93" s="4">
        <v>6168</v>
      </c>
      <c r="S93" s="4">
        <v>210957</v>
      </c>
      <c r="T93" s="4">
        <v>33183</v>
      </c>
      <c r="U93" s="4">
        <v>37023</v>
      </c>
      <c r="V93" s="4">
        <v>0</v>
      </c>
      <c r="W93" s="4">
        <v>26077</v>
      </c>
      <c r="X93" s="4">
        <v>3000</v>
      </c>
      <c r="Y93" s="4">
        <v>310240</v>
      </c>
      <c r="Z93" s="4">
        <v>32934</v>
      </c>
      <c r="AA93" s="4">
        <v>277306</v>
      </c>
      <c r="AB93" s="4">
        <v>156180</v>
      </c>
      <c r="AC93" s="4">
        <v>121126</v>
      </c>
    </row>
    <row r="94" spans="1:29" x14ac:dyDescent="0.25">
      <c r="A94" s="1" t="s">
        <v>62</v>
      </c>
      <c r="B94" s="1" t="s">
        <v>735</v>
      </c>
      <c r="C94" s="1" t="s">
        <v>99</v>
      </c>
      <c r="D94" s="1" t="s">
        <v>500</v>
      </c>
      <c r="E94" s="2">
        <v>723.6</v>
      </c>
      <c r="F94" s="3">
        <v>5420.2</v>
      </c>
      <c r="G94" s="2">
        <v>6143.8</v>
      </c>
      <c r="H94" s="2">
        <v>0</v>
      </c>
      <c r="I94" s="4">
        <v>223</v>
      </c>
      <c r="J94" s="3">
        <v>2.8</v>
      </c>
      <c r="K94" s="4">
        <v>5640</v>
      </c>
      <c r="L94" s="2">
        <v>312.23</v>
      </c>
      <c r="M94" s="2">
        <v>57.81</v>
      </c>
      <c r="N94" s="2">
        <v>64.5</v>
      </c>
      <c r="O94" s="2">
        <v>39.130000000000003</v>
      </c>
      <c r="P94" s="2">
        <v>4.5</v>
      </c>
      <c r="Q94" s="4">
        <v>1918279</v>
      </c>
      <c r="R94" s="4">
        <v>0</v>
      </c>
      <c r="S94" s="4">
        <v>1918279</v>
      </c>
      <c r="T94" s="4">
        <v>326048</v>
      </c>
      <c r="U94" s="4">
        <v>363780</v>
      </c>
      <c r="V94" s="4">
        <v>0</v>
      </c>
      <c r="W94" s="4">
        <v>240407</v>
      </c>
      <c r="X94" s="4">
        <v>27647</v>
      </c>
      <c r="Y94" s="4">
        <v>2876161</v>
      </c>
      <c r="Z94" s="4">
        <v>232815</v>
      </c>
      <c r="AA94" s="4">
        <v>2643346</v>
      </c>
      <c r="AB94" s="4">
        <v>1534326</v>
      </c>
      <c r="AC94" s="4">
        <v>1109020</v>
      </c>
    </row>
    <row r="95" spans="1:29" x14ac:dyDescent="0.25">
      <c r="A95" s="1" t="s">
        <v>62</v>
      </c>
      <c r="B95" s="1" t="s">
        <v>735</v>
      </c>
      <c r="C95" s="1" t="s">
        <v>100</v>
      </c>
      <c r="D95" s="1" t="s">
        <v>501</v>
      </c>
      <c r="E95" s="2">
        <v>693.65</v>
      </c>
      <c r="F95" s="3">
        <v>3624.6</v>
      </c>
      <c r="G95" s="2">
        <v>4318.25</v>
      </c>
      <c r="H95" s="2">
        <v>0</v>
      </c>
      <c r="I95" s="4">
        <v>692</v>
      </c>
      <c r="J95" s="3">
        <v>4.9000000000000004</v>
      </c>
      <c r="K95" s="4">
        <v>4312</v>
      </c>
      <c r="L95" s="2">
        <v>312.23</v>
      </c>
      <c r="M95" s="2">
        <v>57.81</v>
      </c>
      <c r="N95" s="2">
        <v>64.5</v>
      </c>
      <c r="O95" s="2">
        <v>39.130000000000003</v>
      </c>
      <c r="P95" s="2">
        <v>4.5</v>
      </c>
      <c r="Q95" s="4">
        <v>1348287</v>
      </c>
      <c r="R95" s="4">
        <v>0</v>
      </c>
      <c r="S95" s="4">
        <v>1348287</v>
      </c>
      <c r="T95" s="4">
        <v>249277</v>
      </c>
      <c r="U95" s="4">
        <v>278124</v>
      </c>
      <c r="V95" s="4">
        <v>0</v>
      </c>
      <c r="W95" s="4">
        <v>168973</v>
      </c>
      <c r="X95" s="4">
        <v>19432</v>
      </c>
      <c r="Y95" s="4">
        <v>2064093</v>
      </c>
      <c r="Z95" s="4">
        <v>218724</v>
      </c>
      <c r="AA95" s="4">
        <v>1845369</v>
      </c>
      <c r="AB95" s="4">
        <v>1023334</v>
      </c>
      <c r="AC95" s="4">
        <v>822035</v>
      </c>
    </row>
    <row r="96" spans="1:29" x14ac:dyDescent="0.25">
      <c r="A96" s="1" t="s">
        <v>62</v>
      </c>
      <c r="B96" s="1" t="s">
        <v>735</v>
      </c>
      <c r="C96" s="1" t="s">
        <v>101</v>
      </c>
      <c r="D96" s="1" t="s">
        <v>502</v>
      </c>
      <c r="E96" s="2">
        <v>61.55</v>
      </c>
      <c r="F96" s="3">
        <v>485.5</v>
      </c>
      <c r="G96" s="2">
        <v>547.04999999999995</v>
      </c>
      <c r="H96" s="2">
        <v>0</v>
      </c>
      <c r="I96" s="4">
        <v>5</v>
      </c>
      <c r="J96" s="3">
        <v>0</v>
      </c>
      <c r="K96" s="4">
        <v>491</v>
      </c>
      <c r="L96" s="2">
        <v>312.23</v>
      </c>
      <c r="M96" s="2">
        <v>57.81</v>
      </c>
      <c r="N96" s="2">
        <v>64.5</v>
      </c>
      <c r="O96" s="2">
        <v>39.130000000000003</v>
      </c>
      <c r="P96" s="2">
        <v>4.5</v>
      </c>
      <c r="Q96" s="4">
        <v>170805</v>
      </c>
      <c r="R96" s="4">
        <v>2732</v>
      </c>
      <c r="S96" s="4">
        <v>173537</v>
      </c>
      <c r="T96" s="4">
        <v>28385</v>
      </c>
      <c r="U96" s="4">
        <v>31670</v>
      </c>
      <c r="V96" s="4">
        <v>0</v>
      </c>
      <c r="W96" s="4">
        <v>21406</v>
      </c>
      <c r="X96" s="4">
        <v>2462</v>
      </c>
      <c r="Y96" s="4">
        <v>257460</v>
      </c>
      <c r="Z96" s="4">
        <v>24738</v>
      </c>
      <c r="AA96" s="4">
        <v>232722</v>
      </c>
      <c r="AB96" s="4">
        <v>132610</v>
      </c>
      <c r="AC96" s="4">
        <v>100112</v>
      </c>
    </row>
    <row r="97" spans="1:29" x14ac:dyDescent="0.25">
      <c r="A97" s="1" t="s">
        <v>62</v>
      </c>
      <c r="B97" s="1" t="s">
        <v>735</v>
      </c>
      <c r="C97" s="1" t="s">
        <v>102</v>
      </c>
      <c r="D97" s="1" t="s">
        <v>503</v>
      </c>
      <c r="E97" s="2">
        <v>76.73</v>
      </c>
      <c r="F97" s="3">
        <v>585.20000000000005</v>
      </c>
      <c r="G97" s="2">
        <v>661.93</v>
      </c>
      <c r="H97" s="2">
        <v>0</v>
      </c>
      <c r="I97" s="4">
        <v>3</v>
      </c>
      <c r="J97" s="3">
        <v>0</v>
      </c>
      <c r="K97" s="4">
        <v>588</v>
      </c>
      <c r="L97" s="2">
        <v>312.23</v>
      </c>
      <c r="M97" s="2">
        <v>57.81</v>
      </c>
      <c r="N97" s="2">
        <v>64.5</v>
      </c>
      <c r="O97" s="2">
        <v>39.130000000000003</v>
      </c>
      <c r="P97" s="2">
        <v>4.5</v>
      </c>
      <c r="Q97" s="4">
        <v>206674</v>
      </c>
      <c r="R97" s="4">
        <v>0</v>
      </c>
      <c r="S97" s="4">
        <v>206674</v>
      </c>
      <c r="T97" s="4">
        <v>33992</v>
      </c>
      <c r="U97" s="4">
        <v>37926</v>
      </c>
      <c r="V97" s="4">
        <v>0</v>
      </c>
      <c r="W97" s="4">
        <v>25901</v>
      </c>
      <c r="X97" s="4">
        <v>2979</v>
      </c>
      <c r="Y97" s="4">
        <v>307472</v>
      </c>
      <c r="Z97" s="4">
        <v>37009</v>
      </c>
      <c r="AA97" s="4">
        <v>270463</v>
      </c>
      <c r="AB97" s="4">
        <v>153382</v>
      </c>
      <c r="AC97" s="4">
        <v>117081</v>
      </c>
    </row>
    <row r="98" spans="1:29" x14ac:dyDescent="0.25">
      <c r="A98" s="1" t="s">
        <v>62</v>
      </c>
      <c r="B98" s="1" t="s">
        <v>735</v>
      </c>
      <c r="C98" s="1" t="s">
        <v>103</v>
      </c>
      <c r="D98" s="1" t="s">
        <v>504</v>
      </c>
      <c r="E98" s="2">
        <v>68.25</v>
      </c>
      <c r="F98" s="3">
        <v>560.6</v>
      </c>
      <c r="G98" s="2">
        <v>628.85</v>
      </c>
      <c r="H98" s="2">
        <v>0</v>
      </c>
      <c r="I98" s="4">
        <v>2</v>
      </c>
      <c r="J98" s="3">
        <v>0</v>
      </c>
      <c r="K98" s="4">
        <v>563</v>
      </c>
      <c r="L98" s="2">
        <v>312.23</v>
      </c>
      <c r="M98" s="2">
        <v>57.81</v>
      </c>
      <c r="N98" s="2">
        <v>64.5</v>
      </c>
      <c r="O98" s="2">
        <v>39.130000000000003</v>
      </c>
      <c r="P98" s="2">
        <v>4.5</v>
      </c>
      <c r="Q98" s="4">
        <v>196346</v>
      </c>
      <c r="R98" s="4">
        <v>11530</v>
      </c>
      <c r="S98" s="4">
        <v>207876</v>
      </c>
      <c r="T98" s="4">
        <v>32547</v>
      </c>
      <c r="U98" s="4">
        <v>36314</v>
      </c>
      <c r="V98" s="4">
        <v>0</v>
      </c>
      <c r="W98" s="4">
        <v>24733</v>
      </c>
      <c r="X98" s="4">
        <v>2845</v>
      </c>
      <c r="Y98" s="4">
        <v>304315</v>
      </c>
      <c r="Z98" s="4">
        <v>32769</v>
      </c>
      <c r="AA98" s="4">
        <v>271546</v>
      </c>
      <c r="AB98" s="4">
        <v>148248</v>
      </c>
      <c r="AC98" s="4">
        <v>123298</v>
      </c>
    </row>
    <row r="99" spans="1:29" x14ac:dyDescent="0.25">
      <c r="A99" s="1" t="s">
        <v>62</v>
      </c>
      <c r="B99" s="1" t="s">
        <v>735</v>
      </c>
      <c r="C99" s="1" t="s">
        <v>104</v>
      </c>
      <c r="D99" s="1" t="s">
        <v>505</v>
      </c>
      <c r="E99" s="2">
        <v>48.29</v>
      </c>
      <c r="F99" s="3">
        <v>445.2</v>
      </c>
      <c r="G99" s="2">
        <v>493.49</v>
      </c>
      <c r="H99" s="2">
        <v>0</v>
      </c>
      <c r="I99" s="4">
        <v>1</v>
      </c>
      <c r="J99" s="3">
        <v>0</v>
      </c>
      <c r="K99" s="4">
        <v>446</v>
      </c>
      <c r="L99" s="2">
        <v>312.23</v>
      </c>
      <c r="M99" s="2">
        <v>57.81</v>
      </c>
      <c r="N99" s="2">
        <v>64.5</v>
      </c>
      <c r="O99" s="2">
        <v>39.130000000000003</v>
      </c>
      <c r="P99" s="2">
        <v>4.5</v>
      </c>
      <c r="Q99" s="4">
        <v>154082</v>
      </c>
      <c r="R99" s="4">
        <v>6040</v>
      </c>
      <c r="S99" s="4">
        <v>160122</v>
      </c>
      <c r="T99" s="4">
        <v>25783</v>
      </c>
      <c r="U99" s="4">
        <v>28767</v>
      </c>
      <c r="V99" s="4">
        <v>0</v>
      </c>
      <c r="W99" s="4">
        <v>19456</v>
      </c>
      <c r="X99" s="4">
        <v>2238</v>
      </c>
      <c r="Y99" s="4">
        <v>236366</v>
      </c>
      <c r="Z99" s="4">
        <v>29571</v>
      </c>
      <c r="AA99" s="4">
        <v>206795</v>
      </c>
      <c r="AB99" s="4">
        <v>112535</v>
      </c>
      <c r="AC99" s="4">
        <v>94260</v>
      </c>
    </row>
    <row r="100" spans="1:29" x14ac:dyDescent="0.25">
      <c r="A100" s="1" t="s">
        <v>62</v>
      </c>
      <c r="B100" s="1" t="s">
        <v>735</v>
      </c>
      <c r="C100" s="1" t="s">
        <v>105</v>
      </c>
      <c r="D100" s="1" t="s">
        <v>506</v>
      </c>
      <c r="E100" s="2">
        <v>67.040000000000006</v>
      </c>
      <c r="F100" s="3">
        <v>446</v>
      </c>
      <c r="G100" s="2">
        <v>513.04</v>
      </c>
      <c r="H100" s="2">
        <v>0</v>
      </c>
      <c r="I100" s="4">
        <v>0</v>
      </c>
      <c r="J100" s="3">
        <v>0</v>
      </c>
      <c r="K100" s="4">
        <v>446</v>
      </c>
      <c r="L100" s="2">
        <v>312.23</v>
      </c>
      <c r="M100" s="2">
        <v>57.81</v>
      </c>
      <c r="N100" s="2">
        <v>64.5</v>
      </c>
      <c r="O100" s="2">
        <v>39.130000000000003</v>
      </c>
      <c r="P100" s="2">
        <v>4.5</v>
      </c>
      <c r="Q100" s="4">
        <v>160186</v>
      </c>
      <c r="R100" s="4">
        <v>0</v>
      </c>
      <c r="S100" s="4">
        <v>160186</v>
      </c>
      <c r="T100" s="4">
        <v>25783</v>
      </c>
      <c r="U100" s="4">
        <v>28767</v>
      </c>
      <c r="V100" s="4">
        <v>0</v>
      </c>
      <c r="W100" s="4">
        <v>20075</v>
      </c>
      <c r="X100" s="4">
        <v>2309</v>
      </c>
      <c r="Y100" s="4">
        <v>237120</v>
      </c>
      <c r="Z100" s="4">
        <v>23815</v>
      </c>
      <c r="AA100" s="4">
        <v>213305</v>
      </c>
      <c r="AB100" s="4">
        <v>123751</v>
      </c>
      <c r="AC100" s="4">
        <v>89554</v>
      </c>
    </row>
    <row r="101" spans="1:29" x14ac:dyDescent="0.25">
      <c r="A101" s="1" t="s">
        <v>62</v>
      </c>
      <c r="B101" s="1" t="s">
        <v>735</v>
      </c>
      <c r="C101" s="1" t="s">
        <v>106</v>
      </c>
      <c r="D101" s="1" t="s">
        <v>507</v>
      </c>
      <c r="E101" s="2">
        <v>62.32</v>
      </c>
      <c r="F101" s="3">
        <v>508.8</v>
      </c>
      <c r="G101" s="2">
        <v>571.12</v>
      </c>
      <c r="H101" s="2">
        <v>0</v>
      </c>
      <c r="I101" s="4">
        <v>1</v>
      </c>
      <c r="J101" s="3">
        <v>0</v>
      </c>
      <c r="K101" s="4">
        <v>510</v>
      </c>
      <c r="L101" s="2">
        <v>312.23</v>
      </c>
      <c r="M101" s="2">
        <v>57.81</v>
      </c>
      <c r="N101" s="2">
        <v>64.5</v>
      </c>
      <c r="O101" s="2">
        <v>39.130000000000003</v>
      </c>
      <c r="P101" s="2">
        <v>4.5</v>
      </c>
      <c r="Q101" s="4">
        <v>178321</v>
      </c>
      <c r="R101" s="4">
        <v>0</v>
      </c>
      <c r="S101" s="4">
        <v>178321</v>
      </c>
      <c r="T101" s="4">
        <v>29483</v>
      </c>
      <c r="U101" s="4">
        <v>32895</v>
      </c>
      <c r="V101" s="4">
        <v>0</v>
      </c>
      <c r="W101" s="4">
        <v>22348</v>
      </c>
      <c r="X101" s="4">
        <v>2570</v>
      </c>
      <c r="Y101" s="4">
        <v>265617</v>
      </c>
      <c r="Z101" s="4">
        <v>25116</v>
      </c>
      <c r="AA101" s="4">
        <v>240501</v>
      </c>
      <c r="AB101" s="4">
        <v>139155</v>
      </c>
      <c r="AC101" s="4">
        <v>101346</v>
      </c>
    </row>
    <row r="102" spans="1:29" x14ac:dyDescent="0.25">
      <c r="A102" s="1" t="s">
        <v>62</v>
      </c>
      <c r="B102" s="1" t="s">
        <v>735</v>
      </c>
      <c r="C102" s="1" t="s">
        <v>107</v>
      </c>
      <c r="D102" s="1" t="s">
        <v>508</v>
      </c>
      <c r="E102" s="2">
        <v>78.14</v>
      </c>
      <c r="F102" s="3">
        <v>902.4</v>
      </c>
      <c r="G102" s="2">
        <v>980.54</v>
      </c>
      <c r="H102" s="2">
        <v>0</v>
      </c>
      <c r="I102" s="4">
        <v>5</v>
      </c>
      <c r="J102" s="3">
        <v>0</v>
      </c>
      <c r="K102" s="4">
        <v>907</v>
      </c>
      <c r="L102" s="2">
        <v>312.23</v>
      </c>
      <c r="M102" s="2">
        <v>57.81</v>
      </c>
      <c r="N102" s="2">
        <v>64.5</v>
      </c>
      <c r="O102" s="2">
        <v>39.130000000000003</v>
      </c>
      <c r="P102" s="2">
        <v>4.5</v>
      </c>
      <c r="Q102" s="4">
        <v>306154</v>
      </c>
      <c r="R102" s="4">
        <v>1263</v>
      </c>
      <c r="S102" s="4">
        <v>307417</v>
      </c>
      <c r="T102" s="4">
        <v>52434</v>
      </c>
      <c r="U102" s="4">
        <v>58502</v>
      </c>
      <c r="V102" s="4">
        <v>0</v>
      </c>
      <c r="W102" s="4">
        <v>38423</v>
      </c>
      <c r="X102" s="4">
        <v>4420</v>
      </c>
      <c r="Y102" s="4">
        <v>461196</v>
      </c>
      <c r="Z102" s="4">
        <v>47573</v>
      </c>
      <c r="AA102" s="4">
        <v>413623</v>
      </c>
      <c r="AB102" s="4">
        <v>234522</v>
      </c>
      <c r="AC102" s="4">
        <v>179101</v>
      </c>
    </row>
    <row r="103" spans="1:29" x14ac:dyDescent="0.25">
      <c r="A103" s="1" t="s">
        <v>62</v>
      </c>
      <c r="B103" s="1" t="s">
        <v>735</v>
      </c>
      <c r="C103" s="1" t="s">
        <v>108</v>
      </c>
      <c r="D103" s="1" t="s">
        <v>509</v>
      </c>
      <c r="E103" s="2">
        <v>64.36</v>
      </c>
      <c r="F103" s="3">
        <v>404</v>
      </c>
      <c r="G103" s="2">
        <v>468.36</v>
      </c>
      <c r="H103" s="2">
        <v>0</v>
      </c>
      <c r="I103" s="4">
        <v>6</v>
      </c>
      <c r="J103" s="3">
        <v>0</v>
      </c>
      <c r="K103" s="4">
        <v>410</v>
      </c>
      <c r="L103" s="2">
        <v>312.23</v>
      </c>
      <c r="M103" s="2">
        <v>57.81</v>
      </c>
      <c r="N103" s="2">
        <v>64.5</v>
      </c>
      <c r="O103" s="2">
        <v>39.130000000000003</v>
      </c>
      <c r="P103" s="2">
        <v>4.5</v>
      </c>
      <c r="Q103" s="4">
        <v>146236</v>
      </c>
      <c r="R103" s="4">
        <v>11787</v>
      </c>
      <c r="S103" s="4">
        <v>158023</v>
      </c>
      <c r="T103" s="4">
        <v>23702</v>
      </c>
      <c r="U103" s="4">
        <v>26445</v>
      </c>
      <c r="V103" s="4">
        <v>0</v>
      </c>
      <c r="W103" s="4">
        <v>18488</v>
      </c>
      <c r="X103" s="4">
        <v>2127</v>
      </c>
      <c r="Y103" s="4">
        <v>228785</v>
      </c>
      <c r="Z103" s="4">
        <v>29454</v>
      </c>
      <c r="AA103" s="4">
        <v>199331</v>
      </c>
      <c r="AB103" s="4">
        <v>105441</v>
      </c>
      <c r="AC103" s="4">
        <v>93890</v>
      </c>
    </row>
    <row r="104" spans="1:29" x14ac:dyDescent="0.25">
      <c r="A104" s="1" t="s">
        <v>62</v>
      </c>
      <c r="B104" s="1" t="s">
        <v>735</v>
      </c>
      <c r="C104" s="1" t="s">
        <v>109</v>
      </c>
      <c r="D104" s="1" t="s">
        <v>510</v>
      </c>
      <c r="E104" s="2">
        <v>252.64</v>
      </c>
      <c r="F104" s="3">
        <v>1528.5</v>
      </c>
      <c r="G104" s="2">
        <v>1781.14</v>
      </c>
      <c r="H104" s="2">
        <v>0</v>
      </c>
      <c r="I104" s="4">
        <v>1</v>
      </c>
      <c r="J104" s="3">
        <v>0</v>
      </c>
      <c r="K104" s="4">
        <v>1530</v>
      </c>
      <c r="L104" s="2">
        <v>312.23</v>
      </c>
      <c r="M104" s="2">
        <v>57.81</v>
      </c>
      <c r="N104" s="2">
        <v>64.5</v>
      </c>
      <c r="O104" s="2">
        <v>39.130000000000003</v>
      </c>
      <c r="P104" s="2">
        <v>4.5</v>
      </c>
      <c r="Q104" s="4">
        <v>556125</v>
      </c>
      <c r="R104" s="4">
        <v>0</v>
      </c>
      <c r="S104" s="4">
        <v>556125</v>
      </c>
      <c r="T104" s="4">
        <v>88449</v>
      </c>
      <c r="U104" s="4">
        <v>98685</v>
      </c>
      <c r="V104" s="4">
        <v>0</v>
      </c>
      <c r="W104" s="4">
        <v>69696</v>
      </c>
      <c r="X104" s="4">
        <v>8015</v>
      </c>
      <c r="Y104" s="4">
        <v>820970</v>
      </c>
      <c r="Z104" s="4">
        <v>75549</v>
      </c>
      <c r="AA104" s="4">
        <v>745421</v>
      </c>
      <c r="AB104" s="4">
        <v>436760</v>
      </c>
      <c r="AC104" s="4">
        <v>308661</v>
      </c>
    </row>
    <row r="105" spans="1:29" x14ac:dyDescent="0.25">
      <c r="A105" s="1" t="s">
        <v>62</v>
      </c>
      <c r="B105" s="1" t="s">
        <v>735</v>
      </c>
      <c r="C105" s="1" t="s">
        <v>110</v>
      </c>
      <c r="D105" s="1" t="s">
        <v>511</v>
      </c>
      <c r="E105" s="2">
        <v>49.32</v>
      </c>
      <c r="F105" s="3">
        <v>575.1</v>
      </c>
      <c r="G105" s="2">
        <v>624.41999999999996</v>
      </c>
      <c r="H105" s="2">
        <v>0</v>
      </c>
      <c r="I105" s="4">
        <v>0</v>
      </c>
      <c r="J105" s="3">
        <v>0</v>
      </c>
      <c r="K105" s="4">
        <v>575</v>
      </c>
      <c r="L105" s="2">
        <v>312.23</v>
      </c>
      <c r="M105" s="2">
        <v>57.81</v>
      </c>
      <c r="N105" s="2">
        <v>64.5</v>
      </c>
      <c r="O105" s="2">
        <v>39.130000000000003</v>
      </c>
      <c r="P105" s="2">
        <v>4.5</v>
      </c>
      <c r="Q105" s="4">
        <v>194963</v>
      </c>
      <c r="R105" s="4">
        <v>4309</v>
      </c>
      <c r="S105" s="4">
        <v>199272</v>
      </c>
      <c r="T105" s="4">
        <v>33241</v>
      </c>
      <c r="U105" s="4">
        <v>37088</v>
      </c>
      <c r="V105" s="4">
        <v>0</v>
      </c>
      <c r="W105" s="4">
        <v>24511</v>
      </c>
      <c r="X105" s="4">
        <v>2820</v>
      </c>
      <c r="Y105" s="4">
        <v>296932</v>
      </c>
      <c r="Z105" s="4">
        <v>34964</v>
      </c>
      <c r="AA105" s="4">
        <v>261968</v>
      </c>
      <c r="AB105" s="4">
        <v>144725</v>
      </c>
      <c r="AC105" s="4">
        <v>117243</v>
      </c>
    </row>
    <row r="106" spans="1:29" x14ac:dyDescent="0.25">
      <c r="A106" s="1" t="s">
        <v>62</v>
      </c>
      <c r="B106" s="1" t="s">
        <v>735</v>
      </c>
      <c r="C106" s="1" t="s">
        <v>111</v>
      </c>
      <c r="D106" s="1" t="s">
        <v>512</v>
      </c>
      <c r="E106" s="2">
        <v>135.46</v>
      </c>
      <c r="F106" s="3">
        <v>797.3</v>
      </c>
      <c r="G106" s="2">
        <v>932.76</v>
      </c>
      <c r="H106" s="2">
        <v>0</v>
      </c>
      <c r="I106" s="4">
        <v>2</v>
      </c>
      <c r="J106" s="3">
        <v>0</v>
      </c>
      <c r="K106" s="4">
        <v>799</v>
      </c>
      <c r="L106" s="2">
        <v>312.23</v>
      </c>
      <c r="M106" s="2">
        <v>57.81</v>
      </c>
      <c r="N106" s="2">
        <v>64.5</v>
      </c>
      <c r="O106" s="2">
        <v>39.130000000000003</v>
      </c>
      <c r="P106" s="2">
        <v>4.5</v>
      </c>
      <c r="Q106" s="4">
        <v>291236</v>
      </c>
      <c r="R106" s="4">
        <v>0</v>
      </c>
      <c r="S106" s="4">
        <v>291236</v>
      </c>
      <c r="T106" s="4">
        <v>46190</v>
      </c>
      <c r="U106" s="4">
        <v>51536</v>
      </c>
      <c r="V106" s="4">
        <v>0</v>
      </c>
      <c r="W106" s="4">
        <v>36499</v>
      </c>
      <c r="X106" s="4">
        <v>4197</v>
      </c>
      <c r="Y106" s="4">
        <v>429658</v>
      </c>
      <c r="Z106" s="4">
        <v>48164</v>
      </c>
      <c r="AA106" s="4">
        <v>381494</v>
      </c>
      <c r="AB106" s="4">
        <v>220125</v>
      </c>
      <c r="AC106" s="4">
        <v>161369</v>
      </c>
    </row>
    <row r="107" spans="1:29" x14ac:dyDescent="0.25">
      <c r="A107" s="1" t="s">
        <v>62</v>
      </c>
      <c r="B107" s="1" t="s">
        <v>735</v>
      </c>
      <c r="C107" s="1" t="s">
        <v>112</v>
      </c>
      <c r="D107" s="1" t="s">
        <v>513</v>
      </c>
      <c r="E107" s="2">
        <v>62.27</v>
      </c>
      <c r="F107" s="3">
        <v>410</v>
      </c>
      <c r="G107" s="2">
        <v>472.27</v>
      </c>
      <c r="H107" s="2">
        <v>0</v>
      </c>
      <c r="I107" s="4">
        <v>0</v>
      </c>
      <c r="J107" s="3">
        <v>0</v>
      </c>
      <c r="K107" s="4">
        <v>410</v>
      </c>
      <c r="L107" s="2">
        <v>312.23</v>
      </c>
      <c r="M107" s="2">
        <v>57.81</v>
      </c>
      <c r="N107" s="2">
        <v>64.5</v>
      </c>
      <c r="O107" s="2">
        <v>39.130000000000003</v>
      </c>
      <c r="P107" s="2">
        <v>4.5</v>
      </c>
      <c r="Q107" s="4">
        <v>147457</v>
      </c>
      <c r="R107" s="4">
        <v>4867</v>
      </c>
      <c r="S107" s="4">
        <v>152324</v>
      </c>
      <c r="T107" s="4">
        <v>23702</v>
      </c>
      <c r="U107" s="4">
        <v>26445</v>
      </c>
      <c r="V107" s="4">
        <v>0</v>
      </c>
      <c r="W107" s="4">
        <v>18480</v>
      </c>
      <c r="X107" s="4">
        <v>2125</v>
      </c>
      <c r="Y107" s="4">
        <v>223076</v>
      </c>
      <c r="Z107" s="4">
        <v>22675</v>
      </c>
      <c r="AA107" s="4">
        <v>200401</v>
      </c>
      <c r="AB107" s="4">
        <v>113164</v>
      </c>
      <c r="AC107" s="4">
        <v>87237</v>
      </c>
    </row>
    <row r="108" spans="1:29" x14ac:dyDescent="0.25">
      <c r="A108" s="1" t="s">
        <v>62</v>
      </c>
      <c r="B108" s="1" t="s">
        <v>735</v>
      </c>
      <c r="C108" s="1" t="s">
        <v>113</v>
      </c>
      <c r="D108" s="1" t="s">
        <v>514</v>
      </c>
      <c r="E108" s="2">
        <v>154.08000000000001</v>
      </c>
      <c r="F108" s="3">
        <v>1035.5999999999999</v>
      </c>
      <c r="G108" s="2">
        <v>1189.68</v>
      </c>
      <c r="H108" s="2">
        <v>0</v>
      </c>
      <c r="I108" s="4">
        <v>27</v>
      </c>
      <c r="J108" s="3">
        <v>0</v>
      </c>
      <c r="K108" s="4">
        <v>1063</v>
      </c>
      <c r="L108" s="2">
        <v>312.23</v>
      </c>
      <c r="M108" s="2">
        <v>57.81</v>
      </c>
      <c r="N108" s="2">
        <v>64.5</v>
      </c>
      <c r="O108" s="2">
        <v>39.130000000000003</v>
      </c>
      <c r="P108" s="2">
        <v>4.5</v>
      </c>
      <c r="Q108" s="4">
        <v>371454</v>
      </c>
      <c r="R108" s="4">
        <v>18416</v>
      </c>
      <c r="S108" s="4">
        <v>389870</v>
      </c>
      <c r="T108" s="4">
        <v>61452</v>
      </c>
      <c r="U108" s="4">
        <v>68564</v>
      </c>
      <c r="V108" s="4">
        <v>0</v>
      </c>
      <c r="W108" s="4">
        <v>46552</v>
      </c>
      <c r="X108" s="4">
        <v>5354</v>
      </c>
      <c r="Y108" s="4">
        <v>571792</v>
      </c>
      <c r="Z108" s="4">
        <v>54340</v>
      </c>
      <c r="AA108" s="4">
        <v>517452</v>
      </c>
      <c r="AB108" s="4">
        <v>287848</v>
      </c>
      <c r="AC108" s="4">
        <v>229604</v>
      </c>
    </row>
    <row r="109" spans="1:29" x14ac:dyDescent="0.25">
      <c r="A109" s="1" t="s">
        <v>62</v>
      </c>
      <c r="B109" s="1" t="s">
        <v>735</v>
      </c>
      <c r="C109" s="1" t="s">
        <v>114</v>
      </c>
      <c r="D109" s="1" t="s">
        <v>515</v>
      </c>
      <c r="E109" s="2">
        <v>75.8</v>
      </c>
      <c r="F109" s="3">
        <v>680.6</v>
      </c>
      <c r="G109" s="2">
        <v>756.4</v>
      </c>
      <c r="H109" s="2">
        <v>0</v>
      </c>
      <c r="I109" s="4">
        <v>26</v>
      </c>
      <c r="J109" s="3">
        <v>0.1</v>
      </c>
      <c r="K109" s="4">
        <v>707</v>
      </c>
      <c r="L109" s="2">
        <v>312.23</v>
      </c>
      <c r="M109" s="2">
        <v>57.81</v>
      </c>
      <c r="N109" s="2">
        <v>64.5</v>
      </c>
      <c r="O109" s="2">
        <v>39.130000000000003</v>
      </c>
      <c r="P109" s="2">
        <v>4.5</v>
      </c>
      <c r="Q109" s="4">
        <v>236171</v>
      </c>
      <c r="R109" s="4">
        <v>0</v>
      </c>
      <c r="S109" s="4">
        <v>236171</v>
      </c>
      <c r="T109" s="4">
        <v>40872</v>
      </c>
      <c r="U109" s="4">
        <v>45602</v>
      </c>
      <c r="V109" s="4">
        <v>0</v>
      </c>
      <c r="W109" s="4">
        <v>29598</v>
      </c>
      <c r="X109" s="4">
        <v>3404</v>
      </c>
      <c r="Y109" s="4">
        <v>355647</v>
      </c>
      <c r="Z109" s="4">
        <v>33496</v>
      </c>
      <c r="AA109" s="4">
        <v>322151</v>
      </c>
      <c r="AB109" s="4">
        <v>184068</v>
      </c>
      <c r="AC109" s="4">
        <v>138083</v>
      </c>
    </row>
    <row r="110" spans="1:29" x14ac:dyDescent="0.25">
      <c r="A110" s="1" t="s">
        <v>62</v>
      </c>
      <c r="B110" s="1" t="s">
        <v>735</v>
      </c>
      <c r="C110" s="1" t="s">
        <v>115</v>
      </c>
      <c r="D110" s="1" t="s">
        <v>516</v>
      </c>
      <c r="E110" s="2">
        <v>2363.9</v>
      </c>
      <c r="F110" s="3">
        <v>10865.5</v>
      </c>
      <c r="G110" s="2">
        <v>13229.4</v>
      </c>
      <c r="H110" s="2">
        <v>0</v>
      </c>
      <c r="I110" s="4">
        <v>1267</v>
      </c>
      <c r="J110" s="3">
        <v>13</v>
      </c>
      <c r="K110" s="4">
        <v>12120</v>
      </c>
      <c r="L110" s="2">
        <v>312.23</v>
      </c>
      <c r="M110" s="2">
        <v>57.81</v>
      </c>
      <c r="N110" s="2">
        <v>64.5</v>
      </c>
      <c r="O110" s="2">
        <v>39.130000000000003</v>
      </c>
      <c r="P110" s="2">
        <v>4.5</v>
      </c>
      <c r="Q110" s="4">
        <v>4130616</v>
      </c>
      <c r="R110" s="4">
        <v>0</v>
      </c>
      <c r="S110" s="4">
        <v>4130616</v>
      </c>
      <c r="T110" s="4">
        <v>700657</v>
      </c>
      <c r="U110" s="4">
        <v>781740</v>
      </c>
      <c r="V110" s="4">
        <v>0</v>
      </c>
      <c r="W110" s="4">
        <v>517666</v>
      </c>
      <c r="X110" s="4">
        <v>59532</v>
      </c>
      <c r="Y110" s="4">
        <v>6190211</v>
      </c>
      <c r="Z110" s="4">
        <v>541622</v>
      </c>
      <c r="AA110" s="4">
        <v>5648589</v>
      </c>
      <c r="AB110" s="4">
        <v>3263550</v>
      </c>
      <c r="AC110" s="4">
        <v>2385039</v>
      </c>
    </row>
    <row r="111" spans="1:29" x14ac:dyDescent="0.25">
      <c r="A111" s="1" t="s">
        <v>62</v>
      </c>
      <c r="B111" s="1" t="s">
        <v>735</v>
      </c>
      <c r="C111" s="1" t="s">
        <v>116</v>
      </c>
      <c r="D111" s="1" t="s">
        <v>517</v>
      </c>
      <c r="E111" s="2">
        <v>263.8</v>
      </c>
      <c r="F111" s="3">
        <v>2126.1999999999998</v>
      </c>
      <c r="G111" s="2">
        <v>2390</v>
      </c>
      <c r="H111" s="2">
        <v>0</v>
      </c>
      <c r="I111" s="4">
        <v>132</v>
      </c>
      <c r="J111" s="3">
        <v>1.3</v>
      </c>
      <c r="K111" s="4">
        <v>2257</v>
      </c>
      <c r="L111" s="2">
        <v>312.23</v>
      </c>
      <c r="M111" s="2">
        <v>57.81</v>
      </c>
      <c r="N111" s="2">
        <v>64.5</v>
      </c>
      <c r="O111" s="2">
        <v>39.130000000000003</v>
      </c>
      <c r="P111" s="2">
        <v>4.5</v>
      </c>
      <c r="Q111" s="4">
        <v>746230</v>
      </c>
      <c r="R111" s="4">
        <v>0</v>
      </c>
      <c r="S111" s="4">
        <v>746230</v>
      </c>
      <c r="T111" s="4">
        <v>130477</v>
      </c>
      <c r="U111" s="4">
        <v>145577</v>
      </c>
      <c r="V111" s="4">
        <v>0</v>
      </c>
      <c r="W111" s="4">
        <v>93521</v>
      </c>
      <c r="X111" s="4">
        <v>10755</v>
      </c>
      <c r="Y111" s="4">
        <v>1126560</v>
      </c>
      <c r="Z111" s="4">
        <v>88570</v>
      </c>
      <c r="AA111" s="4">
        <v>1037990</v>
      </c>
      <c r="AB111" s="4">
        <v>598866</v>
      </c>
      <c r="AC111" s="4">
        <v>439124</v>
      </c>
    </row>
    <row r="112" spans="1:29" x14ac:dyDescent="0.25">
      <c r="A112" s="1" t="s">
        <v>62</v>
      </c>
      <c r="B112" s="1" t="s">
        <v>735</v>
      </c>
      <c r="C112" s="1" t="s">
        <v>117</v>
      </c>
      <c r="D112" s="1" t="s">
        <v>518</v>
      </c>
      <c r="E112" s="2">
        <v>107.2</v>
      </c>
      <c r="F112" s="3">
        <v>717.4</v>
      </c>
      <c r="G112" s="2">
        <v>824.6</v>
      </c>
      <c r="H112" s="2">
        <v>0</v>
      </c>
      <c r="I112" s="4">
        <v>68</v>
      </c>
      <c r="J112" s="3">
        <v>0</v>
      </c>
      <c r="K112" s="4">
        <v>785</v>
      </c>
      <c r="L112" s="2">
        <v>312.23</v>
      </c>
      <c r="M112" s="2">
        <v>57.81</v>
      </c>
      <c r="N112" s="2">
        <v>64.5</v>
      </c>
      <c r="O112" s="2">
        <v>39.130000000000003</v>
      </c>
      <c r="P112" s="2">
        <v>4.5</v>
      </c>
      <c r="Q112" s="4">
        <v>257465</v>
      </c>
      <c r="R112" s="4">
        <v>0</v>
      </c>
      <c r="S112" s="4">
        <v>257465</v>
      </c>
      <c r="T112" s="4">
        <v>45381</v>
      </c>
      <c r="U112" s="4">
        <v>50633</v>
      </c>
      <c r="V112" s="4">
        <v>0</v>
      </c>
      <c r="W112" s="4">
        <v>32267</v>
      </c>
      <c r="X112" s="4">
        <v>3711</v>
      </c>
      <c r="Y112" s="4">
        <v>389457</v>
      </c>
      <c r="Z112" s="4">
        <v>44215</v>
      </c>
      <c r="AA112" s="4">
        <v>345242</v>
      </c>
      <c r="AB112" s="4">
        <v>192965</v>
      </c>
      <c r="AC112" s="4">
        <v>152277</v>
      </c>
    </row>
    <row r="113" spans="1:29" x14ac:dyDescent="0.25">
      <c r="A113" s="1" t="s">
        <v>62</v>
      </c>
      <c r="B113" s="1" t="s">
        <v>735</v>
      </c>
      <c r="C113" s="1" t="s">
        <v>118</v>
      </c>
      <c r="D113" s="1" t="s">
        <v>519</v>
      </c>
      <c r="E113" s="2">
        <v>45.69</v>
      </c>
      <c r="F113" s="3">
        <v>561.5</v>
      </c>
      <c r="G113" s="2">
        <v>607.19000000000005</v>
      </c>
      <c r="H113" s="2">
        <v>0</v>
      </c>
      <c r="I113" s="4">
        <v>29</v>
      </c>
      <c r="J113" s="3">
        <v>0.3</v>
      </c>
      <c r="K113" s="4">
        <v>590</v>
      </c>
      <c r="L113" s="2">
        <v>312.23</v>
      </c>
      <c r="M113" s="2">
        <v>57.81</v>
      </c>
      <c r="N113" s="2">
        <v>64.5</v>
      </c>
      <c r="O113" s="2">
        <v>39.130000000000003</v>
      </c>
      <c r="P113" s="2">
        <v>4.5</v>
      </c>
      <c r="Q113" s="4">
        <v>189583</v>
      </c>
      <c r="R113" s="4">
        <v>2625</v>
      </c>
      <c r="S113" s="4">
        <v>192208</v>
      </c>
      <c r="T113" s="4">
        <v>34108</v>
      </c>
      <c r="U113" s="4">
        <v>38055</v>
      </c>
      <c r="V113" s="4">
        <v>0</v>
      </c>
      <c r="W113" s="4">
        <v>23759</v>
      </c>
      <c r="X113" s="4">
        <v>2732</v>
      </c>
      <c r="Y113" s="4">
        <v>290862</v>
      </c>
      <c r="Z113" s="4">
        <v>32056</v>
      </c>
      <c r="AA113" s="4">
        <v>258806</v>
      </c>
      <c r="AB113" s="4">
        <v>142589</v>
      </c>
      <c r="AC113" s="4">
        <v>116217</v>
      </c>
    </row>
    <row r="114" spans="1:29" x14ac:dyDescent="0.25">
      <c r="A114" s="1" t="s">
        <v>62</v>
      </c>
      <c r="B114" s="1" t="s">
        <v>735</v>
      </c>
      <c r="C114" s="1" t="s">
        <v>119</v>
      </c>
      <c r="D114" s="1" t="s">
        <v>520</v>
      </c>
      <c r="E114" s="2">
        <v>73.849999999999994</v>
      </c>
      <c r="F114" s="3">
        <v>822.2</v>
      </c>
      <c r="G114" s="2">
        <v>896.05</v>
      </c>
      <c r="H114" s="2">
        <v>0</v>
      </c>
      <c r="I114" s="4">
        <v>1</v>
      </c>
      <c r="J114" s="3">
        <v>0</v>
      </c>
      <c r="K114" s="4">
        <v>823</v>
      </c>
      <c r="L114" s="2">
        <v>312.23</v>
      </c>
      <c r="M114" s="2">
        <v>57.81</v>
      </c>
      <c r="N114" s="2">
        <v>64.5</v>
      </c>
      <c r="O114" s="2">
        <v>39.130000000000003</v>
      </c>
      <c r="P114" s="2">
        <v>4.5</v>
      </c>
      <c r="Q114" s="4">
        <v>279774</v>
      </c>
      <c r="R114" s="4">
        <v>14989</v>
      </c>
      <c r="S114" s="4">
        <v>294763</v>
      </c>
      <c r="T114" s="4">
        <v>47578</v>
      </c>
      <c r="U114" s="4">
        <v>53084</v>
      </c>
      <c r="V114" s="4">
        <v>0</v>
      </c>
      <c r="W114" s="4">
        <v>36856</v>
      </c>
      <c r="X114" s="4">
        <v>4240</v>
      </c>
      <c r="Y114" s="4">
        <v>436521</v>
      </c>
      <c r="Z114" s="4">
        <v>38932</v>
      </c>
      <c r="AA114" s="4">
        <v>397589</v>
      </c>
      <c r="AB114" s="4">
        <v>220800</v>
      </c>
      <c r="AC114" s="4">
        <v>176789</v>
      </c>
    </row>
    <row r="115" spans="1:29" x14ac:dyDescent="0.25">
      <c r="A115" s="1" t="s">
        <v>120</v>
      </c>
      <c r="B115" s="1" t="s">
        <v>736</v>
      </c>
      <c r="C115" s="1" t="s">
        <v>121</v>
      </c>
      <c r="D115" s="1" t="s">
        <v>521</v>
      </c>
      <c r="E115" s="2">
        <v>34.14</v>
      </c>
      <c r="F115" s="3">
        <v>234.3</v>
      </c>
      <c r="G115" s="2">
        <v>268.44</v>
      </c>
      <c r="H115" s="2">
        <v>0.49</v>
      </c>
      <c r="I115" s="4">
        <v>21</v>
      </c>
      <c r="J115" s="3">
        <v>0</v>
      </c>
      <c r="K115" s="4">
        <v>255</v>
      </c>
      <c r="L115" s="2">
        <v>309.87</v>
      </c>
      <c r="M115" s="2">
        <v>57.32</v>
      </c>
      <c r="N115" s="2">
        <v>62.58</v>
      </c>
      <c r="O115" s="2">
        <v>28.2</v>
      </c>
      <c r="P115" s="2">
        <v>3.31</v>
      </c>
      <c r="Q115" s="4">
        <v>83182</v>
      </c>
      <c r="R115" s="4">
        <v>10149</v>
      </c>
      <c r="S115" s="4">
        <v>93331</v>
      </c>
      <c r="T115" s="4">
        <v>14617</v>
      </c>
      <c r="U115" s="4">
        <v>15958</v>
      </c>
      <c r="V115" s="4">
        <v>152</v>
      </c>
      <c r="W115" s="4">
        <v>7570</v>
      </c>
      <c r="X115" s="4">
        <v>889</v>
      </c>
      <c r="Y115" s="4">
        <v>132517</v>
      </c>
      <c r="Z115" s="4">
        <v>16393</v>
      </c>
      <c r="AA115" s="4">
        <v>116124</v>
      </c>
      <c r="AB115" s="4">
        <v>57685</v>
      </c>
      <c r="AC115" s="4">
        <v>58439</v>
      </c>
    </row>
    <row r="116" spans="1:29" x14ac:dyDescent="0.25">
      <c r="A116" s="1" t="s">
        <v>120</v>
      </c>
      <c r="B116" s="1" t="s">
        <v>736</v>
      </c>
      <c r="C116" s="1" t="s">
        <v>122</v>
      </c>
      <c r="D116" s="1" t="s">
        <v>522</v>
      </c>
      <c r="E116" s="2">
        <v>64.38</v>
      </c>
      <c r="F116" s="3">
        <v>600.1</v>
      </c>
      <c r="G116" s="2">
        <v>664.48</v>
      </c>
      <c r="H116" s="2">
        <v>1.2</v>
      </c>
      <c r="I116" s="4">
        <v>165</v>
      </c>
      <c r="J116" s="3">
        <v>3.1</v>
      </c>
      <c r="K116" s="4">
        <v>762</v>
      </c>
      <c r="L116" s="2">
        <v>309.87</v>
      </c>
      <c r="M116" s="2">
        <v>57.32</v>
      </c>
      <c r="N116" s="2">
        <v>62.58</v>
      </c>
      <c r="O116" s="2">
        <v>28.2</v>
      </c>
      <c r="P116" s="2">
        <v>3.31</v>
      </c>
      <c r="Q116" s="4">
        <v>205902</v>
      </c>
      <c r="R116" s="4">
        <v>0</v>
      </c>
      <c r="S116" s="4">
        <v>205902</v>
      </c>
      <c r="T116" s="4">
        <v>43678</v>
      </c>
      <c r="U116" s="4">
        <v>47686</v>
      </c>
      <c r="V116" s="4">
        <v>372</v>
      </c>
      <c r="W116" s="4">
        <v>18738</v>
      </c>
      <c r="X116" s="4">
        <v>2199</v>
      </c>
      <c r="Y116" s="4">
        <v>318575</v>
      </c>
      <c r="Z116" s="4">
        <v>33230</v>
      </c>
      <c r="AA116" s="4">
        <v>285345</v>
      </c>
      <c r="AB116" s="4">
        <v>150133</v>
      </c>
      <c r="AC116" s="4">
        <v>135212</v>
      </c>
    </row>
    <row r="117" spans="1:29" x14ac:dyDescent="0.25">
      <c r="A117" s="1" t="s">
        <v>120</v>
      </c>
      <c r="B117" s="1" t="s">
        <v>736</v>
      </c>
      <c r="C117" s="1" t="s">
        <v>123</v>
      </c>
      <c r="D117" s="1" t="s">
        <v>523</v>
      </c>
      <c r="E117" s="2">
        <v>29.1</v>
      </c>
      <c r="F117" s="3">
        <v>194.4</v>
      </c>
      <c r="G117" s="2">
        <v>223.5</v>
      </c>
      <c r="H117" s="2">
        <v>0.41</v>
      </c>
      <c r="I117" s="4">
        <v>0</v>
      </c>
      <c r="J117" s="3">
        <v>0</v>
      </c>
      <c r="K117" s="4">
        <v>194</v>
      </c>
      <c r="L117" s="2">
        <v>309.87</v>
      </c>
      <c r="M117" s="2">
        <v>57.32</v>
      </c>
      <c r="N117" s="2">
        <v>62.58</v>
      </c>
      <c r="O117" s="2">
        <v>28.2</v>
      </c>
      <c r="P117" s="2">
        <v>3.31</v>
      </c>
      <c r="Q117" s="4">
        <v>69256</v>
      </c>
      <c r="R117" s="4">
        <v>279</v>
      </c>
      <c r="S117" s="4">
        <v>69535</v>
      </c>
      <c r="T117" s="4">
        <v>11120</v>
      </c>
      <c r="U117" s="4">
        <v>12141</v>
      </c>
      <c r="V117" s="4">
        <v>127</v>
      </c>
      <c r="W117" s="4">
        <v>6310</v>
      </c>
      <c r="X117" s="4">
        <v>741</v>
      </c>
      <c r="Y117" s="4">
        <v>99974</v>
      </c>
      <c r="Z117" s="4">
        <v>11567</v>
      </c>
      <c r="AA117" s="4">
        <v>88407</v>
      </c>
      <c r="AB117" s="4">
        <v>50118</v>
      </c>
      <c r="AC117" s="4">
        <v>38289</v>
      </c>
    </row>
    <row r="118" spans="1:29" x14ac:dyDescent="0.25">
      <c r="A118" s="1" t="s">
        <v>120</v>
      </c>
      <c r="B118" s="1" t="s">
        <v>736</v>
      </c>
      <c r="C118" s="1" t="s">
        <v>124</v>
      </c>
      <c r="D118" s="1" t="s">
        <v>524</v>
      </c>
      <c r="E118" s="2">
        <v>509.46</v>
      </c>
      <c r="F118" s="3">
        <v>4171</v>
      </c>
      <c r="G118" s="2">
        <v>4680.46</v>
      </c>
      <c r="H118" s="2">
        <v>8.48</v>
      </c>
      <c r="I118" s="4">
        <v>332</v>
      </c>
      <c r="J118" s="3">
        <v>0</v>
      </c>
      <c r="K118" s="4">
        <v>4503</v>
      </c>
      <c r="L118" s="2">
        <v>309.87</v>
      </c>
      <c r="M118" s="2">
        <v>57.32</v>
      </c>
      <c r="N118" s="2">
        <v>62.58</v>
      </c>
      <c r="O118" s="2">
        <v>28.2</v>
      </c>
      <c r="P118" s="2">
        <v>3.31</v>
      </c>
      <c r="Q118" s="4">
        <v>1450334</v>
      </c>
      <c r="R118" s="4">
        <v>0</v>
      </c>
      <c r="S118" s="4">
        <v>1450334</v>
      </c>
      <c r="T118" s="4">
        <v>258112</v>
      </c>
      <c r="U118" s="4">
        <v>281798</v>
      </c>
      <c r="V118" s="4">
        <v>2628</v>
      </c>
      <c r="W118" s="4">
        <v>131989</v>
      </c>
      <c r="X118" s="4">
        <v>15492</v>
      </c>
      <c r="Y118" s="4">
        <v>2140353</v>
      </c>
      <c r="Z118" s="4">
        <v>185946</v>
      </c>
      <c r="AA118" s="4">
        <v>1954407</v>
      </c>
      <c r="AB118" s="4">
        <v>1105636</v>
      </c>
      <c r="AC118" s="4">
        <v>848771</v>
      </c>
    </row>
    <row r="119" spans="1:29" x14ac:dyDescent="0.25">
      <c r="A119" s="1" t="s">
        <v>120</v>
      </c>
      <c r="B119" s="1" t="s">
        <v>736</v>
      </c>
      <c r="C119" s="1" t="s">
        <v>125</v>
      </c>
      <c r="D119" s="1" t="s">
        <v>525</v>
      </c>
      <c r="E119" s="2">
        <v>52.97</v>
      </c>
      <c r="F119" s="3">
        <v>409</v>
      </c>
      <c r="G119" s="2">
        <v>461.97</v>
      </c>
      <c r="H119" s="2">
        <v>0.84</v>
      </c>
      <c r="I119" s="4">
        <v>0</v>
      </c>
      <c r="J119" s="3">
        <v>0</v>
      </c>
      <c r="K119" s="4">
        <v>409</v>
      </c>
      <c r="L119" s="2">
        <v>309.87</v>
      </c>
      <c r="M119" s="2">
        <v>57.32</v>
      </c>
      <c r="N119" s="2">
        <v>62.58</v>
      </c>
      <c r="O119" s="2">
        <v>28.2</v>
      </c>
      <c r="P119" s="2">
        <v>3.31</v>
      </c>
      <c r="Q119" s="4">
        <v>143151</v>
      </c>
      <c r="R119" s="4">
        <v>12568</v>
      </c>
      <c r="S119" s="4">
        <v>155719</v>
      </c>
      <c r="T119" s="4">
        <v>23444</v>
      </c>
      <c r="U119" s="4">
        <v>25595</v>
      </c>
      <c r="V119" s="4">
        <v>260</v>
      </c>
      <c r="W119" s="4">
        <v>13235</v>
      </c>
      <c r="X119" s="4">
        <v>1555</v>
      </c>
      <c r="Y119" s="4">
        <v>219808</v>
      </c>
      <c r="Z119" s="4">
        <v>24342</v>
      </c>
      <c r="AA119" s="4">
        <v>195466</v>
      </c>
      <c r="AB119" s="4">
        <v>103374</v>
      </c>
      <c r="AC119" s="4">
        <v>92092</v>
      </c>
    </row>
    <row r="120" spans="1:29" x14ac:dyDescent="0.25">
      <c r="A120" s="1" t="s">
        <v>120</v>
      </c>
      <c r="B120" s="1" t="s">
        <v>736</v>
      </c>
      <c r="C120" s="1" t="s">
        <v>126</v>
      </c>
      <c r="D120" s="1" t="s">
        <v>526</v>
      </c>
      <c r="E120" s="2">
        <v>108.44</v>
      </c>
      <c r="F120" s="3">
        <v>832</v>
      </c>
      <c r="G120" s="2">
        <v>940.44</v>
      </c>
      <c r="H120" s="2">
        <v>1.7</v>
      </c>
      <c r="I120" s="4">
        <v>19</v>
      </c>
      <c r="J120" s="3">
        <v>0</v>
      </c>
      <c r="K120" s="4">
        <v>851</v>
      </c>
      <c r="L120" s="2">
        <v>309.87</v>
      </c>
      <c r="M120" s="2">
        <v>57.32</v>
      </c>
      <c r="N120" s="2">
        <v>62.58</v>
      </c>
      <c r="O120" s="2">
        <v>28.2</v>
      </c>
      <c r="P120" s="2">
        <v>3.31</v>
      </c>
      <c r="Q120" s="4">
        <v>291414</v>
      </c>
      <c r="R120" s="4">
        <v>0</v>
      </c>
      <c r="S120" s="4">
        <v>291414</v>
      </c>
      <c r="T120" s="4">
        <v>48779</v>
      </c>
      <c r="U120" s="4">
        <v>53256</v>
      </c>
      <c r="V120" s="4">
        <v>527</v>
      </c>
      <c r="W120" s="4">
        <v>26520</v>
      </c>
      <c r="X120" s="4">
        <v>3113</v>
      </c>
      <c r="Y120" s="4">
        <v>423609</v>
      </c>
      <c r="Z120" s="4">
        <v>41235</v>
      </c>
      <c r="AA120" s="4">
        <v>382374</v>
      </c>
      <c r="AB120" s="4">
        <v>218280</v>
      </c>
      <c r="AC120" s="4">
        <v>164094</v>
      </c>
    </row>
    <row r="121" spans="1:29" x14ac:dyDescent="0.25">
      <c r="A121" s="1" t="s">
        <v>120</v>
      </c>
      <c r="B121" s="1" t="s">
        <v>736</v>
      </c>
      <c r="C121" s="1" t="s">
        <v>127</v>
      </c>
      <c r="D121" s="1" t="s">
        <v>527</v>
      </c>
      <c r="E121" s="2">
        <v>184.36</v>
      </c>
      <c r="F121" s="3">
        <v>1477.5</v>
      </c>
      <c r="G121" s="2">
        <v>1661.86</v>
      </c>
      <c r="H121" s="2">
        <v>3.01</v>
      </c>
      <c r="I121" s="4">
        <v>145</v>
      </c>
      <c r="J121" s="3">
        <v>0</v>
      </c>
      <c r="K121" s="4">
        <v>1623</v>
      </c>
      <c r="L121" s="2">
        <v>309.87</v>
      </c>
      <c r="M121" s="2">
        <v>57.32</v>
      </c>
      <c r="N121" s="2">
        <v>62.58</v>
      </c>
      <c r="O121" s="2">
        <v>28.2</v>
      </c>
      <c r="P121" s="2">
        <v>3.31</v>
      </c>
      <c r="Q121" s="4">
        <v>514961</v>
      </c>
      <c r="R121" s="4">
        <v>0</v>
      </c>
      <c r="S121" s="4">
        <v>514961</v>
      </c>
      <c r="T121" s="4">
        <v>93030</v>
      </c>
      <c r="U121" s="4">
        <v>101567</v>
      </c>
      <c r="V121" s="4">
        <v>933</v>
      </c>
      <c r="W121" s="4">
        <v>46864</v>
      </c>
      <c r="X121" s="4">
        <v>5501</v>
      </c>
      <c r="Y121" s="4">
        <v>762856</v>
      </c>
      <c r="Z121" s="4">
        <v>77370</v>
      </c>
      <c r="AA121" s="4">
        <v>685486</v>
      </c>
      <c r="AB121" s="4">
        <v>381223</v>
      </c>
      <c r="AC121" s="4">
        <v>304263</v>
      </c>
    </row>
    <row r="122" spans="1:29" x14ac:dyDescent="0.25">
      <c r="A122" s="1" t="s">
        <v>120</v>
      </c>
      <c r="B122" s="1" t="s">
        <v>736</v>
      </c>
      <c r="C122" s="1" t="s">
        <v>128</v>
      </c>
      <c r="D122" s="1" t="s">
        <v>528</v>
      </c>
      <c r="E122" s="2">
        <v>769</v>
      </c>
      <c r="F122" s="3">
        <v>3624.2</v>
      </c>
      <c r="G122" s="2">
        <v>4393.2</v>
      </c>
      <c r="H122" s="2">
        <v>7.96</v>
      </c>
      <c r="I122" s="4">
        <v>165</v>
      </c>
      <c r="J122" s="3">
        <v>0</v>
      </c>
      <c r="K122" s="4">
        <v>3789</v>
      </c>
      <c r="L122" s="2">
        <v>309.87</v>
      </c>
      <c r="M122" s="2">
        <v>57.32</v>
      </c>
      <c r="N122" s="2">
        <v>62.58</v>
      </c>
      <c r="O122" s="2">
        <v>28.2</v>
      </c>
      <c r="P122" s="2">
        <v>3.31</v>
      </c>
      <c r="Q122" s="4">
        <v>1361321</v>
      </c>
      <c r="R122" s="4">
        <v>6993</v>
      </c>
      <c r="S122" s="4">
        <v>1368314</v>
      </c>
      <c r="T122" s="4">
        <v>217185</v>
      </c>
      <c r="U122" s="4">
        <v>237116</v>
      </c>
      <c r="V122" s="4">
        <v>2467</v>
      </c>
      <c r="W122" s="4">
        <v>124170</v>
      </c>
      <c r="X122" s="4">
        <v>14590</v>
      </c>
      <c r="Y122" s="4">
        <v>1963842</v>
      </c>
      <c r="Z122" s="4">
        <v>219420</v>
      </c>
      <c r="AA122" s="4">
        <v>1744422</v>
      </c>
      <c r="AB122" s="4">
        <v>993223</v>
      </c>
      <c r="AC122" s="4">
        <v>751199</v>
      </c>
    </row>
    <row r="123" spans="1:29" x14ac:dyDescent="0.25">
      <c r="A123" s="1" t="s">
        <v>120</v>
      </c>
      <c r="B123" s="1" t="s">
        <v>736</v>
      </c>
      <c r="C123" s="1" t="s">
        <v>129</v>
      </c>
      <c r="D123" s="1" t="s">
        <v>529</v>
      </c>
      <c r="E123" s="2">
        <v>107.2</v>
      </c>
      <c r="F123" s="3">
        <v>762.7</v>
      </c>
      <c r="G123" s="2">
        <v>869.9</v>
      </c>
      <c r="H123" s="2">
        <v>1.57</v>
      </c>
      <c r="I123" s="4">
        <v>0</v>
      </c>
      <c r="J123" s="3">
        <v>0</v>
      </c>
      <c r="K123" s="4">
        <v>763</v>
      </c>
      <c r="L123" s="2">
        <v>309.87</v>
      </c>
      <c r="M123" s="2">
        <v>57.32</v>
      </c>
      <c r="N123" s="2">
        <v>62.58</v>
      </c>
      <c r="O123" s="2">
        <v>28.2</v>
      </c>
      <c r="P123" s="2">
        <v>3.31</v>
      </c>
      <c r="Q123" s="4">
        <v>269556</v>
      </c>
      <c r="R123" s="4">
        <v>29517</v>
      </c>
      <c r="S123" s="4">
        <v>299073</v>
      </c>
      <c r="T123" s="4">
        <v>43735</v>
      </c>
      <c r="U123" s="4">
        <v>47749</v>
      </c>
      <c r="V123" s="4">
        <v>486</v>
      </c>
      <c r="W123" s="4">
        <v>24531</v>
      </c>
      <c r="X123" s="4">
        <v>2879</v>
      </c>
      <c r="Y123" s="4">
        <v>418453</v>
      </c>
      <c r="Z123" s="4">
        <v>48308</v>
      </c>
      <c r="AA123" s="4">
        <v>370145</v>
      </c>
      <c r="AB123" s="4">
        <v>191741</v>
      </c>
      <c r="AC123" s="4">
        <v>178404</v>
      </c>
    </row>
    <row r="124" spans="1:29" x14ac:dyDescent="0.25">
      <c r="A124" s="1" t="s">
        <v>120</v>
      </c>
      <c r="B124" s="1" t="s">
        <v>736</v>
      </c>
      <c r="C124" s="1" t="s">
        <v>130</v>
      </c>
      <c r="D124" s="1" t="s">
        <v>530</v>
      </c>
      <c r="E124" s="2">
        <v>3069.5</v>
      </c>
      <c r="F124" s="3">
        <v>14930.5</v>
      </c>
      <c r="G124" s="2">
        <v>18000</v>
      </c>
      <c r="H124" s="2">
        <v>32.61</v>
      </c>
      <c r="I124" s="4">
        <v>1845</v>
      </c>
      <c r="J124" s="3">
        <v>1.2</v>
      </c>
      <c r="K124" s="4">
        <v>16774</v>
      </c>
      <c r="L124" s="2">
        <v>309.87</v>
      </c>
      <c r="M124" s="2">
        <v>57.32</v>
      </c>
      <c r="N124" s="2">
        <v>62.58</v>
      </c>
      <c r="O124" s="2">
        <v>28.2</v>
      </c>
      <c r="P124" s="2">
        <v>3.31</v>
      </c>
      <c r="Q124" s="4">
        <v>5577660</v>
      </c>
      <c r="R124" s="4">
        <v>25348</v>
      </c>
      <c r="S124" s="4">
        <v>5603008</v>
      </c>
      <c r="T124" s="4">
        <v>961486</v>
      </c>
      <c r="U124" s="4">
        <v>1049717</v>
      </c>
      <c r="V124" s="4">
        <v>10105</v>
      </c>
      <c r="W124" s="4">
        <v>508456</v>
      </c>
      <c r="X124" s="4">
        <v>59742</v>
      </c>
      <c r="Y124" s="4">
        <v>8192514</v>
      </c>
      <c r="Z124" s="4">
        <v>800370</v>
      </c>
      <c r="AA124" s="4">
        <v>7392144</v>
      </c>
      <c r="AB124" s="4">
        <v>4167785</v>
      </c>
      <c r="AC124" s="4">
        <v>3224359</v>
      </c>
    </row>
    <row r="125" spans="1:29" x14ac:dyDescent="0.25">
      <c r="A125" s="1" t="s">
        <v>120</v>
      </c>
      <c r="B125" s="1" t="s">
        <v>736</v>
      </c>
      <c r="C125" s="1" t="s">
        <v>131</v>
      </c>
      <c r="D125" s="1" t="s">
        <v>531</v>
      </c>
      <c r="E125" s="2">
        <v>23.2</v>
      </c>
      <c r="F125" s="3">
        <v>193.4</v>
      </c>
      <c r="G125" s="2">
        <v>216.6</v>
      </c>
      <c r="H125" s="2">
        <v>0.39</v>
      </c>
      <c r="I125" s="4">
        <v>0</v>
      </c>
      <c r="J125" s="3">
        <v>0</v>
      </c>
      <c r="K125" s="4">
        <v>193</v>
      </c>
      <c r="L125" s="2">
        <v>309.87</v>
      </c>
      <c r="M125" s="2">
        <v>57.32</v>
      </c>
      <c r="N125" s="2">
        <v>62.58</v>
      </c>
      <c r="O125" s="2">
        <v>28.2</v>
      </c>
      <c r="P125" s="2">
        <v>3.31</v>
      </c>
      <c r="Q125" s="4">
        <v>67118</v>
      </c>
      <c r="R125" s="4">
        <v>7895</v>
      </c>
      <c r="S125" s="4">
        <v>75013</v>
      </c>
      <c r="T125" s="4">
        <v>11063</v>
      </c>
      <c r="U125" s="4">
        <v>12078</v>
      </c>
      <c r="V125" s="4">
        <v>121</v>
      </c>
      <c r="W125" s="4">
        <v>6360</v>
      </c>
      <c r="X125" s="4">
        <v>747</v>
      </c>
      <c r="Y125" s="4">
        <v>105382</v>
      </c>
      <c r="Z125" s="4">
        <v>13150</v>
      </c>
      <c r="AA125" s="4">
        <v>92232</v>
      </c>
      <c r="AB125" s="4">
        <v>46903</v>
      </c>
      <c r="AC125" s="4">
        <v>45329</v>
      </c>
    </row>
    <row r="126" spans="1:29" x14ac:dyDescent="0.25">
      <c r="A126" s="1" t="s">
        <v>120</v>
      </c>
      <c r="B126" s="1" t="s">
        <v>736</v>
      </c>
      <c r="C126" s="1" t="s">
        <v>132</v>
      </c>
      <c r="D126" s="1" t="s">
        <v>532</v>
      </c>
      <c r="E126" s="2">
        <v>65.67</v>
      </c>
      <c r="F126" s="3">
        <v>557.29999999999995</v>
      </c>
      <c r="G126" s="2">
        <v>622.97</v>
      </c>
      <c r="H126" s="2">
        <v>1.1299999999999999</v>
      </c>
      <c r="I126" s="4">
        <v>1</v>
      </c>
      <c r="J126" s="3">
        <v>0</v>
      </c>
      <c r="K126" s="4">
        <v>558</v>
      </c>
      <c r="L126" s="2">
        <v>309.87</v>
      </c>
      <c r="M126" s="2">
        <v>57.32</v>
      </c>
      <c r="N126" s="2">
        <v>62.58</v>
      </c>
      <c r="O126" s="2">
        <v>28.2</v>
      </c>
      <c r="P126" s="2">
        <v>3.31</v>
      </c>
      <c r="Q126" s="4">
        <v>193040</v>
      </c>
      <c r="R126" s="4">
        <v>0</v>
      </c>
      <c r="S126" s="4">
        <v>193040</v>
      </c>
      <c r="T126" s="4">
        <v>31985</v>
      </c>
      <c r="U126" s="4">
        <v>34920</v>
      </c>
      <c r="V126" s="4">
        <v>350</v>
      </c>
      <c r="W126" s="4">
        <v>17568</v>
      </c>
      <c r="X126" s="4">
        <v>2062</v>
      </c>
      <c r="Y126" s="4">
        <v>279925</v>
      </c>
      <c r="Z126" s="4">
        <v>27628</v>
      </c>
      <c r="AA126" s="4">
        <v>252297</v>
      </c>
      <c r="AB126" s="4">
        <v>144282</v>
      </c>
      <c r="AC126" s="4">
        <v>108015</v>
      </c>
    </row>
    <row r="127" spans="1:29" x14ac:dyDescent="0.25">
      <c r="A127" s="1" t="s">
        <v>120</v>
      </c>
      <c r="B127" s="1" t="s">
        <v>736</v>
      </c>
      <c r="C127" s="1" t="s">
        <v>133</v>
      </c>
      <c r="D127" s="1" t="s">
        <v>533</v>
      </c>
      <c r="E127" s="2">
        <v>100.61</v>
      </c>
      <c r="F127" s="3">
        <v>577.79999999999995</v>
      </c>
      <c r="G127" s="2">
        <v>678.41</v>
      </c>
      <c r="H127" s="2">
        <v>1.23</v>
      </c>
      <c r="I127" s="4">
        <v>1</v>
      </c>
      <c r="J127" s="3">
        <v>0</v>
      </c>
      <c r="K127" s="4">
        <v>579</v>
      </c>
      <c r="L127" s="2">
        <v>309.87</v>
      </c>
      <c r="M127" s="2">
        <v>57.32</v>
      </c>
      <c r="N127" s="2">
        <v>62.58</v>
      </c>
      <c r="O127" s="2">
        <v>28.2</v>
      </c>
      <c r="P127" s="2">
        <v>3.31</v>
      </c>
      <c r="Q127" s="4">
        <v>210219</v>
      </c>
      <c r="R127" s="4">
        <v>9058</v>
      </c>
      <c r="S127" s="4">
        <v>219277</v>
      </c>
      <c r="T127" s="4">
        <v>33188</v>
      </c>
      <c r="U127" s="4">
        <v>36234</v>
      </c>
      <c r="V127" s="4">
        <v>381</v>
      </c>
      <c r="W127" s="4">
        <v>19131</v>
      </c>
      <c r="X127" s="4">
        <v>2246</v>
      </c>
      <c r="Y127" s="4">
        <v>310457</v>
      </c>
      <c r="Z127" s="4">
        <v>35711</v>
      </c>
      <c r="AA127" s="4">
        <v>274746</v>
      </c>
      <c r="AB127" s="4">
        <v>151498</v>
      </c>
      <c r="AC127" s="4">
        <v>123248</v>
      </c>
    </row>
    <row r="128" spans="1:29" x14ac:dyDescent="0.25">
      <c r="A128" s="1" t="s">
        <v>120</v>
      </c>
      <c r="B128" s="1" t="s">
        <v>736</v>
      </c>
      <c r="C128" s="1" t="s">
        <v>134</v>
      </c>
      <c r="D128" s="1" t="s">
        <v>534</v>
      </c>
      <c r="E128" s="2">
        <v>105.04</v>
      </c>
      <c r="F128" s="3">
        <v>712</v>
      </c>
      <c r="G128" s="2">
        <v>817.04</v>
      </c>
      <c r="H128" s="2">
        <v>1.48</v>
      </c>
      <c r="I128" s="4">
        <v>0</v>
      </c>
      <c r="J128" s="3">
        <v>0</v>
      </c>
      <c r="K128" s="4">
        <v>712</v>
      </c>
      <c r="L128" s="2">
        <v>309.87</v>
      </c>
      <c r="M128" s="2">
        <v>57.32</v>
      </c>
      <c r="N128" s="2">
        <v>62.58</v>
      </c>
      <c r="O128" s="2">
        <v>28.2</v>
      </c>
      <c r="P128" s="2">
        <v>3.31</v>
      </c>
      <c r="Q128" s="4">
        <v>253176</v>
      </c>
      <c r="R128" s="4">
        <v>147</v>
      </c>
      <c r="S128" s="4">
        <v>253323</v>
      </c>
      <c r="T128" s="4">
        <v>40812</v>
      </c>
      <c r="U128" s="4">
        <v>44557</v>
      </c>
      <c r="V128" s="4">
        <v>459</v>
      </c>
      <c r="W128" s="4">
        <v>23041</v>
      </c>
      <c r="X128" s="4">
        <v>2704</v>
      </c>
      <c r="Y128" s="4">
        <v>364896</v>
      </c>
      <c r="Z128" s="4">
        <v>39308</v>
      </c>
      <c r="AA128" s="4">
        <v>325588</v>
      </c>
      <c r="AB128" s="4">
        <v>186156</v>
      </c>
      <c r="AC128" s="4">
        <v>139432</v>
      </c>
    </row>
    <row r="129" spans="1:29" x14ac:dyDescent="0.25">
      <c r="A129" s="1" t="s">
        <v>120</v>
      </c>
      <c r="B129" s="1" t="s">
        <v>736</v>
      </c>
      <c r="C129" s="1" t="s">
        <v>135</v>
      </c>
      <c r="D129" s="1" t="s">
        <v>535</v>
      </c>
      <c r="E129" s="2">
        <v>341.54</v>
      </c>
      <c r="F129" s="3">
        <v>1260.8</v>
      </c>
      <c r="G129" s="2">
        <v>1602.34</v>
      </c>
      <c r="H129" s="2">
        <v>2.9</v>
      </c>
      <c r="I129" s="4">
        <v>113</v>
      </c>
      <c r="J129" s="3">
        <v>0</v>
      </c>
      <c r="K129" s="4">
        <v>1374</v>
      </c>
      <c r="L129" s="2">
        <v>309.87</v>
      </c>
      <c r="M129" s="2">
        <v>57.32</v>
      </c>
      <c r="N129" s="2">
        <v>62.58</v>
      </c>
      <c r="O129" s="2">
        <v>28.2</v>
      </c>
      <c r="P129" s="2">
        <v>3.31</v>
      </c>
      <c r="Q129" s="4">
        <v>496517</v>
      </c>
      <c r="R129" s="4">
        <v>0</v>
      </c>
      <c r="S129" s="4">
        <v>496517</v>
      </c>
      <c r="T129" s="4">
        <v>78758</v>
      </c>
      <c r="U129" s="4">
        <v>85985</v>
      </c>
      <c r="V129" s="4">
        <v>899</v>
      </c>
      <c r="W129" s="4">
        <v>45186</v>
      </c>
      <c r="X129" s="4">
        <v>5304</v>
      </c>
      <c r="Y129" s="4">
        <v>712649</v>
      </c>
      <c r="Z129" s="4">
        <v>74194</v>
      </c>
      <c r="AA129" s="4">
        <v>638455</v>
      </c>
      <c r="AB129" s="4">
        <v>367975</v>
      </c>
      <c r="AC129" s="4">
        <v>270480</v>
      </c>
    </row>
    <row r="130" spans="1:29" x14ac:dyDescent="0.25">
      <c r="A130" s="1" t="s">
        <v>120</v>
      </c>
      <c r="B130" s="1" t="s">
        <v>736</v>
      </c>
      <c r="C130" s="1" t="s">
        <v>136</v>
      </c>
      <c r="D130" s="1" t="s">
        <v>536</v>
      </c>
      <c r="E130" s="2">
        <v>748.66</v>
      </c>
      <c r="F130" s="3">
        <v>4811.8</v>
      </c>
      <c r="G130" s="2">
        <v>5560.46</v>
      </c>
      <c r="H130" s="2">
        <v>10.08</v>
      </c>
      <c r="I130" s="4">
        <v>172</v>
      </c>
      <c r="J130" s="3">
        <v>0</v>
      </c>
      <c r="K130" s="4">
        <v>4984</v>
      </c>
      <c r="L130" s="2">
        <v>309.87</v>
      </c>
      <c r="M130" s="2">
        <v>57.32</v>
      </c>
      <c r="N130" s="2">
        <v>62.58</v>
      </c>
      <c r="O130" s="2">
        <v>28.2</v>
      </c>
      <c r="P130" s="2">
        <v>3.31</v>
      </c>
      <c r="Q130" s="4">
        <v>1723020</v>
      </c>
      <c r="R130" s="4">
        <v>0</v>
      </c>
      <c r="S130" s="4">
        <v>1723020</v>
      </c>
      <c r="T130" s="4">
        <v>285683</v>
      </c>
      <c r="U130" s="4">
        <v>311899</v>
      </c>
      <c r="V130" s="4">
        <v>3123</v>
      </c>
      <c r="W130" s="4">
        <v>156805</v>
      </c>
      <c r="X130" s="4">
        <v>18405</v>
      </c>
      <c r="Y130" s="4">
        <v>2498935</v>
      </c>
      <c r="Z130" s="4">
        <v>253669</v>
      </c>
      <c r="AA130" s="4">
        <v>2245266</v>
      </c>
      <c r="AB130" s="4">
        <v>1280753</v>
      </c>
      <c r="AC130" s="4">
        <v>964513</v>
      </c>
    </row>
    <row r="131" spans="1:29" x14ac:dyDescent="0.25">
      <c r="A131" s="1" t="s">
        <v>120</v>
      </c>
      <c r="B131" s="1" t="s">
        <v>736</v>
      </c>
      <c r="C131" s="1" t="s">
        <v>137</v>
      </c>
      <c r="D131" s="1" t="s">
        <v>537</v>
      </c>
      <c r="E131" s="2">
        <v>285.62</v>
      </c>
      <c r="F131" s="3">
        <v>3029.6</v>
      </c>
      <c r="G131" s="2">
        <v>3315.22</v>
      </c>
      <c r="H131" s="2">
        <v>6.01</v>
      </c>
      <c r="I131" s="4">
        <v>41</v>
      </c>
      <c r="J131" s="3">
        <v>0</v>
      </c>
      <c r="K131" s="4">
        <v>3071</v>
      </c>
      <c r="L131" s="2">
        <v>309.87</v>
      </c>
      <c r="M131" s="2">
        <v>57.32</v>
      </c>
      <c r="N131" s="2">
        <v>62.58</v>
      </c>
      <c r="O131" s="2">
        <v>28.2</v>
      </c>
      <c r="P131" s="2">
        <v>3.31</v>
      </c>
      <c r="Q131" s="4">
        <v>1027287</v>
      </c>
      <c r="R131" s="4">
        <v>0</v>
      </c>
      <c r="S131" s="4">
        <v>1027287</v>
      </c>
      <c r="T131" s="4">
        <v>176030</v>
      </c>
      <c r="U131" s="4">
        <v>192183</v>
      </c>
      <c r="V131" s="4">
        <v>1862</v>
      </c>
      <c r="W131" s="4">
        <v>93489</v>
      </c>
      <c r="X131" s="4">
        <v>10973</v>
      </c>
      <c r="Y131" s="4">
        <v>1501824</v>
      </c>
      <c r="Z131" s="4">
        <v>130713</v>
      </c>
      <c r="AA131" s="4">
        <v>1371111</v>
      </c>
      <c r="AB131" s="4">
        <v>784129</v>
      </c>
      <c r="AC131" s="4">
        <v>586982</v>
      </c>
    </row>
    <row r="132" spans="1:29" x14ac:dyDescent="0.25">
      <c r="A132" s="1" t="s">
        <v>120</v>
      </c>
      <c r="B132" s="1" t="s">
        <v>736</v>
      </c>
      <c r="C132" s="1" t="s">
        <v>138</v>
      </c>
      <c r="D132" s="1" t="s">
        <v>538</v>
      </c>
      <c r="E132" s="2">
        <v>50.66</v>
      </c>
      <c r="F132" s="3">
        <v>532.79999999999995</v>
      </c>
      <c r="G132" s="2">
        <v>583.46</v>
      </c>
      <c r="H132" s="2">
        <v>1.06</v>
      </c>
      <c r="I132" s="4">
        <v>4</v>
      </c>
      <c r="J132" s="3">
        <v>0</v>
      </c>
      <c r="K132" s="4">
        <v>537</v>
      </c>
      <c r="L132" s="2">
        <v>309.87</v>
      </c>
      <c r="M132" s="2">
        <v>57.32</v>
      </c>
      <c r="N132" s="2">
        <v>62.58</v>
      </c>
      <c r="O132" s="2">
        <v>28.2</v>
      </c>
      <c r="P132" s="2">
        <v>3.31</v>
      </c>
      <c r="Q132" s="4">
        <v>180797</v>
      </c>
      <c r="R132" s="4">
        <v>0</v>
      </c>
      <c r="S132" s="4">
        <v>180797</v>
      </c>
      <c r="T132" s="4">
        <v>30781</v>
      </c>
      <c r="U132" s="4">
        <v>33605</v>
      </c>
      <c r="V132" s="4">
        <v>328</v>
      </c>
      <c r="W132" s="4">
        <v>16454</v>
      </c>
      <c r="X132" s="4">
        <v>1931</v>
      </c>
      <c r="Y132" s="4">
        <v>263896</v>
      </c>
      <c r="Z132" s="4">
        <v>30807</v>
      </c>
      <c r="AA132" s="4">
        <v>233089</v>
      </c>
      <c r="AB132" s="4">
        <v>130201</v>
      </c>
      <c r="AC132" s="4">
        <v>102888</v>
      </c>
    </row>
    <row r="133" spans="1:29" x14ac:dyDescent="0.25">
      <c r="A133" s="1" t="s">
        <v>120</v>
      </c>
      <c r="B133" s="1" t="s">
        <v>736</v>
      </c>
      <c r="C133" s="1" t="s">
        <v>139</v>
      </c>
      <c r="D133" s="1" t="s">
        <v>539</v>
      </c>
      <c r="E133" s="2">
        <v>382.06</v>
      </c>
      <c r="F133" s="3">
        <v>5128.3999999999996</v>
      </c>
      <c r="G133" s="2">
        <v>5510.46</v>
      </c>
      <c r="H133" s="2">
        <v>9.98</v>
      </c>
      <c r="I133" s="4">
        <v>104</v>
      </c>
      <c r="J133" s="3">
        <v>0</v>
      </c>
      <c r="K133" s="4">
        <v>5232</v>
      </c>
      <c r="L133" s="2">
        <v>309.87</v>
      </c>
      <c r="M133" s="2">
        <v>57.32</v>
      </c>
      <c r="N133" s="2">
        <v>62.58</v>
      </c>
      <c r="O133" s="2">
        <v>28.2</v>
      </c>
      <c r="P133" s="2">
        <v>3.31</v>
      </c>
      <c r="Q133" s="4">
        <v>1707526</v>
      </c>
      <c r="R133" s="4">
        <v>0</v>
      </c>
      <c r="S133" s="4">
        <v>1707526</v>
      </c>
      <c r="T133" s="4">
        <v>299898</v>
      </c>
      <c r="U133" s="4">
        <v>327419</v>
      </c>
      <c r="V133" s="4">
        <v>3093</v>
      </c>
      <c r="W133" s="4">
        <v>155395</v>
      </c>
      <c r="X133" s="4">
        <v>18240</v>
      </c>
      <c r="Y133" s="4">
        <v>2511571</v>
      </c>
      <c r="Z133" s="4">
        <v>135851</v>
      </c>
      <c r="AA133" s="4">
        <v>2375720</v>
      </c>
      <c r="AB133" s="4">
        <v>1384771</v>
      </c>
      <c r="AC133" s="4">
        <v>990949</v>
      </c>
    </row>
    <row r="134" spans="1:29" x14ac:dyDescent="0.25">
      <c r="A134" s="1" t="s">
        <v>120</v>
      </c>
      <c r="B134" s="1" t="s">
        <v>736</v>
      </c>
      <c r="C134" s="1" t="s">
        <v>140</v>
      </c>
      <c r="D134" s="1" t="s">
        <v>540</v>
      </c>
      <c r="E134" s="2">
        <v>152.12</v>
      </c>
      <c r="F134" s="3">
        <v>1301.7</v>
      </c>
      <c r="G134" s="2">
        <v>1453.82</v>
      </c>
      <c r="H134" s="2">
        <v>2.63</v>
      </c>
      <c r="I134" s="4">
        <v>4</v>
      </c>
      <c r="J134" s="3">
        <v>0</v>
      </c>
      <c r="K134" s="4">
        <v>1306</v>
      </c>
      <c r="L134" s="2">
        <v>309.87</v>
      </c>
      <c r="M134" s="2">
        <v>57.32</v>
      </c>
      <c r="N134" s="2">
        <v>62.58</v>
      </c>
      <c r="O134" s="2">
        <v>28.2</v>
      </c>
      <c r="P134" s="2">
        <v>3.31</v>
      </c>
      <c r="Q134" s="4">
        <v>450495</v>
      </c>
      <c r="R134" s="4">
        <v>3347</v>
      </c>
      <c r="S134" s="4">
        <v>453842</v>
      </c>
      <c r="T134" s="4">
        <v>74860</v>
      </c>
      <c r="U134" s="4">
        <v>81729</v>
      </c>
      <c r="V134" s="4">
        <v>815</v>
      </c>
      <c r="W134" s="4">
        <v>40998</v>
      </c>
      <c r="X134" s="4">
        <v>4812</v>
      </c>
      <c r="Y134" s="4">
        <v>657056</v>
      </c>
      <c r="Z134" s="4">
        <v>51632</v>
      </c>
      <c r="AA134" s="4">
        <v>605424</v>
      </c>
      <c r="AB134" s="4">
        <v>349552</v>
      </c>
      <c r="AC134" s="4">
        <v>255872</v>
      </c>
    </row>
    <row r="135" spans="1:29" x14ac:dyDescent="0.25">
      <c r="A135" s="1" t="s">
        <v>120</v>
      </c>
      <c r="B135" s="1" t="s">
        <v>736</v>
      </c>
      <c r="C135" s="1" t="s">
        <v>141</v>
      </c>
      <c r="D135" s="1" t="s">
        <v>541</v>
      </c>
      <c r="E135" s="2">
        <v>63.5</v>
      </c>
      <c r="F135" s="3">
        <v>849.9</v>
      </c>
      <c r="G135" s="2">
        <v>913.4</v>
      </c>
      <c r="H135" s="2">
        <v>1.66</v>
      </c>
      <c r="I135" s="4">
        <v>1</v>
      </c>
      <c r="J135" s="3">
        <v>0</v>
      </c>
      <c r="K135" s="4">
        <v>851</v>
      </c>
      <c r="L135" s="2">
        <v>309.87</v>
      </c>
      <c r="M135" s="2">
        <v>57.32</v>
      </c>
      <c r="N135" s="2">
        <v>62.58</v>
      </c>
      <c r="O135" s="2">
        <v>28.2</v>
      </c>
      <c r="P135" s="2">
        <v>3.31</v>
      </c>
      <c r="Q135" s="4">
        <v>283035</v>
      </c>
      <c r="R135" s="4">
        <v>0</v>
      </c>
      <c r="S135" s="4">
        <v>283035</v>
      </c>
      <c r="T135" s="4">
        <v>48779</v>
      </c>
      <c r="U135" s="4">
        <v>53256</v>
      </c>
      <c r="V135" s="4">
        <v>514</v>
      </c>
      <c r="W135" s="4">
        <v>25758</v>
      </c>
      <c r="X135" s="4">
        <v>3023</v>
      </c>
      <c r="Y135" s="4">
        <v>414365</v>
      </c>
      <c r="Z135" s="4">
        <v>40568</v>
      </c>
      <c r="AA135" s="4">
        <v>373797</v>
      </c>
      <c r="AB135" s="4">
        <v>211488</v>
      </c>
      <c r="AC135" s="4">
        <v>162309</v>
      </c>
    </row>
    <row r="136" spans="1:29" x14ac:dyDescent="0.25">
      <c r="A136" s="1" t="s">
        <v>142</v>
      </c>
      <c r="B136" s="1" t="s">
        <v>737</v>
      </c>
      <c r="C136" s="1" t="s">
        <v>143</v>
      </c>
      <c r="D136" s="1" t="s">
        <v>542</v>
      </c>
      <c r="E136" s="2">
        <v>34.89</v>
      </c>
      <c r="F136" s="3">
        <v>511.8</v>
      </c>
      <c r="G136" s="2">
        <v>546.69000000000005</v>
      </c>
      <c r="H136" s="2">
        <v>0</v>
      </c>
      <c r="I136" s="4">
        <v>25</v>
      </c>
      <c r="J136" s="3">
        <v>0</v>
      </c>
      <c r="K136" s="4">
        <v>537</v>
      </c>
      <c r="L136" s="2">
        <v>307.95</v>
      </c>
      <c r="M136" s="2">
        <v>57.5</v>
      </c>
      <c r="N136" s="2">
        <v>63.18</v>
      </c>
      <c r="O136" s="2">
        <v>28.95</v>
      </c>
      <c r="P136" s="2">
        <v>3.37</v>
      </c>
      <c r="Q136" s="4">
        <v>168353</v>
      </c>
      <c r="R136" s="4">
        <v>624</v>
      </c>
      <c r="S136" s="4">
        <v>168977</v>
      </c>
      <c r="T136" s="4">
        <v>30878</v>
      </c>
      <c r="U136" s="4">
        <v>33928</v>
      </c>
      <c r="V136" s="4">
        <v>0</v>
      </c>
      <c r="W136" s="4">
        <v>15827</v>
      </c>
      <c r="X136" s="4">
        <v>1842</v>
      </c>
      <c r="Y136" s="4">
        <v>251452</v>
      </c>
      <c r="Z136" s="4">
        <v>28260</v>
      </c>
      <c r="AA136" s="4">
        <v>223192</v>
      </c>
      <c r="AB136" s="4">
        <v>122801</v>
      </c>
      <c r="AC136" s="4">
        <v>100391</v>
      </c>
    </row>
    <row r="137" spans="1:29" x14ac:dyDescent="0.25">
      <c r="A137" s="1" t="s">
        <v>142</v>
      </c>
      <c r="B137" s="1" t="s">
        <v>737</v>
      </c>
      <c r="C137" s="1" t="s">
        <v>144</v>
      </c>
      <c r="D137" s="1" t="s">
        <v>543</v>
      </c>
      <c r="E137" s="2">
        <v>159.18</v>
      </c>
      <c r="F137" s="3">
        <v>1298.2</v>
      </c>
      <c r="G137" s="2">
        <v>1457.38</v>
      </c>
      <c r="H137" s="2">
        <v>0</v>
      </c>
      <c r="I137" s="4">
        <v>55</v>
      </c>
      <c r="J137" s="3">
        <v>0.4</v>
      </c>
      <c r="K137" s="4">
        <v>1353</v>
      </c>
      <c r="L137" s="2">
        <v>307.95</v>
      </c>
      <c r="M137" s="2">
        <v>57.5</v>
      </c>
      <c r="N137" s="2">
        <v>63.18</v>
      </c>
      <c r="O137" s="2">
        <v>28.95</v>
      </c>
      <c r="P137" s="2">
        <v>3.37</v>
      </c>
      <c r="Q137" s="4">
        <v>448800</v>
      </c>
      <c r="R137" s="4">
        <v>0</v>
      </c>
      <c r="S137" s="4">
        <v>448800</v>
      </c>
      <c r="T137" s="4">
        <v>77798</v>
      </c>
      <c r="U137" s="4">
        <v>85483</v>
      </c>
      <c r="V137" s="4">
        <v>0</v>
      </c>
      <c r="W137" s="4">
        <v>42191</v>
      </c>
      <c r="X137" s="4">
        <v>4911</v>
      </c>
      <c r="Y137" s="4">
        <v>659183</v>
      </c>
      <c r="Z137" s="4">
        <v>60223</v>
      </c>
      <c r="AA137" s="4">
        <v>598960</v>
      </c>
      <c r="AB137" s="4">
        <v>342480</v>
      </c>
      <c r="AC137" s="4">
        <v>256480</v>
      </c>
    </row>
    <row r="138" spans="1:29" x14ac:dyDescent="0.25">
      <c r="A138" s="1" t="s">
        <v>142</v>
      </c>
      <c r="B138" s="1" t="s">
        <v>737</v>
      </c>
      <c r="C138" s="1" t="s">
        <v>145</v>
      </c>
      <c r="D138" s="1" t="s">
        <v>544</v>
      </c>
      <c r="E138" s="2">
        <v>34.06</v>
      </c>
      <c r="F138" s="3">
        <v>484.3</v>
      </c>
      <c r="G138" s="2">
        <v>518.36</v>
      </c>
      <c r="H138" s="2">
        <v>0</v>
      </c>
      <c r="I138" s="4">
        <v>0</v>
      </c>
      <c r="J138" s="3">
        <v>0</v>
      </c>
      <c r="K138" s="4">
        <v>484</v>
      </c>
      <c r="L138" s="2">
        <v>307.95</v>
      </c>
      <c r="M138" s="2">
        <v>57.5</v>
      </c>
      <c r="N138" s="2">
        <v>63.18</v>
      </c>
      <c r="O138" s="2">
        <v>28.95</v>
      </c>
      <c r="P138" s="2">
        <v>3.37</v>
      </c>
      <c r="Q138" s="4">
        <v>159629</v>
      </c>
      <c r="R138" s="4">
        <v>14699</v>
      </c>
      <c r="S138" s="4">
        <v>174328</v>
      </c>
      <c r="T138" s="4">
        <v>27830</v>
      </c>
      <c r="U138" s="4">
        <v>30579</v>
      </c>
      <c r="V138" s="4">
        <v>0</v>
      </c>
      <c r="W138" s="4">
        <v>15007</v>
      </c>
      <c r="X138" s="4">
        <v>1747</v>
      </c>
      <c r="Y138" s="4">
        <v>249491</v>
      </c>
      <c r="Z138" s="4">
        <v>34138</v>
      </c>
      <c r="AA138" s="4">
        <v>215353</v>
      </c>
      <c r="AB138" s="4">
        <v>109096</v>
      </c>
      <c r="AC138" s="4">
        <v>106257</v>
      </c>
    </row>
    <row r="139" spans="1:29" x14ac:dyDescent="0.25">
      <c r="A139" s="1" t="s">
        <v>142</v>
      </c>
      <c r="B139" s="1" t="s">
        <v>737</v>
      </c>
      <c r="C139" s="1" t="s">
        <v>146</v>
      </c>
      <c r="D139" s="1" t="s">
        <v>545</v>
      </c>
      <c r="E139" s="2">
        <v>173.67</v>
      </c>
      <c r="F139" s="3">
        <v>1522.3</v>
      </c>
      <c r="G139" s="2">
        <v>1695.97</v>
      </c>
      <c r="H139" s="2">
        <v>0</v>
      </c>
      <c r="I139" s="4">
        <v>138</v>
      </c>
      <c r="J139" s="3">
        <v>0</v>
      </c>
      <c r="K139" s="4">
        <v>1660</v>
      </c>
      <c r="L139" s="2">
        <v>307.95</v>
      </c>
      <c r="M139" s="2">
        <v>57.5</v>
      </c>
      <c r="N139" s="2">
        <v>63.18</v>
      </c>
      <c r="O139" s="2">
        <v>28.95</v>
      </c>
      <c r="P139" s="2">
        <v>3.37</v>
      </c>
      <c r="Q139" s="4">
        <v>522274</v>
      </c>
      <c r="R139" s="4">
        <v>0</v>
      </c>
      <c r="S139" s="4">
        <v>522274</v>
      </c>
      <c r="T139" s="4">
        <v>95450</v>
      </c>
      <c r="U139" s="4">
        <v>104879</v>
      </c>
      <c r="V139" s="4">
        <v>0</v>
      </c>
      <c r="W139" s="4">
        <v>49098</v>
      </c>
      <c r="X139" s="4">
        <v>5715</v>
      </c>
      <c r="Y139" s="4">
        <v>777416</v>
      </c>
      <c r="Z139" s="4">
        <v>79586</v>
      </c>
      <c r="AA139" s="4">
        <v>697830</v>
      </c>
      <c r="AB139" s="4">
        <v>389044</v>
      </c>
      <c r="AC139" s="4">
        <v>308786</v>
      </c>
    </row>
    <row r="140" spans="1:29" x14ac:dyDescent="0.25">
      <c r="A140" s="1" t="s">
        <v>142</v>
      </c>
      <c r="B140" s="1" t="s">
        <v>737</v>
      </c>
      <c r="C140" s="1" t="s">
        <v>147</v>
      </c>
      <c r="D140" s="1" t="s">
        <v>546</v>
      </c>
      <c r="E140" s="2">
        <v>2513.14</v>
      </c>
      <c r="F140" s="3">
        <v>16851.5</v>
      </c>
      <c r="G140" s="2">
        <v>19364.64</v>
      </c>
      <c r="H140" s="2">
        <v>0</v>
      </c>
      <c r="I140" s="4">
        <v>1961</v>
      </c>
      <c r="J140" s="3">
        <v>20.8</v>
      </c>
      <c r="K140" s="4">
        <v>18792</v>
      </c>
      <c r="L140" s="2">
        <v>307.95</v>
      </c>
      <c r="M140" s="2">
        <v>57.5</v>
      </c>
      <c r="N140" s="2">
        <v>63.18</v>
      </c>
      <c r="O140" s="2">
        <v>28.95</v>
      </c>
      <c r="P140" s="2">
        <v>3.37</v>
      </c>
      <c r="Q140" s="4">
        <v>5963341</v>
      </c>
      <c r="R140" s="4">
        <v>0</v>
      </c>
      <c r="S140" s="4">
        <v>5963341</v>
      </c>
      <c r="T140" s="4">
        <v>1080540</v>
      </c>
      <c r="U140" s="4">
        <v>1187279</v>
      </c>
      <c r="V140" s="4">
        <v>0</v>
      </c>
      <c r="W140" s="4">
        <v>560606</v>
      </c>
      <c r="X140" s="4">
        <v>65259</v>
      </c>
      <c r="Y140" s="4">
        <v>8857025</v>
      </c>
      <c r="Z140" s="4">
        <v>846317</v>
      </c>
      <c r="AA140" s="4">
        <v>8010708</v>
      </c>
      <c r="AB140" s="4">
        <v>4504520</v>
      </c>
      <c r="AC140" s="4">
        <v>3506188</v>
      </c>
    </row>
    <row r="141" spans="1:29" x14ac:dyDescent="0.25">
      <c r="A141" s="1" t="s">
        <v>142</v>
      </c>
      <c r="B141" s="1" t="s">
        <v>737</v>
      </c>
      <c r="C141" s="1" t="s">
        <v>148</v>
      </c>
      <c r="D141" s="1" t="s">
        <v>547</v>
      </c>
      <c r="E141" s="2">
        <v>152.97</v>
      </c>
      <c r="F141" s="3">
        <v>1346.6</v>
      </c>
      <c r="G141" s="2">
        <v>1499.57</v>
      </c>
      <c r="H141" s="2">
        <v>0</v>
      </c>
      <c r="I141" s="4">
        <v>7</v>
      </c>
      <c r="J141" s="3">
        <v>0</v>
      </c>
      <c r="K141" s="4">
        <v>1354</v>
      </c>
      <c r="L141" s="2">
        <v>307.95</v>
      </c>
      <c r="M141" s="2">
        <v>57.5</v>
      </c>
      <c r="N141" s="2">
        <v>63.18</v>
      </c>
      <c r="O141" s="2">
        <v>28.95</v>
      </c>
      <c r="P141" s="2">
        <v>3.37</v>
      </c>
      <c r="Q141" s="4">
        <v>461793</v>
      </c>
      <c r="R141" s="4">
        <v>0</v>
      </c>
      <c r="S141" s="4">
        <v>461793</v>
      </c>
      <c r="T141" s="4">
        <v>77855</v>
      </c>
      <c r="U141" s="4">
        <v>85546</v>
      </c>
      <c r="V141" s="4">
        <v>0</v>
      </c>
      <c r="W141" s="4">
        <v>43413</v>
      </c>
      <c r="X141" s="4">
        <v>5054</v>
      </c>
      <c r="Y141" s="4">
        <v>673661</v>
      </c>
      <c r="Z141" s="4">
        <v>46594</v>
      </c>
      <c r="AA141" s="4">
        <v>627067</v>
      </c>
      <c r="AB141" s="4">
        <v>367768</v>
      </c>
      <c r="AC141" s="4">
        <v>259299</v>
      </c>
    </row>
    <row r="142" spans="1:29" x14ac:dyDescent="0.25">
      <c r="A142" s="1" t="s">
        <v>142</v>
      </c>
      <c r="B142" s="1" t="s">
        <v>737</v>
      </c>
      <c r="C142" s="1" t="s">
        <v>149</v>
      </c>
      <c r="D142" s="1" t="s">
        <v>548</v>
      </c>
      <c r="E142" s="2">
        <v>41.23</v>
      </c>
      <c r="F142" s="3">
        <v>461.9</v>
      </c>
      <c r="G142" s="2">
        <v>503.13</v>
      </c>
      <c r="H142" s="2">
        <v>0</v>
      </c>
      <c r="I142" s="4">
        <v>2</v>
      </c>
      <c r="J142" s="3">
        <v>0</v>
      </c>
      <c r="K142" s="4">
        <v>464</v>
      </c>
      <c r="L142" s="2">
        <v>307.95</v>
      </c>
      <c r="M142" s="2">
        <v>57.5</v>
      </c>
      <c r="N142" s="2">
        <v>63.18</v>
      </c>
      <c r="O142" s="2">
        <v>28.95</v>
      </c>
      <c r="P142" s="2">
        <v>3.37</v>
      </c>
      <c r="Q142" s="4">
        <v>154939</v>
      </c>
      <c r="R142" s="4">
        <v>0</v>
      </c>
      <c r="S142" s="4">
        <v>154939</v>
      </c>
      <c r="T142" s="4">
        <v>26680</v>
      </c>
      <c r="U142" s="4">
        <v>29316</v>
      </c>
      <c r="V142" s="4">
        <v>0</v>
      </c>
      <c r="W142" s="4">
        <v>14566</v>
      </c>
      <c r="X142" s="4">
        <v>1696</v>
      </c>
      <c r="Y142" s="4">
        <v>227197</v>
      </c>
      <c r="Z142" s="4">
        <v>23775</v>
      </c>
      <c r="AA142" s="4">
        <v>203422</v>
      </c>
      <c r="AB142" s="4">
        <v>115251</v>
      </c>
      <c r="AC142" s="4">
        <v>88171</v>
      </c>
    </row>
    <row r="143" spans="1:29" x14ac:dyDescent="0.25">
      <c r="A143" s="1" t="s">
        <v>142</v>
      </c>
      <c r="B143" s="1" t="s">
        <v>737</v>
      </c>
      <c r="C143" s="1" t="s">
        <v>150</v>
      </c>
      <c r="D143" s="1" t="s">
        <v>549</v>
      </c>
      <c r="E143" s="2">
        <v>255.59</v>
      </c>
      <c r="F143" s="3">
        <v>2488.6999999999998</v>
      </c>
      <c r="G143" s="2">
        <v>2744.29</v>
      </c>
      <c r="H143" s="2">
        <v>0</v>
      </c>
      <c r="I143" s="4">
        <v>20</v>
      </c>
      <c r="J143" s="3">
        <v>0</v>
      </c>
      <c r="K143" s="4">
        <v>2509</v>
      </c>
      <c r="L143" s="2">
        <v>307.95</v>
      </c>
      <c r="M143" s="2">
        <v>57.5</v>
      </c>
      <c r="N143" s="2">
        <v>63.18</v>
      </c>
      <c r="O143" s="2">
        <v>28.95</v>
      </c>
      <c r="P143" s="2">
        <v>3.37</v>
      </c>
      <c r="Q143" s="4">
        <v>845104</v>
      </c>
      <c r="R143" s="4">
        <v>0</v>
      </c>
      <c r="S143" s="4">
        <v>845104</v>
      </c>
      <c r="T143" s="4">
        <v>144268</v>
      </c>
      <c r="U143" s="4">
        <v>158519</v>
      </c>
      <c r="V143" s="4">
        <v>0</v>
      </c>
      <c r="W143" s="4">
        <v>79447</v>
      </c>
      <c r="X143" s="4">
        <v>9248</v>
      </c>
      <c r="Y143" s="4">
        <v>1236586</v>
      </c>
      <c r="Z143" s="4">
        <v>54531</v>
      </c>
      <c r="AA143" s="4">
        <v>1182055</v>
      </c>
      <c r="AB143" s="4">
        <v>703771</v>
      </c>
      <c r="AC143" s="4">
        <v>478284</v>
      </c>
    </row>
    <row r="144" spans="1:29" x14ac:dyDescent="0.25">
      <c r="A144" s="1" t="s">
        <v>142</v>
      </c>
      <c r="B144" s="1" t="s">
        <v>737</v>
      </c>
      <c r="C144" s="1" t="s">
        <v>151</v>
      </c>
      <c r="D144" s="1" t="s">
        <v>550</v>
      </c>
      <c r="E144" s="2">
        <v>618.84</v>
      </c>
      <c r="F144" s="3">
        <v>5194.1000000000004</v>
      </c>
      <c r="G144" s="2">
        <v>5812.94</v>
      </c>
      <c r="H144" s="2">
        <v>0</v>
      </c>
      <c r="I144" s="4">
        <v>120</v>
      </c>
      <c r="J144" s="3">
        <v>0</v>
      </c>
      <c r="K144" s="4">
        <v>5314</v>
      </c>
      <c r="L144" s="2">
        <v>307.95</v>
      </c>
      <c r="M144" s="2">
        <v>57.5</v>
      </c>
      <c r="N144" s="2">
        <v>63.18</v>
      </c>
      <c r="O144" s="2">
        <v>28.95</v>
      </c>
      <c r="P144" s="2">
        <v>3.37</v>
      </c>
      <c r="Q144" s="4">
        <v>1790095</v>
      </c>
      <c r="R144" s="4">
        <v>0</v>
      </c>
      <c r="S144" s="4">
        <v>1790095</v>
      </c>
      <c r="T144" s="4">
        <v>305555</v>
      </c>
      <c r="U144" s="4">
        <v>335739</v>
      </c>
      <c r="V144" s="4">
        <v>0</v>
      </c>
      <c r="W144" s="4">
        <v>168285</v>
      </c>
      <c r="X144" s="4">
        <v>19590</v>
      </c>
      <c r="Y144" s="4">
        <v>2619264</v>
      </c>
      <c r="Z144" s="4">
        <v>142066</v>
      </c>
      <c r="AA144" s="4">
        <v>2477198</v>
      </c>
      <c r="AB144" s="4">
        <v>1464166</v>
      </c>
      <c r="AC144" s="4">
        <v>1013032</v>
      </c>
    </row>
    <row r="145" spans="1:29" x14ac:dyDescent="0.25">
      <c r="A145" s="1" t="s">
        <v>142</v>
      </c>
      <c r="B145" s="1" t="s">
        <v>737</v>
      </c>
      <c r="C145" s="1" t="s">
        <v>152</v>
      </c>
      <c r="D145" s="1" t="s">
        <v>551</v>
      </c>
      <c r="E145" s="2">
        <v>66.099999999999994</v>
      </c>
      <c r="F145" s="3">
        <v>474.7</v>
      </c>
      <c r="G145" s="2">
        <v>540.79999999999995</v>
      </c>
      <c r="H145" s="2">
        <v>0</v>
      </c>
      <c r="I145" s="4">
        <v>4</v>
      </c>
      <c r="J145" s="3">
        <v>0</v>
      </c>
      <c r="K145" s="4">
        <v>479</v>
      </c>
      <c r="L145" s="2">
        <v>307.95</v>
      </c>
      <c r="M145" s="2">
        <v>57.5</v>
      </c>
      <c r="N145" s="2">
        <v>63.18</v>
      </c>
      <c r="O145" s="2">
        <v>28.95</v>
      </c>
      <c r="P145" s="2">
        <v>3.37</v>
      </c>
      <c r="Q145" s="4">
        <v>166539</v>
      </c>
      <c r="R145" s="4">
        <v>8647</v>
      </c>
      <c r="S145" s="4">
        <v>175186</v>
      </c>
      <c r="T145" s="4">
        <v>27543</v>
      </c>
      <c r="U145" s="4">
        <v>30263</v>
      </c>
      <c r="V145" s="4">
        <v>0</v>
      </c>
      <c r="W145" s="4">
        <v>15656</v>
      </c>
      <c r="X145" s="4">
        <v>1822</v>
      </c>
      <c r="Y145" s="4">
        <v>250470</v>
      </c>
      <c r="Z145" s="4">
        <v>31450</v>
      </c>
      <c r="AA145" s="4">
        <v>219020</v>
      </c>
      <c r="AB145" s="4">
        <v>117983</v>
      </c>
      <c r="AC145" s="4">
        <v>101037</v>
      </c>
    </row>
    <row r="146" spans="1:29" x14ac:dyDescent="0.25">
      <c r="A146" s="1" t="s">
        <v>142</v>
      </c>
      <c r="B146" s="1" t="s">
        <v>737</v>
      </c>
      <c r="C146" s="1" t="s">
        <v>154</v>
      </c>
      <c r="D146" s="1" t="s">
        <v>155</v>
      </c>
      <c r="E146" s="2">
        <v>47.15</v>
      </c>
      <c r="F146" s="3">
        <v>343.7</v>
      </c>
      <c r="G146" s="2">
        <v>390.85</v>
      </c>
      <c r="H146" s="2">
        <v>0</v>
      </c>
      <c r="I146" s="4">
        <v>9</v>
      </c>
      <c r="J146" s="3">
        <v>0</v>
      </c>
      <c r="K146" s="4">
        <v>353</v>
      </c>
      <c r="L146" s="2">
        <v>307.95</v>
      </c>
      <c r="M146" s="2">
        <v>57.5</v>
      </c>
      <c r="N146" s="2">
        <v>63.18</v>
      </c>
      <c r="O146" s="2">
        <v>28.95</v>
      </c>
      <c r="P146" s="2">
        <v>3.37</v>
      </c>
      <c r="Q146" s="4">
        <v>120362</v>
      </c>
      <c r="R146" s="4">
        <v>334</v>
      </c>
      <c r="S146" s="4">
        <v>120696</v>
      </c>
      <c r="T146" s="4">
        <v>20298</v>
      </c>
      <c r="U146" s="4">
        <v>22303</v>
      </c>
      <c r="V146" s="4">
        <v>0</v>
      </c>
      <c r="W146" s="4">
        <v>11323</v>
      </c>
      <c r="X146" s="4">
        <v>1319</v>
      </c>
      <c r="Y146" s="4">
        <v>175939</v>
      </c>
      <c r="Z146" s="4">
        <v>19800</v>
      </c>
      <c r="AA146" s="4">
        <v>156139</v>
      </c>
      <c r="AB146" s="4">
        <v>88209</v>
      </c>
      <c r="AC146" s="4">
        <v>67930</v>
      </c>
    </row>
    <row r="147" spans="1:29" x14ac:dyDescent="0.25">
      <c r="A147" s="1" t="s">
        <v>142</v>
      </c>
      <c r="B147" s="1" t="s">
        <v>737</v>
      </c>
      <c r="C147" s="1" t="s">
        <v>153</v>
      </c>
      <c r="D147" s="1" t="s">
        <v>552</v>
      </c>
      <c r="E147" s="2">
        <v>73.459999999999994</v>
      </c>
      <c r="F147" s="3">
        <v>620.9</v>
      </c>
      <c r="G147" s="2">
        <v>694.36</v>
      </c>
      <c r="H147" s="2">
        <v>0</v>
      </c>
      <c r="I147" s="4">
        <v>7</v>
      </c>
      <c r="J147" s="3">
        <v>0</v>
      </c>
      <c r="K147" s="4">
        <v>628</v>
      </c>
      <c r="L147" s="2">
        <v>307.95</v>
      </c>
      <c r="M147" s="2">
        <v>57.5</v>
      </c>
      <c r="N147" s="2">
        <v>63.18</v>
      </c>
      <c r="O147" s="2">
        <v>28.95</v>
      </c>
      <c r="P147" s="2">
        <v>3.37</v>
      </c>
      <c r="Q147" s="4">
        <v>213828</v>
      </c>
      <c r="R147" s="4">
        <v>0</v>
      </c>
      <c r="S147" s="4">
        <v>213828</v>
      </c>
      <c r="T147" s="4">
        <v>36110</v>
      </c>
      <c r="U147" s="4">
        <v>39677</v>
      </c>
      <c r="V147" s="4">
        <v>0</v>
      </c>
      <c r="W147" s="4">
        <v>20102</v>
      </c>
      <c r="X147" s="4">
        <v>2340</v>
      </c>
      <c r="Y147" s="4">
        <v>312057</v>
      </c>
      <c r="Z147" s="4">
        <v>28769</v>
      </c>
      <c r="AA147" s="4">
        <v>283288</v>
      </c>
      <c r="AB147" s="4">
        <v>163097</v>
      </c>
      <c r="AC147" s="4">
        <v>120191</v>
      </c>
    </row>
    <row r="148" spans="1:29" x14ac:dyDescent="0.25">
      <c r="A148" s="1" t="s">
        <v>142</v>
      </c>
      <c r="B148" s="1" t="s">
        <v>737</v>
      </c>
      <c r="C148" s="1" t="s">
        <v>156</v>
      </c>
      <c r="D148" s="1" t="s">
        <v>553</v>
      </c>
      <c r="E148" s="2">
        <v>1456.97</v>
      </c>
      <c r="F148" s="3">
        <v>14571.6</v>
      </c>
      <c r="G148" s="2">
        <v>16028.57</v>
      </c>
      <c r="H148" s="2">
        <v>0</v>
      </c>
      <c r="I148" s="4">
        <v>847</v>
      </c>
      <c r="J148" s="3">
        <v>4.3</v>
      </c>
      <c r="K148" s="4">
        <v>15414</v>
      </c>
      <c r="L148" s="2">
        <v>307.95</v>
      </c>
      <c r="M148" s="2">
        <v>57.5</v>
      </c>
      <c r="N148" s="2">
        <v>63.18</v>
      </c>
      <c r="O148" s="2">
        <v>28.95</v>
      </c>
      <c r="P148" s="2">
        <v>3.37</v>
      </c>
      <c r="Q148" s="4">
        <v>4935998</v>
      </c>
      <c r="R148" s="4">
        <v>0</v>
      </c>
      <c r="S148" s="4">
        <v>4935998</v>
      </c>
      <c r="T148" s="4">
        <v>886305</v>
      </c>
      <c r="U148" s="4">
        <v>973857</v>
      </c>
      <c r="V148" s="4">
        <v>0</v>
      </c>
      <c r="W148" s="4">
        <v>464027</v>
      </c>
      <c r="X148" s="4">
        <v>54016</v>
      </c>
      <c r="Y148" s="4">
        <v>7314203</v>
      </c>
      <c r="Z148" s="4">
        <v>485100</v>
      </c>
      <c r="AA148" s="4">
        <v>6829103</v>
      </c>
      <c r="AB148" s="4">
        <v>3943914</v>
      </c>
      <c r="AC148" s="4">
        <v>2885189</v>
      </c>
    </row>
    <row r="149" spans="1:29" x14ac:dyDescent="0.25">
      <c r="A149" s="1" t="s">
        <v>142</v>
      </c>
      <c r="B149" s="1" t="s">
        <v>737</v>
      </c>
      <c r="C149" s="1" t="s">
        <v>157</v>
      </c>
      <c r="D149" s="1" t="s">
        <v>554</v>
      </c>
      <c r="E149" s="2">
        <v>61.11</v>
      </c>
      <c r="F149" s="3">
        <v>532.5</v>
      </c>
      <c r="G149" s="2">
        <v>593.61</v>
      </c>
      <c r="H149" s="2">
        <v>0</v>
      </c>
      <c r="I149" s="4">
        <v>0</v>
      </c>
      <c r="J149" s="3">
        <v>0</v>
      </c>
      <c r="K149" s="4">
        <v>533</v>
      </c>
      <c r="L149" s="2">
        <v>307.95</v>
      </c>
      <c r="M149" s="2">
        <v>57.5</v>
      </c>
      <c r="N149" s="2">
        <v>63.18</v>
      </c>
      <c r="O149" s="2">
        <v>28.95</v>
      </c>
      <c r="P149" s="2">
        <v>3.37</v>
      </c>
      <c r="Q149" s="4">
        <v>182802</v>
      </c>
      <c r="R149" s="4">
        <v>4806</v>
      </c>
      <c r="S149" s="4">
        <v>187608</v>
      </c>
      <c r="T149" s="4">
        <v>30648</v>
      </c>
      <c r="U149" s="4">
        <v>33675</v>
      </c>
      <c r="V149" s="4">
        <v>0</v>
      </c>
      <c r="W149" s="4">
        <v>17252</v>
      </c>
      <c r="X149" s="4">
        <v>2010</v>
      </c>
      <c r="Y149" s="4">
        <v>271193</v>
      </c>
      <c r="Z149" s="4">
        <v>30923</v>
      </c>
      <c r="AA149" s="4">
        <v>240270</v>
      </c>
      <c r="AB149" s="4">
        <v>133180</v>
      </c>
      <c r="AC149" s="4">
        <v>107090</v>
      </c>
    </row>
    <row r="150" spans="1:29" x14ac:dyDescent="0.25">
      <c r="A150" s="1" t="s">
        <v>142</v>
      </c>
      <c r="B150" s="1" t="s">
        <v>737</v>
      </c>
      <c r="C150" s="1" t="s">
        <v>158</v>
      </c>
      <c r="D150" s="1" t="s">
        <v>555</v>
      </c>
      <c r="E150" s="2">
        <v>784.31</v>
      </c>
      <c r="F150" s="3">
        <v>7675.5</v>
      </c>
      <c r="G150" s="2">
        <v>8459.81</v>
      </c>
      <c r="H150" s="2">
        <v>0</v>
      </c>
      <c r="I150" s="4">
        <v>434</v>
      </c>
      <c r="J150" s="3">
        <v>0</v>
      </c>
      <c r="K150" s="4">
        <v>8110</v>
      </c>
      <c r="L150" s="2">
        <v>307.95</v>
      </c>
      <c r="M150" s="2">
        <v>57.5</v>
      </c>
      <c r="N150" s="2">
        <v>63.18</v>
      </c>
      <c r="O150" s="2">
        <v>28.95</v>
      </c>
      <c r="P150" s="2">
        <v>3.37</v>
      </c>
      <c r="Q150" s="4">
        <v>2605198</v>
      </c>
      <c r="R150" s="4">
        <v>0</v>
      </c>
      <c r="S150" s="4">
        <v>2605198</v>
      </c>
      <c r="T150" s="4">
        <v>466325</v>
      </c>
      <c r="U150" s="4">
        <v>512390</v>
      </c>
      <c r="V150" s="4">
        <v>0</v>
      </c>
      <c r="W150" s="4">
        <v>244911</v>
      </c>
      <c r="X150" s="4">
        <v>28510</v>
      </c>
      <c r="Y150" s="4">
        <v>3857334</v>
      </c>
      <c r="Z150" s="4">
        <v>225812</v>
      </c>
      <c r="AA150" s="4">
        <v>3631522</v>
      </c>
      <c r="AB150" s="4">
        <v>2111803</v>
      </c>
      <c r="AC150" s="4">
        <v>1519719</v>
      </c>
    </row>
    <row r="151" spans="1:29" x14ac:dyDescent="0.25">
      <c r="A151" s="1" t="s">
        <v>142</v>
      </c>
      <c r="B151" s="1" t="s">
        <v>737</v>
      </c>
      <c r="C151" s="1" t="s">
        <v>159</v>
      </c>
      <c r="D151" s="1" t="s">
        <v>556</v>
      </c>
      <c r="E151" s="2">
        <v>36.840000000000003</v>
      </c>
      <c r="F151" s="3">
        <v>638.4</v>
      </c>
      <c r="G151" s="2">
        <v>675.24</v>
      </c>
      <c r="H151" s="2">
        <v>0</v>
      </c>
      <c r="I151" s="4">
        <v>6</v>
      </c>
      <c r="J151" s="3">
        <v>0</v>
      </c>
      <c r="K151" s="4">
        <v>644</v>
      </c>
      <c r="L151" s="2">
        <v>307.95</v>
      </c>
      <c r="M151" s="2">
        <v>57.5</v>
      </c>
      <c r="N151" s="2">
        <v>63.18</v>
      </c>
      <c r="O151" s="2">
        <v>28.95</v>
      </c>
      <c r="P151" s="2">
        <v>3.37</v>
      </c>
      <c r="Q151" s="4">
        <v>207940</v>
      </c>
      <c r="R151" s="4">
        <v>204</v>
      </c>
      <c r="S151" s="4">
        <v>208144</v>
      </c>
      <c r="T151" s="4">
        <v>37030</v>
      </c>
      <c r="U151" s="4">
        <v>40688</v>
      </c>
      <c r="V151" s="4">
        <v>0</v>
      </c>
      <c r="W151" s="4">
        <v>19548</v>
      </c>
      <c r="X151" s="4">
        <v>2276</v>
      </c>
      <c r="Y151" s="4">
        <v>307686</v>
      </c>
      <c r="Z151" s="4">
        <v>27550</v>
      </c>
      <c r="AA151" s="4">
        <v>280136</v>
      </c>
      <c r="AB151" s="4">
        <v>159033</v>
      </c>
      <c r="AC151" s="4">
        <v>121103</v>
      </c>
    </row>
    <row r="152" spans="1:29" x14ac:dyDescent="0.25">
      <c r="A152" s="1" t="s">
        <v>142</v>
      </c>
      <c r="B152" s="1" t="s">
        <v>737</v>
      </c>
      <c r="C152" s="1" t="s">
        <v>160</v>
      </c>
      <c r="D152" s="1" t="s">
        <v>557</v>
      </c>
      <c r="E152" s="2">
        <v>36.57</v>
      </c>
      <c r="F152" s="3">
        <v>368.8</v>
      </c>
      <c r="G152" s="2">
        <v>405.37</v>
      </c>
      <c r="H152" s="2">
        <v>0</v>
      </c>
      <c r="I152" s="4">
        <v>4</v>
      </c>
      <c r="J152" s="3">
        <v>0</v>
      </c>
      <c r="K152" s="4">
        <v>373</v>
      </c>
      <c r="L152" s="2">
        <v>307.95</v>
      </c>
      <c r="M152" s="2">
        <v>57.5</v>
      </c>
      <c r="N152" s="2">
        <v>63.18</v>
      </c>
      <c r="O152" s="2">
        <v>28.95</v>
      </c>
      <c r="P152" s="2">
        <v>3.37</v>
      </c>
      <c r="Q152" s="4">
        <v>124834</v>
      </c>
      <c r="R152" s="4">
        <v>3764</v>
      </c>
      <c r="S152" s="4">
        <v>128598</v>
      </c>
      <c r="T152" s="4">
        <v>21448</v>
      </c>
      <c r="U152" s="4">
        <v>23566</v>
      </c>
      <c r="V152" s="4">
        <v>0</v>
      </c>
      <c r="W152" s="4">
        <v>11735</v>
      </c>
      <c r="X152" s="4">
        <v>1366</v>
      </c>
      <c r="Y152" s="4">
        <v>186713</v>
      </c>
      <c r="Z152" s="4">
        <v>18559</v>
      </c>
      <c r="AA152" s="4">
        <v>168154</v>
      </c>
      <c r="AB152" s="4">
        <v>93452</v>
      </c>
      <c r="AC152" s="4">
        <v>74702</v>
      </c>
    </row>
    <row r="153" spans="1:29" x14ac:dyDescent="0.25">
      <c r="A153" s="1" t="s">
        <v>142</v>
      </c>
      <c r="B153" s="1" t="s">
        <v>737</v>
      </c>
      <c r="C153" s="1" t="s">
        <v>161</v>
      </c>
      <c r="D153" s="1" t="s">
        <v>558</v>
      </c>
      <c r="E153" s="2">
        <v>224.89</v>
      </c>
      <c r="F153" s="3">
        <v>1911</v>
      </c>
      <c r="G153" s="2">
        <v>2135.89</v>
      </c>
      <c r="H153" s="2">
        <v>0</v>
      </c>
      <c r="I153" s="4">
        <v>72</v>
      </c>
      <c r="J153" s="3">
        <v>0.1</v>
      </c>
      <c r="K153" s="4">
        <v>1983</v>
      </c>
      <c r="L153" s="2">
        <v>307.95</v>
      </c>
      <c r="M153" s="2">
        <v>57.5</v>
      </c>
      <c r="N153" s="2">
        <v>63.18</v>
      </c>
      <c r="O153" s="2">
        <v>28.95</v>
      </c>
      <c r="P153" s="2">
        <v>3.37</v>
      </c>
      <c r="Q153" s="4">
        <v>657747</v>
      </c>
      <c r="R153" s="4">
        <v>0</v>
      </c>
      <c r="S153" s="4">
        <v>657747</v>
      </c>
      <c r="T153" s="4">
        <v>114023</v>
      </c>
      <c r="U153" s="4">
        <v>125286</v>
      </c>
      <c r="V153" s="4">
        <v>0</v>
      </c>
      <c r="W153" s="4">
        <v>61834</v>
      </c>
      <c r="X153" s="4">
        <v>7198</v>
      </c>
      <c r="Y153" s="4">
        <v>966088</v>
      </c>
      <c r="Z153" s="4">
        <v>80131</v>
      </c>
      <c r="AA153" s="4">
        <v>885957</v>
      </c>
      <c r="AB153" s="4">
        <v>510058</v>
      </c>
      <c r="AC153" s="4">
        <v>375899</v>
      </c>
    </row>
    <row r="154" spans="1:29" x14ac:dyDescent="0.25">
      <c r="A154" s="1" t="s">
        <v>142</v>
      </c>
      <c r="B154" s="1" t="s">
        <v>737</v>
      </c>
      <c r="C154" s="1" t="s">
        <v>162</v>
      </c>
      <c r="D154" s="1" t="s">
        <v>559</v>
      </c>
      <c r="E154" s="2">
        <v>160.21</v>
      </c>
      <c r="F154" s="3">
        <v>1276.3</v>
      </c>
      <c r="G154" s="2">
        <v>1436.51</v>
      </c>
      <c r="H154" s="2">
        <v>0</v>
      </c>
      <c r="I154" s="4">
        <v>64</v>
      </c>
      <c r="J154" s="3">
        <v>0</v>
      </c>
      <c r="K154" s="4">
        <v>1340</v>
      </c>
      <c r="L154" s="2">
        <v>307.95</v>
      </c>
      <c r="M154" s="2">
        <v>57.5</v>
      </c>
      <c r="N154" s="2">
        <v>63.18</v>
      </c>
      <c r="O154" s="2">
        <v>28.95</v>
      </c>
      <c r="P154" s="2">
        <v>3.37</v>
      </c>
      <c r="Q154" s="4">
        <v>442373</v>
      </c>
      <c r="R154" s="4">
        <v>0</v>
      </c>
      <c r="S154" s="4">
        <v>442373</v>
      </c>
      <c r="T154" s="4">
        <v>77050</v>
      </c>
      <c r="U154" s="4">
        <v>84661</v>
      </c>
      <c r="V154" s="4">
        <v>0</v>
      </c>
      <c r="W154" s="4">
        <v>41587</v>
      </c>
      <c r="X154" s="4">
        <v>4841</v>
      </c>
      <c r="Y154" s="4">
        <v>650512</v>
      </c>
      <c r="Z154" s="4">
        <v>55121</v>
      </c>
      <c r="AA154" s="4">
        <v>595391</v>
      </c>
      <c r="AB154" s="4">
        <v>341815</v>
      </c>
      <c r="AC154" s="4">
        <v>253576</v>
      </c>
    </row>
    <row r="155" spans="1:29" x14ac:dyDescent="0.25">
      <c r="A155" s="1" t="s">
        <v>142</v>
      </c>
      <c r="B155" s="1" t="s">
        <v>737</v>
      </c>
      <c r="C155" s="1" t="s">
        <v>163</v>
      </c>
      <c r="D155" s="1" t="s">
        <v>560</v>
      </c>
      <c r="E155" s="2">
        <v>79.290000000000006</v>
      </c>
      <c r="F155" s="3">
        <v>520.20000000000005</v>
      </c>
      <c r="G155" s="2">
        <v>599.49</v>
      </c>
      <c r="H155" s="2">
        <v>0</v>
      </c>
      <c r="I155" s="4">
        <v>8</v>
      </c>
      <c r="J155" s="3">
        <v>0</v>
      </c>
      <c r="K155" s="4">
        <v>528</v>
      </c>
      <c r="L155" s="2">
        <v>307.95</v>
      </c>
      <c r="M155" s="2">
        <v>57.5</v>
      </c>
      <c r="N155" s="2">
        <v>63.18</v>
      </c>
      <c r="O155" s="2">
        <v>28.95</v>
      </c>
      <c r="P155" s="2">
        <v>3.37</v>
      </c>
      <c r="Q155" s="4">
        <v>184613</v>
      </c>
      <c r="R155" s="4">
        <v>899</v>
      </c>
      <c r="S155" s="4">
        <v>185512</v>
      </c>
      <c r="T155" s="4">
        <v>30360</v>
      </c>
      <c r="U155" s="4">
        <v>33359</v>
      </c>
      <c r="V155" s="4">
        <v>0</v>
      </c>
      <c r="W155" s="4">
        <v>17404</v>
      </c>
      <c r="X155" s="4">
        <v>2028</v>
      </c>
      <c r="Y155" s="4">
        <v>268663</v>
      </c>
      <c r="Z155" s="4">
        <v>35327</v>
      </c>
      <c r="AA155" s="4">
        <v>233336</v>
      </c>
      <c r="AB155" s="4">
        <v>130381</v>
      </c>
      <c r="AC155" s="4">
        <v>102955</v>
      </c>
    </row>
    <row r="156" spans="1:29" x14ac:dyDescent="0.25">
      <c r="A156" s="1" t="s">
        <v>142</v>
      </c>
      <c r="B156" s="1" t="s">
        <v>737</v>
      </c>
      <c r="C156" s="1" t="s">
        <v>164</v>
      </c>
      <c r="D156" s="1" t="s">
        <v>561</v>
      </c>
      <c r="E156" s="2">
        <v>140.55000000000001</v>
      </c>
      <c r="F156" s="3">
        <v>953.8</v>
      </c>
      <c r="G156" s="2">
        <v>1094.3499999999999</v>
      </c>
      <c r="H156" s="2">
        <v>0</v>
      </c>
      <c r="I156" s="4">
        <v>84</v>
      </c>
      <c r="J156" s="3">
        <v>2.8</v>
      </c>
      <c r="K156" s="4">
        <v>1035</v>
      </c>
      <c r="L156" s="2">
        <v>307.95</v>
      </c>
      <c r="M156" s="2">
        <v>57.5</v>
      </c>
      <c r="N156" s="2">
        <v>63.18</v>
      </c>
      <c r="O156" s="2">
        <v>28.95</v>
      </c>
      <c r="P156" s="2">
        <v>3.37</v>
      </c>
      <c r="Q156" s="4">
        <v>337005</v>
      </c>
      <c r="R156" s="4">
        <v>8708</v>
      </c>
      <c r="S156" s="4">
        <v>345713</v>
      </c>
      <c r="T156" s="4">
        <v>59513</v>
      </c>
      <c r="U156" s="4">
        <v>65391</v>
      </c>
      <c r="V156" s="4">
        <v>0</v>
      </c>
      <c r="W156" s="4">
        <v>31681</v>
      </c>
      <c r="X156" s="4">
        <v>3688</v>
      </c>
      <c r="Y156" s="4">
        <v>505986</v>
      </c>
      <c r="Z156" s="4">
        <v>48152</v>
      </c>
      <c r="AA156" s="4">
        <v>457834</v>
      </c>
      <c r="AB156" s="4">
        <v>254238</v>
      </c>
      <c r="AC156" s="4">
        <v>203596</v>
      </c>
    </row>
    <row r="157" spans="1:29" x14ac:dyDescent="0.25">
      <c r="A157" s="1" t="s">
        <v>142</v>
      </c>
      <c r="B157" s="1" t="s">
        <v>737</v>
      </c>
      <c r="C157" s="1" t="s">
        <v>165</v>
      </c>
      <c r="D157" s="1" t="s">
        <v>562</v>
      </c>
      <c r="E157" s="2">
        <v>77.72</v>
      </c>
      <c r="F157" s="3">
        <v>1108.3</v>
      </c>
      <c r="G157" s="2">
        <v>1186.02</v>
      </c>
      <c r="H157" s="2">
        <v>0</v>
      </c>
      <c r="I157" s="4">
        <v>23</v>
      </c>
      <c r="J157" s="3">
        <v>0</v>
      </c>
      <c r="K157" s="4">
        <v>1131</v>
      </c>
      <c r="L157" s="2">
        <v>307.95</v>
      </c>
      <c r="M157" s="2">
        <v>57.5</v>
      </c>
      <c r="N157" s="2">
        <v>63.18</v>
      </c>
      <c r="O157" s="2">
        <v>28.95</v>
      </c>
      <c r="P157" s="2">
        <v>3.37</v>
      </c>
      <c r="Q157" s="4">
        <v>365235</v>
      </c>
      <c r="R157" s="4">
        <v>0</v>
      </c>
      <c r="S157" s="4">
        <v>365235</v>
      </c>
      <c r="T157" s="4">
        <v>65033</v>
      </c>
      <c r="U157" s="4">
        <v>71457</v>
      </c>
      <c r="V157" s="4">
        <v>0</v>
      </c>
      <c r="W157" s="4">
        <v>34335</v>
      </c>
      <c r="X157" s="4">
        <v>3997</v>
      </c>
      <c r="Y157" s="4">
        <v>540057</v>
      </c>
      <c r="Z157" s="4">
        <v>45951</v>
      </c>
      <c r="AA157" s="4">
        <v>494106</v>
      </c>
      <c r="AB157" s="4">
        <v>281770</v>
      </c>
      <c r="AC157" s="4">
        <v>212336</v>
      </c>
    </row>
    <row r="158" spans="1:29" x14ac:dyDescent="0.25">
      <c r="A158" s="1" t="s">
        <v>142</v>
      </c>
      <c r="B158" s="1" t="s">
        <v>737</v>
      </c>
      <c r="C158" s="1" t="s">
        <v>166</v>
      </c>
      <c r="D158" s="1" t="s">
        <v>563</v>
      </c>
      <c r="E158" s="2">
        <v>117.19</v>
      </c>
      <c r="F158" s="3">
        <v>747.8</v>
      </c>
      <c r="G158" s="2">
        <v>864.99</v>
      </c>
      <c r="H158" s="2">
        <v>0</v>
      </c>
      <c r="I158" s="4">
        <v>1</v>
      </c>
      <c r="J158" s="3">
        <v>0</v>
      </c>
      <c r="K158" s="4">
        <v>749</v>
      </c>
      <c r="L158" s="2">
        <v>307.95</v>
      </c>
      <c r="M158" s="2">
        <v>57.5</v>
      </c>
      <c r="N158" s="2">
        <v>63.18</v>
      </c>
      <c r="O158" s="2">
        <v>28.95</v>
      </c>
      <c r="P158" s="2">
        <v>3.37</v>
      </c>
      <c r="Q158" s="4">
        <v>266374</v>
      </c>
      <c r="R158" s="4">
        <v>14650</v>
      </c>
      <c r="S158" s="4">
        <v>281024</v>
      </c>
      <c r="T158" s="4">
        <v>43068</v>
      </c>
      <c r="U158" s="4">
        <v>47322</v>
      </c>
      <c r="V158" s="4">
        <v>0</v>
      </c>
      <c r="W158" s="4">
        <v>25080</v>
      </c>
      <c r="X158" s="4">
        <v>2922</v>
      </c>
      <c r="Y158" s="4">
        <v>399416</v>
      </c>
      <c r="Z158" s="4">
        <v>44471</v>
      </c>
      <c r="AA158" s="4">
        <v>354945</v>
      </c>
      <c r="AB158" s="4">
        <v>194589</v>
      </c>
      <c r="AC158" s="4">
        <v>160356</v>
      </c>
    </row>
    <row r="159" spans="1:29" x14ac:dyDescent="0.25">
      <c r="A159" s="1" t="s">
        <v>142</v>
      </c>
      <c r="B159" s="1" t="s">
        <v>737</v>
      </c>
      <c r="C159" s="1" t="s">
        <v>167</v>
      </c>
      <c r="D159" s="1" t="s">
        <v>564</v>
      </c>
      <c r="E159" s="2">
        <v>55.72</v>
      </c>
      <c r="F159" s="3">
        <v>600.4</v>
      </c>
      <c r="G159" s="2">
        <v>656.12</v>
      </c>
      <c r="H159" s="2">
        <v>0</v>
      </c>
      <c r="I159" s="4">
        <v>5</v>
      </c>
      <c r="J159" s="3">
        <v>0</v>
      </c>
      <c r="K159" s="4">
        <v>605</v>
      </c>
      <c r="L159" s="2">
        <v>307.95</v>
      </c>
      <c r="M159" s="2">
        <v>57.5</v>
      </c>
      <c r="N159" s="2">
        <v>63.18</v>
      </c>
      <c r="O159" s="2">
        <v>28.95</v>
      </c>
      <c r="P159" s="2">
        <v>3.37</v>
      </c>
      <c r="Q159" s="4">
        <v>202052</v>
      </c>
      <c r="R159" s="4">
        <v>13717</v>
      </c>
      <c r="S159" s="4">
        <v>215769</v>
      </c>
      <c r="T159" s="4">
        <v>34788</v>
      </c>
      <c r="U159" s="4">
        <v>38224</v>
      </c>
      <c r="V159" s="4">
        <v>0</v>
      </c>
      <c r="W159" s="4">
        <v>18995</v>
      </c>
      <c r="X159" s="4">
        <v>2211</v>
      </c>
      <c r="Y159" s="4">
        <v>309987</v>
      </c>
      <c r="Z159" s="4">
        <v>34751</v>
      </c>
      <c r="AA159" s="4">
        <v>275236</v>
      </c>
      <c r="AB159" s="4">
        <v>146548</v>
      </c>
      <c r="AC159" s="4">
        <v>128688</v>
      </c>
    </row>
    <row r="160" spans="1:29" x14ac:dyDescent="0.25">
      <c r="A160" s="1" t="s">
        <v>142</v>
      </c>
      <c r="B160" s="1" t="s">
        <v>737</v>
      </c>
      <c r="C160" s="1" t="s">
        <v>168</v>
      </c>
      <c r="D160" s="1" t="s">
        <v>565</v>
      </c>
      <c r="E160" s="2">
        <v>26.47</v>
      </c>
      <c r="F160" s="3">
        <v>225</v>
      </c>
      <c r="G160" s="2">
        <v>251.47</v>
      </c>
      <c r="H160" s="2">
        <v>0</v>
      </c>
      <c r="I160" s="4">
        <v>6</v>
      </c>
      <c r="J160" s="3">
        <v>0</v>
      </c>
      <c r="K160" s="4">
        <v>231</v>
      </c>
      <c r="L160" s="2">
        <v>307.95</v>
      </c>
      <c r="M160" s="2">
        <v>57.5</v>
      </c>
      <c r="N160" s="2">
        <v>63.18</v>
      </c>
      <c r="O160" s="2">
        <v>28.95</v>
      </c>
      <c r="P160" s="2">
        <v>3.37</v>
      </c>
      <c r="Q160" s="4">
        <v>77440</v>
      </c>
      <c r="R160" s="4">
        <v>1062</v>
      </c>
      <c r="S160" s="4">
        <v>78502</v>
      </c>
      <c r="T160" s="4">
        <v>13283</v>
      </c>
      <c r="U160" s="4">
        <v>14595</v>
      </c>
      <c r="V160" s="4">
        <v>0</v>
      </c>
      <c r="W160" s="4">
        <v>7280</v>
      </c>
      <c r="X160" s="4">
        <v>847</v>
      </c>
      <c r="Y160" s="4">
        <v>114507</v>
      </c>
      <c r="Z160" s="4">
        <v>14596</v>
      </c>
      <c r="AA160" s="4">
        <v>99911</v>
      </c>
      <c r="AB160" s="4">
        <v>54890</v>
      </c>
      <c r="AC160" s="4">
        <v>45021</v>
      </c>
    </row>
    <row r="161" spans="1:29" x14ac:dyDescent="0.25">
      <c r="A161" s="1" t="s">
        <v>142</v>
      </c>
      <c r="B161" s="1" t="s">
        <v>737</v>
      </c>
      <c r="C161" s="1" t="s">
        <v>169</v>
      </c>
      <c r="D161" s="1" t="s">
        <v>566</v>
      </c>
      <c r="E161" s="2">
        <v>97.5</v>
      </c>
      <c r="F161" s="3">
        <v>1395.9</v>
      </c>
      <c r="G161" s="2">
        <v>1493.4</v>
      </c>
      <c r="H161" s="2">
        <v>0</v>
      </c>
      <c r="I161" s="4">
        <v>22</v>
      </c>
      <c r="J161" s="3">
        <v>0</v>
      </c>
      <c r="K161" s="4">
        <v>1418</v>
      </c>
      <c r="L161" s="2">
        <v>307.95</v>
      </c>
      <c r="M161" s="2">
        <v>57.5</v>
      </c>
      <c r="N161" s="2">
        <v>63.18</v>
      </c>
      <c r="O161" s="2">
        <v>28.95</v>
      </c>
      <c r="P161" s="2">
        <v>3.37</v>
      </c>
      <c r="Q161" s="4">
        <v>459893</v>
      </c>
      <c r="R161" s="4">
        <v>0</v>
      </c>
      <c r="S161" s="4">
        <v>459893</v>
      </c>
      <c r="T161" s="4">
        <v>81535</v>
      </c>
      <c r="U161" s="4">
        <v>89589</v>
      </c>
      <c r="V161" s="4">
        <v>0</v>
      </c>
      <c r="W161" s="4">
        <v>43234</v>
      </c>
      <c r="X161" s="4">
        <v>5033</v>
      </c>
      <c r="Y161" s="4">
        <v>679284</v>
      </c>
      <c r="Z161" s="4">
        <v>48951</v>
      </c>
      <c r="AA161" s="4">
        <v>630333</v>
      </c>
      <c r="AB161" s="4">
        <v>363706</v>
      </c>
      <c r="AC161" s="4">
        <v>266627</v>
      </c>
    </row>
    <row r="162" spans="1:29" x14ac:dyDescent="0.25">
      <c r="A162" s="1" t="s">
        <v>142</v>
      </c>
      <c r="B162" s="1" t="s">
        <v>737</v>
      </c>
      <c r="C162" s="1" t="s">
        <v>170</v>
      </c>
      <c r="D162" s="1" t="s">
        <v>567</v>
      </c>
      <c r="E162" s="2">
        <v>42.38</v>
      </c>
      <c r="F162" s="3">
        <v>384.4</v>
      </c>
      <c r="G162" s="2">
        <v>426.78</v>
      </c>
      <c r="H162" s="2">
        <v>0</v>
      </c>
      <c r="I162" s="4">
        <v>7</v>
      </c>
      <c r="J162" s="3">
        <v>0</v>
      </c>
      <c r="K162" s="4">
        <v>391</v>
      </c>
      <c r="L162" s="2">
        <v>307.95</v>
      </c>
      <c r="M162" s="2">
        <v>57.5</v>
      </c>
      <c r="N162" s="2">
        <v>63.18</v>
      </c>
      <c r="O162" s="2">
        <v>28.95</v>
      </c>
      <c r="P162" s="2">
        <v>3.37</v>
      </c>
      <c r="Q162" s="4">
        <v>131427</v>
      </c>
      <c r="R162" s="4">
        <v>0</v>
      </c>
      <c r="S162" s="4">
        <v>131427</v>
      </c>
      <c r="T162" s="4">
        <v>22483</v>
      </c>
      <c r="U162" s="4">
        <v>24703</v>
      </c>
      <c r="V162" s="4">
        <v>0</v>
      </c>
      <c r="W162" s="4">
        <v>12355</v>
      </c>
      <c r="X162" s="4">
        <v>1438</v>
      </c>
      <c r="Y162" s="4">
        <v>192406</v>
      </c>
      <c r="Z162" s="4">
        <v>21853</v>
      </c>
      <c r="AA162" s="4">
        <v>170553</v>
      </c>
      <c r="AB162" s="4">
        <v>96074</v>
      </c>
      <c r="AC162" s="4">
        <v>74479</v>
      </c>
    </row>
    <row r="163" spans="1:29" x14ac:dyDescent="0.25">
      <c r="A163" s="1" t="s">
        <v>142</v>
      </c>
      <c r="B163" s="1" t="s">
        <v>737</v>
      </c>
      <c r="C163" s="1" t="s">
        <v>171</v>
      </c>
      <c r="D163" s="1" t="s">
        <v>568</v>
      </c>
      <c r="E163" s="2">
        <v>102.74</v>
      </c>
      <c r="F163" s="3">
        <v>872.7</v>
      </c>
      <c r="G163" s="2">
        <v>975.44</v>
      </c>
      <c r="H163" s="2">
        <v>0</v>
      </c>
      <c r="I163" s="4">
        <v>1</v>
      </c>
      <c r="J163" s="3">
        <v>0</v>
      </c>
      <c r="K163" s="4">
        <v>874</v>
      </c>
      <c r="L163" s="2">
        <v>307.95</v>
      </c>
      <c r="M163" s="2">
        <v>57.5</v>
      </c>
      <c r="N163" s="2">
        <v>63.18</v>
      </c>
      <c r="O163" s="2">
        <v>28.95</v>
      </c>
      <c r="P163" s="2">
        <v>3.37</v>
      </c>
      <c r="Q163" s="4">
        <v>300387</v>
      </c>
      <c r="R163" s="4">
        <v>0</v>
      </c>
      <c r="S163" s="4">
        <v>300387</v>
      </c>
      <c r="T163" s="4">
        <v>50255</v>
      </c>
      <c r="U163" s="4">
        <v>55219</v>
      </c>
      <c r="V163" s="4">
        <v>0</v>
      </c>
      <c r="W163" s="4">
        <v>28239</v>
      </c>
      <c r="X163" s="4">
        <v>3287</v>
      </c>
      <c r="Y163" s="4">
        <v>437387</v>
      </c>
      <c r="Z163" s="4">
        <v>38524</v>
      </c>
      <c r="AA163" s="4">
        <v>398863</v>
      </c>
      <c r="AB163" s="4">
        <v>231009</v>
      </c>
      <c r="AC163" s="4">
        <v>167854</v>
      </c>
    </row>
    <row r="164" spans="1:29" x14ac:dyDescent="0.25">
      <c r="A164" s="1" t="s">
        <v>142</v>
      </c>
      <c r="B164" s="1" t="s">
        <v>737</v>
      </c>
      <c r="C164" s="1" t="s">
        <v>172</v>
      </c>
      <c r="D164" s="1" t="s">
        <v>569</v>
      </c>
      <c r="E164" s="2">
        <v>206.55</v>
      </c>
      <c r="F164" s="3">
        <v>1522</v>
      </c>
      <c r="G164" s="2">
        <v>1728.55</v>
      </c>
      <c r="H164" s="2">
        <v>0</v>
      </c>
      <c r="I164" s="4">
        <v>22</v>
      </c>
      <c r="J164" s="3">
        <v>0</v>
      </c>
      <c r="K164" s="4">
        <v>1544</v>
      </c>
      <c r="L164" s="2">
        <v>307.95</v>
      </c>
      <c r="M164" s="2">
        <v>57.5</v>
      </c>
      <c r="N164" s="2">
        <v>63.18</v>
      </c>
      <c r="O164" s="2">
        <v>28.95</v>
      </c>
      <c r="P164" s="2">
        <v>3.37</v>
      </c>
      <c r="Q164" s="4">
        <v>532307</v>
      </c>
      <c r="R164" s="4">
        <v>4601</v>
      </c>
      <c r="S164" s="4">
        <v>536908</v>
      </c>
      <c r="T164" s="4">
        <v>88780</v>
      </c>
      <c r="U164" s="4">
        <v>97550</v>
      </c>
      <c r="V164" s="4">
        <v>0</v>
      </c>
      <c r="W164" s="4">
        <v>50042</v>
      </c>
      <c r="X164" s="4">
        <v>5825</v>
      </c>
      <c r="Y164" s="4">
        <v>779105</v>
      </c>
      <c r="Z164" s="4">
        <v>88383</v>
      </c>
      <c r="AA164" s="4">
        <v>690722</v>
      </c>
      <c r="AB164" s="4">
        <v>389250</v>
      </c>
      <c r="AC164" s="4">
        <v>301472</v>
      </c>
    </row>
    <row r="165" spans="1:29" x14ac:dyDescent="0.25">
      <c r="A165" s="1" t="s">
        <v>142</v>
      </c>
      <c r="B165" s="1" t="s">
        <v>737</v>
      </c>
      <c r="C165" s="1" t="s">
        <v>173</v>
      </c>
      <c r="D165" s="1" t="s">
        <v>570</v>
      </c>
      <c r="E165" s="2">
        <v>246.94</v>
      </c>
      <c r="F165" s="3">
        <v>1703.9</v>
      </c>
      <c r="G165" s="2">
        <v>1950.84</v>
      </c>
      <c r="H165" s="2">
        <v>0</v>
      </c>
      <c r="I165" s="4">
        <v>74</v>
      </c>
      <c r="J165" s="3">
        <v>0.6</v>
      </c>
      <c r="K165" s="4">
        <v>1777</v>
      </c>
      <c r="L165" s="2">
        <v>307.95</v>
      </c>
      <c r="M165" s="2">
        <v>57.5</v>
      </c>
      <c r="N165" s="2">
        <v>63.18</v>
      </c>
      <c r="O165" s="2">
        <v>28.95</v>
      </c>
      <c r="P165" s="2">
        <v>3.37</v>
      </c>
      <c r="Q165" s="4">
        <v>600761</v>
      </c>
      <c r="R165" s="4">
        <v>0</v>
      </c>
      <c r="S165" s="4">
        <v>600761</v>
      </c>
      <c r="T165" s="4">
        <v>102178</v>
      </c>
      <c r="U165" s="4">
        <v>112271</v>
      </c>
      <c r="V165" s="4">
        <v>0</v>
      </c>
      <c r="W165" s="4">
        <v>56477</v>
      </c>
      <c r="X165" s="4">
        <v>6574</v>
      </c>
      <c r="Y165" s="4">
        <v>878261</v>
      </c>
      <c r="Z165" s="4">
        <v>80503</v>
      </c>
      <c r="AA165" s="4">
        <v>797758</v>
      </c>
      <c r="AB165" s="4">
        <v>458553</v>
      </c>
      <c r="AC165" s="4">
        <v>339205</v>
      </c>
    </row>
    <row r="166" spans="1:29" x14ac:dyDescent="0.25">
      <c r="A166" s="1" t="s">
        <v>142</v>
      </c>
      <c r="B166" s="1" t="s">
        <v>737</v>
      </c>
      <c r="C166" s="1" t="s">
        <v>174</v>
      </c>
      <c r="D166" s="1" t="s">
        <v>571</v>
      </c>
      <c r="E166" s="2">
        <v>95.92</v>
      </c>
      <c r="F166" s="3">
        <v>754.1</v>
      </c>
      <c r="G166" s="2">
        <v>850.02</v>
      </c>
      <c r="H166" s="2">
        <v>0</v>
      </c>
      <c r="I166" s="4">
        <v>13</v>
      </c>
      <c r="J166" s="3">
        <v>0</v>
      </c>
      <c r="K166" s="4">
        <v>767</v>
      </c>
      <c r="L166" s="2">
        <v>307.95</v>
      </c>
      <c r="M166" s="2">
        <v>57.5</v>
      </c>
      <c r="N166" s="2">
        <v>63.18</v>
      </c>
      <c r="O166" s="2">
        <v>28.95</v>
      </c>
      <c r="P166" s="2">
        <v>3.37</v>
      </c>
      <c r="Q166" s="4">
        <v>261764</v>
      </c>
      <c r="R166" s="4">
        <v>0</v>
      </c>
      <c r="S166" s="4">
        <v>261764</v>
      </c>
      <c r="T166" s="4">
        <v>44103</v>
      </c>
      <c r="U166" s="4">
        <v>48459</v>
      </c>
      <c r="V166" s="4">
        <v>0</v>
      </c>
      <c r="W166" s="4">
        <v>24608</v>
      </c>
      <c r="X166" s="4">
        <v>2865</v>
      </c>
      <c r="Y166" s="4">
        <v>381799</v>
      </c>
      <c r="Z166" s="4">
        <v>35036</v>
      </c>
      <c r="AA166" s="4">
        <v>346763</v>
      </c>
      <c r="AB166" s="4">
        <v>199842</v>
      </c>
      <c r="AC166" s="4">
        <v>146921</v>
      </c>
    </row>
    <row r="167" spans="1:29" x14ac:dyDescent="0.25">
      <c r="A167" s="1" t="s">
        <v>142</v>
      </c>
      <c r="B167" s="1" t="s">
        <v>737</v>
      </c>
      <c r="C167" s="1" t="s">
        <v>175</v>
      </c>
      <c r="D167" s="1" t="s">
        <v>572</v>
      </c>
      <c r="E167" s="2">
        <v>86.47</v>
      </c>
      <c r="F167" s="3">
        <v>1138.4000000000001</v>
      </c>
      <c r="G167" s="2">
        <v>1224.8699999999999</v>
      </c>
      <c r="H167" s="2">
        <v>0</v>
      </c>
      <c r="I167" s="4">
        <v>61</v>
      </c>
      <c r="J167" s="3">
        <v>0.7</v>
      </c>
      <c r="K167" s="4">
        <v>1199</v>
      </c>
      <c r="L167" s="2">
        <v>307.95</v>
      </c>
      <c r="M167" s="2">
        <v>57.5</v>
      </c>
      <c r="N167" s="2">
        <v>63.18</v>
      </c>
      <c r="O167" s="2">
        <v>28.95</v>
      </c>
      <c r="P167" s="2">
        <v>3.37</v>
      </c>
      <c r="Q167" s="4">
        <v>377199</v>
      </c>
      <c r="R167" s="4">
        <v>0</v>
      </c>
      <c r="S167" s="4">
        <v>377199</v>
      </c>
      <c r="T167" s="4">
        <v>68943</v>
      </c>
      <c r="U167" s="4">
        <v>75753</v>
      </c>
      <c r="V167" s="4">
        <v>0</v>
      </c>
      <c r="W167" s="4">
        <v>35460</v>
      </c>
      <c r="X167" s="4">
        <v>4128</v>
      </c>
      <c r="Y167" s="4">
        <v>561483</v>
      </c>
      <c r="Z167" s="4">
        <v>51123</v>
      </c>
      <c r="AA167" s="4">
        <v>510360</v>
      </c>
      <c r="AB167" s="4">
        <v>287333</v>
      </c>
      <c r="AC167" s="4">
        <v>223027</v>
      </c>
    </row>
    <row r="168" spans="1:29" x14ac:dyDescent="0.25">
      <c r="A168" s="1" t="s">
        <v>176</v>
      </c>
      <c r="B168" s="1" t="s">
        <v>738</v>
      </c>
      <c r="C168" s="1" t="s">
        <v>177</v>
      </c>
      <c r="D168" s="1" t="s">
        <v>573</v>
      </c>
      <c r="E168" s="2">
        <v>40.909999999999997</v>
      </c>
      <c r="F168" s="3">
        <v>297.39999999999998</v>
      </c>
      <c r="G168" s="2">
        <v>338.31</v>
      </c>
      <c r="H168" s="2">
        <v>0</v>
      </c>
      <c r="I168" s="4">
        <v>0</v>
      </c>
      <c r="J168" s="3">
        <v>0</v>
      </c>
      <c r="K168" s="4">
        <v>297</v>
      </c>
      <c r="L168" s="2">
        <v>300.85000000000002</v>
      </c>
      <c r="M168" s="2">
        <v>57.38</v>
      </c>
      <c r="N168" s="2">
        <v>63</v>
      </c>
      <c r="O168" s="2">
        <v>25.18</v>
      </c>
      <c r="P168" s="2">
        <v>3.18</v>
      </c>
      <c r="Q168" s="4">
        <v>101781</v>
      </c>
      <c r="R168" s="4">
        <v>4542</v>
      </c>
      <c r="S168" s="4">
        <v>106323</v>
      </c>
      <c r="T168" s="4">
        <v>17042</v>
      </c>
      <c r="U168" s="4">
        <v>18711</v>
      </c>
      <c r="V168" s="4">
        <v>0</v>
      </c>
      <c r="W168" s="4">
        <v>8675</v>
      </c>
      <c r="X168" s="4">
        <v>1099</v>
      </c>
      <c r="Y168" s="4">
        <v>151850</v>
      </c>
      <c r="Z168" s="4">
        <v>16927</v>
      </c>
      <c r="AA168" s="4">
        <v>134923</v>
      </c>
      <c r="AB168" s="4">
        <v>75395</v>
      </c>
      <c r="AC168" s="4">
        <v>59528</v>
      </c>
    </row>
    <row r="169" spans="1:29" x14ac:dyDescent="0.25">
      <c r="A169" s="1" t="s">
        <v>176</v>
      </c>
      <c r="B169" s="1" t="s">
        <v>738</v>
      </c>
      <c r="C169" s="1" t="s">
        <v>178</v>
      </c>
      <c r="D169" s="1" t="s">
        <v>574</v>
      </c>
      <c r="E169" s="2">
        <v>173.06</v>
      </c>
      <c r="F169" s="3">
        <v>1932.2</v>
      </c>
      <c r="G169" s="2">
        <v>2105.2600000000002</v>
      </c>
      <c r="H169" s="2">
        <v>0</v>
      </c>
      <c r="I169" s="4">
        <v>32</v>
      </c>
      <c r="J169" s="3">
        <v>0</v>
      </c>
      <c r="K169" s="4">
        <v>1964</v>
      </c>
      <c r="L169" s="2">
        <v>300.85000000000002</v>
      </c>
      <c r="M169" s="2">
        <v>57.38</v>
      </c>
      <c r="N169" s="2">
        <v>63</v>
      </c>
      <c r="O169" s="2">
        <v>25.18</v>
      </c>
      <c r="P169" s="2">
        <v>3.18</v>
      </c>
      <c r="Q169" s="4">
        <v>633367</v>
      </c>
      <c r="R169" s="4">
        <v>0</v>
      </c>
      <c r="S169" s="4">
        <v>633367</v>
      </c>
      <c r="T169" s="4">
        <v>112694</v>
      </c>
      <c r="U169" s="4">
        <v>123732</v>
      </c>
      <c r="V169" s="4">
        <v>0</v>
      </c>
      <c r="W169" s="4">
        <v>53010</v>
      </c>
      <c r="X169" s="4">
        <v>6695</v>
      </c>
      <c r="Y169" s="4">
        <v>929498</v>
      </c>
      <c r="Z169" s="4">
        <v>62785</v>
      </c>
      <c r="AA169" s="4">
        <v>866713</v>
      </c>
      <c r="AB169" s="4">
        <v>510603</v>
      </c>
      <c r="AC169" s="4">
        <v>356110</v>
      </c>
    </row>
    <row r="170" spans="1:29" x14ac:dyDescent="0.25">
      <c r="A170" s="1" t="s">
        <v>176</v>
      </c>
      <c r="B170" s="1" t="s">
        <v>738</v>
      </c>
      <c r="C170" s="1" t="s">
        <v>179</v>
      </c>
      <c r="D170" s="1" t="s">
        <v>575</v>
      </c>
      <c r="E170" s="2">
        <v>532.29</v>
      </c>
      <c r="F170" s="3">
        <v>4477.3999999999996</v>
      </c>
      <c r="G170" s="2">
        <v>5009.6899999999996</v>
      </c>
      <c r="H170" s="2">
        <v>0</v>
      </c>
      <c r="I170" s="4">
        <v>110</v>
      </c>
      <c r="J170" s="3">
        <v>0</v>
      </c>
      <c r="K170" s="4">
        <v>4587</v>
      </c>
      <c r="L170" s="2">
        <v>300.85000000000002</v>
      </c>
      <c r="M170" s="2">
        <v>57.38</v>
      </c>
      <c r="N170" s="2">
        <v>63</v>
      </c>
      <c r="O170" s="2">
        <v>25.18</v>
      </c>
      <c r="P170" s="2">
        <v>3.18</v>
      </c>
      <c r="Q170" s="4">
        <v>1507165</v>
      </c>
      <c r="R170" s="4">
        <v>0</v>
      </c>
      <c r="S170" s="4">
        <v>1507165</v>
      </c>
      <c r="T170" s="4">
        <v>263202</v>
      </c>
      <c r="U170" s="4">
        <v>288981</v>
      </c>
      <c r="V170" s="4">
        <v>0</v>
      </c>
      <c r="W170" s="4">
        <v>126144</v>
      </c>
      <c r="X170" s="4">
        <v>15931</v>
      </c>
      <c r="Y170" s="4">
        <v>2201423</v>
      </c>
      <c r="Z170" s="4">
        <v>203105</v>
      </c>
      <c r="AA170" s="4">
        <v>1998318</v>
      </c>
      <c r="AB170" s="4">
        <v>1161334</v>
      </c>
      <c r="AC170" s="4">
        <v>836984</v>
      </c>
    </row>
    <row r="171" spans="1:29" x14ac:dyDescent="0.25">
      <c r="A171" s="1" t="s">
        <v>176</v>
      </c>
      <c r="B171" s="1" t="s">
        <v>738</v>
      </c>
      <c r="C171" s="1" t="s">
        <v>180</v>
      </c>
      <c r="D171" s="1" t="s">
        <v>576</v>
      </c>
      <c r="E171" s="2">
        <v>1261.3699999999999</v>
      </c>
      <c r="F171" s="3">
        <v>12255.8</v>
      </c>
      <c r="G171" s="2">
        <v>13517.17</v>
      </c>
      <c r="H171" s="2">
        <v>0</v>
      </c>
      <c r="I171" s="4">
        <v>595</v>
      </c>
      <c r="J171" s="3">
        <v>0.9</v>
      </c>
      <c r="K171" s="4">
        <v>12850</v>
      </c>
      <c r="L171" s="2">
        <v>300.85000000000002</v>
      </c>
      <c r="M171" s="2">
        <v>57.38</v>
      </c>
      <c r="N171" s="2">
        <v>63</v>
      </c>
      <c r="O171" s="2">
        <v>25.18</v>
      </c>
      <c r="P171" s="2">
        <v>3.18</v>
      </c>
      <c r="Q171" s="4">
        <v>4066641</v>
      </c>
      <c r="R171" s="4">
        <v>0</v>
      </c>
      <c r="S171" s="4">
        <v>4066641</v>
      </c>
      <c r="T171" s="4">
        <v>737333</v>
      </c>
      <c r="U171" s="4">
        <v>809550</v>
      </c>
      <c r="V171" s="4">
        <v>0</v>
      </c>
      <c r="W171" s="4">
        <v>340362</v>
      </c>
      <c r="X171" s="4">
        <v>42985</v>
      </c>
      <c r="Y171" s="4">
        <v>5996871</v>
      </c>
      <c r="Z171" s="4">
        <v>253394</v>
      </c>
      <c r="AA171" s="4">
        <v>5743477</v>
      </c>
      <c r="AB171" s="4">
        <v>3428142</v>
      </c>
      <c r="AC171" s="4">
        <v>2315335</v>
      </c>
    </row>
    <row r="172" spans="1:29" x14ac:dyDescent="0.25">
      <c r="A172" s="1" t="s">
        <v>176</v>
      </c>
      <c r="B172" s="1" t="s">
        <v>738</v>
      </c>
      <c r="C172" s="1" t="s">
        <v>181</v>
      </c>
      <c r="D172" s="1" t="s">
        <v>577</v>
      </c>
      <c r="E172" s="2">
        <v>68.959999999999994</v>
      </c>
      <c r="F172" s="3">
        <v>514.1</v>
      </c>
      <c r="G172" s="2">
        <v>583.05999999999995</v>
      </c>
      <c r="H172" s="2">
        <v>0</v>
      </c>
      <c r="I172" s="4">
        <v>4</v>
      </c>
      <c r="J172" s="3">
        <v>0</v>
      </c>
      <c r="K172" s="4">
        <v>518</v>
      </c>
      <c r="L172" s="2">
        <v>300.85000000000002</v>
      </c>
      <c r="M172" s="2">
        <v>57.38</v>
      </c>
      <c r="N172" s="2">
        <v>63</v>
      </c>
      <c r="O172" s="2">
        <v>25.18</v>
      </c>
      <c r="P172" s="2">
        <v>3.18</v>
      </c>
      <c r="Q172" s="4">
        <v>175414</v>
      </c>
      <c r="R172" s="4">
        <v>0</v>
      </c>
      <c r="S172" s="4">
        <v>175414</v>
      </c>
      <c r="T172" s="4">
        <v>29723</v>
      </c>
      <c r="U172" s="4">
        <v>32634</v>
      </c>
      <c r="V172" s="4">
        <v>0</v>
      </c>
      <c r="W172" s="4">
        <v>14681</v>
      </c>
      <c r="X172" s="4">
        <v>1854</v>
      </c>
      <c r="Y172" s="4">
        <v>254306</v>
      </c>
      <c r="Z172" s="4">
        <v>31621</v>
      </c>
      <c r="AA172" s="4">
        <v>222685</v>
      </c>
      <c r="AB172" s="4">
        <v>127181</v>
      </c>
      <c r="AC172" s="4">
        <v>95504</v>
      </c>
    </row>
    <row r="173" spans="1:29" x14ac:dyDescent="0.25">
      <c r="A173" s="1" t="s">
        <v>176</v>
      </c>
      <c r="B173" s="1" t="s">
        <v>738</v>
      </c>
      <c r="C173" s="1" t="s">
        <v>182</v>
      </c>
      <c r="D173" s="1" t="s">
        <v>578</v>
      </c>
      <c r="E173" s="2">
        <v>143.34</v>
      </c>
      <c r="F173" s="3">
        <v>1639.3</v>
      </c>
      <c r="G173" s="2">
        <v>1782.64</v>
      </c>
      <c r="H173" s="2">
        <v>0</v>
      </c>
      <c r="I173" s="4">
        <v>17</v>
      </c>
      <c r="J173" s="3">
        <v>0</v>
      </c>
      <c r="K173" s="4">
        <v>1656</v>
      </c>
      <c r="L173" s="2">
        <v>300.85000000000002</v>
      </c>
      <c r="M173" s="2">
        <v>57.38</v>
      </c>
      <c r="N173" s="2">
        <v>63</v>
      </c>
      <c r="O173" s="2">
        <v>25.18</v>
      </c>
      <c r="P173" s="2">
        <v>3.18</v>
      </c>
      <c r="Q173" s="4">
        <v>536307</v>
      </c>
      <c r="R173" s="4">
        <v>0</v>
      </c>
      <c r="S173" s="4">
        <v>536307</v>
      </c>
      <c r="T173" s="4">
        <v>95021</v>
      </c>
      <c r="U173" s="4">
        <v>104328</v>
      </c>
      <c r="V173" s="4">
        <v>0</v>
      </c>
      <c r="W173" s="4">
        <v>44887</v>
      </c>
      <c r="X173" s="4">
        <v>5669</v>
      </c>
      <c r="Y173" s="4">
        <v>786212</v>
      </c>
      <c r="Z173" s="4">
        <v>53719</v>
      </c>
      <c r="AA173" s="4">
        <v>732493</v>
      </c>
      <c r="AB173" s="4">
        <v>431801</v>
      </c>
      <c r="AC173" s="4">
        <v>300692</v>
      </c>
    </row>
    <row r="174" spans="1:29" x14ac:dyDescent="0.25">
      <c r="A174" s="1" t="s">
        <v>176</v>
      </c>
      <c r="B174" s="1" t="s">
        <v>738</v>
      </c>
      <c r="C174" s="1" t="s">
        <v>183</v>
      </c>
      <c r="D174" s="1" t="s">
        <v>579</v>
      </c>
      <c r="E174" s="2">
        <v>34.17</v>
      </c>
      <c r="F174" s="3">
        <v>323.10000000000002</v>
      </c>
      <c r="G174" s="2">
        <v>357.27</v>
      </c>
      <c r="H174" s="2">
        <v>0</v>
      </c>
      <c r="I174" s="4">
        <v>2</v>
      </c>
      <c r="J174" s="3">
        <v>0</v>
      </c>
      <c r="K174" s="4">
        <v>325</v>
      </c>
      <c r="L174" s="2">
        <v>300.85000000000002</v>
      </c>
      <c r="M174" s="2">
        <v>57.38</v>
      </c>
      <c r="N174" s="2">
        <v>63</v>
      </c>
      <c r="O174" s="2">
        <v>25.18</v>
      </c>
      <c r="P174" s="2">
        <v>3.18</v>
      </c>
      <c r="Q174" s="4">
        <v>107485</v>
      </c>
      <c r="R174" s="4">
        <v>3063</v>
      </c>
      <c r="S174" s="4">
        <v>110548</v>
      </c>
      <c r="T174" s="4">
        <v>18649</v>
      </c>
      <c r="U174" s="4">
        <v>20475</v>
      </c>
      <c r="V174" s="4">
        <v>0</v>
      </c>
      <c r="W174" s="4">
        <v>8996</v>
      </c>
      <c r="X174" s="4">
        <v>1136</v>
      </c>
      <c r="Y174" s="4">
        <v>159804</v>
      </c>
      <c r="Z174" s="4">
        <v>14723</v>
      </c>
      <c r="AA174" s="4">
        <v>145081</v>
      </c>
      <c r="AB174" s="4">
        <v>82583</v>
      </c>
      <c r="AC174" s="4">
        <v>62498</v>
      </c>
    </row>
    <row r="175" spans="1:29" x14ac:dyDescent="0.25">
      <c r="A175" s="1" t="s">
        <v>176</v>
      </c>
      <c r="B175" s="1" t="s">
        <v>738</v>
      </c>
      <c r="C175" s="1" t="s">
        <v>184</v>
      </c>
      <c r="D175" s="1" t="s">
        <v>580</v>
      </c>
      <c r="E175" s="2">
        <v>232.23</v>
      </c>
      <c r="F175" s="3">
        <v>2268.6999999999998</v>
      </c>
      <c r="G175" s="2">
        <v>2500.9299999999998</v>
      </c>
      <c r="H175" s="2">
        <v>0</v>
      </c>
      <c r="I175" s="4">
        <v>41</v>
      </c>
      <c r="J175" s="3">
        <v>0</v>
      </c>
      <c r="K175" s="4">
        <v>2310</v>
      </c>
      <c r="L175" s="2">
        <v>300.85000000000002</v>
      </c>
      <c r="M175" s="2">
        <v>57.38</v>
      </c>
      <c r="N175" s="2">
        <v>63</v>
      </c>
      <c r="O175" s="2">
        <v>25.18</v>
      </c>
      <c r="P175" s="2">
        <v>3.18</v>
      </c>
      <c r="Q175" s="4">
        <v>752405</v>
      </c>
      <c r="R175" s="4">
        <v>0</v>
      </c>
      <c r="S175" s="4">
        <v>752405</v>
      </c>
      <c r="T175" s="4">
        <v>132548</v>
      </c>
      <c r="U175" s="4">
        <v>145530</v>
      </c>
      <c r="V175" s="4">
        <v>0</v>
      </c>
      <c r="W175" s="4">
        <v>62973</v>
      </c>
      <c r="X175" s="4">
        <v>7953</v>
      </c>
      <c r="Y175" s="4">
        <v>1101409</v>
      </c>
      <c r="Z175" s="4">
        <v>39354</v>
      </c>
      <c r="AA175" s="4">
        <v>1062055</v>
      </c>
      <c r="AB175" s="4">
        <v>641799</v>
      </c>
      <c r="AC175" s="4">
        <v>420256</v>
      </c>
    </row>
    <row r="176" spans="1:29" x14ac:dyDescent="0.25">
      <c r="A176" s="1" t="s">
        <v>176</v>
      </c>
      <c r="B176" s="1" t="s">
        <v>738</v>
      </c>
      <c r="C176" s="1" t="s">
        <v>185</v>
      </c>
      <c r="D176" s="1" t="s">
        <v>581</v>
      </c>
      <c r="E176" s="2">
        <v>340.39</v>
      </c>
      <c r="F176" s="3">
        <v>2094.8000000000002</v>
      </c>
      <c r="G176" s="2">
        <v>2435.19</v>
      </c>
      <c r="H176" s="2">
        <v>0</v>
      </c>
      <c r="I176" s="4">
        <v>157</v>
      </c>
      <c r="J176" s="3">
        <v>6.1</v>
      </c>
      <c r="K176" s="4">
        <v>2246</v>
      </c>
      <c r="L176" s="2">
        <v>300.85000000000002</v>
      </c>
      <c r="M176" s="2">
        <v>57.38</v>
      </c>
      <c r="N176" s="2">
        <v>63</v>
      </c>
      <c r="O176" s="2">
        <v>25.18</v>
      </c>
      <c r="P176" s="2">
        <v>3.18</v>
      </c>
      <c r="Q176" s="4">
        <v>732627</v>
      </c>
      <c r="R176" s="4">
        <v>0</v>
      </c>
      <c r="S176" s="4">
        <v>732627</v>
      </c>
      <c r="T176" s="4">
        <v>128875</v>
      </c>
      <c r="U176" s="4">
        <v>141498</v>
      </c>
      <c r="V176" s="4">
        <v>0</v>
      </c>
      <c r="W176" s="4">
        <v>61318</v>
      </c>
      <c r="X176" s="4">
        <v>7744</v>
      </c>
      <c r="Y176" s="4">
        <v>1072062</v>
      </c>
      <c r="Z176" s="4">
        <v>105619</v>
      </c>
      <c r="AA176" s="4">
        <v>966443</v>
      </c>
      <c r="AB176" s="4">
        <v>557629</v>
      </c>
      <c r="AC176" s="4">
        <v>408814</v>
      </c>
    </row>
    <row r="177" spans="1:29" x14ac:dyDescent="0.25">
      <c r="A177" s="1" t="s">
        <v>176</v>
      </c>
      <c r="B177" s="1" t="s">
        <v>738</v>
      </c>
      <c r="C177" s="1" t="s">
        <v>186</v>
      </c>
      <c r="D177" s="1" t="s">
        <v>582</v>
      </c>
      <c r="E177" s="2">
        <v>206.28</v>
      </c>
      <c r="F177" s="3">
        <v>1936.9</v>
      </c>
      <c r="G177" s="2">
        <v>2143.1799999999998</v>
      </c>
      <c r="H177" s="2">
        <v>0</v>
      </c>
      <c r="I177" s="4">
        <v>21</v>
      </c>
      <c r="J177" s="3">
        <v>0</v>
      </c>
      <c r="K177" s="4">
        <v>1958</v>
      </c>
      <c r="L177" s="2">
        <v>300.85000000000002</v>
      </c>
      <c r="M177" s="2">
        <v>57.38</v>
      </c>
      <c r="N177" s="2">
        <v>63</v>
      </c>
      <c r="O177" s="2">
        <v>25.18</v>
      </c>
      <c r="P177" s="2">
        <v>3.18</v>
      </c>
      <c r="Q177" s="4">
        <v>644776</v>
      </c>
      <c r="R177" s="4">
        <v>0</v>
      </c>
      <c r="S177" s="4">
        <v>644776</v>
      </c>
      <c r="T177" s="4">
        <v>112350</v>
      </c>
      <c r="U177" s="4">
        <v>123354</v>
      </c>
      <c r="V177" s="4">
        <v>0</v>
      </c>
      <c r="W177" s="4">
        <v>53965</v>
      </c>
      <c r="X177" s="4">
        <v>6815</v>
      </c>
      <c r="Y177" s="4">
        <v>941260</v>
      </c>
      <c r="Z177" s="4">
        <v>58812</v>
      </c>
      <c r="AA177" s="4">
        <v>882448</v>
      </c>
      <c r="AB177" s="4">
        <v>524904</v>
      </c>
      <c r="AC177" s="4">
        <v>357544</v>
      </c>
    </row>
    <row r="178" spans="1:29" x14ac:dyDescent="0.25">
      <c r="A178" s="1" t="s">
        <v>176</v>
      </c>
      <c r="B178" s="1" t="s">
        <v>738</v>
      </c>
      <c r="C178" s="1" t="s">
        <v>187</v>
      </c>
      <c r="D178" s="1" t="s">
        <v>583</v>
      </c>
      <c r="E178" s="2">
        <v>240.22</v>
      </c>
      <c r="F178" s="3">
        <v>1701</v>
      </c>
      <c r="G178" s="2">
        <v>1941.22</v>
      </c>
      <c r="H178" s="2">
        <v>0</v>
      </c>
      <c r="I178" s="4">
        <v>894</v>
      </c>
      <c r="J178" s="3">
        <v>12.6</v>
      </c>
      <c r="K178" s="4">
        <v>2582</v>
      </c>
      <c r="L178" s="2">
        <v>300.85000000000002</v>
      </c>
      <c r="M178" s="2">
        <v>57.38</v>
      </c>
      <c r="N178" s="2">
        <v>63</v>
      </c>
      <c r="O178" s="2">
        <v>25.18</v>
      </c>
      <c r="P178" s="2">
        <v>3.18</v>
      </c>
      <c r="Q178" s="4">
        <v>584016</v>
      </c>
      <c r="R178" s="4">
        <v>0</v>
      </c>
      <c r="S178" s="4">
        <v>584016</v>
      </c>
      <c r="T178" s="4">
        <v>148155</v>
      </c>
      <c r="U178" s="4">
        <v>162666</v>
      </c>
      <c r="V178" s="4">
        <v>0</v>
      </c>
      <c r="W178" s="4">
        <v>48880</v>
      </c>
      <c r="X178" s="4">
        <v>6173</v>
      </c>
      <c r="Y178" s="4">
        <v>949890</v>
      </c>
      <c r="Z178" s="4">
        <v>92884</v>
      </c>
      <c r="AA178" s="4">
        <v>857006</v>
      </c>
      <c r="AB178" s="4">
        <v>435827</v>
      </c>
      <c r="AC178" s="4">
        <v>421179</v>
      </c>
    </row>
    <row r="179" spans="1:29" x14ac:dyDescent="0.25">
      <c r="A179" s="1" t="s">
        <v>176</v>
      </c>
      <c r="B179" s="1" t="s">
        <v>738</v>
      </c>
      <c r="C179" s="1" t="s">
        <v>188</v>
      </c>
      <c r="D179" s="1" t="s">
        <v>584</v>
      </c>
      <c r="E179" s="2">
        <v>107.24</v>
      </c>
      <c r="F179" s="3">
        <v>763.8</v>
      </c>
      <c r="G179" s="2">
        <v>871.04</v>
      </c>
      <c r="H179" s="2">
        <v>0</v>
      </c>
      <c r="I179" s="4">
        <v>7</v>
      </c>
      <c r="J179" s="3">
        <v>0</v>
      </c>
      <c r="K179" s="4">
        <v>771</v>
      </c>
      <c r="L179" s="2">
        <v>300.85000000000002</v>
      </c>
      <c r="M179" s="2">
        <v>57.38</v>
      </c>
      <c r="N179" s="2">
        <v>63</v>
      </c>
      <c r="O179" s="2">
        <v>25.18</v>
      </c>
      <c r="P179" s="2">
        <v>3.18</v>
      </c>
      <c r="Q179" s="4">
        <v>262052</v>
      </c>
      <c r="R179" s="4">
        <v>0</v>
      </c>
      <c r="S179" s="4">
        <v>262052</v>
      </c>
      <c r="T179" s="4">
        <v>44240</v>
      </c>
      <c r="U179" s="4">
        <v>48573</v>
      </c>
      <c r="V179" s="4">
        <v>0</v>
      </c>
      <c r="W179" s="4">
        <v>21933</v>
      </c>
      <c r="X179" s="4">
        <v>2770</v>
      </c>
      <c r="Y179" s="4">
        <v>379568</v>
      </c>
      <c r="Z179" s="4">
        <v>41179</v>
      </c>
      <c r="AA179" s="4">
        <v>338389</v>
      </c>
      <c r="AB179" s="4">
        <v>196058</v>
      </c>
      <c r="AC179" s="4">
        <v>142331</v>
      </c>
    </row>
    <row r="180" spans="1:29" x14ac:dyDescent="0.25">
      <c r="A180" s="1" t="s">
        <v>176</v>
      </c>
      <c r="B180" s="1" t="s">
        <v>738</v>
      </c>
      <c r="C180" s="1" t="s">
        <v>189</v>
      </c>
      <c r="D180" s="1" t="s">
        <v>585</v>
      </c>
      <c r="E180" s="2">
        <v>55.3</v>
      </c>
      <c r="F180" s="3">
        <v>446.4</v>
      </c>
      <c r="G180" s="2">
        <v>501.7</v>
      </c>
      <c r="H180" s="2">
        <v>0</v>
      </c>
      <c r="I180" s="4">
        <v>6</v>
      </c>
      <c r="J180" s="3">
        <v>0</v>
      </c>
      <c r="K180" s="4">
        <v>452</v>
      </c>
      <c r="L180" s="2">
        <v>300.85000000000002</v>
      </c>
      <c r="M180" s="2">
        <v>57.38</v>
      </c>
      <c r="N180" s="2">
        <v>63</v>
      </c>
      <c r="O180" s="2">
        <v>25.18</v>
      </c>
      <c r="P180" s="2">
        <v>3.18</v>
      </c>
      <c r="Q180" s="4">
        <v>150936</v>
      </c>
      <c r="R180" s="4">
        <v>4215</v>
      </c>
      <c r="S180" s="4">
        <v>155151</v>
      </c>
      <c r="T180" s="4">
        <v>25936</v>
      </c>
      <c r="U180" s="4">
        <v>28476</v>
      </c>
      <c r="V180" s="4">
        <v>0</v>
      </c>
      <c r="W180" s="4">
        <v>12633</v>
      </c>
      <c r="X180" s="4">
        <v>1595</v>
      </c>
      <c r="Y180" s="4">
        <v>223791</v>
      </c>
      <c r="Z180" s="4">
        <v>23962</v>
      </c>
      <c r="AA180" s="4">
        <v>199829</v>
      </c>
      <c r="AB180" s="4">
        <v>112681</v>
      </c>
      <c r="AC180" s="4">
        <v>87148</v>
      </c>
    </row>
    <row r="181" spans="1:29" x14ac:dyDescent="0.25">
      <c r="A181" s="1" t="s">
        <v>176</v>
      </c>
      <c r="B181" s="1" t="s">
        <v>738</v>
      </c>
      <c r="C181" s="1" t="s">
        <v>190</v>
      </c>
      <c r="D181" s="1" t="s">
        <v>586</v>
      </c>
      <c r="E181" s="2">
        <v>42.18</v>
      </c>
      <c r="F181" s="3">
        <v>512</v>
      </c>
      <c r="G181" s="2">
        <v>554.17999999999995</v>
      </c>
      <c r="H181" s="2">
        <v>0</v>
      </c>
      <c r="I181" s="4">
        <v>2</v>
      </c>
      <c r="J181" s="3">
        <v>0</v>
      </c>
      <c r="K181" s="4">
        <v>514</v>
      </c>
      <c r="L181" s="2">
        <v>300.85000000000002</v>
      </c>
      <c r="M181" s="2">
        <v>57.38</v>
      </c>
      <c r="N181" s="2">
        <v>63</v>
      </c>
      <c r="O181" s="2">
        <v>25.18</v>
      </c>
      <c r="P181" s="2">
        <v>3.18</v>
      </c>
      <c r="Q181" s="4">
        <v>166725</v>
      </c>
      <c r="R181" s="4">
        <v>0</v>
      </c>
      <c r="S181" s="4">
        <v>166725</v>
      </c>
      <c r="T181" s="4">
        <v>29493</v>
      </c>
      <c r="U181" s="4">
        <v>32382</v>
      </c>
      <c r="V181" s="4">
        <v>0</v>
      </c>
      <c r="W181" s="4">
        <v>13954</v>
      </c>
      <c r="X181" s="4">
        <v>1762</v>
      </c>
      <c r="Y181" s="4">
        <v>244316</v>
      </c>
      <c r="Z181" s="4">
        <v>26655</v>
      </c>
      <c r="AA181" s="4">
        <v>217661</v>
      </c>
      <c r="AB181" s="4">
        <v>124281</v>
      </c>
      <c r="AC181" s="4">
        <v>93380</v>
      </c>
    </row>
    <row r="182" spans="1:29" x14ac:dyDescent="0.25">
      <c r="A182" s="1" t="s">
        <v>176</v>
      </c>
      <c r="B182" s="1" t="s">
        <v>738</v>
      </c>
      <c r="C182" s="1" t="s">
        <v>191</v>
      </c>
      <c r="D182" s="1" t="s">
        <v>587</v>
      </c>
      <c r="E182" s="2">
        <v>62.33</v>
      </c>
      <c r="F182" s="3">
        <v>427.9</v>
      </c>
      <c r="G182" s="2">
        <v>490.23</v>
      </c>
      <c r="H182" s="2">
        <v>0</v>
      </c>
      <c r="I182" s="4">
        <v>1</v>
      </c>
      <c r="J182" s="3">
        <v>0</v>
      </c>
      <c r="K182" s="4">
        <v>429</v>
      </c>
      <c r="L182" s="2">
        <v>300.85000000000002</v>
      </c>
      <c r="M182" s="2">
        <v>57.38</v>
      </c>
      <c r="N182" s="2">
        <v>63</v>
      </c>
      <c r="O182" s="2">
        <v>25.18</v>
      </c>
      <c r="P182" s="2">
        <v>3.18</v>
      </c>
      <c r="Q182" s="4">
        <v>147486</v>
      </c>
      <c r="R182" s="4">
        <v>0</v>
      </c>
      <c r="S182" s="4">
        <v>147486</v>
      </c>
      <c r="T182" s="4">
        <v>24616</v>
      </c>
      <c r="U182" s="4">
        <v>27027</v>
      </c>
      <c r="V182" s="4">
        <v>0</v>
      </c>
      <c r="W182" s="4">
        <v>12344</v>
      </c>
      <c r="X182" s="4">
        <v>1559</v>
      </c>
      <c r="Y182" s="4">
        <v>213032</v>
      </c>
      <c r="Z182" s="4">
        <v>24283</v>
      </c>
      <c r="AA182" s="4">
        <v>188749</v>
      </c>
      <c r="AB182" s="4">
        <v>109236</v>
      </c>
      <c r="AC182" s="4">
        <v>79513</v>
      </c>
    </row>
    <row r="183" spans="1:29" x14ac:dyDescent="0.25">
      <c r="A183" s="1" t="s">
        <v>176</v>
      </c>
      <c r="B183" s="1" t="s">
        <v>738</v>
      </c>
      <c r="C183" s="1" t="s">
        <v>192</v>
      </c>
      <c r="D183" s="1" t="s">
        <v>588</v>
      </c>
      <c r="E183" s="2">
        <v>279.26</v>
      </c>
      <c r="F183" s="3">
        <v>3127</v>
      </c>
      <c r="G183" s="2">
        <v>3406.26</v>
      </c>
      <c r="H183" s="2">
        <v>0</v>
      </c>
      <c r="I183" s="4">
        <v>74</v>
      </c>
      <c r="J183" s="3">
        <v>0</v>
      </c>
      <c r="K183" s="4">
        <v>3201</v>
      </c>
      <c r="L183" s="2">
        <v>300.85000000000002</v>
      </c>
      <c r="M183" s="2">
        <v>57.38</v>
      </c>
      <c r="N183" s="2">
        <v>63</v>
      </c>
      <c r="O183" s="2">
        <v>25.18</v>
      </c>
      <c r="P183" s="2">
        <v>3.18</v>
      </c>
      <c r="Q183" s="4">
        <v>1024773</v>
      </c>
      <c r="R183" s="4">
        <v>0</v>
      </c>
      <c r="S183" s="4">
        <v>1024773</v>
      </c>
      <c r="T183" s="4">
        <v>183673</v>
      </c>
      <c r="U183" s="4">
        <v>201663</v>
      </c>
      <c r="V183" s="4">
        <v>0</v>
      </c>
      <c r="W183" s="4">
        <v>85770</v>
      </c>
      <c r="X183" s="4">
        <v>10832</v>
      </c>
      <c r="Y183" s="4">
        <v>1506711</v>
      </c>
      <c r="Z183" s="4">
        <v>64515</v>
      </c>
      <c r="AA183" s="4">
        <v>1442196</v>
      </c>
      <c r="AB183" s="4">
        <v>863214</v>
      </c>
      <c r="AC183" s="4">
        <v>578982</v>
      </c>
    </row>
    <row r="184" spans="1:29" x14ac:dyDescent="0.25">
      <c r="A184" s="1" t="s">
        <v>176</v>
      </c>
      <c r="B184" s="1" t="s">
        <v>738</v>
      </c>
      <c r="C184" s="1" t="s">
        <v>193</v>
      </c>
      <c r="D184" s="1" t="s">
        <v>589</v>
      </c>
      <c r="E184" s="2">
        <v>6023.48</v>
      </c>
      <c r="F184" s="3">
        <v>32606.7</v>
      </c>
      <c r="G184" s="2">
        <v>38630.18</v>
      </c>
      <c r="H184" s="2">
        <v>0</v>
      </c>
      <c r="I184" s="4">
        <v>2366</v>
      </c>
      <c r="J184" s="3">
        <v>3.5</v>
      </c>
      <c r="K184" s="4">
        <v>34969</v>
      </c>
      <c r="L184" s="2">
        <v>300.85000000000002</v>
      </c>
      <c r="M184" s="2">
        <v>57.38</v>
      </c>
      <c r="N184" s="2">
        <v>63</v>
      </c>
      <c r="O184" s="2">
        <v>25.18</v>
      </c>
      <c r="P184" s="2">
        <v>3.18</v>
      </c>
      <c r="Q184" s="4">
        <v>11621890</v>
      </c>
      <c r="R184" s="4">
        <v>0</v>
      </c>
      <c r="S184" s="4">
        <v>11621890</v>
      </c>
      <c r="T184" s="4">
        <v>2006521</v>
      </c>
      <c r="U184" s="4">
        <v>2203047</v>
      </c>
      <c r="V184" s="4">
        <v>0</v>
      </c>
      <c r="W184" s="4">
        <v>972708</v>
      </c>
      <c r="X184" s="4">
        <v>122844</v>
      </c>
      <c r="Y184" s="4">
        <v>16927010</v>
      </c>
      <c r="Z184" s="4">
        <v>1502984</v>
      </c>
      <c r="AA184" s="4">
        <v>15424026</v>
      </c>
      <c r="AB184" s="4">
        <v>9018332</v>
      </c>
      <c r="AC184" s="4">
        <v>6405694</v>
      </c>
    </row>
    <row r="185" spans="1:29" x14ac:dyDescent="0.25">
      <c r="A185" s="1" t="s">
        <v>176</v>
      </c>
      <c r="B185" s="1" t="s">
        <v>738</v>
      </c>
      <c r="C185" s="1" t="s">
        <v>194</v>
      </c>
      <c r="D185" s="1" t="s">
        <v>590</v>
      </c>
      <c r="E185" s="2">
        <v>50.09</v>
      </c>
      <c r="F185" s="3">
        <v>574.1</v>
      </c>
      <c r="G185" s="2">
        <v>624.19000000000005</v>
      </c>
      <c r="H185" s="2">
        <v>0</v>
      </c>
      <c r="I185" s="4">
        <v>4</v>
      </c>
      <c r="J185" s="3">
        <v>0</v>
      </c>
      <c r="K185" s="4">
        <v>578</v>
      </c>
      <c r="L185" s="2">
        <v>300.85000000000002</v>
      </c>
      <c r="M185" s="2">
        <v>57.38</v>
      </c>
      <c r="N185" s="2">
        <v>63</v>
      </c>
      <c r="O185" s="2">
        <v>25.18</v>
      </c>
      <c r="P185" s="2">
        <v>3.18</v>
      </c>
      <c r="Q185" s="4">
        <v>187788</v>
      </c>
      <c r="R185" s="4">
        <v>6025</v>
      </c>
      <c r="S185" s="4">
        <v>193813</v>
      </c>
      <c r="T185" s="4">
        <v>33166</v>
      </c>
      <c r="U185" s="4">
        <v>36414</v>
      </c>
      <c r="V185" s="4">
        <v>0</v>
      </c>
      <c r="W185" s="4">
        <v>15717</v>
      </c>
      <c r="X185" s="4">
        <v>1985</v>
      </c>
      <c r="Y185" s="4">
        <v>281095</v>
      </c>
      <c r="Z185" s="4">
        <v>22833</v>
      </c>
      <c r="AA185" s="4">
        <v>258262</v>
      </c>
      <c r="AB185" s="4">
        <v>147171</v>
      </c>
      <c r="AC185" s="4">
        <v>111091</v>
      </c>
    </row>
    <row r="186" spans="1:29" x14ac:dyDescent="0.25">
      <c r="A186" s="1" t="s">
        <v>176</v>
      </c>
      <c r="B186" s="1" t="s">
        <v>738</v>
      </c>
      <c r="C186" s="1" t="s">
        <v>195</v>
      </c>
      <c r="D186" s="1" t="s">
        <v>591</v>
      </c>
      <c r="E186" s="2">
        <v>63.1</v>
      </c>
      <c r="F186" s="3">
        <v>416.9</v>
      </c>
      <c r="G186" s="2">
        <v>480</v>
      </c>
      <c r="H186" s="2">
        <v>0</v>
      </c>
      <c r="I186" s="4">
        <v>0</v>
      </c>
      <c r="J186" s="3">
        <v>0</v>
      </c>
      <c r="K186" s="4">
        <v>417</v>
      </c>
      <c r="L186" s="2">
        <v>300.85000000000002</v>
      </c>
      <c r="M186" s="2">
        <v>57.38</v>
      </c>
      <c r="N186" s="2">
        <v>63</v>
      </c>
      <c r="O186" s="2">
        <v>25.18</v>
      </c>
      <c r="P186" s="2">
        <v>3.18</v>
      </c>
      <c r="Q186" s="4">
        <v>144408</v>
      </c>
      <c r="R186" s="4">
        <v>11123</v>
      </c>
      <c r="S186" s="4">
        <v>155531</v>
      </c>
      <c r="T186" s="4">
        <v>23927</v>
      </c>
      <c r="U186" s="4">
        <v>26271</v>
      </c>
      <c r="V186" s="4">
        <v>0</v>
      </c>
      <c r="W186" s="4">
        <v>12086</v>
      </c>
      <c r="X186" s="4">
        <v>1526</v>
      </c>
      <c r="Y186" s="4">
        <v>219341</v>
      </c>
      <c r="Z186" s="4">
        <v>29687</v>
      </c>
      <c r="AA186" s="4">
        <v>189654</v>
      </c>
      <c r="AB186" s="4">
        <v>101045</v>
      </c>
      <c r="AC186" s="4">
        <v>88609</v>
      </c>
    </row>
    <row r="187" spans="1:29" x14ac:dyDescent="0.25">
      <c r="A187" s="1" t="s">
        <v>176</v>
      </c>
      <c r="B187" s="1" t="s">
        <v>738</v>
      </c>
      <c r="C187" s="1" t="s">
        <v>196</v>
      </c>
      <c r="D187" s="1" t="s">
        <v>592</v>
      </c>
      <c r="E187" s="2">
        <v>115.12</v>
      </c>
      <c r="F187" s="3">
        <v>1548.6</v>
      </c>
      <c r="G187" s="2">
        <v>1663.72</v>
      </c>
      <c r="H187" s="2">
        <v>0</v>
      </c>
      <c r="I187" s="4">
        <v>33</v>
      </c>
      <c r="J187" s="3">
        <v>0</v>
      </c>
      <c r="K187" s="4">
        <v>1582</v>
      </c>
      <c r="L187" s="2">
        <v>300.85000000000002</v>
      </c>
      <c r="M187" s="2">
        <v>57.38</v>
      </c>
      <c r="N187" s="2">
        <v>63</v>
      </c>
      <c r="O187" s="2">
        <v>25.18</v>
      </c>
      <c r="P187" s="2">
        <v>3.18</v>
      </c>
      <c r="Q187" s="4">
        <v>500530</v>
      </c>
      <c r="R187" s="4">
        <v>0</v>
      </c>
      <c r="S187" s="4">
        <v>500530</v>
      </c>
      <c r="T187" s="4">
        <v>90775</v>
      </c>
      <c r="U187" s="4">
        <v>99666</v>
      </c>
      <c r="V187" s="4">
        <v>0</v>
      </c>
      <c r="W187" s="4">
        <v>41892</v>
      </c>
      <c r="X187" s="4">
        <v>5291</v>
      </c>
      <c r="Y187" s="4">
        <v>738154</v>
      </c>
      <c r="Z187" s="4">
        <v>38933</v>
      </c>
      <c r="AA187" s="4">
        <v>699221</v>
      </c>
      <c r="AB187" s="4">
        <v>414198</v>
      </c>
      <c r="AC187" s="4">
        <v>285023</v>
      </c>
    </row>
    <row r="188" spans="1:29" x14ac:dyDescent="0.25">
      <c r="A188" s="1" t="s">
        <v>176</v>
      </c>
      <c r="B188" s="1" t="s">
        <v>738</v>
      </c>
      <c r="C188" s="1" t="s">
        <v>197</v>
      </c>
      <c r="D188" s="1" t="s">
        <v>593</v>
      </c>
      <c r="E188" s="2">
        <v>28.47</v>
      </c>
      <c r="F188" s="3">
        <v>288</v>
      </c>
      <c r="G188" s="2">
        <v>316.47000000000003</v>
      </c>
      <c r="H188" s="2">
        <v>0</v>
      </c>
      <c r="I188" s="4">
        <v>15</v>
      </c>
      <c r="J188" s="3">
        <v>0</v>
      </c>
      <c r="K188" s="4">
        <v>303</v>
      </c>
      <c r="L188" s="2">
        <v>300.85000000000002</v>
      </c>
      <c r="M188" s="2">
        <v>57.38</v>
      </c>
      <c r="N188" s="2">
        <v>63</v>
      </c>
      <c r="O188" s="2">
        <v>25.18</v>
      </c>
      <c r="P188" s="2">
        <v>3.18</v>
      </c>
      <c r="Q188" s="4">
        <v>95210</v>
      </c>
      <c r="R188" s="4">
        <v>2820</v>
      </c>
      <c r="S188" s="4">
        <v>98030</v>
      </c>
      <c r="T188" s="4">
        <v>17386</v>
      </c>
      <c r="U188" s="4">
        <v>19089</v>
      </c>
      <c r="V188" s="4">
        <v>0</v>
      </c>
      <c r="W188" s="4">
        <v>7969</v>
      </c>
      <c r="X188" s="4">
        <v>1006</v>
      </c>
      <c r="Y188" s="4">
        <v>143480</v>
      </c>
      <c r="Z188" s="4">
        <v>17419</v>
      </c>
      <c r="AA188" s="4">
        <v>126061</v>
      </c>
      <c r="AB188" s="4">
        <v>68775</v>
      </c>
      <c r="AC188" s="4">
        <v>57286</v>
      </c>
    </row>
    <row r="189" spans="1:29" x14ac:dyDescent="0.25">
      <c r="A189" s="1" t="s">
        <v>176</v>
      </c>
      <c r="B189" s="1" t="s">
        <v>738</v>
      </c>
      <c r="C189" s="1" t="s">
        <v>198</v>
      </c>
      <c r="D189" s="1" t="s">
        <v>594</v>
      </c>
      <c r="E189" s="2">
        <v>45.28</v>
      </c>
      <c r="F189" s="3">
        <v>436.7</v>
      </c>
      <c r="G189" s="2">
        <v>481.98</v>
      </c>
      <c r="H189" s="2">
        <v>0</v>
      </c>
      <c r="I189" s="4">
        <v>0</v>
      </c>
      <c r="J189" s="3">
        <v>0</v>
      </c>
      <c r="K189" s="4">
        <v>437</v>
      </c>
      <c r="L189" s="2">
        <v>300.85000000000002</v>
      </c>
      <c r="M189" s="2">
        <v>57.38</v>
      </c>
      <c r="N189" s="2">
        <v>63</v>
      </c>
      <c r="O189" s="2">
        <v>25.18</v>
      </c>
      <c r="P189" s="2">
        <v>3.18</v>
      </c>
      <c r="Q189" s="4">
        <v>145004</v>
      </c>
      <c r="R189" s="4">
        <v>4876</v>
      </c>
      <c r="S189" s="4">
        <v>149880</v>
      </c>
      <c r="T189" s="4">
        <v>25075</v>
      </c>
      <c r="U189" s="4">
        <v>27531</v>
      </c>
      <c r="V189" s="4">
        <v>0</v>
      </c>
      <c r="W189" s="4">
        <v>12136</v>
      </c>
      <c r="X189" s="4">
        <v>1533</v>
      </c>
      <c r="Y189" s="4">
        <v>216155</v>
      </c>
      <c r="Z189" s="4">
        <v>21657</v>
      </c>
      <c r="AA189" s="4">
        <v>194498</v>
      </c>
      <c r="AB189" s="4">
        <v>109615</v>
      </c>
      <c r="AC189" s="4">
        <v>84883</v>
      </c>
    </row>
    <row r="190" spans="1:29" x14ac:dyDescent="0.25">
      <c r="A190" s="1" t="s">
        <v>176</v>
      </c>
      <c r="B190" s="1" t="s">
        <v>738</v>
      </c>
      <c r="C190" s="1" t="s">
        <v>199</v>
      </c>
      <c r="D190" s="1" t="s">
        <v>595</v>
      </c>
      <c r="E190" s="2">
        <v>423.77</v>
      </c>
      <c r="F190" s="3">
        <v>3460.1</v>
      </c>
      <c r="G190" s="2">
        <v>3883.87</v>
      </c>
      <c r="H190" s="2">
        <v>0</v>
      </c>
      <c r="I190" s="4">
        <v>12</v>
      </c>
      <c r="J190" s="3">
        <v>0</v>
      </c>
      <c r="K190" s="4">
        <v>3472</v>
      </c>
      <c r="L190" s="2">
        <v>300.85000000000002</v>
      </c>
      <c r="M190" s="2">
        <v>57.38</v>
      </c>
      <c r="N190" s="2">
        <v>63</v>
      </c>
      <c r="O190" s="2">
        <v>25.18</v>
      </c>
      <c r="P190" s="2">
        <v>3.18</v>
      </c>
      <c r="Q190" s="4">
        <v>1168462</v>
      </c>
      <c r="R190" s="4">
        <v>0</v>
      </c>
      <c r="S190" s="4">
        <v>1168462</v>
      </c>
      <c r="T190" s="4">
        <v>199223</v>
      </c>
      <c r="U190" s="4">
        <v>218736</v>
      </c>
      <c r="V190" s="4">
        <v>0</v>
      </c>
      <c r="W190" s="4">
        <v>97796</v>
      </c>
      <c r="X190" s="4">
        <v>12351</v>
      </c>
      <c r="Y190" s="4">
        <v>1696568</v>
      </c>
      <c r="Z190" s="4">
        <v>139171</v>
      </c>
      <c r="AA190" s="4">
        <v>1557397</v>
      </c>
      <c r="AB190" s="4">
        <v>918640</v>
      </c>
      <c r="AC190" s="4">
        <v>638757</v>
      </c>
    </row>
    <row r="191" spans="1:29" x14ac:dyDescent="0.25">
      <c r="A191" s="1" t="s">
        <v>176</v>
      </c>
      <c r="B191" s="1" t="s">
        <v>738</v>
      </c>
      <c r="C191" s="1" t="s">
        <v>200</v>
      </c>
      <c r="D191" s="1" t="s">
        <v>596</v>
      </c>
      <c r="E191" s="2">
        <v>74.540000000000006</v>
      </c>
      <c r="F191" s="3">
        <v>848.2</v>
      </c>
      <c r="G191" s="2">
        <v>922.74</v>
      </c>
      <c r="H191" s="2">
        <v>0</v>
      </c>
      <c r="I191" s="4">
        <v>4</v>
      </c>
      <c r="J191" s="3">
        <v>0</v>
      </c>
      <c r="K191" s="4">
        <v>852</v>
      </c>
      <c r="L191" s="2">
        <v>300.85000000000002</v>
      </c>
      <c r="M191" s="2">
        <v>57.38</v>
      </c>
      <c r="N191" s="2">
        <v>63</v>
      </c>
      <c r="O191" s="2">
        <v>25.18</v>
      </c>
      <c r="P191" s="2">
        <v>3.18</v>
      </c>
      <c r="Q191" s="4">
        <v>277606</v>
      </c>
      <c r="R191" s="4">
        <v>2179</v>
      </c>
      <c r="S191" s="4">
        <v>279785</v>
      </c>
      <c r="T191" s="4">
        <v>48888</v>
      </c>
      <c r="U191" s="4">
        <v>53676</v>
      </c>
      <c r="V191" s="4">
        <v>0</v>
      </c>
      <c r="W191" s="4">
        <v>23294</v>
      </c>
      <c r="X191" s="4">
        <v>2951</v>
      </c>
      <c r="Y191" s="4">
        <v>408594</v>
      </c>
      <c r="Z191" s="4">
        <v>33511</v>
      </c>
      <c r="AA191" s="4">
        <v>375083</v>
      </c>
      <c r="AB191" s="4">
        <v>217883</v>
      </c>
      <c r="AC191" s="4">
        <v>157200</v>
      </c>
    </row>
    <row r="192" spans="1:29" x14ac:dyDescent="0.25">
      <c r="A192" s="1" t="s">
        <v>176</v>
      </c>
      <c r="B192" s="1" t="s">
        <v>738</v>
      </c>
      <c r="C192" s="1" t="s">
        <v>201</v>
      </c>
      <c r="D192" s="1" t="s">
        <v>597</v>
      </c>
      <c r="E192" s="2">
        <v>735</v>
      </c>
      <c r="F192" s="3">
        <v>7105.7</v>
      </c>
      <c r="G192" s="2">
        <v>7840.7</v>
      </c>
      <c r="H192" s="2">
        <v>0</v>
      </c>
      <c r="I192" s="4">
        <v>354</v>
      </c>
      <c r="J192" s="3">
        <v>0</v>
      </c>
      <c r="K192" s="4">
        <v>7460</v>
      </c>
      <c r="L192" s="2">
        <v>300.85000000000002</v>
      </c>
      <c r="M192" s="2">
        <v>57.38</v>
      </c>
      <c r="N192" s="2">
        <v>63</v>
      </c>
      <c r="O192" s="2">
        <v>25.18</v>
      </c>
      <c r="P192" s="2">
        <v>3.18</v>
      </c>
      <c r="Q192" s="4">
        <v>2358875</v>
      </c>
      <c r="R192" s="4">
        <v>0</v>
      </c>
      <c r="S192" s="4">
        <v>2358875</v>
      </c>
      <c r="T192" s="4">
        <v>428055</v>
      </c>
      <c r="U192" s="4">
        <v>469980</v>
      </c>
      <c r="V192" s="4">
        <v>0</v>
      </c>
      <c r="W192" s="4">
        <v>197429</v>
      </c>
      <c r="X192" s="4">
        <v>24933</v>
      </c>
      <c r="Y192" s="4">
        <v>3479272</v>
      </c>
      <c r="Z192" s="4">
        <v>179185</v>
      </c>
      <c r="AA192" s="4">
        <v>3300087</v>
      </c>
      <c r="AB192" s="4">
        <v>1956308</v>
      </c>
      <c r="AC192" s="4">
        <v>1343779</v>
      </c>
    </row>
    <row r="193" spans="1:29" x14ac:dyDescent="0.25">
      <c r="A193" s="1" t="s">
        <v>176</v>
      </c>
      <c r="B193" s="1" t="s">
        <v>738</v>
      </c>
      <c r="C193" s="1" t="s">
        <v>202</v>
      </c>
      <c r="D193" s="1" t="s">
        <v>598</v>
      </c>
      <c r="E193" s="2">
        <v>253.47</v>
      </c>
      <c r="F193" s="3">
        <v>1772.2</v>
      </c>
      <c r="G193" s="2">
        <v>2025.67</v>
      </c>
      <c r="H193" s="2">
        <v>0</v>
      </c>
      <c r="I193" s="4">
        <v>18</v>
      </c>
      <c r="J193" s="3">
        <v>0</v>
      </c>
      <c r="K193" s="4">
        <v>1790</v>
      </c>
      <c r="L193" s="2">
        <v>300.85000000000002</v>
      </c>
      <c r="M193" s="2">
        <v>57.38</v>
      </c>
      <c r="N193" s="2">
        <v>63</v>
      </c>
      <c r="O193" s="2">
        <v>25.18</v>
      </c>
      <c r="P193" s="2">
        <v>3.18</v>
      </c>
      <c r="Q193" s="4">
        <v>609423</v>
      </c>
      <c r="R193" s="4">
        <v>0</v>
      </c>
      <c r="S193" s="4">
        <v>609423</v>
      </c>
      <c r="T193" s="4">
        <v>102710</v>
      </c>
      <c r="U193" s="4">
        <v>112770</v>
      </c>
      <c r="V193" s="4">
        <v>0</v>
      </c>
      <c r="W193" s="4">
        <v>51006</v>
      </c>
      <c r="X193" s="4">
        <v>6442</v>
      </c>
      <c r="Y193" s="4">
        <v>882351</v>
      </c>
      <c r="Z193" s="4">
        <v>89650</v>
      </c>
      <c r="AA193" s="4">
        <v>792701</v>
      </c>
      <c r="AB193" s="4">
        <v>462061</v>
      </c>
      <c r="AC193" s="4">
        <v>330640</v>
      </c>
    </row>
    <row r="194" spans="1:29" x14ac:dyDescent="0.25">
      <c r="A194" s="1" t="s">
        <v>176</v>
      </c>
      <c r="B194" s="1" t="s">
        <v>738</v>
      </c>
      <c r="C194" s="1" t="s">
        <v>203</v>
      </c>
      <c r="D194" s="1" t="s">
        <v>599</v>
      </c>
      <c r="E194" s="2">
        <v>58.95</v>
      </c>
      <c r="F194" s="3">
        <v>452.5</v>
      </c>
      <c r="G194" s="2">
        <v>511.45</v>
      </c>
      <c r="H194" s="2">
        <v>0</v>
      </c>
      <c r="I194" s="4">
        <v>54</v>
      </c>
      <c r="J194" s="3">
        <v>0</v>
      </c>
      <c r="K194" s="4">
        <v>507</v>
      </c>
      <c r="L194" s="2">
        <v>300.85000000000002</v>
      </c>
      <c r="M194" s="2">
        <v>57.38</v>
      </c>
      <c r="N194" s="2">
        <v>63</v>
      </c>
      <c r="O194" s="2">
        <v>25.18</v>
      </c>
      <c r="P194" s="2">
        <v>3.18</v>
      </c>
      <c r="Q194" s="4">
        <v>153870</v>
      </c>
      <c r="R194" s="4">
        <v>0</v>
      </c>
      <c r="S194" s="4">
        <v>153870</v>
      </c>
      <c r="T194" s="4">
        <v>29092</v>
      </c>
      <c r="U194" s="4">
        <v>31941</v>
      </c>
      <c r="V194" s="4">
        <v>0</v>
      </c>
      <c r="W194" s="4">
        <v>12878</v>
      </c>
      <c r="X194" s="4">
        <v>1626</v>
      </c>
      <c r="Y194" s="4">
        <v>229407</v>
      </c>
      <c r="Z194" s="4">
        <v>23232</v>
      </c>
      <c r="AA194" s="4">
        <v>206175</v>
      </c>
      <c r="AB194" s="4">
        <v>116066</v>
      </c>
      <c r="AC194" s="4">
        <v>90109</v>
      </c>
    </row>
    <row r="195" spans="1:29" x14ac:dyDescent="0.25">
      <c r="A195" s="1" t="s">
        <v>176</v>
      </c>
      <c r="B195" s="1" t="s">
        <v>738</v>
      </c>
      <c r="C195" s="1" t="s">
        <v>204</v>
      </c>
      <c r="D195" s="1" t="s">
        <v>600</v>
      </c>
      <c r="E195" s="2">
        <v>85.76</v>
      </c>
      <c r="F195" s="3">
        <v>683</v>
      </c>
      <c r="G195" s="2">
        <v>768.76</v>
      </c>
      <c r="H195" s="2">
        <v>0</v>
      </c>
      <c r="I195" s="4">
        <v>6</v>
      </c>
      <c r="J195" s="3">
        <v>0</v>
      </c>
      <c r="K195" s="4">
        <v>689</v>
      </c>
      <c r="L195" s="2">
        <v>300.85000000000002</v>
      </c>
      <c r="M195" s="2">
        <v>57.38</v>
      </c>
      <c r="N195" s="2">
        <v>63</v>
      </c>
      <c r="O195" s="2">
        <v>25.18</v>
      </c>
      <c r="P195" s="2">
        <v>3.18</v>
      </c>
      <c r="Q195" s="4">
        <v>231281</v>
      </c>
      <c r="R195" s="4">
        <v>0</v>
      </c>
      <c r="S195" s="4">
        <v>231281</v>
      </c>
      <c r="T195" s="4">
        <v>39535</v>
      </c>
      <c r="U195" s="4">
        <v>43407</v>
      </c>
      <c r="V195" s="4">
        <v>0</v>
      </c>
      <c r="W195" s="4">
        <v>19357</v>
      </c>
      <c r="X195" s="4">
        <v>2445</v>
      </c>
      <c r="Y195" s="4">
        <v>336025</v>
      </c>
      <c r="Z195" s="4">
        <v>25816</v>
      </c>
      <c r="AA195" s="4">
        <v>310209</v>
      </c>
      <c r="AB195" s="4">
        <v>183563</v>
      </c>
      <c r="AC195" s="4">
        <v>126646</v>
      </c>
    </row>
    <row r="196" spans="1:29" x14ac:dyDescent="0.25">
      <c r="A196" s="1" t="s">
        <v>176</v>
      </c>
      <c r="B196" s="1" t="s">
        <v>738</v>
      </c>
      <c r="C196" s="1" t="s">
        <v>205</v>
      </c>
      <c r="D196" s="1" t="s">
        <v>601</v>
      </c>
      <c r="E196" s="2">
        <v>57.1</v>
      </c>
      <c r="F196" s="3">
        <v>516.20000000000005</v>
      </c>
      <c r="G196" s="2">
        <v>573.29999999999995</v>
      </c>
      <c r="H196" s="2">
        <v>0</v>
      </c>
      <c r="I196" s="4">
        <v>27</v>
      </c>
      <c r="J196" s="3">
        <v>0</v>
      </c>
      <c r="K196" s="4">
        <v>543</v>
      </c>
      <c r="L196" s="2">
        <v>300.85000000000002</v>
      </c>
      <c r="M196" s="2">
        <v>57.38</v>
      </c>
      <c r="N196" s="2">
        <v>63</v>
      </c>
      <c r="O196" s="2">
        <v>25.18</v>
      </c>
      <c r="P196" s="2">
        <v>3.18</v>
      </c>
      <c r="Q196" s="4">
        <v>172477</v>
      </c>
      <c r="R196" s="4">
        <v>0</v>
      </c>
      <c r="S196" s="4">
        <v>172477</v>
      </c>
      <c r="T196" s="4">
        <v>31157</v>
      </c>
      <c r="U196" s="4">
        <v>34209</v>
      </c>
      <c r="V196" s="4">
        <v>0</v>
      </c>
      <c r="W196" s="4">
        <v>14436</v>
      </c>
      <c r="X196" s="4">
        <v>1823</v>
      </c>
      <c r="Y196" s="4">
        <v>254102</v>
      </c>
      <c r="Z196" s="4">
        <v>22923</v>
      </c>
      <c r="AA196" s="4">
        <v>231179</v>
      </c>
      <c r="AB196" s="4">
        <v>133221</v>
      </c>
      <c r="AC196" s="4">
        <v>97958</v>
      </c>
    </row>
    <row r="197" spans="1:29" x14ac:dyDescent="0.25">
      <c r="A197" s="1" t="s">
        <v>176</v>
      </c>
      <c r="B197" s="1" t="s">
        <v>738</v>
      </c>
      <c r="C197" s="1" t="s">
        <v>206</v>
      </c>
      <c r="D197" s="1" t="s">
        <v>602</v>
      </c>
      <c r="E197" s="2">
        <v>54.38</v>
      </c>
      <c r="F197" s="3">
        <v>333</v>
      </c>
      <c r="G197" s="2">
        <v>387.38</v>
      </c>
      <c r="H197" s="2">
        <v>0</v>
      </c>
      <c r="I197" s="4">
        <v>0</v>
      </c>
      <c r="J197" s="3">
        <v>0</v>
      </c>
      <c r="K197" s="4">
        <v>333</v>
      </c>
      <c r="L197" s="2">
        <v>300.85000000000002</v>
      </c>
      <c r="M197" s="2">
        <v>57.38</v>
      </c>
      <c r="N197" s="2">
        <v>63</v>
      </c>
      <c r="O197" s="2">
        <v>25.18</v>
      </c>
      <c r="P197" s="2">
        <v>3.18</v>
      </c>
      <c r="Q197" s="4">
        <v>116543</v>
      </c>
      <c r="R197" s="4">
        <v>0</v>
      </c>
      <c r="S197" s="4">
        <v>116543</v>
      </c>
      <c r="T197" s="4">
        <v>19108</v>
      </c>
      <c r="U197" s="4">
        <v>20979</v>
      </c>
      <c r="V197" s="4">
        <v>0</v>
      </c>
      <c r="W197" s="4">
        <v>9754</v>
      </c>
      <c r="X197" s="4">
        <v>1232</v>
      </c>
      <c r="Y197" s="4">
        <v>167616</v>
      </c>
      <c r="Z197" s="4">
        <v>20816</v>
      </c>
      <c r="AA197" s="4">
        <v>146800</v>
      </c>
      <c r="AB197" s="4">
        <v>84691</v>
      </c>
      <c r="AC197" s="4">
        <v>62109</v>
      </c>
    </row>
    <row r="198" spans="1:29" x14ac:dyDescent="0.25">
      <c r="A198" s="1" t="s">
        <v>176</v>
      </c>
      <c r="B198" s="1" t="s">
        <v>738</v>
      </c>
      <c r="C198" s="1" t="s">
        <v>207</v>
      </c>
      <c r="D198" s="1" t="s">
        <v>603</v>
      </c>
      <c r="E198" s="2">
        <v>175.15</v>
      </c>
      <c r="F198" s="3">
        <v>1488.7</v>
      </c>
      <c r="G198" s="2">
        <v>1663.85</v>
      </c>
      <c r="H198" s="2">
        <v>0</v>
      </c>
      <c r="I198" s="4">
        <v>4</v>
      </c>
      <c r="J198" s="3">
        <v>0</v>
      </c>
      <c r="K198" s="4">
        <v>1493</v>
      </c>
      <c r="L198" s="2">
        <v>300.85000000000002</v>
      </c>
      <c r="M198" s="2">
        <v>57.38</v>
      </c>
      <c r="N198" s="2">
        <v>63</v>
      </c>
      <c r="O198" s="2">
        <v>25.18</v>
      </c>
      <c r="P198" s="2">
        <v>3.18</v>
      </c>
      <c r="Q198" s="4">
        <v>500569</v>
      </c>
      <c r="R198" s="4">
        <v>0</v>
      </c>
      <c r="S198" s="4">
        <v>500569</v>
      </c>
      <c r="T198" s="4">
        <v>85668</v>
      </c>
      <c r="U198" s="4">
        <v>94059</v>
      </c>
      <c r="V198" s="4">
        <v>0</v>
      </c>
      <c r="W198" s="4">
        <v>41896</v>
      </c>
      <c r="X198" s="4">
        <v>5291</v>
      </c>
      <c r="Y198" s="4">
        <v>727483</v>
      </c>
      <c r="Z198" s="4">
        <v>69114</v>
      </c>
      <c r="AA198" s="4">
        <v>658369</v>
      </c>
      <c r="AB198" s="4">
        <v>384052</v>
      </c>
      <c r="AC198" s="4">
        <v>274317</v>
      </c>
    </row>
    <row r="199" spans="1:29" x14ac:dyDescent="0.25">
      <c r="A199" s="1" t="s">
        <v>176</v>
      </c>
      <c r="B199" s="1" t="s">
        <v>738</v>
      </c>
      <c r="C199" s="1" t="s">
        <v>208</v>
      </c>
      <c r="D199" s="1" t="s">
        <v>604</v>
      </c>
      <c r="E199" s="2">
        <v>460.8</v>
      </c>
      <c r="F199" s="3">
        <v>2996.5</v>
      </c>
      <c r="G199" s="2">
        <v>3457.3</v>
      </c>
      <c r="H199" s="2">
        <v>0</v>
      </c>
      <c r="I199" s="4">
        <v>90</v>
      </c>
      <c r="J199" s="3">
        <v>0.1</v>
      </c>
      <c r="K199" s="4">
        <v>3086</v>
      </c>
      <c r="L199" s="2">
        <v>300.85000000000002</v>
      </c>
      <c r="M199" s="2">
        <v>57.38</v>
      </c>
      <c r="N199" s="2">
        <v>63</v>
      </c>
      <c r="O199" s="2">
        <v>25.18</v>
      </c>
      <c r="P199" s="2">
        <v>3.18</v>
      </c>
      <c r="Q199" s="4">
        <v>1040129</v>
      </c>
      <c r="R199" s="4">
        <v>0</v>
      </c>
      <c r="S199" s="4">
        <v>1040129</v>
      </c>
      <c r="T199" s="4">
        <v>177075</v>
      </c>
      <c r="U199" s="4">
        <v>194418</v>
      </c>
      <c r="V199" s="4">
        <v>0</v>
      </c>
      <c r="W199" s="4">
        <v>87055</v>
      </c>
      <c r="X199" s="4">
        <v>10994</v>
      </c>
      <c r="Y199" s="4">
        <v>1509671</v>
      </c>
      <c r="Z199" s="4">
        <v>154889</v>
      </c>
      <c r="AA199" s="4">
        <v>1354782</v>
      </c>
      <c r="AB199" s="4">
        <v>786741</v>
      </c>
      <c r="AC199" s="4">
        <v>568041</v>
      </c>
    </row>
    <row r="200" spans="1:29" x14ac:dyDescent="0.25">
      <c r="A200" s="1" t="s">
        <v>176</v>
      </c>
      <c r="B200" s="1" t="s">
        <v>738</v>
      </c>
      <c r="C200" s="1" t="s">
        <v>209</v>
      </c>
      <c r="D200" s="1" t="s">
        <v>605</v>
      </c>
      <c r="E200" s="2">
        <v>122.39</v>
      </c>
      <c r="F200" s="3">
        <v>1828</v>
      </c>
      <c r="G200" s="2">
        <v>1950.39</v>
      </c>
      <c r="H200" s="2">
        <v>0</v>
      </c>
      <c r="I200" s="4">
        <v>30</v>
      </c>
      <c r="J200" s="3">
        <v>0</v>
      </c>
      <c r="K200" s="4">
        <v>1858</v>
      </c>
      <c r="L200" s="2">
        <v>300.85000000000002</v>
      </c>
      <c r="M200" s="2">
        <v>57.38</v>
      </c>
      <c r="N200" s="2">
        <v>63</v>
      </c>
      <c r="O200" s="2">
        <v>25.18</v>
      </c>
      <c r="P200" s="2">
        <v>3.18</v>
      </c>
      <c r="Q200" s="4">
        <v>586775</v>
      </c>
      <c r="R200" s="4">
        <v>0</v>
      </c>
      <c r="S200" s="4">
        <v>586775</v>
      </c>
      <c r="T200" s="4">
        <v>106612</v>
      </c>
      <c r="U200" s="4">
        <v>117054</v>
      </c>
      <c r="V200" s="4">
        <v>0</v>
      </c>
      <c r="W200" s="4">
        <v>49111</v>
      </c>
      <c r="X200" s="4">
        <v>6202</v>
      </c>
      <c r="Y200" s="4">
        <v>865754</v>
      </c>
      <c r="Z200" s="4">
        <v>39904</v>
      </c>
      <c r="AA200" s="4">
        <v>825850</v>
      </c>
      <c r="AB200" s="4">
        <v>491304</v>
      </c>
      <c r="AC200" s="4">
        <v>334546</v>
      </c>
    </row>
    <row r="201" spans="1:29" x14ac:dyDescent="0.25">
      <c r="A201" s="1" t="s">
        <v>176</v>
      </c>
      <c r="B201" s="1" t="s">
        <v>738</v>
      </c>
      <c r="C201" s="1" t="s">
        <v>210</v>
      </c>
      <c r="D201" s="1" t="s">
        <v>606</v>
      </c>
      <c r="E201" s="2">
        <v>328.98</v>
      </c>
      <c r="F201" s="3">
        <v>3136.4</v>
      </c>
      <c r="G201" s="2">
        <v>3465.38</v>
      </c>
      <c r="H201" s="2">
        <v>0</v>
      </c>
      <c r="I201" s="4">
        <v>73</v>
      </c>
      <c r="J201" s="3">
        <v>0</v>
      </c>
      <c r="K201" s="4">
        <v>3209</v>
      </c>
      <c r="L201" s="2">
        <v>300.85000000000002</v>
      </c>
      <c r="M201" s="2">
        <v>57.38</v>
      </c>
      <c r="N201" s="2">
        <v>63</v>
      </c>
      <c r="O201" s="2">
        <v>25.18</v>
      </c>
      <c r="P201" s="2">
        <v>3.18</v>
      </c>
      <c r="Q201" s="4">
        <v>1042560</v>
      </c>
      <c r="R201" s="4">
        <v>0</v>
      </c>
      <c r="S201" s="4">
        <v>1042560</v>
      </c>
      <c r="T201" s="4">
        <v>184132</v>
      </c>
      <c r="U201" s="4">
        <v>202167</v>
      </c>
      <c r="V201" s="4">
        <v>0</v>
      </c>
      <c r="W201" s="4">
        <v>87258</v>
      </c>
      <c r="X201" s="4">
        <v>11020</v>
      </c>
      <c r="Y201" s="4">
        <v>1527137</v>
      </c>
      <c r="Z201" s="4">
        <v>95234</v>
      </c>
      <c r="AA201" s="4">
        <v>1431903</v>
      </c>
      <c r="AB201" s="4">
        <v>848597</v>
      </c>
      <c r="AC201" s="4">
        <v>583306</v>
      </c>
    </row>
    <row r="202" spans="1:29" x14ac:dyDescent="0.25">
      <c r="A202" s="1" t="s">
        <v>176</v>
      </c>
      <c r="B202" s="1" t="s">
        <v>738</v>
      </c>
      <c r="C202" s="1" t="s">
        <v>211</v>
      </c>
      <c r="D202" s="1" t="s">
        <v>607</v>
      </c>
      <c r="E202" s="2">
        <v>52.04</v>
      </c>
      <c r="F202" s="3">
        <v>626.29999999999995</v>
      </c>
      <c r="G202" s="2">
        <v>678.34</v>
      </c>
      <c r="H202" s="2">
        <v>0</v>
      </c>
      <c r="I202" s="4">
        <v>9</v>
      </c>
      <c r="J202" s="3">
        <v>0</v>
      </c>
      <c r="K202" s="4">
        <v>635</v>
      </c>
      <c r="L202" s="2">
        <v>300.85000000000002</v>
      </c>
      <c r="M202" s="2">
        <v>57.38</v>
      </c>
      <c r="N202" s="2">
        <v>63</v>
      </c>
      <c r="O202" s="2">
        <v>25.18</v>
      </c>
      <c r="P202" s="2">
        <v>3.18</v>
      </c>
      <c r="Q202" s="4">
        <v>204079</v>
      </c>
      <c r="R202" s="4">
        <v>0</v>
      </c>
      <c r="S202" s="4">
        <v>204079</v>
      </c>
      <c r="T202" s="4">
        <v>36436</v>
      </c>
      <c r="U202" s="4">
        <v>40005</v>
      </c>
      <c r="V202" s="4">
        <v>0</v>
      </c>
      <c r="W202" s="4">
        <v>17081</v>
      </c>
      <c r="X202" s="4">
        <v>2157</v>
      </c>
      <c r="Y202" s="4">
        <v>299758</v>
      </c>
      <c r="Z202" s="4">
        <v>31557</v>
      </c>
      <c r="AA202" s="4">
        <v>268201</v>
      </c>
      <c r="AB202" s="4">
        <v>153196</v>
      </c>
      <c r="AC202" s="4">
        <v>115005</v>
      </c>
    </row>
    <row r="203" spans="1:29" x14ac:dyDescent="0.25">
      <c r="A203" s="1" t="s">
        <v>176</v>
      </c>
      <c r="B203" s="1" t="s">
        <v>738</v>
      </c>
      <c r="C203" s="1" t="s">
        <v>213</v>
      </c>
      <c r="D203" s="1" t="s">
        <v>214</v>
      </c>
      <c r="E203" s="2">
        <v>113.86</v>
      </c>
      <c r="F203" s="3">
        <v>1063.4000000000001</v>
      </c>
      <c r="G203" s="2">
        <v>1177.26</v>
      </c>
      <c r="H203" s="2">
        <v>0</v>
      </c>
      <c r="I203" s="4">
        <v>18</v>
      </c>
      <c r="J203" s="3">
        <v>0</v>
      </c>
      <c r="K203" s="4">
        <v>1081</v>
      </c>
      <c r="L203" s="2">
        <v>300.85000000000002</v>
      </c>
      <c r="M203" s="2">
        <v>57.38</v>
      </c>
      <c r="N203" s="2">
        <v>63</v>
      </c>
      <c r="O203" s="2">
        <v>25.18</v>
      </c>
      <c r="P203" s="2">
        <v>3.18</v>
      </c>
      <c r="Q203" s="4">
        <v>354179</v>
      </c>
      <c r="R203" s="4">
        <v>0</v>
      </c>
      <c r="S203" s="4">
        <v>354179</v>
      </c>
      <c r="T203" s="4">
        <v>62028</v>
      </c>
      <c r="U203" s="4">
        <v>68103</v>
      </c>
      <c r="V203" s="4">
        <v>0</v>
      </c>
      <c r="W203" s="4">
        <v>29643</v>
      </c>
      <c r="X203" s="4">
        <v>3744</v>
      </c>
      <c r="Y203" s="4">
        <v>517697</v>
      </c>
      <c r="Z203" s="4">
        <v>44572</v>
      </c>
      <c r="AA203" s="4">
        <v>473125</v>
      </c>
      <c r="AB203" s="4">
        <v>276066</v>
      </c>
      <c r="AC203" s="4">
        <v>197059</v>
      </c>
    </row>
    <row r="204" spans="1:29" x14ac:dyDescent="0.25">
      <c r="A204" s="1" t="s">
        <v>176</v>
      </c>
      <c r="B204" s="1" t="s">
        <v>738</v>
      </c>
      <c r="C204" s="1" t="s">
        <v>212</v>
      </c>
      <c r="D204" s="1" t="s">
        <v>608</v>
      </c>
      <c r="E204" s="2">
        <v>92.32</v>
      </c>
      <c r="F204" s="3">
        <v>694.9</v>
      </c>
      <c r="G204" s="2">
        <v>787.22</v>
      </c>
      <c r="H204" s="2">
        <v>0</v>
      </c>
      <c r="I204" s="4">
        <v>2</v>
      </c>
      <c r="J204" s="3">
        <v>0</v>
      </c>
      <c r="K204" s="4">
        <v>697</v>
      </c>
      <c r="L204" s="2">
        <v>300.85000000000002</v>
      </c>
      <c r="M204" s="2">
        <v>57.38</v>
      </c>
      <c r="N204" s="2">
        <v>63</v>
      </c>
      <c r="O204" s="2">
        <v>25.18</v>
      </c>
      <c r="P204" s="2">
        <v>3.18</v>
      </c>
      <c r="Q204" s="4">
        <v>236835</v>
      </c>
      <c r="R204" s="4">
        <v>0</v>
      </c>
      <c r="S204" s="4">
        <v>236835</v>
      </c>
      <c r="T204" s="4">
        <v>39994</v>
      </c>
      <c r="U204" s="4">
        <v>43911</v>
      </c>
      <c r="V204" s="4">
        <v>0</v>
      </c>
      <c r="W204" s="4">
        <v>19822</v>
      </c>
      <c r="X204" s="4">
        <v>2503</v>
      </c>
      <c r="Y204" s="4">
        <v>343065</v>
      </c>
      <c r="Z204" s="4">
        <v>32669</v>
      </c>
      <c r="AA204" s="4">
        <v>310396</v>
      </c>
      <c r="AB204" s="4">
        <v>181738</v>
      </c>
      <c r="AC204" s="4">
        <v>128658</v>
      </c>
    </row>
    <row r="205" spans="1:29" x14ac:dyDescent="0.25">
      <c r="A205" s="1" t="s">
        <v>176</v>
      </c>
      <c r="B205" s="1" t="s">
        <v>738</v>
      </c>
      <c r="C205" s="1" t="s">
        <v>215</v>
      </c>
      <c r="D205" s="1" t="s">
        <v>609</v>
      </c>
      <c r="E205" s="2">
        <v>240.81</v>
      </c>
      <c r="F205" s="3">
        <v>2187</v>
      </c>
      <c r="G205" s="2">
        <v>2427.81</v>
      </c>
      <c r="H205" s="2">
        <v>0</v>
      </c>
      <c r="I205" s="4">
        <v>597</v>
      </c>
      <c r="J205" s="3">
        <v>3.5</v>
      </c>
      <c r="K205" s="4">
        <v>2781</v>
      </c>
      <c r="L205" s="2">
        <v>300.85000000000002</v>
      </c>
      <c r="M205" s="2">
        <v>57.38</v>
      </c>
      <c r="N205" s="2">
        <v>63</v>
      </c>
      <c r="O205" s="2">
        <v>25.18</v>
      </c>
      <c r="P205" s="2">
        <v>3.18</v>
      </c>
      <c r="Q205" s="4">
        <v>730407</v>
      </c>
      <c r="R205" s="4">
        <v>0</v>
      </c>
      <c r="S205" s="4">
        <v>730407</v>
      </c>
      <c r="T205" s="4">
        <v>159574</v>
      </c>
      <c r="U205" s="4">
        <v>175203</v>
      </c>
      <c r="V205" s="4">
        <v>0</v>
      </c>
      <c r="W205" s="4">
        <v>61132</v>
      </c>
      <c r="X205" s="4">
        <v>7720</v>
      </c>
      <c r="Y205" s="4">
        <v>1134036</v>
      </c>
      <c r="Z205" s="4">
        <v>94924</v>
      </c>
      <c r="AA205" s="4">
        <v>1039112</v>
      </c>
      <c r="AB205" s="4">
        <v>566314</v>
      </c>
      <c r="AC205" s="4">
        <v>472798</v>
      </c>
    </row>
    <row r="206" spans="1:29" x14ac:dyDescent="0.25">
      <c r="A206" s="1" t="s">
        <v>176</v>
      </c>
      <c r="B206" s="1" t="s">
        <v>738</v>
      </c>
      <c r="C206" s="1" t="s">
        <v>216</v>
      </c>
      <c r="D206" s="1" t="s">
        <v>610</v>
      </c>
      <c r="E206" s="2">
        <v>208.66</v>
      </c>
      <c r="F206" s="3">
        <v>1811.9</v>
      </c>
      <c r="G206" s="2">
        <v>2020.56</v>
      </c>
      <c r="H206" s="2">
        <v>0</v>
      </c>
      <c r="I206" s="4">
        <v>106</v>
      </c>
      <c r="J206" s="3">
        <v>7.5</v>
      </c>
      <c r="K206" s="4">
        <v>1910</v>
      </c>
      <c r="L206" s="2">
        <v>300.85000000000002</v>
      </c>
      <c r="M206" s="2">
        <v>57.38</v>
      </c>
      <c r="N206" s="2">
        <v>63</v>
      </c>
      <c r="O206" s="2">
        <v>25.18</v>
      </c>
      <c r="P206" s="2">
        <v>3.18</v>
      </c>
      <c r="Q206" s="4">
        <v>607885</v>
      </c>
      <c r="R206" s="4">
        <v>0</v>
      </c>
      <c r="S206" s="4">
        <v>607885</v>
      </c>
      <c r="T206" s="4">
        <v>109596</v>
      </c>
      <c r="U206" s="4">
        <v>120330</v>
      </c>
      <c r="V206" s="4">
        <v>0</v>
      </c>
      <c r="W206" s="4">
        <v>50878</v>
      </c>
      <c r="X206" s="4">
        <v>6425</v>
      </c>
      <c r="Y206" s="4">
        <v>895114</v>
      </c>
      <c r="Z206" s="4">
        <v>80425</v>
      </c>
      <c r="AA206" s="4">
        <v>814689</v>
      </c>
      <c r="AB206" s="4">
        <v>469895</v>
      </c>
      <c r="AC206" s="4">
        <v>344794</v>
      </c>
    </row>
    <row r="207" spans="1:29" x14ac:dyDescent="0.25">
      <c r="A207" s="1" t="s">
        <v>176</v>
      </c>
      <c r="B207" s="1" t="s">
        <v>738</v>
      </c>
      <c r="C207" s="1" t="s">
        <v>217</v>
      </c>
      <c r="D207" s="1" t="s">
        <v>611</v>
      </c>
      <c r="E207" s="2">
        <v>94.35</v>
      </c>
      <c r="F207" s="3">
        <v>669</v>
      </c>
      <c r="G207" s="2">
        <v>763.35</v>
      </c>
      <c r="H207" s="2">
        <v>0</v>
      </c>
      <c r="I207" s="4">
        <v>3</v>
      </c>
      <c r="J207" s="3">
        <v>0</v>
      </c>
      <c r="K207" s="4">
        <v>672</v>
      </c>
      <c r="L207" s="2">
        <v>300.85000000000002</v>
      </c>
      <c r="M207" s="2">
        <v>57.38</v>
      </c>
      <c r="N207" s="2">
        <v>63</v>
      </c>
      <c r="O207" s="2">
        <v>25.18</v>
      </c>
      <c r="P207" s="2">
        <v>3.18</v>
      </c>
      <c r="Q207" s="4">
        <v>229654</v>
      </c>
      <c r="R207" s="4">
        <v>0</v>
      </c>
      <c r="S207" s="4">
        <v>229654</v>
      </c>
      <c r="T207" s="4">
        <v>38559</v>
      </c>
      <c r="U207" s="4">
        <v>42336</v>
      </c>
      <c r="V207" s="4">
        <v>0</v>
      </c>
      <c r="W207" s="4">
        <v>19221</v>
      </c>
      <c r="X207" s="4">
        <v>2427</v>
      </c>
      <c r="Y207" s="4">
        <v>332197</v>
      </c>
      <c r="Z207" s="4">
        <v>30464</v>
      </c>
      <c r="AA207" s="4">
        <v>301733</v>
      </c>
      <c r="AB207" s="4">
        <v>177441</v>
      </c>
      <c r="AC207" s="4">
        <v>124292</v>
      </c>
    </row>
    <row r="208" spans="1:29" x14ac:dyDescent="0.25">
      <c r="A208" s="1" t="s">
        <v>176</v>
      </c>
      <c r="B208" s="1" t="s">
        <v>738</v>
      </c>
      <c r="C208" s="1" t="s">
        <v>218</v>
      </c>
      <c r="D208" s="1" t="s">
        <v>612</v>
      </c>
      <c r="E208" s="2">
        <v>79.069999999999993</v>
      </c>
      <c r="F208" s="3">
        <v>1004.9</v>
      </c>
      <c r="G208" s="2">
        <v>1083.97</v>
      </c>
      <c r="H208" s="2">
        <v>0</v>
      </c>
      <c r="I208" s="4">
        <v>10</v>
      </c>
      <c r="J208" s="3">
        <v>0</v>
      </c>
      <c r="K208" s="4">
        <v>1015</v>
      </c>
      <c r="L208" s="2">
        <v>300.85000000000002</v>
      </c>
      <c r="M208" s="2">
        <v>57.38</v>
      </c>
      <c r="N208" s="2">
        <v>63</v>
      </c>
      <c r="O208" s="2">
        <v>25.18</v>
      </c>
      <c r="P208" s="2">
        <v>3.18</v>
      </c>
      <c r="Q208" s="4">
        <v>326112</v>
      </c>
      <c r="R208" s="4">
        <v>3917</v>
      </c>
      <c r="S208" s="4">
        <v>330029</v>
      </c>
      <c r="T208" s="4">
        <v>58241</v>
      </c>
      <c r="U208" s="4">
        <v>63945</v>
      </c>
      <c r="V208" s="4">
        <v>0</v>
      </c>
      <c r="W208" s="4">
        <v>27477</v>
      </c>
      <c r="X208" s="4">
        <v>3481</v>
      </c>
      <c r="Y208" s="4">
        <v>483173</v>
      </c>
      <c r="Z208" s="4">
        <v>47283</v>
      </c>
      <c r="AA208" s="4">
        <v>435890</v>
      </c>
      <c r="AB208" s="4">
        <v>248164</v>
      </c>
      <c r="AC208" s="4">
        <v>187726</v>
      </c>
    </row>
    <row r="209" spans="1:29" x14ac:dyDescent="0.25">
      <c r="A209" s="1" t="s">
        <v>176</v>
      </c>
      <c r="B209" s="1" t="s">
        <v>738</v>
      </c>
      <c r="C209" s="1" t="s">
        <v>219</v>
      </c>
      <c r="D209" s="1" t="s">
        <v>613</v>
      </c>
      <c r="E209" s="2">
        <v>142.03</v>
      </c>
      <c r="F209" s="3">
        <v>1140.5999999999999</v>
      </c>
      <c r="G209" s="2">
        <v>1282.6300000000001</v>
      </c>
      <c r="H209" s="2">
        <v>0</v>
      </c>
      <c r="I209" s="4">
        <v>52</v>
      </c>
      <c r="J209" s="3">
        <v>0.1</v>
      </c>
      <c r="K209" s="4">
        <v>1193</v>
      </c>
      <c r="L209" s="2">
        <v>300.85000000000002</v>
      </c>
      <c r="M209" s="2">
        <v>57.38</v>
      </c>
      <c r="N209" s="2">
        <v>63</v>
      </c>
      <c r="O209" s="2">
        <v>25.18</v>
      </c>
      <c r="P209" s="2">
        <v>3.18</v>
      </c>
      <c r="Q209" s="4">
        <v>385879</v>
      </c>
      <c r="R209" s="4">
        <v>0</v>
      </c>
      <c r="S209" s="4">
        <v>385879</v>
      </c>
      <c r="T209" s="4">
        <v>68454</v>
      </c>
      <c r="U209" s="4">
        <v>75159</v>
      </c>
      <c r="V209" s="4">
        <v>0</v>
      </c>
      <c r="W209" s="4">
        <v>32297</v>
      </c>
      <c r="X209" s="4">
        <v>4079</v>
      </c>
      <c r="Y209" s="4">
        <v>565868</v>
      </c>
      <c r="Z209" s="4">
        <v>66136</v>
      </c>
      <c r="AA209" s="4">
        <v>499732</v>
      </c>
      <c r="AB209" s="4">
        <v>283202</v>
      </c>
      <c r="AC209" s="4">
        <v>216530</v>
      </c>
    </row>
    <row r="210" spans="1:29" x14ac:dyDescent="0.25">
      <c r="A210" s="1" t="s">
        <v>176</v>
      </c>
      <c r="B210" s="1" t="s">
        <v>738</v>
      </c>
      <c r="C210" s="1" t="s">
        <v>220</v>
      </c>
      <c r="D210" s="1" t="s">
        <v>614</v>
      </c>
      <c r="E210" s="2">
        <v>863.14</v>
      </c>
      <c r="F210" s="3">
        <v>6992.2</v>
      </c>
      <c r="G210" s="2">
        <v>7855.34</v>
      </c>
      <c r="H210" s="2">
        <v>0</v>
      </c>
      <c r="I210" s="4">
        <v>287</v>
      </c>
      <c r="J210" s="3">
        <v>0</v>
      </c>
      <c r="K210" s="4">
        <v>7279</v>
      </c>
      <c r="L210" s="2">
        <v>300.85000000000002</v>
      </c>
      <c r="M210" s="2">
        <v>57.38</v>
      </c>
      <c r="N210" s="2">
        <v>63</v>
      </c>
      <c r="O210" s="2">
        <v>25.18</v>
      </c>
      <c r="P210" s="2">
        <v>3.18</v>
      </c>
      <c r="Q210" s="4">
        <v>2363279</v>
      </c>
      <c r="R210" s="4">
        <v>0</v>
      </c>
      <c r="S210" s="4">
        <v>2363279</v>
      </c>
      <c r="T210" s="4">
        <v>417669</v>
      </c>
      <c r="U210" s="4">
        <v>458577</v>
      </c>
      <c r="V210" s="4">
        <v>0</v>
      </c>
      <c r="W210" s="4">
        <v>197797</v>
      </c>
      <c r="X210" s="4">
        <v>24980</v>
      </c>
      <c r="Y210" s="4">
        <v>3462302</v>
      </c>
      <c r="Z210" s="4">
        <v>198481</v>
      </c>
      <c r="AA210" s="4">
        <v>3263821</v>
      </c>
      <c r="AB210" s="4">
        <v>1940999</v>
      </c>
      <c r="AC210" s="4">
        <v>1322822</v>
      </c>
    </row>
    <row r="211" spans="1:29" x14ac:dyDescent="0.25">
      <c r="A211" s="1" t="s">
        <v>176</v>
      </c>
      <c r="B211" s="1" t="s">
        <v>738</v>
      </c>
      <c r="C211" s="1" t="s">
        <v>221</v>
      </c>
      <c r="D211" s="1" t="s">
        <v>615</v>
      </c>
      <c r="E211" s="2">
        <v>70.760000000000005</v>
      </c>
      <c r="F211" s="3">
        <v>533.79999999999995</v>
      </c>
      <c r="G211" s="2">
        <v>604.55999999999995</v>
      </c>
      <c r="H211" s="2">
        <v>0</v>
      </c>
      <c r="I211" s="4">
        <v>0</v>
      </c>
      <c r="J211" s="3">
        <v>0</v>
      </c>
      <c r="K211" s="4">
        <v>534</v>
      </c>
      <c r="L211" s="2">
        <v>300.85000000000002</v>
      </c>
      <c r="M211" s="2">
        <v>57.38</v>
      </c>
      <c r="N211" s="2">
        <v>63</v>
      </c>
      <c r="O211" s="2">
        <v>25.18</v>
      </c>
      <c r="P211" s="2">
        <v>3.18</v>
      </c>
      <c r="Q211" s="4">
        <v>181882</v>
      </c>
      <c r="R211" s="4">
        <v>6522</v>
      </c>
      <c r="S211" s="4">
        <v>188404</v>
      </c>
      <c r="T211" s="4">
        <v>30641</v>
      </c>
      <c r="U211" s="4">
        <v>33642</v>
      </c>
      <c r="V211" s="4">
        <v>0</v>
      </c>
      <c r="W211" s="4">
        <v>15223</v>
      </c>
      <c r="X211" s="4">
        <v>1923</v>
      </c>
      <c r="Y211" s="4">
        <v>269833</v>
      </c>
      <c r="Z211" s="4">
        <v>26643</v>
      </c>
      <c r="AA211" s="4">
        <v>243190</v>
      </c>
      <c r="AB211" s="4">
        <v>138016</v>
      </c>
      <c r="AC211" s="4">
        <v>105174</v>
      </c>
    </row>
    <row r="212" spans="1:29" x14ac:dyDescent="0.25">
      <c r="A212" s="1" t="s">
        <v>176</v>
      </c>
      <c r="B212" s="1" t="s">
        <v>738</v>
      </c>
      <c r="C212" s="1" t="s">
        <v>222</v>
      </c>
      <c r="D212" s="1" t="s">
        <v>616</v>
      </c>
      <c r="E212" s="2">
        <v>62.09</v>
      </c>
      <c r="F212" s="3">
        <v>323.60000000000002</v>
      </c>
      <c r="G212" s="2">
        <v>385.69</v>
      </c>
      <c r="H212" s="2">
        <v>0</v>
      </c>
      <c r="I212" s="4">
        <v>12</v>
      </c>
      <c r="J212" s="3">
        <v>0</v>
      </c>
      <c r="K212" s="4">
        <v>336</v>
      </c>
      <c r="L212" s="2">
        <v>300.85000000000002</v>
      </c>
      <c r="M212" s="2">
        <v>57.38</v>
      </c>
      <c r="N212" s="2">
        <v>63</v>
      </c>
      <c r="O212" s="2">
        <v>25.18</v>
      </c>
      <c r="P212" s="2">
        <v>3.18</v>
      </c>
      <c r="Q212" s="4">
        <v>116035</v>
      </c>
      <c r="R212" s="4">
        <v>2264</v>
      </c>
      <c r="S212" s="4">
        <v>118299</v>
      </c>
      <c r="T212" s="4">
        <v>19280</v>
      </c>
      <c r="U212" s="4">
        <v>21168</v>
      </c>
      <c r="V212" s="4">
        <v>0</v>
      </c>
      <c r="W212" s="4">
        <v>9712</v>
      </c>
      <c r="X212" s="4">
        <v>1226</v>
      </c>
      <c r="Y212" s="4">
        <v>169685</v>
      </c>
      <c r="Z212" s="4">
        <v>20920</v>
      </c>
      <c r="AA212" s="4">
        <v>148765</v>
      </c>
      <c r="AB212" s="4">
        <v>84126</v>
      </c>
      <c r="AC212" s="4">
        <v>64639</v>
      </c>
    </row>
    <row r="213" spans="1:29" x14ac:dyDescent="0.25">
      <c r="A213" s="1" t="s">
        <v>176</v>
      </c>
      <c r="B213" s="1" t="s">
        <v>738</v>
      </c>
      <c r="C213" s="1" t="s">
        <v>223</v>
      </c>
      <c r="D213" s="1" t="s">
        <v>617</v>
      </c>
      <c r="E213" s="2">
        <v>48.32</v>
      </c>
      <c r="F213" s="3">
        <v>403.3</v>
      </c>
      <c r="G213" s="2">
        <v>451.62</v>
      </c>
      <c r="H213" s="2">
        <v>0</v>
      </c>
      <c r="I213" s="4">
        <v>6</v>
      </c>
      <c r="J213" s="3">
        <v>0</v>
      </c>
      <c r="K213" s="4">
        <v>409</v>
      </c>
      <c r="L213" s="2">
        <v>300.85000000000002</v>
      </c>
      <c r="M213" s="2">
        <v>57.38</v>
      </c>
      <c r="N213" s="2">
        <v>63</v>
      </c>
      <c r="O213" s="2">
        <v>25.18</v>
      </c>
      <c r="P213" s="2">
        <v>3.18</v>
      </c>
      <c r="Q213" s="4">
        <v>135870</v>
      </c>
      <c r="R213" s="4">
        <v>0</v>
      </c>
      <c r="S213" s="4">
        <v>135870</v>
      </c>
      <c r="T213" s="4">
        <v>23468</v>
      </c>
      <c r="U213" s="4">
        <v>25767</v>
      </c>
      <c r="V213" s="4">
        <v>0</v>
      </c>
      <c r="W213" s="4">
        <v>11372</v>
      </c>
      <c r="X213" s="4">
        <v>1436</v>
      </c>
      <c r="Y213" s="4">
        <v>197913</v>
      </c>
      <c r="Z213" s="4">
        <v>19730</v>
      </c>
      <c r="AA213" s="4">
        <v>178183</v>
      </c>
      <c r="AB213" s="4">
        <v>103273</v>
      </c>
      <c r="AC213" s="4">
        <v>74910</v>
      </c>
    </row>
    <row r="214" spans="1:29" x14ac:dyDescent="0.25">
      <c r="A214" s="1" t="s">
        <v>176</v>
      </c>
      <c r="B214" s="1" t="s">
        <v>738</v>
      </c>
      <c r="C214" s="1" t="s">
        <v>224</v>
      </c>
      <c r="D214" s="1" t="s">
        <v>618</v>
      </c>
      <c r="E214" s="2">
        <v>367.23</v>
      </c>
      <c r="F214" s="3">
        <v>3438</v>
      </c>
      <c r="G214" s="2">
        <v>3805.23</v>
      </c>
      <c r="H214" s="2">
        <v>0</v>
      </c>
      <c r="I214" s="4">
        <v>431</v>
      </c>
      <c r="J214" s="3">
        <v>1</v>
      </c>
      <c r="K214" s="4">
        <v>3868</v>
      </c>
      <c r="L214" s="2">
        <v>300.85000000000002</v>
      </c>
      <c r="M214" s="2">
        <v>57.38</v>
      </c>
      <c r="N214" s="2">
        <v>63</v>
      </c>
      <c r="O214" s="2">
        <v>25.18</v>
      </c>
      <c r="P214" s="2">
        <v>3.18</v>
      </c>
      <c r="Q214" s="4">
        <v>1144803</v>
      </c>
      <c r="R214" s="4">
        <v>0</v>
      </c>
      <c r="S214" s="4">
        <v>1144803</v>
      </c>
      <c r="T214" s="4">
        <v>221946</v>
      </c>
      <c r="U214" s="4">
        <v>243684</v>
      </c>
      <c r="V214" s="4">
        <v>0</v>
      </c>
      <c r="W214" s="4">
        <v>95816</v>
      </c>
      <c r="X214" s="4">
        <v>12101</v>
      </c>
      <c r="Y214" s="4">
        <v>1718350</v>
      </c>
      <c r="Z214" s="4">
        <v>138380</v>
      </c>
      <c r="AA214" s="4">
        <v>1579970</v>
      </c>
      <c r="AB214" s="4">
        <v>898013</v>
      </c>
      <c r="AC214" s="4">
        <v>681957</v>
      </c>
    </row>
    <row r="215" spans="1:29" x14ac:dyDescent="0.25">
      <c r="A215" s="1" t="s">
        <v>176</v>
      </c>
      <c r="B215" s="1" t="s">
        <v>738</v>
      </c>
      <c r="C215" s="1" t="s">
        <v>225</v>
      </c>
      <c r="D215" s="1" t="s">
        <v>619</v>
      </c>
      <c r="E215" s="2">
        <v>49.33</v>
      </c>
      <c r="F215" s="3">
        <v>754.3</v>
      </c>
      <c r="G215" s="2">
        <v>803.63</v>
      </c>
      <c r="H215" s="2">
        <v>0</v>
      </c>
      <c r="I215" s="4">
        <v>33</v>
      </c>
      <c r="J215" s="3">
        <v>0</v>
      </c>
      <c r="K215" s="4">
        <v>787</v>
      </c>
      <c r="L215" s="2">
        <v>300.85000000000002</v>
      </c>
      <c r="M215" s="2">
        <v>57.38</v>
      </c>
      <c r="N215" s="2">
        <v>63</v>
      </c>
      <c r="O215" s="2">
        <v>25.18</v>
      </c>
      <c r="P215" s="2">
        <v>3.18</v>
      </c>
      <c r="Q215" s="4">
        <v>241772</v>
      </c>
      <c r="R215" s="4">
        <v>0</v>
      </c>
      <c r="S215" s="4">
        <v>241772</v>
      </c>
      <c r="T215" s="4">
        <v>45158</v>
      </c>
      <c r="U215" s="4">
        <v>49581</v>
      </c>
      <c r="V215" s="4">
        <v>0</v>
      </c>
      <c r="W215" s="4">
        <v>20235</v>
      </c>
      <c r="X215" s="4">
        <v>2556</v>
      </c>
      <c r="Y215" s="4">
        <v>359302</v>
      </c>
      <c r="Z215" s="4">
        <v>22227</v>
      </c>
      <c r="AA215" s="4">
        <v>337075</v>
      </c>
      <c r="AB215" s="4">
        <v>196650</v>
      </c>
      <c r="AC215" s="4">
        <v>140425</v>
      </c>
    </row>
    <row r="216" spans="1:29" x14ac:dyDescent="0.25">
      <c r="A216" s="1" t="s">
        <v>176</v>
      </c>
      <c r="B216" s="1" t="s">
        <v>738</v>
      </c>
      <c r="C216" s="1" t="s">
        <v>226</v>
      </c>
      <c r="D216" s="1" t="s">
        <v>620</v>
      </c>
      <c r="E216" s="2">
        <v>1029.04</v>
      </c>
      <c r="F216" s="3">
        <v>11701.4</v>
      </c>
      <c r="G216" s="2">
        <v>12730.44</v>
      </c>
      <c r="H216" s="2">
        <v>0</v>
      </c>
      <c r="I216" s="4">
        <v>1127</v>
      </c>
      <c r="J216" s="3">
        <v>0.4</v>
      </c>
      <c r="K216" s="4">
        <v>12828</v>
      </c>
      <c r="L216" s="2">
        <v>300.85000000000002</v>
      </c>
      <c r="M216" s="2">
        <v>57.38</v>
      </c>
      <c r="N216" s="2">
        <v>63</v>
      </c>
      <c r="O216" s="2">
        <v>25.18</v>
      </c>
      <c r="P216" s="2">
        <v>3.18</v>
      </c>
      <c r="Q216" s="4">
        <v>3829953</v>
      </c>
      <c r="R216" s="4">
        <v>0</v>
      </c>
      <c r="S216" s="4">
        <v>3829953</v>
      </c>
      <c r="T216" s="4">
        <v>736071</v>
      </c>
      <c r="U216" s="4">
        <v>808164</v>
      </c>
      <c r="V216" s="4">
        <v>0</v>
      </c>
      <c r="W216" s="4">
        <v>320552</v>
      </c>
      <c r="X216" s="4">
        <v>40483</v>
      </c>
      <c r="Y216" s="4">
        <v>5735223</v>
      </c>
      <c r="Z216" s="4">
        <v>115205</v>
      </c>
      <c r="AA216" s="4">
        <v>5620018</v>
      </c>
      <c r="AB216" s="4">
        <v>3352057</v>
      </c>
      <c r="AC216" s="4">
        <v>2267961</v>
      </c>
    </row>
    <row r="217" spans="1:29" x14ac:dyDescent="0.25">
      <c r="A217" s="1" t="s">
        <v>176</v>
      </c>
      <c r="B217" s="1" t="s">
        <v>738</v>
      </c>
      <c r="C217" s="1" t="s">
        <v>227</v>
      </c>
      <c r="D217" s="1" t="s">
        <v>621</v>
      </c>
      <c r="E217" s="2">
        <v>151.44999999999999</v>
      </c>
      <c r="F217" s="3">
        <v>953.5</v>
      </c>
      <c r="G217" s="2">
        <v>1104.95</v>
      </c>
      <c r="H217" s="2">
        <v>0</v>
      </c>
      <c r="I217" s="4">
        <v>0</v>
      </c>
      <c r="J217" s="3">
        <v>0</v>
      </c>
      <c r="K217" s="4">
        <v>954</v>
      </c>
      <c r="L217" s="2">
        <v>300.85000000000002</v>
      </c>
      <c r="M217" s="2">
        <v>57.38</v>
      </c>
      <c r="N217" s="2">
        <v>63</v>
      </c>
      <c r="O217" s="2">
        <v>25.18</v>
      </c>
      <c r="P217" s="2">
        <v>3.18</v>
      </c>
      <c r="Q217" s="4">
        <v>332424</v>
      </c>
      <c r="R217" s="4">
        <v>0</v>
      </c>
      <c r="S217" s="4">
        <v>332424</v>
      </c>
      <c r="T217" s="4">
        <v>54741</v>
      </c>
      <c r="U217" s="4">
        <v>60102</v>
      </c>
      <c r="V217" s="4">
        <v>0</v>
      </c>
      <c r="W217" s="4">
        <v>27823</v>
      </c>
      <c r="X217" s="4">
        <v>3514</v>
      </c>
      <c r="Y217" s="4">
        <v>478604</v>
      </c>
      <c r="Z217" s="4">
        <v>43965</v>
      </c>
      <c r="AA217" s="4">
        <v>434639</v>
      </c>
      <c r="AB217" s="4">
        <v>256980</v>
      </c>
      <c r="AC217" s="4">
        <v>177659</v>
      </c>
    </row>
    <row r="218" spans="1:29" x14ac:dyDescent="0.25">
      <c r="A218" s="1" t="s">
        <v>176</v>
      </c>
      <c r="B218" s="1" t="s">
        <v>738</v>
      </c>
      <c r="C218" s="1" t="s">
        <v>228</v>
      </c>
      <c r="D218" s="1" t="s">
        <v>622</v>
      </c>
      <c r="E218" s="2">
        <v>1058.08</v>
      </c>
      <c r="F218" s="3">
        <v>8989.1</v>
      </c>
      <c r="G218" s="2">
        <v>10047.18</v>
      </c>
      <c r="H218" s="2">
        <v>0</v>
      </c>
      <c r="I218" s="4">
        <v>1282</v>
      </c>
      <c r="J218" s="3">
        <v>5.7</v>
      </c>
      <c r="K218" s="4">
        <v>10265</v>
      </c>
      <c r="L218" s="2">
        <v>300.85000000000002</v>
      </c>
      <c r="M218" s="2">
        <v>57.38</v>
      </c>
      <c r="N218" s="2">
        <v>63</v>
      </c>
      <c r="O218" s="2">
        <v>25.18</v>
      </c>
      <c r="P218" s="2">
        <v>3.18</v>
      </c>
      <c r="Q218" s="4">
        <v>3022694</v>
      </c>
      <c r="R218" s="4">
        <v>0</v>
      </c>
      <c r="S218" s="4">
        <v>3022694</v>
      </c>
      <c r="T218" s="4">
        <v>589006</v>
      </c>
      <c r="U218" s="4">
        <v>646695</v>
      </c>
      <c r="V218" s="4">
        <v>0</v>
      </c>
      <c r="W218" s="4">
        <v>252988</v>
      </c>
      <c r="X218" s="4">
        <v>31950</v>
      </c>
      <c r="Y218" s="4">
        <v>4543333</v>
      </c>
      <c r="Z218" s="4">
        <v>390197</v>
      </c>
      <c r="AA218" s="4">
        <v>4153136</v>
      </c>
      <c r="AB218" s="4">
        <v>2346253</v>
      </c>
      <c r="AC218" s="4">
        <v>1806883</v>
      </c>
    </row>
    <row r="219" spans="1:29" x14ac:dyDescent="0.25">
      <c r="A219" s="1" t="s">
        <v>176</v>
      </c>
      <c r="B219" s="1" t="s">
        <v>738</v>
      </c>
      <c r="C219" s="1" t="s">
        <v>229</v>
      </c>
      <c r="D219" s="1" t="s">
        <v>623</v>
      </c>
      <c r="E219" s="2">
        <v>192.75</v>
      </c>
      <c r="F219" s="3">
        <v>1728</v>
      </c>
      <c r="G219" s="2">
        <v>1920.75</v>
      </c>
      <c r="H219" s="2">
        <v>0</v>
      </c>
      <c r="I219" s="4">
        <v>11</v>
      </c>
      <c r="J219" s="3">
        <v>0</v>
      </c>
      <c r="K219" s="4">
        <v>1739</v>
      </c>
      <c r="L219" s="2">
        <v>300.85000000000002</v>
      </c>
      <c r="M219" s="2">
        <v>57.38</v>
      </c>
      <c r="N219" s="2">
        <v>63</v>
      </c>
      <c r="O219" s="2">
        <v>25.18</v>
      </c>
      <c r="P219" s="2">
        <v>3.18</v>
      </c>
      <c r="Q219" s="4">
        <v>577858</v>
      </c>
      <c r="R219" s="4">
        <v>0</v>
      </c>
      <c r="S219" s="4">
        <v>577858</v>
      </c>
      <c r="T219" s="4">
        <v>99784</v>
      </c>
      <c r="U219" s="4">
        <v>109557</v>
      </c>
      <c r="V219" s="4">
        <v>0</v>
      </c>
      <c r="W219" s="4">
        <v>48364</v>
      </c>
      <c r="X219" s="4">
        <v>6108</v>
      </c>
      <c r="Y219" s="4">
        <v>841671</v>
      </c>
      <c r="Z219" s="4">
        <v>70332</v>
      </c>
      <c r="AA219" s="4">
        <v>771339</v>
      </c>
      <c r="AB219" s="4">
        <v>452803</v>
      </c>
      <c r="AC219" s="4">
        <v>318536</v>
      </c>
    </row>
    <row r="220" spans="1:29" x14ac:dyDescent="0.25">
      <c r="A220" s="1" t="s">
        <v>176</v>
      </c>
      <c r="B220" s="1" t="s">
        <v>738</v>
      </c>
      <c r="C220" s="1" t="s">
        <v>230</v>
      </c>
      <c r="D220" s="1" t="s">
        <v>624</v>
      </c>
      <c r="E220" s="2">
        <v>84.72</v>
      </c>
      <c r="F220" s="3">
        <v>980</v>
      </c>
      <c r="G220" s="2">
        <v>1064.72</v>
      </c>
      <c r="H220" s="2">
        <v>0</v>
      </c>
      <c r="I220" s="4">
        <v>44</v>
      </c>
      <c r="J220" s="3">
        <v>0</v>
      </c>
      <c r="K220" s="4">
        <v>1024</v>
      </c>
      <c r="L220" s="2">
        <v>300.85000000000002</v>
      </c>
      <c r="M220" s="2">
        <v>57.38</v>
      </c>
      <c r="N220" s="2">
        <v>63</v>
      </c>
      <c r="O220" s="2">
        <v>25.18</v>
      </c>
      <c r="P220" s="2">
        <v>3.18</v>
      </c>
      <c r="Q220" s="4">
        <v>320321</v>
      </c>
      <c r="R220" s="4">
        <v>0</v>
      </c>
      <c r="S220" s="4">
        <v>320321</v>
      </c>
      <c r="T220" s="4">
        <v>58757</v>
      </c>
      <c r="U220" s="4">
        <v>64512</v>
      </c>
      <c r="V220" s="4">
        <v>0</v>
      </c>
      <c r="W220" s="4">
        <v>26810</v>
      </c>
      <c r="X220" s="4">
        <v>3386</v>
      </c>
      <c r="Y220" s="4">
        <v>473786</v>
      </c>
      <c r="Z220" s="4">
        <v>30067</v>
      </c>
      <c r="AA220" s="4">
        <v>443719</v>
      </c>
      <c r="AB220" s="4">
        <v>259921</v>
      </c>
      <c r="AC220" s="4">
        <v>183798</v>
      </c>
    </row>
    <row r="221" spans="1:29" x14ac:dyDescent="0.25">
      <c r="A221" s="1" t="s">
        <v>231</v>
      </c>
      <c r="B221" s="1" t="s">
        <v>739</v>
      </c>
      <c r="C221" s="1" t="s">
        <v>232</v>
      </c>
      <c r="D221" s="1" t="s">
        <v>625</v>
      </c>
      <c r="E221" s="2">
        <v>80</v>
      </c>
      <c r="F221" s="3">
        <v>577.4</v>
      </c>
      <c r="G221" s="2">
        <v>657.4</v>
      </c>
      <c r="H221" s="2">
        <v>0</v>
      </c>
      <c r="I221" s="4">
        <v>11</v>
      </c>
      <c r="J221" s="3">
        <v>0</v>
      </c>
      <c r="K221" s="4">
        <v>588</v>
      </c>
      <c r="L221" s="2">
        <v>315.49</v>
      </c>
      <c r="M221" s="2">
        <v>57.79</v>
      </c>
      <c r="N221" s="2">
        <v>64.78</v>
      </c>
      <c r="O221" s="2">
        <v>31.74</v>
      </c>
      <c r="P221" s="2">
        <v>3.79</v>
      </c>
      <c r="Q221" s="4">
        <v>207403</v>
      </c>
      <c r="R221" s="4">
        <v>0</v>
      </c>
      <c r="S221" s="4">
        <v>207403</v>
      </c>
      <c r="T221" s="4">
        <v>33981</v>
      </c>
      <c r="U221" s="4">
        <v>38091</v>
      </c>
      <c r="V221" s="4">
        <v>0</v>
      </c>
      <c r="W221" s="4">
        <v>20866</v>
      </c>
      <c r="X221" s="4">
        <v>2492</v>
      </c>
      <c r="Y221" s="4">
        <v>302833</v>
      </c>
      <c r="Z221" s="4">
        <v>26925</v>
      </c>
      <c r="AA221" s="4">
        <v>275908</v>
      </c>
      <c r="AB221" s="4">
        <v>156839</v>
      </c>
      <c r="AC221" s="4">
        <v>119069</v>
      </c>
    </row>
    <row r="222" spans="1:29" x14ac:dyDescent="0.25">
      <c r="A222" s="1" t="s">
        <v>231</v>
      </c>
      <c r="B222" s="1" t="s">
        <v>739</v>
      </c>
      <c r="C222" s="1" t="s">
        <v>233</v>
      </c>
      <c r="D222" s="1" t="s">
        <v>626</v>
      </c>
      <c r="E222" s="2">
        <v>41.48</v>
      </c>
      <c r="F222" s="3">
        <v>274</v>
      </c>
      <c r="G222" s="2">
        <v>315.48</v>
      </c>
      <c r="H222" s="2">
        <v>0</v>
      </c>
      <c r="I222" s="4">
        <v>71</v>
      </c>
      <c r="J222" s="3">
        <v>0</v>
      </c>
      <c r="K222" s="4">
        <v>345</v>
      </c>
      <c r="L222" s="2">
        <v>315.49</v>
      </c>
      <c r="M222" s="2">
        <v>57.79</v>
      </c>
      <c r="N222" s="2">
        <v>64.78</v>
      </c>
      <c r="O222" s="2">
        <v>31.74</v>
      </c>
      <c r="P222" s="2">
        <v>3.79</v>
      </c>
      <c r="Q222" s="4">
        <v>99531</v>
      </c>
      <c r="R222" s="4">
        <v>5796</v>
      </c>
      <c r="S222" s="4">
        <v>105327</v>
      </c>
      <c r="T222" s="4">
        <v>19938</v>
      </c>
      <c r="U222" s="4">
        <v>22349</v>
      </c>
      <c r="V222" s="4">
        <v>0</v>
      </c>
      <c r="W222" s="4">
        <v>10013</v>
      </c>
      <c r="X222" s="4">
        <v>1196</v>
      </c>
      <c r="Y222" s="4">
        <v>158823</v>
      </c>
      <c r="Z222" s="4">
        <v>20681</v>
      </c>
      <c r="AA222" s="4">
        <v>138142</v>
      </c>
      <c r="AB222" s="4">
        <v>67505</v>
      </c>
      <c r="AC222" s="4">
        <v>70637</v>
      </c>
    </row>
    <row r="223" spans="1:29" x14ac:dyDescent="0.25">
      <c r="A223" s="1" t="s">
        <v>231</v>
      </c>
      <c r="B223" s="1" t="s">
        <v>739</v>
      </c>
      <c r="C223" s="1" t="s">
        <v>234</v>
      </c>
      <c r="D223" s="1" t="s">
        <v>627</v>
      </c>
      <c r="E223" s="2">
        <v>71.37</v>
      </c>
      <c r="F223" s="3">
        <v>588.6</v>
      </c>
      <c r="G223" s="2">
        <v>659.97</v>
      </c>
      <c r="H223" s="2">
        <v>0</v>
      </c>
      <c r="I223" s="4">
        <v>577</v>
      </c>
      <c r="J223" s="3">
        <v>8.6</v>
      </c>
      <c r="K223" s="4">
        <v>1157</v>
      </c>
      <c r="L223" s="2">
        <v>315.49</v>
      </c>
      <c r="M223" s="2">
        <v>57.79</v>
      </c>
      <c r="N223" s="2">
        <v>64.78</v>
      </c>
      <c r="O223" s="2">
        <v>31.74</v>
      </c>
      <c r="P223" s="2">
        <v>3.79</v>
      </c>
      <c r="Q223" s="4">
        <v>208214</v>
      </c>
      <c r="R223" s="4">
        <v>0</v>
      </c>
      <c r="S223" s="4">
        <v>208214</v>
      </c>
      <c r="T223" s="4">
        <v>66863</v>
      </c>
      <c r="U223" s="4">
        <v>74950</v>
      </c>
      <c r="V223" s="4">
        <v>0</v>
      </c>
      <c r="W223" s="4">
        <v>20947</v>
      </c>
      <c r="X223" s="4">
        <v>2501</v>
      </c>
      <c r="Y223" s="4">
        <v>373475</v>
      </c>
      <c r="Z223" s="4">
        <v>31059</v>
      </c>
      <c r="AA223" s="4">
        <v>342416</v>
      </c>
      <c r="AB223" s="4">
        <v>153422</v>
      </c>
      <c r="AC223" s="4">
        <v>188994</v>
      </c>
    </row>
    <row r="224" spans="1:29" x14ac:dyDescent="0.25">
      <c r="A224" s="1" t="s">
        <v>231</v>
      </c>
      <c r="B224" s="1" t="s">
        <v>739</v>
      </c>
      <c r="C224" s="1" t="s">
        <v>235</v>
      </c>
      <c r="D224" s="1" t="s">
        <v>628</v>
      </c>
      <c r="E224" s="2">
        <v>89.34</v>
      </c>
      <c r="F224" s="3">
        <v>756.7</v>
      </c>
      <c r="G224" s="2">
        <v>846.04</v>
      </c>
      <c r="H224" s="2">
        <v>0</v>
      </c>
      <c r="I224" s="4">
        <v>118</v>
      </c>
      <c r="J224" s="3">
        <v>0</v>
      </c>
      <c r="K224" s="4">
        <v>875</v>
      </c>
      <c r="L224" s="2">
        <v>315.49</v>
      </c>
      <c r="M224" s="2">
        <v>57.79</v>
      </c>
      <c r="N224" s="2">
        <v>64.78</v>
      </c>
      <c r="O224" s="2">
        <v>31.74</v>
      </c>
      <c r="P224" s="2">
        <v>3.79</v>
      </c>
      <c r="Q224" s="4">
        <v>266917</v>
      </c>
      <c r="R224" s="4">
        <v>0</v>
      </c>
      <c r="S224" s="4">
        <v>266917</v>
      </c>
      <c r="T224" s="4">
        <v>50566</v>
      </c>
      <c r="U224" s="4">
        <v>56683</v>
      </c>
      <c r="V224" s="4">
        <v>0</v>
      </c>
      <c r="W224" s="4">
        <v>26853</v>
      </c>
      <c r="X224" s="4">
        <v>3206</v>
      </c>
      <c r="Y224" s="4">
        <v>404225</v>
      </c>
      <c r="Z224" s="4">
        <v>34843</v>
      </c>
      <c r="AA224" s="4">
        <v>369382</v>
      </c>
      <c r="AB224" s="4">
        <v>201650</v>
      </c>
      <c r="AC224" s="4">
        <v>167732</v>
      </c>
    </row>
    <row r="225" spans="1:29" x14ac:dyDescent="0.25">
      <c r="A225" s="1" t="s">
        <v>231</v>
      </c>
      <c r="B225" s="1" t="s">
        <v>739</v>
      </c>
      <c r="C225" s="1" t="s">
        <v>236</v>
      </c>
      <c r="D225" s="1" t="s">
        <v>629</v>
      </c>
      <c r="E225" s="2">
        <v>41.61</v>
      </c>
      <c r="F225" s="3">
        <v>265.60000000000002</v>
      </c>
      <c r="G225" s="2">
        <v>307.20999999999998</v>
      </c>
      <c r="H225" s="2">
        <v>0</v>
      </c>
      <c r="I225" s="4">
        <v>2</v>
      </c>
      <c r="J225" s="3">
        <v>0</v>
      </c>
      <c r="K225" s="4">
        <v>268</v>
      </c>
      <c r="L225" s="2">
        <v>315.49</v>
      </c>
      <c r="M225" s="2">
        <v>57.79</v>
      </c>
      <c r="N225" s="2">
        <v>64.78</v>
      </c>
      <c r="O225" s="2">
        <v>31.74</v>
      </c>
      <c r="P225" s="2">
        <v>3.79</v>
      </c>
      <c r="Q225" s="4">
        <v>96922</v>
      </c>
      <c r="R225" s="4">
        <v>2759</v>
      </c>
      <c r="S225" s="4">
        <v>99681</v>
      </c>
      <c r="T225" s="4">
        <v>15488</v>
      </c>
      <c r="U225" s="4">
        <v>17361</v>
      </c>
      <c r="V225" s="4">
        <v>0</v>
      </c>
      <c r="W225" s="4">
        <v>9769</v>
      </c>
      <c r="X225" s="4">
        <v>1168</v>
      </c>
      <c r="Y225" s="4">
        <v>143467</v>
      </c>
      <c r="Z225" s="4">
        <v>17747</v>
      </c>
      <c r="AA225" s="4">
        <v>125720</v>
      </c>
      <c r="AB225" s="4">
        <v>68149</v>
      </c>
      <c r="AC225" s="4">
        <v>57571</v>
      </c>
    </row>
    <row r="226" spans="1:29" x14ac:dyDescent="0.25">
      <c r="A226" s="1" t="s">
        <v>231</v>
      </c>
      <c r="B226" s="1" t="s">
        <v>739</v>
      </c>
      <c r="C226" s="1" t="s">
        <v>237</v>
      </c>
      <c r="D226" s="1" t="s">
        <v>630</v>
      </c>
      <c r="E226" s="2">
        <v>141.66</v>
      </c>
      <c r="F226" s="3">
        <v>1027.0999999999999</v>
      </c>
      <c r="G226" s="2">
        <v>1168.76</v>
      </c>
      <c r="H226" s="2">
        <v>0</v>
      </c>
      <c r="I226" s="4">
        <v>0</v>
      </c>
      <c r="J226" s="3">
        <v>0</v>
      </c>
      <c r="K226" s="4">
        <v>1027</v>
      </c>
      <c r="L226" s="2">
        <v>315.49</v>
      </c>
      <c r="M226" s="2">
        <v>57.79</v>
      </c>
      <c r="N226" s="2">
        <v>64.78</v>
      </c>
      <c r="O226" s="2">
        <v>31.74</v>
      </c>
      <c r="P226" s="2">
        <v>3.79</v>
      </c>
      <c r="Q226" s="4">
        <v>368732</v>
      </c>
      <c r="R226" s="4">
        <v>0</v>
      </c>
      <c r="S226" s="4">
        <v>368732</v>
      </c>
      <c r="T226" s="4">
        <v>59350</v>
      </c>
      <c r="U226" s="4">
        <v>66529</v>
      </c>
      <c r="V226" s="4">
        <v>0</v>
      </c>
      <c r="W226" s="4">
        <v>37096</v>
      </c>
      <c r="X226" s="4">
        <v>4430</v>
      </c>
      <c r="Y226" s="4">
        <v>536137</v>
      </c>
      <c r="Z226" s="4">
        <v>53299</v>
      </c>
      <c r="AA226" s="4">
        <v>482838</v>
      </c>
      <c r="AB226" s="4">
        <v>273404</v>
      </c>
      <c r="AC226" s="4">
        <v>209434</v>
      </c>
    </row>
    <row r="227" spans="1:29" x14ac:dyDescent="0.25">
      <c r="A227" s="1" t="s">
        <v>231</v>
      </c>
      <c r="B227" s="1" t="s">
        <v>739</v>
      </c>
      <c r="C227" s="1" t="s">
        <v>238</v>
      </c>
      <c r="D227" s="1" t="s">
        <v>631</v>
      </c>
      <c r="E227" s="2">
        <v>274.89</v>
      </c>
      <c r="F227" s="3">
        <v>2169</v>
      </c>
      <c r="G227" s="2">
        <v>2443.89</v>
      </c>
      <c r="H227" s="2">
        <v>0</v>
      </c>
      <c r="I227" s="4">
        <v>150</v>
      </c>
      <c r="J227" s="3">
        <v>0.3</v>
      </c>
      <c r="K227" s="4">
        <v>2319</v>
      </c>
      <c r="L227" s="2">
        <v>315.49</v>
      </c>
      <c r="M227" s="2">
        <v>57.79</v>
      </c>
      <c r="N227" s="2">
        <v>64.78</v>
      </c>
      <c r="O227" s="2">
        <v>31.74</v>
      </c>
      <c r="P227" s="2">
        <v>3.79</v>
      </c>
      <c r="Q227" s="4">
        <v>771023</v>
      </c>
      <c r="R227" s="4">
        <v>0</v>
      </c>
      <c r="S227" s="4">
        <v>771023</v>
      </c>
      <c r="T227" s="4">
        <v>134015</v>
      </c>
      <c r="U227" s="4">
        <v>150225</v>
      </c>
      <c r="V227" s="4">
        <v>0</v>
      </c>
      <c r="W227" s="4">
        <v>77569</v>
      </c>
      <c r="X227" s="4">
        <v>9262</v>
      </c>
      <c r="Y227" s="4">
        <v>1142094</v>
      </c>
      <c r="Z227" s="4">
        <v>77738</v>
      </c>
      <c r="AA227" s="4">
        <v>1064356</v>
      </c>
      <c r="AB227" s="4">
        <v>605402</v>
      </c>
      <c r="AC227" s="4">
        <v>458954</v>
      </c>
    </row>
    <row r="228" spans="1:29" x14ac:dyDescent="0.25">
      <c r="A228" s="1" t="s">
        <v>231</v>
      </c>
      <c r="B228" s="1" t="s">
        <v>739</v>
      </c>
      <c r="C228" s="1" t="s">
        <v>239</v>
      </c>
      <c r="D228" s="1" t="s">
        <v>632</v>
      </c>
      <c r="E228" s="2">
        <v>42.03</v>
      </c>
      <c r="F228" s="3">
        <v>454</v>
      </c>
      <c r="G228" s="2">
        <v>496.03</v>
      </c>
      <c r="H228" s="2">
        <v>0</v>
      </c>
      <c r="I228" s="4">
        <v>1</v>
      </c>
      <c r="J228" s="3">
        <v>0</v>
      </c>
      <c r="K228" s="4">
        <v>455</v>
      </c>
      <c r="L228" s="2">
        <v>315.49</v>
      </c>
      <c r="M228" s="2">
        <v>57.79</v>
      </c>
      <c r="N228" s="2">
        <v>64.78</v>
      </c>
      <c r="O228" s="2">
        <v>31.74</v>
      </c>
      <c r="P228" s="2">
        <v>3.79</v>
      </c>
      <c r="Q228" s="4">
        <v>156493</v>
      </c>
      <c r="R228" s="4">
        <v>0</v>
      </c>
      <c r="S228" s="4">
        <v>156493</v>
      </c>
      <c r="T228" s="4">
        <v>26294</v>
      </c>
      <c r="U228" s="4">
        <v>29475</v>
      </c>
      <c r="V228" s="4">
        <v>0</v>
      </c>
      <c r="W228" s="4">
        <v>15744</v>
      </c>
      <c r="X228" s="4">
        <v>1880</v>
      </c>
      <c r="Y228" s="4">
        <v>229886</v>
      </c>
      <c r="Z228" s="4">
        <v>25821</v>
      </c>
      <c r="AA228" s="4">
        <v>204065</v>
      </c>
      <c r="AB228" s="4">
        <v>112834</v>
      </c>
      <c r="AC228" s="4">
        <v>91231</v>
      </c>
    </row>
    <row r="229" spans="1:29" x14ac:dyDescent="0.25">
      <c r="A229" s="1" t="s">
        <v>231</v>
      </c>
      <c r="B229" s="1" t="s">
        <v>739</v>
      </c>
      <c r="C229" s="1" t="s">
        <v>240</v>
      </c>
      <c r="D229" s="1" t="s">
        <v>633</v>
      </c>
      <c r="E229" s="2">
        <v>46.81</v>
      </c>
      <c r="F229" s="3">
        <v>418.1</v>
      </c>
      <c r="G229" s="2">
        <v>464.91</v>
      </c>
      <c r="H229" s="2">
        <v>0</v>
      </c>
      <c r="I229" s="4">
        <v>7</v>
      </c>
      <c r="J229" s="3">
        <v>0</v>
      </c>
      <c r="K229" s="4">
        <v>425</v>
      </c>
      <c r="L229" s="2">
        <v>315.49</v>
      </c>
      <c r="M229" s="2">
        <v>57.79</v>
      </c>
      <c r="N229" s="2">
        <v>64.78</v>
      </c>
      <c r="O229" s="2">
        <v>31.74</v>
      </c>
      <c r="P229" s="2">
        <v>3.79</v>
      </c>
      <c r="Q229" s="4">
        <v>146674</v>
      </c>
      <c r="R229" s="4">
        <v>4790</v>
      </c>
      <c r="S229" s="4">
        <v>151464</v>
      </c>
      <c r="T229" s="4">
        <v>24561</v>
      </c>
      <c r="U229" s="4">
        <v>27532</v>
      </c>
      <c r="V229" s="4">
        <v>0</v>
      </c>
      <c r="W229" s="4">
        <v>14756</v>
      </c>
      <c r="X229" s="4">
        <v>1762</v>
      </c>
      <c r="Y229" s="4">
        <v>220075</v>
      </c>
      <c r="Z229" s="4">
        <v>24051</v>
      </c>
      <c r="AA229" s="4">
        <v>196024</v>
      </c>
      <c r="AB229" s="4">
        <v>105905</v>
      </c>
      <c r="AC229" s="4">
        <v>90119</v>
      </c>
    </row>
    <row r="230" spans="1:29" x14ac:dyDescent="0.25">
      <c r="A230" s="1" t="s">
        <v>231</v>
      </c>
      <c r="B230" s="1" t="s">
        <v>739</v>
      </c>
      <c r="C230" s="1" t="s">
        <v>241</v>
      </c>
      <c r="D230" s="1" t="s">
        <v>634</v>
      </c>
      <c r="E230" s="2">
        <v>117.37</v>
      </c>
      <c r="F230" s="3">
        <v>617.5</v>
      </c>
      <c r="G230" s="2">
        <v>734.87</v>
      </c>
      <c r="H230" s="2">
        <v>0</v>
      </c>
      <c r="I230" s="4">
        <v>98</v>
      </c>
      <c r="J230" s="3">
        <v>0</v>
      </c>
      <c r="K230" s="4">
        <v>716</v>
      </c>
      <c r="L230" s="2">
        <v>315.49</v>
      </c>
      <c r="M230" s="2">
        <v>57.79</v>
      </c>
      <c r="N230" s="2">
        <v>64.78</v>
      </c>
      <c r="O230" s="2">
        <v>31.74</v>
      </c>
      <c r="P230" s="2">
        <v>3.79</v>
      </c>
      <c r="Q230" s="4">
        <v>231844</v>
      </c>
      <c r="R230" s="4">
        <v>0</v>
      </c>
      <c r="S230" s="4">
        <v>231844</v>
      </c>
      <c r="T230" s="4">
        <v>41378</v>
      </c>
      <c r="U230" s="4">
        <v>46382</v>
      </c>
      <c r="V230" s="4">
        <v>0</v>
      </c>
      <c r="W230" s="4">
        <v>23325</v>
      </c>
      <c r="X230" s="4">
        <v>2785</v>
      </c>
      <c r="Y230" s="4">
        <v>345714</v>
      </c>
      <c r="Z230" s="4">
        <v>41896</v>
      </c>
      <c r="AA230" s="4">
        <v>303818</v>
      </c>
      <c r="AB230" s="4">
        <v>163522</v>
      </c>
      <c r="AC230" s="4">
        <v>140296</v>
      </c>
    </row>
    <row r="231" spans="1:29" x14ac:dyDescent="0.25">
      <c r="A231" s="1" t="s">
        <v>231</v>
      </c>
      <c r="B231" s="1" t="s">
        <v>739</v>
      </c>
      <c r="C231" s="1" t="s">
        <v>242</v>
      </c>
      <c r="D231" s="1" t="s">
        <v>635</v>
      </c>
      <c r="E231" s="2">
        <v>46.93</v>
      </c>
      <c r="F231" s="3">
        <v>529.1</v>
      </c>
      <c r="G231" s="2">
        <v>576.03</v>
      </c>
      <c r="H231" s="2">
        <v>0</v>
      </c>
      <c r="I231" s="4">
        <v>20</v>
      </c>
      <c r="J231" s="3">
        <v>0</v>
      </c>
      <c r="K231" s="4">
        <v>549</v>
      </c>
      <c r="L231" s="2">
        <v>315.49</v>
      </c>
      <c r="M231" s="2">
        <v>57.79</v>
      </c>
      <c r="N231" s="2">
        <v>64.78</v>
      </c>
      <c r="O231" s="2">
        <v>31.74</v>
      </c>
      <c r="P231" s="2">
        <v>3.79</v>
      </c>
      <c r="Q231" s="4">
        <v>181732</v>
      </c>
      <c r="R231" s="4">
        <v>0</v>
      </c>
      <c r="S231" s="4">
        <v>181732</v>
      </c>
      <c r="T231" s="4">
        <v>31727</v>
      </c>
      <c r="U231" s="4">
        <v>35564</v>
      </c>
      <c r="V231" s="4">
        <v>0</v>
      </c>
      <c r="W231" s="4">
        <v>18283</v>
      </c>
      <c r="X231" s="4">
        <v>2183</v>
      </c>
      <c r="Y231" s="4">
        <v>269489</v>
      </c>
      <c r="Z231" s="4">
        <v>25986</v>
      </c>
      <c r="AA231" s="4">
        <v>243503</v>
      </c>
      <c r="AB231" s="4">
        <v>135031</v>
      </c>
      <c r="AC231" s="4">
        <v>108472</v>
      </c>
    </row>
    <row r="232" spans="1:29" x14ac:dyDescent="0.25">
      <c r="A232" s="1" t="s">
        <v>231</v>
      </c>
      <c r="B232" s="1" t="s">
        <v>739</v>
      </c>
      <c r="C232" s="1" t="s">
        <v>243</v>
      </c>
      <c r="D232" s="1" t="s">
        <v>636</v>
      </c>
      <c r="E232" s="2">
        <v>46.08</v>
      </c>
      <c r="F232" s="3">
        <v>458.7</v>
      </c>
      <c r="G232" s="2">
        <v>504.78</v>
      </c>
      <c r="H232" s="2">
        <v>0</v>
      </c>
      <c r="I232" s="4">
        <v>4</v>
      </c>
      <c r="J232" s="3">
        <v>0</v>
      </c>
      <c r="K232" s="4">
        <v>463</v>
      </c>
      <c r="L232" s="2">
        <v>315.49</v>
      </c>
      <c r="M232" s="2">
        <v>57.79</v>
      </c>
      <c r="N232" s="2">
        <v>64.78</v>
      </c>
      <c r="O232" s="2">
        <v>31.74</v>
      </c>
      <c r="P232" s="2">
        <v>3.79</v>
      </c>
      <c r="Q232" s="4">
        <v>159253</v>
      </c>
      <c r="R232" s="4">
        <v>3972</v>
      </c>
      <c r="S232" s="4">
        <v>163225</v>
      </c>
      <c r="T232" s="4">
        <v>26757</v>
      </c>
      <c r="U232" s="4">
        <v>29993</v>
      </c>
      <c r="V232" s="4">
        <v>0</v>
      </c>
      <c r="W232" s="4">
        <v>16022</v>
      </c>
      <c r="X232" s="4">
        <v>1913</v>
      </c>
      <c r="Y232" s="4">
        <v>237910</v>
      </c>
      <c r="Z232" s="4">
        <v>21764</v>
      </c>
      <c r="AA232" s="4">
        <v>216146</v>
      </c>
      <c r="AB232" s="4">
        <v>119337</v>
      </c>
      <c r="AC232" s="4">
        <v>96809</v>
      </c>
    </row>
    <row r="233" spans="1:29" x14ac:dyDescent="0.25">
      <c r="A233" s="1" t="s">
        <v>231</v>
      </c>
      <c r="B233" s="1" t="s">
        <v>739</v>
      </c>
      <c r="C233" s="1" t="s">
        <v>244</v>
      </c>
      <c r="D233" s="1" t="s">
        <v>637</v>
      </c>
      <c r="E233" s="2">
        <v>59.13</v>
      </c>
      <c r="F233" s="3">
        <v>610.1</v>
      </c>
      <c r="G233" s="2">
        <v>669.23</v>
      </c>
      <c r="H233" s="2">
        <v>0</v>
      </c>
      <c r="I233" s="4">
        <v>17</v>
      </c>
      <c r="J233" s="3">
        <v>0</v>
      </c>
      <c r="K233" s="4">
        <v>627</v>
      </c>
      <c r="L233" s="2">
        <v>315.49</v>
      </c>
      <c r="M233" s="2">
        <v>57.79</v>
      </c>
      <c r="N233" s="2">
        <v>64.78</v>
      </c>
      <c r="O233" s="2">
        <v>31.74</v>
      </c>
      <c r="P233" s="2">
        <v>3.79</v>
      </c>
      <c r="Q233" s="4">
        <v>211135</v>
      </c>
      <c r="R233" s="4">
        <v>0</v>
      </c>
      <c r="S233" s="4">
        <v>211135</v>
      </c>
      <c r="T233" s="4">
        <v>36234</v>
      </c>
      <c r="U233" s="4">
        <v>40617</v>
      </c>
      <c r="V233" s="4">
        <v>0</v>
      </c>
      <c r="W233" s="4">
        <v>21241</v>
      </c>
      <c r="X233" s="4">
        <v>2536</v>
      </c>
      <c r="Y233" s="4">
        <v>311763</v>
      </c>
      <c r="Z233" s="4">
        <v>28228</v>
      </c>
      <c r="AA233" s="4">
        <v>283535</v>
      </c>
      <c r="AB233" s="4">
        <v>158841</v>
      </c>
      <c r="AC233" s="4">
        <v>124694</v>
      </c>
    </row>
    <row r="234" spans="1:29" x14ac:dyDescent="0.25">
      <c r="A234" s="1" t="s">
        <v>231</v>
      </c>
      <c r="B234" s="1" t="s">
        <v>739</v>
      </c>
      <c r="C234" s="1" t="s">
        <v>245</v>
      </c>
      <c r="D234" s="1" t="s">
        <v>638</v>
      </c>
      <c r="E234" s="2">
        <v>312.48</v>
      </c>
      <c r="F234" s="3">
        <v>2208.1</v>
      </c>
      <c r="G234" s="2">
        <v>2520.58</v>
      </c>
      <c r="H234" s="2">
        <v>0</v>
      </c>
      <c r="I234" s="4">
        <v>443</v>
      </c>
      <c r="J234" s="3">
        <v>0.7</v>
      </c>
      <c r="K234" s="4">
        <v>2650</v>
      </c>
      <c r="L234" s="2">
        <v>315.49</v>
      </c>
      <c r="M234" s="2">
        <v>57.79</v>
      </c>
      <c r="N234" s="2">
        <v>64.78</v>
      </c>
      <c r="O234" s="2">
        <v>31.74</v>
      </c>
      <c r="P234" s="2">
        <v>3.79</v>
      </c>
      <c r="Q234" s="4">
        <v>795218</v>
      </c>
      <c r="R234" s="4">
        <v>7379</v>
      </c>
      <c r="S234" s="4">
        <v>802597</v>
      </c>
      <c r="T234" s="4">
        <v>153144</v>
      </c>
      <c r="U234" s="4">
        <v>171667</v>
      </c>
      <c r="V234" s="4">
        <v>0</v>
      </c>
      <c r="W234" s="4">
        <v>80715</v>
      </c>
      <c r="X234" s="4">
        <v>9650</v>
      </c>
      <c r="Y234" s="4">
        <v>1217773</v>
      </c>
      <c r="Z234" s="4">
        <v>105133</v>
      </c>
      <c r="AA234" s="4">
        <v>1112640</v>
      </c>
      <c r="AB234" s="4">
        <v>600254</v>
      </c>
      <c r="AC234" s="4">
        <v>512386</v>
      </c>
    </row>
    <row r="235" spans="1:29" x14ac:dyDescent="0.25">
      <c r="A235" s="1" t="s">
        <v>231</v>
      </c>
      <c r="B235" s="1" t="s">
        <v>739</v>
      </c>
      <c r="C235" s="1" t="s">
        <v>246</v>
      </c>
      <c r="D235" s="1" t="s">
        <v>639</v>
      </c>
      <c r="E235" s="2">
        <v>72.040000000000006</v>
      </c>
      <c r="F235" s="3">
        <v>600.79999999999995</v>
      </c>
      <c r="G235" s="2">
        <v>672.84</v>
      </c>
      <c r="H235" s="2">
        <v>0</v>
      </c>
      <c r="I235" s="4">
        <v>28</v>
      </c>
      <c r="J235" s="3">
        <v>0</v>
      </c>
      <c r="K235" s="4">
        <v>629</v>
      </c>
      <c r="L235" s="2">
        <v>315.49</v>
      </c>
      <c r="M235" s="2">
        <v>57.79</v>
      </c>
      <c r="N235" s="2">
        <v>64.78</v>
      </c>
      <c r="O235" s="2">
        <v>31.74</v>
      </c>
      <c r="P235" s="2">
        <v>3.79</v>
      </c>
      <c r="Q235" s="4">
        <v>212274</v>
      </c>
      <c r="R235" s="4">
        <v>23103</v>
      </c>
      <c r="S235" s="4">
        <v>235377</v>
      </c>
      <c r="T235" s="4">
        <v>36350</v>
      </c>
      <c r="U235" s="4">
        <v>40747</v>
      </c>
      <c r="V235" s="4">
        <v>0</v>
      </c>
      <c r="W235" s="4">
        <v>21356</v>
      </c>
      <c r="X235" s="4">
        <v>2550</v>
      </c>
      <c r="Y235" s="4">
        <v>336380</v>
      </c>
      <c r="Z235" s="4">
        <v>42589</v>
      </c>
      <c r="AA235" s="4">
        <v>293791</v>
      </c>
      <c r="AB235" s="4">
        <v>145490</v>
      </c>
      <c r="AC235" s="4">
        <v>148301</v>
      </c>
    </row>
    <row r="236" spans="1:29" x14ac:dyDescent="0.25">
      <c r="A236" s="1" t="s">
        <v>231</v>
      </c>
      <c r="B236" s="1" t="s">
        <v>739</v>
      </c>
      <c r="C236" s="1" t="s">
        <v>247</v>
      </c>
      <c r="D236" s="1" t="s">
        <v>640</v>
      </c>
      <c r="E236" s="2">
        <v>56.45</v>
      </c>
      <c r="F236" s="3">
        <v>444.1</v>
      </c>
      <c r="G236" s="2">
        <v>500.55</v>
      </c>
      <c r="H236" s="2">
        <v>0</v>
      </c>
      <c r="I236" s="4">
        <v>8</v>
      </c>
      <c r="J236" s="3">
        <v>0</v>
      </c>
      <c r="K236" s="4">
        <v>452</v>
      </c>
      <c r="L236" s="2">
        <v>315.49</v>
      </c>
      <c r="M236" s="2">
        <v>57.79</v>
      </c>
      <c r="N236" s="2">
        <v>64.78</v>
      </c>
      <c r="O236" s="2">
        <v>31.74</v>
      </c>
      <c r="P236" s="2">
        <v>3.79</v>
      </c>
      <c r="Q236" s="4">
        <v>157919</v>
      </c>
      <c r="R236" s="4">
        <v>0</v>
      </c>
      <c r="S236" s="4">
        <v>157919</v>
      </c>
      <c r="T236" s="4">
        <v>26121</v>
      </c>
      <c r="U236" s="4">
        <v>29281</v>
      </c>
      <c r="V236" s="4">
        <v>0</v>
      </c>
      <c r="W236" s="4">
        <v>15887</v>
      </c>
      <c r="X236" s="4">
        <v>1897</v>
      </c>
      <c r="Y236" s="4">
        <v>231105</v>
      </c>
      <c r="Z236" s="4">
        <v>28045</v>
      </c>
      <c r="AA236" s="4">
        <v>203060</v>
      </c>
      <c r="AB236" s="4">
        <v>111873</v>
      </c>
      <c r="AC236" s="4">
        <v>91187</v>
      </c>
    </row>
    <row r="237" spans="1:29" x14ac:dyDescent="0.25">
      <c r="A237" s="1" t="s">
        <v>231</v>
      </c>
      <c r="B237" s="1" t="s">
        <v>739</v>
      </c>
      <c r="C237" s="1" t="s">
        <v>248</v>
      </c>
      <c r="D237" s="1" t="s">
        <v>641</v>
      </c>
      <c r="E237" s="2">
        <v>180.73</v>
      </c>
      <c r="F237" s="3">
        <v>1486.5</v>
      </c>
      <c r="G237" s="2">
        <v>1667.23</v>
      </c>
      <c r="H237" s="2">
        <v>0</v>
      </c>
      <c r="I237" s="4">
        <v>533</v>
      </c>
      <c r="J237" s="3">
        <v>13.8</v>
      </c>
      <c r="K237" s="4">
        <v>2006</v>
      </c>
      <c r="L237" s="2">
        <v>315.49</v>
      </c>
      <c r="M237" s="2">
        <v>57.79</v>
      </c>
      <c r="N237" s="2">
        <v>64.78</v>
      </c>
      <c r="O237" s="2">
        <v>31.74</v>
      </c>
      <c r="P237" s="2">
        <v>3.79</v>
      </c>
      <c r="Q237" s="4">
        <v>525994</v>
      </c>
      <c r="R237" s="4">
        <v>0</v>
      </c>
      <c r="S237" s="4">
        <v>525994</v>
      </c>
      <c r="T237" s="4">
        <v>115927</v>
      </c>
      <c r="U237" s="4">
        <v>129949</v>
      </c>
      <c r="V237" s="4">
        <v>0</v>
      </c>
      <c r="W237" s="4">
        <v>52918</v>
      </c>
      <c r="X237" s="4">
        <v>6319</v>
      </c>
      <c r="Y237" s="4">
        <v>831107</v>
      </c>
      <c r="Z237" s="4">
        <v>71335</v>
      </c>
      <c r="AA237" s="4">
        <v>759772</v>
      </c>
      <c r="AB237" s="4">
        <v>394706</v>
      </c>
      <c r="AC237" s="4">
        <v>365066</v>
      </c>
    </row>
    <row r="238" spans="1:29" x14ac:dyDescent="0.25">
      <c r="A238" s="1" t="s">
        <v>231</v>
      </c>
      <c r="B238" s="1" t="s">
        <v>739</v>
      </c>
      <c r="C238" s="1" t="s">
        <v>44</v>
      </c>
      <c r="D238" s="1" t="s">
        <v>642</v>
      </c>
      <c r="E238" s="2">
        <v>112.33</v>
      </c>
      <c r="F238" s="3">
        <v>994.8</v>
      </c>
      <c r="G238" s="2">
        <v>1107.1300000000001</v>
      </c>
      <c r="H238" s="2">
        <v>0</v>
      </c>
      <c r="I238" s="4">
        <v>21</v>
      </c>
      <c r="J238" s="3">
        <v>0</v>
      </c>
      <c r="K238" s="4">
        <v>1016</v>
      </c>
      <c r="L238" s="2">
        <v>315.49</v>
      </c>
      <c r="M238" s="2">
        <v>57.79</v>
      </c>
      <c r="N238" s="2">
        <v>64.78</v>
      </c>
      <c r="O238" s="2">
        <v>31.74</v>
      </c>
      <c r="P238" s="2">
        <v>3.79</v>
      </c>
      <c r="Q238" s="4">
        <v>349288</v>
      </c>
      <c r="R238" s="4">
        <v>0</v>
      </c>
      <c r="S238" s="4">
        <v>349288</v>
      </c>
      <c r="T238" s="4">
        <v>58715</v>
      </c>
      <c r="U238" s="4">
        <v>65816</v>
      </c>
      <c r="V238" s="4">
        <v>0</v>
      </c>
      <c r="W238" s="4">
        <v>35140</v>
      </c>
      <c r="X238" s="4">
        <v>4196</v>
      </c>
      <c r="Y238" s="4">
        <v>513155</v>
      </c>
      <c r="Z238" s="4">
        <v>58024</v>
      </c>
      <c r="AA238" s="4">
        <v>455131</v>
      </c>
      <c r="AB238" s="4">
        <v>251452</v>
      </c>
      <c r="AC238" s="4">
        <v>203679</v>
      </c>
    </row>
    <row r="239" spans="1:29" x14ac:dyDescent="0.25">
      <c r="A239" s="1" t="s">
        <v>231</v>
      </c>
      <c r="B239" s="1" t="s">
        <v>739</v>
      </c>
      <c r="C239" s="1" t="s">
        <v>249</v>
      </c>
      <c r="D239" s="1" t="s">
        <v>643</v>
      </c>
      <c r="E239" s="2">
        <v>52.66</v>
      </c>
      <c r="F239" s="3">
        <v>319.7</v>
      </c>
      <c r="G239" s="2">
        <v>372.36</v>
      </c>
      <c r="H239" s="2">
        <v>0</v>
      </c>
      <c r="I239" s="4">
        <v>192</v>
      </c>
      <c r="J239" s="3">
        <v>4.7</v>
      </c>
      <c r="K239" s="4">
        <v>507</v>
      </c>
      <c r="L239" s="2">
        <v>315.49</v>
      </c>
      <c r="M239" s="2">
        <v>57.79</v>
      </c>
      <c r="N239" s="2">
        <v>64.78</v>
      </c>
      <c r="O239" s="2">
        <v>31.74</v>
      </c>
      <c r="P239" s="2">
        <v>3.79</v>
      </c>
      <c r="Q239" s="4">
        <v>117476</v>
      </c>
      <c r="R239" s="4">
        <v>14522</v>
      </c>
      <c r="S239" s="4">
        <v>131998</v>
      </c>
      <c r="T239" s="4">
        <v>29300</v>
      </c>
      <c r="U239" s="4">
        <v>32843</v>
      </c>
      <c r="V239" s="4">
        <v>0</v>
      </c>
      <c r="W239" s="4">
        <v>11819</v>
      </c>
      <c r="X239" s="4">
        <v>1411</v>
      </c>
      <c r="Y239" s="4">
        <v>207371</v>
      </c>
      <c r="Z239" s="4">
        <v>24390</v>
      </c>
      <c r="AA239" s="4">
        <v>182981</v>
      </c>
      <c r="AB239" s="4">
        <v>79696</v>
      </c>
      <c r="AC239" s="4">
        <v>103285</v>
      </c>
    </row>
    <row r="240" spans="1:29" x14ac:dyDescent="0.25">
      <c r="A240" s="1" t="s">
        <v>231</v>
      </c>
      <c r="B240" s="1" t="s">
        <v>739</v>
      </c>
      <c r="C240" s="1" t="s">
        <v>250</v>
      </c>
      <c r="D240" s="1" t="s">
        <v>644</v>
      </c>
      <c r="E240" s="2">
        <v>56.68</v>
      </c>
      <c r="F240" s="3">
        <v>388</v>
      </c>
      <c r="G240" s="2">
        <v>444.68</v>
      </c>
      <c r="H240" s="2">
        <v>0</v>
      </c>
      <c r="I240" s="4">
        <v>0</v>
      </c>
      <c r="J240" s="3">
        <v>0</v>
      </c>
      <c r="K240" s="4">
        <v>388</v>
      </c>
      <c r="L240" s="2">
        <v>315.49</v>
      </c>
      <c r="M240" s="2">
        <v>57.79</v>
      </c>
      <c r="N240" s="2">
        <v>64.78</v>
      </c>
      <c r="O240" s="2">
        <v>31.74</v>
      </c>
      <c r="P240" s="2">
        <v>3.79</v>
      </c>
      <c r="Q240" s="4">
        <v>140292</v>
      </c>
      <c r="R240" s="4">
        <v>5103</v>
      </c>
      <c r="S240" s="4">
        <v>145395</v>
      </c>
      <c r="T240" s="4">
        <v>22423</v>
      </c>
      <c r="U240" s="4">
        <v>25135</v>
      </c>
      <c r="V240" s="4">
        <v>0</v>
      </c>
      <c r="W240" s="4">
        <v>14227</v>
      </c>
      <c r="X240" s="4">
        <v>1701</v>
      </c>
      <c r="Y240" s="4">
        <v>208881</v>
      </c>
      <c r="Z240" s="4">
        <v>24876</v>
      </c>
      <c r="AA240" s="4">
        <v>184005</v>
      </c>
      <c r="AB240" s="4">
        <v>99554</v>
      </c>
      <c r="AC240" s="4">
        <v>84451</v>
      </c>
    </row>
    <row r="241" spans="1:29" x14ac:dyDescent="0.25">
      <c r="A241" s="1" t="s">
        <v>231</v>
      </c>
      <c r="B241" s="1" t="s">
        <v>739</v>
      </c>
      <c r="C241" s="1" t="s">
        <v>251</v>
      </c>
      <c r="D241" s="1" t="s">
        <v>645</v>
      </c>
      <c r="E241" s="2">
        <v>106.3</v>
      </c>
      <c r="F241" s="3">
        <v>847.6</v>
      </c>
      <c r="G241" s="2">
        <v>953.9</v>
      </c>
      <c r="H241" s="2">
        <v>0</v>
      </c>
      <c r="I241" s="4">
        <v>380</v>
      </c>
      <c r="J241" s="3">
        <v>0.4</v>
      </c>
      <c r="K241" s="4">
        <v>1227</v>
      </c>
      <c r="L241" s="2">
        <v>315.49</v>
      </c>
      <c r="M241" s="2">
        <v>57.79</v>
      </c>
      <c r="N241" s="2">
        <v>64.78</v>
      </c>
      <c r="O241" s="2">
        <v>31.74</v>
      </c>
      <c r="P241" s="2">
        <v>3.79</v>
      </c>
      <c r="Q241" s="4">
        <v>300946</v>
      </c>
      <c r="R241" s="4">
        <v>0</v>
      </c>
      <c r="S241" s="4">
        <v>300946</v>
      </c>
      <c r="T241" s="4">
        <v>70908</v>
      </c>
      <c r="U241" s="4">
        <v>79485</v>
      </c>
      <c r="V241" s="4">
        <v>0</v>
      </c>
      <c r="W241" s="4">
        <v>30277</v>
      </c>
      <c r="X241" s="4">
        <v>3615</v>
      </c>
      <c r="Y241" s="4">
        <v>485231</v>
      </c>
      <c r="Z241" s="4">
        <v>28717</v>
      </c>
      <c r="AA241" s="4">
        <v>456514</v>
      </c>
      <c r="AB241" s="4">
        <v>237927</v>
      </c>
      <c r="AC241" s="4">
        <v>218587</v>
      </c>
    </row>
    <row r="242" spans="1:29" x14ac:dyDescent="0.25">
      <c r="A242" s="1" t="s">
        <v>231</v>
      </c>
      <c r="B242" s="1" t="s">
        <v>739</v>
      </c>
      <c r="C242" s="1" t="s">
        <v>252</v>
      </c>
      <c r="D242" s="1" t="s">
        <v>646</v>
      </c>
      <c r="E242" s="2">
        <v>37.950000000000003</v>
      </c>
      <c r="F242" s="3">
        <v>249</v>
      </c>
      <c r="G242" s="2">
        <v>286.95</v>
      </c>
      <c r="H242" s="2">
        <v>0</v>
      </c>
      <c r="I242" s="4">
        <v>1</v>
      </c>
      <c r="J242" s="3">
        <v>0</v>
      </c>
      <c r="K242" s="4">
        <v>250</v>
      </c>
      <c r="L242" s="2">
        <v>315.49</v>
      </c>
      <c r="M242" s="2">
        <v>57.79</v>
      </c>
      <c r="N242" s="2">
        <v>64.78</v>
      </c>
      <c r="O242" s="2">
        <v>31.74</v>
      </c>
      <c r="P242" s="2">
        <v>3.79</v>
      </c>
      <c r="Q242" s="4">
        <v>90530</v>
      </c>
      <c r="R242" s="4">
        <v>14429</v>
      </c>
      <c r="S242" s="4">
        <v>104959</v>
      </c>
      <c r="T242" s="4">
        <v>14448</v>
      </c>
      <c r="U242" s="4">
        <v>16195</v>
      </c>
      <c r="V242" s="4">
        <v>0</v>
      </c>
      <c r="W242" s="4">
        <v>9424</v>
      </c>
      <c r="X242" s="4">
        <v>1127</v>
      </c>
      <c r="Y242" s="4">
        <v>146153</v>
      </c>
      <c r="Z242" s="4">
        <v>13977</v>
      </c>
      <c r="AA242" s="4">
        <v>132176</v>
      </c>
      <c r="AB242" s="4">
        <v>66590</v>
      </c>
      <c r="AC242" s="4">
        <v>65586</v>
      </c>
    </row>
    <row r="243" spans="1:29" x14ac:dyDescent="0.25">
      <c r="A243" s="1" t="s">
        <v>231</v>
      </c>
      <c r="B243" s="1" t="s">
        <v>739</v>
      </c>
      <c r="C243" s="1" t="s">
        <v>253</v>
      </c>
      <c r="D243" s="1" t="s">
        <v>647</v>
      </c>
      <c r="E243" s="2">
        <v>206.28</v>
      </c>
      <c r="F243" s="3">
        <v>1422.7</v>
      </c>
      <c r="G243" s="2">
        <v>1628.98</v>
      </c>
      <c r="H243" s="2">
        <v>0</v>
      </c>
      <c r="I243" s="4">
        <v>34</v>
      </c>
      <c r="J243" s="3">
        <v>0</v>
      </c>
      <c r="K243" s="4">
        <v>1457</v>
      </c>
      <c r="L243" s="2">
        <v>315.49</v>
      </c>
      <c r="M243" s="2">
        <v>57.79</v>
      </c>
      <c r="N243" s="2">
        <v>64.78</v>
      </c>
      <c r="O243" s="2">
        <v>31.74</v>
      </c>
      <c r="P243" s="2">
        <v>3.79</v>
      </c>
      <c r="Q243" s="4">
        <v>513927</v>
      </c>
      <c r="R243" s="4">
        <v>0</v>
      </c>
      <c r="S243" s="4">
        <v>513927</v>
      </c>
      <c r="T243" s="4">
        <v>84200</v>
      </c>
      <c r="U243" s="4">
        <v>94384</v>
      </c>
      <c r="V243" s="4">
        <v>0</v>
      </c>
      <c r="W243" s="4">
        <v>51704</v>
      </c>
      <c r="X243" s="4">
        <v>6174</v>
      </c>
      <c r="Y243" s="4">
        <v>750389</v>
      </c>
      <c r="Z243" s="4">
        <v>56471</v>
      </c>
      <c r="AA243" s="4">
        <v>693918</v>
      </c>
      <c r="AB243" s="4">
        <v>398878</v>
      </c>
      <c r="AC243" s="4">
        <v>295040</v>
      </c>
    </row>
    <row r="244" spans="1:29" x14ac:dyDescent="0.25">
      <c r="A244" s="1" t="s">
        <v>231</v>
      </c>
      <c r="B244" s="1" t="s">
        <v>739</v>
      </c>
      <c r="C244" s="1" t="s">
        <v>254</v>
      </c>
      <c r="D244" s="1" t="s">
        <v>648</v>
      </c>
      <c r="E244" s="2">
        <v>160.97</v>
      </c>
      <c r="F244" s="3">
        <v>1072</v>
      </c>
      <c r="G244" s="2">
        <v>1232.97</v>
      </c>
      <c r="H244" s="2">
        <v>0</v>
      </c>
      <c r="I244" s="4">
        <v>159</v>
      </c>
      <c r="J244" s="3">
        <v>3.2</v>
      </c>
      <c r="K244" s="4">
        <v>1228</v>
      </c>
      <c r="L244" s="2">
        <v>315.49</v>
      </c>
      <c r="M244" s="2">
        <v>57.79</v>
      </c>
      <c r="N244" s="2">
        <v>64.78</v>
      </c>
      <c r="O244" s="2">
        <v>31.74</v>
      </c>
      <c r="P244" s="2">
        <v>3.79</v>
      </c>
      <c r="Q244" s="4">
        <v>388990</v>
      </c>
      <c r="R244" s="4">
        <v>0</v>
      </c>
      <c r="S244" s="4">
        <v>388990</v>
      </c>
      <c r="T244" s="4">
        <v>70966</v>
      </c>
      <c r="U244" s="4">
        <v>79550</v>
      </c>
      <c r="V244" s="4">
        <v>0</v>
      </c>
      <c r="W244" s="4">
        <v>39134</v>
      </c>
      <c r="X244" s="4">
        <v>4673</v>
      </c>
      <c r="Y244" s="4">
        <v>583313</v>
      </c>
      <c r="Z244" s="4">
        <v>53257</v>
      </c>
      <c r="AA244" s="4">
        <v>530056</v>
      </c>
      <c r="AB244" s="4">
        <v>291395</v>
      </c>
      <c r="AC244" s="4">
        <v>238661</v>
      </c>
    </row>
    <row r="245" spans="1:29" x14ac:dyDescent="0.25">
      <c r="A245" s="1" t="s">
        <v>231</v>
      </c>
      <c r="B245" s="1" t="s">
        <v>739</v>
      </c>
      <c r="C245" s="1" t="s">
        <v>255</v>
      </c>
      <c r="D245" s="1" t="s">
        <v>649</v>
      </c>
      <c r="E245" s="2">
        <v>66.5</v>
      </c>
      <c r="F245" s="3">
        <v>735.3</v>
      </c>
      <c r="G245" s="2">
        <v>801.8</v>
      </c>
      <c r="H245" s="2">
        <v>0</v>
      </c>
      <c r="I245" s="4">
        <v>14</v>
      </c>
      <c r="J245" s="3">
        <v>0</v>
      </c>
      <c r="K245" s="4">
        <v>749</v>
      </c>
      <c r="L245" s="2">
        <v>315.49</v>
      </c>
      <c r="M245" s="2">
        <v>57.79</v>
      </c>
      <c r="N245" s="2">
        <v>64.78</v>
      </c>
      <c r="O245" s="2">
        <v>31.74</v>
      </c>
      <c r="P245" s="2">
        <v>3.79</v>
      </c>
      <c r="Q245" s="4">
        <v>252960</v>
      </c>
      <c r="R245" s="4">
        <v>2588</v>
      </c>
      <c r="S245" s="4">
        <v>255548</v>
      </c>
      <c r="T245" s="4">
        <v>43285</v>
      </c>
      <c r="U245" s="4">
        <v>48520</v>
      </c>
      <c r="V245" s="4">
        <v>0</v>
      </c>
      <c r="W245" s="4">
        <v>25449</v>
      </c>
      <c r="X245" s="4">
        <v>3039</v>
      </c>
      <c r="Y245" s="4">
        <v>375841</v>
      </c>
      <c r="Z245" s="4">
        <v>43971</v>
      </c>
      <c r="AA245" s="4">
        <v>331870</v>
      </c>
      <c r="AB245" s="4">
        <v>180156</v>
      </c>
      <c r="AC245" s="4">
        <v>151714</v>
      </c>
    </row>
    <row r="246" spans="1:29" x14ac:dyDescent="0.25">
      <c r="A246" s="1" t="s">
        <v>231</v>
      </c>
      <c r="B246" s="1" t="s">
        <v>739</v>
      </c>
      <c r="C246" s="1" t="s">
        <v>256</v>
      </c>
      <c r="D246" s="1" t="s">
        <v>650</v>
      </c>
      <c r="E246" s="2">
        <v>181.19</v>
      </c>
      <c r="F246" s="3">
        <v>1420.6</v>
      </c>
      <c r="G246" s="2">
        <v>1601.79</v>
      </c>
      <c r="H246" s="2">
        <v>0</v>
      </c>
      <c r="I246" s="4">
        <v>680</v>
      </c>
      <c r="J246" s="3">
        <v>0</v>
      </c>
      <c r="K246" s="4">
        <v>2101</v>
      </c>
      <c r="L246" s="2">
        <v>315.49</v>
      </c>
      <c r="M246" s="2">
        <v>57.79</v>
      </c>
      <c r="N246" s="2">
        <v>64.78</v>
      </c>
      <c r="O246" s="2">
        <v>31.74</v>
      </c>
      <c r="P246" s="2">
        <v>3.79</v>
      </c>
      <c r="Q246" s="4">
        <v>505349</v>
      </c>
      <c r="R246" s="4">
        <v>0</v>
      </c>
      <c r="S246" s="4">
        <v>505349</v>
      </c>
      <c r="T246" s="4">
        <v>121417</v>
      </c>
      <c r="U246" s="4">
        <v>136103</v>
      </c>
      <c r="V246" s="4">
        <v>0</v>
      </c>
      <c r="W246" s="4">
        <v>50841</v>
      </c>
      <c r="X246" s="4">
        <v>6071</v>
      </c>
      <c r="Y246" s="4">
        <v>819781</v>
      </c>
      <c r="Z246" s="4">
        <v>48328</v>
      </c>
      <c r="AA246" s="4">
        <v>771453</v>
      </c>
      <c r="AB246" s="4">
        <v>399421</v>
      </c>
      <c r="AC246" s="4">
        <v>372032</v>
      </c>
    </row>
    <row r="247" spans="1:29" x14ac:dyDescent="0.25">
      <c r="A247" s="1" t="s">
        <v>231</v>
      </c>
      <c r="B247" s="1" t="s">
        <v>739</v>
      </c>
      <c r="C247" s="1" t="s">
        <v>257</v>
      </c>
      <c r="D247" s="1" t="s">
        <v>651</v>
      </c>
      <c r="E247" s="2">
        <v>2381.4699999999998</v>
      </c>
      <c r="F247" s="3">
        <v>15016.9</v>
      </c>
      <c r="G247" s="2">
        <v>17398.37</v>
      </c>
      <c r="H247" s="2">
        <v>0</v>
      </c>
      <c r="I247" s="4">
        <v>1394</v>
      </c>
      <c r="J247" s="3">
        <v>11.9</v>
      </c>
      <c r="K247" s="4">
        <v>16399</v>
      </c>
      <c r="L247" s="2">
        <v>315.49</v>
      </c>
      <c r="M247" s="2">
        <v>57.79</v>
      </c>
      <c r="N247" s="2">
        <v>64.78</v>
      </c>
      <c r="O247" s="2">
        <v>31.74</v>
      </c>
      <c r="P247" s="2">
        <v>3.79</v>
      </c>
      <c r="Q247" s="4">
        <v>5489012</v>
      </c>
      <c r="R247" s="4">
        <v>0</v>
      </c>
      <c r="S247" s="4">
        <v>5489012</v>
      </c>
      <c r="T247" s="4">
        <v>947698</v>
      </c>
      <c r="U247" s="4">
        <v>1062327</v>
      </c>
      <c r="V247" s="4">
        <v>0</v>
      </c>
      <c r="W247" s="4">
        <v>552224</v>
      </c>
      <c r="X247" s="4">
        <v>65940</v>
      </c>
      <c r="Y247" s="4">
        <v>8117201</v>
      </c>
      <c r="Z247" s="4">
        <v>680000</v>
      </c>
      <c r="AA247" s="4">
        <v>7437201</v>
      </c>
      <c r="AB247" s="4">
        <v>4183366</v>
      </c>
      <c r="AC247" s="4">
        <v>3253835</v>
      </c>
    </row>
    <row r="248" spans="1:29" x14ac:dyDescent="0.25">
      <c r="A248" s="1" t="s">
        <v>231</v>
      </c>
      <c r="B248" s="1" t="s">
        <v>739</v>
      </c>
      <c r="C248" s="1" t="s">
        <v>258</v>
      </c>
      <c r="D248" s="1" t="s">
        <v>652</v>
      </c>
      <c r="E248" s="2">
        <v>102.21</v>
      </c>
      <c r="F248" s="3">
        <v>606.1</v>
      </c>
      <c r="G248" s="2">
        <v>708.31</v>
      </c>
      <c r="H248" s="2">
        <v>0</v>
      </c>
      <c r="I248" s="4">
        <v>18</v>
      </c>
      <c r="J248" s="3">
        <v>1.6</v>
      </c>
      <c r="K248" s="4">
        <v>623</v>
      </c>
      <c r="L248" s="2">
        <v>315.49</v>
      </c>
      <c r="M248" s="2">
        <v>57.79</v>
      </c>
      <c r="N248" s="2">
        <v>64.78</v>
      </c>
      <c r="O248" s="2">
        <v>31.74</v>
      </c>
      <c r="P248" s="2">
        <v>3.79</v>
      </c>
      <c r="Q248" s="4">
        <v>223465</v>
      </c>
      <c r="R248" s="4">
        <v>0</v>
      </c>
      <c r="S248" s="4">
        <v>223465</v>
      </c>
      <c r="T248" s="4">
        <v>36003</v>
      </c>
      <c r="U248" s="4">
        <v>40358</v>
      </c>
      <c r="V248" s="4">
        <v>0</v>
      </c>
      <c r="W248" s="4">
        <v>22482</v>
      </c>
      <c r="X248" s="4">
        <v>2686</v>
      </c>
      <c r="Y248" s="4">
        <v>324994</v>
      </c>
      <c r="Z248" s="4">
        <v>39658</v>
      </c>
      <c r="AA248" s="4">
        <v>285336</v>
      </c>
      <c r="AB248" s="4">
        <v>158338</v>
      </c>
      <c r="AC248" s="4">
        <v>126998</v>
      </c>
    </row>
    <row r="249" spans="1:29" x14ac:dyDescent="0.25">
      <c r="A249" s="1" t="s">
        <v>231</v>
      </c>
      <c r="B249" s="1" t="s">
        <v>739</v>
      </c>
      <c r="C249" s="1" t="s">
        <v>259</v>
      </c>
      <c r="D249" s="1" t="s">
        <v>653</v>
      </c>
      <c r="E249" s="2">
        <v>73.02</v>
      </c>
      <c r="F249" s="3">
        <v>952.3</v>
      </c>
      <c r="G249" s="2">
        <v>1025.32</v>
      </c>
      <c r="H249" s="2">
        <v>0</v>
      </c>
      <c r="I249" s="4">
        <v>104</v>
      </c>
      <c r="J249" s="3">
        <v>0</v>
      </c>
      <c r="K249" s="4">
        <v>1056</v>
      </c>
      <c r="L249" s="2">
        <v>315.49</v>
      </c>
      <c r="M249" s="2">
        <v>57.79</v>
      </c>
      <c r="N249" s="2">
        <v>64.78</v>
      </c>
      <c r="O249" s="2">
        <v>31.74</v>
      </c>
      <c r="P249" s="2">
        <v>3.79</v>
      </c>
      <c r="Q249" s="4">
        <v>323478</v>
      </c>
      <c r="R249" s="4">
        <v>0</v>
      </c>
      <c r="S249" s="4">
        <v>323478</v>
      </c>
      <c r="T249" s="4">
        <v>61026</v>
      </c>
      <c r="U249" s="4">
        <v>68408</v>
      </c>
      <c r="V249" s="4">
        <v>0</v>
      </c>
      <c r="W249" s="4">
        <v>32544</v>
      </c>
      <c r="X249" s="4">
        <v>3886</v>
      </c>
      <c r="Y249" s="4">
        <v>489342</v>
      </c>
      <c r="Z249" s="4">
        <v>39031</v>
      </c>
      <c r="AA249" s="4">
        <v>450311</v>
      </c>
      <c r="AB249" s="4">
        <v>247577</v>
      </c>
      <c r="AC249" s="4">
        <v>202734</v>
      </c>
    </row>
    <row r="250" spans="1:29" x14ac:dyDescent="0.25">
      <c r="A250" s="1" t="s">
        <v>231</v>
      </c>
      <c r="B250" s="1" t="s">
        <v>739</v>
      </c>
      <c r="C250" s="1" t="s">
        <v>260</v>
      </c>
      <c r="D250" s="1" t="s">
        <v>654</v>
      </c>
      <c r="E250" s="2">
        <v>112.95</v>
      </c>
      <c r="F250" s="3">
        <v>633.70000000000005</v>
      </c>
      <c r="G250" s="2">
        <v>746.65</v>
      </c>
      <c r="H250" s="2">
        <v>0</v>
      </c>
      <c r="I250" s="4">
        <v>4</v>
      </c>
      <c r="J250" s="3">
        <v>0</v>
      </c>
      <c r="K250" s="4">
        <v>638</v>
      </c>
      <c r="L250" s="2">
        <v>315.49</v>
      </c>
      <c r="M250" s="2">
        <v>57.79</v>
      </c>
      <c r="N250" s="2">
        <v>64.78</v>
      </c>
      <c r="O250" s="2">
        <v>31.74</v>
      </c>
      <c r="P250" s="2">
        <v>3.79</v>
      </c>
      <c r="Q250" s="4">
        <v>235561</v>
      </c>
      <c r="R250" s="4">
        <v>5051</v>
      </c>
      <c r="S250" s="4">
        <v>240612</v>
      </c>
      <c r="T250" s="4">
        <v>36870</v>
      </c>
      <c r="U250" s="4">
        <v>41330</v>
      </c>
      <c r="V250" s="4">
        <v>0</v>
      </c>
      <c r="W250" s="4">
        <v>23699</v>
      </c>
      <c r="X250" s="4">
        <v>2830</v>
      </c>
      <c r="Y250" s="4">
        <v>345341</v>
      </c>
      <c r="Z250" s="4">
        <v>33583</v>
      </c>
      <c r="AA250" s="4">
        <v>311758</v>
      </c>
      <c r="AB250" s="4">
        <v>175129</v>
      </c>
      <c r="AC250" s="4">
        <v>136629</v>
      </c>
    </row>
    <row r="251" spans="1:29" x14ac:dyDescent="0.25">
      <c r="A251" s="1" t="s">
        <v>231</v>
      </c>
      <c r="B251" s="1" t="s">
        <v>739</v>
      </c>
      <c r="C251" s="1" t="s">
        <v>261</v>
      </c>
      <c r="D251" s="1" t="s">
        <v>655</v>
      </c>
      <c r="E251" s="2">
        <v>121.92</v>
      </c>
      <c r="F251" s="3">
        <v>877.9</v>
      </c>
      <c r="G251" s="2">
        <v>999.82</v>
      </c>
      <c r="H251" s="2">
        <v>0</v>
      </c>
      <c r="I251" s="4">
        <v>97</v>
      </c>
      <c r="J251" s="3">
        <v>0.2</v>
      </c>
      <c r="K251" s="4">
        <v>975</v>
      </c>
      <c r="L251" s="2">
        <v>315.49</v>
      </c>
      <c r="M251" s="2">
        <v>57.79</v>
      </c>
      <c r="N251" s="2">
        <v>64.78</v>
      </c>
      <c r="O251" s="2">
        <v>31.74</v>
      </c>
      <c r="P251" s="2">
        <v>3.79</v>
      </c>
      <c r="Q251" s="4">
        <v>315433</v>
      </c>
      <c r="R251" s="4">
        <v>0</v>
      </c>
      <c r="S251" s="4">
        <v>315433</v>
      </c>
      <c r="T251" s="4">
        <v>56345</v>
      </c>
      <c r="U251" s="4">
        <v>63161</v>
      </c>
      <c r="V251" s="4">
        <v>0</v>
      </c>
      <c r="W251" s="4">
        <v>31734</v>
      </c>
      <c r="X251" s="4">
        <v>3789</v>
      </c>
      <c r="Y251" s="4">
        <v>470462</v>
      </c>
      <c r="Z251" s="4">
        <v>37148</v>
      </c>
      <c r="AA251" s="4">
        <v>433314</v>
      </c>
      <c r="AB251" s="4">
        <v>242331</v>
      </c>
      <c r="AC251" s="4">
        <v>190983</v>
      </c>
    </row>
    <row r="252" spans="1:29" x14ac:dyDescent="0.25">
      <c r="A252" s="1" t="s">
        <v>231</v>
      </c>
      <c r="B252" s="1" t="s">
        <v>739</v>
      </c>
      <c r="C252" s="1" t="s">
        <v>262</v>
      </c>
      <c r="D252" s="1" t="s">
        <v>656</v>
      </c>
      <c r="E252" s="2">
        <v>74.66</v>
      </c>
      <c r="F252" s="3">
        <v>551.79999999999995</v>
      </c>
      <c r="G252" s="2">
        <v>626.46</v>
      </c>
      <c r="H252" s="2">
        <v>0</v>
      </c>
      <c r="I252" s="4">
        <v>7</v>
      </c>
      <c r="J252" s="3">
        <v>0</v>
      </c>
      <c r="K252" s="4">
        <v>559</v>
      </c>
      <c r="L252" s="2">
        <v>315.49</v>
      </c>
      <c r="M252" s="2">
        <v>57.79</v>
      </c>
      <c r="N252" s="2">
        <v>64.78</v>
      </c>
      <c r="O252" s="2">
        <v>31.74</v>
      </c>
      <c r="P252" s="2">
        <v>3.79</v>
      </c>
      <c r="Q252" s="4">
        <v>197642</v>
      </c>
      <c r="R252" s="4">
        <v>148</v>
      </c>
      <c r="S252" s="4">
        <v>197790</v>
      </c>
      <c r="T252" s="4">
        <v>32305</v>
      </c>
      <c r="U252" s="4">
        <v>36212</v>
      </c>
      <c r="V252" s="4">
        <v>0</v>
      </c>
      <c r="W252" s="4">
        <v>19891</v>
      </c>
      <c r="X252" s="4">
        <v>2378</v>
      </c>
      <c r="Y252" s="4">
        <v>288576</v>
      </c>
      <c r="Z252" s="4">
        <v>31987</v>
      </c>
      <c r="AA252" s="4">
        <v>256589</v>
      </c>
      <c r="AB252" s="4">
        <v>143138</v>
      </c>
      <c r="AC252" s="4">
        <v>113451</v>
      </c>
    </row>
    <row r="253" spans="1:29" x14ac:dyDescent="0.25">
      <c r="A253" s="1" t="s">
        <v>231</v>
      </c>
      <c r="B253" s="1" t="s">
        <v>739</v>
      </c>
      <c r="C253" s="1" t="s">
        <v>263</v>
      </c>
      <c r="D253" s="1" t="s">
        <v>657</v>
      </c>
      <c r="E253" s="2">
        <v>28.7</v>
      </c>
      <c r="F253" s="3">
        <v>189.1</v>
      </c>
      <c r="G253" s="2">
        <v>217.8</v>
      </c>
      <c r="H253" s="2">
        <v>0</v>
      </c>
      <c r="I253" s="4">
        <v>0</v>
      </c>
      <c r="J253" s="3">
        <v>0</v>
      </c>
      <c r="K253" s="4">
        <v>189</v>
      </c>
      <c r="L253" s="2">
        <v>315.49</v>
      </c>
      <c r="M253" s="2">
        <v>57.79</v>
      </c>
      <c r="N253" s="2">
        <v>64.78</v>
      </c>
      <c r="O253" s="2">
        <v>31.74</v>
      </c>
      <c r="P253" s="2">
        <v>3.79</v>
      </c>
      <c r="Q253" s="4">
        <v>68714</v>
      </c>
      <c r="R253" s="4">
        <v>4218</v>
      </c>
      <c r="S253" s="4">
        <v>72932</v>
      </c>
      <c r="T253" s="4">
        <v>10922</v>
      </c>
      <c r="U253" s="4">
        <v>12243</v>
      </c>
      <c r="V253" s="4">
        <v>0</v>
      </c>
      <c r="W253" s="4">
        <v>7335</v>
      </c>
      <c r="X253" s="4">
        <v>877</v>
      </c>
      <c r="Y253" s="4">
        <v>104309</v>
      </c>
      <c r="Z253" s="4">
        <v>11015</v>
      </c>
      <c r="AA253" s="4">
        <v>93294</v>
      </c>
      <c r="AB253" s="4">
        <v>50340</v>
      </c>
      <c r="AC253" s="4">
        <v>42954</v>
      </c>
    </row>
    <row r="254" spans="1:29" x14ac:dyDescent="0.25">
      <c r="A254" s="1" t="s">
        <v>231</v>
      </c>
      <c r="B254" s="1" t="s">
        <v>739</v>
      </c>
      <c r="C254" s="1" t="s">
        <v>264</v>
      </c>
      <c r="D254" s="1" t="s">
        <v>658</v>
      </c>
      <c r="E254" s="2">
        <v>90.53</v>
      </c>
      <c r="F254" s="3">
        <v>557.1</v>
      </c>
      <c r="G254" s="2">
        <v>647.63</v>
      </c>
      <c r="H254" s="2">
        <v>0</v>
      </c>
      <c r="I254" s="4">
        <v>2</v>
      </c>
      <c r="J254" s="3">
        <v>0</v>
      </c>
      <c r="K254" s="4">
        <v>559</v>
      </c>
      <c r="L254" s="2">
        <v>315.49</v>
      </c>
      <c r="M254" s="2">
        <v>57.79</v>
      </c>
      <c r="N254" s="2">
        <v>64.78</v>
      </c>
      <c r="O254" s="2">
        <v>31.74</v>
      </c>
      <c r="P254" s="2">
        <v>3.79</v>
      </c>
      <c r="Q254" s="4">
        <v>204321</v>
      </c>
      <c r="R254" s="4">
        <v>0</v>
      </c>
      <c r="S254" s="4">
        <v>204321</v>
      </c>
      <c r="T254" s="4">
        <v>32305</v>
      </c>
      <c r="U254" s="4">
        <v>36212</v>
      </c>
      <c r="V254" s="4">
        <v>0</v>
      </c>
      <c r="W254" s="4">
        <v>20556</v>
      </c>
      <c r="X254" s="4">
        <v>2455</v>
      </c>
      <c r="Y254" s="4">
        <v>295849</v>
      </c>
      <c r="Z254" s="4">
        <v>27534</v>
      </c>
      <c r="AA254" s="4">
        <v>268315</v>
      </c>
      <c r="AB254" s="4">
        <v>153499</v>
      </c>
      <c r="AC254" s="4">
        <v>114816</v>
      </c>
    </row>
    <row r="255" spans="1:29" x14ac:dyDescent="0.25">
      <c r="A255" s="1" t="s">
        <v>265</v>
      </c>
      <c r="B255" s="1" t="s">
        <v>740</v>
      </c>
      <c r="C255" s="1" t="s">
        <v>266</v>
      </c>
      <c r="D255" s="1" t="s">
        <v>659</v>
      </c>
      <c r="E255" s="2">
        <v>94.27</v>
      </c>
      <c r="F255" s="3">
        <v>780.7</v>
      </c>
      <c r="G255" s="2">
        <v>874.97</v>
      </c>
      <c r="H255" s="2">
        <v>1.97</v>
      </c>
      <c r="I255" s="4">
        <v>3</v>
      </c>
      <c r="J255" s="3">
        <v>0</v>
      </c>
      <c r="K255" s="4">
        <v>784</v>
      </c>
      <c r="L255" s="2">
        <v>308.91000000000003</v>
      </c>
      <c r="M255" s="2">
        <v>57.51</v>
      </c>
      <c r="N255" s="2">
        <v>63.58</v>
      </c>
      <c r="O255" s="2">
        <v>31.72</v>
      </c>
      <c r="P255" s="2">
        <v>3.4</v>
      </c>
      <c r="Q255" s="4">
        <v>270287</v>
      </c>
      <c r="R255" s="4">
        <v>0</v>
      </c>
      <c r="S255" s="4">
        <v>270287</v>
      </c>
      <c r="T255" s="4">
        <v>45088</v>
      </c>
      <c r="U255" s="4">
        <v>49847</v>
      </c>
      <c r="V255" s="4">
        <v>609</v>
      </c>
      <c r="W255" s="4">
        <v>27754</v>
      </c>
      <c r="X255" s="4">
        <v>2975</v>
      </c>
      <c r="Y255" s="4">
        <v>396560</v>
      </c>
      <c r="Z255" s="4">
        <v>42239</v>
      </c>
      <c r="AA255" s="4">
        <v>354321</v>
      </c>
      <c r="AB255" s="4">
        <v>202463</v>
      </c>
      <c r="AC255" s="4">
        <v>151858</v>
      </c>
    </row>
    <row r="256" spans="1:29" x14ac:dyDescent="0.25">
      <c r="A256" s="1" t="s">
        <v>265</v>
      </c>
      <c r="B256" s="1" t="s">
        <v>740</v>
      </c>
      <c r="C256" s="1" t="s">
        <v>267</v>
      </c>
      <c r="D256" s="1" t="s">
        <v>660</v>
      </c>
      <c r="E256" s="2">
        <v>219.61</v>
      </c>
      <c r="F256" s="3">
        <v>1334.3</v>
      </c>
      <c r="G256" s="2">
        <v>1553.91</v>
      </c>
      <c r="H256" s="2">
        <v>3.5</v>
      </c>
      <c r="I256" s="4">
        <v>0</v>
      </c>
      <c r="J256" s="3">
        <v>0</v>
      </c>
      <c r="K256" s="4">
        <v>1334</v>
      </c>
      <c r="L256" s="2">
        <v>308.91000000000003</v>
      </c>
      <c r="M256" s="2">
        <v>57.51</v>
      </c>
      <c r="N256" s="2">
        <v>63.58</v>
      </c>
      <c r="O256" s="2">
        <v>31.72</v>
      </c>
      <c r="P256" s="2">
        <v>3.4</v>
      </c>
      <c r="Q256" s="4">
        <v>480018</v>
      </c>
      <c r="R256" s="4">
        <v>0</v>
      </c>
      <c r="S256" s="4">
        <v>480018</v>
      </c>
      <c r="T256" s="4">
        <v>76718</v>
      </c>
      <c r="U256" s="4">
        <v>84816</v>
      </c>
      <c r="V256" s="4">
        <v>1081</v>
      </c>
      <c r="W256" s="4">
        <v>49290</v>
      </c>
      <c r="X256" s="4">
        <v>5283</v>
      </c>
      <c r="Y256" s="4">
        <v>697206</v>
      </c>
      <c r="Z256" s="4">
        <v>68797</v>
      </c>
      <c r="AA256" s="4">
        <v>628409</v>
      </c>
      <c r="AB256" s="4">
        <v>365784</v>
      </c>
      <c r="AC256" s="4">
        <v>262625</v>
      </c>
    </row>
    <row r="257" spans="1:29" x14ac:dyDescent="0.25">
      <c r="A257" s="1" t="s">
        <v>265</v>
      </c>
      <c r="B257" s="1" t="s">
        <v>740</v>
      </c>
      <c r="C257" s="1" t="s">
        <v>268</v>
      </c>
      <c r="D257" s="1" t="s">
        <v>661</v>
      </c>
      <c r="E257" s="2">
        <v>64.59</v>
      </c>
      <c r="F257" s="3">
        <v>499</v>
      </c>
      <c r="G257" s="2">
        <v>563.59</v>
      </c>
      <c r="H257" s="2">
        <v>1.27</v>
      </c>
      <c r="I257" s="4">
        <v>4</v>
      </c>
      <c r="J257" s="3">
        <v>0</v>
      </c>
      <c r="K257" s="4">
        <v>503</v>
      </c>
      <c r="L257" s="2">
        <v>308.91000000000003</v>
      </c>
      <c r="M257" s="2">
        <v>57.51</v>
      </c>
      <c r="N257" s="2">
        <v>63.58</v>
      </c>
      <c r="O257" s="2">
        <v>31.72</v>
      </c>
      <c r="P257" s="2">
        <v>3.4</v>
      </c>
      <c r="Q257" s="4">
        <v>174099</v>
      </c>
      <c r="R257" s="4">
        <v>0</v>
      </c>
      <c r="S257" s="4">
        <v>174099</v>
      </c>
      <c r="T257" s="4">
        <v>28928</v>
      </c>
      <c r="U257" s="4">
        <v>31981</v>
      </c>
      <c r="V257" s="4">
        <v>392</v>
      </c>
      <c r="W257" s="4">
        <v>17877</v>
      </c>
      <c r="X257" s="4">
        <v>1916</v>
      </c>
      <c r="Y257" s="4">
        <v>255193</v>
      </c>
      <c r="Z257" s="4">
        <v>29839</v>
      </c>
      <c r="AA257" s="4">
        <v>225354</v>
      </c>
      <c r="AB257" s="4">
        <v>127780</v>
      </c>
      <c r="AC257" s="4">
        <v>97574</v>
      </c>
    </row>
    <row r="258" spans="1:29" x14ac:dyDescent="0.25">
      <c r="A258" s="1" t="s">
        <v>265</v>
      </c>
      <c r="B258" s="1" t="s">
        <v>740</v>
      </c>
      <c r="C258" s="1" t="s">
        <v>269</v>
      </c>
      <c r="D258" s="1" t="s">
        <v>662</v>
      </c>
      <c r="E258" s="2">
        <v>58.15</v>
      </c>
      <c r="F258" s="3">
        <v>401.3</v>
      </c>
      <c r="G258" s="2">
        <v>459.45</v>
      </c>
      <c r="H258" s="2">
        <v>1.04</v>
      </c>
      <c r="I258" s="4">
        <v>3</v>
      </c>
      <c r="J258" s="3">
        <v>0</v>
      </c>
      <c r="K258" s="4">
        <v>404</v>
      </c>
      <c r="L258" s="2">
        <v>308.91000000000003</v>
      </c>
      <c r="M258" s="2">
        <v>57.51</v>
      </c>
      <c r="N258" s="2">
        <v>63.58</v>
      </c>
      <c r="O258" s="2">
        <v>31.72</v>
      </c>
      <c r="P258" s="2">
        <v>3.4</v>
      </c>
      <c r="Q258" s="4">
        <v>141929</v>
      </c>
      <c r="R258" s="4">
        <v>1402</v>
      </c>
      <c r="S258" s="4">
        <v>143331</v>
      </c>
      <c r="T258" s="4">
        <v>23234</v>
      </c>
      <c r="U258" s="4">
        <v>25686</v>
      </c>
      <c r="V258" s="4">
        <v>321</v>
      </c>
      <c r="W258" s="4">
        <v>14574</v>
      </c>
      <c r="X258" s="4">
        <v>1562</v>
      </c>
      <c r="Y258" s="4">
        <v>208708</v>
      </c>
      <c r="Z258" s="4">
        <v>25701</v>
      </c>
      <c r="AA258" s="4">
        <v>183007</v>
      </c>
      <c r="AB258" s="4">
        <v>102795</v>
      </c>
      <c r="AC258" s="4">
        <v>80212</v>
      </c>
    </row>
    <row r="259" spans="1:29" x14ac:dyDescent="0.25">
      <c r="A259" s="1" t="s">
        <v>265</v>
      </c>
      <c r="B259" s="1" t="s">
        <v>740</v>
      </c>
      <c r="C259" s="1" t="s">
        <v>270</v>
      </c>
      <c r="D259" s="1" t="s">
        <v>271</v>
      </c>
      <c r="E259" s="2">
        <v>49.78</v>
      </c>
      <c r="F259" s="3">
        <v>505.9</v>
      </c>
      <c r="G259" s="2">
        <v>555.67999999999995</v>
      </c>
      <c r="H259" s="2">
        <v>1.25</v>
      </c>
      <c r="I259" s="4">
        <v>0</v>
      </c>
      <c r="J259" s="3">
        <v>0</v>
      </c>
      <c r="K259" s="4">
        <v>506</v>
      </c>
      <c r="L259" s="2">
        <v>308.91000000000003</v>
      </c>
      <c r="M259" s="2">
        <v>57.51</v>
      </c>
      <c r="N259" s="2">
        <v>63.58</v>
      </c>
      <c r="O259" s="2">
        <v>31.72</v>
      </c>
      <c r="P259" s="2">
        <v>3.4</v>
      </c>
      <c r="Q259" s="4">
        <v>171655</v>
      </c>
      <c r="R259" s="4">
        <v>0</v>
      </c>
      <c r="S259" s="4">
        <v>171655</v>
      </c>
      <c r="T259" s="4">
        <v>29100</v>
      </c>
      <c r="U259" s="4">
        <v>32171</v>
      </c>
      <c r="V259" s="4">
        <v>386</v>
      </c>
      <c r="W259" s="4">
        <v>17626</v>
      </c>
      <c r="X259" s="4">
        <v>1889</v>
      </c>
      <c r="Y259" s="4">
        <v>252827</v>
      </c>
      <c r="Z259" s="4">
        <v>25872</v>
      </c>
      <c r="AA259" s="4">
        <v>226955</v>
      </c>
      <c r="AB259" s="4">
        <v>129534</v>
      </c>
      <c r="AC259" s="4">
        <v>97421</v>
      </c>
    </row>
    <row r="260" spans="1:29" x14ac:dyDescent="0.25">
      <c r="A260" s="1" t="s">
        <v>265</v>
      </c>
      <c r="B260" s="1" t="s">
        <v>740</v>
      </c>
      <c r="C260" s="1" t="s">
        <v>272</v>
      </c>
      <c r="D260" s="1" t="s">
        <v>663</v>
      </c>
      <c r="E260" s="2">
        <v>83.06</v>
      </c>
      <c r="F260" s="3">
        <v>626.4</v>
      </c>
      <c r="G260" s="2">
        <v>709.46</v>
      </c>
      <c r="H260" s="2">
        <v>1.6</v>
      </c>
      <c r="I260" s="4">
        <v>0</v>
      </c>
      <c r="J260" s="3">
        <v>0</v>
      </c>
      <c r="K260" s="4">
        <v>626</v>
      </c>
      <c r="L260" s="2">
        <v>308.91000000000003</v>
      </c>
      <c r="M260" s="2">
        <v>57.51</v>
      </c>
      <c r="N260" s="2">
        <v>63.58</v>
      </c>
      <c r="O260" s="2">
        <v>31.72</v>
      </c>
      <c r="P260" s="2">
        <v>3.4</v>
      </c>
      <c r="Q260" s="4">
        <v>219159</v>
      </c>
      <c r="R260" s="4">
        <v>6430</v>
      </c>
      <c r="S260" s="4">
        <v>225589</v>
      </c>
      <c r="T260" s="4">
        <v>36001</v>
      </c>
      <c r="U260" s="4">
        <v>39801</v>
      </c>
      <c r="V260" s="4">
        <v>494</v>
      </c>
      <c r="W260" s="4">
        <v>22504</v>
      </c>
      <c r="X260" s="4">
        <v>2412</v>
      </c>
      <c r="Y260" s="4">
        <v>326801</v>
      </c>
      <c r="Z260" s="4">
        <v>35545</v>
      </c>
      <c r="AA260" s="4">
        <v>291256</v>
      </c>
      <c r="AB260" s="4">
        <v>162870</v>
      </c>
      <c r="AC260" s="4">
        <v>128386</v>
      </c>
    </row>
    <row r="261" spans="1:29" x14ac:dyDescent="0.25">
      <c r="A261" s="1" t="s">
        <v>265</v>
      </c>
      <c r="B261" s="1" t="s">
        <v>740</v>
      </c>
      <c r="C261" s="1" t="s">
        <v>273</v>
      </c>
      <c r="D261" s="1" t="s">
        <v>664</v>
      </c>
      <c r="E261" s="2">
        <v>107.11</v>
      </c>
      <c r="F261" s="3">
        <v>991.6</v>
      </c>
      <c r="G261" s="2">
        <v>1098.71</v>
      </c>
      <c r="H261" s="2">
        <v>2.48</v>
      </c>
      <c r="I261" s="4">
        <v>67</v>
      </c>
      <c r="J261" s="3">
        <v>1.3</v>
      </c>
      <c r="K261" s="4">
        <v>1057</v>
      </c>
      <c r="L261" s="2">
        <v>308.91000000000003</v>
      </c>
      <c r="M261" s="2">
        <v>57.51</v>
      </c>
      <c r="N261" s="2">
        <v>63.58</v>
      </c>
      <c r="O261" s="2">
        <v>31.72</v>
      </c>
      <c r="P261" s="2">
        <v>3.4</v>
      </c>
      <c r="Q261" s="4">
        <v>339403</v>
      </c>
      <c r="R261" s="4">
        <v>0</v>
      </c>
      <c r="S261" s="4">
        <v>339403</v>
      </c>
      <c r="T261" s="4">
        <v>60788</v>
      </c>
      <c r="U261" s="4">
        <v>67204</v>
      </c>
      <c r="V261" s="4">
        <v>766</v>
      </c>
      <c r="W261" s="4">
        <v>34851</v>
      </c>
      <c r="X261" s="4">
        <v>3736</v>
      </c>
      <c r="Y261" s="4">
        <v>506748</v>
      </c>
      <c r="Z261" s="4">
        <v>50182</v>
      </c>
      <c r="AA261" s="4">
        <v>456566</v>
      </c>
      <c r="AB261" s="4">
        <v>257095</v>
      </c>
      <c r="AC261" s="4">
        <v>199471</v>
      </c>
    </row>
    <row r="262" spans="1:29" x14ac:dyDescent="0.25">
      <c r="A262" s="1" t="s">
        <v>265</v>
      </c>
      <c r="B262" s="1" t="s">
        <v>740</v>
      </c>
      <c r="C262" s="1" t="s">
        <v>274</v>
      </c>
      <c r="D262" s="1" t="s">
        <v>665</v>
      </c>
      <c r="E262" s="2">
        <v>196.7</v>
      </c>
      <c r="F262" s="3">
        <v>1440.4</v>
      </c>
      <c r="G262" s="2">
        <v>1637.1</v>
      </c>
      <c r="H262" s="2">
        <v>3.69</v>
      </c>
      <c r="I262" s="4">
        <v>2</v>
      </c>
      <c r="J262" s="3">
        <v>0</v>
      </c>
      <c r="K262" s="4">
        <v>1442</v>
      </c>
      <c r="L262" s="2">
        <v>308.91000000000003</v>
      </c>
      <c r="M262" s="2">
        <v>57.51</v>
      </c>
      <c r="N262" s="2">
        <v>63.58</v>
      </c>
      <c r="O262" s="2">
        <v>31.72</v>
      </c>
      <c r="P262" s="2">
        <v>3.4</v>
      </c>
      <c r="Q262" s="4">
        <v>505717</v>
      </c>
      <c r="R262" s="4">
        <v>0</v>
      </c>
      <c r="S262" s="4">
        <v>505717</v>
      </c>
      <c r="T262" s="4">
        <v>82929</v>
      </c>
      <c r="U262" s="4">
        <v>91682</v>
      </c>
      <c r="V262" s="4">
        <v>1140</v>
      </c>
      <c r="W262" s="4">
        <v>51929</v>
      </c>
      <c r="X262" s="4">
        <v>5566</v>
      </c>
      <c r="Y262" s="4">
        <v>738963</v>
      </c>
      <c r="Z262" s="4">
        <v>66523</v>
      </c>
      <c r="AA262" s="4">
        <v>672440</v>
      </c>
      <c r="AB262" s="4">
        <v>391325</v>
      </c>
      <c r="AC262" s="4">
        <v>281115</v>
      </c>
    </row>
    <row r="263" spans="1:29" x14ac:dyDescent="0.25">
      <c r="A263" s="1" t="s">
        <v>265</v>
      </c>
      <c r="B263" s="1" t="s">
        <v>740</v>
      </c>
      <c r="C263" s="1" t="s">
        <v>275</v>
      </c>
      <c r="D263" s="1" t="s">
        <v>666</v>
      </c>
      <c r="E263" s="2">
        <v>58.47</v>
      </c>
      <c r="F263" s="3">
        <v>405.6</v>
      </c>
      <c r="G263" s="2">
        <v>464.07</v>
      </c>
      <c r="H263" s="2">
        <v>1.05</v>
      </c>
      <c r="I263" s="4">
        <v>0</v>
      </c>
      <c r="J263" s="3">
        <v>0</v>
      </c>
      <c r="K263" s="4">
        <v>406</v>
      </c>
      <c r="L263" s="2">
        <v>308.91000000000003</v>
      </c>
      <c r="M263" s="2">
        <v>57.51</v>
      </c>
      <c r="N263" s="2">
        <v>63.58</v>
      </c>
      <c r="O263" s="2">
        <v>31.72</v>
      </c>
      <c r="P263" s="2">
        <v>3.4</v>
      </c>
      <c r="Q263" s="4">
        <v>143356</v>
      </c>
      <c r="R263" s="4">
        <v>8194</v>
      </c>
      <c r="S263" s="4">
        <v>151550</v>
      </c>
      <c r="T263" s="4">
        <v>23349</v>
      </c>
      <c r="U263" s="4">
        <v>25813</v>
      </c>
      <c r="V263" s="4">
        <v>324</v>
      </c>
      <c r="W263" s="4">
        <v>14720</v>
      </c>
      <c r="X263" s="4">
        <v>1578</v>
      </c>
      <c r="Y263" s="4">
        <v>217334</v>
      </c>
      <c r="Z263" s="4">
        <v>28933</v>
      </c>
      <c r="AA263" s="4">
        <v>188401</v>
      </c>
      <c r="AB263" s="4">
        <v>100854</v>
      </c>
      <c r="AC263" s="4">
        <v>87547</v>
      </c>
    </row>
    <row r="264" spans="1:29" x14ac:dyDescent="0.25">
      <c r="A264" s="1" t="s">
        <v>265</v>
      </c>
      <c r="B264" s="1" t="s">
        <v>740</v>
      </c>
      <c r="C264" s="1" t="s">
        <v>276</v>
      </c>
      <c r="D264" s="1" t="s">
        <v>667</v>
      </c>
      <c r="E264" s="2">
        <v>2154.83</v>
      </c>
      <c r="F264" s="3">
        <v>9122.1</v>
      </c>
      <c r="G264" s="2">
        <v>11276.93</v>
      </c>
      <c r="H264" s="2">
        <v>25.37</v>
      </c>
      <c r="I264" s="4">
        <v>425</v>
      </c>
      <c r="J264" s="3">
        <v>0.2</v>
      </c>
      <c r="K264" s="4">
        <v>9547</v>
      </c>
      <c r="L264" s="2">
        <v>308.91000000000003</v>
      </c>
      <c r="M264" s="2">
        <v>57.51</v>
      </c>
      <c r="N264" s="2">
        <v>63.58</v>
      </c>
      <c r="O264" s="2">
        <v>31.72</v>
      </c>
      <c r="P264" s="2">
        <v>3.4</v>
      </c>
      <c r="Q264" s="4">
        <v>3483556</v>
      </c>
      <c r="R264" s="4">
        <v>0</v>
      </c>
      <c r="S264" s="4">
        <v>3483556</v>
      </c>
      <c r="T264" s="4">
        <v>549048</v>
      </c>
      <c r="U264" s="4">
        <v>606998</v>
      </c>
      <c r="V264" s="4">
        <v>7837</v>
      </c>
      <c r="W264" s="4">
        <v>357704</v>
      </c>
      <c r="X264" s="4">
        <v>38342</v>
      </c>
      <c r="Y264" s="4">
        <v>5043485</v>
      </c>
      <c r="Z264" s="4">
        <v>450650</v>
      </c>
      <c r="AA264" s="4">
        <v>4592835</v>
      </c>
      <c r="AB264" s="4">
        <v>2703157</v>
      </c>
      <c r="AC264" s="4">
        <v>1889678</v>
      </c>
    </row>
    <row r="265" spans="1:29" x14ac:dyDescent="0.25">
      <c r="A265" s="1" t="s">
        <v>265</v>
      </c>
      <c r="B265" s="1" t="s">
        <v>740</v>
      </c>
      <c r="C265" s="1" t="s">
        <v>277</v>
      </c>
      <c r="D265" s="1" t="s">
        <v>668</v>
      </c>
      <c r="E265" s="2">
        <v>207.6</v>
      </c>
      <c r="F265" s="3">
        <v>1470.7</v>
      </c>
      <c r="G265" s="2">
        <v>1678.3</v>
      </c>
      <c r="H265" s="2">
        <v>3.78</v>
      </c>
      <c r="I265" s="4">
        <v>109</v>
      </c>
      <c r="J265" s="3">
        <v>0.6</v>
      </c>
      <c r="K265" s="4">
        <v>1579</v>
      </c>
      <c r="L265" s="2">
        <v>308.91000000000003</v>
      </c>
      <c r="M265" s="2">
        <v>57.51</v>
      </c>
      <c r="N265" s="2">
        <v>63.58</v>
      </c>
      <c r="O265" s="2">
        <v>31.72</v>
      </c>
      <c r="P265" s="2">
        <v>3.4</v>
      </c>
      <c r="Q265" s="4">
        <v>518444</v>
      </c>
      <c r="R265" s="4">
        <v>0</v>
      </c>
      <c r="S265" s="4">
        <v>518444</v>
      </c>
      <c r="T265" s="4">
        <v>90808</v>
      </c>
      <c r="U265" s="4">
        <v>100393</v>
      </c>
      <c r="V265" s="4">
        <v>1168</v>
      </c>
      <c r="W265" s="4">
        <v>53236</v>
      </c>
      <c r="X265" s="4">
        <v>5706</v>
      </c>
      <c r="Y265" s="4">
        <v>769755</v>
      </c>
      <c r="Z265" s="4">
        <v>73855</v>
      </c>
      <c r="AA265" s="4">
        <v>695900</v>
      </c>
      <c r="AB265" s="4">
        <v>395515</v>
      </c>
      <c r="AC265" s="4">
        <v>300385</v>
      </c>
    </row>
    <row r="266" spans="1:29" x14ac:dyDescent="0.25">
      <c r="A266" s="1" t="s">
        <v>265</v>
      </c>
      <c r="B266" s="1" t="s">
        <v>740</v>
      </c>
      <c r="C266" s="1" t="s">
        <v>278</v>
      </c>
      <c r="D266" s="1" t="s">
        <v>669</v>
      </c>
      <c r="E266" s="2">
        <v>13.55</v>
      </c>
      <c r="F266" s="3">
        <v>102</v>
      </c>
      <c r="G266" s="2">
        <v>115.55</v>
      </c>
      <c r="H266" s="2">
        <v>0.26</v>
      </c>
      <c r="I266" s="4">
        <v>0</v>
      </c>
      <c r="J266" s="3">
        <v>0</v>
      </c>
      <c r="K266" s="4">
        <v>102</v>
      </c>
      <c r="L266" s="2">
        <v>308.91000000000003</v>
      </c>
      <c r="M266" s="2">
        <v>57.51</v>
      </c>
      <c r="N266" s="2">
        <v>63.58</v>
      </c>
      <c r="O266" s="2">
        <v>31.72</v>
      </c>
      <c r="P266" s="2">
        <v>3.4</v>
      </c>
      <c r="Q266" s="4">
        <v>35695</v>
      </c>
      <c r="R266" s="4">
        <v>0</v>
      </c>
      <c r="S266" s="4">
        <v>35695</v>
      </c>
      <c r="T266" s="4">
        <v>5866</v>
      </c>
      <c r="U266" s="4">
        <v>6485</v>
      </c>
      <c r="V266" s="4">
        <v>80</v>
      </c>
      <c r="W266" s="4">
        <v>3665</v>
      </c>
      <c r="X266" s="4">
        <v>393</v>
      </c>
      <c r="Y266" s="4">
        <v>52184</v>
      </c>
      <c r="Z266" s="4">
        <v>6461</v>
      </c>
      <c r="AA266" s="4">
        <v>45723</v>
      </c>
      <c r="AB266" s="4">
        <v>25855</v>
      </c>
      <c r="AC266" s="4">
        <v>19868</v>
      </c>
    </row>
    <row r="267" spans="1:29" x14ac:dyDescent="0.25">
      <c r="A267" s="1" t="s">
        <v>265</v>
      </c>
      <c r="B267" s="1" t="s">
        <v>740</v>
      </c>
      <c r="C267" s="1" t="s">
        <v>279</v>
      </c>
      <c r="D267" s="1" t="s">
        <v>670</v>
      </c>
      <c r="E267" s="2">
        <v>84.61</v>
      </c>
      <c r="F267" s="3">
        <v>541.1</v>
      </c>
      <c r="G267" s="2">
        <v>625.71</v>
      </c>
      <c r="H267" s="2">
        <v>1.41</v>
      </c>
      <c r="I267" s="4">
        <v>2</v>
      </c>
      <c r="J267" s="3">
        <v>0</v>
      </c>
      <c r="K267" s="4">
        <v>543</v>
      </c>
      <c r="L267" s="2">
        <v>308.91000000000003</v>
      </c>
      <c r="M267" s="2">
        <v>57.51</v>
      </c>
      <c r="N267" s="2">
        <v>63.58</v>
      </c>
      <c r="O267" s="2">
        <v>31.72</v>
      </c>
      <c r="P267" s="2">
        <v>3.4</v>
      </c>
      <c r="Q267" s="4">
        <v>193288</v>
      </c>
      <c r="R267" s="4">
        <v>0</v>
      </c>
      <c r="S267" s="4">
        <v>193288</v>
      </c>
      <c r="T267" s="4">
        <v>31228</v>
      </c>
      <c r="U267" s="4">
        <v>34524</v>
      </c>
      <c r="V267" s="4">
        <v>436</v>
      </c>
      <c r="W267" s="4">
        <v>19848</v>
      </c>
      <c r="X267" s="4">
        <v>2127</v>
      </c>
      <c r="Y267" s="4">
        <v>281451</v>
      </c>
      <c r="Z267" s="4">
        <v>31373</v>
      </c>
      <c r="AA267" s="4">
        <v>250078</v>
      </c>
      <c r="AB267" s="4">
        <v>143619</v>
      </c>
      <c r="AC267" s="4">
        <v>106459</v>
      </c>
    </row>
    <row r="268" spans="1:29" x14ac:dyDescent="0.25">
      <c r="A268" s="1" t="s">
        <v>265</v>
      </c>
      <c r="B268" s="1" t="s">
        <v>740</v>
      </c>
      <c r="C268" s="1" t="s">
        <v>280</v>
      </c>
      <c r="D268" s="1" t="s">
        <v>671</v>
      </c>
      <c r="E268" s="2">
        <v>57.44</v>
      </c>
      <c r="F268" s="3">
        <v>503</v>
      </c>
      <c r="G268" s="2">
        <v>560.44000000000005</v>
      </c>
      <c r="H268" s="2">
        <v>1.26</v>
      </c>
      <c r="I268" s="4">
        <v>3</v>
      </c>
      <c r="J268" s="3">
        <v>0</v>
      </c>
      <c r="K268" s="4">
        <v>506</v>
      </c>
      <c r="L268" s="2">
        <v>308.91000000000003</v>
      </c>
      <c r="M268" s="2">
        <v>57.51</v>
      </c>
      <c r="N268" s="2">
        <v>63.58</v>
      </c>
      <c r="O268" s="2">
        <v>31.72</v>
      </c>
      <c r="P268" s="2">
        <v>3.4</v>
      </c>
      <c r="Q268" s="4">
        <v>173126</v>
      </c>
      <c r="R268" s="4">
        <v>0</v>
      </c>
      <c r="S268" s="4">
        <v>173126</v>
      </c>
      <c r="T268" s="4">
        <v>29100</v>
      </c>
      <c r="U268" s="4">
        <v>32171</v>
      </c>
      <c r="V268" s="4">
        <v>389</v>
      </c>
      <c r="W268" s="4">
        <v>17777</v>
      </c>
      <c r="X268" s="4">
        <v>1905</v>
      </c>
      <c r="Y268" s="4">
        <v>254468</v>
      </c>
      <c r="Z268" s="4">
        <v>25766</v>
      </c>
      <c r="AA268" s="4">
        <v>228702</v>
      </c>
      <c r="AB268" s="4">
        <v>130971</v>
      </c>
      <c r="AC268" s="4">
        <v>97731</v>
      </c>
    </row>
    <row r="269" spans="1:29" x14ac:dyDescent="0.25">
      <c r="A269" s="1" t="s">
        <v>265</v>
      </c>
      <c r="B269" s="1" t="s">
        <v>740</v>
      </c>
      <c r="C269" s="1" t="s">
        <v>281</v>
      </c>
      <c r="D269" s="1" t="s">
        <v>672</v>
      </c>
      <c r="E269" s="2">
        <v>29.59</v>
      </c>
      <c r="F269" s="3">
        <v>187.2</v>
      </c>
      <c r="G269" s="2">
        <v>216.79</v>
      </c>
      <c r="H269" s="2">
        <v>0.49</v>
      </c>
      <c r="I269" s="4">
        <v>3</v>
      </c>
      <c r="J269" s="3">
        <v>0</v>
      </c>
      <c r="K269" s="4">
        <v>190</v>
      </c>
      <c r="L269" s="2">
        <v>308.91000000000003</v>
      </c>
      <c r="M269" s="2">
        <v>57.51</v>
      </c>
      <c r="N269" s="2">
        <v>63.58</v>
      </c>
      <c r="O269" s="2">
        <v>31.72</v>
      </c>
      <c r="P269" s="2">
        <v>3.4</v>
      </c>
      <c r="Q269" s="4">
        <v>66969</v>
      </c>
      <c r="R269" s="4">
        <v>6176</v>
      </c>
      <c r="S269" s="4">
        <v>73145</v>
      </c>
      <c r="T269" s="4">
        <v>10927</v>
      </c>
      <c r="U269" s="4">
        <v>12080</v>
      </c>
      <c r="V269" s="4">
        <v>151</v>
      </c>
      <c r="W269" s="4">
        <v>6877</v>
      </c>
      <c r="X269" s="4">
        <v>737</v>
      </c>
      <c r="Y269" s="4">
        <v>103917</v>
      </c>
      <c r="Z269" s="4">
        <v>12000</v>
      </c>
      <c r="AA269" s="4">
        <v>91917</v>
      </c>
      <c r="AB269" s="4">
        <v>48630</v>
      </c>
      <c r="AC269" s="4">
        <v>43287</v>
      </c>
    </row>
    <row r="270" spans="1:29" x14ac:dyDescent="0.25">
      <c r="A270" s="1" t="s">
        <v>265</v>
      </c>
      <c r="B270" s="1" t="s">
        <v>740</v>
      </c>
      <c r="C270" s="1" t="s">
        <v>282</v>
      </c>
      <c r="D270" s="1" t="s">
        <v>673</v>
      </c>
      <c r="E270" s="2">
        <v>61.49</v>
      </c>
      <c r="F270" s="3">
        <v>464.1</v>
      </c>
      <c r="G270" s="2">
        <v>525.59</v>
      </c>
      <c r="H270" s="2">
        <v>1.18</v>
      </c>
      <c r="I270" s="4">
        <v>0</v>
      </c>
      <c r="J270" s="3">
        <v>0</v>
      </c>
      <c r="K270" s="4">
        <v>464</v>
      </c>
      <c r="L270" s="2">
        <v>308.91000000000003</v>
      </c>
      <c r="M270" s="2">
        <v>57.51</v>
      </c>
      <c r="N270" s="2">
        <v>63.58</v>
      </c>
      <c r="O270" s="2">
        <v>31.72</v>
      </c>
      <c r="P270" s="2">
        <v>3.4</v>
      </c>
      <c r="Q270" s="4">
        <v>162360</v>
      </c>
      <c r="R270" s="4">
        <v>0</v>
      </c>
      <c r="S270" s="4">
        <v>162360</v>
      </c>
      <c r="T270" s="4">
        <v>26685</v>
      </c>
      <c r="U270" s="4">
        <v>29501</v>
      </c>
      <c r="V270" s="4">
        <v>365</v>
      </c>
      <c r="W270" s="4">
        <v>16672</v>
      </c>
      <c r="X270" s="4">
        <v>1787</v>
      </c>
      <c r="Y270" s="4">
        <v>237370</v>
      </c>
      <c r="Z270" s="4">
        <v>20998</v>
      </c>
      <c r="AA270" s="4">
        <v>216372</v>
      </c>
      <c r="AB270" s="4">
        <v>125993</v>
      </c>
      <c r="AC270" s="4">
        <v>90379</v>
      </c>
    </row>
    <row r="271" spans="1:29" x14ac:dyDescent="0.25">
      <c r="A271" s="1" t="s">
        <v>265</v>
      </c>
      <c r="B271" s="1" t="s">
        <v>740</v>
      </c>
      <c r="C271" s="1" t="s">
        <v>283</v>
      </c>
      <c r="D271" s="1" t="s">
        <v>674</v>
      </c>
      <c r="E271" s="2">
        <v>193.39</v>
      </c>
      <c r="F271" s="3">
        <v>1931.5</v>
      </c>
      <c r="G271" s="2">
        <v>2124.89</v>
      </c>
      <c r="H271" s="2">
        <v>4.79</v>
      </c>
      <c r="I271" s="4">
        <v>14</v>
      </c>
      <c r="J271" s="3">
        <v>0</v>
      </c>
      <c r="K271" s="4">
        <v>1946</v>
      </c>
      <c r="L271" s="2">
        <v>308.91000000000003</v>
      </c>
      <c r="M271" s="2">
        <v>57.51</v>
      </c>
      <c r="N271" s="2">
        <v>63.58</v>
      </c>
      <c r="O271" s="2">
        <v>31.72</v>
      </c>
      <c r="P271" s="2">
        <v>3.4</v>
      </c>
      <c r="Q271" s="4">
        <v>656400</v>
      </c>
      <c r="R271" s="4">
        <v>10812</v>
      </c>
      <c r="S271" s="4">
        <v>667212</v>
      </c>
      <c r="T271" s="4">
        <v>111914</v>
      </c>
      <c r="U271" s="4">
        <v>123727</v>
      </c>
      <c r="V271" s="4">
        <v>1480</v>
      </c>
      <c r="W271" s="4">
        <v>68518</v>
      </c>
      <c r="X271" s="4">
        <v>7336</v>
      </c>
      <c r="Y271" s="4">
        <v>980187</v>
      </c>
      <c r="Z271" s="4">
        <v>89118</v>
      </c>
      <c r="AA271" s="4">
        <v>891069</v>
      </c>
      <c r="AB271" s="4">
        <v>506378</v>
      </c>
      <c r="AC271" s="4">
        <v>384691</v>
      </c>
    </row>
    <row r="272" spans="1:29" x14ac:dyDescent="0.25">
      <c r="A272" s="1" t="s">
        <v>265</v>
      </c>
      <c r="B272" s="1" t="s">
        <v>740</v>
      </c>
      <c r="C272" s="1" t="s">
        <v>284</v>
      </c>
      <c r="D272" s="1" t="s">
        <v>675</v>
      </c>
      <c r="E272" s="2">
        <v>103.65</v>
      </c>
      <c r="F272" s="3">
        <v>457.5</v>
      </c>
      <c r="G272" s="2">
        <v>561.15</v>
      </c>
      <c r="H272" s="2">
        <v>1.27</v>
      </c>
      <c r="I272" s="4">
        <v>0</v>
      </c>
      <c r="J272" s="3">
        <v>0</v>
      </c>
      <c r="K272" s="4">
        <v>458</v>
      </c>
      <c r="L272" s="2">
        <v>308.91000000000003</v>
      </c>
      <c r="M272" s="2">
        <v>57.51</v>
      </c>
      <c r="N272" s="2">
        <v>63.58</v>
      </c>
      <c r="O272" s="2">
        <v>31.72</v>
      </c>
      <c r="P272" s="2">
        <v>3.4</v>
      </c>
      <c r="Q272" s="4">
        <v>173345</v>
      </c>
      <c r="R272" s="4">
        <v>8802</v>
      </c>
      <c r="S272" s="4">
        <v>182147</v>
      </c>
      <c r="T272" s="4">
        <v>26340</v>
      </c>
      <c r="U272" s="4">
        <v>29120</v>
      </c>
      <c r="V272" s="4">
        <v>392</v>
      </c>
      <c r="W272" s="4">
        <v>17800</v>
      </c>
      <c r="X272" s="4">
        <v>1908</v>
      </c>
      <c r="Y272" s="4">
        <v>257707</v>
      </c>
      <c r="Z272" s="4">
        <v>31091</v>
      </c>
      <c r="AA272" s="4">
        <v>226616</v>
      </c>
      <c r="AB272" s="4">
        <v>125847</v>
      </c>
      <c r="AC272" s="4">
        <v>100769</v>
      </c>
    </row>
    <row r="273" spans="1:29" x14ac:dyDescent="0.25">
      <c r="A273" s="1" t="s">
        <v>265</v>
      </c>
      <c r="B273" s="1" t="s">
        <v>740</v>
      </c>
      <c r="C273" s="1" t="s">
        <v>285</v>
      </c>
      <c r="D273" s="1" t="s">
        <v>676</v>
      </c>
      <c r="E273" s="2">
        <v>39.56</v>
      </c>
      <c r="F273" s="3">
        <v>199</v>
      </c>
      <c r="G273" s="2">
        <v>238.56</v>
      </c>
      <c r="H273" s="2">
        <v>0.54</v>
      </c>
      <c r="I273" s="4">
        <v>0</v>
      </c>
      <c r="J273" s="3">
        <v>0</v>
      </c>
      <c r="K273" s="4">
        <v>199</v>
      </c>
      <c r="L273" s="2">
        <v>308.91000000000003</v>
      </c>
      <c r="M273" s="2">
        <v>57.51</v>
      </c>
      <c r="N273" s="2">
        <v>63.58</v>
      </c>
      <c r="O273" s="2">
        <v>31.72</v>
      </c>
      <c r="P273" s="2">
        <v>3.4</v>
      </c>
      <c r="Q273" s="4">
        <v>73694</v>
      </c>
      <c r="R273" s="4">
        <v>10043</v>
      </c>
      <c r="S273" s="4">
        <v>83737</v>
      </c>
      <c r="T273" s="4">
        <v>11444</v>
      </c>
      <c r="U273" s="4">
        <v>12652</v>
      </c>
      <c r="V273" s="4">
        <v>167</v>
      </c>
      <c r="W273" s="4">
        <v>8015</v>
      </c>
      <c r="X273" s="4">
        <v>858</v>
      </c>
      <c r="Y273" s="4">
        <v>116873</v>
      </c>
      <c r="Z273" s="4">
        <v>14961</v>
      </c>
      <c r="AA273" s="4">
        <v>101912</v>
      </c>
      <c r="AB273" s="4">
        <v>52252</v>
      </c>
      <c r="AC273" s="4">
        <v>49660</v>
      </c>
    </row>
    <row r="274" spans="1:29" x14ac:dyDescent="0.25">
      <c r="A274" s="1" t="s">
        <v>265</v>
      </c>
      <c r="B274" s="1" t="s">
        <v>740</v>
      </c>
      <c r="C274" s="1" t="s">
        <v>286</v>
      </c>
      <c r="D274" s="1" t="s">
        <v>677</v>
      </c>
      <c r="E274" s="2">
        <v>175.19</v>
      </c>
      <c r="F274" s="3">
        <v>1384.2</v>
      </c>
      <c r="G274" s="2">
        <v>1559.39</v>
      </c>
      <c r="H274" s="2">
        <v>3.52</v>
      </c>
      <c r="I274" s="4">
        <v>78</v>
      </c>
      <c r="J274" s="3">
        <v>0.7</v>
      </c>
      <c r="K274" s="4">
        <v>1462</v>
      </c>
      <c r="L274" s="2">
        <v>308.91000000000003</v>
      </c>
      <c r="M274" s="2">
        <v>57.51</v>
      </c>
      <c r="N274" s="2">
        <v>63.58</v>
      </c>
      <c r="O274" s="2">
        <v>31.72</v>
      </c>
      <c r="P274" s="2">
        <v>3.4</v>
      </c>
      <c r="Q274" s="4">
        <v>481711</v>
      </c>
      <c r="R274" s="4">
        <v>589</v>
      </c>
      <c r="S274" s="4">
        <v>482300</v>
      </c>
      <c r="T274" s="4">
        <v>84080</v>
      </c>
      <c r="U274" s="4">
        <v>92954</v>
      </c>
      <c r="V274" s="4">
        <v>1087</v>
      </c>
      <c r="W274" s="4">
        <v>49529</v>
      </c>
      <c r="X274" s="4">
        <v>5303</v>
      </c>
      <c r="Y274" s="4">
        <v>715253</v>
      </c>
      <c r="Z274" s="4">
        <v>75561</v>
      </c>
      <c r="AA274" s="4">
        <v>639692</v>
      </c>
      <c r="AB274" s="4">
        <v>360621</v>
      </c>
      <c r="AC274" s="4">
        <v>279071</v>
      </c>
    </row>
    <row r="275" spans="1:29" x14ac:dyDescent="0.25">
      <c r="A275" s="1" t="s">
        <v>265</v>
      </c>
      <c r="B275" s="1" t="s">
        <v>740</v>
      </c>
      <c r="C275" s="1" t="s">
        <v>287</v>
      </c>
      <c r="D275" s="1" t="s">
        <v>678</v>
      </c>
      <c r="E275" s="2">
        <v>100.18</v>
      </c>
      <c r="F275" s="3">
        <v>684.7</v>
      </c>
      <c r="G275" s="2">
        <v>784.88</v>
      </c>
      <c r="H275" s="2">
        <v>1.77</v>
      </c>
      <c r="I275" s="4">
        <v>9</v>
      </c>
      <c r="J275" s="3">
        <v>0</v>
      </c>
      <c r="K275" s="4">
        <v>694</v>
      </c>
      <c r="L275" s="2">
        <v>308.91000000000003</v>
      </c>
      <c r="M275" s="2">
        <v>57.51</v>
      </c>
      <c r="N275" s="2">
        <v>63.58</v>
      </c>
      <c r="O275" s="2">
        <v>31.72</v>
      </c>
      <c r="P275" s="2">
        <v>3.4</v>
      </c>
      <c r="Q275" s="4">
        <v>242457</v>
      </c>
      <c r="R275" s="4">
        <v>0</v>
      </c>
      <c r="S275" s="4">
        <v>242457</v>
      </c>
      <c r="T275" s="4">
        <v>39912</v>
      </c>
      <c r="U275" s="4">
        <v>44125</v>
      </c>
      <c r="V275" s="4">
        <v>547</v>
      </c>
      <c r="W275" s="4">
        <v>24896</v>
      </c>
      <c r="X275" s="4">
        <v>2669</v>
      </c>
      <c r="Y275" s="4">
        <v>354606</v>
      </c>
      <c r="Z275" s="4">
        <v>45080</v>
      </c>
      <c r="AA275" s="4">
        <v>309526</v>
      </c>
      <c r="AB275" s="4">
        <v>174428</v>
      </c>
      <c r="AC275" s="4">
        <v>135098</v>
      </c>
    </row>
    <row r="276" spans="1:29" x14ac:dyDescent="0.25">
      <c r="A276" s="1" t="s">
        <v>265</v>
      </c>
      <c r="B276" s="1" t="s">
        <v>740</v>
      </c>
      <c r="C276" s="1" t="s">
        <v>288</v>
      </c>
      <c r="D276" s="1" t="s">
        <v>679</v>
      </c>
      <c r="E276" s="2">
        <v>55.2</v>
      </c>
      <c r="F276" s="3">
        <v>302.60000000000002</v>
      </c>
      <c r="G276" s="2">
        <v>357.8</v>
      </c>
      <c r="H276" s="2">
        <v>0.81</v>
      </c>
      <c r="I276" s="4">
        <v>0</v>
      </c>
      <c r="J276" s="3">
        <v>0</v>
      </c>
      <c r="K276" s="4">
        <v>303</v>
      </c>
      <c r="L276" s="2">
        <v>308.91000000000003</v>
      </c>
      <c r="M276" s="2">
        <v>57.51</v>
      </c>
      <c r="N276" s="2">
        <v>63.58</v>
      </c>
      <c r="O276" s="2">
        <v>31.72</v>
      </c>
      <c r="P276" s="2">
        <v>3.4</v>
      </c>
      <c r="Q276" s="4">
        <v>110528</v>
      </c>
      <c r="R276" s="4">
        <v>177</v>
      </c>
      <c r="S276" s="4">
        <v>110705</v>
      </c>
      <c r="T276" s="4">
        <v>17426</v>
      </c>
      <c r="U276" s="4">
        <v>19265</v>
      </c>
      <c r="V276" s="4">
        <v>250</v>
      </c>
      <c r="W276" s="4">
        <v>11369</v>
      </c>
      <c r="X276" s="4">
        <v>1217</v>
      </c>
      <c r="Y276" s="4">
        <v>160232</v>
      </c>
      <c r="Z276" s="4">
        <v>16904</v>
      </c>
      <c r="AA276" s="4">
        <v>143328</v>
      </c>
      <c r="AB276" s="4">
        <v>83183</v>
      </c>
      <c r="AC276" s="4">
        <v>60145</v>
      </c>
    </row>
    <row r="277" spans="1:29" x14ac:dyDescent="0.25">
      <c r="A277" s="1" t="s">
        <v>265</v>
      </c>
      <c r="B277" s="1" t="s">
        <v>740</v>
      </c>
      <c r="C277" s="1" t="s">
        <v>289</v>
      </c>
      <c r="D277" s="1" t="s">
        <v>680</v>
      </c>
      <c r="E277" s="2">
        <v>33.39</v>
      </c>
      <c r="F277" s="3">
        <v>441.3</v>
      </c>
      <c r="G277" s="2">
        <v>474.69</v>
      </c>
      <c r="H277" s="2">
        <v>1.07</v>
      </c>
      <c r="I277" s="4">
        <v>2</v>
      </c>
      <c r="J277" s="3">
        <v>0</v>
      </c>
      <c r="K277" s="4">
        <v>443</v>
      </c>
      <c r="L277" s="2">
        <v>308.91000000000003</v>
      </c>
      <c r="M277" s="2">
        <v>57.51</v>
      </c>
      <c r="N277" s="2">
        <v>63.58</v>
      </c>
      <c r="O277" s="2">
        <v>31.72</v>
      </c>
      <c r="P277" s="2">
        <v>3.4</v>
      </c>
      <c r="Q277" s="4">
        <v>146636</v>
      </c>
      <c r="R277" s="4">
        <v>2272</v>
      </c>
      <c r="S277" s="4">
        <v>148908</v>
      </c>
      <c r="T277" s="4">
        <v>25477</v>
      </c>
      <c r="U277" s="4">
        <v>28166</v>
      </c>
      <c r="V277" s="4">
        <v>331</v>
      </c>
      <c r="W277" s="4">
        <v>15140</v>
      </c>
      <c r="X277" s="4">
        <v>1621</v>
      </c>
      <c r="Y277" s="4">
        <v>219643</v>
      </c>
      <c r="Z277" s="4">
        <v>21840</v>
      </c>
      <c r="AA277" s="4">
        <v>197803</v>
      </c>
      <c r="AB277" s="4">
        <v>111006</v>
      </c>
      <c r="AC277" s="4">
        <v>86797</v>
      </c>
    </row>
    <row r="278" spans="1:29" x14ac:dyDescent="0.25">
      <c r="A278" s="1" t="s">
        <v>265</v>
      </c>
      <c r="B278" s="1" t="s">
        <v>740</v>
      </c>
      <c r="C278" s="1" t="s">
        <v>290</v>
      </c>
      <c r="D278" s="1" t="s">
        <v>681</v>
      </c>
      <c r="E278" s="2">
        <v>383.08</v>
      </c>
      <c r="F278" s="3">
        <v>2624.7</v>
      </c>
      <c r="G278" s="2">
        <v>3007.78</v>
      </c>
      <c r="H278" s="2">
        <v>6.78</v>
      </c>
      <c r="I278" s="4">
        <v>200</v>
      </c>
      <c r="J278" s="3">
        <v>0.6</v>
      </c>
      <c r="K278" s="4">
        <v>2824</v>
      </c>
      <c r="L278" s="2">
        <v>308.91000000000003</v>
      </c>
      <c r="M278" s="2">
        <v>57.51</v>
      </c>
      <c r="N278" s="2">
        <v>63.58</v>
      </c>
      <c r="O278" s="2">
        <v>31.72</v>
      </c>
      <c r="P278" s="2">
        <v>3.4</v>
      </c>
      <c r="Q278" s="4">
        <v>929133</v>
      </c>
      <c r="R278" s="4">
        <v>0</v>
      </c>
      <c r="S278" s="4">
        <v>929133</v>
      </c>
      <c r="T278" s="4">
        <v>162408</v>
      </c>
      <c r="U278" s="4">
        <v>179550</v>
      </c>
      <c r="V278" s="4">
        <v>2094</v>
      </c>
      <c r="W278" s="4">
        <v>95407</v>
      </c>
      <c r="X278" s="4">
        <v>10226</v>
      </c>
      <c r="Y278" s="4">
        <v>1378818</v>
      </c>
      <c r="Z278" s="4">
        <v>112825</v>
      </c>
      <c r="AA278" s="4">
        <v>1265993</v>
      </c>
      <c r="AB278" s="4">
        <v>728361</v>
      </c>
      <c r="AC278" s="4">
        <v>537632</v>
      </c>
    </row>
    <row r="279" spans="1:29" x14ac:dyDescent="0.25">
      <c r="A279" s="1" t="s">
        <v>265</v>
      </c>
      <c r="B279" s="1" t="s">
        <v>740</v>
      </c>
      <c r="C279" s="1" t="s">
        <v>291</v>
      </c>
      <c r="D279" s="1" t="s">
        <v>682</v>
      </c>
      <c r="E279" s="2">
        <v>67.41</v>
      </c>
      <c r="F279" s="3">
        <v>572.1</v>
      </c>
      <c r="G279" s="2">
        <v>639.51</v>
      </c>
      <c r="H279" s="2">
        <v>1.44</v>
      </c>
      <c r="I279" s="4">
        <v>0</v>
      </c>
      <c r="J279" s="3">
        <v>0</v>
      </c>
      <c r="K279" s="4">
        <v>572</v>
      </c>
      <c r="L279" s="2">
        <v>308.91000000000003</v>
      </c>
      <c r="M279" s="2">
        <v>57.51</v>
      </c>
      <c r="N279" s="2">
        <v>63.58</v>
      </c>
      <c r="O279" s="2">
        <v>31.72</v>
      </c>
      <c r="P279" s="2">
        <v>3.4</v>
      </c>
      <c r="Q279" s="4">
        <v>197551</v>
      </c>
      <c r="R279" s="4">
        <v>0</v>
      </c>
      <c r="S279" s="4">
        <v>197551</v>
      </c>
      <c r="T279" s="4">
        <v>32896</v>
      </c>
      <c r="U279" s="4">
        <v>36368</v>
      </c>
      <c r="V279" s="4">
        <v>445</v>
      </c>
      <c r="W279" s="4">
        <v>20285</v>
      </c>
      <c r="X279" s="4">
        <v>2174</v>
      </c>
      <c r="Y279" s="4">
        <v>289719</v>
      </c>
      <c r="Z279" s="4">
        <v>28459</v>
      </c>
      <c r="AA279" s="4">
        <v>261260</v>
      </c>
      <c r="AB279" s="4">
        <v>150392</v>
      </c>
      <c r="AC279" s="4">
        <v>110868</v>
      </c>
    </row>
    <row r="280" spans="1:29" x14ac:dyDescent="0.25">
      <c r="A280" s="1" t="s">
        <v>265</v>
      </c>
      <c r="B280" s="1" t="s">
        <v>740</v>
      </c>
      <c r="C280" s="1" t="s">
        <v>292</v>
      </c>
      <c r="D280" s="1" t="s">
        <v>683</v>
      </c>
      <c r="E280" s="2">
        <v>120.85</v>
      </c>
      <c r="F280" s="3">
        <v>803.5</v>
      </c>
      <c r="G280" s="2">
        <v>924.35</v>
      </c>
      <c r="H280" s="2">
        <v>2.08</v>
      </c>
      <c r="I280" s="4">
        <v>13</v>
      </c>
      <c r="J280" s="3">
        <v>0</v>
      </c>
      <c r="K280" s="4">
        <v>817</v>
      </c>
      <c r="L280" s="2">
        <v>308.91000000000003</v>
      </c>
      <c r="M280" s="2">
        <v>57.51</v>
      </c>
      <c r="N280" s="2">
        <v>63.58</v>
      </c>
      <c r="O280" s="2">
        <v>31.72</v>
      </c>
      <c r="P280" s="2">
        <v>3.4</v>
      </c>
      <c r="Q280" s="4">
        <v>285541</v>
      </c>
      <c r="R280" s="4">
        <v>2605</v>
      </c>
      <c r="S280" s="4">
        <v>288146</v>
      </c>
      <c r="T280" s="4">
        <v>46986</v>
      </c>
      <c r="U280" s="4">
        <v>51945</v>
      </c>
      <c r="V280" s="4">
        <v>643</v>
      </c>
      <c r="W280" s="4">
        <v>29343</v>
      </c>
      <c r="X280" s="4">
        <v>3143</v>
      </c>
      <c r="Y280" s="4">
        <v>420206</v>
      </c>
      <c r="Z280" s="4">
        <v>44838</v>
      </c>
      <c r="AA280" s="4">
        <v>375368</v>
      </c>
      <c r="AB280" s="4">
        <v>213697</v>
      </c>
      <c r="AC280" s="4">
        <v>161671</v>
      </c>
    </row>
    <row r="281" spans="1:29" x14ac:dyDescent="0.25">
      <c r="A281" s="1" t="s">
        <v>265</v>
      </c>
      <c r="B281" s="1" t="s">
        <v>740</v>
      </c>
      <c r="C281" s="1" t="s">
        <v>293</v>
      </c>
      <c r="D281" s="1" t="s">
        <v>684</v>
      </c>
      <c r="E281" s="2">
        <v>51.04</v>
      </c>
      <c r="F281" s="3">
        <v>229.7</v>
      </c>
      <c r="G281" s="2">
        <v>280.74</v>
      </c>
      <c r="H281" s="2">
        <v>0.63</v>
      </c>
      <c r="I281" s="4">
        <v>0</v>
      </c>
      <c r="J281" s="3">
        <v>0</v>
      </c>
      <c r="K281" s="4">
        <v>230</v>
      </c>
      <c r="L281" s="2">
        <v>308.91000000000003</v>
      </c>
      <c r="M281" s="2">
        <v>57.51</v>
      </c>
      <c r="N281" s="2">
        <v>63.58</v>
      </c>
      <c r="O281" s="2">
        <v>31.72</v>
      </c>
      <c r="P281" s="2">
        <v>3.4</v>
      </c>
      <c r="Q281" s="4">
        <v>86723</v>
      </c>
      <c r="R281" s="4">
        <v>6145</v>
      </c>
      <c r="S281" s="4">
        <v>92868</v>
      </c>
      <c r="T281" s="4">
        <v>13227</v>
      </c>
      <c r="U281" s="4">
        <v>14623</v>
      </c>
      <c r="V281" s="4">
        <v>195</v>
      </c>
      <c r="W281" s="4">
        <v>9097</v>
      </c>
      <c r="X281" s="4">
        <v>974</v>
      </c>
      <c r="Y281" s="4">
        <v>130984</v>
      </c>
      <c r="Z281" s="4">
        <v>14742</v>
      </c>
      <c r="AA281" s="4">
        <v>116242</v>
      </c>
      <c r="AB281" s="4">
        <v>63983</v>
      </c>
      <c r="AC281" s="4">
        <v>52259</v>
      </c>
    </row>
    <row r="282" spans="1:29" x14ac:dyDescent="0.25">
      <c r="A282" s="1" t="s">
        <v>265</v>
      </c>
      <c r="B282" s="1" t="s">
        <v>740</v>
      </c>
      <c r="C282" s="1" t="s">
        <v>294</v>
      </c>
      <c r="D282" s="1" t="s">
        <v>685</v>
      </c>
      <c r="E282" s="2">
        <v>92.69</v>
      </c>
      <c r="F282" s="3">
        <v>607</v>
      </c>
      <c r="G282" s="2">
        <v>699.69</v>
      </c>
      <c r="H282" s="2">
        <v>1.58</v>
      </c>
      <c r="I282" s="4">
        <v>1</v>
      </c>
      <c r="J282" s="3">
        <v>0</v>
      </c>
      <c r="K282" s="4">
        <v>608</v>
      </c>
      <c r="L282" s="2">
        <v>308.91000000000003</v>
      </c>
      <c r="M282" s="2">
        <v>57.51</v>
      </c>
      <c r="N282" s="2">
        <v>63.58</v>
      </c>
      <c r="O282" s="2">
        <v>31.72</v>
      </c>
      <c r="P282" s="2">
        <v>3.4</v>
      </c>
      <c r="Q282" s="4">
        <v>216141</v>
      </c>
      <c r="R282" s="4">
        <v>0</v>
      </c>
      <c r="S282" s="4">
        <v>216141</v>
      </c>
      <c r="T282" s="4">
        <v>34966</v>
      </c>
      <c r="U282" s="4">
        <v>38657</v>
      </c>
      <c r="V282" s="4">
        <v>488</v>
      </c>
      <c r="W282" s="4">
        <v>22194</v>
      </c>
      <c r="X282" s="4">
        <v>2379</v>
      </c>
      <c r="Y282" s="4">
        <v>314825</v>
      </c>
      <c r="Z282" s="4">
        <v>39236</v>
      </c>
      <c r="AA282" s="4">
        <v>275589</v>
      </c>
      <c r="AB282" s="4">
        <v>156447</v>
      </c>
      <c r="AC282" s="4">
        <v>119142</v>
      </c>
    </row>
    <row r="283" spans="1:29" x14ac:dyDescent="0.25">
      <c r="A283" s="1" t="s">
        <v>265</v>
      </c>
      <c r="B283" s="1" t="s">
        <v>740</v>
      </c>
      <c r="C283" s="1" t="s">
        <v>295</v>
      </c>
      <c r="D283" s="1" t="s">
        <v>686</v>
      </c>
      <c r="E283" s="2">
        <v>39.159999999999997</v>
      </c>
      <c r="F283" s="3">
        <v>230.5</v>
      </c>
      <c r="G283" s="2">
        <v>269.66000000000003</v>
      </c>
      <c r="H283" s="2">
        <v>0.61</v>
      </c>
      <c r="I283" s="4">
        <v>0</v>
      </c>
      <c r="J283" s="3">
        <v>0</v>
      </c>
      <c r="K283" s="4">
        <v>231</v>
      </c>
      <c r="L283" s="2">
        <v>308.91000000000003</v>
      </c>
      <c r="M283" s="2">
        <v>57.51</v>
      </c>
      <c r="N283" s="2">
        <v>63.58</v>
      </c>
      <c r="O283" s="2">
        <v>31.72</v>
      </c>
      <c r="P283" s="2">
        <v>3.4</v>
      </c>
      <c r="Q283" s="4">
        <v>83301</v>
      </c>
      <c r="R283" s="4">
        <v>4792</v>
      </c>
      <c r="S283" s="4">
        <v>88093</v>
      </c>
      <c r="T283" s="4">
        <v>13285</v>
      </c>
      <c r="U283" s="4">
        <v>14687</v>
      </c>
      <c r="V283" s="4">
        <v>188</v>
      </c>
      <c r="W283" s="4">
        <v>8554</v>
      </c>
      <c r="X283" s="4">
        <v>917</v>
      </c>
      <c r="Y283" s="4">
        <v>125724</v>
      </c>
      <c r="Z283" s="4">
        <v>15048</v>
      </c>
      <c r="AA283" s="4">
        <v>110676</v>
      </c>
      <c r="AB283" s="4">
        <v>60369</v>
      </c>
      <c r="AC283" s="4">
        <v>50307</v>
      </c>
    </row>
    <row r="284" spans="1:29" x14ac:dyDescent="0.25">
      <c r="A284" s="1" t="s">
        <v>265</v>
      </c>
      <c r="B284" s="1" t="s">
        <v>740</v>
      </c>
      <c r="C284" s="1" t="s">
        <v>296</v>
      </c>
      <c r="D284" s="1" t="s">
        <v>687</v>
      </c>
      <c r="E284" s="2">
        <v>77.22</v>
      </c>
      <c r="F284" s="3">
        <v>641.6</v>
      </c>
      <c r="G284" s="2">
        <v>718.82</v>
      </c>
      <c r="H284" s="2">
        <v>1.62</v>
      </c>
      <c r="I284" s="4">
        <v>12</v>
      </c>
      <c r="J284" s="3">
        <v>0</v>
      </c>
      <c r="K284" s="4">
        <v>654</v>
      </c>
      <c r="L284" s="2">
        <v>308.91000000000003</v>
      </c>
      <c r="M284" s="2">
        <v>57.51</v>
      </c>
      <c r="N284" s="2">
        <v>63.58</v>
      </c>
      <c r="O284" s="2">
        <v>31.72</v>
      </c>
      <c r="P284" s="2">
        <v>3.4</v>
      </c>
      <c r="Q284" s="4">
        <v>222051</v>
      </c>
      <c r="R284" s="4">
        <v>0</v>
      </c>
      <c r="S284" s="4">
        <v>222051</v>
      </c>
      <c r="T284" s="4">
        <v>37612</v>
      </c>
      <c r="U284" s="4">
        <v>41581</v>
      </c>
      <c r="V284" s="4">
        <v>500</v>
      </c>
      <c r="W284" s="4">
        <v>22801</v>
      </c>
      <c r="X284" s="4">
        <v>2444</v>
      </c>
      <c r="Y284" s="4">
        <v>326989</v>
      </c>
      <c r="Z284" s="4">
        <v>39610</v>
      </c>
      <c r="AA284" s="4">
        <v>287379</v>
      </c>
      <c r="AB284" s="4">
        <v>161422</v>
      </c>
      <c r="AC284" s="4">
        <v>125957</v>
      </c>
    </row>
    <row r="285" spans="1:29" x14ac:dyDescent="0.25">
      <c r="A285" s="1" t="s">
        <v>265</v>
      </c>
      <c r="B285" s="1" t="s">
        <v>740</v>
      </c>
      <c r="C285" s="1" t="s">
        <v>297</v>
      </c>
      <c r="D285" s="1" t="s">
        <v>688</v>
      </c>
      <c r="E285" s="2">
        <v>29.07</v>
      </c>
      <c r="F285" s="3">
        <v>172.1</v>
      </c>
      <c r="G285" s="2">
        <v>201.17</v>
      </c>
      <c r="H285" s="2">
        <v>0.45</v>
      </c>
      <c r="I285" s="4">
        <v>8</v>
      </c>
      <c r="J285" s="3">
        <v>0</v>
      </c>
      <c r="K285" s="4">
        <v>180</v>
      </c>
      <c r="L285" s="2">
        <v>308.91000000000003</v>
      </c>
      <c r="M285" s="2">
        <v>57.51</v>
      </c>
      <c r="N285" s="2">
        <v>63.58</v>
      </c>
      <c r="O285" s="2">
        <v>31.72</v>
      </c>
      <c r="P285" s="2">
        <v>3.4</v>
      </c>
      <c r="Q285" s="4">
        <v>62143</v>
      </c>
      <c r="R285" s="4">
        <v>10623</v>
      </c>
      <c r="S285" s="4">
        <v>72766</v>
      </c>
      <c r="T285" s="4">
        <v>10352</v>
      </c>
      <c r="U285" s="4">
        <v>11444</v>
      </c>
      <c r="V285" s="4">
        <v>139</v>
      </c>
      <c r="W285" s="4">
        <v>6817</v>
      </c>
      <c r="X285" s="4">
        <v>730</v>
      </c>
      <c r="Y285" s="4">
        <v>102248</v>
      </c>
      <c r="Z285" s="4">
        <v>14187</v>
      </c>
      <c r="AA285" s="4">
        <v>88061</v>
      </c>
      <c r="AB285" s="4">
        <v>42555</v>
      </c>
      <c r="AC285" s="4">
        <v>45506</v>
      </c>
    </row>
    <row r="286" spans="1:29" x14ac:dyDescent="0.25">
      <c r="A286" s="1" t="s">
        <v>265</v>
      </c>
      <c r="B286" s="1" t="s">
        <v>740</v>
      </c>
      <c r="C286" s="1" t="s">
        <v>298</v>
      </c>
      <c r="D286" s="1" t="s">
        <v>689</v>
      </c>
      <c r="E286" s="2">
        <v>129.74</v>
      </c>
      <c r="F286" s="3">
        <v>1039.2</v>
      </c>
      <c r="G286" s="2">
        <v>1168.94</v>
      </c>
      <c r="H286" s="2">
        <v>2.64</v>
      </c>
      <c r="I286" s="4">
        <v>0</v>
      </c>
      <c r="J286" s="3">
        <v>0</v>
      </c>
      <c r="K286" s="4">
        <v>1039</v>
      </c>
      <c r="L286" s="2">
        <v>308.91000000000003</v>
      </c>
      <c r="M286" s="2">
        <v>57.51</v>
      </c>
      <c r="N286" s="2">
        <v>63.58</v>
      </c>
      <c r="O286" s="2">
        <v>31.72</v>
      </c>
      <c r="P286" s="2">
        <v>3.4</v>
      </c>
      <c r="Q286" s="4">
        <v>361097</v>
      </c>
      <c r="R286" s="4">
        <v>18780</v>
      </c>
      <c r="S286" s="4">
        <v>379877</v>
      </c>
      <c r="T286" s="4">
        <v>59753</v>
      </c>
      <c r="U286" s="4">
        <v>66060</v>
      </c>
      <c r="V286" s="4">
        <v>816</v>
      </c>
      <c r="W286" s="4">
        <v>37079</v>
      </c>
      <c r="X286" s="4">
        <v>3974</v>
      </c>
      <c r="Y286" s="4">
        <v>547559</v>
      </c>
      <c r="Z286" s="4">
        <v>62151</v>
      </c>
      <c r="AA286" s="4">
        <v>485408</v>
      </c>
      <c r="AB286" s="4">
        <v>264768</v>
      </c>
      <c r="AC286" s="4">
        <v>220640</v>
      </c>
    </row>
    <row r="287" spans="1:29" x14ac:dyDescent="0.25">
      <c r="A287" s="1" t="s">
        <v>265</v>
      </c>
      <c r="B287" s="1" t="s">
        <v>740</v>
      </c>
      <c r="C287" s="1" t="s">
        <v>299</v>
      </c>
      <c r="D287" s="1" t="s">
        <v>690</v>
      </c>
      <c r="E287" s="2">
        <v>77.239999999999995</v>
      </c>
      <c r="F287" s="3">
        <v>705</v>
      </c>
      <c r="G287" s="2">
        <v>782.24</v>
      </c>
      <c r="H287" s="2">
        <v>1.76</v>
      </c>
      <c r="I287" s="4">
        <v>4</v>
      </c>
      <c r="J287" s="3">
        <v>0</v>
      </c>
      <c r="K287" s="4">
        <v>709</v>
      </c>
      <c r="L287" s="2">
        <v>308.91000000000003</v>
      </c>
      <c r="M287" s="2">
        <v>57.51</v>
      </c>
      <c r="N287" s="2">
        <v>63.58</v>
      </c>
      <c r="O287" s="2">
        <v>31.72</v>
      </c>
      <c r="P287" s="2">
        <v>3.4</v>
      </c>
      <c r="Q287" s="4">
        <v>241642</v>
      </c>
      <c r="R287" s="4">
        <v>0</v>
      </c>
      <c r="S287" s="4">
        <v>241642</v>
      </c>
      <c r="T287" s="4">
        <v>40775</v>
      </c>
      <c r="U287" s="4">
        <v>45078</v>
      </c>
      <c r="V287" s="4">
        <v>544</v>
      </c>
      <c r="W287" s="4">
        <v>24813</v>
      </c>
      <c r="X287" s="4">
        <v>2660</v>
      </c>
      <c r="Y287" s="4">
        <v>355512</v>
      </c>
      <c r="Z287" s="4">
        <v>33188</v>
      </c>
      <c r="AA287" s="4">
        <v>322324</v>
      </c>
      <c r="AB287" s="4">
        <v>185581</v>
      </c>
      <c r="AC287" s="4">
        <v>136743</v>
      </c>
    </row>
    <row r="288" spans="1:29" x14ac:dyDescent="0.25">
      <c r="A288" s="1" t="s">
        <v>265</v>
      </c>
      <c r="B288" s="1" t="s">
        <v>740</v>
      </c>
      <c r="C288" s="1" t="s">
        <v>300</v>
      </c>
      <c r="D288" s="1" t="s">
        <v>691</v>
      </c>
      <c r="E288" s="2">
        <v>137.88999999999999</v>
      </c>
      <c r="F288" s="3">
        <v>1058.4000000000001</v>
      </c>
      <c r="G288" s="2">
        <v>1196.29</v>
      </c>
      <c r="H288" s="2">
        <v>2.7</v>
      </c>
      <c r="I288" s="4">
        <v>10</v>
      </c>
      <c r="J288" s="3">
        <v>0</v>
      </c>
      <c r="K288" s="4">
        <v>1068</v>
      </c>
      <c r="L288" s="2">
        <v>308.91000000000003</v>
      </c>
      <c r="M288" s="2">
        <v>57.51</v>
      </c>
      <c r="N288" s="2">
        <v>63.58</v>
      </c>
      <c r="O288" s="2">
        <v>31.72</v>
      </c>
      <c r="P288" s="2">
        <v>3.4</v>
      </c>
      <c r="Q288" s="4">
        <v>369546</v>
      </c>
      <c r="R288" s="4">
        <v>0</v>
      </c>
      <c r="S288" s="4">
        <v>369546</v>
      </c>
      <c r="T288" s="4">
        <v>61421</v>
      </c>
      <c r="U288" s="4">
        <v>67903</v>
      </c>
      <c r="V288" s="4">
        <v>834</v>
      </c>
      <c r="W288" s="4">
        <v>37946</v>
      </c>
      <c r="X288" s="4">
        <v>4067</v>
      </c>
      <c r="Y288" s="4">
        <v>541717</v>
      </c>
      <c r="Z288" s="4">
        <v>57385</v>
      </c>
      <c r="AA288" s="4">
        <v>484332</v>
      </c>
      <c r="AB288" s="4">
        <v>277182</v>
      </c>
      <c r="AC288" s="4">
        <v>207150</v>
      </c>
    </row>
    <row r="289" spans="1:29" x14ac:dyDescent="0.25">
      <c r="A289" s="1" t="s">
        <v>265</v>
      </c>
      <c r="B289" s="1" t="s">
        <v>740</v>
      </c>
      <c r="C289" s="1" t="s">
        <v>301</v>
      </c>
      <c r="D289" s="1" t="s">
        <v>692</v>
      </c>
      <c r="E289" s="2">
        <v>52.86</v>
      </c>
      <c r="F289" s="3">
        <v>372.8</v>
      </c>
      <c r="G289" s="2">
        <v>425.66</v>
      </c>
      <c r="H289" s="2">
        <v>0.96</v>
      </c>
      <c r="I289" s="4">
        <v>0</v>
      </c>
      <c r="J289" s="3">
        <v>0</v>
      </c>
      <c r="K289" s="4">
        <v>373</v>
      </c>
      <c r="L289" s="2">
        <v>308.91000000000003</v>
      </c>
      <c r="M289" s="2">
        <v>57.51</v>
      </c>
      <c r="N289" s="2">
        <v>63.58</v>
      </c>
      <c r="O289" s="2">
        <v>31.72</v>
      </c>
      <c r="P289" s="2">
        <v>3.4</v>
      </c>
      <c r="Q289" s="4">
        <v>131491</v>
      </c>
      <c r="R289" s="4">
        <v>6235</v>
      </c>
      <c r="S289" s="4">
        <v>137726</v>
      </c>
      <c r="T289" s="4">
        <v>21451</v>
      </c>
      <c r="U289" s="4">
        <v>23715</v>
      </c>
      <c r="V289" s="4">
        <v>297</v>
      </c>
      <c r="W289" s="4">
        <v>13821</v>
      </c>
      <c r="X289" s="4">
        <v>1480</v>
      </c>
      <c r="Y289" s="4">
        <v>198490</v>
      </c>
      <c r="Z289" s="4">
        <v>22474</v>
      </c>
      <c r="AA289" s="4">
        <v>176016</v>
      </c>
      <c r="AB289" s="4">
        <v>96922</v>
      </c>
      <c r="AC289" s="4">
        <v>79094</v>
      </c>
    </row>
    <row r="290" spans="1:29" x14ac:dyDescent="0.25">
      <c r="A290" s="1" t="s">
        <v>265</v>
      </c>
      <c r="B290" s="1" t="s">
        <v>740</v>
      </c>
      <c r="C290" s="1" t="s">
        <v>302</v>
      </c>
      <c r="D290" s="1" t="s">
        <v>693</v>
      </c>
      <c r="E290" s="2">
        <v>35.86</v>
      </c>
      <c r="F290" s="3">
        <v>207</v>
      </c>
      <c r="G290" s="2">
        <v>242.86</v>
      </c>
      <c r="H290" s="2">
        <v>0.55000000000000004</v>
      </c>
      <c r="I290" s="4">
        <v>0</v>
      </c>
      <c r="J290" s="3">
        <v>0</v>
      </c>
      <c r="K290" s="4">
        <v>207</v>
      </c>
      <c r="L290" s="2">
        <v>308.91000000000003</v>
      </c>
      <c r="M290" s="2">
        <v>57.51</v>
      </c>
      <c r="N290" s="2">
        <v>63.58</v>
      </c>
      <c r="O290" s="2">
        <v>31.72</v>
      </c>
      <c r="P290" s="2">
        <v>3.4</v>
      </c>
      <c r="Q290" s="4">
        <v>75022</v>
      </c>
      <c r="R290" s="4">
        <v>4226</v>
      </c>
      <c r="S290" s="4">
        <v>79248</v>
      </c>
      <c r="T290" s="4">
        <v>11905</v>
      </c>
      <c r="U290" s="4">
        <v>13161</v>
      </c>
      <c r="V290" s="4">
        <v>170</v>
      </c>
      <c r="W290" s="4">
        <v>7704</v>
      </c>
      <c r="X290" s="4">
        <v>826</v>
      </c>
      <c r="Y290" s="4">
        <v>113014</v>
      </c>
      <c r="Z290" s="4">
        <v>15658</v>
      </c>
      <c r="AA290" s="4">
        <v>97356</v>
      </c>
      <c r="AB290" s="4">
        <v>52264</v>
      </c>
      <c r="AC290" s="4">
        <v>45092</v>
      </c>
    </row>
    <row r="291" spans="1:29" x14ac:dyDescent="0.25">
      <c r="A291" s="1" t="s">
        <v>265</v>
      </c>
      <c r="B291" s="1" t="s">
        <v>740</v>
      </c>
      <c r="C291" s="1" t="s">
        <v>303</v>
      </c>
      <c r="D291" s="1" t="s">
        <v>694</v>
      </c>
      <c r="E291" s="2">
        <v>20.59</v>
      </c>
      <c r="F291" s="3">
        <v>170</v>
      </c>
      <c r="G291" s="2">
        <v>190.59</v>
      </c>
      <c r="H291" s="2">
        <v>0.43</v>
      </c>
      <c r="I291" s="4">
        <v>0</v>
      </c>
      <c r="J291" s="3">
        <v>0</v>
      </c>
      <c r="K291" s="4">
        <v>170</v>
      </c>
      <c r="L291" s="2">
        <v>308.91000000000003</v>
      </c>
      <c r="M291" s="2">
        <v>57.51</v>
      </c>
      <c r="N291" s="2">
        <v>63.58</v>
      </c>
      <c r="O291" s="2">
        <v>31.72</v>
      </c>
      <c r="P291" s="2">
        <v>3.4</v>
      </c>
      <c r="Q291" s="4">
        <v>58875</v>
      </c>
      <c r="R291" s="4">
        <v>7349</v>
      </c>
      <c r="S291" s="4">
        <v>66224</v>
      </c>
      <c r="T291" s="4">
        <v>9777</v>
      </c>
      <c r="U291" s="4">
        <v>10809</v>
      </c>
      <c r="V291" s="4">
        <v>133</v>
      </c>
      <c r="W291" s="4">
        <v>6046</v>
      </c>
      <c r="X291" s="4">
        <v>648</v>
      </c>
      <c r="Y291" s="4">
        <v>93637</v>
      </c>
      <c r="Z291" s="4">
        <v>12066</v>
      </c>
      <c r="AA291" s="4">
        <v>81571</v>
      </c>
      <c r="AB291" s="4">
        <v>41237</v>
      </c>
      <c r="AC291" s="4">
        <v>40334</v>
      </c>
    </row>
    <row r="292" spans="1:29" x14ac:dyDescent="0.25">
      <c r="A292" s="1" t="s">
        <v>265</v>
      </c>
      <c r="B292" s="1" t="s">
        <v>740</v>
      </c>
      <c r="C292" s="1" t="s">
        <v>304</v>
      </c>
      <c r="D292" s="1" t="s">
        <v>695</v>
      </c>
      <c r="E292" s="2">
        <v>42.42</v>
      </c>
      <c r="F292" s="3">
        <v>623.70000000000005</v>
      </c>
      <c r="G292" s="2">
        <v>666.12</v>
      </c>
      <c r="H292" s="2">
        <v>1.5</v>
      </c>
      <c r="I292" s="4">
        <v>50</v>
      </c>
      <c r="J292" s="3">
        <v>0</v>
      </c>
      <c r="K292" s="4">
        <v>674</v>
      </c>
      <c r="L292" s="2">
        <v>308.91000000000003</v>
      </c>
      <c r="M292" s="2">
        <v>57.51</v>
      </c>
      <c r="N292" s="2">
        <v>63.58</v>
      </c>
      <c r="O292" s="2">
        <v>31.72</v>
      </c>
      <c r="P292" s="2">
        <v>3.4</v>
      </c>
      <c r="Q292" s="4">
        <v>205771</v>
      </c>
      <c r="R292" s="4">
        <v>0</v>
      </c>
      <c r="S292" s="4">
        <v>205771</v>
      </c>
      <c r="T292" s="4">
        <v>38762</v>
      </c>
      <c r="U292" s="4">
        <v>42853</v>
      </c>
      <c r="V292" s="4">
        <v>463</v>
      </c>
      <c r="W292" s="4">
        <v>21129</v>
      </c>
      <c r="X292" s="4">
        <v>2265</v>
      </c>
      <c r="Y292" s="4">
        <v>311243</v>
      </c>
      <c r="Z292" s="4">
        <v>22629</v>
      </c>
      <c r="AA292" s="4">
        <v>288614</v>
      </c>
      <c r="AB292" s="4">
        <v>163664</v>
      </c>
      <c r="AC292" s="4">
        <v>124950</v>
      </c>
    </row>
    <row r="293" spans="1:29" x14ac:dyDescent="0.25">
      <c r="A293" s="1" t="s">
        <v>265</v>
      </c>
      <c r="B293" s="1" t="s">
        <v>740</v>
      </c>
      <c r="C293" s="1" t="s">
        <v>305</v>
      </c>
      <c r="D293" s="1" t="s">
        <v>696</v>
      </c>
      <c r="E293" s="2">
        <v>65.81</v>
      </c>
      <c r="F293" s="3">
        <v>657</v>
      </c>
      <c r="G293" s="2">
        <v>722.81</v>
      </c>
      <c r="H293" s="2">
        <v>1.63</v>
      </c>
      <c r="I293" s="4">
        <v>4</v>
      </c>
      <c r="J293" s="3">
        <v>0</v>
      </c>
      <c r="K293" s="4">
        <v>661</v>
      </c>
      <c r="L293" s="2">
        <v>308.91000000000003</v>
      </c>
      <c r="M293" s="2">
        <v>57.51</v>
      </c>
      <c r="N293" s="2">
        <v>63.58</v>
      </c>
      <c r="O293" s="2">
        <v>31.72</v>
      </c>
      <c r="P293" s="2">
        <v>3.4</v>
      </c>
      <c r="Q293" s="4">
        <v>223283</v>
      </c>
      <c r="R293" s="4">
        <v>0</v>
      </c>
      <c r="S293" s="4">
        <v>223283</v>
      </c>
      <c r="T293" s="4">
        <v>38014</v>
      </c>
      <c r="U293" s="4">
        <v>42026</v>
      </c>
      <c r="V293" s="4">
        <v>504</v>
      </c>
      <c r="W293" s="4">
        <v>22928</v>
      </c>
      <c r="X293" s="4">
        <v>2458</v>
      </c>
      <c r="Y293" s="4">
        <v>329213</v>
      </c>
      <c r="Z293" s="4">
        <v>33287</v>
      </c>
      <c r="AA293" s="4">
        <v>295926</v>
      </c>
      <c r="AB293" s="4">
        <v>168862</v>
      </c>
      <c r="AC293" s="4">
        <v>127064</v>
      </c>
    </row>
    <row r="294" spans="1:29" x14ac:dyDescent="0.25">
      <c r="A294" s="1" t="s">
        <v>265</v>
      </c>
      <c r="B294" s="1" t="s">
        <v>740</v>
      </c>
      <c r="C294" s="1" t="s">
        <v>306</v>
      </c>
      <c r="D294" s="1" t="s">
        <v>697</v>
      </c>
      <c r="E294" s="2">
        <v>70.64</v>
      </c>
      <c r="F294" s="3">
        <v>690</v>
      </c>
      <c r="G294" s="2">
        <v>760.64</v>
      </c>
      <c r="H294" s="2">
        <v>1.72</v>
      </c>
      <c r="I294" s="4">
        <v>19</v>
      </c>
      <c r="J294" s="3">
        <v>0</v>
      </c>
      <c r="K294" s="4">
        <v>709</v>
      </c>
      <c r="L294" s="2">
        <v>308.91000000000003</v>
      </c>
      <c r="M294" s="2">
        <v>57.51</v>
      </c>
      <c r="N294" s="2">
        <v>63.58</v>
      </c>
      <c r="O294" s="2">
        <v>31.72</v>
      </c>
      <c r="P294" s="2">
        <v>3.4</v>
      </c>
      <c r="Q294" s="4">
        <v>234969</v>
      </c>
      <c r="R294" s="4">
        <v>6278</v>
      </c>
      <c r="S294" s="4">
        <v>241247</v>
      </c>
      <c r="T294" s="4">
        <v>40775</v>
      </c>
      <c r="U294" s="4">
        <v>45078</v>
      </c>
      <c r="V294" s="4">
        <v>531</v>
      </c>
      <c r="W294" s="4">
        <v>24774</v>
      </c>
      <c r="X294" s="4">
        <v>2652</v>
      </c>
      <c r="Y294" s="4">
        <v>355057</v>
      </c>
      <c r="Z294" s="4">
        <v>30799</v>
      </c>
      <c r="AA294" s="4">
        <v>324258</v>
      </c>
      <c r="AB294" s="4">
        <v>182643</v>
      </c>
      <c r="AC294" s="4">
        <v>141615</v>
      </c>
    </row>
    <row r="295" spans="1:29" x14ac:dyDescent="0.25">
      <c r="A295" s="1" t="s">
        <v>265</v>
      </c>
      <c r="B295" s="1" t="s">
        <v>740</v>
      </c>
      <c r="C295" s="1" t="s">
        <v>307</v>
      </c>
      <c r="D295" s="1" t="s">
        <v>698</v>
      </c>
      <c r="E295" s="2">
        <v>22.81</v>
      </c>
      <c r="F295" s="3">
        <v>290.2</v>
      </c>
      <c r="G295" s="2">
        <v>313.01</v>
      </c>
      <c r="H295" s="2">
        <v>0.71</v>
      </c>
      <c r="I295" s="4">
        <v>0</v>
      </c>
      <c r="J295" s="3">
        <v>0</v>
      </c>
      <c r="K295" s="4">
        <v>290</v>
      </c>
      <c r="L295" s="2">
        <v>308.91000000000003</v>
      </c>
      <c r="M295" s="2">
        <v>57.51</v>
      </c>
      <c r="N295" s="2">
        <v>63.58</v>
      </c>
      <c r="O295" s="2">
        <v>31.72</v>
      </c>
      <c r="P295" s="2">
        <v>3.4</v>
      </c>
      <c r="Q295" s="4">
        <v>96692</v>
      </c>
      <c r="R295" s="4">
        <v>16144</v>
      </c>
      <c r="S295" s="4">
        <v>112836</v>
      </c>
      <c r="T295" s="4">
        <v>16678</v>
      </c>
      <c r="U295" s="4">
        <v>18438</v>
      </c>
      <c r="V295" s="4">
        <v>219</v>
      </c>
      <c r="W295" s="4">
        <v>10287</v>
      </c>
      <c r="X295" s="4">
        <v>1101</v>
      </c>
      <c r="Y295" s="4">
        <v>159559</v>
      </c>
      <c r="Z295" s="4">
        <v>20643</v>
      </c>
      <c r="AA295" s="4">
        <v>138916</v>
      </c>
      <c r="AB295" s="4">
        <v>67293</v>
      </c>
      <c r="AC295" s="4">
        <v>71623</v>
      </c>
    </row>
    <row r="296" spans="1:29" x14ac:dyDescent="0.25">
      <c r="A296" s="1" t="s">
        <v>265</v>
      </c>
      <c r="B296" s="1" t="s">
        <v>740</v>
      </c>
      <c r="C296" s="1" t="s">
        <v>308</v>
      </c>
      <c r="D296" s="1" t="s">
        <v>699</v>
      </c>
      <c r="E296" s="2">
        <v>47.86</v>
      </c>
      <c r="F296" s="3">
        <v>322.60000000000002</v>
      </c>
      <c r="G296" s="2">
        <v>370.46</v>
      </c>
      <c r="H296" s="2">
        <v>0.84</v>
      </c>
      <c r="I296" s="4">
        <v>0</v>
      </c>
      <c r="J296" s="3">
        <v>0</v>
      </c>
      <c r="K296" s="4">
        <v>323</v>
      </c>
      <c r="L296" s="2">
        <v>308.91000000000003</v>
      </c>
      <c r="M296" s="2">
        <v>57.51</v>
      </c>
      <c r="N296" s="2">
        <v>63.58</v>
      </c>
      <c r="O296" s="2">
        <v>31.72</v>
      </c>
      <c r="P296" s="2">
        <v>3.4</v>
      </c>
      <c r="Q296" s="4">
        <v>114439</v>
      </c>
      <c r="R296" s="4">
        <v>33521</v>
      </c>
      <c r="S296" s="4">
        <v>147960</v>
      </c>
      <c r="T296" s="4">
        <v>18576</v>
      </c>
      <c r="U296" s="4">
        <v>20536</v>
      </c>
      <c r="V296" s="4">
        <v>259</v>
      </c>
      <c r="W296" s="4">
        <v>12689</v>
      </c>
      <c r="X296" s="4">
        <v>1359</v>
      </c>
      <c r="Y296" s="4">
        <v>201379</v>
      </c>
      <c r="Z296" s="4">
        <v>25347</v>
      </c>
      <c r="AA296" s="4">
        <v>176032</v>
      </c>
      <c r="AB296" s="4">
        <v>79298</v>
      </c>
      <c r="AC296" s="4">
        <v>96734</v>
      </c>
    </row>
    <row r="297" spans="1:29" x14ac:dyDescent="0.25">
      <c r="A297" s="1" t="s">
        <v>265</v>
      </c>
      <c r="B297" s="1" t="s">
        <v>740</v>
      </c>
      <c r="C297" s="1" t="s">
        <v>309</v>
      </c>
      <c r="D297" s="1" t="s">
        <v>700</v>
      </c>
      <c r="E297" s="2">
        <v>40.799999999999997</v>
      </c>
      <c r="F297" s="3">
        <v>454.1</v>
      </c>
      <c r="G297" s="2">
        <v>494.9</v>
      </c>
      <c r="H297" s="2">
        <v>1.1200000000000001</v>
      </c>
      <c r="I297" s="4">
        <v>5</v>
      </c>
      <c r="J297" s="3">
        <v>0</v>
      </c>
      <c r="K297" s="4">
        <v>459</v>
      </c>
      <c r="L297" s="2">
        <v>308.91000000000003</v>
      </c>
      <c r="M297" s="2">
        <v>57.51</v>
      </c>
      <c r="N297" s="2">
        <v>63.58</v>
      </c>
      <c r="O297" s="2">
        <v>31.72</v>
      </c>
      <c r="P297" s="2">
        <v>3.4</v>
      </c>
      <c r="Q297" s="4">
        <v>152880</v>
      </c>
      <c r="R297" s="4">
        <v>1606</v>
      </c>
      <c r="S297" s="4">
        <v>154486</v>
      </c>
      <c r="T297" s="4">
        <v>26397</v>
      </c>
      <c r="U297" s="4">
        <v>29183</v>
      </c>
      <c r="V297" s="4">
        <v>346</v>
      </c>
      <c r="W297" s="4">
        <v>15698</v>
      </c>
      <c r="X297" s="4">
        <v>1683</v>
      </c>
      <c r="Y297" s="4">
        <v>227793</v>
      </c>
      <c r="Z297" s="4">
        <v>25428</v>
      </c>
      <c r="AA297" s="4">
        <v>202365</v>
      </c>
      <c r="AB297" s="4">
        <v>112982</v>
      </c>
      <c r="AC297" s="4">
        <v>89383</v>
      </c>
    </row>
    <row r="298" spans="1:29" x14ac:dyDescent="0.25">
      <c r="A298" s="1" t="s">
        <v>310</v>
      </c>
      <c r="B298" s="1" t="s">
        <v>741</v>
      </c>
      <c r="C298" s="1" t="s">
        <v>311</v>
      </c>
      <c r="D298" s="1" t="s">
        <v>701</v>
      </c>
      <c r="E298" s="2">
        <v>133.61000000000001</v>
      </c>
      <c r="F298" s="3">
        <v>1151.0999999999999</v>
      </c>
      <c r="G298" s="2">
        <v>1284.71</v>
      </c>
      <c r="H298" s="2">
        <v>3.22</v>
      </c>
      <c r="I298" s="4">
        <v>1</v>
      </c>
      <c r="J298" s="3">
        <v>0</v>
      </c>
      <c r="K298" s="4">
        <v>1152</v>
      </c>
      <c r="L298" s="2">
        <v>306.27</v>
      </c>
      <c r="M298" s="2">
        <v>57.48</v>
      </c>
      <c r="N298" s="2">
        <v>63.15</v>
      </c>
      <c r="O298" s="2">
        <v>30.73</v>
      </c>
      <c r="P298" s="2">
        <v>3.35</v>
      </c>
      <c r="Q298" s="4">
        <v>393468</v>
      </c>
      <c r="R298" s="4">
        <v>0</v>
      </c>
      <c r="S298" s="4">
        <v>393468</v>
      </c>
      <c r="T298" s="4">
        <v>66217</v>
      </c>
      <c r="U298" s="4">
        <v>72749</v>
      </c>
      <c r="V298" s="4">
        <v>986</v>
      </c>
      <c r="W298" s="4">
        <v>39479</v>
      </c>
      <c r="X298" s="4">
        <v>4304</v>
      </c>
      <c r="Y298" s="4">
        <v>577203</v>
      </c>
      <c r="Z298" s="4">
        <v>57955</v>
      </c>
      <c r="AA298" s="4">
        <v>519248</v>
      </c>
      <c r="AB298" s="4">
        <v>300083</v>
      </c>
      <c r="AC298" s="4">
        <v>219165</v>
      </c>
    </row>
    <row r="299" spans="1:29" x14ac:dyDescent="0.25">
      <c r="A299" s="1" t="s">
        <v>310</v>
      </c>
      <c r="B299" s="1" t="s">
        <v>741</v>
      </c>
      <c r="C299" s="1" t="s">
        <v>312</v>
      </c>
      <c r="D299" s="1" t="s">
        <v>702</v>
      </c>
      <c r="E299" s="2">
        <v>738.68</v>
      </c>
      <c r="F299" s="3">
        <v>4085.6</v>
      </c>
      <c r="G299" s="2">
        <v>4824.28</v>
      </c>
      <c r="H299" s="2">
        <v>12.1</v>
      </c>
      <c r="I299" s="4">
        <v>342</v>
      </c>
      <c r="J299" s="3">
        <v>2.9</v>
      </c>
      <c r="K299" s="4">
        <v>4425</v>
      </c>
      <c r="L299" s="2">
        <v>306.27</v>
      </c>
      <c r="M299" s="2">
        <v>57.48</v>
      </c>
      <c r="N299" s="2">
        <v>63.15</v>
      </c>
      <c r="O299" s="2">
        <v>30.73</v>
      </c>
      <c r="P299" s="2">
        <v>3.35</v>
      </c>
      <c r="Q299" s="4">
        <v>1477532</v>
      </c>
      <c r="R299" s="4">
        <v>44934</v>
      </c>
      <c r="S299" s="4">
        <v>1522466</v>
      </c>
      <c r="T299" s="4">
        <v>254349</v>
      </c>
      <c r="U299" s="4">
        <v>279439</v>
      </c>
      <c r="V299" s="4">
        <v>3706</v>
      </c>
      <c r="W299" s="4">
        <v>148250</v>
      </c>
      <c r="X299" s="4">
        <v>16161</v>
      </c>
      <c r="Y299" s="4">
        <v>2224371</v>
      </c>
      <c r="Z299" s="4">
        <v>231008</v>
      </c>
      <c r="AA299" s="4">
        <v>1993363</v>
      </c>
      <c r="AB299" s="4">
        <v>1113480</v>
      </c>
      <c r="AC299" s="4">
        <v>879883</v>
      </c>
    </row>
    <row r="300" spans="1:29" x14ac:dyDescent="0.25">
      <c r="A300" s="1" t="s">
        <v>310</v>
      </c>
      <c r="B300" s="1" t="s">
        <v>741</v>
      </c>
      <c r="C300" s="1" t="s">
        <v>313</v>
      </c>
      <c r="D300" s="1" t="s">
        <v>703</v>
      </c>
      <c r="E300" s="2">
        <v>95.1</v>
      </c>
      <c r="F300" s="3">
        <v>588.70000000000005</v>
      </c>
      <c r="G300" s="2">
        <v>683.8</v>
      </c>
      <c r="H300" s="2">
        <v>1.71</v>
      </c>
      <c r="I300" s="4">
        <v>0</v>
      </c>
      <c r="J300" s="3">
        <v>0</v>
      </c>
      <c r="K300" s="4">
        <v>589</v>
      </c>
      <c r="L300" s="2">
        <v>306.27</v>
      </c>
      <c r="M300" s="2">
        <v>57.48</v>
      </c>
      <c r="N300" s="2">
        <v>63.15</v>
      </c>
      <c r="O300" s="2">
        <v>30.73</v>
      </c>
      <c r="P300" s="2">
        <v>3.35</v>
      </c>
      <c r="Q300" s="4">
        <v>209427</v>
      </c>
      <c r="R300" s="4">
        <v>0</v>
      </c>
      <c r="S300" s="4">
        <v>209427</v>
      </c>
      <c r="T300" s="4">
        <v>33856</v>
      </c>
      <c r="U300" s="4">
        <v>37195</v>
      </c>
      <c r="V300" s="4">
        <v>524</v>
      </c>
      <c r="W300" s="4">
        <v>21013</v>
      </c>
      <c r="X300" s="4">
        <v>2291</v>
      </c>
      <c r="Y300" s="4">
        <v>304306</v>
      </c>
      <c r="Z300" s="4">
        <v>29808</v>
      </c>
      <c r="AA300" s="4">
        <v>274498</v>
      </c>
      <c r="AB300" s="4">
        <v>160760</v>
      </c>
      <c r="AC300" s="4">
        <v>113738</v>
      </c>
    </row>
    <row r="301" spans="1:29" x14ac:dyDescent="0.25">
      <c r="A301" s="1" t="s">
        <v>310</v>
      </c>
      <c r="B301" s="1" t="s">
        <v>741</v>
      </c>
      <c r="C301" s="1" t="s">
        <v>314</v>
      </c>
      <c r="D301" s="1" t="s">
        <v>704</v>
      </c>
      <c r="E301" s="2">
        <v>160.83000000000001</v>
      </c>
      <c r="F301" s="3">
        <v>1359</v>
      </c>
      <c r="G301" s="2">
        <v>1519.83</v>
      </c>
      <c r="H301" s="2">
        <v>3.81</v>
      </c>
      <c r="I301" s="4">
        <v>0</v>
      </c>
      <c r="J301" s="3">
        <v>0</v>
      </c>
      <c r="K301" s="4">
        <v>1359</v>
      </c>
      <c r="L301" s="2">
        <v>306.27</v>
      </c>
      <c r="M301" s="2">
        <v>57.48</v>
      </c>
      <c r="N301" s="2">
        <v>63.15</v>
      </c>
      <c r="O301" s="2">
        <v>30.73</v>
      </c>
      <c r="P301" s="2">
        <v>3.35</v>
      </c>
      <c r="Q301" s="4">
        <v>465478</v>
      </c>
      <c r="R301" s="4">
        <v>0</v>
      </c>
      <c r="S301" s="4">
        <v>465478</v>
      </c>
      <c r="T301" s="4">
        <v>78115</v>
      </c>
      <c r="U301" s="4">
        <v>85821</v>
      </c>
      <c r="V301" s="4">
        <v>1167</v>
      </c>
      <c r="W301" s="4">
        <v>46704</v>
      </c>
      <c r="X301" s="4">
        <v>5091</v>
      </c>
      <c r="Y301" s="4">
        <v>682376</v>
      </c>
      <c r="Z301" s="4">
        <v>76839</v>
      </c>
      <c r="AA301" s="4">
        <v>605537</v>
      </c>
      <c r="AB301" s="4">
        <v>346724</v>
      </c>
      <c r="AC301" s="4">
        <v>258813</v>
      </c>
    </row>
    <row r="302" spans="1:29" x14ac:dyDescent="0.25">
      <c r="A302" s="1" t="s">
        <v>310</v>
      </c>
      <c r="B302" s="1" t="s">
        <v>741</v>
      </c>
      <c r="C302" s="1" t="s">
        <v>315</v>
      </c>
      <c r="D302" s="1" t="s">
        <v>705</v>
      </c>
      <c r="E302" s="2">
        <v>71.11</v>
      </c>
      <c r="F302" s="3">
        <v>760</v>
      </c>
      <c r="G302" s="2">
        <v>831.11</v>
      </c>
      <c r="H302" s="2">
        <v>2.08</v>
      </c>
      <c r="I302" s="4">
        <v>4</v>
      </c>
      <c r="J302" s="3">
        <v>0</v>
      </c>
      <c r="K302" s="4">
        <v>764</v>
      </c>
      <c r="L302" s="2">
        <v>306.27</v>
      </c>
      <c r="M302" s="2">
        <v>57.48</v>
      </c>
      <c r="N302" s="2">
        <v>63.15</v>
      </c>
      <c r="O302" s="2">
        <v>30.73</v>
      </c>
      <c r="P302" s="2">
        <v>3.35</v>
      </c>
      <c r="Q302" s="4">
        <v>254544</v>
      </c>
      <c r="R302" s="4">
        <v>1858</v>
      </c>
      <c r="S302" s="4">
        <v>256402</v>
      </c>
      <c r="T302" s="4">
        <v>43915</v>
      </c>
      <c r="U302" s="4">
        <v>48247</v>
      </c>
      <c r="V302" s="4">
        <v>637</v>
      </c>
      <c r="W302" s="4">
        <v>25540</v>
      </c>
      <c r="X302" s="4">
        <v>2784</v>
      </c>
      <c r="Y302" s="4">
        <v>377525</v>
      </c>
      <c r="Z302" s="4">
        <v>46695</v>
      </c>
      <c r="AA302" s="4">
        <v>330830</v>
      </c>
      <c r="AB302" s="4">
        <v>184927</v>
      </c>
      <c r="AC302" s="4">
        <v>145903</v>
      </c>
    </row>
    <row r="303" spans="1:29" x14ac:dyDescent="0.25">
      <c r="A303" s="1" t="s">
        <v>310</v>
      </c>
      <c r="B303" s="1" t="s">
        <v>741</v>
      </c>
      <c r="C303" s="1" t="s">
        <v>316</v>
      </c>
      <c r="D303" s="1" t="s">
        <v>706</v>
      </c>
      <c r="E303" s="2">
        <v>148.47</v>
      </c>
      <c r="F303" s="3">
        <v>1255.9000000000001</v>
      </c>
      <c r="G303" s="2">
        <v>1404.37</v>
      </c>
      <c r="H303" s="2">
        <v>3.52</v>
      </c>
      <c r="I303" s="4">
        <v>3</v>
      </c>
      <c r="J303" s="3">
        <v>0</v>
      </c>
      <c r="K303" s="4">
        <v>1259</v>
      </c>
      <c r="L303" s="2">
        <v>306.27</v>
      </c>
      <c r="M303" s="2">
        <v>57.48</v>
      </c>
      <c r="N303" s="2">
        <v>63.15</v>
      </c>
      <c r="O303" s="2">
        <v>30.73</v>
      </c>
      <c r="P303" s="2">
        <v>3.35</v>
      </c>
      <c r="Q303" s="4">
        <v>430116</v>
      </c>
      <c r="R303" s="4">
        <v>10265</v>
      </c>
      <c r="S303" s="4">
        <v>440381</v>
      </c>
      <c r="T303" s="4">
        <v>72367</v>
      </c>
      <c r="U303" s="4">
        <v>79506</v>
      </c>
      <c r="V303" s="4">
        <v>1078</v>
      </c>
      <c r="W303" s="4">
        <v>43156</v>
      </c>
      <c r="X303" s="4">
        <v>4705</v>
      </c>
      <c r="Y303" s="4">
        <v>641193</v>
      </c>
      <c r="Z303" s="4">
        <v>69564</v>
      </c>
      <c r="AA303" s="4">
        <v>571629</v>
      </c>
      <c r="AB303" s="4">
        <v>321822</v>
      </c>
      <c r="AC303" s="4">
        <v>249807</v>
      </c>
    </row>
    <row r="304" spans="1:29" x14ac:dyDescent="0.25">
      <c r="A304" s="1" t="s">
        <v>310</v>
      </c>
      <c r="B304" s="1" t="s">
        <v>741</v>
      </c>
      <c r="C304" s="1" t="s">
        <v>317</v>
      </c>
      <c r="D304" s="1" t="s">
        <v>707</v>
      </c>
      <c r="E304" s="2">
        <v>57.62</v>
      </c>
      <c r="F304" s="3">
        <v>507.6</v>
      </c>
      <c r="G304" s="2">
        <v>565.22</v>
      </c>
      <c r="H304" s="2">
        <v>1.42</v>
      </c>
      <c r="I304" s="4">
        <v>5</v>
      </c>
      <c r="J304" s="3">
        <v>0</v>
      </c>
      <c r="K304" s="4">
        <v>513</v>
      </c>
      <c r="L304" s="2">
        <v>306.27</v>
      </c>
      <c r="M304" s="2">
        <v>57.48</v>
      </c>
      <c r="N304" s="2">
        <v>63.15</v>
      </c>
      <c r="O304" s="2">
        <v>30.73</v>
      </c>
      <c r="P304" s="2">
        <v>3.35</v>
      </c>
      <c r="Q304" s="4">
        <v>173110</v>
      </c>
      <c r="R304" s="4">
        <v>0</v>
      </c>
      <c r="S304" s="4">
        <v>173110</v>
      </c>
      <c r="T304" s="4">
        <v>29487</v>
      </c>
      <c r="U304" s="4">
        <v>32396</v>
      </c>
      <c r="V304" s="4">
        <v>435</v>
      </c>
      <c r="W304" s="4">
        <v>17369</v>
      </c>
      <c r="X304" s="4">
        <v>1893</v>
      </c>
      <c r="Y304" s="4">
        <v>254690</v>
      </c>
      <c r="Z304" s="4">
        <v>20792</v>
      </c>
      <c r="AA304" s="4">
        <v>233898</v>
      </c>
      <c r="AB304" s="4">
        <v>136730</v>
      </c>
      <c r="AC304" s="4">
        <v>97168</v>
      </c>
    </row>
    <row r="305" spans="1:29" x14ac:dyDescent="0.25">
      <c r="A305" s="1" t="s">
        <v>310</v>
      </c>
      <c r="B305" s="1" t="s">
        <v>741</v>
      </c>
      <c r="C305" s="1" t="s">
        <v>318</v>
      </c>
      <c r="D305" s="1" t="s">
        <v>708</v>
      </c>
      <c r="E305" s="2">
        <v>114.24</v>
      </c>
      <c r="F305" s="3">
        <v>1167.0999999999999</v>
      </c>
      <c r="G305" s="2">
        <v>1281.3399999999999</v>
      </c>
      <c r="H305" s="2">
        <v>3.21</v>
      </c>
      <c r="I305" s="4">
        <v>4</v>
      </c>
      <c r="J305" s="3">
        <v>0</v>
      </c>
      <c r="K305" s="4">
        <v>1171</v>
      </c>
      <c r="L305" s="2">
        <v>306.27</v>
      </c>
      <c r="M305" s="2">
        <v>57.48</v>
      </c>
      <c r="N305" s="2">
        <v>63.15</v>
      </c>
      <c r="O305" s="2">
        <v>30.73</v>
      </c>
      <c r="P305" s="2">
        <v>3.35</v>
      </c>
      <c r="Q305" s="4">
        <v>392436</v>
      </c>
      <c r="R305" s="4">
        <v>0</v>
      </c>
      <c r="S305" s="4">
        <v>392436</v>
      </c>
      <c r="T305" s="4">
        <v>67309</v>
      </c>
      <c r="U305" s="4">
        <v>73949</v>
      </c>
      <c r="V305" s="4">
        <v>983</v>
      </c>
      <c r="W305" s="4">
        <v>39376</v>
      </c>
      <c r="X305" s="4">
        <v>4292</v>
      </c>
      <c r="Y305" s="4">
        <v>578345</v>
      </c>
      <c r="Z305" s="4">
        <v>56419</v>
      </c>
      <c r="AA305" s="4">
        <v>521926</v>
      </c>
      <c r="AB305" s="4">
        <v>300679</v>
      </c>
      <c r="AC305" s="4">
        <v>221247</v>
      </c>
    </row>
    <row r="306" spans="1:29" x14ac:dyDescent="0.25">
      <c r="A306" s="1" t="s">
        <v>310</v>
      </c>
      <c r="B306" s="1" t="s">
        <v>741</v>
      </c>
      <c r="C306" s="1" t="s">
        <v>319</v>
      </c>
      <c r="D306" s="1" t="s">
        <v>709</v>
      </c>
      <c r="E306" s="2">
        <v>89.8</v>
      </c>
      <c r="F306" s="3">
        <v>869.6</v>
      </c>
      <c r="G306" s="2">
        <v>959.4</v>
      </c>
      <c r="H306" s="2">
        <v>2.4300000000000002</v>
      </c>
      <c r="I306" s="4">
        <v>22</v>
      </c>
      <c r="J306" s="3">
        <v>0</v>
      </c>
      <c r="K306" s="4">
        <v>892</v>
      </c>
      <c r="L306" s="2">
        <v>306.27</v>
      </c>
      <c r="M306" s="2">
        <v>57.48</v>
      </c>
      <c r="N306" s="2">
        <v>63.15</v>
      </c>
      <c r="O306" s="2">
        <v>30.73</v>
      </c>
      <c r="P306" s="2">
        <v>3.35</v>
      </c>
      <c r="Q306" s="4">
        <v>293835</v>
      </c>
      <c r="R306" s="4">
        <v>6468</v>
      </c>
      <c r="S306" s="4">
        <v>300303</v>
      </c>
      <c r="T306" s="4">
        <v>51272</v>
      </c>
      <c r="U306" s="4">
        <v>56330</v>
      </c>
      <c r="V306" s="4">
        <v>744</v>
      </c>
      <c r="W306" s="4">
        <v>30118</v>
      </c>
      <c r="X306" s="4">
        <v>3281</v>
      </c>
      <c r="Y306" s="4">
        <v>442048</v>
      </c>
      <c r="Z306" s="4">
        <v>44907</v>
      </c>
      <c r="AA306" s="4">
        <v>397141</v>
      </c>
      <c r="AB306" s="4">
        <v>223179</v>
      </c>
      <c r="AC306" s="4">
        <v>173962</v>
      </c>
    </row>
    <row r="307" spans="1:29" x14ac:dyDescent="0.25">
      <c r="A307" s="1" t="s">
        <v>310</v>
      </c>
      <c r="B307" s="1" t="s">
        <v>741</v>
      </c>
      <c r="C307" s="1" t="s">
        <v>320</v>
      </c>
      <c r="D307" s="1" t="s">
        <v>710</v>
      </c>
      <c r="E307" s="2">
        <v>301.56</v>
      </c>
      <c r="F307" s="3">
        <v>1607.5</v>
      </c>
      <c r="G307" s="2">
        <v>1909.06</v>
      </c>
      <c r="H307" s="2">
        <v>4.79</v>
      </c>
      <c r="I307" s="4">
        <v>138</v>
      </c>
      <c r="J307" s="3">
        <v>0</v>
      </c>
      <c r="K307" s="4">
        <v>1746</v>
      </c>
      <c r="L307" s="2">
        <v>306.27</v>
      </c>
      <c r="M307" s="2">
        <v>57.48</v>
      </c>
      <c r="N307" s="2">
        <v>63.15</v>
      </c>
      <c r="O307" s="2">
        <v>30.73</v>
      </c>
      <c r="P307" s="2">
        <v>3.35</v>
      </c>
      <c r="Q307" s="4">
        <v>584688</v>
      </c>
      <c r="R307" s="4">
        <v>0</v>
      </c>
      <c r="S307" s="4">
        <v>584688</v>
      </c>
      <c r="T307" s="4">
        <v>100360</v>
      </c>
      <c r="U307" s="4">
        <v>110260</v>
      </c>
      <c r="V307" s="4">
        <v>1467</v>
      </c>
      <c r="W307" s="4">
        <v>58665</v>
      </c>
      <c r="X307" s="4">
        <v>6395</v>
      </c>
      <c r="Y307" s="4">
        <v>861835</v>
      </c>
      <c r="Z307" s="4">
        <v>91881</v>
      </c>
      <c r="AA307" s="4">
        <v>769954</v>
      </c>
      <c r="AB307" s="4">
        <v>440158</v>
      </c>
      <c r="AC307" s="4">
        <v>329796</v>
      </c>
    </row>
    <row r="308" spans="1:29" x14ac:dyDescent="0.25">
      <c r="A308" s="1" t="s">
        <v>310</v>
      </c>
      <c r="B308" s="1" t="s">
        <v>741</v>
      </c>
      <c r="C308" s="1" t="s">
        <v>321</v>
      </c>
      <c r="D308" s="1" t="s">
        <v>711</v>
      </c>
      <c r="E308" s="2">
        <v>373.83</v>
      </c>
      <c r="F308" s="3">
        <v>2092.8000000000002</v>
      </c>
      <c r="G308" s="2">
        <v>2466.63</v>
      </c>
      <c r="H308" s="2">
        <v>6.19</v>
      </c>
      <c r="I308" s="4">
        <v>110</v>
      </c>
      <c r="J308" s="3">
        <v>6.5</v>
      </c>
      <c r="K308" s="4">
        <v>2196</v>
      </c>
      <c r="L308" s="2">
        <v>306.27</v>
      </c>
      <c r="M308" s="2">
        <v>57.48</v>
      </c>
      <c r="N308" s="2">
        <v>63.15</v>
      </c>
      <c r="O308" s="2">
        <v>30.73</v>
      </c>
      <c r="P308" s="2">
        <v>3.35</v>
      </c>
      <c r="Q308" s="4">
        <v>755455</v>
      </c>
      <c r="R308" s="4">
        <v>0</v>
      </c>
      <c r="S308" s="4">
        <v>755455</v>
      </c>
      <c r="T308" s="4">
        <v>126226</v>
      </c>
      <c r="U308" s="4">
        <v>138677</v>
      </c>
      <c r="V308" s="4">
        <v>1896</v>
      </c>
      <c r="W308" s="4">
        <v>75800</v>
      </c>
      <c r="X308" s="4">
        <v>8263</v>
      </c>
      <c r="Y308" s="4">
        <v>1106317</v>
      </c>
      <c r="Z308" s="4">
        <v>124889</v>
      </c>
      <c r="AA308" s="4">
        <v>981428</v>
      </c>
      <c r="AB308" s="4">
        <v>562542</v>
      </c>
      <c r="AC308" s="4">
        <v>418886</v>
      </c>
    </row>
    <row r="309" spans="1:29" x14ac:dyDescent="0.25">
      <c r="A309" s="1" t="s">
        <v>310</v>
      </c>
      <c r="B309" s="1" t="s">
        <v>741</v>
      </c>
      <c r="C309" s="1" t="s">
        <v>322</v>
      </c>
      <c r="D309" s="1" t="s">
        <v>712</v>
      </c>
      <c r="E309" s="2">
        <v>358.01</v>
      </c>
      <c r="F309" s="3">
        <v>1918.7</v>
      </c>
      <c r="G309" s="2">
        <v>2276.71</v>
      </c>
      <c r="H309" s="2">
        <v>5.71</v>
      </c>
      <c r="I309" s="4">
        <v>53</v>
      </c>
      <c r="J309" s="3">
        <v>0.6</v>
      </c>
      <c r="K309" s="4">
        <v>1971</v>
      </c>
      <c r="L309" s="2">
        <v>306.27</v>
      </c>
      <c r="M309" s="2">
        <v>57.48</v>
      </c>
      <c r="N309" s="2">
        <v>63.15</v>
      </c>
      <c r="O309" s="2">
        <v>30.73</v>
      </c>
      <c r="P309" s="2">
        <v>3.35</v>
      </c>
      <c r="Q309" s="4">
        <v>697288</v>
      </c>
      <c r="R309" s="4">
        <v>0</v>
      </c>
      <c r="S309" s="4">
        <v>697288</v>
      </c>
      <c r="T309" s="4">
        <v>113293</v>
      </c>
      <c r="U309" s="4">
        <v>124469</v>
      </c>
      <c r="V309" s="4">
        <v>1749</v>
      </c>
      <c r="W309" s="4">
        <v>69963</v>
      </c>
      <c r="X309" s="4">
        <v>7627</v>
      </c>
      <c r="Y309" s="4">
        <v>1014389</v>
      </c>
      <c r="Z309" s="4">
        <v>104456</v>
      </c>
      <c r="AA309" s="4">
        <v>909933</v>
      </c>
      <c r="AB309" s="4">
        <v>530044</v>
      </c>
      <c r="AC309" s="4">
        <v>379889</v>
      </c>
    </row>
    <row r="310" spans="1:29" x14ac:dyDescent="0.25">
      <c r="A310" s="1" t="s">
        <v>310</v>
      </c>
      <c r="B310" s="1" t="s">
        <v>741</v>
      </c>
      <c r="C310" s="1" t="s">
        <v>323</v>
      </c>
      <c r="D310" s="1" t="s">
        <v>713</v>
      </c>
      <c r="E310" s="2">
        <v>48.08</v>
      </c>
      <c r="F310" s="3">
        <v>356.7</v>
      </c>
      <c r="G310" s="2">
        <v>404.78</v>
      </c>
      <c r="H310" s="2">
        <v>1.02</v>
      </c>
      <c r="I310" s="4">
        <v>0</v>
      </c>
      <c r="J310" s="3">
        <v>0</v>
      </c>
      <c r="K310" s="4">
        <v>357</v>
      </c>
      <c r="L310" s="2">
        <v>306.27</v>
      </c>
      <c r="M310" s="2">
        <v>57.48</v>
      </c>
      <c r="N310" s="2">
        <v>63.15</v>
      </c>
      <c r="O310" s="2">
        <v>30.73</v>
      </c>
      <c r="P310" s="2">
        <v>3.35</v>
      </c>
      <c r="Q310" s="4">
        <v>123972</v>
      </c>
      <c r="R310" s="4">
        <v>0</v>
      </c>
      <c r="S310" s="4">
        <v>123972</v>
      </c>
      <c r="T310" s="4">
        <v>20520</v>
      </c>
      <c r="U310" s="4">
        <v>22545</v>
      </c>
      <c r="V310" s="4">
        <v>312</v>
      </c>
      <c r="W310" s="4">
        <v>12439</v>
      </c>
      <c r="X310" s="4">
        <v>1356</v>
      </c>
      <c r="Y310" s="4">
        <v>181144</v>
      </c>
      <c r="Z310" s="4">
        <v>17793</v>
      </c>
      <c r="AA310" s="4">
        <v>163351</v>
      </c>
      <c r="AB310" s="4">
        <v>95017</v>
      </c>
      <c r="AC310" s="4">
        <v>68334</v>
      </c>
    </row>
    <row r="311" spans="1:29" x14ac:dyDescent="0.25">
      <c r="A311" s="1" t="s">
        <v>310</v>
      </c>
      <c r="B311" s="1" t="s">
        <v>741</v>
      </c>
      <c r="C311" s="1" t="s">
        <v>324</v>
      </c>
      <c r="D311" s="1" t="s">
        <v>714</v>
      </c>
      <c r="E311" s="2">
        <v>93.68</v>
      </c>
      <c r="F311" s="3">
        <v>811.6</v>
      </c>
      <c r="G311" s="2">
        <v>905.28</v>
      </c>
      <c r="H311" s="2">
        <v>2.27</v>
      </c>
      <c r="I311" s="4">
        <v>0</v>
      </c>
      <c r="J311" s="3">
        <v>0</v>
      </c>
      <c r="K311" s="4">
        <v>812</v>
      </c>
      <c r="L311" s="2">
        <v>306.27</v>
      </c>
      <c r="M311" s="2">
        <v>57.48</v>
      </c>
      <c r="N311" s="2">
        <v>63.15</v>
      </c>
      <c r="O311" s="2">
        <v>30.73</v>
      </c>
      <c r="P311" s="2">
        <v>3.35</v>
      </c>
      <c r="Q311" s="4">
        <v>277260</v>
      </c>
      <c r="R311" s="4">
        <v>0</v>
      </c>
      <c r="S311" s="4">
        <v>277260</v>
      </c>
      <c r="T311" s="4">
        <v>46674</v>
      </c>
      <c r="U311" s="4">
        <v>51278</v>
      </c>
      <c r="V311" s="4">
        <v>695</v>
      </c>
      <c r="W311" s="4">
        <v>27819</v>
      </c>
      <c r="X311" s="4">
        <v>3033</v>
      </c>
      <c r="Y311" s="4">
        <v>406759</v>
      </c>
      <c r="Z311" s="4">
        <v>41596</v>
      </c>
      <c r="AA311" s="4">
        <v>365163</v>
      </c>
      <c r="AB311" s="4">
        <v>210698</v>
      </c>
      <c r="AC311" s="4">
        <v>154465</v>
      </c>
    </row>
    <row r="312" spans="1:29" x14ac:dyDescent="0.25">
      <c r="A312" s="1" t="s">
        <v>310</v>
      </c>
      <c r="B312" s="1" t="s">
        <v>741</v>
      </c>
      <c r="C312" s="1" t="s">
        <v>325</v>
      </c>
      <c r="D312" s="1" t="s">
        <v>715</v>
      </c>
      <c r="E312" s="2">
        <v>41.2</v>
      </c>
      <c r="F312" s="3">
        <v>341.4</v>
      </c>
      <c r="G312" s="2">
        <v>382.6</v>
      </c>
      <c r="H312" s="2">
        <v>0.96</v>
      </c>
      <c r="I312" s="4">
        <v>0</v>
      </c>
      <c r="J312" s="3">
        <v>0</v>
      </c>
      <c r="K312" s="4">
        <v>341</v>
      </c>
      <c r="L312" s="2">
        <v>306.27</v>
      </c>
      <c r="M312" s="2">
        <v>57.48</v>
      </c>
      <c r="N312" s="2">
        <v>63.15</v>
      </c>
      <c r="O312" s="2">
        <v>30.73</v>
      </c>
      <c r="P312" s="2">
        <v>3.35</v>
      </c>
      <c r="Q312" s="4">
        <v>117179</v>
      </c>
      <c r="R312" s="4">
        <v>1107</v>
      </c>
      <c r="S312" s="4">
        <v>118286</v>
      </c>
      <c r="T312" s="4">
        <v>19601</v>
      </c>
      <c r="U312" s="4">
        <v>21534</v>
      </c>
      <c r="V312" s="4">
        <v>294</v>
      </c>
      <c r="W312" s="4">
        <v>11863</v>
      </c>
      <c r="X312" s="4">
        <v>1292</v>
      </c>
      <c r="Y312" s="4">
        <v>172870</v>
      </c>
      <c r="Z312" s="4">
        <v>14721</v>
      </c>
      <c r="AA312" s="4">
        <v>158149</v>
      </c>
      <c r="AB312" s="4">
        <v>92023</v>
      </c>
      <c r="AC312" s="4">
        <v>66126</v>
      </c>
    </row>
    <row r="313" spans="1:29" x14ac:dyDescent="0.25">
      <c r="A313" s="1" t="s">
        <v>310</v>
      </c>
      <c r="B313" s="1" t="s">
        <v>741</v>
      </c>
      <c r="C313" s="1" t="s">
        <v>326</v>
      </c>
      <c r="D313" s="1" t="s">
        <v>716</v>
      </c>
      <c r="E313" s="2">
        <v>16.25</v>
      </c>
      <c r="F313" s="3">
        <v>209</v>
      </c>
      <c r="G313" s="2">
        <v>225.25</v>
      </c>
      <c r="H313" s="2">
        <v>0.56000000000000005</v>
      </c>
      <c r="I313" s="4">
        <v>0</v>
      </c>
      <c r="J313" s="3">
        <v>0</v>
      </c>
      <c r="K313" s="4">
        <v>209</v>
      </c>
      <c r="L313" s="2">
        <v>306.27</v>
      </c>
      <c r="M313" s="2">
        <v>57.48</v>
      </c>
      <c r="N313" s="2">
        <v>63.15</v>
      </c>
      <c r="O313" s="2">
        <v>30.73</v>
      </c>
      <c r="P313" s="2">
        <v>3.35</v>
      </c>
      <c r="Q313" s="4">
        <v>68987</v>
      </c>
      <c r="R313" s="4">
        <v>635</v>
      </c>
      <c r="S313" s="4">
        <v>69622</v>
      </c>
      <c r="T313" s="4">
        <v>12013</v>
      </c>
      <c r="U313" s="4">
        <v>13198</v>
      </c>
      <c r="V313" s="4">
        <v>172</v>
      </c>
      <c r="W313" s="4">
        <v>6922</v>
      </c>
      <c r="X313" s="4">
        <v>755</v>
      </c>
      <c r="Y313" s="4">
        <v>102682</v>
      </c>
      <c r="Z313" s="4">
        <v>10949</v>
      </c>
      <c r="AA313" s="4">
        <v>91733</v>
      </c>
      <c r="AB313" s="4">
        <v>51826</v>
      </c>
      <c r="AC313" s="4">
        <v>39907</v>
      </c>
    </row>
    <row r="314" spans="1:29" x14ac:dyDescent="0.25">
      <c r="A314" s="1" t="s">
        <v>310</v>
      </c>
      <c r="B314" s="1" t="s">
        <v>741</v>
      </c>
      <c r="C314" s="1" t="s">
        <v>327</v>
      </c>
      <c r="D314" s="1" t="s">
        <v>717</v>
      </c>
      <c r="E314" s="2">
        <v>27.11</v>
      </c>
      <c r="F314" s="3">
        <v>208.5</v>
      </c>
      <c r="G314" s="2">
        <v>235.61</v>
      </c>
      <c r="H314" s="2">
        <v>0.59</v>
      </c>
      <c r="I314" s="4">
        <v>0</v>
      </c>
      <c r="J314" s="3">
        <v>0</v>
      </c>
      <c r="K314" s="4">
        <v>209</v>
      </c>
      <c r="L314" s="2">
        <v>306.27</v>
      </c>
      <c r="M314" s="2">
        <v>57.48</v>
      </c>
      <c r="N314" s="2">
        <v>63.15</v>
      </c>
      <c r="O314" s="2">
        <v>30.73</v>
      </c>
      <c r="P314" s="2">
        <v>3.35</v>
      </c>
      <c r="Q314" s="4">
        <v>72160</v>
      </c>
      <c r="R314" s="4">
        <v>1987</v>
      </c>
      <c r="S314" s="4">
        <v>74147</v>
      </c>
      <c r="T314" s="4">
        <v>12013</v>
      </c>
      <c r="U314" s="4">
        <v>13198</v>
      </c>
      <c r="V314" s="4">
        <v>181</v>
      </c>
      <c r="W314" s="4">
        <v>7436</v>
      </c>
      <c r="X314" s="4">
        <v>810</v>
      </c>
      <c r="Y314" s="4">
        <v>107785</v>
      </c>
      <c r="Z314" s="4">
        <v>12939</v>
      </c>
      <c r="AA314" s="4">
        <v>94846</v>
      </c>
      <c r="AB314" s="4">
        <v>52940</v>
      </c>
      <c r="AC314" s="4">
        <v>41906</v>
      </c>
    </row>
    <row r="315" spans="1:29" x14ac:dyDescent="0.25">
      <c r="A315" s="1" t="s">
        <v>310</v>
      </c>
      <c r="B315" s="1" t="s">
        <v>741</v>
      </c>
      <c r="C315" s="1" t="s">
        <v>328</v>
      </c>
      <c r="D315" s="1" t="s">
        <v>718</v>
      </c>
      <c r="E315" s="2">
        <v>266.82</v>
      </c>
      <c r="F315" s="3">
        <v>1902.8</v>
      </c>
      <c r="G315" s="2">
        <v>2169.62</v>
      </c>
      <c r="H315" s="2">
        <v>5.44</v>
      </c>
      <c r="I315" s="4">
        <v>3</v>
      </c>
      <c r="J315" s="3">
        <v>0</v>
      </c>
      <c r="K315" s="4">
        <v>1906</v>
      </c>
      <c r="L315" s="2">
        <v>306.27</v>
      </c>
      <c r="M315" s="2">
        <v>57.48</v>
      </c>
      <c r="N315" s="2">
        <v>63.15</v>
      </c>
      <c r="O315" s="2">
        <v>30.73</v>
      </c>
      <c r="P315" s="2">
        <v>3.35</v>
      </c>
      <c r="Q315" s="4">
        <v>664490</v>
      </c>
      <c r="R315" s="4">
        <v>0</v>
      </c>
      <c r="S315" s="4">
        <v>664490</v>
      </c>
      <c r="T315" s="4">
        <v>109557</v>
      </c>
      <c r="U315" s="4">
        <v>120364</v>
      </c>
      <c r="V315" s="4">
        <v>1666</v>
      </c>
      <c r="W315" s="4">
        <v>66672</v>
      </c>
      <c r="X315" s="4">
        <v>7268</v>
      </c>
      <c r="Y315" s="4">
        <v>970017</v>
      </c>
      <c r="Z315" s="4">
        <v>93333</v>
      </c>
      <c r="AA315" s="4">
        <v>876684</v>
      </c>
      <c r="AB315" s="4">
        <v>511322</v>
      </c>
      <c r="AC315" s="4">
        <v>365362</v>
      </c>
    </row>
    <row r="316" spans="1:29" x14ac:dyDescent="0.25">
      <c r="A316" s="1" t="s">
        <v>310</v>
      </c>
      <c r="B316" s="1" t="s">
        <v>741</v>
      </c>
      <c r="C316" s="1" t="s">
        <v>329</v>
      </c>
      <c r="D316" s="1" t="s">
        <v>719</v>
      </c>
      <c r="E316" s="2">
        <v>46.34</v>
      </c>
      <c r="F316" s="3">
        <v>494.1</v>
      </c>
      <c r="G316" s="2">
        <v>540.44000000000005</v>
      </c>
      <c r="H316" s="2">
        <v>1.36</v>
      </c>
      <c r="I316" s="4">
        <v>3</v>
      </c>
      <c r="J316" s="3">
        <v>0</v>
      </c>
      <c r="K316" s="4">
        <v>497</v>
      </c>
      <c r="L316" s="2">
        <v>306.27</v>
      </c>
      <c r="M316" s="2">
        <v>57.48</v>
      </c>
      <c r="N316" s="2">
        <v>63.15</v>
      </c>
      <c r="O316" s="2">
        <v>30.73</v>
      </c>
      <c r="P316" s="2">
        <v>3.35</v>
      </c>
      <c r="Q316" s="4">
        <v>165521</v>
      </c>
      <c r="R316" s="4">
        <v>1852</v>
      </c>
      <c r="S316" s="4">
        <v>167373</v>
      </c>
      <c r="T316" s="4">
        <v>28568</v>
      </c>
      <c r="U316" s="4">
        <v>31386</v>
      </c>
      <c r="V316" s="4">
        <v>417</v>
      </c>
      <c r="W316" s="4">
        <v>16608</v>
      </c>
      <c r="X316" s="4">
        <v>1810</v>
      </c>
      <c r="Y316" s="4">
        <v>246162</v>
      </c>
      <c r="Z316" s="4">
        <v>25009</v>
      </c>
      <c r="AA316" s="4">
        <v>221153</v>
      </c>
      <c r="AB316" s="4">
        <v>125608</v>
      </c>
      <c r="AC316" s="4">
        <v>95545</v>
      </c>
    </row>
    <row r="317" spans="1:29" x14ac:dyDescent="0.25">
      <c r="A317" s="1" t="s">
        <v>310</v>
      </c>
      <c r="B317" s="1" t="s">
        <v>741</v>
      </c>
      <c r="C317" s="1" t="s">
        <v>330</v>
      </c>
      <c r="D317" s="1" t="s">
        <v>720</v>
      </c>
      <c r="E317" s="2">
        <v>59.72</v>
      </c>
      <c r="F317" s="3">
        <v>488.7</v>
      </c>
      <c r="G317" s="2">
        <v>548.41999999999996</v>
      </c>
      <c r="H317" s="2">
        <v>1.37</v>
      </c>
      <c r="I317" s="4">
        <v>21</v>
      </c>
      <c r="J317" s="3">
        <v>0</v>
      </c>
      <c r="K317" s="4">
        <v>510</v>
      </c>
      <c r="L317" s="2">
        <v>306.27</v>
      </c>
      <c r="M317" s="2">
        <v>57.48</v>
      </c>
      <c r="N317" s="2">
        <v>63.15</v>
      </c>
      <c r="O317" s="2">
        <v>30.73</v>
      </c>
      <c r="P317" s="2">
        <v>3.35</v>
      </c>
      <c r="Q317" s="4">
        <v>167965</v>
      </c>
      <c r="R317" s="4">
        <v>1544</v>
      </c>
      <c r="S317" s="4">
        <v>169509</v>
      </c>
      <c r="T317" s="4">
        <v>29315</v>
      </c>
      <c r="U317" s="4">
        <v>32207</v>
      </c>
      <c r="V317" s="4">
        <v>420</v>
      </c>
      <c r="W317" s="4">
        <v>16853</v>
      </c>
      <c r="X317" s="4">
        <v>1837</v>
      </c>
      <c r="Y317" s="4">
        <v>250141</v>
      </c>
      <c r="Z317" s="4">
        <v>25355</v>
      </c>
      <c r="AA317" s="4">
        <v>224786</v>
      </c>
      <c r="AB317" s="4">
        <v>127484</v>
      </c>
      <c r="AC317" s="4">
        <v>97302</v>
      </c>
    </row>
    <row r="318" spans="1:29" x14ac:dyDescent="0.25">
      <c r="A318" s="1" t="s">
        <v>310</v>
      </c>
      <c r="B318" s="1" t="s">
        <v>741</v>
      </c>
      <c r="C318" s="1" t="s">
        <v>331</v>
      </c>
      <c r="D318" s="1" t="s">
        <v>721</v>
      </c>
      <c r="E318" s="2">
        <v>276.77999999999997</v>
      </c>
      <c r="F318" s="3">
        <v>2272.6999999999998</v>
      </c>
      <c r="G318" s="2">
        <v>2549.48</v>
      </c>
      <c r="H318" s="2">
        <v>6.4</v>
      </c>
      <c r="I318" s="4">
        <v>192</v>
      </c>
      <c r="J318" s="3">
        <v>0.4</v>
      </c>
      <c r="K318" s="4">
        <v>2464</v>
      </c>
      <c r="L318" s="2">
        <v>306.27</v>
      </c>
      <c r="M318" s="2">
        <v>57.48</v>
      </c>
      <c r="N318" s="2">
        <v>63.15</v>
      </c>
      <c r="O318" s="2">
        <v>30.73</v>
      </c>
      <c r="P318" s="2">
        <v>3.35</v>
      </c>
      <c r="Q318" s="4">
        <v>780829</v>
      </c>
      <c r="R318" s="4">
        <v>3826</v>
      </c>
      <c r="S318" s="4">
        <v>784655</v>
      </c>
      <c r="T318" s="4">
        <v>141631</v>
      </c>
      <c r="U318" s="4">
        <v>155602</v>
      </c>
      <c r="V318" s="4">
        <v>1960</v>
      </c>
      <c r="W318" s="4">
        <v>78694</v>
      </c>
      <c r="X318" s="4">
        <v>8572</v>
      </c>
      <c r="Y318" s="4">
        <v>1171114</v>
      </c>
      <c r="Z318" s="4">
        <v>115216</v>
      </c>
      <c r="AA318" s="4">
        <v>1055898</v>
      </c>
      <c r="AB318" s="4">
        <v>595685</v>
      </c>
      <c r="AC318" s="4">
        <v>460213</v>
      </c>
    </row>
    <row r="319" spans="1:29" x14ac:dyDescent="0.25">
      <c r="A319" s="1" t="s">
        <v>310</v>
      </c>
      <c r="B319" s="1" t="s">
        <v>741</v>
      </c>
      <c r="C319" s="1" t="s">
        <v>332</v>
      </c>
      <c r="D319" s="1" t="s">
        <v>722</v>
      </c>
      <c r="E319" s="2">
        <v>612.6</v>
      </c>
      <c r="F319" s="3">
        <v>4762.6000000000004</v>
      </c>
      <c r="G319" s="2">
        <v>5375.2</v>
      </c>
      <c r="H319" s="2">
        <v>13.48</v>
      </c>
      <c r="I319" s="4">
        <v>128</v>
      </c>
      <c r="J319" s="3">
        <v>0.4</v>
      </c>
      <c r="K319" s="4">
        <v>4890</v>
      </c>
      <c r="L319" s="2">
        <v>306.27</v>
      </c>
      <c r="M319" s="2">
        <v>57.48</v>
      </c>
      <c r="N319" s="2">
        <v>63.15</v>
      </c>
      <c r="O319" s="2">
        <v>30.73</v>
      </c>
      <c r="P319" s="2">
        <v>3.35</v>
      </c>
      <c r="Q319" s="4">
        <v>1646263</v>
      </c>
      <c r="R319" s="4">
        <v>0</v>
      </c>
      <c r="S319" s="4">
        <v>1646263</v>
      </c>
      <c r="T319" s="4">
        <v>281077</v>
      </c>
      <c r="U319" s="4">
        <v>308804</v>
      </c>
      <c r="V319" s="4">
        <v>4129</v>
      </c>
      <c r="W319" s="4">
        <v>165180</v>
      </c>
      <c r="X319" s="4">
        <v>18007</v>
      </c>
      <c r="Y319" s="4">
        <v>2423460</v>
      </c>
      <c r="Z319" s="4">
        <v>217386</v>
      </c>
      <c r="AA319" s="4">
        <v>2206074</v>
      </c>
      <c r="AB319" s="4">
        <v>1280639</v>
      </c>
      <c r="AC319" s="4">
        <v>925435</v>
      </c>
    </row>
    <row r="320" spans="1:29" x14ac:dyDescent="0.25">
      <c r="A320" s="1" t="s">
        <v>310</v>
      </c>
      <c r="B320" s="1" t="s">
        <v>741</v>
      </c>
      <c r="C320" s="1" t="s">
        <v>333</v>
      </c>
      <c r="D320" s="1" t="s">
        <v>723</v>
      </c>
      <c r="E320" s="2">
        <v>66.760000000000005</v>
      </c>
      <c r="F320" s="3">
        <v>610.5</v>
      </c>
      <c r="G320" s="2">
        <v>677.26</v>
      </c>
      <c r="H320" s="2">
        <v>1.7</v>
      </c>
      <c r="I320" s="4">
        <v>1</v>
      </c>
      <c r="J320" s="3">
        <v>0</v>
      </c>
      <c r="K320" s="4">
        <v>612</v>
      </c>
      <c r="L320" s="2">
        <v>306.27</v>
      </c>
      <c r="M320" s="2">
        <v>57.48</v>
      </c>
      <c r="N320" s="2">
        <v>63.15</v>
      </c>
      <c r="O320" s="2">
        <v>30.73</v>
      </c>
      <c r="P320" s="2">
        <v>3.35</v>
      </c>
      <c r="Q320" s="4">
        <v>207424</v>
      </c>
      <c r="R320" s="4">
        <v>0</v>
      </c>
      <c r="S320" s="4">
        <v>207424</v>
      </c>
      <c r="T320" s="4">
        <v>35178</v>
      </c>
      <c r="U320" s="4">
        <v>38648</v>
      </c>
      <c r="V320" s="4">
        <v>521</v>
      </c>
      <c r="W320" s="4">
        <v>20812</v>
      </c>
      <c r="X320" s="4">
        <v>2269</v>
      </c>
      <c r="Y320" s="4">
        <v>304852</v>
      </c>
      <c r="Z320" s="4">
        <v>33180</v>
      </c>
      <c r="AA320" s="4">
        <v>271672</v>
      </c>
      <c r="AB320" s="4">
        <v>155567</v>
      </c>
      <c r="AC320" s="4">
        <v>116105</v>
      </c>
    </row>
    <row r="321" spans="1:29" x14ac:dyDescent="0.25">
      <c r="A321" s="1" t="s">
        <v>310</v>
      </c>
      <c r="B321" s="1" t="s">
        <v>741</v>
      </c>
      <c r="C321" s="1" t="s">
        <v>334</v>
      </c>
      <c r="D321" s="1" t="s">
        <v>724</v>
      </c>
      <c r="E321" s="2">
        <v>31.38</v>
      </c>
      <c r="F321" s="3">
        <v>266.8</v>
      </c>
      <c r="G321" s="2">
        <v>298.18</v>
      </c>
      <c r="H321" s="2">
        <v>0.75</v>
      </c>
      <c r="I321" s="4">
        <v>0</v>
      </c>
      <c r="J321" s="3">
        <v>0</v>
      </c>
      <c r="K321" s="4">
        <v>267</v>
      </c>
      <c r="L321" s="2">
        <v>306.27</v>
      </c>
      <c r="M321" s="2">
        <v>57.48</v>
      </c>
      <c r="N321" s="2">
        <v>63.15</v>
      </c>
      <c r="O321" s="2">
        <v>30.73</v>
      </c>
      <c r="P321" s="2">
        <v>3.35</v>
      </c>
      <c r="Q321" s="4">
        <v>91324</v>
      </c>
      <c r="R321" s="4">
        <v>1575</v>
      </c>
      <c r="S321" s="4">
        <v>92899</v>
      </c>
      <c r="T321" s="4">
        <v>15347</v>
      </c>
      <c r="U321" s="4">
        <v>16861</v>
      </c>
      <c r="V321" s="4">
        <v>230</v>
      </c>
      <c r="W321" s="4">
        <v>9163</v>
      </c>
      <c r="X321" s="4">
        <v>999</v>
      </c>
      <c r="Y321" s="4">
        <v>135499</v>
      </c>
      <c r="Z321" s="4">
        <v>16442</v>
      </c>
      <c r="AA321" s="4">
        <v>119057</v>
      </c>
      <c r="AB321" s="4">
        <v>66659</v>
      </c>
      <c r="AC321" s="4">
        <v>52398</v>
      </c>
    </row>
    <row r="322" spans="1:29" x14ac:dyDescent="0.25">
      <c r="A322" s="1" t="s">
        <v>310</v>
      </c>
      <c r="B322" s="1" t="s">
        <v>741</v>
      </c>
      <c r="C322" s="1" t="s">
        <v>335</v>
      </c>
      <c r="D322" s="1" t="s">
        <v>725</v>
      </c>
      <c r="E322" s="2">
        <v>64.180000000000007</v>
      </c>
      <c r="F322" s="3">
        <v>552</v>
      </c>
      <c r="G322" s="2">
        <v>616.17999999999995</v>
      </c>
      <c r="H322" s="2">
        <v>1.54</v>
      </c>
      <c r="I322" s="4">
        <v>0</v>
      </c>
      <c r="J322" s="3">
        <v>0</v>
      </c>
      <c r="K322" s="4">
        <v>552</v>
      </c>
      <c r="L322" s="2">
        <v>306.27</v>
      </c>
      <c r="M322" s="2">
        <v>57.48</v>
      </c>
      <c r="N322" s="2">
        <v>63.15</v>
      </c>
      <c r="O322" s="2">
        <v>30.73</v>
      </c>
      <c r="P322" s="2">
        <v>3.35</v>
      </c>
      <c r="Q322" s="4">
        <v>188717</v>
      </c>
      <c r="R322" s="4">
        <v>0</v>
      </c>
      <c r="S322" s="4">
        <v>188717</v>
      </c>
      <c r="T322" s="4">
        <v>31729</v>
      </c>
      <c r="U322" s="4">
        <v>34859</v>
      </c>
      <c r="V322" s="4">
        <v>472</v>
      </c>
      <c r="W322" s="4">
        <v>18935</v>
      </c>
      <c r="X322" s="4">
        <v>2064</v>
      </c>
      <c r="Y322" s="4">
        <v>276776</v>
      </c>
      <c r="Z322" s="4">
        <v>32703</v>
      </c>
      <c r="AA322" s="4">
        <v>244073</v>
      </c>
      <c r="AB322" s="4">
        <v>139020</v>
      </c>
      <c r="AC322" s="4">
        <v>105053</v>
      </c>
    </row>
    <row r="323" spans="1:29" x14ac:dyDescent="0.25">
      <c r="A323" s="1" t="s">
        <v>310</v>
      </c>
      <c r="B323" s="1" t="s">
        <v>741</v>
      </c>
      <c r="C323" s="1" t="s">
        <v>336</v>
      </c>
      <c r="D323" s="1" t="s">
        <v>726</v>
      </c>
      <c r="E323" s="2">
        <v>34.83</v>
      </c>
      <c r="F323" s="3">
        <v>280.8</v>
      </c>
      <c r="G323" s="2">
        <v>315.63</v>
      </c>
      <c r="H323" s="2">
        <v>0.79</v>
      </c>
      <c r="I323" s="4">
        <v>9</v>
      </c>
      <c r="J323" s="3">
        <v>0</v>
      </c>
      <c r="K323" s="4">
        <v>290</v>
      </c>
      <c r="L323" s="2">
        <v>306.27</v>
      </c>
      <c r="M323" s="2">
        <v>57.48</v>
      </c>
      <c r="N323" s="2">
        <v>63.15</v>
      </c>
      <c r="O323" s="2">
        <v>30.73</v>
      </c>
      <c r="P323" s="2">
        <v>3.35</v>
      </c>
      <c r="Q323" s="4">
        <v>96668</v>
      </c>
      <c r="R323" s="4">
        <v>1859</v>
      </c>
      <c r="S323" s="4">
        <v>98527</v>
      </c>
      <c r="T323" s="4">
        <v>16669</v>
      </c>
      <c r="U323" s="4">
        <v>18314</v>
      </c>
      <c r="V323" s="4">
        <v>242</v>
      </c>
      <c r="W323" s="4">
        <v>9881</v>
      </c>
      <c r="X323" s="4">
        <v>1076</v>
      </c>
      <c r="Y323" s="4">
        <v>144709</v>
      </c>
      <c r="Z323" s="4">
        <v>17232</v>
      </c>
      <c r="AA323" s="4">
        <v>127477</v>
      </c>
      <c r="AB323" s="4">
        <v>70931</v>
      </c>
      <c r="AC323" s="4">
        <v>56546</v>
      </c>
    </row>
    <row r="324" spans="1:29" x14ac:dyDescent="0.25">
      <c r="A324" s="1" t="s">
        <v>310</v>
      </c>
      <c r="B324" s="1" t="s">
        <v>741</v>
      </c>
      <c r="C324" s="1" t="s">
        <v>337</v>
      </c>
      <c r="D324" s="1" t="s">
        <v>742</v>
      </c>
      <c r="E324" s="2">
        <v>109.86</v>
      </c>
      <c r="F324" s="3">
        <v>949.9</v>
      </c>
      <c r="G324" s="2">
        <v>1059.76</v>
      </c>
      <c r="H324" s="2">
        <v>2.66</v>
      </c>
      <c r="I324" s="4">
        <v>1</v>
      </c>
      <c r="J324" s="3">
        <v>0</v>
      </c>
      <c r="K324" s="4">
        <v>951</v>
      </c>
      <c r="L324" s="2">
        <v>306.27</v>
      </c>
      <c r="M324" s="2">
        <v>57.48</v>
      </c>
      <c r="N324" s="2">
        <v>63.15</v>
      </c>
      <c r="O324" s="2">
        <v>30.73</v>
      </c>
      <c r="P324" s="2">
        <v>3.35</v>
      </c>
      <c r="Q324" s="4">
        <v>324573</v>
      </c>
      <c r="R324" s="4">
        <v>12865</v>
      </c>
      <c r="S324" s="4">
        <v>337438</v>
      </c>
      <c r="T324" s="4">
        <v>54663</v>
      </c>
      <c r="U324" s="4">
        <v>60056</v>
      </c>
      <c r="V324" s="4">
        <v>815</v>
      </c>
      <c r="W324" s="4">
        <v>33197</v>
      </c>
      <c r="X324" s="4">
        <v>3616</v>
      </c>
      <c r="Y324" s="4">
        <v>489785</v>
      </c>
      <c r="Z324" s="4">
        <v>61494</v>
      </c>
      <c r="AA324" s="4">
        <v>428291</v>
      </c>
      <c r="AB324" s="4">
        <v>234549</v>
      </c>
      <c r="AC324" s="4">
        <v>193742</v>
      </c>
    </row>
    <row r="325" spans="1:29" x14ac:dyDescent="0.25">
      <c r="A325" s="1" t="s">
        <v>310</v>
      </c>
      <c r="B325" s="1" t="s">
        <v>741</v>
      </c>
      <c r="C325" s="1" t="s">
        <v>338</v>
      </c>
      <c r="D325" s="1" t="s">
        <v>727</v>
      </c>
      <c r="E325" s="2">
        <v>76.489999999999995</v>
      </c>
      <c r="F325" s="3">
        <v>489.8</v>
      </c>
      <c r="G325" s="2">
        <v>566.29</v>
      </c>
      <c r="H325" s="2">
        <v>1.42</v>
      </c>
      <c r="I325" s="4">
        <v>2</v>
      </c>
      <c r="J325" s="3">
        <v>0</v>
      </c>
      <c r="K325" s="4">
        <v>492</v>
      </c>
      <c r="L325" s="2">
        <v>306.27</v>
      </c>
      <c r="M325" s="2">
        <v>57.48</v>
      </c>
      <c r="N325" s="2">
        <v>63.15</v>
      </c>
      <c r="O325" s="2">
        <v>30.73</v>
      </c>
      <c r="P325" s="2">
        <v>3.35</v>
      </c>
      <c r="Q325" s="4">
        <v>173438</v>
      </c>
      <c r="R325" s="4">
        <v>0</v>
      </c>
      <c r="S325" s="4">
        <v>173438</v>
      </c>
      <c r="T325" s="4">
        <v>28280</v>
      </c>
      <c r="U325" s="4">
        <v>31070</v>
      </c>
      <c r="V325" s="4">
        <v>435</v>
      </c>
      <c r="W325" s="4">
        <v>17402</v>
      </c>
      <c r="X325" s="4">
        <v>1897</v>
      </c>
      <c r="Y325" s="4">
        <v>252522</v>
      </c>
      <c r="Z325" s="4">
        <v>26545</v>
      </c>
      <c r="AA325" s="4">
        <v>225977</v>
      </c>
      <c r="AB325" s="4">
        <v>131275</v>
      </c>
      <c r="AC325" s="4">
        <v>94702</v>
      </c>
    </row>
    <row r="326" spans="1:29" x14ac:dyDescent="0.25">
      <c r="A326" s="1" t="s">
        <v>310</v>
      </c>
      <c r="B326" s="1" t="s">
        <v>741</v>
      </c>
      <c r="C326" s="1" t="s">
        <v>339</v>
      </c>
      <c r="D326" s="1" t="s">
        <v>728</v>
      </c>
      <c r="E326" s="2">
        <v>94</v>
      </c>
      <c r="F326" s="3">
        <v>573</v>
      </c>
      <c r="G326" s="2">
        <v>667</v>
      </c>
      <c r="H326" s="2">
        <v>1.67</v>
      </c>
      <c r="I326" s="4">
        <v>0</v>
      </c>
      <c r="J326" s="3">
        <v>0</v>
      </c>
      <c r="K326" s="4">
        <v>573</v>
      </c>
      <c r="L326" s="2">
        <v>306.27</v>
      </c>
      <c r="M326" s="2">
        <v>57.48</v>
      </c>
      <c r="N326" s="2">
        <v>63.15</v>
      </c>
      <c r="O326" s="2">
        <v>30.73</v>
      </c>
      <c r="P326" s="2">
        <v>3.35</v>
      </c>
      <c r="Q326" s="4">
        <v>204282</v>
      </c>
      <c r="R326" s="4">
        <v>24724</v>
      </c>
      <c r="S326" s="4">
        <v>229006</v>
      </c>
      <c r="T326" s="4">
        <v>32936</v>
      </c>
      <c r="U326" s="4">
        <v>36185</v>
      </c>
      <c r="V326" s="4">
        <v>511</v>
      </c>
      <c r="W326" s="4">
        <v>21634</v>
      </c>
      <c r="X326" s="4">
        <v>2356</v>
      </c>
      <c r="Y326" s="4">
        <v>322628</v>
      </c>
      <c r="Z326" s="4">
        <v>34892</v>
      </c>
      <c r="AA326" s="4">
        <v>287736</v>
      </c>
      <c r="AB326" s="4">
        <v>152253</v>
      </c>
      <c r="AC326" s="4">
        <v>135483</v>
      </c>
    </row>
    <row r="327" spans="1:29" x14ac:dyDescent="0.25">
      <c r="A327" s="1" t="s">
        <v>310</v>
      </c>
      <c r="B327" s="1" t="s">
        <v>741</v>
      </c>
      <c r="C327" s="1" t="s">
        <v>340</v>
      </c>
      <c r="D327" s="1" t="s">
        <v>729</v>
      </c>
      <c r="E327" s="2">
        <v>78.66</v>
      </c>
      <c r="F327" s="3">
        <v>589</v>
      </c>
      <c r="G327" s="2">
        <v>667.66</v>
      </c>
      <c r="H327" s="2">
        <v>1.67</v>
      </c>
      <c r="I327" s="4">
        <v>0</v>
      </c>
      <c r="J327" s="3">
        <v>0</v>
      </c>
      <c r="K327" s="4">
        <v>589</v>
      </c>
      <c r="L327" s="2">
        <v>306.27</v>
      </c>
      <c r="M327" s="2">
        <v>57.48</v>
      </c>
      <c r="N327" s="2">
        <v>63.15</v>
      </c>
      <c r="O327" s="2">
        <v>30.73</v>
      </c>
      <c r="P327" s="2">
        <v>3.35</v>
      </c>
      <c r="Q327" s="4">
        <v>204484</v>
      </c>
      <c r="R327" s="4">
        <v>0</v>
      </c>
      <c r="S327" s="4">
        <v>204484</v>
      </c>
      <c r="T327" s="4">
        <v>33856</v>
      </c>
      <c r="U327" s="4">
        <v>37195</v>
      </c>
      <c r="V327" s="4">
        <v>511</v>
      </c>
      <c r="W327" s="4">
        <v>20517</v>
      </c>
      <c r="X327" s="4">
        <v>2237</v>
      </c>
      <c r="Y327" s="4">
        <v>298800</v>
      </c>
      <c r="Z327" s="4">
        <v>35052</v>
      </c>
      <c r="AA327" s="4">
        <v>263748</v>
      </c>
      <c r="AB327" s="4">
        <v>151019</v>
      </c>
      <c r="AC327" s="4">
        <v>112729</v>
      </c>
    </row>
    <row r="328" spans="1:29" x14ac:dyDescent="0.25">
      <c r="A328" s="1" t="s">
        <v>310</v>
      </c>
      <c r="B328" s="1" t="s">
        <v>741</v>
      </c>
      <c r="C328" s="1" t="s">
        <v>341</v>
      </c>
      <c r="D328" s="1" t="s">
        <v>730</v>
      </c>
      <c r="E328" s="2">
        <v>52.8</v>
      </c>
      <c r="F328" s="3">
        <v>458.4</v>
      </c>
      <c r="G328" s="2">
        <v>511.2</v>
      </c>
      <c r="H328" s="2">
        <v>1.28</v>
      </c>
      <c r="I328" s="4">
        <v>12</v>
      </c>
      <c r="J328" s="3">
        <v>0</v>
      </c>
      <c r="K328" s="4">
        <v>470</v>
      </c>
      <c r="L328" s="2">
        <v>306.27</v>
      </c>
      <c r="M328" s="2">
        <v>57.48</v>
      </c>
      <c r="N328" s="2">
        <v>63.15</v>
      </c>
      <c r="O328" s="2">
        <v>30.73</v>
      </c>
      <c r="P328" s="2">
        <v>3.35</v>
      </c>
      <c r="Q328" s="4">
        <v>156565</v>
      </c>
      <c r="R328" s="4">
        <v>0</v>
      </c>
      <c r="S328" s="4">
        <v>156565</v>
      </c>
      <c r="T328" s="4">
        <v>27016</v>
      </c>
      <c r="U328" s="4">
        <v>29681</v>
      </c>
      <c r="V328" s="4">
        <v>392</v>
      </c>
      <c r="W328" s="4">
        <v>15709</v>
      </c>
      <c r="X328" s="4">
        <v>1713</v>
      </c>
      <c r="Y328" s="4">
        <v>231076</v>
      </c>
      <c r="Z328" s="4">
        <v>21967</v>
      </c>
      <c r="AA328" s="4">
        <v>209109</v>
      </c>
      <c r="AB328" s="4">
        <v>120500</v>
      </c>
      <c r="AC328" s="4">
        <v>88609</v>
      </c>
    </row>
    <row r="329" spans="1:29" x14ac:dyDescent="0.25">
      <c r="A329" s="1" t="s">
        <v>310</v>
      </c>
      <c r="B329" s="1" t="s">
        <v>741</v>
      </c>
      <c r="C329" s="1" t="s">
        <v>342</v>
      </c>
      <c r="D329" s="1" t="s">
        <v>731</v>
      </c>
      <c r="E329" s="2">
        <v>20.92</v>
      </c>
      <c r="F329" s="3">
        <v>308.10000000000002</v>
      </c>
      <c r="G329" s="2">
        <v>329.02</v>
      </c>
      <c r="H329" s="2">
        <v>0.83</v>
      </c>
      <c r="I329" s="4">
        <v>0</v>
      </c>
      <c r="J329" s="3">
        <v>0</v>
      </c>
      <c r="K329" s="4">
        <v>308</v>
      </c>
      <c r="L329" s="2">
        <v>306.27</v>
      </c>
      <c r="M329" s="2">
        <v>57.48</v>
      </c>
      <c r="N329" s="2">
        <v>63.15</v>
      </c>
      <c r="O329" s="2">
        <v>30.73</v>
      </c>
      <c r="P329" s="2">
        <v>3.35</v>
      </c>
      <c r="Q329" s="4">
        <v>100769</v>
      </c>
      <c r="R329" s="4">
        <v>14959</v>
      </c>
      <c r="S329" s="4">
        <v>115728</v>
      </c>
      <c r="T329" s="4">
        <v>17704</v>
      </c>
      <c r="U329" s="4">
        <v>19450</v>
      </c>
      <c r="V329" s="4">
        <v>254</v>
      </c>
      <c r="W329" s="4">
        <v>10630</v>
      </c>
      <c r="X329" s="4">
        <v>1158</v>
      </c>
      <c r="Y329" s="4">
        <v>164924</v>
      </c>
      <c r="Z329" s="4">
        <v>18261</v>
      </c>
      <c r="AA329" s="4">
        <v>146663</v>
      </c>
      <c r="AB329" s="4">
        <v>74010</v>
      </c>
      <c r="AC329" s="4">
        <v>72653</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8"/>
  <sheetViews>
    <sheetView workbookViewId="0">
      <selection activeCell="A5" sqref="A5"/>
    </sheetView>
  </sheetViews>
  <sheetFormatPr defaultRowHeight="12.75" x14ac:dyDescent="0.2"/>
  <cols>
    <col min="1" max="1" width="8.42578125" style="20" bestFit="1" customWidth="1"/>
    <col min="2" max="2" width="31.140625" style="20" bestFit="1" customWidth="1"/>
    <col min="3" max="3" width="11.28515625" style="20" customWidth="1"/>
    <col min="4" max="4" width="9.7109375" style="20" bestFit="1" customWidth="1"/>
    <col min="5" max="5" width="9.85546875" style="20" bestFit="1" customWidth="1"/>
    <col min="6" max="6" width="13.140625" style="20" bestFit="1" customWidth="1"/>
    <col min="7" max="7" width="9.42578125" style="20" bestFit="1" customWidth="1"/>
    <col min="8" max="8" width="10.85546875" style="20" customWidth="1"/>
    <col min="9" max="9" width="11.42578125" style="20" bestFit="1" customWidth="1"/>
    <col min="10" max="10" width="10.85546875" style="20" bestFit="1" customWidth="1"/>
    <col min="11" max="11" width="10.28515625" style="20" bestFit="1" customWidth="1"/>
    <col min="12" max="12" width="10.85546875" style="20" bestFit="1" customWidth="1"/>
    <col min="13" max="14" width="9.85546875" style="20" bestFit="1" customWidth="1"/>
    <col min="15" max="15" width="7.42578125" style="20" bestFit="1" customWidth="1"/>
    <col min="16" max="16" width="10.5703125" style="20" bestFit="1" customWidth="1"/>
    <col min="17" max="17" width="11.7109375" style="20" bestFit="1" customWidth="1"/>
    <col min="18" max="18" width="10.85546875" style="20" bestFit="1" customWidth="1"/>
    <col min="19" max="19" width="9.85546875" style="20" bestFit="1" customWidth="1"/>
    <col min="20" max="21" width="10.85546875" style="20" bestFit="1"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31" t="str">
        <f>CONCATENATE(INDEX(Detail[],MATCH(A5,Detail[Dist],0),2)," Detail by School District")</f>
        <v>Central Rivers Detail by School District</v>
      </c>
    </row>
    <row r="2" spans="1:22" ht="15.75" customHeight="1" x14ac:dyDescent="0.2">
      <c r="B2" s="31"/>
    </row>
    <row r="3" spans="1:22" ht="16.5" customHeight="1" x14ac:dyDescent="0.2">
      <c r="B3" s="31"/>
    </row>
    <row r="4" spans="1:22" s="21" customFormat="1" ht="63.75" x14ac:dyDescent="0.2">
      <c r="A4" s="22" t="s">
        <v>732</v>
      </c>
      <c r="B4" s="22" t="s">
        <v>367</v>
      </c>
      <c r="C4" s="23" t="s">
        <v>392</v>
      </c>
      <c r="D4" s="23" t="s">
        <v>393</v>
      </c>
      <c r="E4" s="23" t="s">
        <v>394</v>
      </c>
      <c r="F4" s="23" t="s">
        <v>395</v>
      </c>
      <c r="G4" s="23" t="s">
        <v>396</v>
      </c>
      <c r="H4" s="23" t="s">
        <v>397</v>
      </c>
      <c r="I4" s="23" t="s">
        <v>399</v>
      </c>
      <c r="J4" s="23" t="s">
        <v>400</v>
      </c>
      <c r="K4" s="23" t="s">
        <v>401</v>
      </c>
      <c r="L4" s="23" t="s">
        <v>402</v>
      </c>
      <c r="M4" s="23" t="s">
        <v>403</v>
      </c>
      <c r="N4" s="23" t="s">
        <v>404</v>
      </c>
      <c r="O4" s="23" t="s">
        <v>405</v>
      </c>
      <c r="P4" s="23" t="s">
        <v>406</v>
      </c>
      <c r="Q4" s="23" t="s">
        <v>407</v>
      </c>
      <c r="R4" s="23" t="s">
        <v>408</v>
      </c>
      <c r="S4" s="23" t="s">
        <v>409</v>
      </c>
      <c r="T4" s="23" t="s">
        <v>410</v>
      </c>
      <c r="U4" s="23" t="s">
        <v>411</v>
      </c>
      <c r="V4" s="23" t="s">
        <v>412</v>
      </c>
    </row>
    <row r="5" spans="1:22" x14ac:dyDescent="0.2">
      <c r="A5" s="20" t="s">
        <v>63</v>
      </c>
      <c r="B5" s="20" t="s">
        <v>64</v>
      </c>
      <c r="C5" s="25">
        <v>85.15</v>
      </c>
      <c r="D5" s="27">
        <v>645.20000000000005</v>
      </c>
      <c r="E5" s="25">
        <v>730.35</v>
      </c>
      <c r="F5" s="25">
        <v>0</v>
      </c>
      <c r="G5" s="29">
        <v>18</v>
      </c>
      <c r="H5" s="27">
        <v>0</v>
      </c>
      <c r="I5" s="29">
        <v>663</v>
      </c>
      <c r="J5" s="29">
        <v>228037</v>
      </c>
      <c r="K5" s="29">
        <v>0</v>
      </c>
      <c r="L5" s="29">
        <v>228037</v>
      </c>
      <c r="M5" s="29">
        <v>38328</v>
      </c>
      <c r="N5" s="29">
        <v>42764</v>
      </c>
      <c r="O5" s="29">
        <v>0</v>
      </c>
      <c r="P5" s="29">
        <v>28579</v>
      </c>
      <c r="Q5" s="29">
        <v>3287</v>
      </c>
      <c r="R5" s="29">
        <v>340995</v>
      </c>
      <c r="S5" s="29">
        <v>41289</v>
      </c>
      <c r="T5" s="29">
        <v>299706</v>
      </c>
      <c r="U5" s="29">
        <v>168782</v>
      </c>
      <c r="V5" s="29">
        <v>130924</v>
      </c>
    </row>
    <row r="6" spans="1:22" x14ac:dyDescent="0.2">
      <c r="A6" s="20" t="s">
        <v>177</v>
      </c>
      <c r="B6" s="20" t="s">
        <v>573</v>
      </c>
      <c r="C6" s="25">
        <v>40.909999999999997</v>
      </c>
      <c r="D6" s="27">
        <v>297.39999999999998</v>
      </c>
      <c r="E6" s="25">
        <v>338.31</v>
      </c>
      <c r="F6" s="25">
        <v>0</v>
      </c>
      <c r="G6" s="29">
        <v>0</v>
      </c>
      <c r="H6" s="27">
        <v>0</v>
      </c>
      <c r="I6" s="29">
        <v>297</v>
      </c>
      <c r="J6" s="29">
        <v>101781</v>
      </c>
      <c r="K6" s="29">
        <v>4542</v>
      </c>
      <c r="L6" s="29">
        <v>106323</v>
      </c>
      <c r="M6" s="29">
        <v>17042</v>
      </c>
      <c r="N6" s="29">
        <v>18711</v>
      </c>
      <c r="O6" s="29">
        <v>0</v>
      </c>
      <c r="P6" s="29">
        <v>8675</v>
      </c>
      <c r="Q6" s="29">
        <v>1099</v>
      </c>
      <c r="R6" s="29">
        <v>151850</v>
      </c>
      <c r="S6" s="29">
        <v>16927</v>
      </c>
      <c r="T6" s="29">
        <v>134923</v>
      </c>
      <c r="U6" s="29">
        <v>75395</v>
      </c>
      <c r="V6" s="29">
        <v>59528</v>
      </c>
    </row>
    <row r="7" spans="1:22" x14ac:dyDescent="0.2">
      <c r="A7" s="20" t="s">
        <v>178</v>
      </c>
      <c r="B7" s="20" t="s">
        <v>574</v>
      </c>
      <c r="C7" s="25">
        <v>173.06</v>
      </c>
      <c r="D7" s="27">
        <v>1932.2</v>
      </c>
      <c r="E7" s="25">
        <v>2105.2600000000002</v>
      </c>
      <c r="F7" s="25">
        <v>0</v>
      </c>
      <c r="G7" s="29">
        <v>32</v>
      </c>
      <c r="H7" s="27">
        <v>0</v>
      </c>
      <c r="I7" s="29">
        <v>1964</v>
      </c>
      <c r="J7" s="29">
        <v>633367</v>
      </c>
      <c r="K7" s="29">
        <v>0</v>
      </c>
      <c r="L7" s="29">
        <v>633367</v>
      </c>
      <c r="M7" s="29">
        <v>112694</v>
      </c>
      <c r="N7" s="29">
        <v>123732</v>
      </c>
      <c r="O7" s="29">
        <v>0</v>
      </c>
      <c r="P7" s="29">
        <v>53010</v>
      </c>
      <c r="Q7" s="29">
        <v>6695</v>
      </c>
      <c r="R7" s="29">
        <v>929498</v>
      </c>
      <c r="S7" s="29">
        <v>62785</v>
      </c>
      <c r="T7" s="29">
        <v>866713</v>
      </c>
      <c r="U7" s="29">
        <v>510603</v>
      </c>
      <c r="V7" s="29">
        <v>356110</v>
      </c>
    </row>
    <row r="8" spans="1:22" x14ac:dyDescent="0.2">
      <c r="A8" s="20" t="s">
        <v>232</v>
      </c>
      <c r="B8" s="20" t="s">
        <v>625</v>
      </c>
      <c r="C8" s="25">
        <v>80</v>
      </c>
      <c r="D8" s="27">
        <v>577.4</v>
      </c>
      <c r="E8" s="25">
        <v>657.4</v>
      </c>
      <c r="F8" s="25">
        <v>0</v>
      </c>
      <c r="G8" s="29">
        <v>11</v>
      </c>
      <c r="H8" s="27">
        <v>0</v>
      </c>
      <c r="I8" s="29">
        <v>588</v>
      </c>
      <c r="J8" s="29">
        <v>207403</v>
      </c>
      <c r="K8" s="29">
        <v>0</v>
      </c>
      <c r="L8" s="29">
        <v>207403</v>
      </c>
      <c r="M8" s="29">
        <v>33981</v>
      </c>
      <c r="N8" s="29">
        <v>38091</v>
      </c>
      <c r="O8" s="29">
        <v>0</v>
      </c>
      <c r="P8" s="29">
        <v>20866</v>
      </c>
      <c r="Q8" s="29">
        <v>2492</v>
      </c>
      <c r="R8" s="29">
        <v>302833</v>
      </c>
      <c r="S8" s="29">
        <v>26925</v>
      </c>
      <c r="T8" s="29">
        <v>275908</v>
      </c>
      <c r="U8" s="29">
        <v>156839</v>
      </c>
      <c r="V8" s="29">
        <v>119069</v>
      </c>
    </row>
    <row r="9" spans="1:22" x14ac:dyDescent="0.2">
      <c r="A9" s="20" t="s">
        <v>23</v>
      </c>
      <c r="B9" s="20" t="s">
        <v>434</v>
      </c>
      <c r="C9" s="25">
        <v>36.67</v>
      </c>
      <c r="D9" s="27">
        <v>216.9</v>
      </c>
      <c r="E9" s="25">
        <v>253.57</v>
      </c>
      <c r="F9" s="25">
        <v>0.7</v>
      </c>
      <c r="G9" s="29">
        <v>1</v>
      </c>
      <c r="H9" s="27">
        <v>0</v>
      </c>
      <c r="I9" s="29">
        <v>218</v>
      </c>
      <c r="J9" s="29">
        <v>80853</v>
      </c>
      <c r="K9" s="29">
        <v>0</v>
      </c>
      <c r="L9" s="29">
        <v>80853</v>
      </c>
      <c r="M9" s="29">
        <v>12613</v>
      </c>
      <c r="N9" s="29">
        <v>14144</v>
      </c>
      <c r="O9" s="29">
        <v>223</v>
      </c>
      <c r="P9" s="29">
        <v>8586</v>
      </c>
      <c r="Q9" s="29">
        <v>1022</v>
      </c>
      <c r="R9" s="29">
        <v>117441</v>
      </c>
      <c r="S9" s="29">
        <v>14109</v>
      </c>
      <c r="T9" s="29">
        <v>103332</v>
      </c>
      <c r="U9" s="29">
        <v>57541</v>
      </c>
      <c r="V9" s="29">
        <v>45791</v>
      </c>
    </row>
    <row r="10" spans="1:22" x14ac:dyDescent="0.2">
      <c r="A10" s="20" t="s">
        <v>311</v>
      </c>
      <c r="B10" s="20" t="s">
        <v>701</v>
      </c>
      <c r="C10" s="25">
        <v>133.61000000000001</v>
      </c>
      <c r="D10" s="27">
        <v>1151.0999999999999</v>
      </c>
      <c r="E10" s="25">
        <v>1284.71</v>
      </c>
      <c r="F10" s="25">
        <v>3.22</v>
      </c>
      <c r="G10" s="29">
        <v>1</v>
      </c>
      <c r="H10" s="27">
        <v>0</v>
      </c>
      <c r="I10" s="29">
        <v>1152</v>
      </c>
      <c r="J10" s="29">
        <v>393468</v>
      </c>
      <c r="K10" s="29">
        <v>0</v>
      </c>
      <c r="L10" s="29">
        <v>393468</v>
      </c>
      <c r="M10" s="29">
        <v>66217</v>
      </c>
      <c r="N10" s="29">
        <v>72749</v>
      </c>
      <c r="O10" s="29">
        <v>986</v>
      </c>
      <c r="P10" s="29">
        <v>39479</v>
      </c>
      <c r="Q10" s="29">
        <v>4304</v>
      </c>
      <c r="R10" s="29">
        <v>577203</v>
      </c>
      <c r="S10" s="29">
        <v>57955</v>
      </c>
      <c r="T10" s="29">
        <v>519248</v>
      </c>
      <c r="U10" s="29">
        <v>300083</v>
      </c>
      <c r="V10" s="29">
        <v>219165</v>
      </c>
    </row>
    <row r="11" spans="1:22" x14ac:dyDescent="0.2">
      <c r="A11" s="20" t="s">
        <v>143</v>
      </c>
      <c r="B11" s="20" t="s">
        <v>542</v>
      </c>
      <c r="C11" s="25">
        <v>34.89</v>
      </c>
      <c r="D11" s="27">
        <v>511.8</v>
      </c>
      <c r="E11" s="25">
        <v>546.69000000000005</v>
      </c>
      <c r="F11" s="25">
        <v>0</v>
      </c>
      <c r="G11" s="29">
        <v>25</v>
      </c>
      <c r="H11" s="27">
        <v>0</v>
      </c>
      <c r="I11" s="29">
        <v>537</v>
      </c>
      <c r="J11" s="29">
        <v>168353</v>
      </c>
      <c r="K11" s="29">
        <v>624</v>
      </c>
      <c r="L11" s="29">
        <v>168977</v>
      </c>
      <c r="M11" s="29">
        <v>30878</v>
      </c>
      <c r="N11" s="29">
        <v>33928</v>
      </c>
      <c r="O11" s="29">
        <v>0</v>
      </c>
      <c r="P11" s="29">
        <v>15827</v>
      </c>
      <c r="Q11" s="29">
        <v>1842</v>
      </c>
      <c r="R11" s="29">
        <v>251452</v>
      </c>
      <c r="S11" s="29">
        <v>28260</v>
      </c>
      <c r="T11" s="29">
        <v>223192</v>
      </c>
      <c r="U11" s="29">
        <v>122801</v>
      </c>
      <c r="V11" s="29">
        <v>100391</v>
      </c>
    </row>
    <row r="12" spans="1:22" x14ac:dyDescent="0.2">
      <c r="A12" s="20" t="s">
        <v>65</v>
      </c>
      <c r="B12" s="20" t="s">
        <v>472</v>
      </c>
      <c r="C12" s="25">
        <v>25.81</v>
      </c>
      <c r="D12" s="27">
        <v>264.39999999999998</v>
      </c>
      <c r="E12" s="25">
        <v>290.20999999999998</v>
      </c>
      <c r="F12" s="25">
        <v>0</v>
      </c>
      <c r="G12" s="29">
        <v>0</v>
      </c>
      <c r="H12" s="27">
        <v>0</v>
      </c>
      <c r="I12" s="29">
        <v>264</v>
      </c>
      <c r="J12" s="29">
        <v>90612</v>
      </c>
      <c r="K12" s="29">
        <v>865</v>
      </c>
      <c r="L12" s="29">
        <v>91477</v>
      </c>
      <c r="M12" s="29">
        <v>15262</v>
      </c>
      <c r="N12" s="29">
        <v>17028</v>
      </c>
      <c r="O12" s="29">
        <v>0</v>
      </c>
      <c r="P12" s="29">
        <v>11512</v>
      </c>
      <c r="Q12" s="29">
        <v>1324</v>
      </c>
      <c r="R12" s="29">
        <v>136603</v>
      </c>
      <c r="S12" s="29">
        <v>14957</v>
      </c>
      <c r="T12" s="29">
        <v>121646</v>
      </c>
      <c r="U12" s="29">
        <v>68690</v>
      </c>
      <c r="V12" s="29">
        <v>52956</v>
      </c>
    </row>
    <row r="13" spans="1:22" x14ac:dyDescent="0.2">
      <c r="A13" s="20" t="s">
        <v>24</v>
      </c>
      <c r="B13" s="20" t="s">
        <v>435</v>
      </c>
      <c r="C13" s="25">
        <v>200.56</v>
      </c>
      <c r="D13" s="27">
        <v>1295.5999999999999</v>
      </c>
      <c r="E13" s="25">
        <v>1496.16</v>
      </c>
      <c r="F13" s="25">
        <v>4.1100000000000003</v>
      </c>
      <c r="G13" s="29">
        <v>312</v>
      </c>
      <c r="H13" s="27">
        <v>10.4</v>
      </c>
      <c r="I13" s="29">
        <v>1597</v>
      </c>
      <c r="J13" s="29">
        <v>477066</v>
      </c>
      <c r="K13" s="29">
        <v>0</v>
      </c>
      <c r="L13" s="29">
        <v>477066</v>
      </c>
      <c r="M13" s="29">
        <v>92402</v>
      </c>
      <c r="N13" s="29">
        <v>103613</v>
      </c>
      <c r="O13" s="29">
        <v>1311</v>
      </c>
      <c r="P13" s="29">
        <v>50660</v>
      </c>
      <c r="Q13" s="29">
        <v>6030</v>
      </c>
      <c r="R13" s="29">
        <v>731082</v>
      </c>
      <c r="S13" s="29">
        <v>83780</v>
      </c>
      <c r="T13" s="29">
        <v>647302</v>
      </c>
      <c r="U13" s="29">
        <v>338976</v>
      </c>
      <c r="V13" s="29">
        <v>308326</v>
      </c>
    </row>
    <row r="14" spans="1:22" x14ac:dyDescent="0.2">
      <c r="A14" s="20" t="s">
        <v>1</v>
      </c>
      <c r="B14" s="20" t="s">
        <v>413</v>
      </c>
      <c r="C14" s="25">
        <v>143.32</v>
      </c>
      <c r="D14" s="27">
        <v>1095</v>
      </c>
      <c r="E14" s="25">
        <v>1238.32</v>
      </c>
      <c r="F14" s="25">
        <v>3.52</v>
      </c>
      <c r="G14" s="29">
        <v>157</v>
      </c>
      <c r="H14" s="27">
        <v>1.4</v>
      </c>
      <c r="I14" s="29">
        <v>1251</v>
      </c>
      <c r="J14" s="29">
        <v>400114</v>
      </c>
      <c r="K14" s="29">
        <v>0</v>
      </c>
      <c r="L14" s="29">
        <v>400114</v>
      </c>
      <c r="M14" s="29">
        <v>72283</v>
      </c>
      <c r="N14" s="29">
        <v>80577</v>
      </c>
      <c r="O14" s="29">
        <v>1137</v>
      </c>
      <c r="P14" s="29">
        <v>39502</v>
      </c>
      <c r="Q14" s="29">
        <v>4260</v>
      </c>
      <c r="R14" s="29">
        <v>597873</v>
      </c>
      <c r="S14" s="29">
        <v>73532</v>
      </c>
      <c r="T14" s="29">
        <v>524341</v>
      </c>
      <c r="U14" s="29">
        <v>273239</v>
      </c>
      <c r="V14" s="29">
        <v>251102</v>
      </c>
    </row>
    <row r="15" spans="1:22" x14ac:dyDescent="0.2">
      <c r="A15" s="20" t="s">
        <v>103</v>
      </c>
      <c r="B15" s="20" t="s">
        <v>504</v>
      </c>
      <c r="C15" s="25">
        <v>68.25</v>
      </c>
      <c r="D15" s="27">
        <v>560.6</v>
      </c>
      <c r="E15" s="25">
        <v>628.85</v>
      </c>
      <c r="F15" s="25">
        <v>0</v>
      </c>
      <c r="G15" s="29">
        <v>2</v>
      </c>
      <c r="H15" s="27">
        <v>0</v>
      </c>
      <c r="I15" s="29">
        <v>563</v>
      </c>
      <c r="J15" s="29">
        <v>196346</v>
      </c>
      <c r="K15" s="29">
        <v>11530</v>
      </c>
      <c r="L15" s="29">
        <v>207876</v>
      </c>
      <c r="M15" s="29">
        <v>32547</v>
      </c>
      <c r="N15" s="29">
        <v>36314</v>
      </c>
      <c r="O15" s="29">
        <v>0</v>
      </c>
      <c r="P15" s="29">
        <v>24733</v>
      </c>
      <c r="Q15" s="29">
        <v>2845</v>
      </c>
      <c r="R15" s="29">
        <v>304315</v>
      </c>
      <c r="S15" s="29">
        <v>32769</v>
      </c>
      <c r="T15" s="29">
        <v>271546</v>
      </c>
      <c r="U15" s="29">
        <v>148248</v>
      </c>
      <c r="V15" s="29">
        <v>123298</v>
      </c>
    </row>
    <row r="16" spans="1:22" x14ac:dyDescent="0.2">
      <c r="A16" s="20" t="s">
        <v>25</v>
      </c>
      <c r="B16" s="20" t="s">
        <v>436</v>
      </c>
      <c r="C16" s="25">
        <v>79.77</v>
      </c>
      <c r="D16" s="27">
        <v>803.2</v>
      </c>
      <c r="E16" s="25">
        <v>882.97</v>
      </c>
      <c r="F16" s="25">
        <v>2.4300000000000002</v>
      </c>
      <c r="G16" s="29">
        <v>16</v>
      </c>
      <c r="H16" s="27">
        <v>0</v>
      </c>
      <c r="I16" s="29">
        <v>819</v>
      </c>
      <c r="J16" s="29">
        <v>281544</v>
      </c>
      <c r="K16" s="29">
        <v>0</v>
      </c>
      <c r="L16" s="29">
        <v>281544</v>
      </c>
      <c r="M16" s="29">
        <v>47387</v>
      </c>
      <c r="N16" s="29">
        <v>53137</v>
      </c>
      <c r="O16" s="29">
        <v>775</v>
      </c>
      <c r="P16" s="29">
        <v>29897</v>
      </c>
      <c r="Q16" s="29">
        <v>3558</v>
      </c>
      <c r="R16" s="29">
        <v>416298</v>
      </c>
      <c r="S16" s="29">
        <v>44685</v>
      </c>
      <c r="T16" s="29">
        <v>371613</v>
      </c>
      <c r="U16" s="29">
        <v>204808</v>
      </c>
      <c r="V16" s="29">
        <v>166805</v>
      </c>
    </row>
    <row r="17" spans="1:22" x14ac:dyDescent="0.2">
      <c r="A17" s="20" t="s">
        <v>179</v>
      </c>
      <c r="B17" s="20" t="s">
        <v>575</v>
      </c>
      <c r="C17" s="25">
        <v>532.29</v>
      </c>
      <c r="D17" s="27">
        <v>4477.3999999999996</v>
      </c>
      <c r="E17" s="25">
        <v>5009.6899999999996</v>
      </c>
      <c r="F17" s="25">
        <v>0</v>
      </c>
      <c r="G17" s="29">
        <v>110</v>
      </c>
      <c r="H17" s="27">
        <v>0</v>
      </c>
      <c r="I17" s="29">
        <v>4587</v>
      </c>
      <c r="J17" s="29">
        <v>1507165</v>
      </c>
      <c r="K17" s="29">
        <v>0</v>
      </c>
      <c r="L17" s="29">
        <v>1507165</v>
      </c>
      <c r="M17" s="29">
        <v>263202</v>
      </c>
      <c r="N17" s="29">
        <v>288981</v>
      </c>
      <c r="O17" s="29">
        <v>0</v>
      </c>
      <c r="P17" s="29">
        <v>126144</v>
      </c>
      <c r="Q17" s="29">
        <v>15931</v>
      </c>
      <c r="R17" s="29">
        <v>2201423</v>
      </c>
      <c r="S17" s="29">
        <v>203105</v>
      </c>
      <c r="T17" s="29">
        <v>1998318</v>
      </c>
      <c r="U17" s="29">
        <v>1161334</v>
      </c>
      <c r="V17" s="29">
        <v>836984</v>
      </c>
    </row>
    <row r="18" spans="1:22" x14ac:dyDescent="0.2">
      <c r="A18" s="20" t="s">
        <v>144</v>
      </c>
      <c r="B18" s="20" t="s">
        <v>543</v>
      </c>
      <c r="C18" s="25">
        <v>159.18</v>
      </c>
      <c r="D18" s="27">
        <v>1298.2</v>
      </c>
      <c r="E18" s="25">
        <v>1457.38</v>
      </c>
      <c r="F18" s="25">
        <v>0</v>
      </c>
      <c r="G18" s="29">
        <v>55</v>
      </c>
      <c r="H18" s="27">
        <v>0.4</v>
      </c>
      <c r="I18" s="29">
        <v>1353</v>
      </c>
      <c r="J18" s="29">
        <v>448800</v>
      </c>
      <c r="K18" s="29">
        <v>0</v>
      </c>
      <c r="L18" s="29">
        <v>448800</v>
      </c>
      <c r="M18" s="29">
        <v>77798</v>
      </c>
      <c r="N18" s="29">
        <v>85483</v>
      </c>
      <c r="O18" s="29">
        <v>0</v>
      </c>
      <c r="P18" s="29">
        <v>42191</v>
      </c>
      <c r="Q18" s="29">
        <v>4911</v>
      </c>
      <c r="R18" s="29">
        <v>659183</v>
      </c>
      <c r="S18" s="29">
        <v>60223</v>
      </c>
      <c r="T18" s="29">
        <v>598960</v>
      </c>
      <c r="U18" s="29">
        <v>342480</v>
      </c>
      <c r="V18" s="29">
        <v>256480</v>
      </c>
    </row>
    <row r="19" spans="1:22" x14ac:dyDescent="0.2">
      <c r="A19" s="20" t="s">
        <v>121</v>
      </c>
      <c r="B19" s="20" t="s">
        <v>521</v>
      </c>
      <c r="C19" s="25">
        <v>34.14</v>
      </c>
      <c r="D19" s="27">
        <v>234.3</v>
      </c>
      <c r="E19" s="25">
        <v>268.44</v>
      </c>
      <c r="F19" s="25">
        <v>0.49</v>
      </c>
      <c r="G19" s="29">
        <v>21</v>
      </c>
      <c r="H19" s="27">
        <v>0</v>
      </c>
      <c r="I19" s="29">
        <v>255</v>
      </c>
      <c r="J19" s="29">
        <v>83182</v>
      </c>
      <c r="K19" s="29">
        <v>10149</v>
      </c>
      <c r="L19" s="29">
        <v>93331</v>
      </c>
      <c r="M19" s="29">
        <v>14617</v>
      </c>
      <c r="N19" s="29">
        <v>15958</v>
      </c>
      <c r="O19" s="29">
        <v>152</v>
      </c>
      <c r="P19" s="29">
        <v>7570</v>
      </c>
      <c r="Q19" s="29">
        <v>889</v>
      </c>
      <c r="R19" s="29">
        <v>132517</v>
      </c>
      <c r="S19" s="29">
        <v>16393</v>
      </c>
      <c r="T19" s="29">
        <v>116124</v>
      </c>
      <c r="U19" s="29">
        <v>57685</v>
      </c>
      <c r="V19" s="29">
        <v>58439</v>
      </c>
    </row>
    <row r="20" spans="1:22" x14ac:dyDescent="0.2">
      <c r="A20" s="20" t="s">
        <v>180</v>
      </c>
      <c r="B20" s="20" t="s">
        <v>576</v>
      </c>
      <c r="C20" s="25">
        <v>1261.3699999999999</v>
      </c>
      <c r="D20" s="27">
        <v>12255.8</v>
      </c>
      <c r="E20" s="25">
        <v>13517.17</v>
      </c>
      <c r="F20" s="25">
        <v>0</v>
      </c>
      <c r="G20" s="29">
        <v>595</v>
      </c>
      <c r="H20" s="27">
        <v>0.9</v>
      </c>
      <c r="I20" s="29">
        <v>12850</v>
      </c>
      <c r="J20" s="29">
        <v>4066641</v>
      </c>
      <c r="K20" s="29">
        <v>0</v>
      </c>
      <c r="L20" s="29">
        <v>4066641</v>
      </c>
      <c r="M20" s="29">
        <v>737333</v>
      </c>
      <c r="N20" s="29">
        <v>809550</v>
      </c>
      <c r="O20" s="29">
        <v>0</v>
      </c>
      <c r="P20" s="29">
        <v>340362</v>
      </c>
      <c r="Q20" s="29">
        <v>42985</v>
      </c>
      <c r="R20" s="29">
        <v>5996871</v>
      </c>
      <c r="S20" s="29">
        <v>253394</v>
      </c>
      <c r="T20" s="29">
        <v>5743477</v>
      </c>
      <c r="U20" s="29">
        <v>3428142</v>
      </c>
      <c r="V20" s="29">
        <v>2315335</v>
      </c>
    </row>
    <row r="21" spans="1:22" x14ac:dyDescent="0.2">
      <c r="A21" s="20" t="s">
        <v>66</v>
      </c>
      <c r="B21" s="20" t="s">
        <v>473</v>
      </c>
      <c r="C21" s="25">
        <v>99.29</v>
      </c>
      <c r="D21" s="27">
        <v>788</v>
      </c>
      <c r="E21" s="25">
        <v>887.29</v>
      </c>
      <c r="F21" s="25">
        <v>0</v>
      </c>
      <c r="G21" s="29">
        <v>31</v>
      </c>
      <c r="H21" s="27">
        <v>0</v>
      </c>
      <c r="I21" s="29">
        <v>819</v>
      </c>
      <c r="J21" s="29">
        <v>277039</v>
      </c>
      <c r="K21" s="29">
        <v>5081</v>
      </c>
      <c r="L21" s="29">
        <v>282120</v>
      </c>
      <c r="M21" s="29">
        <v>47346</v>
      </c>
      <c r="N21" s="29">
        <v>52826</v>
      </c>
      <c r="O21" s="29">
        <v>0</v>
      </c>
      <c r="P21" s="29">
        <v>34966</v>
      </c>
      <c r="Q21" s="29">
        <v>4023</v>
      </c>
      <c r="R21" s="29">
        <v>421281</v>
      </c>
      <c r="S21" s="29">
        <v>39100</v>
      </c>
      <c r="T21" s="29">
        <v>382181</v>
      </c>
      <c r="U21" s="29">
        <v>216388</v>
      </c>
      <c r="V21" s="29">
        <v>165793</v>
      </c>
    </row>
    <row r="22" spans="1:22" x14ac:dyDescent="0.2">
      <c r="A22" s="20" t="s">
        <v>43</v>
      </c>
      <c r="B22" s="20" t="s">
        <v>454</v>
      </c>
      <c r="C22" s="25">
        <v>54.74</v>
      </c>
      <c r="D22" s="27">
        <v>403.3</v>
      </c>
      <c r="E22" s="25">
        <v>458.04</v>
      </c>
      <c r="F22" s="25">
        <v>1.26</v>
      </c>
      <c r="G22" s="29">
        <v>14</v>
      </c>
      <c r="H22" s="27">
        <v>0</v>
      </c>
      <c r="I22" s="29">
        <v>417</v>
      </c>
      <c r="J22" s="29">
        <v>146051</v>
      </c>
      <c r="K22" s="29">
        <v>24184</v>
      </c>
      <c r="L22" s="29">
        <v>170235</v>
      </c>
      <c r="M22" s="29">
        <v>24128</v>
      </c>
      <c r="N22" s="29">
        <v>27055</v>
      </c>
      <c r="O22" s="29">
        <v>402</v>
      </c>
      <c r="P22" s="29">
        <v>15509</v>
      </c>
      <c r="Q22" s="29">
        <v>1846</v>
      </c>
      <c r="R22" s="29">
        <v>239175</v>
      </c>
      <c r="S22" s="29">
        <v>31389</v>
      </c>
      <c r="T22" s="29">
        <v>207786</v>
      </c>
      <c r="U22" s="29">
        <v>98035</v>
      </c>
      <c r="V22" s="29">
        <v>109751</v>
      </c>
    </row>
    <row r="23" spans="1:22" x14ac:dyDescent="0.2">
      <c r="A23" s="20" t="s">
        <v>233</v>
      </c>
      <c r="B23" s="20" t="s">
        <v>626</v>
      </c>
      <c r="C23" s="25">
        <v>41.48</v>
      </c>
      <c r="D23" s="27">
        <v>274</v>
      </c>
      <c r="E23" s="25">
        <v>315.48</v>
      </c>
      <c r="F23" s="25">
        <v>0</v>
      </c>
      <c r="G23" s="29">
        <v>71</v>
      </c>
      <c r="H23" s="27">
        <v>0</v>
      </c>
      <c r="I23" s="29">
        <v>345</v>
      </c>
      <c r="J23" s="29">
        <v>99531</v>
      </c>
      <c r="K23" s="29">
        <v>5796</v>
      </c>
      <c r="L23" s="29">
        <v>105327</v>
      </c>
      <c r="M23" s="29">
        <v>19938</v>
      </c>
      <c r="N23" s="29">
        <v>22349</v>
      </c>
      <c r="O23" s="29">
        <v>0</v>
      </c>
      <c r="P23" s="29">
        <v>10013</v>
      </c>
      <c r="Q23" s="29">
        <v>1196</v>
      </c>
      <c r="R23" s="29">
        <v>158823</v>
      </c>
      <c r="S23" s="29">
        <v>20681</v>
      </c>
      <c r="T23" s="29">
        <v>138142</v>
      </c>
      <c r="U23" s="29">
        <v>67505</v>
      </c>
      <c r="V23" s="29">
        <v>70637</v>
      </c>
    </row>
    <row r="24" spans="1:22" x14ac:dyDescent="0.2">
      <c r="A24" s="20" t="s">
        <v>267</v>
      </c>
      <c r="B24" s="20" t="s">
        <v>660</v>
      </c>
      <c r="C24" s="25">
        <v>219.61</v>
      </c>
      <c r="D24" s="27">
        <v>1334.3</v>
      </c>
      <c r="E24" s="25">
        <v>1553.91</v>
      </c>
      <c r="F24" s="25">
        <v>3.5</v>
      </c>
      <c r="G24" s="29">
        <v>0</v>
      </c>
      <c r="H24" s="27">
        <v>0</v>
      </c>
      <c r="I24" s="29">
        <v>1334</v>
      </c>
      <c r="J24" s="29">
        <v>480018</v>
      </c>
      <c r="K24" s="29">
        <v>0</v>
      </c>
      <c r="L24" s="29">
        <v>480018</v>
      </c>
      <c r="M24" s="29">
        <v>76718</v>
      </c>
      <c r="N24" s="29">
        <v>84816</v>
      </c>
      <c r="O24" s="29">
        <v>1081</v>
      </c>
      <c r="P24" s="29">
        <v>49290</v>
      </c>
      <c r="Q24" s="29">
        <v>5283</v>
      </c>
      <c r="R24" s="29">
        <v>697206</v>
      </c>
      <c r="S24" s="29">
        <v>68797</v>
      </c>
      <c r="T24" s="29">
        <v>628409</v>
      </c>
      <c r="U24" s="29">
        <v>365784</v>
      </c>
      <c r="V24" s="29">
        <v>262625</v>
      </c>
    </row>
    <row r="25" spans="1:22" x14ac:dyDescent="0.2">
      <c r="A25" s="20" t="s">
        <v>181</v>
      </c>
      <c r="B25" s="20" t="s">
        <v>577</v>
      </c>
      <c r="C25" s="25">
        <v>68.959999999999994</v>
      </c>
      <c r="D25" s="27">
        <v>514.1</v>
      </c>
      <c r="E25" s="25">
        <v>583.05999999999995</v>
      </c>
      <c r="F25" s="25">
        <v>0</v>
      </c>
      <c r="G25" s="29">
        <v>4</v>
      </c>
      <c r="H25" s="27">
        <v>0</v>
      </c>
      <c r="I25" s="29">
        <v>518</v>
      </c>
      <c r="J25" s="29">
        <v>175414</v>
      </c>
      <c r="K25" s="29">
        <v>0</v>
      </c>
      <c r="L25" s="29">
        <v>175414</v>
      </c>
      <c r="M25" s="29">
        <v>29723</v>
      </c>
      <c r="N25" s="29">
        <v>32634</v>
      </c>
      <c r="O25" s="29">
        <v>0</v>
      </c>
      <c r="P25" s="29">
        <v>14681</v>
      </c>
      <c r="Q25" s="29">
        <v>1854</v>
      </c>
      <c r="R25" s="29">
        <v>254306</v>
      </c>
      <c r="S25" s="29">
        <v>31621</v>
      </c>
      <c r="T25" s="29">
        <v>222685</v>
      </c>
      <c r="U25" s="29">
        <v>127181</v>
      </c>
      <c r="V25" s="29">
        <v>95504</v>
      </c>
    </row>
    <row r="26" spans="1:22" x14ac:dyDescent="0.2">
      <c r="A26" s="20" t="s">
        <v>266</v>
      </c>
      <c r="B26" s="20" t="s">
        <v>659</v>
      </c>
      <c r="C26" s="25">
        <v>94.27</v>
      </c>
      <c r="D26" s="27">
        <v>780.7</v>
      </c>
      <c r="E26" s="25">
        <v>874.97</v>
      </c>
      <c r="F26" s="25">
        <v>1.97</v>
      </c>
      <c r="G26" s="29">
        <v>3</v>
      </c>
      <c r="H26" s="27">
        <v>0</v>
      </c>
      <c r="I26" s="29">
        <v>784</v>
      </c>
      <c r="J26" s="29">
        <v>270287</v>
      </c>
      <c r="K26" s="29">
        <v>0</v>
      </c>
      <c r="L26" s="29">
        <v>270287</v>
      </c>
      <c r="M26" s="29">
        <v>45088</v>
      </c>
      <c r="N26" s="29">
        <v>49847</v>
      </c>
      <c r="O26" s="29">
        <v>609</v>
      </c>
      <c r="P26" s="29">
        <v>27754</v>
      </c>
      <c r="Q26" s="29">
        <v>2975</v>
      </c>
      <c r="R26" s="29">
        <v>396560</v>
      </c>
      <c r="S26" s="29">
        <v>42239</v>
      </c>
      <c r="T26" s="29">
        <v>354321</v>
      </c>
      <c r="U26" s="29">
        <v>202463</v>
      </c>
      <c r="V26" s="29">
        <v>151858</v>
      </c>
    </row>
    <row r="27" spans="1:22" x14ac:dyDescent="0.2">
      <c r="A27" s="20" t="s">
        <v>182</v>
      </c>
      <c r="B27" s="20" t="s">
        <v>578</v>
      </c>
      <c r="C27" s="25">
        <v>143.34</v>
      </c>
      <c r="D27" s="27">
        <v>1639.3</v>
      </c>
      <c r="E27" s="25">
        <v>1782.64</v>
      </c>
      <c r="F27" s="25">
        <v>0</v>
      </c>
      <c r="G27" s="29">
        <v>17</v>
      </c>
      <c r="H27" s="27">
        <v>0</v>
      </c>
      <c r="I27" s="29">
        <v>1656</v>
      </c>
      <c r="J27" s="29">
        <v>536307</v>
      </c>
      <c r="K27" s="29">
        <v>0</v>
      </c>
      <c r="L27" s="29">
        <v>536307</v>
      </c>
      <c r="M27" s="29">
        <v>95021</v>
      </c>
      <c r="N27" s="29">
        <v>104328</v>
      </c>
      <c r="O27" s="29">
        <v>0</v>
      </c>
      <c r="P27" s="29">
        <v>44887</v>
      </c>
      <c r="Q27" s="29">
        <v>5669</v>
      </c>
      <c r="R27" s="29">
        <v>786212</v>
      </c>
      <c r="S27" s="29">
        <v>53719</v>
      </c>
      <c r="T27" s="29">
        <v>732493</v>
      </c>
      <c r="U27" s="29">
        <v>431801</v>
      </c>
      <c r="V27" s="29">
        <v>300692</v>
      </c>
    </row>
    <row r="28" spans="1:22" x14ac:dyDescent="0.2">
      <c r="A28" s="20" t="s">
        <v>183</v>
      </c>
      <c r="B28" s="20" t="s">
        <v>579</v>
      </c>
      <c r="C28" s="25">
        <v>34.17</v>
      </c>
      <c r="D28" s="27">
        <v>323.10000000000002</v>
      </c>
      <c r="E28" s="25">
        <v>357.27</v>
      </c>
      <c r="F28" s="25">
        <v>0</v>
      </c>
      <c r="G28" s="29">
        <v>2</v>
      </c>
      <c r="H28" s="27">
        <v>0</v>
      </c>
      <c r="I28" s="29">
        <v>325</v>
      </c>
      <c r="J28" s="29">
        <v>107485</v>
      </c>
      <c r="K28" s="29">
        <v>3063</v>
      </c>
      <c r="L28" s="29">
        <v>110548</v>
      </c>
      <c r="M28" s="29">
        <v>18649</v>
      </c>
      <c r="N28" s="29">
        <v>20475</v>
      </c>
      <c r="O28" s="29">
        <v>0</v>
      </c>
      <c r="P28" s="29">
        <v>8996</v>
      </c>
      <c r="Q28" s="29">
        <v>1136</v>
      </c>
      <c r="R28" s="29">
        <v>159804</v>
      </c>
      <c r="S28" s="29">
        <v>14723</v>
      </c>
      <c r="T28" s="29">
        <v>145081</v>
      </c>
      <c r="U28" s="29">
        <v>82583</v>
      </c>
      <c r="V28" s="29">
        <v>62498</v>
      </c>
    </row>
    <row r="29" spans="1:22" x14ac:dyDescent="0.2">
      <c r="A29" s="20" t="s">
        <v>67</v>
      </c>
      <c r="B29" s="20" t="s">
        <v>68</v>
      </c>
      <c r="C29" s="25">
        <v>73.41</v>
      </c>
      <c r="D29" s="27">
        <v>504.1</v>
      </c>
      <c r="E29" s="25">
        <v>577.51</v>
      </c>
      <c r="F29" s="25">
        <v>0</v>
      </c>
      <c r="G29" s="29">
        <v>3</v>
      </c>
      <c r="H29" s="27">
        <v>0</v>
      </c>
      <c r="I29" s="29">
        <v>507</v>
      </c>
      <c r="J29" s="29">
        <v>180316</v>
      </c>
      <c r="K29" s="29">
        <v>6196</v>
      </c>
      <c r="L29" s="29">
        <v>186512</v>
      </c>
      <c r="M29" s="29">
        <v>29310</v>
      </c>
      <c r="N29" s="29">
        <v>32702</v>
      </c>
      <c r="O29" s="29">
        <v>0</v>
      </c>
      <c r="P29" s="29">
        <v>22598</v>
      </c>
      <c r="Q29" s="29">
        <v>2599</v>
      </c>
      <c r="R29" s="29">
        <v>273721</v>
      </c>
      <c r="S29" s="29">
        <v>29783</v>
      </c>
      <c r="T29" s="29">
        <v>243938</v>
      </c>
      <c r="U29" s="29">
        <v>136326</v>
      </c>
      <c r="V29" s="29">
        <v>107612</v>
      </c>
    </row>
    <row r="30" spans="1:22" x14ac:dyDescent="0.2">
      <c r="A30" s="20" t="s">
        <v>268</v>
      </c>
      <c r="B30" s="20" t="s">
        <v>661</v>
      </c>
      <c r="C30" s="25">
        <v>64.59</v>
      </c>
      <c r="D30" s="27">
        <v>499</v>
      </c>
      <c r="E30" s="25">
        <v>563.59</v>
      </c>
      <c r="F30" s="25">
        <v>1.27</v>
      </c>
      <c r="G30" s="29">
        <v>4</v>
      </c>
      <c r="H30" s="27">
        <v>0</v>
      </c>
      <c r="I30" s="29">
        <v>503</v>
      </c>
      <c r="J30" s="29">
        <v>174099</v>
      </c>
      <c r="K30" s="29">
        <v>0</v>
      </c>
      <c r="L30" s="29">
        <v>174099</v>
      </c>
      <c r="M30" s="29">
        <v>28928</v>
      </c>
      <c r="N30" s="29">
        <v>31981</v>
      </c>
      <c r="O30" s="29">
        <v>392</v>
      </c>
      <c r="P30" s="29">
        <v>17877</v>
      </c>
      <c r="Q30" s="29">
        <v>1916</v>
      </c>
      <c r="R30" s="29">
        <v>255193</v>
      </c>
      <c r="S30" s="29">
        <v>29839</v>
      </c>
      <c r="T30" s="29">
        <v>225354</v>
      </c>
      <c r="U30" s="29">
        <v>127780</v>
      </c>
      <c r="V30" s="29">
        <v>97574</v>
      </c>
    </row>
    <row r="31" spans="1:22" x14ac:dyDescent="0.2">
      <c r="A31" s="20" t="s">
        <v>145</v>
      </c>
      <c r="B31" s="20" t="s">
        <v>544</v>
      </c>
      <c r="C31" s="25">
        <v>34.06</v>
      </c>
      <c r="D31" s="27">
        <v>484.3</v>
      </c>
      <c r="E31" s="25">
        <v>518.36</v>
      </c>
      <c r="F31" s="25">
        <v>0</v>
      </c>
      <c r="G31" s="29">
        <v>0</v>
      </c>
      <c r="H31" s="27">
        <v>0</v>
      </c>
      <c r="I31" s="29">
        <v>484</v>
      </c>
      <c r="J31" s="29">
        <v>159629</v>
      </c>
      <c r="K31" s="29">
        <v>14699</v>
      </c>
      <c r="L31" s="29">
        <v>174328</v>
      </c>
      <c r="M31" s="29">
        <v>27830</v>
      </c>
      <c r="N31" s="29">
        <v>30579</v>
      </c>
      <c r="O31" s="29">
        <v>0</v>
      </c>
      <c r="P31" s="29">
        <v>15007</v>
      </c>
      <c r="Q31" s="29">
        <v>1747</v>
      </c>
      <c r="R31" s="29">
        <v>249491</v>
      </c>
      <c r="S31" s="29">
        <v>34138</v>
      </c>
      <c r="T31" s="29">
        <v>215353</v>
      </c>
      <c r="U31" s="29">
        <v>109096</v>
      </c>
      <c r="V31" s="29">
        <v>106257</v>
      </c>
    </row>
    <row r="32" spans="1:22" x14ac:dyDescent="0.2">
      <c r="A32" s="20" t="s">
        <v>122</v>
      </c>
      <c r="B32" s="20" t="s">
        <v>522</v>
      </c>
      <c r="C32" s="25">
        <v>64.38</v>
      </c>
      <c r="D32" s="27">
        <v>600.1</v>
      </c>
      <c r="E32" s="25">
        <v>664.48</v>
      </c>
      <c r="F32" s="25">
        <v>1.2</v>
      </c>
      <c r="G32" s="29">
        <v>165</v>
      </c>
      <c r="H32" s="27">
        <v>3.1</v>
      </c>
      <c r="I32" s="29">
        <v>762</v>
      </c>
      <c r="J32" s="29">
        <v>205902</v>
      </c>
      <c r="K32" s="29">
        <v>0</v>
      </c>
      <c r="L32" s="29">
        <v>205902</v>
      </c>
      <c r="M32" s="29">
        <v>43678</v>
      </c>
      <c r="N32" s="29">
        <v>47686</v>
      </c>
      <c r="O32" s="29">
        <v>372</v>
      </c>
      <c r="P32" s="29">
        <v>18738</v>
      </c>
      <c r="Q32" s="29">
        <v>2199</v>
      </c>
      <c r="R32" s="29">
        <v>318575</v>
      </c>
      <c r="S32" s="29">
        <v>33230</v>
      </c>
      <c r="T32" s="29">
        <v>285345</v>
      </c>
      <c r="U32" s="29">
        <v>150133</v>
      </c>
      <c r="V32" s="29">
        <v>135212</v>
      </c>
    </row>
    <row r="33" spans="1:22" x14ac:dyDescent="0.2">
      <c r="A33" s="20" t="s">
        <v>69</v>
      </c>
      <c r="B33" s="20" t="s">
        <v>474</v>
      </c>
      <c r="C33" s="25">
        <v>83.59</v>
      </c>
      <c r="D33" s="27">
        <v>774.9</v>
      </c>
      <c r="E33" s="25">
        <v>858.49</v>
      </c>
      <c r="F33" s="25">
        <v>0</v>
      </c>
      <c r="G33" s="29">
        <v>0</v>
      </c>
      <c r="H33" s="27">
        <v>0</v>
      </c>
      <c r="I33" s="29">
        <v>775</v>
      </c>
      <c r="J33" s="29">
        <v>268046</v>
      </c>
      <c r="K33" s="29">
        <v>2674</v>
      </c>
      <c r="L33" s="29">
        <v>270720</v>
      </c>
      <c r="M33" s="29">
        <v>44803</v>
      </c>
      <c r="N33" s="29">
        <v>49988</v>
      </c>
      <c r="O33" s="29">
        <v>0</v>
      </c>
      <c r="P33" s="29">
        <v>33841</v>
      </c>
      <c r="Q33" s="29">
        <v>3893</v>
      </c>
      <c r="R33" s="29">
        <v>403245</v>
      </c>
      <c r="S33" s="29">
        <v>39506</v>
      </c>
      <c r="T33" s="29">
        <v>363739</v>
      </c>
      <c r="U33" s="29">
        <v>207700</v>
      </c>
      <c r="V33" s="29">
        <v>156039</v>
      </c>
    </row>
    <row r="34" spans="1:22" x14ac:dyDescent="0.2">
      <c r="A34" s="20" t="s">
        <v>123</v>
      </c>
      <c r="B34" s="20" t="s">
        <v>523</v>
      </c>
      <c r="C34" s="25">
        <v>29.1</v>
      </c>
      <c r="D34" s="27">
        <v>194.4</v>
      </c>
      <c r="E34" s="25">
        <v>223.5</v>
      </c>
      <c r="F34" s="25">
        <v>0.41</v>
      </c>
      <c r="G34" s="29">
        <v>0</v>
      </c>
      <c r="H34" s="27">
        <v>0</v>
      </c>
      <c r="I34" s="29">
        <v>194</v>
      </c>
      <c r="J34" s="29">
        <v>69256</v>
      </c>
      <c r="K34" s="29">
        <v>279</v>
      </c>
      <c r="L34" s="29">
        <v>69535</v>
      </c>
      <c r="M34" s="29">
        <v>11120</v>
      </c>
      <c r="N34" s="29">
        <v>12141</v>
      </c>
      <c r="O34" s="29">
        <v>127</v>
      </c>
      <c r="P34" s="29">
        <v>6310</v>
      </c>
      <c r="Q34" s="29">
        <v>741</v>
      </c>
      <c r="R34" s="29">
        <v>99974</v>
      </c>
      <c r="S34" s="29">
        <v>11567</v>
      </c>
      <c r="T34" s="29">
        <v>88407</v>
      </c>
      <c r="U34" s="29">
        <v>50118</v>
      </c>
      <c r="V34" s="29">
        <v>38289</v>
      </c>
    </row>
    <row r="35" spans="1:22" x14ac:dyDescent="0.2">
      <c r="A35" s="20" t="s">
        <v>146</v>
      </c>
      <c r="B35" s="20" t="s">
        <v>545</v>
      </c>
      <c r="C35" s="25">
        <v>173.67</v>
      </c>
      <c r="D35" s="27">
        <v>1522.3</v>
      </c>
      <c r="E35" s="25">
        <v>1695.97</v>
      </c>
      <c r="F35" s="25">
        <v>0</v>
      </c>
      <c r="G35" s="29">
        <v>138</v>
      </c>
      <c r="H35" s="27">
        <v>0</v>
      </c>
      <c r="I35" s="29">
        <v>1660</v>
      </c>
      <c r="J35" s="29">
        <v>522274</v>
      </c>
      <c r="K35" s="29">
        <v>0</v>
      </c>
      <c r="L35" s="29">
        <v>522274</v>
      </c>
      <c r="M35" s="29">
        <v>95450</v>
      </c>
      <c r="N35" s="29">
        <v>104879</v>
      </c>
      <c r="O35" s="29">
        <v>0</v>
      </c>
      <c r="P35" s="29">
        <v>49098</v>
      </c>
      <c r="Q35" s="29">
        <v>5715</v>
      </c>
      <c r="R35" s="29">
        <v>777416</v>
      </c>
      <c r="S35" s="29">
        <v>79586</v>
      </c>
      <c r="T35" s="29">
        <v>697830</v>
      </c>
      <c r="U35" s="29">
        <v>389044</v>
      </c>
      <c r="V35" s="29">
        <v>308786</v>
      </c>
    </row>
    <row r="36" spans="1:22" x14ac:dyDescent="0.2">
      <c r="A36" s="20" t="s">
        <v>124</v>
      </c>
      <c r="B36" s="20" t="s">
        <v>524</v>
      </c>
      <c r="C36" s="25">
        <v>509.46</v>
      </c>
      <c r="D36" s="27">
        <v>4171</v>
      </c>
      <c r="E36" s="25">
        <v>4680.46</v>
      </c>
      <c r="F36" s="25">
        <v>8.48</v>
      </c>
      <c r="G36" s="29">
        <v>332</v>
      </c>
      <c r="H36" s="27">
        <v>0</v>
      </c>
      <c r="I36" s="29">
        <v>4503</v>
      </c>
      <c r="J36" s="29">
        <v>1450334</v>
      </c>
      <c r="K36" s="29">
        <v>0</v>
      </c>
      <c r="L36" s="29">
        <v>1450334</v>
      </c>
      <c r="M36" s="29">
        <v>258112</v>
      </c>
      <c r="N36" s="29">
        <v>281798</v>
      </c>
      <c r="O36" s="29">
        <v>2628</v>
      </c>
      <c r="P36" s="29">
        <v>131989</v>
      </c>
      <c r="Q36" s="29">
        <v>15492</v>
      </c>
      <c r="R36" s="29">
        <v>2140353</v>
      </c>
      <c r="S36" s="29">
        <v>185946</v>
      </c>
      <c r="T36" s="29">
        <v>1954407</v>
      </c>
      <c r="U36" s="29">
        <v>1105636</v>
      </c>
      <c r="V36" s="29">
        <v>848771</v>
      </c>
    </row>
    <row r="37" spans="1:22" x14ac:dyDescent="0.2">
      <c r="A37" s="20" t="s">
        <v>319</v>
      </c>
      <c r="B37" s="20" t="s">
        <v>709</v>
      </c>
      <c r="C37" s="25">
        <v>89.8</v>
      </c>
      <c r="D37" s="27">
        <v>869.6</v>
      </c>
      <c r="E37" s="25">
        <v>959.4</v>
      </c>
      <c r="F37" s="25">
        <v>2.4300000000000002</v>
      </c>
      <c r="G37" s="29">
        <v>22</v>
      </c>
      <c r="H37" s="27">
        <v>0</v>
      </c>
      <c r="I37" s="29">
        <v>892</v>
      </c>
      <c r="J37" s="29">
        <v>293835</v>
      </c>
      <c r="K37" s="29">
        <v>6468</v>
      </c>
      <c r="L37" s="29">
        <v>300303</v>
      </c>
      <c r="M37" s="29">
        <v>51272</v>
      </c>
      <c r="N37" s="29">
        <v>56330</v>
      </c>
      <c r="O37" s="29">
        <v>744</v>
      </c>
      <c r="P37" s="29">
        <v>30118</v>
      </c>
      <c r="Q37" s="29">
        <v>3281</v>
      </c>
      <c r="R37" s="29">
        <v>442048</v>
      </c>
      <c r="S37" s="29">
        <v>44907</v>
      </c>
      <c r="T37" s="29">
        <v>397141</v>
      </c>
      <c r="U37" s="29">
        <v>223179</v>
      </c>
      <c r="V37" s="29">
        <v>173962</v>
      </c>
    </row>
    <row r="38" spans="1:22" x14ac:dyDescent="0.2">
      <c r="A38" s="20" t="s">
        <v>184</v>
      </c>
      <c r="B38" s="20" t="s">
        <v>580</v>
      </c>
      <c r="C38" s="25">
        <v>232.23</v>
      </c>
      <c r="D38" s="27">
        <v>2268.6999999999998</v>
      </c>
      <c r="E38" s="25">
        <v>2500.9299999999998</v>
      </c>
      <c r="F38" s="25">
        <v>0</v>
      </c>
      <c r="G38" s="29">
        <v>41</v>
      </c>
      <c r="H38" s="27">
        <v>0</v>
      </c>
      <c r="I38" s="29">
        <v>2310</v>
      </c>
      <c r="J38" s="29">
        <v>752405</v>
      </c>
      <c r="K38" s="29">
        <v>0</v>
      </c>
      <c r="L38" s="29">
        <v>752405</v>
      </c>
      <c r="M38" s="29">
        <v>132548</v>
      </c>
      <c r="N38" s="29">
        <v>145530</v>
      </c>
      <c r="O38" s="29">
        <v>0</v>
      </c>
      <c r="P38" s="29">
        <v>62973</v>
      </c>
      <c r="Q38" s="29">
        <v>7953</v>
      </c>
      <c r="R38" s="29">
        <v>1101409</v>
      </c>
      <c r="S38" s="29">
        <v>39354</v>
      </c>
      <c r="T38" s="29">
        <v>1062055</v>
      </c>
      <c r="U38" s="29">
        <v>641799</v>
      </c>
      <c r="V38" s="29">
        <v>420256</v>
      </c>
    </row>
    <row r="39" spans="1:22" x14ac:dyDescent="0.2">
      <c r="A39" s="20" t="s">
        <v>185</v>
      </c>
      <c r="B39" s="20" t="s">
        <v>581</v>
      </c>
      <c r="C39" s="25">
        <v>340.39</v>
      </c>
      <c r="D39" s="27">
        <v>2094.8000000000002</v>
      </c>
      <c r="E39" s="25">
        <v>2435.19</v>
      </c>
      <c r="F39" s="25">
        <v>0</v>
      </c>
      <c r="G39" s="29">
        <v>157</v>
      </c>
      <c r="H39" s="27">
        <v>6.1</v>
      </c>
      <c r="I39" s="29">
        <v>2246</v>
      </c>
      <c r="J39" s="29">
        <v>732627</v>
      </c>
      <c r="K39" s="29">
        <v>0</v>
      </c>
      <c r="L39" s="29">
        <v>732627</v>
      </c>
      <c r="M39" s="29">
        <v>128875</v>
      </c>
      <c r="N39" s="29">
        <v>141498</v>
      </c>
      <c r="O39" s="29">
        <v>0</v>
      </c>
      <c r="P39" s="29">
        <v>61318</v>
      </c>
      <c r="Q39" s="29">
        <v>7744</v>
      </c>
      <c r="R39" s="29">
        <v>1072062</v>
      </c>
      <c r="S39" s="29">
        <v>105619</v>
      </c>
      <c r="T39" s="29">
        <v>966443</v>
      </c>
      <c r="U39" s="29">
        <v>557629</v>
      </c>
      <c r="V39" s="29">
        <v>408814</v>
      </c>
    </row>
    <row r="40" spans="1:22" x14ac:dyDescent="0.2">
      <c r="A40" s="20" t="s">
        <v>234</v>
      </c>
      <c r="B40" s="20" t="s">
        <v>627</v>
      </c>
      <c r="C40" s="25">
        <v>71.37</v>
      </c>
      <c r="D40" s="27">
        <v>588.6</v>
      </c>
      <c r="E40" s="25">
        <v>659.97</v>
      </c>
      <c r="F40" s="25">
        <v>0</v>
      </c>
      <c r="G40" s="29">
        <v>577</v>
      </c>
      <c r="H40" s="27">
        <v>8.6</v>
      </c>
      <c r="I40" s="29">
        <v>1157</v>
      </c>
      <c r="J40" s="29">
        <v>208214</v>
      </c>
      <c r="K40" s="29">
        <v>0</v>
      </c>
      <c r="L40" s="29">
        <v>208214</v>
      </c>
      <c r="M40" s="29">
        <v>66863</v>
      </c>
      <c r="N40" s="29">
        <v>74950</v>
      </c>
      <c r="O40" s="29">
        <v>0</v>
      </c>
      <c r="P40" s="29">
        <v>20947</v>
      </c>
      <c r="Q40" s="29">
        <v>2501</v>
      </c>
      <c r="R40" s="29">
        <v>373475</v>
      </c>
      <c r="S40" s="29">
        <v>31059</v>
      </c>
      <c r="T40" s="29">
        <v>342416</v>
      </c>
      <c r="U40" s="29">
        <v>153422</v>
      </c>
      <c r="V40" s="29">
        <v>188994</v>
      </c>
    </row>
    <row r="41" spans="1:22" x14ac:dyDescent="0.2">
      <c r="A41" s="20" t="s">
        <v>118</v>
      </c>
      <c r="B41" s="20" t="s">
        <v>519</v>
      </c>
      <c r="C41" s="25">
        <v>45.69</v>
      </c>
      <c r="D41" s="27">
        <v>561.5</v>
      </c>
      <c r="E41" s="25">
        <v>607.19000000000005</v>
      </c>
      <c r="F41" s="25">
        <v>0</v>
      </c>
      <c r="G41" s="29">
        <v>29</v>
      </c>
      <c r="H41" s="27">
        <v>0.3</v>
      </c>
      <c r="I41" s="29">
        <v>590</v>
      </c>
      <c r="J41" s="29">
        <v>189583</v>
      </c>
      <c r="K41" s="29">
        <v>2625</v>
      </c>
      <c r="L41" s="29">
        <v>192208</v>
      </c>
      <c r="M41" s="29">
        <v>34108</v>
      </c>
      <c r="N41" s="29">
        <v>38055</v>
      </c>
      <c r="O41" s="29">
        <v>0</v>
      </c>
      <c r="P41" s="29">
        <v>23759</v>
      </c>
      <c r="Q41" s="29">
        <v>2732</v>
      </c>
      <c r="R41" s="29">
        <v>290862</v>
      </c>
      <c r="S41" s="29">
        <v>32056</v>
      </c>
      <c r="T41" s="29">
        <v>258806</v>
      </c>
      <c r="U41" s="29">
        <v>142589</v>
      </c>
      <c r="V41" s="29">
        <v>116217</v>
      </c>
    </row>
    <row r="42" spans="1:22" x14ac:dyDescent="0.2">
      <c r="A42" s="20" t="s">
        <v>70</v>
      </c>
      <c r="B42" s="20" t="s">
        <v>475</v>
      </c>
      <c r="C42" s="25">
        <v>61.58</v>
      </c>
      <c r="D42" s="27">
        <v>540.79999999999995</v>
      </c>
      <c r="E42" s="25">
        <v>602.38</v>
      </c>
      <c r="F42" s="25">
        <v>0</v>
      </c>
      <c r="G42" s="29">
        <v>0</v>
      </c>
      <c r="H42" s="27">
        <v>0</v>
      </c>
      <c r="I42" s="29">
        <v>541</v>
      </c>
      <c r="J42" s="29">
        <v>188081</v>
      </c>
      <c r="K42" s="29">
        <v>1990</v>
      </c>
      <c r="L42" s="29">
        <v>190071</v>
      </c>
      <c r="M42" s="29">
        <v>31275</v>
      </c>
      <c r="N42" s="29">
        <v>34895</v>
      </c>
      <c r="O42" s="29">
        <v>0</v>
      </c>
      <c r="P42" s="29">
        <v>23920</v>
      </c>
      <c r="Q42" s="29">
        <v>2752</v>
      </c>
      <c r="R42" s="29">
        <v>282913</v>
      </c>
      <c r="S42" s="29">
        <v>29369</v>
      </c>
      <c r="T42" s="29">
        <v>253544</v>
      </c>
      <c r="U42" s="29">
        <v>144284</v>
      </c>
      <c r="V42" s="29">
        <v>109260</v>
      </c>
    </row>
    <row r="43" spans="1:22" x14ac:dyDescent="0.2">
      <c r="A43" s="20" t="s">
        <v>104</v>
      </c>
      <c r="B43" s="20" t="s">
        <v>505</v>
      </c>
      <c r="C43" s="25">
        <v>48.29</v>
      </c>
      <c r="D43" s="27">
        <v>445.2</v>
      </c>
      <c r="E43" s="25">
        <v>493.49</v>
      </c>
      <c r="F43" s="25">
        <v>0</v>
      </c>
      <c r="G43" s="29">
        <v>1</v>
      </c>
      <c r="H43" s="27">
        <v>0</v>
      </c>
      <c r="I43" s="29">
        <v>446</v>
      </c>
      <c r="J43" s="29">
        <v>154082</v>
      </c>
      <c r="K43" s="29">
        <v>6040</v>
      </c>
      <c r="L43" s="29">
        <v>160122</v>
      </c>
      <c r="M43" s="29">
        <v>25783</v>
      </c>
      <c r="N43" s="29">
        <v>28767</v>
      </c>
      <c r="O43" s="29">
        <v>0</v>
      </c>
      <c r="P43" s="29">
        <v>19456</v>
      </c>
      <c r="Q43" s="29">
        <v>2238</v>
      </c>
      <c r="R43" s="29">
        <v>236366</v>
      </c>
      <c r="S43" s="29">
        <v>29571</v>
      </c>
      <c r="T43" s="29">
        <v>206795</v>
      </c>
      <c r="U43" s="29">
        <v>112535</v>
      </c>
      <c r="V43" s="29">
        <v>94260</v>
      </c>
    </row>
    <row r="44" spans="1:22" x14ac:dyDescent="0.2">
      <c r="A44" s="20" t="s">
        <v>312</v>
      </c>
      <c r="B44" s="20" t="s">
        <v>702</v>
      </c>
      <c r="C44" s="25">
        <v>738.68</v>
      </c>
      <c r="D44" s="27">
        <v>4085.6</v>
      </c>
      <c r="E44" s="25">
        <v>4824.28</v>
      </c>
      <c r="F44" s="25">
        <v>12.1</v>
      </c>
      <c r="G44" s="29">
        <v>342</v>
      </c>
      <c r="H44" s="27">
        <v>2.9</v>
      </c>
      <c r="I44" s="29">
        <v>4425</v>
      </c>
      <c r="J44" s="29">
        <v>1477532</v>
      </c>
      <c r="K44" s="29">
        <v>44934</v>
      </c>
      <c r="L44" s="29">
        <v>1522466</v>
      </c>
      <c r="M44" s="29">
        <v>254349</v>
      </c>
      <c r="N44" s="29">
        <v>279439</v>
      </c>
      <c r="O44" s="29">
        <v>3706</v>
      </c>
      <c r="P44" s="29">
        <v>148250</v>
      </c>
      <c r="Q44" s="29">
        <v>16161</v>
      </c>
      <c r="R44" s="29">
        <v>2224371</v>
      </c>
      <c r="S44" s="29">
        <v>231008</v>
      </c>
      <c r="T44" s="29">
        <v>1993363</v>
      </c>
      <c r="U44" s="29">
        <v>1113480</v>
      </c>
      <c r="V44" s="29">
        <v>879883</v>
      </c>
    </row>
    <row r="45" spans="1:22" x14ac:dyDescent="0.2">
      <c r="A45" s="20" t="s">
        <v>270</v>
      </c>
      <c r="B45" s="20" t="s">
        <v>271</v>
      </c>
      <c r="C45" s="25">
        <v>49.78</v>
      </c>
      <c r="D45" s="27">
        <v>505.9</v>
      </c>
      <c r="E45" s="25">
        <v>555.67999999999995</v>
      </c>
      <c r="F45" s="25">
        <v>1.25</v>
      </c>
      <c r="G45" s="29">
        <v>0</v>
      </c>
      <c r="H45" s="27">
        <v>0</v>
      </c>
      <c r="I45" s="29">
        <v>506</v>
      </c>
      <c r="J45" s="29">
        <v>171655</v>
      </c>
      <c r="K45" s="29">
        <v>0</v>
      </c>
      <c r="L45" s="29">
        <v>171655</v>
      </c>
      <c r="M45" s="29">
        <v>29100</v>
      </c>
      <c r="N45" s="29">
        <v>32171</v>
      </c>
      <c r="O45" s="29">
        <v>386</v>
      </c>
      <c r="P45" s="29">
        <v>17626</v>
      </c>
      <c r="Q45" s="29">
        <v>1889</v>
      </c>
      <c r="R45" s="29">
        <v>252827</v>
      </c>
      <c r="S45" s="29">
        <v>25872</v>
      </c>
      <c r="T45" s="29">
        <v>226955</v>
      </c>
      <c r="U45" s="29">
        <v>129534</v>
      </c>
      <c r="V45" s="29">
        <v>97421</v>
      </c>
    </row>
    <row r="46" spans="1:22" x14ac:dyDescent="0.2">
      <c r="A46" s="20" t="s">
        <v>71</v>
      </c>
      <c r="B46" s="20" t="s">
        <v>72</v>
      </c>
      <c r="C46" s="25">
        <v>40.880000000000003</v>
      </c>
      <c r="D46" s="27">
        <v>247.5</v>
      </c>
      <c r="E46" s="25">
        <v>288.38</v>
      </c>
      <c r="F46" s="25">
        <v>0</v>
      </c>
      <c r="G46" s="29">
        <v>16</v>
      </c>
      <c r="H46" s="27">
        <v>0.5</v>
      </c>
      <c r="I46" s="29">
        <v>263</v>
      </c>
      <c r="J46" s="29">
        <v>90041</v>
      </c>
      <c r="K46" s="29">
        <v>3157</v>
      </c>
      <c r="L46" s="29">
        <v>93198</v>
      </c>
      <c r="M46" s="29">
        <v>15204</v>
      </c>
      <c r="N46" s="29">
        <v>16964</v>
      </c>
      <c r="O46" s="29">
        <v>0</v>
      </c>
      <c r="P46" s="29">
        <v>11284</v>
      </c>
      <c r="Q46" s="29">
        <v>1298</v>
      </c>
      <c r="R46" s="29">
        <v>137948</v>
      </c>
      <c r="S46" s="29">
        <v>14140</v>
      </c>
      <c r="T46" s="29">
        <v>123808</v>
      </c>
      <c r="U46" s="29">
        <v>68807</v>
      </c>
      <c r="V46" s="29">
        <v>55001</v>
      </c>
    </row>
    <row r="47" spans="1:22" x14ac:dyDescent="0.2">
      <c r="A47" s="20" t="s">
        <v>125</v>
      </c>
      <c r="B47" s="20" t="s">
        <v>525</v>
      </c>
      <c r="C47" s="25">
        <v>52.97</v>
      </c>
      <c r="D47" s="27">
        <v>409</v>
      </c>
      <c r="E47" s="25">
        <v>461.97</v>
      </c>
      <c r="F47" s="25">
        <v>0.84</v>
      </c>
      <c r="G47" s="29">
        <v>0</v>
      </c>
      <c r="H47" s="27">
        <v>0</v>
      </c>
      <c r="I47" s="29">
        <v>409</v>
      </c>
      <c r="J47" s="29">
        <v>143151</v>
      </c>
      <c r="K47" s="29">
        <v>12568</v>
      </c>
      <c r="L47" s="29">
        <v>155719</v>
      </c>
      <c r="M47" s="29">
        <v>23444</v>
      </c>
      <c r="N47" s="29">
        <v>25595</v>
      </c>
      <c r="O47" s="29">
        <v>260</v>
      </c>
      <c r="P47" s="29">
        <v>13235</v>
      </c>
      <c r="Q47" s="29">
        <v>1555</v>
      </c>
      <c r="R47" s="29">
        <v>219808</v>
      </c>
      <c r="S47" s="29">
        <v>24342</v>
      </c>
      <c r="T47" s="29">
        <v>195466</v>
      </c>
      <c r="U47" s="29">
        <v>103374</v>
      </c>
      <c r="V47" s="29">
        <v>92092</v>
      </c>
    </row>
    <row r="48" spans="1:22" x14ac:dyDescent="0.2">
      <c r="A48" s="20" t="s">
        <v>126</v>
      </c>
      <c r="B48" s="20" t="s">
        <v>526</v>
      </c>
      <c r="C48" s="25">
        <v>108.44</v>
      </c>
      <c r="D48" s="27">
        <v>832</v>
      </c>
      <c r="E48" s="25">
        <v>940.44</v>
      </c>
      <c r="F48" s="25">
        <v>1.7</v>
      </c>
      <c r="G48" s="29">
        <v>19</v>
      </c>
      <c r="H48" s="27">
        <v>0</v>
      </c>
      <c r="I48" s="29">
        <v>851</v>
      </c>
      <c r="J48" s="29">
        <v>291414</v>
      </c>
      <c r="K48" s="29">
        <v>0</v>
      </c>
      <c r="L48" s="29">
        <v>291414</v>
      </c>
      <c r="M48" s="29">
        <v>48779</v>
      </c>
      <c r="N48" s="29">
        <v>53256</v>
      </c>
      <c r="O48" s="29">
        <v>527</v>
      </c>
      <c r="P48" s="29">
        <v>26520</v>
      </c>
      <c r="Q48" s="29">
        <v>3113</v>
      </c>
      <c r="R48" s="29">
        <v>423609</v>
      </c>
      <c r="S48" s="29">
        <v>41235</v>
      </c>
      <c r="T48" s="29">
        <v>382374</v>
      </c>
      <c r="U48" s="29">
        <v>218280</v>
      </c>
      <c r="V48" s="29">
        <v>164094</v>
      </c>
    </row>
    <row r="49" spans="1:22" x14ac:dyDescent="0.2">
      <c r="A49" s="20" t="s">
        <v>313</v>
      </c>
      <c r="B49" s="20" t="s">
        <v>703</v>
      </c>
      <c r="C49" s="25">
        <v>95.1</v>
      </c>
      <c r="D49" s="27">
        <v>588.70000000000005</v>
      </c>
      <c r="E49" s="25">
        <v>683.8</v>
      </c>
      <c r="F49" s="25">
        <v>1.71</v>
      </c>
      <c r="G49" s="29">
        <v>0</v>
      </c>
      <c r="H49" s="27">
        <v>0</v>
      </c>
      <c r="I49" s="29">
        <v>589</v>
      </c>
      <c r="J49" s="29">
        <v>209427</v>
      </c>
      <c r="K49" s="29">
        <v>0</v>
      </c>
      <c r="L49" s="29">
        <v>209427</v>
      </c>
      <c r="M49" s="29">
        <v>33856</v>
      </c>
      <c r="N49" s="29">
        <v>37195</v>
      </c>
      <c r="O49" s="29">
        <v>524</v>
      </c>
      <c r="P49" s="29">
        <v>21013</v>
      </c>
      <c r="Q49" s="29">
        <v>2291</v>
      </c>
      <c r="R49" s="29">
        <v>304306</v>
      </c>
      <c r="S49" s="29">
        <v>29808</v>
      </c>
      <c r="T49" s="29">
        <v>274498</v>
      </c>
      <c r="U49" s="29">
        <v>160760</v>
      </c>
      <c r="V49" s="29">
        <v>113738</v>
      </c>
    </row>
    <row r="50" spans="1:22" x14ac:dyDescent="0.2">
      <c r="A50" s="20" t="s">
        <v>186</v>
      </c>
      <c r="B50" s="20" t="s">
        <v>582</v>
      </c>
      <c r="C50" s="25">
        <v>206.28</v>
      </c>
      <c r="D50" s="27">
        <v>1936.9</v>
      </c>
      <c r="E50" s="25">
        <v>2143.1799999999998</v>
      </c>
      <c r="F50" s="25">
        <v>0</v>
      </c>
      <c r="G50" s="29">
        <v>21</v>
      </c>
      <c r="H50" s="27">
        <v>0</v>
      </c>
      <c r="I50" s="29">
        <v>1958</v>
      </c>
      <c r="J50" s="29">
        <v>644776</v>
      </c>
      <c r="K50" s="29">
        <v>0</v>
      </c>
      <c r="L50" s="29">
        <v>644776</v>
      </c>
      <c r="M50" s="29">
        <v>112350</v>
      </c>
      <c r="N50" s="29">
        <v>123354</v>
      </c>
      <c r="O50" s="29">
        <v>0</v>
      </c>
      <c r="P50" s="29">
        <v>53965</v>
      </c>
      <c r="Q50" s="29">
        <v>6815</v>
      </c>
      <c r="R50" s="29">
        <v>941260</v>
      </c>
      <c r="S50" s="29">
        <v>58812</v>
      </c>
      <c r="T50" s="29">
        <v>882448</v>
      </c>
      <c r="U50" s="29">
        <v>524904</v>
      </c>
      <c r="V50" s="29">
        <v>357544</v>
      </c>
    </row>
    <row r="51" spans="1:22" x14ac:dyDescent="0.2">
      <c r="A51" s="20" t="s">
        <v>187</v>
      </c>
      <c r="B51" s="20" t="s">
        <v>583</v>
      </c>
      <c r="C51" s="25">
        <v>240.22</v>
      </c>
      <c r="D51" s="27">
        <v>1701</v>
      </c>
      <c r="E51" s="25">
        <v>1941.22</v>
      </c>
      <c r="F51" s="25">
        <v>0</v>
      </c>
      <c r="G51" s="29">
        <v>894</v>
      </c>
      <c r="H51" s="27">
        <v>12.6</v>
      </c>
      <c r="I51" s="29">
        <v>2582</v>
      </c>
      <c r="J51" s="29">
        <v>584016</v>
      </c>
      <c r="K51" s="29">
        <v>0</v>
      </c>
      <c r="L51" s="29">
        <v>584016</v>
      </c>
      <c r="M51" s="29">
        <v>148155</v>
      </c>
      <c r="N51" s="29">
        <v>162666</v>
      </c>
      <c r="O51" s="29">
        <v>0</v>
      </c>
      <c r="P51" s="29">
        <v>48880</v>
      </c>
      <c r="Q51" s="29">
        <v>6173</v>
      </c>
      <c r="R51" s="29">
        <v>949890</v>
      </c>
      <c r="S51" s="29">
        <v>92884</v>
      </c>
      <c r="T51" s="29">
        <v>857006</v>
      </c>
      <c r="U51" s="29">
        <v>435827</v>
      </c>
      <c r="V51" s="29">
        <v>421179</v>
      </c>
    </row>
    <row r="52" spans="1:22" x14ac:dyDescent="0.2">
      <c r="A52" s="20" t="s">
        <v>73</v>
      </c>
      <c r="B52" s="20" t="s">
        <v>476</v>
      </c>
      <c r="C52" s="25">
        <v>719.06</v>
      </c>
      <c r="D52" s="27">
        <v>5371.4</v>
      </c>
      <c r="E52" s="25">
        <v>6090.46</v>
      </c>
      <c r="F52" s="25">
        <v>0</v>
      </c>
      <c r="G52" s="29">
        <v>304</v>
      </c>
      <c r="H52" s="27">
        <v>2.8</v>
      </c>
      <c r="I52" s="29">
        <v>5673</v>
      </c>
      <c r="J52" s="29">
        <v>1901624</v>
      </c>
      <c r="K52" s="29">
        <v>0</v>
      </c>
      <c r="L52" s="29">
        <v>1901624</v>
      </c>
      <c r="M52" s="29">
        <v>327956</v>
      </c>
      <c r="N52" s="29">
        <v>365909</v>
      </c>
      <c r="O52" s="29">
        <v>0</v>
      </c>
      <c r="P52" s="29">
        <v>238320</v>
      </c>
      <c r="Q52" s="29">
        <v>27407</v>
      </c>
      <c r="R52" s="29">
        <v>2861216</v>
      </c>
      <c r="S52" s="29">
        <v>198163</v>
      </c>
      <c r="T52" s="29">
        <v>2663053</v>
      </c>
      <c r="U52" s="29">
        <v>1553636</v>
      </c>
      <c r="V52" s="29">
        <v>1109417</v>
      </c>
    </row>
    <row r="53" spans="1:22" x14ac:dyDescent="0.2">
      <c r="A53" s="20" t="s">
        <v>147</v>
      </c>
      <c r="B53" s="20" t="s">
        <v>546</v>
      </c>
      <c r="C53" s="25">
        <v>2513.14</v>
      </c>
      <c r="D53" s="27">
        <v>16851.5</v>
      </c>
      <c r="E53" s="25">
        <v>19364.64</v>
      </c>
      <c r="F53" s="25">
        <v>0</v>
      </c>
      <c r="G53" s="29">
        <v>1961</v>
      </c>
      <c r="H53" s="27">
        <v>20.8</v>
      </c>
      <c r="I53" s="29">
        <v>18792</v>
      </c>
      <c r="J53" s="29">
        <v>5963341</v>
      </c>
      <c r="K53" s="29">
        <v>0</v>
      </c>
      <c r="L53" s="29">
        <v>5963341</v>
      </c>
      <c r="M53" s="29">
        <v>1080540</v>
      </c>
      <c r="N53" s="29">
        <v>1187279</v>
      </c>
      <c r="O53" s="29">
        <v>0</v>
      </c>
      <c r="P53" s="29">
        <v>560606</v>
      </c>
      <c r="Q53" s="29">
        <v>65259</v>
      </c>
      <c r="R53" s="29">
        <v>8857025</v>
      </c>
      <c r="S53" s="29">
        <v>846317</v>
      </c>
      <c r="T53" s="29">
        <v>8010708</v>
      </c>
      <c r="U53" s="29">
        <v>4504520</v>
      </c>
      <c r="V53" s="29">
        <v>3506188</v>
      </c>
    </row>
    <row r="54" spans="1:22" x14ac:dyDescent="0.2">
      <c r="A54" s="20" t="s">
        <v>148</v>
      </c>
      <c r="B54" s="20" t="s">
        <v>547</v>
      </c>
      <c r="C54" s="25">
        <v>152.97</v>
      </c>
      <c r="D54" s="27">
        <v>1346.6</v>
      </c>
      <c r="E54" s="25">
        <v>1499.57</v>
      </c>
      <c r="F54" s="25">
        <v>0</v>
      </c>
      <c r="G54" s="29">
        <v>7</v>
      </c>
      <c r="H54" s="27">
        <v>0</v>
      </c>
      <c r="I54" s="29">
        <v>1354</v>
      </c>
      <c r="J54" s="29">
        <v>461793</v>
      </c>
      <c r="K54" s="29">
        <v>0</v>
      </c>
      <c r="L54" s="29">
        <v>461793</v>
      </c>
      <c r="M54" s="29">
        <v>77855</v>
      </c>
      <c r="N54" s="29">
        <v>85546</v>
      </c>
      <c r="O54" s="29">
        <v>0</v>
      </c>
      <c r="P54" s="29">
        <v>43413</v>
      </c>
      <c r="Q54" s="29">
        <v>5054</v>
      </c>
      <c r="R54" s="29">
        <v>673661</v>
      </c>
      <c r="S54" s="29">
        <v>46594</v>
      </c>
      <c r="T54" s="29">
        <v>627067</v>
      </c>
      <c r="U54" s="29">
        <v>367768</v>
      </c>
      <c r="V54" s="29">
        <v>259299</v>
      </c>
    </row>
    <row r="55" spans="1:22" x14ac:dyDescent="0.2">
      <c r="A55" s="20" t="s">
        <v>314</v>
      </c>
      <c r="B55" s="20" t="s">
        <v>704</v>
      </c>
      <c r="C55" s="25">
        <v>160.83000000000001</v>
      </c>
      <c r="D55" s="27">
        <v>1359</v>
      </c>
      <c r="E55" s="25">
        <v>1519.83</v>
      </c>
      <c r="F55" s="25">
        <v>3.81</v>
      </c>
      <c r="G55" s="29">
        <v>0</v>
      </c>
      <c r="H55" s="27">
        <v>0</v>
      </c>
      <c r="I55" s="29">
        <v>1359</v>
      </c>
      <c r="J55" s="29">
        <v>465478</v>
      </c>
      <c r="K55" s="29">
        <v>0</v>
      </c>
      <c r="L55" s="29">
        <v>465478</v>
      </c>
      <c r="M55" s="29">
        <v>78115</v>
      </c>
      <c r="N55" s="29">
        <v>85821</v>
      </c>
      <c r="O55" s="29">
        <v>1167</v>
      </c>
      <c r="P55" s="29">
        <v>46704</v>
      </c>
      <c r="Q55" s="29">
        <v>5091</v>
      </c>
      <c r="R55" s="29">
        <v>682376</v>
      </c>
      <c r="S55" s="29">
        <v>76839</v>
      </c>
      <c r="T55" s="29">
        <v>605537</v>
      </c>
      <c r="U55" s="29">
        <v>346724</v>
      </c>
      <c r="V55" s="29">
        <v>258813</v>
      </c>
    </row>
    <row r="56" spans="1:22" x14ac:dyDescent="0.2">
      <c r="A56" s="20" t="s">
        <v>315</v>
      </c>
      <c r="B56" s="20" t="s">
        <v>705</v>
      </c>
      <c r="C56" s="25">
        <v>71.11</v>
      </c>
      <c r="D56" s="27">
        <v>760</v>
      </c>
      <c r="E56" s="25">
        <v>831.11</v>
      </c>
      <c r="F56" s="25">
        <v>2.08</v>
      </c>
      <c r="G56" s="29">
        <v>4</v>
      </c>
      <c r="H56" s="27">
        <v>0</v>
      </c>
      <c r="I56" s="29">
        <v>764</v>
      </c>
      <c r="J56" s="29">
        <v>254544</v>
      </c>
      <c r="K56" s="29">
        <v>1858</v>
      </c>
      <c r="L56" s="29">
        <v>256402</v>
      </c>
      <c r="M56" s="29">
        <v>43915</v>
      </c>
      <c r="N56" s="29">
        <v>48247</v>
      </c>
      <c r="O56" s="29">
        <v>637</v>
      </c>
      <c r="P56" s="29">
        <v>25540</v>
      </c>
      <c r="Q56" s="29">
        <v>2784</v>
      </c>
      <c r="R56" s="29">
        <v>377525</v>
      </c>
      <c r="S56" s="29">
        <v>46695</v>
      </c>
      <c r="T56" s="29">
        <v>330830</v>
      </c>
      <c r="U56" s="29">
        <v>184927</v>
      </c>
      <c r="V56" s="29">
        <v>145903</v>
      </c>
    </row>
    <row r="57" spans="1:22" x14ac:dyDescent="0.2">
      <c r="A57" s="20" t="s">
        <v>2</v>
      </c>
      <c r="B57" s="20" t="s">
        <v>414</v>
      </c>
      <c r="C57" s="25">
        <v>53.76</v>
      </c>
      <c r="D57" s="27">
        <v>416.1</v>
      </c>
      <c r="E57" s="25">
        <v>469.86</v>
      </c>
      <c r="F57" s="25">
        <v>1.34</v>
      </c>
      <c r="G57" s="29">
        <v>0</v>
      </c>
      <c r="H57" s="27">
        <v>0</v>
      </c>
      <c r="I57" s="29">
        <v>416</v>
      </c>
      <c r="J57" s="29">
        <v>151816</v>
      </c>
      <c r="K57" s="29">
        <v>17180</v>
      </c>
      <c r="L57" s="29">
        <v>168996</v>
      </c>
      <c r="M57" s="29">
        <v>24036</v>
      </c>
      <c r="N57" s="29">
        <v>26795</v>
      </c>
      <c r="O57" s="29">
        <v>433</v>
      </c>
      <c r="P57" s="29">
        <v>14989</v>
      </c>
      <c r="Q57" s="29">
        <v>1616</v>
      </c>
      <c r="R57" s="29">
        <v>236865</v>
      </c>
      <c r="S57" s="29">
        <v>29988</v>
      </c>
      <c r="T57" s="29">
        <v>206877</v>
      </c>
      <c r="U57" s="29">
        <v>101590</v>
      </c>
      <c r="V57" s="29">
        <v>105287</v>
      </c>
    </row>
    <row r="58" spans="1:22" x14ac:dyDescent="0.2">
      <c r="A58" s="20" t="s">
        <v>127</v>
      </c>
      <c r="B58" s="20" t="s">
        <v>527</v>
      </c>
      <c r="C58" s="25">
        <v>184.36</v>
      </c>
      <c r="D58" s="27">
        <v>1477.5</v>
      </c>
      <c r="E58" s="25">
        <v>1661.86</v>
      </c>
      <c r="F58" s="25">
        <v>3.01</v>
      </c>
      <c r="G58" s="29">
        <v>145</v>
      </c>
      <c r="H58" s="27">
        <v>0</v>
      </c>
      <c r="I58" s="29">
        <v>1623</v>
      </c>
      <c r="J58" s="29">
        <v>514961</v>
      </c>
      <c r="K58" s="29">
        <v>0</v>
      </c>
      <c r="L58" s="29">
        <v>514961</v>
      </c>
      <c r="M58" s="29">
        <v>93030</v>
      </c>
      <c r="N58" s="29">
        <v>101567</v>
      </c>
      <c r="O58" s="29">
        <v>933</v>
      </c>
      <c r="P58" s="29">
        <v>46864</v>
      </c>
      <c r="Q58" s="29">
        <v>5501</v>
      </c>
      <c r="R58" s="29">
        <v>762856</v>
      </c>
      <c r="S58" s="29">
        <v>77370</v>
      </c>
      <c r="T58" s="29">
        <v>685486</v>
      </c>
      <c r="U58" s="29">
        <v>381223</v>
      </c>
      <c r="V58" s="29">
        <v>304263</v>
      </c>
    </row>
    <row r="59" spans="1:22" x14ac:dyDescent="0.2">
      <c r="A59" s="20" t="s">
        <v>149</v>
      </c>
      <c r="B59" s="20" t="s">
        <v>548</v>
      </c>
      <c r="C59" s="25">
        <v>41.23</v>
      </c>
      <c r="D59" s="27">
        <v>461.9</v>
      </c>
      <c r="E59" s="25">
        <v>503.13</v>
      </c>
      <c r="F59" s="25">
        <v>0</v>
      </c>
      <c r="G59" s="29">
        <v>2</v>
      </c>
      <c r="H59" s="27">
        <v>0</v>
      </c>
      <c r="I59" s="29">
        <v>464</v>
      </c>
      <c r="J59" s="29">
        <v>154939</v>
      </c>
      <c r="K59" s="29">
        <v>0</v>
      </c>
      <c r="L59" s="29">
        <v>154939</v>
      </c>
      <c r="M59" s="29">
        <v>26680</v>
      </c>
      <c r="N59" s="29">
        <v>29316</v>
      </c>
      <c r="O59" s="29">
        <v>0</v>
      </c>
      <c r="P59" s="29">
        <v>14566</v>
      </c>
      <c r="Q59" s="29">
        <v>1696</v>
      </c>
      <c r="R59" s="29">
        <v>227197</v>
      </c>
      <c r="S59" s="29">
        <v>23775</v>
      </c>
      <c r="T59" s="29">
        <v>203422</v>
      </c>
      <c r="U59" s="29">
        <v>115251</v>
      </c>
      <c r="V59" s="29">
        <v>88171</v>
      </c>
    </row>
    <row r="60" spans="1:22" x14ac:dyDescent="0.2">
      <c r="A60" s="20" t="s">
        <v>272</v>
      </c>
      <c r="B60" s="20" t="s">
        <v>663</v>
      </c>
      <c r="C60" s="25">
        <v>83.06</v>
      </c>
      <c r="D60" s="27">
        <v>626.4</v>
      </c>
      <c r="E60" s="25">
        <v>709.46</v>
      </c>
      <c r="F60" s="25">
        <v>1.6</v>
      </c>
      <c r="G60" s="29">
        <v>0</v>
      </c>
      <c r="H60" s="27">
        <v>0</v>
      </c>
      <c r="I60" s="29">
        <v>626</v>
      </c>
      <c r="J60" s="29">
        <v>219159</v>
      </c>
      <c r="K60" s="29">
        <v>6430</v>
      </c>
      <c r="L60" s="29">
        <v>225589</v>
      </c>
      <c r="M60" s="29">
        <v>36001</v>
      </c>
      <c r="N60" s="29">
        <v>39801</v>
      </c>
      <c r="O60" s="29">
        <v>494</v>
      </c>
      <c r="P60" s="29">
        <v>22504</v>
      </c>
      <c r="Q60" s="29">
        <v>2412</v>
      </c>
      <c r="R60" s="29">
        <v>326801</v>
      </c>
      <c r="S60" s="29">
        <v>35545</v>
      </c>
      <c r="T60" s="29">
        <v>291256</v>
      </c>
      <c r="U60" s="29">
        <v>162870</v>
      </c>
      <c r="V60" s="29">
        <v>128386</v>
      </c>
    </row>
    <row r="61" spans="1:22" x14ac:dyDescent="0.2">
      <c r="A61" s="20" t="s">
        <v>235</v>
      </c>
      <c r="B61" s="20" t="s">
        <v>628</v>
      </c>
      <c r="C61" s="25">
        <v>89.34</v>
      </c>
      <c r="D61" s="27">
        <v>756.7</v>
      </c>
      <c r="E61" s="25">
        <v>846.04</v>
      </c>
      <c r="F61" s="25">
        <v>0</v>
      </c>
      <c r="G61" s="29">
        <v>118</v>
      </c>
      <c r="H61" s="27">
        <v>0</v>
      </c>
      <c r="I61" s="29">
        <v>875</v>
      </c>
      <c r="J61" s="29">
        <v>266917</v>
      </c>
      <c r="K61" s="29">
        <v>0</v>
      </c>
      <c r="L61" s="29">
        <v>266917</v>
      </c>
      <c r="M61" s="29">
        <v>50566</v>
      </c>
      <c r="N61" s="29">
        <v>56683</v>
      </c>
      <c r="O61" s="29">
        <v>0</v>
      </c>
      <c r="P61" s="29">
        <v>26853</v>
      </c>
      <c r="Q61" s="29">
        <v>3206</v>
      </c>
      <c r="R61" s="29">
        <v>404225</v>
      </c>
      <c r="S61" s="29">
        <v>34843</v>
      </c>
      <c r="T61" s="29">
        <v>369382</v>
      </c>
      <c r="U61" s="29">
        <v>201650</v>
      </c>
      <c r="V61" s="29">
        <v>167732</v>
      </c>
    </row>
    <row r="62" spans="1:22" x14ac:dyDescent="0.2">
      <c r="A62" s="20" t="s">
        <v>316</v>
      </c>
      <c r="B62" s="20" t="s">
        <v>706</v>
      </c>
      <c r="C62" s="25">
        <v>148.47</v>
      </c>
      <c r="D62" s="27">
        <v>1255.9000000000001</v>
      </c>
      <c r="E62" s="25">
        <v>1404.37</v>
      </c>
      <c r="F62" s="25">
        <v>3.52</v>
      </c>
      <c r="G62" s="29">
        <v>3</v>
      </c>
      <c r="H62" s="27">
        <v>0</v>
      </c>
      <c r="I62" s="29">
        <v>1259</v>
      </c>
      <c r="J62" s="29">
        <v>430116</v>
      </c>
      <c r="K62" s="29">
        <v>10265</v>
      </c>
      <c r="L62" s="29">
        <v>440381</v>
      </c>
      <c r="M62" s="29">
        <v>72367</v>
      </c>
      <c r="N62" s="29">
        <v>79506</v>
      </c>
      <c r="O62" s="29">
        <v>1078</v>
      </c>
      <c r="P62" s="29">
        <v>43156</v>
      </c>
      <c r="Q62" s="29">
        <v>4705</v>
      </c>
      <c r="R62" s="29">
        <v>641193</v>
      </c>
      <c r="S62" s="29">
        <v>69564</v>
      </c>
      <c r="T62" s="29">
        <v>571629</v>
      </c>
      <c r="U62" s="29">
        <v>321822</v>
      </c>
      <c r="V62" s="29">
        <v>249807</v>
      </c>
    </row>
    <row r="63" spans="1:22" x14ac:dyDescent="0.2">
      <c r="A63" s="20" t="s">
        <v>75</v>
      </c>
      <c r="B63" s="20" t="s">
        <v>478</v>
      </c>
      <c r="C63" s="25">
        <v>278.10000000000002</v>
      </c>
      <c r="D63" s="27">
        <v>1548.9</v>
      </c>
      <c r="E63" s="25">
        <v>1827</v>
      </c>
      <c r="F63" s="25">
        <v>0</v>
      </c>
      <c r="G63" s="29">
        <v>174</v>
      </c>
      <c r="H63" s="27">
        <v>7.3</v>
      </c>
      <c r="I63" s="29">
        <v>1716</v>
      </c>
      <c r="J63" s="29">
        <v>570444</v>
      </c>
      <c r="K63" s="29">
        <v>0</v>
      </c>
      <c r="L63" s="29">
        <v>570444</v>
      </c>
      <c r="M63" s="29">
        <v>99202</v>
      </c>
      <c r="N63" s="29">
        <v>110682</v>
      </c>
      <c r="O63" s="29">
        <v>0</v>
      </c>
      <c r="P63" s="29">
        <v>71491</v>
      </c>
      <c r="Q63" s="29">
        <v>8222</v>
      </c>
      <c r="R63" s="29">
        <v>860041</v>
      </c>
      <c r="S63" s="29">
        <v>82982</v>
      </c>
      <c r="T63" s="29">
        <v>777059</v>
      </c>
      <c r="U63" s="29">
        <v>442519</v>
      </c>
      <c r="V63" s="29">
        <v>334540</v>
      </c>
    </row>
    <row r="64" spans="1:22" x14ac:dyDescent="0.2">
      <c r="A64" s="20" t="s">
        <v>236</v>
      </c>
      <c r="B64" s="20" t="s">
        <v>629</v>
      </c>
      <c r="C64" s="25">
        <v>41.61</v>
      </c>
      <c r="D64" s="27">
        <v>265.60000000000002</v>
      </c>
      <c r="E64" s="25">
        <v>307.20999999999998</v>
      </c>
      <c r="F64" s="25">
        <v>0</v>
      </c>
      <c r="G64" s="29">
        <v>2</v>
      </c>
      <c r="H64" s="27">
        <v>0</v>
      </c>
      <c r="I64" s="29">
        <v>268</v>
      </c>
      <c r="J64" s="29">
        <v>96922</v>
      </c>
      <c r="K64" s="29">
        <v>2759</v>
      </c>
      <c r="L64" s="29">
        <v>99681</v>
      </c>
      <c r="M64" s="29">
        <v>15488</v>
      </c>
      <c r="N64" s="29">
        <v>17361</v>
      </c>
      <c r="O64" s="29">
        <v>0</v>
      </c>
      <c r="P64" s="29">
        <v>9769</v>
      </c>
      <c r="Q64" s="29">
        <v>1168</v>
      </c>
      <c r="R64" s="29">
        <v>143467</v>
      </c>
      <c r="S64" s="29">
        <v>17747</v>
      </c>
      <c r="T64" s="29">
        <v>125720</v>
      </c>
      <c r="U64" s="29">
        <v>68149</v>
      </c>
      <c r="V64" s="29">
        <v>57571</v>
      </c>
    </row>
    <row r="65" spans="1:22" x14ac:dyDescent="0.2">
      <c r="A65" s="20" t="s">
        <v>237</v>
      </c>
      <c r="B65" s="20" t="s">
        <v>630</v>
      </c>
      <c r="C65" s="25">
        <v>141.66</v>
      </c>
      <c r="D65" s="27">
        <v>1027.0999999999999</v>
      </c>
      <c r="E65" s="25">
        <v>1168.76</v>
      </c>
      <c r="F65" s="25">
        <v>0</v>
      </c>
      <c r="G65" s="29">
        <v>0</v>
      </c>
      <c r="H65" s="27">
        <v>0</v>
      </c>
      <c r="I65" s="29">
        <v>1027</v>
      </c>
      <c r="J65" s="29">
        <v>368732</v>
      </c>
      <c r="K65" s="29">
        <v>0</v>
      </c>
      <c r="L65" s="29">
        <v>368732</v>
      </c>
      <c r="M65" s="29">
        <v>59350</v>
      </c>
      <c r="N65" s="29">
        <v>66529</v>
      </c>
      <c r="O65" s="29">
        <v>0</v>
      </c>
      <c r="P65" s="29">
        <v>37096</v>
      </c>
      <c r="Q65" s="29">
        <v>4430</v>
      </c>
      <c r="R65" s="29">
        <v>536137</v>
      </c>
      <c r="S65" s="29">
        <v>53299</v>
      </c>
      <c r="T65" s="29">
        <v>482838</v>
      </c>
      <c r="U65" s="29">
        <v>273404</v>
      </c>
      <c r="V65" s="29">
        <v>209434</v>
      </c>
    </row>
    <row r="66" spans="1:22" x14ac:dyDescent="0.2">
      <c r="A66" s="20" t="s">
        <v>273</v>
      </c>
      <c r="B66" s="20" t="s">
        <v>664</v>
      </c>
      <c r="C66" s="25">
        <v>107.11</v>
      </c>
      <c r="D66" s="27">
        <v>991.6</v>
      </c>
      <c r="E66" s="25">
        <v>1098.71</v>
      </c>
      <c r="F66" s="25">
        <v>2.48</v>
      </c>
      <c r="G66" s="29">
        <v>67</v>
      </c>
      <c r="H66" s="27">
        <v>1.3</v>
      </c>
      <c r="I66" s="29">
        <v>1057</v>
      </c>
      <c r="J66" s="29">
        <v>339403</v>
      </c>
      <c r="K66" s="29">
        <v>0</v>
      </c>
      <c r="L66" s="29">
        <v>339403</v>
      </c>
      <c r="M66" s="29">
        <v>60788</v>
      </c>
      <c r="N66" s="29">
        <v>67204</v>
      </c>
      <c r="O66" s="29">
        <v>766</v>
      </c>
      <c r="P66" s="29">
        <v>34851</v>
      </c>
      <c r="Q66" s="29">
        <v>3736</v>
      </c>
      <c r="R66" s="29">
        <v>506748</v>
      </c>
      <c r="S66" s="29">
        <v>50182</v>
      </c>
      <c r="T66" s="29">
        <v>456566</v>
      </c>
      <c r="U66" s="29">
        <v>257095</v>
      </c>
      <c r="V66" s="29">
        <v>199471</v>
      </c>
    </row>
    <row r="67" spans="1:22" x14ac:dyDescent="0.2">
      <c r="A67" s="20" t="s">
        <v>26</v>
      </c>
      <c r="B67" s="20" t="s">
        <v>437</v>
      </c>
      <c r="C67" s="25">
        <v>120.02</v>
      </c>
      <c r="D67" s="27">
        <v>973.4</v>
      </c>
      <c r="E67" s="25">
        <v>1093.42</v>
      </c>
      <c r="F67" s="25">
        <v>3.01</v>
      </c>
      <c r="G67" s="29">
        <v>3</v>
      </c>
      <c r="H67" s="27">
        <v>0</v>
      </c>
      <c r="I67" s="29">
        <v>976</v>
      </c>
      <c r="J67" s="29">
        <v>348648</v>
      </c>
      <c r="K67" s="29">
        <v>0</v>
      </c>
      <c r="L67" s="29">
        <v>348648</v>
      </c>
      <c r="M67" s="29">
        <v>56471</v>
      </c>
      <c r="N67" s="29">
        <v>63323</v>
      </c>
      <c r="O67" s="29">
        <v>960</v>
      </c>
      <c r="P67" s="29">
        <v>37023</v>
      </c>
      <c r="Q67" s="29">
        <v>4406</v>
      </c>
      <c r="R67" s="29">
        <v>510831</v>
      </c>
      <c r="S67" s="29">
        <v>52020</v>
      </c>
      <c r="T67" s="29">
        <v>458811</v>
      </c>
      <c r="U67" s="29">
        <v>256938</v>
      </c>
      <c r="V67" s="29">
        <v>201873</v>
      </c>
    </row>
    <row r="68" spans="1:22" x14ac:dyDescent="0.2">
      <c r="A68" s="20" t="s">
        <v>274</v>
      </c>
      <c r="B68" s="20" t="s">
        <v>665</v>
      </c>
      <c r="C68" s="25">
        <v>196.7</v>
      </c>
      <c r="D68" s="27">
        <v>1440.4</v>
      </c>
      <c r="E68" s="25">
        <v>1637.1</v>
      </c>
      <c r="F68" s="25">
        <v>3.69</v>
      </c>
      <c r="G68" s="29">
        <v>2</v>
      </c>
      <c r="H68" s="27">
        <v>0</v>
      </c>
      <c r="I68" s="29">
        <v>1442</v>
      </c>
      <c r="J68" s="29">
        <v>505717</v>
      </c>
      <c r="K68" s="29">
        <v>0</v>
      </c>
      <c r="L68" s="29">
        <v>505717</v>
      </c>
      <c r="M68" s="29">
        <v>82929</v>
      </c>
      <c r="N68" s="29">
        <v>91682</v>
      </c>
      <c r="O68" s="29">
        <v>1140</v>
      </c>
      <c r="P68" s="29">
        <v>51929</v>
      </c>
      <c r="Q68" s="29">
        <v>5566</v>
      </c>
      <c r="R68" s="29">
        <v>738963</v>
      </c>
      <c r="S68" s="29">
        <v>66523</v>
      </c>
      <c r="T68" s="29">
        <v>672440</v>
      </c>
      <c r="U68" s="29">
        <v>391325</v>
      </c>
      <c r="V68" s="29">
        <v>281115</v>
      </c>
    </row>
    <row r="69" spans="1:22" x14ac:dyDescent="0.2">
      <c r="A69" s="20" t="s">
        <v>76</v>
      </c>
      <c r="B69" s="20" t="s">
        <v>479</v>
      </c>
      <c r="C69" s="25">
        <v>29.1</v>
      </c>
      <c r="D69" s="27">
        <v>295</v>
      </c>
      <c r="E69" s="25">
        <v>324.10000000000002</v>
      </c>
      <c r="F69" s="25">
        <v>0</v>
      </c>
      <c r="G69" s="29">
        <v>4</v>
      </c>
      <c r="H69" s="27">
        <v>0</v>
      </c>
      <c r="I69" s="29">
        <v>299</v>
      </c>
      <c r="J69" s="29">
        <v>101194</v>
      </c>
      <c r="K69" s="29">
        <v>16600</v>
      </c>
      <c r="L69" s="29">
        <v>117794</v>
      </c>
      <c r="M69" s="29">
        <v>17285</v>
      </c>
      <c r="N69" s="29">
        <v>19286</v>
      </c>
      <c r="O69" s="29">
        <v>0</v>
      </c>
      <c r="P69" s="29">
        <v>13264</v>
      </c>
      <c r="Q69" s="29">
        <v>1526</v>
      </c>
      <c r="R69" s="29">
        <v>169155</v>
      </c>
      <c r="S69" s="29">
        <v>18545</v>
      </c>
      <c r="T69" s="29">
        <v>150610</v>
      </c>
      <c r="U69" s="29">
        <v>75325</v>
      </c>
      <c r="V69" s="29">
        <v>75285</v>
      </c>
    </row>
    <row r="70" spans="1:22" x14ac:dyDescent="0.2">
      <c r="A70" s="20" t="s">
        <v>27</v>
      </c>
      <c r="B70" s="20" t="s">
        <v>438</v>
      </c>
      <c r="C70" s="25">
        <v>36.03</v>
      </c>
      <c r="D70" s="27">
        <v>288</v>
      </c>
      <c r="E70" s="25">
        <v>324.02999999999997</v>
      </c>
      <c r="F70" s="25">
        <v>0.89</v>
      </c>
      <c r="G70" s="29">
        <v>19</v>
      </c>
      <c r="H70" s="27">
        <v>0</v>
      </c>
      <c r="I70" s="29">
        <v>307</v>
      </c>
      <c r="J70" s="29">
        <v>103320</v>
      </c>
      <c r="K70" s="29">
        <v>21713</v>
      </c>
      <c r="L70" s="29">
        <v>125033</v>
      </c>
      <c r="M70" s="29">
        <v>17763</v>
      </c>
      <c r="N70" s="29">
        <v>19918</v>
      </c>
      <c r="O70" s="29">
        <v>284</v>
      </c>
      <c r="P70" s="29">
        <v>11746</v>
      </c>
      <c r="Q70" s="29">
        <v>1400</v>
      </c>
      <c r="R70" s="29">
        <v>176144</v>
      </c>
      <c r="S70" s="29">
        <v>23296</v>
      </c>
      <c r="T70" s="29">
        <v>152848</v>
      </c>
      <c r="U70" s="29">
        <v>69130</v>
      </c>
      <c r="V70" s="29">
        <v>83718</v>
      </c>
    </row>
    <row r="71" spans="1:22" x14ac:dyDescent="0.2">
      <c r="A71" s="20" t="s">
        <v>150</v>
      </c>
      <c r="B71" s="20" t="s">
        <v>549</v>
      </c>
      <c r="C71" s="25">
        <v>255.59</v>
      </c>
      <c r="D71" s="27">
        <v>2488.6999999999998</v>
      </c>
      <c r="E71" s="25">
        <v>2744.29</v>
      </c>
      <c r="F71" s="25">
        <v>0</v>
      </c>
      <c r="G71" s="29">
        <v>20</v>
      </c>
      <c r="H71" s="27">
        <v>0</v>
      </c>
      <c r="I71" s="29">
        <v>2509</v>
      </c>
      <c r="J71" s="29">
        <v>845104</v>
      </c>
      <c r="K71" s="29">
        <v>0</v>
      </c>
      <c r="L71" s="29">
        <v>845104</v>
      </c>
      <c r="M71" s="29">
        <v>144268</v>
      </c>
      <c r="N71" s="29">
        <v>158519</v>
      </c>
      <c r="O71" s="29">
        <v>0</v>
      </c>
      <c r="P71" s="29">
        <v>79447</v>
      </c>
      <c r="Q71" s="29">
        <v>9248</v>
      </c>
      <c r="R71" s="29">
        <v>1236586</v>
      </c>
      <c r="S71" s="29">
        <v>54531</v>
      </c>
      <c r="T71" s="29">
        <v>1182055</v>
      </c>
      <c r="U71" s="29">
        <v>703771</v>
      </c>
      <c r="V71" s="29">
        <v>478284</v>
      </c>
    </row>
    <row r="72" spans="1:22" x14ac:dyDescent="0.2">
      <c r="A72" s="20" t="s">
        <v>77</v>
      </c>
      <c r="B72" s="20" t="s">
        <v>480</v>
      </c>
      <c r="C72" s="25">
        <v>213.32</v>
      </c>
      <c r="D72" s="27">
        <v>1245.3</v>
      </c>
      <c r="E72" s="25">
        <v>1458.62</v>
      </c>
      <c r="F72" s="25">
        <v>0</v>
      </c>
      <c r="G72" s="29">
        <v>81</v>
      </c>
      <c r="H72" s="27">
        <v>0</v>
      </c>
      <c r="I72" s="29">
        <v>1326</v>
      </c>
      <c r="J72" s="29">
        <v>455425</v>
      </c>
      <c r="K72" s="29">
        <v>0</v>
      </c>
      <c r="L72" s="29">
        <v>455425</v>
      </c>
      <c r="M72" s="29">
        <v>76656</v>
      </c>
      <c r="N72" s="29">
        <v>85527</v>
      </c>
      <c r="O72" s="29">
        <v>0</v>
      </c>
      <c r="P72" s="29">
        <v>57076</v>
      </c>
      <c r="Q72" s="29">
        <v>6564</v>
      </c>
      <c r="R72" s="29">
        <v>681248</v>
      </c>
      <c r="S72" s="29">
        <v>69828</v>
      </c>
      <c r="T72" s="29">
        <v>611420</v>
      </c>
      <c r="U72" s="29">
        <v>349715</v>
      </c>
      <c r="V72" s="29">
        <v>261705</v>
      </c>
    </row>
    <row r="73" spans="1:22" x14ac:dyDescent="0.2">
      <c r="A73" s="20" t="s">
        <v>128</v>
      </c>
      <c r="B73" s="20" t="s">
        <v>528</v>
      </c>
      <c r="C73" s="25">
        <v>769</v>
      </c>
      <c r="D73" s="27">
        <v>3624.2</v>
      </c>
      <c r="E73" s="25">
        <v>4393.2</v>
      </c>
      <c r="F73" s="25">
        <v>7.96</v>
      </c>
      <c r="G73" s="29">
        <v>165</v>
      </c>
      <c r="H73" s="27">
        <v>0</v>
      </c>
      <c r="I73" s="29">
        <v>3789</v>
      </c>
      <c r="J73" s="29">
        <v>1361321</v>
      </c>
      <c r="K73" s="29">
        <v>6993</v>
      </c>
      <c r="L73" s="29">
        <v>1368314</v>
      </c>
      <c r="M73" s="29">
        <v>217185</v>
      </c>
      <c r="N73" s="29">
        <v>237116</v>
      </c>
      <c r="O73" s="29">
        <v>2467</v>
      </c>
      <c r="P73" s="29">
        <v>124170</v>
      </c>
      <c r="Q73" s="29">
        <v>14590</v>
      </c>
      <c r="R73" s="29">
        <v>1963842</v>
      </c>
      <c r="S73" s="29">
        <v>219420</v>
      </c>
      <c r="T73" s="29">
        <v>1744422</v>
      </c>
      <c r="U73" s="29">
        <v>993223</v>
      </c>
      <c r="V73" s="29">
        <v>751199</v>
      </c>
    </row>
    <row r="74" spans="1:22" x14ac:dyDescent="0.2">
      <c r="A74" s="20" t="s">
        <v>188</v>
      </c>
      <c r="B74" s="20" t="s">
        <v>584</v>
      </c>
      <c r="C74" s="25">
        <v>107.24</v>
      </c>
      <c r="D74" s="27">
        <v>763.8</v>
      </c>
      <c r="E74" s="25">
        <v>871.04</v>
      </c>
      <c r="F74" s="25">
        <v>0</v>
      </c>
      <c r="G74" s="29">
        <v>7</v>
      </c>
      <c r="H74" s="27">
        <v>0</v>
      </c>
      <c r="I74" s="29">
        <v>771</v>
      </c>
      <c r="J74" s="29">
        <v>262052</v>
      </c>
      <c r="K74" s="29">
        <v>0</v>
      </c>
      <c r="L74" s="29">
        <v>262052</v>
      </c>
      <c r="M74" s="29">
        <v>44240</v>
      </c>
      <c r="N74" s="29">
        <v>48573</v>
      </c>
      <c r="O74" s="29">
        <v>0</v>
      </c>
      <c r="P74" s="29">
        <v>21933</v>
      </c>
      <c r="Q74" s="29">
        <v>2770</v>
      </c>
      <c r="R74" s="29">
        <v>379568</v>
      </c>
      <c r="S74" s="29">
        <v>41179</v>
      </c>
      <c r="T74" s="29">
        <v>338389</v>
      </c>
      <c r="U74" s="29">
        <v>196058</v>
      </c>
      <c r="V74" s="29">
        <v>142331</v>
      </c>
    </row>
    <row r="75" spans="1:22" x14ac:dyDescent="0.2">
      <c r="A75" s="20" t="s">
        <v>151</v>
      </c>
      <c r="B75" s="20" t="s">
        <v>550</v>
      </c>
      <c r="C75" s="25">
        <v>618.84</v>
      </c>
      <c r="D75" s="27">
        <v>5194.1000000000004</v>
      </c>
      <c r="E75" s="25">
        <v>5812.94</v>
      </c>
      <c r="F75" s="25">
        <v>0</v>
      </c>
      <c r="G75" s="29">
        <v>120</v>
      </c>
      <c r="H75" s="27">
        <v>0</v>
      </c>
      <c r="I75" s="29">
        <v>5314</v>
      </c>
      <c r="J75" s="29">
        <v>1790095</v>
      </c>
      <c r="K75" s="29">
        <v>0</v>
      </c>
      <c r="L75" s="29">
        <v>1790095</v>
      </c>
      <c r="M75" s="29">
        <v>305555</v>
      </c>
      <c r="N75" s="29">
        <v>335739</v>
      </c>
      <c r="O75" s="29">
        <v>0</v>
      </c>
      <c r="P75" s="29">
        <v>168285</v>
      </c>
      <c r="Q75" s="29">
        <v>19590</v>
      </c>
      <c r="R75" s="29">
        <v>2619264</v>
      </c>
      <c r="S75" s="29">
        <v>142066</v>
      </c>
      <c r="T75" s="29">
        <v>2477198</v>
      </c>
      <c r="U75" s="29">
        <v>1464166</v>
      </c>
      <c r="V75" s="29">
        <v>1013032</v>
      </c>
    </row>
    <row r="76" spans="1:22" x14ac:dyDescent="0.2">
      <c r="A76" s="20" t="s">
        <v>189</v>
      </c>
      <c r="B76" s="20" t="s">
        <v>585</v>
      </c>
      <c r="C76" s="25">
        <v>55.3</v>
      </c>
      <c r="D76" s="27">
        <v>446.4</v>
      </c>
      <c r="E76" s="25">
        <v>501.7</v>
      </c>
      <c r="F76" s="25">
        <v>0</v>
      </c>
      <c r="G76" s="29">
        <v>6</v>
      </c>
      <c r="H76" s="27">
        <v>0</v>
      </c>
      <c r="I76" s="29">
        <v>452</v>
      </c>
      <c r="J76" s="29">
        <v>150936</v>
      </c>
      <c r="K76" s="29">
        <v>4215</v>
      </c>
      <c r="L76" s="29">
        <v>155151</v>
      </c>
      <c r="M76" s="29">
        <v>25936</v>
      </c>
      <c r="N76" s="29">
        <v>28476</v>
      </c>
      <c r="O76" s="29">
        <v>0</v>
      </c>
      <c r="P76" s="29">
        <v>12633</v>
      </c>
      <c r="Q76" s="29">
        <v>1595</v>
      </c>
      <c r="R76" s="29">
        <v>223791</v>
      </c>
      <c r="S76" s="29">
        <v>23962</v>
      </c>
      <c r="T76" s="29">
        <v>199829</v>
      </c>
      <c r="U76" s="29">
        <v>112681</v>
      </c>
      <c r="V76" s="29">
        <v>87148</v>
      </c>
    </row>
    <row r="77" spans="1:22" x14ac:dyDescent="0.2">
      <c r="A77" s="20" t="s">
        <v>190</v>
      </c>
      <c r="B77" s="20" t="s">
        <v>586</v>
      </c>
      <c r="C77" s="25">
        <v>42.18</v>
      </c>
      <c r="D77" s="27">
        <v>512</v>
      </c>
      <c r="E77" s="25">
        <v>554.17999999999995</v>
      </c>
      <c r="F77" s="25">
        <v>0</v>
      </c>
      <c r="G77" s="29">
        <v>2</v>
      </c>
      <c r="H77" s="27">
        <v>0</v>
      </c>
      <c r="I77" s="29">
        <v>514</v>
      </c>
      <c r="J77" s="29">
        <v>166725</v>
      </c>
      <c r="K77" s="29">
        <v>0</v>
      </c>
      <c r="L77" s="29">
        <v>166725</v>
      </c>
      <c r="M77" s="29">
        <v>29493</v>
      </c>
      <c r="N77" s="29">
        <v>32382</v>
      </c>
      <c r="O77" s="29">
        <v>0</v>
      </c>
      <c r="P77" s="29">
        <v>13954</v>
      </c>
      <c r="Q77" s="29">
        <v>1762</v>
      </c>
      <c r="R77" s="29">
        <v>244316</v>
      </c>
      <c r="S77" s="29">
        <v>26655</v>
      </c>
      <c r="T77" s="29">
        <v>217661</v>
      </c>
      <c r="U77" s="29">
        <v>124281</v>
      </c>
      <c r="V77" s="29">
        <v>93380</v>
      </c>
    </row>
    <row r="78" spans="1:22" x14ac:dyDescent="0.2">
      <c r="A78" s="20" t="s">
        <v>129</v>
      </c>
      <c r="B78" s="20" t="s">
        <v>529</v>
      </c>
      <c r="C78" s="25">
        <v>107.2</v>
      </c>
      <c r="D78" s="27">
        <v>762.7</v>
      </c>
      <c r="E78" s="25">
        <v>869.9</v>
      </c>
      <c r="F78" s="25">
        <v>1.57</v>
      </c>
      <c r="G78" s="29">
        <v>0</v>
      </c>
      <c r="H78" s="27">
        <v>0</v>
      </c>
      <c r="I78" s="29">
        <v>763</v>
      </c>
      <c r="J78" s="29">
        <v>269556</v>
      </c>
      <c r="K78" s="29">
        <v>29517</v>
      </c>
      <c r="L78" s="29">
        <v>299073</v>
      </c>
      <c r="M78" s="29">
        <v>43735</v>
      </c>
      <c r="N78" s="29">
        <v>47749</v>
      </c>
      <c r="O78" s="29">
        <v>486</v>
      </c>
      <c r="P78" s="29">
        <v>24531</v>
      </c>
      <c r="Q78" s="29">
        <v>2879</v>
      </c>
      <c r="R78" s="29">
        <v>418453</v>
      </c>
      <c r="S78" s="29">
        <v>48308</v>
      </c>
      <c r="T78" s="29">
        <v>370145</v>
      </c>
      <c r="U78" s="29">
        <v>191741</v>
      </c>
      <c r="V78" s="29">
        <v>178404</v>
      </c>
    </row>
    <row r="79" spans="1:22" x14ac:dyDescent="0.2">
      <c r="A79" s="20" t="s">
        <v>191</v>
      </c>
      <c r="B79" s="20" t="s">
        <v>587</v>
      </c>
      <c r="C79" s="25">
        <v>62.33</v>
      </c>
      <c r="D79" s="27">
        <v>427.9</v>
      </c>
      <c r="E79" s="25">
        <v>490.23</v>
      </c>
      <c r="F79" s="25">
        <v>0</v>
      </c>
      <c r="G79" s="29">
        <v>1</v>
      </c>
      <c r="H79" s="27">
        <v>0</v>
      </c>
      <c r="I79" s="29">
        <v>429</v>
      </c>
      <c r="J79" s="29">
        <v>147486</v>
      </c>
      <c r="K79" s="29">
        <v>0</v>
      </c>
      <c r="L79" s="29">
        <v>147486</v>
      </c>
      <c r="M79" s="29">
        <v>24616</v>
      </c>
      <c r="N79" s="29">
        <v>27027</v>
      </c>
      <c r="O79" s="29">
        <v>0</v>
      </c>
      <c r="P79" s="29">
        <v>12344</v>
      </c>
      <c r="Q79" s="29">
        <v>1559</v>
      </c>
      <c r="R79" s="29">
        <v>213032</v>
      </c>
      <c r="S79" s="29">
        <v>24283</v>
      </c>
      <c r="T79" s="29">
        <v>188749</v>
      </c>
      <c r="U79" s="29">
        <v>109236</v>
      </c>
      <c r="V79" s="29">
        <v>79513</v>
      </c>
    </row>
    <row r="80" spans="1:22" x14ac:dyDescent="0.2">
      <c r="A80" s="20" t="s">
        <v>275</v>
      </c>
      <c r="B80" s="20" t="s">
        <v>666</v>
      </c>
      <c r="C80" s="25">
        <v>58.47</v>
      </c>
      <c r="D80" s="27">
        <v>405.6</v>
      </c>
      <c r="E80" s="25">
        <v>464.07</v>
      </c>
      <c r="F80" s="25">
        <v>1.05</v>
      </c>
      <c r="G80" s="29">
        <v>0</v>
      </c>
      <c r="H80" s="27">
        <v>0</v>
      </c>
      <c r="I80" s="29">
        <v>406</v>
      </c>
      <c r="J80" s="29">
        <v>143356</v>
      </c>
      <c r="K80" s="29">
        <v>8194</v>
      </c>
      <c r="L80" s="29">
        <v>151550</v>
      </c>
      <c r="M80" s="29">
        <v>23349</v>
      </c>
      <c r="N80" s="29">
        <v>25813</v>
      </c>
      <c r="O80" s="29">
        <v>324</v>
      </c>
      <c r="P80" s="29">
        <v>14720</v>
      </c>
      <c r="Q80" s="29">
        <v>1578</v>
      </c>
      <c r="R80" s="29">
        <v>217334</v>
      </c>
      <c r="S80" s="29">
        <v>28933</v>
      </c>
      <c r="T80" s="29">
        <v>188401</v>
      </c>
      <c r="U80" s="29">
        <v>100854</v>
      </c>
      <c r="V80" s="29">
        <v>87547</v>
      </c>
    </row>
    <row r="81" spans="1:22" x14ac:dyDescent="0.2">
      <c r="A81" s="20" t="s">
        <v>276</v>
      </c>
      <c r="B81" s="20" t="s">
        <v>667</v>
      </c>
      <c r="C81" s="25">
        <v>2154.83</v>
      </c>
      <c r="D81" s="27">
        <v>9122.1</v>
      </c>
      <c r="E81" s="25">
        <v>11276.93</v>
      </c>
      <c r="F81" s="25">
        <v>25.37</v>
      </c>
      <c r="G81" s="29">
        <v>425</v>
      </c>
      <c r="H81" s="27">
        <v>0.2</v>
      </c>
      <c r="I81" s="29">
        <v>9547</v>
      </c>
      <c r="J81" s="29">
        <v>3483556</v>
      </c>
      <c r="K81" s="29">
        <v>0</v>
      </c>
      <c r="L81" s="29">
        <v>3483556</v>
      </c>
      <c r="M81" s="29">
        <v>549048</v>
      </c>
      <c r="N81" s="29">
        <v>606998</v>
      </c>
      <c r="O81" s="29">
        <v>7837</v>
      </c>
      <c r="P81" s="29">
        <v>357704</v>
      </c>
      <c r="Q81" s="29">
        <v>38342</v>
      </c>
      <c r="R81" s="29">
        <v>5043485</v>
      </c>
      <c r="S81" s="29">
        <v>450650</v>
      </c>
      <c r="T81" s="29">
        <v>4592835</v>
      </c>
      <c r="U81" s="29">
        <v>2703157</v>
      </c>
      <c r="V81" s="29">
        <v>1889678</v>
      </c>
    </row>
    <row r="82" spans="1:22" x14ac:dyDescent="0.2">
      <c r="A82" s="20" t="s">
        <v>277</v>
      </c>
      <c r="B82" s="20" t="s">
        <v>668</v>
      </c>
      <c r="C82" s="25">
        <v>207.6</v>
      </c>
      <c r="D82" s="27">
        <v>1470.7</v>
      </c>
      <c r="E82" s="25">
        <v>1678.3</v>
      </c>
      <c r="F82" s="25">
        <v>3.78</v>
      </c>
      <c r="G82" s="29">
        <v>109</v>
      </c>
      <c r="H82" s="27">
        <v>0.6</v>
      </c>
      <c r="I82" s="29">
        <v>1579</v>
      </c>
      <c r="J82" s="29">
        <v>518444</v>
      </c>
      <c r="K82" s="29">
        <v>0</v>
      </c>
      <c r="L82" s="29">
        <v>518444</v>
      </c>
      <c r="M82" s="29">
        <v>90808</v>
      </c>
      <c r="N82" s="29">
        <v>100393</v>
      </c>
      <c r="O82" s="29">
        <v>1168</v>
      </c>
      <c r="P82" s="29">
        <v>53236</v>
      </c>
      <c r="Q82" s="29">
        <v>5706</v>
      </c>
      <c r="R82" s="29">
        <v>769755</v>
      </c>
      <c r="S82" s="29">
        <v>73855</v>
      </c>
      <c r="T82" s="29">
        <v>695900</v>
      </c>
      <c r="U82" s="29">
        <v>395515</v>
      </c>
      <c r="V82" s="29">
        <v>300385</v>
      </c>
    </row>
    <row r="83" spans="1:22" x14ac:dyDescent="0.2">
      <c r="A83" s="20" t="s">
        <v>192</v>
      </c>
      <c r="B83" s="20" t="s">
        <v>588</v>
      </c>
      <c r="C83" s="25">
        <v>279.26</v>
      </c>
      <c r="D83" s="27">
        <v>3127</v>
      </c>
      <c r="E83" s="25">
        <v>3406.26</v>
      </c>
      <c r="F83" s="25">
        <v>0</v>
      </c>
      <c r="G83" s="29">
        <v>74</v>
      </c>
      <c r="H83" s="27">
        <v>0</v>
      </c>
      <c r="I83" s="29">
        <v>3201</v>
      </c>
      <c r="J83" s="29">
        <v>1024773</v>
      </c>
      <c r="K83" s="29">
        <v>0</v>
      </c>
      <c r="L83" s="29">
        <v>1024773</v>
      </c>
      <c r="M83" s="29">
        <v>183673</v>
      </c>
      <c r="N83" s="29">
        <v>201663</v>
      </c>
      <c r="O83" s="29">
        <v>0</v>
      </c>
      <c r="P83" s="29">
        <v>85770</v>
      </c>
      <c r="Q83" s="29">
        <v>10832</v>
      </c>
      <c r="R83" s="29">
        <v>1506711</v>
      </c>
      <c r="S83" s="29">
        <v>64515</v>
      </c>
      <c r="T83" s="29">
        <v>1442196</v>
      </c>
      <c r="U83" s="29">
        <v>863214</v>
      </c>
      <c r="V83" s="29">
        <v>578982</v>
      </c>
    </row>
    <row r="84" spans="1:22" x14ac:dyDescent="0.2">
      <c r="A84" s="20" t="s">
        <v>317</v>
      </c>
      <c r="B84" s="20" t="s">
        <v>707</v>
      </c>
      <c r="C84" s="25">
        <v>57.62</v>
      </c>
      <c r="D84" s="27">
        <v>507.6</v>
      </c>
      <c r="E84" s="25">
        <v>565.22</v>
      </c>
      <c r="F84" s="25">
        <v>1.42</v>
      </c>
      <c r="G84" s="29">
        <v>5</v>
      </c>
      <c r="H84" s="27">
        <v>0</v>
      </c>
      <c r="I84" s="29">
        <v>513</v>
      </c>
      <c r="J84" s="29">
        <v>173110</v>
      </c>
      <c r="K84" s="29">
        <v>0</v>
      </c>
      <c r="L84" s="29">
        <v>173110</v>
      </c>
      <c r="M84" s="29">
        <v>29487</v>
      </c>
      <c r="N84" s="29">
        <v>32396</v>
      </c>
      <c r="O84" s="29">
        <v>435</v>
      </c>
      <c r="P84" s="29">
        <v>17369</v>
      </c>
      <c r="Q84" s="29">
        <v>1893</v>
      </c>
      <c r="R84" s="29">
        <v>254690</v>
      </c>
      <c r="S84" s="29">
        <v>20792</v>
      </c>
      <c r="T84" s="29">
        <v>233898</v>
      </c>
      <c r="U84" s="29">
        <v>136730</v>
      </c>
      <c r="V84" s="29">
        <v>97168</v>
      </c>
    </row>
    <row r="85" spans="1:22" x14ac:dyDescent="0.2">
      <c r="A85" s="20" t="s">
        <v>130</v>
      </c>
      <c r="B85" s="20" t="s">
        <v>530</v>
      </c>
      <c r="C85" s="25">
        <v>3069.5</v>
      </c>
      <c r="D85" s="27">
        <v>14930.5</v>
      </c>
      <c r="E85" s="25">
        <v>18000</v>
      </c>
      <c r="F85" s="25">
        <v>32.61</v>
      </c>
      <c r="G85" s="29">
        <v>1845</v>
      </c>
      <c r="H85" s="27">
        <v>1.2</v>
      </c>
      <c r="I85" s="29">
        <v>16774</v>
      </c>
      <c r="J85" s="29">
        <v>5577660</v>
      </c>
      <c r="K85" s="29">
        <v>25348</v>
      </c>
      <c r="L85" s="29">
        <v>5603008</v>
      </c>
      <c r="M85" s="29">
        <v>961486</v>
      </c>
      <c r="N85" s="29">
        <v>1049717</v>
      </c>
      <c r="O85" s="29">
        <v>10105</v>
      </c>
      <c r="P85" s="29">
        <v>508456</v>
      </c>
      <c r="Q85" s="29">
        <v>59742</v>
      </c>
      <c r="R85" s="29">
        <v>8192514</v>
      </c>
      <c r="S85" s="29">
        <v>800370</v>
      </c>
      <c r="T85" s="29">
        <v>7392144</v>
      </c>
      <c r="U85" s="29">
        <v>4167785</v>
      </c>
      <c r="V85" s="29">
        <v>3224359</v>
      </c>
    </row>
    <row r="86" spans="1:22" x14ac:dyDescent="0.2">
      <c r="A86" s="20" t="s">
        <v>318</v>
      </c>
      <c r="B86" s="20" t="s">
        <v>708</v>
      </c>
      <c r="C86" s="25">
        <v>114.24</v>
      </c>
      <c r="D86" s="27">
        <v>1167.0999999999999</v>
      </c>
      <c r="E86" s="25">
        <v>1281.3399999999999</v>
      </c>
      <c r="F86" s="25">
        <v>3.21</v>
      </c>
      <c r="G86" s="29">
        <v>4</v>
      </c>
      <c r="H86" s="27">
        <v>0</v>
      </c>
      <c r="I86" s="29">
        <v>1171</v>
      </c>
      <c r="J86" s="29">
        <v>392436</v>
      </c>
      <c r="K86" s="29">
        <v>0</v>
      </c>
      <c r="L86" s="29">
        <v>392436</v>
      </c>
      <c r="M86" s="29">
        <v>67309</v>
      </c>
      <c r="N86" s="29">
        <v>73949</v>
      </c>
      <c r="O86" s="29">
        <v>983</v>
      </c>
      <c r="P86" s="29">
        <v>39376</v>
      </c>
      <c r="Q86" s="29">
        <v>4292</v>
      </c>
      <c r="R86" s="29">
        <v>578345</v>
      </c>
      <c r="S86" s="29">
        <v>56419</v>
      </c>
      <c r="T86" s="29">
        <v>521926</v>
      </c>
      <c r="U86" s="29">
        <v>300679</v>
      </c>
      <c r="V86" s="29">
        <v>221247</v>
      </c>
    </row>
    <row r="87" spans="1:22" x14ac:dyDescent="0.2">
      <c r="A87" s="20" t="s">
        <v>4</v>
      </c>
      <c r="B87" s="20" t="s">
        <v>416</v>
      </c>
      <c r="C87" s="25">
        <v>184.4</v>
      </c>
      <c r="D87" s="27">
        <v>1607.2</v>
      </c>
      <c r="E87" s="25">
        <v>1791.6</v>
      </c>
      <c r="F87" s="25">
        <v>5.09</v>
      </c>
      <c r="G87" s="29">
        <v>120</v>
      </c>
      <c r="H87" s="27">
        <v>0.4</v>
      </c>
      <c r="I87" s="29">
        <v>1727</v>
      </c>
      <c r="J87" s="29">
        <v>578884</v>
      </c>
      <c r="K87" s="29">
        <v>0</v>
      </c>
      <c r="L87" s="29">
        <v>578884</v>
      </c>
      <c r="M87" s="29">
        <v>99786</v>
      </c>
      <c r="N87" s="29">
        <v>111236</v>
      </c>
      <c r="O87" s="29">
        <v>1645</v>
      </c>
      <c r="P87" s="29">
        <v>57152</v>
      </c>
      <c r="Q87" s="29">
        <v>6163</v>
      </c>
      <c r="R87" s="29">
        <v>854866</v>
      </c>
      <c r="S87" s="29">
        <v>93008</v>
      </c>
      <c r="T87" s="29">
        <v>761858</v>
      </c>
      <c r="U87" s="29">
        <v>408699</v>
      </c>
      <c r="V87" s="29">
        <v>353159</v>
      </c>
    </row>
    <row r="88" spans="1:22" x14ac:dyDescent="0.2">
      <c r="A88" s="20" t="s">
        <v>131</v>
      </c>
      <c r="B88" s="20" t="s">
        <v>531</v>
      </c>
      <c r="C88" s="25">
        <v>23.2</v>
      </c>
      <c r="D88" s="27">
        <v>193.4</v>
      </c>
      <c r="E88" s="25">
        <v>216.6</v>
      </c>
      <c r="F88" s="25">
        <v>0.39</v>
      </c>
      <c r="G88" s="29">
        <v>0</v>
      </c>
      <c r="H88" s="27">
        <v>0</v>
      </c>
      <c r="I88" s="29">
        <v>193</v>
      </c>
      <c r="J88" s="29">
        <v>67118</v>
      </c>
      <c r="K88" s="29">
        <v>7895</v>
      </c>
      <c r="L88" s="29">
        <v>75013</v>
      </c>
      <c r="M88" s="29">
        <v>11063</v>
      </c>
      <c r="N88" s="29">
        <v>12078</v>
      </c>
      <c r="O88" s="29">
        <v>121</v>
      </c>
      <c r="P88" s="29">
        <v>6360</v>
      </c>
      <c r="Q88" s="29">
        <v>747</v>
      </c>
      <c r="R88" s="29">
        <v>105382</v>
      </c>
      <c r="S88" s="29">
        <v>13150</v>
      </c>
      <c r="T88" s="29">
        <v>92232</v>
      </c>
      <c r="U88" s="29">
        <v>46903</v>
      </c>
      <c r="V88" s="29">
        <v>45329</v>
      </c>
    </row>
    <row r="89" spans="1:22" x14ac:dyDescent="0.2">
      <c r="A89" s="20" t="s">
        <v>238</v>
      </c>
      <c r="B89" s="20" t="s">
        <v>631</v>
      </c>
      <c r="C89" s="25">
        <v>274.89</v>
      </c>
      <c r="D89" s="27">
        <v>2169</v>
      </c>
      <c r="E89" s="25">
        <v>2443.89</v>
      </c>
      <c r="F89" s="25">
        <v>0</v>
      </c>
      <c r="G89" s="29">
        <v>150</v>
      </c>
      <c r="H89" s="27">
        <v>0.3</v>
      </c>
      <c r="I89" s="29">
        <v>2319</v>
      </c>
      <c r="J89" s="29">
        <v>771023</v>
      </c>
      <c r="K89" s="29">
        <v>0</v>
      </c>
      <c r="L89" s="29">
        <v>771023</v>
      </c>
      <c r="M89" s="29">
        <v>134015</v>
      </c>
      <c r="N89" s="29">
        <v>150225</v>
      </c>
      <c r="O89" s="29">
        <v>0</v>
      </c>
      <c r="P89" s="29">
        <v>77569</v>
      </c>
      <c r="Q89" s="29">
        <v>9262</v>
      </c>
      <c r="R89" s="29">
        <v>1142094</v>
      </c>
      <c r="S89" s="29">
        <v>77738</v>
      </c>
      <c r="T89" s="29">
        <v>1064356</v>
      </c>
      <c r="U89" s="29">
        <v>605402</v>
      </c>
      <c r="V89" s="29">
        <v>458954</v>
      </c>
    </row>
    <row r="90" spans="1:22" x14ac:dyDescent="0.2">
      <c r="A90" s="20" t="s">
        <v>78</v>
      </c>
      <c r="B90" s="20" t="s">
        <v>481</v>
      </c>
      <c r="C90" s="25">
        <v>69.3</v>
      </c>
      <c r="D90" s="27">
        <v>821.6</v>
      </c>
      <c r="E90" s="25">
        <v>890.9</v>
      </c>
      <c r="F90" s="25">
        <v>0</v>
      </c>
      <c r="G90" s="29">
        <v>6</v>
      </c>
      <c r="H90" s="27">
        <v>0</v>
      </c>
      <c r="I90" s="29">
        <v>828</v>
      </c>
      <c r="J90" s="29">
        <v>278166</v>
      </c>
      <c r="K90" s="29">
        <v>0</v>
      </c>
      <c r="L90" s="29">
        <v>278166</v>
      </c>
      <c r="M90" s="29">
        <v>47867</v>
      </c>
      <c r="N90" s="29">
        <v>53406</v>
      </c>
      <c r="O90" s="29">
        <v>0</v>
      </c>
      <c r="P90" s="29">
        <v>34861</v>
      </c>
      <c r="Q90" s="29">
        <v>4009</v>
      </c>
      <c r="R90" s="29">
        <v>418309</v>
      </c>
      <c r="S90" s="29">
        <v>32842</v>
      </c>
      <c r="T90" s="29">
        <v>385467</v>
      </c>
      <c r="U90" s="29">
        <v>223408</v>
      </c>
      <c r="V90" s="29">
        <v>162059</v>
      </c>
    </row>
    <row r="91" spans="1:22" x14ac:dyDescent="0.2">
      <c r="A91" s="20" t="s">
        <v>193</v>
      </c>
      <c r="B91" s="20" t="s">
        <v>589</v>
      </c>
      <c r="C91" s="25">
        <v>6023.48</v>
      </c>
      <c r="D91" s="27">
        <v>32606.7</v>
      </c>
      <c r="E91" s="25">
        <v>38630.18</v>
      </c>
      <c r="F91" s="25">
        <v>0</v>
      </c>
      <c r="G91" s="29">
        <v>2366</v>
      </c>
      <c r="H91" s="27">
        <v>3.5</v>
      </c>
      <c r="I91" s="29">
        <v>34969</v>
      </c>
      <c r="J91" s="29">
        <v>11621890</v>
      </c>
      <c r="K91" s="29">
        <v>0</v>
      </c>
      <c r="L91" s="29">
        <v>11621890</v>
      </c>
      <c r="M91" s="29">
        <v>2006521</v>
      </c>
      <c r="N91" s="29">
        <v>2203047</v>
      </c>
      <c r="O91" s="29">
        <v>0</v>
      </c>
      <c r="P91" s="29">
        <v>972708</v>
      </c>
      <c r="Q91" s="29">
        <v>122844</v>
      </c>
      <c r="R91" s="29">
        <v>16927010</v>
      </c>
      <c r="S91" s="29">
        <v>1502984</v>
      </c>
      <c r="T91" s="29">
        <v>15424026</v>
      </c>
      <c r="U91" s="29">
        <v>9018332</v>
      </c>
      <c r="V91" s="29">
        <v>6405694</v>
      </c>
    </row>
    <row r="92" spans="1:22" x14ac:dyDescent="0.2">
      <c r="A92" s="20" t="s">
        <v>278</v>
      </c>
      <c r="B92" s="20" t="s">
        <v>669</v>
      </c>
      <c r="C92" s="25">
        <v>13.55</v>
      </c>
      <c r="D92" s="27">
        <v>102</v>
      </c>
      <c r="E92" s="25">
        <v>115.55</v>
      </c>
      <c r="F92" s="25">
        <v>0.26</v>
      </c>
      <c r="G92" s="29">
        <v>0</v>
      </c>
      <c r="H92" s="27">
        <v>0</v>
      </c>
      <c r="I92" s="29">
        <v>102</v>
      </c>
      <c r="J92" s="29">
        <v>35695</v>
      </c>
      <c r="K92" s="29">
        <v>0</v>
      </c>
      <c r="L92" s="29">
        <v>35695</v>
      </c>
      <c r="M92" s="29">
        <v>5866</v>
      </c>
      <c r="N92" s="29">
        <v>6485</v>
      </c>
      <c r="O92" s="29">
        <v>80</v>
      </c>
      <c r="P92" s="29">
        <v>3665</v>
      </c>
      <c r="Q92" s="29">
        <v>393</v>
      </c>
      <c r="R92" s="29">
        <v>52184</v>
      </c>
      <c r="S92" s="29">
        <v>6461</v>
      </c>
      <c r="T92" s="29">
        <v>45723</v>
      </c>
      <c r="U92" s="29">
        <v>25855</v>
      </c>
      <c r="V92" s="29">
        <v>19868</v>
      </c>
    </row>
    <row r="93" spans="1:22" x14ac:dyDescent="0.2">
      <c r="A93" s="20" t="s">
        <v>79</v>
      </c>
      <c r="B93" s="20" t="s">
        <v>482</v>
      </c>
      <c r="C93" s="25">
        <v>115.85</v>
      </c>
      <c r="D93" s="27">
        <v>872.1</v>
      </c>
      <c r="E93" s="25">
        <v>987.95</v>
      </c>
      <c r="F93" s="25">
        <v>0</v>
      </c>
      <c r="G93" s="29">
        <v>10</v>
      </c>
      <c r="H93" s="27">
        <v>0</v>
      </c>
      <c r="I93" s="29">
        <v>882</v>
      </c>
      <c r="J93" s="29">
        <v>308468</v>
      </c>
      <c r="K93" s="29">
        <v>0</v>
      </c>
      <c r="L93" s="29">
        <v>308468</v>
      </c>
      <c r="M93" s="29">
        <v>50988</v>
      </c>
      <c r="N93" s="29">
        <v>56889</v>
      </c>
      <c r="O93" s="29">
        <v>0</v>
      </c>
      <c r="P93" s="29">
        <v>38658</v>
      </c>
      <c r="Q93" s="29">
        <v>4446</v>
      </c>
      <c r="R93" s="29">
        <v>459449</v>
      </c>
      <c r="S93" s="29">
        <v>36304</v>
      </c>
      <c r="T93" s="29">
        <v>423145</v>
      </c>
      <c r="U93" s="29">
        <v>247860</v>
      </c>
      <c r="V93" s="29">
        <v>175285</v>
      </c>
    </row>
    <row r="94" spans="1:22" x14ac:dyDescent="0.2">
      <c r="A94" s="20" t="s">
        <v>5</v>
      </c>
      <c r="B94" s="20" t="s">
        <v>417</v>
      </c>
      <c r="C94" s="25">
        <v>1959.96</v>
      </c>
      <c r="D94" s="27">
        <v>10489</v>
      </c>
      <c r="E94" s="25">
        <v>12448.96</v>
      </c>
      <c r="F94" s="25">
        <v>35.4</v>
      </c>
      <c r="G94" s="29">
        <v>1672</v>
      </c>
      <c r="H94" s="27">
        <v>1.4</v>
      </c>
      <c r="I94" s="29">
        <v>12160</v>
      </c>
      <c r="J94" s="29">
        <v>4022383</v>
      </c>
      <c r="K94" s="29">
        <v>0</v>
      </c>
      <c r="L94" s="29">
        <v>4022383</v>
      </c>
      <c r="M94" s="29">
        <v>702605</v>
      </c>
      <c r="N94" s="29">
        <v>783226</v>
      </c>
      <c r="O94" s="29">
        <v>11438</v>
      </c>
      <c r="P94" s="29">
        <v>397122</v>
      </c>
      <c r="Q94" s="29">
        <v>42824</v>
      </c>
      <c r="R94" s="29">
        <v>5959598</v>
      </c>
      <c r="S94" s="29">
        <v>514177</v>
      </c>
      <c r="T94" s="29">
        <v>5445421</v>
      </c>
      <c r="U94" s="29">
        <v>2971953</v>
      </c>
      <c r="V94" s="29">
        <v>2473468</v>
      </c>
    </row>
    <row r="95" spans="1:22" x14ac:dyDescent="0.2">
      <c r="A95" s="20" t="s">
        <v>80</v>
      </c>
      <c r="B95" s="20" t="s">
        <v>483</v>
      </c>
      <c r="C95" s="25">
        <v>45.46</v>
      </c>
      <c r="D95" s="27">
        <v>386</v>
      </c>
      <c r="E95" s="25">
        <v>431.46</v>
      </c>
      <c r="F95" s="25">
        <v>0</v>
      </c>
      <c r="G95" s="29">
        <v>12</v>
      </c>
      <c r="H95" s="27">
        <v>0</v>
      </c>
      <c r="I95" s="29">
        <v>398</v>
      </c>
      <c r="J95" s="29">
        <v>134715</v>
      </c>
      <c r="K95" s="29">
        <v>18967</v>
      </c>
      <c r="L95" s="29">
        <v>153682</v>
      </c>
      <c r="M95" s="29">
        <v>23008</v>
      </c>
      <c r="N95" s="29">
        <v>25671</v>
      </c>
      <c r="O95" s="29">
        <v>0</v>
      </c>
      <c r="P95" s="29">
        <v>17322</v>
      </c>
      <c r="Q95" s="29">
        <v>1993</v>
      </c>
      <c r="R95" s="29">
        <v>221676</v>
      </c>
      <c r="S95" s="29">
        <v>22973</v>
      </c>
      <c r="T95" s="29">
        <v>198703</v>
      </c>
      <c r="U95" s="29">
        <v>101618</v>
      </c>
      <c r="V95" s="29">
        <v>97085</v>
      </c>
    </row>
    <row r="96" spans="1:22" x14ac:dyDescent="0.2">
      <c r="A96" s="20" t="s">
        <v>269</v>
      </c>
      <c r="B96" s="20" t="s">
        <v>662</v>
      </c>
      <c r="C96" s="25">
        <v>58.15</v>
      </c>
      <c r="D96" s="27">
        <v>401.3</v>
      </c>
      <c r="E96" s="25">
        <v>459.45</v>
      </c>
      <c r="F96" s="25">
        <v>1.04</v>
      </c>
      <c r="G96" s="29">
        <v>3</v>
      </c>
      <c r="H96" s="27">
        <v>0</v>
      </c>
      <c r="I96" s="29">
        <v>404</v>
      </c>
      <c r="J96" s="29">
        <v>141929</v>
      </c>
      <c r="K96" s="29">
        <v>1402</v>
      </c>
      <c r="L96" s="29">
        <v>143331</v>
      </c>
      <c r="M96" s="29">
        <v>23234</v>
      </c>
      <c r="N96" s="29">
        <v>25686</v>
      </c>
      <c r="O96" s="29">
        <v>321</v>
      </c>
      <c r="P96" s="29">
        <v>14574</v>
      </c>
      <c r="Q96" s="29">
        <v>1562</v>
      </c>
      <c r="R96" s="29">
        <v>208708</v>
      </c>
      <c r="S96" s="29">
        <v>25701</v>
      </c>
      <c r="T96" s="29">
        <v>183007</v>
      </c>
      <c r="U96" s="29">
        <v>102795</v>
      </c>
      <c r="V96" s="29">
        <v>80212</v>
      </c>
    </row>
    <row r="97" spans="1:22" x14ac:dyDescent="0.2">
      <c r="A97" s="20" t="s">
        <v>132</v>
      </c>
      <c r="B97" s="20" t="s">
        <v>532</v>
      </c>
      <c r="C97" s="25">
        <v>65.67</v>
      </c>
      <c r="D97" s="27">
        <v>557.29999999999995</v>
      </c>
      <c r="E97" s="25">
        <v>622.97</v>
      </c>
      <c r="F97" s="25">
        <v>1.1299999999999999</v>
      </c>
      <c r="G97" s="29">
        <v>1</v>
      </c>
      <c r="H97" s="27">
        <v>0</v>
      </c>
      <c r="I97" s="29">
        <v>558</v>
      </c>
      <c r="J97" s="29">
        <v>193040</v>
      </c>
      <c r="K97" s="29">
        <v>0</v>
      </c>
      <c r="L97" s="29">
        <v>193040</v>
      </c>
      <c r="M97" s="29">
        <v>31985</v>
      </c>
      <c r="N97" s="29">
        <v>34920</v>
      </c>
      <c r="O97" s="29">
        <v>350</v>
      </c>
      <c r="P97" s="29">
        <v>17568</v>
      </c>
      <c r="Q97" s="29">
        <v>2062</v>
      </c>
      <c r="R97" s="29">
        <v>279925</v>
      </c>
      <c r="S97" s="29">
        <v>27628</v>
      </c>
      <c r="T97" s="29">
        <v>252297</v>
      </c>
      <c r="U97" s="29">
        <v>144282</v>
      </c>
      <c r="V97" s="29">
        <v>108015</v>
      </c>
    </row>
    <row r="98" spans="1:22" x14ac:dyDescent="0.2">
      <c r="A98" s="20" t="s">
        <v>113</v>
      </c>
      <c r="B98" s="20" t="s">
        <v>514</v>
      </c>
      <c r="C98" s="25">
        <v>154.08000000000001</v>
      </c>
      <c r="D98" s="27">
        <v>1035.5999999999999</v>
      </c>
      <c r="E98" s="25">
        <v>1189.68</v>
      </c>
      <c r="F98" s="25">
        <v>0</v>
      </c>
      <c r="G98" s="29">
        <v>27</v>
      </c>
      <c r="H98" s="27">
        <v>0</v>
      </c>
      <c r="I98" s="29">
        <v>1063</v>
      </c>
      <c r="J98" s="29">
        <v>371454</v>
      </c>
      <c r="K98" s="29">
        <v>18416</v>
      </c>
      <c r="L98" s="29">
        <v>389870</v>
      </c>
      <c r="M98" s="29">
        <v>61452</v>
      </c>
      <c r="N98" s="29">
        <v>68564</v>
      </c>
      <c r="O98" s="29">
        <v>0</v>
      </c>
      <c r="P98" s="29">
        <v>46552</v>
      </c>
      <c r="Q98" s="29">
        <v>5354</v>
      </c>
      <c r="R98" s="29">
        <v>571792</v>
      </c>
      <c r="S98" s="29">
        <v>54340</v>
      </c>
      <c r="T98" s="29">
        <v>517452</v>
      </c>
      <c r="U98" s="29">
        <v>287848</v>
      </c>
      <c r="V98" s="29">
        <v>229604</v>
      </c>
    </row>
    <row r="99" spans="1:22" x14ac:dyDescent="0.2">
      <c r="A99" s="20" t="s">
        <v>28</v>
      </c>
      <c r="B99" s="20" t="s">
        <v>439</v>
      </c>
      <c r="C99" s="25">
        <v>143.43</v>
      </c>
      <c r="D99" s="27">
        <v>959.2</v>
      </c>
      <c r="E99" s="25">
        <v>1102.6300000000001</v>
      </c>
      <c r="F99" s="25">
        <v>3.03</v>
      </c>
      <c r="G99" s="29">
        <v>4</v>
      </c>
      <c r="H99" s="27">
        <v>0</v>
      </c>
      <c r="I99" s="29">
        <v>963</v>
      </c>
      <c r="J99" s="29">
        <v>351585</v>
      </c>
      <c r="K99" s="29">
        <v>0</v>
      </c>
      <c r="L99" s="29">
        <v>351585</v>
      </c>
      <c r="M99" s="29">
        <v>55719</v>
      </c>
      <c r="N99" s="29">
        <v>62479</v>
      </c>
      <c r="O99" s="29">
        <v>966</v>
      </c>
      <c r="P99" s="29">
        <v>37335</v>
      </c>
      <c r="Q99" s="29">
        <v>4444</v>
      </c>
      <c r="R99" s="29">
        <v>512528</v>
      </c>
      <c r="S99" s="29">
        <v>45100</v>
      </c>
      <c r="T99" s="29">
        <v>467428</v>
      </c>
      <c r="U99" s="29">
        <v>266460</v>
      </c>
      <c r="V99" s="29">
        <v>200968</v>
      </c>
    </row>
    <row r="100" spans="1:22" x14ac:dyDescent="0.2">
      <c r="A100" s="20" t="s">
        <v>194</v>
      </c>
      <c r="B100" s="20" t="s">
        <v>590</v>
      </c>
      <c r="C100" s="25">
        <v>50.09</v>
      </c>
      <c r="D100" s="27">
        <v>574.1</v>
      </c>
      <c r="E100" s="25">
        <v>624.19000000000005</v>
      </c>
      <c r="F100" s="25">
        <v>0</v>
      </c>
      <c r="G100" s="29">
        <v>4</v>
      </c>
      <c r="H100" s="27">
        <v>0</v>
      </c>
      <c r="I100" s="29">
        <v>578</v>
      </c>
      <c r="J100" s="29">
        <v>187788</v>
      </c>
      <c r="K100" s="29">
        <v>6025</v>
      </c>
      <c r="L100" s="29">
        <v>193813</v>
      </c>
      <c r="M100" s="29">
        <v>33166</v>
      </c>
      <c r="N100" s="29">
        <v>36414</v>
      </c>
      <c r="O100" s="29">
        <v>0</v>
      </c>
      <c r="P100" s="29">
        <v>15717</v>
      </c>
      <c r="Q100" s="29">
        <v>1985</v>
      </c>
      <c r="R100" s="29">
        <v>281095</v>
      </c>
      <c r="S100" s="29">
        <v>22833</v>
      </c>
      <c r="T100" s="29">
        <v>258262</v>
      </c>
      <c r="U100" s="29">
        <v>147171</v>
      </c>
      <c r="V100" s="29">
        <v>111091</v>
      </c>
    </row>
    <row r="101" spans="1:22" x14ac:dyDescent="0.2">
      <c r="A101" s="20" t="s">
        <v>81</v>
      </c>
      <c r="B101" s="20" t="s">
        <v>484</v>
      </c>
      <c r="C101" s="25">
        <v>88.8</v>
      </c>
      <c r="D101" s="27">
        <v>552.29999999999995</v>
      </c>
      <c r="E101" s="25">
        <v>641.1</v>
      </c>
      <c r="F101" s="25">
        <v>0</v>
      </c>
      <c r="G101" s="29">
        <v>10</v>
      </c>
      <c r="H101" s="27">
        <v>0</v>
      </c>
      <c r="I101" s="29">
        <v>562</v>
      </c>
      <c r="J101" s="29">
        <v>200171</v>
      </c>
      <c r="K101" s="29">
        <v>0</v>
      </c>
      <c r="L101" s="29">
        <v>200171</v>
      </c>
      <c r="M101" s="29">
        <v>32489</v>
      </c>
      <c r="N101" s="29">
        <v>36249</v>
      </c>
      <c r="O101" s="29">
        <v>0</v>
      </c>
      <c r="P101" s="29">
        <v>25145</v>
      </c>
      <c r="Q101" s="29">
        <v>2893</v>
      </c>
      <c r="R101" s="29">
        <v>296947</v>
      </c>
      <c r="S101" s="29">
        <v>28849</v>
      </c>
      <c r="T101" s="29">
        <v>268098</v>
      </c>
      <c r="U101" s="29">
        <v>155617</v>
      </c>
      <c r="V101" s="29">
        <v>112481</v>
      </c>
    </row>
    <row r="102" spans="1:22" x14ac:dyDescent="0.2">
      <c r="A102" s="20" t="s">
        <v>133</v>
      </c>
      <c r="B102" s="20" t="s">
        <v>533</v>
      </c>
      <c r="C102" s="25">
        <v>100.61</v>
      </c>
      <c r="D102" s="27">
        <v>577.79999999999995</v>
      </c>
      <c r="E102" s="25">
        <v>678.41</v>
      </c>
      <c r="F102" s="25">
        <v>1.23</v>
      </c>
      <c r="G102" s="29">
        <v>1</v>
      </c>
      <c r="H102" s="27">
        <v>0</v>
      </c>
      <c r="I102" s="29">
        <v>579</v>
      </c>
      <c r="J102" s="29">
        <v>210219</v>
      </c>
      <c r="K102" s="29">
        <v>9058</v>
      </c>
      <c r="L102" s="29">
        <v>219277</v>
      </c>
      <c r="M102" s="29">
        <v>33188</v>
      </c>
      <c r="N102" s="29">
        <v>36234</v>
      </c>
      <c r="O102" s="29">
        <v>381</v>
      </c>
      <c r="P102" s="29">
        <v>19131</v>
      </c>
      <c r="Q102" s="29">
        <v>2246</v>
      </c>
      <c r="R102" s="29">
        <v>310457</v>
      </c>
      <c r="S102" s="29">
        <v>35711</v>
      </c>
      <c r="T102" s="29">
        <v>274746</v>
      </c>
      <c r="U102" s="29">
        <v>151498</v>
      </c>
      <c r="V102" s="29">
        <v>123248</v>
      </c>
    </row>
    <row r="103" spans="1:22" x14ac:dyDescent="0.2">
      <c r="A103" s="20" t="s">
        <v>280</v>
      </c>
      <c r="B103" s="20" t="s">
        <v>671</v>
      </c>
      <c r="C103" s="25">
        <v>57.44</v>
      </c>
      <c r="D103" s="27">
        <v>503</v>
      </c>
      <c r="E103" s="25">
        <v>560.44000000000005</v>
      </c>
      <c r="F103" s="25">
        <v>1.26</v>
      </c>
      <c r="G103" s="29">
        <v>3</v>
      </c>
      <c r="H103" s="27">
        <v>0</v>
      </c>
      <c r="I103" s="29">
        <v>506</v>
      </c>
      <c r="J103" s="29">
        <v>173126</v>
      </c>
      <c r="K103" s="29">
        <v>0</v>
      </c>
      <c r="L103" s="29">
        <v>173126</v>
      </c>
      <c r="M103" s="29">
        <v>29100</v>
      </c>
      <c r="N103" s="29">
        <v>32171</v>
      </c>
      <c r="O103" s="29">
        <v>389</v>
      </c>
      <c r="P103" s="29">
        <v>17777</v>
      </c>
      <c r="Q103" s="29">
        <v>1905</v>
      </c>
      <c r="R103" s="29">
        <v>254468</v>
      </c>
      <c r="S103" s="29">
        <v>25766</v>
      </c>
      <c r="T103" s="29">
        <v>228702</v>
      </c>
      <c r="U103" s="29">
        <v>130971</v>
      </c>
      <c r="V103" s="29">
        <v>97731</v>
      </c>
    </row>
    <row r="104" spans="1:22" x14ac:dyDescent="0.2">
      <c r="A104" s="20" t="s">
        <v>6</v>
      </c>
      <c r="B104" s="20" t="s">
        <v>418</v>
      </c>
      <c r="C104" s="25">
        <v>27.36</v>
      </c>
      <c r="D104" s="27">
        <v>323</v>
      </c>
      <c r="E104" s="25">
        <v>350.36</v>
      </c>
      <c r="F104" s="25">
        <v>1</v>
      </c>
      <c r="G104" s="29">
        <v>6</v>
      </c>
      <c r="H104" s="27">
        <v>0</v>
      </c>
      <c r="I104" s="29">
        <v>329</v>
      </c>
      <c r="J104" s="29">
        <v>113205</v>
      </c>
      <c r="K104" s="29">
        <v>15022</v>
      </c>
      <c r="L104" s="29">
        <v>128227</v>
      </c>
      <c r="M104" s="29">
        <v>19010</v>
      </c>
      <c r="N104" s="29">
        <v>21191</v>
      </c>
      <c r="O104" s="29">
        <v>323</v>
      </c>
      <c r="P104" s="29">
        <v>11176</v>
      </c>
      <c r="Q104" s="29">
        <v>1205</v>
      </c>
      <c r="R104" s="29">
        <v>181132</v>
      </c>
      <c r="S104" s="29">
        <v>23749</v>
      </c>
      <c r="T104" s="29">
        <v>157383</v>
      </c>
      <c r="U104" s="29">
        <v>74364</v>
      </c>
      <c r="V104" s="29">
        <v>83019</v>
      </c>
    </row>
    <row r="105" spans="1:22" x14ac:dyDescent="0.2">
      <c r="A105" s="20" t="s">
        <v>250</v>
      </c>
      <c r="B105" s="20" t="s">
        <v>644</v>
      </c>
      <c r="C105" s="25">
        <v>56.68</v>
      </c>
      <c r="D105" s="27">
        <v>388</v>
      </c>
      <c r="E105" s="25">
        <v>444.68</v>
      </c>
      <c r="F105" s="25">
        <v>0</v>
      </c>
      <c r="G105" s="29">
        <v>0</v>
      </c>
      <c r="H105" s="27">
        <v>0</v>
      </c>
      <c r="I105" s="29">
        <v>388</v>
      </c>
      <c r="J105" s="29">
        <v>140292</v>
      </c>
      <c r="K105" s="29">
        <v>5103</v>
      </c>
      <c r="L105" s="29">
        <v>145395</v>
      </c>
      <c r="M105" s="29">
        <v>22423</v>
      </c>
      <c r="N105" s="29">
        <v>25135</v>
      </c>
      <c r="O105" s="29">
        <v>0</v>
      </c>
      <c r="P105" s="29">
        <v>14227</v>
      </c>
      <c r="Q105" s="29">
        <v>1701</v>
      </c>
      <c r="R105" s="29">
        <v>208881</v>
      </c>
      <c r="S105" s="29">
        <v>24876</v>
      </c>
      <c r="T105" s="29">
        <v>184005</v>
      </c>
      <c r="U105" s="29">
        <v>99554</v>
      </c>
      <c r="V105" s="29">
        <v>84451</v>
      </c>
    </row>
    <row r="106" spans="1:22" x14ac:dyDescent="0.2">
      <c r="A106" s="20" t="s">
        <v>7</v>
      </c>
      <c r="B106" s="20" t="s">
        <v>419</v>
      </c>
      <c r="C106" s="25">
        <v>37.92</v>
      </c>
      <c r="D106" s="27">
        <v>415</v>
      </c>
      <c r="E106" s="25">
        <v>452.92</v>
      </c>
      <c r="F106" s="25">
        <v>1.29</v>
      </c>
      <c r="G106" s="29">
        <v>33</v>
      </c>
      <c r="H106" s="27">
        <v>0</v>
      </c>
      <c r="I106" s="29">
        <v>448</v>
      </c>
      <c r="J106" s="29">
        <v>146343</v>
      </c>
      <c r="K106" s="29">
        <v>0</v>
      </c>
      <c r="L106" s="29">
        <v>146343</v>
      </c>
      <c r="M106" s="29">
        <v>25885</v>
      </c>
      <c r="N106" s="29">
        <v>28856</v>
      </c>
      <c r="O106" s="29">
        <v>417</v>
      </c>
      <c r="P106" s="29">
        <v>14448</v>
      </c>
      <c r="Q106" s="29">
        <v>1558</v>
      </c>
      <c r="R106" s="29">
        <v>217507</v>
      </c>
      <c r="S106" s="29">
        <v>27107</v>
      </c>
      <c r="T106" s="29">
        <v>190400</v>
      </c>
      <c r="U106" s="29">
        <v>99726</v>
      </c>
      <c r="V106" s="29">
        <v>90674</v>
      </c>
    </row>
    <row r="107" spans="1:22" x14ac:dyDescent="0.2">
      <c r="A107" s="20" t="s">
        <v>83</v>
      </c>
      <c r="B107" s="20" t="s">
        <v>486</v>
      </c>
      <c r="C107" s="25">
        <v>121.71</v>
      </c>
      <c r="D107" s="27">
        <v>604.20000000000005</v>
      </c>
      <c r="E107" s="25">
        <v>725.91</v>
      </c>
      <c r="F107" s="25">
        <v>0</v>
      </c>
      <c r="G107" s="29">
        <v>18</v>
      </c>
      <c r="H107" s="27">
        <v>0</v>
      </c>
      <c r="I107" s="29">
        <v>622</v>
      </c>
      <c r="J107" s="29">
        <v>226651</v>
      </c>
      <c r="K107" s="29">
        <v>8850</v>
      </c>
      <c r="L107" s="29">
        <v>235501</v>
      </c>
      <c r="M107" s="29">
        <v>35958</v>
      </c>
      <c r="N107" s="29">
        <v>40119</v>
      </c>
      <c r="O107" s="29">
        <v>0</v>
      </c>
      <c r="P107" s="29">
        <v>29637</v>
      </c>
      <c r="Q107" s="29">
        <v>3410</v>
      </c>
      <c r="R107" s="29">
        <v>344625</v>
      </c>
      <c r="S107" s="29">
        <v>31253</v>
      </c>
      <c r="T107" s="29">
        <v>313372</v>
      </c>
      <c r="U107" s="29">
        <v>178916</v>
      </c>
      <c r="V107" s="29">
        <v>134456</v>
      </c>
    </row>
    <row r="108" spans="1:22" x14ac:dyDescent="0.2">
      <c r="A108" s="20" t="s">
        <v>30</v>
      </c>
      <c r="B108" s="20" t="s">
        <v>441</v>
      </c>
      <c r="C108" s="25">
        <v>109.22</v>
      </c>
      <c r="D108" s="27">
        <v>681.2</v>
      </c>
      <c r="E108" s="25">
        <v>790.42</v>
      </c>
      <c r="F108" s="25">
        <v>2.17</v>
      </c>
      <c r="G108" s="29">
        <v>91</v>
      </c>
      <c r="H108" s="27">
        <v>3.1</v>
      </c>
      <c r="I108" s="29">
        <v>769</v>
      </c>
      <c r="J108" s="29">
        <v>252033</v>
      </c>
      <c r="K108" s="29">
        <v>3002</v>
      </c>
      <c r="L108" s="29">
        <v>255035</v>
      </c>
      <c r="M108" s="29">
        <v>44494</v>
      </c>
      <c r="N108" s="29">
        <v>49893</v>
      </c>
      <c r="O108" s="29">
        <v>692</v>
      </c>
      <c r="P108" s="29">
        <v>27104</v>
      </c>
      <c r="Q108" s="29">
        <v>3230</v>
      </c>
      <c r="R108" s="29">
        <v>380448</v>
      </c>
      <c r="S108" s="29">
        <v>39116</v>
      </c>
      <c r="T108" s="29">
        <v>341332</v>
      </c>
      <c r="U108" s="29">
        <v>184610</v>
      </c>
      <c r="V108" s="29">
        <v>156722</v>
      </c>
    </row>
    <row r="109" spans="1:22" x14ac:dyDescent="0.2">
      <c r="A109" s="20" t="s">
        <v>152</v>
      </c>
      <c r="B109" s="20" t="s">
        <v>551</v>
      </c>
      <c r="C109" s="25">
        <v>66.099999999999994</v>
      </c>
      <c r="D109" s="27">
        <v>474.7</v>
      </c>
      <c r="E109" s="25">
        <v>540.79999999999995</v>
      </c>
      <c r="F109" s="25">
        <v>0</v>
      </c>
      <c r="G109" s="29">
        <v>4</v>
      </c>
      <c r="H109" s="27">
        <v>0</v>
      </c>
      <c r="I109" s="29">
        <v>479</v>
      </c>
      <c r="J109" s="29">
        <v>166539</v>
      </c>
      <c r="K109" s="29">
        <v>8647</v>
      </c>
      <c r="L109" s="29">
        <v>175186</v>
      </c>
      <c r="M109" s="29">
        <v>27543</v>
      </c>
      <c r="N109" s="29">
        <v>30263</v>
      </c>
      <c r="O109" s="29">
        <v>0</v>
      </c>
      <c r="P109" s="29">
        <v>15656</v>
      </c>
      <c r="Q109" s="29">
        <v>1822</v>
      </c>
      <c r="R109" s="29">
        <v>250470</v>
      </c>
      <c r="S109" s="29">
        <v>31450</v>
      </c>
      <c r="T109" s="29">
        <v>219020</v>
      </c>
      <c r="U109" s="29">
        <v>117983</v>
      </c>
      <c r="V109" s="29">
        <v>101037</v>
      </c>
    </row>
    <row r="110" spans="1:22" x14ac:dyDescent="0.2">
      <c r="A110" s="20" t="s">
        <v>281</v>
      </c>
      <c r="B110" s="20" t="s">
        <v>672</v>
      </c>
      <c r="C110" s="25">
        <v>29.59</v>
      </c>
      <c r="D110" s="27">
        <v>187.2</v>
      </c>
      <c r="E110" s="25">
        <v>216.79</v>
      </c>
      <c r="F110" s="25">
        <v>0.49</v>
      </c>
      <c r="G110" s="29">
        <v>3</v>
      </c>
      <c r="H110" s="27">
        <v>0</v>
      </c>
      <c r="I110" s="29">
        <v>190</v>
      </c>
      <c r="J110" s="29">
        <v>66969</v>
      </c>
      <c r="K110" s="29">
        <v>6176</v>
      </c>
      <c r="L110" s="29">
        <v>73145</v>
      </c>
      <c r="M110" s="29">
        <v>10927</v>
      </c>
      <c r="N110" s="29">
        <v>12080</v>
      </c>
      <c r="O110" s="29">
        <v>151</v>
      </c>
      <c r="P110" s="29">
        <v>6877</v>
      </c>
      <c r="Q110" s="29">
        <v>737</v>
      </c>
      <c r="R110" s="29">
        <v>103917</v>
      </c>
      <c r="S110" s="29">
        <v>12000</v>
      </c>
      <c r="T110" s="29">
        <v>91917</v>
      </c>
      <c r="U110" s="29">
        <v>48630</v>
      </c>
      <c r="V110" s="29">
        <v>43287</v>
      </c>
    </row>
    <row r="111" spans="1:22" x14ac:dyDescent="0.2">
      <c r="A111" s="20" t="s">
        <v>31</v>
      </c>
      <c r="B111" s="20" t="s">
        <v>442</v>
      </c>
      <c r="C111" s="25">
        <v>154.93</v>
      </c>
      <c r="D111" s="27">
        <v>1275.3</v>
      </c>
      <c r="E111" s="25">
        <v>1430.23</v>
      </c>
      <c r="F111" s="25">
        <v>3.93</v>
      </c>
      <c r="G111" s="29">
        <v>1</v>
      </c>
      <c r="H111" s="27">
        <v>0</v>
      </c>
      <c r="I111" s="29">
        <v>1276</v>
      </c>
      <c r="J111" s="29">
        <v>456043</v>
      </c>
      <c r="K111" s="29">
        <v>10971</v>
      </c>
      <c r="L111" s="29">
        <v>467014</v>
      </c>
      <c r="M111" s="29">
        <v>73829</v>
      </c>
      <c r="N111" s="29">
        <v>82787</v>
      </c>
      <c r="O111" s="29">
        <v>1253</v>
      </c>
      <c r="P111" s="29">
        <v>48428</v>
      </c>
      <c r="Q111" s="29">
        <v>5764</v>
      </c>
      <c r="R111" s="29">
        <v>679075</v>
      </c>
      <c r="S111" s="29">
        <v>70397</v>
      </c>
      <c r="T111" s="29">
        <v>608678</v>
      </c>
      <c r="U111" s="29">
        <v>333730</v>
      </c>
      <c r="V111" s="29">
        <v>274948</v>
      </c>
    </row>
    <row r="112" spans="1:22" x14ac:dyDescent="0.2">
      <c r="A112" s="20" t="s">
        <v>195</v>
      </c>
      <c r="B112" s="20" t="s">
        <v>591</v>
      </c>
      <c r="C112" s="25">
        <v>63.1</v>
      </c>
      <c r="D112" s="27">
        <v>416.9</v>
      </c>
      <c r="E112" s="25">
        <v>480</v>
      </c>
      <c r="F112" s="25">
        <v>0</v>
      </c>
      <c r="G112" s="29">
        <v>0</v>
      </c>
      <c r="H112" s="27">
        <v>0</v>
      </c>
      <c r="I112" s="29">
        <v>417</v>
      </c>
      <c r="J112" s="29">
        <v>144408</v>
      </c>
      <c r="K112" s="29">
        <v>11123</v>
      </c>
      <c r="L112" s="29">
        <v>155531</v>
      </c>
      <c r="M112" s="29">
        <v>23927</v>
      </c>
      <c r="N112" s="29">
        <v>26271</v>
      </c>
      <c r="O112" s="29">
        <v>0</v>
      </c>
      <c r="P112" s="29">
        <v>12086</v>
      </c>
      <c r="Q112" s="29">
        <v>1526</v>
      </c>
      <c r="R112" s="29">
        <v>219341</v>
      </c>
      <c r="S112" s="29">
        <v>29687</v>
      </c>
      <c r="T112" s="29">
        <v>189654</v>
      </c>
      <c r="U112" s="29">
        <v>101045</v>
      </c>
      <c r="V112" s="29">
        <v>88609</v>
      </c>
    </row>
    <row r="113" spans="1:22" x14ac:dyDescent="0.2">
      <c r="A113" s="20" t="s">
        <v>320</v>
      </c>
      <c r="B113" s="20" t="s">
        <v>710</v>
      </c>
      <c r="C113" s="25">
        <v>301.56</v>
      </c>
      <c r="D113" s="27">
        <v>1607.5</v>
      </c>
      <c r="E113" s="25">
        <v>1909.06</v>
      </c>
      <c r="F113" s="25">
        <v>4.79</v>
      </c>
      <c r="G113" s="29">
        <v>138</v>
      </c>
      <c r="H113" s="27">
        <v>0</v>
      </c>
      <c r="I113" s="29">
        <v>1746</v>
      </c>
      <c r="J113" s="29">
        <v>584688</v>
      </c>
      <c r="K113" s="29">
        <v>0</v>
      </c>
      <c r="L113" s="29">
        <v>584688</v>
      </c>
      <c r="M113" s="29">
        <v>100360</v>
      </c>
      <c r="N113" s="29">
        <v>110260</v>
      </c>
      <c r="O113" s="29">
        <v>1467</v>
      </c>
      <c r="P113" s="29">
        <v>58665</v>
      </c>
      <c r="Q113" s="29">
        <v>6395</v>
      </c>
      <c r="R113" s="29">
        <v>861835</v>
      </c>
      <c r="S113" s="29">
        <v>91881</v>
      </c>
      <c r="T113" s="29">
        <v>769954</v>
      </c>
      <c r="U113" s="29">
        <v>440158</v>
      </c>
      <c r="V113" s="29">
        <v>329796</v>
      </c>
    </row>
    <row r="114" spans="1:22" x14ac:dyDescent="0.2">
      <c r="A114" s="20" t="s">
        <v>84</v>
      </c>
      <c r="B114" s="20" t="s">
        <v>487</v>
      </c>
      <c r="C114" s="25">
        <v>146.08000000000001</v>
      </c>
      <c r="D114" s="27">
        <v>1067.2</v>
      </c>
      <c r="E114" s="25">
        <v>1213.28</v>
      </c>
      <c r="F114" s="25">
        <v>0</v>
      </c>
      <c r="G114" s="29">
        <v>8</v>
      </c>
      <c r="H114" s="27">
        <v>0</v>
      </c>
      <c r="I114" s="29">
        <v>1075</v>
      </c>
      <c r="J114" s="29">
        <v>378822</v>
      </c>
      <c r="K114" s="29">
        <v>41947</v>
      </c>
      <c r="L114" s="29">
        <v>420769</v>
      </c>
      <c r="M114" s="29">
        <v>62146</v>
      </c>
      <c r="N114" s="29">
        <v>69338</v>
      </c>
      <c r="O114" s="29">
        <v>0</v>
      </c>
      <c r="P114" s="29">
        <v>47476</v>
      </c>
      <c r="Q114" s="29">
        <v>5460</v>
      </c>
      <c r="R114" s="29">
        <v>605189</v>
      </c>
      <c r="S114" s="29">
        <v>73519</v>
      </c>
      <c r="T114" s="29">
        <v>531670</v>
      </c>
      <c r="U114" s="29">
        <v>275457</v>
      </c>
      <c r="V114" s="29">
        <v>256213</v>
      </c>
    </row>
    <row r="115" spans="1:22" x14ac:dyDescent="0.2">
      <c r="A115" s="20" t="s">
        <v>32</v>
      </c>
      <c r="B115" s="20" t="s">
        <v>443</v>
      </c>
      <c r="C115" s="25">
        <v>706.12</v>
      </c>
      <c r="D115" s="27">
        <v>3668.4</v>
      </c>
      <c r="E115" s="25">
        <v>4374.5200000000004</v>
      </c>
      <c r="F115" s="25">
        <v>12.03</v>
      </c>
      <c r="G115" s="29">
        <v>609</v>
      </c>
      <c r="H115" s="27">
        <v>3.3</v>
      </c>
      <c r="I115" s="29">
        <v>4274</v>
      </c>
      <c r="J115" s="29">
        <v>1394859</v>
      </c>
      <c r="K115" s="29">
        <v>0</v>
      </c>
      <c r="L115" s="29">
        <v>1394859</v>
      </c>
      <c r="M115" s="29">
        <v>247294</v>
      </c>
      <c r="N115" s="29">
        <v>277297</v>
      </c>
      <c r="O115" s="29">
        <v>3836</v>
      </c>
      <c r="P115" s="29">
        <v>148121</v>
      </c>
      <c r="Q115" s="29">
        <v>17629</v>
      </c>
      <c r="R115" s="29">
        <v>2089036</v>
      </c>
      <c r="S115" s="29">
        <v>212765</v>
      </c>
      <c r="T115" s="29">
        <v>1876271</v>
      </c>
      <c r="U115" s="29">
        <v>1023303</v>
      </c>
      <c r="V115" s="29">
        <v>852968</v>
      </c>
    </row>
    <row r="116" spans="1:22" x14ac:dyDescent="0.2">
      <c r="A116" s="20" t="s">
        <v>321</v>
      </c>
      <c r="B116" s="20" t="s">
        <v>711</v>
      </c>
      <c r="C116" s="25">
        <v>373.83</v>
      </c>
      <c r="D116" s="27">
        <v>2092.8000000000002</v>
      </c>
      <c r="E116" s="25">
        <v>2466.63</v>
      </c>
      <c r="F116" s="25">
        <v>6.19</v>
      </c>
      <c r="G116" s="29">
        <v>110</v>
      </c>
      <c r="H116" s="27">
        <v>6.5</v>
      </c>
      <c r="I116" s="29">
        <v>2196</v>
      </c>
      <c r="J116" s="29">
        <v>755455</v>
      </c>
      <c r="K116" s="29">
        <v>0</v>
      </c>
      <c r="L116" s="29">
        <v>755455</v>
      </c>
      <c r="M116" s="29">
        <v>126226</v>
      </c>
      <c r="N116" s="29">
        <v>138677</v>
      </c>
      <c r="O116" s="29">
        <v>1896</v>
      </c>
      <c r="P116" s="29">
        <v>75800</v>
      </c>
      <c r="Q116" s="29">
        <v>8263</v>
      </c>
      <c r="R116" s="29">
        <v>1106317</v>
      </c>
      <c r="S116" s="29">
        <v>124889</v>
      </c>
      <c r="T116" s="29">
        <v>981428</v>
      </c>
      <c r="U116" s="29">
        <v>562542</v>
      </c>
      <c r="V116" s="29">
        <v>418886</v>
      </c>
    </row>
    <row r="117" spans="1:22" x14ac:dyDescent="0.2">
      <c r="A117" s="20" t="s">
        <v>282</v>
      </c>
      <c r="B117" s="20" t="s">
        <v>673</v>
      </c>
      <c r="C117" s="25">
        <v>61.49</v>
      </c>
      <c r="D117" s="27">
        <v>464.1</v>
      </c>
      <c r="E117" s="25">
        <v>525.59</v>
      </c>
      <c r="F117" s="25">
        <v>1.18</v>
      </c>
      <c r="G117" s="29">
        <v>0</v>
      </c>
      <c r="H117" s="27">
        <v>0</v>
      </c>
      <c r="I117" s="29">
        <v>464</v>
      </c>
      <c r="J117" s="29">
        <v>162360</v>
      </c>
      <c r="K117" s="29">
        <v>0</v>
      </c>
      <c r="L117" s="29">
        <v>162360</v>
      </c>
      <c r="M117" s="29">
        <v>26685</v>
      </c>
      <c r="N117" s="29">
        <v>29501</v>
      </c>
      <c r="O117" s="29">
        <v>365</v>
      </c>
      <c r="P117" s="29">
        <v>16672</v>
      </c>
      <c r="Q117" s="29">
        <v>1787</v>
      </c>
      <c r="R117" s="29">
        <v>237370</v>
      </c>
      <c r="S117" s="29">
        <v>20998</v>
      </c>
      <c r="T117" s="29">
        <v>216372</v>
      </c>
      <c r="U117" s="29">
        <v>125993</v>
      </c>
      <c r="V117" s="29">
        <v>90379</v>
      </c>
    </row>
    <row r="118" spans="1:22" x14ac:dyDescent="0.2">
      <c r="A118" s="20" t="s">
        <v>239</v>
      </c>
      <c r="B118" s="20" t="s">
        <v>632</v>
      </c>
      <c r="C118" s="25">
        <v>42.03</v>
      </c>
      <c r="D118" s="27">
        <v>454</v>
      </c>
      <c r="E118" s="25">
        <v>496.03</v>
      </c>
      <c r="F118" s="25">
        <v>0</v>
      </c>
      <c r="G118" s="29">
        <v>1</v>
      </c>
      <c r="H118" s="27">
        <v>0</v>
      </c>
      <c r="I118" s="29">
        <v>455</v>
      </c>
      <c r="J118" s="29">
        <v>156493</v>
      </c>
      <c r="K118" s="29">
        <v>0</v>
      </c>
      <c r="L118" s="29">
        <v>156493</v>
      </c>
      <c r="M118" s="29">
        <v>26294</v>
      </c>
      <c r="N118" s="29">
        <v>29475</v>
      </c>
      <c r="O118" s="29">
        <v>0</v>
      </c>
      <c r="P118" s="29">
        <v>15744</v>
      </c>
      <c r="Q118" s="29">
        <v>1880</v>
      </c>
      <c r="R118" s="29">
        <v>229886</v>
      </c>
      <c r="S118" s="29">
        <v>25821</v>
      </c>
      <c r="T118" s="29">
        <v>204065</v>
      </c>
      <c r="U118" s="29">
        <v>112834</v>
      </c>
      <c r="V118" s="29">
        <v>91231</v>
      </c>
    </row>
    <row r="119" spans="1:22" x14ac:dyDescent="0.2">
      <c r="A119" s="20" t="s">
        <v>85</v>
      </c>
      <c r="B119" s="20" t="s">
        <v>488</v>
      </c>
      <c r="C119" s="25">
        <v>79.599999999999994</v>
      </c>
      <c r="D119" s="27">
        <v>846.8</v>
      </c>
      <c r="E119" s="25">
        <v>926.4</v>
      </c>
      <c r="F119" s="25">
        <v>0</v>
      </c>
      <c r="G119" s="29">
        <v>4</v>
      </c>
      <c r="H119" s="27">
        <v>0</v>
      </c>
      <c r="I119" s="29">
        <v>851</v>
      </c>
      <c r="J119" s="29">
        <v>289250</v>
      </c>
      <c r="K119" s="29">
        <v>46900</v>
      </c>
      <c r="L119" s="29">
        <v>336150</v>
      </c>
      <c r="M119" s="29">
        <v>49196</v>
      </c>
      <c r="N119" s="29">
        <v>54890</v>
      </c>
      <c r="O119" s="29">
        <v>0</v>
      </c>
      <c r="P119" s="29">
        <v>37827</v>
      </c>
      <c r="Q119" s="29">
        <v>4352</v>
      </c>
      <c r="R119" s="29">
        <v>482415</v>
      </c>
      <c r="S119" s="29">
        <v>49755</v>
      </c>
      <c r="T119" s="29">
        <v>432660</v>
      </c>
      <c r="U119" s="29">
        <v>218466</v>
      </c>
      <c r="V119" s="29">
        <v>214194</v>
      </c>
    </row>
    <row r="120" spans="1:22" x14ac:dyDescent="0.2">
      <c r="A120" s="20" t="s">
        <v>240</v>
      </c>
      <c r="B120" s="20" t="s">
        <v>633</v>
      </c>
      <c r="C120" s="25">
        <v>46.81</v>
      </c>
      <c r="D120" s="27">
        <v>418.1</v>
      </c>
      <c r="E120" s="25">
        <v>464.91</v>
      </c>
      <c r="F120" s="25">
        <v>0</v>
      </c>
      <c r="G120" s="29">
        <v>7</v>
      </c>
      <c r="H120" s="27">
        <v>0</v>
      </c>
      <c r="I120" s="29">
        <v>425</v>
      </c>
      <c r="J120" s="29">
        <v>146674</v>
      </c>
      <c r="K120" s="29">
        <v>4790</v>
      </c>
      <c r="L120" s="29">
        <v>151464</v>
      </c>
      <c r="M120" s="29">
        <v>24561</v>
      </c>
      <c r="N120" s="29">
        <v>27532</v>
      </c>
      <c r="O120" s="29">
        <v>0</v>
      </c>
      <c r="P120" s="29">
        <v>14756</v>
      </c>
      <c r="Q120" s="29">
        <v>1762</v>
      </c>
      <c r="R120" s="29">
        <v>220075</v>
      </c>
      <c r="S120" s="29">
        <v>24051</v>
      </c>
      <c r="T120" s="29">
        <v>196024</v>
      </c>
      <c r="U120" s="29">
        <v>105905</v>
      </c>
      <c r="V120" s="29">
        <v>90119</v>
      </c>
    </row>
    <row r="121" spans="1:22" x14ac:dyDescent="0.2">
      <c r="A121" s="20" t="s">
        <v>196</v>
      </c>
      <c r="B121" s="20" t="s">
        <v>592</v>
      </c>
      <c r="C121" s="25">
        <v>115.12</v>
      </c>
      <c r="D121" s="27">
        <v>1548.6</v>
      </c>
      <c r="E121" s="25">
        <v>1663.72</v>
      </c>
      <c r="F121" s="25">
        <v>0</v>
      </c>
      <c r="G121" s="29">
        <v>33</v>
      </c>
      <c r="H121" s="27">
        <v>0</v>
      </c>
      <c r="I121" s="29">
        <v>1582</v>
      </c>
      <c r="J121" s="29">
        <v>500530</v>
      </c>
      <c r="K121" s="29">
        <v>0</v>
      </c>
      <c r="L121" s="29">
        <v>500530</v>
      </c>
      <c r="M121" s="29">
        <v>90775</v>
      </c>
      <c r="N121" s="29">
        <v>99666</v>
      </c>
      <c r="O121" s="29">
        <v>0</v>
      </c>
      <c r="P121" s="29">
        <v>41892</v>
      </c>
      <c r="Q121" s="29">
        <v>5291</v>
      </c>
      <c r="R121" s="29">
        <v>738154</v>
      </c>
      <c r="S121" s="29">
        <v>38933</v>
      </c>
      <c r="T121" s="29">
        <v>699221</v>
      </c>
      <c r="U121" s="29">
        <v>414198</v>
      </c>
      <c r="V121" s="29">
        <v>285023</v>
      </c>
    </row>
    <row r="122" spans="1:22" x14ac:dyDescent="0.2">
      <c r="A122" s="20" t="s">
        <v>33</v>
      </c>
      <c r="B122" s="20" t="s">
        <v>444</v>
      </c>
      <c r="C122" s="25">
        <v>36.46</v>
      </c>
      <c r="D122" s="27">
        <v>163</v>
      </c>
      <c r="E122" s="25">
        <v>199.46</v>
      </c>
      <c r="F122" s="25">
        <v>0.55000000000000004</v>
      </c>
      <c r="G122" s="29">
        <v>4</v>
      </c>
      <c r="H122" s="27">
        <v>0</v>
      </c>
      <c r="I122" s="29">
        <v>167</v>
      </c>
      <c r="J122" s="29">
        <v>63600</v>
      </c>
      <c r="K122" s="29">
        <v>0</v>
      </c>
      <c r="L122" s="29">
        <v>63600</v>
      </c>
      <c r="M122" s="29">
        <v>9663</v>
      </c>
      <c r="N122" s="29">
        <v>10835</v>
      </c>
      <c r="O122" s="29">
        <v>175</v>
      </c>
      <c r="P122" s="29">
        <v>6754</v>
      </c>
      <c r="Q122" s="29">
        <v>804</v>
      </c>
      <c r="R122" s="29">
        <v>91831</v>
      </c>
      <c r="S122" s="29">
        <v>10845</v>
      </c>
      <c r="T122" s="29">
        <v>80986</v>
      </c>
      <c r="U122" s="29">
        <v>45515</v>
      </c>
      <c r="V122" s="29">
        <v>35471</v>
      </c>
    </row>
    <row r="123" spans="1:22" x14ac:dyDescent="0.2">
      <c r="A123" s="20" t="s">
        <v>86</v>
      </c>
      <c r="B123" s="20" t="s">
        <v>489</v>
      </c>
      <c r="C123" s="25">
        <v>85.54</v>
      </c>
      <c r="D123" s="27">
        <v>605.29999999999995</v>
      </c>
      <c r="E123" s="25">
        <v>690.84</v>
      </c>
      <c r="F123" s="25">
        <v>0</v>
      </c>
      <c r="G123" s="29">
        <v>1</v>
      </c>
      <c r="H123" s="27">
        <v>0</v>
      </c>
      <c r="I123" s="29">
        <v>606</v>
      </c>
      <c r="J123" s="29">
        <v>215701</v>
      </c>
      <c r="K123" s="29">
        <v>0</v>
      </c>
      <c r="L123" s="29">
        <v>215701</v>
      </c>
      <c r="M123" s="29">
        <v>35033</v>
      </c>
      <c r="N123" s="29">
        <v>39087</v>
      </c>
      <c r="O123" s="29">
        <v>0</v>
      </c>
      <c r="P123" s="29">
        <v>27033</v>
      </c>
      <c r="Q123" s="29">
        <v>3109</v>
      </c>
      <c r="R123" s="29">
        <v>319963</v>
      </c>
      <c r="S123" s="29">
        <v>38194</v>
      </c>
      <c r="T123" s="29">
        <v>281769</v>
      </c>
      <c r="U123" s="29">
        <v>160513</v>
      </c>
      <c r="V123" s="29">
        <v>121256</v>
      </c>
    </row>
    <row r="124" spans="1:22" x14ac:dyDescent="0.2">
      <c r="A124" s="20" t="s">
        <v>283</v>
      </c>
      <c r="B124" s="20" t="s">
        <v>674</v>
      </c>
      <c r="C124" s="25">
        <v>193.39</v>
      </c>
      <c r="D124" s="27">
        <v>1931.5</v>
      </c>
      <c r="E124" s="25">
        <v>2124.89</v>
      </c>
      <c r="F124" s="25">
        <v>4.79</v>
      </c>
      <c r="G124" s="29">
        <v>14</v>
      </c>
      <c r="H124" s="27">
        <v>0</v>
      </c>
      <c r="I124" s="29">
        <v>1946</v>
      </c>
      <c r="J124" s="29">
        <v>656400</v>
      </c>
      <c r="K124" s="29">
        <v>10812</v>
      </c>
      <c r="L124" s="29">
        <v>667212</v>
      </c>
      <c r="M124" s="29">
        <v>111914</v>
      </c>
      <c r="N124" s="29">
        <v>123727</v>
      </c>
      <c r="O124" s="29">
        <v>1480</v>
      </c>
      <c r="P124" s="29">
        <v>68518</v>
      </c>
      <c r="Q124" s="29">
        <v>7336</v>
      </c>
      <c r="R124" s="29">
        <v>980187</v>
      </c>
      <c r="S124" s="29">
        <v>89118</v>
      </c>
      <c r="T124" s="29">
        <v>891069</v>
      </c>
      <c r="U124" s="29">
        <v>506378</v>
      </c>
      <c r="V124" s="29">
        <v>384691</v>
      </c>
    </row>
    <row r="125" spans="1:22" x14ac:dyDescent="0.2">
      <c r="A125" s="20" t="s">
        <v>197</v>
      </c>
      <c r="B125" s="20" t="s">
        <v>593</v>
      </c>
      <c r="C125" s="25">
        <v>28.47</v>
      </c>
      <c r="D125" s="27">
        <v>288</v>
      </c>
      <c r="E125" s="25">
        <v>316.47000000000003</v>
      </c>
      <c r="F125" s="25">
        <v>0</v>
      </c>
      <c r="G125" s="29">
        <v>15</v>
      </c>
      <c r="H125" s="27">
        <v>0</v>
      </c>
      <c r="I125" s="29">
        <v>303</v>
      </c>
      <c r="J125" s="29">
        <v>95210</v>
      </c>
      <c r="K125" s="29">
        <v>2820</v>
      </c>
      <c r="L125" s="29">
        <v>98030</v>
      </c>
      <c r="M125" s="29">
        <v>17386</v>
      </c>
      <c r="N125" s="29">
        <v>19089</v>
      </c>
      <c r="O125" s="29">
        <v>0</v>
      </c>
      <c r="P125" s="29">
        <v>7969</v>
      </c>
      <c r="Q125" s="29">
        <v>1006</v>
      </c>
      <c r="R125" s="29">
        <v>143480</v>
      </c>
      <c r="S125" s="29">
        <v>17419</v>
      </c>
      <c r="T125" s="29">
        <v>126061</v>
      </c>
      <c r="U125" s="29">
        <v>68775</v>
      </c>
      <c r="V125" s="29">
        <v>57286</v>
      </c>
    </row>
    <row r="126" spans="1:22" x14ac:dyDescent="0.2">
      <c r="A126" s="20" t="s">
        <v>34</v>
      </c>
      <c r="B126" s="20" t="s">
        <v>445</v>
      </c>
      <c r="C126" s="25">
        <v>42.36</v>
      </c>
      <c r="D126" s="27">
        <v>373.1</v>
      </c>
      <c r="E126" s="25">
        <v>415.46</v>
      </c>
      <c r="F126" s="25">
        <v>1.1399999999999999</v>
      </c>
      <c r="G126" s="29">
        <v>10</v>
      </c>
      <c r="H126" s="27">
        <v>0</v>
      </c>
      <c r="I126" s="29">
        <v>383</v>
      </c>
      <c r="J126" s="29">
        <v>132474</v>
      </c>
      <c r="K126" s="29">
        <v>0</v>
      </c>
      <c r="L126" s="29">
        <v>132474</v>
      </c>
      <c r="M126" s="29">
        <v>22160</v>
      </c>
      <c r="N126" s="29">
        <v>24849</v>
      </c>
      <c r="O126" s="29">
        <v>364</v>
      </c>
      <c r="P126" s="29">
        <v>14067</v>
      </c>
      <c r="Q126" s="29">
        <v>1674</v>
      </c>
      <c r="R126" s="29">
        <v>195588</v>
      </c>
      <c r="S126" s="29">
        <v>23426</v>
      </c>
      <c r="T126" s="29">
        <v>172162</v>
      </c>
      <c r="U126" s="29">
        <v>93965</v>
      </c>
      <c r="V126" s="29">
        <v>78197</v>
      </c>
    </row>
    <row r="127" spans="1:22" x14ac:dyDescent="0.2">
      <c r="A127" s="20" t="s">
        <v>296</v>
      </c>
      <c r="B127" s="20" t="s">
        <v>687</v>
      </c>
      <c r="C127" s="25">
        <v>77.22</v>
      </c>
      <c r="D127" s="27">
        <v>641.6</v>
      </c>
      <c r="E127" s="25">
        <v>718.82</v>
      </c>
      <c r="F127" s="25">
        <v>1.62</v>
      </c>
      <c r="G127" s="29">
        <v>12</v>
      </c>
      <c r="H127" s="27">
        <v>0</v>
      </c>
      <c r="I127" s="29">
        <v>654</v>
      </c>
      <c r="J127" s="29">
        <v>222051</v>
      </c>
      <c r="K127" s="29">
        <v>0</v>
      </c>
      <c r="L127" s="29">
        <v>222051</v>
      </c>
      <c r="M127" s="29">
        <v>37612</v>
      </c>
      <c r="N127" s="29">
        <v>41581</v>
      </c>
      <c r="O127" s="29">
        <v>500</v>
      </c>
      <c r="P127" s="29">
        <v>22801</v>
      </c>
      <c r="Q127" s="29">
        <v>2444</v>
      </c>
      <c r="R127" s="29">
        <v>326989</v>
      </c>
      <c r="S127" s="29">
        <v>39610</v>
      </c>
      <c r="T127" s="29">
        <v>287379</v>
      </c>
      <c r="U127" s="29">
        <v>161422</v>
      </c>
      <c r="V127" s="29">
        <v>125957</v>
      </c>
    </row>
    <row r="128" spans="1:22" x14ac:dyDescent="0.2">
      <c r="A128" s="20" t="s">
        <v>87</v>
      </c>
      <c r="B128" s="20" t="s">
        <v>88</v>
      </c>
      <c r="C128" s="25">
        <v>21.32</v>
      </c>
      <c r="D128" s="27">
        <v>259.2</v>
      </c>
      <c r="E128" s="25">
        <v>280.52</v>
      </c>
      <c r="F128" s="25">
        <v>0</v>
      </c>
      <c r="G128" s="29">
        <v>1</v>
      </c>
      <c r="H128" s="27">
        <v>0</v>
      </c>
      <c r="I128" s="29">
        <v>260</v>
      </c>
      <c r="J128" s="29">
        <v>87587</v>
      </c>
      <c r="K128" s="29">
        <v>17788</v>
      </c>
      <c r="L128" s="29">
        <v>105375</v>
      </c>
      <c r="M128" s="29">
        <v>15031</v>
      </c>
      <c r="N128" s="29">
        <v>16770</v>
      </c>
      <c r="O128" s="29">
        <v>0</v>
      </c>
      <c r="P128" s="29">
        <v>11667</v>
      </c>
      <c r="Q128" s="29">
        <v>1342</v>
      </c>
      <c r="R128" s="29">
        <v>150185</v>
      </c>
      <c r="S128" s="29">
        <v>17366</v>
      </c>
      <c r="T128" s="29">
        <v>132819</v>
      </c>
      <c r="U128" s="29">
        <v>64090</v>
      </c>
      <c r="V128" s="29">
        <v>68729</v>
      </c>
    </row>
    <row r="129" spans="1:22" x14ac:dyDescent="0.2">
      <c r="A129" s="20" t="s">
        <v>89</v>
      </c>
      <c r="B129" s="20" t="s">
        <v>490</v>
      </c>
      <c r="C129" s="25">
        <v>234.98</v>
      </c>
      <c r="D129" s="27">
        <v>1619.3</v>
      </c>
      <c r="E129" s="25">
        <v>1854.28</v>
      </c>
      <c r="F129" s="25">
        <v>0</v>
      </c>
      <c r="G129" s="29">
        <v>46</v>
      </c>
      <c r="H129" s="27">
        <v>0.6</v>
      </c>
      <c r="I129" s="29">
        <v>1665</v>
      </c>
      <c r="J129" s="29">
        <v>578962</v>
      </c>
      <c r="K129" s="29">
        <v>0</v>
      </c>
      <c r="L129" s="29">
        <v>578962</v>
      </c>
      <c r="M129" s="29">
        <v>96254</v>
      </c>
      <c r="N129" s="29">
        <v>107393</v>
      </c>
      <c r="O129" s="29">
        <v>0</v>
      </c>
      <c r="P129" s="29">
        <v>72558</v>
      </c>
      <c r="Q129" s="29">
        <v>8344</v>
      </c>
      <c r="R129" s="29">
        <v>863511</v>
      </c>
      <c r="S129" s="29">
        <v>81962</v>
      </c>
      <c r="T129" s="29">
        <v>781549</v>
      </c>
      <c r="U129" s="29">
        <v>451384</v>
      </c>
      <c r="V129" s="29">
        <v>330165</v>
      </c>
    </row>
    <row r="130" spans="1:22" x14ac:dyDescent="0.2">
      <c r="A130" s="20" t="s">
        <v>284</v>
      </c>
      <c r="B130" s="20" t="s">
        <v>675</v>
      </c>
      <c r="C130" s="25">
        <v>103.65</v>
      </c>
      <c r="D130" s="27">
        <v>457.5</v>
      </c>
      <c r="E130" s="25">
        <v>561.15</v>
      </c>
      <c r="F130" s="25">
        <v>1.27</v>
      </c>
      <c r="G130" s="29">
        <v>0</v>
      </c>
      <c r="H130" s="27">
        <v>0</v>
      </c>
      <c r="I130" s="29">
        <v>458</v>
      </c>
      <c r="J130" s="29">
        <v>173345</v>
      </c>
      <c r="K130" s="29">
        <v>8802</v>
      </c>
      <c r="L130" s="29">
        <v>182147</v>
      </c>
      <c r="M130" s="29">
        <v>26340</v>
      </c>
      <c r="N130" s="29">
        <v>29120</v>
      </c>
      <c r="O130" s="29">
        <v>392</v>
      </c>
      <c r="P130" s="29">
        <v>17800</v>
      </c>
      <c r="Q130" s="29">
        <v>1908</v>
      </c>
      <c r="R130" s="29">
        <v>257707</v>
      </c>
      <c r="S130" s="29">
        <v>31091</v>
      </c>
      <c r="T130" s="29">
        <v>226616</v>
      </c>
      <c r="U130" s="29">
        <v>125847</v>
      </c>
      <c r="V130" s="29">
        <v>100769</v>
      </c>
    </row>
    <row r="131" spans="1:22" x14ac:dyDescent="0.2">
      <c r="A131" s="20" t="s">
        <v>90</v>
      </c>
      <c r="B131" s="20" t="s">
        <v>491</v>
      </c>
      <c r="C131" s="25">
        <v>84.93</v>
      </c>
      <c r="D131" s="27">
        <v>646</v>
      </c>
      <c r="E131" s="25">
        <v>730.93</v>
      </c>
      <c r="F131" s="25">
        <v>0</v>
      </c>
      <c r="G131" s="29">
        <v>3</v>
      </c>
      <c r="H131" s="27">
        <v>0</v>
      </c>
      <c r="I131" s="29">
        <v>649</v>
      </c>
      <c r="J131" s="29">
        <v>228218</v>
      </c>
      <c r="K131" s="29">
        <v>0</v>
      </c>
      <c r="L131" s="29">
        <v>228218</v>
      </c>
      <c r="M131" s="29">
        <v>37519</v>
      </c>
      <c r="N131" s="29">
        <v>41861</v>
      </c>
      <c r="O131" s="29">
        <v>0</v>
      </c>
      <c r="P131" s="29">
        <v>28601</v>
      </c>
      <c r="Q131" s="29">
        <v>3289</v>
      </c>
      <c r="R131" s="29">
        <v>339488</v>
      </c>
      <c r="S131" s="29">
        <v>29520</v>
      </c>
      <c r="T131" s="29">
        <v>309968</v>
      </c>
      <c r="U131" s="29">
        <v>180717</v>
      </c>
      <c r="V131" s="29">
        <v>129251</v>
      </c>
    </row>
    <row r="132" spans="1:22" x14ac:dyDescent="0.2">
      <c r="A132" s="20" t="s">
        <v>198</v>
      </c>
      <c r="B132" s="20" t="s">
        <v>594</v>
      </c>
      <c r="C132" s="25">
        <v>45.28</v>
      </c>
      <c r="D132" s="27">
        <v>436.7</v>
      </c>
      <c r="E132" s="25">
        <v>481.98</v>
      </c>
      <c r="F132" s="25">
        <v>0</v>
      </c>
      <c r="G132" s="29">
        <v>0</v>
      </c>
      <c r="H132" s="27">
        <v>0</v>
      </c>
      <c r="I132" s="29">
        <v>437</v>
      </c>
      <c r="J132" s="29">
        <v>145004</v>
      </c>
      <c r="K132" s="29">
        <v>4876</v>
      </c>
      <c r="L132" s="29">
        <v>149880</v>
      </c>
      <c r="M132" s="29">
        <v>25075</v>
      </c>
      <c r="N132" s="29">
        <v>27531</v>
      </c>
      <c r="O132" s="29">
        <v>0</v>
      </c>
      <c r="P132" s="29">
        <v>12136</v>
      </c>
      <c r="Q132" s="29">
        <v>1533</v>
      </c>
      <c r="R132" s="29">
        <v>216155</v>
      </c>
      <c r="S132" s="29">
        <v>21657</v>
      </c>
      <c r="T132" s="29">
        <v>194498</v>
      </c>
      <c r="U132" s="29">
        <v>109615</v>
      </c>
      <c r="V132" s="29">
        <v>84883</v>
      </c>
    </row>
    <row r="133" spans="1:22" x14ac:dyDescent="0.2">
      <c r="A133" s="20" t="s">
        <v>3</v>
      </c>
      <c r="B133" s="20" t="s">
        <v>415</v>
      </c>
      <c r="C133" s="25">
        <v>74.91</v>
      </c>
      <c r="D133" s="27">
        <v>593.9</v>
      </c>
      <c r="E133" s="25">
        <v>668.81</v>
      </c>
      <c r="F133" s="25">
        <v>1.9</v>
      </c>
      <c r="G133" s="29">
        <v>65</v>
      </c>
      <c r="H133" s="27">
        <v>3.3</v>
      </c>
      <c r="I133" s="29">
        <v>656</v>
      </c>
      <c r="J133" s="29">
        <v>216099</v>
      </c>
      <c r="K133" s="29">
        <v>0</v>
      </c>
      <c r="L133" s="29">
        <v>216099</v>
      </c>
      <c r="M133" s="29">
        <v>37904</v>
      </c>
      <c r="N133" s="29">
        <v>42253</v>
      </c>
      <c r="O133" s="29">
        <v>614</v>
      </c>
      <c r="P133" s="29">
        <v>21335</v>
      </c>
      <c r="Q133" s="29">
        <v>2301</v>
      </c>
      <c r="R133" s="29">
        <v>320506</v>
      </c>
      <c r="S133" s="29">
        <v>39375</v>
      </c>
      <c r="T133" s="29">
        <v>281131</v>
      </c>
      <c r="U133" s="29">
        <v>147914</v>
      </c>
      <c r="V133" s="29">
        <v>133217</v>
      </c>
    </row>
    <row r="134" spans="1:22" x14ac:dyDescent="0.2">
      <c r="A134" s="20" t="s">
        <v>154</v>
      </c>
      <c r="B134" s="20" t="s">
        <v>155</v>
      </c>
      <c r="C134" s="25">
        <v>47.15</v>
      </c>
      <c r="D134" s="27">
        <v>343.7</v>
      </c>
      <c r="E134" s="25">
        <v>390.85</v>
      </c>
      <c r="F134" s="25">
        <v>0</v>
      </c>
      <c r="G134" s="29">
        <v>9</v>
      </c>
      <c r="H134" s="27">
        <v>0</v>
      </c>
      <c r="I134" s="29">
        <v>353</v>
      </c>
      <c r="J134" s="29">
        <v>120362</v>
      </c>
      <c r="K134" s="29">
        <v>334</v>
      </c>
      <c r="L134" s="29">
        <v>120696</v>
      </c>
      <c r="M134" s="29">
        <v>20298</v>
      </c>
      <c r="N134" s="29">
        <v>22303</v>
      </c>
      <c r="O134" s="29">
        <v>0</v>
      </c>
      <c r="P134" s="29">
        <v>11323</v>
      </c>
      <c r="Q134" s="29">
        <v>1319</v>
      </c>
      <c r="R134" s="29">
        <v>175939</v>
      </c>
      <c r="S134" s="29">
        <v>19800</v>
      </c>
      <c r="T134" s="29">
        <v>156139</v>
      </c>
      <c r="U134" s="29">
        <v>88209</v>
      </c>
      <c r="V134" s="29">
        <v>67930</v>
      </c>
    </row>
    <row r="135" spans="1:22" x14ac:dyDescent="0.2">
      <c r="A135" s="20" t="s">
        <v>285</v>
      </c>
      <c r="B135" s="20" t="s">
        <v>676</v>
      </c>
      <c r="C135" s="25">
        <v>39.56</v>
      </c>
      <c r="D135" s="27">
        <v>199</v>
      </c>
      <c r="E135" s="25">
        <v>238.56</v>
      </c>
      <c r="F135" s="25">
        <v>0.54</v>
      </c>
      <c r="G135" s="29">
        <v>0</v>
      </c>
      <c r="H135" s="27">
        <v>0</v>
      </c>
      <c r="I135" s="29">
        <v>199</v>
      </c>
      <c r="J135" s="29">
        <v>73694</v>
      </c>
      <c r="K135" s="29">
        <v>10043</v>
      </c>
      <c r="L135" s="29">
        <v>83737</v>
      </c>
      <c r="M135" s="29">
        <v>11444</v>
      </c>
      <c r="N135" s="29">
        <v>12652</v>
      </c>
      <c r="O135" s="29">
        <v>167</v>
      </c>
      <c r="P135" s="29">
        <v>8015</v>
      </c>
      <c r="Q135" s="29">
        <v>858</v>
      </c>
      <c r="R135" s="29">
        <v>116873</v>
      </c>
      <c r="S135" s="29">
        <v>14961</v>
      </c>
      <c r="T135" s="29">
        <v>101912</v>
      </c>
      <c r="U135" s="29">
        <v>52252</v>
      </c>
      <c r="V135" s="29">
        <v>49660</v>
      </c>
    </row>
    <row r="136" spans="1:22" x14ac:dyDescent="0.2">
      <c r="A136" s="20" t="s">
        <v>91</v>
      </c>
      <c r="B136" s="20" t="s">
        <v>492</v>
      </c>
      <c r="C136" s="25">
        <v>153.47999999999999</v>
      </c>
      <c r="D136" s="27">
        <v>1169.5999999999999</v>
      </c>
      <c r="E136" s="25">
        <v>1323.08</v>
      </c>
      <c r="F136" s="25">
        <v>0</v>
      </c>
      <c r="G136" s="29">
        <v>5</v>
      </c>
      <c r="H136" s="27">
        <v>0</v>
      </c>
      <c r="I136" s="29">
        <v>1175</v>
      </c>
      <c r="J136" s="29">
        <v>413105</v>
      </c>
      <c r="K136" s="29">
        <v>6342</v>
      </c>
      <c r="L136" s="29">
        <v>419447</v>
      </c>
      <c r="M136" s="29">
        <v>67927</v>
      </c>
      <c r="N136" s="29">
        <v>75788</v>
      </c>
      <c r="O136" s="29">
        <v>0</v>
      </c>
      <c r="P136" s="29">
        <v>52786</v>
      </c>
      <c r="Q136" s="29">
        <v>6073</v>
      </c>
      <c r="R136" s="29">
        <v>622021</v>
      </c>
      <c r="S136" s="29">
        <v>56126</v>
      </c>
      <c r="T136" s="29">
        <v>565895</v>
      </c>
      <c r="U136" s="29">
        <v>325565</v>
      </c>
      <c r="V136" s="29">
        <v>240330</v>
      </c>
    </row>
    <row r="137" spans="1:22" x14ac:dyDescent="0.2">
      <c r="A137" s="20" t="s">
        <v>286</v>
      </c>
      <c r="B137" s="20" t="s">
        <v>677</v>
      </c>
      <c r="C137" s="25">
        <v>175.19</v>
      </c>
      <c r="D137" s="27">
        <v>1384.2</v>
      </c>
      <c r="E137" s="25">
        <v>1559.39</v>
      </c>
      <c r="F137" s="25">
        <v>3.52</v>
      </c>
      <c r="G137" s="29">
        <v>78</v>
      </c>
      <c r="H137" s="27">
        <v>0.7</v>
      </c>
      <c r="I137" s="29">
        <v>1462</v>
      </c>
      <c r="J137" s="29">
        <v>481711</v>
      </c>
      <c r="K137" s="29">
        <v>589</v>
      </c>
      <c r="L137" s="29">
        <v>482300</v>
      </c>
      <c r="M137" s="29">
        <v>84080</v>
      </c>
      <c r="N137" s="29">
        <v>92954</v>
      </c>
      <c r="O137" s="29">
        <v>1087</v>
      </c>
      <c r="P137" s="29">
        <v>49529</v>
      </c>
      <c r="Q137" s="29">
        <v>5303</v>
      </c>
      <c r="R137" s="29">
        <v>715253</v>
      </c>
      <c r="S137" s="29">
        <v>75561</v>
      </c>
      <c r="T137" s="29">
        <v>639692</v>
      </c>
      <c r="U137" s="29">
        <v>360621</v>
      </c>
      <c r="V137" s="29">
        <v>279071</v>
      </c>
    </row>
    <row r="138" spans="1:22" x14ac:dyDescent="0.2">
      <c r="A138" s="20" t="s">
        <v>36</v>
      </c>
      <c r="B138" s="20" t="s">
        <v>447</v>
      </c>
      <c r="C138" s="25">
        <v>27.9</v>
      </c>
      <c r="D138" s="27">
        <v>292</v>
      </c>
      <c r="E138" s="25">
        <v>319.89999999999998</v>
      </c>
      <c r="F138" s="25">
        <v>0.88</v>
      </c>
      <c r="G138" s="29">
        <v>1</v>
      </c>
      <c r="H138" s="27">
        <v>0</v>
      </c>
      <c r="I138" s="29">
        <v>293</v>
      </c>
      <c r="J138" s="29">
        <v>102003</v>
      </c>
      <c r="K138" s="29">
        <v>4636</v>
      </c>
      <c r="L138" s="29">
        <v>106639</v>
      </c>
      <c r="M138" s="29">
        <v>16953</v>
      </c>
      <c r="N138" s="29">
        <v>19010</v>
      </c>
      <c r="O138" s="29">
        <v>281</v>
      </c>
      <c r="P138" s="29">
        <v>11141</v>
      </c>
      <c r="Q138" s="29">
        <v>1327</v>
      </c>
      <c r="R138" s="29">
        <v>155351</v>
      </c>
      <c r="S138" s="29">
        <v>15519</v>
      </c>
      <c r="T138" s="29">
        <v>139832</v>
      </c>
      <c r="U138" s="29">
        <v>75219</v>
      </c>
      <c r="V138" s="29">
        <v>64613</v>
      </c>
    </row>
    <row r="139" spans="1:22" x14ac:dyDescent="0.2">
      <c r="A139" s="20" t="s">
        <v>241</v>
      </c>
      <c r="B139" s="20" t="s">
        <v>634</v>
      </c>
      <c r="C139" s="25">
        <v>117.37</v>
      </c>
      <c r="D139" s="27">
        <v>617.5</v>
      </c>
      <c r="E139" s="25">
        <v>734.87</v>
      </c>
      <c r="F139" s="25">
        <v>0</v>
      </c>
      <c r="G139" s="29">
        <v>98</v>
      </c>
      <c r="H139" s="27">
        <v>0</v>
      </c>
      <c r="I139" s="29">
        <v>716</v>
      </c>
      <c r="J139" s="29">
        <v>231844</v>
      </c>
      <c r="K139" s="29">
        <v>0</v>
      </c>
      <c r="L139" s="29">
        <v>231844</v>
      </c>
      <c r="M139" s="29">
        <v>41378</v>
      </c>
      <c r="N139" s="29">
        <v>46382</v>
      </c>
      <c r="O139" s="29">
        <v>0</v>
      </c>
      <c r="P139" s="29">
        <v>23325</v>
      </c>
      <c r="Q139" s="29">
        <v>2785</v>
      </c>
      <c r="R139" s="29">
        <v>345714</v>
      </c>
      <c r="S139" s="29">
        <v>41896</v>
      </c>
      <c r="T139" s="29">
        <v>303818</v>
      </c>
      <c r="U139" s="29">
        <v>163522</v>
      </c>
      <c r="V139" s="29">
        <v>140296</v>
      </c>
    </row>
    <row r="140" spans="1:22" x14ac:dyDescent="0.2">
      <c r="A140" s="20" t="s">
        <v>153</v>
      </c>
      <c r="B140" s="20" t="s">
        <v>552</v>
      </c>
      <c r="C140" s="25">
        <v>73.459999999999994</v>
      </c>
      <c r="D140" s="27">
        <v>620.9</v>
      </c>
      <c r="E140" s="25">
        <v>694.36</v>
      </c>
      <c r="F140" s="25">
        <v>0</v>
      </c>
      <c r="G140" s="29">
        <v>7</v>
      </c>
      <c r="H140" s="27">
        <v>0</v>
      </c>
      <c r="I140" s="29">
        <v>628</v>
      </c>
      <c r="J140" s="29">
        <v>213828</v>
      </c>
      <c r="K140" s="29">
        <v>0</v>
      </c>
      <c r="L140" s="29">
        <v>213828</v>
      </c>
      <c r="M140" s="29">
        <v>36110</v>
      </c>
      <c r="N140" s="29">
        <v>39677</v>
      </c>
      <c r="O140" s="29">
        <v>0</v>
      </c>
      <c r="P140" s="29">
        <v>20102</v>
      </c>
      <c r="Q140" s="29">
        <v>2340</v>
      </c>
      <c r="R140" s="29">
        <v>312057</v>
      </c>
      <c r="S140" s="29">
        <v>28769</v>
      </c>
      <c r="T140" s="29">
        <v>283288</v>
      </c>
      <c r="U140" s="29">
        <v>163097</v>
      </c>
      <c r="V140" s="29">
        <v>120191</v>
      </c>
    </row>
    <row r="141" spans="1:22" x14ac:dyDescent="0.2">
      <c r="A141" s="20" t="s">
        <v>242</v>
      </c>
      <c r="B141" s="20" t="s">
        <v>635</v>
      </c>
      <c r="C141" s="25">
        <v>46.93</v>
      </c>
      <c r="D141" s="27">
        <v>529.1</v>
      </c>
      <c r="E141" s="25">
        <v>576.03</v>
      </c>
      <c r="F141" s="25">
        <v>0</v>
      </c>
      <c r="G141" s="29">
        <v>20</v>
      </c>
      <c r="H141" s="27">
        <v>0</v>
      </c>
      <c r="I141" s="29">
        <v>549</v>
      </c>
      <c r="J141" s="29">
        <v>181732</v>
      </c>
      <c r="K141" s="29">
        <v>0</v>
      </c>
      <c r="L141" s="29">
        <v>181732</v>
      </c>
      <c r="M141" s="29">
        <v>31727</v>
      </c>
      <c r="N141" s="29">
        <v>35564</v>
      </c>
      <c r="O141" s="29">
        <v>0</v>
      </c>
      <c r="P141" s="29">
        <v>18283</v>
      </c>
      <c r="Q141" s="29">
        <v>2183</v>
      </c>
      <c r="R141" s="29">
        <v>269489</v>
      </c>
      <c r="S141" s="29">
        <v>25986</v>
      </c>
      <c r="T141" s="29">
        <v>243503</v>
      </c>
      <c r="U141" s="29">
        <v>135031</v>
      </c>
      <c r="V141" s="29">
        <v>108472</v>
      </c>
    </row>
    <row r="142" spans="1:22" x14ac:dyDescent="0.2">
      <c r="A142" s="20" t="s">
        <v>8</v>
      </c>
      <c r="B142" s="20" t="s">
        <v>420</v>
      </c>
      <c r="C142" s="25">
        <v>175.18</v>
      </c>
      <c r="D142" s="27">
        <v>1132.8</v>
      </c>
      <c r="E142" s="25">
        <v>1307.98</v>
      </c>
      <c r="F142" s="25">
        <v>3.72</v>
      </c>
      <c r="G142" s="29">
        <v>168</v>
      </c>
      <c r="H142" s="27">
        <v>1.4</v>
      </c>
      <c r="I142" s="29">
        <v>1299</v>
      </c>
      <c r="J142" s="29">
        <v>422621</v>
      </c>
      <c r="K142" s="29">
        <v>9309</v>
      </c>
      <c r="L142" s="29">
        <v>431930</v>
      </c>
      <c r="M142" s="29">
        <v>75056</v>
      </c>
      <c r="N142" s="29">
        <v>83669</v>
      </c>
      <c r="O142" s="29">
        <v>1202</v>
      </c>
      <c r="P142" s="29">
        <v>41871</v>
      </c>
      <c r="Q142" s="29">
        <v>4511</v>
      </c>
      <c r="R142" s="29">
        <v>638239</v>
      </c>
      <c r="S142" s="29">
        <v>74965</v>
      </c>
      <c r="T142" s="29">
        <v>563274</v>
      </c>
      <c r="U142" s="29">
        <v>291472</v>
      </c>
      <c r="V142" s="29">
        <v>271802</v>
      </c>
    </row>
    <row r="143" spans="1:22" x14ac:dyDescent="0.2">
      <c r="A143" s="20" t="s">
        <v>92</v>
      </c>
      <c r="B143" s="20" t="s">
        <v>493</v>
      </c>
      <c r="C143" s="25">
        <v>42.1</v>
      </c>
      <c r="D143" s="27">
        <v>419.6</v>
      </c>
      <c r="E143" s="25">
        <v>461.7</v>
      </c>
      <c r="F143" s="25">
        <v>0</v>
      </c>
      <c r="G143" s="29">
        <v>3</v>
      </c>
      <c r="H143" s="27">
        <v>0.2</v>
      </c>
      <c r="I143" s="29">
        <v>422</v>
      </c>
      <c r="J143" s="29">
        <v>144157</v>
      </c>
      <c r="K143" s="29">
        <v>8997</v>
      </c>
      <c r="L143" s="29">
        <v>153154</v>
      </c>
      <c r="M143" s="29">
        <v>24396</v>
      </c>
      <c r="N143" s="29">
        <v>27219</v>
      </c>
      <c r="O143" s="29">
        <v>0</v>
      </c>
      <c r="P143" s="29">
        <v>18253</v>
      </c>
      <c r="Q143" s="29">
        <v>2100</v>
      </c>
      <c r="R143" s="29">
        <v>225122</v>
      </c>
      <c r="S143" s="29">
        <v>23920</v>
      </c>
      <c r="T143" s="29">
        <v>201202</v>
      </c>
      <c r="U143" s="29">
        <v>109088</v>
      </c>
      <c r="V143" s="29">
        <v>92114</v>
      </c>
    </row>
    <row r="144" spans="1:22" x14ac:dyDescent="0.2">
      <c r="A144" s="20" t="s">
        <v>93</v>
      </c>
      <c r="B144" s="20" t="s">
        <v>494</v>
      </c>
      <c r="C144" s="25">
        <v>86.18</v>
      </c>
      <c r="D144" s="27">
        <v>703.4</v>
      </c>
      <c r="E144" s="25">
        <v>789.58</v>
      </c>
      <c r="F144" s="25">
        <v>0</v>
      </c>
      <c r="G144" s="29">
        <v>11</v>
      </c>
      <c r="H144" s="27">
        <v>0</v>
      </c>
      <c r="I144" s="29">
        <v>714</v>
      </c>
      <c r="J144" s="29">
        <v>246531</v>
      </c>
      <c r="K144" s="29">
        <v>0</v>
      </c>
      <c r="L144" s="29">
        <v>246531</v>
      </c>
      <c r="M144" s="29">
        <v>41276</v>
      </c>
      <c r="N144" s="29">
        <v>46053</v>
      </c>
      <c r="O144" s="29">
        <v>0</v>
      </c>
      <c r="P144" s="29">
        <v>30896</v>
      </c>
      <c r="Q144" s="29">
        <v>3553</v>
      </c>
      <c r="R144" s="29">
        <v>368309</v>
      </c>
      <c r="S144" s="29">
        <v>34532</v>
      </c>
      <c r="T144" s="29">
        <v>333777</v>
      </c>
      <c r="U144" s="29">
        <v>192575</v>
      </c>
      <c r="V144" s="29">
        <v>141202</v>
      </c>
    </row>
    <row r="145" spans="1:22" x14ac:dyDescent="0.2">
      <c r="A145" s="20" t="s">
        <v>37</v>
      </c>
      <c r="B145" s="20" t="s">
        <v>448</v>
      </c>
      <c r="C145" s="25">
        <v>136.13</v>
      </c>
      <c r="D145" s="27">
        <v>1249.7</v>
      </c>
      <c r="E145" s="25">
        <v>1385.83</v>
      </c>
      <c r="F145" s="25">
        <v>3.81</v>
      </c>
      <c r="G145" s="29">
        <v>128</v>
      </c>
      <c r="H145" s="27">
        <v>1.4</v>
      </c>
      <c r="I145" s="29">
        <v>1376</v>
      </c>
      <c r="J145" s="29">
        <v>441886</v>
      </c>
      <c r="K145" s="29">
        <v>0</v>
      </c>
      <c r="L145" s="29">
        <v>441886</v>
      </c>
      <c r="M145" s="29">
        <v>79615</v>
      </c>
      <c r="N145" s="29">
        <v>89275</v>
      </c>
      <c r="O145" s="29">
        <v>1215</v>
      </c>
      <c r="P145" s="29">
        <v>46924</v>
      </c>
      <c r="Q145" s="29">
        <v>5585</v>
      </c>
      <c r="R145" s="29">
        <v>664500</v>
      </c>
      <c r="S145" s="29">
        <v>61988</v>
      </c>
      <c r="T145" s="29">
        <v>602512</v>
      </c>
      <c r="U145" s="29">
        <v>329593</v>
      </c>
      <c r="V145" s="29">
        <v>272919</v>
      </c>
    </row>
    <row r="146" spans="1:22" x14ac:dyDescent="0.2">
      <c r="A146" s="20" t="s">
        <v>94</v>
      </c>
      <c r="B146" s="20" t="s">
        <v>495</v>
      </c>
      <c r="C146" s="25">
        <v>205.1</v>
      </c>
      <c r="D146" s="27">
        <v>1426.6</v>
      </c>
      <c r="E146" s="25">
        <v>1631.7</v>
      </c>
      <c r="F146" s="25">
        <v>0</v>
      </c>
      <c r="G146" s="29">
        <v>139</v>
      </c>
      <c r="H146" s="27">
        <v>5.5</v>
      </c>
      <c r="I146" s="29">
        <v>1560</v>
      </c>
      <c r="J146" s="29">
        <v>509466</v>
      </c>
      <c r="K146" s="29">
        <v>0</v>
      </c>
      <c r="L146" s="29">
        <v>509466</v>
      </c>
      <c r="M146" s="29">
        <v>90184</v>
      </c>
      <c r="N146" s="29">
        <v>100620</v>
      </c>
      <c r="O146" s="29">
        <v>0</v>
      </c>
      <c r="P146" s="29">
        <v>63848</v>
      </c>
      <c r="Q146" s="29">
        <v>7343</v>
      </c>
      <c r="R146" s="29">
        <v>771461</v>
      </c>
      <c r="S146" s="29">
        <v>73977</v>
      </c>
      <c r="T146" s="29">
        <v>697484</v>
      </c>
      <c r="U146" s="29">
        <v>395349</v>
      </c>
      <c r="V146" s="29">
        <v>302135</v>
      </c>
    </row>
    <row r="147" spans="1:22" x14ac:dyDescent="0.2">
      <c r="A147" s="20" t="s">
        <v>199</v>
      </c>
      <c r="B147" s="20" t="s">
        <v>595</v>
      </c>
      <c r="C147" s="25">
        <v>423.77</v>
      </c>
      <c r="D147" s="27">
        <v>3460.1</v>
      </c>
      <c r="E147" s="25">
        <v>3883.87</v>
      </c>
      <c r="F147" s="25">
        <v>0</v>
      </c>
      <c r="G147" s="29">
        <v>12</v>
      </c>
      <c r="H147" s="27">
        <v>0</v>
      </c>
      <c r="I147" s="29">
        <v>3472</v>
      </c>
      <c r="J147" s="29">
        <v>1168462</v>
      </c>
      <c r="K147" s="29">
        <v>0</v>
      </c>
      <c r="L147" s="29">
        <v>1168462</v>
      </c>
      <c r="M147" s="29">
        <v>199223</v>
      </c>
      <c r="N147" s="29">
        <v>218736</v>
      </c>
      <c r="O147" s="29">
        <v>0</v>
      </c>
      <c r="P147" s="29">
        <v>97796</v>
      </c>
      <c r="Q147" s="29">
        <v>12351</v>
      </c>
      <c r="R147" s="29">
        <v>1696568</v>
      </c>
      <c r="S147" s="29">
        <v>139171</v>
      </c>
      <c r="T147" s="29">
        <v>1557397</v>
      </c>
      <c r="U147" s="29">
        <v>918640</v>
      </c>
      <c r="V147" s="29">
        <v>638757</v>
      </c>
    </row>
    <row r="148" spans="1:22" x14ac:dyDescent="0.2">
      <c r="A148" s="20" t="s">
        <v>200</v>
      </c>
      <c r="B148" s="20" t="s">
        <v>596</v>
      </c>
      <c r="C148" s="25">
        <v>74.540000000000006</v>
      </c>
      <c r="D148" s="27">
        <v>848.2</v>
      </c>
      <c r="E148" s="25">
        <v>922.74</v>
      </c>
      <c r="F148" s="25">
        <v>0</v>
      </c>
      <c r="G148" s="29">
        <v>4</v>
      </c>
      <c r="H148" s="27">
        <v>0</v>
      </c>
      <c r="I148" s="29">
        <v>852</v>
      </c>
      <c r="J148" s="29">
        <v>277606</v>
      </c>
      <c r="K148" s="29">
        <v>2179</v>
      </c>
      <c r="L148" s="29">
        <v>279785</v>
      </c>
      <c r="M148" s="29">
        <v>48888</v>
      </c>
      <c r="N148" s="29">
        <v>53676</v>
      </c>
      <c r="O148" s="29">
        <v>0</v>
      </c>
      <c r="P148" s="29">
        <v>23294</v>
      </c>
      <c r="Q148" s="29">
        <v>2951</v>
      </c>
      <c r="R148" s="29">
        <v>408594</v>
      </c>
      <c r="S148" s="29">
        <v>33511</v>
      </c>
      <c r="T148" s="29">
        <v>375083</v>
      </c>
      <c r="U148" s="29">
        <v>217883</v>
      </c>
      <c r="V148" s="29">
        <v>157200</v>
      </c>
    </row>
    <row r="149" spans="1:22" x14ac:dyDescent="0.2">
      <c r="A149" s="20" t="s">
        <v>156</v>
      </c>
      <c r="B149" s="20" t="s">
        <v>553</v>
      </c>
      <c r="C149" s="25">
        <v>1456.97</v>
      </c>
      <c r="D149" s="27">
        <v>14571.6</v>
      </c>
      <c r="E149" s="25">
        <v>16028.57</v>
      </c>
      <c r="F149" s="25">
        <v>0</v>
      </c>
      <c r="G149" s="29">
        <v>847</v>
      </c>
      <c r="H149" s="27">
        <v>4.3</v>
      </c>
      <c r="I149" s="29">
        <v>15414</v>
      </c>
      <c r="J149" s="29">
        <v>4935998</v>
      </c>
      <c r="K149" s="29">
        <v>0</v>
      </c>
      <c r="L149" s="29">
        <v>4935998</v>
      </c>
      <c r="M149" s="29">
        <v>886305</v>
      </c>
      <c r="N149" s="29">
        <v>973857</v>
      </c>
      <c r="O149" s="29">
        <v>0</v>
      </c>
      <c r="P149" s="29">
        <v>464027</v>
      </c>
      <c r="Q149" s="29">
        <v>54016</v>
      </c>
      <c r="R149" s="29">
        <v>7314203</v>
      </c>
      <c r="S149" s="29">
        <v>485100</v>
      </c>
      <c r="T149" s="29">
        <v>6829103</v>
      </c>
      <c r="U149" s="29">
        <v>3943914</v>
      </c>
      <c r="V149" s="29">
        <v>2885189</v>
      </c>
    </row>
    <row r="150" spans="1:22" x14ac:dyDescent="0.2">
      <c r="A150" s="20" t="s">
        <v>95</v>
      </c>
      <c r="B150" s="20" t="s">
        <v>496</v>
      </c>
      <c r="C150" s="25">
        <v>124.81</v>
      </c>
      <c r="D150" s="27">
        <v>1040.0999999999999</v>
      </c>
      <c r="E150" s="25">
        <v>1164.9100000000001</v>
      </c>
      <c r="F150" s="25">
        <v>0</v>
      </c>
      <c r="G150" s="29">
        <v>2</v>
      </c>
      <c r="H150" s="27">
        <v>0</v>
      </c>
      <c r="I150" s="29">
        <v>1042</v>
      </c>
      <c r="J150" s="29">
        <v>363720</v>
      </c>
      <c r="K150" s="29">
        <v>4131</v>
      </c>
      <c r="L150" s="29">
        <v>367851</v>
      </c>
      <c r="M150" s="29">
        <v>60238</v>
      </c>
      <c r="N150" s="29">
        <v>67209</v>
      </c>
      <c r="O150" s="29">
        <v>0</v>
      </c>
      <c r="P150" s="29">
        <v>45583</v>
      </c>
      <c r="Q150" s="29">
        <v>5242</v>
      </c>
      <c r="R150" s="29">
        <v>546123</v>
      </c>
      <c r="S150" s="29">
        <v>49711</v>
      </c>
      <c r="T150" s="29">
        <v>496412</v>
      </c>
      <c r="U150" s="29">
        <v>285352</v>
      </c>
      <c r="V150" s="29">
        <v>211060</v>
      </c>
    </row>
    <row r="151" spans="1:22" x14ac:dyDescent="0.2">
      <c r="A151" s="20" t="s">
        <v>157</v>
      </c>
      <c r="B151" s="20" t="s">
        <v>554</v>
      </c>
      <c r="C151" s="25">
        <v>61.11</v>
      </c>
      <c r="D151" s="27">
        <v>532.5</v>
      </c>
      <c r="E151" s="25">
        <v>593.61</v>
      </c>
      <c r="F151" s="25">
        <v>0</v>
      </c>
      <c r="G151" s="29">
        <v>0</v>
      </c>
      <c r="H151" s="27">
        <v>0</v>
      </c>
      <c r="I151" s="29">
        <v>533</v>
      </c>
      <c r="J151" s="29">
        <v>182802</v>
      </c>
      <c r="K151" s="29">
        <v>4806</v>
      </c>
      <c r="L151" s="29">
        <v>187608</v>
      </c>
      <c r="M151" s="29">
        <v>30648</v>
      </c>
      <c r="N151" s="29">
        <v>33675</v>
      </c>
      <c r="O151" s="29">
        <v>0</v>
      </c>
      <c r="P151" s="29">
        <v>17252</v>
      </c>
      <c r="Q151" s="29">
        <v>2010</v>
      </c>
      <c r="R151" s="29">
        <v>271193</v>
      </c>
      <c r="S151" s="29">
        <v>30923</v>
      </c>
      <c r="T151" s="29">
        <v>240270</v>
      </c>
      <c r="U151" s="29">
        <v>133180</v>
      </c>
      <c r="V151" s="29">
        <v>107090</v>
      </c>
    </row>
    <row r="152" spans="1:22" x14ac:dyDescent="0.2">
      <c r="A152" s="20" t="s">
        <v>287</v>
      </c>
      <c r="B152" s="20" t="s">
        <v>678</v>
      </c>
      <c r="C152" s="25">
        <v>100.18</v>
      </c>
      <c r="D152" s="27">
        <v>684.7</v>
      </c>
      <c r="E152" s="25">
        <v>784.88</v>
      </c>
      <c r="F152" s="25">
        <v>1.77</v>
      </c>
      <c r="G152" s="29">
        <v>9</v>
      </c>
      <c r="H152" s="27">
        <v>0</v>
      </c>
      <c r="I152" s="29">
        <v>694</v>
      </c>
      <c r="J152" s="29">
        <v>242457</v>
      </c>
      <c r="K152" s="29">
        <v>0</v>
      </c>
      <c r="L152" s="29">
        <v>242457</v>
      </c>
      <c r="M152" s="29">
        <v>39912</v>
      </c>
      <c r="N152" s="29">
        <v>44125</v>
      </c>
      <c r="O152" s="29">
        <v>547</v>
      </c>
      <c r="P152" s="29">
        <v>24896</v>
      </c>
      <c r="Q152" s="29">
        <v>2669</v>
      </c>
      <c r="R152" s="29">
        <v>354606</v>
      </c>
      <c r="S152" s="29">
        <v>45080</v>
      </c>
      <c r="T152" s="29">
        <v>309526</v>
      </c>
      <c r="U152" s="29">
        <v>174428</v>
      </c>
      <c r="V152" s="29">
        <v>135098</v>
      </c>
    </row>
    <row r="153" spans="1:22" x14ac:dyDescent="0.2">
      <c r="A153" s="20" t="s">
        <v>96</v>
      </c>
      <c r="B153" s="20" t="s">
        <v>497</v>
      </c>
      <c r="C153" s="25">
        <v>53.85</v>
      </c>
      <c r="D153" s="27">
        <v>436.2</v>
      </c>
      <c r="E153" s="25">
        <v>490.05</v>
      </c>
      <c r="F153" s="25">
        <v>0</v>
      </c>
      <c r="G153" s="29">
        <v>11</v>
      </c>
      <c r="H153" s="27">
        <v>0</v>
      </c>
      <c r="I153" s="29">
        <v>447</v>
      </c>
      <c r="J153" s="29">
        <v>153008</v>
      </c>
      <c r="K153" s="29">
        <v>0</v>
      </c>
      <c r="L153" s="29">
        <v>153008</v>
      </c>
      <c r="M153" s="29">
        <v>25841</v>
      </c>
      <c r="N153" s="29">
        <v>28832</v>
      </c>
      <c r="O153" s="29">
        <v>0</v>
      </c>
      <c r="P153" s="29">
        <v>19176</v>
      </c>
      <c r="Q153" s="29">
        <v>2205</v>
      </c>
      <c r="R153" s="29">
        <v>229062</v>
      </c>
      <c r="S153" s="29">
        <v>15951</v>
      </c>
      <c r="T153" s="29">
        <v>213111</v>
      </c>
      <c r="U153" s="29">
        <v>125002</v>
      </c>
      <c r="V153" s="29">
        <v>88109</v>
      </c>
    </row>
    <row r="154" spans="1:22" x14ac:dyDescent="0.2">
      <c r="A154" s="20" t="s">
        <v>35</v>
      </c>
      <c r="B154" s="20" t="s">
        <v>446</v>
      </c>
      <c r="C154" s="25">
        <v>174.99</v>
      </c>
      <c r="D154" s="27">
        <v>1199.5999999999999</v>
      </c>
      <c r="E154" s="25">
        <v>1374.59</v>
      </c>
      <c r="F154" s="25">
        <v>3.78</v>
      </c>
      <c r="G154" s="29">
        <v>0</v>
      </c>
      <c r="H154" s="27">
        <v>0</v>
      </c>
      <c r="I154" s="29">
        <v>1200</v>
      </c>
      <c r="J154" s="29">
        <v>438302</v>
      </c>
      <c r="K154" s="29">
        <v>0</v>
      </c>
      <c r="L154" s="29">
        <v>438302</v>
      </c>
      <c r="M154" s="29">
        <v>69432</v>
      </c>
      <c r="N154" s="29">
        <v>77856</v>
      </c>
      <c r="O154" s="29">
        <v>1205</v>
      </c>
      <c r="P154" s="29">
        <v>46544</v>
      </c>
      <c r="Q154" s="29">
        <v>5540</v>
      </c>
      <c r="R154" s="29">
        <v>638879</v>
      </c>
      <c r="S154" s="29">
        <v>79359</v>
      </c>
      <c r="T154" s="29">
        <v>559520</v>
      </c>
      <c r="U154" s="29">
        <v>309047</v>
      </c>
      <c r="V154" s="29">
        <v>250473</v>
      </c>
    </row>
    <row r="155" spans="1:22" x14ac:dyDescent="0.2">
      <c r="A155" s="20" t="s">
        <v>97</v>
      </c>
      <c r="B155" s="20" t="s">
        <v>498</v>
      </c>
      <c r="C155" s="25">
        <v>95.4</v>
      </c>
      <c r="D155" s="27">
        <v>883.8</v>
      </c>
      <c r="E155" s="25">
        <v>979.2</v>
      </c>
      <c r="F155" s="25">
        <v>0</v>
      </c>
      <c r="G155" s="29">
        <v>123</v>
      </c>
      <c r="H155" s="27">
        <v>0</v>
      </c>
      <c r="I155" s="29">
        <v>1007</v>
      </c>
      <c r="J155" s="29">
        <v>305736</v>
      </c>
      <c r="K155" s="29">
        <v>4887</v>
      </c>
      <c r="L155" s="29">
        <v>310623</v>
      </c>
      <c r="M155" s="29">
        <v>58215</v>
      </c>
      <c r="N155" s="29">
        <v>64952</v>
      </c>
      <c r="O155" s="29">
        <v>0</v>
      </c>
      <c r="P155" s="29">
        <v>39091</v>
      </c>
      <c r="Q155" s="29">
        <v>4497</v>
      </c>
      <c r="R155" s="29">
        <v>477378</v>
      </c>
      <c r="S155" s="29">
        <v>41079</v>
      </c>
      <c r="T155" s="29">
        <v>436299</v>
      </c>
      <c r="U155" s="29">
        <v>241434</v>
      </c>
      <c r="V155" s="29">
        <v>194865</v>
      </c>
    </row>
    <row r="156" spans="1:22" x14ac:dyDescent="0.2">
      <c r="A156" s="20" t="s">
        <v>201</v>
      </c>
      <c r="B156" s="20" t="s">
        <v>597</v>
      </c>
      <c r="C156" s="25">
        <v>735</v>
      </c>
      <c r="D156" s="27">
        <v>7105.7</v>
      </c>
      <c r="E156" s="25">
        <v>7840.7</v>
      </c>
      <c r="F156" s="25">
        <v>0</v>
      </c>
      <c r="G156" s="29">
        <v>354</v>
      </c>
      <c r="H156" s="27">
        <v>0</v>
      </c>
      <c r="I156" s="29">
        <v>7460</v>
      </c>
      <c r="J156" s="29">
        <v>2358875</v>
      </c>
      <c r="K156" s="29">
        <v>0</v>
      </c>
      <c r="L156" s="29">
        <v>2358875</v>
      </c>
      <c r="M156" s="29">
        <v>428055</v>
      </c>
      <c r="N156" s="29">
        <v>469980</v>
      </c>
      <c r="O156" s="29">
        <v>0</v>
      </c>
      <c r="P156" s="29">
        <v>197429</v>
      </c>
      <c r="Q156" s="29">
        <v>24933</v>
      </c>
      <c r="R156" s="29">
        <v>3479272</v>
      </c>
      <c r="S156" s="29">
        <v>179185</v>
      </c>
      <c r="T156" s="29">
        <v>3300087</v>
      </c>
      <c r="U156" s="29">
        <v>1956308</v>
      </c>
      <c r="V156" s="29">
        <v>1343779</v>
      </c>
    </row>
    <row r="157" spans="1:22" x14ac:dyDescent="0.2">
      <c r="A157" s="20" t="s">
        <v>322</v>
      </c>
      <c r="B157" s="20" t="s">
        <v>712</v>
      </c>
      <c r="C157" s="25">
        <v>358.01</v>
      </c>
      <c r="D157" s="27">
        <v>1918.7</v>
      </c>
      <c r="E157" s="25">
        <v>2276.71</v>
      </c>
      <c r="F157" s="25">
        <v>5.71</v>
      </c>
      <c r="G157" s="29">
        <v>53</v>
      </c>
      <c r="H157" s="27">
        <v>0.6</v>
      </c>
      <c r="I157" s="29">
        <v>1971</v>
      </c>
      <c r="J157" s="29">
        <v>697288</v>
      </c>
      <c r="K157" s="29">
        <v>0</v>
      </c>
      <c r="L157" s="29">
        <v>697288</v>
      </c>
      <c r="M157" s="29">
        <v>113293</v>
      </c>
      <c r="N157" s="29">
        <v>124469</v>
      </c>
      <c r="O157" s="29">
        <v>1749</v>
      </c>
      <c r="P157" s="29">
        <v>69963</v>
      </c>
      <c r="Q157" s="29">
        <v>7627</v>
      </c>
      <c r="R157" s="29">
        <v>1014389</v>
      </c>
      <c r="S157" s="29">
        <v>104456</v>
      </c>
      <c r="T157" s="29">
        <v>909933</v>
      </c>
      <c r="U157" s="29">
        <v>530044</v>
      </c>
      <c r="V157" s="29">
        <v>379889</v>
      </c>
    </row>
    <row r="158" spans="1:22" x14ac:dyDescent="0.2">
      <c r="A158" s="20" t="s">
        <v>323</v>
      </c>
      <c r="B158" s="20" t="s">
        <v>713</v>
      </c>
      <c r="C158" s="25">
        <v>48.08</v>
      </c>
      <c r="D158" s="27">
        <v>356.7</v>
      </c>
      <c r="E158" s="25">
        <v>404.78</v>
      </c>
      <c r="F158" s="25">
        <v>1.02</v>
      </c>
      <c r="G158" s="29">
        <v>0</v>
      </c>
      <c r="H158" s="27">
        <v>0</v>
      </c>
      <c r="I158" s="29">
        <v>357</v>
      </c>
      <c r="J158" s="29">
        <v>123972</v>
      </c>
      <c r="K158" s="29">
        <v>0</v>
      </c>
      <c r="L158" s="29">
        <v>123972</v>
      </c>
      <c r="M158" s="29">
        <v>20520</v>
      </c>
      <c r="N158" s="29">
        <v>22545</v>
      </c>
      <c r="O158" s="29">
        <v>312</v>
      </c>
      <c r="P158" s="29">
        <v>12439</v>
      </c>
      <c r="Q158" s="29">
        <v>1356</v>
      </c>
      <c r="R158" s="29">
        <v>181144</v>
      </c>
      <c r="S158" s="29">
        <v>17793</v>
      </c>
      <c r="T158" s="29">
        <v>163351</v>
      </c>
      <c r="U158" s="29">
        <v>95017</v>
      </c>
      <c r="V158" s="29">
        <v>68334</v>
      </c>
    </row>
    <row r="159" spans="1:22" x14ac:dyDescent="0.2">
      <c r="A159" s="20" t="s">
        <v>243</v>
      </c>
      <c r="B159" s="20" t="s">
        <v>636</v>
      </c>
      <c r="C159" s="25">
        <v>46.08</v>
      </c>
      <c r="D159" s="27">
        <v>458.7</v>
      </c>
      <c r="E159" s="25">
        <v>504.78</v>
      </c>
      <c r="F159" s="25">
        <v>0</v>
      </c>
      <c r="G159" s="29">
        <v>4</v>
      </c>
      <c r="H159" s="27">
        <v>0</v>
      </c>
      <c r="I159" s="29">
        <v>463</v>
      </c>
      <c r="J159" s="29">
        <v>159253</v>
      </c>
      <c r="K159" s="29">
        <v>3972</v>
      </c>
      <c r="L159" s="29">
        <v>163225</v>
      </c>
      <c r="M159" s="29">
        <v>26757</v>
      </c>
      <c r="N159" s="29">
        <v>29993</v>
      </c>
      <c r="O159" s="29">
        <v>0</v>
      </c>
      <c r="P159" s="29">
        <v>16022</v>
      </c>
      <c r="Q159" s="29">
        <v>1913</v>
      </c>
      <c r="R159" s="29">
        <v>237910</v>
      </c>
      <c r="S159" s="29">
        <v>21764</v>
      </c>
      <c r="T159" s="29">
        <v>216146</v>
      </c>
      <c r="U159" s="29">
        <v>119337</v>
      </c>
      <c r="V159" s="29">
        <v>96809</v>
      </c>
    </row>
    <row r="160" spans="1:22" x14ac:dyDescent="0.2">
      <c r="A160" s="20" t="s">
        <v>202</v>
      </c>
      <c r="B160" s="20" t="s">
        <v>598</v>
      </c>
      <c r="C160" s="25">
        <v>253.47</v>
      </c>
      <c r="D160" s="27">
        <v>1772.2</v>
      </c>
      <c r="E160" s="25">
        <v>2025.67</v>
      </c>
      <c r="F160" s="25">
        <v>0</v>
      </c>
      <c r="G160" s="29">
        <v>18</v>
      </c>
      <c r="H160" s="27">
        <v>0</v>
      </c>
      <c r="I160" s="29">
        <v>1790</v>
      </c>
      <c r="J160" s="29">
        <v>609423</v>
      </c>
      <c r="K160" s="29">
        <v>0</v>
      </c>
      <c r="L160" s="29">
        <v>609423</v>
      </c>
      <c r="M160" s="29">
        <v>102710</v>
      </c>
      <c r="N160" s="29">
        <v>112770</v>
      </c>
      <c r="O160" s="29">
        <v>0</v>
      </c>
      <c r="P160" s="29">
        <v>51006</v>
      </c>
      <c r="Q160" s="29">
        <v>6442</v>
      </c>
      <c r="R160" s="29">
        <v>882351</v>
      </c>
      <c r="S160" s="29">
        <v>89650</v>
      </c>
      <c r="T160" s="29">
        <v>792701</v>
      </c>
      <c r="U160" s="29">
        <v>462061</v>
      </c>
      <c r="V160" s="29">
        <v>330640</v>
      </c>
    </row>
    <row r="161" spans="1:22" x14ac:dyDescent="0.2">
      <c r="A161" s="20" t="s">
        <v>98</v>
      </c>
      <c r="B161" s="20" t="s">
        <v>499</v>
      </c>
      <c r="C161" s="25">
        <v>82.39</v>
      </c>
      <c r="D161" s="27">
        <v>573.5</v>
      </c>
      <c r="E161" s="25">
        <v>655.89</v>
      </c>
      <c r="F161" s="25">
        <v>0</v>
      </c>
      <c r="G161" s="29">
        <v>0</v>
      </c>
      <c r="H161" s="27">
        <v>0</v>
      </c>
      <c r="I161" s="29">
        <v>574</v>
      </c>
      <c r="J161" s="29">
        <v>204789</v>
      </c>
      <c r="K161" s="29">
        <v>6168</v>
      </c>
      <c r="L161" s="29">
        <v>210957</v>
      </c>
      <c r="M161" s="29">
        <v>33183</v>
      </c>
      <c r="N161" s="29">
        <v>37023</v>
      </c>
      <c r="O161" s="29">
        <v>0</v>
      </c>
      <c r="P161" s="29">
        <v>26077</v>
      </c>
      <c r="Q161" s="29">
        <v>3000</v>
      </c>
      <c r="R161" s="29">
        <v>310240</v>
      </c>
      <c r="S161" s="29">
        <v>32934</v>
      </c>
      <c r="T161" s="29">
        <v>277306</v>
      </c>
      <c r="U161" s="29">
        <v>156180</v>
      </c>
      <c r="V161" s="29">
        <v>121126</v>
      </c>
    </row>
    <row r="162" spans="1:22" x14ac:dyDescent="0.2">
      <c r="A162" s="20" t="s">
        <v>288</v>
      </c>
      <c r="B162" s="20" t="s">
        <v>679</v>
      </c>
      <c r="C162" s="25">
        <v>55.2</v>
      </c>
      <c r="D162" s="27">
        <v>302.60000000000002</v>
      </c>
      <c r="E162" s="25">
        <v>357.8</v>
      </c>
      <c r="F162" s="25">
        <v>0.81</v>
      </c>
      <c r="G162" s="29">
        <v>0</v>
      </c>
      <c r="H162" s="27">
        <v>0</v>
      </c>
      <c r="I162" s="29">
        <v>303</v>
      </c>
      <c r="J162" s="29">
        <v>110528</v>
      </c>
      <c r="K162" s="29">
        <v>177</v>
      </c>
      <c r="L162" s="29">
        <v>110705</v>
      </c>
      <c r="M162" s="29">
        <v>17426</v>
      </c>
      <c r="N162" s="29">
        <v>19265</v>
      </c>
      <c r="O162" s="29">
        <v>250</v>
      </c>
      <c r="P162" s="29">
        <v>11369</v>
      </c>
      <c r="Q162" s="29">
        <v>1217</v>
      </c>
      <c r="R162" s="29">
        <v>160232</v>
      </c>
      <c r="S162" s="29">
        <v>16904</v>
      </c>
      <c r="T162" s="29">
        <v>143328</v>
      </c>
      <c r="U162" s="29">
        <v>83183</v>
      </c>
      <c r="V162" s="29">
        <v>60145</v>
      </c>
    </row>
    <row r="163" spans="1:22" x14ac:dyDescent="0.2">
      <c r="A163" s="20" t="s">
        <v>38</v>
      </c>
      <c r="B163" s="20" t="s">
        <v>449</v>
      </c>
      <c r="C163" s="25">
        <v>43.43</v>
      </c>
      <c r="D163" s="27">
        <v>276</v>
      </c>
      <c r="E163" s="25">
        <v>319.43</v>
      </c>
      <c r="F163" s="25">
        <v>0.88</v>
      </c>
      <c r="G163" s="29">
        <v>2</v>
      </c>
      <c r="H163" s="27">
        <v>0</v>
      </c>
      <c r="I163" s="29">
        <v>278</v>
      </c>
      <c r="J163" s="29">
        <v>101853</v>
      </c>
      <c r="K163" s="29">
        <v>10412</v>
      </c>
      <c r="L163" s="29">
        <v>112265</v>
      </c>
      <c r="M163" s="29">
        <v>16085</v>
      </c>
      <c r="N163" s="29">
        <v>18037</v>
      </c>
      <c r="O163" s="29">
        <v>281</v>
      </c>
      <c r="P163" s="29">
        <v>10816</v>
      </c>
      <c r="Q163" s="29">
        <v>1287</v>
      </c>
      <c r="R163" s="29">
        <v>158771</v>
      </c>
      <c r="S163" s="29">
        <v>21809</v>
      </c>
      <c r="T163" s="29">
        <v>136962</v>
      </c>
      <c r="U163" s="29">
        <v>68450</v>
      </c>
      <c r="V163" s="29">
        <v>68512</v>
      </c>
    </row>
    <row r="164" spans="1:22" x14ac:dyDescent="0.2">
      <c r="A164" s="20" t="s">
        <v>244</v>
      </c>
      <c r="B164" s="20" t="s">
        <v>637</v>
      </c>
      <c r="C164" s="25">
        <v>59.13</v>
      </c>
      <c r="D164" s="27">
        <v>610.1</v>
      </c>
      <c r="E164" s="25">
        <v>669.23</v>
      </c>
      <c r="F164" s="25">
        <v>0</v>
      </c>
      <c r="G164" s="29">
        <v>17</v>
      </c>
      <c r="H164" s="27">
        <v>0</v>
      </c>
      <c r="I164" s="29">
        <v>627</v>
      </c>
      <c r="J164" s="29">
        <v>211135</v>
      </c>
      <c r="K164" s="29">
        <v>0</v>
      </c>
      <c r="L164" s="29">
        <v>211135</v>
      </c>
      <c r="M164" s="29">
        <v>36234</v>
      </c>
      <c r="N164" s="29">
        <v>40617</v>
      </c>
      <c r="O164" s="29">
        <v>0</v>
      </c>
      <c r="P164" s="29">
        <v>21241</v>
      </c>
      <c r="Q164" s="29">
        <v>2536</v>
      </c>
      <c r="R164" s="29">
        <v>311763</v>
      </c>
      <c r="S164" s="29">
        <v>28228</v>
      </c>
      <c r="T164" s="29">
        <v>283535</v>
      </c>
      <c r="U164" s="29">
        <v>158841</v>
      </c>
      <c r="V164" s="29">
        <v>124694</v>
      </c>
    </row>
    <row r="165" spans="1:22" x14ac:dyDescent="0.2">
      <c r="A165" s="20" t="s">
        <v>82</v>
      </c>
      <c r="B165" s="20" t="s">
        <v>485</v>
      </c>
      <c r="C165" s="25">
        <v>79.81</v>
      </c>
      <c r="D165" s="27">
        <v>603.9</v>
      </c>
      <c r="E165" s="25">
        <v>683.71</v>
      </c>
      <c r="F165" s="25">
        <v>0</v>
      </c>
      <c r="G165" s="29">
        <v>5</v>
      </c>
      <c r="H165" s="27">
        <v>0</v>
      </c>
      <c r="I165" s="29">
        <v>609</v>
      </c>
      <c r="J165" s="29">
        <v>213475</v>
      </c>
      <c r="K165" s="29">
        <v>2128</v>
      </c>
      <c r="L165" s="29">
        <v>215603</v>
      </c>
      <c r="M165" s="29">
        <v>35206</v>
      </c>
      <c r="N165" s="29">
        <v>39281</v>
      </c>
      <c r="O165" s="29">
        <v>0</v>
      </c>
      <c r="P165" s="29">
        <v>26754</v>
      </c>
      <c r="Q165" s="29">
        <v>3077</v>
      </c>
      <c r="R165" s="29">
        <v>319921</v>
      </c>
      <c r="S165" s="29">
        <v>36691</v>
      </c>
      <c r="T165" s="29">
        <v>283230</v>
      </c>
      <c r="U165" s="29">
        <v>159965</v>
      </c>
      <c r="V165" s="29">
        <v>123265</v>
      </c>
    </row>
    <row r="166" spans="1:22" x14ac:dyDescent="0.2">
      <c r="A166" s="20" t="s">
        <v>245</v>
      </c>
      <c r="B166" s="20" t="s">
        <v>638</v>
      </c>
      <c r="C166" s="25">
        <v>312.48</v>
      </c>
      <c r="D166" s="27">
        <v>2208.1</v>
      </c>
      <c r="E166" s="25">
        <v>2520.58</v>
      </c>
      <c r="F166" s="25">
        <v>0</v>
      </c>
      <c r="G166" s="29">
        <v>443</v>
      </c>
      <c r="H166" s="27">
        <v>0.7</v>
      </c>
      <c r="I166" s="29">
        <v>2650</v>
      </c>
      <c r="J166" s="29">
        <v>795218</v>
      </c>
      <c r="K166" s="29">
        <v>7379</v>
      </c>
      <c r="L166" s="29">
        <v>802597</v>
      </c>
      <c r="M166" s="29">
        <v>153144</v>
      </c>
      <c r="N166" s="29">
        <v>171667</v>
      </c>
      <c r="O166" s="29">
        <v>0</v>
      </c>
      <c r="P166" s="29">
        <v>80715</v>
      </c>
      <c r="Q166" s="29">
        <v>9650</v>
      </c>
      <c r="R166" s="29">
        <v>1217773</v>
      </c>
      <c r="S166" s="29">
        <v>105133</v>
      </c>
      <c r="T166" s="29">
        <v>1112640</v>
      </c>
      <c r="U166" s="29">
        <v>600254</v>
      </c>
      <c r="V166" s="29">
        <v>512386</v>
      </c>
    </row>
    <row r="167" spans="1:22" x14ac:dyDescent="0.2">
      <c r="A167" s="20" t="s">
        <v>289</v>
      </c>
      <c r="B167" s="20" t="s">
        <v>680</v>
      </c>
      <c r="C167" s="25">
        <v>33.39</v>
      </c>
      <c r="D167" s="27">
        <v>441.3</v>
      </c>
      <c r="E167" s="25">
        <v>474.69</v>
      </c>
      <c r="F167" s="25">
        <v>1.07</v>
      </c>
      <c r="G167" s="29">
        <v>2</v>
      </c>
      <c r="H167" s="27">
        <v>0</v>
      </c>
      <c r="I167" s="29">
        <v>443</v>
      </c>
      <c r="J167" s="29">
        <v>146636</v>
      </c>
      <c r="K167" s="29">
        <v>2272</v>
      </c>
      <c r="L167" s="29">
        <v>148908</v>
      </c>
      <c r="M167" s="29">
        <v>25477</v>
      </c>
      <c r="N167" s="29">
        <v>28166</v>
      </c>
      <c r="O167" s="29">
        <v>331</v>
      </c>
      <c r="P167" s="29">
        <v>15140</v>
      </c>
      <c r="Q167" s="29">
        <v>1621</v>
      </c>
      <c r="R167" s="29">
        <v>219643</v>
      </c>
      <c r="S167" s="29">
        <v>21840</v>
      </c>
      <c r="T167" s="29">
        <v>197803</v>
      </c>
      <c r="U167" s="29">
        <v>111006</v>
      </c>
      <c r="V167" s="29">
        <v>86797</v>
      </c>
    </row>
    <row r="168" spans="1:22" x14ac:dyDescent="0.2">
      <c r="A168" s="20" t="s">
        <v>290</v>
      </c>
      <c r="B168" s="20" t="s">
        <v>681</v>
      </c>
      <c r="C168" s="25">
        <v>383.08</v>
      </c>
      <c r="D168" s="27">
        <v>2624.7</v>
      </c>
      <c r="E168" s="25">
        <v>3007.78</v>
      </c>
      <c r="F168" s="25">
        <v>6.78</v>
      </c>
      <c r="G168" s="29">
        <v>200</v>
      </c>
      <c r="H168" s="27">
        <v>0.6</v>
      </c>
      <c r="I168" s="29">
        <v>2824</v>
      </c>
      <c r="J168" s="29">
        <v>929133</v>
      </c>
      <c r="K168" s="29">
        <v>0</v>
      </c>
      <c r="L168" s="29">
        <v>929133</v>
      </c>
      <c r="M168" s="29">
        <v>162408</v>
      </c>
      <c r="N168" s="29">
        <v>179550</v>
      </c>
      <c r="O168" s="29">
        <v>2094</v>
      </c>
      <c r="P168" s="29">
        <v>95407</v>
      </c>
      <c r="Q168" s="29">
        <v>10226</v>
      </c>
      <c r="R168" s="29">
        <v>1378818</v>
      </c>
      <c r="S168" s="29">
        <v>112825</v>
      </c>
      <c r="T168" s="29">
        <v>1265993</v>
      </c>
      <c r="U168" s="29">
        <v>728361</v>
      </c>
      <c r="V168" s="29">
        <v>537632</v>
      </c>
    </row>
    <row r="169" spans="1:22" x14ac:dyDescent="0.2">
      <c r="A169" s="20" t="s">
        <v>166</v>
      </c>
      <c r="B169" s="20" t="s">
        <v>563</v>
      </c>
      <c r="C169" s="25">
        <v>117.19</v>
      </c>
      <c r="D169" s="27">
        <v>747.8</v>
      </c>
      <c r="E169" s="25">
        <v>864.99</v>
      </c>
      <c r="F169" s="25">
        <v>0</v>
      </c>
      <c r="G169" s="29">
        <v>1</v>
      </c>
      <c r="H169" s="27">
        <v>0</v>
      </c>
      <c r="I169" s="29">
        <v>749</v>
      </c>
      <c r="J169" s="29">
        <v>266374</v>
      </c>
      <c r="K169" s="29">
        <v>14650</v>
      </c>
      <c r="L169" s="29">
        <v>281024</v>
      </c>
      <c r="M169" s="29">
        <v>43068</v>
      </c>
      <c r="N169" s="29">
        <v>47322</v>
      </c>
      <c r="O169" s="29">
        <v>0</v>
      </c>
      <c r="P169" s="29">
        <v>25080</v>
      </c>
      <c r="Q169" s="29">
        <v>2922</v>
      </c>
      <c r="R169" s="29">
        <v>399416</v>
      </c>
      <c r="S169" s="29">
        <v>44471</v>
      </c>
      <c r="T169" s="29">
        <v>354945</v>
      </c>
      <c r="U169" s="29">
        <v>194589</v>
      </c>
      <c r="V169" s="29">
        <v>160356</v>
      </c>
    </row>
    <row r="170" spans="1:22" x14ac:dyDescent="0.2">
      <c r="A170" s="20" t="s">
        <v>158</v>
      </c>
      <c r="B170" s="20" t="s">
        <v>555</v>
      </c>
      <c r="C170" s="25">
        <v>784.31</v>
      </c>
      <c r="D170" s="27">
        <v>7675.5</v>
      </c>
      <c r="E170" s="25">
        <v>8459.81</v>
      </c>
      <c r="F170" s="25">
        <v>0</v>
      </c>
      <c r="G170" s="29">
        <v>434</v>
      </c>
      <c r="H170" s="27">
        <v>0</v>
      </c>
      <c r="I170" s="29">
        <v>8110</v>
      </c>
      <c r="J170" s="29">
        <v>2605198</v>
      </c>
      <c r="K170" s="29">
        <v>0</v>
      </c>
      <c r="L170" s="29">
        <v>2605198</v>
      </c>
      <c r="M170" s="29">
        <v>466325</v>
      </c>
      <c r="N170" s="29">
        <v>512390</v>
      </c>
      <c r="O170" s="29">
        <v>0</v>
      </c>
      <c r="P170" s="29">
        <v>244911</v>
      </c>
      <c r="Q170" s="29">
        <v>28510</v>
      </c>
      <c r="R170" s="29">
        <v>3857334</v>
      </c>
      <c r="S170" s="29">
        <v>225812</v>
      </c>
      <c r="T170" s="29">
        <v>3631522</v>
      </c>
      <c r="U170" s="29">
        <v>2111803</v>
      </c>
      <c r="V170" s="29">
        <v>1519719</v>
      </c>
    </row>
    <row r="171" spans="1:22" x14ac:dyDescent="0.2">
      <c r="A171" s="20" t="s">
        <v>159</v>
      </c>
      <c r="B171" s="20" t="s">
        <v>556</v>
      </c>
      <c r="C171" s="25">
        <v>36.840000000000003</v>
      </c>
      <c r="D171" s="27">
        <v>638.4</v>
      </c>
      <c r="E171" s="25">
        <v>675.24</v>
      </c>
      <c r="F171" s="25">
        <v>0</v>
      </c>
      <c r="G171" s="29">
        <v>6</v>
      </c>
      <c r="H171" s="27">
        <v>0</v>
      </c>
      <c r="I171" s="29">
        <v>644</v>
      </c>
      <c r="J171" s="29">
        <v>207940</v>
      </c>
      <c r="K171" s="29">
        <v>204</v>
      </c>
      <c r="L171" s="29">
        <v>208144</v>
      </c>
      <c r="M171" s="29">
        <v>37030</v>
      </c>
      <c r="N171" s="29">
        <v>40688</v>
      </c>
      <c r="O171" s="29">
        <v>0</v>
      </c>
      <c r="P171" s="29">
        <v>19548</v>
      </c>
      <c r="Q171" s="29">
        <v>2276</v>
      </c>
      <c r="R171" s="29">
        <v>307686</v>
      </c>
      <c r="S171" s="29">
        <v>27550</v>
      </c>
      <c r="T171" s="29">
        <v>280136</v>
      </c>
      <c r="U171" s="29">
        <v>159033</v>
      </c>
      <c r="V171" s="29">
        <v>121103</v>
      </c>
    </row>
    <row r="172" spans="1:22" x14ac:dyDescent="0.2">
      <c r="A172" s="20" t="s">
        <v>291</v>
      </c>
      <c r="B172" s="20" t="s">
        <v>682</v>
      </c>
      <c r="C172" s="25">
        <v>67.41</v>
      </c>
      <c r="D172" s="27">
        <v>572.1</v>
      </c>
      <c r="E172" s="25">
        <v>639.51</v>
      </c>
      <c r="F172" s="25">
        <v>1.44</v>
      </c>
      <c r="G172" s="29">
        <v>0</v>
      </c>
      <c r="H172" s="27">
        <v>0</v>
      </c>
      <c r="I172" s="29">
        <v>572</v>
      </c>
      <c r="J172" s="29">
        <v>197551</v>
      </c>
      <c r="K172" s="29">
        <v>0</v>
      </c>
      <c r="L172" s="29">
        <v>197551</v>
      </c>
      <c r="M172" s="29">
        <v>32896</v>
      </c>
      <c r="N172" s="29">
        <v>36368</v>
      </c>
      <c r="O172" s="29">
        <v>445</v>
      </c>
      <c r="P172" s="29">
        <v>20285</v>
      </c>
      <c r="Q172" s="29">
        <v>2174</v>
      </c>
      <c r="R172" s="29">
        <v>289719</v>
      </c>
      <c r="S172" s="29">
        <v>28459</v>
      </c>
      <c r="T172" s="29">
        <v>261260</v>
      </c>
      <c r="U172" s="29">
        <v>150392</v>
      </c>
      <c r="V172" s="29">
        <v>110868</v>
      </c>
    </row>
    <row r="173" spans="1:22" x14ac:dyDescent="0.2">
      <c r="A173" s="20" t="s">
        <v>160</v>
      </c>
      <c r="B173" s="20" t="s">
        <v>557</v>
      </c>
      <c r="C173" s="25">
        <v>36.57</v>
      </c>
      <c r="D173" s="27">
        <v>368.8</v>
      </c>
      <c r="E173" s="25">
        <v>405.37</v>
      </c>
      <c r="F173" s="25">
        <v>0</v>
      </c>
      <c r="G173" s="29">
        <v>4</v>
      </c>
      <c r="H173" s="27">
        <v>0</v>
      </c>
      <c r="I173" s="29">
        <v>373</v>
      </c>
      <c r="J173" s="29">
        <v>124834</v>
      </c>
      <c r="K173" s="29">
        <v>3764</v>
      </c>
      <c r="L173" s="29">
        <v>128598</v>
      </c>
      <c r="M173" s="29">
        <v>21448</v>
      </c>
      <c r="N173" s="29">
        <v>23566</v>
      </c>
      <c r="O173" s="29">
        <v>0</v>
      </c>
      <c r="P173" s="29">
        <v>11735</v>
      </c>
      <c r="Q173" s="29">
        <v>1366</v>
      </c>
      <c r="R173" s="29">
        <v>186713</v>
      </c>
      <c r="S173" s="29">
        <v>18559</v>
      </c>
      <c r="T173" s="29">
        <v>168154</v>
      </c>
      <c r="U173" s="29">
        <v>93452</v>
      </c>
      <c r="V173" s="29">
        <v>74702</v>
      </c>
    </row>
    <row r="174" spans="1:22" x14ac:dyDescent="0.2">
      <c r="A174" s="20" t="s">
        <v>134</v>
      </c>
      <c r="B174" s="20" t="s">
        <v>534</v>
      </c>
      <c r="C174" s="25">
        <v>105.04</v>
      </c>
      <c r="D174" s="27">
        <v>712</v>
      </c>
      <c r="E174" s="25">
        <v>817.04</v>
      </c>
      <c r="F174" s="25">
        <v>1.48</v>
      </c>
      <c r="G174" s="29">
        <v>0</v>
      </c>
      <c r="H174" s="27">
        <v>0</v>
      </c>
      <c r="I174" s="29">
        <v>712</v>
      </c>
      <c r="J174" s="29">
        <v>253176</v>
      </c>
      <c r="K174" s="29">
        <v>147</v>
      </c>
      <c r="L174" s="29">
        <v>253323</v>
      </c>
      <c r="M174" s="29">
        <v>40812</v>
      </c>
      <c r="N174" s="29">
        <v>44557</v>
      </c>
      <c r="O174" s="29">
        <v>459</v>
      </c>
      <c r="P174" s="29">
        <v>23041</v>
      </c>
      <c r="Q174" s="29">
        <v>2704</v>
      </c>
      <c r="R174" s="29">
        <v>364896</v>
      </c>
      <c r="S174" s="29">
        <v>39308</v>
      </c>
      <c r="T174" s="29">
        <v>325588</v>
      </c>
      <c r="U174" s="29">
        <v>186156</v>
      </c>
      <c r="V174" s="29">
        <v>139432</v>
      </c>
    </row>
    <row r="175" spans="1:22" x14ac:dyDescent="0.2">
      <c r="A175" s="20" t="s">
        <v>39</v>
      </c>
      <c r="B175" s="20" t="s">
        <v>450</v>
      </c>
      <c r="C175" s="25">
        <v>17.100000000000001</v>
      </c>
      <c r="D175" s="27">
        <v>146.1</v>
      </c>
      <c r="E175" s="25">
        <v>163.19999999999999</v>
      </c>
      <c r="F175" s="25">
        <v>0.45</v>
      </c>
      <c r="G175" s="29">
        <v>22</v>
      </c>
      <c r="H175" s="27">
        <v>0</v>
      </c>
      <c r="I175" s="29">
        <v>168</v>
      </c>
      <c r="J175" s="29">
        <v>52038</v>
      </c>
      <c r="K175" s="29">
        <v>7226</v>
      </c>
      <c r="L175" s="29">
        <v>59264</v>
      </c>
      <c r="M175" s="29">
        <v>9720</v>
      </c>
      <c r="N175" s="29">
        <v>10900</v>
      </c>
      <c r="O175" s="29">
        <v>143</v>
      </c>
      <c r="P175" s="29">
        <v>6030</v>
      </c>
      <c r="Q175" s="29">
        <v>719</v>
      </c>
      <c r="R175" s="29">
        <v>86776</v>
      </c>
      <c r="S175" s="29">
        <v>16136</v>
      </c>
      <c r="T175" s="29">
        <v>70640</v>
      </c>
      <c r="U175" s="29">
        <v>30544</v>
      </c>
      <c r="V175" s="29">
        <v>40096</v>
      </c>
    </row>
    <row r="176" spans="1:22" x14ac:dyDescent="0.2">
      <c r="A176" s="20" t="s">
        <v>203</v>
      </c>
      <c r="B176" s="20" t="s">
        <v>599</v>
      </c>
      <c r="C176" s="25">
        <v>58.95</v>
      </c>
      <c r="D176" s="27">
        <v>452.5</v>
      </c>
      <c r="E176" s="25">
        <v>511.45</v>
      </c>
      <c r="F176" s="25">
        <v>0</v>
      </c>
      <c r="G176" s="29">
        <v>54</v>
      </c>
      <c r="H176" s="27">
        <v>0</v>
      </c>
      <c r="I176" s="29">
        <v>507</v>
      </c>
      <c r="J176" s="29">
        <v>153870</v>
      </c>
      <c r="K176" s="29">
        <v>0</v>
      </c>
      <c r="L176" s="29">
        <v>153870</v>
      </c>
      <c r="M176" s="29">
        <v>29092</v>
      </c>
      <c r="N176" s="29">
        <v>31941</v>
      </c>
      <c r="O176" s="29">
        <v>0</v>
      </c>
      <c r="P176" s="29">
        <v>12878</v>
      </c>
      <c r="Q176" s="29">
        <v>1626</v>
      </c>
      <c r="R176" s="29">
        <v>229407</v>
      </c>
      <c r="S176" s="29">
        <v>23232</v>
      </c>
      <c r="T176" s="29">
        <v>206175</v>
      </c>
      <c r="U176" s="29">
        <v>116066</v>
      </c>
      <c r="V176" s="29">
        <v>90109</v>
      </c>
    </row>
    <row r="177" spans="1:22" x14ac:dyDescent="0.2">
      <c r="A177" s="20" t="s">
        <v>204</v>
      </c>
      <c r="B177" s="20" t="s">
        <v>600</v>
      </c>
      <c r="C177" s="25">
        <v>85.76</v>
      </c>
      <c r="D177" s="27">
        <v>683</v>
      </c>
      <c r="E177" s="25">
        <v>768.76</v>
      </c>
      <c r="F177" s="25">
        <v>0</v>
      </c>
      <c r="G177" s="29">
        <v>6</v>
      </c>
      <c r="H177" s="27">
        <v>0</v>
      </c>
      <c r="I177" s="29">
        <v>689</v>
      </c>
      <c r="J177" s="29">
        <v>231281</v>
      </c>
      <c r="K177" s="29">
        <v>0</v>
      </c>
      <c r="L177" s="29">
        <v>231281</v>
      </c>
      <c r="M177" s="29">
        <v>39535</v>
      </c>
      <c r="N177" s="29">
        <v>43407</v>
      </c>
      <c r="O177" s="29">
        <v>0</v>
      </c>
      <c r="P177" s="29">
        <v>19357</v>
      </c>
      <c r="Q177" s="29">
        <v>2445</v>
      </c>
      <c r="R177" s="29">
        <v>336025</v>
      </c>
      <c r="S177" s="29">
        <v>25816</v>
      </c>
      <c r="T177" s="29">
        <v>310209</v>
      </c>
      <c r="U177" s="29">
        <v>183563</v>
      </c>
      <c r="V177" s="29">
        <v>126646</v>
      </c>
    </row>
    <row r="178" spans="1:22" x14ac:dyDescent="0.2">
      <c r="A178" s="20" t="s">
        <v>279</v>
      </c>
      <c r="B178" s="20" t="s">
        <v>670</v>
      </c>
      <c r="C178" s="25">
        <v>84.61</v>
      </c>
      <c r="D178" s="27">
        <v>541.1</v>
      </c>
      <c r="E178" s="25">
        <v>625.71</v>
      </c>
      <c r="F178" s="25">
        <v>1.41</v>
      </c>
      <c r="G178" s="29">
        <v>2</v>
      </c>
      <c r="H178" s="27">
        <v>0</v>
      </c>
      <c r="I178" s="29">
        <v>543</v>
      </c>
      <c r="J178" s="29">
        <v>193288</v>
      </c>
      <c r="K178" s="29">
        <v>0</v>
      </c>
      <c r="L178" s="29">
        <v>193288</v>
      </c>
      <c r="M178" s="29">
        <v>31228</v>
      </c>
      <c r="N178" s="29">
        <v>34524</v>
      </c>
      <c r="O178" s="29">
        <v>436</v>
      </c>
      <c r="P178" s="29">
        <v>19848</v>
      </c>
      <c r="Q178" s="29">
        <v>2127</v>
      </c>
      <c r="R178" s="29">
        <v>281451</v>
      </c>
      <c r="S178" s="29">
        <v>31373</v>
      </c>
      <c r="T178" s="29">
        <v>250078</v>
      </c>
      <c r="U178" s="29">
        <v>143619</v>
      </c>
      <c r="V178" s="29">
        <v>106459</v>
      </c>
    </row>
    <row r="179" spans="1:22" x14ac:dyDescent="0.2">
      <c r="A179" s="20" t="s">
        <v>40</v>
      </c>
      <c r="B179" s="20" t="s">
        <v>451</v>
      </c>
      <c r="C179" s="25">
        <v>63.34</v>
      </c>
      <c r="D179" s="27">
        <v>642</v>
      </c>
      <c r="E179" s="25">
        <v>705.34</v>
      </c>
      <c r="F179" s="25">
        <v>1.94</v>
      </c>
      <c r="G179" s="29">
        <v>58</v>
      </c>
      <c r="H179" s="27">
        <v>0</v>
      </c>
      <c r="I179" s="29">
        <v>700</v>
      </c>
      <c r="J179" s="29">
        <v>224905</v>
      </c>
      <c r="K179" s="29">
        <v>0</v>
      </c>
      <c r="L179" s="29">
        <v>224905</v>
      </c>
      <c r="M179" s="29">
        <v>40502</v>
      </c>
      <c r="N179" s="29">
        <v>45416</v>
      </c>
      <c r="O179" s="29">
        <v>619</v>
      </c>
      <c r="P179" s="29">
        <v>23883</v>
      </c>
      <c r="Q179" s="29">
        <v>2843</v>
      </c>
      <c r="R179" s="29">
        <v>338168</v>
      </c>
      <c r="S179" s="29">
        <v>38009</v>
      </c>
      <c r="T179" s="29">
        <v>300159</v>
      </c>
      <c r="U179" s="29">
        <v>161293</v>
      </c>
      <c r="V179" s="29">
        <v>138866</v>
      </c>
    </row>
    <row r="180" spans="1:22" x14ac:dyDescent="0.2">
      <c r="A180" s="20" t="s">
        <v>246</v>
      </c>
      <c r="B180" s="20" t="s">
        <v>639</v>
      </c>
      <c r="C180" s="25">
        <v>72.040000000000006</v>
      </c>
      <c r="D180" s="27">
        <v>600.79999999999995</v>
      </c>
      <c r="E180" s="25">
        <v>672.84</v>
      </c>
      <c r="F180" s="25">
        <v>0</v>
      </c>
      <c r="G180" s="29">
        <v>28</v>
      </c>
      <c r="H180" s="27">
        <v>0</v>
      </c>
      <c r="I180" s="29">
        <v>629</v>
      </c>
      <c r="J180" s="29">
        <v>212274</v>
      </c>
      <c r="K180" s="29">
        <v>23103</v>
      </c>
      <c r="L180" s="29">
        <v>235377</v>
      </c>
      <c r="M180" s="29">
        <v>36350</v>
      </c>
      <c r="N180" s="29">
        <v>40747</v>
      </c>
      <c r="O180" s="29">
        <v>0</v>
      </c>
      <c r="P180" s="29">
        <v>21356</v>
      </c>
      <c r="Q180" s="29">
        <v>2550</v>
      </c>
      <c r="R180" s="29">
        <v>336380</v>
      </c>
      <c r="S180" s="29">
        <v>42589</v>
      </c>
      <c r="T180" s="29">
        <v>293791</v>
      </c>
      <c r="U180" s="29">
        <v>145490</v>
      </c>
      <c r="V180" s="29">
        <v>148301</v>
      </c>
    </row>
    <row r="181" spans="1:22" x14ac:dyDescent="0.2">
      <c r="A181" s="20" t="s">
        <v>135</v>
      </c>
      <c r="B181" s="20" t="s">
        <v>535</v>
      </c>
      <c r="C181" s="25">
        <v>341.54</v>
      </c>
      <c r="D181" s="27">
        <v>1260.8</v>
      </c>
      <c r="E181" s="25">
        <v>1602.34</v>
      </c>
      <c r="F181" s="25">
        <v>2.9</v>
      </c>
      <c r="G181" s="29">
        <v>113</v>
      </c>
      <c r="H181" s="27">
        <v>0</v>
      </c>
      <c r="I181" s="29">
        <v>1374</v>
      </c>
      <c r="J181" s="29">
        <v>496517</v>
      </c>
      <c r="K181" s="29">
        <v>0</v>
      </c>
      <c r="L181" s="29">
        <v>496517</v>
      </c>
      <c r="M181" s="29">
        <v>78758</v>
      </c>
      <c r="N181" s="29">
        <v>85985</v>
      </c>
      <c r="O181" s="29">
        <v>899</v>
      </c>
      <c r="P181" s="29">
        <v>45186</v>
      </c>
      <c r="Q181" s="29">
        <v>5304</v>
      </c>
      <c r="R181" s="29">
        <v>712649</v>
      </c>
      <c r="S181" s="29">
        <v>74194</v>
      </c>
      <c r="T181" s="29">
        <v>638455</v>
      </c>
      <c r="U181" s="29">
        <v>367975</v>
      </c>
      <c r="V181" s="29">
        <v>270480</v>
      </c>
    </row>
    <row r="182" spans="1:22" x14ac:dyDescent="0.2">
      <c r="A182" s="20" t="s">
        <v>9</v>
      </c>
      <c r="B182" s="20" t="s">
        <v>421</v>
      </c>
      <c r="C182" s="25">
        <v>52.65</v>
      </c>
      <c r="D182" s="27">
        <v>682.6</v>
      </c>
      <c r="E182" s="25">
        <v>735.25</v>
      </c>
      <c r="F182" s="25">
        <v>2.09</v>
      </c>
      <c r="G182" s="29">
        <v>26</v>
      </c>
      <c r="H182" s="27">
        <v>0</v>
      </c>
      <c r="I182" s="29">
        <v>709</v>
      </c>
      <c r="J182" s="29">
        <v>237567</v>
      </c>
      <c r="K182" s="29">
        <v>4490</v>
      </c>
      <c r="L182" s="29">
        <v>242057</v>
      </c>
      <c r="M182" s="29">
        <v>40966</v>
      </c>
      <c r="N182" s="29">
        <v>45667</v>
      </c>
      <c r="O182" s="29">
        <v>675</v>
      </c>
      <c r="P182" s="29">
        <v>23879</v>
      </c>
      <c r="Q182" s="29">
        <v>2572</v>
      </c>
      <c r="R182" s="29">
        <v>355816</v>
      </c>
      <c r="S182" s="29">
        <v>45215</v>
      </c>
      <c r="T182" s="29">
        <v>310601</v>
      </c>
      <c r="U182" s="29">
        <v>161147</v>
      </c>
      <c r="V182" s="29">
        <v>149454</v>
      </c>
    </row>
    <row r="183" spans="1:22" x14ac:dyDescent="0.2">
      <c r="A183" s="20" t="s">
        <v>247</v>
      </c>
      <c r="B183" s="20" t="s">
        <v>640</v>
      </c>
      <c r="C183" s="25">
        <v>56.45</v>
      </c>
      <c r="D183" s="27">
        <v>444.1</v>
      </c>
      <c r="E183" s="25">
        <v>500.55</v>
      </c>
      <c r="F183" s="25">
        <v>0</v>
      </c>
      <c r="G183" s="29">
        <v>8</v>
      </c>
      <c r="H183" s="27">
        <v>0</v>
      </c>
      <c r="I183" s="29">
        <v>452</v>
      </c>
      <c r="J183" s="29">
        <v>157919</v>
      </c>
      <c r="K183" s="29">
        <v>0</v>
      </c>
      <c r="L183" s="29">
        <v>157919</v>
      </c>
      <c r="M183" s="29">
        <v>26121</v>
      </c>
      <c r="N183" s="29">
        <v>29281</v>
      </c>
      <c r="O183" s="29">
        <v>0</v>
      </c>
      <c r="P183" s="29">
        <v>15887</v>
      </c>
      <c r="Q183" s="29">
        <v>1897</v>
      </c>
      <c r="R183" s="29">
        <v>231105</v>
      </c>
      <c r="S183" s="29">
        <v>28045</v>
      </c>
      <c r="T183" s="29">
        <v>203060</v>
      </c>
      <c r="U183" s="29">
        <v>111873</v>
      </c>
      <c r="V183" s="29">
        <v>91187</v>
      </c>
    </row>
    <row r="184" spans="1:22" x14ac:dyDescent="0.2">
      <c r="A184" s="20" t="s">
        <v>161</v>
      </c>
      <c r="B184" s="20" t="s">
        <v>558</v>
      </c>
      <c r="C184" s="25">
        <v>224.89</v>
      </c>
      <c r="D184" s="27">
        <v>1911</v>
      </c>
      <c r="E184" s="25">
        <v>2135.89</v>
      </c>
      <c r="F184" s="25">
        <v>0</v>
      </c>
      <c r="G184" s="29">
        <v>72</v>
      </c>
      <c r="H184" s="27">
        <v>0.1</v>
      </c>
      <c r="I184" s="29">
        <v>1983</v>
      </c>
      <c r="J184" s="29">
        <v>657747</v>
      </c>
      <c r="K184" s="29">
        <v>0</v>
      </c>
      <c r="L184" s="29">
        <v>657747</v>
      </c>
      <c r="M184" s="29">
        <v>114023</v>
      </c>
      <c r="N184" s="29">
        <v>125286</v>
      </c>
      <c r="O184" s="29">
        <v>0</v>
      </c>
      <c r="P184" s="29">
        <v>61834</v>
      </c>
      <c r="Q184" s="29">
        <v>7198</v>
      </c>
      <c r="R184" s="29">
        <v>966088</v>
      </c>
      <c r="S184" s="29">
        <v>80131</v>
      </c>
      <c r="T184" s="29">
        <v>885957</v>
      </c>
      <c r="U184" s="29">
        <v>510058</v>
      </c>
      <c r="V184" s="29">
        <v>375899</v>
      </c>
    </row>
    <row r="185" spans="1:22" x14ac:dyDescent="0.2">
      <c r="A185" s="20" t="s">
        <v>99</v>
      </c>
      <c r="B185" s="20" t="s">
        <v>500</v>
      </c>
      <c r="C185" s="25">
        <v>723.6</v>
      </c>
      <c r="D185" s="27">
        <v>5420.2</v>
      </c>
      <c r="E185" s="25">
        <v>6143.8</v>
      </c>
      <c r="F185" s="25">
        <v>0</v>
      </c>
      <c r="G185" s="29">
        <v>223</v>
      </c>
      <c r="H185" s="27">
        <v>2.8</v>
      </c>
      <c r="I185" s="29">
        <v>5640</v>
      </c>
      <c r="J185" s="29">
        <v>1918279</v>
      </c>
      <c r="K185" s="29">
        <v>0</v>
      </c>
      <c r="L185" s="29">
        <v>1918279</v>
      </c>
      <c r="M185" s="29">
        <v>326048</v>
      </c>
      <c r="N185" s="29">
        <v>363780</v>
      </c>
      <c r="O185" s="29">
        <v>0</v>
      </c>
      <c r="P185" s="29">
        <v>240407</v>
      </c>
      <c r="Q185" s="29">
        <v>27647</v>
      </c>
      <c r="R185" s="29">
        <v>2876161</v>
      </c>
      <c r="S185" s="29">
        <v>232815</v>
      </c>
      <c r="T185" s="29">
        <v>2643346</v>
      </c>
      <c r="U185" s="29">
        <v>1534326</v>
      </c>
      <c r="V185" s="29">
        <v>1109020</v>
      </c>
    </row>
    <row r="186" spans="1:22" x14ac:dyDescent="0.2">
      <c r="A186" s="20" t="s">
        <v>205</v>
      </c>
      <c r="B186" s="20" t="s">
        <v>601</v>
      </c>
      <c r="C186" s="25">
        <v>57.1</v>
      </c>
      <c r="D186" s="27">
        <v>516.20000000000005</v>
      </c>
      <c r="E186" s="25">
        <v>573.29999999999995</v>
      </c>
      <c r="F186" s="25">
        <v>0</v>
      </c>
      <c r="G186" s="29">
        <v>27</v>
      </c>
      <c r="H186" s="27">
        <v>0</v>
      </c>
      <c r="I186" s="29">
        <v>543</v>
      </c>
      <c r="J186" s="29">
        <v>172477</v>
      </c>
      <c r="K186" s="29">
        <v>0</v>
      </c>
      <c r="L186" s="29">
        <v>172477</v>
      </c>
      <c r="M186" s="29">
        <v>31157</v>
      </c>
      <c r="N186" s="29">
        <v>34209</v>
      </c>
      <c r="O186" s="29">
        <v>0</v>
      </c>
      <c r="P186" s="29">
        <v>14436</v>
      </c>
      <c r="Q186" s="29">
        <v>1823</v>
      </c>
      <c r="R186" s="29">
        <v>254102</v>
      </c>
      <c r="S186" s="29">
        <v>22923</v>
      </c>
      <c r="T186" s="29">
        <v>231179</v>
      </c>
      <c r="U186" s="29">
        <v>133221</v>
      </c>
      <c r="V186" s="29">
        <v>97958</v>
      </c>
    </row>
    <row r="187" spans="1:22" x14ac:dyDescent="0.2">
      <c r="A187" s="20" t="s">
        <v>100</v>
      </c>
      <c r="B187" s="20" t="s">
        <v>501</v>
      </c>
      <c r="C187" s="25">
        <v>693.65</v>
      </c>
      <c r="D187" s="27">
        <v>3624.6</v>
      </c>
      <c r="E187" s="25">
        <v>4318.25</v>
      </c>
      <c r="F187" s="25">
        <v>0</v>
      </c>
      <c r="G187" s="29">
        <v>692</v>
      </c>
      <c r="H187" s="27">
        <v>4.9000000000000004</v>
      </c>
      <c r="I187" s="29">
        <v>4312</v>
      </c>
      <c r="J187" s="29">
        <v>1348287</v>
      </c>
      <c r="K187" s="29">
        <v>0</v>
      </c>
      <c r="L187" s="29">
        <v>1348287</v>
      </c>
      <c r="M187" s="29">
        <v>249277</v>
      </c>
      <c r="N187" s="29">
        <v>278124</v>
      </c>
      <c r="O187" s="29">
        <v>0</v>
      </c>
      <c r="P187" s="29">
        <v>168973</v>
      </c>
      <c r="Q187" s="29">
        <v>19432</v>
      </c>
      <c r="R187" s="29">
        <v>2064093</v>
      </c>
      <c r="S187" s="29">
        <v>218724</v>
      </c>
      <c r="T187" s="29">
        <v>1845369</v>
      </c>
      <c r="U187" s="29">
        <v>1023334</v>
      </c>
      <c r="V187" s="29">
        <v>822035</v>
      </c>
    </row>
    <row r="188" spans="1:22" x14ac:dyDescent="0.2">
      <c r="A188" s="20" t="s">
        <v>248</v>
      </c>
      <c r="B188" s="20" t="s">
        <v>641</v>
      </c>
      <c r="C188" s="25">
        <v>180.73</v>
      </c>
      <c r="D188" s="27">
        <v>1486.5</v>
      </c>
      <c r="E188" s="25">
        <v>1667.23</v>
      </c>
      <c r="F188" s="25">
        <v>0</v>
      </c>
      <c r="G188" s="29">
        <v>533</v>
      </c>
      <c r="H188" s="27">
        <v>13.8</v>
      </c>
      <c r="I188" s="29">
        <v>2006</v>
      </c>
      <c r="J188" s="29">
        <v>525994</v>
      </c>
      <c r="K188" s="29">
        <v>0</v>
      </c>
      <c r="L188" s="29">
        <v>525994</v>
      </c>
      <c r="M188" s="29">
        <v>115927</v>
      </c>
      <c r="N188" s="29">
        <v>129949</v>
      </c>
      <c r="O188" s="29">
        <v>0</v>
      </c>
      <c r="P188" s="29">
        <v>52918</v>
      </c>
      <c r="Q188" s="29">
        <v>6319</v>
      </c>
      <c r="R188" s="29">
        <v>831107</v>
      </c>
      <c r="S188" s="29">
        <v>71335</v>
      </c>
      <c r="T188" s="29">
        <v>759772</v>
      </c>
      <c r="U188" s="29">
        <v>394706</v>
      </c>
      <c r="V188" s="29">
        <v>365066</v>
      </c>
    </row>
    <row r="189" spans="1:22" x14ac:dyDescent="0.2">
      <c r="A189" s="20" t="s">
        <v>324</v>
      </c>
      <c r="B189" s="20" t="s">
        <v>714</v>
      </c>
      <c r="C189" s="25">
        <v>93.68</v>
      </c>
      <c r="D189" s="27">
        <v>811.6</v>
      </c>
      <c r="E189" s="25">
        <v>905.28</v>
      </c>
      <c r="F189" s="25">
        <v>2.27</v>
      </c>
      <c r="G189" s="29">
        <v>0</v>
      </c>
      <c r="H189" s="27">
        <v>0</v>
      </c>
      <c r="I189" s="29">
        <v>812</v>
      </c>
      <c r="J189" s="29">
        <v>277260</v>
      </c>
      <c r="K189" s="29">
        <v>0</v>
      </c>
      <c r="L189" s="29">
        <v>277260</v>
      </c>
      <c r="M189" s="29">
        <v>46674</v>
      </c>
      <c r="N189" s="29">
        <v>51278</v>
      </c>
      <c r="O189" s="29">
        <v>695</v>
      </c>
      <c r="P189" s="29">
        <v>27819</v>
      </c>
      <c r="Q189" s="29">
        <v>3033</v>
      </c>
      <c r="R189" s="29">
        <v>406759</v>
      </c>
      <c r="S189" s="29">
        <v>41596</v>
      </c>
      <c r="T189" s="29">
        <v>365163</v>
      </c>
      <c r="U189" s="29">
        <v>210698</v>
      </c>
      <c r="V189" s="29">
        <v>154465</v>
      </c>
    </row>
    <row r="190" spans="1:22" x14ac:dyDescent="0.2">
      <c r="A190" s="20" t="s">
        <v>206</v>
      </c>
      <c r="B190" s="20" t="s">
        <v>602</v>
      </c>
      <c r="C190" s="25">
        <v>54.38</v>
      </c>
      <c r="D190" s="27">
        <v>333</v>
      </c>
      <c r="E190" s="25">
        <v>387.38</v>
      </c>
      <c r="F190" s="25">
        <v>0</v>
      </c>
      <c r="G190" s="29">
        <v>0</v>
      </c>
      <c r="H190" s="27">
        <v>0</v>
      </c>
      <c r="I190" s="29">
        <v>333</v>
      </c>
      <c r="J190" s="29">
        <v>116543</v>
      </c>
      <c r="K190" s="29">
        <v>0</v>
      </c>
      <c r="L190" s="29">
        <v>116543</v>
      </c>
      <c r="M190" s="29">
        <v>19108</v>
      </c>
      <c r="N190" s="29">
        <v>20979</v>
      </c>
      <c r="O190" s="29">
        <v>0</v>
      </c>
      <c r="P190" s="29">
        <v>9754</v>
      </c>
      <c r="Q190" s="29">
        <v>1232</v>
      </c>
      <c r="R190" s="29">
        <v>167616</v>
      </c>
      <c r="S190" s="29">
        <v>20816</v>
      </c>
      <c r="T190" s="29">
        <v>146800</v>
      </c>
      <c r="U190" s="29">
        <v>84691</v>
      </c>
      <c r="V190" s="29">
        <v>62109</v>
      </c>
    </row>
    <row r="191" spans="1:22" x14ac:dyDescent="0.2">
      <c r="A191" s="20" t="s">
        <v>163</v>
      </c>
      <c r="B191" s="20" t="s">
        <v>560</v>
      </c>
      <c r="C191" s="25">
        <v>79.290000000000006</v>
      </c>
      <c r="D191" s="27">
        <v>520.20000000000005</v>
      </c>
      <c r="E191" s="25">
        <v>599.49</v>
      </c>
      <c r="F191" s="25">
        <v>0</v>
      </c>
      <c r="G191" s="29">
        <v>8</v>
      </c>
      <c r="H191" s="27">
        <v>0</v>
      </c>
      <c r="I191" s="29">
        <v>528</v>
      </c>
      <c r="J191" s="29">
        <v>184613</v>
      </c>
      <c r="K191" s="29">
        <v>899</v>
      </c>
      <c r="L191" s="29">
        <v>185512</v>
      </c>
      <c r="M191" s="29">
        <v>30360</v>
      </c>
      <c r="N191" s="29">
        <v>33359</v>
      </c>
      <c r="O191" s="29">
        <v>0</v>
      </c>
      <c r="P191" s="29">
        <v>17404</v>
      </c>
      <c r="Q191" s="29">
        <v>2028</v>
      </c>
      <c r="R191" s="29">
        <v>268663</v>
      </c>
      <c r="S191" s="29">
        <v>35327</v>
      </c>
      <c r="T191" s="29">
        <v>233336</v>
      </c>
      <c r="U191" s="29">
        <v>130381</v>
      </c>
      <c r="V191" s="29">
        <v>102955</v>
      </c>
    </row>
    <row r="192" spans="1:22" x14ac:dyDescent="0.2">
      <c r="A192" s="20" t="s">
        <v>162</v>
      </c>
      <c r="B192" s="20" t="s">
        <v>559</v>
      </c>
      <c r="C192" s="25">
        <v>160.21</v>
      </c>
      <c r="D192" s="27">
        <v>1276.3</v>
      </c>
      <c r="E192" s="25">
        <v>1436.51</v>
      </c>
      <c r="F192" s="25">
        <v>0</v>
      </c>
      <c r="G192" s="29">
        <v>64</v>
      </c>
      <c r="H192" s="27">
        <v>0</v>
      </c>
      <c r="I192" s="29">
        <v>1340</v>
      </c>
      <c r="J192" s="29">
        <v>442373</v>
      </c>
      <c r="K192" s="29">
        <v>0</v>
      </c>
      <c r="L192" s="29">
        <v>442373</v>
      </c>
      <c r="M192" s="29">
        <v>77050</v>
      </c>
      <c r="N192" s="29">
        <v>84661</v>
      </c>
      <c r="O192" s="29">
        <v>0</v>
      </c>
      <c r="P192" s="29">
        <v>41587</v>
      </c>
      <c r="Q192" s="29">
        <v>4841</v>
      </c>
      <c r="R192" s="29">
        <v>650512</v>
      </c>
      <c r="S192" s="29">
        <v>55121</v>
      </c>
      <c r="T192" s="29">
        <v>595391</v>
      </c>
      <c r="U192" s="29">
        <v>341815</v>
      </c>
      <c r="V192" s="29">
        <v>253576</v>
      </c>
    </row>
    <row r="193" spans="1:22" x14ac:dyDescent="0.2">
      <c r="A193" s="20" t="s">
        <v>292</v>
      </c>
      <c r="B193" s="20" t="s">
        <v>683</v>
      </c>
      <c r="C193" s="25">
        <v>120.85</v>
      </c>
      <c r="D193" s="27">
        <v>803.5</v>
      </c>
      <c r="E193" s="25">
        <v>924.35</v>
      </c>
      <c r="F193" s="25">
        <v>2.08</v>
      </c>
      <c r="G193" s="29">
        <v>13</v>
      </c>
      <c r="H193" s="27">
        <v>0</v>
      </c>
      <c r="I193" s="29">
        <v>817</v>
      </c>
      <c r="J193" s="29">
        <v>285541</v>
      </c>
      <c r="K193" s="29">
        <v>2605</v>
      </c>
      <c r="L193" s="29">
        <v>288146</v>
      </c>
      <c r="M193" s="29">
        <v>46986</v>
      </c>
      <c r="N193" s="29">
        <v>51945</v>
      </c>
      <c r="O193" s="29">
        <v>643</v>
      </c>
      <c r="P193" s="29">
        <v>29343</v>
      </c>
      <c r="Q193" s="29">
        <v>3143</v>
      </c>
      <c r="R193" s="29">
        <v>420206</v>
      </c>
      <c r="S193" s="29">
        <v>44838</v>
      </c>
      <c r="T193" s="29">
        <v>375368</v>
      </c>
      <c r="U193" s="29">
        <v>213697</v>
      </c>
      <c r="V193" s="29">
        <v>161671</v>
      </c>
    </row>
    <row r="194" spans="1:22" x14ac:dyDescent="0.2">
      <c r="A194" s="20" t="s">
        <v>10</v>
      </c>
      <c r="B194" s="20" t="s">
        <v>422</v>
      </c>
      <c r="C194" s="25">
        <v>105.21</v>
      </c>
      <c r="D194" s="27">
        <v>767.7</v>
      </c>
      <c r="E194" s="25">
        <v>872.91</v>
      </c>
      <c r="F194" s="25">
        <v>2.48</v>
      </c>
      <c r="G194" s="29">
        <v>1</v>
      </c>
      <c r="H194" s="27">
        <v>0</v>
      </c>
      <c r="I194" s="29">
        <v>769</v>
      </c>
      <c r="J194" s="29">
        <v>282046</v>
      </c>
      <c r="K194" s="29">
        <v>0</v>
      </c>
      <c r="L194" s="29">
        <v>282046</v>
      </c>
      <c r="M194" s="29">
        <v>44433</v>
      </c>
      <c r="N194" s="29">
        <v>49531</v>
      </c>
      <c r="O194" s="29">
        <v>801</v>
      </c>
      <c r="P194" s="29">
        <v>27846</v>
      </c>
      <c r="Q194" s="29">
        <v>3003</v>
      </c>
      <c r="R194" s="29">
        <v>407660</v>
      </c>
      <c r="S194" s="29">
        <v>49021</v>
      </c>
      <c r="T194" s="29">
        <v>358639</v>
      </c>
      <c r="U194" s="29">
        <v>195423</v>
      </c>
      <c r="V194" s="29">
        <v>163216</v>
      </c>
    </row>
    <row r="195" spans="1:22" x14ac:dyDescent="0.2">
      <c r="A195" s="20" t="s">
        <v>101</v>
      </c>
      <c r="B195" s="20" t="s">
        <v>502</v>
      </c>
      <c r="C195" s="25">
        <v>61.55</v>
      </c>
      <c r="D195" s="27">
        <v>485.5</v>
      </c>
      <c r="E195" s="25">
        <v>547.04999999999995</v>
      </c>
      <c r="F195" s="25">
        <v>0</v>
      </c>
      <c r="G195" s="29">
        <v>5</v>
      </c>
      <c r="H195" s="27">
        <v>0</v>
      </c>
      <c r="I195" s="29">
        <v>491</v>
      </c>
      <c r="J195" s="29">
        <v>170805</v>
      </c>
      <c r="K195" s="29">
        <v>2732</v>
      </c>
      <c r="L195" s="29">
        <v>173537</v>
      </c>
      <c r="M195" s="29">
        <v>28385</v>
      </c>
      <c r="N195" s="29">
        <v>31670</v>
      </c>
      <c r="O195" s="29">
        <v>0</v>
      </c>
      <c r="P195" s="29">
        <v>21406</v>
      </c>
      <c r="Q195" s="29">
        <v>2462</v>
      </c>
      <c r="R195" s="29">
        <v>257460</v>
      </c>
      <c r="S195" s="29">
        <v>24738</v>
      </c>
      <c r="T195" s="29">
        <v>232722</v>
      </c>
      <c r="U195" s="29">
        <v>132610</v>
      </c>
      <c r="V195" s="29">
        <v>100112</v>
      </c>
    </row>
    <row r="196" spans="1:22" x14ac:dyDescent="0.2">
      <c r="A196" s="20" t="s">
        <v>164</v>
      </c>
      <c r="B196" s="20" t="s">
        <v>561</v>
      </c>
      <c r="C196" s="25">
        <v>140.55000000000001</v>
      </c>
      <c r="D196" s="27">
        <v>953.8</v>
      </c>
      <c r="E196" s="25">
        <v>1094.3499999999999</v>
      </c>
      <c r="F196" s="25">
        <v>0</v>
      </c>
      <c r="G196" s="29">
        <v>84</v>
      </c>
      <c r="H196" s="27">
        <v>2.8</v>
      </c>
      <c r="I196" s="29">
        <v>1035</v>
      </c>
      <c r="J196" s="29">
        <v>337005</v>
      </c>
      <c r="K196" s="29">
        <v>8708</v>
      </c>
      <c r="L196" s="29">
        <v>345713</v>
      </c>
      <c r="M196" s="29">
        <v>59513</v>
      </c>
      <c r="N196" s="29">
        <v>65391</v>
      </c>
      <c r="O196" s="29">
        <v>0</v>
      </c>
      <c r="P196" s="29">
        <v>31681</v>
      </c>
      <c r="Q196" s="29">
        <v>3688</v>
      </c>
      <c r="R196" s="29">
        <v>505986</v>
      </c>
      <c r="S196" s="29">
        <v>48152</v>
      </c>
      <c r="T196" s="29">
        <v>457834</v>
      </c>
      <c r="U196" s="29">
        <v>254238</v>
      </c>
      <c r="V196" s="29">
        <v>203596</v>
      </c>
    </row>
    <row r="197" spans="1:22" x14ac:dyDescent="0.2">
      <c r="A197" s="20" t="s">
        <v>325</v>
      </c>
      <c r="B197" s="20" t="s">
        <v>715</v>
      </c>
      <c r="C197" s="25">
        <v>41.2</v>
      </c>
      <c r="D197" s="27">
        <v>341.4</v>
      </c>
      <c r="E197" s="25">
        <v>382.6</v>
      </c>
      <c r="F197" s="25">
        <v>0.96</v>
      </c>
      <c r="G197" s="29">
        <v>0</v>
      </c>
      <c r="H197" s="27">
        <v>0</v>
      </c>
      <c r="I197" s="29">
        <v>341</v>
      </c>
      <c r="J197" s="29">
        <v>117179</v>
      </c>
      <c r="K197" s="29">
        <v>1107</v>
      </c>
      <c r="L197" s="29">
        <v>118286</v>
      </c>
      <c r="M197" s="29">
        <v>19601</v>
      </c>
      <c r="N197" s="29">
        <v>21534</v>
      </c>
      <c r="O197" s="29">
        <v>294</v>
      </c>
      <c r="P197" s="29">
        <v>11863</v>
      </c>
      <c r="Q197" s="29">
        <v>1292</v>
      </c>
      <c r="R197" s="29">
        <v>172870</v>
      </c>
      <c r="S197" s="29">
        <v>14721</v>
      </c>
      <c r="T197" s="29">
        <v>158149</v>
      </c>
      <c r="U197" s="29">
        <v>92023</v>
      </c>
      <c r="V197" s="29">
        <v>66126</v>
      </c>
    </row>
    <row r="198" spans="1:22" x14ac:dyDescent="0.2">
      <c r="A198" s="20" t="s">
        <v>293</v>
      </c>
      <c r="B198" s="20" t="s">
        <v>684</v>
      </c>
      <c r="C198" s="25">
        <v>51.04</v>
      </c>
      <c r="D198" s="27">
        <v>229.7</v>
      </c>
      <c r="E198" s="25">
        <v>280.74</v>
      </c>
      <c r="F198" s="25">
        <v>0.63</v>
      </c>
      <c r="G198" s="29">
        <v>0</v>
      </c>
      <c r="H198" s="27">
        <v>0</v>
      </c>
      <c r="I198" s="29">
        <v>230</v>
      </c>
      <c r="J198" s="29">
        <v>86723</v>
      </c>
      <c r="K198" s="29">
        <v>6145</v>
      </c>
      <c r="L198" s="29">
        <v>92868</v>
      </c>
      <c r="M198" s="29">
        <v>13227</v>
      </c>
      <c r="N198" s="29">
        <v>14623</v>
      </c>
      <c r="O198" s="29">
        <v>195</v>
      </c>
      <c r="P198" s="29">
        <v>9097</v>
      </c>
      <c r="Q198" s="29">
        <v>974</v>
      </c>
      <c r="R198" s="29">
        <v>130984</v>
      </c>
      <c r="S198" s="29">
        <v>14742</v>
      </c>
      <c r="T198" s="29">
        <v>116242</v>
      </c>
      <c r="U198" s="29">
        <v>63983</v>
      </c>
      <c r="V198" s="29">
        <v>52259</v>
      </c>
    </row>
    <row r="199" spans="1:22" x14ac:dyDescent="0.2">
      <c r="A199" s="20" t="s">
        <v>326</v>
      </c>
      <c r="B199" s="20" t="s">
        <v>716</v>
      </c>
      <c r="C199" s="25">
        <v>16.25</v>
      </c>
      <c r="D199" s="27">
        <v>209</v>
      </c>
      <c r="E199" s="25">
        <v>225.25</v>
      </c>
      <c r="F199" s="25">
        <v>0.56000000000000005</v>
      </c>
      <c r="G199" s="29">
        <v>0</v>
      </c>
      <c r="H199" s="27">
        <v>0</v>
      </c>
      <c r="I199" s="29">
        <v>209</v>
      </c>
      <c r="J199" s="29">
        <v>68987</v>
      </c>
      <c r="K199" s="29">
        <v>635</v>
      </c>
      <c r="L199" s="29">
        <v>69622</v>
      </c>
      <c r="M199" s="29">
        <v>12013</v>
      </c>
      <c r="N199" s="29">
        <v>13198</v>
      </c>
      <c r="O199" s="29">
        <v>172</v>
      </c>
      <c r="P199" s="29">
        <v>6922</v>
      </c>
      <c r="Q199" s="29">
        <v>755</v>
      </c>
      <c r="R199" s="29">
        <v>102682</v>
      </c>
      <c r="S199" s="29">
        <v>10949</v>
      </c>
      <c r="T199" s="29">
        <v>91733</v>
      </c>
      <c r="U199" s="29">
        <v>51826</v>
      </c>
      <c r="V199" s="29">
        <v>39907</v>
      </c>
    </row>
    <row r="200" spans="1:22" x14ac:dyDescent="0.2">
      <c r="A200" s="20" t="s">
        <v>327</v>
      </c>
      <c r="B200" s="20" t="s">
        <v>717</v>
      </c>
      <c r="C200" s="25">
        <v>27.11</v>
      </c>
      <c r="D200" s="27">
        <v>208.5</v>
      </c>
      <c r="E200" s="25">
        <v>235.61</v>
      </c>
      <c r="F200" s="25">
        <v>0.59</v>
      </c>
      <c r="G200" s="29">
        <v>0</v>
      </c>
      <c r="H200" s="27">
        <v>0</v>
      </c>
      <c r="I200" s="29">
        <v>209</v>
      </c>
      <c r="J200" s="29">
        <v>72160</v>
      </c>
      <c r="K200" s="29">
        <v>1987</v>
      </c>
      <c r="L200" s="29">
        <v>74147</v>
      </c>
      <c r="M200" s="29">
        <v>12013</v>
      </c>
      <c r="N200" s="29">
        <v>13198</v>
      </c>
      <c r="O200" s="29">
        <v>181</v>
      </c>
      <c r="P200" s="29">
        <v>7436</v>
      </c>
      <c r="Q200" s="29">
        <v>810</v>
      </c>
      <c r="R200" s="29">
        <v>107785</v>
      </c>
      <c r="S200" s="29">
        <v>12939</v>
      </c>
      <c r="T200" s="29">
        <v>94846</v>
      </c>
      <c r="U200" s="29">
        <v>52940</v>
      </c>
      <c r="V200" s="29">
        <v>41906</v>
      </c>
    </row>
    <row r="201" spans="1:22" x14ac:dyDescent="0.2">
      <c r="A201" s="20" t="s">
        <v>294</v>
      </c>
      <c r="B201" s="20" t="s">
        <v>685</v>
      </c>
      <c r="C201" s="25">
        <v>92.69</v>
      </c>
      <c r="D201" s="27">
        <v>607</v>
      </c>
      <c r="E201" s="25">
        <v>699.69</v>
      </c>
      <c r="F201" s="25">
        <v>1.58</v>
      </c>
      <c r="G201" s="29">
        <v>1</v>
      </c>
      <c r="H201" s="27">
        <v>0</v>
      </c>
      <c r="I201" s="29">
        <v>608</v>
      </c>
      <c r="J201" s="29">
        <v>216141</v>
      </c>
      <c r="K201" s="29">
        <v>0</v>
      </c>
      <c r="L201" s="29">
        <v>216141</v>
      </c>
      <c r="M201" s="29">
        <v>34966</v>
      </c>
      <c r="N201" s="29">
        <v>38657</v>
      </c>
      <c r="O201" s="29">
        <v>488</v>
      </c>
      <c r="P201" s="29">
        <v>22194</v>
      </c>
      <c r="Q201" s="29">
        <v>2379</v>
      </c>
      <c r="R201" s="29">
        <v>314825</v>
      </c>
      <c r="S201" s="29">
        <v>39236</v>
      </c>
      <c r="T201" s="29">
        <v>275589</v>
      </c>
      <c r="U201" s="29">
        <v>156447</v>
      </c>
      <c r="V201" s="29">
        <v>119142</v>
      </c>
    </row>
    <row r="202" spans="1:22" x14ac:dyDescent="0.2">
      <c r="A202" s="20" t="s">
        <v>328</v>
      </c>
      <c r="B202" s="20" t="s">
        <v>718</v>
      </c>
      <c r="C202" s="25">
        <v>266.82</v>
      </c>
      <c r="D202" s="27">
        <v>1902.8</v>
      </c>
      <c r="E202" s="25">
        <v>2169.62</v>
      </c>
      <c r="F202" s="25">
        <v>5.44</v>
      </c>
      <c r="G202" s="29">
        <v>3</v>
      </c>
      <c r="H202" s="27">
        <v>0</v>
      </c>
      <c r="I202" s="29">
        <v>1906</v>
      </c>
      <c r="J202" s="29">
        <v>664490</v>
      </c>
      <c r="K202" s="29">
        <v>0</v>
      </c>
      <c r="L202" s="29">
        <v>664490</v>
      </c>
      <c r="M202" s="29">
        <v>109557</v>
      </c>
      <c r="N202" s="29">
        <v>120364</v>
      </c>
      <c r="O202" s="29">
        <v>1666</v>
      </c>
      <c r="P202" s="29">
        <v>66672</v>
      </c>
      <c r="Q202" s="29">
        <v>7268</v>
      </c>
      <c r="R202" s="29">
        <v>970017</v>
      </c>
      <c r="S202" s="29">
        <v>93333</v>
      </c>
      <c r="T202" s="29">
        <v>876684</v>
      </c>
      <c r="U202" s="29">
        <v>511322</v>
      </c>
      <c r="V202" s="29">
        <v>365362</v>
      </c>
    </row>
    <row r="203" spans="1:22" x14ac:dyDescent="0.2">
      <c r="A203" s="20" t="s">
        <v>165</v>
      </c>
      <c r="B203" s="20" t="s">
        <v>562</v>
      </c>
      <c r="C203" s="25">
        <v>77.72</v>
      </c>
      <c r="D203" s="27">
        <v>1108.3</v>
      </c>
      <c r="E203" s="25">
        <v>1186.02</v>
      </c>
      <c r="F203" s="25">
        <v>0</v>
      </c>
      <c r="G203" s="29">
        <v>23</v>
      </c>
      <c r="H203" s="27">
        <v>0</v>
      </c>
      <c r="I203" s="29">
        <v>1131</v>
      </c>
      <c r="J203" s="29">
        <v>365235</v>
      </c>
      <c r="K203" s="29">
        <v>0</v>
      </c>
      <c r="L203" s="29">
        <v>365235</v>
      </c>
      <c r="M203" s="29">
        <v>65033</v>
      </c>
      <c r="N203" s="29">
        <v>71457</v>
      </c>
      <c r="O203" s="29">
        <v>0</v>
      </c>
      <c r="P203" s="29">
        <v>34335</v>
      </c>
      <c r="Q203" s="29">
        <v>3997</v>
      </c>
      <c r="R203" s="29">
        <v>540057</v>
      </c>
      <c r="S203" s="29">
        <v>45951</v>
      </c>
      <c r="T203" s="29">
        <v>494106</v>
      </c>
      <c r="U203" s="29">
        <v>281770</v>
      </c>
      <c r="V203" s="29">
        <v>212336</v>
      </c>
    </row>
    <row r="204" spans="1:22" x14ac:dyDescent="0.2">
      <c r="A204" s="20" t="s">
        <v>295</v>
      </c>
      <c r="B204" s="20" t="s">
        <v>686</v>
      </c>
      <c r="C204" s="25">
        <v>39.159999999999997</v>
      </c>
      <c r="D204" s="27">
        <v>230.5</v>
      </c>
      <c r="E204" s="25">
        <v>269.66000000000003</v>
      </c>
      <c r="F204" s="25">
        <v>0.61</v>
      </c>
      <c r="G204" s="29">
        <v>0</v>
      </c>
      <c r="H204" s="27">
        <v>0</v>
      </c>
      <c r="I204" s="29">
        <v>231</v>
      </c>
      <c r="J204" s="29">
        <v>83301</v>
      </c>
      <c r="K204" s="29">
        <v>4792</v>
      </c>
      <c r="L204" s="29">
        <v>88093</v>
      </c>
      <c r="M204" s="29">
        <v>13285</v>
      </c>
      <c r="N204" s="29">
        <v>14687</v>
      </c>
      <c r="O204" s="29">
        <v>188</v>
      </c>
      <c r="P204" s="29">
        <v>8554</v>
      </c>
      <c r="Q204" s="29">
        <v>917</v>
      </c>
      <c r="R204" s="29">
        <v>125724</v>
      </c>
      <c r="S204" s="29">
        <v>15048</v>
      </c>
      <c r="T204" s="29">
        <v>110676</v>
      </c>
      <c r="U204" s="29">
        <v>60369</v>
      </c>
      <c r="V204" s="29">
        <v>50307</v>
      </c>
    </row>
    <row r="205" spans="1:22" x14ac:dyDescent="0.2">
      <c r="A205" s="20" t="s">
        <v>136</v>
      </c>
      <c r="B205" s="20" t="s">
        <v>536</v>
      </c>
      <c r="C205" s="25">
        <v>748.66</v>
      </c>
      <c r="D205" s="27">
        <v>4811.8</v>
      </c>
      <c r="E205" s="25">
        <v>5560.46</v>
      </c>
      <c r="F205" s="25">
        <v>10.08</v>
      </c>
      <c r="G205" s="29">
        <v>172</v>
      </c>
      <c r="H205" s="27">
        <v>0</v>
      </c>
      <c r="I205" s="29">
        <v>4984</v>
      </c>
      <c r="J205" s="29">
        <v>1723020</v>
      </c>
      <c r="K205" s="29">
        <v>0</v>
      </c>
      <c r="L205" s="29">
        <v>1723020</v>
      </c>
      <c r="M205" s="29">
        <v>285683</v>
      </c>
      <c r="N205" s="29">
        <v>311899</v>
      </c>
      <c r="O205" s="29">
        <v>3123</v>
      </c>
      <c r="P205" s="29">
        <v>156805</v>
      </c>
      <c r="Q205" s="29">
        <v>18405</v>
      </c>
      <c r="R205" s="29">
        <v>2498935</v>
      </c>
      <c r="S205" s="29">
        <v>253669</v>
      </c>
      <c r="T205" s="29">
        <v>2245266</v>
      </c>
      <c r="U205" s="29">
        <v>1280753</v>
      </c>
      <c r="V205" s="29">
        <v>964513</v>
      </c>
    </row>
    <row r="206" spans="1:22" x14ac:dyDescent="0.2">
      <c r="A206" s="20" t="s">
        <v>102</v>
      </c>
      <c r="B206" s="20" t="s">
        <v>503</v>
      </c>
      <c r="C206" s="25">
        <v>76.73</v>
      </c>
      <c r="D206" s="27">
        <v>585.20000000000005</v>
      </c>
      <c r="E206" s="25">
        <v>661.93</v>
      </c>
      <c r="F206" s="25">
        <v>0</v>
      </c>
      <c r="G206" s="29">
        <v>3</v>
      </c>
      <c r="H206" s="27">
        <v>0</v>
      </c>
      <c r="I206" s="29">
        <v>588</v>
      </c>
      <c r="J206" s="29">
        <v>206674</v>
      </c>
      <c r="K206" s="29">
        <v>0</v>
      </c>
      <c r="L206" s="29">
        <v>206674</v>
      </c>
      <c r="M206" s="29">
        <v>33992</v>
      </c>
      <c r="N206" s="29">
        <v>37926</v>
      </c>
      <c r="O206" s="29">
        <v>0</v>
      </c>
      <c r="P206" s="29">
        <v>25901</v>
      </c>
      <c r="Q206" s="29">
        <v>2979</v>
      </c>
      <c r="R206" s="29">
        <v>307472</v>
      </c>
      <c r="S206" s="29">
        <v>37009</v>
      </c>
      <c r="T206" s="29">
        <v>270463</v>
      </c>
      <c r="U206" s="29">
        <v>153382</v>
      </c>
      <c r="V206" s="29">
        <v>117081</v>
      </c>
    </row>
    <row r="207" spans="1:22" x14ac:dyDescent="0.2">
      <c r="A207" s="20" t="s">
        <v>207</v>
      </c>
      <c r="B207" s="20" t="s">
        <v>603</v>
      </c>
      <c r="C207" s="25">
        <v>175.15</v>
      </c>
      <c r="D207" s="27">
        <v>1488.7</v>
      </c>
      <c r="E207" s="25">
        <v>1663.85</v>
      </c>
      <c r="F207" s="25">
        <v>0</v>
      </c>
      <c r="G207" s="29">
        <v>4</v>
      </c>
      <c r="H207" s="27">
        <v>0</v>
      </c>
      <c r="I207" s="29">
        <v>1493</v>
      </c>
      <c r="J207" s="29">
        <v>500569</v>
      </c>
      <c r="K207" s="29">
        <v>0</v>
      </c>
      <c r="L207" s="29">
        <v>500569</v>
      </c>
      <c r="M207" s="29">
        <v>85668</v>
      </c>
      <c r="N207" s="29">
        <v>94059</v>
      </c>
      <c r="O207" s="29">
        <v>0</v>
      </c>
      <c r="P207" s="29">
        <v>41896</v>
      </c>
      <c r="Q207" s="29">
        <v>5291</v>
      </c>
      <c r="R207" s="29">
        <v>727483</v>
      </c>
      <c r="S207" s="29">
        <v>69114</v>
      </c>
      <c r="T207" s="29">
        <v>658369</v>
      </c>
      <c r="U207" s="29">
        <v>384052</v>
      </c>
      <c r="V207" s="29">
        <v>274317</v>
      </c>
    </row>
    <row r="208" spans="1:22" x14ac:dyDescent="0.2">
      <c r="A208" s="20" t="s">
        <v>41</v>
      </c>
      <c r="B208" s="20" t="s">
        <v>452</v>
      </c>
      <c r="C208" s="25">
        <v>36.71</v>
      </c>
      <c r="D208" s="27">
        <v>451.1</v>
      </c>
      <c r="E208" s="25">
        <v>487.81</v>
      </c>
      <c r="F208" s="25">
        <v>1.34</v>
      </c>
      <c r="G208" s="29">
        <v>8</v>
      </c>
      <c r="H208" s="27">
        <v>0</v>
      </c>
      <c r="I208" s="29">
        <v>459</v>
      </c>
      <c r="J208" s="29">
        <v>155543</v>
      </c>
      <c r="K208" s="29">
        <v>1508</v>
      </c>
      <c r="L208" s="29">
        <v>157051</v>
      </c>
      <c r="M208" s="29">
        <v>26558</v>
      </c>
      <c r="N208" s="29">
        <v>29780</v>
      </c>
      <c r="O208" s="29">
        <v>427</v>
      </c>
      <c r="P208" s="29">
        <v>16517</v>
      </c>
      <c r="Q208" s="29">
        <v>1966</v>
      </c>
      <c r="R208" s="29">
        <v>232299</v>
      </c>
      <c r="S208" s="29">
        <v>22754</v>
      </c>
      <c r="T208" s="29">
        <v>209545</v>
      </c>
      <c r="U208" s="29">
        <v>115082</v>
      </c>
      <c r="V208" s="29">
        <v>94463</v>
      </c>
    </row>
    <row r="209" spans="1:22" x14ac:dyDescent="0.2">
      <c r="A209" s="20" t="s">
        <v>11</v>
      </c>
      <c r="B209" s="20" t="s">
        <v>423</v>
      </c>
      <c r="C209" s="25">
        <v>105.86</v>
      </c>
      <c r="D209" s="27">
        <v>915</v>
      </c>
      <c r="E209" s="25">
        <v>1020.86</v>
      </c>
      <c r="F209" s="25">
        <v>2.9</v>
      </c>
      <c r="G209" s="29">
        <v>131</v>
      </c>
      <c r="H209" s="27">
        <v>2</v>
      </c>
      <c r="I209" s="29">
        <v>1044</v>
      </c>
      <c r="J209" s="29">
        <v>329850</v>
      </c>
      <c r="K209" s="29">
        <v>5976</v>
      </c>
      <c r="L209" s="29">
        <v>335826</v>
      </c>
      <c r="M209" s="29">
        <v>60322</v>
      </c>
      <c r="N209" s="29">
        <v>67244</v>
      </c>
      <c r="O209" s="29">
        <v>937</v>
      </c>
      <c r="P209" s="29">
        <v>32876</v>
      </c>
      <c r="Q209" s="29">
        <v>3542</v>
      </c>
      <c r="R209" s="29">
        <v>500747</v>
      </c>
      <c r="S209" s="29">
        <v>58022</v>
      </c>
      <c r="T209" s="29">
        <v>442725</v>
      </c>
      <c r="U209" s="29">
        <v>228193</v>
      </c>
      <c r="V209" s="29">
        <v>214532</v>
      </c>
    </row>
    <row r="210" spans="1:22" x14ac:dyDescent="0.2">
      <c r="A210" s="20" t="s">
        <v>329</v>
      </c>
      <c r="B210" s="20" t="s">
        <v>719</v>
      </c>
      <c r="C210" s="25">
        <v>46.34</v>
      </c>
      <c r="D210" s="27">
        <v>494.1</v>
      </c>
      <c r="E210" s="25">
        <v>540.44000000000005</v>
      </c>
      <c r="F210" s="25">
        <v>1.36</v>
      </c>
      <c r="G210" s="29">
        <v>3</v>
      </c>
      <c r="H210" s="27">
        <v>0</v>
      </c>
      <c r="I210" s="29">
        <v>497</v>
      </c>
      <c r="J210" s="29">
        <v>165521</v>
      </c>
      <c r="K210" s="29">
        <v>1852</v>
      </c>
      <c r="L210" s="29">
        <v>167373</v>
      </c>
      <c r="M210" s="29">
        <v>28568</v>
      </c>
      <c r="N210" s="29">
        <v>31386</v>
      </c>
      <c r="O210" s="29">
        <v>417</v>
      </c>
      <c r="P210" s="29">
        <v>16608</v>
      </c>
      <c r="Q210" s="29">
        <v>1810</v>
      </c>
      <c r="R210" s="29">
        <v>246162</v>
      </c>
      <c r="S210" s="29">
        <v>25009</v>
      </c>
      <c r="T210" s="29">
        <v>221153</v>
      </c>
      <c r="U210" s="29">
        <v>125608</v>
      </c>
      <c r="V210" s="29">
        <v>95545</v>
      </c>
    </row>
    <row r="211" spans="1:22" x14ac:dyDescent="0.2">
      <c r="A211" s="20" t="s">
        <v>208</v>
      </c>
      <c r="B211" s="20" t="s">
        <v>604</v>
      </c>
      <c r="C211" s="25">
        <v>460.8</v>
      </c>
      <c r="D211" s="27">
        <v>2996.5</v>
      </c>
      <c r="E211" s="25">
        <v>3457.3</v>
      </c>
      <c r="F211" s="25">
        <v>0</v>
      </c>
      <c r="G211" s="29">
        <v>90</v>
      </c>
      <c r="H211" s="27">
        <v>0.1</v>
      </c>
      <c r="I211" s="29">
        <v>3086</v>
      </c>
      <c r="J211" s="29">
        <v>1040129</v>
      </c>
      <c r="K211" s="29">
        <v>0</v>
      </c>
      <c r="L211" s="29">
        <v>1040129</v>
      </c>
      <c r="M211" s="29">
        <v>177075</v>
      </c>
      <c r="N211" s="29">
        <v>194418</v>
      </c>
      <c r="O211" s="29">
        <v>0</v>
      </c>
      <c r="P211" s="29">
        <v>87055</v>
      </c>
      <c r="Q211" s="29">
        <v>10994</v>
      </c>
      <c r="R211" s="29">
        <v>1509671</v>
      </c>
      <c r="S211" s="29">
        <v>154889</v>
      </c>
      <c r="T211" s="29">
        <v>1354782</v>
      </c>
      <c r="U211" s="29">
        <v>786741</v>
      </c>
      <c r="V211" s="29">
        <v>568041</v>
      </c>
    </row>
    <row r="212" spans="1:22" x14ac:dyDescent="0.2">
      <c r="A212" s="20" t="s">
        <v>74</v>
      </c>
      <c r="B212" s="20" t="s">
        <v>477</v>
      </c>
      <c r="C212" s="25">
        <v>95.93</v>
      </c>
      <c r="D212" s="27">
        <v>791.2</v>
      </c>
      <c r="E212" s="25">
        <v>887.13</v>
      </c>
      <c r="F212" s="25">
        <v>0</v>
      </c>
      <c r="G212" s="29">
        <v>44</v>
      </c>
      <c r="H212" s="27">
        <v>0</v>
      </c>
      <c r="I212" s="29">
        <v>835</v>
      </c>
      <c r="J212" s="29">
        <v>276989</v>
      </c>
      <c r="K212" s="29">
        <v>3915</v>
      </c>
      <c r="L212" s="29">
        <v>280904</v>
      </c>
      <c r="M212" s="29">
        <v>48271</v>
      </c>
      <c r="N212" s="29">
        <v>53858</v>
      </c>
      <c r="O212" s="29">
        <v>0</v>
      </c>
      <c r="P212" s="29">
        <v>35014</v>
      </c>
      <c r="Q212" s="29">
        <v>4028</v>
      </c>
      <c r="R212" s="29">
        <v>422075</v>
      </c>
      <c r="S212" s="29">
        <v>46457</v>
      </c>
      <c r="T212" s="29">
        <v>375618</v>
      </c>
      <c r="U212" s="29">
        <v>209045</v>
      </c>
      <c r="V212" s="29">
        <v>166573</v>
      </c>
    </row>
    <row r="213" spans="1:22" x14ac:dyDescent="0.2">
      <c r="A213" s="20" t="s">
        <v>138</v>
      </c>
      <c r="B213" s="20" t="s">
        <v>538</v>
      </c>
      <c r="C213" s="25">
        <v>50.66</v>
      </c>
      <c r="D213" s="27">
        <v>532.79999999999995</v>
      </c>
      <c r="E213" s="25">
        <v>583.46</v>
      </c>
      <c r="F213" s="25">
        <v>1.06</v>
      </c>
      <c r="G213" s="29">
        <v>4</v>
      </c>
      <c r="H213" s="27">
        <v>0</v>
      </c>
      <c r="I213" s="29">
        <v>537</v>
      </c>
      <c r="J213" s="29">
        <v>180797</v>
      </c>
      <c r="K213" s="29">
        <v>0</v>
      </c>
      <c r="L213" s="29">
        <v>180797</v>
      </c>
      <c r="M213" s="29">
        <v>30781</v>
      </c>
      <c r="N213" s="29">
        <v>33605</v>
      </c>
      <c r="O213" s="29">
        <v>328</v>
      </c>
      <c r="P213" s="29">
        <v>16454</v>
      </c>
      <c r="Q213" s="29">
        <v>1931</v>
      </c>
      <c r="R213" s="29">
        <v>263896</v>
      </c>
      <c r="S213" s="29">
        <v>30807</v>
      </c>
      <c r="T213" s="29">
        <v>233089</v>
      </c>
      <c r="U213" s="29">
        <v>130201</v>
      </c>
      <c r="V213" s="29">
        <v>102888</v>
      </c>
    </row>
    <row r="214" spans="1:22" x14ac:dyDescent="0.2">
      <c r="A214" s="20" t="s">
        <v>12</v>
      </c>
      <c r="B214" s="20" t="s">
        <v>424</v>
      </c>
      <c r="C214" s="25">
        <v>195.47</v>
      </c>
      <c r="D214" s="27">
        <v>1123.5</v>
      </c>
      <c r="E214" s="25">
        <v>1318.97</v>
      </c>
      <c r="F214" s="25">
        <v>3.75</v>
      </c>
      <c r="G214" s="29">
        <v>6</v>
      </c>
      <c r="H214" s="27">
        <v>0</v>
      </c>
      <c r="I214" s="29">
        <v>1130</v>
      </c>
      <c r="J214" s="29">
        <v>426172</v>
      </c>
      <c r="K214" s="29">
        <v>10800</v>
      </c>
      <c r="L214" s="29">
        <v>436972</v>
      </c>
      <c r="M214" s="29">
        <v>65291</v>
      </c>
      <c r="N214" s="29">
        <v>72783</v>
      </c>
      <c r="O214" s="29">
        <v>1212</v>
      </c>
      <c r="P214" s="29">
        <v>42075</v>
      </c>
      <c r="Q214" s="29">
        <v>4537</v>
      </c>
      <c r="R214" s="29">
        <v>622870</v>
      </c>
      <c r="S214" s="29">
        <v>80898</v>
      </c>
      <c r="T214" s="29">
        <v>541972</v>
      </c>
      <c r="U214" s="29">
        <v>288458</v>
      </c>
      <c r="V214" s="29">
        <v>253514</v>
      </c>
    </row>
    <row r="215" spans="1:22" x14ac:dyDescent="0.2">
      <c r="A215" s="20" t="s">
        <v>330</v>
      </c>
      <c r="B215" s="20" t="s">
        <v>720</v>
      </c>
      <c r="C215" s="25">
        <v>59.72</v>
      </c>
      <c r="D215" s="27">
        <v>488.7</v>
      </c>
      <c r="E215" s="25">
        <v>548.41999999999996</v>
      </c>
      <c r="F215" s="25">
        <v>1.37</v>
      </c>
      <c r="G215" s="29">
        <v>21</v>
      </c>
      <c r="H215" s="27">
        <v>0</v>
      </c>
      <c r="I215" s="29">
        <v>510</v>
      </c>
      <c r="J215" s="29">
        <v>167965</v>
      </c>
      <c r="K215" s="29">
        <v>1544</v>
      </c>
      <c r="L215" s="29">
        <v>169509</v>
      </c>
      <c r="M215" s="29">
        <v>29315</v>
      </c>
      <c r="N215" s="29">
        <v>32207</v>
      </c>
      <c r="O215" s="29">
        <v>420</v>
      </c>
      <c r="P215" s="29">
        <v>16853</v>
      </c>
      <c r="Q215" s="29">
        <v>1837</v>
      </c>
      <c r="R215" s="29">
        <v>250141</v>
      </c>
      <c r="S215" s="29">
        <v>25355</v>
      </c>
      <c r="T215" s="29">
        <v>224786</v>
      </c>
      <c r="U215" s="29">
        <v>127484</v>
      </c>
      <c r="V215" s="29">
        <v>97302</v>
      </c>
    </row>
    <row r="216" spans="1:22" x14ac:dyDescent="0.2">
      <c r="A216" s="20" t="s">
        <v>167</v>
      </c>
      <c r="B216" s="20" t="s">
        <v>564</v>
      </c>
      <c r="C216" s="25">
        <v>55.72</v>
      </c>
      <c r="D216" s="27">
        <v>600.4</v>
      </c>
      <c r="E216" s="25">
        <v>656.12</v>
      </c>
      <c r="F216" s="25">
        <v>0</v>
      </c>
      <c r="G216" s="29">
        <v>5</v>
      </c>
      <c r="H216" s="27">
        <v>0</v>
      </c>
      <c r="I216" s="29">
        <v>605</v>
      </c>
      <c r="J216" s="29">
        <v>202052</v>
      </c>
      <c r="K216" s="29">
        <v>13717</v>
      </c>
      <c r="L216" s="29">
        <v>215769</v>
      </c>
      <c r="M216" s="29">
        <v>34788</v>
      </c>
      <c r="N216" s="29">
        <v>38224</v>
      </c>
      <c r="O216" s="29">
        <v>0</v>
      </c>
      <c r="P216" s="29">
        <v>18995</v>
      </c>
      <c r="Q216" s="29">
        <v>2211</v>
      </c>
      <c r="R216" s="29">
        <v>309987</v>
      </c>
      <c r="S216" s="29">
        <v>34751</v>
      </c>
      <c r="T216" s="29">
        <v>275236</v>
      </c>
      <c r="U216" s="29">
        <v>146548</v>
      </c>
      <c r="V216" s="29">
        <v>128688</v>
      </c>
    </row>
    <row r="217" spans="1:22" x14ac:dyDescent="0.2">
      <c r="A217" s="20" t="s">
        <v>42</v>
      </c>
      <c r="B217" s="20" t="s">
        <v>453</v>
      </c>
      <c r="C217" s="25">
        <v>49.1</v>
      </c>
      <c r="D217" s="27">
        <v>272.10000000000002</v>
      </c>
      <c r="E217" s="25">
        <v>321.2</v>
      </c>
      <c r="F217" s="25">
        <v>0.88</v>
      </c>
      <c r="G217" s="29">
        <v>41</v>
      </c>
      <c r="H217" s="27">
        <v>0</v>
      </c>
      <c r="I217" s="29">
        <v>313</v>
      </c>
      <c r="J217" s="29">
        <v>102418</v>
      </c>
      <c r="K217" s="29">
        <v>6603</v>
      </c>
      <c r="L217" s="29">
        <v>109021</v>
      </c>
      <c r="M217" s="29">
        <v>18110</v>
      </c>
      <c r="N217" s="29">
        <v>20307</v>
      </c>
      <c r="O217" s="29">
        <v>281</v>
      </c>
      <c r="P217" s="29">
        <v>10876</v>
      </c>
      <c r="Q217" s="29">
        <v>1294</v>
      </c>
      <c r="R217" s="29">
        <v>159889</v>
      </c>
      <c r="S217" s="29">
        <v>21324</v>
      </c>
      <c r="T217" s="29">
        <v>138565</v>
      </c>
      <c r="U217" s="29">
        <v>69434</v>
      </c>
      <c r="V217" s="29">
        <v>69131</v>
      </c>
    </row>
    <row r="218" spans="1:22" x14ac:dyDescent="0.2">
      <c r="A218" s="20" t="s">
        <v>209</v>
      </c>
      <c r="B218" s="20" t="s">
        <v>605</v>
      </c>
      <c r="C218" s="25">
        <v>122.39</v>
      </c>
      <c r="D218" s="27">
        <v>1828</v>
      </c>
      <c r="E218" s="25">
        <v>1950.39</v>
      </c>
      <c r="F218" s="25">
        <v>0</v>
      </c>
      <c r="G218" s="29">
        <v>30</v>
      </c>
      <c r="H218" s="27">
        <v>0</v>
      </c>
      <c r="I218" s="29">
        <v>1858</v>
      </c>
      <c r="J218" s="29">
        <v>586775</v>
      </c>
      <c r="K218" s="29">
        <v>0</v>
      </c>
      <c r="L218" s="29">
        <v>586775</v>
      </c>
      <c r="M218" s="29">
        <v>106612</v>
      </c>
      <c r="N218" s="29">
        <v>117054</v>
      </c>
      <c r="O218" s="29">
        <v>0</v>
      </c>
      <c r="P218" s="29">
        <v>49111</v>
      </c>
      <c r="Q218" s="29">
        <v>6202</v>
      </c>
      <c r="R218" s="29">
        <v>865754</v>
      </c>
      <c r="S218" s="29">
        <v>39904</v>
      </c>
      <c r="T218" s="29">
        <v>825850</v>
      </c>
      <c r="U218" s="29">
        <v>491304</v>
      </c>
      <c r="V218" s="29">
        <v>334546</v>
      </c>
    </row>
    <row r="219" spans="1:22" x14ac:dyDescent="0.2">
      <c r="A219" s="20" t="s">
        <v>137</v>
      </c>
      <c r="B219" s="20" t="s">
        <v>537</v>
      </c>
      <c r="C219" s="25">
        <v>285.62</v>
      </c>
      <c r="D219" s="27">
        <v>3029.6</v>
      </c>
      <c r="E219" s="25">
        <v>3315.22</v>
      </c>
      <c r="F219" s="25">
        <v>6.01</v>
      </c>
      <c r="G219" s="29">
        <v>41</v>
      </c>
      <c r="H219" s="27">
        <v>0</v>
      </c>
      <c r="I219" s="29">
        <v>3071</v>
      </c>
      <c r="J219" s="29">
        <v>1027287</v>
      </c>
      <c r="K219" s="29">
        <v>0</v>
      </c>
      <c r="L219" s="29">
        <v>1027287</v>
      </c>
      <c r="M219" s="29">
        <v>176030</v>
      </c>
      <c r="N219" s="29">
        <v>192183</v>
      </c>
      <c r="O219" s="29">
        <v>1862</v>
      </c>
      <c r="P219" s="29">
        <v>93489</v>
      </c>
      <c r="Q219" s="29">
        <v>10973</v>
      </c>
      <c r="R219" s="29">
        <v>1501824</v>
      </c>
      <c r="S219" s="29">
        <v>130713</v>
      </c>
      <c r="T219" s="29">
        <v>1371111</v>
      </c>
      <c r="U219" s="29">
        <v>784129</v>
      </c>
      <c r="V219" s="29">
        <v>586982</v>
      </c>
    </row>
    <row r="220" spans="1:22" x14ac:dyDescent="0.2">
      <c r="A220" s="20" t="s">
        <v>105</v>
      </c>
      <c r="B220" s="20" t="s">
        <v>506</v>
      </c>
      <c r="C220" s="25">
        <v>67.040000000000006</v>
      </c>
      <c r="D220" s="27">
        <v>446</v>
      </c>
      <c r="E220" s="25">
        <v>513.04</v>
      </c>
      <c r="F220" s="25">
        <v>0</v>
      </c>
      <c r="G220" s="29">
        <v>0</v>
      </c>
      <c r="H220" s="27">
        <v>0</v>
      </c>
      <c r="I220" s="29">
        <v>446</v>
      </c>
      <c r="J220" s="29">
        <v>160186</v>
      </c>
      <c r="K220" s="29">
        <v>0</v>
      </c>
      <c r="L220" s="29">
        <v>160186</v>
      </c>
      <c r="M220" s="29">
        <v>25783</v>
      </c>
      <c r="N220" s="29">
        <v>28767</v>
      </c>
      <c r="O220" s="29">
        <v>0</v>
      </c>
      <c r="P220" s="29">
        <v>20075</v>
      </c>
      <c r="Q220" s="29">
        <v>2309</v>
      </c>
      <c r="R220" s="29">
        <v>237120</v>
      </c>
      <c r="S220" s="29">
        <v>23815</v>
      </c>
      <c r="T220" s="29">
        <v>213305</v>
      </c>
      <c r="U220" s="29">
        <v>123751</v>
      </c>
      <c r="V220" s="29">
        <v>89554</v>
      </c>
    </row>
    <row r="221" spans="1:22" x14ac:dyDescent="0.2">
      <c r="A221" s="20" t="s">
        <v>106</v>
      </c>
      <c r="B221" s="20" t="s">
        <v>507</v>
      </c>
      <c r="C221" s="25">
        <v>62.32</v>
      </c>
      <c r="D221" s="27">
        <v>508.8</v>
      </c>
      <c r="E221" s="25">
        <v>571.12</v>
      </c>
      <c r="F221" s="25">
        <v>0</v>
      </c>
      <c r="G221" s="29">
        <v>1</v>
      </c>
      <c r="H221" s="27">
        <v>0</v>
      </c>
      <c r="I221" s="29">
        <v>510</v>
      </c>
      <c r="J221" s="29">
        <v>178321</v>
      </c>
      <c r="K221" s="29">
        <v>0</v>
      </c>
      <c r="L221" s="29">
        <v>178321</v>
      </c>
      <c r="M221" s="29">
        <v>29483</v>
      </c>
      <c r="N221" s="29">
        <v>32895</v>
      </c>
      <c r="O221" s="29">
        <v>0</v>
      </c>
      <c r="P221" s="29">
        <v>22348</v>
      </c>
      <c r="Q221" s="29">
        <v>2570</v>
      </c>
      <c r="R221" s="29">
        <v>265617</v>
      </c>
      <c r="S221" s="29">
        <v>25116</v>
      </c>
      <c r="T221" s="29">
        <v>240501</v>
      </c>
      <c r="U221" s="29">
        <v>139155</v>
      </c>
      <c r="V221" s="29">
        <v>101346</v>
      </c>
    </row>
    <row r="222" spans="1:22" x14ac:dyDescent="0.2">
      <c r="A222" s="20" t="s">
        <v>210</v>
      </c>
      <c r="B222" s="20" t="s">
        <v>606</v>
      </c>
      <c r="C222" s="25">
        <v>328.98</v>
      </c>
      <c r="D222" s="27">
        <v>3136.4</v>
      </c>
      <c r="E222" s="25">
        <v>3465.38</v>
      </c>
      <c r="F222" s="25">
        <v>0</v>
      </c>
      <c r="G222" s="29">
        <v>73</v>
      </c>
      <c r="H222" s="27">
        <v>0</v>
      </c>
      <c r="I222" s="29">
        <v>3209</v>
      </c>
      <c r="J222" s="29">
        <v>1042560</v>
      </c>
      <c r="K222" s="29">
        <v>0</v>
      </c>
      <c r="L222" s="29">
        <v>1042560</v>
      </c>
      <c r="M222" s="29">
        <v>184132</v>
      </c>
      <c r="N222" s="29">
        <v>202167</v>
      </c>
      <c r="O222" s="29">
        <v>0</v>
      </c>
      <c r="P222" s="29">
        <v>87258</v>
      </c>
      <c r="Q222" s="29">
        <v>11020</v>
      </c>
      <c r="R222" s="29">
        <v>1527137</v>
      </c>
      <c r="S222" s="29">
        <v>95234</v>
      </c>
      <c r="T222" s="29">
        <v>1431903</v>
      </c>
      <c r="U222" s="29">
        <v>848597</v>
      </c>
      <c r="V222" s="29">
        <v>583306</v>
      </c>
    </row>
    <row r="223" spans="1:22" x14ac:dyDescent="0.2">
      <c r="A223" s="20" t="s">
        <v>299</v>
      </c>
      <c r="B223" s="20" t="s">
        <v>690</v>
      </c>
      <c r="C223" s="25">
        <v>77.239999999999995</v>
      </c>
      <c r="D223" s="27">
        <v>705</v>
      </c>
      <c r="E223" s="25">
        <v>782.24</v>
      </c>
      <c r="F223" s="25">
        <v>1.76</v>
      </c>
      <c r="G223" s="29">
        <v>4</v>
      </c>
      <c r="H223" s="27">
        <v>0</v>
      </c>
      <c r="I223" s="29">
        <v>709</v>
      </c>
      <c r="J223" s="29">
        <v>241642</v>
      </c>
      <c r="K223" s="29">
        <v>0</v>
      </c>
      <c r="L223" s="29">
        <v>241642</v>
      </c>
      <c r="M223" s="29">
        <v>40775</v>
      </c>
      <c r="N223" s="29">
        <v>45078</v>
      </c>
      <c r="O223" s="29">
        <v>544</v>
      </c>
      <c r="P223" s="29">
        <v>24813</v>
      </c>
      <c r="Q223" s="29">
        <v>2660</v>
      </c>
      <c r="R223" s="29">
        <v>355512</v>
      </c>
      <c r="S223" s="29">
        <v>33188</v>
      </c>
      <c r="T223" s="29">
        <v>322324</v>
      </c>
      <c r="U223" s="29">
        <v>185581</v>
      </c>
      <c r="V223" s="29">
        <v>136743</v>
      </c>
    </row>
    <row r="224" spans="1:22" x14ac:dyDescent="0.2">
      <c r="A224" s="20" t="s">
        <v>44</v>
      </c>
      <c r="B224" s="20" t="s">
        <v>642</v>
      </c>
      <c r="C224" s="25">
        <v>112.33</v>
      </c>
      <c r="D224" s="27">
        <v>994.8</v>
      </c>
      <c r="E224" s="25">
        <v>1107.1300000000001</v>
      </c>
      <c r="F224" s="25">
        <v>0</v>
      </c>
      <c r="G224" s="29">
        <v>21</v>
      </c>
      <c r="H224" s="27">
        <v>0</v>
      </c>
      <c r="I224" s="29">
        <v>1016</v>
      </c>
      <c r="J224" s="29">
        <v>349288</v>
      </c>
      <c r="K224" s="29">
        <v>0</v>
      </c>
      <c r="L224" s="29">
        <v>349288</v>
      </c>
      <c r="M224" s="29">
        <v>58715</v>
      </c>
      <c r="N224" s="29">
        <v>65816</v>
      </c>
      <c r="O224" s="29">
        <v>0</v>
      </c>
      <c r="P224" s="29">
        <v>35140</v>
      </c>
      <c r="Q224" s="29">
        <v>4196</v>
      </c>
      <c r="R224" s="29">
        <v>513155</v>
      </c>
      <c r="S224" s="29">
        <v>58024</v>
      </c>
      <c r="T224" s="29">
        <v>455131</v>
      </c>
      <c r="U224" s="29">
        <v>251452</v>
      </c>
      <c r="V224" s="29">
        <v>203679</v>
      </c>
    </row>
    <row r="225" spans="1:22" x14ac:dyDescent="0.2">
      <c r="A225" s="20" t="s">
        <v>13</v>
      </c>
      <c r="B225" s="20" t="s">
        <v>425</v>
      </c>
      <c r="C225" s="25">
        <v>286.5</v>
      </c>
      <c r="D225" s="27">
        <v>1303.9000000000001</v>
      </c>
      <c r="E225" s="25">
        <v>1590.4</v>
      </c>
      <c r="F225" s="25">
        <v>4.5199999999999996</v>
      </c>
      <c r="G225" s="29">
        <v>53</v>
      </c>
      <c r="H225" s="27">
        <v>2.1</v>
      </c>
      <c r="I225" s="29">
        <v>1355</v>
      </c>
      <c r="J225" s="29">
        <v>513874</v>
      </c>
      <c r="K225" s="29">
        <v>0</v>
      </c>
      <c r="L225" s="29">
        <v>513874</v>
      </c>
      <c r="M225" s="29">
        <v>78292</v>
      </c>
      <c r="N225" s="29">
        <v>87276</v>
      </c>
      <c r="O225" s="29">
        <v>1460</v>
      </c>
      <c r="P225" s="29">
        <v>50734</v>
      </c>
      <c r="Q225" s="29">
        <v>5471</v>
      </c>
      <c r="R225" s="29">
        <v>737107</v>
      </c>
      <c r="S225" s="29">
        <v>78419</v>
      </c>
      <c r="T225" s="29">
        <v>658688</v>
      </c>
      <c r="U225" s="29">
        <v>366946</v>
      </c>
      <c r="V225" s="29">
        <v>291742</v>
      </c>
    </row>
    <row r="226" spans="1:22" x14ac:dyDescent="0.2">
      <c r="A226" s="20" t="s">
        <v>211</v>
      </c>
      <c r="B226" s="20" t="s">
        <v>607</v>
      </c>
      <c r="C226" s="25">
        <v>52.04</v>
      </c>
      <c r="D226" s="27">
        <v>626.29999999999995</v>
      </c>
      <c r="E226" s="25">
        <v>678.34</v>
      </c>
      <c r="F226" s="25">
        <v>0</v>
      </c>
      <c r="G226" s="29">
        <v>9</v>
      </c>
      <c r="H226" s="27">
        <v>0</v>
      </c>
      <c r="I226" s="29">
        <v>635</v>
      </c>
      <c r="J226" s="29">
        <v>204079</v>
      </c>
      <c r="K226" s="29">
        <v>0</v>
      </c>
      <c r="L226" s="29">
        <v>204079</v>
      </c>
      <c r="M226" s="29">
        <v>36436</v>
      </c>
      <c r="N226" s="29">
        <v>40005</v>
      </c>
      <c r="O226" s="29">
        <v>0</v>
      </c>
      <c r="P226" s="29">
        <v>17081</v>
      </c>
      <c r="Q226" s="29">
        <v>2157</v>
      </c>
      <c r="R226" s="29">
        <v>299758</v>
      </c>
      <c r="S226" s="29">
        <v>31557</v>
      </c>
      <c r="T226" s="29">
        <v>268201</v>
      </c>
      <c r="U226" s="29">
        <v>153196</v>
      </c>
      <c r="V226" s="29">
        <v>115005</v>
      </c>
    </row>
    <row r="227" spans="1:22" x14ac:dyDescent="0.2">
      <c r="A227" s="20" t="s">
        <v>45</v>
      </c>
      <c r="B227" s="20" t="s">
        <v>455</v>
      </c>
      <c r="C227" s="25">
        <v>119.99</v>
      </c>
      <c r="D227" s="27">
        <v>1015.4</v>
      </c>
      <c r="E227" s="25">
        <v>1135.3900000000001</v>
      </c>
      <c r="F227" s="25">
        <v>3.12</v>
      </c>
      <c r="G227" s="29">
        <v>9</v>
      </c>
      <c r="H227" s="27">
        <v>0</v>
      </c>
      <c r="I227" s="29">
        <v>1024</v>
      </c>
      <c r="J227" s="29">
        <v>362030</v>
      </c>
      <c r="K227" s="29">
        <v>0</v>
      </c>
      <c r="L227" s="29">
        <v>362030</v>
      </c>
      <c r="M227" s="29">
        <v>59249</v>
      </c>
      <c r="N227" s="29">
        <v>66437</v>
      </c>
      <c r="O227" s="29">
        <v>995</v>
      </c>
      <c r="P227" s="29">
        <v>38444</v>
      </c>
      <c r="Q227" s="29">
        <v>4576</v>
      </c>
      <c r="R227" s="29">
        <v>531731</v>
      </c>
      <c r="S227" s="29">
        <v>46312</v>
      </c>
      <c r="T227" s="29">
        <v>485419</v>
      </c>
      <c r="U227" s="29">
        <v>274504</v>
      </c>
      <c r="V227" s="29">
        <v>210915</v>
      </c>
    </row>
    <row r="228" spans="1:22" x14ac:dyDescent="0.2">
      <c r="A228" s="20" t="s">
        <v>168</v>
      </c>
      <c r="B228" s="20" t="s">
        <v>565</v>
      </c>
      <c r="C228" s="25">
        <v>26.47</v>
      </c>
      <c r="D228" s="27">
        <v>225</v>
      </c>
      <c r="E228" s="25">
        <v>251.47</v>
      </c>
      <c r="F228" s="25">
        <v>0</v>
      </c>
      <c r="G228" s="29">
        <v>6</v>
      </c>
      <c r="H228" s="27">
        <v>0</v>
      </c>
      <c r="I228" s="29">
        <v>231</v>
      </c>
      <c r="J228" s="29">
        <v>77440</v>
      </c>
      <c r="K228" s="29">
        <v>1062</v>
      </c>
      <c r="L228" s="29">
        <v>78502</v>
      </c>
      <c r="M228" s="29">
        <v>13283</v>
      </c>
      <c r="N228" s="29">
        <v>14595</v>
      </c>
      <c r="O228" s="29">
        <v>0</v>
      </c>
      <c r="P228" s="29">
        <v>7280</v>
      </c>
      <c r="Q228" s="29">
        <v>847</v>
      </c>
      <c r="R228" s="29">
        <v>114507</v>
      </c>
      <c r="S228" s="29">
        <v>14596</v>
      </c>
      <c r="T228" s="29">
        <v>99911</v>
      </c>
      <c r="U228" s="29">
        <v>54890</v>
      </c>
      <c r="V228" s="29">
        <v>45021</v>
      </c>
    </row>
    <row r="229" spans="1:22" x14ac:dyDescent="0.2">
      <c r="A229" s="20" t="s">
        <v>297</v>
      </c>
      <c r="B229" s="20" t="s">
        <v>688</v>
      </c>
      <c r="C229" s="25">
        <v>29.07</v>
      </c>
      <c r="D229" s="27">
        <v>172.1</v>
      </c>
      <c r="E229" s="25">
        <v>201.17</v>
      </c>
      <c r="F229" s="25">
        <v>0.45</v>
      </c>
      <c r="G229" s="29">
        <v>8</v>
      </c>
      <c r="H229" s="27">
        <v>0</v>
      </c>
      <c r="I229" s="29">
        <v>180</v>
      </c>
      <c r="J229" s="29">
        <v>62143</v>
      </c>
      <c r="K229" s="29">
        <v>10623</v>
      </c>
      <c r="L229" s="29">
        <v>72766</v>
      </c>
      <c r="M229" s="29">
        <v>10352</v>
      </c>
      <c r="N229" s="29">
        <v>11444</v>
      </c>
      <c r="O229" s="29">
        <v>139</v>
      </c>
      <c r="P229" s="29">
        <v>6817</v>
      </c>
      <c r="Q229" s="29">
        <v>730</v>
      </c>
      <c r="R229" s="29">
        <v>102248</v>
      </c>
      <c r="S229" s="29">
        <v>14187</v>
      </c>
      <c r="T229" s="29">
        <v>88061</v>
      </c>
      <c r="U229" s="29">
        <v>42555</v>
      </c>
      <c r="V229" s="29">
        <v>45506</v>
      </c>
    </row>
    <row r="230" spans="1:22" x14ac:dyDescent="0.2">
      <c r="A230" s="20" t="s">
        <v>107</v>
      </c>
      <c r="B230" s="20" t="s">
        <v>508</v>
      </c>
      <c r="C230" s="25">
        <v>78.14</v>
      </c>
      <c r="D230" s="27">
        <v>902.4</v>
      </c>
      <c r="E230" s="25">
        <v>980.54</v>
      </c>
      <c r="F230" s="25">
        <v>0</v>
      </c>
      <c r="G230" s="29">
        <v>5</v>
      </c>
      <c r="H230" s="27">
        <v>0</v>
      </c>
      <c r="I230" s="29">
        <v>907</v>
      </c>
      <c r="J230" s="29">
        <v>306154</v>
      </c>
      <c r="K230" s="29">
        <v>1263</v>
      </c>
      <c r="L230" s="29">
        <v>307417</v>
      </c>
      <c r="M230" s="29">
        <v>52434</v>
      </c>
      <c r="N230" s="29">
        <v>58502</v>
      </c>
      <c r="O230" s="29">
        <v>0</v>
      </c>
      <c r="P230" s="29">
        <v>38423</v>
      </c>
      <c r="Q230" s="29">
        <v>4420</v>
      </c>
      <c r="R230" s="29">
        <v>461196</v>
      </c>
      <c r="S230" s="29">
        <v>47573</v>
      </c>
      <c r="T230" s="29">
        <v>413623</v>
      </c>
      <c r="U230" s="29">
        <v>234522</v>
      </c>
      <c r="V230" s="29">
        <v>179101</v>
      </c>
    </row>
    <row r="231" spans="1:22" x14ac:dyDescent="0.2">
      <c r="A231" s="20" t="s">
        <v>331</v>
      </c>
      <c r="B231" s="20" t="s">
        <v>721</v>
      </c>
      <c r="C231" s="25">
        <v>276.77999999999997</v>
      </c>
      <c r="D231" s="27">
        <v>2272.6999999999998</v>
      </c>
      <c r="E231" s="25">
        <v>2549.48</v>
      </c>
      <c r="F231" s="25">
        <v>6.4</v>
      </c>
      <c r="G231" s="29">
        <v>192</v>
      </c>
      <c r="H231" s="27">
        <v>0.4</v>
      </c>
      <c r="I231" s="29">
        <v>2464</v>
      </c>
      <c r="J231" s="29">
        <v>780829</v>
      </c>
      <c r="K231" s="29">
        <v>3826</v>
      </c>
      <c r="L231" s="29">
        <v>784655</v>
      </c>
      <c r="M231" s="29">
        <v>141631</v>
      </c>
      <c r="N231" s="29">
        <v>155602</v>
      </c>
      <c r="O231" s="29">
        <v>1960</v>
      </c>
      <c r="P231" s="29">
        <v>78694</v>
      </c>
      <c r="Q231" s="29">
        <v>8572</v>
      </c>
      <c r="R231" s="29">
        <v>1171114</v>
      </c>
      <c r="S231" s="29">
        <v>115216</v>
      </c>
      <c r="T231" s="29">
        <v>1055898</v>
      </c>
      <c r="U231" s="29">
        <v>595685</v>
      </c>
      <c r="V231" s="29">
        <v>460213</v>
      </c>
    </row>
    <row r="232" spans="1:22" x14ac:dyDescent="0.2">
      <c r="A232" s="20" t="s">
        <v>332</v>
      </c>
      <c r="B232" s="20" t="s">
        <v>722</v>
      </c>
      <c r="C232" s="25">
        <v>612.6</v>
      </c>
      <c r="D232" s="27">
        <v>4762.6000000000004</v>
      </c>
      <c r="E232" s="25">
        <v>5375.2</v>
      </c>
      <c r="F232" s="25">
        <v>13.48</v>
      </c>
      <c r="G232" s="29">
        <v>128</v>
      </c>
      <c r="H232" s="27">
        <v>0.4</v>
      </c>
      <c r="I232" s="29">
        <v>4890</v>
      </c>
      <c r="J232" s="29">
        <v>1646263</v>
      </c>
      <c r="K232" s="29">
        <v>0</v>
      </c>
      <c r="L232" s="29">
        <v>1646263</v>
      </c>
      <c r="M232" s="29">
        <v>281077</v>
      </c>
      <c r="N232" s="29">
        <v>308804</v>
      </c>
      <c r="O232" s="29">
        <v>4129</v>
      </c>
      <c r="P232" s="29">
        <v>165180</v>
      </c>
      <c r="Q232" s="29">
        <v>18007</v>
      </c>
      <c r="R232" s="29">
        <v>2423460</v>
      </c>
      <c r="S232" s="29">
        <v>217386</v>
      </c>
      <c r="T232" s="29">
        <v>2206074</v>
      </c>
      <c r="U232" s="29">
        <v>1280639</v>
      </c>
      <c r="V232" s="29">
        <v>925435</v>
      </c>
    </row>
    <row r="233" spans="1:22" x14ac:dyDescent="0.2">
      <c r="A233" s="20" t="s">
        <v>212</v>
      </c>
      <c r="B233" s="20" t="s">
        <v>608</v>
      </c>
      <c r="C233" s="25">
        <v>92.32</v>
      </c>
      <c r="D233" s="27">
        <v>694.9</v>
      </c>
      <c r="E233" s="25">
        <v>787.22</v>
      </c>
      <c r="F233" s="25">
        <v>0</v>
      </c>
      <c r="G233" s="29">
        <v>2</v>
      </c>
      <c r="H233" s="27">
        <v>0</v>
      </c>
      <c r="I233" s="29">
        <v>697</v>
      </c>
      <c r="J233" s="29">
        <v>236835</v>
      </c>
      <c r="K233" s="29">
        <v>0</v>
      </c>
      <c r="L233" s="29">
        <v>236835</v>
      </c>
      <c r="M233" s="29">
        <v>39994</v>
      </c>
      <c r="N233" s="29">
        <v>43911</v>
      </c>
      <c r="O233" s="29">
        <v>0</v>
      </c>
      <c r="P233" s="29">
        <v>19822</v>
      </c>
      <c r="Q233" s="29">
        <v>2503</v>
      </c>
      <c r="R233" s="29">
        <v>343065</v>
      </c>
      <c r="S233" s="29">
        <v>32669</v>
      </c>
      <c r="T233" s="29">
        <v>310396</v>
      </c>
      <c r="U233" s="29">
        <v>181738</v>
      </c>
      <c r="V233" s="29">
        <v>128658</v>
      </c>
    </row>
    <row r="234" spans="1:22" x14ac:dyDescent="0.2">
      <c r="A234" s="20" t="s">
        <v>46</v>
      </c>
      <c r="B234" s="20" t="s">
        <v>456</v>
      </c>
      <c r="C234" s="25">
        <v>12.57</v>
      </c>
      <c r="D234" s="27">
        <v>205.6</v>
      </c>
      <c r="E234" s="25">
        <v>218.17</v>
      </c>
      <c r="F234" s="25">
        <v>0.6</v>
      </c>
      <c r="G234" s="29">
        <v>0</v>
      </c>
      <c r="H234" s="27">
        <v>0</v>
      </c>
      <c r="I234" s="29">
        <v>206</v>
      </c>
      <c r="J234" s="29">
        <v>69566</v>
      </c>
      <c r="K234" s="29">
        <v>1255</v>
      </c>
      <c r="L234" s="29">
        <v>70821</v>
      </c>
      <c r="M234" s="29">
        <v>11919</v>
      </c>
      <c r="N234" s="29">
        <v>13365</v>
      </c>
      <c r="O234" s="29">
        <v>191</v>
      </c>
      <c r="P234" s="29">
        <v>7527</v>
      </c>
      <c r="Q234" s="29">
        <v>897</v>
      </c>
      <c r="R234" s="29">
        <v>104720</v>
      </c>
      <c r="S234" s="29">
        <v>10377</v>
      </c>
      <c r="T234" s="29">
        <v>94343</v>
      </c>
      <c r="U234" s="29">
        <v>51427</v>
      </c>
      <c r="V234" s="29">
        <v>42916</v>
      </c>
    </row>
    <row r="235" spans="1:22" x14ac:dyDescent="0.2">
      <c r="A235" s="20" t="s">
        <v>258</v>
      </c>
      <c r="B235" s="20" t="s">
        <v>652</v>
      </c>
      <c r="C235" s="25">
        <v>102.21</v>
      </c>
      <c r="D235" s="27">
        <v>606.1</v>
      </c>
      <c r="E235" s="25">
        <v>708.31</v>
      </c>
      <c r="F235" s="25">
        <v>0</v>
      </c>
      <c r="G235" s="29">
        <v>18</v>
      </c>
      <c r="H235" s="27">
        <v>1.6</v>
      </c>
      <c r="I235" s="29">
        <v>623</v>
      </c>
      <c r="J235" s="29">
        <v>223465</v>
      </c>
      <c r="K235" s="29">
        <v>0</v>
      </c>
      <c r="L235" s="29">
        <v>223465</v>
      </c>
      <c r="M235" s="29">
        <v>36003</v>
      </c>
      <c r="N235" s="29">
        <v>40358</v>
      </c>
      <c r="O235" s="29">
        <v>0</v>
      </c>
      <c r="P235" s="29">
        <v>22482</v>
      </c>
      <c r="Q235" s="29">
        <v>2686</v>
      </c>
      <c r="R235" s="29">
        <v>324994</v>
      </c>
      <c r="S235" s="29">
        <v>39658</v>
      </c>
      <c r="T235" s="29">
        <v>285336</v>
      </c>
      <c r="U235" s="29">
        <v>158338</v>
      </c>
      <c r="V235" s="29">
        <v>126998</v>
      </c>
    </row>
    <row r="236" spans="1:22" x14ac:dyDescent="0.2">
      <c r="A236" s="20" t="s">
        <v>333</v>
      </c>
      <c r="B236" s="20" t="s">
        <v>723</v>
      </c>
      <c r="C236" s="25">
        <v>66.760000000000005</v>
      </c>
      <c r="D236" s="27">
        <v>610.5</v>
      </c>
      <c r="E236" s="25">
        <v>677.26</v>
      </c>
      <c r="F236" s="25">
        <v>1.7</v>
      </c>
      <c r="G236" s="29">
        <v>1</v>
      </c>
      <c r="H236" s="27">
        <v>0</v>
      </c>
      <c r="I236" s="29">
        <v>612</v>
      </c>
      <c r="J236" s="29">
        <v>207424</v>
      </c>
      <c r="K236" s="29">
        <v>0</v>
      </c>
      <c r="L236" s="29">
        <v>207424</v>
      </c>
      <c r="M236" s="29">
        <v>35178</v>
      </c>
      <c r="N236" s="29">
        <v>38648</v>
      </c>
      <c r="O236" s="29">
        <v>521</v>
      </c>
      <c r="P236" s="29">
        <v>20812</v>
      </c>
      <c r="Q236" s="29">
        <v>2269</v>
      </c>
      <c r="R236" s="29">
        <v>304852</v>
      </c>
      <c r="S236" s="29">
        <v>33180</v>
      </c>
      <c r="T236" s="29">
        <v>271672</v>
      </c>
      <c r="U236" s="29">
        <v>155567</v>
      </c>
      <c r="V236" s="29">
        <v>116105</v>
      </c>
    </row>
    <row r="237" spans="1:22" x14ac:dyDescent="0.2">
      <c r="A237" s="20" t="s">
        <v>215</v>
      </c>
      <c r="B237" s="20" t="s">
        <v>609</v>
      </c>
      <c r="C237" s="25">
        <v>240.81</v>
      </c>
      <c r="D237" s="27">
        <v>2187</v>
      </c>
      <c r="E237" s="25">
        <v>2427.81</v>
      </c>
      <c r="F237" s="25">
        <v>0</v>
      </c>
      <c r="G237" s="29">
        <v>597</v>
      </c>
      <c r="H237" s="27">
        <v>3.5</v>
      </c>
      <c r="I237" s="29">
        <v>2781</v>
      </c>
      <c r="J237" s="29">
        <v>730407</v>
      </c>
      <c r="K237" s="29">
        <v>0</v>
      </c>
      <c r="L237" s="29">
        <v>730407</v>
      </c>
      <c r="M237" s="29">
        <v>159574</v>
      </c>
      <c r="N237" s="29">
        <v>175203</v>
      </c>
      <c r="O237" s="29">
        <v>0</v>
      </c>
      <c r="P237" s="29">
        <v>61132</v>
      </c>
      <c r="Q237" s="29">
        <v>7720</v>
      </c>
      <c r="R237" s="29">
        <v>1134036</v>
      </c>
      <c r="S237" s="29">
        <v>94924</v>
      </c>
      <c r="T237" s="29">
        <v>1039112</v>
      </c>
      <c r="U237" s="29">
        <v>566314</v>
      </c>
      <c r="V237" s="29">
        <v>472798</v>
      </c>
    </row>
    <row r="238" spans="1:22" x14ac:dyDescent="0.2">
      <c r="A238" s="20" t="s">
        <v>216</v>
      </c>
      <c r="B238" s="20" t="s">
        <v>610</v>
      </c>
      <c r="C238" s="25">
        <v>208.66</v>
      </c>
      <c r="D238" s="27">
        <v>1811.9</v>
      </c>
      <c r="E238" s="25">
        <v>2020.56</v>
      </c>
      <c r="F238" s="25">
        <v>0</v>
      </c>
      <c r="G238" s="29">
        <v>106</v>
      </c>
      <c r="H238" s="27">
        <v>7.5</v>
      </c>
      <c r="I238" s="29">
        <v>1910</v>
      </c>
      <c r="J238" s="29">
        <v>607885</v>
      </c>
      <c r="K238" s="29">
        <v>0</v>
      </c>
      <c r="L238" s="29">
        <v>607885</v>
      </c>
      <c r="M238" s="29">
        <v>109596</v>
      </c>
      <c r="N238" s="29">
        <v>120330</v>
      </c>
      <c r="O238" s="29">
        <v>0</v>
      </c>
      <c r="P238" s="29">
        <v>50878</v>
      </c>
      <c r="Q238" s="29">
        <v>6425</v>
      </c>
      <c r="R238" s="29">
        <v>895114</v>
      </c>
      <c r="S238" s="29">
        <v>80425</v>
      </c>
      <c r="T238" s="29">
        <v>814689</v>
      </c>
      <c r="U238" s="29">
        <v>469895</v>
      </c>
      <c r="V238" s="29">
        <v>344794</v>
      </c>
    </row>
    <row r="239" spans="1:22" x14ac:dyDescent="0.2">
      <c r="A239" s="20" t="s">
        <v>139</v>
      </c>
      <c r="B239" s="20" t="s">
        <v>539</v>
      </c>
      <c r="C239" s="25">
        <v>382.06</v>
      </c>
      <c r="D239" s="27">
        <v>5128.3999999999996</v>
      </c>
      <c r="E239" s="25">
        <v>5510.46</v>
      </c>
      <c r="F239" s="25">
        <v>9.98</v>
      </c>
      <c r="G239" s="29">
        <v>104</v>
      </c>
      <c r="H239" s="27">
        <v>0</v>
      </c>
      <c r="I239" s="29">
        <v>5232</v>
      </c>
      <c r="J239" s="29">
        <v>1707526</v>
      </c>
      <c r="K239" s="29">
        <v>0</v>
      </c>
      <c r="L239" s="29">
        <v>1707526</v>
      </c>
      <c r="M239" s="29">
        <v>299898</v>
      </c>
      <c r="N239" s="29">
        <v>327419</v>
      </c>
      <c r="O239" s="29">
        <v>3093</v>
      </c>
      <c r="P239" s="29">
        <v>155395</v>
      </c>
      <c r="Q239" s="29">
        <v>18240</v>
      </c>
      <c r="R239" s="29">
        <v>2511571</v>
      </c>
      <c r="S239" s="29">
        <v>135851</v>
      </c>
      <c r="T239" s="29">
        <v>2375720</v>
      </c>
      <c r="U239" s="29">
        <v>1384771</v>
      </c>
      <c r="V239" s="29">
        <v>990949</v>
      </c>
    </row>
    <row r="240" spans="1:22" x14ac:dyDescent="0.2">
      <c r="A240" s="20" t="s">
        <v>217</v>
      </c>
      <c r="B240" s="20" t="s">
        <v>611</v>
      </c>
      <c r="C240" s="25">
        <v>94.35</v>
      </c>
      <c r="D240" s="27">
        <v>669</v>
      </c>
      <c r="E240" s="25">
        <v>763.35</v>
      </c>
      <c r="F240" s="25">
        <v>0</v>
      </c>
      <c r="G240" s="29">
        <v>3</v>
      </c>
      <c r="H240" s="27">
        <v>0</v>
      </c>
      <c r="I240" s="29">
        <v>672</v>
      </c>
      <c r="J240" s="29">
        <v>229654</v>
      </c>
      <c r="K240" s="29">
        <v>0</v>
      </c>
      <c r="L240" s="29">
        <v>229654</v>
      </c>
      <c r="M240" s="29">
        <v>38559</v>
      </c>
      <c r="N240" s="29">
        <v>42336</v>
      </c>
      <c r="O240" s="29">
        <v>0</v>
      </c>
      <c r="P240" s="29">
        <v>19221</v>
      </c>
      <c r="Q240" s="29">
        <v>2427</v>
      </c>
      <c r="R240" s="29">
        <v>332197</v>
      </c>
      <c r="S240" s="29">
        <v>30464</v>
      </c>
      <c r="T240" s="29">
        <v>301733</v>
      </c>
      <c r="U240" s="29">
        <v>177441</v>
      </c>
      <c r="V240" s="29">
        <v>124292</v>
      </c>
    </row>
    <row r="241" spans="1:22" x14ac:dyDescent="0.2">
      <c r="A241" s="20" t="s">
        <v>47</v>
      </c>
      <c r="B241" s="20" t="s">
        <v>457</v>
      </c>
      <c r="C241" s="25">
        <v>94.12</v>
      </c>
      <c r="D241" s="27">
        <v>664.9</v>
      </c>
      <c r="E241" s="25">
        <v>759.02</v>
      </c>
      <c r="F241" s="25">
        <v>2.09</v>
      </c>
      <c r="G241" s="29">
        <v>75</v>
      </c>
      <c r="H241" s="27">
        <v>6.3</v>
      </c>
      <c r="I241" s="29">
        <v>734</v>
      </c>
      <c r="J241" s="29">
        <v>242021</v>
      </c>
      <c r="K241" s="29">
        <v>24026</v>
      </c>
      <c r="L241" s="29">
        <v>266047</v>
      </c>
      <c r="M241" s="29">
        <v>42469</v>
      </c>
      <c r="N241" s="29">
        <v>47622</v>
      </c>
      <c r="O241" s="29">
        <v>666</v>
      </c>
      <c r="P241" s="29">
        <v>25700</v>
      </c>
      <c r="Q241" s="29">
        <v>3059</v>
      </c>
      <c r="R241" s="29">
        <v>385563</v>
      </c>
      <c r="S241" s="29">
        <v>52222</v>
      </c>
      <c r="T241" s="29">
        <v>333341</v>
      </c>
      <c r="U241" s="29">
        <v>162248</v>
      </c>
      <c r="V241" s="29">
        <v>171093</v>
      </c>
    </row>
    <row r="242" spans="1:22" x14ac:dyDescent="0.2">
      <c r="A242" s="20" t="s">
        <v>14</v>
      </c>
      <c r="B242" s="20" t="s">
        <v>426</v>
      </c>
      <c r="C242" s="25">
        <v>94.41</v>
      </c>
      <c r="D242" s="27">
        <v>758</v>
      </c>
      <c r="E242" s="25">
        <v>852.41</v>
      </c>
      <c r="F242" s="25">
        <v>2.42</v>
      </c>
      <c r="G242" s="29">
        <v>4</v>
      </c>
      <c r="H242" s="27">
        <v>0</v>
      </c>
      <c r="I242" s="29">
        <v>762</v>
      </c>
      <c r="J242" s="29">
        <v>275422</v>
      </c>
      <c r="K242" s="29">
        <v>0</v>
      </c>
      <c r="L242" s="29">
        <v>275422</v>
      </c>
      <c r="M242" s="29">
        <v>44028</v>
      </c>
      <c r="N242" s="29">
        <v>49080</v>
      </c>
      <c r="O242" s="29">
        <v>782</v>
      </c>
      <c r="P242" s="29">
        <v>27192</v>
      </c>
      <c r="Q242" s="29">
        <v>2932</v>
      </c>
      <c r="R242" s="29">
        <v>399436</v>
      </c>
      <c r="S242" s="29">
        <v>30686</v>
      </c>
      <c r="T242" s="29">
        <v>368750</v>
      </c>
      <c r="U242" s="29">
        <v>208017</v>
      </c>
      <c r="V242" s="29">
        <v>160733</v>
      </c>
    </row>
    <row r="243" spans="1:22" x14ac:dyDescent="0.2">
      <c r="A243" s="20" t="s">
        <v>213</v>
      </c>
      <c r="B243" s="20" t="s">
        <v>214</v>
      </c>
      <c r="C243" s="25">
        <v>113.86</v>
      </c>
      <c r="D243" s="27">
        <v>1063.4000000000001</v>
      </c>
      <c r="E243" s="25">
        <v>1177.26</v>
      </c>
      <c r="F243" s="25">
        <v>0</v>
      </c>
      <c r="G243" s="29">
        <v>18</v>
      </c>
      <c r="H243" s="27">
        <v>0</v>
      </c>
      <c r="I243" s="29">
        <v>1081</v>
      </c>
      <c r="J243" s="29">
        <v>354179</v>
      </c>
      <c r="K243" s="29">
        <v>0</v>
      </c>
      <c r="L243" s="29">
        <v>354179</v>
      </c>
      <c r="M243" s="29">
        <v>62028</v>
      </c>
      <c r="N243" s="29">
        <v>68103</v>
      </c>
      <c r="O243" s="29">
        <v>0</v>
      </c>
      <c r="P243" s="29">
        <v>29643</v>
      </c>
      <c r="Q243" s="29">
        <v>3744</v>
      </c>
      <c r="R243" s="29">
        <v>517697</v>
      </c>
      <c r="S243" s="29">
        <v>44572</v>
      </c>
      <c r="T243" s="29">
        <v>473125</v>
      </c>
      <c r="U243" s="29">
        <v>276066</v>
      </c>
      <c r="V243" s="29">
        <v>197059</v>
      </c>
    </row>
    <row r="244" spans="1:22" x14ac:dyDescent="0.2">
      <c r="A244" s="20" t="s">
        <v>48</v>
      </c>
      <c r="B244" s="20" t="s">
        <v>458</v>
      </c>
      <c r="C244" s="25">
        <v>70.06</v>
      </c>
      <c r="D244" s="27">
        <v>568.5</v>
      </c>
      <c r="E244" s="25">
        <v>638.55999999999995</v>
      </c>
      <c r="F244" s="25">
        <v>1.76</v>
      </c>
      <c r="G244" s="29">
        <v>22</v>
      </c>
      <c r="H244" s="27">
        <v>0</v>
      </c>
      <c r="I244" s="29">
        <v>591</v>
      </c>
      <c r="J244" s="29">
        <v>203611</v>
      </c>
      <c r="K244" s="29">
        <v>0</v>
      </c>
      <c r="L244" s="29">
        <v>203611</v>
      </c>
      <c r="M244" s="29">
        <v>34195</v>
      </c>
      <c r="N244" s="29">
        <v>38344</v>
      </c>
      <c r="O244" s="29">
        <v>561</v>
      </c>
      <c r="P244" s="29">
        <v>21622</v>
      </c>
      <c r="Q244" s="29">
        <v>2573</v>
      </c>
      <c r="R244" s="29">
        <v>300906</v>
      </c>
      <c r="S244" s="29">
        <v>38887</v>
      </c>
      <c r="T244" s="29">
        <v>262019</v>
      </c>
      <c r="U244" s="29">
        <v>141546</v>
      </c>
      <c r="V244" s="29">
        <v>120473</v>
      </c>
    </row>
    <row r="245" spans="1:22" x14ac:dyDescent="0.2">
      <c r="A245" s="20" t="s">
        <v>298</v>
      </c>
      <c r="B245" s="20" t="s">
        <v>689</v>
      </c>
      <c r="C245" s="25">
        <v>129.74</v>
      </c>
      <c r="D245" s="27">
        <v>1039.2</v>
      </c>
      <c r="E245" s="25">
        <v>1168.94</v>
      </c>
      <c r="F245" s="25">
        <v>2.64</v>
      </c>
      <c r="G245" s="29">
        <v>0</v>
      </c>
      <c r="H245" s="27">
        <v>0</v>
      </c>
      <c r="I245" s="29">
        <v>1039</v>
      </c>
      <c r="J245" s="29">
        <v>361097</v>
      </c>
      <c r="K245" s="29">
        <v>18780</v>
      </c>
      <c r="L245" s="29">
        <v>379877</v>
      </c>
      <c r="M245" s="29">
        <v>59753</v>
      </c>
      <c r="N245" s="29">
        <v>66060</v>
      </c>
      <c r="O245" s="29">
        <v>816</v>
      </c>
      <c r="P245" s="29">
        <v>37079</v>
      </c>
      <c r="Q245" s="29">
        <v>3974</v>
      </c>
      <c r="R245" s="29">
        <v>547559</v>
      </c>
      <c r="S245" s="29">
        <v>62151</v>
      </c>
      <c r="T245" s="29">
        <v>485408</v>
      </c>
      <c r="U245" s="29">
        <v>264768</v>
      </c>
      <c r="V245" s="29">
        <v>220640</v>
      </c>
    </row>
    <row r="246" spans="1:22" x14ac:dyDescent="0.2">
      <c r="A246" s="20" t="s">
        <v>249</v>
      </c>
      <c r="B246" s="20" t="s">
        <v>643</v>
      </c>
      <c r="C246" s="25">
        <v>52.66</v>
      </c>
      <c r="D246" s="27">
        <v>319.7</v>
      </c>
      <c r="E246" s="25">
        <v>372.36</v>
      </c>
      <c r="F246" s="25">
        <v>0</v>
      </c>
      <c r="G246" s="29">
        <v>192</v>
      </c>
      <c r="H246" s="27">
        <v>4.7</v>
      </c>
      <c r="I246" s="29">
        <v>507</v>
      </c>
      <c r="J246" s="29">
        <v>117476</v>
      </c>
      <c r="K246" s="29">
        <v>14522</v>
      </c>
      <c r="L246" s="29">
        <v>131998</v>
      </c>
      <c r="M246" s="29">
        <v>29300</v>
      </c>
      <c r="N246" s="29">
        <v>32843</v>
      </c>
      <c r="O246" s="29">
        <v>0</v>
      </c>
      <c r="P246" s="29">
        <v>11819</v>
      </c>
      <c r="Q246" s="29">
        <v>1411</v>
      </c>
      <c r="R246" s="29">
        <v>207371</v>
      </c>
      <c r="S246" s="29">
        <v>24390</v>
      </c>
      <c r="T246" s="29">
        <v>182981</v>
      </c>
      <c r="U246" s="29">
        <v>79696</v>
      </c>
      <c r="V246" s="29">
        <v>103285</v>
      </c>
    </row>
    <row r="247" spans="1:22" x14ac:dyDescent="0.2">
      <c r="A247" s="20" t="s">
        <v>15</v>
      </c>
      <c r="B247" s="20" t="s">
        <v>427</v>
      </c>
      <c r="C247" s="25">
        <v>34.869999999999997</v>
      </c>
      <c r="D247" s="27">
        <v>326.8</v>
      </c>
      <c r="E247" s="25">
        <v>361.67</v>
      </c>
      <c r="F247" s="25">
        <v>1.05</v>
      </c>
      <c r="G247" s="29">
        <v>3</v>
      </c>
      <c r="H247" s="27">
        <v>0</v>
      </c>
      <c r="I247" s="29">
        <v>330</v>
      </c>
      <c r="J247" s="29">
        <v>116859</v>
      </c>
      <c r="K247" s="29">
        <v>0</v>
      </c>
      <c r="L247" s="29">
        <v>116859</v>
      </c>
      <c r="M247" s="29">
        <v>19067</v>
      </c>
      <c r="N247" s="29">
        <v>21255</v>
      </c>
      <c r="O247" s="29">
        <v>339</v>
      </c>
      <c r="P247" s="29">
        <v>11537</v>
      </c>
      <c r="Q247" s="29">
        <v>1244</v>
      </c>
      <c r="R247" s="29">
        <v>170301</v>
      </c>
      <c r="S247" s="29">
        <v>21332</v>
      </c>
      <c r="T247" s="29">
        <v>148969</v>
      </c>
      <c r="U247" s="29">
        <v>79953</v>
      </c>
      <c r="V247" s="29">
        <v>69016</v>
      </c>
    </row>
    <row r="248" spans="1:22" x14ac:dyDescent="0.2">
      <c r="A248" s="20" t="s">
        <v>251</v>
      </c>
      <c r="B248" s="20" t="s">
        <v>645</v>
      </c>
      <c r="C248" s="25">
        <v>106.3</v>
      </c>
      <c r="D248" s="27">
        <v>847.6</v>
      </c>
      <c r="E248" s="25">
        <v>953.9</v>
      </c>
      <c r="F248" s="25">
        <v>0</v>
      </c>
      <c r="G248" s="29">
        <v>380</v>
      </c>
      <c r="H248" s="27">
        <v>0.4</v>
      </c>
      <c r="I248" s="29">
        <v>1227</v>
      </c>
      <c r="J248" s="29">
        <v>300946</v>
      </c>
      <c r="K248" s="29">
        <v>0</v>
      </c>
      <c r="L248" s="29">
        <v>300946</v>
      </c>
      <c r="M248" s="29">
        <v>70908</v>
      </c>
      <c r="N248" s="29">
        <v>79485</v>
      </c>
      <c r="O248" s="29">
        <v>0</v>
      </c>
      <c r="P248" s="29">
        <v>30277</v>
      </c>
      <c r="Q248" s="29">
        <v>3615</v>
      </c>
      <c r="R248" s="29">
        <v>485231</v>
      </c>
      <c r="S248" s="29">
        <v>28717</v>
      </c>
      <c r="T248" s="29">
        <v>456514</v>
      </c>
      <c r="U248" s="29">
        <v>237927</v>
      </c>
      <c r="V248" s="29">
        <v>218587</v>
      </c>
    </row>
    <row r="249" spans="1:22" x14ac:dyDescent="0.2">
      <c r="A249" s="20" t="s">
        <v>218</v>
      </c>
      <c r="B249" s="20" t="s">
        <v>612</v>
      </c>
      <c r="C249" s="25">
        <v>79.069999999999993</v>
      </c>
      <c r="D249" s="27">
        <v>1004.9</v>
      </c>
      <c r="E249" s="25">
        <v>1083.97</v>
      </c>
      <c r="F249" s="25">
        <v>0</v>
      </c>
      <c r="G249" s="29">
        <v>10</v>
      </c>
      <c r="H249" s="27">
        <v>0</v>
      </c>
      <c r="I249" s="29">
        <v>1015</v>
      </c>
      <c r="J249" s="29">
        <v>326112</v>
      </c>
      <c r="K249" s="29">
        <v>3917</v>
      </c>
      <c r="L249" s="29">
        <v>330029</v>
      </c>
      <c r="M249" s="29">
        <v>58241</v>
      </c>
      <c r="N249" s="29">
        <v>63945</v>
      </c>
      <c r="O249" s="29">
        <v>0</v>
      </c>
      <c r="P249" s="29">
        <v>27477</v>
      </c>
      <c r="Q249" s="29">
        <v>3481</v>
      </c>
      <c r="R249" s="29">
        <v>483173</v>
      </c>
      <c r="S249" s="29">
        <v>47283</v>
      </c>
      <c r="T249" s="29">
        <v>435890</v>
      </c>
      <c r="U249" s="29">
        <v>248164</v>
      </c>
      <c r="V249" s="29">
        <v>187726</v>
      </c>
    </row>
    <row r="250" spans="1:22" x14ac:dyDescent="0.2">
      <c r="A250" s="20" t="s">
        <v>108</v>
      </c>
      <c r="B250" s="20" t="s">
        <v>509</v>
      </c>
      <c r="C250" s="25">
        <v>64.36</v>
      </c>
      <c r="D250" s="27">
        <v>404</v>
      </c>
      <c r="E250" s="25">
        <v>468.36</v>
      </c>
      <c r="F250" s="25">
        <v>0</v>
      </c>
      <c r="G250" s="29">
        <v>6</v>
      </c>
      <c r="H250" s="27">
        <v>0</v>
      </c>
      <c r="I250" s="29">
        <v>410</v>
      </c>
      <c r="J250" s="29">
        <v>146236</v>
      </c>
      <c r="K250" s="29">
        <v>11787</v>
      </c>
      <c r="L250" s="29">
        <v>158023</v>
      </c>
      <c r="M250" s="29">
        <v>23702</v>
      </c>
      <c r="N250" s="29">
        <v>26445</v>
      </c>
      <c r="O250" s="29">
        <v>0</v>
      </c>
      <c r="P250" s="29">
        <v>18488</v>
      </c>
      <c r="Q250" s="29">
        <v>2127</v>
      </c>
      <c r="R250" s="29">
        <v>228785</v>
      </c>
      <c r="S250" s="29">
        <v>29454</v>
      </c>
      <c r="T250" s="29">
        <v>199331</v>
      </c>
      <c r="U250" s="29">
        <v>105441</v>
      </c>
      <c r="V250" s="29">
        <v>93890</v>
      </c>
    </row>
    <row r="251" spans="1:22" x14ac:dyDescent="0.2">
      <c r="A251" s="20" t="s">
        <v>49</v>
      </c>
      <c r="B251" s="20" t="s">
        <v>459</v>
      </c>
      <c r="C251" s="25">
        <v>42.75</v>
      </c>
      <c r="D251" s="27">
        <v>225</v>
      </c>
      <c r="E251" s="25">
        <v>267.75</v>
      </c>
      <c r="F251" s="25">
        <v>0.74</v>
      </c>
      <c r="G251" s="29">
        <v>9</v>
      </c>
      <c r="H251" s="27">
        <v>0</v>
      </c>
      <c r="I251" s="29">
        <v>234</v>
      </c>
      <c r="J251" s="29">
        <v>85375</v>
      </c>
      <c r="K251" s="29">
        <v>0</v>
      </c>
      <c r="L251" s="29">
        <v>85375</v>
      </c>
      <c r="M251" s="29">
        <v>13539</v>
      </c>
      <c r="N251" s="29">
        <v>15182</v>
      </c>
      <c r="O251" s="29">
        <v>236</v>
      </c>
      <c r="P251" s="29">
        <v>9066</v>
      </c>
      <c r="Q251" s="29">
        <v>1079</v>
      </c>
      <c r="R251" s="29">
        <v>124477</v>
      </c>
      <c r="S251" s="29">
        <v>13144</v>
      </c>
      <c r="T251" s="29">
        <v>111333</v>
      </c>
      <c r="U251" s="29">
        <v>62513</v>
      </c>
      <c r="V251" s="29">
        <v>48820</v>
      </c>
    </row>
    <row r="252" spans="1:22" x14ac:dyDescent="0.2">
      <c r="A252" s="20" t="s">
        <v>110</v>
      </c>
      <c r="B252" s="20" t="s">
        <v>511</v>
      </c>
      <c r="C252" s="25">
        <v>49.32</v>
      </c>
      <c r="D252" s="27">
        <v>575.1</v>
      </c>
      <c r="E252" s="25">
        <v>624.41999999999996</v>
      </c>
      <c r="F252" s="25">
        <v>0</v>
      </c>
      <c r="G252" s="29">
        <v>0</v>
      </c>
      <c r="H252" s="27">
        <v>0</v>
      </c>
      <c r="I252" s="29">
        <v>575</v>
      </c>
      <c r="J252" s="29">
        <v>194963</v>
      </c>
      <c r="K252" s="29">
        <v>4309</v>
      </c>
      <c r="L252" s="29">
        <v>199272</v>
      </c>
      <c r="M252" s="29">
        <v>33241</v>
      </c>
      <c r="N252" s="29">
        <v>37088</v>
      </c>
      <c r="O252" s="29">
        <v>0</v>
      </c>
      <c r="P252" s="29">
        <v>24511</v>
      </c>
      <c r="Q252" s="29">
        <v>2820</v>
      </c>
      <c r="R252" s="29">
        <v>296932</v>
      </c>
      <c r="S252" s="29">
        <v>34964</v>
      </c>
      <c r="T252" s="29">
        <v>261968</v>
      </c>
      <c r="U252" s="29">
        <v>144725</v>
      </c>
      <c r="V252" s="29">
        <v>117243</v>
      </c>
    </row>
    <row r="253" spans="1:22" x14ac:dyDescent="0.2">
      <c r="A253" s="20" t="s">
        <v>219</v>
      </c>
      <c r="B253" s="20" t="s">
        <v>613</v>
      </c>
      <c r="C253" s="25">
        <v>142.03</v>
      </c>
      <c r="D253" s="27">
        <v>1140.5999999999999</v>
      </c>
      <c r="E253" s="25">
        <v>1282.6300000000001</v>
      </c>
      <c r="F253" s="25">
        <v>0</v>
      </c>
      <c r="G253" s="29">
        <v>52</v>
      </c>
      <c r="H253" s="27">
        <v>0.1</v>
      </c>
      <c r="I253" s="29">
        <v>1193</v>
      </c>
      <c r="J253" s="29">
        <v>385879</v>
      </c>
      <c r="K253" s="29">
        <v>0</v>
      </c>
      <c r="L253" s="29">
        <v>385879</v>
      </c>
      <c r="M253" s="29">
        <v>68454</v>
      </c>
      <c r="N253" s="29">
        <v>75159</v>
      </c>
      <c r="O253" s="29">
        <v>0</v>
      </c>
      <c r="P253" s="29">
        <v>32297</v>
      </c>
      <c r="Q253" s="29">
        <v>4079</v>
      </c>
      <c r="R253" s="29">
        <v>565868</v>
      </c>
      <c r="S253" s="29">
        <v>66136</v>
      </c>
      <c r="T253" s="29">
        <v>499732</v>
      </c>
      <c r="U253" s="29">
        <v>283202</v>
      </c>
      <c r="V253" s="29">
        <v>216530</v>
      </c>
    </row>
    <row r="254" spans="1:22" x14ac:dyDescent="0.2">
      <c r="A254" s="20" t="s">
        <v>50</v>
      </c>
      <c r="B254" s="20" t="s">
        <v>460</v>
      </c>
      <c r="C254" s="25">
        <v>48.86</v>
      </c>
      <c r="D254" s="27">
        <v>365</v>
      </c>
      <c r="E254" s="25">
        <v>413.86</v>
      </c>
      <c r="F254" s="25">
        <v>1.1399999999999999</v>
      </c>
      <c r="G254" s="29">
        <v>13</v>
      </c>
      <c r="H254" s="27">
        <v>0</v>
      </c>
      <c r="I254" s="29">
        <v>378</v>
      </c>
      <c r="J254" s="29">
        <v>131963</v>
      </c>
      <c r="K254" s="29">
        <v>0</v>
      </c>
      <c r="L254" s="29">
        <v>131963</v>
      </c>
      <c r="M254" s="29">
        <v>21871</v>
      </c>
      <c r="N254" s="29">
        <v>24525</v>
      </c>
      <c r="O254" s="29">
        <v>364</v>
      </c>
      <c r="P254" s="29">
        <v>14013</v>
      </c>
      <c r="Q254" s="29">
        <v>1668</v>
      </c>
      <c r="R254" s="29">
        <v>194404</v>
      </c>
      <c r="S254" s="29">
        <v>23788</v>
      </c>
      <c r="T254" s="29">
        <v>170616</v>
      </c>
      <c r="U254" s="29">
        <v>93153</v>
      </c>
      <c r="V254" s="29">
        <v>77463</v>
      </c>
    </row>
    <row r="255" spans="1:22" x14ac:dyDescent="0.2">
      <c r="A255" s="20" t="s">
        <v>252</v>
      </c>
      <c r="B255" s="20" t="s">
        <v>646</v>
      </c>
      <c r="C255" s="25">
        <v>37.950000000000003</v>
      </c>
      <c r="D255" s="27">
        <v>249</v>
      </c>
      <c r="E255" s="25">
        <v>286.95</v>
      </c>
      <c r="F255" s="25">
        <v>0</v>
      </c>
      <c r="G255" s="29">
        <v>1</v>
      </c>
      <c r="H255" s="27">
        <v>0</v>
      </c>
      <c r="I255" s="29">
        <v>250</v>
      </c>
      <c r="J255" s="29">
        <v>90530</v>
      </c>
      <c r="K255" s="29">
        <v>14429</v>
      </c>
      <c r="L255" s="29">
        <v>104959</v>
      </c>
      <c r="M255" s="29">
        <v>14448</v>
      </c>
      <c r="N255" s="29">
        <v>16195</v>
      </c>
      <c r="O255" s="29">
        <v>0</v>
      </c>
      <c r="P255" s="29">
        <v>9424</v>
      </c>
      <c r="Q255" s="29">
        <v>1127</v>
      </c>
      <c r="R255" s="29">
        <v>146153</v>
      </c>
      <c r="S255" s="29">
        <v>13977</v>
      </c>
      <c r="T255" s="29">
        <v>132176</v>
      </c>
      <c r="U255" s="29">
        <v>66590</v>
      </c>
      <c r="V255" s="29">
        <v>65586</v>
      </c>
    </row>
    <row r="256" spans="1:22" x14ac:dyDescent="0.2">
      <c r="A256" s="20" t="s">
        <v>253</v>
      </c>
      <c r="B256" s="20" t="s">
        <v>647</v>
      </c>
      <c r="C256" s="25">
        <v>206.28</v>
      </c>
      <c r="D256" s="27">
        <v>1422.7</v>
      </c>
      <c r="E256" s="25">
        <v>1628.98</v>
      </c>
      <c r="F256" s="25">
        <v>0</v>
      </c>
      <c r="G256" s="29">
        <v>34</v>
      </c>
      <c r="H256" s="27">
        <v>0</v>
      </c>
      <c r="I256" s="29">
        <v>1457</v>
      </c>
      <c r="J256" s="29">
        <v>513927</v>
      </c>
      <c r="K256" s="29">
        <v>0</v>
      </c>
      <c r="L256" s="29">
        <v>513927</v>
      </c>
      <c r="M256" s="29">
        <v>84200</v>
      </c>
      <c r="N256" s="29">
        <v>94384</v>
      </c>
      <c r="O256" s="29">
        <v>0</v>
      </c>
      <c r="P256" s="29">
        <v>51704</v>
      </c>
      <c r="Q256" s="29">
        <v>6174</v>
      </c>
      <c r="R256" s="29">
        <v>750389</v>
      </c>
      <c r="S256" s="29">
        <v>56471</v>
      </c>
      <c r="T256" s="29">
        <v>693918</v>
      </c>
      <c r="U256" s="29">
        <v>398878</v>
      </c>
      <c r="V256" s="29">
        <v>295040</v>
      </c>
    </row>
    <row r="257" spans="1:22" x14ac:dyDescent="0.2">
      <c r="A257" s="20" t="s">
        <v>334</v>
      </c>
      <c r="B257" s="20" t="s">
        <v>724</v>
      </c>
      <c r="C257" s="25">
        <v>31.38</v>
      </c>
      <c r="D257" s="27">
        <v>266.8</v>
      </c>
      <c r="E257" s="25">
        <v>298.18</v>
      </c>
      <c r="F257" s="25">
        <v>0.75</v>
      </c>
      <c r="G257" s="29">
        <v>0</v>
      </c>
      <c r="H257" s="27">
        <v>0</v>
      </c>
      <c r="I257" s="29">
        <v>267</v>
      </c>
      <c r="J257" s="29">
        <v>91324</v>
      </c>
      <c r="K257" s="29">
        <v>1575</v>
      </c>
      <c r="L257" s="29">
        <v>92899</v>
      </c>
      <c r="M257" s="29">
        <v>15347</v>
      </c>
      <c r="N257" s="29">
        <v>16861</v>
      </c>
      <c r="O257" s="29">
        <v>230</v>
      </c>
      <c r="P257" s="29">
        <v>9163</v>
      </c>
      <c r="Q257" s="29">
        <v>999</v>
      </c>
      <c r="R257" s="29">
        <v>135499</v>
      </c>
      <c r="S257" s="29">
        <v>16442</v>
      </c>
      <c r="T257" s="29">
        <v>119057</v>
      </c>
      <c r="U257" s="29">
        <v>66659</v>
      </c>
      <c r="V257" s="29">
        <v>52398</v>
      </c>
    </row>
    <row r="258" spans="1:22" x14ac:dyDescent="0.2">
      <c r="A258" s="20" t="s">
        <v>117</v>
      </c>
      <c r="B258" s="20" t="s">
        <v>518</v>
      </c>
      <c r="C258" s="25">
        <v>107.2</v>
      </c>
      <c r="D258" s="27">
        <v>717.4</v>
      </c>
      <c r="E258" s="25">
        <v>824.6</v>
      </c>
      <c r="F258" s="25">
        <v>0</v>
      </c>
      <c r="G258" s="29">
        <v>68</v>
      </c>
      <c r="H258" s="27">
        <v>0</v>
      </c>
      <c r="I258" s="29">
        <v>785</v>
      </c>
      <c r="J258" s="29">
        <v>257465</v>
      </c>
      <c r="K258" s="29">
        <v>0</v>
      </c>
      <c r="L258" s="29">
        <v>257465</v>
      </c>
      <c r="M258" s="29">
        <v>45381</v>
      </c>
      <c r="N258" s="29">
        <v>50633</v>
      </c>
      <c r="O258" s="29">
        <v>0</v>
      </c>
      <c r="P258" s="29">
        <v>32267</v>
      </c>
      <c r="Q258" s="29">
        <v>3711</v>
      </c>
      <c r="R258" s="29">
        <v>389457</v>
      </c>
      <c r="S258" s="29">
        <v>44215</v>
      </c>
      <c r="T258" s="29">
        <v>345242</v>
      </c>
      <c r="U258" s="29">
        <v>192965</v>
      </c>
      <c r="V258" s="29">
        <v>152277</v>
      </c>
    </row>
    <row r="259" spans="1:22" x14ac:dyDescent="0.2">
      <c r="A259" s="20" t="s">
        <v>254</v>
      </c>
      <c r="B259" s="20" t="s">
        <v>648</v>
      </c>
      <c r="C259" s="25">
        <v>160.97</v>
      </c>
      <c r="D259" s="27">
        <v>1072</v>
      </c>
      <c r="E259" s="25">
        <v>1232.97</v>
      </c>
      <c r="F259" s="25">
        <v>0</v>
      </c>
      <c r="G259" s="29">
        <v>159</v>
      </c>
      <c r="H259" s="27">
        <v>3.2</v>
      </c>
      <c r="I259" s="29">
        <v>1228</v>
      </c>
      <c r="J259" s="29">
        <v>388990</v>
      </c>
      <c r="K259" s="29">
        <v>0</v>
      </c>
      <c r="L259" s="29">
        <v>388990</v>
      </c>
      <c r="M259" s="29">
        <v>70966</v>
      </c>
      <c r="N259" s="29">
        <v>79550</v>
      </c>
      <c r="O259" s="29">
        <v>0</v>
      </c>
      <c r="P259" s="29">
        <v>39134</v>
      </c>
      <c r="Q259" s="29">
        <v>4673</v>
      </c>
      <c r="R259" s="29">
        <v>583313</v>
      </c>
      <c r="S259" s="29">
        <v>53257</v>
      </c>
      <c r="T259" s="29">
        <v>530056</v>
      </c>
      <c r="U259" s="29">
        <v>291395</v>
      </c>
      <c r="V259" s="29">
        <v>238661</v>
      </c>
    </row>
    <row r="260" spans="1:22" x14ac:dyDescent="0.2">
      <c r="A260" s="20" t="s">
        <v>300</v>
      </c>
      <c r="B260" s="20" t="s">
        <v>691</v>
      </c>
      <c r="C260" s="25">
        <v>137.88999999999999</v>
      </c>
      <c r="D260" s="27">
        <v>1058.4000000000001</v>
      </c>
      <c r="E260" s="25">
        <v>1196.29</v>
      </c>
      <c r="F260" s="25">
        <v>2.7</v>
      </c>
      <c r="G260" s="29">
        <v>10</v>
      </c>
      <c r="H260" s="27">
        <v>0</v>
      </c>
      <c r="I260" s="29">
        <v>1068</v>
      </c>
      <c r="J260" s="29">
        <v>369546</v>
      </c>
      <c r="K260" s="29">
        <v>0</v>
      </c>
      <c r="L260" s="29">
        <v>369546</v>
      </c>
      <c r="M260" s="29">
        <v>61421</v>
      </c>
      <c r="N260" s="29">
        <v>67903</v>
      </c>
      <c r="O260" s="29">
        <v>834</v>
      </c>
      <c r="P260" s="29">
        <v>37946</v>
      </c>
      <c r="Q260" s="29">
        <v>4067</v>
      </c>
      <c r="R260" s="29">
        <v>541717</v>
      </c>
      <c r="S260" s="29">
        <v>57385</v>
      </c>
      <c r="T260" s="29">
        <v>484332</v>
      </c>
      <c r="U260" s="29">
        <v>277182</v>
      </c>
      <c r="V260" s="29">
        <v>207150</v>
      </c>
    </row>
    <row r="261" spans="1:22" x14ac:dyDescent="0.2">
      <c r="A261" s="20" t="s">
        <v>255</v>
      </c>
      <c r="B261" s="20" t="s">
        <v>649</v>
      </c>
      <c r="C261" s="25">
        <v>66.5</v>
      </c>
      <c r="D261" s="27">
        <v>735.3</v>
      </c>
      <c r="E261" s="25">
        <v>801.8</v>
      </c>
      <c r="F261" s="25">
        <v>0</v>
      </c>
      <c r="G261" s="29">
        <v>14</v>
      </c>
      <c r="H261" s="27">
        <v>0</v>
      </c>
      <c r="I261" s="29">
        <v>749</v>
      </c>
      <c r="J261" s="29">
        <v>252960</v>
      </c>
      <c r="K261" s="29">
        <v>2588</v>
      </c>
      <c r="L261" s="29">
        <v>255548</v>
      </c>
      <c r="M261" s="29">
        <v>43285</v>
      </c>
      <c r="N261" s="29">
        <v>48520</v>
      </c>
      <c r="O261" s="29">
        <v>0</v>
      </c>
      <c r="P261" s="29">
        <v>25449</v>
      </c>
      <c r="Q261" s="29">
        <v>3039</v>
      </c>
      <c r="R261" s="29">
        <v>375841</v>
      </c>
      <c r="S261" s="29">
        <v>43971</v>
      </c>
      <c r="T261" s="29">
        <v>331870</v>
      </c>
      <c r="U261" s="29">
        <v>180156</v>
      </c>
      <c r="V261" s="29">
        <v>151714</v>
      </c>
    </row>
    <row r="262" spans="1:22" x14ac:dyDescent="0.2">
      <c r="A262" s="20" t="s">
        <v>301</v>
      </c>
      <c r="B262" s="20" t="s">
        <v>692</v>
      </c>
      <c r="C262" s="25">
        <v>52.86</v>
      </c>
      <c r="D262" s="27">
        <v>372.8</v>
      </c>
      <c r="E262" s="25">
        <v>425.66</v>
      </c>
      <c r="F262" s="25">
        <v>0.96</v>
      </c>
      <c r="G262" s="29">
        <v>0</v>
      </c>
      <c r="H262" s="27">
        <v>0</v>
      </c>
      <c r="I262" s="29">
        <v>373</v>
      </c>
      <c r="J262" s="29">
        <v>131491</v>
      </c>
      <c r="K262" s="29">
        <v>6235</v>
      </c>
      <c r="L262" s="29">
        <v>137726</v>
      </c>
      <c r="M262" s="29">
        <v>21451</v>
      </c>
      <c r="N262" s="29">
        <v>23715</v>
      </c>
      <c r="O262" s="29">
        <v>297</v>
      </c>
      <c r="P262" s="29">
        <v>13821</v>
      </c>
      <c r="Q262" s="29">
        <v>1480</v>
      </c>
      <c r="R262" s="29">
        <v>198490</v>
      </c>
      <c r="S262" s="29">
        <v>22474</v>
      </c>
      <c r="T262" s="29">
        <v>176016</v>
      </c>
      <c r="U262" s="29">
        <v>96922</v>
      </c>
      <c r="V262" s="29">
        <v>79094</v>
      </c>
    </row>
    <row r="263" spans="1:22" x14ac:dyDescent="0.2">
      <c r="A263" s="20" t="s">
        <v>335</v>
      </c>
      <c r="B263" s="20" t="s">
        <v>725</v>
      </c>
      <c r="C263" s="25">
        <v>64.180000000000007</v>
      </c>
      <c r="D263" s="27">
        <v>552</v>
      </c>
      <c r="E263" s="25">
        <v>616.17999999999995</v>
      </c>
      <c r="F263" s="25">
        <v>1.54</v>
      </c>
      <c r="G263" s="29">
        <v>0</v>
      </c>
      <c r="H263" s="27">
        <v>0</v>
      </c>
      <c r="I263" s="29">
        <v>552</v>
      </c>
      <c r="J263" s="29">
        <v>188717</v>
      </c>
      <c r="K263" s="29">
        <v>0</v>
      </c>
      <c r="L263" s="29">
        <v>188717</v>
      </c>
      <c r="M263" s="29">
        <v>31729</v>
      </c>
      <c r="N263" s="29">
        <v>34859</v>
      </c>
      <c r="O263" s="29">
        <v>472</v>
      </c>
      <c r="P263" s="29">
        <v>18935</v>
      </c>
      <c r="Q263" s="29">
        <v>2064</v>
      </c>
      <c r="R263" s="29">
        <v>276776</v>
      </c>
      <c r="S263" s="29">
        <v>32703</v>
      </c>
      <c r="T263" s="29">
        <v>244073</v>
      </c>
      <c r="U263" s="29">
        <v>139020</v>
      </c>
      <c r="V263" s="29">
        <v>105053</v>
      </c>
    </row>
    <row r="264" spans="1:22" x14ac:dyDescent="0.2">
      <c r="A264" s="20" t="s">
        <v>256</v>
      </c>
      <c r="B264" s="20" t="s">
        <v>650</v>
      </c>
      <c r="C264" s="25">
        <v>181.19</v>
      </c>
      <c r="D264" s="27">
        <v>1420.6</v>
      </c>
      <c r="E264" s="25">
        <v>1601.79</v>
      </c>
      <c r="F264" s="25">
        <v>0</v>
      </c>
      <c r="G264" s="29">
        <v>680</v>
      </c>
      <c r="H264" s="27">
        <v>0</v>
      </c>
      <c r="I264" s="29">
        <v>2101</v>
      </c>
      <c r="J264" s="29">
        <v>505349</v>
      </c>
      <c r="K264" s="29">
        <v>0</v>
      </c>
      <c r="L264" s="29">
        <v>505349</v>
      </c>
      <c r="M264" s="29">
        <v>121417</v>
      </c>
      <c r="N264" s="29">
        <v>136103</v>
      </c>
      <c r="O264" s="29">
        <v>0</v>
      </c>
      <c r="P264" s="29">
        <v>50841</v>
      </c>
      <c r="Q264" s="29">
        <v>6071</v>
      </c>
      <c r="R264" s="29">
        <v>819781</v>
      </c>
      <c r="S264" s="29">
        <v>48328</v>
      </c>
      <c r="T264" s="29">
        <v>771453</v>
      </c>
      <c r="U264" s="29">
        <v>399421</v>
      </c>
      <c r="V264" s="29">
        <v>372032</v>
      </c>
    </row>
    <row r="265" spans="1:22" x14ac:dyDescent="0.2">
      <c r="A265" s="20" t="s">
        <v>257</v>
      </c>
      <c r="B265" s="20" t="s">
        <v>651</v>
      </c>
      <c r="C265" s="25">
        <v>2381.4699999999998</v>
      </c>
      <c r="D265" s="27">
        <v>15016.9</v>
      </c>
      <c r="E265" s="25">
        <v>17398.37</v>
      </c>
      <c r="F265" s="25">
        <v>0</v>
      </c>
      <c r="G265" s="29">
        <v>1394</v>
      </c>
      <c r="H265" s="27">
        <v>11.9</v>
      </c>
      <c r="I265" s="29">
        <v>16399</v>
      </c>
      <c r="J265" s="29">
        <v>5489012</v>
      </c>
      <c r="K265" s="29">
        <v>0</v>
      </c>
      <c r="L265" s="29">
        <v>5489012</v>
      </c>
      <c r="M265" s="29">
        <v>947698</v>
      </c>
      <c r="N265" s="29">
        <v>1062327</v>
      </c>
      <c r="O265" s="29">
        <v>0</v>
      </c>
      <c r="P265" s="29">
        <v>552224</v>
      </c>
      <c r="Q265" s="29">
        <v>65940</v>
      </c>
      <c r="R265" s="29">
        <v>8117201</v>
      </c>
      <c r="S265" s="29">
        <v>680000</v>
      </c>
      <c r="T265" s="29">
        <v>7437201</v>
      </c>
      <c r="U265" s="29">
        <v>4183366</v>
      </c>
      <c r="V265" s="29">
        <v>3253835</v>
      </c>
    </row>
    <row r="266" spans="1:22" x14ac:dyDescent="0.2">
      <c r="A266" s="20" t="s">
        <v>51</v>
      </c>
      <c r="B266" s="20" t="s">
        <v>461</v>
      </c>
      <c r="C266" s="25">
        <v>65.5</v>
      </c>
      <c r="D266" s="27">
        <v>481.4</v>
      </c>
      <c r="E266" s="25">
        <v>546.9</v>
      </c>
      <c r="F266" s="25">
        <v>1.51</v>
      </c>
      <c r="G266" s="29">
        <v>4</v>
      </c>
      <c r="H266" s="27">
        <v>0</v>
      </c>
      <c r="I266" s="29">
        <v>485</v>
      </c>
      <c r="J266" s="29">
        <v>174385</v>
      </c>
      <c r="K266" s="29">
        <v>0</v>
      </c>
      <c r="L266" s="29">
        <v>174385</v>
      </c>
      <c r="M266" s="29">
        <v>28062</v>
      </c>
      <c r="N266" s="29">
        <v>31467</v>
      </c>
      <c r="O266" s="29">
        <v>481</v>
      </c>
      <c r="P266" s="29">
        <v>18518</v>
      </c>
      <c r="Q266" s="29">
        <v>2204</v>
      </c>
      <c r="R266" s="29">
        <v>255117</v>
      </c>
      <c r="S266" s="29">
        <v>29208</v>
      </c>
      <c r="T266" s="29">
        <v>225909</v>
      </c>
      <c r="U266" s="29">
        <v>125326</v>
      </c>
      <c r="V266" s="29">
        <v>100583</v>
      </c>
    </row>
    <row r="267" spans="1:22" x14ac:dyDescent="0.2">
      <c r="A267" s="20" t="s">
        <v>52</v>
      </c>
      <c r="B267" s="20" t="s">
        <v>462</v>
      </c>
      <c r="C267" s="25">
        <v>127.3</v>
      </c>
      <c r="D267" s="27">
        <v>936.2</v>
      </c>
      <c r="E267" s="25">
        <v>1063.5</v>
      </c>
      <c r="F267" s="25">
        <v>2.93</v>
      </c>
      <c r="G267" s="29">
        <v>25</v>
      </c>
      <c r="H267" s="27">
        <v>0</v>
      </c>
      <c r="I267" s="29">
        <v>961</v>
      </c>
      <c r="J267" s="29">
        <v>339108</v>
      </c>
      <c r="K267" s="29">
        <v>0</v>
      </c>
      <c r="L267" s="29">
        <v>339108</v>
      </c>
      <c r="M267" s="29">
        <v>55603</v>
      </c>
      <c r="N267" s="29">
        <v>62350</v>
      </c>
      <c r="O267" s="29">
        <v>934</v>
      </c>
      <c r="P267" s="29">
        <v>36010</v>
      </c>
      <c r="Q267" s="29">
        <v>4286</v>
      </c>
      <c r="R267" s="29">
        <v>498291</v>
      </c>
      <c r="S267" s="29">
        <v>55190</v>
      </c>
      <c r="T267" s="29">
        <v>443101</v>
      </c>
      <c r="U267" s="29">
        <v>245315</v>
      </c>
      <c r="V267" s="29">
        <v>197786</v>
      </c>
    </row>
    <row r="268" spans="1:22" x14ac:dyDescent="0.2">
      <c r="A268" s="20" t="s">
        <v>169</v>
      </c>
      <c r="B268" s="20" t="s">
        <v>566</v>
      </c>
      <c r="C268" s="25">
        <v>97.5</v>
      </c>
      <c r="D268" s="27">
        <v>1395.9</v>
      </c>
      <c r="E268" s="25">
        <v>1493.4</v>
      </c>
      <c r="F268" s="25">
        <v>0</v>
      </c>
      <c r="G268" s="29">
        <v>22</v>
      </c>
      <c r="H268" s="27">
        <v>0</v>
      </c>
      <c r="I268" s="29">
        <v>1418</v>
      </c>
      <c r="J268" s="29">
        <v>459893</v>
      </c>
      <c r="K268" s="29">
        <v>0</v>
      </c>
      <c r="L268" s="29">
        <v>459893</v>
      </c>
      <c r="M268" s="29">
        <v>81535</v>
      </c>
      <c r="N268" s="29">
        <v>89589</v>
      </c>
      <c r="O268" s="29">
        <v>0</v>
      </c>
      <c r="P268" s="29">
        <v>43234</v>
      </c>
      <c r="Q268" s="29">
        <v>5033</v>
      </c>
      <c r="R268" s="29">
        <v>679284</v>
      </c>
      <c r="S268" s="29">
        <v>48951</v>
      </c>
      <c r="T268" s="29">
        <v>630333</v>
      </c>
      <c r="U268" s="29">
        <v>363706</v>
      </c>
      <c r="V268" s="29">
        <v>266627</v>
      </c>
    </row>
    <row r="269" spans="1:22" x14ac:dyDescent="0.2">
      <c r="A269" s="20" t="s">
        <v>221</v>
      </c>
      <c r="B269" s="20" t="s">
        <v>615</v>
      </c>
      <c r="C269" s="25">
        <v>70.760000000000005</v>
      </c>
      <c r="D269" s="27">
        <v>533.79999999999995</v>
      </c>
      <c r="E269" s="25">
        <v>604.55999999999995</v>
      </c>
      <c r="F269" s="25">
        <v>0</v>
      </c>
      <c r="G269" s="29">
        <v>0</v>
      </c>
      <c r="H269" s="27">
        <v>0</v>
      </c>
      <c r="I269" s="29">
        <v>534</v>
      </c>
      <c r="J269" s="29">
        <v>181882</v>
      </c>
      <c r="K269" s="29">
        <v>6522</v>
      </c>
      <c r="L269" s="29">
        <v>188404</v>
      </c>
      <c r="M269" s="29">
        <v>30641</v>
      </c>
      <c r="N269" s="29">
        <v>33642</v>
      </c>
      <c r="O269" s="29">
        <v>0</v>
      </c>
      <c r="P269" s="29">
        <v>15223</v>
      </c>
      <c r="Q269" s="29">
        <v>1923</v>
      </c>
      <c r="R269" s="29">
        <v>269833</v>
      </c>
      <c r="S269" s="29">
        <v>26643</v>
      </c>
      <c r="T269" s="29">
        <v>243190</v>
      </c>
      <c r="U269" s="29">
        <v>138016</v>
      </c>
      <c r="V269" s="29">
        <v>105174</v>
      </c>
    </row>
    <row r="270" spans="1:22" x14ac:dyDescent="0.2">
      <c r="A270" s="20" t="s">
        <v>53</v>
      </c>
      <c r="B270" s="20" t="s">
        <v>463</v>
      </c>
      <c r="C270" s="25">
        <v>67.27</v>
      </c>
      <c r="D270" s="27">
        <v>639.4</v>
      </c>
      <c r="E270" s="25">
        <v>706.67</v>
      </c>
      <c r="F270" s="25">
        <v>1.94</v>
      </c>
      <c r="G270" s="29">
        <v>1</v>
      </c>
      <c r="H270" s="27">
        <v>0</v>
      </c>
      <c r="I270" s="29">
        <v>640</v>
      </c>
      <c r="J270" s="29">
        <v>225329</v>
      </c>
      <c r="K270" s="29">
        <v>0</v>
      </c>
      <c r="L270" s="29">
        <v>225329</v>
      </c>
      <c r="M270" s="29">
        <v>37030</v>
      </c>
      <c r="N270" s="29">
        <v>41523</v>
      </c>
      <c r="O270" s="29">
        <v>619</v>
      </c>
      <c r="P270" s="29">
        <v>23928</v>
      </c>
      <c r="Q270" s="29">
        <v>2848</v>
      </c>
      <c r="R270" s="29">
        <v>331277</v>
      </c>
      <c r="S270" s="29">
        <v>35146</v>
      </c>
      <c r="T270" s="29">
        <v>296131</v>
      </c>
      <c r="U270" s="29">
        <v>164531</v>
      </c>
      <c r="V270" s="29">
        <v>131600</v>
      </c>
    </row>
    <row r="271" spans="1:22" x14ac:dyDescent="0.2">
      <c r="A271" s="20" t="s">
        <v>54</v>
      </c>
      <c r="B271" s="20" t="s">
        <v>464</v>
      </c>
      <c r="C271" s="25">
        <v>76.760000000000005</v>
      </c>
      <c r="D271" s="27">
        <v>536.5</v>
      </c>
      <c r="E271" s="25">
        <v>613.26</v>
      </c>
      <c r="F271" s="25">
        <v>1.69</v>
      </c>
      <c r="G271" s="29">
        <v>2</v>
      </c>
      <c r="H271" s="27">
        <v>0</v>
      </c>
      <c r="I271" s="29">
        <v>539</v>
      </c>
      <c r="J271" s="29">
        <v>195544</v>
      </c>
      <c r="K271" s="29">
        <v>8555</v>
      </c>
      <c r="L271" s="29">
        <v>204099</v>
      </c>
      <c r="M271" s="29">
        <v>31187</v>
      </c>
      <c r="N271" s="29">
        <v>34970</v>
      </c>
      <c r="O271" s="29">
        <v>539</v>
      </c>
      <c r="P271" s="29">
        <v>21691</v>
      </c>
      <c r="Q271" s="29">
        <v>2585</v>
      </c>
      <c r="R271" s="29">
        <v>295071</v>
      </c>
      <c r="S271" s="29">
        <v>32474</v>
      </c>
      <c r="T271" s="29">
        <v>262597</v>
      </c>
      <c r="U271" s="29">
        <v>141850</v>
      </c>
      <c r="V271" s="29">
        <v>120747</v>
      </c>
    </row>
    <row r="272" spans="1:22" x14ac:dyDescent="0.2">
      <c r="A272" s="20" t="s">
        <v>302</v>
      </c>
      <c r="B272" s="20" t="s">
        <v>693</v>
      </c>
      <c r="C272" s="25">
        <v>35.86</v>
      </c>
      <c r="D272" s="27">
        <v>207</v>
      </c>
      <c r="E272" s="25">
        <v>242.86</v>
      </c>
      <c r="F272" s="25">
        <v>0.55000000000000004</v>
      </c>
      <c r="G272" s="29">
        <v>0</v>
      </c>
      <c r="H272" s="27">
        <v>0</v>
      </c>
      <c r="I272" s="29">
        <v>207</v>
      </c>
      <c r="J272" s="29">
        <v>75022</v>
      </c>
      <c r="K272" s="29">
        <v>4226</v>
      </c>
      <c r="L272" s="29">
        <v>79248</v>
      </c>
      <c r="M272" s="29">
        <v>11905</v>
      </c>
      <c r="N272" s="29">
        <v>13161</v>
      </c>
      <c r="O272" s="29">
        <v>170</v>
      </c>
      <c r="P272" s="29">
        <v>7704</v>
      </c>
      <c r="Q272" s="29">
        <v>826</v>
      </c>
      <c r="R272" s="29">
        <v>113014</v>
      </c>
      <c r="S272" s="29">
        <v>15658</v>
      </c>
      <c r="T272" s="29">
        <v>97356</v>
      </c>
      <c r="U272" s="29">
        <v>52264</v>
      </c>
      <c r="V272" s="29">
        <v>45092</v>
      </c>
    </row>
    <row r="273" spans="1:22" x14ac:dyDescent="0.2">
      <c r="A273" s="20" t="s">
        <v>109</v>
      </c>
      <c r="B273" s="20" t="s">
        <v>510</v>
      </c>
      <c r="C273" s="25">
        <v>252.64</v>
      </c>
      <c r="D273" s="27">
        <v>1528.5</v>
      </c>
      <c r="E273" s="25">
        <v>1781.14</v>
      </c>
      <c r="F273" s="25">
        <v>0</v>
      </c>
      <c r="G273" s="29">
        <v>1</v>
      </c>
      <c r="H273" s="27">
        <v>0</v>
      </c>
      <c r="I273" s="29">
        <v>1530</v>
      </c>
      <c r="J273" s="29">
        <v>556125</v>
      </c>
      <c r="K273" s="29">
        <v>0</v>
      </c>
      <c r="L273" s="29">
        <v>556125</v>
      </c>
      <c r="M273" s="29">
        <v>88449</v>
      </c>
      <c r="N273" s="29">
        <v>98685</v>
      </c>
      <c r="O273" s="29">
        <v>0</v>
      </c>
      <c r="P273" s="29">
        <v>69696</v>
      </c>
      <c r="Q273" s="29">
        <v>8015</v>
      </c>
      <c r="R273" s="29">
        <v>820970</v>
      </c>
      <c r="S273" s="29">
        <v>75549</v>
      </c>
      <c r="T273" s="29">
        <v>745421</v>
      </c>
      <c r="U273" s="29">
        <v>436760</v>
      </c>
      <c r="V273" s="29">
        <v>308661</v>
      </c>
    </row>
    <row r="274" spans="1:22" x14ac:dyDescent="0.2">
      <c r="A274" s="20" t="s">
        <v>16</v>
      </c>
      <c r="B274" s="20" t="s">
        <v>428</v>
      </c>
      <c r="C274" s="25">
        <v>103.76</v>
      </c>
      <c r="D274" s="27">
        <v>523.70000000000005</v>
      </c>
      <c r="E274" s="25">
        <v>627.46</v>
      </c>
      <c r="F274" s="25">
        <v>1.79</v>
      </c>
      <c r="G274" s="29">
        <v>263</v>
      </c>
      <c r="H274" s="27">
        <v>2.7</v>
      </c>
      <c r="I274" s="29">
        <v>784</v>
      </c>
      <c r="J274" s="29">
        <v>202739</v>
      </c>
      <c r="K274" s="29">
        <v>0</v>
      </c>
      <c r="L274" s="29">
        <v>202739</v>
      </c>
      <c r="M274" s="29">
        <v>45300</v>
      </c>
      <c r="N274" s="29">
        <v>50497</v>
      </c>
      <c r="O274" s="29">
        <v>578</v>
      </c>
      <c r="P274" s="29">
        <v>20016</v>
      </c>
      <c r="Q274" s="29">
        <v>2158</v>
      </c>
      <c r="R274" s="29">
        <v>321288</v>
      </c>
      <c r="S274" s="29">
        <v>37693</v>
      </c>
      <c r="T274" s="29">
        <v>283595</v>
      </c>
      <c r="U274" s="29">
        <v>138018</v>
      </c>
      <c r="V274" s="29">
        <v>145577</v>
      </c>
    </row>
    <row r="275" spans="1:22" x14ac:dyDescent="0.2">
      <c r="A275" s="20" t="s">
        <v>220</v>
      </c>
      <c r="B275" s="20" t="s">
        <v>614</v>
      </c>
      <c r="C275" s="25">
        <v>863.14</v>
      </c>
      <c r="D275" s="27">
        <v>6992.2</v>
      </c>
      <c r="E275" s="25">
        <v>7855.34</v>
      </c>
      <c r="F275" s="25">
        <v>0</v>
      </c>
      <c r="G275" s="29">
        <v>287</v>
      </c>
      <c r="H275" s="27">
        <v>0</v>
      </c>
      <c r="I275" s="29">
        <v>7279</v>
      </c>
      <c r="J275" s="29">
        <v>2363279</v>
      </c>
      <c r="K275" s="29">
        <v>0</v>
      </c>
      <c r="L275" s="29">
        <v>2363279</v>
      </c>
      <c r="M275" s="29">
        <v>417669</v>
      </c>
      <c r="N275" s="29">
        <v>458577</v>
      </c>
      <c r="O275" s="29">
        <v>0</v>
      </c>
      <c r="P275" s="29">
        <v>197797</v>
      </c>
      <c r="Q275" s="29">
        <v>24980</v>
      </c>
      <c r="R275" s="29">
        <v>3462302</v>
      </c>
      <c r="S275" s="29">
        <v>198481</v>
      </c>
      <c r="T275" s="29">
        <v>3263821</v>
      </c>
      <c r="U275" s="29">
        <v>1940999</v>
      </c>
      <c r="V275" s="29">
        <v>1322822</v>
      </c>
    </row>
    <row r="276" spans="1:22" x14ac:dyDescent="0.2">
      <c r="A276" s="20" t="s">
        <v>55</v>
      </c>
      <c r="B276" s="20" t="s">
        <v>465</v>
      </c>
      <c r="C276" s="25">
        <v>347.38</v>
      </c>
      <c r="D276" s="27">
        <v>1957.2</v>
      </c>
      <c r="E276" s="25">
        <v>2304.58</v>
      </c>
      <c r="F276" s="25">
        <v>6.34</v>
      </c>
      <c r="G276" s="29">
        <v>197</v>
      </c>
      <c r="H276" s="27">
        <v>0.2</v>
      </c>
      <c r="I276" s="29">
        <v>2154</v>
      </c>
      <c r="J276" s="29">
        <v>734838</v>
      </c>
      <c r="K276" s="29">
        <v>0</v>
      </c>
      <c r="L276" s="29">
        <v>734838</v>
      </c>
      <c r="M276" s="29">
        <v>124630</v>
      </c>
      <c r="N276" s="29">
        <v>139752</v>
      </c>
      <c r="O276" s="29">
        <v>2022</v>
      </c>
      <c r="P276" s="29">
        <v>78033</v>
      </c>
      <c r="Q276" s="29">
        <v>9287</v>
      </c>
      <c r="R276" s="29">
        <v>1088562</v>
      </c>
      <c r="S276" s="29">
        <v>101066</v>
      </c>
      <c r="T276" s="29">
        <v>987496</v>
      </c>
      <c r="U276" s="29">
        <v>550118</v>
      </c>
      <c r="V276" s="29">
        <v>437378</v>
      </c>
    </row>
    <row r="277" spans="1:22" x14ac:dyDescent="0.2">
      <c r="A277" s="20" t="s">
        <v>56</v>
      </c>
      <c r="B277" s="20" t="s">
        <v>466</v>
      </c>
      <c r="C277" s="25">
        <v>117.79</v>
      </c>
      <c r="D277" s="27">
        <v>1134.2</v>
      </c>
      <c r="E277" s="25">
        <v>1251.99</v>
      </c>
      <c r="F277" s="25">
        <v>3.44</v>
      </c>
      <c r="G277" s="29">
        <v>6</v>
      </c>
      <c r="H277" s="27">
        <v>0</v>
      </c>
      <c r="I277" s="29">
        <v>1140</v>
      </c>
      <c r="J277" s="29">
        <v>399210</v>
      </c>
      <c r="K277" s="29">
        <v>958</v>
      </c>
      <c r="L277" s="29">
        <v>400168</v>
      </c>
      <c r="M277" s="29">
        <v>65960</v>
      </c>
      <c r="N277" s="29">
        <v>73963</v>
      </c>
      <c r="O277" s="29">
        <v>1097</v>
      </c>
      <c r="P277" s="29">
        <v>42529</v>
      </c>
      <c r="Q277" s="29">
        <v>5068</v>
      </c>
      <c r="R277" s="29">
        <v>588785</v>
      </c>
      <c r="S277" s="29">
        <v>56032</v>
      </c>
      <c r="T277" s="29">
        <v>532753</v>
      </c>
      <c r="U277" s="29">
        <v>297890</v>
      </c>
      <c r="V277" s="29">
        <v>234863</v>
      </c>
    </row>
    <row r="278" spans="1:22" x14ac:dyDescent="0.2">
      <c r="A278" s="20" t="s">
        <v>170</v>
      </c>
      <c r="B278" s="20" t="s">
        <v>567</v>
      </c>
      <c r="C278" s="25">
        <v>42.38</v>
      </c>
      <c r="D278" s="27">
        <v>384.4</v>
      </c>
      <c r="E278" s="25">
        <v>426.78</v>
      </c>
      <c r="F278" s="25">
        <v>0</v>
      </c>
      <c r="G278" s="29">
        <v>7</v>
      </c>
      <c r="H278" s="27">
        <v>0</v>
      </c>
      <c r="I278" s="29">
        <v>391</v>
      </c>
      <c r="J278" s="29">
        <v>131427</v>
      </c>
      <c r="K278" s="29">
        <v>0</v>
      </c>
      <c r="L278" s="29">
        <v>131427</v>
      </c>
      <c r="M278" s="29">
        <v>22483</v>
      </c>
      <c r="N278" s="29">
        <v>24703</v>
      </c>
      <c r="O278" s="29">
        <v>0</v>
      </c>
      <c r="P278" s="29">
        <v>12355</v>
      </c>
      <c r="Q278" s="29">
        <v>1438</v>
      </c>
      <c r="R278" s="29">
        <v>192406</v>
      </c>
      <c r="S278" s="29">
        <v>21853</v>
      </c>
      <c r="T278" s="29">
        <v>170553</v>
      </c>
      <c r="U278" s="29">
        <v>96074</v>
      </c>
      <c r="V278" s="29">
        <v>74479</v>
      </c>
    </row>
    <row r="279" spans="1:22" x14ac:dyDescent="0.2">
      <c r="A279" s="20" t="s">
        <v>303</v>
      </c>
      <c r="B279" s="20" t="s">
        <v>694</v>
      </c>
      <c r="C279" s="25">
        <v>20.59</v>
      </c>
      <c r="D279" s="27">
        <v>170</v>
      </c>
      <c r="E279" s="25">
        <v>190.59</v>
      </c>
      <c r="F279" s="25">
        <v>0.43</v>
      </c>
      <c r="G279" s="29">
        <v>0</v>
      </c>
      <c r="H279" s="27">
        <v>0</v>
      </c>
      <c r="I279" s="29">
        <v>170</v>
      </c>
      <c r="J279" s="29">
        <v>58875</v>
      </c>
      <c r="K279" s="29">
        <v>7349</v>
      </c>
      <c r="L279" s="29">
        <v>66224</v>
      </c>
      <c r="M279" s="29">
        <v>9777</v>
      </c>
      <c r="N279" s="29">
        <v>10809</v>
      </c>
      <c r="O279" s="29">
        <v>133</v>
      </c>
      <c r="P279" s="29">
        <v>6046</v>
      </c>
      <c r="Q279" s="29">
        <v>648</v>
      </c>
      <c r="R279" s="29">
        <v>93637</v>
      </c>
      <c r="S279" s="29">
        <v>12066</v>
      </c>
      <c r="T279" s="29">
        <v>81571</v>
      </c>
      <c r="U279" s="29">
        <v>41237</v>
      </c>
      <c r="V279" s="29">
        <v>40334</v>
      </c>
    </row>
    <row r="280" spans="1:22" x14ac:dyDescent="0.2">
      <c r="A280" s="20" t="s">
        <v>17</v>
      </c>
      <c r="B280" s="20" t="s">
        <v>429</v>
      </c>
      <c r="C280" s="25">
        <v>107.04</v>
      </c>
      <c r="D280" s="27">
        <v>609.4</v>
      </c>
      <c r="E280" s="25">
        <v>716.44</v>
      </c>
      <c r="F280" s="25">
        <v>2.04</v>
      </c>
      <c r="G280" s="29">
        <v>1</v>
      </c>
      <c r="H280" s="27">
        <v>0</v>
      </c>
      <c r="I280" s="29">
        <v>610</v>
      </c>
      <c r="J280" s="29">
        <v>231489</v>
      </c>
      <c r="K280" s="29">
        <v>0</v>
      </c>
      <c r="L280" s="29">
        <v>231489</v>
      </c>
      <c r="M280" s="29">
        <v>35246</v>
      </c>
      <c r="N280" s="29">
        <v>39290</v>
      </c>
      <c r="O280" s="29">
        <v>659</v>
      </c>
      <c r="P280" s="29">
        <v>22854</v>
      </c>
      <c r="Q280" s="29">
        <v>2465</v>
      </c>
      <c r="R280" s="29">
        <v>332003</v>
      </c>
      <c r="S280" s="29">
        <v>41746</v>
      </c>
      <c r="T280" s="29">
        <v>290257</v>
      </c>
      <c r="U280" s="29">
        <v>158882</v>
      </c>
      <c r="V280" s="29">
        <v>131375</v>
      </c>
    </row>
    <row r="281" spans="1:22" x14ac:dyDescent="0.2">
      <c r="A281" s="20" t="s">
        <v>57</v>
      </c>
      <c r="B281" s="20" t="s">
        <v>467</v>
      </c>
      <c r="C281" s="25">
        <v>319.87</v>
      </c>
      <c r="D281" s="27">
        <v>2530.4</v>
      </c>
      <c r="E281" s="25">
        <v>2850.27</v>
      </c>
      <c r="F281" s="25">
        <v>7.82</v>
      </c>
      <c r="G281" s="29">
        <v>227</v>
      </c>
      <c r="H281" s="27">
        <v>4.3</v>
      </c>
      <c r="I281" s="29">
        <v>2753</v>
      </c>
      <c r="J281" s="29">
        <v>908837</v>
      </c>
      <c r="K281" s="29">
        <v>0</v>
      </c>
      <c r="L281" s="29">
        <v>908837</v>
      </c>
      <c r="M281" s="29">
        <v>159289</v>
      </c>
      <c r="N281" s="29">
        <v>178615</v>
      </c>
      <c r="O281" s="29">
        <v>2493</v>
      </c>
      <c r="P281" s="29">
        <v>96510</v>
      </c>
      <c r="Q281" s="29">
        <v>11487</v>
      </c>
      <c r="R281" s="29">
        <v>1357231</v>
      </c>
      <c r="S281" s="29">
        <v>89007</v>
      </c>
      <c r="T281" s="29">
        <v>1268224</v>
      </c>
      <c r="U281" s="29">
        <v>716364</v>
      </c>
      <c r="V281" s="29">
        <v>551860</v>
      </c>
    </row>
    <row r="282" spans="1:22" x14ac:dyDescent="0.2">
      <c r="A282" s="20" t="s">
        <v>58</v>
      </c>
      <c r="B282" s="20" t="s">
        <v>468</v>
      </c>
      <c r="C282" s="25">
        <v>25.33</v>
      </c>
      <c r="D282" s="27">
        <v>137.9</v>
      </c>
      <c r="E282" s="25">
        <v>163.22999999999999</v>
      </c>
      <c r="F282" s="25">
        <v>0.45</v>
      </c>
      <c r="G282" s="29">
        <v>4</v>
      </c>
      <c r="H282" s="27">
        <v>0</v>
      </c>
      <c r="I282" s="29">
        <v>142</v>
      </c>
      <c r="J282" s="29">
        <v>52048</v>
      </c>
      <c r="K282" s="29">
        <v>11463</v>
      </c>
      <c r="L282" s="29">
        <v>63511</v>
      </c>
      <c r="M282" s="29">
        <v>8216</v>
      </c>
      <c r="N282" s="29">
        <v>9213</v>
      </c>
      <c r="O282" s="29">
        <v>143</v>
      </c>
      <c r="P282" s="29">
        <v>5527</v>
      </c>
      <c r="Q282" s="29">
        <v>658</v>
      </c>
      <c r="R282" s="29">
        <v>87268</v>
      </c>
      <c r="S282" s="29">
        <v>10017</v>
      </c>
      <c r="T282" s="29">
        <v>77251</v>
      </c>
      <c r="U282" s="29">
        <v>36106</v>
      </c>
      <c r="V282" s="29">
        <v>41145</v>
      </c>
    </row>
    <row r="283" spans="1:22" x14ac:dyDescent="0.2">
      <c r="A283" s="20" t="s">
        <v>227</v>
      </c>
      <c r="B283" s="20" t="s">
        <v>621</v>
      </c>
      <c r="C283" s="25">
        <v>151.44999999999999</v>
      </c>
      <c r="D283" s="27">
        <v>953.5</v>
      </c>
      <c r="E283" s="25">
        <v>1104.95</v>
      </c>
      <c r="F283" s="25">
        <v>0</v>
      </c>
      <c r="G283" s="29">
        <v>0</v>
      </c>
      <c r="H283" s="27">
        <v>0</v>
      </c>
      <c r="I283" s="29">
        <v>954</v>
      </c>
      <c r="J283" s="29">
        <v>332424</v>
      </c>
      <c r="K283" s="29">
        <v>0</v>
      </c>
      <c r="L283" s="29">
        <v>332424</v>
      </c>
      <c r="M283" s="29">
        <v>54741</v>
      </c>
      <c r="N283" s="29">
        <v>60102</v>
      </c>
      <c r="O283" s="29">
        <v>0</v>
      </c>
      <c r="P283" s="29">
        <v>27823</v>
      </c>
      <c r="Q283" s="29">
        <v>3514</v>
      </c>
      <c r="R283" s="29">
        <v>478604</v>
      </c>
      <c r="S283" s="29">
        <v>43965</v>
      </c>
      <c r="T283" s="29">
        <v>434639</v>
      </c>
      <c r="U283" s="29">
        <v>256980</v>
      </c>
      <c r="V283" s="29">
        <v>177659</v>
      </c>
    </row>
    <row r="284" spans="1:22" x14ac:dyDescent="0.2">
      <c r="A284" s="20" t="s">
        <v>111</v>
      </c>
      <c r="B284" s="20" t="s">
        <v>512</v>
      </c>
      <c r="C284" s="25">
        <v>135.46</v>
      </c>
      <c r="D284" s="27">
        <v>797.3</v>
      </c>
      <c r="E284" s="25">
        <v>932.76</v>
      </c>
      <c r="F284" s="25">
        <v>0</v>
      </c>
      <c r="G284" s="29">
        <v>2</v>
      </c>
      <c r="H284" s="27">
        <v>0</v>
      </c>
      <c r="I284" s="29">
        <v>799</v>
      </c>
      <c r="J284" s="29">
        <v>291236</v>
      </c>
      <c r="K284" s="29">
        <v>0</v>
      </c>
      <c r="L284" s="29">
        <v>291236</v>
      </c>
      <c r="M284" s="29">
        <v>46190</v>
      </c>
      <c r="N284" s="29">
        <v>51536</v>
      </c>
      <c r="O284" s="29">
        <v>0</v>
      </c>
      <c r="P284" s="29">
        <v>36499</v>
      </c>
      <c r="Q284" s="29">
        <v>4197</v>
      </c>
      <c r="R284" s="29">
        <v>429658</v>
      </c>
      <c r="S284" s="29">
        <v>48164</v>
      </c>
      <c r="T284" s="29">
        <v>381494</v>
      </c>
      <c r="U284" s="29">
        <v>220125</v>
      </c>
      <c r="V284" s="29">
        <v>161369</v>
      </c>
    </row>
    <row r="285" spans="1:22" x14ac:dyDescent="0.2">
      <c r="A285" s="20" t="s">
        <v>171</v>
      </c>
      <c r="B285" s="20" t="s">
        <v>568</v>
      </c>
      <c r="C285" s="25">
        <v>102.74</v>
      </c>
      <c r="D285" s="27">
        <v>872.7</v>
      </c>
      <c r="E285" s="25">
        <v>975.44</v>
      </c>
      <c r="F285" s="25">
        <v>0</v>
      </c>
      <c r="G285" s="29">
        <v>1</v>
      </c>
      <c r="H285" s="27">
        <v>0</v>
      </c>
      <c r="I285" s="29">
        <v>874</v>
      </c>
      <c r="J285" s="29">
        <v>300387</v>
      </c>
      <c r="K285" s="29">
        <v>0</v>
      </c>
      <c r="L285" s="29">
        <v>300387</v>
      </c>
      <c r="M285" s="29">
        <v>50255</v>
      </c>
      <c r="N285" s="29">
        <v>55219</v>
      </c>
      <c r="O285" s="29">
        <v>0</v>
      </c>
      <c r="P285" s="29">
        <v>28239</v>
      </c>
      <c r="Q285" s="29">
        <v>3287</v>
      </c>
      <c r="R285" s="29">
        <v>437387</v>
      </c>
      <c r="S285" s="29">
        <v>38524</v>
      </c>
      <c r="T285" s="29">
        <v>398863</v>
      </c>
      <c r="U285" s="29">
        <v>231009</v>
      </c>
      <c r="V285" s="29">
        <v>167854</v>
      </c>
    </row>
    <row r="286" spans="1:22" x14ac:dyDescent="0.2">
      <c r="A286" s="20" t="s">
        <v>304</v>
      </c>
      <c r="B286" s="20" t="s">
        <v>695</v>
      </c>
      <c r="C286" s="25">
        <v>42.42</v>
      </c>
      <c r="D286" s="27">
        <v>623.70000000000005</v>
      </c>
      <c r="E286" s="25">
        <v>666.12</v>
      </c>
      <c r="F286" s="25">
        <v>1.5</v>
      </c>
      <c r="G286" s="29">
        <v>50</v>
      </c>
      <c r="H286" s="27">
        <v>0</v>
      </c>
      <c r="I286" s="29">
        <v>674</v>
      </c>
      <c r="J286" s="29">
        <v>205771</v>
      </c>
      <c r="K286" s="29">
        <v>0</v>
      </c>
      <c r="L286" s="29">
        <v>205771</v>
      </c>
      <c r="M286" s="29">
        <v>38762</v>
      </c>
      <c r="N286" s="29">
        <v>42853</v>
      </c>
      <c r="O286" s="29">
        <v>463</v>
      </c>
      <c r="P286" s="29">
        <v>21129</v>
      </c>
      <c r="Q286" s="29">
        <v>2265</v>
      </c>
      <c r="R286" s="29">
        <v>311243</v>
      </c>
      <c r="S286" s="29">
        <v>22629</v>
      </c>
      <c r="T286" s="29">
        <v>288614</v>
      </c>
      <c r="U286" s="29">
        <v>163664</v>
      </c>
      <c r="V286" s="29">
        <v>124950</v>
      </c>
    </row>
    <row r="287" spans="1:22" x14ac:dyDescent="0.2">
      <c r="A287" s="20" t="s">
        <v>305</v>
      </c>
      <c r="B287" s="20" t="s">
        <v>696</v>
      </c>
      <c r="C287" s="25">
        <v>65.81</v>
      </c>
      <c r="D287" s="27">
        <v>657</v>
      </c>
      <c r="E287" s="25">
        <v>722.81</v>
      </c>
      <c r="F287" s="25">
        <v>1.63</v>
      </c>
      <c r="G287" s="29">
        <v>4</v>
      </c>
      <c r="H287" s="27">
        <v>0</v>
      </c>
      <c r="I287" s="29">
        <v>661</v>
      </c>
      <c r="J287" s="29">
        <v>223283</v>
      </c>
      <c r="K287" s="29">
        <v>0</v>
      </c>
      <c r="L287" s="29">
        <v>223283</v>
      </c>
      <c r="M287" s="29">
        <v>38014</v>
      </c>
      <c r="N287" s="29">
        <v>42026</v>
      </c>
      <c r="O287" s="29">
        <v>504</v>
      </c>
      <c r="P287" s="29">
        <v>22928</v>
      </c>
      <c r="Q287" s="29">
        <v>2458</v>
      </c>
      <c r="R287" s="29">
        <v>329213</v>
      </c>
      <c r="S287" s="29">
        <v>33287</v>
      </c>
      <c r="T287" s="29">
        <v>295926</v>
      </c>
      <c r="U287" s="29">
        <v>168862</v>
      </c>
      <c r="V287" s="29">
        <v>127064</v>
      </c>
    </row>
    <row r="288" spans="1:22" x14ac:dyDescent="0.2">
      <c r="A288" s="20" t="s">
        <v>336</v>
      </c>
      <c r="B288" s="20" t="s">
        <v>726</v>
      </c>
      <c r="C288" s="25">
        <v>34.83</v>
      </c>
      <c r="D288" s="27">
        <v>280.8</v>
      </c>
      <c r="E288" s="25">
        <v>315.63</v>
      </c>
      <c r="F288" s="25">
        <v>0.79</v>
      </c>
      <c r="G288" s="29">
        <v>9</v>
      </c>
      <c r="H288" s="27">
        <v>0</v>
      </c>
      <c r="I288" s="29">
        <v>290</v>
      </c>
      <c r="J288" s="29">
        <v>96668</v>
      </c>
      <c r="K288" s="29">
        <v>1859</v>
      </c>
      <c r="L288" s="29">
        <v>98527</v>
      </c>
      <c r="M288" s="29">
        <v>16669</v>
      </c>
      <c r="N288" s="29">
        <v>18314</v>
      </c>
      <c r="O288" s="29">
        <v>242</v>
      </c>
      <c r="P288" s="29">
        <v>9881</v>
      </c>
      <c r="Q288" s="29">
        <v>1076</v>
      </c>
      <c r="R288" s="29">
        <v>144709</v>
      </c>
      <c r="S288" s="29">
        <v>17232</v>
      </c>
      <c r="T288" s="29">
        <v>127477</v>
      </c>
      <c r="U288" s="29">
        <v>70931</v>
      </c>
      <c r="V288" s="29">
        <v>56546</v>
      </c>
    </row>
    <row r="289" spans="1:22" x14ac:dyDescent="0.2">
      <c r="A289" s="20" t="s">
        <v>112</v>
      </c>
      <c r="B289" s="20" t="s">
        <v>513</v>
      </c>
      <c r="C289" s="25">
        <v>62.27</v>
      </c>
      <c r="D289" s="27">
        <v>410</v>
      </c>
      <c r="E289" s="25">
        <v>472.27</v>
      </c>
      <c r="F289" s="25">
        <v>0</v>
      </c>
      <c r="G289" s="29">
        <v>0</v>
      </c>
      <c r="H289" s="27">
        <v>0</v>
      </c>
      <c r="I289" s="29">
        <v>410</v>
      </c>
      <c r="J289" s="29">
        <v>147457</v>
      </c>
      <c r="K289" s="29">
        <v>4867</v>
      </c>
      <c r="L289" s="29">
        <v>152324</v>
      </c>
      <c r="M289" s="29">
        <v>23702</v>
      </c>
      <c r="N289" s="29">
        <v>26445</v>
      </c>
      <c r="O289" s="29">
        <v>0</v>
      </c>
      <c r="P289" s="29">
        <v>18480</v>
      </c>
      <c r="Q289" s="29">
        <v>2125</v>
      </c>
      <c r="R289" s="29">
        <v>223076</v>
      </c>
      <c r="S289" s="29">
        <v>22675</v>
      </c>
      <c r="T289" s="29">
        <v>200401</v>
      </c>
      <c r="U289" s="29">
        <v>113164</v>
      </c>
      <c r="V289" s="29">
        <v>87237</v>
      </c>
    </row>
    <row r="290" spans="1:22" x14ac:dyDescent="0.2">
      <c r="A290" s="20" t="s">
        <v>18</v>
      </c>
      <c r="B290" s="20" t="s">
        <v>430</v>
      </c>
      <c r="C290" s="25">
        <v>56.82</v>
      </c>
      <c r="D290" s="27">
        <v>357.1</v>
      </c>
      <c r="E290" s="25">
        <v>413.92</v>
      </c>
      <c r="F290" s="25">
        <v>1.18</v>
      </c>
      <c r="G290" s="29">
        <v>66</v>
      </c>
      <c r="H290" s="27">
        <v>0.1</v>
      </c>
      <c r="I290" s="29">
        <v>423</v>
      </c>
      <c r="J290" s="29">
        <v>133742</v>
      </c>
      <c r="K290" s="29">
        <v>13012</v>
      </c>
      <c r="L290" s="29">
        <v>146754</v>
      </c>
      <c r="M290" s="29">
        <v>24441</v>
      </c>
      <c r="N290" s="29">
        <v>27245</v>
      </c>
      <c r="O290" s="29">
        <v>381</v>
      </c>
      <c r="P290" s="29">
        <v>13204</v>
      </c>
      <c r="Q290" s="29">
        <v>1424</v>
      </c>
      <c r="R290" s="29">
        <v>213449</v>
      </c>
      <c r="S290" s="29">
        <v>29583</v>
      </c>
      <c r="T290" s="29">
        <v>183866</v>
      </c>
      <c r="U290" s="29">
        <v>86329</v>
      </c>
      <c r="V290" s="29">
        <v>97537</v>
      </c>
    </row>
    <row r="291" spans="1:22" x14ac:dyDescent="0.2">
      <c r="A291" s="20" t="s">
        <v>222</v>
      </c>
      <c r="B291" s="20" t="s">
        <v>616</v>
      </c>
      <c r="C291" s="25">
        <v>62.09</v>
      </c>
      <c r="D291" s="27">
        <v>323.60000000000002</v>
      </c>
      <c r="E291" s="25">
        <v>385.69</v>
      </c>
      <c r="F291" s="25">
        <v>0</v>
      </c>
      <c r="G291" s="29">
        <v>12</v>
      </c>
      <c r="H291" s="27">
        <v>0</v>
      </c>
      <c r="I291" s="29">
        <v>336</v>
      </c>
      <c r="J291" s="29">
        <v>116035</v>
      </c>
      <c r="K291" s="29">
        <v>2264</v>
      </c>
      <c r="L291" s="29">
        <v>118299</v>
      </c>
      <c r="M291" s="29">
        <v>19280</v>
      </c>
      <c r="N291" s="29">
        <v>21168</v>
      </c>
      <c r="O291" s="29">
        <v>0</v>
      </c>
      <c r="P291" s="29">
        <v>9712</v>
      </c>
      <c r="Q291" s="29">
        <v>1226</v>
      </c>
      <c r="R291" s="29">
        <v>169685</v>
      </c>
      <c r="S291" s="29">
        <v>20920</v>
      </c>
      <c r="T291" s="29">
        <v>148765</v>
      </c>
      <c r="U291" s="29">
        <v>84126</v>
      </c>
      <c r="V291" s="29">
        <v>64639</v>
      </c>
    </row>
    <row r="292" spans="1:22" x14ac:dyDescent="0.2">
      <c r="A292" s="20" t="s">
        <v>59</v>
      </c>
      <c r="B292" s="20" t="s">
        <v>469</v>
      </c>
      <c r="C292" s="25">
        <v>18.38</v>
      </c>
      <c r="D292" s="27">
        <v>150</v>
      </c>
      <c r="E292" s="25">
        <v>168.38</v>
      </c>
      <c r="F292" s="25">
        <v>0.46</v>
      </c>
      <c r="G292" s="29">
        <v>11</v>
      </c>
      <c r="H292" s="27">
        <v>0</v>
      </c>
      <c r="I292" s="29">
        <v>161</v>
      </c>
      <c r="J292" s="29">
        <v>53690</v>
      </c>
      <c r="K292" s="29">
        <v>4085</v>
      </c>
      <c r="L292" s="29">
        <v>57775</v>
      </c>
      <c r="M292" s="29">
        <v>9315</v>
      </c>
      <c r="N292" s="29">
        <v>10446</v>
      </c>
      <c r="O292" s="29">
        <v>147</v>
      </c>
      <c r="P292" s="29">
        <v>5701</v>
      </c>
      <c r="Q292" s="29">
        <v>679</v>
      </c>
      <c r="R292" s="29">
        <v>84063</v>
      </c>
      <c r="S292" s="29">
        <v>11565</v>
      </c>
      <c r="T292" s="29">
        <v>72498</v>
      </c>
      <c r="U292" s="29">
        <v>36012</v>
      </c>
      <c r="V292" s="29">
        <v>36486</v>
      </c>
    </row>
    <row r="293" spans="1:22" x14ac:dyDescent="0.2">
      <c r="A293" s="20" t="s">
        <v>306</v>
      </c>
      <c r="B293" s="20" t="s">
        <v>697</v>
      </c>
      <c r="C293" s="25">
        <v>70.64</v>
      </c>
      <c r="D293" s="27">
        <v>690</v>
      </c>
      <c r="E293" s="25">
        <v>760.64</v>
      </c>
      <c r="F293" s="25">
        <v>1.72</v>
      </c>
      <c r="G293" s="29">
        <v>19</v>
      </c>
      <c r="H293" s="27">
        <v>0</v>
      </c>
      <c r="I293" s="29">
        <v>709</v>
      </c>
      <c r="J293" s="29">
        <v>234969</v>
      </c>
      <c r="K293" s="29">
        <v>6278</v>
      </c>
      <c r="L293" s="29">
        <v>241247</v>
      </c>
      <c r="M293" s="29">
        <v>40775</v>
      </c>
      <c r="N293" s="29">
        <v>45078</v>
      </c>
      <c r="O293" s="29">
        <v>531</v>
      </c>
      <c r="P293" s="29">
        <v>24774</v>
      </c>
      <c r="Q293" s="29">
        <v>2652</v>
      </c>
      <c r="R293" s="29">
        <v>355057</v>
      </c>
      <c r="S293" s="29">
        <v>30799</v>
      </c>
      <c r="T293" s="29">
        <v>324258</v>
      </c>
      <c r="U293" s="29">
        <v>182643</v>
      </c>
      <c r="V293" s="29">
        <v>141615</v>
      </c>
    </row>
    <row r="294" spans="1:22" x14ac:dyDescent="0.2">
      <c r="A294" s="20" t="s">
        <v>223</v>
      </c>
      <c r="B294" s="20" t="s">
        <v>617</v>
      </c>
      <c r="C294" s="25">
        <v>48.32</v>
      </c>
      <c r="D294" s="27">
        <v>403.3</v>
      </c>
      <c r="E294" s="25">
        <v>451.62</v>
      </c>
      <c r="F294" s="25">
        <v>0</v>
      </c>
      <c r="G294" s="29">
        <v>6</v>
      </c>
      <c r="H294" s="27">
        <v>0</v>
      </c>
      <c r="I294" s="29">
        <v>409</v>
      </c>
      <c r="J294" s="29">
        <v>135870</v>
      </c>
      <c r="K294" s="29">
        <v>0</v>
      </c>
      <c r="L294" s="29">
        <v>135870</v>
      </c>
      <c r="M294" s="29">
        <v>23468</v>
      </c>
      <c r="N294" s="29">
        <v>25767</v>
      </c>
      <c r="O294" s="29">
        <v>0</v>
      </c>
      <c r="P294" s="29">
        <v>11372</v>
      </c>
      <c r="Q294" s="29">
        <v>1436</v>
      </c>
      <c r="R294" s="29">
        <v>197913</v>
      </c>
      <c r="S294" s="29">
        <v>19730</v>
      </c>
      <c r="T294" s="29">
        <v>178183</v>
      </c>
      <c r="U294" s="29">
        <v>103273</v>
      </c>
      <c r="V294" s="29">
        <v>74910</v>
      </c>
    </row>
    <row r="295" spans="1:22" x14ac:dyDescent="0.2">
      <c r="A295" s="20" t="s">
        <v>224</v>
      </c>
      <c r="B295" s="20" t="s">
        <v>618</v>
      </c>
      <c r="C295" s="25">
        <v>367.23</v>
      </c>
      <c r="D295" s="27">
        <v>3438</v>
      </c>
      <c r="E295" s="25">
        <v>3805.23</v>
      </c>
      <c r="F295" s="25">
        <v>0</v>
      </c>
      <c r="G295" s="29">
        <v>431</v>
      </c>
      <c r="H295" s="27">
        <v>1</v>
      </c>
      <c r="I295" s="29">
        <v>3868</v>
      </c>
      <c r="J295" s="29">
        <v>1144803</v>
      </c>
      <c r="K295" s="29">
        <v>0</v>
      </c>
      <c r="L295" s="29">
        <v>1144803</v>
      </c>
      <c r="M295" s="29">
        <v>221946</v>
      </c>
      <c r="N295" s="29">
        <v>243684</v>
      </c>
      <c r="O295" s="29">
        <v>0</v>
      </c>
      <c r="P295" s="29">
        <v>95816</v>
      </c>
      <c r="Q295" s="29">
        <v>12101</v>
      </c>
      <c r="R295" s="29">
        <v>1718350</v>
      </c>
      <c r="S295" s="29">
        <v>138380</v>
      </c>
      <c r="T295" s="29">
        <v>1579970</v>
      </c>
      <c r="U295" s="29">
        <v>898013</v>
      </c>
      <c r="V295" s="29">
        <v>681957</v>
      </c>
    </row>
    <row r="296" spans="1:22" x14ac:dyDescent="0.2">
      <c r="A296" s="20" t="s">
        <v>337</v>
      </c>
      <c r="B296" s="20" t="s">
        <v>742</v>
      </c>
      <c r="C296" s="25">
        <v>109.86</v>
      </c>
      <c r="D296" s="27">
        <v>949.9</v>
      </c>
      <c r="E296" s="25">
        <v>1059.76</v>
      </c>
      <c r="F296" s="25">
        <v>2.66</v>
      </c>
      <c r="G296" s="29">
        <v>1</v>
      </c>
      <c r="H296" s="27">
        <v>0</v>
      </c>
      <c r="I296" s="29">
        <v>951</v>
      </c>
      <c r="J296" s="29">
        <v>324573</v>
      </c>
      <c r="K296" s="29">
        <v>12865</v>
      </c>
      <c r="L296" s="29">
        <v>337438</v>
      </c>
      <c r="M296" s="29">
        <v>54663</v>
      </c>
      <c r="N296" s="29">
        <v>60056</v>
      </c>
      <c r="O296" s="29">
        <v>815</v>
      </c>
      <c r="P296" s="29">
        <v>33197</v>
      </c>
      <c r="Q296" s="29">
        <v>3616</v>
      </c>
      <c r="R296" s="29">
        <v>489785</v>
      </c>
      <c r="S296" s="29">
        <v>61494</v>
      </c>
      <c r="T296" s="29">
        <v>428291</v>
      </c>
      <c r="U296" s="29">
        <v>234549</v>
      </c>
      <c r="V296" s="29">
        <v>193742</v>
      </c>
    </row>
    <row r="297" spans="1:22" x14ac:dyDescent="0.2">
      <c r="A297" s="20" t="s">
        <v>225</v>
      </c>
      <c r="B297" s="20" t="s">
        <v>619</v>
      </c>
      <c r="C297" s="25">
        <v>49.33</v>
      </c>
      <c r="D297" s="27">
        <v>754.3</v>
      </c>
      <c r="E297" s="25">
        <v>803.63</v>
      </c>
      <c r="F297" s="25">
        <v>0</v>
      </c>
      <c r="G297" s="29">
        <v>33</v>
      </c>
      <c r="H297" s="27">
        <v>0</v>
      </c>
      <c r="I297" s="29">
        <v>787</v>
      </c>
      <c r="J297" s="29">
        <v>241772</v>
      </c>
      <c r="K297" s="29">
        <v>0</v>
      </c>
      <c r="L297" s="29">
        <v>241772</v>
      </c>
      <c r="M297" s="29">
        <v>45158</v>
      </c>
      <c r="N297" s="29">
        <v>49581</v>
      </c>
      <c r="O297" s="29">
        <v>0</v>
      </c>
      <c r="P297" s="29">
        <v>20235</v>
      </c>
      <c r="Q297" s="29">
        <v>2556</v>
      </c>
      <c r="R297" s="29">
        <v>359302</v>
      </c>
      <c r="S297" s="29">
        <v>22227</v>
      </c>
      <c r="T297" s="29">
        <v>337075</v>
      </c>
      <c r="U297" s="29">
        <v>196650</v>
      </c>
      <c r="V297" s="29">
        <v>140425</v>
      </c>
    </row>
    <row r="298" spans="1:22" x14ac:dyDescent="0.2">
      <c r="A298" s="20" t="s">
        <v>307</v>
      </c>
      <c r="B298" s="20" t="s">
        <v>698</v>
      </c>
      <c r="C298" s="25">
        <v>22.81</v>
      </c>
      <c r="D298" s="27">
        <v>290.2</v>
      </c>
      <c r="E298" s="25">
        <v>313.01</v>
      </c>
      <c r="F298" s="25">
        <v>0.71</v>
      </c>
      <c r="G298" s="29">
        <v>0</v>
      </c>
      <c r="H298" s="27">
        <v>0</v>
      </c>
      <c r="I298" s="29">
        <v>290</v>
      </c>
      <c r="J298" s="29">
        <v>96692</v>
      </c>
      <c r="K298" s="29">
        <v>16144</v>
      </c>
      <c r="L298" s="29">
        <v>112836</v>
      </c>
      <c r="M298" s="29">
        <v>16678</v>
      </c>
      <c r="N298" s="29">
        <v>18438</v>
      </c>
      <c r="O298" s="29">
        <v>219</v>
      </c>
      <c r="P298" s="29">
        <v>10287</v>
      </c>
      <c r="Q298" s="29">
        <v>1101</v>
      </c>
      <c r="R298" s="29">
        <v>159559</v>
      </c>
      <c r="S298" s="29">
        <v>20643</v>
      </c>
      <c r="T298" s="29">
        <v>138916</v>
      </c>
      <c r="U298" s="29">
        <v>67293</v>
      </c>
      <c r="V298" s="29">
        <v>71623</v>
      </c>
    </row>
    <row r="299" spans="1:22" x14ac:dyDescent="0.2">
      <c r="A299" s="20" t="s">
        <v>172</v>
      </c>
      <c r="B299" s="20" t="s">
        <v>569</v>
      </c>
      <c r="C299" s="25">
        <v>206.55</v>
      </c>
      <c r="D299" s="27">
        <v>1522</v>
      </c>
      <c r="E299" s="25">
        <v>1728.55</v>
      </c>
      <c r="F299" s="25">
        <v>0</v>
      </c>
      <c r="G299" s="29">
        <v>22</v>
      </c>
      <c r="H299" s="27">
        <v>0</v>
      </c>
      <c r="I299" s="29">
        <v>1544</v>
      </c>
      <c r="J299" s="29">
        <v>532307</v>
      </c>
      <c r="K299" s="29">
        <v>4601</v>
      </c>
      <c r="L299" s="29">
        <v>536908</v>
      </c>
      <c r="M299" s="29">
        <v>88780</v>
      </c>
      <c r="N299" s="29">
        <v>97550</v>
      </c>
      <c r="O299" s="29">
        <v>0</v>
      </c>
      <c r="P299" s="29">
        <v>50042</v>
      </c>
      <c r="Q299" s="29">
        <v>5825</v>
      </c>
      <c r="R299" s="29">
        <v>779105</v>
      </c>
      <c r="S299" s="29">
        <v>88383</v>
      </c>
      <c r="T299" s="29">
        <v>690722</v>
      </c>
      <c r="U299" s="29">
        <v>389250</v>
      </c>
      <c r="V299" s="29">
        <v>301472</v>
      </c>
    </row>
    <row r="300" spans="1:22" x14ac:dyDescent="0.2">
      <c r="A300" s="20" t="s">
        <v>338</v>
      </c>
      <c r="B300" s="20" t="s">
        <v>727</v>
      </c>
      <c r="C300" s="25">
        <v>76.489999999999995</v>
      </c>
      <c r="D300" s="27">
        <v>489.8</v>
      </c>
      <c r="E300" s="25">
        <v>566.29</v>
      </c>
      <c r="F300" s="25">
        <v>1.42</v>
      </c>
      <c r="G300" s="29">
        <v>2</v>
      </c>
      <c r="H300" s="27">
        <v>0</v>
      </c>
      <c r="I300" s="29">
        <v>492</v>
      </c>
      <c r="J300" s="29">
        <v>173438</v>
      </c>
      <c r="K300" s="29">
        <v>0</v>
      </c>
      <c r="L300" s="29">
        <v>173438</v>
      </c>
      <c r="M300" s="29">
        <v>28280</v>
      </c>
      <c r="N300" s="29">
        <v>31070</v>
      </c>
      <c r="O300" s="29">
        <v>435</v>
      </c>
      <c r="P300" s="29">
        <v>17402</v>
      </c>
      <c r="Q300" s="29">
        <v>1897</v>
      </c>
      <c r="R300" s="29">
        <v>252522</v>
      </c>
      <c r="S300" s="29">
        <v>26545</v>
      </c>
      <c r="T300" s="29">
        <v>225977</v>
      </c>
      <c r="U300" s="29">
        <v>131275</v>
      </c>
      <c r="V300" s="29">
        <v>94702</v>
      </c>
    </row>
    <row r="301" spans="1:22" x14ac:dyDescent="0.2">
      <c r="A301" s="20" t="s">
        <v>29</v>
      </c>
      <c r="B301" s="20" t="s">
        <v>440</v>
      </c>
      <c r="C301" s="25">
        <v>100.97</v>
      </c>
      <c r="D301" s="27">
        <v>795.9</v>
      </c>
      <c r="E301" s="25">
        <v>896.87</v>
      </c>
      <c r="F301" s="25">
        <v>2.4700000000000002</v>
      </c>
      <c r="G301" s="29">
        <v>48</v>
      </c>
      <c r="H301" s="27">
        <v>0</v>
      </c>
      <c r="I301" s="29">
        <v>844</v>
      </c>
      <c r="J301" s="29">
        <v>285976</v>
      </c>
      <c r="K301" s="29">
        <v>12166</v>
      </c>
      <c r="L301" s="29">
        <v>298142</v>
      </c>
      <c r="M301" s="29">
        <v>48834</v>
      </c>
      <c r="N301" s="29">
        <v>54759</v>
      </c>
      <c r="O301" s="29">
        <v>788</v>
      </c>
      <c r="P301" s="29">
        <v>31686</v>
      </c>
      <c r="Q301" s="29">
        <v>3776</v>
      </c>
      <c r="R301" s="29">
        <v>437985</v>
      </c>
      <c r="S301" s="29">
        <v>51797</v>
      </c>
      <c r="T301" s="29">
        <v>386188</v>
      </c>
      <c r="U301" s="29">
        <v>203104</v>
      </c>
      <c r="V301" s="29">
        <v>183084</v>
      </c>
    </row>
    <row r="302" spans="1:22" x14ac:dyDescent="0.2">
      <c r="A302" s="20" t="s">
        <v>339</v>
      </c>
      <c r="B302" s="20" t="s">
        <v>728</v>
      </c>
      <c r="C302" s="25">
        <v>94</v>
      </c>
      <c r="D302" s="27">
        <v>573</v>
      </c>
      <c r="E302" s="25">
        <v>667</v>
      </c>
      <c r="F302" s="25">
        <v>1.67</v>
      </c>
      <c r="G302" s="29">
        <v>0</v>
      </c>
      <c r="H302" s="27">
        <v>0</v>
      </c>
      <c r="I302" s="29">
        <v>573</v>
      </c>
      <c r="J302" s="29">
        <v>204282</v>
      </c>
      <c r="K302" s="29">
        <v>24724</v>
      </c>
      <c r="L302" s="29">
        <v>229006</v>
      </c>
      <c r="M302" s="29">
        <v>32936</v>
      </c>
      <c r="N302" s="29">
        <v>36185</v>
      </c>
      <c r="O302" s="29">
        <v>511</v>
      </c>
      <c r="P302" s="29">
        <v>21634</v>
      </c>
      <c r="Q302" s="29">
        <v>2356</v>
      </c>
      <c r="R302" s="29">
        <v>322628</v>
      </c>
      <c r="S302" s="29">
        <v>34892</v>
      </c>
      <c r="T302" s="29">
        <v>287736</v>
      </c>
      <c r="U302" s="29">
        <v>152253</v>
      </c>
      <c r="V302" s="29">
        <v>135483</v>
      </c>
    </row>
    <row r="303" spans="1:22" x14ac:dyDescent="0.2">
      <c r="A303" s="20" t="s">
        <v>114</v>
      </c>
      <c r="B303" s="20" t="s">
        <v>515</v>
      </c>
      <c r="C303" s="25">
        <v>75.8</v>
      </c>
      <c r="D303" s="27">
        <v>680.6</v>
      </c>
      <c r="E303" s="25">
        <v>756.4</v>
      </c>
      <c r="F303" s="25">
        <v>0</v>
      </c>
      <c r="G303" s="29">
        <v>26</v>
      </c>
      <c r="H303" s="27">
        <v>0.1</v>
      </c>
      <c r="I303" s="29">
        <v>707</v>
      </c>
      <c r="J303" s="29">
        <v>236171</v>
      </c>
      <c r="K303" s="29">
        <v>0</v>
      </c>
      <c r="L303" s="29">
        <v>236171</v>
      </c>
      <c r="M303" s="29">
        <v>40872</v>
      </c>
      <c r="N303" s="29">
        <v>45602</v>
      </c>
      <c r="O303" s="29">
        <v>0</v>
      </c>
      <c r="P303" s="29">
        <v>29598</v>
      </c>
      <c r="Q303" s="29">
        <v>3404</v>
      </c>
      <c r="R303" s="29">
        <v>355647</v>
      </c>
      <c r="S303" s="29">
        <v>33496</v>
      </c>
      <c r="T303" s="29">
        <v>322151</v>
      </c>
      <c r="U303" s="29">
        <v>184068</v>
      </c>
      <c r="V303" s="29">
        <v>138083</v>
      </c>
    </row>
    <row r="304" spans="1:22" x14ac:dyDescent="0.2">
      <c r="A304" s="20" t="s">
        <v>173</v>
      </c>
      <c r="B304" s="20" t="s">
        <v>570</v>
      </c>
      <c r="C304" s="25">
        <v>246.94</v>
      </c>
      <c r="D304" s="27">
        <v>1703.9</v>
      </c>
      <c r="E304" s="25">
        <v>1950.84</v>
      </c>
      <c r="F304" s="25">
        <v>0</v>
      </c>
      <c r="G304" s="29">
        <v>74</v>
      </c>
      <c r="H304" s="27">
        <v>0.6</v>
      </c>
      <c r="I304" s="29">
        <v>1777</v>
      </c>
      <c r="J304" s="29">
        <v>600761</v>
      </c>
      <c r="K304" s="29">
        <v>0</v>
      </c>
      <c r="L304" s="29">
        <v>600761</v>
      </c>
      <c r="M304" s="29">
        <v>102178</v>
      </c>
      <c r="N304" s="29">
        <v>112271</v>
      </c>
      <c r="O304" s="29">
        <v>0</v>
      </c>
      <c r="P304" s="29">
        <v>56477</v>
      </c>
      <c r="Q304" s="29">
        <v>6574</v>
      </c>
      <c r="R304" s="29">
        <v>878261</v>
      </c>
      <c r="S304" s="29">
        <v>80503</v>
      </c>
      <c r="T304" s="29">
        <v>797758</v>
      </c>
      <c r="U304" s="29">
        <v>458553</v>
      </c>
      <c r="V304" s="29">
        <v>339205</v>
      </c>
    </row>
    <row r="305" spans="1:22" x14ac:dyDescent="0.2">
      <c r="A305" s="20" t="s">
        <v>115</v>
      </c>
      <c r="B305" s="20" t="s">
        <v>516</v>
      </c>
      <c r="C305" s="25">
        <v>2363.9</v>
      </c>
      <c r="D305" s="27">
        <v>10865.5</v>
      </c>
      <c r="E305" s="25">
        <v>13229.4</v>
      </c>
      <c r="F305" s="25">
        <v>0</v>
      </c>
      <c r="G305" s="29">
        <v>1267</v>
      </c>
      <c r="H305" s="27">
        <v>13</v>
      </c>
      <c r="I305" s="29">
        <v>12120</v>
      </c>
      <c r="J305" s="29">
        <v>4130616</v>
      </c>
      <c r="K305" s="29">
        <v>0</v>
      </c>
      <c r="L305" s="29">
        <v>4130616</v>
      </c>
      <c r="M305" s="29">
        <v>700657</v>
      </c>
      <c r="N305" s="29">
        <v>781740</v>
      </c>
      <c r="O305" s="29">
        <v>0</v>
      </c>
      <c r="P305" s="29">
        <v>517666</v>
      </c>
      <c r="Q305" s="29">
        <v>59532</v>
      </c>
      <c r="R305" s="29">
        <v>6190211</v>
      </c>
      <c r="S305" s="29">
        <v>541622</v>
      </c>
      <c r="T305" s="29">
        <v>5648589</v>
      </c>
      <c r="U305" s="29">
        <v>3263550</v>
      </c>
      <c r="V305" s="29">
        <v>2385039</v>
      </c>
    </row>
    <row r="306" spans="1:22" x14ac:dyDescent="0.2">
      <c r="A306" s="20" t="s">
        <v>226</v>
      </c>
      <c r="B306" s="20" t="s">
        <v>620</v>
      </c>
      <c r="C306" s="25">
        <v>1029.04</v>
      </c>
      <c r="D306" s="27">
        <v>11701.4</v>
      </c>
      <c r="E306" s="25">
        <v>12730.44</v>
      </c>
      <c r="F306" s="25">
        <v>0</v>
      </c>
      <c r="G306" s="29">
        <v>1127</v>
      </c>
      <c r="H306" s="27">
        <v>0.4</v>
      </c>
      <c r="I306" s="29">
        <v>12828</v>
      </c>
      <c r="J306" s="29">
        <v>3829953</v>
      </c>
      <c r="K306" s="29">
        <v>0</v>
      </c>
      <c r="L306" s="29">
        <v>3829953</v>
      </c>
      <c r="M306" s="29">
        <v>736071</v>
      </c>
      <c r="N306" s="29">
        <v>808164</v>
      </c>
      <c r="O306" s="29">
        <v>0</v>
      </c>
      <c r="P306" s="29">
        <v>320552</v>
      </c>
      <c r="Q306" s="29">
        <v>40483</v>
      </c>
      <c r="R306" s="29">
        <v>5735223</v>
      </c>
      <c r="S306" s="29">
        <v>115205</v>
      </c>
      <c r="T306" s="29">
        <v>5620018</v>
      </c>
      <c r="U306" s="29">
        <v>3352057</v>
      </c>
      <c r="V306" s="29">
        <v>2267961</v>
      </c>
    </row>
    <row r="307" spans="1:22" x14ac:dyDescent="0.2">
      <c r="A307" s="20" t="s">
        <v>116</v>
      </c>
      <c r="B307" s="20" t="s">
        <v>517</v>
      </c>
      <c r="C307" s="25">
        <v>263.8</v>
      </c>
      <c r="D307" s="27">
        <v>2126.1999999999998</v>
      </c>
      <c r="E307" s="25">
        <v>2390</v>
      </c>
      <c r="F307" s="25">
        <v>0</v>
      </c>
      <c r="G307" s="29">
        <v>132</v>
      </c>
      <c r="H307" s="27">
        <v>1.3</v>
      </c>
      <c r="I307" s="29">
        <v>2257</v>
      </c>
      <c r="J307" s="29">
        <v>746230</v>
      </c>
      <c r="K307" s="29">
        <v>0</v>
      </c>
      <c r="L307" s="29">
        <v>746230</v>
      </c>
      <c r="M307" s="29">
        <v>130477</v>
      </c>
      <c r="N307" s="29">
        <v>145577</v>
      </c>
      <c r="O307" s="29">
        <v>0</v>
      </c>
      <c r="P307" s="29">
        <v>93521</v>
      </c>
      <c r="Q307" s="29">
        <v>10755</v>
      </c>
      <c r="R307" s="29">
        <v>1126560</v>
      </c>
      <c r="S307" s="29">
        <v>88570</v>
      </c>
      <c r="T307" s="29">
        <v>1037990</v>
      </c>
      <c r="U307" s="29">
        <v>598866</v>
      </c>
      <c r="V307" s="29">
        <v>439124</v>
      </c>
    </row>
    <row r="308" spans="1:22" x14ac:dyDescent="0.2">
      <c r="A308" s="20" t="s">
        <v>340</v>
      </c>
      <c r="B308" s="20" t="s">
        <v>729</v>
      </c>
      <c r="C308" s="25">
        <v>78.66</v>
      </c>
      <c r="D308" s="27">
        <v>589</v>
      </c>
      <c r="E308" s="25">
        <v>667.66</v>
      </c>
      <c r="F308" s="25">
        <v>1.67</v>
      </c>
      <c r="G308" s="29">
        <v>0</v>
      </c>
      <c r="H308" s="27">
        <v>0</v>
      </c>
      <c r="I308" s="29">
        <v>589</v>
      </c>
      <c r="J308" s="29">
        <v>204484</v>
      </c>
      <c r="K308" s="29">
        <v>0</v>
      </c>
      <c r="L308" s="29">
        <v>204484</v>
      </c>
      <c r="M308" s="29">
        <v>33856</v>
      </c>
      <c r="N308" s="29">
        <v>37195</v>
      </c>
      <c r="O308" s="29">
        <v>511</v>
      </c>
      <c r="P308" s="29">
        <v>20517</v>
      </c>
      <c r="Q308" s="29">
        <v>2237</v>
      </c>
      <c r="R308" s="29">
        <v>298800</v>
      </c>
      <c r="S308" s="29">
        <v>35052</v>
      </c>
      <c r="T308" s="29">
        <v>263748</v>
      </c>
      <c r="U308" s="29">
        <v>151019</v>
      </c>
      <c r="V308" s="29">
        <v>112729</v>
      </c>
    </row>
    <row r="309" spans="1:22" x14ac:dyDescent="0.2">
      <c r="A309" s="20" t="s">
        <v>60</v>
      </c>
      <c r="B309" s="20" t="s">
        <v>470</v>
      </c>
      <c r="C309" s="25">
        <v>211.68</v>
      </c>
      <c r="D309" s="27">
        <v>1773.3</v>
      </c>
      <c r="E309" s="25">
        <v>1984.98</v>
      </c>
      <c r="F309" s="25">
        <v>5.46</v>
      </c>
      <c r="G309" s="29">
        <v>73</v>
      </c>
      <c r="H309" s="27">
        <v>0.7</v>
      </c>
      <c r="I309" s="29">
        <v>1846</v>
      </c>
      <c r="J309" s="29">
        <v>632931</v>
      </c>
      <c r="K309" s="29">
        <v>0</v>
      </c>
      <c r="L309" s="29">
        <v>632931</v>
      </c>
      <c r="M309" s="29">
        <v>106810</v>
      </c>
      <c r="N309" s="29">
        <v>119768</v>
      </c>
      <c r="O309" s="29">
        <v>1741</v>
      </c>
      <c r="P309" s="29">
        <v>67211</v>
      </c>
      <c r="Q309" s="29">
        <v>7999</v>
      </c>
      <c r="R309" s="29">
        <v>936460</v>
      </c>
      <c r="S309" s="29">
        <v>94005</v>
      </c>
      <c r="T309" s="29">
        <v>842455</v>
      </c>
      <c r="U309" s="29">
        <v>466872</v>
      </c>
      <c r="V309" s="29">
        <v>375583</v>
      </c>
    </row>
    <row r="310" spans="1:22" x14ac:dyDescent="0.2">
      <c r="A310" s="20" t="s">
        <v>61</v>
      </c>
      <c r="B310" s="20" t="s">
        <v>471</v>
      </c>
      <c r="C310" s="25">
        <v>41.98</v>
      </c>
      <c r="D310" s="27">
        <v>289.5</v>
      </c>
      <c r="E310" s="25">
        <v>331.48</v>
      </c>
      <c r="F310" s="25">
        <v>0.91</v>
      </c>
      <c r="G310" s="29">
        <v>28</v>
      </c>
      <c r="H310" s="27">
        <v>0</v>
      </c>
      <c r="I310" s="29">
        <v>318</v>
      </c>
      <c r="J310" s="29">
        <v>105696</v>
      </c>
      <c r="K310" s="29">
        <v>10283</v>
      </c>
      <c r="L310" s="29">
        <v>115979</v>
      </c>
      <c r="M310" s="29">
        <v>18399</v>
      </c>
      <c r="N310" s="29">
        <v>20632</v>
      </c>
      <c r="O310" s="29">
        <v>290</v>
      </c>
      <c r="P310" s="29">
        <v>11224</v>
      </c>
      <c r="Q310" s="29">
        <v>1336</v>
      </c>
      <c r="R310" s="29">
        <v>167860</v>
      </c>
      <c r="S310" s="29">
        <v>19619</v>
      </c>
      <c r="T310" s="29">
        <v>148241</v>
      </c>
      <c r="U310" s="29">
        <v>74044</v>
      </c>
      <c r="V310" s="29">
        <v>74197</v>
      </c>
    </row>
    <row r="311" spans="1:22" x14ac:dyDescent="0.2">
      <c r="A311" s="20" t="s">
        <v>174</v>
      </c>
      <c r="B311" s="20" t="s">
        <v>571</v>
      </c>
      <c r="C311" s="25">
        <v>95.92</v>
      </c>
      <c r="D311" s="27">
        <v>754.1</v>
      </c>
      <c r="E311" s="25">
        <v>850.02</v>
      </c>
      <c r="F311" s="25">
        <v>0</v>
      </c>
      <c r="G311" s="29">
        <v>13</v>
      </c>
      <c r="H311" s="27">
        <v>0</v>
      </c>
      <c r="I311" s="29">
        <v>767</v>
      </c>
      <c r="J311" s="29">
        <v>261764</v>
      </c>
      <c r="K311" s="29">
        <v>0</v>
      </c>
      <c r="L311" s="29">
        <v>261764</v>
      </c>
      <c r="M311" s="29">
        <v>44103</v>
      </c>
      <c r="N311" s="29">
        <v>48459</v>
      </c>
      <c r="O311" s="29">
        <v>0</v>
      </c>
      <c r="P311" s="29">
        <v>24608</v>
      </c>
      <c r="Q311" s="29">
        <v>2865</v>
      </c>
      <c r="R311" s="29">
        <v>381799</v>
      </c>
      <c r="S311" s="29">
        <v>35036</v>
      </c>
      <c r="T311" s="29">
        <v>346763</v>
      </c>
      <c r="U311" s="29">
        <v>199842</v>
      </c>
      <c r="V311" s="29">
        <v>146921</v>
      </c>
    </row>
    <row r="312" spans="1:22" x14ac:dyDescent="0.2">
      <c r="A312" s="20" t="s">
        <v>341</v>
      </c>
      <c r="B312" s="20" t="s">
        <v>730</v>
      </c>
      <c r="C312" s="25">
        <v>52.8</v>
      </c>
      <c r="D312" s="27">
        <v>458.4</v>
      </c>
      <c r="E312" s="25">
        <v>511.2</v>
      </c>
      <c r="F312" s="25">
        <v>1.28</v>
      </c>
      <c r="G312" s="29">
        <v>12</v>
      </c>
      <c r="H312" s="27">
        <v>0</v>
      </c>
      <c r="I312" s="29">
        <v>470</v>
      </c>
      <c r="J312" s="29">
        <v>156565</v>
      </c>
      <c r="K312" s="29">
        <v>0</v>
      </c>
      <c r="L312" s="29">
        <v>156565</v>
      </c>
      <c r="M312" s="29">
        <v>27016</v>
      </c>
      <c r="N312" s="29">
        <v>29681</v>
      </c>
      <c r="O312" s="29">
        <v>392</v>
      </c>
      <c r="P312" s="29">
        <v>15709</v>
      </c>
      <c r="Q312" s="29">
        <v>1713</v>
      </c>
      <c r="R312" s="29">
        <v>231076</v>
      </c>
      <c r="S312" s="29">
        <v>21967</v>
      </c>
      <c r="T312" s="29">
        <v>209109</v>
      </c>
      <c r="U312" s="29">
        <v>120500</v>
      </c>
      <c r="V312" s="29">
        <v>88609</v>
      </c>
    </row>
    <row r="313" spans="1:22" x14ac:dyDescent="0.2">
      <c r="A313" s="20" t="s">
        <v>19</v>
      </c>
      <c r="B313" s="20" t="s">
        <v>431</v>
      </c>
      <c r="C313" s="25">
        <v>34.71</v>
      </c>
      <c r="D313" s="27">
        <v>262</v>
      </c>
      <c r="E313" s="25">
        <v>296.70999999999998</v>
      </c>
      <c r="F313" s="25">
        <v>0.84</v>
      </c>
      <c r="G313" s="29">
        <v>2</v>
      </c>
      <c r="H313" s="27">
        <v>0</v>
      </c>
      <c r="I313" s="29">
        <v>264</v>
      </c>
      <c r="J313" s="29">
        <v>95870</v>
      </c>
      <c r="K313" s="29">
        <v>2390</v>
      </c>
      <c r="L313" s="29">
        <v>98260</v>
      </c>
      <c r="M313" s="29">
        <v>15254</v>
      </c>
      <c r="N313" s="29">
        <v>17004</v>
      </c>
      <c r="O313" s="29">
        <v>271</v>
      </c>
      <c r="P313" s="29">
        <v>9465</v>
      </c>
      <c r="Q313" s="29">
        <v>1021</v>
      </c>
      <c r="R313" s="29">
        <v>141275</v>
      </c>
      <c r="S313" s="29">
        <v>16863</v>
      </c>
      <c r="T313" s="29">
        <v>124412</v>
      </c>
      <c r="U313" s="29">
        <v>66225</v>
      </c>
      <c r="V313" s="29">
        <v>58187</v>
      </c>
    </row>
    <row r="314" spans="1:22" x14ac:dyDescent="0.2">
      <c r="A314" s="20" t="s">
        <v>20</v>
      </c>
      <c r="B314" s="20" t="s">
        <v>432</v>
      </c>
      <c r="C314" s="25">
        <v>171.68</v>
      </c>
      <c r="D314" s="27">
        <v>1419</v>
      </c>
      <c r="E314" s="25">
        <v>1590.68</v>
      </c>
      <c r="F314" s="25">
        <v>4.5199999999999996</v>
      </c>
      <c r="G314" s="29">
        <v>171</v>
      </c>
      <c r="H314" s="27">
        <v>0.8</v>
      </c>
      <c r="I314" s="29">
        <v>1589</v>
      </c>
      <c r="J314" s="29">
        <v>513965</v>
      </c>
      <c r="K314" s="29">
        <v>406</v>
      </c>
      <c r="L314" s="29">
        <v>514371</v>
      </c>
      <c r="M314" s="29">
        <v>91812</v>
      </c>
      <c r="N314" s="29">
        <v>102347</v>
      </c>
      <c r="O314" s="29">
        <v>1460</v>
      </c>
      <c r="P314" s="29">
        <v>50743</v>
      </c>
      <c r="Q314" s="29">
        <v>5472</v>
      </c>
      <c r="R314" s="29">
        <v>766205</v>
      </c>
      <c r="S314" s="29">
        <v>90517</v>
      </c>
      <c r="T314" s="29">
        <v>675688</v>
      </c>
      <c r="U314" s="29">
        <v>354927</v>
      </c>
      <c r="V314" s="29">
        <v>320761</v>
      </c>
    </row>
    <row r="315" spans="1:22" x14ac:dyDescent="0.2">
      <c r="A315" s="20" t="s">
        <v>228</v>
      </c>
      <c r="B315" s="20" t="s">
        <v>622</v>
      </c>
      <c r="C315" s="25">
        <v>1058.08</v>
      </c>
      <c r="D315" s="27">
        <v>8989.1</v>
      </c>
      <c r="E315" s="25">
        <v>10047.18</v>
      </c>
      <c r="F315" s="25">
        <v>0</v>
      </c>
      <c r="G315" s="29">
        <v>1282</v>
      </c>
      <c r="H315" s="27">
        <v>5.7</v>
      </c>
      <c r="I315" s="29">
        <v>10265</v>
      </c>
      <c r="J315" s="29">
        <v>3022694</v>
      </c>
      <c r="K315" s="29">
        <v>0</v>
      </c>
      <c r="L315" s="29">
        <v>3022694</v>
      </c>
      <c r="M315" s="29">
        <v>589006</v>
      </c>
      <c r="N315" s="29">
        <v>646695</v>
      </c>
      <c r="O315" s="29">
        <v>0</v>
      </c>
      <c r="P315" s="29">
        <v>252988</v>
      </c>
      <c r="Q315" s="29">
        <v>31950</v>
      </c>
      <c r="R315" s="29">
        <v>4543333</v>
      </c>
      <c r="S315" s="29">
        <v>390197</v>
      </c>
      <c r="T315" s="29">
        <v>4153136</v>
      </c>
      <c r="U315" s="29">
        <v>2346253</v>
      </c>
      <c r="V315" s="29">
        <v>1806883</v>
      </c>
    </row>
    <row r="316" spans="1:22" x14ac:dyDescent="0.2">
      <c r="A316" s="20" t="s">
        <v>21</v>
      </c>
      <c r="B316" s="20" t="s">
        <v>433</v>
      </c>
      <c r="C316" s="25">
        <v>393.58</v>
      </c>
      <c r="D316" s="27">
        <v>3129.6</v>
      </c>
      <c r="E316" s="25">
        <v>3523.18</v>
      </c>
      <c r="F316" s="25">
        <v>10.02</v>
      </c>
      <c r="G316" s="29">
        <v>1158</v>
      </c>
      <c r="H316" s="27">
        <v>4.0999999999999996</v>
      </c>
      <c r="I316" s="29">
        <v>4284</v>
      </c>
      <c r="J316" s="29">
        <v>1138375</v>
      </c>
      <c r="K316" s="29">
        <v>0</v>
      </c>
      <c r="L316" s="29">
        <v>1138375</v>
      </c>
      <c r="M316" s="29">
        <v>247530</v>
      </c>
      <c r="N316" s="29">
        <v>275932</v>
      </c>
      <c r="O316" s="29">
        <v>3238</v>
      </c>
      <c r="P316" s="29">
        <v>112389</v>
      </c>
      <c r="Q316" s="29">
        <v>12120</v>
      </c>
      <c r="R316" s="29">
        <v>1789584</v>
      </c>
      <c r="S316" s="29">
        <v>140594</v>
      </c>
      <c r="T316" s="29">
        <v>1648990</v>
      </c>
      <c r="U316" s="29">
        <v>846016</v>
      </c>
      <c r="V316" s="29">
        <v>802974</v>
      </c>
    </row>
    <row r="317" spans="1:22" x14ac:dyDescent="0.2">
      <c r="A317" s="20" t="s">
        <v>308</v>
      </c>
      <c r="B317" s="20" t="s">
        <v>699</v>
      </c>
      <c r="C317" s="25">
        <v>47.86</v>
      </c>
      <c r="D317" s="27">
        <v>322.60000000000002</v>
      </c>
      <c r="E317" s="25">
        <v>370.46</v>
      </c>
      <c r="F317" s="25">
        <v>0.84</v>
      </c>
      <c r="G317" s="29">
        <v>0</v>
      </c>
      <c r="H317" s="27">
        <v>0</v>
      </c>
      <c r="I317" s="29">
        <v>323</v>
      </c>
      <c r="J317" s="29">
        <v>114439</v>
      </c>
      <c r="K317" s="29">
        <v>33521</v>
      </c>
      <c r="L317" s="29">
        <v>147960</v>
      </c>
      <c r="M317" s="29">
        <v>18576</v>
      </c>
      <c r="N317" s="29">
        <v>20536</v>
      </c>
      <c r="O317" s="29">
        <v>259</v>
      </c>
      <c r="P317" s="29">
        <v>12689</v>
      </c>
      <c r="Q317" s="29">
        <v>1359</v>
      </c>
      <c r="R317" s="29">
        <v>201379</v>
      </c>
      <c r="S317" s="29">
        <v>25347</v>
      </c>
      <c r="T317" s="29">
        <v>176032</v>
      </c>
      <c r="U317" s="29">
        <v>79298</v>
      </c>
      <c r="V317" s="29">
        <v>96734</v>
      </c>
    </row>
    <row r="318" spans="1:22" x14ac:dyDescent="0.2">
      <c r="A318" s="20" t="s">
        <v>140</v>
      </c>
      <c r="B318" s="20" t="s">
        <v>540</v>
      </c>
      <c r="C318" s="25">
        <v>152.12</v>
      </c>
      <c r="D318" s="27">
        <v>1301.7</v>
      </c>
      <c r="E318" s="25">
        <v>1453.82</v>
      </c>
      <c r="F318" s="25">
        <v>2.63</v>
      </c>
      <c r="G318" s="29">
        <v>4</v>
      </c>
      <c r="H318" s="27">
        <v>0</v>
      </c>
      <c r="I318" s="29">
        <v>1306</v>
      </c>
      <c r="J318" s="29">
        <v>450495</v>
      </c>
      <c r="K318" s="29">
        <v>3347</v>
      </c>
      <c r="L318" s="29">
        <v>453842</v>
      </c>
      <c r="M318" s="29">
        <v>74860</v>
      </c>
      <c r="N318" s="29">
        <v>81729</v>
      </c>
      <c r="O318" s="29">
        <v>815</v>
      </c>
      <c r="P318" s="29">
        <v>40998</v>
      </c>
      <c r="Q318" s="29">
        <v>4812</v>
      </c>
      <c r="R318" s="29">
        <v>657056</v>
      </c>
      <c r="S318" s="29">
        <v>51632</v>
      </c>
      <c r="T318" s="29">
        <v>605424</v>
      </c>
      <c r="U318" s="29">
        <v>349552</v>
      </c>
      <c r="V318" s="29">
        <v>255872</v>
      </c>
    </row>
    <row r="319" spans="1:22" x14ac:dyDescent="0.2">
      <c r="A319" s="20" t="s">
        <v>259</v>
      </c>
      <c r="B319" s="20" t="s">
        <v>653</v>
      </c>
      <c r="C319" s="25">
        <v>73.02</v>
      </c>
      <c r="D319" s="27">
        <v>952.3</v>
      </c>
      <c r="E319" s="25">
        <v>1025.32</v>
      </c>
      <c r="F319" s="25">
        <v>0</v>
      </c>
      <c r="G319" s="29">
        <v>104</v>
      </c>
      <c r="H319" s="27">
        <v>0</v>
      </c>
      <c r="I319" s="29">
        <v>1056</v>
      </c>
      <c r="J319" s="29">
        <v>323478</v>
      </c>
      <c r="K319" s="29">
        <v>0</v>
      </c>
      <c r="L319" s="29">
        <v>323478</v>
      </c>
      <c r="M319" s="29">
        <v>61026</v>
      </c>
      <c r="N319" s="29">
        <v>68408</v>
      </c>
      <c r="O319" s="29">
        <v>0</v>
      </c>
      <c r="P319" s="29">
        <v>32544</v>
      </c>
      <c r="Q319" s="29">
        <v>3886</v>
      </c>
      <c r="R319" s="29">
        <v>489342</v>
      </c>
      <c r="S319" s="29">
        <v>39031</v>
      </c>
      <c r="T319" s="29">
        <v>450311</v>
      </c>
      <c r="U319" s="29">
        <v>247577</v>
      </c>
      <c r="V319" s="29">
        <v>202734</v>
      </c>
    </row>
    <row r="320" spans="1:22" x14ac:dyDescent="0.2">
      <c r="A320" s="20" t="s">
        <v>119</v>
      </c>
      <c r="B320" s="20" t="s">
        <v>520</v>
      </c>
      <c r="C320" s="25">
        <v>73.849999999999994</v>
      </c>
      <c r="D320" s="27">
        <v>822.2</v>
      </c>
      <c r="E320" s="25">
        <v>896.05</v>
      </c>
      <c r="F320" s="25">
        <v>0</v>
      </c>
      <c r="G320" s="29">
        <v>1</v>
      </c>
      <c r="H320" s="27">
        <v>0</v>
      </c>
      <c r="I320" s="29">
        <v>823</v>
      </c>
      <c r="J320" s="29">
        <v>279774</v>
      </c>
      <c r="K320" s="29">
        <v>14989</v>
      </c>
      <c r="L320" s="29">
        <v>294763</v>
      </c>
      <c r="M320" s="29">
        <v>47578</v>
      </c>
      <c r="N320" s="29">
        <v>53084</v>
      </c>
      <c r="O320" s="29">
        <v>0</v>
      </c>
      <c r="P320" s="29">
        <v>36856</v>
      </c>
      <c r="Q320" s="29">
        <v>4240</v>
      </c>
      <c r="R320" s="29">
        <v>436521</v>
      </c>
      <c r="S320" s="29">
        <v>38932</v>
      </c>
      <c r="T320" s="29">
        <v>397589</v>
      </c>
      <c r="U320" s="29">
        <v>220800</v>
      </c>
      <c r="V320" s="29">
        <v>176789</v>
      </c>
    </row>
    <row r="321" spans="1:22" x14ac:dyDescent="0.2">
      <c r="A321" s="20" t="s">
        <v>260</v>
      </c>
      <c r="B321" s="20" t="s">
        <v>654</v>
      </c>
      <c r="C321" s="25">
        <v>112.95</v>
      </c>
      <c r="D321" s="27">
        <v>633.70000000000005</v>
      </c>
      <c r="E321" s="25">
        <v>746.65</v>
      </c>
      <c r="F321" s="25">
        <v>0</v>
      </c>
      <c r="G321" s="29">
        <v>4</v>
      </c>
      <c r="H321" s="27">
        <v>0</v>
      </c>
      <c r="I321" s="29">
        <v>638</v>
      </c>
      <c r="J321" s="29">
        <v>235561</v>
      </c>
      <c r="K321" s="29">
        <v>5051</v>
      </c>
      <c r="L321" s="29">
        <v>240612</v>
      </c>
      <c r="M321" s="29">
        <v>36870</v>
      </c>
      <c r="N321" s="29">
        <v>41330</v>
      </c>
      <c r="O321" s="29">
        <v>0</v>
      </c>
      <c r="P321" s="29">
        <v>23699</v>
      </c>
      <c r="Q321" s="29">
        <v>2830</v>
      </c>
      <c r="R321" s="29">
        <v>345341</v>
      </c>
      <c r="S321" s="29">
        <v>33583</v>
      </c>
      <c r="T321" s="29">
        <v>311758</v>
      </c>
      <c r="U321" s="29">
        <v>175129</v>
      </c>
      <c r="V321" s="29">
        <v>136629</v>
      </c>
    </row>
    <row r="322" spans="1:22" x14ac:dyDescent="0.2">
      <c r="A322" s="20" t="s">
        <v>261</v>
      </c>
      <c r="B322" s="20" t="s">
        <v>655</v>
      </c>
      <c r="C322" s="25">
        <v>121.92</v>
      </c>
      <c r="D322" s="27">
        <v>877.9</v>
      </c>
      <c r="E322" s="25">
        <v>999.82</v>
      </c>
      <c r="F322" s="25">
        <v>0</v>
      </c>
      <c r="G322" s="29">
        <v>97</v>
      </c>
      <c r="H322" s="27">
        <v>0.2</v>
      </c>
      <c r="I322" s="29">
        <v>975</v>
      </c>
      <c r="J322" s="29">
        <v>315433</v>
      </c>
      <c r="K322" s="29">
        <v>0</v>
      </c>
      <c r="L322" s="29">
        <v>315433</v>
      </c>
      <c r="M322" s="29">
        <v>56345</v>
      </c>
      <c r="N322" s="29">
        <v>63161</v>
      </c>
      <c r="O322" s="29">
        <v>0</v>
      </c>
      <c r="P322" s="29">
        <v>31734</v>
      </c>
      <c r="Q322" s="29">
        <v>3789</v>
      </c>
      <c r="R322" s="29">
        <v>470462</v>
      </c>
      <c r="S322" s="29">
        <v>37148</v>
      </c>
      <c r="T322" s="29">
        <v>433314</v>
      </c>
      <c r="U322" s="29">
        <v>242331</v>
      </c>
      <c r="V322" s="29">
        <v>190983</v>
      </c>
    </row>
    <row r="323" spans="1:22" x14ac:dyDescent="0.2">
      <c r="A323" s="20" t="s">
        <v>262</v>
      </c>
      <c r="B323" s="20" t="s">
        <v>656</v>
      </c>
      <c r="C323" s="25">
        <v>74.66</v>
      </c>
      <c r="D323" s="27">
        <v>551.79999999999995</v>
      </c>
      <c r="E323" s="25">
        <v>626.46</v>
      </c>
      <c r="F323" s="25">
        <v>0</v>
      </c>
      <c r="G323" s="29">
        <v>7</v>
      </c>
      <c r="H323" s="27">
        <v>0</v>
      </c>
      <c r="I323" s="29">
        <v>559</v>
      </c>
      <c r="J323" s="29">
        <v>197642</v>
      </c>
      <c r="K323" s="29">
        <v>148</v>
      </c>
      <c r="L323" s="29">
        <v>197790</v>
      </c>
      <c r="M323" s="29">
        <v>32305</v>
      </c>
      <c r="N323" s="29">
        <v>36212</v>
      </c>
      <c r="O323" s="29">
        <v>0</v>
      </c>
      <c r="P323" s="29">
        <v>19891</v>
      </c>
      <c r="Q323" s="29">
        <v>2378</v>
      </c>
      <c r="R323" s="29">
        <v>288576</v>
      </c>
      <c r="S323" s="29">
        <v>31987</v>
      </c>
      <c r="T323" s="29">
        <v>256589</v>
      </c>
      <c r="U323" s="29">
        <v>143138</v>
      </c>
      <c r="V323" s="29">
        <v>113451</v>
      </c>
    </row>
    <row r="324" spans="1:22" x14ac:dyDescent="0.2">
      <c r="A324" s="20" t="s">
        <v>263</v>
      </c>
      <c r="B324" s="20" t="s">
        <v>657</v>
      </c>
      <c r="C324" s="25">
        <v>28.7</v>
      </c>
      <c r="D324" s="27">
        <v>189.1</v>
      </c>
      <c r="E324" s="25">
        <v>217.8</v>
      </c>
      <c r="F324" s="25">
        <v>0</v>
      </c>
      <c r="G324" s="29">
        <v>0</v>
      </c>
      <c r="H324" s="27">
        <v>0</v>
      </c>
      <c r="I324" s="29">
        <v>189</v>
      </c>
      <c r="J324" s="29">
        <v>68714</v>
      </c>
      <c r="K324" s="29">
        <v>4218</v>
      </c>
      <c r="L324" s="29">
        <v>72932</v>
      </c>
      <c r="M324" s="29">
        <v>10922</v>
      </c>
      <c r="N324" s="29">
        <v>12243</v>
      </c>
      <c r="O324" s="29">
        <v>0</v>
      </c>
      <c r="P324" s="29">
        <v>7335</v>
      </c>
      <c r="Q324" s="29">
        <v>877</v>
      </c>
      <c r="R324" s="29">
        <v>104309</v>
      </c>
      <c r="S324" s="29">
        <v>11015</v>
      </c>
      <c r="T324" s="29">
        <v>93294</v>
      </c>
      <c r="U324" s="29">
        <v>50340</v>
      </c>
      <c r="V324" s="29">
        <v>42954</v>
      </c>
    </row>
    <row r="325" spans="1:22" x14ac:dyDescent="0.2">
      <c r="A325" s="20" t="s">
        <v>175</v>
      </c>
      <c r="B325" s="20" t="s">
        <v>572</v>
      </c>
      <c r="C325" s="25">
        <v>86.47</v>
      </c>
      <c r="D325" s="27">
        <v>1138.4000000000001</v>
      </c>
      <c r="E325" s="25">
        <v>1224.8699999999999</v>
      </c>
      <c r="F325" s="25">
        <v>0</v>
      </c>
      <c r="G325" s="29">
        <v>61</v>
      </c>
      <c r="H325" s="27">
        <v>0.7</v>
      </c>
      <c r="I325" s="29">
        <v>1199</v>
      </c>
      <c r="J325" s="29">
        <v>377199</v>
      </c>
      <c r="K325" s="29">
        <v>0</v>
      </c>
      <c r="L325" s="29">
        <v>377199</v>
      </c>
      <c r="M325" s="29">
        <v>68943</v>
      </c>
      <c r="N325" s="29">
        <v>75753</v>
      </c>
      <c r="O325" s="29">
        <v>0</v>
      </c>
      <c r="P325" s="29">
        <v>35460</v>
      </c>
      <c r="Q325" s="29">
        <v>4128</v>
      </c>
      <c r="R325" s="29">
        <v>561483</v>
      </c>
      <c r="S325" s="29">
        <v>51123</v>
      </c>
      <c r="T325" s="29">
        <v>510360</v>
      </c>
      <c r="U325" s="29">
        <v>287333</v>
      </c>
      <c r="V325" s="29">
        <v>223027</v>
      </c>
    </row>
    <row r="326" spans="1:22" x14ac:dyDescent="0.2">
      <c r="A326" s="20" t="s">
        <v>141</v>
      </c>
      <c r="B326" s="20" t="s">
        <v>541</v>
      </c>
      <c r="C326" s="25">
        <v>63.5</v>
      </c>
      <c r="D326" s="27">
        <v>849.9</v>
      </c>
      <c r="E326" s="25">
        <v>913.4</v>
      </c>
      <c r="F326" s="25">
        <v>1.66</v>
      </c>
      <c r="G326" s="29">
        <v>1</v>
      </c>
      <c r="H326" s="27">
        <v>0</v>
      </c>
      <c r="I326" s="29">
        <v>851</v>
      </c>
      <c r="J326" s="29">
        <v>283035</v>
      </c>
      <c r="K326" s="29">
        <v>0</v>
      </c>
      <c r="L326" s="29">
        <v>283035</v>
      </c>
      <c r="M326" s="29">
        <v>48779</v>
      </c>
      <c r="N326" s="29">
        <v>53256</v>
      </c>
      <c r="O326" s="29">
        <v>514</v>
      </c>
      <c r="P326" s="29">
        <v>25758</v>
      </c>
      <c r="Q326" s="29">
        <v>3023</v>
      </c>
      <c r="R326" s="29">
        <v>414365</v>
      </c>
      <c r="S326" s="29">
        <v>40568</v>
      </c>
      <c r="T326" s="29">
        <v>373797</v>
      </c>
      <c r="U326" s="29">
        <v>211488</v>
      </c>
      <c r="V326" s="29">
        <v>162309</v>
      </c>
    </row>
    <row r="327" spans="1:22" x14ac:dyDescent="0.2">
      <c r="A327" s="20" t="s">
        <v>342</v>
      </c>
      <c r="B327" s="20" t="s">
        <v>731</v>
      </c>
      <c r="C327" s="25">
        <v>20.92</v>
      </c>
      <c r="D327" s="27">
        <v>308.10000000000002</v>
      </c>
      <c r="E327" s="25">
        <v>329.02</v>
      </c>
      <c r="F327" s="25">
        <v>0.83</v>
      </c>
      <c r="G327" s="29">
        <v>0</v>
      </c>
      <c r="H327" s="27">
        <v>0</v>
      </c>
      <c r="I327" s="29">
        <v>308</v>
      </c>
      <c r="J327" s="29">
        <v>100769</v>
      </c>
      <c r="K327" s="29">
        <v>14959</v>
      </c>
      <c r="L327" s="29">
        <v>115728</v>
      </c>
      <c r="M327" s="29">
        <v>17704</v>
      </c>
      <c r="N327" s="29">
        <v>19450</v>
      </c>
      <c r="O327" s="29">
        <v>254</v>
      </c>
      <c r="P327" s="29">
        <v>10630</v>
      </c>
      <c r="Q327" s="29">
        <v>1158</v>
      </c>
      <c r="R327" s="29">
        <v>164924</v>
      </c>
      <c r="S327" s="29">
        <v>18261</v>
      </c>
      <c r="T327" s="29">
        <v>146663</v>
      </c>
      <c r="U327" s="29">
        <v>74010</v>
      </c>
      <c r="V327" s="29">
        <v>72653</v>
      </c>
    </row>
    <row r="328" spans="1:22" x14ac:dyDescent="0.2">
      <c r="A328" s="20" t="s">
        <v>229</v>
      </c>
      <c r="B328" s="20" t="s">
        <v>623</v>
      </c>
      <c r="C328" s="25">
        <v>192.75</v>
      </c>
      <c r="D328" s="27">
        <v>1728</v>
      </c>
      <c r="E328" s="25">
        <v>1920.75</v>
      </c>
      <c r="F328" s="25">
        <v>0</v>
      </c>
      <c r="G328" s="29">
        <v>11</v>
      </c>
      <c r="H328" s="27">
        <v>0</v>
      </c>
      <c r="I328" s="29">
        <v>1739</v>
      </c>
      <c r="J328" s="29">
        <v>577858</v>
      </c>
      <c r="K328" s="29">
        <v>0</v>
      </c>
      <c r="L328" s="29">
        <v>577858</v>
      </c>
      <c r="M328" s="29">
        <v>99784</v>
      </c>
      <c r="N328" s="29">
        <v>109557</v>
      </c>
      <c r="O328" s="29">
        <v>0</v>
      </c>
      <c r="P328" s="29">
        <v>48364</v>
      </c>
      <c r="Q328" s="29">
        <v>6108</v>
      </c>
      <c r="R328" s="29">
        <v>841671</v>
      </c>
      <c r="S328" s="29">
        <v>70332</v>
      </c>
      <c r="T328" s="29">
        <v>771339</v>
      </c>
      <c r="U328" s="29">
        <v>452803</v>
      </c>
      <c r="V328" s="29">
        <v>318536</v>
      </c>
    </row>
    <row r="329" spans="1:22" x14ac:dyDescent="0.2">
      <c r="A329" s="20" t="s">
        <v>309</v>
      </c>
      <c r="B329" s="20" t="s">
        <v>700</v>
      </c>
      <c r="C329" s="25">
        <v>40.799999999999997</v>
      </c>
      <c r="D329" s="27">
        <v>454.1</v>
      </c>
      <c r="E329" s="25">
        <v>494.9</v>
      </c>
      <c r="F329" s="25">
        <v>1.1200000000000001</v>
      </c>
      <c r="G329" s="29">
        <v>5</v>
      </c>
      <c r="H329" s="27">
        <v>0</v>
      </c>
      <c r="I329" s="29">
        <v>459</v>
      </c>
      <c r="J329" s="29">
        <v>152880</v>
      </c>
      <c r="K329" s="29">
        <v>1606</v>
      </c>
      <c r="L329" s="29">
        <v>154486</v>
      </c>
      <c r="M329" s="29">
        <v>26397</v>
      </c>
      <c r="N329" s="29">
        <v>29183</v>
      </c>
      <c r="O329" s="29">
        <v>346</v>
      </c>
      <c r="P329" s="29">
        <v>15698</v>
      </c>
      <c r="Q329" s="29">
        <v>1683</v>
      </c>
      <c r="R329" s="29">
        <v>227793</v>
      </c>
      <c r="S329" s="29">
        <v>25428</v>
      </c>
      <c r="T329" s="29">
        <v>202365</v>
      </c>
      <c r="U329" s="29">
        <v>112982</v>
      </c>
      <c r="V329" s="29">
        <v>89383</v>
      </c>
    </row>
    <row r="330" spans="1:22" x14ac:dyDescent="0.2">
      <c r="A330" s="20" t="s">
        <v>264</v>
      </c>
      <c r="B330" s="20" t="s">
        <v>658</v>
      </c>
      <c r="C330" s="25">
        <v>90.53</v>
      </c>
      <c r="D330" s="27">
        <v>557.1</v>
      </c>
      <c r="E330" s="25">
        <v>647.63</v>
      </c>
      <c r="F330" s="25">
        <v>0</v>
      </c>
      <c r="G330" s="29">
        <v>2</v>
      </c>
      <c r="H330" s="27">
        <v>0</v>
      </c>
      <c r="I330" s="29">
        <v>559</v>
      </c>
      <c r="J330" s="29">
        <v>204321</v>
      </c>
      <c r="K330" s="29">
        <v>0</v>
      </c>
      <c r="L330" s="29">
        <v>204321</v>
      </c>
      <c r="M330" s="29">
        <v>32305</v>
      </c>
      <c r="N330" s="29">
        <v>36212</v>
      </c>
      <c r="O330" s="29">
        <v>0</v>
      </c>
      <c r="P330" s="29">
        <v>20556</v>
      </c>
      <c r="Q330" s="29">
        <v>2455</v>
      </c>
      <c r="R330" s="29">
        <v>295849</v>
      </c>
      <c r="S330" s="29">
        <v>27534</v>
      </c>
      <c r="T330" s="29">
        <v>268315</v>
      </c>
      <c r="U330" s="29">
        <v>153499</v>
      </c>
      <c r="V330" s="29">
        <v>114816</v>
      </c>
    </row>
    <row r="331" spans="1:22" x14ac:dyDescent="0.2">
      <c r="A331" s="20" t="s">
        <v>230</v>
      </c>
      <c r="B331" s="20" t="s">
        <v>624</v>
      </c>
      <c r="C331" s="25">
        <v>84.72</v>
      </c>
      <c r="D331" s="27">
        <v>980</v>
      </c>
      <c r="E331" s="25">
        <v>1064.72</v>
      </c>
      <c r="F331" s="25">
        <v>0</v>
      </c>
      <c r="G331" s="29">
        <v>44</v>
      </c>
      <c r="H331" s="27">
        <v>0</v>
      </c>
      <c r="I331" s="29">
        <v>1024</v>
      </c>
      <c r="J331" s="29">
        <v>320321</v>
      </c>
      <c r="K331" s="29">
        <v>0</v>
      </c>
      <c r="L331" s="29">
        <v>320321</v>
      </c>
      <c r="M331" s="29">
        <v>58757</v>
      </c>
      <c r="N331" s="29">
        <v>64512</v>
      </c>
      <c r="O331" s="29">
        <v>0</v>
      </c>
      <c r="P331" s="29">
        <v>26810</v>
      </c>
      <c r="Q331" s="29">
        <v>3386</v>
      </c>
      <c r="R331" s="29">
        <v>473786</v>
      </c>
      <c r="S331" s="29">
        <v>30067</v>
      </c>
      <c r="T331" s="29">
        <v>443719</v>
      </c>
      <c r="U331" s="29">
        <v>259921</v>
      </c>
      <c r="V331" s="29">
        <v>183798</v>
      </c>
    </row>
    <row r="332" spans="1:22" x14ac:dyDescent="0.2">
      <c r="A332" s="24" t="s">
        <v>398</v>
      </c>
      <c r="B332" s="24"/>
      <c r="C332" s="26">
        <v>67750.540000000037</v>
      </c>
      <c r="D332" s="28">
        <v>490094.40000000014</v>
      </c>
      <c r="E332" s="26">
        <v>557844.93999999994</v>
      </c>
      <c r="F332" s="26">
        <v>478.8299999999997</v>
      </c>
      <c r="G332" s="30">
        <v>33405</v>
      </c>
      <c r="H332" s="28">
        <v>223.69999999999996</v>
      </c>
      <c r="I332" s="30">
        <v>523285</v>
      </c>
      <c r="J332" s="30">
        <v>172257289</v>
      </c>
      <c r="K332" s="30">
        <v>1158851</v>
      </c>
      <c r="L332" s="30">
        <v>173416140</v>
      </c>
      <c r="M332" s="30">
        <v>30115802</v>
      </c>
      <c r="N332" s="30">
        <v>33272492</v>
      </c>
      <c r="O332" s="30">
        <v>150006</v>
      </c>
      <c r="P332" s="30">
        <v>16845976</v>
      </c>
      <c r="Q332" s="30">
        <v>1975199</v>
      </c>
      <c r="R332" s="30">
        <v>255775615</v>
      </c>
      <c r="S332" s="30">
        <v>22500000</v>
      </c>
      <c r="T332" s="30">
        <v>233275615</v>
      </c>
      <c r="U332" s="30">
        <v>132552173</v>
      </c>
      <c r="V332" s="30">
        <v>100723442</v>
      </c>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24" fitToWidth="2" fitToHeight="2"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Detail</vt:lpstr>
      <vt:lpstr>Detail By AEA</vt:lpstr>
      <vt:lpstr>Detail!Print_Area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[IDOM]</cp:lastModifiedBy>
  <cp:lastPrinted>2020-07-09T12:48:56Z</cp:lastPrinted>
  <dcterms:created xsi:type="dcterms:W3CDTF">2017-04-24T18:31:54Z</dcterms:created>
  <dcterms:modified xsi:type="dcterms:W3CDTF">2020-07-09T12:50:17Z</dcterms:modified>
</cp:coreProperties>
</file>