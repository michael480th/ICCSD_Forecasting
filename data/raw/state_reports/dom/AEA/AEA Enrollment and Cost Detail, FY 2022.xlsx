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75"/>
  <workbookPr hidePivotFieldList="1" defaultThemeVersion="124226"/>
  <mc:AlternateContent xmlns:mc="http://schemas.openxmlformats.org/markup-compatibility/2006">
    <mc:Choice Requires="x15">
      <x15ac:absPath xmlns:x15ac="http://schemas.microsoft.com/office/spreadsheetml/2010/11/ac" url="H:\My Drive\AEA\FY2022\"/>
    </mc:Choice>
  </mc:AlternateContent>
  <xr:revisionPtr revIDLastSave="0" documentId="13_ncr:1_{BEE9F7CB-0D5E-4EAB-A35D-B5D13578C8F9}" xr6:coauthVersionLast="36" xr6:coauthVersionMax="36" xr10:uidLastSave="{00000000-0000-0000-0000-000000000000}"/>
  <bookViews>
    <workbookView xWindow="0" yWindow="60" windowWidth="16275" windowHeight="13605" xr2:uid="{00000000-000D-0000-FFFF-FFFF00000000}"/>
  </bookViews>
  <sheets>
    <sheet name="Summary" sheetId="2" r:id="rId1"/>
    <sheet name="Detail" sheetId="1" r:id="rId2"/>
    <sheet name="Detail By AEA" sheetId="4" r:id="rId3"/>
  </sheets>
  <definedNames>
    <definedName name="AEA_Name">#REF!</definedName>
    <definedName name="_xlnm.Print_Area" localSheetId="1">Detail!$A$1:$AC$329</definedName>
    <definedName name="_xlnm.Print_Area" localSheetId="0">Summary!$A$1:$K$38</definedName>
    <definedName name="_xlnm.Print_Titles" localSheetId="1">Detail!$1:$2</definedName>
    <definedName name="_xlnm.Print_Titles" localSheetId="2">'Detail By AEA'!$A:$B,'Detail By AEA'!$4:$4</definedName>
    <definedName name="Slicer_AEA_Name">#N/A</definedName>
  </definedNames>
  <calcPr calcId="191029" iterateCount="5" iterateDelta="1000"/>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 i="4" l="1"/>
  <c r="I27" i="2" l="1"/>
  <c r="D27" i="2"/>
  <c r="E27" i="2"/>
  <c r="F27" i="2"/>
  <c r="G27" i="2"/>
  <c r="H27" i="2"/>
  <c r="C27" i="2"/>
  <c r="G14" i="2"/>
  <c r="H14" i="2"/>
  <c r="I14" i="2"/>
  <c r="J14" i="2"/>
  <c r="F14" i="2"/>
  <c r="E14" i="2"/>
  <c r="D14" i="2"/>
  <c r="C14" i="2"/>
  <c r="B15" i="2"/>
  <c r="B28" i="2" s="1"/>
  <c r="A15" i="2"/>
  <c r="A28" i="2" s="1"/>
  <c r="K1" i="2"/>
  <c r="J1" i="2"/>
  <c r="I1" i="2"/>
  <c r="H1" i="2"/>
  <c r="G1" i="2"/>
  <c r="F1" i="2"/>
  <c r="E1" i="2"/>
  <c r="D1" i="2"/>
  <c r="C1" i="2"/>
  <c r="A3" i="2" a="1"/>
  <c r="A3" i="2" s="1"/>
  <c r="J3" i="2" s="1"/>
  <c r="A4" i="2" l="1" a="1"/>
  <c r="A4" i="2" s="1"/>
  <c r="D4" i="2" s="1"/>
  <c r="E3" i="2"/>
  <c r="G3" i="2"/>
  <c r="I3" i="2"/>
  <c r="K3" i="2"/>
  <c r="A16" i="2"/>
  <c r="C16" i="2" s="1"/>
  <c r="D3" i="2"/>
  <c r="F3" i="2"/>
  <c r="H3" i="2"/>
  <c r="C3" i="2"/>
  <c r="B3" i="2"/>
  <c r="B16" i="2" s="1"/>
  <c r="B29" i="2" s="1"/>
  <c r="D16" i="2" l="1"/>
  <c r="A29" i="2"/>
  <c r="D29" i="2" s="1"/>
  <c r="G16" i="2"/>
  <c r="J16" i="2"/>
  <c r="F16" i="2"/>
  <c r="I16" i="2"/>
  <c r="E16" i="2"/>
  <c r="H16" i="2"/>
  <c r="A5" i="2" a="1"/>
  <c r="A5" i="2" s="1"/>
  <c r="B5" i="2" s="1"/>
  <c r="B18" i="2" s="1"/>
  <c r="B31" i="2" s="1"/>
  <c r="G4" i="2"/>
  <c r="J4" i="2"/>
  <c r="H4" i="2"/>
  <c r="C4" i="2"/>
  <c r="A17" i="2"/>
  <c r="F4" i="2"/>
  <c r="K4" i="2"/>
  <c r="I4" i="2"/>
  <c r="B4" i="2"/>
  <c r="B17" i="2" s="1"/>
  <c r="B30" i="2" s="1"/>
  <c r="E4" i="2"/>
  <c r="I29" i="2" l="1"/>
  <c r="H29" i="2"/>
  <c r="E29" i="2"/>
  <c r="G29" i="2"/>
  <c r="F29" i="2"/>
  <c r="C29" i="2"/>
  <c r="D17" i="2"/>
  <c r="A30" i="2"/>
  <c r="G17" i="2"/>
  <c r="C17" i="2"/>
  <c r="I17" i="2"/>
  <c r="F17" i="2"/>
  <c r="J17" i="2"/>
  <c r="E17" i="2"/>
  <c r="H17" i="2"/>
  <c r="A6" i="2" a="1"/>
  <c r="A6" i="2" s="1"/>
  <c r="B6" i="2" s="1"/>
  <c r="B19" i="2" s="1"/>
  <c r="B32" i="2" s="1"/>
  <c r="H5" i="2"/>
  <c r="I5" i="2"/>
  <c r="K5" i="2"/>
  <c r="G5" i="2"/>
  <c r="J5" i="2"/>
  <c r="A18" i="2"/>
  <c r="E5" i="2"/>
  <c r="C5" i="2"/>
  <c r="D5" i="2"/>
  <c r="F5" i="2"/>
  <c r="I30" i="2" l="1"/>
  <c r="H18" i="2"/>
  <c r="G18" i="2"/>
  <c r="C18" i="2"/>
  <c r="A31" i="2"/>
  <c r="D18" i="2"/>
  <c r="I18" i="2"/>
  <c r="E18" i="2"/>
  <c r="J18" i="2"/>
  <c r="F18" i="2"/>
  <c r="G30" i="2"/>
  <c r="C30" i="2"/>
  <c r="D30" i="2"/>
  <c r="H30" i="2"/>
  <c r="E30" i="2"/>
  <c r="F30" i="2"/>
  <c r="A7" i="2" a="1"/>
  <c r="A7" i="2" s="1"/>
  <c r="B7" i="2" s="1"/>
  <c r="B20" i="2" s="1"/>
  <c r="B33" i="2" s="1"/>
  <c r="C6" i="2"/>
  <c r="K6" i="2"/>
  <c r="D6" i="2"/>
  <c r="A19" i="2"/>
  <c r="J6" i="2"/>
  <c r="I6" i="2"/>
  <c r="G6" i="2"/>
  <c r="H6" i="2"/>
  <c r="F6" i="2"/>
  <c r="E6" i="2"/>
  <c r="I31" i="2" l="1"/>
  <c r="C19" i="2"/>
  <c r="A32" i="2"/>
  <c r="D19" i="2"/>
  <c r="G19" i="2"/>
  <c r="H19" i="2"/>
  <c r="F19" i="2"/>
  <c r="J19" i="2"/>
  <c r="E19" i="2"/>
  <c r="I19" i="2"/>
  <c r="F31" i="2"/>
  <c r="C31" i="2"/>
  <c r="G31" i="2"/>
  <c r="D31" i="2"/>
  <c r="H31" i="2"/>
  <c r="E31" i="2"/>
  <c r="A8" i="2" a="1"/>
  <c r="A8" i="2" s="1"/>
  <c r="A20" i="2"/>
  <c r="J7" i="2"/>
  <c r="D7" i="2"/>
  <c r="H7" i="2"/>
  <c r="I7" i="2"/>
  <c r="K7" i="2"/>
  <c r="C7" i="2"/>
  <c r="E7" i="2"/>
  <c r="G7" i="2"/>
  <c r="F7" i="2"/>
  <c r="I32" i="2" l="1"/>
  <c r="E32" i="2"/>
  <c r="G32" i="2"/>
  <c r="C32" i="2"/>
  <c r="D32" i="2"/>
  <c r="H32" i="2"/>
  <c r="F32" i="2"/>
  <c r="D20" i="2"/>
  <c r="C20" i="2"/>
  <c r="A33" i="2"/>
  <c r="J20" i="2"/>
  <c r="E20" i="2"/>
  <c r="G20" i="2"/>
  <c r="F20" i="2"/>
  <c r="H20" i="2"/>
  <c r="I20" i="2"/>
  <c r="H8" i="2"/>
  <c r="A21" i="2"/>
  <c r="C8" i="2"/>
  <c r="K8" i="2"/>
  <c r="J8" i="2"/>
  <c r="I8" i="2"/>
  <c r="G8" i="2"/>
  <c r="F8" i="2"/>
  <c r="E8" i="2"/>
  <c r="D8" i="2"/>
  <c r="B8" i="2"/>
  <c r="B21" i="2" s="1"/>
  <c r="B34" i="2" s="1"/>
  <c r="A9" i="2" a="1"/>
  <c r="A9" i="2" s="1"/>
  <c r="I33" i="2" l="1"/>
  <c r="D21" i="2"/>
  <c r="A34" i="2"/>
  <c r="G21" i="2"/>
  <c r="I21" i="2"/>
  <c r="C21" i="2"/>
  <c r="H21" i="2"/>
  <c r="F21" i="2"/>
  <c r="E21" i="2"/>
  <c r="J21" i="2"/>
  <c r="D33" i="2"/>
  <c r="C33" i="2"/>
  <c r="H33" i="2"/>
  <c r="E33" i="2"/>
  <c r="G33" i="2"/>
  <c r="F33" i="2"/>
  <c r="A10" i="2" a="1"/>
  <c r="A10" i="2" s="1"/>
  <c r="B10" i="2" s="1"/>
  <c r="B23" i="2" s="1"/>
  <c r="B36" i="2" s="1"/>
  <c r="I9" i="2"/>
  <c r="E9" i="2"/>
  <c r="K9" i="2"/>
  <c r="J9" i="2"/>
  <c r="A22" i="2"/>
  <c r="H9" i="2"/>
  <c r="C9" i="2"/>
  <c r="D9" i="2"/>
  <c r="G9" i="2"/>
  <c r="F9" i="2"/>
  <c r="B9" i="2"/>
  <c r="B22" i="2" s="1"/>
  <c r="B35" i="2" s="1"/>
  <c r="I34" i="2" l="1"/>
  <c r="G34" i="2"/>
  <c r="F34" i="2"/>
  <c r="H34" i="2"/>
  <c r="E34" i="2"/>
  <c r="C34" i="2"/>
  <c r="D34" i="2"/>
  <c r="G22" i="2"/>
  <c r="D22" i="2"/>
  <c r="A35" i="2"/>
  <c r="C22" i="2"/>
  <c r="E22" i="2"/>
  <c r="I22" i="2"/>
  <c r="J22" i="2"/>
  <c r="H22" i="2"/>
  <c r="F22" i="2"/>
  <c r="K10" i="2"/>
  <c r="A23" i="2"/>
  <c r="J10" i="2"/>
  <c r="I10" i="2"/>
  <c r="C10" i="2"/>
  <c r="D10" i="2"/>
  <c r="F10" i="2"/>
  <c r="G10" i="2"/>
  <c r="H10" i="2"/>
  <c r="E10" i="2"/>
  <c r="A11" i="2" a="1"/>
  <c r="A11" i="2" s="1"/>
  <c r="I35" i="2" l="1"/>
  <c r="C23" i="2"/>
  <c r="A36" i="2"/>
  <c r="G23" i="2"/>
  <c r="D23" i="2"/>
  <c r="I23" i="2"/>
  <c r="J23" i="2"/>
  <c r="F23" i="2"/>
  <c r="E23" i="2"/>
  <c r="H23" i="2"/>
  <c r="F35" i="2"/>
  <c r="G35" i="2"/>
  <c r="D35" i="2"/>
  <c r="E35" i="2"/>
  <c r="C35" i="2"/>
  <c r="H35" i="2"/>
  <c r="J11" i="2"/>
  <c r="H11" i="2"/>
  <c r="H12" i="2" s="1"/>
  <c r="I11" i="2"/>
  <c r="A24" i="2"/>
  <c r="K11" i="2"/>
  <c r="C11" i="2"/>
  <c r="C12" i="2" s="1"/>
  <c r="D11" i="2"/>
  <c r="D12" i="2" s="1"/>
  <c r="G11" i="2"/>
  <c r="G12" i="2" s="1"/>
  <c r="F11" i="2"/>
  <c r="F12" i="2" s="1"/>
  <c r="E11" i="2"/>
  <c r="E12" i="2" s="1"/>
  <c r="B11" i="2"/>
  <c r="B24" i="2" s="1"/>
  <c r="B37" i="2" s="1"/>
  <c r="I36" i="2" l="1"/>
  <c r="D24" i="2"/>
  <c r="C24" i="2"/>
  <c r="A37" i="2"/>
  <c r="G24" i="2"/>
  <c r="G25" i="2" s="1"/>
  <c r="J24" i="2"/>
  <c r="J25" i="2" s="1"/>
  <c r="E24" i="2"/>
  <c r="E25" i="2" s="1"/>
  <c r="I24" i="2"/>
  <c r="I25" i="2" s="1"/>
  <c r="F24" i="2"/>
  <c r="F25" i="2" s="1"/>
  <c r="H24" i="2"/>
  <c r="H25" i="2" s="1"/>
  <c r="E36" i="2"/>
  <c r="C36" i="2"/>
  <c r="F36" i="2"/>
  <c r="H36" i="2"/>
  <c r="G36" i="2"/>
  <c r="D36" i="2"/>
  <c r="I37" i="2" l="1"/>
  <c r="I38" i="2" s="1"/>
  <c r="H37" i="2"/>
  <c r="H38" i="2" s="1"/>
  <c r="D37" i="2"/>
  <c r="D38" i="2" s="1"/>
  <c r="C37" i="2"/>
  <c r="C38" i="2" s="1"/>
  <c r="G37" i="2"/>
  <c r="G38" i="2" s="1"/>
  <c r="E37" i="2"/>
  <c r="E38" i="2" s="1"/>
  <c r="F37" i="2"/>
  <c r="F38" i="2" s="1"/>
</calcChain>
</file>

<file path=xl/sharedStrings.xml><?xml version="1.0" encoding="utf-8"?>
<sst xmlns="http://schemas.openxmlformats.org/spreadsheetml/2006/main" count="2041" uniqueCount="744">
  <si>
    <t>01</t>
  </si>
  <si>
    <t>0135</t>
  </si>
  <si>
    <t>1080</t>
  </si>
  <si>
    <t>2763</t>
  </si>
  <si>
    <t>1638</t>
  </si>
  <si>
    <t>1863</t>
  </si>
  <si>
    <t>1972</t>
  </si>
  <si>
    <t>1989</t>
  </si>
  <si>
    <t>3029</t>
  </si>
  <si>
    <t>4043</t>
  </si>
  <si>
    <t>4419</t>
  </si>
  <si>
    <t>4662</t>
  </si>
  <si>
    <t>4774</t>
  </si>
  <si>
    <t>4869</t>
  </si>
  <si>
    <t>5310</t>
  </si>
  <si>
    <t>5508</t>
  </si>
  <si>
    <t>6100</t>
  </si>
  <si>
    <t>6175</t>
  </si>
  <si>
    <t>6509</t>
  </si>
  <si>
    <t>6943</t>
  </si>
  <si>
    <t>6950</t>
  </si>
  <si>
    <t>6961</t>
  </si>
  <si>
    <t>05</t>
  </si>
  <si>
    <t>0072</t>
  </si>
  <si>
    <t>0126</t>
  </si>
  <si>
    <t>0171</t>
  </si>
  <si>
    <t>1206</t>
  </si>
  <si>
    <t>1218</t>
  </si>
  <si>
    <t>1944</t>
  </si>
  <si>
    <t>6741</t>
  </si>
  <si>
    <t>2088</t>
  </si>
  <si>
    <t>2124</t>
  </si>
  <si>
    <t>2313</t>
  </si>
  <si>
    <t>2493</t>
  </si>
  <si>
    <t>2556</t>
  </si>
  <si>
    <t>3195</t>
  </si>
  <si>
    <t>2846</t>
  </si>
  <si>
    <t>3060</t>
  </si>
  <si>
    <t>3537</t>
  </si>
  <si>
    <t>3897</t>
  </si>
  <si>
    <t>4023</t>
  </si>
  <si>
    <t>4644</t>
  </si>
  <si>
    <t>4778</t>
  </si>
  <si>
    <t>0333</t>
  </si>
  <si>
    <t>4860</t>
  </si>
  <si>
    <t>4890</t>
  </si>
  <si>
    <t>5139</t>
  </si>
  <si>
    <t>5283</t>
  </si>
  <si>
    <t>5323</t>
  </si>
  <si>
    <t>5724</t>
  </si>
  <si>
    <t>5823</t>
  </si>
  <si>
    <t>6048</t>
  </si>
  <si>
    <t>6091</t>
  </si>
  <si>
    <t>6095</t>
  </si>
  <si>
    <t>6096</t>
  </si>
  <si>
    <t>6102</t>
  </si>
  <si>
    <t>6120</t>
  </si>
  <si>
    <t>6219</t>
  </si>
  <si>
    <t>6246</t>
  </si>
  <si>
    <t>6516</t>
  </si>
  <si>
    <t>6867</t>
  </si>
  <si>
    <t>6921</t>
  </si>
  <si>
    <t>07</t>
  </si>
  <si>
    <t>0009</t>
  </si>
  <si>
    <t>AGWSR</t>
  </si>
  <si>
    <t>0108</t>
  </si>
  <si>
    <t>0279</t>
  </si>
  <si>
    <t>0540</t>
  </si>
  <si>
    <t>BCLUW</t>
  </si>
  <si>
    <t>0594</t>
  </si>
  <si>
    <t>0846</t>
  </si>
  <si>
    <t>0916</t>
  </si>
  <si>
    <t>CAL</t>
  </si>
  <si>
    <t>1044</t>
  </si>
  <si>
    <t>4772</t>
  </si>
  <si>
    <t>1116</t>
  </si>
  <si>
    <t>1215</t>
  </si>
  <si>
    <t>1233</t>
  </si>
  <si>
    <t>1719</t>
  </si>
  <si>
    <t>1791</t>
  </si>
  <si>
    <t>1908</t>
  </si>
  <si>
    <t>1963</t>
  </si>
  <si>
    <t>3582</t>
  </si>
  <si>
    <t>2007</t>
  </si>
  <si>
    <t>2295</t>
  </si>
  <si>
    <t>2403</t>
  </si>
  <si>
    <t>2502</t>
  </si>
  <si>
    <t>2682</t>
  </si>
  <si>
    <t>GMG</t>
  </si>
  <si>
    <t>2709</t>
  </si>
  <si>
    <t>2727</t>
  </si>
  <si>
    <t>2781</t>
  </si>
  <si>
    <t>3033</t>
  </si>
  <si>
    <t>3042</t>
  </si>
  <si>
    <t>3105</t>
  </si>
  <si>
    <t>3150</t>
  </si>
  <si>
    <t>3186</t>
  </si>
  <si>
    <t>3204</t>
  </si>
  <si>
    <t>3420</t>
  </si>
  <si>
    <t>4104</t>
  </si>
  <si>
    <t>4131</t>
  </si>
  <si>
    <t>4437</t>
  </si>
  <si>
    <t>4599</t>
  </si>
  <si>
    <t>0153</t>
  </si>
  <si>
    <t>0873</t>
  </si>
  <si>
    <t>4785</t>
  </si>
  <si>
    <t>4788</t>
  </si>
  <si>
    <t>4995</t>
  </si>
  <si>
    <t>5697</t>
  </si>
  <si>
    <t>6098</t>
  </si>
  <si>
    <t>5751</t>
  </si>
  <si>
    <t>6273</t>
  </si>
  <si>
    <t>6471</t>
  </si>
  <si>
    <t>1935</t>
  </si>
  <si>
    <t>6762</t>
  </si>
  <si>
    <t>6795</t>
  </si>
  <si>
    <t>6840</t>
  </si>
  <si>
    <t>5922</t>
  </si>
  <si>
    <t>0819</t>
  </si>
  <si>
    <t>6985</t>
  </si>
  <si>
    <t>09</t>
  </si>
  <si>
    <t>0243</t>
  </si>
  <si>
    <t>0585</t>
  </si>
  <si>
    <t>0603</t>
  </si>
  <si>
    <t>0621</t>
  </si>
  <si>
    <t>0918</t>
  </si>
  <si>
    <t>0936</t>
  </si>
  <si>
    <t>1082</t>
  </si>
  <si>
    <t>1278</t>
  </si>
  <si>
    <t>1368</t>
  </si>
  <si>
    <t>1611</t>
  </si>
  <si>
    <t>1675</t>
  </si>
  <si>
    <t>1926</t>
  </si>
  <si>
    <t>1965</t>
  </si>
  <si>
    <t>3841</t>
  </si>
  <si>
    <t>4041</t>
  </si>
  <si>
    <t>4581</t>
  </si>
  <si>
    <t>4784</t>
  </si>
  <si>
    <t>4773</t>
  </si>
  <si>
    <t>5250</t>
  </si>
  <si>
    <t>6975</t>
  </si>
  <si>
    <t>7038</t>
  </si>
  <si>
    <t>10</t>
  </si>
  <si>
    <t>0099</t>
  </si>
  <si>
    <t>0234</t>
  </si>
  <si>
    <t>0576</t>
  </si>
  <si>
    <t>0609</t>
  </si>
  <si>
    <t>1053</t>
  </si>
  <si>
    <t>1062</t>
  </si>
  <si>
    <t>1089</t>
  </si>
  <si>
    <t>1221</t>
  </si>
  <si>
    <t>1337</t>
  </si>
  <si>
    <t>2097</t>
  </si>
  <si>
    <t>2977</t>
  </si>
  <si>
    <t>2766</t>
  </si>
  <si>
    <t>HLV</t>
  </si>
  <si>
    <t>3141</t>
  </si>
  <si>
    <t>3154</t>
  </si>
  <si>
    <t>3715</t>
  </si>
  <si>
    <t>3744</t>
  </si>
  <si>
    <t>3816</t>
  </si>
  <si>
    <t>4086</t>
  </si>
  <si>
    <t>4271</t>
  </si>
  <si>
    <t>4269</t>
  </si>
  <si>
    <t>4446</t>
  </si>
  <si>
    <t>4554</t>
  </si>
  <si>
    <t>3691</t>
  </si>
  <si>
    <t>4777</t>
  </si>
  <si>
    <t>4905</t>
  </si>
  <si>
    <t>6093</t>
  </si>
  <si>
    <t>6138</t>
  </si>
  <si>
    <t>6408</t>
  </si>
  <si>
    <t>6660</t>
  </si>
  <si>
    <t>6768</t>
  </si>
  <si>
    <t>6930</t>
  </si>
  <si>
    <t>7029</t>
  </si>
  <si>
    <t>11</t>
  </si>
  <si>
    <t>0018</t>
  </si>
  <si>
    <t>0027</t>
  </si>
  <si>
    <t>0225</t>
  </si>
  <si>
    <t>0261</t>
  </si>
  <si>
    <t>0414</t>
  </si>
  <si>
    <t>0472</t>
  </si>
  <si>
    <t>0513</t>
  </si>
  <si>
    <t>0720</t>
  </si>
  <si>
    <t>0729</t>
  </si>
  <si>
    <t>0981</t>
  </si>
  <si>
    <t>0999</t>
  </si>
  <si>
    <t>1332</t>
  </si>
  <si>
    <t>1350</t>
  </si>
  <si>
    <t>1359</t>
  </si>
  <si>
    <t>1413</t>
  </si>
  <si>
    <t>1576</t>
  </si>
  <si>
    <t>1737</t>
  </si>
  <si>
    <t>1953</t>
  </si>
  <si>
    <t>2151</t>
  </si>
  <si>
    <t>2466</t>
  </si>
  <si>
    <t>2520</t>
  </si>
  <si>
    <t>2754</t>
  </si>
  <si>
    <t>3114</t>
  </si>
  <si>
    <t>3119</t>
  </si>
  <si>
    <t>3231</t>
  </si>
  <si>
    <t>3375</t>
  </si>
  <si>
    <t>3906</t>
  </si>
  <si>
    <t>3942</t>
  </si>
  <si>
    <t>4122</t>
  </si>
  <si>
    <t>4212</t>
  </si>
  <si>
    <t>4617</t>
  </si>
  <si>
    <t>4725</t>
  </si>
  <si>
    <t>4779</t>
  </si>
  <si>
    <t>4797</t>
  </si>
  <si>
    <t>4878</t>
  </si>
  <si>
    <t>5121</t>
  </si>
  <si>
    <t>5319</t>
  </si>
  <si>
    <t>PCM</t>
  </si>
  <si>
    <t>5166</t>
  </si>
  <si>
    <t>5184</t>
  </si>
  <si>
    <t>5256</t>
  </si>
  <si>
    <t>5643</t>
  </si>
  <si>
    <t>5805</t>
  </si>
  <si>
    <t>6101</t>
  </si>
  <si>
    <t>6094</t>
  </si>
  <si>
    <t>6512</t>
  </si>
  <si>
    <t>6561</t>
  </si>
  <si>
    <t>6579</t>
  </si>
  <si>
    <t>6615</t>
  </si>
  <si>
    <t>6822</t>
  </si>
  <si>
    <t>6264</t>
  </si>
  <si>
    <t>6957</t>
  </si>
  <si>
    <t>7056</t>
  </si>
  <si>
    <t>7110</t>
  </si>
  <si>
    <t>12</t>
  </si>
  <si>
    <t>0063</t>
  </si>
  <si>
    <t>0355</t>
  </si>
  <si>
    <t>0747</t>
  </si>
  <si>
    <t>1095</t>
  </si>
  <si>
    <t>1134</t>
  </si>
  <si>
    <t>1152</t>
  </si>
  <si>
    <t>1701</t>
  </si>
  <si>
    <t>2376</t>
  </si>
  <si>
    <t>2457</t>
  </si>
  <si>
    <t>2862</t>
  </si>
  <si>
    <t>2988</t>
  </si>
  <si>
    <t>3348</t>
  </si>
  <si>
    <t>3555</t>
  </si>
  <si>
    <t>3600</t>
  </si>
  <si>
    <t>4033</t>
  </si>
  <si>
    <t>4068</t>
  </si>
  <si>
    <t>4149</t>
  </si>
  <si>
    <t>5486</t>
  </si>
  <si>
    <t>1975</t>
  </si>
  <si>
    <t>5607</t>
  </si>
  <si>
    <t>5832</t>
  </si>
  <si>
    <t>5877</t>
  </si>
  <si>
    <t>5949</t>
  </si>
  <si>
    <t>5994</t>
  </si>
  <si>
    <t>6030</t>
  </si>
  <si>
    <t>6039</t>
  </si>
  <si>
    <t>5157</t>
  </si>
  <si>
    <t>6983</t>
  </si>
  <si>
    <t>6987</t>
  </si>
  <si>
    <t>6990</t>
  </si>
  <si>
    <t>6992</t>
  </si>
  <si>
    <t>7002</t>
  </si>
  <si>
    <t>7098</t>
  </si>
  <si>
    <t>13</t>
  </si>
  <si>
    <t>0441</t>
  </si>
  <si>
    <t>0387</t>
  </si>
  <si>
    <t>0549</t>
  </si>
  <si>
    <t>1917</t>
  </si>
  <si>
    <t>0914</t>
  </si>
  <si>
    <t>CAM</t>
  </si>
  <si>
    <t>1093</t>
  </si>
  <si>
    <t>1197</t>
  </si>
  <si>
    <t>1211</t>
  </si>
  <si>
    <t>1431</t>
  </si>
  <si>
    <t>1476</t>
  </si>
  <si>
    <t>1503</t>
  </si>
  <si>
    <t>1782</t>
  </si>
  <si>
    <t>3978</t>
  </si>
  <si>
    <t>1970</t>
  </si>
  <si>
    <t>2113</t>
  </si>
  <si>
    <t>2369</t>
  </si>
  <si>
    <t>2511</t>
  </si>
  <si>
    <t>2718</t>
  </si>
  <si>
    <t>2772</t>
  </si>
  <si>
    <t>2826</t>
  </si>
  <si>
    <t>3168</t>
  </si>
  <si>
    <t>3465</t>
  </si>
  <si>
    <t>3609</t>
  </si>
  <si>
    <t>3645</t>
  </si>
  <si>
    <t>3798</t>
  </si>
  <si>
    <t>4356</t>
  </si>
  <si>
    <t>4505</t>
  </si>
  <si>
    <t>4527</t>
  </si>
  <si>
    <t>4572</t>
  </si>
  <si>
    <t>2673</t>
  </si>
  <si>
    <t>4978</t>
  </si>
  <si>
    <t>5463</t>
  </si>
  <si>
    <t>4824</t>
  </si>
  <si>
    <t>5976</t>
  </si>
  <si>
    <t>6003</t>
  </si>
  <si>
    <t>6097</t>
  </si>
  <si>
    <t>6165</t>
  </si>
  <si>
    <t>6453</t>
  </si>
  <si>
    <t>6460</t>
  </si>
  <si>
    <t>6534</t>
  </si>
  <si>
    <t>6651</t>
  </si>
  <si>
    <t>6969</t>
  </si>
  <si>
    <t>7092</t>
  </si>
  <si>
    <t>15</t>
  </si>
  <si>
    <t>0081</t>
  </si>
  <si>
    <t>0882</t>
  </si>
  <si>
    <t>0977</t>
  </si>
  <si>
    <t>1071</t>
  </si>
  <si>
    <t>1079</t>
  </si>
  <si>
    <t>1107</t>
  </si>
  <si>
    <t>1602</t>
  </si>
  <si>
    <t>1619</t>
  </si>
  <si>
    <t>0657</t>
  </si>
  <si>
    <t>2169</t>
  </si>
  <si>
    <t>2322</t>
  </si>
  <si>
    <t>3312</t>
  </si>
  <si>
    <t>3330</t>
  </si>
  <si>
    <t>4203</t>
  </si>
  <si>
    <t>4491</t>
  </si>
  <si>
    <t>4509</t>
  </si>
  <si>
    <t>4518</t>
  </si>
  <si>
    <t>4536</t>
  </si>
  <si>
    <t>4689</t>
  </si>
  <si>
    <t>4776</t>
  </si>
  <si>
    <t>5013</t>
  </si>
  <si>
    <t>5049</t>
  </si>
  <si>
    <t>5163</t>
  </si>
  <si>
    <t>5895</t>
  </si>
  <si>
    <t>6012</t>
  </si>
  <si>
    <t>6462</t>
  </si>
  <si>
    <t>6592</t>
  </si>
  <si>
    <t>6700</t>
  </si>
  <si>
    <t>6759</t>
  </si>
  <si>
    <t>6854</t>
  </si>
  <si>
    <t>6937</t>
  </si>
  <si>
    <t>7047</t>
  </si>
  <si>
    <t>Total Special Ed Weighting in Addition to 1.0</t>
  </si>
  <si>
    <t>Budget Enrollment</t>
  </si>
  <si>
    <t>AEA Weighted Enrollment</t>
  </si>
  <si>
    <t>AEA Supplementary Weight for Sharing</t>
  </si>
  <si>
    <t>Resident Accredited Nonpublic Students</t>
  </si>
  <si>
    <t>Shared-Time Nonpublic Pupils Counted in Line 1.1</t>
  </si>
  <si>
    <t>Total Enrollment Served - AEA Media and Ed Services</t>
  </si>
  <si>
    <t>AEA Special Ed Support Cost Per Pupil</t>
  </si>
  <si>
    <t>AEA Ed Services Cost Per Pupil</t>
  </si>
  <si>
    <t>AEA Teacher Salary Supplement District Cost Per Pupil</t>
  </si>
  <si>
    <t>Professional Development Supplement District Cost Per Pupil</t>
  </si>
  <si>
    <t>AEA Special Ed Support District Cost without Adjustment</t>
  </si>
  <si>
    <t>Special Education Total Cost</t>
  </si>
  <si>
    <t>AEA Media Services District Cost</t>
  </si>
  <si>
    <t>AEA Ed Services District Cost</t>
  </si>
  <si>
    <t>AEA Sharing District Cost</t>
  </si>
  <si>
    <t>AEA Teacher Salary Supplement District Cost</t>
  </si>
  <si>
    <t>Subtotal Budget</t>
  </si>
  <si>
    <t>AEA Statewide State Aid Reduction</t>
  </si>
  <si>
    <t>Total Budget</t>
  </si>
  <si>
    <t>State Aid Portion</t>
  </si>
  <si>
    <t>Property Tax Portion</t>
  </si>
  <si>
    <t>AEA</t>
  </si>
  <si>
    <t>AEA Name</t>
  </si>
  <si>
    <t>District</t>
  </si>
  <si>
    <t>AEA Media Cost Per Pupil</t>
  </si>
  <si>
    <t>AEA Special Ed Support Adjustment</t>
  </si>
  <si>
    <t>Special Ed Weights</t>
  </si>
  <si>
    <t>Weighted Enrollment</t>
  </si>
  <si>
    <t>Nonpublic</t>
  </si>
  <si>
    <t xml:space="preserve">Shared-Time  </t>
  </si>
  <si>
    <t>Media/Ed Served</t>
  </si>
  <si>
    <t>Support Cost PP</t>
  </si>
  <si>
    <t>Media Cost PP</t>
  </si>
  <si>
    <t>Ed Cost PP</t>
  </si>
  <si>
    <t>Teach Sal Cost PP</t>
  </si>
  <si>
    <t>Prof Dev Cost PP</t>
  </si>
  <si>
    <t>Spec ED Support</t>
  </si>
  <si>
    <t>Spec Ed Adjust</t>
  </si>
  <si>
    <t>Special Ed Total Cost</t>
  </si>
  <si>
    <t>Media Services</t>
  </si>
  <si>
    <t>Education Services</t>
  </si>
  <si>
    <t>Sharing Operations</t>
  </si>
  <si>
    <t>Teacher Salary Supplement</t>
  </si>
  <si>
    <t>Prorata Reduction</t>
  </si>
  <si>
    <t xml:space="preserve">State Aid  </t>
  </si>
  <si>
    <t xml:space="preserve">Property Tax  </t>
  </si>
  <si>
    <t>AEA Professional Development Supplement District Cost</t>
  </si>
  <si>
    <t>Professional Development Supplement</t>
  </si>
  <si>
    <t>Total Special Ed Weighting</t>
  </si>
  <si>
    <t xml:space="preserve">Budget Enrollment </t>
  </si>
  <si>
    <t xml:space="preserve">AEA Weighted Enrollment </t>
  </si>
  <si>
    <t xml:space="preserve">AEA Supplementary Weight for Sharing </t>
  </si>
  <si>
    <t xml:space="preserve">Resident Accredited Nonpublic Students </t>
  </si>
  <si>
    <t>Shared-Time Nonpublic Pupils</t>
  </si>
  <si>
    <t>AEA Total</t>
  </si>
  <si>
    <t xml:space="preserve">Total Enrollment Served - AEA Media and Ed Services </t>
  </si>
  <si>
    <t xml:space="preserve">AEA Special Ed Support District Cost without Adjustment </t>
  </si>
  <si>
    <t xml:space="preserve">AEA Special Ed Support Adjustment </t>
  </si>
  <si>
    <t xml:space="preserve">Special Education Total Cost </t>
  </si>
  <si>
    <t xml:space="preserve">AEA Media Services District Cost </t>
  </si>
  <si>
    <t xml:space="preserve">AEA Ed Services District Cost </t>
  </si>
  <si>
    <t xml:space="preserve">AEA Sharing District Cost </t>
  </si>
  <si>
    <t xml:space="preserve">AEA Teacher Salary Supplement District Cost </t>
  </si>
  <si>
    <t xml:space="preserve">AEA Professional Development Supplement District Cost </t>
  </si>
  <si>
    <t xml:space="preserve">Subtotal Budget </t>
  </si>
  <si>
    <t>AEA State Aid Reduction</t>
  </si>
  <si>
    <t xml:space="preserve">Total Budget </t>
  </si>
  <si>
    <t xml:space="preserve">State Aid Portion </t>
  </si>
  <si>
    <t xml:space="preserve">Property Tax Portion </t>
  </si>
  <si>
    <t>Allamakee</t>
  </si>
  <si>
    <t>Central Clayton</t>
  </si>
  <si>
    <t>Clayton Ridge</t>
  </si>
  <si>
    <t>Decorah</t>
  </si>
  <si>
    <t>Dubuque</t>
  </si>
  <si>
    <t>Eastern Allamakee</t>
  </si>
  <si>
    <t>Edgewood-Colesburg</t>
  </si>
  <si>
    <t>Howard-Winneshiek</t>
  </si>
  <si>
    <t>Maquoketa Valley</t>
  </si>
  <si>
    <t>MFL Mar Mac</t>
  </si>
  <si>
    <t>New Hampton</t>
  </si>
  <si>
    <t>North Fayette Valley</t>
  </si>
  <si>
    <t>Oelwein</t>
  </si>
  <si>
    <t>Postville</t>
  </si>
  <si>
    <t>Riceville</t>
  </si>
  <si>
    <t>South Winneshiek</t>
  </si>
  <si>
    <t>Starmont</t>
  </si>
  <si>
    <t>Turkey Valley</t>
  </si>
  <si>
    <t>West Central</t>
  </si>
  <si>
    <t>West Delaware Co</t>
  </si>
  <si>
    <t>Western Dubuque Co</t>
  </si>
  <si>
    <t>Albert City-Truesdale</t>
  </si>
  <si>
    <t>Algona</t>
  </si>
  <si>
    <t>Alta-Aurelia</t>
  </si>
  <si>
    <t>Clarion-Goldfield-Dows</t>
  </si>
  <si>
    <t>Clay Central-Everly</t>
  </si>
  <si>
    <t>Eagle Grove</t>
  </si>
  <si>
    <t>East Sac County</t>
  </si>
  <si>
    <t>Emmetsburg</t>
  </si>
  <si>
    <t>Estherville-Lincoln Central</t>
  </si>
  <si>
    <t>Fort Dodge</t>
  </si>
  <si>
    <t>Gilmore City-Bradgate</t>
  </si>
  <si>
    <t>Graettinger-Terril</t>
  </si>
  <si>
    <t>Greene County</t>
  </si>
  <si>
    <t>Harris-Lake Park</t>
  </si>
  <si>
    <t>Humboldt</t>
  </si>
  <si>
    <t>Laurens-Marathon</t>
  </si>
  <si>
    <t>Lu Verne</t>
  </si>
  <si>
    <t>Manson-Northwest Webster</t>
  </si>
  <si>
    <t>Newell-Fonda</t>
  </si>
  <si>
    <t>North Kossuth</t>
  </si>
  <si>
    <t>North Union</t>
  </si>
  <si>
    <t>Okoboji</t>
  </si>
  <si>
    <t>Paton-Churdan</t>
  </si>
  <si>
    <t>Pocahontas Area</t>
  </si>
  <si>
    <t>Prairie Valley</t>
  </si>
  <si>
    <t>Ruthven-Ayrshire</t>
  </si>
  <si>
    <t>Schaller-Crestland</t>
  </si>
  <si>
    <t>Sioux Central</t>
  </si>
  <si>
    <t>South Central Calhoun</t>
  </si>
  <si>
    <t>South Hamilton</t>
  </si>
  <si>
    <t>Southeast Webster-Grand</t>
  </si>
  <si>
    <t>Spencer</t>
  </si>
  <si>
    <t>Spirit Lake</t>
  </si>
  <si>
    <t>Storm Lake</t>
  </si>
  <si>
    <t>Stratford</t>
  </si>
  <si>
    <t>Twin Rivers</t>
  </si>
  <si>
    <t>Webster City</t>
  </si>
  <si>
    <t>West Bend-Mallard</t>
  </si>
  <si>
    <t>Alden</t>
  </si>
  <si>
    <t>Aplington-Parkersburg</t>
  </si>
  <si>
    <t>Belmond-Klemme</t>
  </si>
  <si>
    <t>Brooklyn-Guernsey-Malcom</t>
  </si>
  <si>
    <t>Cedar Falls</t>
  </si>
  <si>
    <t>Central Springs</t>
  </si>
  <si>
    <t>Charles City</t>
  </si>
  <si>
    <t>Clarksville</t>
  </si>
  <si>
    <t>Clear Lake</t>
  </si>
  <si>
    <t>Denver</t>
  </si>
  <si>
    <t>Dike-New Hartford</t>
  </si>
  <si>
    <t>Dunkerton</t>
  </si>
  <si>
    <t>East Buchanan</t>
  </si>
  <si>
    <t>East Marshall</t>
  </si>
  <si>
    <t>Eldora-New Providence</t>
  </si>
  <si>
    <t>Forest City</t>
  </si>
  <si>
    <t>Garner-Hayfield-Ventura</t>
  </si>
  <si>
    <t>Gladbrook-Reinbeck</t>
  </si>
  <si>
    <t>Grinnell-Newburg</t>
  </si>
  <si>
    <t>Grundy Center</t>
  </si>
  <si>
    <t>Hampton-Dumont</t>
  </si>
  <si>
    <t>Hubbard-Radcliffe</t>
  </si>
  <si>
    <t>Hudson</t>
  </si>
  <si>
    <t>Independence</t>
  </si>
  <si>
    <t>Iowa Falls</t>
  </si>
  <si>
    <t>Janesville</t>
  </si>
  <si>
    <t>Jesup</t>
  </si>
  <si>
    <t>Lake Mills</t>
  </si>
  <si>
    <t>Marshalltown</t>
  </si>
  <si>
    <t>Mason City</t>
  </si>
  <si>
    <t>Montezuma</t>
  </si>
  <si>
    <t>Nashua-Plainfield</t>
  </si>
  <si>
    <t>North Butler</t>
  </si>
  <si>
    <t>North Iowa</t>
  </si>
  <si>
    <t>North Tama</t>
  </si>
  <si>
    <t>Northwood-Kensett</t>
  </si>
  <si>
    <t>Osage</t>
  </si>
  <si>
    <t>Rudd-Rockford-Marble Rock</t>
  </si>
  <si>
    <t>South Tama</t>
  </si>
  <si>
    <t>St Ansgar</t>
  </si>
  <si>
    <t>Sumner-Fredericksburg</t>
  </si>
  <si>
    <t>Tripoli</t>
  </si>
  <si>
    <t>Union</t>
  </si>
  <si>
    <t>Wapsie Valley</t>
  </si>
  <si>
    <t>Waterloo</t>
  </si>
  <si>
    <t>Waverly-Shell Rock</t>
  </si>
  <si>
    <t>West Fork</t>
  </si>
  <si>
    <t>West Hancock</t>
  </si>
  <si>
    <t>West Marshall</t>
  </si>
  <si>
    <t>Andrew</t>
  </si>
  <si>
    <t>Bellevue</t>
  </si>
  <si>
    <t>Bennett</t>
  </si>
  <si>
    <t>Bettendorf</t>
  </si>
  <si>
    <t>Calamus-Wheatland</t>
  </si>
  <si>
    <t>Camanche</t>
  </si>
  <si>
    <t>Central De Witt</t>
  </si>
  <si>
    <t>Clinton</t>
  </si>
  <si>
    <t>Columbus</t>
  </si>
  <si>
    <t>Davenport</t>
  </si>
  <si>
    <t>Delwood</t>
  </si>
  <si>
    <t>Durant</t>
  </si>
  <si>
    <t>Easton Valley</t>
  </si>
  <si>
    <t>Louisa-Muscatine</t>
  </si>
  <si>
    <t>Maquoketa</t>
  </si>
  <si>
    <t>Muscatine</t>
  </si>
  <si>
    <t>North Scott</t>
  </si>
  <si>
    <t>Northeast</t>
  </si>
  <si>
    <t>Pleasant Valley</t>
  </si>
  <si>
    <t>West Liberty</t>
  </si>
  <si>
    <t>Wilton</t>
  </si>
  <si>
    <t>Alburnett</t>
  </si>
  <si>
    <t>Anamosa</t>
  </si>
  <si>
    <t>Belle Plaine</t>
  </si>
  <si>
    <t>Benton</t>
  </si>
  <si>
    <t>Cedar Rapids</t>
  </si>
  <si>
    <t>Center Point-Urbana</t>
  </si>
  <si>
    <t>Central City</t>
  </si>
  <si>
    <t>Clear Creek-Amana</t>
  </si>
  <si>
    <t>College Community</t>
  </si>
  <si>
    <t>English Valleys</t>
  </si>
  <si>
    <t>Highland</t>
  </si>
  <si>
    <t>Iowa City</t>
  </si>
  <si>
    <t>Iowa Valley</t>
  </si>
  <si>
    <t>Linn-Mar</t>
  </si>
  <si>
    <t>Lisbon</t>
  </si>
  <si>
    <t>Lone Tree</t>
  </si>
  <si>
    <t>Marion</t>
  </si>
  <si>
    <t>Mid-Prairie</t>
  </si>
  <si>
    <t>Midland</t>
  </si>
  <si>
    <t>Monticello</t>
  </si>
  <si>
    <t>Mount Vernon</t>
  </si>
  <si>
    <t>North Cedar</t>
  </si>
  <si>
    <t>North Linn</t>
  </si>
  <si>
    <t>Olin</t>
  </si>
  <si>
    <t>Solon</t>
  </si>
  <si>
    <t>Springville</t>
  </si>
  <si>
    <t>Tipton</t>
  </si>
  <si>
    <t>Vinton-Shellsburg</t>
  </si>
  <si>
    <t>Washington</t>
  </si>
  <si>
    <t>West Branch</t>
  </si>
  <si>
    <t>Williamsburg</t>
  </si>
  <si>
    <t>Adair-Casey</t>
  </si>
  <si>
    <t>Adel-Desoto-Minburn</t>
  </si>
  <si>
    <t>Ames</t>
  </si>
  <si>
    <t>Ankeny</t>
  </si>
  <si>
    <t>Audubon</t>
  </si>
  <si>
    <t>Ballard</t>
  </si>
  <si>
    <t>Baxter</t>
  </si>
  <si>
    <t>Bondurant-Farrar</t>
  </si>
  <si>
    <t>Boone</t>
  </si>
  <si>
    <t>Carlisle</t>
  </si>
  <si>
    <t>Carroll</t>
  </si>
  <si>
    <t>Colfax-Mingo</t>
  </si>
  <si>
    <t>Collins-Maxwell</t>
  </si>
  <si>
    <t>Colo-Nesco</t>
  </si>
  <si>
    <t>Coon Rapids-Bayard</t>
  </si>
  <si>
    <t>Dallas Center-Grimes</t>
  </si>
  <si>
    <t>Des Moines</t>
  </si>
  <si>
    <t>Earlham</t>
  </si>
  <si>
    <t>Exira-Elk Horn-Kimballton</t>
  </si>
  <si>
    <t>Gilbert</t>
  </si>
  <si>
    <t>Glidden-Ralston</t>
  </si>
  <si>
    <t>Guthrie Center</t>
  </si>
  <si>
    <t>Indianola</t>
  </si>
  <si>
    <t>Interstate 35</t>
  </si>
  <si>
    <t>Johnston</t>
  </si>
  <si>
    <t>Knoxville</t>
  </si>
  <si>
    <t>Lynnville-Sully</t>
  </si>
  <si>
    <t>Madrid</t>
  </si>
  <si>
    <t>Martensdale-St Marys</t>
  </si>
  <si>
    <t>Melcher-Dallas</t>
  </si>
  <si>
    <t>Nevada</t>
  </si>
  <si>
    <t>Newton</t>
  </si>
  <si>
    <t>North Polk</t>
  </si>
  <si>
    <t>Norwalk</t>
  </si>
  <si>
    <t>Ogden</t>
  </si>
  <si>
    <t>Panorama</t>
  </si>
  <si>
    <t>Pella</t>
  </si>
  <si>
    <t>Perry</t>
  </si>
  <si>
    <t>Pleasantville</t>
  </si>
  <si>
    <t>Roland-Story</t>
  </si>
  <si>
    <t>Saydel</t>
  </si>
  <si>
    <t>Southeast Polk</t>
  </si>
  <si>
    <t>Southeast Warren</t>
  </si>
  <si>
    <t>Twin Cedars</t>
  </si>
  <si>
    <t>United</t>
  </si>
  <si>
    <t>Urbandale</t>
  </si>
  <si>
    <t>Van Meter</t>
  </si>
  <si>
    <t>Waukee</t>
  </si>
  <si>
    <t>West Central Valley</t>
  </si>
  <si>
    <t>West Des Moines</t>
  </si>
  <si>
    <t>Winterset</t>
  </si>
  <si>
    <t>Woodward-Granger</t>
  </si>
  <si>
    <t>Akron-Westfield</t>
  </si>
  <si>
    <t>Ar-We-Va</t>
  </si>
  <si>
    <t>Boyden-Hull</t>
  </si>
  <si>
    <t>Central Lyon</t>
  </si>
  <si>
    <t>Charter Oak-Ute</t>
  </si>
  <si>
    <t>Cherokee</t>
  </si>
  <si>
    <t>Denison</t>
  </si>
  <si>
    <t>Galva-Holstein</t>
  </si>
  <si>
    <t>George-Little Rock</t>
  </si>
  <si>
    <t>Hartley-Melvin-Sanborn</t>
  </si>
  <si>
    <t>Hinton</t>
  </si>
  <si>
    <t>Kingsley-Pierson</t>
  </si>
  <si>
    <t>Lawton-Bronson</t>
  </si>
  <si>
    <t>Le Mars</t>
  </si>
  <si>
    <t>Maple Valley-Anthon Oto</t>
  </si>
  <si>
    <t>Marcus-Meriden Cleghorn</t>
  </si>
  <si>
    <t>Moc-Floyd Valley</t>
  </si>
  <si>
    <t>Odebolt Arthur Battle Creek Ida Grove</t>
  </si>
  <si>
    <t>Remsen-Union</t>
  </si>
  <si>
    <t>River Valley</t>
  </si>
  <si>
    <t>Rock Valley</t>
  </si>
  <si>
    <t>Schleswig</t>
  </si>
  <si>
    <t>Sergeant Bluff-Luton</t>
  </si>
  <si>
    <t>Sheldon</t>
  </si>
  <si>
    <t>Sibley-Ocheyedan</t>
  </si>
  <si>
    <t>Sioux Center</t>
  </si>
  <si>
    <t>Sioux City</t>
  </si>
  <si>
    <t>South O'Brien</t>
  </si>
  <si>
    <t>West Lyon</t>
  </si>
  <si>
    <t>West Monona</t>
  </si>
  <si>
    <t>West Sioux</t>
  </si>
  <si>
    <t>Westwood</t>
  </si>
  <si>
    <t>Whiting</t>
  </si>
  <si>
    <t>Woodbury Central</t>
  </si>
  <si>
    <t>AHSTW</t>
  </si>
  <si>
    <t>Atlantic</t>
  </si>
  <si>
    <t>Bedford</t>
  </si>
  <si>
    <t>Boyer Valley</t>
  </si>
  <si>
    <t>Central Decatur</t>
  </si>
  <si>
    <t>Clarinda</t>
  </si>
  <si>
    <t>Clarke</t>
  </si>
  <si>
    <t>Corning</t>
  </si>
  <si>
    <t>Council Bluffs</t>
  </si>
  <si>
    <t>Creston</t>
  </si>
  <si>
    <t>Diagonal</t>
  </si>
  <si>
    <t>East Mills</t>
  </si>
  <si>
    <t>East Union</t>
  </si>
  <si>
    <t>Essex</t>
  </si>
  <si>
    <t>Fremont-Mills</t>
  </si>
  <si>
    <t>Glenwood</t>
  </si>
  <si>
    <t>Griswold</t>
  </si>
  <si>
    <t>Hamburg</t>
  </si>
  <si>
    <t>Harlan</t>
  </si>
  <si>
    <t>IKM-Manning</t>
  </si>
  <si>
    <t>Lamoni</t>
  </si>
  <si>
    <t>Lenox</t>
  </si>
  <si>
    <t>Lewis Central</t>
  </si>
  <si>
    <t>Logan-Magnolia</t>
  </si>
  <si>
    <t>Missouri Valley</t>
  </si>
  <si>
    <t>Mormon Trail</t>
  </si>
  <si>
    <t>Mount Ayr</t>
  </si>
  <si>
    <t>Murray</t>
  </si>
  <si>
    <t>Nodaway Valley</t>
  </si>
  <si>
    <t>Orient-Macksburg</t>
  </si>
  <si>
    <t>Red Oak</t>
  </si>
  <si>
    <t>Riverside</t>
  </si>
  <si>
    <t>Shenandoah</t>
  </si>
  <si>
    <t>Sidney</t>
  </si>
  <si>
    <t>South Page</t>
  </si>
  <si>
    <t>Stanton</t>
  </si>
  <si>
    <t>Treynor</t>
  </si>
  <si>
    <t>Tri-Center</t>
  </si>
  <si>
    <t>Underwood</t>
  </si>
  <si>
    <t>Villisca</t>
  </si>
  <si>
    <t>West Harrison</t>
  </si>
  <si>
    <t>Woodbine</t>
  </si>
  <si>
    <t>Albia</t>
  </si>
  <si>
    <t>Burlington</t>
  </si>
  <si>
    <t>Cardinal</t>
  </si>
  <si>
    <t>Centerville</t>
  </si>
  <si>
    <t>Central Lee</t>
  </si>
  <si>
    <t>Chariton</t>
  </si>
  <si>
    <t>Danville</t>
  </si>
  <si>
    <t>Davis County</t>
  </si>
  <si>
    <t>Eddyville-Blakesburg-Fremont</t>
  </si>
  <si>
    <t>Fairfield</t>
  </si>
  <si>
    <t>Fort Madison</t>
  </si>
  <si>
    <t>Keokuk</t>
  </si>
  <si>
    <t>Keota</t>
  </si>
  <si>
    <t>Mediapolis</t>
  </si>
  <si>
    <t>Moravia</t>
  </si>
  <si>
    <t>Morning Sun</t>
  </si>
  <si>
    <t>Moulton-Udell</t>
  </si>
  <si>
    <t>Mount Pleasant</t>
  </si>
  <si>
    <t>New London</t>
  </si>
  <si>
    <t>North Mahaska</t>
  </si>
  <si>
    <t>Oskaloosa</t>
  </si>
  <si>
    <t>Ottumwa</t>
  </si>
  <si>
    <t>Pekin</t>
  </si>
  <si>
    <t>Seymour</t>
  </si>
  <si>
    <t>Sigourney</t>
  </si>
  <si>
    <t>Tri-County</t>
  </si>
  <si>
    <t>Waco</t>
  </si>
  <si>
    <t>Wapello</t>
  </si>
  <si>
    <t>Wayne</t>
  </si>
  <si>
    <t>West Burlington</t>
  </si>
  <si>
    <t>Winfield-Mt Union</t>
  </si>
  <si>
    <t>Dist</t>
  </si>
  <si>
    <t>Keystone AEA 1</t>
  </si>
  <si>
    <t>Prairie Lakes AEA 8</t>
  </si>
  <si>
    <t>Central Rivers</t>
  </si>
  <si>
    <t>Mississippi Bend AEA 9</t>
  </si>
  <si>
    <t>Grant Wood AEA 10</t>
  </si>
  <si>
    <t>Heartland AEA 11</t>
  </si>
  <si>
    <t>Northwest AEA</t>
  </si>
  <si>
    <t>Green Hills AEA 13</t>
  </si>
  <si>
    <t>Great Prairie AEA 15</t>
  </si>
  <si>
    <t>Van Buren County</t>
  </si>
  <si>
    <t>FY 2022 AEA Weights and Costs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</si>
</sst>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4">
    <border>
      <left/>
      <right/>
      <top/>
      <bottom/>
      <diagonal/>
    </border>
    <border>
      <left/>
      <right/>
      <top/>
      <bottom style="thin">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s>
  <cellStyleXfs count="1">
    <xf numFmtId="0" fontId="0" fillId="0" borderId="0"/>
  </cellStyleXfs>
  <cellXfs count="36">
    <xf numFmtId="0" fontId="0" fillId="0" borderId="0" xfId="0"/>
    <xf numFmtId="49" fontId="0" fillId="0" borderId="0" xfId="0" applyNumberFormat="1"/>
    <xf numFmtId="4" fontId="0" fillId="0" borderId="0" xfId="0" applyNumberFormat="1"/>
    <xf numFmtId="164" fontId="0" fillId="0" borderId="0" xfId="0" applyNumberFormat="1"/>
    <xf numFmtId="3" fontId="0" fillId="0" borderId="0" xfId="0" applyNumberFormat="1"/>
    <xf numFmtId="0" fontId="1" fillId="0" borderId="0" xfId="0" applyFont="1"/>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center" wrapText="1"/>
    </xf>
    <xf numFmtId="4" fontId="0" fillId="0" borderId="2" xfId="0" applyNumberFormat="1" applyBorder="1"/>
    <xf numFmtId="0" fontId="0" fillId="0" borderId="0" xfId="0" applyAlignment="1">
      <alignment wrapText="1"/>
    </xf>
    <xf numFmtId="0" fontId="0" fillId="0" borderId="0" xfId="0" applyAlignment="1">
      <alignment horizontal="center" wrapText="1"/>
    </xf>
    <xf numFmtId="3" fontId="0" fillId="0" borderId="2" xfId="0" applyNumberFormat="1" applyBorder="1"/>
    <xf numFmtId="0" fontId="0" fillId="2" borderId="0" xfId="0" applyFill="1" applyAlignment="1">
      <alignment wrapText="1"/>
    </xf>
    <xf numFmtId="0" fontId="0" fillId="2" borderId="0" xfId="0" applyFill="1"/>
    <xf numFmtId="0" fontId="1" fillId="0" borderId="1" xfId="0" applyFont="1" applyFill="1" applyBorder="1" applyAlignment="1">
      <alignment horizontal="center" wrapText="1"/>
    </xf>
    <xf numFmtId="0" fontId="1" fillId="0" borderId="0" xfId="0" applyFont="1" applyFill="1" applyBorder="1" applyAlignment="1">
      <alignment horizontal="center" wrapText="1"/>
    </xf>
    <xf numFmtId="0" fontId="0" fillId="0" borderId="0" xfId="0" applyFill="1" applyBorder="1" applyAlignment="1">
      <alignment wrapText="1"/>
    </xf>
    <xf numFmtId="3" fontId="0" fillId="0" borderId="0" xfId="0" applyNumberFormat="1" applyFill="1" applyBorder="1"/>
    <xf numFmtId="164" fontId="0" fillId="0" borderId="2" xfId="0" applyNumberFormat="1" applyBorder="1"/>
    <xf numFmtId="0" fontId="2" fillId="0" borderId="0" xfId="0" applyFont="1"/>
    <xf numFmtId="0" fontId="2" fillId="0" borderId="0" xfId="0" applyFont="1" applyAlignment="1">
      <alignment wrapText="1"/>
    </xf>
    <xf numFmtId="0" fontId="3" fillId="0" borderId="0" xfId="0" pivotButton="1" applyFont="1" applyAlignment="1">
      <alignment wrapText="1"/>
    </xf>
    <xf numFmtId="0" fontId="3" fillId="0" borderId="0" xfId="0" applyFont="1" applyAlignment="1">
      <alignment wrapText="1"/>
    </xf>
    <xf numFmtId="0" fontId="3" fillId="0" borderId="0" xfId="0" applyFont="1"/>
    <xf numFmtId="4" fontId="2" fillId="0" borderId="0" xfId="0" applyNumberFormat="1" applyFont="1"/>
    <xf numFmtId="4" fontId="3" fillId="0" borderId="0" xfId="0" applyNumberFormat="1" applyFont="1"/>
    <xf numFmtId="164" fontId="2" fillId="0" borderId="0" xfId="0" applyNumberFormat="1" applyFont="1"/>
    <xf numFmtId="164" fontId="3" fillId="0" borderId="0" xfId="0" applyNumberFormat="1" applyFont="1"/>
    <xf numFmtId="3" fontId="2" fillId="0" borderId="0" xfId="0" applyNumberFormat="1" applyFont="1"/>
    <xf numFmtId="3" fontId="3" fillId="0" borderId="0" xfId="0" applyNumberFormat="1" applyFont="1"/>
    <xf numFmtId="49" fontId="0" fillId="0" borderId="3" xfId="0" applyNumberFormat="1" applyBorder="1"/>
    <xf numFmtId="4" fontId="0" fillId="0" borderId="3" xfId="0" applyNumberFormat="1" applyBorder="1"/>
    <xf numFmtId="164" fontId="0" fillId="0" borderId="3" xfId="0" applyNumberFormat="1" applyBorder="1"/>
    <xf numFmtId="3" fontId="0" fillId="0" borderId="3" xfId="0" applyNumberFormat="1" applyBorder="1"/>
    <xf numFmtId="0" fontId="4" fillId="0" borderId="0" xfId="0" applyFont="1" applyAlignment="1">
      <alignment horizontal="center" wrapText="1"/>
    </xf>
  </cellXfs>
  <cellStyles count="1">
    <cellStyle name="Normal" xfId="0" builtinId="0"/>
  </cellStyles>
  <dxfs count="90">
    <dxf>
      <alignment wrapText="1" readingOrder="0"/>
    </dxf>
    <dxf>
      <alignment wrapText="1" readingOrder="0"/>
    </dxf>
    <dxf>
      <alignment wrapText="1" readingOrder="0"/>
    </dxf>
    <dxf>
      <font>
        <sz val="10"/>
      </font>
    </dxf>
    <dxf>
      <font>
        <b/>
      </font>
    </dxf>
    <dxf>
      <font>
        <b/>
      </font>
    </dxf>
    <dxf>
      <font>
        <b/>
      </font>
    </dxf>
    <dxf>
      <font>
        <b/>
      </font>
    </dxf>
    <dxf>
      <font>
        <b/>
      </font>
    </dxf>
    <dxf>
      <numFmt numFmtId="4" formatCode="#,##0.00"/>
    </dxf>
    <dxf>
      <numFmt numFmtId="164" formatCode="#,##0.0"/>
    </dxf>
    <dxf>
      <numFmt numFmtId="4" formatCode="#,##0.00"/>
    </dxf>
    <dxf>
      <numFmt numFmtId="4" formatCode="#,##0.00"/>
    </dxf>
    <dxf>
      <numFmt numFmtId="3" formatCode="#,##0"/>
    </dxf>
    <dxf>
      <numFmt numFmtId="164" formatCode="#,##0.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0.0"/>
    </dxf>
    <dxf>
      <numFmt numFmtId="3" formatCode="#,##0"/>
    </dxf>
    <dxf>
      <numFmt numFmtId="4" formatCode="#,##0.00"/>
    </dxf>
    <dxf>
      <numFmt numFmtId="4" formatCode="#,##0.00"/>
    </dxf>
    <dxf>
      <numFmt numFmtId="164" formatCode="#,##0.0"/>
    </dxf>
    <dxf>
      <numFmt numFmtId="4" formatCode="#,##0.00"/>
    </dxf>
    <dxf>
      <font>
        <b/>
      </font>
    </dxf>
    <dxf>
      <font>
        <b/>
      </font>
    </dxf>
    <dxf>
      <font>
        <b/>
      </font>
    </dxf>
    <dxf>
      <font>
        <b/>
      </font>
    </dxf>
    <dxf>
      <font>
        <b/>
      </font>
    </dxf>
    <dxf>
      <font>
        <sz val="10"/>
      </font>
    </dxf>
    <dxf>
      <alignment wrapText="1" readingOrder="0"/>
    </dxf>
    <dxf>
      <alignment wrapText="1" readingOrder="0"/>
    </dxf>
    <dxf>
      <alignment wrapText="1" readingOrder="0"/>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font>
        <b/>
        <i val="0"/>
        <strike val="0"/>
        <condense val="0"/>
        <extend val="0"/>
        <outline val="0"/>
        <shadow val="0"/>
        <u val="none"/>
        <vertAlign val="baseline"/>
        <sz val="11"/>
        <color theme="1"/>
        <name val="Calibri"/>
        <scheme val="minor"/>
      </font>
      <alignment horizontal="center" vertical="bottom" textRotation="0" wrapText="1" indent="0" justifyLastLine="0" shrinkToFit="0" readingOrder="0"/>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PivotTable Style 1" table="0" count="1" xr9:uid="{00000000-0011-0000-FFFF-FFFF00000000}">
      <tableStyleElement type="wholeTable" dxfId="8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4</xdr:col>
      <xdr:colOff>552450</xdr:colOff>
      <xdr:row>0</xdr:row>
      <xdr:rowOff>0</xdr:rowOff>
    </xdr:from>
    <xdr:to>
      <xdr:col>7</xdr:col>
      <xdr:colOff>400051</xdr:colOff>
      <xdr:row>13</xdr:row>
      <xdr:rowOff>123825</xdr:rowOff>
    </xdr:to>
    <mc:AlternateContent xmlns:mc="http://schemas.openxmlformats.org/markup-compatibility/2006" xmlns:a14="http://schemas.microsoft.com/office/drawing/2010/main">
      <mc:Choice Requires="a14">
        <xdr:graphicFrame macro="">
          <xdr:nvGraphicFramePr>
            <xdr:cNvPr id="2" name="AEA Name">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AEA Name"/>
            </a:graphicData>
          </a:graphic>
        </xdr:graphicFrame>
      </mc:Choice>
      <mc:Fallback xmlns="">
        <xdr:sp macro="" textlink="">
          <xdr:nvSpPr>
            <xdr:cNvPr id="0" name=""/>
            <xdr:cNvSpPr>
              <a:spLocks noTextEdit="1"/>
            </xdr:cNvSpPr>
          </xdr:nvSpPr>
          <xdr:spPr>
            <a:xfrm>
              <a:off x="4591050" y="0"/>
              <a:ext cx="2009776" cy="30003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Print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ker, John [IDOM]" refreshedDate="44383.402858449073" createdVersion="4" refreshedVersion="6" minRefreshableVersion="3" recordCount="327" xr:uid="{00000000-000A-0000-FFFF-FFFF05000000}">
  <cacheSource type="worksheet">
    <worksheetSource name="Detail"/>
  </cacheSource>
  <cacheFields count="29">
    <cacheField name="AEA" numFmtId="49">
      <sharedItems/>
    </cacheField>
    <cacheField name="AEA Name" numFmtId="49">
      <sharedItems count="9">
        <s v="Keystone AEA 1"/>
        <s v="Prairie Lakes AEA 8"/>
        <s v="Central Rivers"/>
        <s v="Mississippi Bend AEA 9"/>
        <s v="Grant Wood AEA 10"/>
        <s v="Heartland AEA 11"/>
        <s v="Northwest AEA"/>
        <s v="Green Hills AEA 13"/>
        <s v="Great Prairie AEA 15"/>
      </sharedItems>
    </cacheField>
    <cacheField name="Dist" numFmtId="49">
      <sharedItems count="333">
        <s v="0135"/>
        <s v="1080"/>
        <s v="2763"/>
        <s v="1638"/>
        <s v="1863"/>
        <s v="1972"/>
        <s v="1989"/>
        <s v="3029"/>
        <s v="4419"/>
        <s v="4043"/>
        <s v="4662"/>
        <s v="4774"/>
        <s v="4869"/>
        <s v="5310"/>
        <s v="5508"/>
        <s v="6100"/>
        <s v="6175"/>
        <s v="6509"/>
        <s v="6943"/>
        <s v="6950"/>
        <s v="6961"/>
        <s v="0072"/>
        <s v="0126"/>
        <s v="0171"/>
        <s v="1206"/>
        <s v="1218"/>
        <s v="1944"/>
        <s v="6741"/>
        <s v="2088"/>
        <s v="2124"/>
        <s v="2313"/>
        <s v="2493"/>
        <s v="2556"/>
        <s v="3195"/>
        <s v="2846"/>
        <s v="3060"/>
        <s v="3537"/>
        <s v="3897"/>
        <s v="4023"/>
        <s v="4644"/>
        <s v="4778"/>
        <s v="0333"/>
        <s v="4890"/>
        <s v="5139"/>
        <s v="5283"/>
        <s v="5323"/>
        <s v="5724"/>
        <s v="5823"/>
        <s v="6048"/>
        <s v="6091"/>
        <s v="6095"/>
        <s v="6096"/>
        <s v="6102"/>
        <s v="6120"/>
        <s v="6219"/>
        <s v="6246"/>
        <s v="6516"/>
        <s v="6867"/>
        <s v="6921"/>
        <s v="0009"/>
        <s v="0108"/>
        <s v="0279"/>
        <s v="0540"/>
        <s v="0594"/>
        <s v="0846"/>
        <s v="0916"/>
        <s v="1044"/>
        <s v="4772"/>
        <s v="1116"/>
        <s v="1215"/>
        <s v="1233"/>
        <s v="1719"/>
        <s v="1791"/>
        <s v="1908"/>
        <s v="1963"/>
        <s v="3582"/>
        <s v="2007"/>
        <s v="2295"/>
        <s v="2682"/>
        <s v="2403"/>
        <s v="2502"/>
        <s v="2709"/>
        <s v="2727"/>
        <s v="2781"/>
        <s v="3033"/>
        <s v="3042"/>
        <s v="3105"/>
        <s v="3150"/>
        <s v="3186"/>
        <s v="3204"/>
        <s v="3420"/>
        <s v="4104"/>
        <s v="4131"/>
        <s v="4437"/>
        <s v="4599"/>
        <s v="0153"/>
        <s v="0873"/>
        <s v="4785"/>
        <s v="4788"/>
        <s v="4995"/>
        <s v="5697"/>
        <s v="6098"/>
        <s v="5751"/>
        <s v="6273"/>
        <s v="6471"/>
        <s v="1935"/>
        <s v="6762"/>
        <s v="6795"/>
        <s v="6840"/>
        <s v="5922"/>
        <s v="0819"/>
        <s v="6985"/>
        <s v="0243"/>
        <s v="0585"/>
        <s v="0603"/>
        <s v="0621"/>
        <s v="0918"/>
        <s v="0936"/>
        <s v="1082"/>
        <s v="1278"/>
        <s v="1368"/>
        <s v="1611"/>
        <s v="1675"/>
        <s v="1926"/>
        <s v="1965"/>
        <s v="3841"/>
        <s v="4041"/>
        <s v="4581"/>
        <s v="4784"/>
        <s v="4773"/>
        <s v="5250"/>
        <s v="6975"/>
        <s v="7038"/>
        <s v="0099"/>
        <s v="0234"/>
        <s v="0576"/>
        <s v="0609"/>
        <s v="1053"/>
        <s v="1062"/>
        <s v="1089"/>
        <s v="1221"/>
        <s v="1337"/>
        <s v="2097"/>
        <s v="2766"/>
        <s v="2977"/>
        <s v="3141"/>
        <s v="3154"/>
        <s v="3715"/>
        <s v="3744"/>
        <s v="3816"/>
        <s v="4086"/>
        <s v="4271"/>
        <s v="4269"/>
        <s v="4446"/>
        <s v="4554"/>
        <s v="3691"/>
        <s v="4777"/>
        <s v="4905"/>
        <s v="6093"/>
        <s v="6138"/>
        <s v="6408"/>
        <s v="6660"/>
        <s v="6768"/>
        <s v="6930"/>
        <s v="7029"/>
        <s v="0018"/>
        <s v="0027"/>
        <s v="0225"/>
        <s v="0261"/>
        <s v="0414"/>
        <s v="0472"/>
        <s v="0513"/>
        <s v="0720"/>
        <s v="0729"/>
        <s v="0981"/>
        <s v="0999"/>
        <s v="1332"/>
        <s v="1350"/>
        <s v="1359"/>
        <s v="1413"/>
        <s v="1576"/>
        <s v="1737"/>
        <s v="1953"/>
        <s v="2151"/>
        <s v="2466"/>
        <s v="2520"/>
        <s v="2754"/>
        <s v="3114"/>
        <s v="3119"/>
        <s v="3231"/>
        <s v="3375"/>
        <s v="3906"/>
        <s v="3942"/>
        <s v="4122"/>
        <s v="4212"/>
        <s v="4617"/>
        <s v="4725"/>
        <s v="4779"/>
        <s v="4797"/>
        <s v="4878"/>
        <s v="5319"/>
        <s v="5121"/>
        <s v="5166"/>
        <s v="5184"/>
        <s v="5256"/>
        <s v="5643"/>
        <s v="5805"/>
        <s v="6101"/>
        <s v="6094"/>
        <s v="6512"/>
        <s v="6561"/>
        <s v="6579"/>
        <s v="6615"/>
        <s v="6822"/>
        <s v="6264"/>
        <s v="6957"/>
        <s v="7056"/>
        <s v="7110"/>
        <s v="0063"/>
        <s v="0355"/>
        <s v="0747"/>
        <s v="1095"/>
        <s v="1134"/>
        <s v="1152"/>
        <s v="1701"/>
        <s v="2376"/>
        <s v="2457"/>
        <s v="2862"/>
        <s v="2988"/>
        <s v="3348"/>
        <s v="3555"/>
        <s v="3600"/>
        <s v="4033"/>
        <s v="4068"/>
        <s v="4149"/>
        <s v="4860"/>
        <s v="5486"/>
        <s v="1975"/>
        <s v="5607"/>
        <s v="5832"/>
        <s v="5877"/>
        <s v="5949"/>
        <s v="5994"/>
        <s v="6030"/>
        <s v="6039"/>
        <s v="5157"/>
        <s v="6983"/>
        <s v="6987"/>
        <s v="6990"/>
        <s v="6992"/>
        <s v="7002"/>
        <s v="7098"/>
        <s v="0441"/>
        <s v="0387"/>
        <s v="0549"/>
        <s v="1917"/>
        <s v="0914"/>
        <s v="1093"/>
        <s v="1197"/>
        <s v="1211"/>
        <s v="1431"/>
        <s v="1476"/>
        <s v="1503"/>
        <s v="1782"/>
        <s v="3978"/>
        <s v="1970"/>
        <s v="2113"/>
        <s v="2369"/>
        <s v="2511"/>
        <s v="2718"/>
        <s v="2772"/>
        <s v="2826"/>
        <s v="3168"/>
        <s v="3465"/>
        <s v="3609"/>
        <s v="3645"/>
        <s v="3798"/>
        <s v="4356"/>
        <s v="4505"/>
        <s v="4527"/>
        <s v="4572"/>
        <s v="2673"/>
        <s v="4978"/>
        <s v="5463"/>
        <s v="4824"/>
        <s v="5976"/>
        <s v="6003"/>
        <s v="6097"/>
        <s v="6165"/>
        <s v="6453"/>
        <s v="6460"/>
        <s v="6534"/>
        <s v="6651"/>
        <s v="6969"/>
        <s v="7092"/>
        <s v="0081"/>
        <s v="0882"/>
        <s v="0977"/>
        <s v="1071"/>
        <s v="1079"/>
        <s v="1107"/>
        <s v="1602"/>
        <s v="1619"/>
        <s v="0657"/>
        <s v="2169"/>
        <s v="2322"/>
        <s v="3312"/>
        <s v="3330"/>
        <s v="4203"/>
        <s v="4491"/>
        <s v="4509"/>
        <s v="4518"/>
        <s v="4536"/>
        <s v="4689"/>
        <s v="4776"/>
        <s v="5013"/>
        <s v="5049"/>
        <s v="5163"/>
        <s v="5895"/>
        <s v="6012"/>
        <s v="6462"/>
        <s v="6592"/>
        <s v="6700"/>
        <s v="6759"/>
        <s v="6854"/>
        <s v="6937"/>
        <s v="7047"/>
        <s v="6591" u="1"/>
        <s v="0504" u="1"/>
        <s v="4775" u="1"/>
        <s v="4787" u="1"/>
        <s v="0423" u="1"/>
        <s v="2834" u="1"/>
      </sharedItems>
    </cacheField>
    <cacheField name="District" numFmtId="49">
      <sharedItems count="355">
        <s v="Allamakee"/>
        <s v="Central Clayton"/>
        <s v="Clayton Ridge"/>
        <s v="Decorah"/>
        <s v="Dubuque"/>
        <s v="Eastern Allamakee"/>
        <s v="Edgewood-Colesburg"/>
        <s v="Howard-Winneshiek"/>
        <s v="MFL Mar Mac"/>
        <s v="Maquoketa Valley"/>
        <s v="New Hampton"/>
        <s v="North Fayette Valley"/>
        <s v="Oelwein"/>
        <s v="Postville"/>
        <s v="Riceville"/>
        <s v="South Winneshiek"/>
        <s v="Starmont"/>
        <s v="Turkey Valley"/>
        <s v="West Central"/>
        <s v="West Delaware Co"/>
        <s v="Western Dubuque Co"/>
        <s v="Albert City-Truesdale"/>
        <s v="Algona"/>
        <s v="Alta-Aurelia"/>
        <s v="Clarion-Goldfield-Dows"/>
        <s v="Clay Central-Everly"/>
        <s v="Eagle Grove"/>
        <s v="East Sac County"/>
        <s v="Emmetsburg"/>
        <s v="Estherville-Lincoln Central"/>
        <s v="Fort Dodge"/>
        <s v="Gilmore City-Bradgate"/>
        <s v="Graettinger-Terril"/>
        <s v="Greene County"/>
        <s v="Harris-Lake Park"/>
        <s v="Humboldt"/>
        <s v="Laurens-Marathon"/>
        <s v="Lu Verne"/>
        <s v="Manson-Northwest Webster"/>
        <s v="Newell-Fonda"/>
        <s v="North Kossuth"/>
        <s v="North Union"/>
        <s v="Okoboji"/>
        <s v="Paton-Churdan"/>
        <s v="Pocahontas Area"/>
        <s v="Prairie Valley"/>
        <s v="Ruthven-Ayrshire"/>
        <s v="Schaller-Crestland"/>
        <s v="Sioux Central"/>
        <s v="South Central Calhoun"/>
        <s v="South Hamilton"/>
        <s v="Southeast Webster-Grand"/>
        <s v="Spencer"/>
        <s v="Spirit Lake"/>
        <s v="Storm Lake"/>
        <s v="Stratford"/>
        <s v="Twin Rivers"/>
        <s v="Webster City"/>
        <s v="West Bend-Mallard"/>
        <s v="AGWSR"/>
        <s v="Alden"/>
        <s v="Aplington-Parkersburg"/>
        <s v="BCLUW"/>
        <s v="Belmond-Klemme"/>
        <s v="Brooklyn-Guernsey-Malcom"/>
        <s v="CAL"/>
        <s v="Cedar Falls"/>
        <s v="Central Springs"/>
        <s v="Charles City"/>
        <s v="Clarksville"/>
        <s v="Clear Lake"/>
        <s v="Denver"/>
        <s v="Dike-New Hartford"/>
        <s v="Dunkerton"/>
        <s v="East Buchanan"/>
        <s v="East Marshall"/>
        <s v="Eldora-New Providence"/>
        <s v="Forest City"/>
        <s v="GMG"/>
        <s v="Garner-Hayfield-Ventura"/>
        <s v="Gladbrook-Reinbeck"/>
        <s v="Grinnell-Newburg"/>
        <s v="Grundy Center"/>
        <s v="Hampton-Dumont"/>
        <s v="Hubbard-Radcliffe"/>
        <s v="Hudson"/>
        <s v="Independence"/>
        <s v="Iowa Falls"/>
        <s v="Janesville"/>
        <s v="Jesup"/>
        <s v="Lake Mills"/>
        <s v="Marshalltown"/>
        <s v="Mason City"/>
        <s v="Montezuma"/>
        <s v="Nashua-Plainfield"/>
        <s v="North Butler"/>
        <s v="North Iowa"/>
        <s v="North Tama"/>
        <s v="Northwood-Kensett"/>
        <s v="Osage"/>
        <s v="Rudd-Rockford-Marble Rock"/>
        <s v="South Tama"/>
        <s v="St Ansgar"/>
        <s v="Sumner-Fredericksburg"/>
        <s v="Tripoli"/>
        <s v="Union"/>
        <s v="Wapsie Valley"/>
        <s v="Waterloo"/>
        <s v="Waverly-Shell Rock"/>
        <s v="West Fork"/>
        <s v="West Hancock"/>
        <s v="West Marshall"/>
        <s v="Andrew"/>
        <s v="Bellevue"/>
        <s v="Bennett"/>
        <s v="Bettendorf"/>
        <s v="Calamus-Wheatland"/>
        <s v="Camanche"/>
        <s v="Central De Witt"/>
        <s v="Clinton"/>
        <s v="Columbus"/>
        <s v="Davenport"/>
        <s v="Delwood"/>
        <s v="Durant"/>
        <s v="Easton Valley"/>
        <s v="Louisa-Muscatine"/>
        <s v="Maquoketa"/>
        <s v="Muscatine"/>
        <s v="North Scott"/>
        <s v="Northeast"/>
        <s v="Pleasant Valley"/>
        <s v="West Liberty"/>
        <s v="Wilton"/>
        <s v="Alburnett"/>
        <s v="Anamosa"/>
        <s v="Belle Plaine"/>
        <s v="Benton"/>
        <s v="Cedar Rapids"/>
        <s v="Center Point-Urbana"/>
        <s v="Central City"/>
        <s v="Clear Creek-Amana"/>
        <s v="College Community"/>
        <s v="English Valleys"/>
        <s v="HLV"/>
        <s v="Highland"/>
        <s v="Iowa City"/>
        <s v="Iowa Valley"/>
        <s v="Linn-Mar"/>
        <s v="Lisbon"/>
        <s v="Lone Tree"/>
        <s v="Marion"/>
        <s v="Mid-Prairie"/>
        <s v="Midland"/>
        <s v="Monticello"/>
        <s v="Mount Vernon"/>
        <s v="North Cedar"/>
        <s v="North Linn"/>
        <s v="Olin"/>
        <s v="Solon"/>
        <s v="Springville"/>
        <s v="Tipton"/>
        <s v="Vinton-Shellsburg"/>
        <s v="Washington"/>
        <s v="West Branch"/>
        <s v="Williamsburg"/>
        <s v="Adair-Casey"/>
        <s v="Adel-Desoto-Minburn"/>
        <s v="Ames"/>
        <s v="Ankeny"/>
        <s v="Audubon"/>
        <s v="Ballard"/>
        <s v="Baxter"/>
        <s v="Bondurant-Farrar"/>
        <s v="Boone"/>
        <s v="Carlisle"/>
        <s v="Carroll"/>
        <s v="Colfax-Mingo"/>
        <s v="Collins-Maxwell"/>
        <s v="Colo-Nesco"/>
        <s v="Coon Rapids-Bayard"/>
        <s v="Dallas Center-Grimes"/>
        <s v="Des Moines"/>
        <s v="Earlham"/>
        <s v="Exira-Elk Horn-Kimballton"/>
        <s v="Gilbert"/>
        <s v="Glidden-Ralston"/>
        <s v="Guthrie Center"/>
        <s v="Indianola"/>
        <s v="Interstate 35"/>
        <s v="Johnston"/>
        <s v="Knoxville"/>
        <s v="Lynnville-Sully"/>
        <s v="Madrid"/>
        <s v="Martensdale-St Marys"/>
        <s v="Melcher-Dallas"/>
        <s v="Nevada"/>
        <s v="Newton"/>
        <s v="North Polk"/>
        <s v="Norwalk"/>
        <s v="Ogden"/>
        <s v="PCM"/>
        <s v="Panorama"/>
        <s v="Pella"/>
        <s v="Perry"/>
        <s v="Pleasantville"/>
        <s v="Roland-Story"/>
        <s v="Saydel"/>
        <s v="Southeast Polk"/>
        <s v="Southeast Warren"/>
        <s v="Twin Cedars"/>
        <s v="United"/>
        <s v="Urbandale"/>
        <s v="Van Meter"/>
        <s v="Waukee"/>
        <s v="West Central Valley"/>
        <s v="West Des Moines"/>
        <s v="Winterset"/>
        <s v="Woodward-Granger"/>
        <s v="Akron-Westfield"/>
        <s v="Ar-We-Va"/>
        <s v="Boyden-Hull"/>
        <s v="Central Lyon"/>
        <s v="Charter Oak-Ute"/>
        <s v="Cherokee"/>
        <s v="Denison"/>
        <s v="Galva-Holstein"/>
        <s v="George-Little Rock"/>
        <s v="Hartley-Melvin-Sanborn"/>
        <s v="Hinton"/>
        <s v="Kingsley-Pierson"/>
        <s v="Lawton-Bronson"/>
        <s v="Le Mars"/>
        <s v="Maple Valley-Anthon Oto"/>
        <s v="Marcus-Meriden Cleghorn"/>
        <s v="Moc-Floyd Valley"/>
        <s v="Odebolt Arthur Battle Creek Ida Grove"/>
        <s v="Remsen-Union"/>
        <s v="River Valley"/>
        <s v="Rock Valley"/>
        <s v="Schleswig"/>
        <s v="Sergeant Bluff-Luton"/>
        <s v="Sheldon"/>
        <s v="Sibley-Ocheyedan"/>
        <s v="Sioux Center"/>
        <s v="Sioux City"/>
        <s v="South O'Brien"/>
        <s v="West Lyon"/>
        <s v="West Monona"/>
        <s v="West Sioux"/>
        <s v="Westwood"/>
        <s v="Whiting"/>
        <s v="Woodbury Central"/>
        <s v="AHSTW"/>
        <s v="Atlantic"/>
        <s v="Bedford"/>
        <s v="Boyer Valley"/>
        <s v="CAM"/>
        <s v="Central Decatur"/>
        <s v="Clarinda"/>
        <s v="Clarke"/>
        <s v="Corning"/>
        <s v="Council Bluffs"/>
        <s v="Creston"/>
        <s v="Diagonal"/>
        <s v="East Mills"/>
        <s v="East Union"/>
        <s v="Essex"/>
        <s v="Fremont-Mills"/>
        <s v="Glenwood"/>
        <s v="Griswold"/>
        <s v="Hamburg"/>
        <s v="Harlan"/>
        <s v="IKM-Manning"/>
        <s v="Lamoni"/>
        <s v="Lenox"/>
        <s v="Lewis Central"/>
        <s v="Logan-Magnolia"/>
        <s v="Missouri Valley"/>
        <s v="Mormon Trail"/>
        <s v="Mount Ayr"/>
        <s v="Murray"/>
        <s v="Nodaway Valley"/>
        <s v="Orient-Macksburg"/>
        <s v="Red Oak"/>
        <s v="Riverside"/>
        <s v="Shenandoah"/>
        <s v="Sidney"/>
        <s v="South Page"/>
        <s v="Stanton"/>
        <s v="Treynor"/>
        <s v="Tri-Center"/>
        <s v="Underwood"/>
        <s v="Villisca"/>
        <s v="West Harrison"/>
        <s v="Woodbine"/>
        <s v="Albia"/>
        <s v="Burlington"/>
        <s v="Cardinal"/>
        <s v="Centerville"/>
        <s v="Central Lee"/>
        <s v="Chariton"/>
        <s v="Danville"/>
        <s v="Davis County"/>
        <s v="Eddyville-Blakesburg-Fremont"/>
        <s v="Fairfield"/>
        <s v="Fort Madison"/>
        <s v="Keokuk"/>
        <s v="Keota"/>
        <s v="Mediapolis"/>
        <s v="Moravia"/>
        <s v="Morning Sun"/>
        <s v="Moulton-Udell"/>
        <s v="Mount Pleasant"/>
        <s v="New London"/>
        <s v="North Mahaska"/>
        <s v="Oskaloosa"/>
        <s v="Ottumwa"/>
        <s v="Pekin"/>
        <s v="Seymour"/>
        <s v="Sigourney"/>
        <s v="Tri-County"/>
        <s v="Van Buren County"/>
        <s v="Waco"/>
        <s v="Wapello"/>
        <s v="Wayne"/>
        <s v="West Burlington"/>
        <s v="Winfield-Mt Union"/>
        <s v="CLARION-GOLDFIELD-DOWS (C" u="1"/>
        <s v="FOREST CITY(FOREST CITY)" u="1"/>
        <s v="COLLEGE" u="1"/>
        <s v="NORTH BUTLER (ALLISON BRI" u="1"/>
        <s v="NODAWAY VALLEY (GREENFIEL" u="1"/>
        <s v="ALGONA (ALGONA)" u="1"/>
        <s v="AHSTW (AHST)" u="1"/>
        <s v="MAPLE VALLEY-ANTHON OTO (" u="1"/>
        <s v="GREENE COUNTY (JEFFERSON-" u="1"/>
        <s v="NORTH UNION (ARMSTRONG-RI" u="1"/>
        <s v="ODEBOLT-ARTHUR" u="1"/>
        <s v="GARNER-HAYFIELD-VENTURA (" u="1"/>
        <s v="AURELIA" u="1"/>
        <s v="CLEAR CREEK-AMANA (CLEAR" u="1"/>
        <s v="EAST MILLS (MALVERN)" u="1"/>
        <s v="BATTLE CREEK-IDA GROVE" u="1"/>
        <s v="Van Buren" u="1"/>
        <s v="CALAMUS/WHEATLAND" u="1"/>
        <s v="ENGLISH VALLEYS (ENGLISH" u="1"/>
        <s v="ESTHERVILLE-LINCOLN CENTR" u="1"/>
        <s v="NORTH FAYETTE" u="1"/>
        <s v="Northeast Hamilton" u="1"/>
        <s v="Harmony" u="1"/>
        <s v="EDDYVILLE-BLAKESBURG-FREM" u="1"/>
        <s v="ALTA" u="1"/>
        <s v="CRESTON (CRESTON)" u="1"/>
        <s v="North Winneshiek" u="1"/>
        <s v="VALLEY" u="1"/>
      </sharedItems>
    </cacheField>
    <cacheField name="Total Special Ed Weighting in Addition to 1.0" numFmtId="4">
      <sharedItems containsSemiMixedTypes="0" containsString="0" containsNumber="1" minValue="12.02" maxValue="5733.95"/>
    </cacheField>
    <cacheField name="Budget Enrollment" numFmtId="164">
      <sharedItems containsSemiMixedTypes="0" containsString="0" containsNumber="1" minValue="102" maxValue="31621.5"/>
    </cacheField>
    <cacheField name="AEA Weighted Enrollment" numFmtId="4">
      <sharedItems containsSemiMixedTypes="0" containsString="0" containsNumber="1" minValue="114.02" maxValue="37355.449999999997"/>
    </cacheField>
    <cacheField name="AEA Supplementary Weight for Sharing" numFmtId="4">
      <sharedItems containsSemiMixedTypes="0" containsString="0" containsNumber="1" minValue="0" maxValue="35.15"/>
    </cacheField>
    <cacheField name="Resident Accredited Nonpublic Students" numFmtId="3">
      <sharedItems containsSemiMixedTypes="0" containsString="0" containsNumber="1" containsInteger="1" minValue="0" maxValue="2379"/>
    </cacheField>
    <cacheField name="Shared-Time Nonpublic Pupils Counted in Line 1.1" numFmtId="164">
      <sharedItems containsSemiMixedTypes="0" containsString="0" containsNumber="1" minValue="0" maxValue="20.9"/>
    </cacheField>
    <cacheField name="Total Enrollment Served - AEA Media and Ed Services" numFmtId="3">
      <sharedItems containsSemiMixedTypes="0" containsString="0" containsNumber="1" containsInteger="1" minValue="102" maxValue="33997"/>
    </cacheField>
    <cacheField name="AEA Special Ed Support Cost Per Pupil" numFmtId="4">
      <sharedItems containsSemiMixedTypes="0" containsString="0" containsNumber="1" minValue="308.26" maxValue="330.52"/>
    </cacheField>
    <cacheField name="AEA Media Cost Per Pupil" numFmtId="4">
      <sharedItems containsSemiMixedTypes="0" containsString="0" containsNumber="1" minValue="58.7" maxValue="59.24"/>
    </cacheField>
    <cacheField name="AEA Ed Services Cost Per Pupil" numFmtId="4">
      <sharedItems containsSemiMixedTypes="0" containsString="0" containsNumber="1" minValue="64.099999999999994" maxValue="66.400000000000006"/>
    </cacheField>
    <cacheField name="AEA Teacher Salary Supplement District Cost Per Pupil" numFmtId="4">
      <sharedItems containsSemiMixedTypes="0" containsString="0" containsNumber="1" minValue="25.94" maxValue="39.89"/>
    </cacheField>
    <cacheField name="Professional Development Supplement District Cost Per Pupil" numFmtId="4">
      <sharedItems containsSemiMixedTypes="0" containsString="0" containsNumber="1" minValue="3.27" maxValue="4.59"/>
    </cacheField>
    <cacheField name="AEA Special Ed Support District Cost without Adjustment" numFmtId="3">
      <sharedItems containsSemiMixedTypes="0" containsString="0" containsNumber="1" containsInteger="1" minValue="36067" maxValue="11515191"/>
    </cacheField>
    <cacheField name="AEA Special Ed Support Adjustment" numFmtId="3">
      <sharedItems containsSemiMixedTypes="0" containsString="0" containsNumber="1" containsInteger="1" minValue="0" maxValue="141045"/>
    </cacheField>
    <cacheField name="Special Education Total Cost" numFmtId="3">
      <sharedItems containsSemiMixedTypes="0" containsString="0" containsNumber="1" containsInteger="1" minValue="36067" maxValue="11621890"/>
    </cacheField>
    <cacheField name="AEA Media Services District Cost" numFmtId="3">
      <sharedItems containsSemiMixedTypes="0" containsString="0" containsNumber="1" containsInteger="1" minValue="6007" maxValue="1997664"/>
    </cacheField>
    <cacheField name="AEA Ed Services District Cost" numFmtId="3">
      <sharedItems containsSemiMixedTypes="0" containsString="0" containsNumber="1" containsInteger="1" minValue="6640" maxValue="2193486"/>
    </cacheField>
    <cacheField name="AEA Sharing District Cost" numFmtId="3">
      <sharedItems containsSemiMixedTypes="0" containsString="0" containsNumber="1" containsInteger="1" minValue="0" maxValue="11360"/>
    </cacheField>
    <cacheField name="AEA Teacher Salary Supplement District Cost" numFmtId="3">
      <sharedItems containsSemiMixedTypes="0" containsString="0" containsNumber="1" containsInteger="1" minValue="3703" maxValue="972708"/>
    </cacheField>
    <cacheField name="AEA Professional Development Supplement District Cost" numFmtId="3">
      <sharedItems containsSemiMixedTypes="0" containsString="0" containsNumber="1" containsInteger="1" minValue="398" maxValue="122844"/>
    </cacheField>
    <cacheField name="Subtotal Budget" numFmtId="3">
      <sharedItems containsSemiMixedTypes="0" containsString="0" containsNumber="1" containsInteger="1" minValue="52897" maxValue="16908592"/>
    </cacheField>
    <cacheField name="AEA Statewide State Aid Reduction" numFmtId="3">
      <sharedItems containsSemiMixedTypes="0" containsString="0" containsNumber="1" containsInteger="1" minValue="6461" maxValue="1502984"/>
    </cacheField>
    <cacheField name="Total Budget" numFmtId="3">
      <sharedItems containsSemiMixedTypes="0" containsString="0" containsNumber="1" containsInteger="1" minValue="46436" maxValue="15405608"/>
    </cacheField>
    <cacheField name="State Aid Portion" numFmtId="3">
      <sharedItems containsSemiMixedTypes="0" containsString="0" containsNumber="1" containsInteger="1" minValue="26210" maxValue="8931431"/>
    </cacheField>
    <cacheField name="Property Tax Portion" numFmtId="3">
      <sharedItems containsSemiMixedTypes="0" containsString="0" containsNumber="1" containsInteger="1" minValue="20226" maxValue="647417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7">
  <r>
    <s v="01"/>
    <x v="0"/>
    <x v="0"/>
    <x v="0"/>
    <n v="134.33000000000001"/>
    <n v="1070.9000000000001"/>
    <n v="1205.23"/>
    <n v="3.38"/>
    <n v="158"/>
    <n v="1.2"/>
    <n v="1228"/>
    <n v="330.52"/>
    <n v="59.16"/>
    <n v="65.930000000000007"/>
    <n v="32.659999999999997"/>
    <n v="3.53"/>
    <n v="398353"/>
    <n v="1761"/>
    <n v="400114"/>
    <n v="72648"/>
    <n v="80962"/>
    <n v="1117"/>
    <n v="39502"/>
    <n v="4260"/>
    <n v="598603"/>
    <n v="73532"/>
    <n v="525071"/>
    <n v="272383"/>
    <n v="252688"/>
  </r>
  <r>
    <s v="01"/>
    <x v="0"/>
    <x v="1"/>
    <x v="1"/>
    <n v="56.59"/>
    <n v="425"/>
    <n v="481.59"/>
    <n v="1.35"/>
    <n v="1"/>
    <n v="0"/>
    <n v="426"/>
    <n v="330.52"/>
    <n v="59.16"/>
    <n v="65.930000000000007"/>
    <n v="32.659999999999997"/>
    <n v="3.53"/>
    <n v="159175"/>
    <n v="9821"/>
    <n v="168996"/>
    <n v="25202"/>
    <n v="28086"/>
    <n v="446"/>
    <n v="15729"/>
    <n v="1700"/>
    <n v="240159"/>
    <n v="29988"/>
    <n v="210171"/>
    <n v="108176"/>
    <n v="101995"/>
  </r>
  <r>
    <s v="01"/>
    <x v="0"/>
    <x v="2"/>
    <x v="2"/>
    <n v="72.760000000000005"/>
    <n v="594.6"/>
    <n v="667.36"/>
    <n v="1.87"/>
    <n v="54"/>
    <n v="2.8"/>
    <n v="646"/>
    <n v="330.52"/>
    <n v="59.16"/>
    <n v="65.930000000000007"/>
    <n v="32.659999999999997"/>
    <n v="3.53"/>
    <n v="220576"/>
    <n v="0"/>
    <n v="220576"/>
    <n v="38217"/>
    <n v="42591"/>
    <n v="618"/>
    <n v="21796"/>
    <n v="2356"/>
    <n v="326154"/>
    <n v="39375"/>
    <n v="286779"/>
    <n v="152085"/>
    <n v="134694"/>
  </r>
  <r>
    <s v="01"/>
    <x v="0"/>
    <x v="3"/>
    <x v="3"/>
    <n v="200.82"/>
    <n v="1547.5"/>
    <n v="1748.32"/>
    <n v="4.9000000000000004"/>
    <n v="136"/>
    <n v="1.8"/>
    <n v="1682"/>
    <n v="330.52"/>
    <n v="59.16"/>
    <n v="65.930000000000007"/>
    <n v="32.659999999999997"/>
    <n v="3.53"/>
    <n v="577855"/>
    <n v="1029"/>
    <n v="578884"/>
    <n v="99507"/>
    <n v="110894"/>
    <n v="1620"/>
    <n v="57152"/>
    <n v="6172"/>
    <n v="854229"/>
    <n v="93008"/>
    <n v="761221"/>
    <n v="408621"/>
    <n v="352600"/>
  </r>
  <r>
    <s v="01"/>
    <x v="0"/>
    <x v="4"/>
    <x v="4"/>
    <n v="1952.13"/>
    <n v="10309.799999999999"/>
    <n v="12261.93"/>
    <n v="34.369999999999997"/>
    <n v="1599"/>
    <n v="1.1000000000000001"/>
    <n v="11908"/>
    <n v="330.52"/>
    <n v="59.16"/>
    <n v="65.930000000000007"/>
    <n v="32.659999999999997"/>
    <n v="3.53"/>
    <n v="4052813"/>
    <n v="0"/>
    <n v="4052813"/>
    <n v="704477"/>
    <n v="785094"/>
    <n v="11360"/>
    <n v="400475"/>
    <n v="43285"/>
    <n v="5997504"/>
    <n v="514177"/>
    <n v="5483327"/>
    <n v="3003658"/>
    <n v="2479669"/>
  </r>
  <r>
    <s v="01"/>
    <x v="0"/>
    <x v="5"/>
    <x v="5"/>
    <n v="32.979999999999997"/>
    <n v="322"/>
    <n v="354.98"/>
    <n v="1"/>
    <n v="5"/>
    <n v="0"/>
    <n v="327"/>
    <n v="330.52"/>
    <n v="59.16"/>
    <n v="65.930000000000007"/>
    <n v="32.659999999999997"/>
    <n v="3.53"/>
    <n v="117328"/>
    <n v="10899"/>
    <n v="128227"/>
    <n v="19345"/>
    <n v="21559"/>
    <n v="331"/>
    <n v="11594"/>
    <n v="1253"/>
    <n v="182309"/>
    <n v="23749"/>
    <n v="158560"/>
    <n v="78093"/>
    <n v="80467"/>
  </r>
  <r>
    <s v="01"/>
    <x v="0"/>
    <x v="6"/>
    <x v="6"/>
    <n v="40.69"/>
    <n v="401"/>
    <n v="441.69"/>
    <n v="1.24"/>
    <n v="31"/>
    <n v="0"/>
    <n v="432"/>
    <n v="330.52"/>
    <n v="59.16"/>
    <n v="65.930000000000007"/>
    <n v="32.659999999999997"/>
    <n v="3.53"/>
    <n v="145987"/>
    <n v="356"/>
    <n v="146343"/>
    <n v="25557"/>
    <n v="28482"/>
    <n v="410"/>
    <n v="14448"/>
    <n v="1559"/>
    <n v="216799"/>
    <n v="27107"/>
    <n v="189692"/>
    <n v="99633"/>
    <n v="90059"/>
  </r>
  <r>
    <s v="01"/>
    <x v="0"/>
    <x v="7"/>
    <x v="7"/>
    <n v="189.28"/>
    <n v="1124.5"/>
    <n v="1313.78"/>
    <n v="3.68"/>
    <n v="166"/>
    <n v="1"/>
    <n v="1290"/>
    <n v="330.52"/>
    <n v="59.16"/>
    <n v="65.930000000000007"/>
    <n v="32.659999999999997"/>
    <n v="3.53"/>
    <n v="434231"/>
    <n v="0"/>
    <n v="434231"/>
    <n v="76316"/>
    <n v="85050"/>
    <n v="1216"/>
    <n v="42908"/>
    <n v="4638"/>
    <n v="644359"/>
    <n v="74965"/>
    <n v="569394"/>
    <n v="301946"/>
    <n v="267448"/>
  </r>
  <r>
    <s v="01"/>
    <x v="0"/>
    <x v="8"/>
    <x v="8"/>
    <n v="102.65"/>
    <n v="793.7"/>
    <n v="896.35"/>
    <n v="2.5099999999999998"/>
    <n v="0"/>
    <n v="0"/>
    <n v="794"/>
    <n v="330.52"/>
    <n v="59.16"/>
    <n v="65.930000000000007"/>
    <n v="32.659999999999997"/>
    <n v="3.53"/>
    <n v="296262"/>
    <n v="0"/>
    <n v="296262"/>
    <n v="46973"/>
    <n v="52348"/>
    <n v="830"/>
    <n v="29275"/>
    <n v="3164"/>
    <n v="428852"/>
    <n v="49021"/>
    <n v="379831"/>
    <n v="208133"/>
    <n v="171698"/>
  </r>
  <r>
    <s v="01"/>
    <x v="0"/>
    <x v="9"/>
    <x v="9"/>
    <n v="54.47"/>
    <n v="676.6"/>
    <n v="731.07"/>
    <n v="2.0499999999999998"/>
    <n v="24"/>
    <n v="0"/>
    <n v="701"/>
    <n v="330.52"/>
    <n v="59.16"/>
    <n v="65.930000000000007"/>
    <n v="32.659999999999997"/>
    <n v="3.53"/>
    <n v="241633"/>
    <n v="424"/>
    <n v="242057"/>
    <n v="41471"/>
    <n v="46217"/>
    <n v="678"/>
    <n v="23877"/>
    <n v="2581"/>
    <n v="356881"/>
    <n v="45215"/>
    <n v="311666"/>
    <n v="164523"/>
    <n v="147143"/>
  </r>
  <r>
    <s v="01"/>
    <x v="0"/>
    <x v="10"/>
    <x v="10"/>
    <n v="103.84"/>
    <n v="928.1"/>
    <n v="1031.94"/>
    <n v="2.89"/>
    <n v="104"/>
    <n v="0.8"/>
    <n v="1031"/>
    <n v="330.52"/>
    <n v="59.16"/>
    <n v="65.930000000000007"/>
    <n v="32.659999999999997"/>
    <n v="3.53"/>
    <n v="341077"/>
    <n v="0"/>
    <n v="341077"/>
    <n v="60994"/>
    <n v="67974"/>
    <n v="955"/>
    <n v="33703"/>
    <n v="3643"/>
    <n v="508346"/>
    <n v="58022"/>
    <n v="450324"/>
    <n v="238032"/>
    <n v="212292"/>
  </r>
  <r>
    <s v="01"/>
    <x v="0"/>
    <x v="11"/>
    <x v="11"/>
    <n v="181.17"/>
    <n v="1098.4000000000001"/>
    <n v="1279.57"/>
    <n v="3.59"/>
    <n v="4"/>
    <n v="0"/>
    <n v="1102"/>
    <n v="330.52"/>
    <n v="59.16"/>
    <n v="65.930000000000007"/>
    <n v="32.659999999999997"/>
    <n v="3.53"/>
    <n v="422923"/>
    <n v="14049"/>
    <n v="436972"/>
    <n v="65194"/>
    <n v="72655"/>
    <n v="1187"/>
    <n v="42075"/>
    <n v="4537"/>
    <n v="622620"/>
    <n v="80898"/>
    <n v="541722"/>
    <n v="286504"/>
    <n v="255218"/>
  </r>
  <r>
    <s v="01"/>
    <x v="0"/>
    <x v="12"/>
    <x v="12"/>
    <n v="252.78"/>
    <n v="1326.5"/>
    <n v="1579.28"/>
    <n v="4.41"/>
    <n v="5"/>
    <n v="0"/>
    <n v="1332"/>
    <n v="330.52"/>
    <n v="59.16"/>
    <n v="65.930000000000007"/>
    <n v="32.659999999999997"/>
    <n v="3.53"/>
    <n v="521984"/>
    <n v="0"/>
    <n v="521984"/>
    <n v="78801"/>
    <n v="87819"/>
    <n v="1458"/>
    <n v="51579"/>
    <n v="5575"/>
    <n v="747216"/>
    <n v="78419"/>
    <n v="668797"/>
    <n v="374658"/>
    <n v="294139"/>
  </r>
  <r>
    <s v="01"/>
    <x v="0"/>
    <x v="13"/>
    <x v="13"/>
    <n v="83.41"/>
    <n v="727.8"/>
    <n v="811.21"/>
    <n v="2.27"/>
    <n v="2"/>
    <n v="0"/>
    <n v="730"/>
    <n v="330.52"/>
    <n v="59.16"/>
    <n v="65.930000000000007"/>
    <n v="32.659999999999997"/>
    <n v="3.53"/>
    <n v="268121"/>
    <n v="7301"/>
    <n v="275422"/>
    <n v="43187"/>
    <n v="48129"/>
    <n v="750"/>
    <n v="27192"/>
    <n v="2932"/>
    <n v="397612"/>
    <n v="30686"/>
    <n v="366926"/>
    <n v="202808"/>
    <n v="164118"/>
  </r>
  <r>
    <s v="01"/>
    <x v="0"/>
    <x v="14"/>
    <x v="14"/>
    <n v="32.44"/>
    <n v="333.6"/>
    <n v="366.04"/>
    <n v="1.03"/>
    <n v="0"/>
    <n v="0"/>
    <n v="334"/>
    <n v="330.52"/>
    <n v="59.16"/>
    <n v="65.930000000000007"/>
    <n v="32.659999999999997"/>
    <n v="3.53"/>
    <n v="120984"/>
    <n v="0"/>
    <n v="120984"/>
    <n v="19759"/>
    <n v="22021"/>
    <n v="340"/>
    <n v="11955"/>
    <n v="1292"/>
    <n v="176351"/>
    <n v="21332"/>
    <n v="155019"/>
    <n v="83683"/>
    <n v="71336"/>
  </r>
  <r>
    <s v="01"/>
    <x v="0"/>
    <x v="15"/>
    <x v="15"/>
    <n v="110.32"/>
    <n v="507.1"/>
    <n v="617.41999999999996"/>
    <n v="1.73"/>
    <n v="174"/>
    <n v="2.1"/>
    <n v="679"/>
    <n v="330.52"/>
    <n v="59.16"/>
    <n v="65.930000000000007"/>
    <n v="32.659999999999997"/>
    <n v="3.53"/>
    <n v="204070"/>
    <n v="0"/>
    <n v="204070"/>
    <n v="40170"/>
    <n v="44766"/>
    <n v="572"/>
    <n v="20165"/>
    <n v="2179"/>
    <n v="311922"/>
    <n v="37693"/>
    <n v="274229"/>
    <n v="139439"/>
    <n v="134790"/>
  </r>
  <r>
    <s v="01"/>
    <x v="0"/>
    <x v="16"/>
    <x v="16"/>
    <n v="107.23"/>
    <n v="609.4"/>
    <n v="716.63"/>
    <n v="2.0099999999999998"/>
    <n v="0"/>
    <n v="0"/>
    <n v="609"/>
    <n v="330.52"/>
    <n v="59.16"/>
    <n v="65.930000000000007"/>
    <n v="32.659999999999997"/>
    <n v="3.53"/>
    <n v="236861"/>
    <n v="0"/>
    <n v="236861"/>
    <n v="36028"/>
    <n v="40151"/>
    <n v="664"/>
    <n v="23405"/>
    <n v="2530"/>
    <n v="339639"/>
    <n v="41746"/>
    <n v="297893"/>
    <n v="163849"/>
    <n v="134044"/>
  </r>
  <r>
    <s v="01"/>
    <x v="0"/>
    <x v="17"/>
    <x v="17"/>
    <n v="45.61"/>
    <n v="347.7"/>
    <n v="393.31"/>
    <n v="1.1000000000000001"/>
    <n v="52"/>
    <n v="0.4"/>
    <n v="399"/>
    <n v="330.52"/>
    <n v="59.16"/>
    <n v="65.930000000000007"/>
    <n v="32.659999999999997"/>
    <n v="3.53"/>
    <n v="129997"/>
    <n v="16757"/>
    <n v="146754"/>
    <n v="23605"/>
    <n v="26306"/>
    <n v="364"/>
    <n v="13204"/>
    <n v="1424"/>
    <n v="211657"/>
    <n v="29583"/>
    <n v="182074"/>
    <n v="83648"/>
    <n v="98426"/>
  </r>
  <r>
    <s v="01"/>
    <x v="0"/>
    <x v="18"/>
    <x v="18"/>
    <n v="36.89"/>
    <n v="262"/>
    <n v="298.89"/>
    <n v="0.84"/>
    <n v="0"/>
    <n v="0"/>
    <n v="262"/>
    <n v="330.52"/>
    <n v="59.16"/>
    <n v="65.930000000000007"/>
    <n v="32.659999999999997"/>
    <n v="3.53"/>
    <n v="98789"/>
    <n v="0"/>
    <n v="98789"/>
    <n v="15500"/>
    <n v="17274"/>
    <n v="278"/>
    <n v="9762"/>
    <n v="1055"/>
    <n v="142658"/>
    <n v="16863"/>
    <n v="125795"/>
    <n v="68887"/>
    <n v="56908"/>
  </r>
  <r>
    <s v="01"/>
    <x v="0"/>
    <x v="19"/>
    <x v="19"/>
    <n v="178.3"/>
    <n v="1399.3"/>
    <n v="1577.6"/>
    <n v="4.42"/>
    <n v="191"/>
    <n v="1"/>
    <n v="1589"/>
    <n v="330.52"/>
    <n v="59.16"/>
    <n v="65.930000000000007"/>
    <n v="32.659999999999997"/>
    <n v="3.53"/>
    <n v="521428"/>
    <n v="0"/>
    <n v="521428"/>
    <n v="94005"/>
    <n v="104763"/>
    <n v="1461"/>
    <n v="51524"/>
    <n v="5569"/>
    <n v="778750"/>
    <n v="90517"/>
    <n v="688233"/>
    <n v="362081"/>
    <n v="326152"/>
  </r>
  <r>
    <s v="01"/>
    <x v="0"/>
    <x v="20"/>
    <x v="20"/>
    <n v="414.11"/>
    <n v="3197.7"/>
    <n v="3611.81"/>
    <n v="10.119999999999999"/>
    <n v="1061"/>
    <n v="3.6"/>
    <n v="4255"/>
    <n v="330.52"/>
    <n v="59.16"/>
    <n v="65.930000000000007"/>
    <n v="32.659999999999997"/>
    <n v="3.53"/>
    <n v="1193775"/>
    <n v="0"/>
    <n v="1193775"/>
    <n v="251726"/>
    <n v="280532"/>
    <n v="3345"/>
    <n v="117962"/>
    <n v="12750"/>
    <n v="1860090"/>
    <n v="140594"/>
    <n v="1719496"/>
    <n v="895601"/>
    <n v="823895"/>
  </r>
  <r>
    <s v="05"/>
    <x v="1"/>
    <x v="21"/>
    <x v="21"/>
    <n v="30.1"/>
    <n v="215.7"/>
    <n v="245.8"/>
    <n v="0"/>
    <n v="1"/>
    <n v="0"/>
    <n v="217"/>
    <n v="326.27"/>
    <n v="59.24"/>
    <n v="66.400000000000006"/>
    <n v="34.619999999999997"/>
    <n v="4.12"/>
    <n v="80197"/>
    <n v="656"/>
    <n v="80853"/>
    <n v="12855"/>
    <n v="14409"/>
    <n v="0"/>
    <n v="8586"/>
    <n v="1022"/>
    <n v="117725"/>
    <n v="14109"/>
    <n v="103616"/>
    <n v="56949"/>
    <n v="46667"/>
  </r>
  <r>
    <s v="05"/>
    <x v="1"/>
    <x v="22"/>
    <x v="22"/>
    <n v="186.63"/>
    <n v="1282.4000000000001"/>
    <n v="1469.03"/>
    <n v="0"/>
    <n v="298"/>
    <n v="8.8000000000000007"/>
    <n v="1572"/>
    <n v="326.27"/>
    <n v="59.24"/>
    <n v="66.400000000000006"/>
    <n v="34.619999999999997"/>
    <n v="4.12"/>
    <n v="479300"/>
    <n v="0"/>
    <n v="479300"/>
    <n v="93125"/>
    <n v="104381"/>
    <n v="0"/>
    <n v="50858"/>
    <n v="6052"/>
    <n v="733716"/>
    <n v="83780"/>
    <n v="649936"/>
    <n v="340388"/>
    <n v="309548"/>
  </r>
  <r>
    <s v="05"/>
    <x v="1"/>
    <x v="23"/>
    <x v="23"/>
    <n v="78"/>
    <n v="826"/>
    <n v="904"/>
    <n v="0"/>
    <n v="12"/>
    <n v="0"/>
    <n v="838"/>
    <n v="326.27"/>
    <n v="59.24"/>
    <n v="66.400000000000006"/>
    <n v="34.619999999999997"/>
    <n v="4.12"/>
    <n v="294948"/>
    <n v="0"/>
    <n v="294948"/>
    <n v="49643"/>
    <n v="55643"/>
    <n v="0"/>
    <n v="31296"/>
    <n v="3724"/>
    <n v="435254"/>
    <n v="44685"/>
    <n v="390569"/>
    <n v="216335"/>
    <n v="174234"/>
  </r>
  <r>
    <s v="05"/>
    <x v="1"/>
    <x v="24"/>
    <x v="24"/>
    <n v="122.34"/>
    <n v="946.2"/>
    <n v="1068.54"/>
    <n v="0"/>
    <n v="3"/>
    <n v="0"/>
    <n v="949"/>
    <n v="326.27"/>
    <n v="59.24"/>
    <n v="66.400000000000006"/>
    <n v="34.619999999999997"/>
    <n v="4.12"/>
    <n v="348633"/>
    <n v="15"/>
    <n v="348648"/>
    <n v="56219"/>
    <n v="63014"/>
    <n v="0"/>
    <n v="37023"/>
    <n v="4406"/>
    <n v="509310"/>
    <n v="52020"/>
    <n v="457290"/>
    <n v="256544"/>
    <n v="200746"/>
  </r>
  <r>
    <s v="05"/>
    <x v="1"/>
    <x v="25"/>
    <x v="25"/>
    <n v="41.96"/>
    <n v="314"/>
    <n v="355.96"/>
    <n v="0"/>
    <n v="23"/>
    <n v="0"/>
    <n v="337"/>
    <n v="326.27"/>
    <n v="59.24"/>
    <n v="66.400000000000006"/>
    <n v="34.619999999999997"/>
    <n v="4.12"/>
    <n v="116139"/>
    <n v="8894"/>
    <n v="125033"/>
    <n v="19964"/>
    <n v="22377"/>
    <n v="0"/>
    <n v="12323"/>
    <n v="1467"/>
    <n v="181164"/>
    <n v="23296"/>
    <n v="157868"/>
    <n v="79484"/>
    <n v="78384"/>
  </r>
  <r>
    <s v="05"/>
    <x v="1"/>
    <x v="26"/>
    <x v="26"/>
    <n v="129.57"/>
    <n v="946.6"/>
    <n v="1076.17"/>
    <n v="0"/>
    <n v="2"/>
    <n v="0"/>
    <n v="949"/>
    <n v="326.27"/>
    <n v="59.24"/>
    <n v="66.400000000000006"/>
    <n v="34.619999999999997"/>
    <n v="4.12"/>
    <n v="351122"/>
    <n v="463"/>
    <n v="351585"/>
    <n v="56219"/>
    <n v="63014"/>
    <n v="0"/>
    <n v="37335"/>
    <n v="4444"/>
    <n v="512597"/>
    <n v="45100"/>
    <n v="467497"/>
    <n v="265722"/>
    <n v="201775"/>
  </r>
  <r>
    <s v="05"/>
    <x v="1"/>
    <x v="27"/>
    <x v="27"/>
    <n v="98.06"/>
    <n v="786.9"/>
    <n v="884.96"/>
    <n v="0"/>
    <n v="45"/>
    <n v="0"/>
    <n v="832"/>
    <n v="326.27"/>
    <n v="59.24"/>
    <n v="66.400000000000006"/>
    <n v="34.619999999999997"/>
    <n v="4.12"/>
    <n v="288736"/>
    <n v="9406"/>
    <n v="298142"/>
    <n v="49288"/>
    <n v="55245"/>
    <n v="0"/>
    <n v="30637"/>
    <n v="3646"/>
    <n v="436958"/>
    <n v="51797"/>
    <n v="385161"/>
    <n v="203726"/>
    <n v="181435"/>
  </r>
  <r>
    <s v="05"/>
    <x v="1"/>
    <x v="28"/>
    <x v="28"/>
    <n v="112.48"/>
    <n v="652.79999999999995"/>
    <n v="765.28"/>
    <n v="0"/>
    <n v="83"/>
    <n v="2.8"/>
    <n v="733"/>
    <n v="326.27"/>
    <n v="59.24"/>
    <n v="66.400000000000006"/>
    <n v="34.619999999999997"/>
    <n v="4.12"/>
    <n v="249688"/>
    <n v="5347"/>
    <n v="255035"/>
    <n v="43423"/>
    <n v="48671"/>
    <n v="0"/>
    <n v="26764"/>
    <n v="3185"/>
    <n v="377078"/>
    <n v="39116"/>
    <n v="337962"/>
    <n v="182153"/>
    <n v="155809"/>
  </r>
  <r>
    <s v="05"/>
    <x v="1"/>
    <x v="29"/>
    <x v="29"/>
    <n v="147.53"/>
    <n v="1228.4000000000001"/>
    <n v="1375.93"/>
    <n v="0"/>
    <n v="1"/>
    <n v="0"/>
    <n v="1229"/>
    <n v="326.27"/>
    <n v="59.24"/>
    <n v="66.400000000000006"/>
    <n v="34.619999999999997"/>
    <n v="4.12"/>
    <n v="448925"/>
    <n v="18089"/>
    <n v="467014"/>
    <n v="72806"/>
    <n v="81606"/>
    <n v="0"/>
    <n v="48428"/>
    <n v="5764"/>
    <n v="675618"/>
    <n v="70397"/>
    <n v="605221"/>
    <n v="327778"/>
    <n v="277443"/>
  </r>
  <r>
    <s v="05"/>
    <x v="1"/>
    <x v="30"/>
    <x v="30"/>
    <n v="675.87"/>
    <n v="3674.6"/>
    <n v="4350.47"/>
    <n v="0"/>
    <n v="582"/>
    <n v="3"/>
    <n v="4254"/>
    <n v="326.27"/>
    <n v="59.24"/>
    <n v="66.400000000000006"/>
    <n v="34.619999999999997"/>
    <n v="4.12"/>
    <n v="1419428"/>
    <n v="0"/>
    <n v="1419428"/>
    <n v="252007"/>
    <n v="282466"/>
    <n v="0"/>
    <n v="150613"/>
    <n v="17924"/>
    <n v="2122438"/>
    <n v="212765"/>
    <n v="1909673"/>
    <n v="1043390"/>
    <n v="866283"/>
  </r>
  <r>
    <s v="05"/>
    <x v="1"/>
    <x v="31"/>
    <x v="31"/>
    <n v="35.74"/>
    <n v="166"/>
    <n v="201.74"/>
    <n v="0"/>
    <n v="5"/>
    <n v="0"/>
    <n v="171"/>
    <n v="326.27"/>
    <n v="59.24"/>
    <n v="66.400000000000006"/>
    <n v="34.619999999999997"/>
    <n v="4.12"/>
    <n v="65822"/>
    <n v="0"/>
    <n v="65822"/>
    <n v="10130"/>
    <n v="11354"/>
    <n v="0"/>
    <n v="6984"/>
    <n v="831"/>
    <n v="95121"/>
    <n v="10845"/>
    <n v="84276"/>
    <n v="47405"/>
    <n v="36871"/>
  </r>
  <r>
    <s v="05"/>
    <x v="1"/>
    <x v="32"/>
    <x v="32"/>
    <n v="38.81"/>
    <n v="387"/>
    <n v="425.81"/>
    <n v="0"/>
    <n v="5"/>
    <n v="0"/>
    <n v="392"/>
    <n v="326.27"/>
    <n v="59.24"/>
    <n v="66.400000000000006"/>
    <n v="34.619999999999997"/>
    <n v="4.12"/>
    <n v="138929"/>
    <n v="0"/>
    <n v="138929"/>
    <n v="23222"/>
    <n v="26029"/>
    <n v="0"/>
    <n v="14742"/>
    <n v="1754"/>
    <n v="204676"/>
    <n v="23426"/>
    <n v="181250"/>
    <n v="99523"/>
    <n v="81727"/>
  </r>
  <r>
    <s v="05"/>
    <x v="1"/>
    <x v="33"/>
    <x v="33"/>
    <n v="176.15"/>
    <n v="1159.5999999999999"/>
    <n v="1335.75"/>
    <n v="0"/>
    <n v="0"/>
    <n v="0"/>
    <n v="1160"/>
    <n v="326.27"/>
    <n v="59.24"/>
    <n v="66.400000000000006"/>
    <n v="34.619999999999997"/>
    <n v="4.12"/>
    <n v="435815"/>
    <n v="2487"/>
    <n v="438302"/>
    <n v="68718"/>
    <n v="77024"/>
    <n v="0"/>
    <n v="46544"/>
    <n v="5540"/>
    <n v="636128"/>
    <n v="79359"/>
    <n v="556769"/>
    <n v="306663"/>
    <n v="250106"/>
  </r>
  <r>
    <s v="05"/>
    <x v="1"/>
    <x v="34"/>
    <x v="34"/>
    <n v="32.22"/>
    <n v="295"/>
    <n v="327.22000000000003"/>
    <n v="0"/>
    <n v="0"/>
    <n v="0"/>
    <n v="295"/>
    <n v="326.27"/>
    <n v="59.24"/>
    <n v="66.400000000000006"/>
    <n v="34.619999999999997"/>
    <n v="4.12"/>
    <n v="106762"/>
    <n v="0"/>
    <n v="106762"/>
    <n v="17476"/>
    <n v="19588"/>
    <n v="0"/>
    <n v="11328"/>
    <n v="1348"/>
    <n v="156502"/>
    <n v="15519"/>
    <n v="140983"/>
    <n v="78962"/>
    <n v="62021"/>
  </r>
  <r>
    <s v="05"/>
    <x v="1"/>
    <x v="35"/>
    <x v="35"/>
    <n v="136.05000000000001"/>
    <n v="1242.0999999999999"/>
    <n v="1378.15"/>
    <n v="0"/>
    <n v="108"/>
    <n v="1.8"/>
    <n v="1348"/>
    <n v="326.27"/>
    <n v="59.24"/>
    <n v="66.400000000000006"/>
    <n v="34.619999999999997"/>
    <n v="4.12"/>
    <n v="449649"/>
    <n v="0"/>
    <n v="449649"/>
    <n v="79856"/>
    <n v="89507"/>
    <n v="0"/>
    <n v="47712"/>
    <n v="5678"/>
    <n v="672402"/>
    <n v="61988"/>
    <n v="610414"/>
    <n v="335940"/>
    <n v="274474"/>
  </r>
  <r>
    <s v="05"/>
    <x v="1"/>
    <x v="36"/>
    <x v="36"/>
    <n v="48.82"/>
    <n v="268"/>
    <n v="316.82"/>
    <n v="0"/>
    <n v="2"/>
    <n v="0"/>
    <n v="270"/>
    <n v="326.27"/>
    <n v="59.24"/>
    <n v="66.400000000000006"/>
    <n v="34.619999999999997"/>
    <n v="4.12"/>
    <n v="103369"/>
    <n v="8896"/>
    <n v="112265"/>
    <n v="15995"/>
    <n v="17928"/>
    <n v="0"/>
    <n v="10968"/>
    <n v="1305"/>
    <n v="158461"/>
    <n v="21809"/>
    <n v="136652"/>
    <n v="69669"/>
    <n v="66983"/>
  </r>
  <r>
    <s v="05"/>
    <x v="1"/>
    <x v="37"/>
    <x v="37"/>
    <n v="23.93"/>
    <n v="158.30000000000001"/>
    <n v="182.23"/>
    <n v="0"/>
    <n v="22"/>
    <n v="0"/>
    <n v="180"/>
    <n v="326.27"/>
    <n v="59.24"/>
    <n v="66.400000000000006"/>
    <n v="34.619999999999997"/>
    <n v="4.12"/>
    <n v="59456"/>
    <n v="0"/>
    <n v="59456"/>
    <n v="10663"/>
    <n v="11952"/>
    <n v="0"/>
    <n v="6309"/>
    <n v="751"/>
    <n v="89131"/>
    <n v="16136"/>
    <n v="72995"/>
    <n v="36482"/>
    <n v="36513"/>
  </r>
  <r>
    <s v="05"/>
    <x v="1"/>
    <x v="38"/>
    <x v="38"/>
    <n v="61.27"/>
    <n v="652"/>
    <n v="713.27"/>
    <n v="0"/>
    <n v="50"/>
    <n v="0"/>
    <n v="702"/>
    <n v="326.27"/>
    <n v="59.24"/>
    <n v="66.400000000000006"/>
    <n v="34.619999999999997"/>
    <n v="4.12"/>
    <n v="232719"/>
    <n v="0"/>
    <n v="232719"/>
    <n v="41586"/>
    <n v="46613"/>
    <n v="0"/>
    <n v="24693"/>
    <n v="2939"/>
    <n v="348550"/>
    <n v="38009"/>
    <n v="310541"/>
    <n v="167941"/>
    <n v="142600"/>
  </r>
  <r>
    <s v="05"/>
    <x v="1"/>
    <x v="39"/>
    <x v="39"/>
    <n v="36.85"/>
    <n v="469.2"/>
    <n v="506.05"/>
    <n v="0"/>
    <n v="6"/>
    <n v="0"/>
    <n v="475"/>
    <n v="326.27"/>
    <n v="59.24"/>
    <n v="66.400000000000006"/>
    <n v="34.619999999999997"/>
    <n v="4.12"/>
    <n v="165109"/>
    <n v="0"/>
    <n v="165109"/>
    <n v="28139"/>
    <n v="31540"/>
    <n v="0"/>
    <n v="17519"/>
    <n v="2085"/>
    <n v="244392"/>
    <n v="22754"/>
    <n v="221638"/>
    <n v="123363"/>
    <n v="98275"/>
  </r>
  <r>
    <s v="05"/>
    <x v="1"/>
    <x v="40"/>
    <x v="40"/>
    <n v="43.48"/>
    <n v="265.8"/>
    <n v="309.27999999999997"/>
    <n v="0"/>
    <n v="36"/>
    <n v="0"/>
    <n v="302"/>
    <n v="326.27"/>
    <n v="59.24"/>
    <n v="66.400000000000006"/>
    <n v="34.619999999999997"/>
    <n v="4.12"/>
    <n v="100909"/>
    <n v="8112"/>
    <n v="109021"/>
    <n v="17890"/>
    <n v="20053"/>
    <n v="0"/>
    <n v="10876"/>
    <n v="1294"/>
    <n v="159134"/>
    <n v="21324"/>
    <n v="137810"/>
    <n v="68166"/>
    <n v="69644"/>
  </r>
  <r>
    <s v="05"/>
    <x v="1"/>
    <x v="41"/>
    <x v="41"/>
    <n v="65.790000000000006"/>
    <n v="401"/>
    <n v="466.79"/>
    <n v="0"/>
    <n v="13"/>
    <n v="0"/>
    <n v="414"/>
    <n v="326.27"/>
    <n v="59.24"/>
    <n v="66.400000000000006"/>
    <n v="34.619999999999997"/>
    <n v="4.12"/>
    <n v="152300"/>
    <n v="17935"/>
    <n v="170235"/>
    <n v="24525"/>
    <n v="27490"/>
    <n v="0"/>
    <n v="16160"/>
    <n v="1923"/>
    <n v="240333"/>
    <n v="31389"/>
    <n v="208944"/>
    <n v="103392"/>
    <n v="105552"/>
  </r>
  <r>
    <s v="05"/>
    <x v="1"/>
    <x v="42"/>
    <x v="42"/>
    <n v="118.06"/>
    <n v="1033"/>
    <n v="1151.06"/>
    <n v="0"/>
    <n v="6"/>
    <n v="0"/>
    <n v="1039"/>
    <n v="326.27"/>
    <n v="59.24"/>
    <n v="66.400000000000006"/>
    <n v="34.619999999999997"/>
    <n v="4.12"/>
    <n v="375556"/>
    <n v="0"/>
    <n v="375556"/>
    <n v="61550"/>
    <n v="68990"/>
    <n v="0"/>
    <n v="39850"/>
    <n v="4742"/>
    <n v="550688"/>
    <n v="46312"/>
    <n v="504376"/>
    <n v="286045"/>
    <n v="218331"/>
  </r>
  <r>
    <s v="05"/>
    <x v="1"/>
    <x v="43"/>
    <x v="43"/>
    <n v="17.03"/>
    <n v="204"/>
    <n v="221.03"/>
    <n v="0"/>
    <n v="0"/>
    <n v="0"/>
    <n v="204"/>
    <n v="326.27"/>
    <n v="59.24"/>
    <n v="66.400000000000006"/>
    <n v="34.619999999999997"/>
    <n v="4.12"/>
    <n v="72115"/>
    <n v="0"/>
    <n v="72115"/>
    <n v="12085"/>
    <n v="13546"/>
    <n v="0"/>
    <n v="7652"/>
    <n v="911"/>
    <n v="106309"/>
    <n v="10377"/>
    <n v="95932"/>
    <n v="53444"/>
    <n v="42488"/>
  </r>
  <r>
    <s v="05"/>
    <x v="1"/>
    <x v="44"/>
    <x v="44"/>
    <n v="86.93"/>
    <n v="660.1"/>
    <n v="747.03"/>
    <n v="0"/>
    <n v="72"/>
    <n v="6.1"/>
    <n v="726"/>
    <n v="326.27"/>
    <n v="59.24"/>
    <n v="66.400000000000006"/>
    <n v="34.619999999999997"/>
    <n v="4.12"/>
    <n v="243733"/>
    <n v="22314"/>
    <n v="266047"/>
    <n v="43008"/>
    <n v="48206"/>
    <n v="0"/>
    <n v="25862"/>
    <n v="3078"/>
    <n v="386201"/>
    <n v="52222"/>
    <n v="333979"/>
    <n v="163476"/>
    <n v="170503"/>
  </r>
  <r>
    <s v="05"/>
    <x v="1"/>
    <x v="45"/>
    <x v="45"/>
    <n v="66.78"/>
    <n v="575.70000000000005"/>
    <n v="642.48"/>
    <n v="0"/>
    <n v="23"/>
    <n v="0"/>
    <n v="599"/>
    <n v="326.27"/>
    <n v="59.24"/>
    <n v="66.400000000000006"/>
    <n v="34.619999999999997"/>
    <n v="4.12"/>
    <n v="209622"/>
    <n v="0"/>
    <n v="209622"/>
    <n v="35485"/>
    <n v="39774"/>
    <n v="0"/>
    <n v="22243"/>
    <n v="2647"/>
    <n v="309771"/>
    <n v="38887"/>
    <n v="270884"/>
    <n v="146623"/>
    <n v="124261"/>
  </r>
  <r>
    <s v="05"/>
    <x v="1"/>
    <x v="46"/>
    <x v="46"/>
    <n v="41.04"/>
    <n v="224"/>
    <n v="265.04000000000002"/>
    <n v="0"/>
    <n v="13"/>
    <n v="0"/>
    <n v="237"/>
    <n v="326.27"/>
    <n v="59.24"/>
    <n v="66.400000000000006"/>
    <n v="34.619999999999997"/>
    <n v="4.12"/>
    <n v="86475"/>
    <n v="0"/>
    <n v="86475"/>
    <n v="14040"/>
    <n v="15737"/>
    <n v="0"/>
    <n v="9176"/>
    <n v="1092"/>
    <n v="126520"/>
    <n v="13144"/>
    <n v="113376"/>
    <n v="63384"/>
    <n v="49992"/>
  </r>
  <r>
    <s v="05"/>
    <x v="1"/>
    <x v="47"/>
    <x v="47"/>
    <n v="53.07"/>
    <n v="370"/>
    <n v="423.07"/>
    <n v="0"/>
    <n v="14"/>
    <n v="0"/>
    <n v="384"/>
    <n v="326.27"/>
    <n v="59.24"/>
    <n v="66.400000000000006"/>
    <n v="34.619999999999997"/>
    <n v="4.12"/>
    <n v="138035"/>
    <n v="0"/>
    <n v="138035"/>
    <n v="22748"/>
    <n v="25498"/>
    <n v="0"/>
    <n v="14647"/>
    <n v="1743"/>
    <n v="202671"/>
    <n v="23788"/>
    <n v="178883"/>
    <n v="98370"/>
    <n v="80513"/>
  </r>
  <r>
    <s v="05"/>
    <x v="1"/>
    <x v="48"/>
    <x v="48"/>
    <n v="56.94"/>
    <n v="463.1"/>
    <n v="520.04"/>
    <n v="0"/>
    <n v="5"/>
    <n v="0"/>
    <n v="468"/>
    <n v="326.27"/>
    <n v="59.24"/>
    <n v="66.400000000000006"/>
    <n v="34.619999999999997"/>
    <n v="4.12"/>
    <n v="169673"/>
    <n v="4712"/>
    <n v="174385"/>
    <n v="27724"/>
    <n v="31075"/>
    <n v="0"/>
    <n v="18518"/>
    <n v="2204"/>
    <n v="253906"/>
    <n v="29208"/>
    <n v="224698"/>
    <n v="121524"/>
    <n v="103174"/>
  </r>
  <r>
    <s v="05"/>
    <x v="1"/>
    <x v="49"/>
    <x v="49"/>
    <n v="114.06"/>
    <n v="930.9"/>
    <n v="1044.96"/>
    <n v="0"/>
    <n v="26"/>
    <n v="0"/>
    <n v="957"/>
    <n v="326.27"/>
    <n v="59.24"/>
    <n v="66.400000000000006"/>
    <n v="34.619999999999997"/>
    <n v="4.12"/>
    <n v="340939"/>
    <n v="0"/>
    <n v="340939"/>
    <n v="56693"/>
    <n v="63545"/>
    <n v="0"/>
    <n v="36177"/>
    <n v="4305"/>
    <n v="501659"/>
    <n v="55190"/>
    <n v="446469"/>
    <n v="246532"/>
    <n v="199937"/>
  </r>
  <r>
    <s v="05"/>
    <x v="1"/>
    <x v="50"/>
    <x v="50"/>
    <n v="55.83"/>
    <n v="620.6"/>
    <n v="676.43"/>
    <n v="0"/>
    <n v="0"/>
    <n v="0"/>
    <n v="621"/>
    <n v="326.27"/>
    <n v="59.24"/>
    <n v="66.400000000000006"/>
    <n v="34.619999999999997"/>
    <n v="4.12"/>
    <n v="220699"/>
    <n v="4630"/>
    <n v="225329"/>
    <n v="36788"/>
    <n v="41234"/>
    <n v="0"/>
    <n v="23928"/>
    <n v="2848"/>
    <n v="330127"/>
    <n v="35146"/>
    <n v="294981"/>
    <n v="160738"/>
    <n v="134243"/>
  </r>
  <r>
    <s v="05"/>
    <x v="1"/>
    <x v="51"/>
    <x v="51"/>
    <n v="72.92"/>
    <n v="524.1"/>
    <n v="597.02"/>
    <n v="0"/>
    <n v="0"/>
    <n v="0"/>
    <n v="524"/>
    <n v="326.27"/>
    <n v="59.24"/>
    <n v="66.400000000000006"/>
    <n v="34.619999999999997"/>
    <n v="4.12"/>
    <n v="194790"/>
    <n v="9309"/>
    <n v="204099"/>
    <n v="31042"/>
    <n v="34794"/>
    <n v="0"/>
    <n v="20765"/>
    <n v="2471"/>
    <n v="293171"/>
    <n v="32474"/>
    <n v="260697"/>
    <n v="140017"/>
    <n v="120680"/>
  </r>
  <r>
    <s v="05"/>
    <x v="1"/>
    <x v="52"/>
    <x v="52"/>
    <n v="363.68"/>
    <n v="1968.6"/>
    <n v="2332.2800000000002"/>
    <n v="0"/>
    <n v="188"/>
    <n v="0.3"/>
    <n v="2156"/>
    <n v="326.27"/>
    <n v="59.24"/>
    <n v="66.400000000000006"/>
    <n v="34.619999999999997"/>
    <n v="4.12"/>
    <n v="760953"/>
    <n v="0"/>
    <n v="760953"/>
    <n v="127721"/>
    <n v="143158"/>
    <n v="0"/>
    <n v="80744"/>
    <n v="9609"/>
    <n v="1122185"/>
    <n v="101066"/>
    <n v="1021119"/>
    <n v="572357"/>
    <n v="448762"/>
  </r>
  <r>
    <s v="05"/>
    <x v="1"/>
    <x v="53"/>
    <x v="53"/>
    <n v="126.35"/>
    <n v="1162"/>
    <n v="1288.3499999999999"/>
    <n v="0"/>
    <n v="2"/>
    <n v="0"/>
    <n v="1164"/>
    <n v="326.27"/>
    <n v="59.24"/>
    <n v="66.400000000000006"/>
    <n v="34.619999999999997"/>
    <n v="4.12"/>
    <n v="420350"/>
    <n v="0"/>
    <n v="420350"/>
    <n v="68955"/>
    <n v="77290"/>
    <n v="0"/>
    <n v="44603"/>
    <n v="5308"/>
    <n v="616506"/>
    <n v="56032"/>
    <n v="560474"/>
    <n v="315967"/>
    <n v="244507"/>
  </r>
  <r>
    <s v="05"/>
    <x v="1"/>
    <x v="54"/>
    <x v="54"/>
    <n v="314.22000000000003"/>
    <n v="2603.6"/>
    <n v="2917.82"/>
    <n v="0"/>
    <n v="195"/>
    <n v="4.0999999999999996"/>
    <n v="2795"/>
    <n v="326.27"/>
    <n v="59.24"/>
    <n v="66.400000000000006"/>
    <n v="34.619999999999997"/>
    <n v="4.12"/>
    <n v="951997"/>
    <n v="0"/>
    <n v="951997"/>
    <n v="165576"/>
    <n v="185588"/>
    <n v="0"/>
    <n v="101015"/>
    <n v="12021"/>
    <n v="1416197"/>
    <n v="89007"/>
    <n v="1327190"/>
    <n v="753484"/>
    <n v="573706"/>
  </r>
  <r>
    <s v="05"/>
    <x v="1"/>
    <x v="55"/>
    <x v="55"/>
    <n v="19.36"/>
    <n v="128.69999999999999"/>
    <n v="148.06"/>
    <n v="0"/>
    <n v="4"/>
    <n v="0"/>
    <n v="133"/>
    <n v="326.27"/>
    <n v="59.24"/>
    <n v="66.400000000000006"/>
    <n v="34.619999999999997"/>
    <n v="4.12"/>
    <n v="48308"/>
    <n v="15203"/>
    <n v="63511"/>
    <n v="7879"/>
    <n v="8831"/>
    <n v="0"/>
    <n v="5527"/>
    <n v="658"/>
    <n v="86406"/>
    <n v="10017"/>
    <n v="76389"/>
    <n v="33183"/>
    <n v="43206"/>
  </r>
  <r>
    <s v="05"/>
    <x v="1"/>
    <x v="56"/>
    <x v="56"/>
    <n v="27.75"/>
    <n v="159"/>
    <n v="186.75"/>
    <n v="0"/>
    <n v="13"/>
    <n v="0"/>
    <n v="172"/>
    <n v="326.27"/>
    <n v="59.24"/>
    <n v="66.400000000000006"/>
    <n v="34.619999999999997"/>
    <n v="4.12"/>
    <n v="60931"/>
    <n v="0"/>
    <n v="60931"/>
    <n v="10189"/>
    <n v="11421"/>
    <n v="0"/>
    <n v="6465"/>
    <n v="769"/>
    <n v="89775"/>
    <n v="11565"/>
    <n v="78210"/>
    <n v="42357"/>
    <n v="35853"/>
  </r>
  <r>
    <s v="05"/>
    <x v="1"/>
    <x v="57"/>
    <x v="57"/>
    <n v="203.68"/>
    <n v="1740"/>
    <n v="1943.68"/>
    <n v="0"/>
    <n v="78"/>
    <n v="0"/>
    <n v="1818"/>
    <n v="326.27"/>
    <n v="59.24"/>
    <n v="66.400000000000006"/>
    <n v="34.619999999999997"/>
    <n v="4.12"/>
    <n v="634164"/>
    <n v="0"/>
    <n v="634164"/>
    <n v="107698"/>
    <n v="120715"/>
    <n v="0"/>
    <n v="67290"/>
    <n v="8008"/>
    <n v="937875"/>
    <n v="94005"/>
    <n v="843870"/>
    <n v="467213"/>
    <n v="376657"/>
  </r>
  <r>
    <s v="05"/>
    <x v="1"/>
    <x v="58"/>
    <x v="58"/>
    <n v="37.799999999999997"/>
    <n v="307"/>
    <n v="344.8"/>
    <n v="0"/>
    <n v="27"/>
    <n v="0"/>
    <n v="334"/>
    <n v="326.27"/>
    <n v="59.24"/>
    <n v="66.400000000000006"/>
    <n v="34.619999999999997"/>
    <n v="4.12"/>
    <n v="112498"/>
    <n v="3481"/>
    <n v="115979"/>
    <n v="19786"/>
    <n v="22178"/>
    <n v="0"/>
    <n v="11937"/>
    <n v="1421"/>
    <n v="171301"/>
    <n v="19619"/>
    <n v="151682"/>
    <n v="79939"/>
    <n v="71743"/>
  </r>
  <r>
    <s v="07"/>
    <x v="2"/>
    <x v="59"/>
    <x v="59"/>
    <n v="95.38"/>
    <n v="676.2"/>
    <n v="771.58"/>
    <n v="1.03"/>
    <n v="17"/>
    <n v="0"/>
    <n v="693"/>
    <n v="319.64"/>
    <n v="59.19"/>
    <n v="66.02"/>
    <n v="39.89"/>
    <n v="4.59"/>
    <n v="246628"/>
    <n v="0"/>
    <n v="246628"/>
    <n v="41019"/>
    <n v="45752"/>
    <n v="329"/>
    <n v="30778"/>
    <n v="3542"/>
    <n v="368048"/>
    <n v="41289"/>
    <n v="326759"/>
    <n v="186184"/>
    <n v="140575"/>
  </r>
  <r>
    <s v="07"/>
    <x v="2"/>
    <x v="60"/>
    <x v="60"/>
    <n v="25.84"/>
    <n v="253.3"/>
    <n v="279.14"/>
    <n v="0.37"/>
    <n v="0"/>
    <n v="0"/>
    <n v="253"/>
    <n v="319.64"/>
    <n v="59.19"/>
    <n v="66.02"/>
    <n v="39.89"/>
    <n v="4.59"/>
    <n v="89224"/>
    <n v="2253"/>
    <n v="91477"/>
    <n v="14975"/>
    <n v="16703"/>
    <n v="118"/>
    <n v="11356"/>
    <n v="1306"/>
    <n v="135935"/>
    <n v="14957"/>
    <n v="120978"/>
    <n v="67583"/>
    <n v="53395"/>
  </r>
  <r>
    <s v="07"/>
    <x v="2"/>
    <x v="61"/>
    <x v="61"/>
    <n v="109.54"/>
    <n v="795.2"/>
    <n v="904.74"/>
    <n v="1.2"/>
    <n v="30"/>
    <n v="0"/>
    <n v="825"/>
    <n v="319.64"/>
    <n v="59.19"/>
    <n v="66.02"/>
    <n v="39.89"/>
    <n v="4.59"/>
    <n v="289191"/>
    <n v="0"/>
    <n v="289191"/>
    <n v="48832"/>
    <n v="54467"/>
    <n v="384"/>
    <n v="36090"/>
    <n v="4153"/>
    <n v="433117"/>
    <n v="39100"/>
    <n v="394017"/>
    <n v="227628"/>
    <n v="166389"/>
  </r>
  <r>
    <s v="07"/>
    <x v="2"/>
    <x v="62"/>
    <x v="62"/>
    <n v="65.47"/>
    <n v="492.1"/>
    <n v="557.57000000000005"/>
    <n v="0.74"/>
    <n v="4"/>
    <n v="0"/>
    <n v="496"/>
    <n v="319.64"/>
    <n v="59.19"/>
    <n v="66.02"/>
    <n v="39.89"/>
    <n v="4.59"/>
    <n v="178222"/>
    <n v="8290"/>
    <n v="186512"/>
    <n v="29358"/>
    <n v="32746"/>
    <n v="237"/>
    <n v="22598"/>
    <n v="2599"/>
    <n v="274050"/>
    <n v="29783"/>
    <n v="244267"/>
    <n v="134992"/>
    <n v="109275"/>
  </r>
  <r>
    <s v="07"/>
    <x v="2"/>
    <x v="63"/>
    <x v="63"/>
    <n v="100.39"/>
    <n v="766"/>
    <n v="866.39"/>
    <n v="1.1499999999999999"/>
    <n v="1"/>
    <n v="0"/>
    <n v="767"/>
    <n v="319.64"/>
    <n v="59.19"/>
    <n v="66.02"/>
    <n v="39.89"/>
    <n v="4.59"/>
    <n v="276933"/>
    <n v="0"/>
    <n v="276933"/>
    <n v="45399"/>
    <n v="50637"/>
    <n v="368"/>
    <n v="34560"/>
    <n v="3977"/>
    <n v="411874"/>
    <n v="39506"/>
    <n v="372368"/>
    <n v="215916"/>
    <n v="156452"/>
  </r>
  <r>
    <s v="07"/>
    <x v="2"/>
    <x v="64"/>
    <x v="64"/>
    <n v="63.93"/>
    <n v="536.70000000000005"/>
    <n v="600.63"/>
    <n v="0.8"/>
    <n v="0"/>
    <n v="0"/>
    <n v="537"/>
    <n v="319.64"/>
    <n v="59.19"/>
    <n v="66.02"/>
    <n v="39.89"/>
    <n v="4.59"/>
    <n v="191985"/>
    <n v="0"/>
    <n v="191985"/>
    <n v="31785"/>
    <n v="35453"/>
    <n v="256"/>
    <n v="23959"/>
    <n v="2757"/>
    <n v="286195"/>
    <n v="29369"/>
    <n v="256826"/>
    <n v="147705"/>
    <n v="109121"/>
  </r>
  <r>
    <s v="07"/>
    <x v="2"/>
    <x v="65"/>
    <x v="65"/>
    <n v="28.93"/>
    <n v="248.8"/>
    <n v="277.73"/>
    <n v="0.37"/>
    <n v="19"/>
    <n v="0.5"/>
    <n v="267"/>
    <n v="319.64"/>
    <n v="59.19"/>
    <n v="66.02"/>
    <n v="39.89"/>
    <n v="4.59"/>
    <n v="88774"/>
    <n v="4424"/>
    <n v="93198"/>
    <n v="15804"/>
    <n v="17627"/>
    <n v="118"/>
    <n v="11284"/>
    <n v="1298"/>
    <n v="139329"/>
    <n v="14140"/>
    <n v="125189"/>
    <n v="67967"/>
    <n v="57222"/>
  </r>
  <r>
    <s v="07"/>
    <x v="2"/>
    <x v="66"/>
    <x v="66"/>
    <n v="760.49"/>
    <n v="5456.4"/>
    <n v="6216.89"/>
    <n v="8.2799999999999994"/>
    <n v="282"/>
    <n v="1.9"/>
    <n v="5737"/>
    <n v="319.64"/>
    <n v="59.19"/>
    <n v="66.02"/>
    <n v="39.89"/>
    <n v="4.59"/>
    <n v="1987167"/>
    <n v="0"/>
    <n v="1987167"/>
    <n v="339573"/>
    <n v="378757"/>
    <n v="2647"/>
    <n v="247992"/>
    <n v="28536"/>
    <n v="2984672"/>
    <n v="198163"/>
    <n v="2786509"/>
    <n v="1634658"/>
    <n v="1151851"/>
  </r>
  <r>
    <s v="07"/>
    <x v="2"/>
    <x v="67"/>
    <x v="67"/>
    <n v="112.96"/>
    <n v="771.1"/>
    <n v="884.06"/>
    <n v="1.18"/>
    <n v="37"/>
    <n v="0"/>
    <n v="808"/>
    <n v="319.64"/>
    <n v="59.19"/>
    <n v="66.02"/>
    <n v="39.89"/>
    <n v="4.59"/>
    <n v="282581"/>
    <n v="0"/>
    <n v="282581"/>
    <n v="47826"/>
    <n v="53344"/>
    <n v="377"/>
    <n v="35265"/>
    <n v="4058"/>
    <n v="423451"/>
    <n v="46457"/>
    <n v="376994"/>
    <n v="214176"/>
    <n v="162818"/>
  </r>
  <r>
    <s v="07"/>
    <x v="2"/>
    <x v="68"/>
    <x v="68"/>
    <n v="289.48"/>
    <n v="1563.1"/>
    <n v="1852.58"/>
    <n v="2.4700000000000002"/>
    <n v="147"/>
    <n v="5.4"/>
    <n v="1705"/>
    <n v="319.64"/>
    <n v="59.19"/>
    <n v="66.02"/>
    <n v="39.89"/>
    <n v="4.59"/>
    <n v="592159"/>
    <n v="0"/>
    <n v="592159"/>
    <n v="100919"/>
    <n v="112564"/>
    <n v="790"/>
    <n v="73899"/>
    <n v="8503"/>
    <n v="888834"/>
    <n v="82982"/>
    <n v="805852"/>
    <n v="463183"/>
    <n v="342669"/>
  </r>
  <r>
    <s v="07"/>
    <x v="2"/>
    <x v="69"/>
    <x v="69"/>
    <n v="33.15"/>
    <n v="299.60000000000002"/>
    <n v="332.75"/>
    <n v="0.44"/>
    <n v="2"/>
    <n v="0"/>
    <n v="302"/>
    <n v="319.64"/>
    <n v="59.19"/>
    <n v="66.02"/>
    <n v="39.89"/>
    <n v="4.59"/>
    <n v="106360"/>
    <n v="11434"/>
    <n v="117794"/>
    <n v="17875"/>
    <n v="19938"/>
    <n v="141"/>
    <n v="13273"/>
    <n v="1527"/>
    <n v="170548"/>
    <n v="18545"/>
    <n v="152003"/>
    <n v="79553"/>
    <n v="72450"/>
  </r>
  <r>
    <s v="07"/>
    <x v="2"/>
    <x v="70"/>
    <x v="70"/>
    <n v="182.84"/>
    <n v="1216.5"/>
    <n v="1399.34"/>
    <n v="1.86"/>
    <n v="60"/>
    <n v="0"/>
    <n v="1277"/>
    <n v="319.64"/>
    <n v="59.19"/>
    <n v="66.02"/>
    <n v="39.89"/>
    <n v="4.59"/>
    <n v="447285"/>
    <n v="8140"/>
    <n v="455425"/>
    <n v="75586"/>
    <n v="84308"/>
    <n v="595"/>
    <n v="57076"/>
    <n v="6564"/>
    <n v="679554"/>
    <n v="69828"/>
    <n v="609726"/>
    <n v="344112"/>
    <n v="265614"/>
  </r>
  <r>
    <s v="07"/>
    <x v="2"/>
    <x v="71"/>
    <x v="71"/>
    <n v="75.040000000000006"/>
    <n v="846.1"/>
    <n v="921.14"/>
    <n v="1.23"/>
    <n v="5"/>
    <n v="0"/>
    <n v="851"/>
    <n v="319.64"/>
    <n v="59.19"/>
    <n v="66.02"/>
    <n v="39.89"/>
    <n v="4.59"/>
    <n v="294433"/>
    <n v="0"/>
    <n v="294433"/>
    <n v="50371"/>
    <n v="56183"/>
    <n v="393"/>
    <n v="36744"/>
    <n v="4228"/>
    <n v="442352"/>
    <n v="32842"/>
    <n v="409510"/>
    <n v="238723"/>
    <n v="170787"/>
  </r>
  <r>
    <s v="07"/>
    <x v="2"/>
    <x v="72"/>
    <x v="72"/>
    <n v="112.96"/>
    <n v="868.7"/>
    <n v="981.66"/>
    <n v="1.31"/>
    <n v="9"/>
    <n v="0"/>
    <n v="878"/>
    <n v="319.64"/>
    <n v="59.19"/>
    <n v="66.02"/>
    <n v="39.89"/>
    <n v="4.59"/>
    <n v="313778"/>
    <n v="0"/>
    <n v="313778"/>
    <n v="51969"/>
    <n v="57966"/>
    <n v="419"/>
    <n v="39158"/>
    <n v="4506"/>
    <n v="467796"/>
    <n v="36304"/>
    <n v="431492"/>
    <n v="253103"/>
    <n v="178389"/>
  </r>
  <r>
    <s v="07"/>
    <x v="2"/>
    <x v="73"/>
    <x v="73"/>
    <n v="44.89"/>
    <n v="378.5"/>
    <n v="423.39"/>
    <n v="0.56000000000000005"/>
    <n v="13"/>
    <n v="0"/>
    <n v="392"/>
    <n v="319.64"/>
    <n v="59.19"/>
    <n v="66.02"/>
    <n v="39.89"/>
    <n v="4.59"/>
    <n v="135332"/>
    <n v="18350"/>
    <n v="153682"/>
    <n v="23202"/>
    <n v="25880"/>
    <n v="179"/>
    <n v="16889"/>
    <n v="1943"/>
    <n v="221775"/>
    <n v="22973"/>
    <n v="198802"/>
    <n v="101847"/>
    <n v="96955"/>
  </r>
  <r>
    <s v="07"/>
    <x v="2"/>
    <x v="74"/>
    <x v="74"/>
    <n v="92.42"/>
    <n v="553.4"/>
    <n v="645.82000000000005"/>
    <n v="0.86"/>
    <n v="4"/>
    <n v="0"/>
    <n v="557"/>
    <n v="319.64"/>
    <n v="59.19"/>
    <n v="66.02"/>
    <n v="39.89"/>
    <n v="4.59"/>
    <n v="206430"/>
    <n v="0"/>
    <n v="206430"/>
    <n v="32969"/>
    <n v="36773"/>
    <n v="275"/>
    <n v="25762"/>
    <n v="2964"/>
    <n v="305173"/>
    <n v="28849"/>
    <n v="276324"/>
    <n v="161547"/>
    <n v="114777"/>
  </r>
  <r>
    <s v="07"/>
    <x v="2"/>
    <x v="75"/>
    <x v="75"/>
    <n v="63.21"/>
    <n v="576.29999999999995"/>
    <n v="639.51"/>
    <n v="0.85"/>
    <n v="9"/>
    <n v="0"/>
    <n v="585"/>
    <n v="319.64"/>
    <n v="59.19"/>
    <n v="66.02"/>
    <n v="39.89"/>
    <n v="4.59"/>
    <n v="204413"/>
    <n v="11190"/>
    <n v="215603"/>
    <n v="34626"/>
    <n v="38622"/>
    <n v="272"/>
    <n v="26754"/>
    <n v="3077"/>
    <n v="318954"/>
    <n v="36691"/>
    <n v="282263"/>
    <n v="153230"/>
    <n v="129033"/>
  </r>
  <r>
    <s v="07"/>
    <x v="2"/>
    <x v="76"/>
    <x v="76"/>
    <n v="110.47"/>
    <n v="572.70000000000005"/>
    <n v="683.17"/>
    <n v="0.91"/>
    <n v="2"/>
    <n v="0"/>
    <n v="575"/>
    <n v="319.64"/>
    <n v="59.19"/>
    <n v="66.02"/>
    <n v="39.89"/>
    <n v="4.59"/>
    <n v="218368"/>
    <n v="17133"/>
    <n v="235501"/>
    <n v="34034"/>
    <n v="37962"/>
    <n v="291"/>
    <n v="28405"/>
    <n v="3267"/>
    <n v="339460"/>
    <n v="31253"/>
    <n v="308207"/>
    <n v="171439"/>
    <n v="136768"/>
  </r>
  <r>
    <s v="07"/>
    <x v="2"/>
    <x v="77"/>
    <x v="77"/>
    <n v="136.71"/>
    <n v="1045.9000000000001"/>
    <n v="1182.6099999999999"/>
    <n v="1.57"/>
    <n v="16"/>
    <n v="0"/>
    <n v="1062"/>
    <n v="319.64"/>
    <n v="59.19"/>
    <n v="66.02"/>
    <n v="39.89"/>
    <n v="4.59"/>
    <n v="378009"/>
    <n v="42760"/>
    <n v="420769"/>
    <n v="62860"/>
    <n v="70113"/>
    <n v="502"/>
    <n v="47476"/>
    <n v="5460"/>
    <n v="607180"/>
    <n v="73519"/>
    <n v="533661"/>
    <n v="275462"/>
    <n v="258199"/>
  </r>
  <r>
    <s v="07"/>
    <x v="2"/>
    <x v="78"/>
    <x v="78"/>
    <n v="19.22"/>
    <n v="250.4"/>
    <n v="269.62"/>
    <n v="0.36"/>
    <n v="0"/>
    <n v="0"/>
    <n v="250"/>
    <n v="319.64"/>
    <n v="59.19"/>
    <n v="66.02"/>
    <n v="39.89"/>
    <n v="4.59"/>
    <n v="86181"/>
    <n v="19194"/>
    <n v="105375"/>
    <n v="14798"/>
    <n v="16505"/>
    <n v="115"/>
    <n v="10977"/>
    <n v="1262"/>
    <n v="149032"/>
    <n v="17366"/>
    <n v="131666"/>
    <n v="62368"/>
    <n v="69298"/>
  </r>
  <r>
    <s v="07"/>
    <x v="2"/>
    <x v="79"/>
    <x v="79"/>
    <n v="75.989999999999995"/>
    <n v="839"/>
    <n v="914.99"/>
    <n v="1.22"/>
    <n v="31"/>
    <n v="0"/>
    <n v="870"/>
    <n v="319.64"/>
    <n v="59.19"/>
    <n v="66.02"/>
    <n v="39.89"/>
    <n v="4.59"/>
    <n v="292467"/>
    <n v="43683"/>
    <n v="336150"/>
    <n v="51495"/>
    <n v="57437"/>
    <n v="390"/>
    <n v="36499"/>
    <n v="4200"/>
    <n v="486171"/>
    <n v="49755"/>
    <n v="436416"/>
    <n v="219997"/>
    <n v="216419"/>
  </r>
  <r>
    <s v="07"/>
    <x v="2"/>
    <x v="80"/>
    <x v="80"/>
    <n v="89.44"/>
    <n v="588.9"/>
    <n v="678.34"/>
    <n v="0.9"/>
    <n v="2"/>
    <n v="0"/>
    <n v="591"/>
    <n v="319.64"/>
    <n v="59.19"/>
    <n v="66.02"/>
    <n v="39.89"/>
    <n v="4.59"/>
    <n v="216825"/>
    <n v="0"/>
    <n v="216825"/>
    <n v="34981"/>
    <n v="39018"/>
    <n v="288"/>
    <n v="27059"/>
    <n v="3114"/>
    <n v="321285"/>
    <n v="38194"/>
    <n v="283091"/>
    <n v="161789"/>
    <n v="121302"/>
  </r>
  <r>
    <s v="07"/>
    <x v="2"/>
    <x v="81"/>
    <x v="81"/>
    <n v="246.5"/>
    <n v="1571.6"/>
    <n v="1818.1"/>
    <n v="2.42"/>
    <n v="40"/>
    <n v="0.7"/>
    <n v="1611"/>
    <n v="319.64"/>
    <n v="59.19"/>
    <n v="66.02"/>
    <n v="39.89"/>
    <n v="4.59"/>
    <n v="581137"/>
    <n v="0"/>
    <n v="581137"/>
    <n v="95355"/>
    <n v="106358"/>
    <n v="774"/>
    <n v="72558"/>
    <n v="8345"/>
    <n v="864527"/>
    <n v="81962"/>
    <n v="782565"/>
    <n v="454071"/>
    <n v="328494"/>
  </r>
  <r>
    <s v="07"/>
    <x v="2"/>
    <x v="82"/>
    <x v="82"/>
    <n v="80.56"/>
    <n v="659.1"/>
    <n v="739.66"/>
    <n v="0.99"/>
    <n v="6"/>
    <n v="0"/>
    <n v="665"/>
    <n v="319.64"/>
    <n v="59.19"/>
    <n v="66.02"/>
    <n v="39.89"/>
    <n v="4.59"/>
    <n v="236425"/>
    <n v="0"/>
    <n v="236425"/>
    <n v="39361"/>
    <n v="43903"/>
    <n v="316"/>
    <n v="29505"/>
    <n v="3395"/>
    <n v="352905"/>
    <n v="29520"/>
    <n v="323385"/>
    <n v="188543"/>
    <n v="134842"/>
  </r>
  <r>
    <s v="07"/>
    <x v="2"/>
    <x v="83"/>
    <x v="83"/>
    <n v="148.76"/>
    <n v="1120.7"/>
    <n v="1269.46"/>
    <n v="1.69"/>
    <n v="8"/>
    <n v="0.3"/>
    <n v="1128"/>
    <n v="319.64"/>
    <n v="59.19"/>
    <n v="66.02"/>
    <n v="39.89"/>
    <n v="4.59"/>
    <n v="405770"/>
    <n v="13677"/>
    <n v="419447"/>
    <n v="66766"/>
    <n v="74471"/>
    <n v="540"/>
    <n v="51772"/>
    <n v="5954"/>
    <n v="618950"/>
    <n v="56126"/>
    <n v="562824"/>
    <n v="319388"/>
    <n v="243436"/>
  </r>
  <r>
    <s v="07"/>
    <x v="2"/>
    <x v="84"/>
    <x v="84"/>
    <n v="39.479999999999997"/>
    <n v="419.6"/>
    <n v="459.08"/>
    <n v="0.61"/>
    <n v="3"/>
    <n v="0"/>
    <n v="423"/>
    <n v="319.64"/>
    <n v="59.19"/>
    <n v="66.02"/>
    <n v="39.89"/>
    <n v="4.59"/>
    <n v="146740"/>
    <n v="6414"/>
    <n v="153154"/>
    <n v="25037"/>
    <n v="27926"/>
    <n v="195"/>
    <n v="18313"/>
    <n v="2107"/>
    <n v="226732"/>
    <n v="23920"/>
    <n v="202812"/>
    <n v="111423"/>
    <n v="91389"/>
  </r>
  <r>
    <s v="07"/>
    <x v="2"/>
    <x v="85"/>
    <x v="85"/>
    <n v="65.89"/>
    <n v="681.9"/>
    <n v="747.79"/>
    <n v="0.99"/>
    <n v="10"/>
    <n v="0"/>
    <n v="692"/>
    <n v="319.64"/>
    <n v="59.19"/>
    <n v="66.02"/>
    <n v="39.89"/>
    <n v="4.59"/>
    <n v="239024"/>
    <n v="7507"/>
    <n v="246531"/>
    <n v="40959"/>
    <n v="45686"/>
    <n v="316"/>
    <n v="30896"/>
    <n v="3553"/>
    <n v="367941"/>
    <n v="34532"/>
    <n v="333409"/>
    <n v="187112"/>
    <n v="146297"/>
  </r>
  <r>
    <s v="07"/>
    <x v="2"/>
    <x v="86"/>
    <x v="86"/>
    <n v="188.86"/>
    <n v="1390.7"/>
    <n v="1579.56"/>
    <n v="2.11"/>
    <n v="134"/>
    <n v="3"/>
    <n v="1522"/>
    <n v="319.64"/>
    <n v="59.19"/>
    <n v="66.02"/>
    <n v="39.89"/>
    <n v="4.59"/>
    <n v="504891"/>
    <n v="4575"/>
    <n v="509466"/>
    <n v="90087"/>
    <n v="100482"/>
    <n v="674"/>
    <n v="63848"/>
    <n v="7343"/>
    <n v="771900"/>
    <n v="73977"/>
    <n v="697923"/>
    <n v="392632"/>
    <n v="305291"/>
  </r>
  <r>
    <s v="07"/>
    <x v="2"/>
    <x v="87"/>
    <x v="87"/>
    <n v="118.24"/>
    <n v="1035.0999999999999"/>
    <n v="1153.3399999999999"/>
    <n v="1.54"/>
    <n v="2"/>
    <n v="0"/>
    <n v="1037"/>
    <n v="319.64"/>
    <n v="59.19"/>
    <n v="66.02"/>
    <n v="39.89"/>
    <n v="4.59"/>
    <n v="368654"/>
    <n v="0"/>
    <n v="368654"/>
    <n v="61380"/>
    <n v="68463"/>
    <n v="492"/>
    <n v="46007"/>
    <n v="5294"/>
    <n v="550290"/>
    <n v="49711"/>
    <n v="500579"/>
    <n v="290310"/>
    <n v="210269"/>
  </r>
  <r>
    <s v="07"/>
    <x v="2"/>
    <x v="88"/>
    <x v="88"/>
    <n v="54.08"/>
    <n v="442"/>
    <n v="496.08"/>
    <n v="0.66"/>
    <n v="10"/>
    <n v="0"/>
    <n v="452"/>
    <n v="319.64"/>
    <n v="59.19"/>
    <n v="66.02"/>
    <n v="39.89"/>
    <n v="4.59"/>
    <n v="158567"/>
    <n v="0"/>
    <n v="158567"/>
    <n v="26754"/>
    <n v="29841"/>
    <n v="211"/>
    <n v="19789"/>
    <n v="2277"/>
    <n v="237439"/>
    <n v="15951"/>
    <n v="221488"/>
    <n v="130300"/>
    <n v="91188"/>
  </r>
  <r>
    <s v="07"/>
    <x v="2"/>
    <x v="89"/>
    <x v="89"/>
    <n v="100.79"/>
    <n v="897.8"/>
    <n v="998.59"/>
    <n v="1.33"/>
    <n v="110"/>
    <n v="0.1"/>
    <n v="1008"/>
    <n v="319.64"/>
    <n v="59.19"/>
    <n v="66.02"/>
    <n v="39.89"/>
    <n v="4.59"/>
    <n v="319189"/>
    <n v="0"/>
    <n v="319189"/>
    <n v="59664"/>
    <n v="66548"/>
    <n v="425"/>
    <n v="39834"/>
    <n v="4584"/>
    <n v="490244"/>
    <n v="41079"/>
    <n v="449165"/>
    <n v="253319"/>
    <n v="195846"/>
  </r>
  <r>
    <s v="07"/>
    <x v="2"/>
    <x v="90"/>
    <x v="90"/>
    <n v="67.58"/>
    <n v="577.70000000000005"/>
    <n v="645.28"/>
    <n v="0.86"/>
    <n v="0"/>
    <n v="0"/>
    <n v="578"/>
    <n v="319.64"/>
    <n v="59.19"/>
    <n v="66.02"/>
    <n v="39.89"/>
    <n v="4.59"/>
    <n v="206257"/>
    <n v="4700"/>
    <n v="210957"/>
    <n v="34212"/>
    <n v="38160"/>
    <n v="275"/>
    <n v="25740"/>
    <n v="2962"/>
    <n v="312306"/>
    <n v="32934"/>
    <n v="279372"/>
    <n v="157303"/>
    <n v="122069"/>
  </r>
  <r>
    <s v="07"/>
    <x v="2"/>
    <x v="91"/>
    <x v="91"/>
    <n v="711.12"/>
    <n v="5332.3"/>
    <n v="6043.42"/>
    <n v="8.02"/>
    <n v="211"/>
    <n v="0.6"/>
    <n v="5543"/>
    <n v="319.64"/>
    <n v="59.19"/>
    <n v="66.02"/>
    <n v="39.89"/>
    <n v="4.59"/>
    <n v="1931719"/>
    <n v="0"/>
    <n v="1931719"/>
    <n v="328090"/>
    <n v="365949"/>
    <n v="2564"/>
    <n v="241072"/>
    <n v="27739"/>
    <n v="2897133"/>
    <n v="232815"/>
    <n v="2664318"/>
    <n v="1548856"/>
    <n v="1115462"/>
  </r>
  <r>
    <s v="07"/>
    <x v="2"/>
    <x v="92"/>
    <x v="92"/>
    <n v="651.57000000000005"/>
    <n v="3493.9"/>
    <n v="4145.47"/>
    <n v="5.52"/>
    <n v="486"/>
    <n v="3.5"/>
    <n v="3976"/>
    <n v="319.64"/>
    <n v="59.19"/>
    <n v="66.02"/>
    <n v="39.89"/>
    <n v="4.59"/>
    <n v="1325058"/>
    <n v="23229"/>
    <n v="1348287"/>
    <n v="235339"/>
    <n v="262496"/>
    <n v="1764"/>
    <n v="168973"/>
    <n v="19432"/>
    <n v="2036291"/>
    <n v="218724"/>
    <n v="1817567"/>
    <n v="1007429"/>
    <n v="810138"/>
  </r>
  <r>
    <s v="07"/>
    <x v="2"/>
    <x v="93"/>
    <x v="93"/>
    <n v="68.709999999999994"/>
    <n v="472.8"/>
    <n v="541.51"/>
    <n v="0.72"/>
    <n v="5"/>
    <n v="0"/>
    <n v="478"/>
    <n v="319.64"/>
    <n v="59.19"/>
    <n v="66.02"/>
    <n v="39.89"/>
    <n v="4.59"/>
    <n v="173088"/>
    <n v="449"/>
    <n v="173537"/>
    <n v="28293"/>
    <n v="31558"/>
    <n v="230"/>
    <n v="21601"/>
    <n v="2486"/>
    <n v="257705"/>
    <n v="24738"/>
    <n v="232967"/>
    <n v="134907"/>
    <n v="98060"/>
  </r>
  <r>
    <s v="07"/>
    <x v="2"/>
    <x v="94"/>
    <x v="94"/>
    <n v="78.89"/>
    <n v="595.6"/>
    <n v="674.49"/>
    <n v="0.9"/>
    <n v="0"/>
    <n v="0"/>
    <n v="596"/>
    <n v="319.64"/>
    <n v="59.19"/>
    <n v="66.02"/>
    <n v="39.89"/>
    <n v="4.59"/>
    <n v="215594"/>
    <n v="0"/>
    <n v="215594"/>
    <n v="35277"/>
    <n v="39348"/>
    <n v="288"/>
    <n v="26905"/>
    <n v="3096"/>
    <n v="320508"/>
    <n v="37009"/>
    <n v="283499"/>
    <n v="161840"/>
    <n v="121659"/>
  </r>
  <r>
    <s v="07"/>
    <x v="2"/>
    <x v="95"/>
    <x v="95"/>
    <n v="68.900000000000006"/>
    <n v="561.4"/>
    <n v="630.29999999999995"/>
    <n v="0.84"/>
    <n v="1"/>
    <n v="0"/>
    <n v="562"/>
    <n v="319.64"/>
    <n v="59.19"/>
    <n v="66.02"/>
    <n v="39.89"/>
    <n v="4.59"/>
    <n v="201469"/>
    <n v="6407"/>
    <n v="207876"/>
    <n v="33265"/>
    <n v="37103"/>
    <n v="268"/>
    <n v="25143"/>
    <n v="2893"/>
    <n v="306548"/>
    <n v="32769"/>
    <n v="273779"/>
    <n v="153052"/>
    <n v="120727"/>
  </r>
  <r>
    <s v="07"/>
    <x v="2"/>
    <x v="96"/>
    <x v="96"/>
    <n v="47.55"/>
    <n v="414.6"/>
    <n v="462.15"/>
    <n v="0.62"/>
    <n v="3"/>
    <n v="0"/>
    <n v="418"/>
    <n v="319.64"/>
    <n v="59.19"/>
    <n v="66.02"/>
    <n v="39.89"/>
    <n v="4.59"/>
    <n v="147722"/>
    <n v="12400"/>
    <n v="160122"/>
    <n v="24741"/>
    <n v="27596"/>
    <n v="198"/>
    <n v="19310"/>
    <n v="2221"/>
    <n v="234188"/>
    <n v="29571"/>
    <n v="204617"/>
    <n v="107653"/>
    <n v="96964"/>
  </r>
  <r>
    <s v="07"/>
    <x v="2"/>
    <x v="97"/>
    <x v="97"/>
    <n v="66.819999999999993"/>
    <n v="435.1"/>
    <n v="501.92"/>
    <n v="0.67"/>
    <n v="3"/>
    <n v="0"/>
    <n v="438"/>
    <n v="319.64"/>
    <n v="59.19"/>
    <n v="66.02"/>
    <n v="39.89"/>
    <n v="4.59"/>
    <n v="160434"/>
    <n v="0"/>
    <n v="160434"/>
    <n v="25925"/>
    <n v="28917"/>
    <n v="214"/>
    <n v="20075"/>
    <n v="2309"/>
    <n v="237874"/>
    <n v="23815"/>
    <n v="214059"/>
    <n v="124217"/>
    <n v="89842"/>
  </r>
  <r>
    <s v="07"/>
    <x v="2"/>
    <x v="98"/>
    <x v="98"/>
    <n v="62.09"/>
    <n v="503.8"/>
    <n v="565.89"/>
    <n v="0.75"/>
    <n v="1"/>
    <n v="0"/>
    <n v="505"/>
    <n v="319.64"/>
    <n v="59.19"/>
    <n v="66.02"/>
    <n v="39.89"/>
    <n v="4.59"/>
    <n v="180881"/>
    <n v="0"/>
    <n v="180881"/>
    <n v="29891"/>
    <n v="33340"/>
    <n v="240"/>
    <n v="22573"/>
    <n v="2597"/>
    <n v="269522"/>
    <n v="25116"/>
    <n v="244406"/>
    <n v="141714"/>
    <n v="102692"/>
  </r>
  <r>
    <s v="07"/>
    <x v="2"/>
    <x v="99"/>
    <x v="99"/>
    <n v="86.82"/>
    <n v="887.1"/>
    <n v="973.92"/>
    <n v="1.3"/>
    <n v="3"/>
    <n v="0"/>
    <n v="890"/>
    <n v="319.64"/>
    <n v="59.19"/>
    <n v="66.02"/>
    <n v="39.89"/>
    <n v="4.59"/>
    <n v="311304"/>
    <n v="0"/>
    <n v="311304"/>
    <n v="52679"/>
    <n v="58758"/>
    <n v="416"/>
    <n v="38850"/>
    <n v="4470"/>
    <n v="466477"/>
    <n v="47573"/>
    <n v="418904"/>
    <n v="239552"/>
    <n v="179352"/>
  </r>
  <r>
    <s v="07"/>
    <x v="2"/>
    <x v="100"/>
    <x v="100"/>
    <n v="61.96"/>
    <n v="402"/>
    <n v="463.96"/>
    <n v="0.62"/>
    <n v="4"/>
    <n v="0"/>
    <n v="406"/>
    <n v="319.64"/>
    <n v="59.19"/>
    <n v="66.02"/>
    <n v="39.89"/>
    <n v="4.59"/>
    <n v="148300"/>
    <n v="9723"/>
    <n v="158023"/>
    <n v="24031"/>
    <n v="26804"/>
    <n v="198"/>
    <n v="18507"/>
    <n v="2130"/>
    <n v="229693"/>
    <n v="29454"/>
    <n v="200239"/>
    <n v="107328"/>
    <n v="92911"/>
  </r>
  <r>
    <s v="07"/>
    <x v="2"/>
    <x v="101"/>
    <x v="101"/>
    <n v="243.12"/>
    <n v="1512.6"/>
    <n v="1755.72"/>
    <n v="2.34"/>
    <n v="3"/>
    <n v="0"/>
    <n v="1516"/>
    <n v="319.64"/>
    <n v="59.19"/>
    <n v="66.02"/>
    <n v="39.89"/>
    <n v="4.59"/>
    <n v="561198"/>
    <n v="0"/>
    <n v="561198"/>
    <n v="89732"/>
    <n v="100086"/>
    <n v="748"/>
    <n v="70036"/>
    <n v="8059"/>
    <n v="829859"/>
    <n v="75549"/>
    <n v="754310"/>
    <n v="442061"/>
    <n v="312249"/>
  </r>
  <r>
    <s v="07"/>
    <x v="2"/>
    <x v="102"/>
    <x v="102"/>
    <n v="55.2"/>
    <n v="585.6"/>
    <n v="640.79999999999995"/>
    <n v="0.85"/>
    <n v="0"/>
    <n v="0"/>
    <n v="586"/>
    <n v="319.64"/>
    <n v="59.19"/>
    <n v="66.02"/>
    <n v="39.89"/>
    <n v="4.59"/>
    <n v="204825"/>
    <n v="0"/>
    <n v="204825"/>
    <n v="34685"/>
    <n v="38688"/>
    <n v="272"/>
    <n v="25562"/>
    <n v="2941"/>
    <n v="306973"/>
    <n v="34964"/>
    <n v="272009"/>
    <n v="153952"/>
    <n v="118057"/>
  </r>
  <r>
    <s v="07"/>
    <x v="2"/>
    <x v="103"/>
    <x v="103"/>
    <n v="116.12"/>
    <n v="780.7"/>
    <n v="896.82"/>
    <n v="1.2"/>
    <n v="3"/>
    <n v="0"/>
    <n v="784"/>
    <n v="319.64"/>
    <n v="59.19"/>
    <n v="66.02"/>
    <n v="39.89"/>
    <n v="4.59"/>
    <n v="286660"/>
    <n v="4576"/>
    <n v="291236"/>
    <n v="46405"/>
    <n v="51760"/>
    <n v="384"/>
    <n v="36499"/>
    <n v="4197"/>
    <n v="430481"/>
    <n v="48164"/>
    <n v="382317"/>
    <n v="217037"/>
    <n v="165280"/>
  </r>
  <r>
    <s v="07"/>
    <x v="2"/>
    <x v="104"/>
    <x v="104"/>
    <n v="62.43"/>
    <n v="395"/>
    <n v="457.43"/>
    <n v="0.61"/>
    <n v="5"/>
    <n v="0"/>
    <n v="400"/>
    <n v="319.64"/>
    <n v="59.19"/>
    <n v="66.02"/>
    <n v="39.89"/>
    <n v="4.59"/>
    <n v="146213"/>
    <n v="6111"/>
    <n v="152324"/>
    <n v="23676"/>
    <n v="26408"/>
    <n v="195"/>
    <n v="18480"/>
    <n v="2125"/>
    <n v="223208"/>
    <n v="22675"/>
    <n v="200533"/>
    <n v="112440"/>
    <n v="88093"/>
  </r>
  <r>
    <s v="07"/>
    <x v="2"/>
    <x v="105"/>
    <x v="105"/>
    <n v="163.51"/>
    <n v="992.8"/>
    <n v="1156.31"/>
    <n v="1.54"/>
    <n v="22"/>
    <n v="0"/>
    <n v="1015"/>
    <n v="319.64"/>
    <n v="59.19"/>
    <n v="66.02"/>
    <n v="39.89"/>
    <n v="4.59"/>
    <n v="369603"/>
    <n v="20267"/>
    <n v="389870"/>
    <n v="60078"/>
    <n v="67010"/>
    <n v="492"/>
    <n v="46552"/>
    <n v="5354"/>
    <n v="569356"/>
    <n v="54340"/>
    <n v="515016"/>
    <n v="287029"/>
    <n v="227987"/>
  </r>
  <r>
    <s v="07"/>
    <x v="2"/>
    <x v="106"/>
    <x v="106"/>
    <n v="67.33"/>
    <n v="676.8"/>
    <n v="744.13"/>
    <n v="0.99"/>
    <n v="19"/>
    <n v="0"/>
    <n v="696"/>
    <n v="319.64"/>
    <n v="59.19"/>
    <n v="66.02"/>
    <n v="39.89"/>
    <n v="4.59"/>
    <n v="237854"/>
    <n v="0"/>
    <n v="237854"/>
    <n v="41196"/>
    <n v="45950"/>
    <n v="316"/>
    <n v="29683"/>
    <n v="3416"/>
    <n v="358415"/>
    <n v="33496"/>
    <n v="324919"/>
    <n v="185883"/>
    <n v="139036"/>
  </r>
  <r>
    <s v="07"/>
    <x v="2"/>
    <x v="107"/>
    <x v="107"/>
    <n v="2303.5500000000002"/>
    <n v="10626.6"/>
    <n v="12930.15"/>
    <n v="17.22"/>
    <n v="1209"/>
    <n v="10.9"/>
    <n v="11825"/>
    <n v="319.64"/>
    <n v="59.19"/>
    <n v="66.02"/>
    <n v="39.89"/>
    <n v="4.59"/>
    <n v="4132993"/>
    <n v="0"/>
    <n v="4132993"/>
    <n v="699922"/>
    <n v="780687"/>
    <n v="5504"/>
    <n v="517666"/>
    <n v="59532"/>
    <n v="6196304"/>
    <n v="541622"/>
    <n v="5654682"/>
    <n v="3272419"/>
    <n v="2382263"/>
  </r>
  <r>
    <s v="07"/>
    <x v="2"/>
    <x v="108"/>
    <x v="108"/>
    <n v="253.85"/>
    <n v="2119.1"/>
    <n v="2372.9499999999998"/>
    <n v="3.16"/>
    <n v="112"/>
    <n v="0.9"/>
    <n v="2230"/>
    <n v="319.64"/>
    <n v="59.19"/>
    <n v="66.02"/>
    <n v="39.89"/>
    <n v="4.59"/>
    <n v="758490"/>
    <n v="0"/>
    <n v="758490"/>
    <n v="131994"/>
    <n v="147225"/>
    <n v="1010"/>
    <n v="94657"/>
    <n v="10892"/>
    <n v="1144268"/>
    <n v="88570"/>
    <n v="1055698"/>
    <n v="611007"/>
    <n v="444691"/>
  </r>
  <r>
    <s v="07"/>
    <x v="2"/>
    <x v="109"/>
    <x v="109"/>
    <n v="105.03"/>
    <n v="726.7"/>
    <n v="831.73"/>
    <n v="1.1100000000000001"/>
    <n v="54"/>
    <n v="0"/>
    <n v="781"/>
    <n v="319.64"/>
    <n v="59.19"/>
    <n v="66.02"/>
    <n v="39.89"/>
    <n v="4.59"/>
    <n v="265854"/>
    <n v="0"/>
    <n v="265854"/>
    <n v="46227"/>
    <n v="51562"/>
    <n v="355"/>
    <n v="33178"/>
    <n v="3818"/>
    <n v="400994"/>
    <n v="44215"/>
    <n v="356779"/>
    <n v="200991"/>
    <n v="155788"/>
  </r>
  <r>
    <s v="07"/>
    <x v="2"/>
    <x v="110"/>
    <x v="110"/>
    <n v="39.47"/>
    <n v="566.4"/>
    <n v="605.87"/>
    <n v="0.81"/>
    <n v="8"/>
    <n v="0"/>
    <n v="574"/>
    <n v="319.64"/>
    <n v="59.19"/>
    <n v="66.02"/>
    <n v="39.89"/>
    <n v="4.59"/>
    <n v="193660"/>
    <n v="0"/>
    <n v="193660"/>
    <n v="33975"/>
    <n v="37895"/>
    <n v="259"/>
    <n v="24168"/>
    <n v="2781"/>
    <n v="292738"/>
    <n v="32056"/>
    <n v="260682"/>
    <n v="146563"/>
    <n v="114119"/>
  </r>
  <r>
    <s v="07"/>
    <x v="2"/>
    <x v="111"/>
    <x v="111"/>
    <n v="86.43"/>
    <n v="815.3"/>
    <n v="901.73"/>
    <n v="1.2"/>
    <n v="2"/>
    <n v="0"/>
    <n v="817"/>
    <n v="319.64"/>
    <n v="59.19"/>
    <n v="66.02"/>
    <n v="39.89"/>
    <n v="4.59"/>
    <n v="288229"/>
    <n v="6534"/>
    <n v="294763"/>
    <n v="48358"/>
    <n v="53938"/>
    <n v="384"/>
    <n v="35970"/>
    <n v="4139"/>
    <n v="437552"/>
    <n v="38932"/>
    <n v="398620"/>
    <n v="226910"/>
    <n v="171710"/>
  </r>
  <r>
    <s v="09"/>
    <x v="3"/>
    <x v="112"/>
    <x v="112"/>
    <n v="27.87"/>
    <n v="216.9"/>
    <n v="244.77"/>
    <n v="0.44"/>
    <n v="17"/>
    <n v="0"/>
    <n v="234"/>
    <n v="317.27999999999997"/>
    <n v="58.7"/>
    <n v="64.099999999999994"/>
    <n v="28.96"/>
    <n v="3.4"/>
    <n v="77661"/>
    <n v="15670"/>
    <n v="93331"/>
    <n v="13736"/>
    <n v="14999"/>
    <n v="140"/>
    <n v="7570"/>
    <n v="889"/>
    <n v="130665"/>
    <n v="16393"/>
    <n v="114272"/>
    <n v="53369"/>
    <n v="60903"/>
  </r>
  <r>
    <s v="09"/>
    <x v="3"/>
    <x v="113"/>
    <x v="113"/>
    <n v="60.87"/>
    <n v="590.70000000000005"/>
    <n v="651.57000000000005"/>
    <n v="1.18"/>
    <n v="162"/>
    <n v="0.7"/>
    <n v="752"/>
    <n v="317.27999999999997"/>
    <n v="58.7"/>
    <n v="64.099999999999994"/>
    <n v="28.96"/>
    <n v="3.4"/>
    <n v="206730"/>
    <n v="0"/>
    <n v="206730"/>
    <n v="44142"/>
    <n v="48203"/>
    <n v="374"/>
    <n v="18869"/>
    <n v="2215"/>
    <n v="320533"/>
    <n v="33230"/>
    <n v="287303"/>
    <n v="151042"/>
    <n v="136261"/>
  </r>
  <r>
    <s v="09"/>
    <x v="3"/>
    <x v="114"/>
    <x v="114"/>
    <n v="27.31"/>
    <n v="202.1"/>
    <n v="229.41"/>
    <n v="0.42"/>
    <n v="0"/>
    <n v="0"/>
    <n v="202"/>
    <n v="317.27999999999997"/>
    <n v="58.7"/>
    <n v="64.099999999999994"/>
    <n v="28.96"/>
    <n v="3.4"/>
    <n v="72787"/>
    <n v="0"/>
    <n v="72787"/>
    <n v="11857"/>
    <n v="12948"/>
    <n v="133"/>
    <n v="6644"/>
    <n v="780"/>
    <n v="105149"/>
    <n v="11567"/>
    <n v="93582"/>
    <n v="53315"/>
    <n v="40267"/>
  </r>
  <r>
    <s v="09"/>
    <x v="3"/>
    <x v="115"/>
    <x v="115"/>
    <n v="480.24"/>
    <n v="4071.1"/>
    <n v="4551.34"/>
    <n v="8.24"/>
    <n v="349"/>
    <n v="0"/>
    <n v="4420"/>
    <n v="317.27999999999997"/>
    <n v="58.7"/>
    <n v="64.099999999999994"/>
    <n v="28.96"/>
    <n v="3.4"/>
    <n v="1444049"/>
    <n v="6285"/>
    <n v="1450334"/>
    <n v="259454"/>
    <n v="283322"/>
    <n v="2614"/>
    <n v="131989"/>
    <n v="15492"/>
    <n v="2143205"/>
    <n v="185946"/>
    <n v="1957259"/>
    <n v="1101430"/>
    <n v="855829"/>
  </r>
  <r>
    <s v="09"/>
    <x v="3"/>
    <x v="116"/>
    <x v="116"/>
    <n v="49.95"/>
    <n v="392.2"/>
    <n v="442.15"/>
    <n v="0.8"/>
    <n v="0"/>
    <n v="0"/>
    <n v="392"/>
    <n v="317.27999999999997"/>
    <n v="58.7"/>
    <n v="64.099999999999994"/>
    <n v="28.96"/>
    <n v="3.4"/>
    <n v="140285"/>
    <n v="15434"/>
    <n v="155719"/>
    <n v="23010"/>
    <n v="25127"/>
    <n v="254"/>
    <n v="13028"/>
    <n v="1529"/>
    <n v="218667"/>
    <n v="24342"/>
    <n v="194325"/>
    <n v="100953"/>
    <n v="93372"/>
  </r>
  <r>
    <s v="09"/>
    <x v="3"/>
    <x v="117"/>
    <x v="117"/>
    <n v="86.29"/>
    <n v="812.1"/>
    <n v="898.39"/>
    <n v="1.63"/>
    <n v="19"/>
    <n v="0"/>
    <n v="831"/>
    <n v="317.27999999999997"/>
    <n v="58.7"/>
    <n v="64.099999999999994"/>
    <n v="28.96"/>
    <n v="3.4"/>
    <n v="285041"/>
    <n v="6373"/>
    <n v="291414"/>
    <n v="48780"/>
    <n v="53267"/>
    <n v="517"/>
    <n v="26520"/>
    <n v="3113"/>
    <n v="423611"/>
    <n v="41235"/>
    <n v="382376"/>
    <n v="213403"/>
    <n v="168973"/>
  </r>
  <r>
    <s v="09"/>
    <x v="3"/>
    <x v="118"/>
    <x v="118"/>
    <n v="178.39"/>
    <n v="1462.3"/>
    <n v="1640.69"/>
    <n v="2.97"/>
    <n v="133"/>
    <n v="0"/>
    <n v="1595"/>
    <n v="317.27999999999997"/>
    <n v="58.7"/>
    <n v="64.099999999999994"/>
    <n v="28.96"/>
    <n v="3.4"/>
    <n v="520558"/>
    <n v="0"/>
    <n v="520558"/>
    <n v="93627"/>
    <n v="102240"/>
    <n v="942"/>
    <n v="47514"/>
    <n v="5578"/>
    <n v="770459"/>
    <n v="77370"/>
    <n v="693089"/>
    <n v="386637"/>
    <n v="306452"/>
  </r>
  <r>
    <s v="09"/>
    <x v="3"/>
    <x v="119"/>
    <x v="119"/>
    <n v="795.41"/>
    <n v="3652.7"/>
    <n v="4448.1099999999997"/>
    <n v="8.0399999999999991"/>
    <n v="160"/>
    <n v="0"/>
    <n v="3813"/>
    <n v="317.27999999999997"/>
    <n v="58.7"/>
    <n v="64.099999999999994"/>
    <n v="28.96"/>
    <n v="3.4"/>
    <n v="1411296"/>
    <n v="0"/>
    <n v="1411296"/>
    <n v="223823"/>
    <n v="244413"/>
    <n v="2551"/>
    <n v="128817"/>
    <n v="15124"/>
    <n v="2026024"/>
    <n v="219420"/>
    <n v="1806604"/>
    <n v="1038559"/>
    <n v="768045"/>
  </r>
  <r>
    <s v="09"/>
    <x v="3"/>
    <x v="120"/>
    <x v="120"/>
    <n v="102.58"/>
    <n v="745"/>
    <n v="847.58"/>
    <n v="1.53"/>
    <n v="0"/>
    <n v="0"/>
    <n v="745"/>
    <n v="317.27999999999997"/>
    <n v="58.7"/>
    <n v="64.099999999999994"/>
    <n v="28.96"/>
    <n v="3.4"/>
    <n v="268920"/>
    <n v="30153"/>
    <n v="299073"/>
    <n v="43732"/>
    <n v="47755"/>
    <n v="485"/>
    <n v="24546"/>
    <n v="2882"/>
    <n v="418473"/>
    <n v="48308"/>
    <n v="370165"/>
    <n v="191398"/>
    <n v="178767"/>
  </r>
  <r>
    <s v="09"/>
    <x v="3"/>
    <x v="121"/>
    <x v="121"/>
    <n v="2744.36"/>
    <n v="14470.6"/>
    <n v="17214.96"/>
    <n v="31.15"/>
    <n v="1690"/>
    <n v="1.1000000000000001"/>
    <n v="16160"/>
    <n v="317.27999999999997"/>
    <n v="58.7"/>
    <n v="64.099999999999994"/>
    <n v="28.96"/>
    <n v="3.4"/>
    <n v="5461963"/>
    <n v="141045"/>
    <n v="5603008"/>
    <n v="948592"/>
    <n v="1035856"/>
    <n v="9883"/>
    <n v="507600"/>
    <n v="59580"/>
    <n v="8164519"/>
    <n v="800370"/>
    <n v="7364149"/>
    <n v="4078338"/>
    <n v="3285811"/>
  </r>
  <r>
    <s v="09"/>
    <x v="3"/>
    <x v="122"/>
    <x v="122"/>
    <n v="27.17"/>
    <n v="211.7"/>
    <n v="238.87"/>
    <n v="0.43"/>
    <n v="1"/>
    <n v="0"/>
    <n v="213"/>
    <n v="317.27999999999997"/>
    <n v="58.7"/>
    <n v="64.099999999999994"/>
    <n v="28.96"/>
    <n v="3.4"/>
    <n v="75789"/>
    <n v="0"/>
    <n v="75789"/>
    <n v="12503"/>
    <n v="13653"/>
    <n v="136"/>
    <n v="6918"/>
    <n v="812"/>
    <n v="109811"/>
    <n v="13150"/>
    <n v="96661"/>
    <n v="54405"/>
    <n v="42256"/>
  </r>
  <r>
    <s v="09"/>
    <x v="3"/>
    <x v="123"/>
    <x v="123"/>
    <n v="59.13"/>
    <n v="530.79999999999995"/>
    <n v="589.92999999999995"/>
    <n v="1.07"/>
    <n v="10"/>
    <n v="0"/>
    <n v="541"/>
    <n v="317.27999999999997"/>
    <n v="58.7"/>
    <n v="64.099999999999994"/>
    <n v="28.96"/>
    <n v="3.4"/>
    <n v="187173"/>
    <n v="5867"/>
    <n v="193040"/>
    <n v="31757"/>
    <n v="34678"/>
    <n v="339"/>
    <n v="17568"/>
    <n v="2062"/>
    <n v="279444"/>
    <n v="27628"/>
    <n v="251816"/>
    <n v="139752"/>
    <n v="112064"/>
  </r>
  <r>
    <s v="09"/>
    <x v="3"/>
    <x v="124"/>
    <x v="124"/>
    <n v="101.85"/>
    <n v="563"/>
    <n v="664.85"/>
    <n v="1.2"/>
    <n v="3"/>
    <n v="0"/>
    <n v="566"/>
    <n v="317.27999999999997"/>
    <n v="58.7"/>
    <n v="64.099999999999994"/>
    <n v="28.96"/>
    <n v="3.4"/>
    <n v="210944"/>
    <n v="8333"/>
    <n v="219277"/>
    <n v="33224"/>
    <n v="36281"/>
    <n v="381"/>
    <n v="19254"/>
    <n v="2260"/>
    <n v="310677"/>
    <n v="35711"/>
    <n v="274966"/>
    <n v="152316"/>
    <n v="122650"/>
  </r>
  <r>
    <s v="09"/>
    <x v="3"/>
    <x v="125"/>
    <x v="125"/>
    <n v="96.93"/>
    <n v="707"/>
    <n v="803.93"/>
    <n v="1.46"/>
    <n v="0"/>
    <n v="0"/>
    <n v="707"/>
    <n v="317.27999999999997"/>
    <n v="58.7"/>
    <n v="64.099999999999994"/>
    <n v="28.96"/>
    <n v="3.4"/>
    <n v="255071"/>
    <n v="0"/>
    <n v="255071"/>
    <n v="41501"/>
    <n v="45319"/>
    <n v="463"/>
    <n v="23282"/>
    <n v="2733"/>
    <n v="368369"/>
    <n v="39308"/>
    <n v="329061"/>
    <n v="188055"/>
    <n v="141006"/>
  </r>
  <r>
    <s v="09"/>
    <x v="3"/>
    <x v="126"/>
    <x v="126"/>
    <n v="319.89999999999998"/>
    <n v="1260.3"/>
    <n v="1580.2"/>
    <n v="2.86"/>
    <n v="127"/>
    <n v="0"/>
    <n v="1387"/>
    <n v="317.27999999999997"/>
    <n v="58.7"/>
    <n v="64.099999999999994"/>
    <n v="28.96"/>
    <n v="3.4"/>
    <n v="501366"/>
    <n v="0"/>
    <n v="501366"/>
    <n v="81417"/>
    <n v="88907"/>
    <n v="907"/>
    <n v="45763"/>
    <n v="5373"/>
    <n v="723733"/>
    <n v="74194"/>
    <n v="649539"/>
    <n v="372707"/>
    <n v="276832"/>
  </r>
  <r>
    <s v="09"/>
    <x v="3"/>
    <x v="127"/>
    <x v="127"/>
    <n v="675.56"/>
    <n v="4690"/>
    <n v="5365.56"/>
    <n v="9.7100000000000009"/>
    <n v="191"/>
    <n v="0"/>
    <n v="4881"/>
    <n v="317.27999999999997"/>
    <n v="58.7"/>
    <n v="64.099999999999994"/>
    <n v="28.96"/>
    <n v="3.4"/>
    <n v="1702385"/>
    <n v="20635"/>
    <n v="1723020"/>
    <n v="286515"/>
    <n v="312872"/>
    <n v="3081"/>
    <n v="156805"/>
    <n v="18405"/>
    <n v="2500698"/>
    <n v="253669"/>
    <n v="2247029"/>
    <n v="1265359"/>
    <n v="981670"/>
  </r>
  <r>
    <s v="09"/>
    <x v="3"/>
    <x v="128"/>
    <x v="128"/>
    <n v="297.49"/>
    <n v="3071"/>
    <n v="3368.49"/>
    <n v="6.1"/>
    <n v="60"/>
    <n v="0"/>
    <n v="3131"/>
    <n v="317.27999999999997"/>
    <n v="58.7"/>
    <n v="64.099999999999994"/>
    <n v="28.96"/>
    <n v="3.4"/>
    <n v="1068755"/>
    <n v="0"/>
    <n v="1068755"/>
    <n v="183790"/>
    <n v="200697"/>
    <n v="1935"/>
    <n v="97551"/>
    <n v="11453"/>
    <n v="1564181"/>
    <n v="130713"/>
    <n v="1433468"/>
    <n v="821939"/>
    <n v="611529"/>
  </r>
  <r>
    <s v="09"/>
    <x v="3"/>
    <x v="129"/>
    <x v="129"/>
    <n v="59.37"/>
    <n v="523.5"/>
    <n v="582.87"/>
    <n v="1.06"/>
    <n v="1"/>
    <n v="0"/>
    <n v="525"/>
    <n v="317.27999999999997"/>
    <n v="58.7"/>
    <n v="64.099999999999994"/>
    <n v="28.96"/>
    <n v="3.4"/>
    <n v="184933"/>
    <n v="0"/>
    <n v="184933"/>
    <n v="30818"/>
    <n v="33653"/>
    <n v="336"/>
    <n v="16880"/>
    <n v="1982"/>
    <n v="268602"/>
    <n v="30807"/>
    <n v="237795"/>
    <n v="134038"/>
    <n v="103757"/>
  </r>
  <r>
    <s v="09"/>
    <x v="3"/>
    <x v="130"/>
    <x v="130"/>
    <n v="371.03"/>
    <n v="5244.2"/>
    <n v="5615.23"/>
    <n v="10.16"/>
    <n v="95"/>
    <n v="0"/>
    <n v="5339"/>
    <n v="317.27999999999997"/>
    <n v="58.7"/>
    <n v="64.099999999999994"/>
    <n v="28.96"/>
    <n v="3.4"/>
    <n v="1781600"/>
    <n v="0"/>
    <n v="1781600"/>
    <n v="313399"/>
    <n v="342230"/>
    <n v="3224"/>
    <n v="162617"/>
    <n v="19092"/>
    <n v="2622162"/>
    <n v="135851"/>
    <n v="2486311"/>
    <n v="1452206"/>
    <n v="1034105"/>
  </r>
  <r>
    <s v="09"/>
    <x v="3"/>
    <x v="131"/>
    <x v="131"/>
    <n v="139.49"/>
    <n v="1238.5"/>
    <n v="1377.99"/>
    <n v="2.4900000000000002"/>
    <n v="4"/>
    <n v="0"/>
    <n v="1243"/>
    <n v="317.27999999999997"/>
    <n v="58.7"/>
    <n v="64.099999999999994"/>
    <n v="28.96"/>
    <n v="3.4"/>
    <n v="437209"/>
    <n v="16633"/>
    <n v="453842"/>
    <n v="72964"/>
    <n v="79676"/>
    <n v="790"/>
    <n v="40998"/>
    <n v="4812"/>
    <n v="653082"/>
    <n v="51632"/>
    <n v="601450"/>
    <n v="339298"/>
    <n v="262152"/>
  </r>
  <r>
    <s v="09"/>
    <x v="3"/>
    <x v="132"/>
    <x v="132"/>
    <n v="60.36"/>
    <n v="843.4"/>
    <n v="903.76"/>
    <n v="1.63"/>
    <n v="0"/>
    <n v="0"/>
    <n v="843"/>
    <n v="317.27999999999997"/>
    <n v="58.7"/>
    <n v="64.099999999999994"/>
    <n v="28.96"/>
    <n v="3.4"/>
    <n v="286745"/>
    <n v="0"/>
    <n v="286745"/>
    <n v="49484"/>
    <n v="54036"/>
    <n v="517"/>
    <n v="26173"/>
    <n v="3073"/>
    <n v="420028"/>
    <n v="40568"/>
    <n v="379460"/>
    <n v="215026"/>
    <n v="164434"/>
  </r>
  <r>
    <s v="10"/>
    <x v="4"/>
    <x v="133"/>
    <x v="133"/>
    <n v="37.770000000000003"/>
    <n v="516.1"/>
    <n v="553.87"/>
    <n v="0"/>
    <n v="22"/>
    <n v="0"/>
    <n v="538"/>
    <n v="315.36"/>
    <n v="58.88"/>
    <n v="64.7"/>
    <n v="29.71"/>
    <n v="3.46"/>
    <n v="174668"/>
    <n v="0"/>
    <n v="174668"/>
    <n v="31677"/>
    <n v="34809"/>
    <n v="0"/>
    <n v="16455"/>
    <n v="1916"/>
    <n v="259525"/>
    <n v="28260"/>
    <n v="231265"/>
    <n v="128579"/>
    <n v="102686"/>
  </r>
  <r>
    <s v="10"/>
    <x v="4"/>
    <x v="134"/>
    <x v="134"/>
    <n v="143.05000000000001"/>
    <n v="1285.4000000000001"/>
    <n v="1428.45"/>
    <n v="0"/>
    <n v="44"/>
    <n v="0"/>
    <n v="1329"/>
    <n v="315.36"/>
    <n v="58.88"/>
    <n v="64.7"/>
    <n v="29.71"/>
    <n v="3.46"/>
    <n v="450476"/>
    <n v="0"/>
    <n v="450476"/>
    <n v="78252"/>
    <n v="85986"/>
    <n v="0"/>
    <n v="42439"/>
    <n v="4942"/>
    <n v="662095"/>
    <n v="60223"/>
    <n v="601872"/>
    <n v="344271"/>
    <n v="257601"/>
  </r>
  <r>
    <s v="10"/>
    <x v="4"/>
    <x v="135"/>
    <x v="135"/>
    <n v="31.67"/>
    <n v="468.1"/>
    <n v="499.77"/>
    <n v="0"/>
    <n v="4"/>
    <n v="0"/>
    <n v="472"/>
    <n v="315.36"/>
    <n v="58.88"/>
    <n v="64.7"/>
    <n v="29.71"/>
    <n v="3.46"/>
    <n v="157607"/>
    <n v="16721"/>
    <n v="174328"/>
    <n v="27791"/>
    <n v="30538"/>
    <n v="0"/>
    <n v="15007"/>
    <n v="1747"/>
    <n v="249411"/>
    <n v="34138"/>
    <n v="215273"/>
    <n v="107559"/>
    <n v="107714"/>
  </r>
  <r>
    <s v="10"/>
    <x v="4"/>
    <x v="136"/>
    <x v="136"/>
    <n v="159"/>
    <n v="1500.9"/>
    <n v="1659.9"/>
    <n v="0"/>
    <n v="159"/>
    <n v="0"/>
    <n v="1660"/>
    <n v="315.36"/>
    <n v="58.88"/>
    <n v="64.7"/>
    <n v="29.71"/>
    <n v="3.46"/>
    <n v="523466"/>
    <n v="0"/>
    <n v="523466"/>
    <n v="97741"/>
    <n v="107402"/>
    <n v="0"/>
    <n v="49316"/>
    <n v="5743"/>
    <n v="783668"/>
    <n v="79586"/>
    <n v="704082"/>
    <n v="390448"/>
    <n v="313634"/>
  </r>
  <r>
    <s v="10"/>
    <x v="4"/>
    <x v="137"/>
    <x v="137"/>
    <n v="2465.0100000000002"/>
    <n v="16236.8"/>
    <n v="18701.810000000001"/>
    <n v="0"/>
    <n v="1884"/>
    <n v="20.9"/>
    <n v="18100"/>
    <n v="315.36"/>
    <n v="58.88"/>
    <n v="64.7"/>
    <n v="29.71"/>
    <n v="3.46"/>
    <n v="5897803"/>
    <n v="65538"/>
    <n v="5963341"/>
    <n v="1065728"/>
    <n v="1171070"/>
    <n v="0"/>
    <n v="560606"/>
    <n v="65259"/>
    <n v="8826004"/>
    <n v="846317"/>
    <n v="7979687"/>
    <n v="4455001"/>
    <n v="3524686"/>
  </r>
  <r>
    <s v="10"/>
    <x v="4"/>
    <x v="138"/>
    <x v="138"/>
    <n v="138.63999999999999"/>
    <n v="1280.9000000000001"/>
    <n v="1419.54"/>
    <n v="0"/>
    <n v="6"/>
    <n v="0"/>
    <n v="1287"/>
    <n v="315.36"/>
    <n v="58.88"/>
    <n v="64.7"/>
    <n v="29.71"/>
    <n v="3.46"/>
    <n v="447666"/>
    <n v="14127"/>
    <n v="461793"/>
    <n v="75779"/>
    <n v="83269"/>
    <n v="0"/>
    <n v="43413"/>
    <n v="5054"/>
    <n v="669308"/>
    <n v="46594"/>
    <n v="622714"/>
    <n v="356758"/>
    <n v="265956"/>
  </r>
  <r>
    <s v="10"/>
    <x v="4"/>
    <x v="139"/>
    <x v="139"/>
    <n v="41.92"/>
    <n v="481"/>
    <n v="522.91999999999996"/>
    <n v="0"/>
    <n v="1"/>
    <n v="0"/>
    <n v="482"/>
    <n v="315.36"/>
    <n v="58.88"/>
    <n v="64.7"/>
    <n v="29.71"/>
    <n v="3.46"/>
    <n v="164908"/>
    <n v="0"/>
    <n v="164908"/>
    <n v="28380"/>
    <n v="31185"/>
    <n v="0"/>
    <n v="15536"/>
    <n v="1809"/>
    <n v="241818"/>
    <n v="23775"/>
    <n v="218043"/>
    <n v="124300"/>
    <n v="93743"/>
  </r>
  <r>
    <s v="10"/>
    <x v="4"/>
    <x v="140"/>
    <x v="140"/>
    <n v="304.8"/>
    <n v="2624.4"/>
    <n v="2929.2"/>
    <n v="0"/>
    <n v="16"/>
    <n v="0"/>
    <n v="2640"/>
    <n v="315.36"/>
    <n v="58.88"/>
    <n v="64.7"/>
    <n v="29.71"/>
    <n v="3.46"/>
    <n v="923753"/>
    <n v="0"/>
    <n v="923753"/>
    <n v="155443"/>
    <n v="170808"/>
    <n v="0"/>
    <n v="87027"/>
    <n v="10135"/>
    <n v="1347166"/>
    <n v="54531"/>
    <n v="1292635"/>
    <n v="774931"/>
    <n v="517704"/>
  </r>
  <r>
    <s v="10"/>
    <x v="4"/>
    <x v="141"/>
    <x v="141"/>
    <n v="589.19000000000005"/>
    <n v="5089.3"/>
    <n v="5678.49"/>
    <n v="0"/>
    <n v="122"/>
    <n v="0"/>
    <n v="5211"/>
    <n v="315.36"/>
    <n v="58.88"/>
    <n v="64.7"/>
    <n v="29.71"/>
    <n v="3.46"/>
    <n v="1790769"/>
    <n v="0"/>
    <n v="1790769"/>
    <n v="306824"/>
    <n v="337152"/>
    <n v="0"/>
    <n v="168708"/>
    <n v="19648"/>
    <n v="2623101"/>
    <n v="142066"/>
    <n v="2481035"/>
    <n v="1465913"/>
    <n v="1015122"/>
  </r>
  <r>
    <s v="10"/>
    <x v="4"/>
    <x v="142"/>
    <x v="142"/>
    <n v="63.05"/>
    <n v="473"/>
    <n v="536.04999999999995"/>
    <n v="0"/>
    <n v="6"/>
    <n v="0"/>
    <n v="479"/>
    <n v="315.36"/>
    <n v="58.88"/>
    <n v="64.7"/>
    <n v="29.71"/>
    <n v="3.46"/>
    <n v="169049"/>
    <n v="6137"/>
    <n v="175186"/>
    <n v="28204"/>
    <n v="30991"/>
    <n v="0"/>
    <n v="15926"/>
    <n v="1855"/>
    <n v="252162"/>
    <n v="31450"/>
    <n v="220712"/>
    <n v="120344"/>
    <n v="100368"/>
  </r>
  <r>
    <s v="10"/>
    <x v="4"/>
    <x v="143"/>
    <x v="143"/>
    <n v="40.81"/>
    <n v="335.7"/>
    <n v="376.51"/>
    <n v="0"/>
    <n v="9"/>
    <n v="0"/>
    <n v="345"/>
    <n v="315.36"/>
    <n v="58.88"/>
    <n v="64.7"/>
    <n v="29.71"/>
    <n v="3.46"/>
    <n v="118736"/>
    <n v="1960"/>
    <n v="120696"/>
    <n v="20314"/>
    <n v="22322"/>
    <n v="0"/>
    <n v="11315"/>
    <n v="1317"/>
    <n v="175964"/>
    <n v="19800"/>
    <n v="156164"/>
    <n v="86960"/>
    <n v="69204"/>
  </r>
  <r>
    <s v="10"/>
    <x v="4"/>
    <x v="144"/>
    <x v="144"/>
    <n v="65.489999999999995"/>
    <n v="609.1"/>
    <n v="674.59"/>
    <n v="0"/>
    <n v="6"/>
    <n v="0"/>
    <n v="615"/>
    <n v="315.36"/>
    <n v="58.88"/>
    <n v="64.7"/>
    <n v="29.71"/>
    <n v="3.46"/>
    <n v="212739"/>
    <n v="1089"/>
    <n v="213828"/>
    <n v="36211"/>
    <n v="39791"/>
    <n v="0"/>
    <n v="20102"/>
    <n v="2340"/>
    <n v="312272"/>
    <n v="28769"/>
    <n v="283503"/>
    <n v="162321"/>
    <n v="121182"/>
  </r>
  <r>
    <s v="10"/>
    <x v="4"/>
    <x v="145"/>
    <x v="145"/>
    <n v="1441.66"/>
    <n v="14283.8"/>
    <n v="15725.46"/>
    <n v="0"/>
    <n v="1106"/>
    <n v="1.9"/>
    <n v="15388"/>
    <n v="315.36"/>
    <n v="58.88"/>
    <n v="64.7"/>
    <n v="29.71"/>
    <n v="3.46"/>
    <n v="4959181"/>
    <n v="0"/>
    <n v="4959181"/>
    <n v="906045"/>
    <n v="995604"/>
    <n v="0"/>
    <n v="467203"/>
    <n v="54410"/>
    <n v="7382443"/>
    <n v="485100"/>
    <n v="6897343"/>
    <n v="3967878"/>
    <n v="2929465"/>
  </r>
  <r>
    <s v="10"/>
    <x v="4"/>
    <x v="146"/>
    <x v="146"/>
    <n v="52.48"/>
    <n v="519.4"/>
    <n v="571.88"/>
    <n v="0"/>
    <n v="1"/>
    <n v="0"/>
    <n v="520"/>
    <n v="315.36"/>
    <n v="58.88"/>
    <n v="64.7"/>
    <n v="29.71"/>
    <n v="3.46"/>
    <n v="180348"/>
    <n v="7260"/>
    <n v="187608"/>
    <n v="30618"/>
    <n v="33644"/>
    <n v="0"/>
    <n v="17185"/>
    <n v="2000"/>
    <n v="271055"/>
    <n v="30923"/>
    <n v="240132"/>
    <n v="131232"/>
    <n v="108900"/>
  </r>
  <r>
    <s v="10"/>
    <x v="4"/>
    <x v="147"/>
    <x v="147"/>
    <n v="762.14"/>
    <n v="7597.9"/>
    <n v="8360.0400000000009"/>
    <n v="0"/>
    <n v="401"/>
    <n v="0"/>
    <n v="7999"/>
    <n v="315.36"/>
    <n v="58.88"/>
    <n v="64.7"/>
    <n v="29.71"/>
    <n v="3.46"/>
    <n v="2636422"/>
    <n v="0"/>
    <n v="2636422"/>
    <n v="470981"/>
    <n v="517535"/>
    <n v="0"/>
    <n v="248377"/>
    <n v="28926"/>
    <n v="3902241"/>
    <n v="225812"/>
    <n v="3676429"/>
    <n v="2141501"/>
    <n v="1534928"/>
  </r>
  <r>
    <s v="10"/>
    <x v="4"/>
    <x v="148"/>
    <x v="148"/>
    <n v="44.52"/>
    <n v="653.70000000000005"/>
    <n v="698.22"/>
    <n v="0"/>
    <n v="8"/>
    <n v="0"/>
    <n v="662"/>
    <n v="315.36"/>
    <n v="58.88"/>
    <n v="64.7"/>
    <n v="29.71"/>
    <n v="3.46"/>
    <n v="220191"/>
    <n v="0"/>
    <n v="220191"/>
    <n v="38979"/>
    <n v="42831"/>
    <n v="0"/>
    <n v="20744"/>
    <n v="2416"/>
    <n v="325161"/>
    <n v="27550"/>
    <n v="297611"/>
    <n v="170165"/>
    <n v="127446"/>
  </r>
  <r>
    <s v="10"/>
    <x v="4"/>
    <x v="149"/>
    <x v="149"/>
    <n v="30.52"/>
    <n v="369.7"/>
    <n v="400.22"/>
    <n v="0"/>
    <n v="3"/>
    <n v="0"/>
    <n v="373"/>
    <n v="315.36"/>
    <n v="58.88"/>
    <n v="64.7"/>
    <n v="29.71"/>
    <n v="3.46"/>
    <n v="126213"/>
    <n v="2385"/>
    <n v="128598"/>
    <n v="21962"/>
    <n v="24133"/>
    <n v="0"/>
    <n v="11891"/>
    <n v="1385"/>
    <n v="187969"/>
    <n v="18559"/>
    <n v="169410"/>
    <n v="94772"/>
    <n v="74638"/>
  </r>
  <r>
    <s v="10"/>
    <x v="4"/>
    <x v="150"/>
    <x v="150"/>
    <n v="262.88"/>
    <n v="1912.1"/>
    <n v="2174.98"/>
    <n v="0"/>
    <n v="77"/>
    <n v="0"/>
    <n v="1989"/>
    <n v="315.36"/>
    <n v="58.88"/>
    <n v="64.7"/>
    <n v="29.71"/>
    <n v="3.46"/>
    <n v="685902"/>
    <n v="0"/>
    <n v="685902"/>
    <n v="117112"/>
    <n v="128688"/>
    <n v="0"/>
    <n v="64619"/>
    <n v="7525"/>
    <n v="1003846"/>
    <n v="80131"/>
    <n v="923715"/>
    <n v="535758"/>
    <n v="387957"/>
  </r>
  <r>
    <s v="10"/>
    <x v="4"/>
    <x v="151"/>
    <x v="151"/>
    <n v="166.39"/>
    <n v="1275.2"/>
    <n v="1441.59"/>
    <n v="0"/>
    <n v="26"/>
    <n v="0.5"/>
    <n v="1301"/>
    <n v="315.36"/>
    <n v="58.88"/>
    <n v="64.7"/>
    <n v="29.71"/>
    <n v="3.46"/>
    <n v="454620"/>
    <n v="0"/>
    <n v="454620"/>
    <n v="76603"/>
    <n v="84175"/>
    <n v="0"/>
    <n v="42830"/>
    <n v="4988"/>
    <n v="663216"/>
    <n v="55121"/>
    <n v="608095"/>
    <n v="353095"/>
    <n v="255000"/>
  </r>
  <r>
    <s v="10"/>
    <x v="4"/>
    <x v="152"/>
    <x v="152"/>
    <n v="68.78"/>
    <n v="511.9"/>
    <n v="580.67999999999995"/>
    <n v="0"/>
    <n v="4"/>
    <n v="0"/>
    <n v="516"/>
    <n v="315.36"/>
    <n v="58.88"/>
    <n v="64.7"/>
    <n v="29.71"/>
    <n v="3.46"/>
    <n v="183123"/>
    <n v="2389"/>
    <n v="185512"/>
    <n v="30382"/>
    <n v="33385"/>
    <n v="0"/>
    <n v="17355"/>
    <n v="2020"/>
    <n v="268654"/>
    <n v="35327"/>
    <n v="233327"/>
    <n v="129218"/>
    <n v="104109"/>
  </r>
  <r>
    <s v="10"/>
    <x v="4"/>
    <x v="153"/>
    <x v="153"/>
    <n v="122.07"/>
    <n v="953.7"/>
    <n v="1075.77"/>
    <n v="0"/>
    <n v="90"/>
    <n v="2.2000000000000002"/>
    <n v="1042"/>
    <n v="315.36"/>
    <n v="58.88"/>
    <n v="64.7"/>
    <n v="29.71"/>
    <n v="3.46"/>
    <n v="339255"/>
    <n v="6458"/>
    <n v="345713"/>
    <n v="61353"/>
    <n v="67417"/>
    <n v="0"/>
    <n v="31961"/>
    <n v="3722"/>
    <n v="510166"/>
    <n v="48152"/>
    <n v="462014"/>
    <n v="256474"/>
    <n v="205540"/>
  </r>
  <r>
    <s v="10"/>
    <x v="4"/>
    <x v="154"/>
    <x v="154"/>
    <n v="82.64"/>
    <n v="1122.4000000000001"/>
    <n v="1205.04"/>
    <n v="0"/>
    <n v="26"/>
    <n v="0"/>
    <n v="1148"/>
    <n v="315.36"/>
    <n v="58.88"/>
    <n v="64.7"/>
    <n v="29.71"/>
    <n v="3.46"/>
    <n v="380021"/>
    <n v="0"/>
    <n v="380021"/>
    <n v="67594"/>
    <n v="74276"/>
    <n v="0"/>
    <n v="35802"/>
    <n v="4169"/>
    <n v="561862"/>
    <n v="45951"/>
    <n v="515911"/>
    <n v="295280"/>
    <n v="220631"/>
  </r>
  <r>
    <s v="10"/>
    <x v="4"/>
    <x v="155"/>
    <x v="155"/>
    <n v="126.72"/>
    <n v="735.3"/>
    <n v="862.02"/>
    <n v="0"/>
    <n v="0"/>
    <n v="0"/>
    <n v="735"/>
    <n v="315.36"/>
    <n v="58.88"/>
    <n v="64.7"/>
    <n v="29.71"/>
    <n v="3.46"/>
    <n v="271847"/>
    <n v="9177"/>
    <n v="281024"/>
    <n v="43277"/>
    <n v="47555"/>
    <n v="0"/>
    <n v="25611"/>
    <n v="2983"/>
    <n v="400450"/>
    <n v="44471"/>
    <n v="355979"/>
    <n v="199628"/>
    <n v="156351"/>
  </r>
  <r>
    <s v="10"/>
    <x v="4"/>
    <x v="156"/>
    <x v="156"/>
    <n v="45.15"/>
    <n v="585.29999999999995"/>
    <n v="630.45000000000005"/>
    <n v="0"/>
    <n v="2"/>
    <n v="0"/>
    <n v="587"/>
    <n v="315.36"/>
    <n v="58.88"/>
    <n v="64.7"/>
    <n v="29.71"/>
    <n v="3.46"/>
    <n v="198819"/>
    <n v="16950"/>
    <n v="215769"/>
    <n v="34563"/>
    <n v="37979"/>
    <n v="0"/>
    <n v="18995"/>
    <n v="2211"/>
    <n v="309517"/>
    <n v="34751"/>
    <n v="274766"/>
    <n v="144068"/>
    <n v="130698"/>
  </r>
  <r>
    <s v="10"/>
    <x v="4"/>
    <x v="157"/>
    <x v="157"/>
    <n v="28.87"/>
    <n v="218"/>
    <n v="246.87"/>
    <n v="0"/>
    <n v="6"/>
    <n v="0"/>
    <n v="224"/>
    <n v="315.36"/>
    <n v="58.88"/>
    <n v="64.7"/>
    <n v="29.71"/>
    <n v="3.46"/>
    <n v="77853"/>
    <n v="649"/>
    <n v="78502"/>
    <n v="13189"/>
    <n v="14493"/>
    <n v="0"/>
    <n v="7335"/>
    <n v="854"/>
    <n v="114373"/>
    <n v="14596"/>
    <n v="99777"/>
    <n v="55311"/>
    <n v="44466"/>
  </r>
  <r>
    <s v="10"/>
    <x v="4"/>
    <x v="158"/>
    <x v="158"/>
    <n v="91.09"/>
    <n v="1414.1"/>
    <n v="1505.19"/>
    <n v="0"/>
    <n v="19"/>
    <n v="0"/>
    <n v="1433"/>
    <n v="315.36"/>
    <n v="58.88"/>
    <n v="64.7"/>
    <n v="29.71"/>
    <n v="3.46"/>
    <n v="474677"/>
    <n v="0"/>
    <n v="474677"/>
    <n v="84375"/>
    <n v="92715"/>
    <n v="0"/>
    <n v="44719"/>
    <n v="5208"/>
    <n v="701694"/>
    <n v="48951"/>
    <n v="652743"/>
    <n v="377274"/>
    <n v="275469"/>
  </r>
  <r>
    <s v="10"/>
    <x v="4"/>
    <x v="159"/>
    <x v="159"/>
    <n v="38.630000000000003"/>
    <n v="404"/>
    <n v="442.63"/>
    <n v="0"/>
    <n v="8"/>
    <n v="0"/>
    <n v="412"/>
    <n v="315.36"/>
    <n v="58.88"/>
    <n v="64.7"/>
    <n v="29.71"/>
    <n v="3.46"/>
    <n v="139588"/>
    <n v="0"/>
    <n v="139588"/>
    <n v="24259"/>
    <n v="26656"/>
    <n v="0"/>
    <n v="13151"/>
    <n v="1531"/>
    <n v="205185"/>
    <n v="21853"/>
    <n v="183332"/>
    <n v="103487"/>
    <n v="79845"/>
  </r>
  <r>
    <s v="10"/>
    <x v="4"/>
    <x v="160"/>
    <x v="160"/>
    <n v="126.14"/>
    <n v="873"/>
    <n v="999.14"/>
    <n v="0"/>
    <n v="3"/>
    <n v="0"/>
    <n v="876"/>
    <n v="315.36"/>
    <n v="58.88"/>
    <n v="64.7"/>
    <n v="29.71"/>
    <n v="3.46"/>
    <n v="315089"/>
    <n v="0"/>
    <n v="315089"/>
    <n v="51579"/>
    <n v="56677"/>
    <n v="0"/>
    <n v="29684"/>
    <n v="3457"/>
    <n v="456486"/>
    <n v="38524"/>
    <n v="417962"/>
    <n v="244402"/>
    <n v="173560"/>
  </r>
  <r>
    <s v="10"/>
    <x v="4"/>
    <x v="161"/>
    <x v="161"/>
    <n v="210.54"/>
    <n v="1547.4"/>
    <n v="1757.94"/>
    <n v="0"/>
    <n v="19"/>
    <n v="0"/>
    <n v="1566"/>
    <n v="315.36"/>
    <n v="58.88"/>
    <n v="64.7"/>
    <n v="29.71"/>
    <n v="3.46"/>
    <n v="554384"/>
    <n v="0"/>
    <n v="554384"/>
    <n v="92206"/>
    <n v="101320"/>
    <n v="0"/>
    <n v="52228"/>
    <n v="6082"/>
    <n v="806220"/>
    <n v="88383"/>
    <n v="717837"/>
    <n v="409412"/>
    <n v="308425"/>
  </r>
  <r>
    <s v="10"/>
    <x v="4"/>
    <x v="162"/>
    <x v="162"/>
    <n v="224.34"/>
    <n v="1615.5"/>
    <n v="1839.84"/>
    <n v="0"/>
    <n v="78"/>
    <n v="0.6"/>
    <n v="1693"/>
    <n v="315.36"/>
    <n v="58.88"/>
    <n v="64.7"/>
    <n v="29.71"/>
    <n v="3.46"/>
    <n v="580212"/>
    <n v="20549"/>
    <n v="600761"/>
    <n v="99684"/>
    <n v="109537"/>
    <n v="0"/>
    <n v="56477"/>
    <n v="6574"/>
    <n v="873033"/>
    <n v="80503"/>
    <n v="792530"/>
    <n v="442508"/>
    <n v="350022"/>
  </r>
  <r>
    <s v="10"/>
    <x v="4"/>
    <x v="163"/>
    <x v="163"/>
    <n v="90.87"/>
    <n v="757.9"/>
    <n v="848.77"/>
    <n v="0"/>
    <n v="9"/>
    <n v="0"/>
    <n v="767"/>
    <n v="315.36"/>
    <n v="58.88"/>
    <n v="64.7"/>
    <n v="29.71"/>
    <n v="3.46"/>
    <n v="267668"/>
    <n v="0"/>
    <n v="267668"/>
    <n v="45161"/>
    <n v="49625"/>
    <n v="0"/>
    <n v="25217"/>
    <n v="2937"/>
    <n v="390608"/>
    <n v="35036"/>
    <n v="355572"/>
    <n v="205311"/>
    <n v="150261"/>
  </r>
  <r>
    <s v="10"/>
    <x v="4"/>
    <x v="164"/>
    <x v="164"/>
    <n v="96.51"/>
    <n v="1142.5999999999999"/>
    <n v="1239.1099999999999"/>
    <n v="0"/>
    <n v="73"/>
    <n v="1.5"/>
    <n v="1214"/>
    <n v="315.36"/>
    <n v="58.88"/>
    <n v="64.7"/>
    <n v="29.71"/>
    <n v="3.46"/>
    <n v="390766"/>
    <n v="0"/>
    <n v="390766"/>
    <n v="71480"/>
    <n v="78546"/>
    <n v="0"/>
    <n v="36814"/>
    <n v="4287"/>
    <n v="581893"/>
    <n v="51123"/>
    <n v="530770"/>
    <n v="299756"/>
    <n v="231014"/>
  </r>
  <r>
    <s v="11"/>
    <x v="5"/>
    <x v="165"/>
    <x v="165"/>
    <n v="36.82"/>
    <n v="295.2"/>
    <n v="332.02"/>
    <n v="0"/>
    <n v="0"/>
    <n v="0"/>
    <n v="295"/>
    <n v="308.26"/>
    <n v="58.76"/>
    <n v="64.52"/>
    <n v="25.94"/>
    <n v="3.27"/>
    <n v="102348"/>
    <n v="3975"/>
    <n v="106323"/>
    <n v="17334"/>
    <n v="19033"/>
    <n v="0"/>
    <n v="8613"/>
    <n v="1086"/>
    <n v="152389"/>
    <n v="16927"/>
    <n v="135462"/>
    <n v="75777"/>
    <n v="59685"/>
  </r>
  <r>
    <s v="11"/>
    <x v="5"/>
    <x v="166"/>
    <x v="166"/>
    <n v="196.52"/>
    <n v="2004.3"/>
    <n v="2200.8200000000002"/>
    <n v="0"/>
    <n v="30"/>
    <n v="0"/>
    <n v="2034"/>
    <n v="308.26"/>
    <n v="58.76"/>
    <n v="64.52"/>
    <n v="25.94"/>
    <n v="3.27"/>
    <n v="678425"/>
    <n v="0"/>
    <n v="678425"/>
    <n v="119518"/>
    <n v="131234"/>
    <n v="0"/>
    <n v="57089"/>
    <n v="7197"/>
    <n v="993463"/>
    <n v="62785"/>
    <n v="930678"/>
    <n v="551706"/>
    <n v="378972"/>
  </r>
  <r>
    <s v="11"/>
    <x v="5"/>
    <x v="167"/>
    <x v="167"/>
    <n v="520.57000000000005"/>
    <n v="4351.1000000000004"/>
    <n v="4871.67"/>
    <n v="0"/>
    <n v="147"/>
    <n v="0"/>
    <n v="4498"/>
    <n v="308.26"/>
    <n v="58.76"/>
    <n v="64.52"/>
    <n v="25.94"/>
    <n v="3.27"/>
    <n v="1501741"/>
    <n v="5424"/>
    <n v="1507165"/>
    <n v="264302"/>
    <n v="290211"/>
    <n v="0"/>
    <n v="126371"/>
    <n v="15931"/>
    <n v="2203980"/>
    <n v="203105"/>
    <n v="2000875"/>
    <n v="1157115"/>
    <n v="843760"/>
  </r>
  <r>
    <s v="11"/>
    <x v="5"/>
    <x v="168"/>
    <x v="168"/>
    <n v="1270.72"/>
    <n v="12147.4"/>
    <n v="13418.12"/>
    <n v="0"/>
    <n v="695"/>
    <n v="1.3"/>
    <n v="12841"/>
    <n v="308.26"/>
    <n v="58.76"/>
    <n v="64.52"/>
    <n v="25.94"/>
    <n v="3.27"/>
    <n v="4136270"/>
    <n v="0"/>
    <n v="4136270"/>
    <n v="754537"/>
    <n v="828501"/>
    <n v="0"/>
    <n v="348066"/>
    <n v="43877"/>
    <n v="6111251"/>
    <n v="253394"/>
    <n v="5857857"/>
    <n v="3493079"/>
    <n v="2364778"/>
  </r>
  <r>
    <s v="11"/>
    <x v="5"/>
    <x v="169"/>
    <x v="169"/>
    <n v="76.73"/>
    <n v="502.1"/>
    <n v="578.83000000000004"/>
    <n v="0"/>
    <n v="4"/>
    <n v="0"/>
    <n v="506"/>
    <n v="308.26"/>
    <n v="58.76"/>
    <n v="64.52"/>
    <n v="25.94"/>
    <n v="3.27"/>
    <n v="178430"/>
    <n v="0"/>
    <n v="178430"/>
    <n v="29733"/>
    <n v="32647"/>
    <n v="0"/>
    <n v="15015"/>
    <n v="1893"/>
    <n v="257718"/>
    <n v="31621"/>
    <n v="226097"/>
    <n v="129995"/>
    <n v="96102"/>
  </r>
  <r>
    <s v="11"/>
    <x v="5"/>
    <x v="170"/>
    <x v="170"/>
    <n v="152.49"/>
    <n v="1644.9"/>
    <n v="1797.39"/>
    <n v="0"/>
    <n v="22"/>
    <n v="0"/>
    <n v="1667"/>
    <n v="308.26"/>
    <n v="58.76"/>
    <n v="64.52"/>
    <n v="25.94"/>
    <n v="3.27"/>
    <n v="554063"/>
    <n v="0"/>
    <n v="554063"/>
    <n v="97953"/>
    <n v="107555"/>
    <n v="0"/>
    <n v="46624"/>
    <n v="5877"/>
    <n v="812072"/>
    <n v="53719"/>
    <n v="758353"/>
    <n v="448130"/>
    <n v="310223"/>
  </r>
  <r>
    <s v="11"/>
    <x v="5"/>
    <x v="171"/>
    <x v="171"/>
    <n v="36.909999999999997"/>
    <n v="341.3"/>
    <n v="378.21"/>
    <n v="0"/>
    <n v="5"/>
    <n v="0"/>
    <n v="346"/>
    <n v="308.26"/>
    <n v="58.76"/>
    <n v="64.52"/>
    <n v="25.94"/>
    <n v="3.27"/>
    <n v="116587"/>
    <n v="0"/>
    <n v="116587"/>
    <n v="20331"/>
    <n v="22324"/>
    <n v="0"/>
    <n v="9811"/>
    <n v="1237"/>
    <n v="170290"/>
    <n v="14723"/>
    <n v="155567"/>
    <n v="90878"/>
    <n v="64689"/>
  </r>
  <r>
    <s v="11"/>
    <x v="5"/>
    <x v="172"/>
    <x v="172"/>
    <n v="230.65"/>
    <n v="2311.3000000000002"/>
    <n v="2541.9499999999998"/>
    <n v="0"/>
    <n v="36"/>
    <n v="0"/>
    <n v="2347"/>
    <n v="308.26"/>
    <n v="58.76"/>
    <n v="64.52"/>
    <n v="25.94"/>
    <n v="3.27"/>
    <n v="783582"/>
    <n v="0"/>
    <n v="783582"/>
    <n v="137910"/>
    <n v="151428"/>
    <n v="0"/>
    <n v="65938"/>
    <n v="8312"/>
    <n v="1147170"/>
    <n v="39354"/>
    <n v="1107816"/>
    <n v="670384"/>
    <n v="437432"/>
  </r>
  <r>
    <s v="11"/>
    <x v="5"/>
    <x v="173"/>
    <x v="173"/>
    <n v="363.72"/>
    <n v="2021"/>
    <n v="2384.7199999999998"/>
    <n v="0"/>
    <n v="150"/>
    <n v="3.9"/>
    <n v="2167"/>
    <n v="308.26"/>
    <n v="58.76"/>
    <n v="64.52"/>
    <n v="25.94"/>
    <n v="3.27"/>
    <n v="735114"/>
    <n v="0"/>
    <n v="735114"/>
    <n v="127333"/>
    <n v="139815"/>
    <n v="0"/>
    <n v="61860"/>
    <n v="7798"/>
    <n v="1071920"/>
    <n v="105619"/>
    <n v="966301"/>
    <n v="560219"/>
    <n v="406082"/>
  </r>
  <r>
    <s v="11"/>
    <x v="5"/>
    <x v="174"/>
    <x v="174"/>
    <n v="217.17"/>
    <n v="1952.4"/>
    <n v="2169.5700000000002"/>
    <n v="0"/>
    <n v="34"/>
    <n v="0"/>
    <n v="1986"/>
    <n v="308.26"/>
    <n v="58.76"/>
    <n v="64.52"/>
    <n v="25.94"/>
    <n v="3.27"/>
    <n v="668792"/>
    <n v="0"/>
    <n v="668792"/>
    <n v="116697"/>
    <n v="128137"/>
    <n v="0"/>
    <n v="56279"/>
    <n v="7094"/>
    <n v="976999"/>
    <n v="58812"/>
    <n v="918187"/>
    <n v="546954"/>
    <n v="371233"/>
  </r>
  <r>
    <s v="11"/>
    <x v="5"/>
    <x v="175"/>
    <x v="175"/>
    <n v="256.33"/>
    <n v="1707.1"/>
    <n v="1963.43"/>
    <n v="0"/>
    <n v="874"/>
    <n v="8.4"/>
    <n v="2573"/>
    <n v="308.26"/>
    <n v="58.76"/>
    <n v="64.52"/>
    <n v="25.94"/>
    <n v="3.27"/>
    <n v="605247"/>
    <n v="0"/>
    <n v="605247"/>
    <n v="151189"/>
    <n v="166010"/>
    <n v="0"/>
    <n v="50931"/>
    <n v="6420"/>
    <n v="979797"/>
    <n v="92884"/>
    <n v="886913"/>
    <n v="455325"/>
    <n v="431588"/>
  </r>
  <r>
    <s v="11"/>
    <x v="5"/>
    <x v="176"/>
    <x v="176"/>
    <n v="99.86"/>
    <n v="729.8"/>
    <n v="829.66"/>
    <n v="0"/>
    <n v="7"/>
    <n v="0"/>
    <n v="737"/>
    <n v="308.26"/>
    <n v="58.76"/>
    <n v="64.52"/>
    <n v="25.94"/>
    <n v="3.27"/>
    <n v="255751"/>
    <n v="6301"/>
    <n v="262052"/>
    <n v="43306"/>
    <n v="47551"/>
    <n v="0"/>
    <n v="21933"/>
    <n v="2770"/>
    <n v="377612"/>
    <n v="41179"/>
    <n v="336433"/>
    <n v="190939"/>
    <n v="145494"/>
  </r>
  <r>
    <s v="11"/>
    <x v="5"/>
    <x v="177"/>
    <x v="177"/>
    <n v="66.08"/>
    <n v="439.2"/>
    <n v="505.28"/>
    <n v="0"/>
    <n v="5"/>
    <n v="0"/>
    <n v="444"/>
    <n v="308.26"/>
    <n v="58.76"/>
    <n v="64.52"/>
    <n v="25.94"/>
    <n v="3.27"/>
    <n v="155758"/>
    <n v="0"/>
    <n v="155758"/>
    <n v="26089"/>
    <n v="28647"/>
    <n v="0"/>
    <n v="13107"/>
    <n v="1652"/>
    <n v="225253"/>
    <n v="23962"/>
    <n v="201291"/>
    <n v="117117"/>
    <n v="84174"/>
  </r>
  <r>
    <s v="11"/>
    <x v="5"/>
    <x v="178"/>
    <x v="178"/>
    <n v="37.31"/>
    <n v="487.2"/>
    <n v="524.51"/>
    <n v="0"/>
    <n v="0"/>
    <n v="0"/>
    <n v="487"/>
    <n v="308.26"/>
    <n v="58.76"/>
    <n v="64.52"/>
    <n v="25.94"/>
    <n v="3.27"/>
    <n v="161685"/>
    <n v="5040"/>
    <n v="166725"/>
    <n v="28616"/>
    <n v="31421"/>
    <n v="0"/>
    <n v="13954"/>
    <n v="1762"/>
    <n v="242478"/>
    <n v="26655"/>
    <n v="215823"/>
    <n v="120189"/>
    <n v="95634"/>
  </r>
  <r>
    <s v="11"/>
    <x v="5"/>
    <x v="179"/>
    <x v="179"/>
    <n v="62.05"/>
    <n v="424.9"/>
    <n v="486.95"/>
    <n v="0"/>
    <n v="2"/>
    <n v="0"/>
    <n v="427"/>
    <n v="308.26"/>
    <n v="58.76"/>
    <n v="64.52"/>
    <n v="25.94"/>
    <n v="3.27"/>
    <n v="150107"/>
    <n v="0"/>
    <n v="150107"/>
    <n v="25091"/>
    <n v="27550"/>
    <n v="0"/>
    <n v="12631"/>
    <n v="1592"/>
    <n v="216971"/>
    <n v="24283"/>
    <n v="192688"/>
    <n v="111678"/>
    <n v="81010"/>
  </r>
  <r>
    <s v="11"/>
    <x v="5"/>
    <x v="180"/>
    <x v="180"/>
    <n v="327.75"/>
    <n v="3223.6"/>
    <n v="3551.35"/>
    <n v="0"/>
    <n v="73"/>
    <n v="0"/>
    <n v="3297"/>
    <n v="308.26"/>
    <n v="58.76"/>
    <n v="64.52"/>
    <n v="25.94"/>
    <n v="3.27"/>
    <n v="1094739"/>
    <n v="0"/>
    <n v="1094739"/>
    <n v="193732"/>
    <n v="212722"/>
    <n v="0"/>
    <n v="92122"/>
    <n v="11613"/>
    <n v="1604928"/>
    <n v="64515"/>
    <n v="1540413"/>
    <n v="927058"/>
    <n v="613355"/>
  </r>
  <r>
    <s v="11"/>
    <x v="5"/>
    <x v="181"/>
    <x v="181"/>
    <n v="5733.95"/>
    <n v="31621.5"/>
    <n v="37355.449999999997"/>
    <n v="0"/>
    <n v="2379"/>
    <n v="3.2"/>
    <n v="33997"/>
    <n v="308.26"/>
    <n v="58.76"/>
    <n v="64.52"/>
    <n v="25.94"/>
    <n v="3.27"/>
    <n v="11515191"/>
    <n v="106699"/>
    <n v="11621890"/>
    <n v="1997664"/>
    <n v="2193486"/>
    <n v="0"/>
    <n v="972708"/>
    <n v="122844"/>
    <n v="16908592"/>
    <n v="1502984"/>
    <n v="15405608"/>
    <n v="8931431"/>
    <n v="6474177"/>
  </r>
  <r>
    <s v="11"/>
    <x v="5"/>
    <x v="182"/>
    <x v="182"/>
    <n v="52.54"/>
    <n v="577.1"/>
    <n v="629.64"/>
    <n v="0"/>
    <n v="5"/>
    <n v="0"/>
    <n v="582"/>
    <n v="308.26"/>
    <n v="58.76"/>
    <n v="64.52"/>
    <n v="25.94"/>
    <n v="3.27"/>
    <n v="194093"/>
    <n v="0"/>
    <n v="194093"/>
    <n v="34198"/>
    <n v="37551"/>
    <n v="0"/>
    <n v="16333"/>
    <n v="2059"/>
    <n v="284234"/>
    <n v="22833"/>
    <n v="261401"/>
    <n v="152969"/>
    <n v="108432"/>
  </r>
  <r>
    <s v="11"/>
    <x v="5"/>
    <x v="183"/>
    <x v="183"/>
    <n v="65.47"/>
    <n v="401.2"/>
    <n v="466.67"/>
    <n v="0"/>
    <n v="0"/>
    <n v="0"/>
    <n v="401"/>
    <n v="308.26"/>
    <n v="58.76"/>
    <n v="64.52"/>
    <n v="25.94"/>
    <n v="3.27"/>
    <n v="143856"/>
    <n v="11675"/>
    <n v="155531"/>
    <n v="23563"/>
    <n v="25873"/>
    <n v="0"/>
    <n v="12105"/>
    <n v="1526"/>
    <n v="218598"/>
    <n v="29687"/>
    <n v="188911"/>
    <n v="100612"/>
    <n v="88299"/>
  </r>
  <r>
    <s v="11"/>
    <x v="5"/>
    <x v="184"/>
    <x v="184"/>
    <n v="119.78"/>
    <n v="1534"/>
    <n v="1653.78"/>
    <n v="0"/>
    <n v="27"/>
    <n v="0"/>
    <n v="1561"/>
    <n v="308.26"/>
    <n v="58.76"/>
    <n v="64.52"/>
    <n v="25.94"/>
    <n v="3.27"/>
    <n v="509794"/>
    <n v="0"/>
    <n v="509794"/>
    <n v="91724"/>
    <n v="100716"/>
    <n v="0"/>
    <n v="42899"/>
    <n v="5408"/>
    <n v="750541"/>
    <n v="38933"/>
    <n v="711608"/>
    <n v="422819"/>
    <n v="288789"/>
  </r>
  <r>
    <s v="11"/>
    <x v="5"/>
    <x v="185"/>
    <x v="185"/>
    <n v="29.92"/>
    <n v="279.2"/>
    <n v="309.12"/>
    <n v="0"/>
    <n v="14"/>
    <n v="0"/>
    <n v="293"/>
    <n v="308.26"/>
    <n v="58.76"/>
    <n v="64.52"/>
    <n v="25.94"/>
    <n v="3.27"/>
    <n v="95289"/>
    <n v="2741"/>
    <n v="98030"/>
    <n v="17217"/>
    <n v="18904"/>
    <n v="0"/>
    <n v="8019"/>
    <n v="1011"/>
    <n v="143181"/>
    <n v="17419"/>
    <n v="125762"/>
    <n v="68891"/>
    <n v="56871"/>
  </r>
  <r>
    <s v="11"/>
    <x v="5"/>
    <x v="186"/>
    <x v="186"/>
    <n v="42.56"/>
    <n v="406.1"/>
    <n v="448.66"/>
    <n v="0"/>
    <n v="0"/>
    <n v="0"/>
    <n v="406"/>
    <n v="308.26"/>
    <n v="58.76"/>
    <n v="64.52"/>
    <n v="25.94"/>
    <n v="3.27"/>
    <n v="138304"/>
    <n v="11576"/>
    <n v="149880"/>
    <n v="23857"/>
    <n v="26195"/>
    <n v="0"/>
    <n v="12136"/>
    <n v="1533"/>
    <n v="213601"/>
    <n v="21657"/>
    <n v="191944"/>
    <n v="104177"/>
    <n v="87767"/>
  </r>
  <r>
    <s v="11"/>
    <x v="5"/>
    <x v="187"/>
    <x v="187"/>
    <n v="423.6"/>
    <n v="3475.9"/>
    <n v="3899.5"/>
    <n v="0"/>
    <n v="9"/>
    <n v="0"/>
    <n v="3485"/>
    <n v="308.26"/>
    <n v="58.76"/>
    <n v="64.52"/>
    <n v="25.94"/>
    <n v="3.27"/>
    <n v="1202060"/>
    <n v="0"/>
    <n v="1202060"/>
    <n v="204779"/>
    <n v="224852"/>
    <n v="0"/>
    <n v="101153"/>
    <n v="12751"/>
    <n v="1745595"/>
    <n v="139171"/>
    <n v="1606424"/>
    <n v="949608"/>
    <n v="656816"/>
  </r>
  <r>
    <s v="11"/>
    <x v="5"/>
    <x v="188"/>
    <x v="188"/>
    <n v="78.569999999999993"/>
    <n v="812.1"/>
    <n v="890.67"/>
    <n v="0"/>
    <n v="6"/>
    <n v="0"/>
    <n v="818"/>
    <n v="308.26"/>
    <n v="58.76"/>
    <n v="64.52"/>
    <n v="25.94"/>
    <n v="3.27"/>
    <n v="274558"/>
    <n v="5227"/>
    <n v="279785"/>
    <n v="48066"/>
    <n v="52777"/>
    <n v="0"/>
    <n v="23235"/>
    <n v="2934"/>
    <n v="406797"/>
    <n v="33511"/>
    <n v="373286"/>
    <n v="215326"/>
    <n v="157960"/>
  </r>
  <r>
    <s v="11"/>
    <x v="5"/>
    <x v="189"/>
    <x v="189"/>
    <n v="777.4"/>
    <n v="7004.2"/>
    <n v="7781.6"/>
    <n v="0"/>
    <n v="381"/>
    <n v="0"/>
    <n v="7385"/>
    <n v="308.26"/>
    <n v="58.76"/>
    <n v="64.52"/>
    <n v="25.94"/>
    <n v="3.27"/>
    <n v="2398756"/>
    <n v="0"/>
    <n v="2398756"/>
    <n v="433943"/>
    <n v="476480"/>
    <n v="0"/>
    <n v="201855"/>
    <n v="25446"/>
    <n v="3536480"/>
    <n v="179185"/>
    <n v="3357295"/>
    <n v="1993516"/>
    <n v="1363779"/>
  </r>
  <r>
    <s v="11"/>
    <x v="5"/>
    <x v="190"/>
    <x v="190"/>
    <n v="252.08"/>
    <n v="1752.6"/>
    <n v="2004.68"/>
    <n v="0"/>
    <n v="16"/>
    <n v="0"/>
    <n v="1769"/>
    <n v="308.26"/>
    <n v="58.76"/>
    <n v="64.52"/>
    <n v="25.94"/>
    <n v="3.27"/>
    <n v="617963"/>
    <n v="0"/>
    <n v="617963"/>
    <n v="103946"/>
    <n v="114136"/>
    <n v="0"/>
    <n v="52001"/>
    <n v="6555"/>
    <n v="894601"/>
    <n v="89650"/>
    <n v="804951"/>
    <n v="470076"/>
    <n v="334875"/>
  </r>
  <r>
    <s v="11"/>
    <x v="5"/>
    <x v="191"/>
    <x v="191"/>
    <n v="52.66"/>
    <n v="434.6"/>
    <n v="487.26"/>
    <n v="0"/>
    <n v="56"/>
    <n v="0"/>
    <n v="491"/>
    <n v="308.26"/>
    <n v="58.76"/>
    <n v="64.52"/>
    <n v="25.94"/>
    <n v="3.27"/>
    <n v="150203"/>
    <n v="3667"/>
    <n v="153870"/>
    <n v="28851"/>
    <n v="31679"/>
    <n v="0"/>
    <n v="12878"/>
    <n v="1626"/>
    <n v="228904"/>
    <n v="23232"/>
    <n v="205672"/>
    <n v="113087"/>
    <n v="92585"/>
  </r>
  <r>
    <s v="11"/>
    <x v="5"/>
    <x v="192"/>
    <x v="192"/>
    <n v="82.04"/>
    <n v="675.7"/>
    <n v="757.74"/>
    <n v="0"/>
    <n v="5"/>
    <n v="0"/>
    <n v="681"/>
    <n v="308.26"/>
    <n v="58.76"/>
    <n v="64.52"/>
    <n v="25.94"/>
    <n v="3.27"/>
    <n v="233581"/>
    <n v="0"/>
    <n v="233581"/>
    <n v="40016"/>
    <n v="43938"/>
    <n v="0"/>
    <n v="19656"/>
    <n v="2478"/>
    <n v="339669"/>
    <n v="25816"/>
    <n v="313853"/>
    <n v="185753"/>
    <n v="128100"/>
  </r>
  <r>
    <s v="11"/>
    <x v="5"/>
    <x v="193"/>
    <x v="193"/>
    <n v="46.59"/>
    <n v="515.29999999999995"/>
    <n v="561.89"/>
    <n v="0"/>
    <n v="25"/>
    <n v="0"/>
    <n v="540"/>
    <n v="308.26"/>
    <n v="58.76"/>
    <n v="64.52"/>
    <n v="25.94"/>
    <n v="3.27"/>
    <n v="173208"/>
    <n v="0"/>
    <n v="173208"/>
    <n v="31730"/>
    <n v="34841"/>
    <n v="0"/>
    <n v="14575"/>
    <n v="1837"/>
    <n v="256191"/>
    <n v="22923"/>
    <n v="233268"/>
    <n v="133962"/>
    <n v="99306"/>
  </r>
  <r>
    <s v="11"/>
    <x v="5"/>
    <x v="194"/>
    <x v="194"/>
    <n v="51.24"/>
    <n v="328"/>
    <n v="379.24"/>
    <n v="0"/>
    <n v="0"/>
    <n v="0"/>
    <n v="328"/>
    <n v="308.26"/>
    <n v="58.76"/>
    <n v="64.52"/>
    <n v="25.94"/>
    <n v="3.27"/>
    <n v="116905"/>
    <n v="0"/>
    <n v="116905"/>
    <n v="19273"/>
    <n v="21163"/>
    <n v="0"/>
    <n v="9837"/>
    <n v="1240"/>
    <n v="168418"/>
    <n v="20816"/>
    <n v="147602"/>
    <n v="85071"/>
    <n v="62531"/>
  </r>
  <r>
    <s v="11"/>
    <x v="5"/>
    <x v="195"/>
    <x v="195"/>
    <n v="170.32"/>
    <n v="1470.9"/>
    <n v="1641.22"/>
    <n v="0"/>
    <n v="2"/>
    <n v="0"/>
    <n v="1473"/>
    <n v="308.26"/>
    <n v="58.76"/>
    <n v="64.52"/>
    <n v="25.94"/>
    <n v="3.27"/>
    <n v="505922"/>
    <n v="0"/>
    <n v="505922"/>
    <n v="86553"/>
    <n v="95038"/>
    <n v="0"/>
    <n v="42573"/>
    <n v="5367"/>
    <n v="735453"/>
    <n v="69114"/>
    <n v="666339"/>
    <n v="389131"/>
    <n v="277208"/>
  </r>
  <r>
    <s v="11"/>
    <x v="5"/>
    <x v="196"/>
    <x v="196"/>
    <n v="472.21"/>
    <n v="2947.9"/>
    <n v="3420.11"/>
    <n v="0"/>
    <n v="81"/>
    <n v="0.3"/>
    <n v="3029"/>
    <n v="308.26"/>
    <n v="58.76"/>
    <n v="64.52"/>
    <n v="25.94"/>
    <n v="3.27"/>
    <n v="1054283"/>
    <n v="0"/>
    <n v="1054283"/>
    <n v="177984"/>
    <n v="195431"/>
    <n v="0"/>
    <n v="88718"/>
    <n v="11184"/>
    <n v="1527600"/>
    <n v="154889"/>
    <n v="1372711"/>
    <n v="800041"/>
    <n v="572670"/>
  </r>
  <r>
    <s v="11"/>
    <x v="5"/>
    <x v="197"/>
    <x v="197"/>
    <n v="126.56"/>
    <n v="1896.9"/>
    <n v="2023.46"/>
    <n v="0"/>
    <n v="31"/>
    <n v="0"/>
    <n v="1928"/>
    <n v="308.26"/>
    <n v="58.76"/>
    <n v="64.52"/>
    <n v="25.94"/>
    <n v="3.27"/>
    <n v="623752"/>
    <n v="0"/>
    <n v="623752"/>
    <n v="113289"/>
    <n v="124395"/>
    <n v="0"/>
    <n v="52489"/>
    <n v="6617"/>
    <n v="920542"/>
    <n v="39904"/>
    <n v="880638"/>
    <n v="525067"/>
    <n v="355571"/>
  </r>
  <r>
    <s v="11"/>
    <x v="5"/>
    <x v="198"/>
    <x v="198"/>
    <n v="337.24"/>
    <n v="3190"/>
    <n v="3527.24"/>
    <n v="0"/>
    <n v="68"/>
    <n v="0"/>
    <n v="3258"/>
    <n v="308.26"/>
    <n v="58.76"/>
    <n v="64.52"/>
    <n v="25.94"/>
    <n v="3.27"/>
    <n v="1087307"/>
    <n v="0"/>
    <n v="1087307"/>
    <n v="191440"/>
    <n v="210206"/>
    <n v="0"/>
    <n v="91497"/>
    <n v="11534"/>
    <n v="1591984"/>
    <n v="95234"/>
    <n v="1496750"/>
    <n v="889607"/>
    <n v="607143"/>
  </r>
  <r>
    <s v="11"/>
    <x v="5"/>
    <x v="199"/>
    <x v="199"/>
    <n v="51.46"/>
    <n v="607.79999999999995"/>
    <n v="659.26"/>
    <n v="0"/>
    <n v="9"/>
    <n v="0"/>
    <n v="617"/>
    <n v="308.26"/>
    <n v="58.76"/>
    <n v="64.52"/>
    <n v="25.94"/>
    <n v="3.27"/>
    <n v="203223"/>
    <n v="856"/>
    <n v="204079"/>
    <n v="36255"/>
    <n v="39809"/>
    <n v="0"/>
    <n v="17101"/>
    <n v="2157"/>
    <n v="299401"/>
    <n v="31557"/>
    <n v="267844"/>
    <n v="152516"/>
    <n v="115328"/>
  </r>
  <r>
    <s v="11"/>
    <x v="5"/>
    <x v="200"/>
    <x v="200"/>
    <n v="109.51"/>
    <n v="1023.6"/>
    <n v="1133.1099999999999"/>
    <n v="0"/>
    <n v="17"/>
    <n v="0"/>
    <n v="1041"/>
    <n v="308.26"/>
    <n v="58.76"/>
    <n v="64.52"/>
    <n v="25.94"/>
    <n v="3.27"/>
    <n v="349292"/>
    <n v="4887"/>
    <n v="354179"/>
    <n v="61169"/>
    <n v="67165"/>
    <n v="0"/>
    <n v="29643"/>
    <n v="3744"/>
    <n v="515900"/>
    <n v="44572"/>
    <n v="471328"/>
    <n v="272093"/>
    <n v="199235"/>
  </r>
  <r>
    <s v="11"/>
    <x v="5"/>
    <x v="201"/>
    <x v="201"/>
    <n v="82.94"/>
    <n v="692.3"/>
    <n v="775.24"/>
    <n v="0"/>
    <n v="0"/>
    <n v="0"/>
    <n v="692"/>
    <n v="308.26"/>
    <n v="58.76"/>
    <n v="64.52"/>
    <n v="25.94"/>
    <n v="3.27"/>
    <n v="238975"/>
    <n v="0"/>
    <n v="238975"/>
    <n v="40662"/>
    <n v="44648"/>
    <n v="0"/>
    <n v="20110"/>
    <n v="2535"/>
    <n v="346930"/>
    <n v="32669"/>
    <n v="314261"/>
    <n v="183786"/>
    <n v="130475"/>
  </r>
  <r>
    <s v="11"/>
    <x v="5"/>
    <x v="202"/>
    <x v="202"/>
    <n v="230.29"/>
    <n v="2139.1999999999998"/>
    <n v="2369.4899999999998"/>
    <n v="0"/>
    <n v="569"/>
    <n v="3.9"/>
    <n v="2704"/>
    <n v="308.26"/>
    <n v="58.76"/>
    <n v="64.52"/>
    <n v="25.94"/>
    <n v="3.27"/>
    <n v="730419"/>
    <n v="0"/>
    <n v="730419"/>
    <n v="158887"/>
    <n v="174462"/>
    <n v="0"/>
    <n v="61465"/>
    <n v="7748"/>
    <n v="1132981"/>
    <n v="94924"/>
    <n v="1038057"/>
    <n v="566662"/>
    <n v="471395"/>
  </r>
  <r>
    <s v="11"/>
    <x v="5"/>
    <x v="203"/>
    <x v="203"/>
    <n v="231.72"/>
    <n v="1818.4"/>
    <n v="2050.12"/>
    <n v="0"/>
    <n v="90"/>
    <n v="6.2"/>
    <n v="1902"/>
    <n v="308.26"/>
    <n v="58.76"/>
    <n v="64.52"/>
    <n v="25.94"/>
    <n v="3.27"/>
    <n v="631970"/>
    <n v="0"/>
    <n v="631970"/>
    <n v="111762"/>
    <n v="122717"/>
    <n v="0"/>
    <n v="53180"/>
    <n v="6704"/>
    <n v="926333"/>
    <n v="80425"/>
    <n v="845908"/>
    <n v="491989"/>
    <n v="353919"/>
  </r>
  <r>
    <s v="11"/>
    <x v="5"/>
    <x v="204"/>
    <x v="204"/>
    <n v="77.05"/>
    <n v="650"/>
    <n v="727.05"/>
    <n v="0"/>
    <n v="1"/>
    <n v="0"/>
    <n v="651"/>
    <n v="308.26"/>
    <n v="58.76"/>
    <n v="64.52"/>
    <n v="25.94"/>
    <n v="3.27"/>
    <n v="224120"/>
    <n v="5534"/>
    <n v="229654"/>
    <n v="38253"/>
    <n v="42003"/>
    <n v="0"/>
    <n v="19221"/>
    <n v="2427"/>
    <n v="331558"/>
    <n v="30464"/>
    <n v="301094"/>
    <n v="172947"/>
    <n v="128147"/>
  </r>
  <r>
    <s v="11"/>
    <x v="5"/>
    <x v="205"/>
    <x v="205"/>
    <n v="73.569999999999993"/>
    <n v="969"/>
    <n v="1042.57"/>
    <n v="0"/>
    <n v="12"/>
    <n v="0"/>
    <n v="981"/>
    <n v="308.26"/>
    <n v="58.76"/>
    <n v="64.52"/>
    <n v="25.94"/>
    <n v="3.27"/>
    <n v="321383"/>
    <n v="8646"/>
    <n v="330029"/>
    <n v="57644"/>
    <n v="63294"/>
    <n v="0"/>
    <n v="27294"/>
    <n v="3447"/>
    <n v="481708"/>
    <n v="47283"/>
    <n v="434425"/>
    <n v="244101"/>
    <n v="190324"/>
  </r>
  <r>
    <s v="11"/>
    <x v="5"/>
    <x v="206"/>
    <x v="206"/>
    <n v="137.43"/>
    <n v="1075.4000000000001"/>
    <n v="1212.83"/>
    <n v="0"/>
    <n v="48"/>
    <n v="0"/>
    <n v="1123"/>
    <n v="308.26"/>
    <n v="58.76"/>
    <n v="64.52"/>
    <n v="25.94"/>
    <n v="3.27"/>
    <n v="373867"/>
    <n v="12012"/>
    <n v="385879"/>
    <n v="65987"/>
    <n v="72456"/>
    <n v="0"/>
    <n v="32297"/>
    <n v="4079"/>
    <n v="560698"/>
    <n v="66136"/>
    <n v="494562"/>
    <n v="273448"/>
    <n v="221114"/>
  </r>
  <r>
    <s v="11"/>
    <x v="5"/>
    <x v="207"/>
    <x v="207"/>
    <n v="911.81"/>
    <n v="6910.5"/>
    <n v="7822.31"/>
    <n v="0"/>
    <n v="302"/>
    <n v="0"/>
    <n v="7213"/>
    <n v="308.26"/>
    <n v="58.76"/>
    <n v="64.52"/>
    <n v="25.94"/>
    <n v="3.27"/>
    <n v="2411305"/>
    <n v="0"/>
    <n v="2411305"/>
    <n v="423836"/>
    <n v="465383"/>
    <n v="0"/>
    <n v="202911"/>
    <n v="25579"/>
    <n v="3529014"/>
    <n v="198481"/>
    <n v="3330533"/>
    <n v="1985587"/>
    <n v="1344946"/>
  </r>
  <r>
    <s v="11"/>
    <x v="5"/>
    <x v="208"/>
    <x v="208"/>
    <n v="73.78"/>
    <n v="536.79999999999995"/>
    <n v="610.58000000000004"/>
    <n v="0"/>
    <n v="0"/>
    <n v="0"/>
    <n v="537"/>
    <n v="308.26"/>
    <n v="58.76"/>
    <n v="64.52"/>
    <n v="25.94"/>
    <n v="3.27"/>
    <n v="188217"/>
    <n v="187"/>
    <n v="188404"/>
    <n v="31554"/>
    <n v="34647"/>
    <n v="0"/>
    <n v="15838"/>
    <n v="1997"/>
    <n v="272440"/>
    <n v="26643"/>
    <n v="245797"/>
    <n v="143837"/>
    <n v="101960"/>
  </r>
  <r>
    <s v="11"/>
    <x v="5"/>
    <x v="209"/>
    <x v="209"/>
    <n v="62.18"/>
    <n v="309.89999999999998"/>
    <n v="372.08"/>
    <n v="0"/>
    <n v="11"/>
    <n v="0"/>
    <n v="321"/>
    <n v="308.26"/>
    <n v="58.76"/>
    <n v="64.52"/>
    <n v="25.94"/>
    <n v="3.27"/>
    <n v="114697"/>
    <n v="3602"/>
    <n v="118299"/>
    <n v="18862"/>
    <n v="20711"/>
    <n v="0"/>
    <n v="9712"/>
    <n v="1226"/>
    <n v="168810"/>
    <n v="20920"/>
    <n v="147890"/>
    <n v="83038"/>
    <n v="64852"/>
  </r>
  <r>
    <s v="11"/>
    <x v="5"/>
    <x v="210"/>
    <x v="210"/>
    <n v="48.19"/>
    <n v="372"/>
    <n v="420.19"/>
    <n v="0"/>
    <n v="9"/>
    <n v="0"/>
    <n v="381"/>
    <n v="308.26"/>
    <n v="58.76"/>
    <n v="64.52"/>
    <n v="25.94"/>
    <n v="3.27"/>
    <n v="129528"/>
    <n v="6342"/>
    <n v="135870"/>
    <n v="22388"/>
    <n v="24582"/>
    <n v="0"/>
    <n v="11372"/>
    <n v="1436"/>
    <n v="195648"/>
    <n v="19730"/>
    <n v="175918"/>
    <n v="98126"/>
    <n v="77792"/>
  </r>
  <r>
    <s v="11"/>
    <x v="5"/>
    <x v="211"/>
    <x v="211"/>
    <n v="406.93"/>
    <n v="3368"/>
    <n v="3774.93"/>
    <n v="0"/>
    <n v="455"/>
    <n v="1.1000000000000001"/>
    <n v="3822"/>
    <n v="308.26"/>
    <n v="58.76"/>
    <n v="64.52"/>
    <n v="25.94"/>
    <n v="3.27"/>
    <n v="1163660"/>
    <n v="0"/>
    <n v="1163660"/>
    <n v="224581"/>
    <n v="246595"/>
    <n v="0"/>
    <n v="97922"/>
    <n v="12344"/>
    <n v="1745102"/>
    <n v="138380"/>
    <n v="1606722"/>
    <n v="915619"/>
    <n v="691103"/>
  </r>
  <r>
    <s v="11"/>
    <x v="5"/>
    <x v="212"/>
    <x v="212"/>
    <n v="54.73"/>
    <n v="779.3"/>
    <n v="834.03"/>
    <n v="0"/>
    <n v="30"/>
    <n v="0"/>
    <n v="809"/>
    <n v="308.26"/>
    <n v="58.76"/>
    <n v="64.52"/>
    <n v="25.94"/>
    <n v="3.27"/>
    <n v="257098"/>
    <n v="0"/>
    <n v="257098"/>
    <n v="47537"/>
    <n v="52197"/>
    <n v="0"/>
    <n v="21635"/>
    <n v="2727"/>
    <n v="381194"/>
    <n v="22227"/>
    <n v="358967"/>
    <n v="210643"/>
    <n v="148324"/>
  </r>
  <r>
    <s v="11"/>
    <x v="5"/>
    <x v="213"/>
    <x v="213"/>
    <n v="1077.17"/>
    <n v="11994.7"/>
    <n v="13071.87"/>
    <n v="0"/>
    <n v="1175"/>
    <n v="0.6"/>
    <n v="13169"/>
    <n v="308.26"/>
    <n v="58.76"/>
    <n v="64.52"/>
    <n v="25.94"/>
    <n v="3.27"/>
    <n v="4029535"/>
    <n v="0"/>
    <n v="4029535"/>
    <n v="773810"/>
    <n v="849664"/>
    <n v="0"/>
    <n v="339084"/>
    <n v="42745"/>
    <n v="6034838"/>
    <n v="115205"/>
    <n v="5919633"/>
    <n v="3534592"/>
    <n v="2385041"/>
  </r>
  <r>
    <s v="11"/>
    <x v="5"/>
    <x v="214"/>
    <x v="214"/>
    <n v="147.66999999999999"/>
    <n v="954.7"/>
    <n v="1102.3699999999999"/>
    <n v="0"/>
    <n v="4"/>
    <n v="0"/>
    <n v="959"/>
    <n v="308.26"/>
    <n v="58.76"/>
    <n v="64.52"/>
    <n v="25.94"/>
    <n v="3.27"/>
    <n v="339817"/>
    <n v="0"/>
    <n v="339817"/>
    <n v="56351"/>
    <n v="61875"/>
    <n v="0"/>
    <n v="28595"/>
    <n v="3605"/>
    <n v="490243"/>
    <n v="43965"/>
    <n v="446278"/>
    <n v="263828"/>
    <n v="182450"/>
  </r>
  <r>
    <s v="11"/>
    <x v="5"/>
    <x v="215"/>
    <x v="215"/>
    <n v="1078.19"/>
    <n v="8820.1"/>
    <n v="9898.2900000000009"/>
    <n v="0"/>
    <n v="1224"/>
    <n v="3.7"/>
    <n v="10040"/>
    <n v="308.26"/>
    <n v="58.76"/>
    <n v="64.52"/>
    <n v="25.94"/>
    <n v="3.27"/>
    <n v="3051247"/>
    <n v="0"/>
    <n v="3051247"/>
    <n v="589950"/>
    <n v="647781"/>
    <n v="0"/>
    <n v="256762"/>
    <n v="32367"/>
    <n v="4578107"/>
    <n v="390197"/>
    <n v="4187910"/>
    <n v="2373505"/>
    <n v="1814405"/>
  </r>
  <r>
    <s v="11"/>
    <x v="5"/>
    <x v="216"/>
    <x v="216"/>
    <n v="190.38"/>
    <n v="1669.6"/>
    <n v="1859.98"/>
    <n v="0"/>
    <n v="13"/>
    <n v="0"/>
    <n v="1683"/>
    <n v="308.26"/>
    <n v="58.76"/>
    <n v="64.52"/>
    <n v="25.94"/>
    <n v="3.27"/>
    <n v="573357"/>
    <n v="4501"/>
    <n v="577858"/>
    <n v="98893"/>
    <n v="108587"/>
    <n v="0"/>
    <n v="48364"/>
    <n v="6108"/>
    <n v="839810"/>
    <n v="70332"/>
    <n v="769478"/>
    <n v="449135"/>
    <n v="320343"/>
  </r>
  <r>
    <s v="11"/>
    <x v="5"/>
    <x v="217"/>
    <x v="217"/>
    <n v="88.41"/>
    <n v="1006.7"/>
    <n v="1095.1099999999999"/>
    <n v="0"/>
    <n v="45"/>
    <n v="0"/>
    <n v="1052"/>
    <n v="308.26"/>
    <n v="58.76"/>
    <n v="64.52"/>
    <n v="25.94"/>
    <n v="3.27"/>
    <n v="337579"/>
    <n v="0"/>
    <n v="337579"/>
    <n v="61816"/>
    <n v="67875"/>
    <n v="0"/>
    <n v="28407"/>
    <n v="3581"/>
    <n v="499258"/>
    <n v="30067"/>
    <n v="469191"/>
    <n v="275699"/>
    <n v="193492"/>
  </r>
  <r>
    <s v="12"/>
    <x v="6"/>
    <x v="218"/>
    <x v="218"/>
    <n v="72.77"/>
    <n v="539.5"/>
    <n v="612.27"/>
    <n v="1.25"/>
    <n v="10"/>
    <n v="0"/>
    <n v="550"/>
    <n v="322.89999999999998"/>
    <n v="59.17"/>
    <n v="66.3"/>
    <n v="32.5"/>
    <n v="3.88"/>
    <n v="197702"/>
    <n v="9701"/>
    <n v="207403"/>
    <n v="32544"/>
    <n v="36465"/>
    <n v="404"/>
    <n v="20866"/>
    <n v="2492"/>
    <n v="300174"/>
    <n v="26925"/>
    <n v="273249"/>
    <n v="149813"/>
    <n v="123436"/>
  </r>
  <r>
    <s v="12"/>
    <x v="6"/>
    <x v="219"/>
    <x v="219"/>
    <n v="38.630000000000003"/>
    <n v="278"/>
    <n v="316.63"/>
    <n v="0.65"/>
    <n v="65"/>
    <n v="0"/>
    <n v="343"/>
    <n v="322.89999999999998"/>
    <n v="59.17"/>
    <n v="66.3"/>
    <n v="32.5"/>
    <n v="3.88"/>
    <n v="102240"/>
    <n v="3087"/>
    <n v="105327"/>
    <n v="20295"/>
    <n v="22741"/>
    <n v="210"/>
    <n v="10290"/>
    <n v="1229"/>
    <n v="160092"/>
    <n v="20681"/>
    <n v="139411"/>
    <n v="70158"/>
    <n v="69253"/>
  </r>
  <r>
    <s v="12"/>
    <x v="6"/>
    <x v="220"/>
    <x v="220"/>
    <n v="79.010000000000005"/>
    <n v="594.29999999999995"/>
    <n v="673.31"/>
    <n v="1.38"/>
    <n v="358"/>
    <n v="5.0999999999999996"/>
    <n v="947"/>
    <n v="322.89999999999998"/>
    <n v="59.17"/>
    <n v="66.3"/>
    <n v="32.5"/>
    <n v="3.88"/>
    <n v="217412"/>
    <n v="0"/>
    <n v="217412"/>
    <n v="56034"/>
    <n v="62786"/>
    <n v="446"/>
    <n v="21883"/>
    <n v="2612"/>
    <n v="361173"/>
    <n v="31059"/>
    <n v="330114"/>
    <n v="162109"/>
    <n v="168005"/>
  </r>
  <r>
    <s v="12"/>
    <x v="6"/>
    <x v="221"/>
    <x v="221"/>
    <n v="92.04"/>
    <n v="748.6"/>
    <n v="840.64"/>
    <n v="1.72"/>
    <n v="131"/>
    <n v="0"/>
    <n v="880"/>
    <n v="322.89999999999998"/>
    <n v="59.17"/>
    <n v="66.3"/>
    <n v="32.5"/>
    <n v="3.88"/>
    <n v="271443"/>
    <n v="0"/>
    <n v="271443"/>
    <n v="52070"/>
    <n v="58344"/>
    <n v="555"/>
    <n v="27321"/>
    <n v="3262"/>
    <n v="412995"/>
    <n v="34843"/>
    <n v="378152"/>
    <n v="206330"/>
    <n v="171822"/>
  </r>
  <r>
    <s v="12"/>
    <x v="6"/>
    <x v="222"/>
    <x v="222"/>
    <n v="46.21"/>
    <n v="265"/>
    <n v="311.20999999999998"/>
    <n v="0.63"/>
    <n v="0"/>
    <n v="0"/>
    <n v="265"/>
    <n v="322.89999999999998"/>
    <n v="59.17"/>
    <n v="66.3"/>
    <n v="32.5"/>
    <n v="3.88"/>
    <n v="100490"/>
    <n v="0"/>
    <n v="100490"/>
    <n v="15680"/>
    <n v="17570"/>
    <n v="203"/>
    <n v="10114"/>
    <n v="1207"/>
    <n v="145264"/>
    <n v="17747"/>
    <n v="127517"/>
    <n v="71534"/>
    <n v="55983"/>
  </r>
  <r>
    <s v="12"/>
    <x v="6"/>
    <x v="223"/>
    <x v="223"/>
    <n v="132.93"/>
    <n v="1028.7"/>
    <n v="1161.6300000000001"/>
    <n v="2.37"/>
    <n v="5"/>
    <n v="0"/>
    <n v="1034"/>
    <n v="322.89999999999998"/>
    <n v="59.17"/>
    <n v="66.3"/>
    <n v="32.5"/>
    <n v="3.88"/>
    <n v="375090"/>
    <n v="0"/>
    <n v="375090"/>
    <n v="61182"/>
    <n v="68554"/>
    <n v="765"/>
    <n v="37753"/>
    <n v="4507"/>
    <n v="547851"/>
    <n v="53299"/>
    <n v="494552"/>
    <n v="279961"/>
    <n v="214591"/>
  </r>
  <r>
    <s v="12"/>
    <x v="6"/>
    <x v="224"/>
    <x v="224"/>
    <n v="249.76"/>
    <n v="2068.6"/>
    <n v="2318.36"/>
    <n v="4.74"/>
    <n v="144"/>
    <n v="0"/>
    <n v="2213"/>
    <n v="322.89999999999998"/>
    <n v="59.17"/>
    <n v="66.3"/>
    <n v="32.5"/>
    <n v="3.88"/>
    <n v="748598"/>
    <n v="22425"/>
    <n v="771023"/>
    <n v="130943"/>
    <n v="146722"/>
    <n v="1531"/>
    <n v="77569"/>
    <n v="9262"/>
    <n v="1137050"/>
    <n v="77738"/>
    <n v="1059312"/>
    <n v="589868"/>
    <n v="469444"/>
  </r>
  <r>
    <s v="12"/>
    <x v="6"/>
    <x v="225"/>
    <x v="225"/>
    <n v="49.12"/>
    <n v="468"/>
    <n v="517.12"/>
    <n v="1.06"/>
    <n v="1"/>
    <n v="0"/>
    <n v="469"/>
    <n v="322.89999999999998"/>
    <n v="59.17"/>
    <n v="66.3"/>
    <n v="32.5"/>
    <n v="3.88"/>
    <n v="166978"/>
    <n v="0"/>
    <n v="166978"/>
    <n v="27751"/>
    <n v="31095"/>
    <n v="342"/>
    <n v="16806"/>
    <n v="2006"/>
    <n v="244978"/>
    <n v="25821"/>
    <n v="219157"/>
    <n v="122536"/>
    <n v="96621"/>
  </r>
  <r>
    <s v="12"/>
    <x v="6"/>
    <x v="226"/>
    <x v="226"/>
    <n v="45.03"/>
    <n v="425"/>
    <n v="470.03"/>
    <n v="0.96"/>
    <n v="9"/>
    <n v="0"/>
    <n v="434"/>
    <n v="322.89999999999998"/>
    <n v="59.17"/>
    <n v="66.3"/>
    <n v="32.5"/>
    <n v="3.88"/>
    <n v="151773"/>
    <n v="0"/>
    <n v="151773"/>
    <n v="25680"/>
    <n v="28774"/>
    <n v="310"/>
    <n v="15276"/>
    <n v="1824"/>
    <n v="223637"/>
    <n v="24051"/>
    <n v="199586"/>
    <n v="110797"/>
    <n v="88789"/>
  </r>
  <r>
    <s v="12"/>
    <x v="6"/>
    <x v="227"/>
    <x v="227"/>
    <n v="118.31"/>
    <n v="612.20000000000005"/>
    <n v="730.51"/>
    <n v="1.49"/>
    <n v="123"/>
    <n v="0"/>
    <n v="735"/>
    <n v="322.89999999999998"/>
    <n v="59.17"/>
    <n v="66.3"/>
    <n v="32.5"/>
    <n v="3.88"/>
    <n v="235882"/>
    <n v="0"/>
    <n v="235882"/>
    <n v="43490"/>
    <n v="48731"/>
    <n v="481"/>
    <n v="23742"/>
    <n v="2834"/>
    <n v="355160"/>
    <n v="41896"/>
    <n v="313264"/>
    <n v="167680"/>
    <n v="145584"/>
  </r>
  <r>
    <s v="12"/>
    <x v="6"/>
    <x v="228"/>
    <x v="228"/>
    <n v="34.35"/>
    <n v="521"/>
    <n v="555.35"/>
    <n v="1.1299999999999999"/>
    <n v="18"/>
    <n v="0"/>
    <n v="539"/>
    <n v="322.89999999999998"/>
    <n v="59.17"/>
    <n v="66.3"/>
    <n v="32.5"/>
    <n v="3.88"/>
    <n v="179323"/>
    <n v="2409"/>
    <n v="181732"/>
    <n v="31893"/>
    <n v="35736"/>
    <n v="365"/>
    <n v="18283"/>
    <n v="2183"/>
    <n v="270192"/>
    <n v="25986"/>
    <n v="244206"/>
    <n v="133600"/>
    <n v="110606"/>
  </r>
  <r>
    <s v="12"/>
    <x v="6"/>
    <x v="229"/>
    <x v="229"/>
    <n v="49.68"/>
    <n v="466.7"/>
    <n v="516.38"/>
    <n v="1.06"/>
    <n v="4"/>
    <n v="0"/>
    <n v="471"/>
    <n v="322.89999999999998"/>
    <n v="59.17"/>
    <n v="66.3"/>
    <n v="32.5"/>
    <n v="3.88"/>
    <n v="166739"/>
    <n v="0"/>
    <n v="166739"/>
    <n v="27869"/>
    <n v="31227"/>
    <n v="342"/>
    <n v="16782"/>
    <n v="2004"/>
    <n v="244963"/>
    <n v="21764"/>
    <n v="223199"/>
    <n v="126382"/>
    <n v="96817"/>
  </r>
  <r>
    <s v="12"/>
    <x v="6"/>
    <x v="230"/>
    <x v="230"/>
    <n v="48.01"/>
    <n v="607.9"/>
    <n v="655.91"/>
    <n v="1.34"/>
    <n v="15"/>
    <n v="0"/>
    <n v="623"/>
    <n v="322.89999999999998"/>
    <n v="59.17"/>
    <n v="66.3"/>
    <n v="32.5"/>
    <n v="3.88"/>
    <n v="211793"/>
    <n v="0"/>
    <n v="211793"/>
    <n v="36863"/>
    <n v="41305"/>
    <n v="433"/>
    <n v="21317"/>
    <n v="2545"/>
    <n v="314256"/>
    <n v="28228"/>
    <n v="286028"/>
    <n v="159947"/>
    <n v="126081"/>
  </r>
  <r>
    <s v="12"/>
    <x v="6"/>
    <x v="231"/>
    <x v="231"/>
    <n v="323.95999999999998"/>
    <n v="2232.3000000000002"/>
    <n v="2556.2600000000002"/>
    <n v="5.22"/>
    <n v="416"/>
    <n v="0.9"/>
    <n v="2647"/>
    <n v="322.89999999999998"/>
    <n v="59.17"/>
    <n v="66.3"/>
    <n v="32.5"/>
    <n v="3.88"/>
    <n v="825416"/>
    <n v="0"/>
    <n v="825416"/>
    <n v="156623"/>
    <n v="175496"/>
    <n v="1686"/>
    <n v="83078"/>
    <n v="9918"/>
    <n v="1252217"/>
    <n v="105133"/>
    <n v="1147084"/>
    <n v="628233"/>
    <n v="518851"/>
  </r>
  <r>
    <s v="12"/>
    <x v="6"/>
    <x v="232"/>
    <x v="232"/>
    <n v="78.95"/>
    <n v="599.20000000000005"/>
    <n v="678.15"/>
    <n v="1.38"/>
    <n v="25"/>
    <n v="0"/>
    <n v="624"/>
    <n v="322.89999999999998"/>
    <n v="59.17"/>
    <n v="66.3"/>
    <n v="32.5"/>
    <n v="3.88"/>
    <n v="218975"/>
    <n v="16402"/>
    <n v="235377"/>
    <n v="36922"/>
    <n v="41371"/>
    <n v="446"/>
    <n v="22040"/>
    <n v="2631"/>
    <n v="338787"/>
    <n v="42589"/>
    <n v="296198"/>
    <n v="151965"/>
    <n v="144233"/>
  </r>
  <r>
    <s v="12"/>
    <x v="6"/>
    <x v="233"/>
    <x v="233"/>
    <n v="51.62"/>
    <n v="436.1"/>
    <n v="487.72"/>
    <n v="1"/>
    <n v="5"/>
    <n v="0"/>
    <n v="441"/>
    <n v="322.89999999999998"/>
    <n v="59.17"/>
    <n v="66.3"/>
    <n v="32.5"/>
    <n v="3.88"/>
    <n v="157485"/>
    <n v="434"/>
    <n v="157919"/>
    <n v="26094"/>
    <n v="29238"/>
    <n v="323"/>
    <n v="15887"/>
    <n v="1897"/>
    <n v="231358"/>
    <n v="28045"/>
    <n v="203313"/>
    <n v="111919"/>
    <n v="91394"/>
  </r>
  <r>
    <s v="12"/>
    <x v="6"/>
    <x v="234"/>
    <x v="234"/>
    <n v="199.79"/>
    <n v="1498"/>
    <n v="1697.79"/>
    <n v="3.47"/>
    <n v="540"/>
    <n v="8.6999999999999993"/>
    <n v="2029"/>
    <n v="322.89999999999998"/>
    <n v="59.17"/>
    <n v="66.3"/>
    <n v="32.5"/>
    <n v="3.88"/>
    <n v="548216"/>
    <n v="0"/>
    <n v="548216"/>
    <n v="120056"/>
    <n v="134523"/>
    <n v="1120"/>
    <n v="55178"/>
    <n v="6587"/>
    <n v="865680"/>
    <n v="71335"/>
    <n v="794345"/>
    <n v="415745"/>
    <n v="378600"/>
  </r>
  <r>
    <s v="12"/>
    <x v="6"/>
    <x v="235"/>
    <x v="235"/>
    <n v="115.42"/>
    <n v="966.6"/>
    <n v="1082.02"/>
    <n v="2.21"/>
    <n v="20"/>
    <n v="0"/>
    <n v="987"/>
    <n v="322.89999999999998"/>
    <n v="59.17"/>
    <n v="66.3"/>
    <n v="32.5"/>
    <n v="3.88"/>
    <n v="349384"/>
    <n v="0"/>
    <n v="349384"/>
    <n v="58401"/>
    <n v="65438"/>
    <n v="714"/>
    <n v="35166"/>
    <n v="4198"/>
    <n v="513301"/>
    <n v="58024"/>
    <n v="455277"/>
    <n v="252398"/>
    <n v="202879"/>
  </r>
  <r>
    <s v="12"/>
    <x v="6"/>
    <x v="236"/>
    <x v="236"/>
    <n v="55.16"/>
    <n v="307.5"/>
    <n v="362.66"/>
    <n v="0.74"/>
    <n v="185"/>
    <n v="2.5"/>
    <n v="490"/>
    <n v="322.89999999999998"/>
    <n v="59.17"/>
    <n v="66.3"/>
    <n v="32.5"/>
    <n v="3.88"/>
    <n v="117103"/>
    <n v="14895"/>
    <n v="131998"/>
    <n v="28993"/>
    <n v="32487"/>
    <n v="239"/>
    <n v="11819"/>
    <n v="1411"/>
    <n v="206947"/>
    <n v="24390"/>
    <n v="182557"/>
    <n v="79690"/>
    <n v="102867"/>
  </r>
  <r>
    <s v="12"/>
    <x v="6"/>
    <x v="237"/>
    <x v="237"/>
    <n v="55.24"/>
    <n v="407.1"/>
    <n v="462.34"/>
    <n v="0.94"/>
    <n v="0"/>
    <n v="0"/>
    <n v="407"/>
    <n v="322.89999999999998"/>
    <n v="59.17"/>
    <n v="66.3"/>
    <n v="32.5"/>
    <n v="3.88"/>
    <n v="149290"/>
    <n v="0"/>
    <n v="149290"/>
    <n v="24082"/>
    <n v="26984"/>
    <n v="304"/>
    <n v="15026"/>
    <n v="1794"/>
    <n v="217480"/>
    <n v="24876"/>
    <n v="192604"/>
    <n v="107764"/>
    <n v="84840"/>
  </r>
  <r>
    <s v="12"/>
    <x v="6"/>
    <x v="238"/>
    <x v="238"/>
    <n v="98.06"/>
    <n v="823.8"/>
    <n v="921.86"/>
    <n v="1.88"/>
    <n v="445"/>
    <n v="0.8"/>
    <n v="1268"/>
    <n v="322.89999999999998"/>
    <n v="59.17"/>
    <n v="66.3"/>
    <n v="32.5"/>
    <n v="3.88"/>
    <n v="297669"/>
    <n v="3277"/>
    <n v="300946"/>
    <n v="75028"/>
    <n v="84068"/>
    <n v="607"/>
    <n v="30277"/>
    <n v="3615"/>
    <n v="494541"/>
    <n v="28717"/>
    <n v="465824"/>
    <n v="236110"/>
    <n v="229714"/>
  </r>
  <r>
    <s v="12"/>
    <x v="6"/>
    <x v="239"/>
    <x v="239"/>
    <n v="41.66"/>
    <n v="249"/>
    <n v="290.66000000000003"/>
    <n v="0.59"/>
    <n v="4"/>
    <n v="0"/>
    <n v="253"/>
    <n v="322.89999999999998"/>
    <n v="59.17"/>
    <n v="66.3"/>
    <n v="32.5"/>
    <n v="3.88"/>
    <n v="93854"/>
    <n v="11105"/>
    <n v="104959"/>
    <n v="14970"/>
    <n v="16774"/>
    <n v="191"/>
    <n v="9446"/>
    <n v="1128"/>
    <n v="147468"/>
    <n v="13977"/>
    <n v="133491"/>
    <n v="69410"/>
    <n v="64081"/>
  </r>
  <r>
    <s v="12"/>
    <x v="6"/>
    <x v="240"/>
    <x v="240"/>
    <n v="212.86"/>
    <n v="1385.4"/>
    <n v="1598.26"/>
    <n v="3.26"/>
    <n v="23"/>
    <n v="0"/>
    <n v="1408"/>
    <n v="322.89999999999998"/>
    <n v="59.17"/>
    <n v="66.3"/>
    <n v="32.5"/>
    <n v="3.88"/>
    <n v="516078"/>
    <n v="0"/>
    <n v="516078"/>
    <n v="83311"/>
    <n v="93350"/>
    <n v="1053"/>
    <n v="51943"/>
    <n v="6201"/>
    <n v="751936"/>
    <n v="56471"/>
    <n v="695465"/>
    <n v="402053"/>
    <n v="293412"/>
  </r>
  <r>
    <s v="12"/>
    <x v="6"/>
    <x v="241"/>
    <x v="241"/>
    <n v="148.13999999999999"/>
    <n v="1096"/>
    <n v="1244.1400000000001"/>
    <n v="2.54"/>
    <n v="178"/>
    <n v="3.5"/>
    <n v="1271"/>
    <n v="322.89999999999998"/>
    <n v="59.17"/>
    <n v="66.3"/>
    <n v="32.5"/>
    <n v="3.88"/>
    <n v="401733"/>
    <n v="0"/>
    <n v="401733"/>
    <n v="75205"/>
    <n v="84267"/>
    <n v="820"/>
    <n v="40435"/>
    <n v="4827"/>
    <n v="607287"/>
    <n v="53257"/>
    <n v="554030"/>
    <n v="303675"/>
    <n v="250355"/>
  </r>
  <r>
    <s v="12"/>
    <x v="6"/>
    <x v="242"/>
    <x v="242"/>
    <n v="63.32"/>
    <n v="708.7"/>
    <n v="772.02"/>
    <n v="1.58"/>
    <n v="13"/>
    <n v="0"/>
    <n v="722"/>
    <n v="322.89999999999998"/>
    <n v="59.17"/>
    <n v="66.3"/>
    <n v="32.5"/>
    <n v="3.88"/>
    <n v="249285"/>
    <n v="6263"/>
    <n v="255548"/>
    <n v="42721"/>
    <n v="47869"/>
    <n v="510"/>
    <n v="25449"/>
    <n v="3039"/>
    <n v="375136"/>
    <n v="43971"/>
    <n v="331165"/>
    <n v="177917"/>
    <n v="153248"/>
  </r>
  <r>
    <s v="12"/>
    <x v="6"/>
    <x v="243"/>
    <x v="243"/>
    <n v="167.71"/>
    <n v="1418.8"/>
    <n v="1586.51"/>
    <n v="3.24"/>
    <n v="744"/>
    <n v="0"/>
    <n v="2163"/>
    <n v="322.89999999999998"/>
    <n v="59.17"/>
    <n v="66.3"/>
    <n v="32.5"/>
    <n v="3.88"/>
    <n v="512284"/>
    <n v="0"/>
    <n v="512284"/>
    <n v="127985"/>
    <n v="143407"/>
    <n v="1046"/>
    <n v="51562"/>
    <n v="6156"/>
    <n v="842440"/>
    <n v="48328"/>
    <n v="794112"/>
    <n v="406828"/>
    <n v="387284"/>
  </r>
  <r>
    <s v="12"/>
    <x v="6"/>
    <x v="244"/>
    <x v="244"/>
    <n v="2400.94"/>
    <n v="14815.2"/>
    <n v="17216.14"/>
    <n v="35.15"/>
    <n v="1365"/>
    <n v="10.7"/>
    <n v="16170"/>
    <n v="322.89999999999998"/>
    <n v="59.17"/>
    <n v="66.3"/>
    <n v="32.5"/>
    <n v="3.88"/>
    <n v="5559092"/>
    <n v="0"/>
    <n v="5559092"/>
    <n v="956779"/>
    <n v="1072071"/>
    <n v="11350"/>
    <n v="559525"/>
    <n v="66799"/>
    <n v="8225616"/>
    <n v="680000"/>
    <n v="7545616"/>
    <n v="4259147"/>
    <n v="3286469"/>
  </r>
  <r>
    <s v="12"/>
    <x v="6"/>
    <x v="245"/>
    <x v="245"/>
    <n v="109.8"/>
    <n v="584.1"/>
    <n v="693.9"/>
    <n v="1.42"/>
    <n v="49"/>
    <n v="1.6"/>
    <n v="632"/>
    <n v="322.89999999999998"/>
    <n v="59.17"/>
    <n v="66.3"/>
    <n v="32.5"/>
    <n v="3.88"/>
    <n v="224060"/>
    <n v="0"/>
    <n v="224060"/>
    <n v="37395"/>
    <n v="41902"/>
    <n v="459"/>
    <n v="22552"/>
    <n v="2692"/>
    <n v="329060"/>
    <n v="39658"/>
    <n v="289402"/>
    <n v="159416"/>
    <n v="129986"/>
  </r>
  <r>
    <s v="12"/>
    <x v="6"/>
    <x v="246"/>
    <x v="246"/>
    <n v="72.540000000000006"/>
    <n v="940.6"/>
    <n v="1013.14"/>
    <n v="2.0699999999999998"/>
    <n v="130"/>
    <n v="0"/>
    <n v="1071"/>
    <n v="322.89999999999998"/>
    <n v="59.17"/>
    <n v="66.3"/>
    <n v="32.5"/>
    <n v="3.88"/>
    <n v="327143"/>
    <n v="0"/>
    <n v="327143"/>
    <n v="63371"/>
    <n v="71007"/>
    <n v="668"/>
    <n v="32927"/>
    <n v="3931"/>
    <n v="499047"/>
    <n v="39031"/>
    <n v="460016"/>
    <n v="251630"/>
    <n v="208386"/>
  </r>
  <r>
    <s v="12"/>
    <x v="6"/>
    <x v="247"/>
    <x v="247"/>
    <n v="114.99"/>
    <n v="630.20000000000005"/>
    <n v="745.19"/>
    <n v="1.52"/>
    <n v="4"/>
    <n v="0"/>
    <n v="634"/>
    <n v="322.89999999999998"/>
    <n v="59.17"/>
    <n v="66.3"/>
    <n v="32.5"/>
    <n v="3.88"/>
    <n v="240622"/>
    <n v="0"/>
    <n v="240622"/>
    <n v="37514"/>
    <n v="42034"/>
    <n v="491"/>
    <n v="24219"/>
    <n v="2891"/>
    <n v="347771"/>
    <n v="33583"/>
    <n v="314188"/>
    <n v="180205"/>
    <n v="133983"/>
  </r>
  <r>
    <s v="12"/>
    <x v="6"/>
    <x v="248"/>
    <x v="248"/>
    <n v="128.71"/>
    <n v="829.8"/>
    <n v="958.51"/>
    <n v="1.96"/>
    <n v="95"/>
    <n v="0.1"/>
    <n v="925"/>
    <n v="322.89999999999998"/>
    <n v="59.17"/>
    <n v="66.3"/>
    <n v="32.5"/>
    <n v="3.88"/>
    <n v="309503"/>
    <n v="5930"/>
    <n v="315433"/>
    <n v="54732"/>
    <n v="61328"/>
    <n v="633"/>
    <n v="31734"/>
    <n v="3789"/>
    <n v="467649"/>
    <n v="37148"/>
    <n v="430501"/>
    <n v="238493"/>
    <n v="192008"/>
  </r>
  <r>
    <s v="12"/>
    <x v="6"/>
    <x v="249"/>
    <x v="249"/>
    <n v="86.35"/>
    <n v="532.4"/>
    <n v="618.75"/>
    <n v="1.26"/>
    <n v="10"/>
    <n v="0"/>
    <n v="542"/>
    <n v="322.89999999999998"/>
    <n v="59.17"/>
    <n v="66.3"/>
    <n v="32.5"/>
    <n v="3.88"/>
    <n v="199794"/>
    <n v="0"/>
    <n v="199794"/>
    <n v="32070"/>
    <n v="35935"/>
    <n v="407"/>
    <n v="20109"/>
    <n v="2401"/>
    <n v="290716"/>
    <n v="31987"/>
    <n v="258729"/>
    <n v="145526"/>
    <n v="113203"/>
  </r>
  <r>
    <s v="12"/>
    <x v="6"/>
    <x v="250"/>
    <x v="250"/>
    <n v="28.47"/>
    <n v="187.1"/>
    <n v="215.57"/>
    <n v="0.44"/>
    <n v="1"/>
    <n v="0"/>
    <n v="188"/>
    <n v="322.89999999999998"/>
    <n v="59.17"/>
    <n v="66.3"/>
    <n v="32.5"/>
    <n v="3.88"/>
    <n v="69608"/>
    <n v="3324"/>
    <n v="72932"/>
    <n v="11124"/>
    <n v="12464"/>
    <n v="142"/>
    <n v="7006"/>
    <n v="836"/>
    <n v="104504"/>
    <n v="11015"/>
    <n v="93489"/>
    <n v="50830"/>
    <n v="42659"/>
  </r>
  <r>
    <s v="12"/>
    <x v="6"/>
    <x v="251"/>
    <x v="251"/>
    <n v="81.819999999999993"/>
    <n v="531"/>
    <n v="612.82000000000005"/>
    <n v="1.25"/>
    <n v="1"/>
    <n v="0"/>
    <n v="532"/>
    <n v="322.89999999999998"/>
    <n v="59.17"/>
    <n v="66.3"/>
    <n v="32.5"/>
    <n v="3.88"/>
    <n v="197880"/>
    <n v="6441"/>
    <n v="204321"/>
    <n v="31478"/>
    <n v="35272"/>
    <n v="404"/>
    <n v="20556"/>
    <n v="2455"/>
    <n v="294486"/>
    <n v="27534"/>
    <n v="266952"/>
    <n v="148995"/>
    <n v="117957"/>
  </r>
  <r>
    <s v="13"/>
    <x v="7"/>
    <x v="252"/>
    <x v="252"/>
    <n v="103.15"/>
    <n v="755"/>
    <n v="858.15"/>
    <n v="1.92"/>
    <n v="0"/>
    <n v="0"/>
    <n v="755"/>
    <n v="316.32"/>
    <n v="58.89"/>
    <n v="65.099999999999994"/>
    <n v="32.479999999999997"/>
    <n v="3.49"/>
    <n v="271450"/>
    <n v="0"/>
    <n v="271450"/>
    <n v="44462"/>
    <n v="49151"/>
    <n v="607"/>
    <n v="27873"/>
    <n v="2995"/>
    <n v="396538"/>
    <n v="42239"/>
    <n v="354299"/>
    <n v="203647"/>
    <n v="150652"/>
  </r>
  <r>
    <s v="13"/>
    <x v="7"/>
    <x v="253"/>
    <x v="253"/>
    <n v="222.76"/>
    <n v="1333.3"/>
    <n v="1556.06"/>
    <n v="3.47"/>
    <n v="0"/>
    <n v="0"/>
    <n v="1333"/>
    <n v="316.32"/>
    <n v="58.89"/>
    <n v="65.099999999999994"/>
    <n v="32.479999999999997"/>
    <n v="3.49"/>
    <n v="492213"/>
    <n v="0"/>
    <n v="492213"/>
    <n v="78500"/>
    <n v="86778"/>
    <n v="1098"/>
    <n v="50541"/>
    <n v="5431"/>
    <n v="714561"/>
    <n v="68797"/>
    <n v="645764"/>
    <n v="377058"/>
    <n v="268706"/>
  </r>
  <r>
    <s v="13"/>
    <x v="7"/>
    <x v="254"/>
    <x v="254"/>
    <n v="58.48"/>
    <n v="489.5"/>
    <n v="547.98"/>
    <n v="1.22"/>
    <n v="5"/>
    <n v="0"/>
    <n v="495"/>
    <n v="316.32"/>
    <n v="58.89"/>
    <n v="65.099999999999994"/>
    <n v="32.479999999999997"/>
    <n v="3.49"/>
    <n v="173337"/>
    <n v="762"/>
    <n v="174099"/>
    <n v="29151"/>
    <n v="32225"/>
    <n v="386"/>
    <n v="17877"/>
    <n v="1916"/>
    <n v="255654"/>
    <n v="29839"/>
    <n v="225815"/>
    <n v="127254"/>
    <n v="98561"/>
  </r>
  <r>
    <s v="13"/>
    <x v="7"/>
    <x v="255"/>
    <x v="255"/>
    <n v="51.15"/>
    <n v="386.6"/>
    <n v="437.75"/>
    <n v="0.98"/>
    <n v="3"/>
    <n v="0"/>
    <n v="390"/>
    <n v="316.32"/>
    <n v="58.89"/>
    <n v="65.099999999999994"/>
    <n v="32.479999999999997"/>
    <n v="3.49"/>
    <n v="138469"/>
    <n v="4862"/>
    <n v="143331"/>
    <n v="22967"/>
    <n v="25389"/>
    <n v="310"/>
    <n v="14574"/>
    <n v="1562"/>
    <n v="208133"/>
    <n v="25701"/>
    <n v="182432"/>
    <n v="100118"/>
    <n v="82314"/>
  </r>
  <r>
    <s v="13"/>
    <x v="7"/>
    <x v="256"/>
    <x v="256"/>
    <n v="48.39"/>
    <n v="494.2"/>
    <n v="542.59"/>
    <n v="1.21"/>
    <n v="0"/>
    <n v="0"/>
    <n v="494"/>
    <n v="316.32"/>
    <n v="58.89"/>
    <n v="65.099999999999994"/>
    <n v="32.479999999999997"/>
    <n v="3.49"/>
    <n v="171632"/>
    <n v="23"/>
    <n v="171655"/>
    <n v="29092"/>
    <n v="32159"/>
    <n v="383"/>
    <n v="17626"/>
    <n v="1894"/>
    <n v="252809"/>
    <n v="25872"/>
    <n v="226937"/>
    <n v="129598"/>
    <n v="97339"/>
  </r>
  <r>
    <s v="13"/>
    <x v="7"/>
    <x v="257"/>
    <x v="257"/>
    <n v="90.83"/>
    <n v="648.20000000000005"/>
    <n v="739.03"/>
    <n v="1.65"/>
    <n v="0"/>
    <n v="0"/>
    <n v="648"/>
    <n v="316.32"/>
    <n v="58.89"/>
    <n v="65.099999999999994"/>
    <n v="32.479999999999997"/>
    <n v="3.49"/>
    <n v="233770"/>
    <n v="0"/>
    <n v="233770"/>
    <n v="38161"/>
    <n v="42185"/>
    <n v="522"/>
    <n v="24004"/>
    <n v="2579"/>
    <n v="341221"/>
    <n v="35545"/>
    <n v="305676"/>
    <n v="176208"/>
    <n v="129468"/>
  </r>
  <r>
    <s v="13"/>
    <x v="7"/>
    <x v="258"/>
    <x v="258"/>
    <n v="113.96"/>
    <n v="944.3"/>
    <n v="1058.26"/>
    <n v="2.36"/>
    <n v="67"/>
    <n v="1.6"/>
    <n v="1010"/>
    <n v="316.32"/>
    <n v="58.89"/>
    <n v="65.099999999999994"/>
    <n v="32.479999999999997"/>
    <n v="3.49"/>
    <n v="334749"/>
    <n v="4654"/>
    <n v="339403"/>
    <n v="59479"/>
    <n v="65751"/>
    <n v="747"/>
    <n v="34851"/>
    <n v="3736"/>
    <n v="503967"/>
    <n v="50182"/>
    <n v="453785"/>
    <n v="253560"/>
    <n v="200225"/>
  </r>
  <r>
    <s v="13"/>
    <x v="7"/>
    <x v="259"/>
    <x v="259"/>
    <n v="189.51"/>
    <n v="1413.6"/>
    <n v="1603.11"/>
    <n v="3.58"/>
    <n v="3"/>
    <n v="0"/>
    <n v="1417"/>
    <n v="316.32"/>
    <n v="58.89"/>
    <n v="65.099999999999994"/>
    <n v="32.479999999999997"/>
    <n v="3.49"/>
    <n v="507096"/>
    <n v="0"/>
    <n v="507096"/>
    <n v="83447"/>
    <n v="92247"/>
    <n v="1132"/>
    <n v="52069"/>
    <n v="5595"/>
    <n v="741586"/>
    <n v="66523"/>
    <n v="675063"/>
    <n v="392814"/>
    <n v="282249"/>
  </r>
  <r>
    <s v="13"/>
    <x v="7"/>
    <x v="260"/>
    <x v="260"/>
    <n v="53.34"/>
    <n v="408.4"/>
    <n v="461.74"/>
    <n v="1.03"/>
    <n v="1"/>
    <n v="0"/>
    <n v="409"/>
    <n v="316.32"/>
    <n v="58.89"/>
    <n v="65.099999999999994"/>
    <n v="32.479999999999997"/>
    <n v="3.49"/>
    <n v="146058"/>
    <n v="5492"/>
    <n v="151550"/>
    <n v="24086"/>
    <n v="26626"/>
    <n v="326"/>
    <n v="14997"/>
    <n v="1611"/>
    <n v="219196"/>
    <n v="28933"/>
    <n v="190263"/>
    <n v="103368"/>
    <n v="86895"/>
  </r>
  <r>
    <s v="13"/>
    <x v="7"/>
    <x v="261"/>
    <x v="261"/>
    <n v="2073.7199999999998"/>
    <n v="8884.7999999999993"/>
    <n v="10958.52"/>
    <n v="24.45"/>
    <n v="399"/>
    <n v="3"/>
    <n v="9281"/>
    <n v="316.32"/>
    <n v="58.89"/>
    <n v="65.099999999999994"/>
    <n v="32.479999999999997"/>
    <n v="3.49"/>
    <n v="3466399"/>
    <n v="17157"/>
    <n v="3483556"/>
    <n v="546558"/>
    <n v="604193"/>
    <n v="7734"/>
    <n v="357704"/>
    <n v="38342"/>
    <n v="5038087"/>
    <n v="450650"/>
    <n v="4587437"/>
    <n v="2691139"/>
    <n v="1896298"/>
  </r>
  <r>
    <s v="13"/>
    <x v="7"/>
    <x v="262"/>
    <x v="262"/>
    <n v="199.65"/>
    <n v="1462"/>
    <n v="1661.65"/>
    <n v="3.71"/>
    <n v="108"/>
    <n v="0.3"/>
    <n v="1570"/>
    <n v="316.32"/>
    <n v="58.89"/>
    <n v="65.099999999999994"/>
    <n v="32.479999999999997"/>
    <n v="3.49"/>
    <n v="525613"/>
    <n v="0"/>
    <n v="525613"/>
    <n v="92457"/>
    <n v="102207"/>
    <n v="1174"/>
    <n v="53970"/>
    <n v="5799"/>
    <n v="781220"/>
    <n v="73855"/>
    <n v="707365"/>
    <n v="402254"/>
    <n v="305111"/>
  </r>
  <r>
    <s v="13"/>
    <x v="7"/>
    <x v="263"/>
    <x v="263"/>
    <n v="12.02"/>
    <n v="102"/>
    <n v="114.02"/>
    <n v="0.26"/>
    <n v="0"/>
    <n v="0"/>
    <n v="102"/>
    <n v="316.32"/>
    <n v="58.89"/>
    <n v="65.099999999999994"/>
    <n v="32.479999999999997"/>
    <n v="3.49"/>
    <n v="36067"/>
    <n v="0"/>
    <n v="36067"/>
    <n v="6007"/>
    <n v="6640"/>
    <n v="82"/>
    <n v="3703"/>
    <n v="398"/>
    <n v="52897"/>
    <n v="6461"/>
    <n v="46436"/>
    <n v="26210"/>
    <n v="20226"/>
  </r>
  <r>
    <s v="13"/>
    <x v="7"/>
    <x v="264"/>
    <x v="264"/>
    <n v="97.03"/>
    <n v="546.1"/>
    <n v="643.13"/>
    <n v="1.44"/>
    <n v="0"/>
    <n v="0"/>
    <n v="546"/>
    <n v="316.32"/>
    <n v="58.89"/>
    <n v="65.099999999999994"/>
    <n v="32.479999999999997"/>
    <n v="3.49"/>
    <n v="203435"/>
    <n v="0"/>
    <n v="203435"/>
    <n v="32154"/>
    <n v="35545"/>
    <n v="456"/>
    <n v="20889"/>
    <n v="2245"/>
    <n v="294724"/>
    <n v="31373"/>
    <n v="263351"/>
    <n v="152904"/>
    <n v="110447"/>
  </r>
  <r>
    <s v="13"/>
    <x v="7"/>
    <x v="265"/>
    <x v="265"/>
    <n v="56.46"/>
    <n v="505"/>
    <n v="561.46"/>
    <n v="1.26"/>
    <n v="4"/>
    <n v="0"/>
    <n v="509"/>
    <n v="316.32"/>
    <n v="58.89"/>
    <n v="65.099999999999994"/>
    <n v="32.479999999999997"/>
    <n v="3.49"/>
    <n v="177601"/>
    <n v="0"/>
    <n v="177601"/>
    <n v="29975"/>
    <n v="33136"/>
    <n v="399"/>
    <n v="18236"/>
    <n v="1959"/>
    <n v="261306"/>
    <n v="25766"/>
    <n v="235540"/>
    <n v="135109"/>
    <n v="100431"/>
  </r>
  <r>
    <s v="13"/>
    <x v="7"/>
    <x v="266"/>
    <x v="266"/>
    <n v="24.4"/>
    <n v="192.3"/>
    <n v="216.7"/>
    <n v="0.48"/>
    <n v="3"/>
    <n v="0"/>
    <n v="195"/>
    <n v="316.32"/>
    <n v="58.89"/>
    <n v="65.099999999999994"/>
    <n v="32.479999999999997"/>
    <n v="3.49"/>
    <n v="68547"/>
    <n v="4598"/>
    <n v="73145"/>
    <n v="11484"/>
    <n v="12695"/>
    <n v="152"/>
    <n v="7038"/>
    <n v="756"/>
    <n v="105270"/>
    <n v="12000"/>
    <n v="93270"/>
    <n v="50089"/>
    <n v="43181"/>
  </r>
  <r>
    <s v="13"/>
    <x v="7"/>
    <x v="267"/>
    <x v="267"/>
    <n v="70.459999999999994"/>
    <n v="446.1"/>
    <n v="516.55999999999995"/>
    <n v="1.1499999999999999"/>
    <n v="0"/>
    <n v="0"/>
    <n v="446"/>
    <n v="316.32"/>
    <n v="58.89"/>
    <n v="65.099999999999994"/>
    <n v="32.479999999999997"/>
    <n v="3.49"/>
    <n v="163398"/>
    <n v="0"/>
    <n v="163398"/>
    <n v="26265"/>
    <n v="29035"/>
    <n v="364"/>
    <n v="16778"/>
    <n v="1803"/>
    <n v="237643"/>
    <n v="20998"/>
    <n v="216645"/>
    <n v="127011"/>
    <n v="89634"/>
  </r>
  <r>
    <s v="13"/>
    <x v="7"/>
    <x v="268"/>
    <x v="268"/>
    <n v="223.01"/>
    <n v="1926.9"/>
    <n v="2149.91"/>
    <n v="4.8"/>
    <n v="8"/>
    <n v="0"/>
    <n v="1935"/>
    <n v="316.32"/>
    <n v="58.89"/>
    <n v="65.099999999999994"/>
    <n v="32.479999999999997"/>
    <n v="3.49"/>
    <n v="680060"/>
    <n v="0"/>
    <n v="680060"/>
    <n v="113952"/>
    <n v="125969"/>
    <n v="1518"/>
    <n v="69829"/>
    <n v="7503"/>
    <n v="998831"/>
    <n v="89118"/>
    <n v="909713"/>
    <n v="526892"/>
    <n v="382821"/>
  </r>
  <r>
    <s v="13"/>
    <x v="7"/>
    <x v="269"/>
    <x v="269"/>
    <n v="92.81"/>
    <n v="452.2"/>
    <n v="545.01"/>
    <n v="1.22"/>
    <n v="0"/>
    <n v="0"/>
    <n v="452"/>
    <n v="316.32"/>
    <n v="58.89"/>
    <n v="65.099999999999994"/>
    <n v="32.479999999999997"/>
    <n v="3.49"/>
    <n v="172398"/>
    <n v="9749"/>
    <n v="182147"/>
    <n v="26618"/>
    <n v="29425"/>
    <n v="386"/>
    <n v="17800"/>
    <n v="1908"/>
    <n v="258284"/>
    <n v="31091"/>
    <n v="227193"/>
    <n v="125175"/>
    <n v="102018"/>
  </r>
  <r>
    <s v="13"/>
    <x v="7"/>
    <x v="270"/>
    <x v="270"/>
    <n v="35.119999999999997"/>
    <n v="196"/>
    <n v="231.12"/>
    <n v="0.52"/>
    <n v="0"/>
    <n v="0"/>
    <n v="196"/>
    <n v="316.32"/>
    <n v="58.89"/>
    <n v="65.099999999999994"/>
    <n v="32.479999999999997"/>
    <n v="3.49"/>
    <n v="73108"/>
    <n v="10629"/>
    <n v="83737"/>
    <n v="11542"/>
    <n v="12760"/>
    <n v="164"/>
    <n v="7567"/>
    <n v="811"/>
    <n v="116581"/>
    <n v="14961"/>
    <n v="101620"/>
    <n v="51327"/>
    <n v="50293"/>
  </r>
  <r>
    <s v="13"/>
    <x v="7"/>
    <x v="271"/>
    <x v="271"/>
    <n v="172.35"/>
    <n v="1354.7"/>
    <n v="1527.05"/>
    <n v="3.41"/>
    <n v="71"/>
    <n v="1.2"/>
    <n v="1425"/>
    <n v="316.32"/>
    <n v="58.89"/>
    <n v="65.099999999999994"/>
    <n v="32.479999999999997"/>
    <n v="3.49"/>
    <n v="483036"/>
    <n v="0"/>
    <n v="483036"/>
    <n v="83918"/>
    <n v="92768"/>
    <n v="1079"/>
    <n v="49599"/>
    <n v="5329"/>
    <n v="715729"/>
    <n v="75561"/>
    <n v="640168"/>
    <n v="361982"/>
    <n v="278186"/>
  </r>
  <r>
    <s v="13"/>
    <x v="7"/>
    <x v="272"/>
    <x v="272"/>
    <n v="98.78"/>
    <n v="677.9"/>
    <n v="776.68"/>
    <n v="1.74"/>
    <n v="10"/>
    <n v="0"/>
    <n v="688"/>
    <n v="316.32"/>
    <n v="58.89"/>
    <n v="65.099999999999994"/>
    <n v="32.479999999999997"/>
    <n v="3.49"/>
    <n v="245679"/>
    <n v="0"/>
    <n v="245679"/>
    <n v="40516"/>
    <n v="44789"/>
    <n v="550"/>
    <n v="25227"/>
    <n v="2711"/>
    <n v="359472"/>
    <n v="45080"/>
    <n v="314392"/>
    <n v="177463"/>
    <n v="136929"/>
  </r>
  <r>
    <s v="13"/>
    <x v="7"/>
    <x v="273"/>
    <x v="273"/>
    <n v="61.48"/>
    <n v="300.8"/>
    <n v="362.28"/>
    <n v="0.81"/>
    <n v="0"/>
    <n v="0"/>
    <n v="301"/>
    <n v="316.32"/>
    <n v="58.89"/>
    <n v="65.099999999999994"/>
    <n v="32.479999999999997"/>
    <n v="3.49"/>
    <n v="114596"/>
    <n v="0"/>
    <n v="114596"/>
    <n v="17726"/>
    <n v="19595"/>
    <n v="256"/>
    <n v="11767"/>
    <n v="1264"/>
    <n v="165204"/>
    <n v="16904"/>
    <n v="148300"/>
    <n v="86900"/>
    <n v="61400"/>
  </r>
  <r>
    <s v="13"/>
    <x v="7"/>
    <x v="274"/>
    <x v="274"/>
    <n v="36.21"/>
    <n v="453.7"/>
    <n v="489.91"/>
    <n v="1.0900000000000001"/>
    <n v="2"/>
    <n v="0"/>
    <n v="456"/>
    <n v="316.32"/>
    <n v="58.89"/>
    <n v="65.099999999999994"/>
    <n v="32.479999999999997"/>
    <n v="3.49"/>
    <n v="154968"/>
    <n v="0"/>
    <n v="154968"/>
    <n v="26854"/>
    <n v="29686"/>
    <n v="345"/>
    <n v="15912"/>
    <n v="1710"/>
    <n v="229475"/>
    <n v="21840"/>
    <n v="207635"/>
    <n v="118532"/>
    <n v="89103"/>
  </r>
  <r>
    <s v="13"/>
    <x v="7"/>
    <x v="275"/>
    <x v="275"/>
    <n v="384.67"/>
    <n v="2608.5"/>
    <n v="2993.17"/>
    <n v="6.69"/>
    <n v="194"/>
    <n v="0.7"/>
    <n v="2802"/>
    <n v="316.32"/>
    <n v="58.89"/>
    <n v="65.099999999999994"/>
    <n v="32.479999999999997"/>
    <n v="3.49"/>
    <n v="946800"/>
    <n v="0"/>
    <n v="946800"/>
    <n v="165010"/>
    <n v="182410"/>
    <n v="2116"/>
    <n v="97218"/>
    <n v="10446"/>
    <n v="1404000"/>
    <n v="112825"/>
    <n v="1291175"/>
    <n v="744804"/>
    <n v="546371"/>
  </r>
  <r>
    <s v="13"/>
    <x v="7"/>
    <x v="276"/>
    <x v="276"/>
    <n v="55.5"/>
    <n v="544.1"/>
    <n v="599.6"/>
    <n v="1.34"/>
    <n v="0"/>
    <n v="0"/>
    <n v="544"/>
    <n v="316.32"/>
    <n v="58.89"/>
    <n v="65.099999999999994"/>
    <n v="32.479999999999997"/>
    <n v="3.49"/>
    <n v="189665"/>
    <n v="7886"/>
    <n v="197551"/>
    <n v="32036"/>
    <n v="35414"/>
    <n v="424"/>
    <n v="20285"/>
    <n v="2174"/>
    <n v="287884"/>
    <n v="28459"/>
    <n v="259425"/>
    <n v="144235"/>
    <n v="115190"/>
  </r>
  <r>
    <s v="13"/>
    <x v="7"/>
    <x v="277"/>
    <x v="277"/>
    <n v="105.26"/>
    <n v="771.7"/>
    <n v="876.96"/>
    <n v="1.97"/>
    <n v="8"/>
    <n v="0"/>
    <n v="780"/>
    <n v="316.32"/>
    <n v="58.89"/>
    <n v="65.099999999999994"/>
    <n v="32.479999999999997"/>
    <n v="3.49"/>
    <n v="277400"/>
    <n v="10746"/>
    <n v="288146"/>
    <n v="45934"/>
    <n v="50778"/>
    <n v="623"/>
    <n v="29320"/>
    <n v="3143"/>
    <n v="417944"/>
    <n v="44838"/>
    <n v="373106"/>
    <n v="207358"/>
    <n v="165748"/>
  </r>
  <r>
    <s v="13"/>
    <x v="7"/>
    <x v="278"/>
    <x v="278"/>
    <n v="52.91"/>
    <n v="223"/>
    <n v="275.91000000000003"/>
    <n v="0.62"/>
    <n v="0"/>
    <n v="0"/>
    <n v="223"/>
    <n v="316.32"/>
    <n v="58.89"/>
    <n v="65.099999999999994"/>
    <n v="32.479999999999997"/>
    <n v="3.49"/>
    <n v="87276"/>
    <n v="5592"/>
    <n v="92868"/>
    <n v="13132"/>
    <n v="14517"/>
    <n v="196"/>
    <n v="8962"/>
    <n v="963"/>
    <n v="130638"/>
    <n v="14742"/>
    <n v="115896"/>
    <n v="64316"/>
    <n v="51580"/>
  </r>
  <r>
    <s v="13"/>
    <x v="7"/>
    <x v="279"/>
    <x v="279"/>
    <n v="86.67"/>
    <n v="576.4"/>
    <n v="663.07"/>
    <n v="1.48"/>
    <n v="1"/>
    <n v="0"/>
    <n v="577"/>
    <n v="316.32"/>
    <n v="58.89"/>
    <n v="65.099999999999994"/>
    <n v="32.479999999999997"/>
    <n v="3.49"/>
    <n v="209742"/>
    <n v="6399"/>
    <n v="216141"/>
    <n v="33980"/>
    <n v="37563"/>
    <n v="468"/>
    <n v="22194"/>
    <n v="2379"/>
    <n v="312725"/>
    <n v="39236"/>
    <n v="273489"/>
    <n v="151475"/>
    <n v="122014"/>
  </r>
  <r>
    <s v="13"/>
    <x v="7"/>
    <x v="280"/>
    <x v="280"/>
    <n v="36.799999999999997"/>
    <n v="221.2"/>
    <n v="258"/>
    <n v="0.57999999999999996"/>
    <n v="0"/>
    <n v="0"/>
    <n v="221"/>
    <n v="316.32"/>
    <n v="58.89"/>
    <n v="65.099999999999994"/>
    <n v="32.479999999999997"/>
    <n v="3.49"/>
    <n v="81611"/>
    <n v="6482"/>
    <n v="88093"/>
    <n v="13015"/>
    <n v="14387"/>
    <n v="183"/>
    <n v="8554"/>
    <n v="917"/>
    <n v="125149"/>
    <n v="15048"/>
    <n v="110101"/>
    <n v="59068"/>
    <n v="51033"/>
  </r>
  <r>
    <s v="13"/>
    <x v="7"/>
    <x v="281"/>
    <x v="281"/>
    <n v="77.41"/>
    <n v="626.4"/>
    <n v="703.81"/>
    <n v="1.57"/>
    <n v="15"/>
    <n v="0"/>
    <n v="641"/>
    <n v="316.32"/>
    <n v="58.89"/>
    <n v="65.099999999999994"/>
    <n v="32.479999999999997"/>
    <n v="3.49"/>
    <n v="222629"/>
    <n v="0"/>
    <n v="222629"/>
    <n v="37748"/>
    <n v="41729"/>
    <n v="497"/>
    <n v="22860"/>
    <n v="2456"/>
    <n v="327919"/>
    <n v="39610"/>
    <n v="288309"/>
    <n v="162051"/>
    <n v="126258"/>
  </r>
  <r>
    <s v="13"/>
    <x v="7"/>
    <x v="282"/>
    <x v="282"/>
    <n v="32.020000000000003"/>
    <n v="170.1"/>
    <n v="202.12"/>
    <n v="0.45"/>
    <n v="3"/>
    <n v="0"/>
    <n v="173"/>
    <n v="316.32"/>
    <n v="58.89"/>
    <n v="65.099999999999994"/>
    <n v="32.479999999999997"/>
    <n v="3.49"/>
    <n v="63935"/>
    <n v="8831"/>
    <n v="72766"/>
    <n v="10188"/>
    <n v="11262"/>
    <n v="142"/>
    <n v="6565"/>
    <n v="705"/>
    <n v="101628"/>
    <n v="14187"/>
    <n v="87441"/>
    <n v="43726"/>
    <n v="43715"/>
  </r>
  <r>
    <s v="13"/>
    <x v="7"/>
    <x v="283"/>
    <x v="283"/>
    <n v="130.62"/>
    <n v="1036.5999999999999"/>
    <n v="1167.22"/>
    <n v="2.61"/>
    <n v="0"/>
    <n v="0"/>
    <n v="1037"/>
    <n v="316.32"/>
    <n v="58.89"/>
    <n v="65.099999999999994"/>
    <n v="32.479999999999997"/>
    <n v="3.49"/>
    <n v="369215"/>
    <n v="10662"/>
    <n v="379877"/>
    <n v="61069"/>
    <n v="67509"/>
    <n v="826"/>
    <n v="37911"/>
    <n v="4074"/>
    <n v="551266"/>
    <n v="62151"/>
    <n v="489115"/>
    <n v="272292"/>
    <n v="216823"/>
  </r>
  <r>
    <s v="13"/>
    <x v="7"/>
    <x v="284"/>
    <x v="284"/>
    <n v="87.44"/>
    <n v="685.2"/>
    <n v="772.64"/>
    <n v="1.73"/>
    <n v="3"/>
    <n v="0"/>
    <n v="688"/>
    <n v="316.32"/>
    <n v="58.89"/>
    <n v="65.099999999999994"/>
    <n v="32.479999999999997"/>
    <n v="3.49"/>
    <n v="244401"/>
    <n v="0"/>
    <n v="244401"/>
    <n v="40516"/>
    <n v="44789"/>
    <n v="547"/>
    <n v="25095"/>
    <n v="2697"/>
    <n v="358045"/>
    <n v="33188"/>
    <n v="324857"/>
    <n v="188197"/>
    <n v="136660"/>
  </r>
  <r>
    <s v="13"/>
    <x v="7"/>
    <x v="285"/>
    <x v="285"/>
    <n v="132.55000000000001"/>
    <n v="1016.3"/>
    <n v="1148.8499999999999"/>
    <n v="2.56"/>
    <n v="6"/>
    <n v="0"/>
    <n v="1022"/>
    <n v="316.32"/>
    <n v="58.89"/>
    <n v="65.099999999999994"/>
    <n v="32.479999999999997"/>
    <n v="3.49"/>
    <n v="363404"/>
    <n v="6142"/>
    <n v="369546"/>
    <n v="60186"/>
    <n v="66532"/>
    <n v="810"/>
    <n v="37946"/>
    <n v="4067"/>
    <n v="539087"/>
    <n v="57385"/>
    <n v="481702"/>
    <n v="272481"/>
    <n v="209221"/>
  </r>
  <r>
    <s v="13"/>
    <x v="7"/>
    <x v="286"/>
    <x v="286"/>
    <n v="40.06"/>
    <n v="369.8"/>
    <n v="409.86"/>
    <n v="0.92"/>
    <n v="0"/>
    <n v="0"/>
    <n v="370"/>
    <n v="316.32"/>
    <n v="58.89"/>
    <n v="65.099999999999994"/>
    <n v="32.479999999999997"/>
    <n v="3.49"/>
    <n v="129647"/>
    <n v="8079"/>
    <n v="137726"/>
    <n v="21789"/>
    <n v="24087"/>
    <n v="291"/>
    <n v="13502"/>
    <n v="1447"/>
    <n v="198842"/>
    <n v="22474"/>
    <n v="176368"/>
    <n v="95170"/>
    <n v="81198"/>
  </r>
  <r>
    <s v="13"/>
    <x v="7"/>
    <x v="287"/>
    <x v="287"/>
    <n v="38.1"/>
    <n v="214.1"/>
    <n v="252.2"/>
    <n v="0.56000000000000005"/>
    <n v="0"/>
    <n v="0"/>
    <n v="214"/>
    <n v="316.32"/>
    <n v="58.89"/>
    <n v="65.099999999999994"/>
    <n v="32.479999999999997"/>
    <n v="3.49"/>
    <n v="79776"/>
    <n v="0"/>
    <n v="79776"/>
    <n v="12602"/>
    <n v="13931"/>
    <n v="177"/>
    <n v="8191"/>
    <n v="880"/>
    <n v="115557"/>
    <n v="15658"/>
    <n v="99899"/>
    <n v="56603"/>
    <n v="43296"/>
  </r>
  <r>
    <s v="13"/>
    <x v="7"/>
    <x v="288"/>
    <x v="288"/>
    <n v="24.77"/>
    <n v="187.1"/>
    <n v="211.87"/>
    <n v="0.47"/>
    <n v="0"/>
    <n v="0"/>
    <n v="187"/>
    <n v="316.32"/>
    <n v="58.89"/>
    <n v="65.099999999999994"/>
    <n v="32.479999999999997"/>
    <n v="3.49"/>
    <n v="67019"/>
    <n v="0"/>
    <n v="67019"/>
    <n v="11012"/>
    <n v="12174"/>
    <n v="149"/>
    <n v="6882"/>
    <n v="739"/>
    <n v="97975"/>
    <n v="12066"/>
    <n v="85909"/>
    <n v="48640"/>
    <n v="37269"/>
  </r>
  <r>
    <s v="13"/>
    <x v="7"/>
    <x v="289"/>
    <x v="289"/>
    <n v="39.94"/>
    <n v="589.6"/>
    <n v="629.54"/>
    <n v="1.41"/>
    <n v="45"/>
    <n v="0"/>
    <n v="635"/>
    <n v="316.32"/>
    <n v="58.89"/>
    <n v="65.099999999999994"/>
    <n v="32.479999999999997"/>
    <n v="3.49"/>
    <n v="199136"/>
    <n v="6635"/>
    <n v="205771"/>
    <n v="37395"/>
    <n v="41339"/>
    <n v="446"/>
    <n v="21129"/>
    <n v="2265"/>
    <n v="308345"/>
    <n v="22629"/>
    <n v="285716"/>
    <n v="158503"/>
    <n v="127213"/>
  </r>
  <r>
    <s v="13"/>
    <x v="7"/>
    <x v="290"/>
    <x v="290"/>
    <n v="72.58"/>
    <n v="662.9"/>
    <n v="735.48"/>
    <n v="1.64"/>
    <n v="2"/>
    <n v="0"/>
    <n v="665"/>
    <n v="316.32"/>
    <n v="58.89"/>
    <n v="65.099999999999994"/>
    <n v="32.479999999999997"/>
    <n v="3.49"/>
    <n v="232647"/>
    <n v="0"/>
    <n v="232647"/>
    <n v="39162"/>
    <n v="43292"/>
    <n v="519"/>
    <n v="23888"/>
    <n v="2567"/>
    <n v="342075"/>
    <n v="33287"/>
    <n v="308788"/>
    <n v="177448"/>
    <n v="131340"/>
  </r>
  <r>
    <s v="13"/>
    <x v="7"/>
    <x v="291"/>
    <x v="291"/>
    <n v="75.75"/>
    <n v="726.1"/>
    <n v="801.85"/>
    <n v="1.79"/>
    <n v="31"/>
    <n v="0"/>
    <n v="757"/>
    <n v="316.32"/>
    <n v="58.89"/>
    <n v="65.099999999999994"/>
    <n v="32.479999999999997"/>
    <n v="3.49"/>
    <n v="253641"/>
    <n v="0"/>
    <n v="253641"/>
    <n v="44580"/>
    <n v="49281"/>
    <n v="566"/>
    <n v="26044"/>
    <n v="2798"/>
    <n v="376910"/>
    <n v="30799"/>
    <n v="346111"/>
    <n v="198953"/>
    <n v="147158"/>
  </r>
  <r>
    <s v="13"/>
    <x v="7"/>
    <x v="292"/>
    <x v="292"/>
    <n v="27.48"/>
    <n v="273"/>
    <n v="300.48"/>
    <n v="0.67"/>
    <n v="0"/>
    <n v="0"/>
    <n v="273"/>
    <n v="316.32"/>
    <n v="58.89"/>
    <n v="65.099999999999994"/>
    <n v="32.479999999999997"/>
    <n v="3.49"/>
    <n v="95048"/>
    <n v="17788"/>
    <n v="112836"/>
    <n v="16077"/>
    <n v="17772"/>
    <n v="212"/>
    <n v="9929"/>
    <n v="1064"/>
    <n v="157890"/>
    <n v="20643"/>
    <n v="137247"/>
    <n v="65638"/>
    <n v="71609"/>
  </r>
  <r>
    <s v="13"/>
    <x v="7"/>
    <x v="293"/>
    <x v="293"/>
    <n v="47.85"/>
    <n v="339.7"/>
    <n v="387.55"/>
    <n v="0.86"/>
    <n v="0"/>
    <n v="0"/>
    <n v="340"/>
    <n v="316.32"/>
    <n v="58.89"/>
    <n v="65.099999999999994"/>
    <n v="32.479999999999997"/>
    <n v="3.49"/>
    <n v="122590"/>
    <n v="25370"/>
    <n v="147960"/>
    <n v="20023"/>
    <n v="22134"/>
    <n v="272"/>
    <n v="12588"/>
    <n v="1353"/>
    <n v="204330"/>
    <n v="25347"/>
    <n v="178983"/>
    <n v="85697"/>
    <n v="93286"/>
  </r>
  <r>
    <s v="13"/>
    <x v="7"/>
    <x v="294"/>
    <x v="294"/>
    <n v="47.33"/>
    <n v="470.3"/>
    <n v="517.63"/>
    <n v="1.1599999999999999"/>
    <n v="4"/>
    <n v="0"/>
    <n v="474"/>
    <n v="316.32"/>
    <n v="58.89"/>
    <n v="65.099999999999994"/>
    <n v="32.479999999999997"/>
    <n v="3.49"/>
    <n v="163737"/>
    <n v="0"/>
    <n v="163737"/>
    <n v="27914"/>
    <n v="30857"/>
    <n v="367"/>
    <n v="16813"/>
    <n v="1807"/>
    <n v="241495"/>
    <n v="25428"/>
    <n v="216067"/>
    <n v="122890"/>
    <n v="93177"/>
  </r>
  <r>
    <s v="15"/>
    <x v="8"/>
    <x v="295"/>
    <x v="295"/>
    <n v="121.11"/>
    <n v="1149.9000000000001"/>
    <n v="1271.01"/>
    <n v="3.15"/>
    <n v="1"/>
    <n v="0"/>
    <n v="1151"/>
    <n v="313.68"/>
    <n v="58.86"/>
    <n v="64.67"/>
    <n v="31.49"/>
    <n v="3.44"/>
    <n v="398690"/>
    <n v="0"/>
    <n v="398690"/>
    <n v="67748"/>
    <n v="74435"/>
    <n v="988"/>
    <n v="40024"/>
    <n v="4372"/>
    <n v="586257"/>
    <n v="57955"/>
    <n v="528302"/>
    <n v="304981"/>
    <n v="223321"/>
  </r>
  <r>
    <s v="15"/>
    <x v="8"/>
    <x v="296"/>
    <x v="296"/>
    <n v="770.8"/>
    <n v="3913.1"/>
    <n v="4683.8999999999996"/>
    <n v="11.62"/>
    <n v="336"/>
    <n v="1.7"/>
    <n v="4247"/>
    <n v="313.68"/>
    <n v="58.86"/>
    <n v="64.67"/>
    <n v="31.49"/>
    <n v="3.44"/>
    <n v="1469246"/>
    <n v="53220"/>
    <n v="1522466"/>
    <n v="249978"/>
    <n v="274653"/>
    <n v="3645"/>
    <n v="148250"/>
    <n v="16161"/>
    <n v="2215153"/>
    <n v="231008"/>
    <n v="1984145"/>
    <n v="1107283"/>
    <n v="876862"/>
  </r>
  <r>
    <s v="15"/>
    <x v="8"/>
    <x v="297"/>
    <x v="297"/>
    <n v="93.01"/>
    <n v="591"/>
    <n v="684.01"/>
    <n v="1.7"/>
    <n v="0"/>
    <n v="0"/>
    <n v="591"/>
    <n v="313.68"/>
    <n v="58.86"/>
    <n v="64.67"/>
    <n v="31.49"/>
    <n v="3.44"/>
    <n v="214560"/>
    <n v="0"/>
    <n v="214560"/>
    <n v="34786"/>
    <n v="38220"/>
    <n v="533"/>
    <n v="21539"/>
    <n v="2353"/>
    <n v="311991"/>
    <n v="29808"/>
    <n v="282183"/>
    <n v="165512"/>
    <n v="116671"/>
  </r>
  <r>
    <s v="15"/>
    <x v="8"/>
    <x v="298"/>
    <x v="298"/>
    <n v="165.24"/>
    <n v="1352.4"/>
    <n v="1517.64"/>
    <n v="3.76"/>
    <n v="0"/>
    <n v="0"/>
    <n v="1352"/>
    <n v="313.68"/>
    <n v="58.86"/>
    <n v="64.67"/>
    <n v="31.49"/>
    <n v="3.44"/>
    <n v="476053"/>
    <n v="0"/>
    <n v="476053"/>
    <n v="79579"/>
    <n v="87434"/>
    <n v="1179"/>
    <n v="47790"/>
    <n v="5221"/>
    <n v="697256"/>
    <n v="76839"/>
    <n v="620417"/>
    <n v="356522"/>
    <n v="263895"/>
  </r>
  <r>
    <s v="15"/>
    <x v="8"/>
    <x v="299"/>
    <x v="299"/>
    <n v="89.09"/>
    <n v="771"/>
    <n v="860.09"/>
    <n v="2.13"/>
    <n v="12"/>
    <n v="0"/>
    <n v="783"/>
    <n v="313.68"/>
    <n v="58.86"/>
    <n v="64.67"/>
    <n v="31.49"/>
    <n v="3.44"/>
    <n v="269793"/>
    <n v="0"/>
    <n v="269793"/>
    <n v="46087"/>
    <n v="50637"/>
    <n v="668"/>
    <n v="27084"/>
    <n v="2959"/>
    <n v="397228"/>
    <n v="46695"/>
    <n v="350533"/>
    <n v="198903"/>
    <n v="151630"/>
  </r>
  <r>
    <s v="15"/>
    <x v="8"/>
    <x v="300"/>
    <x v="300"/>
    <n v="141.65"/>
    <n v="1255"/>
    <n v="1396.65"/>
    <n v="3.47"/>
    <n v="4"/>
    <n v="0"/>
    <n v="1259"/>
    <n v="313.68"/>
    <n v="58.86"/>
    <n v="64.67"/>
    <n v="31.49"/>
    <n v="3.44"/>
    <n v="438101"/>
    <n v="2280"/>
    <n v="440381"/>
    <n v="74105"/>
    <n v="81420"/>
    <n v="1088"/>
    <n v="43981"/>
    <n v="4804"/>
    <n v="645779"/>
    <n v="69564"/>
    <n v="576215"/>
    <n v="329251"/>
    <n v="246964"/>
  </r>
  <r>
    <s v="15"/>
    <x v="8"/>
    <x v="301"/>
    <x v="301"/>
    <n v="48.45"/>
    <n v="483.9"/>
    <n v="532.35"/>
    <n v="1.32"/>
    <n v="4"/>
    <n v="0"/>
    <n v="488"/>
    <n v="313.68"/>
    <n v="58.86"/>
    <n v="64.67"/>
    <n v="31.49"/>
    <n v="3.44"/>
    <n v="166988"/>
    <n v="6122"/>
    <n v="173110"/>
    <n v="28724"/>
    <n v="31559"/>
    <n v="414"/>
    <n v="17369"/>
    <n v="1893"/>
    <n v="253069"/>
    <n v="20792"/>
    <n v="232277"/>
    <n v="131888"/>
    <n v="100389"/>
  </r>
  <r>
    <s v="15"/>
    <x v="8"/>
    <x v="302"/>
    <x v="302"/>
    <n v="120.6"/>
    <n v="1168.5999999999999"/>
    <n v="1289.2"/>
    <n v="3.2"/>
    <n v="1"/>
    <n v="0"/>
    <n v="1170"/>
    <n v="313.68"/>
    <n v="58.86"/>
    <n v="64.67"/>
    <n v="31.49"/>
    <n v="3.44"/>
    <n v="404396"/>
    <n v="0"/>
    <n v="404396"/>
    <n v="68866"/>
    <n v="75664"/>
    <n v="1004"/>
    <n v="40597"/>
    <n v="4435"/>
    <n v="594962"/>
    <n v="56419"/>
    <n v="538543"/>
    <n v="311713"/>
    <n v="226830"/>
  </r>
  <r>
    <s v="15"/>
    <x v="8"/>
    <x v="303"/>
    <x v="303"/>
    <n v="87.29"/>
    <n v="870.9"/>
    <n v="958.19"/>
    <n v="2.38"/>
    <n v="19"/>
    <n v="0"/>
    <n v="890"/>
    <n v="313.68"/>
    <n v="58.86"/>
    <n v="64.67"/>
    <n v="31.49"/>
    <n v="3.44"/>
    <n v="300565"/>
    <n v="0"/>
    <n v="300565"/>
    <n v="52385"/>
    <n v="57556"/>
    <n v="747"/>
    <n v="30173"/>
    <n v="3296"/>
    <n v="444722"/>
    <n v="44907"/>
    <n v="399815"/>
    <n v="228705"/>
    <n v="171110"/>
  </r>
  <r>
    <s v="15"/>
    <x v="8"/>
    <x v="304"/>
    <x v="304"/>
    <n v="283.31"/>
    <n v="1602.7"/>
    <n v="1886.01"/>
    <n v="4.68"/>
    <n v="123"/>
    <n v="0"/>
    <n v="1726"/>
    <n v="313.68"/>
    <n v="58.86"/>
    <n v="64.67"/>
    <n v="31.49"/>
    <n v="3.44"/>
    <n v="591604"/>
    <n v="0"/>
    <n v="591604"/>
    <n v="101592"/>
    <n v="111620"/>
    <n v="1468"/>
    <n v="59390"/>
    <n v="6488"/>
    <n v="872162"/>
    <n v="91881"/>
    <n v="780281"/>
    <n v="446670"/>
    <n v="333611"/>
  </r>
  <r>
    <s v="15"/>
    <x v="8"/>
    <x v="305"/>
    <x v="305"/>
    <n v="364"/>
    <n v="2079.5"/>
    <n v="2443.5"/>
    <n v="6.06"/>
    <n v="264"/>
    <n v="5.4"/>
    <n v="2338"/>
    <n v="313.68"/>
    <n v="58.86"/>
    <n v="64.67"/>
    <n v="31.49"/>
    <n v="3.44"/>
    <n v="766477"/>
    <n v="0"/>
    <n v="766477"/>
    <n v="137615"/>
    <n v="151198"/>
    <n v="1901"/>
    <n v="76946"/>
    <n v="8406"/>
    <n v="1142543"/>
    <n v="124889"/>
    <n v="1017654"/>
    <n v="572853"/>
    <n v="444801"/>
  </r>
  <r>
    <s v="15"/>
    <x v="8"/>
    <x v="306"/>
    <x v="306"/>
    <n v="358.82"/>
    <n v="1902.8"/>
    <n v="2261.62"/>
    <n v="5.61"/>
    <n v="65"/>
    <n v="0.6"/>
    <n v="1967"/>
    <n v="313.68"/>
    <n v="58.86"/>
    <n v="64.67"/>
    <n v="31.49"/>
    <n v="3.44"/>
    <n v="709425"/>
    <n v="0"/>
    <n v="709425"/>
    <n v="115778"/>
    <n v="127206"/>
    <n v="1760"/>
    <n v="71218"/>
    <n v="7780"/>
    <n v="1033167"/>
    <n v="104456"/>
    <n v="928711"/>
    <n v="541350"/>
    <n v="387361"/>
  </r>
  <r>
    <s v="15"/>
    <x v="8"/>
    <x v="307"/>
    <x v="307"/>
    <n v="42.66"/>
    <n v="350.4"/>
    <n v="393.06"/>
    <n v="0.98"/>
    <n v="0"/>
    <n v="0"/>
    <n v="350"/>
    <n v="313.68"/>
    <n v="58.86"/>
    <n v="64.67"/>
    <n v="31.49"/>
    <n v="3.44"/>
    <n v="123295"/>
    <n v="677"/>
    <n v="123972"/>
    <n v="20601"/>
    <n v="22635"/>
    <n v="307"/>
    <n v="12439"/>
    <n v="1356"/>
    <n v="181310"/>
    <n v="17793"/>
    <n v="163517"/>
    <n v="94512"/>
    <n v="69005"/>
  </r>
  <r>
    <s v="15"/>
    <x v="8"/>
    <x v="308"/>
    <x v="308"/>
    <n v="83.16"/>
    <n v="823.5"/>
    <n v="906.66"/>
    <n v="2.25"/>
    <n v="0"/>
    <n v="0"/>
    <n v="824"/>
    <n v="313.68"/>
    <n v="58.86"/>
    <n v="64.67"/>
    <n v="31.49"/>
    <n v="3.44"/>
    <n v="284401"/>
    <n v="0"/>
    <n v="284401"/>
    <n v="48501"/>
    <n v="53288"/>
    <n v="706"/>
    <n v="28551"/>
    <n v="3119"/>
    <n v="418566"/>
    <n v="41596"/>
    <n v="376970"/>
    <n v="217302"/>
    <n v="159668"/>
  </r>
  <r>
    <s v="15"/>
    <x v="8"/>
    <x v="309"/>
    <x v="309"/>
    <n v="41.52"/>
    <n v="348.8"/>
    <n v="390.32"/>
    <n v="0.97"/>
    <n v="0"/>
    <n v="0"/>
    <n v="349"/>
    <n v="313.68"/>
    <n v="58.86"/>
    <n v="64.67"/>
    <n v="31.49"/>
    <n v="3.44"/>
    <n v="122436"/>
    <n v="0"/>
    <n v="122436"/>
    <n v="20542"/>
    <n v="22570"/>
    <n v="304"/>
    <n v="12291"/>
    <n v="1343"/>
    <n v="179486"/>
    <n v="14721"/>
    <n v="164765"/>
    <n v="96736"/>
    <n v="68029"/>
  </r>
  <r>
    <s v="15"/>
    <x v="8"/>
    <x v="310"/>
    <x v="310"/>
    <n v="17.170000000000002"/>
    <n v="190"/>
    <n v="207.17"/>
    <n v="0.51"/>
    <n v="0"/>
    <n v="0"/>
    <n v="190"/>
    <n v="313.68"/>
    <n v="58.86"/>
    <n v="64.67"/>
    <n v="31.49"/>
    <n v="3.44"/>
    <n v="64985"/>
    <n v="4637"/>
    <n v="69622"/>
    <n v="11183"/>
    <n v="12287"/>
    <n v="160"/>
    <n v="6922"/>
    <n v="755"/>
    <n v="100929"/>
    <n v="10949"/>
    <n v="89980"/>
    <n v="48648"/>
    <n v="41332"/>
  </r>
  <r>
    <s v="15"/>
    <x v="8"/>
    <x v="311"/>
    <x v="311"/>
    <n v="22.3"/>
    <n v="206.3"/>
    <n v="228.6"/>
    <n v="0.56999999999999995"/>
    <n v="0"/>
    <n v="0"/>
    <n v="206"/>
    <n v="313.68"/>
    <n v="58.86"/>
    <n v="64.67"/>
    <n v="31.49"/>
    <n v="3.44"/>
    <n v="71707"/>
    <n v="2440"/>
    <n v="74147"/>
    <n v="12125"/>
    <n v="13322"/>
    <n v="179"/>
    <n v="7240"/>
    <n v="789"/>
    <n v="107802"/>
    <n v="12939"/>
    <n v="94863"/>
    <n v="52383"/>
    <n v="42480"/>
  </r>
  <r>
    <s v="15"/>
    <x v="8"/>
    <x v="312"/>
    <x v="312"/>
    <n v="259.38"/>
    <n v="1858.4"/>
    <n v="2117.7800000000002"/>
    <n v="5.25"/>
    <n v="4"/>
    <n v="0"/>
    <n v="1862"/>
    <n v="313.68"/>
    <n v="58.86"/>
    <n v="64.67"/>
    <n v="31.49"/>
    <n v="3.44"/>
    <n v="664305"/>
    <n v="185"/>
    <n v="664490"/>
    <n v="109597"/>
    <n v="120416"/>
    <n v="1647"/>
    <n v="66689"/>
    <n v="7285"/>
    <n v="970124"/>
    <n v="93333"/>
    <n v="876791"/>
    <n v="511399"/>
    <n v="365392"/>
  </r>
  <r>
    <s v="15"/>
    <x v="8"/>
    <x v="313"/>
    <x v="313"/>
    <n v="53.33"/>
    <n v="502.1"/>
    <n v="555.42999999999995"/>
    <n v="1.38"/>
    <n v="3"/>
    <n v="0"/>
    <n v="505"/>
    <n v="313.68"/>
    <n v="58.86"/>
    <n v="64.67"/>
    <n v="31.49"/>
    <n v="3.44"/>
    <n v="174227"/>
    <n v="0"/>
    <n v="174227"/>
    <n v="29724"/>
    <n v="32658"/>
    <n v="433"/>
    <n v="17490"/>
    <n v="1911"/>
    <n v="256443"/>
    <n v="25009"/>
    <n v="231434"/>
    <n v="133595"/>
    <n v="97839"/>
  </r>
  <r>
    <s v="15"/>
    <x v="8"/>
    <x v="314"/>
    <x v="314"/>
    <n v="60.19"/>
    <n v="486.8"/>
    <n v="546.99"/>
    <n v="1.36"/>
    <n v="29"/>
    <n v="0"/>
    <n v="516"/>
    <n v="313.68"/>
    <n v="58.86"/>
    <n v="64.67"/>
    <n v="31.49"/>
    <n v="3.44"/>
    <n v="171580"/>
    <n v="0"/>
    <n v="171580"/>
    <n v="30372"/>
    <n v="33370"/>
    <n v="427"/>
    <n v="17225"/>
    <n v="1882"/>
    <n v="254856"/>
    <n v="25355"/>
    <n v="229501"/>
    <n v="130840"/>
    <n v="98661"/>
  </r>
  <r>
    <s v="15"/>
    <x v="8"/>
    <x v="315"/>
    <x v="315"/>
    <n v="274.58"/>
    <n v="2245"/>
    <n v="2519.58"/>
    <n v="6.25"/>
    <n v="178"/>
    <n v="0.2"/>
    <n v="2423"/>
    <n v="313.68"/>
    <n v="58.86"/>
    <n v="64.67"/>
    <n v="31.49"/>
    <n v="3.44"/>
    <n v="790342"/>
    <n v="0"/>
    <n v="790342"/>
    <n v="142618"/>
    <n v="156695"/>
    <n v="1961"/>
    <n v="79342"/>
    <n v="8667"/>
    <n v="1179625"/>
    <n v="115216"/>
    <n v="1064409"/>
    <n v="604251"/>
    <n v="460158"/>
  </r>
  <r>
    <s v="15"/>
    <x v="8"/>
    <x v="316"/>
    <x v="316"/>
    <n v="601.04999999999995"/>
    <n v="4784"/>
    <n v="5385.05"/>
    <n v="13.32"/>
    <n v="136"/>
    <n v="0.8"/>
    <n v="4919"/>
    <n v="313.68"/>
    <n v="58.86"/>
    <n v="64.67"/>
    <n v="31.49"/>
    <n v="3.44"/>
    <n v="1689182"/>
    <n v="0"/>
    <n v="1689182"/>
    <n v="289532"/>
    <n v="318112"/>
    <n v="4178"/>
    <n v="169575"/>
    <n v="18525"/>
    <n v="2489104"/>
    <n v="217386"/>
    <n v="2271718"/>
    <n v="1320307"/>
    <n v="951411"/>
  </r>
  <r>
    <s v="15"/>
    <x v="8"/>
    <x v="317"/>
    <x v="317"/>
    <n v="78.31"/>
    <n v="590.29999999999995"/>
    <n v="668.61"/>
    <n v="1.66"/>
    <n v="1"/>
    <n v="0"/>
    <n v="591"/>
    <n v="313.68"/>
    <n v="58.86"/>
    <n v="64.67"/>
    <n v="31.49"/>
    <n v="3.44"/>
    <n v="209730"/>
    <n v="0"/>
    <n v="209730"/>
    <n v="34786"/>
    <n v="38220"/>
    <n v="521"/>
    <n v="21055"/>
    <n v="2300"/>
    <n v="306612"/>
    <n v="33180"/>
    <n v="273432"/>
    <n v="157743"/>
    <n v="115689"/>
  </r>
  <r>
    <s v="15"/>
    <x v="8"/>
    <x v="318"/>
    <x v="318"/>
    <n v="26.31"/>
    <n v="255.6"/>
    <n v="281.91000000000003"/>
    <n v="0.7"/>
    <n v="0"/>
    <n v="0"/>
    <n v="256"/>
    <n v="313.68"/>
    <n v="58.86"/>
    <n v="64.67"/>
    <n v="31.49"/>
    <n v="3.44"/>
    <n v="88430"/>
    <n v="4469"/>
    <n v="92899"/>
    <n v="15068"/>
    <n v="16556"/>
    <n v="220"/>
    <n v="9163"/>
    <n v="999"/>
    <n v="134905"/>
    <n v="16442"/>
    <n v="118463"/>
    <n v="64373"/>
    <n v="54090"/>
  </r>
  <r>
    <s v="15"/>
    <x v="8"/>
    <x v="319"/>
    <x v="319"/>
    <n v="48.81"/>
    <n v="550.4"/>
    <n v="599.21"/>
    <n v="1.49"/>
    <n v="1"/>
    <n v="0"/>
    <n v="551"/>
    <n v="313.68"/>
    <n v="58.86"/>
    <n v="64.67"/>
    <n v="31.49"/>
    <n v="3.44"/>
    <n v="187960"/>
    <n v="757"/>
    <n v="188717"/>
    <n v="32432"/>
    <n v="35633"/>
    <n v="467"/>
    <n v="18935"/>
    <n v="2064"/>
    <n v="278248"/>
    <n v="32703"/>
    <n v="245545"/>
    <n v="138471"/>
    <n v="107074"/>
  </r>
  <r>
    <s v="15"/>
    <x v="8"/>
    <x v="320"/>
    <x v="320"/>
    <n v="26.24"/>
    <n v="278.60000000000002"/>
    <n v="304.83999999999997"/>
    <n v="0.76"/>
    <n v="6"/>
    <n v="0"/>
    <n v="285"/>
    <n v="313.68"/>
    <n v="58.86"/>
    <n v="64.67"/>
    <n v="31.49"/>
    <n v="3.44"/>
    <n v="95622"/>
    <n v="2905"/>
    <n v="98527"/>
    <n v="16775"/>
    <n v="18431"/>
    <n v="238"/>
    <n v="9699"/>
    <n v="1057"/>
    <n v="144727"/>
    <n v="17232"/>
    <n v="127495"/>
    <n v="69924"/>
    <n v="57571"/>
  </r>
  <r>
    <s v="15"/>
    <x v="8"/>
    <x v="321"/>
    <x v="321"/>
    <n v="123.12"/>
    <n v="939.7"/>
    <n v="1062.82"/>
    <n v="2.64"/>
    <n v="1"/>
    <n v="0"/>
    <n v="941"/>
    <n v="313.68"/>
    <n v="58.86"/>
    <n v="64.67"/>
    <n v="31.49"/>
    <n v="3.44"/>
    <n v="333385"/>
    <n v="4053"/>
    <n v="337438"/>
    <n v="55387"/>
    <n v="60854"/>
    <n v="828"/>
    <n v="33468"/>
    <n v="3656"/>
    <n v="491631"/>
    <n v="61494"/>
    <n v="430137"/>
    <n v="241995"/>
    <n v="188142"/>
  </r>
  <r>
    <s v="15"/>
    <x v="8"/>
    <x v="322"/>
    <x v="322"/>
    <n v="68.87"/>
    <n v="459"/>
    <n v="527.87"/>
    <n v="1.31"/>
    <n v="0"/>
    <n v="0"/>
    <n v="459"/>
    <n v="313.68"/>
    <n v="58.86"/>
    <n v="64.67"/>
    <n v="31.49"/>
    <n v="3.44"/>
    <n v="165582"/>
    <n v="7856"/>
    <n v="173438"/>
    <n v="27017"/>
    <n v="29684"/>
    <n v="411"/>
    <n v="17402"/>
    <n v="1897"/>
    <n v="249849"/>
    <n v="26545"/>
    <n v="223304"/>
    <n v="125049"/>
    <n v="98255"/>
  </r>
  <r>
    <s v="15"/>
    <x v="8"/>
    <x v="323"/>
    <x v="323"/>
    <n v="76.87"/>
    <n v="557.29999999999995"/>
    <n v="634.16999999999996"/>
    <n v="1.57"/>
    <n v="0"/>
    <n v="0"/>
    <n v="557"/>
    <n v="313.68"/>
    <n v="58.86"/>
    <n v="64.67"/>
    <n v="31.49"/>
    <n v="3.44"/>
    <n v="198926"/>
    <n v="30080"/>
    <n v="229006"/>
    <n v="32785"/>
    <n v="36021"/>
    <n v="492"/>
    <n v="20497"/>
    <n v="2234"/>
    <n v="321035"/>
    <n v="34892"/>
    <n v="286143"/>
    <n v="146774"/>
    <n v="139369"/>
  </r>
  <r>
    <s v="15"/>
    <x v="8"/>
    <x v="324"/>
    <x v="324"/>
    <n v="64.98"/>
    <n v="545.20000000000005"/>
    <n v="610.17999999999995"/>
    <n v="1.51"/>
    <n v="0"/>
    <n v="0"/>
    <n v="545"/>
    <n v="313.68"/>
    <n v="58.86"/>
    <n v="64.67"/>
    <n v="31.49"/>
    <n v="3.44"/>
    <n v="191401"/>
    <n v="13083"/>
    <n v="204484"/>
    <n v="32079"/>
    <n v="35245"/>
    <n v="474"/>
    <n v="20517"/>
    <n v="2237"/>
    <n v="295036"/>
    <n v="35052"/>
    <n v="259984"/>
    <n v="140625"/>
    <n v="119359"/>
  </r>
  <r>
    <s v="15"/>
    <x v="8"/>
    <x v="325"/>
    <x v="325"/>
    <n v="61.49"/>
    <n v="445"/>
    <n v="506.49"/>
    <n v="1.26"/>
    <n v="7"/>
    <n v="0"/>
    <n v="452"/>
    <n v="313.68"/>
    <n v="58.86"/>
    <n v="64.67"/>
    <n v="31.49"/>
    <n v="3.44"/>
    <n v="158876"/>
    <n v="0"/>
    <n v="158876"/>
    <n v="26605"/>
    <n v="29231"/>
    <n v="395"/>
    <n v="15949"/>
    <n v="1742"/>
    <n v="232798"/>
    <n v="21967"/>
    <n v="210831"/>
    <n v="122662"/>
    <n v="88169"/>
  </r>
  <r>
    <s v="15"/>
    <x v="8"/>
    <x v="326"/>
    <x v="326"/>
    <n v="17.78"/>
    <n v="314"/>
    <n v="331.78"/>
    <n v="0.82"/>
    <n v="0"/>
    <n v="0"/>
    <n v="314"/>
    <n v="313.68"/>
    <n v="58.86"/>
    <n v="64.67"/>
    <n v="31.49"/>
    <n v="3.44"/>
    <n v="104073"/>
    <n v="11655"/>
    <n v="115728"/>
    <n v="18482"/>
    <n v="20306"/>
    <n v="257"/>
    <n v="10448"/>
    <n v="1141"/>
    <n v="166362"/>
    <n v="18261"/>
    <n v="148101"/>
    <n v="76478"/>
    <n v="716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5" applyNumberFormats="0" applyBorderFormats="0" applyFontFormats="0" applyPatternFormats="0" applyAlignmentFormats="0" applyWidthHeightFormats="1" dataCaption="Values" grandTotalCaption="AEA Total" updatedVersion="6" minRefreshableVersion="3" showDrill="0" useAutoFormatting="1" itemPrintTitles="1" createdVersion="4" indent="0" compact="0" compactData="0" multipleFieldFilters="0">
  <location ref="A4:V332" firstHeaderRow="0" firstDataRow="1" firstDataCol="2"/>
  <pivotFields count="29">
    <pivotField compact="0" outline="0" showAll="0" defaultSubtotal="0"/>
    <pivotField compact="0" outline="0" showAll="0" defaultSubtotal="0">
      <items count="9">
        <item x="2"/>
        <item x="4"/>
        <item x="8"/>
        <item x="7"/>
        <item x="5"/>
        <item x="0"/>
        <item x="3"/>
        <item x="6"/>
        <item x="1"/>
      </items>
    </pivotField>
    <pivotField axis="axisRow" compact="0" outline="0" showAll="0" defaultSubtotal="0">
      <items count="333">
        <item x="59"/>
        <item x="165"/>
        <item x="166"/>
        <item x="218"/>
        <item x="21"/>
        <item x="295"/>
        <item x="133"/>
        <item x="60"/>
        <item x="22"/>
        <item x="0"/>
        <item x="95"/>
        <item x="23"/>
        <item x="167"/>
        <item x="134"/>
        <item x="112"/>
        <item x="168"/>
        <item x="61"/>
        <item x="41"/>
        <item x="219"/>
        <item x="253"/>
        <item x="169"/>
        <item m="1" x="331"/>
        <item x="252"/>
        <item x="170"/>
        <item m="1" x="328"/>
        <item x="171"/>
        <item x="62"/>
        <item x="254"/>
        <item x="135"/>
        <item x="113"/>
        <item x="63"/>
        <item x="114"/>
        <item x="136"/>
        <item x="115"/>
        <item x="303"/>
        <item x="172"/>
        <item x="173"/>
        <item x="220"/>
        <item x="110"/>
        <item x="64"/>
        <item x="96"/>
        <item x="296"/>
        <item x="256"/>
        <item x="65"/>
        <item x="116"/>
        <item x="117"/>
        <item x="297"/>
        <item x="174"/>
        <item x="175"/>
        <item x="66"/>
        <item x="137"/>
        <item x="138"/>
        <item x="298"/>
        <item x="299"/>
        <item x="1"/>
        <item x="118"/>
        <item x="139"/>
        <item x="257"/>
        <item x="221"/>
        <item x="300"/>
        <item x="68"/>
        <item x="222"/>
        <item x="223"/>
        <item x="258"/>
        <item x="24"/>
        <item x="259"/>
        <item x="69"/>
        <item x="25"/>
        <item x="140"/>
        <item x="70"/>
        <item x="119"/>
        <item x="176"/>
        <item x="141"/>
        <item x="177"/>
        <item x="178"/>
        <item x="120"/>
        <item x="179"/>
        <item x="260"/>
        <item x="261"/>
        <item x="262"/>
        <item x="180"/>
        <item x="301"/>
        <item x="121"/>
        <item x="302"/>
        <item x="3"/>
        <item x="122"/>
        <item x="224"/>
        <item x="71"/>
        <item x="181"/>
        <item x="263"/>
        <item x="72"/>
        <item x="4"/>
        <item x="73"/>
        <item x="255"/>
        <item x="123"/>
        <item x="105"/>
        <item x="26"/>
        <item x="182"/>
        <item x="74"/>
        <item x="124"/>
        <item x="265"/>
        <item x="5"/>
        <item x="237"/>
        <item x="6"/>
        <item x="76"/>
        <item x="28"/>
        <item x="142"/>
        <item x="266"/>
        <item x="29"/>
        <item x="183"/>
        <item x="304"/>
        <item x="77"/>
        <item x="30"/>
        <item x="305"/>
        <item x="267"/>
        <item x="225"/>
        <item x="79"/>
        <item x="226"/>
        <item x="184"/>
        <item x="31"/>
        <item x="80"/>
        <item x="268"/>
        <item x="185"/>
        <item x="32"/>
        <item x="281"/>
        <item x="78"/>
        <item x="81"/>
        <item x="269"/>
        <item x="82"/>
        <item x="186"/>
        <item x="2"/>
        <item x="143"/>
        <item x="270"/>
        <item x="83"/>
        <item x="271"/>
        <item m="1" x="332"/>
        <item x="34"/>
        <item x="227"/>
        <item x="144"/>
        <item x="228"/>
        <item x="7"/>
        <item x="84"/>
        <item x="85"/>
        <item x="35"/>
        <item x="86"/>
        <item x="187"/>
        <item x="188"/>
        <item x="145"/>
        <item x="87"/>
        <item x="146"/>
        <item x="272"/>
        <item x="88"/>
        <item x="33"/>
        <item x="89"/>
        <item x="189"/>
        <item x="306"/>
        <item x="307"/>
        <item x="229"/>
        <item x="190"/>
        <item x="90"/>
        <item x="273"/>
        <item x="36"/>
        <item x="230"/>
        <item x="75"/>
        <item x="231"/>
        <item x="274"/>
        <item x="275"/>
        <item x="155"/>
        <item x="147"/>
        <item x="148"/>
        <item x="276"/>
        <item x="149"/>
        <item x="125"/>
        <item x="37"/>
        <item x="191"/>
        <item x="192"/>
        <item x="264"/>
        <item x="38"/>
        <item x="232"/>
        <item x="126"/>
        <item x="9"/>
        <item x="233"/>
        <item x="150"/>
        <item x="91"/>
        <item x="193"/>
        <item x="92"/>
        <item x="234"/>
        <item x="308"/>
        <item x="194"/>
        <item x="152"/>
        <item x="151"/>
        <item x="277"/>
        <item x="8"/>
        <item x="93"/>
        <item x="153"/>
        <item x="309"/>
        <item x="278"/>
        <item x="310"/>
        <item x="311"/>
        <item x="279"/>
        <item x="312"/>
        <item x="154"/>
        <item x="280"/>
        <item x="127"/>
        <item x="94"/>
        <item x="195"/>
        <item x="39"/>
        <item x="10"/>
        <item x="313"/>
        <item x="196"/>
        <item x="67"/>
        <item x="129"/>
        <item x="11"/>
        <item m="1" x="329"/>
        <item x="314"/>
        <item x="156"/>
        <item x="40"/>
        <item x="197"/>
        <item x="128"/>
        <item x="97"/>
        <item m="1" x="330"/>
        <item x="98"/>
        <item x="198"/>
        <item x="284"/>
        <item x="235"/>
        <item x="12"/>
        <item x="199"/>
        <item x="42"/>
        <item x="157"/>
        <item x="282"/>
        <item x="99"/>
        <item x="315"/>
        <item x="316"/>
        <item x="201"/>
        <item x="43"/>
        <item x="245"/>
        <item x="317"/>
        <item x="202"/>
        <item x="203"/>
        <item x="130"/>
        <item x="204"/>
        <item x="44"/>
        <item x="13"/>
        <item x="200"/>
        <item x="45"/>
        <item x="283"/>
        <item x="236"/>
        <item x="14"/>
        <item x="238"/>
        <item x="205"/>
        <item x="100"/>
        <item x="46"/>
        <item x="102"/>
        <item x="206"/>
        <item x="47"/>
        <item x="239"/>
        <item x="240"/>
        <item x="318"/>
        <item x="109"/>
        <item x="241"/>
        <item x="285"/>
        <item x="242"/>
        <item x="286"/>
        <item x="319"/>
        <item x="243"/>
        <item x="244"/>
        <item x="48"/>
        <item x="49"/>
        <item x="158"/>
        <item x="208"/>
        <item x="50"/>
        <item x="51"/>
        <item x="287"/>
        <item x="101"/>
        <item x="15"/>
        <item x="207"/>
        <item x="52"/>
        <item x="53"/>
        <item x="159"/>
        <item x="288"/>
        <item x="16"/>
        <item x="54"/>
        <item x="55"/>
        <item x="214"/>
        <item x="103"/>
        <item x="160"/>
        <item x="289"/>
        <item x="290"/>
        <item x="320"/>
        <item x="104"/>
        <item x="17"/>
        <item x="209"/>
        <item x="56"/>
        <item x="291"/>
        <item x="210"/>
        <item x="211"/>
        <item m="1" x="327"/>
        <item x="321"/>
        <item x="212"/>
        <item x="292"/>
        <item x="161"/>
        <item x="322"/>
        <item x="27"/>
        <item x="323"/>
        <item x="106"/>
        <item x="162"/>
        <item x="107"/>
        <item x="213"/>
        <item x="108"/>
        <item x="324"/>
        <item x="57"/>
        <item x="58"/>
        <item x="163"/>
        <item x="325"/>
        <item x="18"/>
        <item x="19"/>
        <item x="215"/>
        <item x="20"/>
        <item x="293"/>
        <item x="131"/>
        <item x="246"/>
        <item x="111"/>
        <item x="247"/>
        <item x="248"/>
        <item x="249"/>
        <item x="250"/>
        <item x="164"/>
        <item x="132"/>
        <item x="326"/>
        <item x="216"/>
        <item x="294"/>
        <item x="251"/>
        <item x="217"/>
      </items>
    </pivotField>
    <pivotField axis="axisRow" compact="0" outline="0" showAll="0" defaultSubtotal="0">
      <items count="355">
        <item x="165"/>
        <item x="166"/>
        <item x="59"/>
        <item m="1" x="333"/>
        <item x="218"/>
        <item x="21"/>
        <item x="295"/>
        <item x="133"/>
        <item x="60"/>
        <item m="1" x="332"/>
        <item x="0"/>
        <item m="1" x="351"/>
        <item x="167"/>
        <item x="134"/>
        <item x="112"/>
        <item x="168"/>
        <item x="61"/>
        <item x="219"/>
        <item x="253"/>
        <item x="169"/>
        <item m="1" x="339"/>
        <item x="170"/>
        <item m="1" x="342"/>
        <item x="171"/>
        <item x="62"/>
        <item x="254"/>
        <item x="135"/>
        <item x="113"/>
        <item x="63"/>
        <item x="114"/>
        <item x="136"/>
        <item x="115"/>
        <item x="172"/>
        <item x="173"/>
        <item x="220"/>
        <item x="255"/>
        <item x="64"/>
        <item x="296"/>
        <item x="65"/>
        <item m="1" x="344"/>
        <item x="256"/>
        <item x="117"/>
        <item x="297"/>
        <item x="174"/>
        <item x="175"/>
        <item x="66"/>
        <item x="137"/>
        <item x="138"/>
        <item x="298"/>
        <item x="139"/>
        <item x="1"/>
        <item x="118"/>
        <item x="257"/>
        <item x="299"/>
        <item x="221"/>
        <item x="67"/>
        <item x="300"/>
        <item x="68"/>
        <item x="222"/>
        <item x="223"/>
        <item x="258"/>
        <item m="1" x="327"/>
        <item x="259"/>
        <item x="69"/>
        <item x="25"/>
        <item x="2"/>
        <item m="1" x="340"/>
        <item x="70"/>
        <item x="119"/>
        <item x="176"/>
        <item m="1" x="329"/>
        <item x="177"/>
        <item x="178"/>
        <item x="120"/>
        <item x="179"/>
        <item x="260"/>
        <item x="261"/>
        <item m="1" x="352"/>
        <item x="180"/>
        <item x="301"/>
        <item x="121"/>
        <item x="302"/>
        <item x="3"/>
        <item x="122"/>
        <item x="224"/>
        <item x="71"/>
        <item x="181"/>
        <item x="263"/>
        <item x="72"/>
        <item x="4"/>
        <item x="73"/>
        <item x="123"/>
        <item x="26"/>
        <item x="182"/>
        <item x="74"/>
        <item x="75"/>
        <item m="1" x="341"/>
        <item x="27"/>
        <item x="265"/>
        <item x="5"/>
        <item x="124"/>
        <item m="1" x="350"/>
        <item x="6"/>
        <item x="76"/>
        <item x="28"/>
        <item m="1" x="345"/>
        <item x="266"/>
        <item m="1" x="346"/>
        <item x="183"/>
        <item x="304"/>
        <item m="1" x="328"/>
        <item x="30"/>
        <item x="305"/>
        <item x="267"/>
        <item x="225"/>
        <item m="1" x="338"/>
        <item x="226"/>
        <item x="184"/>
        <item x="31"/>
        <item x="80"/>
        <item x="268"/>
        <item x="185"/>
        <item x="78"/>
        <item x="32"/>
        <item m="1" x="335"/>
        <item x="81"/>
        <item x="269"/>
        <item x="82"/>
        <item x="186"/>
        <item x="270"/>
        <item x="83"/>
        <item x="271"/>
        <item m="1" x="349"/>
        <item x="34"/>
        <item x="227"/>
        <item x="144"/>
        <item x="228"/>
        <item x="143"/>
        <item x="7"/>
        <item x="84"/>
        <item x="85"/>
        <item x="35"/>
        <item x="272"/>
        <item x="86"/>
        <item x="187"/>
        <item x="188"/>
        <item x="145"/>
        <item x="87"/>
        <item x="146"/>
        <item x="88"/>
        <item x="89"/>
        <item x="189"/>
        <item x="306"/>
        <item x="307"/>
        <item x="229"/>
        <item x="190"/>
        <item x="90"/>
        <item x="273"/>
        <item x="36"/>
        <item x="230"/>
        <item x="231"/>
        <item x="274"/>
        <item x="275"/>
        <item x="147"/>
        <item x="148"/>
        <item x="276"/>
        <item x="149"/>
        <item x="125"/>
        <item x="37"/>
        <item x="191"/>
        <item x="192"/>
        <item x="38"/>
        <item m="1" x="334"/>
        <item x="126"/>
        <item x="9"/>
        <item x="233"/>
        <item x="150"/>
        <item x="91"/>
        <item x="193"/>
        <item x="92"/>
        <item x="308"/>
        <item x="194"/>
        <item x="8"/>
        <item x="152"/>
        <item x="151"/>
        <item x="277"/>
        <item x="234"/>
        <item x="93"/>
        <item x="153"/>
        <item x="309"/>
        <item x="278"/>
        <item x="310"/>
        <item x="311"/>
        <item x="279"/>
        <item x="312"/>
        <item x="154"/>
        <item x="280"/>
        <item x="127"/>
        <item x="94"/>
        <item x="195"/>
        <item x="10"/>
        <item x="313"/>
        <item x="39"/>
        <item x="196"/>
        <item m="1" x="331"/>
        <item m="1" x="330"/>
        <item x="155"/>
        <item m="1" x="347"/>
        <item x="96"/>
        <item x="40"/>
        <item x="156"/>
        <item x="314"/>
        <item x="197"/>
        <item x="128"/>
        <item x="97"/>
        <item m="1" x="336"/>
        <item m="1" x="353"/>
        <item x="129"/>
        <item m="1" x="348"/>
        <item x="98"/>
        <item x="198"/>
        <item m="1" x="337"/>
        <item x="12"/>
        <item x="199"/>
        <item x="42"/>
        <item x="157"/>
        <item x="282"/>
        <item x="99"/>
        <item x="315"/>
        <item x="316"/>
        <item x="201"/>
        <item x="43"/>
        <item x="200"/>
        <item x="317"/>
        <item x="202"/>
        <item x="203"/>
        <item x="130"/>
        <item x="204"/>
        <item x="44"/>
        <item x="13"/>
        <item x="45"/>
        <item x="283"/>
        <item x="236"/>
        <item x="14"/>
        <item x="237"/>
        <item x="284"/>
        <item x="238"/>
        <item x="205"/>
        <item x="100"/>
        <item x="46"/>
        <item x="206"/>
        <item x="47"/>
        <item x="239"/>
        <item x="240"/>
        <item x="318"/>
        <item x="241"/>
        <item x="285"/>
        <item x="242"/>
        <item x="286"/>
        <item x="319"/>
        <item x="243"/>
        <item x="48"/>
        <item x="244"/>
        <item x="158"/>
        <item x="49"/>
        <item x="50"/>
        <item x="245"/>
        <item x="287"/>
        <item x="101"/>
        <item x="15"/>
        <item x="207"/>
        <item x="208"/>
        <item x="51"/>
        <item x="52"/>
        <item x="53"/>
        <item x="159"/>
        <item x="102"/>
        <item x="288"/>
        <item x="16"/>
        <item x="54"/>
        <item x="55"/>
        <item x="103"/>
        <item x="160"/>
        <item x="289"/>
        <item x="290"/>
        <item x="320"/>
        <item x="104"/>
        <item x="17"/>
        <item x="209"/>
        <item x="56"/>
        <item x="291"/>
        <item x="105"/>
        <item x="210"/>
        <item x="211"/>
        <item m="1" x="354"/>
        <item m="1" x="343"/>
        <item x="212"/>
        <item x="292"/>
        <item x="161"/>
        <item x="322"/>
        <item x="323"/>
        <item x="106"/>
        <item x="162"/>
        <item x="107"/>
        <item x="213"/>
        <item x="108"/>
        <item x="324"/>
        <item x="57"/>
        <item x="58"/>
        <item x="163"/>
        <item x="325"/>
        <item x="18"/>
        <item x="214"/>
        <item x="19"/>
        <item x="215"/>
        <item x="109"/>
        <item x="110"/>
        <item x="293"/>
        <item x="131"/>
        <item x="246"/>
        <item x="111"/>
        <item x="247"/>
        <item x="248"/>
        <item x="20"/>
        <item x="249"/>
        <item x="250"/>
        <item x="164"/>
        <item x="132"/>
        <item x="326"/>
        <item x="216"/>
        <item x="294"/>
        <item x="251"/>
        <item x="217"/>
        <item x="11"/>
        <item x="22"/>
        <item x="23"/>
        <item x="24"/>
        <item x="29"/>
        <item x="33"/>
        <item x="41"/>
        <item x="77"/>
        <item x="79"/>
        <item x="95"/>
        <item x="116"/>
        <item x="140"/>
        <item x="141"/>
        <item x="142"/>
        <item x="232"/>
        <item x="235"/>
        <item x="252"/>
        <item x="262"/>
        <item x="264"/>
        <item x="281"/>
        <item x="303"/>
        <item x="321"/>
      </items>
    </pivotField>
    <pivotField dataField="1" compact="0" numFmtId="4" outline="0" showAll="0" defaultSubtotal="0"/>
    <pivotField dataField="1" compact="0" numFmtId="164" outline="0" showAll="0" defaultSubtotal="0"/>
    <pivotField dataField="1" compact="0" numFmtId="4" outline="0" showAll="0" defaultSubtotal="0"/>
    <pivotField dataField="1" compact="0" numFmtId="4" outline="0" showAll="0" defaultSubtotal="0"/>
    <pivotField dataField="1" compact="0" numFmtId="3" outline="0" showAll="0" defaultSubtotal="0"/>
    <pivotField dataField="1" compact="0" numFmtId="164" outline="0" showAll="0" defaultSubtotal="0"/>
    <pivotField dataField="1" compact="0" numFmtId="3"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 dataField="1" compact="0" numFmtId="3" outline="0" showAll="0" defaultSubtotal="0"/>
  </pivotFields>
  <rowFields count="2">
    <field x="2"/>
    <field x="3"/>
  </rowFields>
  <rowItems count="328">
    <i>
      <x/>
      <x v="2"/>
    </i>
    <i>
      <x v="1"/>
      <x/>
    </i>
    <i>
      <x v="2"/>
      <x v="1"/>
    </i>
    <i>
      <x v="3"/>
      <x v="4"/>
    </i>
    <i>
      <x v="4"/>
      <x v="5"/>
    </i>
    <i>
      <x v="5"/>
      <x v="6"/>
    </i>
    <i>
      <x v="6"/>
      <x v="7"/>
    </i>
    <i>
      <x v="7"/>
      <x v="8"/>
    </i>
    <i>
      <x v="8"/>
      <x v="334"/>
    </i>
    <i>
      <x v="9"/>
      <x v="10"/>
    </i>
    <i>
      <x v="10"/>
      <x v="342"/>
    </i>
    <i>
      <x v="11"/>
      <x v="335"/>
    </i>
    <i>
      <x v="12"/>
      <x v="12"/>
    </i>
    <i>
      <x v="13"/>
      <x v="13"/>
    </i>
    <i>
      <x v="14"/>
      <x v="14"/>
    </i>
    <i>
      <x v="15"/>
      <x v="15"/>
    </i>
    <i>
      <x v="16"/>
      <x v="16"/>
    </i>
    <i>
      <x v="17"/>
      <x v="339"/>
    </i>
    <i>
      <x v="18"/>
      <x v="17"/>
    </i>
    <i>
      <x v="19"/>
      <x v="18"/>
    </i>
    <i>
      <x v="20"/>
      <x v="19"/>
    </i>
    <i>
      <x v="22"/>
      <x v="349"/>
    </i>
    <i>
      <x v="23"/>
      <x v="21"/>
    </i>
    <i>
      <x v="25"/>
      <x v="23"/>
    </i>
    <i>
      <x v="26"/>
      <x v="24"/>
    </i>
    <i>
      <x v="27"/>
      <x v="25"/>
    </i>
    <i>
      <x v="28"/>
      <x v="26"/>
    </i>
    <i>
      <x v="29"/>
      <x v="27"/>
    </i>
    <i>
      <x v="30"/>
      <x v="28"/>
    </i>
    <i>
      <x v="31"/>
      <x v="29"/>
    </i>
    <i>
      <x v="32"/>
      <x v="30"/>
    </i>
    <i>
      <x v="33"/>
      <x v="31"/>
    </i>
    <i>
      <x v="34"/>
      <x v="353"/>
    </i>
    <i>
      <x v="35"/>
      <x v="32"/>
    </i>
    <i>
      <x v="36"/>
      <x v="33"/>
    </i>
    <i>
      <x v="37"/>
      <x v="34"/>
    </i>
    <i>
      <x v="38"/>
      <x v="316"/>
    </i>
    <i>
      <x v="39"/>
      <x v="36"/>
    </i>
    <i>
      <x v="40"/>
      <x v="208"/>
    </i>
    <i>
      <x v="41"/>
      <x v="37"/>
    </i>
    <i>
      <x v="42"/>
      <x v="40"/>
    </i>
    <i>
      <x v="43"/>
      <x v="38"/>
    </i>
    <i>
      <x v="44"/>
      <x v="343"/>
    </i>
    <i>
      <x v="45"/>
      <x v="41"/>
    </i>
    <i>
      <x v="46"/>
      <x v="42"/>
    </i>
    <i>
      <x v="47"/>
      <x v="43"/>
    </i>
    <i>
      <x v="48"/>
      <x v="44"/>
    </i>
    <i>
      <x v="49"/>
      <x v="45"/>
    </i>
    <i>
      <x v="50"/>
      <x v="46"/>
    </i>
    <i>
      <x v="51"/>
      <x v="47"/>
    </i>
    <i>
      <x v="52"/>
      <x v="48"/>
    </i>
    <i>
      <x v="53"/>
      <x v="53"/>
    </i>
    <i>
      <x v="54"/>
      <x v="50"/>
    </i>
    <i>
      <x v="55"/>
      <x v="51"/>
    </i>
    <i>
      <x v="56"/>
      <x v="49"/>
    </i>
    <i>
      <x v="57"/>
      <x v="52"/>
    </i>
    <i>
      <x v="58"/>
      <x v="54"/>
    </i>
    <i>
      <x v="59"/>
      <x v="56"/>
    </i>
    <i>
      <x v="60"/>
      <x v="57"/>
    </i>
    <i>
      <x v="61"/>
      <x v="58"/>
    </i>
    <i>
      <x v="62"/>
      <x v="59"/>
    </i>
    <i>
      <x v="63"/>
      <x v="60"/>
    </i>
    <i>
      <x v="64"/>
      <x v="336"/>
    </i>
    <i>
      <x v="65"/>
      <x v="62"/>
    </i>
    <i>
      <x v="66"/>
      <x v="63"/>
    </i>
    <i>
      <x v="67"/>
      <x v="64"/>
    </i>
    <i>
      <x v="68"/>
      <x v="344"/>
    </i>
    <i>
      <x v="69"/>
      <x v="67"/>
    </i>
    <i>
      <x v="70"/>
      <x v="68"/>
    </i>
    <i>
      <x v="71"/>
      <x v="69"/>
    </i>
    <i>
      <x v="72"/>
      <x v="345"/>
    </i>
    <i>
      <x v="73"/>
      <x v="71"/>
    </i>
    <i>
      <x v="74"/>
      <x v="72"/>
    </i>
    <i>
      <x v="75"/>
      <x v="73"/>
    </i>
    <i>
      <x v="76"/>
      <x v="74"/>
    </i>
    <i>
      <x v="77"/>
      <x v="75"/>
    </i>
    <i>
      <x v="78"/>
      <x v="76"/>
    </i>
    <i>
      <x v="79"/>
      <x v="350"/>
    </i>
    <i>
      <x v="80"/>
      <x v="78"/>
    </i>
    <i>
      <x v="81"/>
      <x v="79"/>
    </i>
    <i>
      <x v="82"/>
      <x v="80"/>
    </i>
    <i>
      <x v="83"/>
      <x v="81"/>
    </i>
    <i>
      <x v="84"/>
      <x v="82"/>
    </i>
    <i>
      <x v="85"/>
      <x v="83"/>
    </i>
    <i>
      <x v="86"/>
      <x v="84"/>
    </i>
    <i>
      <x v="87"/>
      <x v="85"/>
    </i>
    <i>
      <x v="88"/>
      <x v="86"/>
    </i>
    <i>
      <x v="89"/>
      <x v="87"/>
    </i>
    <i>
      <x v="90"/>
      <x v="88"/>
    </i>
    <i>
      <x v="91"/>
      <x v="89"/>
    </i>
    <i>
      <x v="92"/>
      <x v="90"/>
    </i>
    <i>
      <x v="93"/>
      <x v="35"/>
    </i>
    <i>
      <x v="94"/>
      <x v="91"/>
    </i>
    <i>
      <x v="95"/>
      <x v="291"/>
    </i>
    <i>
      <x v="96"/>
      <x v="92"/>
    </i>
    <i>
      <x v="97"/>
      <x v="93"/>
    </i>
    <i>
      <x v="98"/>
      <x v="94"/>
    </i>
    <i>
      <x v="99"/>
      <x v="100"/>
    </i>
    <i>
      <x v="100"/>
      <x v="98"/>
    </i>
    <i>
      <x v="101"/>
      <x v="99"/>
    </i>
    <i>
      <x v="102"/>
      <x v="244"/>
    </i>
    <i>
      <x v="103"/>
      <x v="102"/>
    </i>
    <i>
      <x v="104"/>
      <x v="103"/>
    </i>
    <i>
      <x v="105"/>
      <x v="104"/>
    </i>
    <i>
      <x v="106"/>
      <x v="346"/>
    </i>
    <i>
      <x v="107"/>
      <x v="106"/>
    </i>
    <i>
      <x v="108"/>
      <x v="337"/>
    </i>
    <i>
      <x v="109"/>
      <x v="108"/>
    </i>
    <i>
      <x v="110"/>
      <x v="109"/>
    </i>
    <i>
      <x v="111"/>
      <x v="340"/>
    </i>
    <i>
      <x v="112"/>
      <x v="111"/>
    </i>
    <i>
      <x v="113"/>
      <x v="112"/>
    </i>
    <i>
      <x v="114"/>
      <x v="113"/>
    </i>
    <i>
      <x v="115"/>
      <x v="114"/>
    </i>
    <i>
      <x v="116"/>
      <x v="341"/>
    </i>
    <i>
      <x v="117"/>
      <x v="116"/>
    </i>
    <i>
      <x v="118"/>
      <x v="117"/>
    </i>
    <i>
      <x v="119"/>
      <x v="118"/>
    </i>
    <i>
      <x v="120"/>
      <x v="119"/>
    </i>
    <i>
      <x v="121"/>
      <x v="120"/>
    </i>
    <i>
      <x v="122"/>
      <x v="121"/>
    </i>
    <i>
      <x v="123"/>
      <x v="123"/>
    </i>
    <i>
      <x v="124"/>
      <x v="352"/>
    </i>
    <i>
      <x v="125"/>
      <x v="122"/>
    </i>
    <i>
      <x v="126"/>
      <x v="125"/>
    </i>
    <i>
      <x v="127"/>
      <x v="126"/>
    </i>
    <i>
      <x v="128"/>
      <x v="127"/>
    </i>
    <i>
      <x v="129"/>
      <x v="128"/>
    </i>
    <i>
      <x v="130"/>
      <x v="65"/>
    </i>
    <i>
      <x v="131"/>
      <x v="137"/>
    </i>
    <i>
      <x v="132"/>
      <x v="129"/>
    </i>
    <i>
      <x v="133"/>
      <x v="130"/>
    </i>
    <i>
      <x v="134"/>
      <x v="131"/>
    </i>
    <i>
      <x v="136"/>
      <x v="133"/>
    </i>
    <i>
      <x v="137"/>
      <x v="134"/>
    </i>
    <i>
      <x v="138"/>
      <x v="135"/>
    </i>
    <i>
      <x v="139"/>
      <x v="136"/>
    </i>
    <i>
      <x v="140"/>
      <x v="138"/>
    </i>
    <i>
      <x v="141"/>
      <x v="139"/>
    </i>
    <i>
      <x v="142"/>
      <x v="140"/>
    </i>
    <i>
      <x v="143"/>
      <x v="141"/>
    </i>
    <i>
      <x v="144"/>
      <x v="143"/>
    </i>
    <i>
      <x v="145"/>
      <x v="144"/>
    </i>
    <i>
      <x v="146"/>
      <x v="145"/>
    </i>
    <i>
      <x v="147"/>
      <x v="146"/>
    </i>
    <i>
      <x v="148"/>
      <x v="147"/>
    </i>
    <i>
      <x v="149"/>
      <x v="148"/>
    </i>
    <i>
      <x v="150"/>
      <x v="142"/>
    </i>
    <i>
      <x v="151"/>
      <x v="149"/>
    </i>
    <i>
      <x v="152"/>
      <x v="338"/>
    </i>
    <i>
      <x v="153"/>
      <x v="150"/>
    </i>
    <i>
      <x v="154"/>
      <x v="151"/>
    </i>
    <i>
      <x v="155"/>
      <x v="152"/>
    </i>
    <i>
      <x v="156"/>
      <x v="153"/>
    </i>
    <i>
      <x v="157"/>
      <x v="154"/>
    </i>
    <i>
      <x v="158"/>
      <x v="155"/>
    </i>
    <i>
      <x v="159"/>
      <x v="156"/>
    </i>
    <i>
      <x v="160"/>
      <x v="157"/>
    </i>
    <i>
      <x v="161"/>
      <x v="158"/>
    </i>
    <i>
      <x v="162"/>
      <x v="159"/>
    </i>
    <i>
      <x v="163"/>
      <x v="95"/>
    </i>
    <i>
      <x v="164"/>
      <x v="160"/>
    </i>
    <i>
      <x v="165"/>
      <x v="161"/>
    </i>
    <i>
      <x v="166"/>
      <x v="162"/>
    </i>
    <i>
      <x v="167"/>
      <x v="206"/>
    </i>
    <i>
      <x v="168"/>
      <x v="163"/>
    </i>
    <i>
      <x v="169"/>
      <x v="164"/>
    </i>
    <i>
      <x v="170"/>
      <x v="165"/>
    </i>
    <i>
      <x v="171"/>
      <x v="166"/>
    </i>
    <i>
      <x v="172"/>
      <x v="167"/>
    </i>
    <i>
      <x v="173"/>
      <x v="168"/>
    </i>
    <i>
      <x v="174"/>
      <x v="169"/>
    </i>
    <i>
      <x v="175"/>
      <x v="170"/>
    </i>
    <i>
      <x v="176"/>
      <x v="351"/>
    </i>
    <i>
      <x v="177"/>
      <x v="171"/>
    </i>
    <i>
      <x v="178"/>
      <x v="347"/>
    </i>
    <i>
      <x v="179"/>
      <x v="173"/>
    </i>
    <i>
      <x v="180"/>
      <x v="174"/>
    </i>
    <i>
      <x v="181"/>
      <x v="175"/>
    </i>
    <i>
      <x v="182"/>
      <x v="176"/>
    </i>
    <i>
      <x v="183"/>
      <x v="177"/>
    </i>
    <i>
      <x v="184"/>
      <x v="178"/>
    </i>
    <i>
      <x v="185"/>
      <x v="179"/>
    </i>
    <i>
      <x v="186"/>
      <x v="186"/>
    </i>
    <i>
      <x v="187"/>
      <x v="180"/>
    </i>
    <i>
      <x v="188"/>
      <x v="181"/>
    </i>
    <i>
      <x v="189"/>
      <x v="183"/>
    </i>
    <i>
      <x v="190"/>
      <x v="184"/>
    </i>
    <i>
      <x v="191"/>
      <x v="185"/>
    </i>
    <i>
      <x v="192"/>
      <x v="182"/>
    </i>
    <i>
      <x v="193"/>
      <x v="187"/>
    </i>
    <i>
      <x v="194"/>
      <x v="188"/>
    </i>
    <i>
      <x v="195"/>
      <x v="189"/>
    </i>
    <i>
      <x v="196"/>
      <x v="190"/>
    </i>
    <i>
      <x v="197"/>
      <x v="191"/>
    </i>
    <i>
      <x v="198"/>
      <x v="192"/>
    </i>
    <i>
      <x v="199"/>
      <x v="193"/>
    </i>
    <i>
      <x v="200"/>
      <x v="194"/>
    </i>
    <i>
      <x v="201"/>
      <x v="195"/>
    </i>
    <i>
      <x v="202"/>
      <x v="196"/>
    </i>
    <i>
      <x v="203"/>
      <x v="197"/>
    </i>
    <i>
      <x v="204"/>
      <x v="198"/>
    </i>
    <i>
      <x v="205"/>
      <x v="199"/>
    </i>
    <i>
      <x v="206"/>
      <x v="202"/>
    </i>
    <i>
      <x v="207"/>
      <x v="200"/>
    </i>
    <i>
      <x v="208"/>
      <x v="201"/>
    </i>
    <i>
      <x v="209"/>
      <x v="203"/>
    </i>
    <i>
      <x v="210"/>
      <x v="55"/>
    </i>
    <i>
      <x v="211"/>
      <x v="217"/>
    </i>
    <i>
      <x v="212"/>
      <x v="333"/>
    </i>
    <i>
      <x v="214"/>
      <x v="211"/>
    </i>
    <i>
      <x v="215"/>
      <x v="210"/>
    </i>
    <i>
      <x v="216"/>
      <x v="209"/>
    </i>
    <i>
      <x v="217"/>
      <x v="212"/>
    </i>
    <i>
      <x v="218"/>
      <x v="213"/>
    </i>
    <i>
      <x v="219"/>
      <x v="214"/>
    </i>
    <i>
      <x v="221"/>
      <x v="219"/>
    </i>
    <i>
      <x v="222"/>
      <x v="220"/>
    </i>
    <i>
      <x v="223"/>
      <x v="245"/>
    </i>
    <i>
      <x v="224"/>
      <x v="348"/>
    </i>
    <i>
      <x v="225"/>
      <x v="222"/>
    </i>
    <i>
      <x v="226"/>
      <x v="223"/>
    </i>
    <i>
      <x v="227"/>
      <x v="224"/>
    </i>
    <i>
      <x v="228"/>
      <x v="225"/>
    </i>
    <i>
      <x v="229"/>
      <x v="226"/>
    </i>
    <i>
      <x v="230"/>
      <x v="227"/>
    </i>
    <i>
      <x v="231"/>
      <x v="228"/>
    </i>
    <i>
      <x v="232"/>
      <x v="229"/>
    </i>
    <i>
      <x v="233"/>
      <x v="230"/>
    </i>
    <i>
      <x v="234"/>
      <x v="231"/>
    </i>
    <i>
      <x v="235"/>
      <x v="266"/>
    </i>
    <i>
      <x v="236"/>
      <x v="233"/>
    </i>
    <i>
      <x v="237"/>
      <x v="234"/>
    </i>
    <i>
      <x v="238"/>
      <x v="235"/>
    </i>
    <i>
      <x v="239"/>
      <x v="236"/>
    </i>
    <i>
      <x v="240"/>
      <x v="237"/>
    </i>
    <i>
      <x v="241"/>
      <x v="238"/>
    </i>
    <i>
      <x v="242"/>
      <x v="239"/>
    </i>
    <i>
      <x v="243"/>
      <x v="232"/>
    </i>
    <i>
      <x v="244"/>
      <x v="240"/>
    </i>
    <i>
      <x v="245"/>
      <x v="241"/>
    </i>
    <i>
      <x v="246"/>
      <x v="242"/>
    </i>
    <i>
      <x v="247"/>
      <x v="243"/>
    </i>
    <i>
      <x v="248"/>
      <x v="246"/>
    </i>
    <i>
      <x v="249"/>
      <x v="247"/>
    </i>
    <i>
      <x v="250"/>
      <x v="248"/>
    </i>
    <i>
      <x v="251"/>
      <x v="249"/>
    </i>
    <i>
      <x v="252"/>
      <x v="276"/>
    </i>
    <i>
      <x v="253"/>
      <x v="250"/>
    </i>
    <i>
      <x v="254"/>
      <x v="251"/>
    </i>
    <i>
      <x v="255"/>
      <x v="252"/>
    </i>
    <i>
      <x v="256"/>
      <x v="253"/>
    </i>
    <i>
      <x v="257"/>
      <x v="254"/>
    </i>
    <i>
      <x v="258"/>
      <x v="315"/>
    </i>
    <i>
      <x v="259"/>
      <x v="255"/>
    </i>
    <i>
      <x v="260"/>
      <x v="256"/>
    </i>
    <i>
      <x v="261"/>
      <x v="257"/>
    </i>
    <i>
      <x v="262"/>
      <x v="258"/>
    </i>
    <i>
      <x v="263"/>
      <x v="259"/>
    </i>
    <i>
      <x v="264"/>
      <x v="260"/>
    </i>
    <i>
      <x v="265"/>
      <x v="262"/>
    </i>
    <i>
      <x v="266"/>
      <x v="261"/>
    </i>
    <i>
      <x v="267"/>
      <x v="264"/>
    </i>
    <i>
      <x v="268"/>
      <x v="263"/>
    </i>
    <i>
      <x v="269"/>
      <x v="271"/>
    </i>
    <i>
      <x v="270"/>
      <x v="265"/>
    </i>
    <i>
      <x v="271"/>
      <x v="272"/>
    </i>
    <i>
      <x v="272"/>
      <x v="267"/>
    </i>
    <i>
      <x v="273"/>
      <x v="268"/>
    </i>
    <i>
      <x v="274"/>
      <x v="269"/>
    </i>
    <i>
      <x v="275"/>
      <x v="270"/>
    </i>
    <i>
      <x v="276"/>
      <x v="273"/>
    </i>
    <i>
      <x v="277"/>
      <x v="274"/>
    </i>
    <i>
      <x v="278"/>
      <x v="275"/>
    </i>
    <i>
      <x v="279"/>
      <x v="277"/>
    </i>
    <i>
      <x v="280"/>
      <x v="278"/>
    </i>
    <i>
      <x v="281"/>
      <x v="279"/>
    </i>
    <i>
      <x v="282"/>
      <x v="280"/>
    </i>
    <i>
      <x v="283"/>
      <x v="312"/>
    </i>
    <i>
      <x v="284"/>
      <x v="281"/>
    </i>
    <i>
      <x v="285"/>
      <x v="282"/>
    </i>
    <i>
      <x v="286"/>
      <x v="283"/>
    </i>
    <i>
      <x v="287"/>
      <x v="284"/>
    </i>
    <i>
      <x v="288"/>
      <x v="285"/>
    </i>
    <i>
      <x v="289"/>
      <x v="286"/>
    </i>
    <i>
      <x v="290"/>
      <x v="287"/>
    </i>
    <i>
      <x v="291"/>
      <x v="288"/>
    </i>
    <i>
      <x v="292"/>
      <x v="289"/>
    </i>
    <i>
      <x v="293"/>
      <x v="290"/>
    </i>
    <i>
      <x v="294"/>
      <x v="292"/>
    </i>
    <i>
      <x v="295"/>
      <x v="293"/>
    </i>
    <i>
      <x v="297"/>
      <x v="354"/>
    </i>
    <i>
      <x v="298"/>
      <x v="296"/>
    </i>
    <i>
      <x v="299"/>
      <x v="297"/>
    </i>
    <i>
      <x v="300"/>
      <x v="298"/>
    </i>
    <i>
      <x v="301"/>
      <x v="299"/>
    </i>
    <i>
      <x v="302"/>
      <x v="97"/>
    </i>
    <i>
      <x v="303"/>
      <x v="300"/>
    </i>
    <i>
      <x v="304"/>
      <x v="301"/>
    </i>
    <i>
      <x v="305"/>
      <x v="302"/>
    </i>
    <i>
      <x v="306"/>
      <x v="303"/>
    </i>
    <i>
      <x v="307"/>
      <x v="304"/>
    </i>
    <i>
      <x v="308"/>
      <x v="305"/>
    </i>
    <i>
      <x v="309"/>
      <x v="306"/>
    </i>
    <i>
      <x v="310"/>
      <x v="307"/>
    </i>
    <i>
      <x v="311"/>
      <x v="308"/>
    </i>
    <i>
      <x v="312"/>
      <x v="309"/>
    </i>
    <i>
      <x v="313"/>
      <x v="310"/>
    </i>
    <i>
      <x v="314"/>
      <x v="311"/>
    </i>
    <i>
      <x v="315"/>
      <x v="313"/>
    </i>
    <i>
      <x v="316"/>
      <x v="314"/>
    </i>
    <i>
      <x v="317"/>
      <x v="323"/>
    </i>
    <i>
      <x v="318"/>
      <x v="317"/>
    </i>
    <i>
      <x v="319"/>
      <x v="318"/>
    </i>
    <i>
      <x v="320"/>
      <x v="319"/>
    </i>
    <i>
      <x v="321"/>
      <x v="320"/>
    </i>
    <i>
      <x v="322"/>
      <x v="321"/>
    </i>
    <i>
      <x v="323"/>
      <x v="322"/>
    </i>
    <i>
      <x v="324"/>
      <x v="324"/>
    </i>
    <i>
      <x v="325"/>
      <x v="325"/>
    </i>
    <i>
      <x v="326"/>
      <x v="326"/>
    </i>
    <i>
      <x v="327"/>
      <x v="327"/>
    </i>
    <i>
      <x v="328"/>
      <x v="328"/>
    </i>
    <i>
      <x v="329"/>
      <x v="329"/>
    </i>
    <i>
      <x v="330"/>
      <x v="330"/>
    </i>
    <i>
      <x v="331"/>
      <x v="331"/>
    </i>
    <i>
      <x v="332"/>
      <x v="332"/>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Total Special Ed Weighting" fld="4" baseField="3" baseItem="1" numFmtId="4"/>
    <dataField name="Budget Enrollment " fld="5" baseField="3" baseItem="0" numFmtId="164"/>
    <dataField name="AEA Weighted Enrollment " fld="6" baseField="3" baseItem="0" numFmtId="4"/>
    <dataField name="AEA Supplementary Weight for Sharing " fld="7" baseField="3" baseItem="0" numFmtId="4"/>
    <dataField name="Resident Accredited Nonpublic Students " fld="8" baseField="3" baseItem="0" numFmtId="3"/>
    <dataField name="Shared-Time Nonpublic Pupils" fld="9" baseField="3" baseItem="0" numFmtId="164"/>
    <dataField name="Total Enrollment Served - AEA Media and Ed Services " fld="10" baseField="3" baseItem="130" numFmtId="3"/>
    <dataField name="AEA Special Ed Support District Cost without Adjustment " fld="16" baseField="3" baseItem="130" numFmtId="3"/>
    <dataField name="AEA Special Ed Support Adjustment " fld="17" baseField="3" baseItem="130" numFmtId="3"/>
    <dataField name="Special Education Total Cost " fld="18" baseField="3" baseItem="130" numFmtId="3"/>
    <dataField name="AEA Media Services District Cost " fld="19" baseField="3" baseItem="130" numFmtId="3"/>
    <dataField name="AEA Ed Services District Cost " fld="20" baseField="3" baseItem="130" numFmtId="3"/>
    <dataField name="AEA Sharing District Cost " fld="21" baseField="3" baseItem="130" numFmtId="3"/>
    <dataField name="AEA Teacher Salary Supplement District Cost " fld="22" baseField="3" baseItem="130" numFmtId="3"/>
    <dataField name="AEA Professional Development Supplement District Cost " fld="23" baseField="3" baseItem="130" numFmtId="3"/>
    <dataField name="Subtotal Budget " fld="24" baseField="3" baseItem="130" numFmtId="3"/>
    <dataField name="AEA State Aid Reduction" fld="25" baseField="3" baseItem="130" numFmtId="3"/>
    <dataField name="Total Budget " fld="26" baseField="3" baseItem="130" numFmtId="3"/>
    <dataField name="State Aid Portion " fld="27" baseField="3" baseItem="130" numFmtId="3"/>
    <dataField name="Property Tax Portion " fld="28" baseField="3" baseItem="130" numFmtId="3"/>
  </dataFields>
  <formats count="29">
    <format dxfId="57">
      <pivotArea field="2" type="button" dataOnly="0" labelOnly="1" outline="0" axis="axisRow" fieldPosition="0"/>
    </format>
    <format dxfId="56">
      <pivotArea field="3" type="button" dataOnly="0" labelOnly="1" outline="0" axis="axisRow" fieldPosition="1"/>
    </format>
    <format dxfId="55">
      <pivotArea dataOnly="0" labelOnly="1" outline="0" fieldPosition="0">
        <references count="1">
          <reference field="4294967294" count="20">
            <x v="0"/>
            <x v="1"/>
            <x v="2"/>
            <x v="3"/>
            <x v="4"/>
            <x v="5"/>
            <x v="6"/>
            <x v="7"/>
            <x v="8"/>
            <x v="9"/>
            <x v="10"/>
            <x v="11"/>
            <x v="12"/>
            <x v="13"/>
            <x v="14"/>
            <x v="15"/>
            <x v="16"/>
            <x v="17"/>
            <x v="18"/>
            <x v="19"/>
          </reference>
        </references>
      </pivotArea>
    </format>
    <format dxfId="54">
      <pivotArea type="all" dataOnly="0" outline="0" fieldPosition="0"/>
    </format>
    <format dxfId="53">
      <pivotArea field="2" type="button" dataOnly="0" labelOnly="1" outline="0" axis="axisRow" fieldPosition="0"/>
    </format>
    <format dxfId="52">
      <pivotArea field="3" type="button" dataOnly="0" labelOnly="1" outline="0" axis="axisRow" fieldPosition="1"/>
    </format>
    <format dxfId="51">
      <pivotArea dataOnly="0" labelOnly="1" outline="0" fieldPosition="0">
        <references count="1">
          <reference field="4294967294" count="20">
            <x v="0"/>
            <x v="1"/>
            <x v="2"/>
            <x v="3"/>
            <x v="4"/>
            <x v="5"/>
            <x v="6"/>
            <x v="7"/>
            <x v="8"/>
            <x v="9"/>
            <x v="10"/>
            <x v="11"/>
            <x v="12"/>
            <x v="13"/>
            <x v="14"/>
            <x v="15"/>
            <x v="16"/>
            <x v="17"/>
            <x v="18"/>
            <x v="19"/>
          </reference>
        </references>
      </pivotArea>
    </format>
    <format dxfId="50">
      <pivotArea grandRow="1" outline="0" collapsedLevelsAreSubtotals="1" fieldPosition="0"/>
    </format>
    <format dxfId="49">
      <pivotArea dataOnly="0" labelOnly="1" grandRow="1" outline="0" fieldPosition="0"/>
    </format>
    <format dxfId="48">
      <pivotArea outline="0" fieldPosition="0">
        <references count="1">
          <reference field="4294967294" count="1">
            <x v="0"/>
          </reference>
        </references>
      </pivotArea>
    </format>
    <format dxfId="47">
      <pivotArea outline="0" fieldPosition="0">
        <references count="1">
          <reference field="4294967294" count="1">
            <x v="1"/>
          </reference>
        </references>
      </pivotArea>
    </format>
    <format dxfId="46">
      <pivotArea outline="0" fieldPosition="0">
        <references count="1">
          <reference field="4294967294" count="1">
            <x v="2"/>
          </reference>
        </references>
      </pivotArea>
    </format>
    <format dxfId="45">
      <pivotArea outline="0" fieldPosition="0">
        <references count="1">
          <reference field="4294967294" count="1">
            <x v="3"/>
          </reference>
        </references>
      </pivotArea>
    </format>
    <format dxfId="44">
      <pivotArea outline="0" fieldPosition="0">
        <references count="1">
          <reference field="4294967294" count="1">
            <x v="4"/>
          </reference>
        </references>
      </pivotArea>
    </format>
    <format dxfId="43">
      <pivotArea outline="0" fieldPosition="0">
        <references count="1">
          <reference field="4294967294" count="1">
            <x v="5"/>
          </reference>
        </references>
      </pivotArea>
    </format>
    <format dxfId="42">
      <pivotArea outline="0" fieldPosition="0">
        <references count="1">
          <reference field="4294967294" count="1">
            <x v="6"/>
          </reference>
        </references>
      </pivotArea>
    </format>
    <format dxfId="41">
      <pivotArea outline="0" fieldPosition="0">
        <references count="1">
          <reference field="4294967294" count="1">
            <x v="7"/>
          </reference>
        </references>
      </pivotArea>
    </format>
    <format dxfId="40">
      <pivotArea outline="0" fieldPosition="0">
        <references count="1">
          <reference field="4294967294" count="1">
            <x v="8"/>
          </reference>
        </references>
      </pivotArea>
    </format>
    <format dxfId="39">
      <pivotArea outline="0" fieldPosition="0">
        <references count="1">
          <reference field="4294967294" count="1">
            <x v="9"/>
          </reference>
        </references>
      </pivotArea>
    </format>
    <format dxfId="38">
      <pivotArea outline="0" fieldPosition="0">
        <references count="1">
          <reference field="4294967294" count="1">
            <x v="10"/>
          </reference>
        </references>
      </pivotArea>
    </format>
    <format dxfId="37">
      <pivotArea outline="0" fieldPosition="0">
        <references count="1">
          <reference field="4294967294" count="1">
            <x v="11"/>
          </reference>
        </references>
      </pivotArea>
    </format>
    <format dxfId="36">
      <pivotArea outline="0" fieldPosition="0">
        <references count="1">
          <reference field="4294967294" count="1">
            <x v="12"/>
          </reference>
        </references>
      </pivotArea>
    </format>
    <format dxfId="35">
      <pivotArea outline="0" fieldPosition="0">
        <references count="1">
          <reference field="4294967294" count="1">
            <x v="13"/>
          </reference>
        </references>
      </pivotArea>
    </format>
    <format dxfId="34">
      <pivotArea outline="0" fieldPosition="0">
        <references count="1">
          <reference field="4294967294" count="1">
            <x v="14"/>
          </reference>
        </references>
      </pivotArea>
    </format>
    <format dxfId="33">
      <pivotArea outline="0" fieldPosition="0">
        <references count="1">
          <reference field="4294967294" count="1">
            <x v="15"/>
          </reference>
        </references>
      </pivotArea>
    </format>
    <format dxfId="32">
      <pivotArea outline="0" fieldPosition="0">
        <references count="1">
          <reference field="4294967294" count="1">
            <x v="16"/>
          </reference>
        </references>
      </pivotArea>
    </format>
    <format dxfId="31">
      <pivotArea outline="0" fieldPosition="0">
        <references count="1">
          <reference field="4294967294" count="1">
            <x v="17"/>
          </reference>
        </references>
      </pivotArea>
    </format>
    <format dxfId="30">
      <pivotArea outline="0" fieldPosition="0">
        <references count="1">
          <reference field="4294967294" count="1">
            <x v="18"/>
          </reference>
        </references>
      </pivotArea>
    </format>
    <format dxfId="29">
      <pivotArea outline="0" fieldPosition="0">
        <references count="1">
          <reference field="4294967294" count="1">
            <x v="19"/>
          </reference>
        </references>
      </pivotArea>
    </format>
  </formats>
  <pivotTableStyleInfo name="PivotTable Style 1"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EA_Name" xr10:uid="{00000000-0013-0000-FFFF-FFFF01000000}" sourceName="AEA Name">
  <pivotTables>
    <pivotTable tabId="4" name="PivotTable1"/>
  </pivotTables>
  <data>
    <tabular pivotCacheId="1">
      <items count="9">
        <i x="2" s="1"/>
        <i x="4" s="1"/>
        <i x="8" s="1"/>
        <i x="7" s="1"/>
        <i x="5" s="1"/>
        <i x="0" s="1"/>
        <i x="3"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EA Name" xr10:uid="{00000000-0014-0000-FFFF-FFFF01000000}" cache="Slicer_AEA_Name" caption="AEA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etail" displayName="Detail" ref="A2:AC329" totalsRowShown="0" headerRowDxfId="88" headerRowBorderDxfId="87">
  <tableColumns count="29">
    <tableColumn id="1" xr3:uid="{00000000-0010-0000-0000-000001000000}" name="AEA" dataDxfId="86"/>
    <tableColumn id="2" xr3:uid="{00000000-0010-0000-0000-000002000000}" name="AEA Name" dataDxfId="85"/>
    <tableColumn id="3" xr3:uid="{00000000-0010-0000-0000-000003000000}" name="Dist" dataDxfId="84"/>
    <tableColumn id="4" xr3:uid="{00000000-0010-0000-0000-000004000000}" name="District" dataDxfId="83"/>
    <tableColumn id="5" xr3:uid="{00000000-0010-0000-0000-000005000000}" name="Total Special Ed Weighting in Addition to 1.0" dataDxfId="82"/>
    <tableColumn id="6" xr3:uid="{00000000-0010-0000-0000-000006000000}" name="Budget Enrollment" dataDxfId="81"/>
    <tableColumn id="7" xr3:uid="{00000000-0010-0000-0000-000007000000}" name="AEA Weighted Enrollment" dataDxfId="80"/>
    <tableColumn id="8" xr3:uid="{00000000-0010-0000-0000-000008000000}" name="AEA Supplementary Weight for Sharing" dataDxfId="79"/>
    <tableColumn id="9" xr3:uid="{00000000-0010-0000-0000-000009000000}" name="Resident Accredited Nonpublic Students" dataDxfId="78"/>
    <tableColumn id="10" xr3:uid="{00000000-0010-0000-0000-00000A000000}" name="Shared-Time Nonpublic Pupils Counted in Line 1.1" dataDxfId="77"/>
    <tableColumn id="11" xr3:uid="{00000000-0010-0000-0000-00000B000000}" name="Total Enrollment Served - AEA Media and Ed Services" dataDxfId="76"/>
    <tableColumn id="12" xr3:uid="{00000000-0010-0000-0000-00000C000000}" name="AEA Special Ed Support Cost Per Pupil" dataDxfId="75"/>
    <tableColumn id="13" xr3:uid="{00000000-0010-0000-0000-00000D000000}" name="AEA Media Cost Per Pupil" dataDxfId="74"/>
    <tableColumn id="14" xr3:uid="{00000000-0010-0000-0000-00000E000000}" name="AEA Ed Services Cost Per Pupil" dataDxfId="73"/>
    <tableColumn id="15" xr3:uid="{00000000-0010-0000-0000-00000F000000}" name="AEA Teacher Salary Supplement District Cost Per Pupil" dataDxfId="72"/>
    <tableColumn id="16" xr3:uid="{00000000-0010-0000-0000-000010000000}" name="Professional Development Supplement District Cost Per Pupil" dataDxfId="71"/>
    <tableColumn id="17" xr3:uid="{00000000-0010-0000-0000-000011000000}" name="AEA Special Ed Support District Cost without Adjustment" dataDxfId="70"/>
    <tableColumn id="18" xr3:uid="{00000000-0010-0000-0000-000012000000}" name="AEA Special Ed Support Adjustment" dataDxfId="69"/>
    <tableColumn id="19" xr3:uid="{00000000-0010-0000-0000-000013000000}" name="Special Education Total Cost" dataDxfId="68"/>
    <tableColumn id="20" xr3:uid="{00000000-0010-0000-0000-000014000000}" name="AEA Media Services District Cost" dataDxfId="67"/>
    <tableColumn id="21" xr3:uid="{00000000-0010-0000-0000-000015000000}" name="AEA Ed Services District Cost" dataDxfId="66"/>
    <tableColumn id="22" xr3:uid="{00000000-0010-0000-0000-000016000000}" name="AEA Sharing District Cost" dataDxfId="65"/>
    <tableColumn id="23" xr3:uid="{00000000-0010-0000-0000-000017000000}" name="AEA Teacher Salary Supplement District Cost" dataDxfId="64"/>
    <tableColumn id="24" xr3:uid="{00000000-0010-0000-0000-000018000000}" name="AEA Professional Development Supplement District Cost" dataDxfId="63"/>
    <tableColumn id="25" xr3:uid="{00000000-0010-0000-0000-000019000000}" name="Subtotal Budget" dataDxfId="62"/>
    <tableColumn id="26" xr3:uid="{00000000-0010-0000-0000-00001A000000}" name="AEA Statewide State Aid Reduction" dataDxfId="61"/>
    <tableColumn id="27" xr3:uid="{00000000-0010-0000-0000-00001B000000}" name="Total Budget" dataDxfId="60"/>
    <tableColumn id="28" xr3:uid="{00000000-0010-0000-0000-00001C000000}" name="State Aid Portion" dataDxfId="59"/>
    <tableColumn id="29" xr3:uid="{00000000-0010-0000-0000-00001D000000}" name="Property Tax Portion" dataDxfId="58"/>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1"/>
  <sheetViews>
    <sheetView tabSelected="1" topLeftCell="A2" workbookViewId="0">
      <selection activeCell="A2" sqref="A2"/>
    </sheetView>
  </sheetViews>
  <sheetFormatPr defaultRowHeight="15" x14ac:dyDescent="0.25"/>
  <cols>
    <col min="1" max="1" width="7" customWidth="1"/>
    <col min="2" max="2" width="22.42578125" bestFit="1" customWidth="1"/>
    <col min="3" max="3" width="11.85546875" bestFit="1" customWidth="1"/>
    <col min="4" max="4" width="14.140625" customWidth="1"/>
    <col min="5" max="5" width="13.85546875" customWidth="1"/>
    <col min="6" max="6" width="11.42578125" bestFit="1" customWidth="1"/>
    <col min="7" max="8" width="12.28515625" bestFit="1" customWidth="1"/>
    <col min="9" max="9" width="11.42578125" customWidth="1"/>
    <col min="10" max="10" width="10.7109375" customWidth="1"/>
    <col min="11" max="11" width="8.28515625" bestFit="1" customWidth="1"/>
  </cols>
  <sheetData>
    <row r="1" spans="1:11" s="10" customFormat="1" ht="87" hidden="1" customHeight="1" x14ac:dyDescent="0.25">
      <c r="A1" s="13"/>
      <c r="B1" s="13"/>
      <c r="C1" s="13" t="str">
        <f>Detail[[#Headers],[Total Special Ed Weighting in Addition to 1.0]]</f>
        <v>Total Special Ed Weighting in Addition to 1.0</v>
      </c>
      <c r="D1" s="13" t="str">
        <f>Detail[[#Headers],[Budget Enrollment]]</f>
        <v>Budget Enrollment</v>
      </c>
      <c r="E1" s="13" t="str">
        <f>Detail[[#Headers],[AEA Weighted Enrollment]]</f>
        <v>AEA Weighted Enrollment</v>
      </c>
      <c r="F1" s="13" t="str">
        <f>Detail[[#Headers],[Resident Accredited Nonpublic Students]]</f>
        <v>Resident Accredited Nonpublic Students</v>
      </c>
      <c r="G1" s="13" t="str">
        <f>Detail[[#Headers],[Shared-Time Nonpublic Pupils Counted in Line 1.1]]</f>
        <v>Shared-Time Nonpublic Pupils Counted in Line 1.1</v>
      </c>
      <c r="H1" s="13" t="str">
        <f>Detail[[#Headers],[Total Enrollment Served - AEA Media and Ed Services]]</f>
        <v>Total Enrollment Served - AEA Media and Ed Services</v>
      </c>
      <c r="I1" s="13" t="str">
        <f>Detail[[#Headers],[AEA Special Ed Support Cost Per Pupil]]</f>
        <v>AEA Special Ed Support Cost Per Pupil</v>
      </c>
      <c r="J1" s="13" t="str">
        <f>Detail[[#Headers],[AEA Media Cost Per Pupil]]</f>
        <v>AEA Media Cost Per Pupil</v>
      </c>
      <c r="K1" s="13" t="str">
        <f>Detail[[#Headers],[AEA Ed Services Cost Per Pupil]]</f>
        <v>AEA Ed Services Cost Per Pupil</v>
      </c>
    </row>
    <row r="2" spans="1:11" s="10" customFormat="1" ht="31.5" customHeight="1" x14ac:dyDescent="0.25">
      <c r="A2" s="7" t="s">
        <v>365</v>
      </c>
      <c r="B2" s="7" t="s">
        <v>366</v>
      </c>
      <c r="C2" s="8" t="s">
        <v>370</v>
      </c>
      <c r="D2" s="8" t="s">
        <v>344</v>
      </c>
      <c r="E2" s="8" t="s">
        <v>371</v>
      </c>
      <c r="F2" s="8" t="s">
        <v>372</v>
      </c>
      <c r="G2" s="8" t="s">
        <v>373</v>
      </c>
      <c r="H2" s="8" t="s">
        <v>374</v>
      </c>
      <c r="I2" s="8" t="s">
        <v>375</v>
      </c>
      <c r="J2" s="8" t="s">
        <v>376</v>
      </c>
      <c r="K2" s="8" t="s">
        <v>377</v>
      </c>
    </row>
    <row r="3" spans="1:11" x14ac:dyDescent="0.25">
      <c r="A3" s="1" t="str">
        <f t="array" ref="A3">IFERROR(INDEX(Detail[AEA], MATCH(0,COUNTIF(Summary!$A$2:'Summary'!A2, Detail[AEA]), 0)),"")</f>
        <v>01</v>
      </c>
      <c r="B3" t="str">
        <f>INDEX(Detail[],MATCH(Summary!$A3,Detail[AEA],0),2)</f>
        <v>Keystone AEA 1</v>
      </c>
      <c r="C3" s="2">
        <f>SUMIFS(INDEX(Detail[],0,MATCH(C$1,Detail[#Headers],0)),Detail[AEA],$A3)</f>
        <v>4382.8000000000011</v>
      </c>
      <c r="D3" s="3">
        <f>SUMIFS(INDEX(Detail[],0,MATCH(D$1,Detail[#Headers],0)),Detail[AEA],$A3)</f>
        <v>28003.199999999997</v>
      </c>
      <c r="E3" s="2">
        <f>SUMIFS(INDEX(Detail[],0,MATCH(E$1,Detail[#Headers],0)),Detail[AEA],$A3)</f>
        <v>32385.999999999993</v>
      </c>
      <c r="F3" s="4">
        <f>SUMIFS(INDEX(Detail[],0,MATCH(F$1,Detail[#Headers],0)),Detail[AEA],$A3)</f>
        <v>3767</v>
      </c>
      <c r="G3" s="3">
        <f>SUMIFS(INDEX(Detail[],0,MATCH(G$1,Detail[#Headers],0)),Detail[AEA],$A3)</f>
        <v>15.8</v>
      </c>
      <c r="H3" s="4">
        <f>SUMIFS(INDEX(Detail[],0,MATCH(H$1,Detail[#Headers],0)),Detail[AEA],$A3)</f>
        <v>31756</v>
      </c>
      <c r="I3" s="2">
        <f>INDEX(Detail[],MATCH($A3,Detail[AEA],0),MATCH(I$1,Detail[#Headers],0))</f>
        <v>330.52</v>
      </c>
      <c r="J3" s="2">
        <f>INDEX(Detail[],MATCH($A3,Detail[AEA],0),MATCH(J$1,Detail[#Headers],0))</f>
        <v>59.16</v>
      </c>
      <c r="K3" s="2">
        <f>INDEX(Detail[],MATCH($A3,Detail[AEA],0),MATCH(K$1,Detail[#Headers],0))</f>
        <v>65.930000000000007</v>
      </c>
    </row>
    <row r="4" spans="1:11" x14ac:dyDescent="0.25">
      <c r="A4" s="1" t="str">
        <f t="array" ref="A4">IFERROR(INDEX(Detail[AEA], MATCH(0,COUNTIF(Summary!$A$2:'Summary'!A3, Detail[AEA]), 0)),"")</f>
        <v>05</v>
      </c>
      <c r="B4" t="str">
        <f>INDEX(Detail[],MATCH(Summary!$A4,Detail[AEA],0),2)</f>
        <v>Prairie Lakes AEA 8</v>
      </c>
      <c r="C4" s="2">
        <f>SUMIFS(INDEX(Detail[],0,MATCH(C$1,Detail[#Headers],0)),Detail[AEA],$A4)</f>
        <v>4097.1499999999996</v>
      </c>
      <c r="D4" s="3">
        <f>SUMIFS(INDEX(Detail[],0,MATCH(D$1,Detail[#Headers],0)),Detail[AEA],$A4)</f>
        <v>30011.999999999993</v>
      </c>
      <c r="E4" s="2">
        <f>SUMIFS(INDEX(Detail[],0,MATCH(E$1,Detail[#Headers],0)),Detail[AEA],$A4)</f>
        <v>34109.149999999994</v>
      </c>
      <c r="F4" s="4">
        <f>SUMIFS(INDEX(Detail[],0,MATCH(F$1,Detail[#Headers],0)),Detail[AEA],$A4)</f>
        <v>1963</v>
      </c>
      <c r="G4" s="3">
        <f>SUMIFS(INDEX(Detail[],0,MATCH(G$1,Detail[#Headers],0)),Detail[AEA],$A4)</f>
        <v>26.9</v>
      </c>
      <c r="H4" s="4">
        <f>SUMIFS(INDEX(Detail[],0,MATCH(H$1,Detail[#Headers],0)),Detail[AEA],$A4)</f>
        <v>31950</v>
      </c>
      <c r="I4" s="2">
        <f>INDEX(Detail[],MATCH($A4,Detail[AEA],0),MATCH(I$1,Detail[#Headers],0))</f>
        <v>326.27</v>
      </c>
      <c r="J4" s="2">
        <f>INDEX(Detail[],MATCH($A4,Detail[AEA],0),MATCH(J$1,Detail[#Headers],0))</f>
        <v>59.24</v>
      </c>
      <c r="K4" s="2">
        <f>INDEX(Detail[],MATCH($A4,Detail[AEA],0),MATCH(K$1,Detail[#Headers],0))</f>
        <v>66.400000000000006</v>
      </c>
    </row>
    <row r="5" spans="1:11" x14ac:dyDescent="0.25">
      <c r="A5" s="1" t="str">
        <f t="array" ref="A5">IFERROR(INDEX(Detail[AEA], MATCH(0,COUNTIF(Summary!$A$2:'Summary'!A4, Detail[AEA]), 0)),"")</f>
        <v>07</v>
      </c>
      <c r="B5" t="str">
        <f>INDEX(Detail[],MATCH(Summary!$A5,Detail[AEA],0),2)</f>
        <v>Central Rivers</v>
      </c>
      <c r="C5" s="2">
        <f>SUMIFS(INDEX(Detail[],0,MATCH(C$1,Detail[#Headers],0)),Detail[AEA],$A5)</f>
        <v>9199.9600000000009</v>
      </c>
      <c r="D5" s="3">
        <f>SUMIFS(INDEX(Detail[],0,MATCH(D$1,Detail[#Headers],0)),Detail[AEA],$A5)</f>
        <v>61287.3</v>
      </c>
      <c r="E5" s="2">
        <f>SUMIFS(INDEX(Detail[],0,MATCH(E$1,Detail[#Headers],0)),Detail[AEA],$A5)</f>
        <v>70487.25999999998</v>
      </c>
      <c r="F5" s="4">
        <f>SUMIFS(INDEX(Detail[],0,MATCH(F$1,Detail[#Headers],0)),Detail[AEA],$A5)</f>
        <v>3167</v>
      </c>
      <c r="G5" s="3">
        <f>SUMIFS(INDEX(Detail[],0,MATCH(G$1,Detail[#Headers],0)),Detail[AEA],$A5)</f>
        <v>27.799999999999997</v>
      </c>
      <c r="H5" s="4">
        <f>SUMIFS(INDEX(Detail[],0,MATCH(H$1,Detail[#Headers],0)),Detail[AEA],$A5)</f>
        <v>64430</v>
      </c>
      <c r="I5" s="2">
        <f>INDEX(Detail[],MATCH($A5,Detail[AEA],0),MATCH(I$1,Detail[#Headers],0))</f>
        <v>319.64</v>
      </c>
      <c r="J5" s="2">
        <f>INDEX(Detail[],MATCH($A5,Detail[AEA],0),MATCH(J$1,Detail[#Headers],0))</f>
        <v>59.19</v>
      </c>
      <c r="K5" s="2">
        <f>INDEX(Detail[],MATCH($A5,Detail[AEA],0),MATCH(K$1,Detail[#Headers],0))</f>
        <v>66.02</v>
      </c>
    </row>
    <row r="6" spans="1:11" x14ac:dyDescent="0.25">
      <c r="A6" s="1" t="str">
        <f t="array" ref="A6">IFERROR(INDEX(Detail[AEA], MATCH(0,COUNTIF(Summary!$A$2:'Summary'!A5, Detail[AEA]), 0)),"")</f>
        <v>09</v>
      </c>
      <c r="B6" t="str">
        <f>INDEX(Detail[],MATCH(Summary!$A6,Detail[AEA],0),2)</f>
        <v>Mississippi Bend AEA 9</v>
      </c>
      <c r="C6" s="2">
        <f>SUMIFS(INDEX(Detail[],0,MATCH(C$1,Detail[#Headers],0)),Detail[AEA],$A6)</f>
        <v>6761.55</v>
      </c>
      <c r="D6" s="3">
        <f>SUMIFS(INDEX(Detail[],0,MATCH(D$1,Detail[#Headers],0)),Detail[AEA],$A6)</f>
        <v>45499.1</v>
      </c>
      <c r="E6" s="2">
        <f>SUMIFS(INDEX(Detail[],0,MATCH(E$1,Detail[#Headers],0)),Detail[AEA],$A6)</f>
        <v>52260.649999999994</v>
      </c>
      <c r="F6" s="4">
        <f>SUMIFS(INDEX(Detail[],0,MATCH(F$1,Detail[#Headers],0)),Detail[AEA],$A6)</f>
        <v>3022</v>
      </c>
      <c r="G6" s="3">
        <f>SUMIFS(INDEX(Detail[],0,MATCH(G$1,Detail[#Headers],0)),Detail[AEA],$A6)</f>
        <v>1.8</v>
      </c>
      <c r="H6" s="4">
        <f>SUMIFS(INDEX(Detail[],0,MATCH(H$1,Detail[#Headers],0)),Detail[AEA],$A6)</f>
        <v>48520</v>
      </c>
      <c r="I6" s="2">
        <f>INDEX(Detail[],MATCH($A6,Detail[AEA],0),MATCH(I$1,Detail[#Headers],0))</f>
        <v>317.27999999999997</v>
      </c>
      <c r="J6" s="2">
        <f>INDEX(Detail[],MATCH($A6,Detail[AEA],0),MATCH(J$1,Detail[#Headers],0))</f>
        <v>58.7</v>
      </c>
      <c r="K6" s="2">
        <f>INDEX(Detail[],MATCH($A6,Detail[AEA],0),MATCH(K$1,Detail[#Headers],0))</f>
        <v>64.099999999999994</v>
      </c>
    </row>
    <row r="7" spans="1:11" x14ac:dyDescent="0.25">
      <c r="A7" s="1" t="str">
        <f t="array" ref="A7">IFERROR(INDEX(Detail[AEA], MATCH(0,COUNTIF(Summary!$A$2:'Summary'!A6, Detail[AEA]), 0)),"")</f>
        <v>10</v>
      </c>
      <c r="B7" t="str">
        <f>INDEX(Detail[],MATCH(Summary!$A7,Detail[AEA],0),2)</f>
        <v>Grant Wood AEA 10</v>
      </c>
      <c r="C7" s="2">
        <f>SUMIFS(INDEX(Detail[],0,MATCH(C$1,Detail[#Headers],0)),Detail[AEA],$A7)</f>
        <v>8193.340000000002</v>
      </c>
      <c r="D7" s="3">
        <f>SUMIFS(INDEX(Detail[],0,MATCH(D$1,Detail[#Headers],0)),Detail[AEA],$A7)</f>
        <v>69393.599999999991</v>
      </c>
      <c r="E7" s="2">
        <f>SUMIFS(INDEX(Detail[],0,MATCH(E$1,Detail[#Headers],0)),Detail[AEA],$A7)</f>
        <v>77586.94</v>
      </c>
      <c r="F7" s="4">
        <f>SUMIFS(INDEX(Detail[],0,MATCH(F$1,Detail[#Headers],0)),Detail[AEA],$A7)</f>
        <v>4238</v>
      </c>
      <c r="G7" s="3">
        <f>SUMIFS(INDEX(Detail[],0,MATCH(G$1,Detail[#Headers],0)),Detail[AEA],$A7)</f>
        <v>27.599999999999998</v>
      </c>
      <c r="H7" s="4">
        <f>SUMIFS(INDEX(Detail[],0,MATCH(H$1,Detail[#Headers],0)),Detail[AEA],$A7)</f>
        <v>73603</v>
      </c>
      <c r="I7" s="2">
        <f>INDEX(Detail[],MATCH($A7,Detail[AEA],0),MATCH(I$1,Detail[#Headers],0))</f>
        <v>315.36</v>
      </c>
      <c r="J7" s="2">
        <f>INDEX(Detail[],MATCH($A7,Detail[AEA],0),MATCH(J$1,Detail[#Headers],0))</f>
        <v>58.88</v>
      </c>
      <c r="K7" s="2">
        <f>INDEX(Detail[],MATCH($A7,Detail[AEA],0),MATCH(K$1,Detail[#Headers],0))</f>
        <v>64.7</v>
      </c>
    </row>
    <row r="8" spans="1:11" x14ac:dyDescent="0.25">
      <c r="A8" s="1" t="str">
        <f t="array" ref="A8">IFERROR(INDEX(Detail[AEA], MATCH(0,COUNTIF(Summary!$A$2:'Summary'!A7, Detail[AEA]), 0)),"")</f>
        <v>11</v>
      </c>
      <c r="B8" t="str">
        <f>INDEX(Detail[],MATCH(Summary!$A8,Detail[AEA],0),2)</f>
        <v>Heartland AEA 11</v>
      </c>
      <c r="C8" s="2">
        <f>SUMIFS(INDEX(Detail[],0,MATCH(C$1,Detail[#Headers],0)),Detail[AEA],$A8)</f>
        <v>17999.819999999996</v>
      </c>
      <c r="D8" s="3">
        <f>SUMIFS(INDEX(Detail[],0,MATCH(D$1,Detail[#Headers],0)),Detail[AEA],$A8)</f>
        <v>139604</v>
      </c>
      <c r="E8" s="2">
        <f>SUMIFS(INDEX(Detail[],0,MATCH(E$1,Detail[#Headers],0)),Detail[AEA],$A8)</f>
        <v>157603.82</v>
      </c>
      <c r="F8" s="4">
        <f>SUMIFS(INDEX(Detail[],0,MATCH(F$1,Detail[#Headers],0)),Detail[AEA],$A8)</f>
        <v>9203</v>
      </c>
      <c r="G8" s="3">
        <f>SUMIFS(INDEX(Detail[],0,MATCH(G$1,Detail[#Headers],0)),Detail[AEA],$A8)</f>
        <v>32.6</v>
      </c>
      <c r="H8" s="4">
        <f>SUMIFS(INDEX(Detail[],0,MATCH(H$1,Detail[#Headers],0)),Detail[AEA],$A8)</f>
        <v>148774</v>
      </c>
      <c r="I8" s="2">
        <f>INDEX(Detail[],MATCH($A8,Detail[AEA],0),MATCH(I$1,Detail[#Headers],0))</f>
        <v>308.26</v>
      </c>
      <c r="J8" s="2">
        <f>INDEX(Detail[],MATCH($A8,Detail[AEA],0),MATCH(J$1,Detail[#Headers],0))</f>
        <v>58.76</v>
      </c>
      <c r="K8" s="2">
        <f>INDEX(Detail[],MATCH($A8,Detail[AEA],0),MATCH(K$1,Detail[#Headers],0))</f>
        <v>64.52</v>
      </c>
    </row>
    <row r="9" spans="1:11" x14ac:dyDescent="0.25">
      <c r="A9" s="1" t="str">
        <f t="array" ref="A9">IFERROR(INDEX(Detail[AEA], MATCH(0,COUNTIF(Summary!$A$2:'Summary'!A8, Detail[AEA]), 0)),"")</f>
        <v>12</v>
      </c>
      <c r="B9" t="str">
        <f>INDEX(Detail[],MATCH(Summary!$A9,Detail[AEA],0),2)</f>
        <v>Northwest AEA</v>
      </c>
      <c r="C9" s="2">
        <f>SUMIFS(INDEX(Detail[],0,MATCH(C$1,Detail[#Headers],0)),Detail[AEA],$A9)</f>
        <v>5691.3600000000006</v>
      </c>
      <c r="D9" s="3">
        <f>SUMIFS(INDEX(Detail[],0,MATCH(D$1,Detail[#Headers],0)),Detail[AEA],$A9)</f>
        <v>39802.399999999994</v>
      </c>
      <c r="E9" s="2">
        <f>SUMIFS(INDEX(Detail[],0,MATCH(E$1,Detail[#Headers],0)),Detail[AEA],$A9)</f>
        <v>45493.759999999995</v>
      </c>
      <c r="F9" s="4">
        <f>SUMIFS(INDEX(Detail[],0,MATCH(F$1,Detail[#Headers],0)),Detail[AEA],$A9)</f>
        <v>5136</v>
      </c>
      <c r="G9" s="3">
        <f>SUMIFS(INDEX(Detail[],0,MATCH(G$1,Detail[#Headers],0)),Detail[AEA],$A9)</f>
        <v>33.900000000000006</v>
      </c>
      <c r="H9" s="4">
        <f>SUMIFS(INDEX(Detail[],0,MATCH(H$1,Detail[#Headers],0)),Detail[AEA],$A9)</f>
        <v>44907</v>
      </c>
      <c r="I9" s="2">
        <f>INDEX(Detail[],MATCH($A9,Detail[AEA],0),MATCH(I$1,Detail[#Headers],0))</f>
        <v>322.89999999999998</v>
      </c>
      <c r="J9" s="2">
        <f>INDEX(Detail[],MATCH($A9,Detail[AEA],0),MATCH(J$1,Detail[#Headers],0))</f>
        <v>59.17</v>
      </c>
      <c r="K9" s="2">
        <f>INDEX(Detail[],MATCH($A9,Detail[AEA],0),MATCH(K$1,Detail[#Headers],0))</f>
        <v>66.3</v>
      </c>
    </row>
    <row r="10" spans="1:11" x14ac:dyDescent="0.25">
      <c r="A10" s="1" t="str">
        <f t="array" ref="A10">IFERROR(INDEX(Detail[AEA], MATCH(0,COUNTIF(Summary!$A$2:'Summary'!A9, Detail[AEA]), 0)),"")</f>
        <v>13</v>
      </c>
      <c r="B10" t="str">
        <f>INDEX(Detail[],MATCH(Summary!$A10,Detail[AEA],0),2)</f>
        <v>Green Hills AEA 13</v>
      </c>
      <c r="C10" s="2">
        <f>SUMIFS(INDEX(Detail[],0,MATCH(C$1,Detail[#Headers],0)),Detail[AEA],$A10)</f>
        <v>5780.7800000000016</v>
      </c>
      <c r="D10" s="3">
        <f>SUMIFS(INDEX(Detail[],0,MATCH(D$1,Detail[#Headers],0)),Detail[AEA],$A10)</f>
        <v>36685.700000000004</v>
      </c>
      <c r="E10" s="2">
        <f>SUMIFS(INDEX(Detail[],0,MATCH(E$1,Detail[#Headers],0)),Detail[AEA],$A10)</f>
        <v>42466.48000000001</v>
      </c>
      <c r="F10" s="4">
        <f>SUMIFS(INDEX(Detail[],0,MATCH(F$1,Detail[#Headers],0)),Detail[AEA],$A10)</f>
        <v>996</v>
      </c>
      <c r="G10" s="3">
        <f>SUMIFS(INDEX(Detail[],0,MATCH(G$1,Detail[#Headers],0)),Detail[AEA],$A10)</f>
        <v>6.8</v>
      </c>
      <c r="H10" s="4">
        <f>SUMIFS(INDEX(Detail[],0,MATCH(H$1,Detail[#Headers],0)),Detail[AEA],$A10)</f>
        <v>37676</v>
      </c>
      <c r="I10" s="2">
        <f>INDEX(Detail[],MATCH($A10,Detail[AEA],0),MATCH(I$1,Detail[#Headers],0))</f>
        <v>316.32</v>
      </c>
      <c r="J10" s="2">
        <f>INDEX(Detail[],MATCH($A10,Detail[AEA],0),MATCH(J$1,Detail[#Headers],0))</f>
        <v>58.89</v>
      </c>
      <c r="K10" s="2">
        <f>INDEX(Detail[],MATCH($A10,Detail[AEA],0),MATCH(K$1,Detail[#Headers],0))</f>
        <v>65.099999999999994</v>
      </c>
    </row>
    <row r="11" spans="1:11" x14ac:dyDescent="0.25">
      <c r="A11" s="1" t="str">
        <f t="array" ref="A11">IFERROR(INDEX(Detail[AEA], MATCH(0,COUNTIF(Summary!$A$2:'Summary'!A10, Detail[AEA]), 0)),"")</f>
        <v>15</v>
      </c>
      <c r="B11" t="str">
        <f>INDEX(Detail[],MATCH(Summary!$A11,Detail[AEA],0),2)</f>
        <v>Great Prairie AEA 15</v>
      </c>
      <c r="C11" s="2">
        <f>SUMIFS(INDEX(Detail[],0,MATCH(C$1,Detail[#Headers],0)),Detail[AEA],$A11)</f>
        <v>4691.49</v>
      </c>
      <c r="D11" s="3">
        <f>SUMIFS(INDEX(Detail[],0,MATCH(D$1,Detail[#Headers],0)),Detail[AEA],$A11)</f>
        <v>33871.199999999997</v>
      </c>
      <c r="E11" s="2">
        <f>SUMIFS(INDEX(Detail[],0,MATCH(E$1,Detail[#Headers],0)),Detail[AEA],$A11)</f>
        <v>38562.69</v>
      </c>
      <c r="F11" s="4">
        <f>SUMIFS(INDEX(Detail[],0,MATCH(F$1,Detail[#Headers],0)),Detail[AEA],$A11)</f>
        <v>1195</v>
      </c>
      <c r="G11" s="3">
        <f>SUMIFS(INDEX(Detail[],0,MATCH(G$1,Detail[#Headers],0)),Detail[AEA],$A11)</f>
        <v>8.7000000000000011</v>
      </c>
      <c r="H11" s="4">
        <f>SUMIFS(INDEX(Detail[],0,MATCH(H$1,Detail[#Headers],0)),Detail[AEA],$A11)</f>
        <v>35057</v>
      </c>
      <c r="I11" s="2">
        <f>INDEX(Detail[],MATCH($A11,Detail[AEA],0),MATCH(I$1,Detail[#Headers],0))</f>
        <v>313.68</v>
      </c>
      <c r="J11" s="2">
        <f>INDEX(Detail[],MATCH($A11,Detail[AEA],0),MATCH(J$1,Detail[#Headers],0))</f>
        <v>58.86</v>
      </c>
      <c r="K11" s="2">
        <f>INDEX(Detail[],MATCH($A11,Detail[AEA],0),MATCH(K$1,Detail[#Headers],0))</f>
        <v>64.67</v>
      </c>
    </row>
    <row r="12" spans="1:11" ht="15.75" thickBot="1" x14ac:dyDescent="0.3">
      <c r="C12" s="9">
        <f t="shared" ref="C12:H12" si="0">SUM(C3:C11)</f>
        <v>66798.25</v>
      </c>
      <c r="D12" s="19">
        <f t="shared" si="0"/>
        <v>484158.5</v>
      </c>
      <c r="E12" s="9">
        <f t="shared" si="0"/>
        <v>550956.75</v>
      </c>
      <c r="F12" s="12">
        <f t="shared" si="0"/>
        <v>32687</v>
      </c>
      <c r="G12" s="19">
        <f t="shared" si="0"/>
        <v>181.9</v>
      </c>
      <c r="H12" s="12">
        <f t="shared" si="0"/>
        <v>516673</v>
      </c>
    </row>
    <row r="13" spans="1:11" ht="7.5" customHeight="1" thickTop="1" x14ac:dyDescent="0.25"/>
    <row r="14" spans="1:11" ht="93" hidden="1" customHeight="1" x14ac:dyDescent="0.25">
      <c r="A14" s="14"/>
      <c r="B14" s="14"/>
      <c r="C14" s="13" t="str">
        <f>Detail[[#Headers],[AEA Teacher Salary Supplement District Cost Per Pupil]]</f>
        <v>AEA Teacher Salary Supplement District Cost Per Pupil</v>
      </c>
      <c r="D14" s="13" t="str">
        <f>Detail[[#Headers],[Professional Development Supplement District Cost Per Pupil]]</f>
        <v>Professional Development Supplement District Cost Per Pupil</v>
      </c>
      <c r="E14" s="13" t="str">
        <f>Detail[[#Headers],[AEA Special Ed Support District Cost without Adjustment]]</f>
        <v>AEA Special Ed Support District Cost without Adjustment</v>
      </c>
      <c r="F14" s="13" t="str">
        <f>Detail[[#Headers],[AEA Special Ed Support Adjustment]]</f>
        <v>AEA Special Ed Support Adjustment</v>
      </c>
      <c r="G14" s="13" t="str">
        <f>Detail[[#Headers],[Special Education Total Cost]]</f>
        <v>Special Education Total Cost</v>
      </c>
      <c r="H14" s="13" t="str">
        <f>Detail[[#Headers],[AEA Media Services District Cost]]</f>
        <v>AEA Media Services District Cost</v>
      </c>
      <c r="I14" s="13" t="str">
        <f>Detail[[#Headers],[AEA Ed Services District Cost]]</f>
        <v>AEA Ed Services District Cost</v>
      </c>
      <c r="J14" s="13" t="str">
        <f>Detail[[#Headers],[AEA Sharing District Cost]]</f>
        <v>AEA Sharing District Cost</v>
      </c>
      <c r="K14" s="14"/>
    </row>
    <row r="15" spans="1:11" ht="31.5" customHeight="1" x14ac:dyDescent="0.25">
      <c r="A15" s="6" t="str">
        <f>A2</f>
        <v>AEA</v>
      </c>
      <c r="B15" s="6" t="str">
        <f>B2</f>
        <v>AEA Name</v>
      </c>
      <c r="C15" s="8" t="s">
        <v>378</v>
      </c>
      <c r="D15" s="8" t="s">
        <v>379</v>
      </c>
      <c r="E15" s="8" t="s">
        <v>380</v>
      </c>
      <c r="F15" s="8" t="s">
        <v>381</v>
      </c>
      <c r="G15" s="8" t="s">
        <v>382</v>
      </c>
      <c r="H15" s="8" t="s">
        <v>383</v>
      </c>
      <c r="I15" s="8" t="s">
        <v>384</v>
      </c>
      <c r="J15" s="8" t="s">
        <v>385</v>
      </c>
      <c r="K15" s="11"/>
    </row>
    <row r="16" spans="1:11" x14ac:dyDescent="0.25">
      <c r="A16" t="str">
        <f t="shared" ref="A16:B16" si="1">A3</f>
        <v>01</v>
      </c>
      <c r="B16" t="str">
        <f t="shared" si="1"/>
        <v>Keystone AEA 1</v>
      </c>
      <c r="C16" s="2">
        <f>INDEX(Detail[],MATCH($A16,Detail[AEA],0),MATCH(C$14,Detail[#Headers],0))</f>
        <v>32.659999999999997</v>
      </c>
      <c r="D16" s="2">
        <f>INDEX(Detail[],MATCH($A16,Detail[AEA],0),MATCH(D$14,Detail[#Headers],0))</f>
        <v>3.53</v>
      </c>
      <c r="E16" s="4">
        <f>SUMIFS(INDEX(Detail[],0,MATCH(E$14,Detail[#Headers],0)),Detail[AEA],$A16)</f>
        <v>10704222</v>
      </c>
      <c r="F16" s="4">
        <f>SUMIFS(INDEX(Detail[],0,MATCH(F$14,Detail[#Headers],0)),Detail[AEA],$A16)</f>
        <v>62397</v>
      </c>
      <c r="G16" s="4">
        <f>SUMIFS(INDEX(Detail[],0,MATCH(G$14,Detail[#Headers],0)),Detail[AEA],$A16)</f>
        <v>10766619</v>
      </c>
      <c r="H16" s="4">
        <f>SUMIFS(INDEX(Detail[],0,MATCH(H$14,Detail[#Headers],0)),Detail[AEA],$A16)</f>
        <v>1878682</v>
      </c>
      <c r="I16" s="4">
        <f>SUMIFS(INDEX(Detail[],0,MATCH(I$14,Detail[#Headers],0)),Detail[AEA],$A16)</f>
        <v>2093673</v>
      </c>
      <c r="J16" s="4">
        <f>SUMIFS(INDEX(Detail[],0,MATCH(J$14,Detail[#Headers],0)),Detail[AEA],$A16)</f>
        <v>30000</v>
      </c>
    </row>
    <row r="17" spans="1:16" x14ac:dyDescent="0.25">
      <c r="A17" t="str">
        <f t="shared" ref="A17:B17" si="2">A4</f>
        <v>05</v>
      </c>
      <c r="B17" t="str">
        <f t="shared" si="2"/>
        <v>Prairie Lakes AEA 8</v>
      </c>
      <c r="C17" s="2">
        <f>INDEX(Detail[],MATCH($A17,Detail[AEA],0),MATCH(C$14,Detail[#Headers],0))</f>
        <v>34.619999999999997</v>
      </c>
      <c r="D17" s="2">
        <f>INDEX(Detail[],MATCH($A17,Detail[AEA],0),MATCH(D$14,Detail[#Headers],0))</f>
        <v>4.12</v>
      </c>
      <c r="E17" s="4">
        <f>SUMIFS(INDEX(Detail[],0,MATCH(E$14,Detail[#Headers],0)),Detail[AEA],$A17)</f>
        <v>11128793</v>
      </c>
      <c r="F17" s="4">
        <f>SUMIFS(INDEX(Detail[],0,MATCH(F$14,Detail[#Headers],0)),Detail[AEA],$A17)</f>
        <v>139949</v>
      </c>
      <c r="G17" s="4">
        <f>SUMIFS(INDEX(Detail[],0,MATCH(G$14,Detail[#Headers],0)),Detail[AEA],$A17)</f>
        <v>11268742</v>
      </c>
      <c r="H17" s="4">
        <f>SUMIFS(INDEX(Detail[],0,MATCH(H$14,Detail[#Headers],0)),Detail[AEA],$A17)</f>
        <v>1892716</v>
      </c>
      <c r="I17" s="4">
        <f>SUMIFS(INDEX(Detail[],0,MATCH(I$14,Detail[#Headers],0)),Detail[AEA],$A17)</f>
        <v>2121484</v>
      </c>
      <c r="J17" s="4">
        <f>SUMIFS(INDEX(Detail[],0,MATCH(J$14,Detail[#Headers],0)),Detail[AEA],$A17)</f>
        <v>0</v>
      </c>
    </row>
    <row r="18" spans="1:16" x14ac:dyDescent="0.25">
      <c r="A18" t="str">
        <f t="shared" ref="A18:B18" si="3">A5</f>
        <v>07</v>
      </c>
      <c r="B18" t="str">
        <f t="shared" si="3"/>
        <v>Central Rivers</v>
      </c>
      <c r="C18" s="2">
        <f>INDEX(Detail[],MATCH($A18,Detail[AEA],0),MATCH(C$14,Detail[#Headers],0))</f>
        <v>39.89</v>
      </c>
      <c r="D18" s="2">
        <f>INDEX(Detail[],MATCH($A18,Detail[AEA],0),MATCH(D$14,Detail[#Headers],0))</f>
        <v>4.59</v>
      </c>
      <c r="E18" s="4">
        <f>SUMIFS(INDEX(Detail[],0,MATCH(E$14,Detail[#Headers],0)),Detail[AEA],$A18)</f>
        <v>22530547</v>
      </c>
      <c r="F18" s="4">
        <f>SUMIFS(INDEX(Detail[],0,MATCH(F$14,Detail[#Headers],0)),Detail[AEA],$A18)</f>
        <v>313420</v>
      </c>
      <c r="G18" s="4">
        <f>SUMIFS(INDEX(Detail[],0,MATCH(G$14,Detail[#Headers],0)),Detail[AEA],$A18)</f>
        <v>22843967</v>
      </c>
      <c r="H18" s="4">
        <f>SUMIFS(INDEX(Detail[],0,MATCH(H$14,Detail[#Headers],0)),Detail[AEA],$A18)</f>
        <v>3813610</v>
      </c>
      <c r="I18" s="4">
        <f>SUMIFS(INDEX(Detail[],0,MATCH(I$14,Detail[#Headers],0)),Detail[AEA],$A18)</f>
        <v>4253671</v>
      </c>
      <c r="J18" s="4">
        <f>SUMIFS(INDEX(Detail[],0,MATCH(J$14,Detail[#Headers],0)),Detail[AEA],$A18)</f>
        <v>30001</v>
      </c>
    </row>
    <row r="19" spans="1:16" x14ac:dyDescent="0.25">
      <c r="A19" t="str">
        <f t="shared" ref="A19:B19" si="4">A6</f>
        <v>09</v>
      </c>
      <c r="B19" t="str">
        <f t="shared" si="4"/>
        <v>Mississippi Bend AEA 9</v>
      </c>
      <c r="C19" s="2">
        <f>INDEX(Detail[],MATCH($A19,Detail[AEA],0),MATCH(C$14,Detail[#Headers],0))</f>
        <v>28.96</v>
      </c>
      <c r="D19" s="2">
        <f>INDEX(Detail[],MATCH($A19,Detail[AEA],0),MATCH(D$14,Detail[#Headers],0))</f>
        <v>3.4</v>
      </c>
      <c r="E19" s="4">
        <f>SUMIFS(INDEX(Detail[],0,MATCH(E$14,Detail[#Headers],0)),Detail[AEA],$A19)</f>
        <v>16581260</v>
      </c>
      <c r="F19" s="4">
        <f>SUMIFS(INDEX(Detail[],0,MATCH(F$14,Detail[#Headers],0)),Detail[AEA],$A19)</f>
        <v>266428</v>
      </c>
      <c r="G19" s="4">
        <f>SUMIFS(INDEX(Detail[],0,MATCH(G$14,Detail[#Headers],0)),Detail[AEA],$A19)</f>
        <v>16847688</v>
      </c>
      <c r="H19" s="4">
        <f>SUMIFS(INDEX(Detail[],0,MATCH(H$14,Detail[#Headers],0)),Detail[AEA],$A19)</f>
        <v>2848125</v>
      </c>
      <c r="I19" s="4">
        <f>SUMIFS(INDEX(Detail[],0,MATCH(I$14,Detail[#Headers],0)),Detail[AEA],$A19)</f>
        <v>3110132</v>
      </c>
      <c r="J19" s="4">
        <f>SUMIFS(INDEX(Detail[],0,MATCH(J$14,Detail[#Headers],0)),Detail[AEA],$A19)</f>
        <v>30002</v>
      </c>
    </row>
    <row r="20" spans="1:16" x14ac:dyDescent="0.25">
      <c r="A20" t="str">
        <f t="shared" ref="A20:B20" si="5">A7</f>
        <v>10</v>
      </c>
      <c r="B20" t="str">
        <f t="shared" si="5"/>
        <v>Grant Wood AEA 10</v>
      </c>
      <c r="C20" s="2">
        <f>INDEX(Detail[],MATCH($A20,Detail[AEA],0),MATCH(C$14,Detail[#Headers],0))</f>
        <v>29.71</v>
      </c>
      <c r="D20" s="2">
        <f>INDEX(Detail[],MATCH($A20,Detail[AEA],0),MATCH(D$14,Detail[#Headers],0))</f>
        <v>3.46</v>
      </c>
      <c r="E20" s="4">
        <f>SUMIFS(INDEX(Detail[],0,MATCH(E$14,Detail[#Headers],0)),Detail[AEA],$A20)</f>
        <v>24467819</v>
      </c>
      <c r="F20" s="4">
        <f>SUMIFS(INDEX(Detail[],0,MATCH(F$14,Detail[#Headers],0)),Detail[AEA],$A20)</f>
        <v>171389</v>
      </c>
      <c r="G20" s="4">
        <f>SUMIFS(INDEX(Detail[],0,MATCH(G$14,Detail[#Headers],0)),Detail[AEA],$A20)</f>
        <v>24639208</v>
      </c>
      <c r="H20" s="4">
        <f>SUMIFS(INDEX(Detail[],0,MATCH(H$14,Detail[#Headers],0)),Detail[AEA],$A20)</f>
        <v>4333746</v>
      </c>
      <c r="I20" s="4">
        <f>SUMIFS(INDEX(Detail[],0,MATCH(I$14,Detail[#Headers],0)),Detail[AEA],$A20)</f>
        <v>4762114</v>
      </c>
      <c r="J20" s="4">
        <f>SUMIFS(INDEX(Detail[],0,MATCH(J$14,Detail[#Headers],0)),Detail[AEA],$A20)</f>
        <v>0</v>
      </c>
    </row>
    <row r="21" spans="1:16" x14ac:dyDescent="0.25">
      <c r="A21" t="str">
        <f t="shared" ref="A21:B21" si="6">A8</f>
        <v>11</v>
      </c>
      <c r="B21" t="str">
        <f t="shared" si="6"/>
        <v>Heartland AEA 11</v>
      </c>
      <c r="C21" s="2">
        <f>INDEX(Detail[],MATCH($A21,Detail[AEA],0),MATCH(C$14,Detail[#Headers],0))</f>
        <v>25.94</v>
      </c>
      <c r="D21" s="2">
        <f>INDEX(Detail[],MATCH($A21,Detail[AEA],0),MATCH(D$14,Detail[#Headers],0))</f>
        <v>3.27</v>
      </c>
      <c r="E21" s="4">
        <f>SUMIFS(INDEX(Detail[],0,MATCH(E$14,Detail[#Headers],0)),Detail[AEA],$A21)</f>
        <v>48582953</v>
      </c>
      <c r="F21" s="4">
        <f>SUMIFS(INDEX(Detail[],0,MATCH(F$14,Detail[#Headers],0)),Detail[AEA],$A21)</f>
        <v>208892</v>
      </c>
      <c r="G21" s="4">
        <f>SUMIFS(INDEX(Detail[],0,MATCH(G$14,Detail[#Headers],0)),Detail[AEA],$A21)</f>
        <v>48791845</v>
      </c>
      <c r="H21" s="4">
        <f>SUMIFS(INDEX(Detail[],0,MATCH(H$14,Detail[#Headers],0)),Detail[AEA],$A21)</f>
        <v>8741961</v>
      </c>
      <c r="I21" s="4">
        <f>SUMIFS(INDEX(Detail[],0,MATCH(I$14,Detail[#Headers],0)),Detail[AEA],$A21)</f>
        <v>9598898</v>
      </c>
      <c r="J21" s="4">
        <f>SUMIFS(INDEX(Detail[],0,MATCH(J$14,Detail[#Headers],0)),Detail[AEA],$A21)</f>
        <v>0</v>
      </c>
    </row>
    <row r="22" spans="1:16" x14ac:dyDescent="0.25">
      <c r="A22" t="str">
        <f t="shared" ref="A22:B22" si="7">A9</f>
        <v>12</v>
      </c>
      <c r="B22" t="str">
        <f t="shared" si="7"/>
        <v>Northwest AEA</v>
      </c>
      <c r="C22" s="2">
        <f>INDEX(Detail[],MATCH($A22,Detail[AEA],0),MATCH(C$14,Detail[#Headers],0))</f>
        <v>32.5</v>
      </c>
      <c r="D22" s="2">
        <f>INDEX(Detail[],MATCH($A22,Detail[AEA],0),MATCH(D$14,Detail[#Headers],0))</f>
        <v>3.88</v>
      </c>
      <c r="E22" s="4">
        <f>SUMIFS(INDEX(Detail[],0,MATCH(E$14,Detail[#Headers],0)),Detail[AEA],$A22)</f>
        <v>14689937</v>
      </c>
      <c r="F22" s="4">
        <f>SUMIFS(INDEX(Detail[],0,MATCH(F$14,Detail[#Headers],0)),Detail[AEA],$A22)</f>
        <v>105693</v>
      </c>
      <c r="G22" s="4">
        <f>SUMIFS(INDEX(Detail[],0,MATCH(G$14,Detail[#Headers],0)),Detail[AEA],$A22)</f>
        <v>14795630</v>
      </c>
      <c r="H22" s="4">
        <f>SUMIFS(INDEX(Detail[],0,MATCH(H$14,Detail[#Headers],0)),Detail[AEA],$A22)</f>
        <v>2657148</v>
      </c>
      <c r="I22" s="4">
        <f>SUMIFS(INDEX(Detail[],0,MATCH(I$14,Detail[#Headers],0)),Detail[AEA],$A22)</f>
        <v>2977335</v>
      </c>
      <c r="J22" s="4">
        <f>SUMIFS(INDEX(Detail[],0,MATCH(J$14,Detail[#Headers],0)),Detail[AEA],$A22)</f>
        <v>30000</v>
      </c>
    </row>
    <row r="23" spans="1:16" x14ac:dyDescent="0.25">
      <c r="A23" t="str">
        <f t="shared" ref="A23:B23" si="8">A10</f>
        <v>13</v>
      </c>
      <c r="B23" t="str">
        <f t="shared" si="8"/>
        <v>Green Hills AEA 13</v>
      </c>
      <c r="C23" s="2">
        <f>INDEX(Detail[],MATCH($A23,Detail[AEA],0),MATCH(C$14,Detail[#Headers],0))</f>
        <v>32.479999999999997</v>
      </c>
      <c r="D23" s="2">
        <f>INDEX(Detail[],MATCH($A23,Detail[AEA],0),MATCH(D$14,Detail[#Headers],0))</f>
        <v>3.49</v>
      </c>
      <c r="E23" s="4">
        <f>SUMIFS(INDEX(Detail[],0,MATCH(E$14,Detail[#Headers],0)),Detail[AEA],$A23)</f>
        <v>13432998</v>
      </c>
      <c r="F23" s="4">
        <f>SUMIFS(INDEX(Detail[],0,MATCH(F$14,Detail[#Headers],0)),Detail[AEA],$A23)</f>
        <v>178538</v>
      </c>
      <c r="G23" s="4">
        <f>SUMIFS(INDEX(Detail[],0,MATCH(G$14,Detail[#Headers],0)),Detail[AEA],$A23)</f>
        <v>13611536</v>
      </c>
      <c r="H23" s="4">
        <f>SUMIFS(INDEX(Detail[],0,MATCH(H$14,Detail[#Headers],0)),Detail[AEA],$A23)</f>
        <v>2218739</v>
      </c>
      <c r="I23" s="4">
        <f>SUMIFS(INDEX(Detail[],0,MATCH(I$14,Detail[#Headers],0)),Detail[AEA],$A23)</f>
        <v>2452711</v>
      </c>
      <c r="J23" s="4">
        <f>SUMIFS(INDEX(Detail[],0,MATCH(J$14,Detail[#Headers],0)),Detail[AEA],$A23)</f>
        <v>30001</v>
      </c>
    </row>
    <row r="24" spans="1:16" x14ac:dyDescent="0.25">
      <c r="A24" t="str">
        <f t="shared" ref="A24:B24" si="9">A11</f>
        <v>15</v>
      </c>
      <c r="B24" t="str">
        <f t="shared" si="9"/>
        <v>Great Prairie AEA 15</v>
      </c>
      <c r="C24" s="2">
        <f>INDEX(Detail[],MATCH($A24,Detail[AEA],0),MATCH(C$14,Detail[#Headers],0))</f>
        <v>31.49</v>
      </c>
      <c r="D24" s="2">
        <f>INDEX(Detail[],MATCH($A24,Detail[AEA],0),MATCH(D$14,Detail[#Headers],0))</f>
        <v>3.44</v>
      </c>
      <c r="E24" s="4">
        <f>SUMIFS(INDEX(Detail[],0,MATCH(E$14,Detail[#Headers],0)),Detail[AEA],$A24)</f>
        <v>12096343</v>
      </c>
      <c r="F24" s="4">
        <f>SUMIFS(INDEX(Detail[],0,MATCH(F$14,Detail[#Headers],0)),Detail[AEA],$A24)</f>
        <v>144419</v>
      </c>
      <c r="G24" s="4">
        <f>SUMIFS(INDEX(Detail[],0,MATCH(G$14,Detail[#Headers],0)),Detail[AEA],$A24)</f>
        <v>12240762</v>
      </c>
      <c r="H24" s="4">
        <f>SUMIFS(INDEX(Detail[],0,MATCH(H$14,Detail[#Headers],0)),Detail[AEA],$A24)</f>
        <v>2063454</v>
      </c>
      <c r="I24" s="4">
        <f>SUMIFS(INDEX(Detail[],0,MATCH(I$14,Detail[#Headers],0)),Detail[AEA],$A24)</f>
        <v>2267136</v>
      </c>
      <c r="J24" s="4">
        <f>SUMIFS(INDEX(Detail[],0,MATCH(J$14,Detail[#Headers],0)),Detail[AEA],$A24)</f>
        <v>30000</v>
      </c>
    </row>
    <row r="25" spans="1:16" ht="15.75" thickBot="1" x14ac:dyDescent="0.3">
      <c r="E25" s="12">
        <f t="shared" ref="E25:J25" si="10">SUM(E16:E24)</f>
        <v>174214872</v>
      </c>
      <c r="F25" s="12">
        <f t="shared" si="10"/>
        <v>1591125</v>
      </c>
      <c r="G25" s="12">
        <f t="shared" si="10"/>
        <v>175805997</v>
      </c>
      <c r="H25" s="12">
        <f t="shared" si="10"/>
        <v>30448181</v>
      </c>
      <c r="I25" s="12">
        <f t="shared" si="10"/>
        <v>33637154</v>
      </c>
      <c r="J25" s="12">
        <f t="shared" si="10"/>
        <v>180004</v>
      </c>
    </row>
    <row r="26" spans="1:16" ht="7.5" customHeight="1" thickTop="1" x14ac:dyDescent="0.25">
      <c r="F26" s="4"/>
      <c r="G26" s="4"/>
      <c r="H26" s="4"/>
      <c r="I26" s="4"/>
      <c r="J26" s="4"/>
    </row>
    <row r="27" spans="1:16" ht="81.75" hidden="1" customHeight="1" x14ac:dyDescent="0.25">
      <c r="A27" s="14"/>
      <c r="B27" s="14"/>
      <c r="C27" s="13" t="str">
        <f>Detail[[#Headers],[AEA Teacher Salary Supplement District Cost]]</f>
        <v>AEA Teacher Salary Supplement District Cost</v>
      </c>
      <c r="D27" s="13" t="str">
        <f>Detail[[#Headers],[AEA Professional Development Supplement District Cost]]</f>
        <v>AEA Professional Development Supplement District Cost</v>
      </c>
      <c r="E27" s="13" t="str">
        <f>Detail[[#Headers],[Subtotal Budget]]</f>
        <v>Subtotal Budget</v>
      </c>
      <c r="F27" s="13" t="str">
        <f>Detail[[#Headers],[AEA Statewide State Aid Reduction]]</f>
        <v>AEA Statewide State Aid Reduction</v>
      </c>
      <c r="G27" s="13" t="str">
        <f>Detail[[#Headers],[Total Budget]]</f>
        <v>Total Budget</v>
      </c>
      <c r="H27" s="13" t="str">
        <f>Detail[[#Headers],[State Aid Portion]]</f>
        <v>State Aid Portion</v>
      </c>
      <c r="I27" s="13" t="str">
        <f>Detail[[#Headers],[Property Tax Portion]]</f>
        <v>Property Tax Portion</v>
      </c>
      <c r="J27" s="17"/>
    </row>
    <row r="28" spans="1:16" ht="45" x14ac:dyDescent="0.25">
      <c r="A28" s="6" t="str">
        <f>A15</f>
        <v>AEA</v>
      </c>
      <c r="B28" s="6" t="str">
        <f>B15</f>
        <v>AEA Name</v>
      </c>
      <c r="C28" s="8" t="s">
        <v>386</v>
      </c>
      <c r="D28" s="8" t="s">
        <v>391</v>
      </c>
      <c r="E28" s="8" t="s">
        <v>360</v>
      </c>
      <c r="F28" s="8" t="s">
        <v>387</v>
      </c>
      <c r="G28" s="8" t="s">
        <v>362</v>
      </c>
      <c r="H28" s="8" t="s">
        <v>388</v>
      </c>
      <c r="I28" s="15" t="s">
        <v>389</v>
      </c>
      <c r="J28" s="16"/>
    </row>
    <row r="29" spans="1:16" x14ac:dyDescent="0.25">
      <c r="A29" t="str">
        <f t="shared" ref="A29:B29" si="11">A16</f>
        <v>01</v>
      </c>
      <c r="B29" t="str">
        <f t="shared" si="11"/>
        <v>Keystone AEA 1</v>
      </c>
      <c r="C29" s="4">
        <f>SUMIFS(INDEX(Detail[],0,MATCH(C$27,Detail[#Headers],0)),Detail[AEA],$A29)</f>
        <v>1059282</v>
      </c>
      <c r="D29" s="4">
        <f>SUMIFS(INDEX(Detail[],0,MATCH(D$27,Detail[#Headers],0)),Detail[AEA],$A29)</f>
        <v>114454</v>
      </c>
      <c r="E29" s="4">
        <f>SUMIFS(INDEX(Detail[],0,MATCH(E$27,Detail[#Headers],0)),Detail[AEA],$A29)</f>
        <v>15942710</v>
      </c>
      <c r="F29" s="4">
        <f>SUMIFS(INDEX(Detail[],0,MATCH(F$27,Detail[#Headers],0)),Detail[AEA],$A29)</f>
        <v>1596490</v>
      </c>
      <c r="G29" s="4">
        <f>SUMIFS(INDEX(Detail[],0,MATCH(G$27,Detail[#Headers],0)),Detail[AEA],$A29)</f>
        <v>14346220</v>
      </c>
      <c r="H29" s="4">
        <f>SUMIFS(INDEX(Detail[],0,MATCH(H$27,Detail[#Headers],0)),Detail[AEA],$A29)</f>
        <v>7696441</v>
      </c>
      <c r="I29" s="4">
        <f>SUMIFS(INDEX(Detail[],0,MATCH(I$27,Detail[#Headers],0)),Detail[AEA],$A29)</f>
        <v>6649779</v>
      </c>
      <c r="J29" s="18"/>
    </row>
    <row r="30" spans="1:16" x14ac:dyDescent="0.25">
      <c r="A30" t="str">
        <f t="shared" ref="A30:B30" si="12">A17</f>
        <v>05</v>
      </c>
      <c r="B30" t="str">
        <f t="shared" si="12"/>
        <v>Prairie Lakes AEA 8</v>
      </c>
      <c r="C30" s="4">
        <f>SUMIFS(INDEX(Detail[],0,MATCH(C$27,Detail[#Headers],0)),Detail[AEA],$A30)</f>
        <v>1184097</v>
      </c>
      <c r="D30" s="4">
        <f>SUMIFS(INDEX(Detail[],0,MATCH(D$27,Detail[#Headers],0)),Detail[AEA],$A30)</f>
        <v>140917</v>
      </c>
      <c r="E30" s="4">
        <f>SUMIFS(INDEX(Detail[],0,MATCH(E$27,Detail[#Headers],0)),Detail[AEA],$A30)</f>
        <v>16607956</v>
      </c>
      <c r="F30" s="4">
        <f>SUMIFS(INDEX(Detail[],0,MATCH(F$27,Detail[#Headers],0)),Detail[AEA],$A30)</f>
        <v>1697682</v>
      </c>
      <c r="G30" s="4">
        <f>SUMIFS(INDEX(Detail[],0,MATCH(G$27,Detail[#Headers],0)),Detail[AEA],$A30)</f>
        <v>14910274</v>
      </c>
      <c r="H30" s="4">
        <f>SUMIFS(INDEX(Detail[],0,MATCH(H$27,Detail[#Headers],0)),Detail[AEA],$A30)</f>
        <v>8154628</v>
      </c>
      <c r="I30" s="4">
        <f>SUMIFS(INDEX(Detail[],0,MATCH(I$27,Detail[#Headers],0)),Detail[AEA],$A30)</f>
        <v>6755646</v>
      </c>
      <c r="J30" s="18"/>
    </row>
    <row r="31" spans="1:16" x14ac:dyDescent="0.25">
      <c r="A31" t="str">
        <f t="shared" ref="A31:B31" si="13">A18</f>
        <v>07</v>
      </c>
      <c r="B31" t="str">
        <f t="shared" si="13"/>
        <v>Central Rivers</v>
      </c>
      <c r="C31" s="4">
        <f>SUMIFS(INDEX(Detail[],0,MATCH(C$27,Detail[#Headers],0)),Detail[AEA],$A31)</f>
        <v>2827575</v>
      </c>
      <c r="D31" s="4">
        <f>SUMIFS(INDEX(Detail[],0,MATCH(D$27,Detail[#Headers],0)),Detail[AEA],$A31)</f>
        <v>325282</v>
      </c>
      <c r="E31" s="4">
        <f>SUMIFS(INDEX(Detail[],0,MATCH(E$27,Detail[#Headers],0)),Detail[AEA],$A31)</f>
        <v>34094106</v>
      </c>
      <c r="F31" s="4">
        <f>SUMIFS(INDEX(Detail[],0,MATCH(F$27,Detail[#Headers],0)),Detail[AEA],$A31)</f>
        <v>3147744</v>
      </c>
      <c r="G31" s="4">
        <f>SUMIFS(INDEX(Detail[],0,MATCH(G$27,Detail[#Headers],0)),Detail[AEA],$A31)</f>
        <v>30946362</v>
      </c>
      <c r="H31" s="4">
        <f>SUMIFS(INDEX(Detail[],0,MATCH(H$27,Detail[#Headers],0)),Detail[AEA],$A31)</f>
        <v>17650403</v>
      </c>
      <c r="I31" s="4">
        <f>SUMIFS(INDEX(Detail[],0,MATCH(I$27,Detail[#Headers],0)),Detail[AEA],$A31)</f>
        <v>13295959</v>
      </c>
      <c r="J31" s="18"/>
      <c r="O31" s="4"/>
      <c r="P31" s="4"/>
    </row>
    <row r="32" spans="1:16" x14ac:dyDescent="0.25">
      <c r="A32" t="str">
        <f t="shared" ref="A32:B32" si="14">A19</f>
        <v>09</v>
      </c>
      <c r="B32" t="str">
        <f t="shared" si="14"/>
        <v>Mississippi Bend AEA 9</v>
      </c>
      <c r="C32" s="4">
        <f>SUMIFS(INDEX(Detail[],0,MATCH(C$27,Detail[#Headers],0)),Detail[AEA],$A32)</f>
        <v>1526906</v>
      </c>
      <c r="D32" s="4">
        <f>SUMIFS(INDEX(Detail[],0,MATCH(D$27,Detail[#Headers],0)),Detail[AEA],$A32)</f>
        <v>179239</v>
      </c>
      <c r="E32" s="4">
        <f>SUMIFS(INDEX(Detail[],0,MATCH(E$27,Detail[#Headers],0)),Detail[AEA],$A32)</f>
        <v>24542092</v>
      </c>
      <c r="F32" s="4">
        <f>SUMIFS(INDEX(Detail[],0,MATCH(F$27,Detail[#Headers],0)),Detail[AEA],$A32)</f>
        <v>2291412</v>
      </c>
      <c r="G32" s="4">
        <f>SUMIFS(INDEX(Detail[],0,MATCH(G$27,Detail[#Headers],0)),Detail[AEA],$A32)</f>
        <v>22250680</v>
      </c>
      <c r="H32" s="4">
        <f>SUMIFS(INDEX(Detail[],0,MATCH(H$27,Detail[#Headers],0)),Detail[AEA],$A32)</f>
        <v>12503545</v>
      </c>
      <c r="I32" s="4">
        <f>SUMIFS(INDEX(Detail[],0,MATCH(I$27,Detail[#Headers],0)),Detail[AEA],$A32)</f>
        <v>9747135</v>
      </c>
      <c r="J32" s="18"/>
    </row>
    <row r="33" spans="1:10" x14ac:dyDescent="0.25">
      <c r="A33" t="str">
        <f t="shared" ref="A33:B33" si="15">A20</f>
        <v>10</v>
      </c>
      <c r="B33" t="str">
        <f t="shared" si="15"/>
        <v>Grant Wood AEA 10</v>
      </c>
      <c r="C33" s="4">
        <f>SUMIFS(INDEX(Detail[],0,MATCH(C$27,Detail[#Headers],0)),Detail[AEA],$A33)</f>
        <v>2314048</v>
      </c>
      <c r="D33" s="4">
        <f>SUMIFS(INDEX(Detail[],0,MATCH(D$27,Detail[#Headers],0)),Detail[AEA],$A33)</f>
        <v>269450</v>
      </c>
      <c r="E33" s="4">
        <f>SUMIFS(INDEX(Detail[],0,MATCH(E$27,Detail[#Headers],0)),Detail[AEA],$A33)</f>
        <v>36318566</v>
      </c>
      <c r="F33" s="4">
        <f>SUMIFS(INDEX(Detail[],0,MATCH(F$27,Detail[#Headers],0)),Detail[AEA],$A33)</f>
        <v>2906326</v>
      </c>
      <c r="G33" s="4">
        <f>SUMIFS(INDEX(Detail[],0,MATCH(G$27,Detail[#Headers],0)),Detail[AEA],$A33)</f>
        <v>33412240</v>
      </c>
      <c r="H33" s="4">
        <f>SUMIFS(INDEX(Detail[],0,MATCH(H$27,Detail[#Headers],0)),Detail[AEA],$A33)</f>
        <v>19073915</v>
      </c>
      <c r="I33" s="4">
        <f>SUMIFS(INDEX(Detail[],0,MATCH(I$27,Detail[#Headers],0)),Detail[AEA],$A33)</f>
        <v>14338325</v>
      </c>
      <c r="J33" s="18"/>
    </row>
    <row r="34" spans="1:10" x14ac:dyDescent="0.25">
      <c r="A34" t="str">
        <f t="shared" ref="A34:B34" si="16">A21</f>
        <v>11</v>
      </c>
      <c r="B34" t="str">
        <f t="shared" si="16"/>
        <v>Heartland AEA 11</v>
      </c>
      <c r="C34" s="4">
        <f>SUMIFS(INDEX(Detail[],0,MATCH(C$27,Detail[#Headers],0)),Detail[AEA],$A34)</f>
        <v>4095924</v>
      </c>
      <c r="D34" s="4">
        <f>SUMIFS(INDEX(Detail[],0,MATCH(D$27,Detail[#Headers],0)),Detail[AEA],$A34)</f>
        <v>516617</v>
      </c>
      <c r="E34" s="4">
        <f>SUMIFS(INDEX(Detail[],0,MATCH(E$27,Detail[#Headers],0)),Detail[AEA],$A34)</f>
        <v>71745245</v>
      </c>
      <c r="F34" s="4">
        <f>SUMIFS(INDEX(Detail[],0,MATCH(F$27,Detail[#Headers],0)),Detail[AEA],$A34)</f>
        <v>5144672</v>
      </c>
      <c r="G34" s="4">
        <f>SUMIFS(INDEX(Detail[],0,MATCH(G$27,Detail[#Headers],0)),Detail[AEA],$A34)</f>
        <v>66600573</v>
      </c>
      <c r="H34" s="4">
        <f>SUMIFS(INDEX(Detail[],0,MATCH(H$27,Detail[#Headers],0)),Detail[AEA],$A34)</f>
        <v>38868838</v>
      </c>
      <c r="I34" s="4">
        <f>SUMIFS(INDEX(Detail[],0,MATCH(I$27,Detail[#Headers],0)),Detail[AEA],$A34)</f>
        <v>27731735</v>
      </c>
      <c r="J34" s="18"/>
    </row>
    <row r="35" spans="1:10" x14ac:dyDescent="0.25">
      <c r="A35" t="str">
        <f t="shared" ref="A35:B35" si="17">A22</f>
        <v>12</v>
      </c>
      <c r="B35" t="str">
        <f t="shared" si="17"/>
        <v>Northwest AEA</v>
      </c>
      <c r="C35" s="4">
        <f>SUMIFS(INDEX(Detail[],0,MATCH(C$27,Detail[#Headers],0)),Detail[AEA],$A35)</f>
        <v>1483936</v>
      </c>
      <c r="D35" s="4">
        <f>SUMIFS(INDEX(Detail[],0,MATCH(D$27,Detail[#Headers],0)),Detail[AEA],$A35)</f>
        <v>177163</v>
      </c>
      <c r="E35" s="4">
        <f>SUMIFS(INDEX(Detail[],0,MATCH(E$27,Detail[#Headers],0)),Detail[AEA],$A35)</f>
        <v>22121212</v>
      </c>
      <c r="F35" s="4">
        <f>SUMIFS(INDEX(Detail[],0,MATCH(F$27,Detail[#Headers],0)),Detail[AEA],$A35)</f>
        <v>1929107</v>
      </c>
      <c r="G35" s="4">
        <f>SUMIFS(INDEX(Detail[],0,MATCH(G$27,Detail[#Headers],0)),Detail[AEA],$A35)</f>
        <v>20192105</v>
      </c>
      <c r="H35" s="4">
        <f>SUMIFS(INDEX(Detail[],0,MATCH(H$27,Detail[#Headers],0)),Detail[AEA],$A35)</f>
        <v>11128664</v>
      </c>
      <c r="I35" s="4">
        <f>SUMIFS(INDEX(Detail[],0,MATCH(I$27,Detail[#Headers],0)),Detail[AEA],$A35)</f>
        <v>9063441</v>
      </c>
      <c r="J35" s="18"/>
    </row>
    <row r="36" spans="1:10" x14ac:dyDescent="0.25">
      <c r="A36" t="str">
        <f t="shared" ref="A36:B36" si="18">A23</f>
        <v>13</v>
      </c>
      <c r="B36" t="str">
        <f t="shared" si="18"/>
        <v>Green Hills AEA 13</v>
      </c>
      <c r="C36" s="4">
        <f>SUMIFS(INDEX(Detail[],0,MATCH(C$27,Detail[#Headers],0)),Detail[AEA],$A36)</f>
        <v>1386307</v>
      </c>
      <c r="D36" s="4">
        <f>SUMIFS(INDEX(Detail[],0,MATCH(D$27,Detail[#Headers],0)),Detail[AEA],$A36)</f>
        <v>148798</v>
      </c>
      <c r="E36" s="4">
        <f>SUMIFS(INDEX(Detail[],0,MATCH(E$27,Detail[#Headers],0)),Detail[AEA],$A36)</f>
        <v>19848092</v>
      </c>
      <c r="F36" s="4">
        <f>SUMIFS(INDEX(Detail[],0,MATCH(F$27,Detail[#Headers],0)),Detail[AEA],$A36)</f>
        <v>1959289</v>
      </c>
      <c r="G36" s="4">
        <f>SUMIFS(INDEX(Detail[],0,MATCH(G$27,Detail[#Headers],0)),Detail[AEA],$A36)</f>
        <v>17888803</v>
      </c>
      <c r="H36" s="4">
        <f>SUMIFS(INDEX(Detail[],0,MATCH(H$27,Detail[#Headers],0)),Detail[AEA],$A36)</f>
        <v>10216157</v>
      </c>
      <c r="I36" s="4">
        <f>SUMIFS(INDEX(Detail[],0,MATCH(I$27,Detail[#Headers],0)),Detail[AEA],$A36)</f>
        <v>7672646</v>
      </c>
      <c r="J36" s="18"/>
    </row>
    <row r="37" spans="1:10" x14ac:dyDescent="0.25">
      <c r="A37" t="str">
        <f t="shared" ref="A37:B37" si="19">A24</f>
        <v>15</v>
      </c>
      <c r="B37" t="str">
        <f t="shared" si="19"/>
        <v>Great Prairie AEA 15</v>
      </c>
      <c r="C37" s="4">
        <f>SUMIFS(INDEX(Detail[],0,MATCH(C$27,Detail[#Headers],0)),Detail[AEA],$A37)</f>
        <v>1219258</v>
      </c>
      <c r="D37" s="4">
        <f>SUMIFS(INDEX(Detail[],0,MATCH(D$27,Detail[#Headers],0)),Detail[AEA],$A37)</f>
        <v>133127</v>
      </c>
      <c r="E37" s="4">
        <f>SUMIFS(INDEX(Detail[],0,MATCH(E$27,Detail[#Headers],0)),Detail[AEA],$A37)</f>
        <v>17953737</v>
      </c>
      <c r="F37" s="4">
        <f>SUMIFS(INDEX(Detail[],0,MATCH(F$27,Detail[#Headers],0)),Detail[AEA],$A37)</f>
        <v>1827278</v>
      </c>
      <c r="G37" s="4">
        <f>SUMIFS(INDEX(Detail[],0,MATCH(G$27,Detail[#Headers],0)),Detail[AEA],$A37)</f>
        <v>16126459</v>
      </c>
      <c r="H37" s="4">
        <f>SUMIFS(INDEX(Detail[],0,MATCH(H$27,Detail[#Headers],0)),Detail[AEA],$A37)</f>
        <v>9189698</v>
      </c>
      <c r="I37" s="4">
        <f>SUMIFS(INDEX(Detail[],0,MATCH(I$27,Detail[#Headers],0)),Detail[AEA],$A37)</f>
        <v>6936761</v>
      </c>
      <c r="J37" s="18"/>
    </row>
    <row r="38" spans="1:10" ht="15.75" thickBot="1" x14ac:dyDescent="0.3">
      <c r="C38" s="12">
        <f t="shared" ref="C38:I38" si="20">SUM(C29:C37)</f>
        <v>17097333</v>
      </c>
      <c r="D38" s="12">
        <f t="shared" si="20"/>
        <v>2005047</v>
      </c>
      <c r="E38" s="12">
        <f t="shared" si="20"/>
        <v>259173716</v>
      </c>
      <c r="F38" s="12">
        <f t="shared" si="20"/>
        <v>22500000</v>
      </c>
      <c r="G38" s="12">
        <f t="shared" si="20"/>
        <v>236673716</v>
      </c>
      <c r="H38" s="12">
        <f t="shared" si="20"/>
        <v>134482289</v>
      </c>
      <c r="I38" s="12">
        <f t="shared" si="20"/>
        <v>102191427</v>
      </c>
      <c r="J38" s="18"/>
    </row>
    <row r="39" spans="1:10" ht="15.75" thickTop="1" x14ac:dyDescent="0.25"/>
    <row r="41" spans="1:10" x14ac:dyDescent="0.25">
      <c r="H41" s="4"/>
    </row>
  </sheetData>
  <sheetProtection sheet="1" objects="1" scenarios="1"/>
  <pageMargins left="0.25" right="0.25" top="0.75" bottom="0.75" header="0.3" footer="0.3"/>
  <pageSetup scale="90" fitToWidth="0" orientation="landscape" r:id="rId1"/>
  <headerFooter>
    <oddHeader xml:space="preserve">&amp;C&amp;"-,Bold"&amp;14FY 2022 AEA Enrollments and Cost - Final - 2.4% of Growth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329"/>
  <sheetViews>
    <sheetView workbookViewId="0">
      <pane xSplit="4" ySplit="2" topLeftCell="E302" activePane="bottomRight" state="frozen"/>
      <selection pane="topRight" activeCell="E1" sqref="E1"/>
      <selection pane="bottomLeft" activeCell="A3" sqref="A3"/>
      <selection pane="bottomRight"/>
    </sheetView>
  </sheetViews>
  <sheetFormatPr defaultRowHeight="15" x14ac:dyDescent="0.25"/>
  <cols>
    <col min="1" max="1" width="6.7109375" customWidth="1"/>
    <col min="2" max="2" width="22.42578125" bestFit="1" customWidth="1"/>
    <col min="3" max="3" width="6.42578125" customWidth="1"/>
    <col min="4" max="4" width="30.42578125" bestFit="1" customWidth="1"/>
    <col min="5" max="5" width="14.85546875" bestFit="1" customWidth="1"/>
    <col min="6" max="6" width="10.85546875" bestFit="1" customWidth="1"/>
    <col min="7" max="7" width="14" bestFit="1" customWidth="1"/>
    <col min="8" max="8" width="17.85546875" bestFit="1" customWidth="1"/>
    <col min="9" max="9" width="13.85546875" customWidth="1"/>
    <col min="10" max="10" width="14.5703125" bestFit="1" customWidth="1"/>
    <col min="11" max="11" width="15.42578125" customWidth="1"/>
    <col min="12" max="13" width="13.28515625" customWidth="1"/>
    <col min="14" max="14" width="15" bestFit="1" customWidth="1"/>
    <col min="15" max="15" width="18.5703125" customWidth="1"/>
    <col min="16" max="16" width="18.85546875" bestFit="1" customWidth="1"/>
    <col min="17" max="17" width="19" customWidth="1"/>
    <col min="18" max="18" width="14" bestFit="1" customWidth="1"/>
    <col min="19" max="19" width="10.140625" bestFit="1" customWidth="1"/>
    <col min="20" max="20" width="12.28515625" customWidth="1"/>
    <col min="21" max="22" width="11.5703125" bestFit="1" customWidth="1"/>
    <col min="23" max="23" width="12" bestFit="1" customWidth="1"/>
    <col min="24" max="24" width="13.28515625" bestFit="1" customWidth="1"/>
    <col min="25" max="25" width="18" bestFit="1" customWidth="1"/>
    <col min="26" max="26" width="10.140625" bestFit="1" customWidth="1"/>
    <col min="27" max="27" width="19.28515625" bestFit="1" customWidth="1"/>
    <col min="28" max="28" width="10.140625" bestFit="1" customWidth="1"/>
    <col min="29" max="29" width="9.140625" bestFit="1" customWidth="1"/>
  </cols>
  <sheetData>
    <row r="1" spans="1:29" x14ac:dyDescent="0.25">
      <c r="A1" s="5" t="s">
        <v>743</v>
      </c>
    </row>
    <row r="2" spans="1:29" s="7" customFormat="1" ht="89.25" customHeight="1" x14ac:dyDescent="0.25">
      <c r="A2" s="7" t="s">
        <v>365</v>
      </c>
      <c r="B2" s="7" t="s">
        <v>366</v>
      </c>
      <c r="C2" s="7" t="s">
        <v>732</v>
      </c>
      <c r="D2" s="7" t="s">
        <v>367</v>
      </c>
      <c r="E2" s="8" t="s">
        <v>343</v>
      </c>
      <c r="F2" s="8" t="s">
        <v>344</v>
      </c>
      <c r="G2" s="8" t="s">
        <v>345</v>
      </c>
      <c r="H2" s="8" t="s">
        <v>346</v>
      </c>
      <c r="I2" s="8" t="s">
        <v>347</v>
      </c>
      <c r="J2" s="8" t="s">
        <v>348</v>
      </c>
      <c r="K2" s="8" t="s">
        <v>349</v>
      </c>
      <c r="L2" s="8" t="s">
        <v>350</v>
      </c>
      <c r="M2" s="8" t="s">
        <v>368</v>
      </c>
      <c r="N2" s="8" t="s">
        <v>351</v>
      </c>
      <c r="O2" s="8" t="s">
        <v>352</v>
      </c>
      <c r="P2" s="8" t="s">
        <v>353</v>
      </c>
      <c r="Q2" s="8" t="s">
        <v>354</v>
      </c>
      <c r="R2" s="8" t="s">
        <v>369</v>
      </c>
      <c r="S2" s="8" t="s">
        <v>355</v>
      </c>
      <c r="T2" s="8" t="s">
        <v>356</v>
      </c>
      <c r="U2" s="8" t="s">
        <v>357</v>
      </c>
      <c r="V2" s="8" t="s">
        <v>358</v>
      </c>
      <c r="W2" s="8" t="s">
        <v>359</v>
      </c>
      <c r="X2" s="8" t="s">
        <v>390</v>
      </c>
      <c r="Y2" s="8" t="s">
        <v>360</v>
      </c>
      <c r="Z2" s="8" t="s">
        <v>361</v>
      </c>
      <c r="AA2" s="8" t="s">
        <v>362</v>
      </c>
      <c r="AB2" s="8" t="s">
        <v>363</v>
      </c>
      <c r="AC2" s="8" t="s">
        <v>364</v>
      </c>
    </row>
    <row r="3" spans="1:29" x14ac:dyDescent="0.25">
      <c r="A3" s="31" t="s">
        <v>0</v>
      </c>
      <c r="B3" s="31" t="s">
        <v>733</v>
      </c>
      <c r="C3" s="31" t="s">
        <v>1</v>
      </c>
      <c r="D3" s="31" t="s">
        <v>413</v>
      </c>
      <c r="E3" s="32">
        <v>134.33000000000001</v>
      </c>
      <c r="F3" s="33">
        <v>1070.9000000000001</v>
      </c>
      <c r="G3" s="32">
        <v>1205.23</v>
      </c>
      <c r="H3" s="32">
        <v>3.38</v>
      </c>
      <c r="I3" s="34">
        <v>158</v>
      </c>
      <c r="J3" s="33">
        <v>1.2</v>
      </c>
      <c r="K3" s="34">
        <v>1228</v>
      </c>
      <c r="L3" s="32">
        <v>330.52</v>
      </c>
      <c r="M3" s="32">
        <v>59.16</v>
      </c>
      <c r="N3" s="32">
        <v>65.930000000000007</v>
      </c>
      <c r="O3" s="32">
        <v>32.659999999999997</v>
      </c>
      <c r="P3" s="32">
        <v>3.53</v>
      </c>
      <c r="Q3" s="34">
        <v>398353</v>
      </c>
      <c r="R3" s="34">
        <v>1761</v>
      </c>
      <c r="S3" s="34">
        <v>400114</v>
      </c>
      <c r="T3" s="34">
        <v>72648</v>
      </c>
      <c r="U3" s="34">
        <v>80962</v>
      </c>
      <c r="V3" s="34">
        <v>1117</v>
      </c>
      <c r="W3" s="34">
        <v>39502</v>
      </c>
      <c r="X3" s="34">
        <v>4260</v>
      </c>
      <c r="Y3" s="34">
        <v>598603</v>
      </c>
      <c r="Z3" s="34">
        <v>73532</v>
      </c>
      <c r="AA3" s="34">
        <v>525071</v>
      </c>
      <c r="AB3" s="34">
        <v>272383</v>
      </c>
      <c r="AC3" s="34">
        <v>252688</v>
      </c>
    </row>
    <row r="4" spans="1:29" x14ac:dyDescent="0.25">
      <c r="A4" s="31" t="s">
        <v>0</v>
      </c>
      <c r="B4" s="31" t="s">
        <v>733</v>
      </c>
      <c r="C4" s="31" t="s">
        <v>2</v>
      </c>
      <c r="D4" s="31" t="s">
        <v>414</v>
      </c>
      <c r="E4" s="32">
        <v>56.59</v>
      </c>
      <c r="F4" s="33">
        <v>425</v>
      </c>
      <c r="G4" s="32">
        <v>481.59</v>
      </c>
      <c r="H4" s="32">
        <v>1.35</v>
      </c>
      <c r="I4" s="34">
        <v>1</v>
      </c>
      <c r="J4" s="33">
        <v>0</v>
      </c>
      <c r="K4" s="34">
        <v>426</v>
      </c>
      <c r="L4" s="32">
        <v>330.52</v>
      </c>
      <c r="M4" s="32">
        <v>59.16</v>
      </c>
      <c r="N4" s="32">
        <v>65.930000000000007</v>
      </c>
      <c r="O4" s="32">
        <v>32.659999999999997</v>
      </c>
      <c r="P4" s="32">
        <v>3.53</v>
      </c>
      <c r="Q4" s="34">
        <v>159175</v>
      </c>
      <c r="R4" s="34">
        <v>9821</v>
      </c>
      <c r="S4" s="34">
        <v>168996</v>
      </c>
      <c r="T4" s="34">
        <v>25202</v>
      </c>
      <c r="U4" s="34">
        <v>28086</v>
      </c>
      <c r="V4" s="34">
        <v>446</v>
      </c>
      <c r="W4" s="34">
        <v>15729</v>
      </c>
      <c r="X4" s="34">
        <v>1700</v>
      </c>
      <c r="Y4" s="34">
        <v>240159</v>
      </c>
      <c r="Z4" s="34">
        <v>29988</v>
      </c>
      <c r="AA4" s="34">
        <v>210171</v>
      </c>
      <c r="AB4" s="34">
        <v>108176</v>
      </c>
      <c r="AC4" s="34">
        <v>101995</v>
      </c>
    </row>
    <row r="5" spans="1:29" x14ac:dyDescent="0.25">
      <c r="A5" s="31" t="s">
        <v>0</v>
      </c>
      <c r="B5" s="31" t="s">
        <v>733</v>
      </c>
      <c r="C5" s="31" t="s">
        <v>3</v>
      </c>
      <c r="D5" s="31" t="s">
        <v>415</v>
      </c>
      <c r="E5" s="32">
        <v>72.760000000000005</v>
      </c>
      <c r="F5" s="33">
        <v>594.6</v>
      </c>
      <c r="G5" s="32">
        <v>667.36</v>
      </c>
      <c r="H5" s="32">
        <v>1.87</v>
      </c>
      <c r="I5" s="34">
        <v>54</v>
      </c>
      <c r="J5" s="33">
        <v>2.8</v>
      </c>
      <c r="K5" s="34">
        <v>646</v>
      </c>
      <c r="L5" s="32">
        <v>330.52</v>
      </c>
      <c r="M5" s="32">
        <v>59.16</v>
      </c>
      <c r="N5" s="32">
        <v>65.930000000000007</v>
      </c>
      <c r="O5" s="32">
        <v>32.659999999999997</v>
      </c>
      <c r="P5" s="32">
        <v>3.53</v>
      </c>
      <c r="Q5" s="34">
        <v>220576</v>
      </c>
      <c r="R5" s="34">
        <v>0</v>
      </c>
      <c r="S5" s="34">
        <v>220576</v>
      </c>
      <c r="T5" s="34">
        <v>38217</v>
      </c>
      <c r="U5" s="34">
        <v>42591</v>
      </c>
      <c r="V5" s="34">
        <v>618</v>
      </c>
      <c r="W5" s="34">
        <v>21796</v>
      </c>
      <c r="X5" s="34">
        <v>2356</v>
      </c>
      <c r="Y5" s="34">
        <v>326154</v>
      </c>
      <c r="Z5" s="34">
        <v>39375</v>
      </c>
      <c r="AA5" s="34">
        <v>286779</v>
      </c>
      <c r="AB5" s="34">
        <v>152085</v>
      </c>
      <c r="AC5" s="34">
        <v>134694</v>
      </c>
    </row>
    <row r="6" spans="1:29" x14ac:dyDescent="0.25">
      <c r="A6" s="31" t="s">
        <v>0</v>
      </c>
      <c r="B6" s="31" t="s">
        <v>733</v>
      </c>
      <c r="C6" s="31" t="s">
        <v>4</v>
      </c>
      <c r="D6" s="31" t="s">
        <v>416</v>
      </c>
      <c r="E6" s="32">
        <v>200.82</v>
      </c>
      <c r="F6" s="33">
        <v>1547.5</v>
      </c>
      <c r="G6" s="32">
        <v>1748.32</v>
      </c>
      <c r="H6" s="32">
        <v>4.9000000000000004</v>
      </c>
      <c r="I6" s="34">
        <v>136</v>
      </c>
      <c r="J6" s="33">
        <v>1.8</v>
      </c>
      <c r="K6" s="34">
        <v>1682</v>
      </c>
      <c r="L6" s="32">
        <v>330.52</v>
      </c>
      <c r="M6" s="32">
        <v>59.16</v>
      </c>
      <c r="N6" s="32">
        <v>65.930000000000007</v>
      </c>
      <c r="O6" s="32">
        <v>32.659999999999997</v>
      </c>
      <c r="P6" s="32">
        <v>3.53</v>
      </c>
      <c r="Q6" s="34">
        <v>577855</v>
      </c>
      <c r="R6" s="34">
        <v>1029</v>
      </c>
      <c r="S6" s="34">
        <v>578884</v>
      </c>
      <c r="T6" s="34">
        <v>99507</v>
      </c>
      <c r="U6" s="34">
        <v>110894</v>
      </c>
      <c r="V6" s="34">
        <v>1620</v>
      </c>
      <c r="W6" s="34">
        <v>57152</v>
      </c>
      <c r="X6" s="34">
        <v>6172</v>
      </c>
      <c r="Y6" s="34">
        <v>854229</v>
      </c>
      <c r="Z6" s="34">
        <v>93008</v>
      </c>
      <c r="AA6" s="34">
        <v>761221</v>
      </c>
      <c r="AB6" s="34">
        <v>408621</v>
      </c>
      <c r="AC6" s="34">
        <v>352600</v>
      </c>
    </row>
    <row r="7" spans="1:29" x14ac:dyDescent="0.25">
      <c r="A7" s="31" t="s">
        <v>0</v>
      </c>
      <c r="B7" s="31" t="s">
        <v>733</v>
      </c>
      <c r="C7" s="31" t="s">
        <v>5</v>
      </c>
      <c r="D7" s="31" t="s">
        <v>417</v>
      </c>
      <c r="E7" s="32">
        <v>1952.13</v>
      </c>
      <c r="F7" s="33">
        <v>10309.799999999999</v>
      </c>
      <c r="G7" s="32">
        <v>12261.93</v>
      </c>
      <c r="H7" s="32">
        <v>34.369999999999997</v>
      </c>
      <c r="I7" s="34">
        <v>1599</v>
      </c>
      <c r="J7" s="33">
        <v>1.1000000000000001</v>
      </c>
      <c r="K7" s="34">
        <v>11908</v>
      </c>
      <c r="L7" s="32">
        <v>330.52</v>
      </c>
      <c r="M7" s="32">
        <v>59.16</v>
      </c>
      <c r="N7" s="32">
        <v>65.930000000000007</v>
      </c>
      <c r="O7" s="32">
        <v>32.659999999999997</v>
      </c>
      <c r="P7" s="32">
        <v>3.53</v>
      </c>
      <c r="Q7" s="34">
        <v>4052813</v>
      </c>
      <c r="R7" s="34">
        <v>0</v>
      </c>
      <c r="S7" s="34">
        <v>4052813</v>
      </c>
      <c r="T7" s="34">
        <v>704477</v>
      </c>
      <c r="U7" s="34">
        <v>785094</v>
      </c>
      <c r="V7" s="34">
        <v>11360</v>
      </c>
      <c r="W7" s="34">
        <v>400475</v>
      </c>
      <c r="X7" s="34">
        <v>43285</v>
      </c>
      <c r="Y7" s="34">
        <v>5997504</v>
      </c>
      <c r="Z7" s="34">
        <v>514177</v>
      </c>
      <c r="AA7" s="34">
        <v>5483327</v>
      </c>
      <c r="AB7" s="34">
        <v>3003658</v>
      </c>
      <c r="AC7" s="34">
        <v>2479669</v>
      </c>
    </row>
    <row r="8" spans="1:29" x14ac:dyDescent="0.25">
      <c r="A8" s="31" t="s">
        <v>0</v>
      </c>
      <c r="B8" s="31" t="s">
        <v>733</v>
      </c>
      <c r="C8" s="31" t="s">
        <v>6</v>
      </c>
      <c r="D8" s="31" t="s">
        <v>418</v>
      </c>
      <c r="E8" s="32">
        <v>32.979999999999997</v>
      </c>
      <c r="F8" s="33">
        <v>322</v>
      </c>
      <c r="G8" s="32">
        <v>354.98</v>
      </c>
      <c r="H8" s="32">
        <v>1</v>
      </c>
      <c r="I8" s="34">
        <v>5</v>
      </c>
      <c r="J8" s="33">
        <v>0</v>
      </c>
      <c r="K8" s="34">
        <v>327</v>
      </c>
      <c r="L8" s="32">
        <v>330.52</v>
      </c>
      <c r="M8" s="32">
        <v>59.16</v>
      </c>
      <c r="N8" s="32">
        <v>65.930000000000007</v>
      </c>
      <c r="O8" s="32">
        <v>32.659999999999997</v>
      </c>
      <c r="P8" s="32">
        <v>3.53</v>
      </c>
      <c r="Q8" s="34">
        <v>117328</v>
      </c>
      <c r="R8" s="34">
        <v>10899</v>
      </c>
      <c r="S8" s="34">
        <v>128227</v>
      </c>
      <c r="T8" s="34">
        <v>19345</v>
      </c>
      <c r="U8" s="34">
        <v>21559</v>
      </c>
      <c r="V8" s="34">
        <v>331</v>
      </c>
      <c r="W8" s="34">
        <v>11594</v>
      </c>
      <c r="X8" s="34">
        <v>1253</v>
      </c>
      <c r="Y8" s="34">
        <v>182309</v>
      </c>
      <c r="Z8" s="34">
        <v>23749</v>
      </c>
      <c r="AA8" s="34">
        <v>158560</v>
      </c>
      <c r="AB8" s="34">
        <v>78093</v>
      </c>
      <c r="AC8" s="34">
        <v>80467</v>
      </c>
    </row>
    <row r="9" spans="1:29" x14ac:dyDescent="0.25">
      <c r="A9" s="31" t="s">
        <v>0</v>
      </c>
      <c r="B9" s="31" t="s">
        <v>733</v>
      </c>
      <c r="C9" s="31" t="s">
        <v>7</v>
      </c>
      <c r="D9" s="31" t="s">
        <v>419</v>
      </c>
      <c r="E9" s="32">
        <v>40.69</v>
      </c>
      <c r="F9" s="33">
        <v>401</v>
      </c>
      <c r="G9" s="32">
        <v>441.69</v>
      </c>
      <c r="H9" s="32">
        <v>1.24</v>
      </c>
      <c r="I9" s="34">
        <v>31</v>
      </c>
      <c r="J9" s="33">
        <v>0</v>
      </c>
      <c r="K9" s="34">
        <v>432</v>
      </c>
      <c r="L9" s="32">
        <v>330.52</v>
      </c>
      <c r="M9" s="32">
        <v>59.16</v>
      </c>
      <c r="N9" s="32">
        <v>65.930000000000007</v>
      </c>
      <c r="O9" s="32">
        <v>32.659999999999997</v>
      </c>
      <c r="P9" s="32">
        <v>3.53</v>
      </c>
      <c r="Q9" s="34">
        <v>145987</v>
      </c>
      <c r="R9" s="34">
        <v>356</v>
      </c>
      <c r="S9" s="34">
        <v>146343</v>
      </c>
      <c r="T9" s="34">
        <v>25557</v>
      </c>
      <c r="U9" s="34">
        <v>28482</v>
      </c>
      <c r="V9" s="34">
        <v>410</v>
      </c>
      <c r="W9" s="34">
        <v>14448</v>
      </c>
      <c r="X9" s="34">
        <v>1559</v>
      </c>
      <c r="Y9" s="34">
        <v>216799</v>
      </c>
      <c r="Z9" s="34">
        <v>27107</v>
      </c>
      <c r="AA9" s="34">
        <v>189692</v>
      </c>
      <c r="AB9" s="34">
        <v>99633</v>
      </c>
      <c r="AC9" s="34">
        <v>90059</v>
      </c>
    </row>
    <row r="10" spans="1:29" x14ac:dyDescent="0.25">
      <c r="A10" s="31" t="s">
        <v>0</v>
      </c>
      <c r="B10" s="31" t="s">
        <v>733</v>
      </c>
      <c r="C10" s="31" t="s">
        <v>8</v>
      </c>
      <c r="D10" s="31" t="s">
        <v>420</v>
      </c>
      <c r="E10" s="32">
        <v>189.28</v>
      </c>
      <c r="F10" s="33">
        <v>1124.5</v>
      </c>
      <c r="G10" s="32">
        <v>1313.78</v>
      </c>
      <c r="H10" s="32">
        <v>3.68</v>
      </c>
      <c r="I10" s="34">
        <v>166</v>
      </c>
      <c r="J10" s="33">
        <v>1</v>
      </c>
      <c r="K10" s="34">
        <v>1290</v>
      </c>
      <c r="L10" s="32">
        <v>330.52</v>
      </c>
      <c r="M10" s="32">
        <v>59.16</v>
      </c>
      <c r="N10" s="32">
        <v>65.930000000000007</v>
      </c>
      <c r="O10" s="32">
        <v>32.659999999999997</v>
      </c>
      <c r="P10" s="32">
        <v>3.53</v>
      </c>
      <c r="Q10" s="34">
        <v>434231</v>
      </c>
      <c r="R10" s="34">
        <v>0</v>
      </c>
      <c r="S10" s="34">
        <v>434231</v>
      </c>
      <c r="T10" s="34">
        <v>76316</v>
      </c>
      <c r="U10" s="34">
        <v>85050</v>
      </c>
      <c r="V10" s="34">
        <v>1216</v>
      </c>
      <c r="W10" s="34">
        <v>42908</v>
      </c>
      <c r="X10" s="34">
        <v>4638</v>
      </c>
      <c r="Y10" s="34">
        <v>644359</v>
      </c>
      <c r="Z10" s="34">
        <v>74965</v>
      </c>
      <c r="AA10" s="34">
        <v>569394</v>
      </c>
      <c r="AB10" s="34">
        <v>301946</v>
      </c>
      <c r="AC10" s="34">
        <v>267448</v>
      </c>
    </row>
    <row r="11" spans="1:29" x14ac:dyDescent="0.25">
      <c r="A11" s="31" t="s">
        <v>0</v>
      </c>
      <c r="B11" s="31" t="s">
        <v>733</v>
      </c>
      <c r="C11" s="31" t="s">
        <v>10</v>
      </c>
      <c r="D11" s="31" t="s">
        <v>422</v>
      </c>
      <c r="E11" s="32">
        <v>102.65</v>
      </c>
      <c r="F11" s="33">
        <v>793.7</v>
      </c>
      <c r="G11" s="32">
        <v>896.35</v>
      </c>
      <c r="H11" s="32">
        <v>2.5099999999999998</v>
      </c>
      <c r="I11" s="34">
        <v>0</v>
      </c>
      <c r="J11" s="33">
        <v>0</v>
      </c>
      <c r="K11" s="34">
        <v>794</v>
      </c>
      <c r="L11" s="32">
        <v>330.52</v>
      </c>
      <c r="M11" s="32">
        <v>59.16</v>
      </c>
      <c r="N11" s="32">
        <v>65.930000000000007</v>
      </c>
      <c r="O11" s="32">
        <v>32.659999999999997</v>
      </c>
      <c r="P11" s="32">
        <v>3.53</v>
      </c>
      <c r="Q11" s="34">
        <v>296262</v>
      </c>
      <c r="R11" s="34">
        <v>0</v>
      </c>
      <c r="S11" s="34">
        <v>296262</v>
      </c>
      <c r="T11" s="34">
        <v>46973</v>
      </c>
      <c r="U11" s="34">
        <v>52348</v>
      </c>
      <c r="V11" s="34">
        <v>830</v>
      </c>
      <c r="W11" s="34">
        <v>29275</v>
      </c>
      <c r="X11" s="34">
        <v>3164</v>
      </c>
      <c r="Y11" s="34">
        <v>428852</v>
      </c>
      <c r="Z11" s="34">
        <v>49021</v>
      </c>
      <c r="AA11" s="34">
        <v>379831</v>
      </c>
      <c r="AB11" s="34">
        <v>208133</v>
      </c>
      <c r="AC11" s="34">
        <v>171698</v>
      </c>
    </row>
    <row r="12" spans="1:29" x14ac:dyDescent="0.25">
      <c r="A12" s="31" t="s">
        <v>0</v>
      </c>
      <c r="B12" s="31" t="s">
        <v>733</v>
      </c>
      <c r="C12" s="31" t="s">
        <v>9</v>
      </c>
      <c r="D12" s="31" t="s">
        <v>421</v>
      </c>
      <c r="E12" s="32">
        <v>54.47</v>
      </c>
      <c r="F12" s="33">
        <v>676.6</v>
      </c>
      <c r="G12" s="32">
        <v>731.07</v>
      </c>
      <c r="H12" s="32">
        <v>2.0499999999999998</v>
      </c>
      <c r="I12" s="34">
        <v>24</v>
      </c>
      <c r="J12" s="33">
        <v>0</v>
      </c>
      <c r="K12" s="34">
        <v>701</v>
      </c>
      <c r="L12" s="32">
        <v>330.52</v>
      </c>
      <c r="M12" s="32">
        <v>59.16</v>
      </c>
      <c r="N12" s="32">
        <v>65.930000000000007</v>
      </c>
      <c r="O12" s="32">
        <v>32.659999999999997</v>
      </c>
      <c r="P12" s="32">
        <v>3.53</v>
      </c>
      <c r="Q12" s="34">
        <v>241633</v>
      </c>
      <c r="R12" s="34">
        <v>424</v>
      </c>
      <c r="S12" s="34">
        <v>242057</v>
      </c>
      <c r="T12" s="34">
        <v>41471</v>
      </c>
      <c r="U12" s="34">
        <v>46217</v>
      </c>
      <c r="V12" s="34">
        <v>678</v>
      </c>
      <c r="W12" s="34">
        <v>23877</v>
      </c>
      <c r="X12" s="34">
        <v>2581</v>
      </c>
      <c r="Y12" s="34">
        <v>356881</v>
      </c>
      <c r="Z12" s="34">
        <v>45215</v>
      </c>
      <c r="AA12" s="34">
        <v>311666</v>
      </c>
      <c r="AB12" s="34">
        <v>164523</v>
      </c>
      <c r="AC12" s="34">
        <v>147143</v>
      </c>
    </row>
    <row r="13" spans="1:29" x14ac:dyDescent="0.25">
      <c r="A13" s="31" t="s">
        <v>0</v>
      </c>
      <c r="B13" s="31" t="s">
        <v>733</v>
      </c>
      <c r="C13" s="31" t="s">
        <v>11</v>
      </c>
      <c r="D13" s="31" t="s">
        <v>423</v>
      </c>
      <c r="E13" s="32">
        <v>103.84</v>
      </c>
      <c r="F13" s="33">
        <v>928.1</v>
      </c>
      <c r="G13" s="32">
        <v>1031.94</v>
      </c>
      <c r="H13" s="32">
        <v>2.89</v>
      </c>
      <c r="I13" s="34">
        <v>104</v>
      </c>
      <c r="J13" s="33">
        <v>0.8</v>
      </c>
      <c r="K13" s="34">
        <v>1031</v>
      </c>
      <c r="L13" s="32">
        <v>330.52</v>
      </c>
      <c r="M13" s="32">
        <v>59.16</v>
      </c>
      <c r="N13" s="32">
        <v>65.930000000000007</v>
      </c>
      <c r="O13" s="32">
        <v>32.659999999999997</v>
      </c>
      <c r="P13" s="32">
        <v>3.53</v>
      </c>
      <c r="Q13" s="34">
        <v>341077</v>
      </c>
      <c r="R13" s="34">
        <v>0</v>
      </c>
      <c r="S13" s="34">
        <v>341077</v>
      </c>
      <c r="T13" s="34">
        <v>60994</v>
      </c>
      <c r="U13" s="34">
        <v>67974</v>
      </c>
      <c r="V13" s="34">
        <v>955</v>
      </c>
      <c r="W13" s="34">
        <v>33703</v>
      </c>
      <c r="X13" s="34">
        <v>3643</v>
      </c>
      <c r="Y13" s="34">
        <v>508346</v>
      </c>
      <c r="Z13" s="34">
        <v>58022</v>
      </c>
      <c r="AA13" s="34">
        <v>450324</v>
      </c>
      <c r="AB13" s="34">
        <v>238032</v>
      </c>
      <c r="AC13" s="34">
        <v>212292</v>
      </c>
    </row>
    <row r="14" spans="1:29" x14ac:dyDescent="0.25">
      <c r="A14" s="31" t="s">
        <v>0</v>
      </c>
      <c r="B14" s="31" t="s">
        <v>733</v>
      </c>
      <c r="C14" s="31" t="s">
        <v>12</v>
      </c>
      <c r="D14" s="31" t="s">
        <v>424</v>
      </c>
      <c r="E14" s="32">
        <v>181.17</v>
      </c>
      <c r="F14" s="33">
        <v>1098.4000000000001</v>
      </c>
      <c r="G14" s="32">
        <v>1279.57</v>
      </c>
      <c r="H14" s="32">
        <v>3.59</v>
      </c>
      <c r="I14" s="34">
        <v>4</v>
      </c>
      <c r="J14" s="33">
        <v>0</v>
      </c>
      <c r="K14" s="34">
        <v>1102</v>
      </c>
      <c r="L14" s="32">
        <v>330.52</v>
      </c>
      <c r="M14" s="32">
        <v>59.16</v>
      </c>
      <c r="N14" s="32">
        <v>65.930000000000007</v>
      </c>
      <c r="O14" s="32">
        <v>32.659999999999997</v>
      </c>
      <c r="P14" s="32">
        <v>3.53</v>
      </c>
      <c r="Q14" s="34">
        <v>422923</v>
      </c>
      <c r="R14" s="34">
        <v>14049</v>
      </c>
      <c r="S14" s="34">
        <v>436972</v>
      </c>
      <c r="T14" s="34">
        <v>65194</v>
      </c>
      <c r="U14" s="34">
        <v>72655</v>
      </c>
      <c r="V14" s="34">
        <v>1187</v>
      </c>
      <c r="W14" s="34">
        <v>42075</v>
      </c>
      <c r="X14" s="34">
        <v>4537</v>
      </c>
      <c r="Y14" s="34">
        <v>622620</v>
      </c>
      <c r="Z14" s="34">
        <v>80898</v>
      </c>
      <c r="AA14" s="34">
        <v>541722</v>
      </c>
      <c r="AB14" s="34">
        <v>286504</v>
      </c>
      <c r="AC14" s="34">
        <v>255218</v>
      </c>
    </row>
    <row r="15" spans="1:29" x14ac:dyDescent="0.25">
      <c r="A15" s="31" t="s">
        <v>0</v>
      </c>
      <c r="B15" s="31" t="s">
        <v>733</v>
      </c>
      <c r="C15" s="31" t="s">
        <v>13</v>
      </c>
      <c r="D15" s="31" t="s">
        <v>425</v>
      </c>
      <c r="E15" s="32">
        <v>252.78</v>
      </c>
      <c r="F15" s="33">
        <v>1326.5</v>
      </c>
      <c r="G15" s="32">
        <v>1579.28</v>
      </c>
      <c r="H15" s="32">
        <v>4.41</v>
      </c>
      <c r="I15" s="34">
        <v>5</v>
      </c>
      <c r="J15" s="33">
        <v>0</v>
      </c>
      <c r="K15" s="34">
        <v>1332</v>
      </c>
      <c r="L15" s="32">
        <v>330.52</v>
      </c>
      <c r="M15" s="32">
        <v>59.16</v>
      </c>
      <c r="N15" s="32">
        <v>65.930000000000007</v>
      </c>
      <c r="O15" s="32">
        <v>32.659999999999997</v>
      </c>
      <c r="P15" s="32">
        <v>3.53</v>
      </c>
      <c r="Q15" s="34">
        <v>521984</v>
      </c>
      <c r="R15" s="34">
        <v>0</v>
      </c>
      <c r="S15" s="34">
        <v>521984</v>
      </c>
      <c r="T15" s="34">
        <v>78801</v>
      </c>
      <c r="U15" s="34">
        <v>87819</v>
      </c>
      <c r="V15" s="34">
        <v>1458</v>
      </c>
      <c r="W15" s="34">
        <v>51579</v>
      </c>
      <c r="X15" s="34">
        <v>5575</v>
      </c>
      <c r="Y15" s="34">
        <v>747216</v>
      </c>
      <c r="Z15" s="34">
        <v>78419</v>
      </c>
      <c r="AA15" s="34">
        <v>668797</v>
      </c>
      <c r="AB15" s="34">
        <v>374658</v>
      </c>
      <c r="AC15" s="34">
        <v>294139</v>
      </c>
    </row>
    <row r="16" spans="1:29" x14ac:dyDescent="0.25">
      <c r="A16" s="31" t="s">
        <v>0</v>
      </c>
      <c r="B16" s="31" t="s">
        <v>733</v>
      </c>
      <c r="C16" s="31" t="s">
        <v>14</v>
      </c>
      <c r="D16" s="31" t="s">
        <v>426</v>
      </c>
      <c r="E16" s="32">
        <v>83.41</v>
      </c>
      <c r="F16" s="33">
        <v>727.8</v>
      </c>
      <c r="G16" s="32">
        <v>811.21</v>
      </c>
      <c r="H16" s="32">
        <v>2.27</v>
      </c>
      <c r="I16" s="34">
        <v>2</v>
      </c>
      <c r="J16" s="33">
        <v>0</v>
      </c>
      <c r="K16" s="34">
        <v>730</v>
      </c>
      <c r="L16" s="32">
        <v>330.52</v>
      </c>
      <c r="M16" s="32">
        <v>59.16</v>
      </c>
      <c r="N16" s="32">
        <v>65.930000000000007</v>
      </c>
      <c r="O16" s="32">
        <v>32.659999999999997</v>
      </c>
      <c r="P16" s="32">
        <v>3.53</v>
      </c>
      <c r="Q16" s="34">
        <v>268121</v>
      </c>
      <c r="R16" s="34">
        <v>7301</v>
      </c>
      <c r="S16" s="34">
        <v>275422</v>
      </c>
      <c r="T16" s="34">
        <v>43187</v>
      </c>
      <c r="U16" s="34">
        <v>48129</v>
      </c>
      <c r="V16" s="34">
        <v>750</v>
      </c>
      <c r="W16" s="34">
        <v>27192</v>
      </c>
      <c r="X16" s="34">
        <v>2932</v>
      </c>
      <c r="Y16" s="34">
        <v>397612</v>
      </c>
      <c r="Z16" s="34">
        <v>30686</v>
      </c>
      <c r="AA16" s="34">
        <v>366926</v>
      </c>
      <c r="AB16" s="34">
        <v>202808</v>
      </c>
      <c r="AC16" s="34">
        <v>164118</v>
      </c>
    </row>
    <row r="17" spans="1:29" x14ac:dyDescent="0.25">
      <c r="A17" s="31" t="s">
        <v>0</v>
      </c>
      <c r="B17" s="31" t="s">
        <v>733</v>
      </c>
      <c r="C17" s="31" t="s">
        <v>15</v>
      </c>
      <c r="D17" s="31" t="s">
        <v>427</v>
      </c>
      <c r="E17" s="32">
        <v>32.44</v>
      </c>
      <c r="F17" s="33">
        <v>333.6</v>
      </c>
      <c r="G17" s="32">
        <v>366.04</v>
      </c>
      <c r="H17" s="32">
        <v>1.03</v>
      </c>
      <c r="I17" s="34">
        <v>0</v>
      </c>
      <c r="J17" s="33">
        <v>0</v>
      </c>
      <c r="K17" s="34">
        <v>334</v>
      </c>
      <c r="L17" s="32">
        <v>330.52</v>
      </c>
      <c r="M17" s="32">
        <v>59.16</v>
      </c>
      <c r="N17" s="32">
        <v>65.930000000000007</v>
      </c>
      <c r="O17" s="32">
        <v>32.659999999999997</v>
      </c>
      <c r="P17" s="32">
        <v>3.53</v>
      </c>
      <c r="Q17" s="34">
        <v>120984</v>
      </c>
      <c r="R17" s="34">
        <v>0</v>
      </c>
      <c r="S17" s="34">
        <v>120984</v>
      </c>
      <c r="T17" s="34">
        <v>19759</v>
      </c>
      <c r="U17" s="34">
        <v>22021</v>
      </c>
      <c r="V17" s="34">
        <v>340</v>
      </c>
      <c r="W17" s="34">
        <v>11955</v>
      </c>
      <c r="X17" s="34">
        <v>1292</v>
      </c>
      <c r="Y17" s="34">
        <v>176351</v>
      </c>
      <c r="Z17" s="34">
        <v>21332</v>
      </c>
      <c r="AA17" s="34">
        <v>155019</v>
      </c>
      <c r="AB17" s="34">
        <v>83683</v>
      </c>
      <c r="AC17" s="34">
        <v>71336</v>
      </c>
    </row>
    <row r="18" spans="1:29" x14ac:dyDescent="0.25">
      <c r="A18" s="31" t="s">
        <v>0</v>
      </c>
      <c r="B18" s="31" t="s">
        <v>733</v>
      </c>
      <c r="C18" s="31" t="s">
        <v>16</v>
      </c>
      <c r="D18" s="31" t="s">
        <v>428</v>
      </c>
      <c r="E18" s="32">
        <v>110.32</v>
      </c>
      <c r="F18" s="33">
        <v>507.1</v>
      </c>
      <c r="G18" s="32">
        <v>617.41999999999996</v>
      </c>
      <c r="H18" s="32">
        <v>1.73</v>
      </c>
      <c r="I18" s="34">
        <v>174</v>
      </c>
      <c r="J18" s="33">
        <v>2.1</v>
      </c>
      <c r="K18" s="34">
        <v>679</v>
      </c>
      <c r="L18" s="32">
        <v>330.52</v>
      </c>
      <c r="M18" s="32">
        <v>59.16</v>
      </c>
      <c r="N18" s="32">
        <v>65.930000000000007</v>
      </c>
      <c r="O18" s="32">
        <v>32.659999999999997</v>
      </c>
      <c r="P18" s="32">
        <v>3.53</v>
      </c>
      <c r="Q18" s="34">
        <v>204070</v>
      </c>
      <c r="R18" s="34">
        <v>0</v>
      </c>
      <c r="S18" s="34">
        <v>204070</v>
      </c>
      <c r="T18" s="34">
        <v>40170</v>
      </c>
      <c r="U18" s="34">
        <v>44766</v>
      </c>
      <c r="V18" s="34">
        <v>572</v>
      </c>
      <c r="W18" s="34">
        <v>20165</v>
      </c>
      <c r="X18" s="34">
        <v>2179</v>
      </c>
      <c r="Y18" s="34">
        <v>311922</v>
      </c>
      <c r="Z18" s="34">
        <v>37693</v>
      </c>
      <c r="AA18" s="34">
        <v>274229</v>
      </c>
      <c r="AB18" s="34">
        <v>139439</v>
      </c>
      <c r="AC18" s="34">
        <v>134790</v>
      </c>
    </row>
    <row r="19" spans="1:29" x14ac:dyDescent="0.25">
      <c r="A19" s="31" t="s">
        <v>0</v>
      </c>
      <c r="B19" s="31" t="s">
        <v>733</v>
      </c>
      <c r="C19" s="31" t="s">
        <v>17</v>
      </c>
      <c r="D19" s="31" t="s">
        <v>429</v>
      </c>
      <c r="E19" s="32">
        <v>107.23</v>
      </c>
      <c r="F19" s="33">
        <v>609.4</v>
      </c>
      <c r="G19" s="32">
        <v>716.63</v>
      </c>
      <c r="H19" s="32">
        <v>2.0099999999999998</v>
      </c>
      <c r="I19" s="34">
        <v>0</v>
      </c>
      <c r="J19" s="33">
        <v>0</v>
      </c>
      <c r="K19" s="34">
        <v>609</v>
      </c>
      <c r="L19" s="32">
        <v>330.52</v>
      </c>
      <c r="M19" s="32">
        <v>59.16</v>
      </c>
      <c r="N19" s="32">
        <v>65.930000000000007</v>
      </c>
      <c r="O19" s="32">
        <v>32.659999999999997</v>
      </c>
      <c r="P19" s="32">
        <v>3.53</v>
      </c>
      <c r="Q19" s="34">
        <v>236861</v>
      </c>
      <c r="R19" s="34">
        <v>0</v>
      </c>
      <c r="S19" s="34">
        <v>236861</v>
      </c>
      <c r="T19" s="34">
        <v>36028</v>
      </c>
      <c r="U19" s="34">
        <v>40151</v>
      </c>
      <c r="V19" s="34">
        <v>664</v>
      </c>
      <c r="W19" s="34">
        <v>23405</v>
      </c>
      <c r="X19" s="34">
        <v>2530</v>
      </c>
      <c r="Y19" s="34">
        <v>339639</v>
      </c>
      <c r="Z19" s="34">
        <v>41746</v>
      </c>
      <c r="AA19" s="34">
        <v>297893</v>
      </c>
      <c r="AB19" s="34">
        <v>163849</v>
      </c>
      <c r="AC19" s="34">
        <v>134044</v>
      </c>
    </row>
    <row r="20" spans="1:29" x14ac:dyDescent="0.25">
      <c r="A20" s="31" t="s">
        <v>0</v>
      </c>
      <c r="B20" s="31" t="s">
        <v>733</v>
      </c>
      <c r="C20" s="31" t="s">
        <v>18</v>
      </c>
      <c r="D20" s="31" t="s">
        <v>430</v>
      </c>
      <c r="E20" s="32">
        <v>45.61</v>
      </c>
      <c r="F20" s="33">
        <v>347.7</v>
      </c>
      <c r="G20" s="32">
        <v>393.31</v>
      </c>
      <c r="H20" s="32">
        <v>1.1000000000000001</v>
      </c>
      <c r="I20" s="34">
        <v>52</v>
      </c>
      <c r="J20" s="33">
        <v>0.4</v>
      </c>
      <c r="K20" s="34">
        <v>399</v>
      </c>
      <c r="L20" s="32">
        <v>330.52</v>
      </c>
      <c r="M20" s="32">
        <v>59.16</v>
      </c>
      <c r="N20" s="32">
        <v>65.930000000000007</v>
      </c>
      <c r="O20" s="32">
        <v>32.659999999999997</v>
      </c>
      <c r="P20" s="32">
        <v>3.53</v>
      </c>
      <c r="Q20" s="34">
        <v>129997</v>
      </c>
      <c r="R20" s="34">
        <v>16757</v>
      </c>
      <c r="S20" s="34">
        <v>146754</v>
      </c>
      <c r="T20" s="34">
        <v>23605</v>
      </c>
      <c r="U20" s="34">
        <v>26306</v>
      </c>
      <c r="V20" s="34">
        <v>364</v>
      </c>
      <c r="W20" s="34">
        <v>13204</v>
      </c>
      <c r="X20" s="34">
        <v>1424</v>
      </c>
      <c r="Y20" s="34">
        <v>211657</v>
      </c>
      <c r="Z20" s="34">
        <v>29583</v>
      </c>
      <c r="AA20" s="34">
        <v>182074</v>
      </c>
      <c r="AB20" s="34">
        <v>83648</v>
      </c>
      <c r="AC20" s="34">
        <v>98426</v>
      </c>
    </row>
    <row r="21" spans="1:29" x14ac:dyDescent="0.25">
      <c r="A21" s="31" t="s">
        <v>0</v>
      </c>
      <c r="B21" s="31" t="s">
        <v>733</v>
      </c>
      <c r="C21" s="31" t="s">
        <v>19</v>
      </c>
      <c r="D21" s="31" t="s">
        <v>431</v>
      </c>
      <c r="E21" s="32">
        <v>36.89</v>
      </c>
      <c r="F21" s="33">
        <v>262</v>
      </c>
      <c r="G21" s="32">
        <v>298.89</v>
      </c>
      <c r="H21" s="32">
        <v>0.84</v>
      </c>
      <c r="I21" s="34">
        <v>0</v>
      </c>
      <c r="J21" s="33">
        <v>0</v>
      </c>
      <c r="K21" s="34">
        <v>262</v>
      </c>
      <c r="L21" s="32">
        <v>330.52</v>
      </c>
      <c r="M21" s="32">
        <v>59.16</v>
      </c>
      <c r="N21" s="32">
        <v>65.930000000000007</v>
      </c>
      <c r="O21" s="32">
        <v>32.659999999999997</v>
      </c>
      <c r="P21" s="32">
        <v>3.53</v>
      </c>
      <c r="Q21" s="34">
        <v>98789</v>
      </c>
      <c r="R21" s="34">
        <v>0</v>
      </c>
      <c r="S21" s="34">
        <v>98789</v>
      </c>
      <c r="T21" s="34">
        <v>15500</v>
      </c>
      <c r="U21" s="34">
        <v>17274</v>
      </c>
      <c r="V21" s="34">
        <v>278</v>
      </c>
      <c r="W21" s="34">
        <v>9762</v>
      </c>
      <c r="X21" s="34">
        <v>1055</v>
      </c>
      <c r="Y21" s="34">
        <v>142658</v>
      </c>
      <c r="Z21" s="34">
        <v>16863</v>
      </c>
      <c r="AA21" s="34">
        <v>125795</v>
      </c>
      <c r="AB21" s="34">
        <v>68887</v>
      </c>
      <c r="AC21" s="34">
        <v>56908</v>
      </c>
    </row>
    <row r="22" spans="1:29" x14ac:dyDescent="0.25">
      <c r="A22" s="31" t="s">
        <v>0</v>
      </c>
      <c r="B22" s="31" t="s">
        <v>733</v>
      </c>
      <c r="C22" s="31" t="s">
        <v>20</v>
      </c>
      <c r="D22" s="31" t="s">
        <v>432</v>
      </c>
      <c r="E22" s="32">
        <v>178.3</v>
      </c>
      <c r="F22" s="33">
        <v>1399.3</v>
      </c>
      <c r="G22" s="32">
        <v>1577.6</v>
      </c>
      <c r="H22" s="32">
        <v>4.42</v>
      </c>
      <c r="I22" s="34">
        <v>191</v>
      </c>
      <c r="J22" s="33">
        <v>1</v>
      </c>
      <c r="K22" s="34">
        <v>1589</v>
      </c>
      <c r="L22" s="32">
        <v>330.52</v>
      </c>
      <c r="M22" s="32">
        <v>59.16</v>
      </c>
      <c r="N22" s="32">
        <v>65.930000000000007</v>
      </c>
      <c r="O22" s="32">
        <v>32.659999999999997</v>
      </c>
      <c r="P22" s="32">
        <v>3.53</v>
      </c>
      <c r="Q22" s="34">
        <v>521428</v>
      </c>
      <c r="R22" s="34">
        <v>0</v>
      </c>
      <c r="S22" s="34">
        <v>521428</v>
      </c>
      <c r="T22" s="34">
        <v>94005</v>
      </c>
      <c r="U22" s="34">
        <v>104763</v>
      </c>
      <c r="V22" s="34">
        <v>1461</v>
      </c>
      <c r="W22" s="34">
        <v>51524</v>
      </c>
      <c r="X22" s="34">
        <v>5569</v>
      </c>
      <c r="Y22" s="34">
        <v>778750</v>
      </c>
      <c r="Z22" s="34">
        <v>90517</v>
      </c>
      <c r="AA22" s="34">
        <v>688233</v>
      </c>
      <c r="AB22" s="34">
        <v>362081</v>
      </c>
      <c r="AC22" s="34">
        <v>326152</v>
      </c>
    </row>
    <row r="23" spans="1:29" x14ac:dyDescent="0.25">
      <c r="A23" s="31" t="s">
        <v>0</v>
      </c>
      <c r="B23" s="31" t="s">
        <v>733</v>
      </c>
      <c r="C23" s="31" t="s">
        <v>21</v>
      </c>
      <c r="D23" s="31" t="s">
        <v>433</v>
      </c>
      <c r="E23" s="32">
        <v>414.11</v>
      </c>
      <c r="F23" s="33">
        <v>3197.7</v>
      </c>
      <c r="G23" s="32">
        <v>3611.81</v>
      </c>
      <c r="H23" s="32">
        <v>10.119999999999999</v>
      </c>
      <c r="I23" s="34">
        <v>1061</v>
      </c>
      <c r="J23" s="33">
        <v>3.6</v>
      </c>
      <c r="K23" s="34">
        <v>4255</v>
      </c>
      <c r="L23" s="32">
        <v>330.52</v>
      </c>
      <c r="M23" s="32">
        <v>59.16</v>
      </c>
      <c r="N23" s="32">
        <v>65.930000000000007</v>
      </c>
      <c r="O23" s="32">
        <v>32.659999999999997</v>
      </c>
      <c r="P23" s="32">
        <v>3.53</v>
      </c>
      <c r="Q23" s="34">
        <v>1193775</v>
      </c>
      <c r="R23" s="34">
        <v>0</v>
      </c>
      <c r="S23" s="34">
        <v>1193775</v>
      </c>
      <c r="T23" s="34">
        <v>251726</v>
      </c>
      <c r="U23" s="34">
        <v>280532</v>
      </c>
      <c r="V23" s="34">
        <v>3345</v>
      </c>
      <c r="W23" s="34">
        <v>117962</v>
      </c>
      <c r="X23" s="34">
        <v>12750</v>
      </c>
      <c r="Y23" s="34">
        <v>1860090</v>
      </c>
      <c r="Z23" s="34">
        <v>140594</v>
      </c>
      <c r="AA23" s="34">
        <v>1719496</v>
      </c>
      <c r="AB23" s="34">
        <v>895601</v>
      </c>
      <c r="AC23" s="34">
        <v>823895</v>
      </c>
    </row>
    <row r="24" spans="1:29" x14ac:dyDescent="0.25">
      <c r="A24" s="31" t="s">
        <v>22</v>
      </c>
      <c r="B24" s="31" t="s">
        <v>734</v>
      </c>
      <c r="C24" s="31" t="s">
        <v>23</v>
      </c>
      <c r="D24" s="31" t="s">
        <v>434</v>
      </c>
      <c r="E24" s="32">
        <v>30.1</v>
      </c>
      <c r="F24" s="33">
        <v>215.7</v>
      </c>
      <c r="G24" s="32">
        <v>245.8</v>
      </c>
      <c r="H24" s="32">
        <v>0</v>
      </c>
      <c r="I24" s="34">
        <v>1</v>
      </c>
      <c r="J24" s="33">
        <v>0</v>
      </c>
      <c r="K24" s="34">
        <v>217</v>
      </c>
      <c r="L24" s="32">
        <v>326.27</v>
      </c>
      <c r="M24" s="32">
        <v>59.24</v>
      </c>
      <c r="N24" s="32">
        <v>66.400000000000006</v>
      </c>
      <c r="O24" s="32">
        <v>34.619999999999997</v>
      </c>
      <c r="P24" s="32">
        <v>4.12</v>
      </c>
      <c r="Q24" s="34">
        <v>80197</v>
      </c>
      <c r="R24" s="34">
        <v>656</v>
      </c>
      <c r="S24" s="34">
        <v>80853</v>
      </c>
      <c r="T24" s="34">
        <v>12855</v>
      </c>
      <c r="U24" s="34">
        <v>14409</v>
      </c>
      <c r="V24" s="34">
        <v>0</v>
      </c>
      <c r="W24" s="34">
        <v>8586</v>
      </c>
      <c r="X24" s="34">
        <v>1022</v>
      </c>
      <c r="Y24" s="34">
        <v>117725</v>
      </c>
      <c r="Z24" s="34">
        <v>14109</v>
      </c>
      <c r="AA24" s="34">
        <v>103616</v>
      </c>
      <c r="AB24" s="34">
        <v>56949</v>
      </c>
      <c r="AC24" s="34">
        <v>46667</v>
      </c>
    </row>
    <row r="25" spans="1:29" x14ac:dyDescent="0.25">
      <c r="A25" s="31" t="s">
        <v>22</v>
      </c>
      <c r="B25" s="31" t="s">
        <v>734</v>
      </c>
      <c r="C25" s="31" t="s">
        <v>24</v>
      </c>
      <c r="D25" s="31" t="s">
        <v>435</v>
      </c>
      <c r="E25" s="32">
        <v>186.63</v>
      </c>
      <c r="F25" s="33">
        <v>1282.4000000000001</v>
      </c>
      <c r="G25" s="32">
        <v>1469.03</v>
      </c>
      <c r="H25" s="32">
        <v>0</v>
      </c>
      <c r="I25" s="34">
        <v>298</v>
      </c>
      <c r="J25" s="33">
        <v>8.8000000000000007</v>
      </c>
      <c r="K25" s="34">
        <v>1572</v>
      </c>
      <c r="L25" s="32">
        <v>326.27</v>
      </c>
      <c r="M25" s="32">
        <v>59.24</v>
      </c>
      <c r="N25" s="32">
        <v>66.400000000000006</v>
      </c>
      <c r="O25" s="32">
        <v>34.619999999999997</v>
      </c>
      <c r="P25" s="32">
        <v>4.12</v>
      </c>
      <c r="Q25" s="34">
        <v>479300</v>
      </c>
      <c r="R25" s="34">
        <v>0</v>
      </c>
      <c r="S25" s="34">
        <v>479300</v>
      </c>
      <c r="T25" s="34">
        <v>93125</v>
      </c>
      <c r="U25" s="34">
        <v>104381</v>
      </c>
      <c r="V25" s="34">
        <v>0</v>
      </c>
      <c r="W25" s="34">
        <v>50858</v>
      </c>
      <c r="X25" s="34">
        <v>6052</v>
      </c>
      <c r="Y25" s="34">
        <v>733716</v>
      </c>
      <c r="Z25" s="34">
        <v>83780</v>
      </c>
      <c r="AA25" s="34">
        <v>649936</v>
      </c>
      <c r="AB25" s="34">
        <v>340388</v>
      </c>
      <c r="AC25" s="34">
        <v>309548</v>
      </c>
    </row>
    <row r="26" spans="1:29" x14ac:dyDescent="0.25">
      <c r="A26" s="31" t="s">
        <v>22</v>
      </c>
      <c r="B26" s="31" t="s">
        <v>734</v>
      </c>
      <c r="C26" s="31" t="s">
        <v>25</v>
      </c>
      <c r="D26" s="31" t="s">
        <v>436</v>
      </c>
      <c r="E26" s="32">
        <v>78</v>
      </c>
      <c r="F26" s="33">
        <v>826</v>
      </c>
      <c r="G26" s="32">
        <v>904</v>
      </c>
      <c r="H26" s="32">
        <v>0</v>
      </c>
      <c r="I26" s="34">
        <v>12</v>
      </c>
      <c r="J26" s="33">
        <v>0</v>
      </c>
      <c r="K26" s="34">
        <v>838</v>
      </c>
      <c r="L26" s="32">
        <v>326.27</v>
      </c>
      <c r="M26" s="32">
        <v>59.24</v>
      </c>
      <c r="N26" s="32">
        <v>66.400000000000006</v>
      </c>
      <c r="O26" s="32">
        <v>34.619999999999997</v>
      </c>
      <c r="P26" s="32">
        <v>4.12</v>
      </c>
      <c r="Q26" s="34">
        <v>294948</v>
      </c>
      <c r="R26" s="34">
        <v>0</v>
      </c>
      <c r="S26" s="34">
        <v>294948</v>
      </c>
      <c r="T26" s="34">
        <v>49643</v>
      </c>
      <c r="U26" s="34">
        <v>55643</v>
      </c>
      <c r="V26" s="34">
        <v>0</v>
      </c>
      <c r="W26" s="34">
        <v>31296</v>
      </c>
      <c r="X26" s="34">
        <v>3724</v>
      </c>
      <c r="Y26" s="34">
        <v>435254</v>
      </c>
      <c r="Z26" s="34">
        <v>44685</v>
      </c>
      <c r="AA26" s="34">
        <v>390569</v>
      </c>
      <c r="AB26" s="34">
        <v>216335</v>
      </c>
      <c r="AC26" s="34">
        <v>174234</v>
      </c>
    </row>
    <row r="27" spans="1:29" x14ac:dyDescent="0.25">
      <c r="A27" s="31" t="s">
        <v>22</v>
      </c>
      <c r="B27" s="31" t="s">
        <v>734</v>
      </c>
      <c r="C27" s="31" t="s">
        <v>26</v>
      </c>
      <c r="D27" s="31" t="s">
        <v>437</v>
      </c>
      <c r="E27" s="32">
        <v>122.34</v>
      </c>
      <c r="F27" s="33">
        <v>946.2</v>
      </c>
      <c r="G27" s="32">
        <v>1068.54</v>
      </c>
      <c r="H27" s="32">
        <v>0</v>
      </c>
      <c r="I27" s="34">
        <v>3</v>
      </c>
      <c r="J27" s="33">
        <v>0</v>
      </c>
      <c r="K27" s="34">
        <v>949</v>
      </c>
      <c r="L27" s="32">
        <v>326.27</v>
      </c>
      <c r="M27" s="32">
        <v>59.24</v>
      </c>
      <c r="N27" s="32">
        <v>66.400000000000006</v>
      </c>
      <c r="O27" s="32">
        <v>34.619999999999997</v>
      </c>
      <c r="P27" s="32">
        <v>4.12</v>
      </c>
      <c r="Q27" s="34">
        <v>348633</v>
      </c>
      <c r="R27" s="34">
        <v>15</v>
      </c>
      <c r="S27" s="34">
        <v>348648</v>
      </c>
      <c r="T27" s="34">
        <v>56219</v>
      </c>
      <c r="U27" s="34">
        <v>63014</v>
      </c>
      <c r="V27" s="34">
        <v>0</v>
      </c>
      <c r="W27" s="34">
        <v>37023</v>
      </c>
      <c r="X27" s="34">
        <v>4406</v>
      </c>
      <c r="Y27" s="34">
        <v>509310</v>
      </c>
      <c r="Z27" s="34">
        <v>52020</v>
      </c>
      <c r="AA27" s="34">
        <v>457290</v>
      </c>
      <c r="AB27" s="34">
        <v>256544</v>
      </c>
      <c r="AC27" s="34">
        <v>200746</v>
      </c>
    </row>
    <row r="28" spans="1:29" x14ac:dyDescent="0.25">
      <c r="A28" s="31" t="s">
        <v>22</v>
      </c>
      <c r="B28" s="31" t="s">
        <v>734</v>
      </c>
      <c r="C28" s="31" t="s">
        <v>27</v>
      </c>
      <c r="D28" s="31" t="s">
        <v>438</v>
      </c>
      <c r="E28" s="32">
        <v>41.96</v>
      </c>
      <c r="F28" s="33">
        <v>314</v>
      </c>
      <c r="G28" s="32">
        <v>355.96</v>
      </c>
      <c r="H28" s="32">
        <v>0</v>
      </c>
      <c r="I28" s="34">
        <v>23</v>
      </c>
      <c r="J28" s="33">
        <v>0</v>
      </c>
      <c r="K28" s="34">
        <v>337</v>
      </c>
      <c r="L28" s="32">
        <v>326.27</v>
      </c>
      <c r="M28" s="32">
        <v>59.24</v>
      </c>
      <c r="N28" s="32">
        <v>66.400000000000006</v>
      </c>
      <c r="O28" s="32">
        <v>34.619999999999997</v>
      </c>
      <c r="P28" s="32">
        <v>4.12</v>
      </c>
      <c r="Q28" s="34">
        <v>116139</v>
      </c>
      <c r="R28" s="34">
        <v>8894</v>
      </c>
      <c r="S28" s="34">
        <v>125033</v>
      </c>
      <c r="T28" s="34">
        <v>19964</v>
      </c>
      <c r="U28" s="34">
        <v>22377</v>
      </c>
      <c r="V28" s="34">
        <v>0</v>
      </c>
      <c r="W28" s="34">
        <v>12323</v>
      </c>
      <c r="X28" s="34">
        <v>1467</v>
      </c>
      <c r="Y28" s="34">
        <v>181164</v>
      </c>
      <c r="Z28" s="34">
        <v>23296</v>
      </c>
      <c r="AA28" s="34">
        <v>157868</v>
      </c>
      <c r="AB28" s="34">
        <v>79484</v>
      </c>
      <c r="AC28" s="34">
        <v>78384</v>
      </c>
    </row>
    <row r="29" spans="1:29" x14ac:dyDescent="0.25">
      <c r="A29" s="31" t="s">
        <v>22</v>
      </c>
      <c r="B29" s="31" t="s">
        <v>734</v>
      </c>
      <c r="C29" s="31" t="s">
        <v>28</v>
      </c>
      <c r="D29" s="31" t="s">
        <v>439</v>
      </c>
      <c r="E29" s="32">
        <v>129.57</v>
      </c>
      <c r="F29" s="33">
        <v>946.6</v>
      </c>
      <c r="G29" s="32">
        <v>1076.17</v>
      </c>
      <c r="H29" s="32">
        <v>0</v>
      </c>
      <c r="I29" s="34">
        <v>2</v>
      </c>
      <c r="J29" s="33">
        <v>0</v>
      </c>
      <c r="K29" s="34">
        <v>949</v>
      </c>
      <c r="L29" s="32">
        <v>326.27</v>
      </c>
      <c r="M29" s="32">
        <v>59.24</v>
      </c>
      <c r="N29" s="32">
        <v>66.400000000000006</v>
      </c>
      <c r="O29" s="32">
        <v>34.619999999999997</v>
      </c>
      <c r="P29" s="32">
        <v>4.12</v>
      </c>
      <c r="Q29" s="34">
        <v>351122</v>
      </c>
      <c r="R29" s="34">
        <v>463</v>
      </c>
      <c r="S29" s="34">
        <v>351585</v>
      </c>
      <c r="T29" s="34">
        <v>56219</v>
      </c>
      <c r="U29" s="34">
        <v>63014</v>
      </c>
      <c r="V29" s="34">
        <v>0</v>
      </c>
      <c r="W29" s="34">
        <v>37335</v>
      </c>
      <c r="X29" s="34">
        <v>4444</v>
      </c>
      <c r="Y29" s="34">
        <v>512597</v>
      </c>
      <c r="Z29" s="34">
        <v>45100</v>
      </c>
      <c r="AA29" s="34">
        <v>467497</v>
      </c>
      <c r="AB29" s="34">
        <v>265722</v>
      </c>
      <c r="AC29" s="34">
        <v>201775</v>
      </c>
    </row>
    <row r="30" spans="1:29" x14ac:dyDescent="0.25">
      <c r="A30" s="31" t="s">
        <v>22</v>
      </c>
      <c r="B30" s="31" t="s">
        <v>734</v>
      </c>
      <c r="C30" s="31" t="s">
        <v>29</v>
      </c>
      <c r="D30" s="31" t="s">
        <v>440</v>
      </c>
      <c r="E30" s="32">
        <v>98.06</v>
      </c>
      <c r="F30" s="33">
        <v>786.9</v>
      </c>
      <c r="G30" s="32">
        <v>884.96</v>
      </c>
      <c r="H30" s="32">
        <v>0</v>
      </c>
      <c r="I30" s="34">
        <v>45</v>
      </c>
      <c r="J30" s="33">
        <v>0</v>
      </c>
      <c r="K30" s="34">
        <v>832</v>
      </c>
      <c r="L30" s="32">
        <v>326.27</v>
      </c>
      <c r="M30" s="32">
        <v>59.24</v>
      </c>
      <c r="N30" s="32">
        <v>66.400000000000006</v>
      </c>
      <c r="O30" s="32">
        <v>34.619999999999997</v>
      </c>
      <c r="P30" s="32">
        <v>4.12</v>
      </c>
      <c r="Q30" s="34">
        <v>288736</v>
      </c>
      <c r="R30" s="34">
        <v>9406</v>
      </c>
      <c r="S30" s="34">
        <v>298142</v>
      </c>
      <c r="T30" s="34">
        <v>49288</v>
      </c>
      <c r="U30" s="34">
        <v>55245</v>
      </c>
      <c r="V30" s="34">
        <v>0</v>
      </c>
      <c r="W30" s="34">
        <v>30637</v>
      </c>
      <c r="X30" s="34">
        <v>3646</v>
      </c>
      <c r="Y30" s="34">
        <v>436958</v>
      </c>
      <c r="Z30" s="34">
        <v>51797</v>
      </c>
      <c r="AA30" s="34">
        <v>385161</v>
      </c>
      <c r="AB30" s="34">
        <v>203726</v>
      </c>
      <c r="AC30" s="34">
        <v>181435</v>
      </c>
    </row>
    <row r="31" spans="1:29" x14ac:dyDescent="0.25">
      <c r="A31" s="31" t="s">
        <v>22</v>
      </c>
      <c r="B31" s="31" t="s">
        <v>734</v>
      </c>
      <c r="C31" s="31" t="s">
        <v>30</v>
      </c>
      <c r="D31" s="31" t="s">
        <v>441</v>
      </c>
      <c r="E31" s="32">
        <v>112.48</v>
      </c>
      <c r="F31" s="33">
        <v>652.79999999999995</v>
      </c>
      <c r="G31" s="32">
        <v>765.28</v>
      </c>
      <c r="H31" s="32">
        <v>0</v>
      </c>
      <c r="I31" s="34">
        <v>83</v>
      </c>
      <c r="J31" s="33">
        <v>2.8</v>
      </c>
      <c r="K31" s="34">
        <v>733</v>
      </c>
      <c r="L31" s="32">
        <v>326.27</v>
      </c>
      <c r="M31" s="32">
        <v>59.24</v>
      </c>
      <c r="N31" s="32">
        <v>66.400000000000006</v>
      </c>
      <c r="O31" s="32">
        <v>34.619999999999997</v>
      </c>
      <c r="P31" s="32">
        <v>4.12</v>
      </c>
      <c r="Q31" s="34">
        <v>249688</v>
      </c>
      <c r="R31" s="34">
        <v>5347</v>
      </c>
      <c r="S31" s="34">
        <v>255035</v>
      </c>
      <c r="T31" s="34">
        <v>43423</v>
      </c>
      <c r="U31" s="34">
        <v>48671</v>
      </c>
      <c r="V31" s="34">
        <v>0</v>
      </c>
      <c r="W31" s="34">
        <v>26764</v>
      </c>
      <c r="X31" s="34">
        <v>3185</v>
      </c>
      <c r="Y31" s="34">
        <v>377078</v>
      </c>
      <c r="Z31" s="34">
        <v>39116</v>
      </c>
      <c r="AA31" s="34">
        <v>337962</v>
      </c>
      <c r="AB31" s="34">
        <v>182153</v>
      </c>
      <c r="AC31" s="34">
        <v>155809</v>
      </c>
    </row>
    <row r="32" spans="1:29" x14ac:dyDescent="0.25">
      <c r="A32" s="31" t="s">
        <v>22</v>
      </c>
      <c r="B32" s="31" t="s">
        <v>734</v>
      </c>
      <c r="C32" s="31" t="s">
        <v>31</v>
      </c>
      <c r="D32" s="31" t="s">
        <v>442</v>
      </c>
      <c r="E32" s="32">
        <v>147.53</v>
      </c>
      <c r="F32" s="33">
        <v>1228.4000000000001</v>
      </c>
      <c r="G32" s="32">
        <v>1375.93</v>
      </c>
      <c r="H32" s="32">
        <v>0</v>
      </c>
      <c r="I32" s="34">
        <v>1</v>
      </c>
      <c r="J32" s="33">
        <v>0</v>
      </c>
      <c r="K32" s="34">
        <v>1229</v>
      </c>
      <c r="L32" s="32">
        <v>326.27</v>
      </c>
      <c r="M32" s="32">
        <v>59.24</v>
      </c>
      <c r="N32" s="32">
        <v>66.400000000000006</v>
      </c>
      <c r="O32" s="32">
        <v>34.619999999999997</v>
      </c>
      <c r="P32" s="32">
        <v>4.12</v>
      </c>
      <c r="Q32" s="34">
        <v>448925</v>
      </c>
      <c r="R32" s="34">
        <v>18089</v>
      </c>
      <c r="S32" s="34">
        <v>467014</v>
      </c>
      <c r="T32" s="34">
        <v>72806</v>
      </c>
      <c r="U32" s="34">
        <v>81606</v>
      </c>
      <c r="V32" s="34">
        <v>0</v>
      </c>
      <c r="W32" s="34">
        <v>48428</v>
      </c>
      <c r="X32" s="34">
        <v>5764</v>
      </c>
      <c r="Y32" s="34">
        <v>675618</v>
      </c>
      <c r="Z32" s="34">
        <v>70397</v>
      </c>
      <c r="AA32" s="34">
        <v>605221</v>
      </c>
      <c r="AB32" s="34">
        <v>327778</v>
      </c>
      <c r="AC32" s="34">
        <v>277443</v>
      </c>
    </row>
    <row r="33" spans="1:29" x14ac:dyDescent="0.25">
      <c r="A33" s="31" t="s">
        <v>22</v>
      </c>
      <c r="B33" s="31" t="s">
        <v>734</v>
      </c>
      <c r="C33" s="31" t="s">
        <v>32</v>
      </c>
      <c r="D33" s="31" t="s">
        <v>443</v>
      </c>
      <c r="E33" s="32">
        <v>675.87</v>
      </c>
      <c r="F33" s="33">
        <v>3674.6</v>
      </c>
      <c r="G33" s="32">
        <v>4350.47</v>
      </c>
      <c r="H33" s="32">
        <v>0</v>
      </c>
      <c r="I33" s="34">
        <v>582</v>
      </c>
      <c r="J33" s="33">
        <v>3</v>
      </c>
      <c r="K33" s="34">
        <v>4254</v>
      </c>
      <c r="L33" s="32">
        <v>326.27</v>
      </c>
      <c r="M33" s="32">
        <v>59.24</v>
      </c>
      <c r="N33" s="32">
        <v>66.400000000000006</v>
      </c>
      <c r="O33" s="32">
        <v>34.619999999999997</v>
      </c>
      <c r="P33" s="32">
        <v>4.12</v>
      </c>
      <c r="Q33" s="34">
        <v>1419428</v>
      </c>
      <c r="R33" s="34">
        <v>0</v>
      </c>
      <c r="S33" s="34">
        <v>1419428</v>
      </c>
      <c r="T33" s="34">
        <v>252007</v>
      </c>
      <c r="U33" s="34">
        <v>282466</v>
      </c>
      <c r="V33" s="34">
        <v>0</v>
      </c>
      <c r="W33" s="34">
        <v>150613</v>
      </c>
      <c r="X33" s="34">
        <v>17924</v>
      </c>
      <c r="Y33" s="34">
        <v>2122438</v>
      </c>
      <c r="Z33" s="34">
        <v>212765</v>
      </c>
      <c r="AA33" s="34">
        <v>1909673</v>
      </c>
      <c r="AB33" s="34">
        <v>1043390</v>
      </c>
      <c r="AC33" s="34">
        <v>866283</v>
      </c>
    </row>
    <row r="34" spans="1:29" x14ac:dyDescent="0.25">
      <c r="A34" s="31" t="s">
        <v>22</v>
      </c>
      <c r="B34" s="31" t="s">
        <v>734</v>
      </c>
      <c r="C34" s="31" t="s">
        <v>33</v>
      </c>
      <c r="D34" s="31" t="s">
        <v>444</v>
      </c>
      <c r="E34" s="32">
        <v>35.74</v>
      </c>
      <c r="F34" s="33">
        <v>166</v>
      </c>
      <c r="G34" s="32">
        <v>201.74</v>
      </c>
      <c r="H34" s="32">
        <v>0</v>
      </c>
      <c r="I34" s="34">
        <v>5</v>
      </c>
      <c r="J34" s="33">
        <v>0</v>
      </c>
      <c r="K34" s="34">
        <v>171</v>
      </c>
      <c r="L34" s="32">
        <v>326.27</v>
      </c>
      <c r="M34" s="32">
        <v>59.24</v>
      </c>
      <c r="N34" s="32">
        <v>66.400000000000006</v>
      </c>
      <c r="O34" s="32">
        <v>34.619999999999997</v>
      </c>
      <c r="P34" s="32">
        <v>4.12</v>
      </c>
      <c r="Q34" s="34">
        <v>65822</v>
      </c>
      <c r="R34" s="34">
        <v>0</v>
      </c>
      <c r="S34" s="34">
        <v>65822</v>
      </c>
      <c r="T34" s="34">
        <v>10130</v>
      </c>
      <c r="U34" s="34">
        <v>11354</v>
      </c>
      <c r="V34" s="34">
        <v>0</v>
      </c>
      <c r="W34" s="34">
        <v>6984</v>
      </c>
      <c r="X34" s="34">
        <v>831</v>
      </c>
      <c r="Y34" s="34">
        <v>95121</v>
      </c>
      <c r="Z34" s="34">
        <v>10845</v>
      </c>
      <c r="AA34" s="34">
        <v>84276</v>
      </c>
      <c r="AB34" s="34">
        <v>47405</v>
      </c>
      <c r="AC34" s="34">
        <v>36871</v>
      </c>
    </row>
    <row r="35" spans="1:29" x14ac:dyDescent="0.25">
      <c r="A35" s="31" t="s">
        <v>22</v>
      </c>
      <c r="B35" s="31" t="s">
        <v>734</v>
      </c>
      <c r="C35" s="31" t="s">
        <v>34</v>
      </c>
      <c r="D35" s="31" t="s">
        <v>445</v>
      </c>
      <c r="E35" s="32">
        <v>38.81</v>
      </c>
      <c r="F35" s="33">
        <v>387</v>
      </c>
      <c r="G35" s="32">
        <v>425.81</v>
      </c>
      <c r="H35" s="32">
        <v>0</v>
      </c>
      <c r="I35" s="34">
        <v>5</v>
      </c>
      <c r="J35" s="33">
        <v>0</v>
      </c>
      <c r="K35" s="34">
        <v>392</v>
      </c>
      <c r="L35" s="32">
        <v>326.27</v>
      </c>
      <c r="M35" s="32">
        <v>59.24</v>
      </c>
      <c r="N35" s="32">
        <v>66.400000000000006</v>
      </c>
      <c r="O35" s="32">
        <v>34.619999999999997</v>
      </c>
      <c r="P35" s="32">
        <v>4.12</v>
      </c>
      <c r="Q35" s="34">
        <v>138929</v>
      </c>
      <c r="R35" s="34">
        <v>0</v>
      </c>
      <c r="S35" s="34">
        <v>138929</v>
      </c>
      <c r="T35" s="34">
        <v>23222</v>
      </c>
      <c r="U35" s="34">
        <v>26029</v>
      </c>
      <c r="V35" s="34">
        <v>0</v>
      </c>
      <c r="W35" s="34">
        <v>14742</v>
      </c>
      <c r="X35" s="34">
        <v>1754</v>
      </c>
      <c r="Y35" s="34">
        <v>204676</v>
      </c>
      <c r="Z35" s="34">
        <v>23426</v>
      </c>
      <c r="AA35" s="34">
        <v>181250</v>
      </c>
      <c r="AB35" s="34">
        <v>99523</v>
      </c>
      <c r="AC35" s="34">
        <v>81727</v>
      </c>
    </row>
    <row r="36" spans="1:29" x14ac:dyDescent="0.25">
      <c r="A36" s="31" t="s">
        <v>22</v>
      </c>
      <c r="B36" s="31" t="s">
        <v>734</v>
      </c>
      <c r="C36" s="31" t="s">
        <v>35</v>
      </c>
      <c r="D36" s="31" t="s">
        <v>446</v>
      </c>
      <c r="E36" s="32">
        <v>176.15</v>
      </c>
      <c r="F36" s="33">
        <v>1159.5999999999999</v>
      </c>
      <c r="G36" s="32">
        <v>1335.75</v>
      </c>
      <c r="H36" s="32">
        <v>0</v>
      </c>
      <c r="I36" s="34">
        <v>0</v>
      </c>
      <c r="J36" s="33">
        <v>0</v>
      </c>
      <c r="K36" s="34">
        <v>1160</v>
      </c>
      <c r="L36" s="32">
        <v>326.27</v>
      </c>
      <c r="M36" s="32">
        <v>59.24</v>
      </c>
      <c r="N36" s="32">
        <v>66.400000000000006</v>
      </c>
      <c r="O36" s="32">
        <v>34.619999999999997</v>
      </c>
      <c r="P36" s="32">
        <v>4.12</v>
      </c>
      <c r="Q36" s="34">
        <v>435815</v>
      </c>
      <c r="R36" s="34">
        <v>2487</v>
      </c>
      <c r="S36" s="34">
        <v>438302</v>
      </c>
      <c r="T36" s="34">
        <v>68718</v>
      </c>
      <c r="U36" s="34">
        <v>77024</v>
      </c>
      <c r="V36" s="34">
        <v>0</v>
      </c>
      <c r="W36" s="34">
        <v>46544</v>
      </c>
      <c r="X36" s="34">
        <v>5540</v>
      </c>
      <c r="Y36" s="34">
        <v>636128</v>
      </c>
      <c r="Z36" s="34">
        <v>79359</v>
      </c>
      <c r="AA36" s="34">
        <v>556769</v>
      </c>
      <c r="AB36" s="34">
        <v>306663</v>
      </c>
      <c r="AC36" s="34">
        <v>250106</v>
      </c>
    </row>
    <row r="37" spans="1:29" x14ac:dyDescent="0.25">
      <c r="A37" s="31" t="s">
        <v>22</v>
      </c>
      <c r="B37" s="31" t="s">
        <v>734</v>
      </c>
      <c r="C37" s="31" t="s">
        <v>36</v>
      </c>
      <c r="D37" s="31" t="s">
        <v>447</v>
      </c>
      <c r="E37" s="32">
        <v>32.22</v>
      </c>
      <c r="F37" s="33">
        <v>295</v>
      </c>
      <c r="G37" s="32">
        <v>327.22000000000003</v>
      </c>
      <c r="H37" s="32">
        <v>0</v>
      </c>
      <c r="I37" s="34">
        <v>0</v>
      </c>
      <c r="J37" s="33">
        <v>0</v>
      </c>
      <c r="K37" s="34">
        <v>295</v>
      </c>
      <c r="L37" s="32">
        <v>326.27</v>
      </c>
      <c r="M37" s="32">
        <v>59.24</v>
      </c>
      <c r="N37" s="32">
        <v>66.400000000000006</v>
      </c>
      <c r="O37" s="32">
        <v>34.619999999999997</v>
      </c>
      <c r="P37" s="32">
        <v>4.12</v>
      </c>
      <c r="Q37" s="34">
        <v>106762</v>
      </c>
      <c r="R37" s="34">
        <v>0</v>
      </c>
      <c r="S37" s="34">
        <v>106762</v>
      </c>
      <c r="T37" s="34">
        <v>17476</v>
      </c>
      <c r="U37" s="34">
        <v>19588</v>
      </c>
      <c r="V37" s="34">
        <v>0</v>
      </c>
      <c r="W37" s="34">
        <v>11328</v>
      </c>
      <c r="X37" s="34">
        <v>1348</v>
      </c>
      <c r="Y37" s="34">
        <v>156502</v>
      </c>
      <c r="Z37" s="34">
        <v>15519</v>
      </c>
      <c r="AA37" s="34">
        <v>140983</v>
      </c>
      <c r="AB37" s="34">
        <v>78962</v>
      </c>
      <c r="AC37" s="34">
        <v>62021</v>
      </c>
    </row>
    <row r="38" spans="1:29" x14ac:dyDescent="0.25">
      <c r="A38" s="31" t="s">
        <v>22</v>
      </c>
      <c r="B38" s="31" t="s">
        <v>734</v>
      </c>
      <c r="C38" s="31" t="s">
        <v>37</v>
      </c>
      <c r="D38" s="31" t="s">
        <v>448</v>
      </c>
      <c r="E38" s="32">
        <v>136.05000000000001</v>
      </c>
      <c r="F38" s="33">
        <v>1242.0999999999999</v>
      </c>
      <c r="G38" s="32">
        <v>1378.15</v>
      </c>
      <c r="H38" s="32">
        <v>0</v>
      </c>
      <c r="I38" s="34">
        <v>108</v>
      </c>
      <c r="J38" s="33">
        <v>1.8</v>
      </c>
      <c r="K38" s="34">
        <v>1348</v>
      </c>
      <c r="L38" s="32">
        <v>326.27</v>
      </c>
      <c r="M38" s="32">
        <v>59.24</v>
      </c>
      <c r="N38" s="32">
        <v>66.400000000000006</v>
      </c>
      <c r="O38" s="32">
        <v>34.619999999999997</v>
      </c>
      <c r="P38" s="32">
        <v>4.12</v>
      </c>
      <c r="Q38" s="34">
        <v>449649</v>
      </c>
      <c r="R38" s="34">
        <v>0</v>
      </c>
      <c r="S38" s="34">
        <v>449649</v>
      </c>
      <c r="T38" s="34">
        <v>79856</v>
      </c>
      <c r="U38" s="34">
        <v>89507</v>
      </c>
      <c r="V38" s="34">
        <v>0</v>
      </c>
      <c r="W38" s="34">
        <v>47712</v>
      </c>
      <c r="X38" s="34">
        <v>5678</v>
      </c>
      <c r="Y38" s="34">
        <v>672402</v>
      </c>
      <c r="Z38" s="34">
        <v>61988</v>
      </c>
      <c r="AA38" s="34">
        <v>610414</v>
      </c>
      <c r="AB38" s="34">
        <v>335940</v>
      </c>
      <c r="AC38" s="34">
        <v>274474</v>
      </c>
    </row>
    <row r="39" spans="1:29" x14ac:dyDescent="0.25">
      <c r="A39" s="31" t="s">
        <v>22</v>
      </c>
      <c r="B39" s="31" t="s">
        <v>734</v>
      </c>
      <c r="C39" s="31" t="s">
        <v>38</v>
      </c>
      <c r="D39" s="31" t="s">
        <v>449</v>
      </c>
      <c r="E39" s="32">
        <v>48.82</v>
      </c>
      <c r="F39" s="33">
        <v>268</v>
      </c>
      <c r="G39" s="32">
        <v>316.82</v>
      </c>
      <c r="H39" s="32">
        <v>0</v>
      </c>
      <c r="I39" s="34">
        <v>2</v>
      </c>
      <c r="J39" s="33">
        <v>0</v>
      </c>
      <c r="K39" s="34">
        <v>270</v>
      </c>
      <c r="L39" s="32">
        <v>326.27</v>
      </c>
      <c r="M39" s="32">
        <v>59.24</v>
      </c>
      <c r="N39" s="32">
        <v>66.400000000000006</v>
      </c>
      <c r="O39" s="32">
        <v>34.619999999999997</v>
      </c>
      <c r="P39" s="32">
        <v>4.12</v>
      </c>
      <c r="Q39" s="34">
        <v>103369</v>
      </c>
      <c r="R39" s="34">
        <v>8896</v>
      </c>
      <c r="S39" s="34">
        <v>112265</v>
      </c>
      <c r="T39" s="34">
        <v>15995</v>
      </c>
      <c r="U39" s="34">
        <v>17928</v>
      </c>
      <c r="V39" s="34">
        <v>0</v>
      </c>
      <c r="W39" s="34">
        <v>10968</v>
      </c>
      <c r="X39" s="34">
        <v>1305</v>
      </c>
      <c r="Y39" s="34">
        <v>158461</v>
      </c>
      <c r="Z39" s="34">
        <v>21809</v>
      </c>
      <c r="AA39" s="34">
        <v>136652</v>
      </c>
      <c r="AB39" s="34">
        <v>69669</v>
      </c>
      <c r="AC39" s="34">
        <v>66983</v>
      </c>
    </row>
    <row r="40" spans="1:29" x14ac:dyDescent="0.25">
      <c r="A40" s="31" t="s">
        <v>22</v>
      </c>
      <c r="B40" s="31" t="s">
        <v>734</v>
      </c>
      <c r="C40" s="31" t="s">
        <v>39</v>
      </c>
      <c r="D40" s="31" t="s">
        <v>450</v>
      </c>
      <c r="E40" s="32">
        <v>23.93</v>
      </c>
      <c r="F40" s="33">
        <v>158.30000000000001</v>
      </c>
      <c r="G40" s="32">
        <v>182.23</v>
      </c>
      <c r="H40" s="32">
        <v>0</v>
      </c>
      <c r="I40" s="34">
        <v>22</v>
      </c>
      <c r="J40" s="33">
        <v>0</v>
      </c>
      <c r="K40" s="34">
        <v>180</v>
      </c>
      <c r="L40" s="32">
        <v>326.27</v>
      </c>
      <c r="M40" s="32">
        <v>59.24</v>
      </c>
      <c r="N40" s="32">
        <v>66.400000000000006</v>
      </c>
      <c r="O40" s="32">
        <v>34.619999999999997</v>
      </c>
      <c r="P40" s="32">
        <v>4.12</v>
      </c>
      <c r="Q40" s="34">
        <v>59456</v>
      </c>
      <c r="R40" s="34">
        <v>0</v>
      </c>
      <c r="S40" s="34">
        <v>59456</v>
      </c>
      <c r="T40" s="34">
        <v>10663</v>
      </c>
      <c r="U40" s="34">
        <v>11952</v>
      </c>
      <c r="V40" s="34">
        <v>0</v>
      </c>
      <c r="W40" s="34">
        <v>6309</v>
      </c>
      <c r="X40" s="34">
        <v>751</v>
      </c>
      <c r="Y40" s="34">
        <v>89131</v>
      </c>
      <c r="Z40" s="34">
        <v>16136</v>
      </c>
      <c r="AA40" s="34">
        <v>72995</v>
      </c>
      <c r="AB40" s="34">
        <v>36482</v>
      </c>
      <c r="AC40" s="34">
        <v>36513</v>
      </c>
    </row>
    <row r="41" spans="1:29" x14ac:dyDescent="0.25">
      <c r="A41" s="31" t="s">
        <v>22</v>
      </c>
      <c r="B41" s="31" t="s">
        <v>734</v>
      </c>
      <c r="C41" s="31" t="s">
        <v>40</v>
      </c>
      <c r="D41" s="31" t="s">
        <v>451</v>
      </c>
      <c r="E41" s="32">
        <v>61.27</v>
      </c>
      <c r="F41" s="33">
        <v>652</v>
      </c>
      <c r="G41" s="32">
        <v>713.27</v>
      </c>
      <c r="H41" s="32">
        <v>0</v>
      </c>
      <c r="I41" s="34">
        <v>50</v>
      </c>
      <c r="J41" s="33">
        <v>0</v>
      </c>
      <c r="K41" s="34">
        <v>702</v>
      </c>
      <c r="L41" s="32">
        <v>326.27</v>
      </c>
      <c r="M41" s="32">
        <v>59.24</v>
      </c>
      <c r="N41" s="32">
        <v>66.400000000000006</v>
      </c>
      <c r="O41" s="32">
        <v>34.619999999999997</v>
      </c>
      <c r="P41" s="32">
        <v>4.12</v>
      </c>
      <c r="Q41" s="34">
        <v>232719</v>
      </c>
      <c r="R41" s="34">
        <v>0</v>
      </c>
      <c r="S41" s="34">
        <v>232719</v>
      </c>
      <c r="T41" s="34">
        <v>41586</v>
      </c>
      <c r="U41" s="34">
        <v>46613</v>
      </c>
      <c r="V41" s="34">
        <v>0</v>
      </c>
      <c r="W41" s="34">
        <v>24693</v>
      </c>
      <c r="X41" s="34">
        <v>2939</v>
      </c>
      <c r="Y41" s="34">
        <v>348550</v>
      </c>
      <c r="Z41" s="34">
        <v>38009</v>
      </c>
      <c r="AA41" s="34">
        <v>310541</v>
      </c>
      <c r="AB41" s="34">
        <v>167941</v>
      </c>
      <c r="AC41" s="34">
        <v>142600</v>
      </c>
    </row>
    <row r="42" spans="1:29" x14ac:dyDescent="0.25">
      <c r="A42" s="31" t="s">
        <v>22</v>
      </c>
      <c r="B42" s="31" t="s">
        <v>734</v>
      </c>
      <c r="C42" s="31" t="s">
        <v>41</v>
      </c>
      <c r="D42" s="31" t="s">
        <v>452</v>
      </c>
      <c r="E42" s="32">
        <v>36.85</v>
      </c>
      <c r="F42" s="33">
        <v>469.2</v>
      </c>
      <c r="G42" s="32">
        <v>506.05</v>
      </c>
      <c r="H42" s="32">
        <v>0</v>
      </c>
      <c r="I42" s="34">
        <v>6</v>
      </c>
      <c r="J42" s="33">
        <v>0</v>
      </c>
      <c r="K42" s="34">
        <v>475</v>
      </c>
      <c r="L42" s="32">
        <v>326.27</v>
      </c>
      <c r="M42" s="32">
        <v>59.24</v>
      </c>
      <c r="N42" s="32">
        <v>66.400000000000006</v>
      </c>
      <c r="O42" s="32">
        <v>34.619999999999997</v>
      </c>
      <c r="P42" s="32">
        <v>4.12</v>
      </c>
      <c r="Q42" s="34">
        <v>165109</v>
      </c>
      <c r="R42" s="34">
        <v>0</v>
      </c>
      <c r="S42" s="34">
        <v>165109</v>
      </c>
      <c r="T42" s="34">
        <v>28139</v>
      </c>
      <c r="U42" s="34">
        <v>31540</v>
      </c>
      <c r="V42" s="34">
        <v>0</v>
      </c>
      <c r="W42" s="34">
        <v>17519</v>
      </c>
      <c r="X42" s="34">
        <v>2085</v>
      </c>
      <c r="Y42" s="34">
        <v>244392</v>
      </c>
      <c r="Z42" s="34">
        <v>22754</v>
      </c>
      <c r="AA42" s="34">
        <v>221638</v>
      </c>
      <c r="AB42" s="34">
        <v>123363</v>
      </c>
      <c r="AC42" s="34">
        <v>98275</v>
      </c>
    </row>
    <row r="43" spans="1:29" x14ac:dyDescent="0.25">
      <c r="A43" s="31" t="s">
        <v>22</v>
      </c>
      <c r="B43" s="31" t="s">
        <v>734</v>
      </c>
      <c r="C43" s="31" t="s">
        <v>42</v>
      </c>
      <c r="D43" s="31" t="s">
        <v>453</v>
      </c>
      <c r="E43" s="32">
        <v>43.48</v>
      </c>
      <c r="F43" s="33">
        <v>265.8</v>
      </c>
      <c r="G43" s="32">
        <v>309.27999999999997</v>
      </c>
      <c r="H43" s="32">
        <v>0</v>
      </c>
      <c r="I43" s="34">
        <v>36</v>
      </c>
      <c r="J43" s="33">
        <v>0</v>
      </c>
      <c r="K43" s="34">
        <v>302</v>
      </c>
      <c r="L43" s="32">
        <v>326.27</v>
      </c>
      <c r="M43" s="32">
        <v>59.24</v>
      </c>
      <c r="N43" s="32">
        <v>66.400000000000006</v>
      </c>
      <c r="O43" s="32">
        <v>34.619999999999997</v>
      </c>
      <c r="P43" s="32">
        <v>4.12</v>
      </c>
      <c r="Q43" s="34">
        <v>100909</v>
      </c>
      <c r="R43" s="34">
        <v>8112</v>
      </c>
      <c r="S43" s="34">
        <v>109021</v>
      </c>
      <c r="T43" s="34">
        <v>17890</v>
      </c>
      <c r="U43" s="34">
        <v>20053</v>
      </c>
      <c r="V43" s="34">
        <v>0</v>
      </c>
      <c r="W43" s="34">
        <v>10876</v>
      </c>
      <c r="X43" s="34">
        <v>1294</v>
      </c>
      <c r="Y43" s="34">
        <v>159134</v>
      </c>
      <c r="Z43" s="34">
        <v>21324</v>
      </c>
      <c r="AA43" s="34">
        <v>137810</v>
      </c>
      <c r="AB43" s="34">
        <v>68166</v>
      </c>
      <c r="AC43" s="34">
        <v>69644</v>
      </c>
    </row>
    <row r="44" spans="1:29" x14ac:dyDescent="0.25">
      <c r="A44" s="31" t="s">
        <v>22</v>
      </c>
      <c r="B44" s="31" t="s">
        <v>734</v>
      </c>
      <c r="C44" s="31" t="s">
        <v>43</v>
      </c>
      <c r="D44" s="31" t="s">
        <v>454</v>
      </c>
      <c r="E44" s="32">
        <v>65.790000000000006</v>
      </c>
      <c r="F44" s="33">
        <v>401</v>
      </c>
      <c r="G44" s="32">
        <v>466.79</v>
      </c>
      <c r="H44" s="32">
        <v>0</v>
      </c>
      <c r="I44" s="34">
        <v>13</v>
      </c>
      <c r="J44" s="33">
        <v>0</v>
      </c>
      <c r="K44" s="34">
        <v>414</v>
      </c>
      <c r="L44" s="32">
        <v>326.27</v>
      </c>
      <c r="M44" s="32">
        <v>59.24</v>
      </c>
      <c r="N44" s="32">
        <v>66.400000000000006</v>
      </c>
      <c r="O44" s="32">
        <v>34.619999999999997</v>
      </c>
      <c r="P44" s="32">
        <v>4.12</v>
      </c>
      <c r="Q44" s="34">
        <v>152300</v>
      </c>
      <c r="R44" s="34">
        <v>17935</v>
      </c>
      <c r="S44" s="34">
        <v>170235</v>
      </c>
      <c r="T44" s="34">
        <v>24525</v>
      </c>
      <c r="U44" s="34">
        <v>27490</v>
      </c>
      <c r="V44" s="34">
        <v>0</v>
      </c>
      <c r="W44" s="34">
        <v>16160</v>
      </c>
      <c r="X44" s="34">
        <v>1923</v>
      </c>
      <c r="Y44" s="34">
        <v>240333</v>
      </c>
      <c r="Z44" s="34">
        <v>31389</v>
      </c>
      <c r="AA44" s="34">
        <v>208944</v>
      </c>
      <c r="AB44" s="34">
        <v>103392</v>
      </c>
      <c r="AC44" s="34">
        <v>105552</v>
      </c>
    </row>
    <row r="45" spans="1:29" x14ac:dyDescent="0.25">
      <c r="A45" s="31" t="s">
        <v>22</v>
      </c>
      <c r="B45" s="31" t="s">
        <v>734</v>
      </c>
      <c r="C45" s="31" t="s">
        <v>45</v>
      </c>
      <c r="D45" s="31" t="s">
        <v>455</v>
      </c>
      <c r="E45" s="32">
        <v>118.06</v>
      </c>
      <c r="F45" s="33">
        <v>1033</v>
      </c>
      <c r="G45" s="32">
        <v>1151.06</v>
      </c>
      <c r="H45" s="32">
        <v>0</v>
      </c>
      <c r="I45" s="34">
        <v>6</v>
      </c>
      <c r="J45" s="33">
        <v>0</v>
      </c>
      <c r="K45" s="34">
        <v>1039</v>
      </c>
      <c r="L45" s="32">
        <v>326.27</v>
      </c>
      <c r="M45" s="32">
        <v>59.24</v>
      </c>
      <c r="N45" s="32">
        <v>66.400000000000006</v>
      </c>
      <c r="O45" s="32">
        <v>34.619999999999997</v>
      </c>
      <c r="P45" s="32">
        <v>4.12</v>
      </c>
      <c r="Q45" s="34">
        <v>375556</v>
      </c>
      <c r="R45" s="34">
        <v>0</v>
      </c>
      <c r="S45" s="34">
        <v>375556</v>
      </c>
      <c r="T45" s="34">
        <v>61550</v>
      </c>
      <c r="U45" s="34">
        <v>68990</v>
      </c>
      <c r="V45" s="34">
        <v>0</v>
      </c>
      <c r="W45" s="34">
        <v>39850</v>
      </c>
      <c r="X45" s="34">
        <v>4742</v>
      </c>
      <c r="Y45" s="34">
        <v>550688</v>
      </c>
      <c r="Z45" s="34">
        <v>46312</v>
      </c>
      <c r="AA45" s="34">
        <v>504376</v>
      </c>
      <c r="AB45" s="34">
        <v>286045</v>
      </c>
      <c r="AC45" s="34">
        <v>218331</v>
      </c>
    </row>
    <row r="46" spans="1:29" x14ac:dyDescent="0.25">
      <c r="A46" s="31" t="s">
        <v>22</v>
      </c>
      <c r="B46" s="31" t="s">
        <v>734</v>
      </c>
      <c r="C46" s="31" t="s">
        <v>46</v>
      </c>
      <c r="D46" s="31" t="s">
        <v>456</v>
      </c>
      <c r="E46" s="32">
        <v>17.03</v>
      </c>
      <c r="F46" s="33">
        <v>204</v>
      </c>
      <c r="G46" s="32">
        <v>221.03</v>
      </c>
      <c r="H46" s="32">
        <v>0</v>
      </c>
      <c r="I46" s="34">
        <v>0</v>
      </c>
      <c r="J46" s="33">
        <v>0</v>
      </c>
      <c r="K46" s="34">
        <v>204</v>
      </c>
      <c r="L46" s="32">
        <v>326.27</v>
      </c>
      <c r="M46" s="32">
        <v>59.24</v>
      </c>
      <c r="N46" s="32">
        <v>66.400000000000006</v>
      </c>
      <c r="O46" s="32">
        <v>34.619999999999997</v>
      </c>
      <c r="P46" s="32">
        <v>4.12</v>
      </c>
      <c r="Q46" s="34">
        <v>72115</v>
      </c>
      <c r="R46" s="34">
        <v>0</v>
      </c>
      <c r="S46" s="34">
        <v>72115</v>
      </c>
      <c r="T46" s="34">
        <v>12085</v>
      </c>
      <c r="U46" s="34">
        <v>13546</v>
      </c>
      <c r="V46" s="34">
        <v>0</v>
      </c>
      <c r="W46" s="34">
        <v>7652</v>
      </c>
      <c r="X46" s="34">
        <v>911</v>
      </c>
      <c r="Y46" s="34">
        <v>106309</v>
      </c>
      <c r="Z46" s="34">
        <v>10377</v>
      </c>
      <c r="AA46" s="34">
        <v>95932</v>
      </c>
      <c r="AB46" s="34">
        <v>53444</v>
      </c>
      <c r="AC46" s="34">
        <v>42488</v>
      </c>
    </row>
    <row r="47" spans="1:29" x14ac:dyDescent="0.25">
      <c r="A47" s="31" t="s">
        <v>22</v>
      </c>
      <c r="B47" s="31" t="s">
        <v>734</v>
      </c>
      <c r="C47" s="31" t="s">
        <v>47</v>
      </c>
      <c r="D47" s="31" t="s">
        <v>457</v>
      </c>
      <c r="E47" s="32">
        <v>86.93</v>
      </c>
      <c r="F47" s="33">
        <v>660.1</v>
      </c>
      <c r="G47" s="32">
        <v>747.03</v>
      </c>
      <c r="H47" s="32">
        <v>0</v>
      </c>
      <c r="I47" s="34">
        <v>72</v>
      </c>
      <c r="J47" s="33">
        <v>6.1</v>
      </c>
      <c r="K47" s="34">
        <v>726</v>
      </c>
      <c r="L47" s="32">
        <v>326.27</v>
      </c>
      <c r="M47" s="32">
        <v>59.24</v>
      </c>
      <c r="N47" s="32">
        <v>66.400000000000006</v>
      </c>
      <c r="O47" s="32">
        <v>34.619999999999997</v>
      </c>
      <c r="P47" s="32">
        <v>4.12</v>
      </c>
      <c r="Q47" s="34">
        <v>243733</v>
      </c>
      <c r="R47" s="34">
        <v>22314</v>
      </c>
      <c r="S47" s="34">
        <v>266047</v>
      </c>
      <c r="T47" s="34">
        <v>43008</v>
      </c>
      <c r="U47" s="34">
        <v>48206</v>
      </c>
      <c r="V47" s="34">
        <v>0</v>
      </c>
      <c r="W47" s="34">
        <v>25862</v>
      </c>
      <c r="X47" s="34">
        <v>3078</v>
      </c>
      <c r="Y47" s="34">
        <v>386201</v>
      </c>
      <c r="Z47" s="34">
        <v>52222</v>
      </c>
      <c r="AA47" s="34">
        <v>333979</v>
      </c>
      <c r="AB47" s="34">
        <v>163476</v>
      </c>
      <c r="AC47" s="34">
        <v>170503</v>
      </c>
    </row>
    <row r="48" spans="1:29" x14ac:dyDescent="0.25">
      <c r="A48" s="31" t="s">
        <v>22</v>
      </c>
      <c r="B48" s="31" t="s">
        <v>734</v>
      </c>
      <c r="C48" s="31" t="s">
        <v>48</v>
      </c>
      <c r="D48" s="31" t="s">
        <v>458</v>
      </c>
      <c r="E48" s="32">
        <v>66.78</v>
      </c>
      <c r="F48" s="33">
        <v>575.70000000000005</v>
      </c>
      <c r="G48" s="32">
        <v>642.48</v>
      </c>
      <c r="H48" s="32">
        <v>0</v>
      </c>
      <c r="I48" s="34">
        <v>23</v>
      </c>
      <c r="J48" s="33">
        <v>0</v>
      </c>
      <c r="K48" s="34">
        <v>599</v>
      </c>
      <c r="L48" s="32">
        <v>326.27</v>
      </c>
      <c r="M48" s="32">
        <v>59.24</v>
      </c>
      <c r="N48" s="32">
        <v>66.400000000000006</v>
      </c>
      <c r="O48" s="32">
        <v>34.619999999999997</v>
      </c>
      <c r="P48" s="32">
        <v>4.12</v>
      </c>
      <c r="Q48" s="34">
        <v>209622</v>
      </c>
      <c r="R48" s="34">
        <v>0</v>
      </c>
      <c r="S48" s="34">
        <v>209622</v>
      </c>
      <c r="T48" s="34">
        <v>35485</v>
      </c>
      <c r="U48" s="34">
        <v>39774</v>
      </c>
      <c r="V48" s="34">
        <v>0</v>
      </c>
      <c r="W48" s="34">
        <v>22243</v>
      </c>
      <c r="X48" s="34">
        <v>2647</v>
      </c>
      <c r="Y48" s="34">
        <v>309771</v>
      </c>
      <c r="Z48" s="34">
        <v>38887</v>
      </c>
      <c r="AA48" s="34">
        <v>270884</v>
      </c>
      <c r="AB48" s="34">
        <v>146623</v>
      </c>
      <c r="AC48" s="34">
        <v>124261</v>
      </c>
    </row>
    <row r="49" spans="1:29" x14ac:dyDescent="0.25">
      <c r="A49" s="31" t="s">
        <v>22</v>
      </c>
      <c r="B49" s="31" t="s">
        <v>734</v>
      </c>
      <c r="C49" s="31" t="s">
        <v>49</v>
      </c>
      <c r="D49" s="31" t="s">
        <v>459</v>
      </c>
      <c r="E49" s="32">
        <v>41.04</v>
      </c>
      <c r="F49" s="33">
        <v>224</v>
      </c>
      <c r="G49" s="32">
        <v>265.04000000000002</v>
      </c>
      <c r="H49" s="32">
        <v>0</v>
      </c>
      <c r="I49" s="34">
        <v>13</v>
      </c>
      <c r="J49" s="33">
        <v>0</v>
      </c>
      <c r="K49" s="34">
        <v>237</v>
      </c>
      <c r="L49" s="32">
        <v>326.27</v>
      </c>
      <c r="M49" s="32">
        <v>59.24</v>
      </c>
      <c r="N49" s="32">
        <v>66.400000000000006</v>
      </c>
      <c r="O49" s="32">
        <v>34.619999999999997</v>
      </c>
      <c r="P49" s="32">
        <v>4.12</v>
      </c>
      <c r="Q49" s="34">
        <v>86475</v>
      </c>
      <c r="R49" s="34">
        <v>0</v>
      </c>
      <c r="S49" s="34">
        <v>86475</v>
      </c>
      <c r="T49" s="34">
        <v>14040</v>
      </c>
      <c r="U49" s="34">
        <v>15737</v>
      </c>
      <c r="V49" s="34">
        <v>0</v>
      </c>
      <c r="W49" s="34">
        <v>9176</v>
      </c>
      <c r="X49" s="34">
        <v>1092</v>
      </c>
      <c r="Y49" s="34">
        <v>126520</v>
      </c>
      <c r="Z49" s="34">
        <v>13144</v>
      </c>
      <c r="AA49" s="34">
        <v>113376</v>
      </c>
      <c r="AB49" s="34">
        <v>63384</v>
      </c>
      <c r="AC49" s="34">
        <v>49992</v>
      </c>
    </row>
    <row r="50" spans="1:29" x14ac:dyDescent="0.25">
      <c r="A50" s="31" t="s">
        <v>22</v>
      </c>
      <c r="B50" s="31" t="s">
        <v>734</v>
      </c>
      <c r="C50" s="31" t="s">
        <v>50</v>
      </c>
      <c r="D50" s="31" t="s">
        <v>460</v>
      </c>
      <c r="E50" s="32">
        <v>53.07</v>
      </c>
      <c r="F50" s="33">
        <v>370</v>
      </c>
      <c r="G50" s="32">
        <v>423.07</v>
      </c>
      <c r="H50" s="32">
        <v>0</v>
      </c>
      <c r="I50" s="34">
        <v>14</v>
      </c>
      <c r="J50" s="33">
        <v>0</v>
      </c>
      <c r="K50" s="34">
        <v>384</v>
      </c>
      <c r="L50" s="32">
        <v>326.27</v>
      </c>
      <c r="M50" s="32">
        <v>59.24</v>
      </c>
      <c r="N50" s="32">
        <v>66.400000000000006</v>
      </c>
      <c r="O50" s="32">
        <v>34.619999999999997</v>
      </c>
      <c r="P50" s="32">
        <v>4.12</v>
      </c>
      <c r="Q50" s="34">
        <v>138035</v>
      </c>
      <c r="R50" s="34">
        <v>0</v>
      </c>
      <c r="S50" s="34">
        <v>138035</v>
      </c>
      <c r="T50" s="34">
        <v>22748</v>
      </c>
      <c r="U50" s="34">
        <v>25498</v>
      </c>
      <c r="V50" s="34">
        <v>0</v>
      </c>
      <c r="W50" s="34">
        <v>14647</v>
      </c>
      <c r="X50" s="34">
        <v>1743</v>
      </c>
      <c r="Y50" s="34">
        <v>202671</v>
      </c>
      <c r="Z50" s="34">
        <v>23788</v>
      </c>
      <c r="AA50" s="34">
        <v>178883</v>
      </c>
      <c r="AB50" s="34">
        <v>98370</v>
      </c>
      <c r="AC50" s="34">
        <v>80513</v>
      </c>
    </row>
    <row r="51" spans="1:29" x14ac:dyDescent="0.25">
      <c r="A51" s="31" t="s">
        <v>22</v>
      </c>
      <c r="B51" s="31" t="s">
        <v>734</v>
      </c>
      <c r="C51" s="31" t="s">
        <v>51</v>
      </c>
      <c r="D51" s="31" t="s">
        <v>461</v>
      </c>
      <c r="E51" s="32">
        <v>56.94</v>
      </c>
      <c r="F51" s="33">
        <v>463.1</v>
      </c>
      <c r="G51" s="32">
        <v>520.04</v>
      </c>
      <c r="H51" s="32">
        <v>0</v>
      </c>
      <c r="I51" s="34">
        <v>5</v>
      </c>
      <c r="J51" s="33">
        <v>0</v>
      </c>
      <c r="K51" s="34">
        <v>468</v>
      </c>
      <c r="L51" s="32">
        <v>326.27</v>
      </c>
      <c r="M51" s="32">
        <v>59.24</v>
      </c>
      <c r="N51" s="32">
        <v>66.400000000000006</v>
      </c>
      <c r="O51" s="32">
        <v>34.619999999999997</v>
      </c>
      <c r="P51" s="32">
        <v>4.12</v>
      </c>
      <c r="Q51" s="34">
        <v>169673</v>
      </c>
      <c r="R51" s="34">
        <v>4712</v>
      </c>
      <c r="S51" s="34">
        <v>174385</v>
      </c>
      <c r="T51" s="34">
        <v>27724</v>
      </c>
      <c r="U51" s="34">
        <v>31075</v>
      </c>
      <c r="V51" s="34">
        <v>0</v>
      </c>
      <c r="W51" s="34">
        <v>18518</v>
      </c>
      <c r="X51" s="34">
        <v>2204</v>
      </c>
      <c r="Y51" s="34">
        <v>253906</v>
      </c>
      <c r="Z51" s="34">
        <v>29208</v>
      </c>
      <c r="AA51" s="34">
        <v>224698</v>
      </c>
      <c r="AB51" s="34">
        <v>121524</v>
      </c>
      <c r="AC51" s="34">
        <v>103174</v>
      </c>
    </row>
    <row r="52" spans="1:29" x14ac:dyDescent="0.25">
      <c r="A52" s="31" t="s">
        <v>22</v>
      </c>
      <c r="B52" s="31" t="s">
        <v>734</v>
      </c>
      <c r="C52" s="31" t="s">
        <v>52</v>
      </c>
      <c r="D52" s="31" t="s">
        <v>462</v>
      </c>
      <c r="E52" s="32">
        <v>114.06</v>
      </c>
      <c r="F52" s="33">
        <v>930.9</v>
      </c>
      <c r="G52" s="32">
        <v>1044.96</v>
      </c>
      <c r="H52" s="32">
        <v>0</v>
      </c>
      <c r="I52" s="34">
        <v>26</v>
      </c>
      <c r="J52" s="33">
        <v>0</v>
      </c>
      <c r="K52" s="34">
        <v>957</v>
      </c>
      <c r="L52" s="32">
        <v>326.27</v>
      </c>
      <c r="M52" s="32">
        <v>59.24</v>
      </c>
      <c r="N52" s="32">
        <v>66.400000000000006</v>
      </c>
      <c r="O52" s="32">
        <v>34.619999999999997</v>
      </c>
      <c r="P52" s="32">
        <v>4.12</v>
      </c>
      <c r="Q52" s="34">
        <v>340939</v>
      </c>
      <c r="R52" s="34">
        <v>0</v>
      </c>
      <c r="S52" s="34">
        <v>340939</v>
      </c>
      <c r="T52" s="34">
        <v>56693</v>
      </c>
      <c r="U52" s="34">
        <v>63545</v>
      </c>
      <c r="V52" s="34">
        <v>0</v>
      </c>
      <c r="W52" s="34">
        <v>36177</v>
      </c>
      <c r="X52" s="34">
        <v>4305</v>
      </c>
      <c r="Y52" s="34">
        <v>501659</v>
      </c>
      <c r="Z52" s="34">
        <v>55190</v>
      </c>
      <c r="AA52" s="34">
        <v>446469</v>
      </c>
      <c r="AB52" s="34">
        <v>246532</v>
      </c>
      <c r="AC52" s="34">
        <v>199937</v>
      </c>
    </row>
    <row r="53" spans="1:29" x14ac:dyDescent="0.25">
      <c r="A53" s="31" t="s">
        <v>22</v>
      </c>
      <c r="B53" s="31" t="s">
        <v>734</v>
      </c>
      <c r="C53" s="31" t="s">
        <v>53</v>
      </c>
      <c r="D53" s="31" t="s">
        <v>463</v>
      </c>
      <c r="E53" s="32">
        <v>55.83</v>
      </c>
      <c r="F53" s="33">
        <v>620.6</v>
      </c>
      <c r="G53" s="32">
        <v>676.43</v>
      </c>
      <c r="H53" s="32">
        <v>0</v>
      </c>
      <c r="I53" s="34">
        <v>0</v>
      </c>
      <c r="J53" s="33">
        <v>0</v>
      </c>
      <c r="K53" s="34">
        <v>621</v>
      </c>
      <c r="L53" s="32">
        <v>326.27</v>
      </c>
      <c r="M53" s="32">
        <v>59.24</v>
      </c>
      <c r="N53" s="32">
        <v>66.400000000000006</v>
      </c>
      <c r="O53" s="32">
        <v>34.619999999999997</v>
      </c>
      <c r="P53" s="32">
        <v>4.12</v>
      </c>
      <c r="Q53" s="34">
        <v>220699</v>
      </c>
      <c r="R53" s="34">
        <v>4630</v>
      </c>
      <c r="S53" s="34">
        <v>225329</v>
      </c>
      <c r="T53" s="34">
        <v>36788</v>
      </c>
      <c r="U53" s="34">
        <v>41234</v>
      </c>
      <c r="V53" s="34">
        <v>0</v>
      </c>
      <c r="W53" s="34">
        <v>23928</v>
      </c>
      <c r="X53" s="34">
        <v>2848</v>
      </c>
      <c r="Y53" s="34">
        <v>330127</v>
      </c>
      <c r="Z53" s="34">
        <v>35146</v>
      </c>
      <c r="AA53" s="34">
        <v>294981</v>
      </c>
      <c r="AB53" s="34">
        <v>160738</v>
      </c>
      <c r="AC53" s="34">
        <v>134243</v>
      </c>
    </row>
    <row r="54" spans="1:29" x14ac:dyDescent="0.25">
      <c r="A54" s="31" t="s">
        <v>22</v>
      </c>
      <c r="B54" s="31" t="s">
        <v>734</v>
      </c>
      <c r="C54" s="31" t="s">
        <v>54</v>
      </c>
      <c r="D54" s="31" t="s">
        <v>464</v>
      </c>
      <c r="E54" s="32">
        <v>72.92</v>
      </c>
      <c r="F54" s="33">
        <v>524.1</v>
      </c>
      <c r="G54" s="32">
        <v>597.02</v>
      </c>
      <c r="H54" s="32">
        <v>0</v>
      </c>
      <c r="I54" s="34">
        <v>0</v>
      </c>
      <c r="J54" s="33">
        <v>0</v>
      </c>
      <c r="K54" s="34">
        <v>524</v>
      </c>
      <c r="L54" s="32">
        <v>326.27</v>
      </c>
      <c r="M54" s="32">
        <v>59.24</v>
      </c>
      <c r="N54" s="32">
        <v>66.400000000000006</v>
      </c>
      <c r="O54" s="32">
        <v>34.619999999999997</v>
      </c>
      <c r="P54" s="32">
        <v>4.12</v>
      </c>
      <c r="Q54" s="34">
        <v>194790</v>
      </c>
      <c r="R54" s="34">
        <v>9309</v>
      </c>
      <c r="S54" s="34">
        <v>204099</v>
      </c>
      <c r="T54" s="34">
        <v>31042</v>
      </c>
      <c r="U54" s="34">
        <v>34794</v>
      </c>
      <c r="V54" s="34">
        <v>0</v>
      </c>
      <c r="W54" s="34">
        <v>20765</v>
      </c>
      <c r="X54" s="34">
        <v>2471</v>
      </c>
      <c r="Y54" s="34">
        <v>293171</v>
      </c>
      <c r="Z54" s="34">
        <v>32474</v>
      </c>
      <c r="AA54" s="34">
        <v>260697</v>
      </c>
      <c r="AB54" s="34">
        <v>140017</v>
      </c>
      <c r="AC54" s="34">
        <v>120680</v>
      </c>
    </row>
    <row r="55" spans="1:29" x14ac:dyDescent="0.25">
      <c r="A55" s="31" t="s">
        <v>22</v>
      </c>
      <c r="B55" s="31" t="s">
        <v>734</v>
      </c>
      <c r="C55" s="31" t="s">
        <v>55</v>
      </c>
      <c r="D55" s="31" t="s">
        <v>465</v>
      </c>
      <c r="E55" s="32">
        <v>363.68</v>
      </c>
      <c r="F55" s="33">
        <v>1968.6</v>
      </c>
      <c r="G55" s="32">
        <v>2332.2800000000002</v>
      </c>
      <c r="H55" s="32">
        <v>0</v>
      </c>
      <c r="I55" s="34">
        <v>188</v>
      </c>
      <c r="J55" s="33">
        <v>0.3</v>
      </c>
      <c r="K55" s="34">
        <v>2156</v>
      </c>
      <c r="L55" s="32">
        <v>326.27</v>
      </c>
      <c r="M55" s="32">
        <v>59.24</v>
      </c>
      <c r="N55" s="32">
        <v>66.400000000000006</v>
      </c>
      <c r="O55" s="32">
        <v>34.619999999999997</v>
      </c>
      <c r="P55" s="32">
        <v>4.12</v>
      </c>
      <c r="Q55" s="34">
        <v>760953</v>
      </c>
      <c r="R55" s="34">
        <v>0</v>
      </c>
      <c r="S55" s="34">
        <v>760953</v>
      </c>
      <c r="T55" s="34">
        <v>127721</v>
      </c>
      <c r="U55" s="34">
        <v>143158</v>
      </c>
      <c r="V55" s="34">
        <v>0</v>
      </c>
      <c r="W55" s="34">
        <v>80744</v>
      </c>
      <c r="X55" s="34">
        <v>9609</v>
      </c>
      <c r="Y55" s="34">
        <v>1122185</v>
      </c>
      <c r="Z55" s="34">
        <v>101066</v>
      </c>
      <c r="AA55" s="34">
        <v>1021119</v>
      </c>
      <c r="AB55" s="34">
        <v>572357</v>
      </c>
      <c r="AC55" s="34">
        <v>448762</v>
      </c>
    </row>
    <row r="56" spans="1:29" x14ac:dyDescent="0.25">
      <c r="A56" s="31" t="s">
        <v>22</v>
      </c>
      <c r="B56" s="31" t="s">
        <v>734</v>
      </c>
      <c r="C56" s="31" t="s">
        <v>56</v>
      </c>
      <c r="D56" s="31" t="s">
        <v>466</v>
      </c>
      <c r="E56" s="32">
        <v>126.35</v>
      </c>
      <c r="F56" s="33">
        <v>1162</v>
      </c>
      <c r="G56" s="32">
        <v>1288.3499999999999</v>
      </c>
      <c r="H56" s="32">
        <v>0</v>
      </c>
      <c r="I56" s="34">
        <v>2</v>
      </c>
      <c r="J56" s="33">
        <v>0</v>
      </c>
      <c r="K56" s="34">
        <v>1164</v>
      </c>
      <c r="L56" s="32">
        <v>326.27</v>
      </c>
      <c r="M56" s="32">
        <v>59.24</v>
      </c>
      <c r="N56" s="32">
        <v>66.400000000000006</v>
      </c>
      <c r="O56" s="32">
        <v>34.619999999999997</v>
      </c>
      <c r="P56" s="32">
        <v>4.12</v>
      </c>
      <c r="Q56" s="34">
        <v>420350</v>
      </c>
      <c r="R56" s="34">
        <v>0</v>
      </c>
      <c r="S56" s="34">
        <v>420350</v>
      </c>
      <c r="T56" s="34">
        <v>68955</v>
      </c>
      <c r="U56" s="34">
        <v>77290</v>
      </c>
      <c r="V56" s="34">
        <v>0</v>
      </c>
      <c r="W56" s="34">
        <v>44603</v>
      </c>
      <c r="X56" s="34">
        <v>5308</v>
      </c>
      <c r="Y56" s="34">
        <v>616506</v>
      </c>
      <c r="Z56" s="34">
        <v>56032</v>
      </c>
      <c r="AA56" s="34">
        <v>560474</v>
      </c>
      <c r="AB56" s="34">
        <v>315967</v>
      </c>
      <c r="AC56" s="34">
        <v>244507</v>
      </c>
    </row>
    <row r="57" spans="1:29" x14ac:dyDescent="0.25">
      <c r="A57" s="31" t="s">
        <v>22</v>
      </c>
      <c r="B57" s="31" t="s">
        <v>734</v>
      </c>
      <c r="C57" s="31" t="s">
        <v>57</v>
      </c>
      <c r="D57" s="31" t="s">
        <v>467</v>
      </c>
      <c r="E57" s="32">
        <v>314.22000000000003</v>
      </c>
      <c r="F57" s="33">
        <v>2603.6</v>
      </c>
      <c r="G57" s="32">
        <v>2917.82</v>
      </c>
      <c r="H57" s="32">
        <v>0</v>
      </c>
      <c r="I57" s="34">
        <v>195</v>
      </c>
      <c r="J57" s="33">
        <v>4.0999999999999996</v>
      </c>
      <c r="K57" s="34">
        <v>2795</v>
      </c>
      <c r="L57" s="32">
        <v>326.27</v>
      </c>
      <c r="M57" s="32">
        <v>59.24</v>
      </c>
      <c r="N57" s="32">
        <v>66.400000000000006</v>
      </c>
      <c r="O57" s="32">
        <v>34.619999999999997</v>
      </c>
      <c r="P57" s="32">
        <v>4.12</v>
      </c>
      <c r="Q57" s="34">
        <v>951997</v>
      </c>
      <c r="R57" s="34">
        <v>0</v>
      </c>
      <c r="S57" s="34">
        <v>951997</v>
      </c>
      <c r="T57" s="34">
        <v>165576</v>
      </c>
      <c r="U57" s="34">
        <v>185588</v>
      </c>
      <c r="V57" s="34">
        <v>0</v>
      </c>
      <c r="W57" s="34">
        <v>101015</v>
      </c>
      <c r="X57" s="34">
        <v>12021</v>
      </c>
      <c r="Y57" s="34">
        <v>1416197</v>
      </c>
      <c r="Z57" s="34">
        <v>89007</v>
      </c>
      <c r="AA57" s="34">
        <v>1327190</v>
      </c>
      <c r="AB57" s="34">
        <v>753484</v>
      </c>
      <c r="AC57" s="34">
        <v>573706</v>
      </c>
    </row>
    <row r="58" spans="1:29" x14ac:dyDescent="0.25">
      <c r="A58" s="31" t="s">
        <v>22</v>
      </c>
      <c r="B58" s="31" t="s">
        <v>734</v>
      </c>
      <c r="C58" s="31" t="s">
        <v>58</v>
      </c>
      <c r="D58" s="31" t="s">
        <v>468</v>
      </c>
      <c r="E58" s="32">
        <v>19.36</v>
      </c>
      <c r="F58" s="33">
        <v>128.69999999999999</v>
      </c>
      <c r="G58" s="32">
        <v>148.06</v>
      </c>
      <c r="H58" s="32">
        <v>0</v>
      </c>
      <c r="I58" s="34">
        <v>4</v>
      </c>
      <c r="J58" s="33">
        <v>0</v>
      </c>
      <c r="K58" s="34">
        <v>133</v>
      </c>
      <c r="L58" s="32">
        <v>326.27</v>
      </c>
      <c r="M58" s="32">
        <v>59.24</v>
      </c>
      <c r="N58" s="32">
        <v>66.400000000000006</v>
      </c>
      <c r="O58" s="32">
        <v>34.619999999999997</v>
      </c>
      <c r="P58" s="32">
        <v>4.12</v>
      </c>
      <c r="Q58" s="34">
        <v>48308</v>
      </c>
      <c r="R58" s="34">
        <v>15203</v>
      </c>
      <c r="S58" s="34">
        <v>63511</v>
      </c>
      <c r="T58" s="34">
        <v>7879</v>
      </c>
      <c r="U58" s="34">
        <v>8831</v>
      </c>
      <c r="V58" s="34">
        <v>0</v>
      </c>
      <c r="W58" s="34">
        <v>5527</v>
      </c>
      <c r="X58" s="34">
        <v>658</v>
      </c>
      <c r="Y58" s="34">
        <v>86406</v>
      </c>
      <c r="Z58" s="34">
        <v>10017</v>
      </c>
      <c r="AA58" s="34">
        <v>76389</v>
      </c>
      <c r="AB58" s="34">
        <v>33183</v>
      </c>
      <c r="AC58" s="34">
        <v>43206</v>
      </c>
    </row>
    <row r="59" spans="1:29" x14ac:dyDescent="0.25">
      <c r="A59" s="31" t="s">
        <v>22</v>
      </c>
      <c r="B59" s="31" t="s">
        <v>734</v>
      </c>
      <c r="C59" s="31" t="s">
        <v>59</v>
      </c>
      <c r="D59" s="31" t="s">
        <v>469</v>
      </c>
      <c r="E59" s="32">
        <v>27.75</v>
      </c>
      <c r="F59" s="33">
        <v>159</v>
      </c>
      <c r="G59" s="32">
        <v>186.75</v>
      </c>
      <c r="H59" s="32">
        <v>0</v>
      </c>
      <c r="I59" s="34">
        <v>13</v>
      </c>
      <c r="J59" s="33">
        <v>0</v>
      </c>
      <c r="K59" s="34">
        <v>172</v>
      </c>
      <c r="L59" s="32">
        <v>326.27</v>
      </c>
      <c r="M59" s="32">
        <v>59.24</v>
      </c>
      <c r="N59" s="32">
        <v>66.400000000000006</v>
      </c>
      <c r="O59" s="32">
        <v>34.619999999999997</v>
      </c>
      <c r="P59" s="32">
        <v>4.12</v>
      </c>
      <c r="Q59" s="34">
        <v>60931</v>
      </c>
      <c r="R59" s="34">
        <v>0</v>
      </c>
      <c r="S59" s="34">
        <v>60931</v>
      </c>
      <c r="T59" s="34">
        <v>10189</v>
      </c>
      <c r="U59" s="34">
        <v>11421</v>
      </c>
      <c r="V59" s="34">
        <v>0</v>
      </c>
      <c r="W59" s="34">
        <v>6465</v>
      </c>
      <c r="X59" s="34">
        <v>769</v>
      </c>
      <c r="Y59" s="34">
        <v>89775</v>
      </c>
      <c r="Z59" s="34">
        <v>11565</v>
      </c>
      <c r="AA59" s="34">
        <v>78210</v>
      </c>
      <c r="AB59" s="34">
        <v>42357</v>
      </c>
      <c r="AC59" s="34">
        <v>35853</v>
      </c>
    </row>
    <row r="60" spans="1:29" x14ac:dyDescent="0.25">
      <c r="A60" s="31" t="s">
        <v>22</v>
      </c>
      <c r="B60" s="31" t="s">
        <v>734</v>
      </c>
      <c r="C60" s="31" t="s">
        <v>60</v>
      </c>
      <c r="D60" s="31" t="s">
        <v>470</v>
      </c>
      <c r="E60" s="32">
        <v>203.68</v>
      </c>
      <c r="F60" s="33">
        <v>1740</v>
      </c>
      <c r="G60" s="32">
        <v>1943.68</v>
      </c>
      <c r="H60" s="32">
        <v>0</v>
      </c>
      <c r="I60" s="34">
        <v>78</v>
      </c>
      <c r="J60" s="33">
        <v>0</v>
      </c>
      <c r="K60" s="34">
        <v>1818</v>
      </c>
      <c r="L60" s="32">
        <v>326.27</v>
      </c>
      <c r="M60" s="32">
        <v>59.24</v>
      </c>
      <c r="N60" s="32">
        <v>66.400000000000006</v>
      </c>
      <c r="O60" s="32">
        <v>34.619999999999997</v>
      </c>
      <c r="P60" s="32">
        <v>4.12</v>
      </c>
      <c r="Q60" s="34">
        <v>634164</v>
      </c>
      <c r="R60" s="34">
        <v>0</v>
      </c>
      <c r="S60" s="34">
        <v>634164</v>
      </c>
      <c r="T60" s="34">
        <v>107698</v>
      </c>
      <c r="U60" s="34">
        <v>120715</v>
      </c>
      <c r="V60" s="34">
        <v>0</v>
      </c>
      <c r="W60" s="34">
        <v>67290</v>
      </c>
      <c r="X60" s="34">
        <v>8008</v>
      </c>
      <c r="Y60" s="34">
        <v>937875</v>
      </c>
      <c r="Z60" s="34">
        <v>94005</v>
      </c>
      <c r="AA60" s="34">
        <v>843870</v>
      </c>
      <c r="AB60" s="34">
        <v>467213</v>
      </c>
      <c r="AC60" s="34">
        <v>376657</v>
      </c>
    </row>
    <row r="61" spans="1:29" x14ac:dyDescent="0.25">
      <c r="A61" s="31" t="s">
        <v>22</v>
      </c>
      <c r="B61" s="31" t="s">
        <v>734</v>
      </c>
      <c r="C61" s="31" t="s">
        <v>61</v>
      </c>
      <c r="D61" s="31" t="s">
        <v>471</v>
      </c>
      <c r="E61" s="32">
        <v>37.799999999999997</v>
      </c>
      <c r="F61" s="33">
        <v>307</v>
      </c>
      <c r="G61" s="32">
        <v>344.8</v>
      </c>
      <c r="H61" s="32">
        <v>0</v>
      </c>
      <c r="I61" s="34">
        <v>27</v>
      </c>
      <c r="J61" s="33">
        <v>0</v>
      </c>
      <c r="K61" s="34">
        <v>334</v>
      </c>
      <c r="L61" s="32">
        <v>326.27</v>
      </c>
      <c r="M61" s="32">
        <v>59.24</v>
      </c>
      <c r="N61" s="32">
        <v>66.400000000000006</v>
      </c>
      <c r="O61" s="32">
        <v>34.619999999999997</v>
      </c>
      <c r="P61" s="32">
        <v>4.12</v>
      </c>
      <c r="Q61" s="34">
        <v>112498</v>
      </c>
      <c r="R61" s="34">
        <v>3481</v>
      </c>
      <c r="S61" s="34">
        <v>115979</v>
      </c>
      <c r="T61" s="34">
        <v>19786</v>
      </c>
      <c r="U61" s="34">
        <v>22178</v>
      </c>
      <c r="V61" s="34">
        <v>0</v>
      </c>
      <c r="W61" s="34">
        <v>11937</v>
      </c>
      <c r="X61" s="34">
        <v>1421</v>
      </c>
      <c r="Y61" s="34">
        <v>171301</v>
      </c>
      <c r="Z61" s="34">
        <v>19619</v>
      </c>
      <c r="AA61" s="34">
        <v>151682</v>
      </c>
      <c r="AB61" s="34">
        <v>79939</v>
      </c>
      <c r="AC61" s="34">
        <v>71743</v>
      </c>
    </row>
    <row r="62" spans="1:29" x14ac:dyDescent="0.25">
      <c r="A62" s="31" t="s">
        <v>62</v>
      </c>
      <c r="B62" s="31" t="s">
        <v>735</v>
      </c>
      <c r="C62" s="31" t="s">
        <v>63</v>
      </c>
      <c r="D62" s="31" t="s">
        <v>64</v>
      </c>
      <c r="E62" s="32">
        <v>95.38</v>
      </c>
      <c r="F62" s="33">
        <v>676.2</v>
      </c>
      <c r="G62" s="32">
        <v>771.58</v>
      </c>
      <c r="H62" s="32">
        <v>1.03</v>
      </c>
      <c r="I62" s="34">
        <v>17</v>
      </c>
      <c r="J62" s="33">
        <v>0</v>
      </c>
      <c r="K62" s="34">
        <v>693</v>
      </c>
      <c r="L62" s="32">
        <v>319.64</v>
      </c>
      <c r="M62" s="32">
        <v>59.19</v>
      </c>
      <c r="N62" s="32">
        <v>66.02</v>
      </c>
      <c r="O62" s="32">
        <v>39.89</v>
      </c>
      <c r="P62" s="32">
        <v>4.59</v>
      </c>
      <c r="Q62" s="34">
        <v>246628</v>
      </c>
      <c r="R62" s="34">
        <v>0</v>
      </c>
      <c r="S62" s="34">
        <v>246628</v>
      </c>
      <c r="T62" s="34">
        <v>41019</v>
      </c>
      <c r="U62" s="34">
        <v>45752</v>
      </c>
      <c r="V62" s="34">
        <v>329</v>
      </c>
      <c r="W62" s="34">
        <v>30778</v>
      </c>
      <c r="X62" s="34">
        <v>3542</v>
      </c>
      <c r="Y62" s="34">
        <v>368048</v>
      </c>
      <c r="Z62" s="34">
        <v>41289</v>
      </c>
      <c r="AA62" s="34">
        <v>326759</v>
      </c>
      <c r="AB62" s="34">
        <v>186184</v>
      </c>
      <c r="AC62" s="34">
        <v>140575</v>
      </c>
    </row>
    <row r="63" spans="1:29" x14ac:dyDescent="0.25">
      <c r="A63" s="31" t="s">
        <v>62</v>
      </c>
      <c r="B63" s="31" t="s">
        <v>735</v>
      </c>
      <c r="C63" s="31" t="s">
        <v>65</v>
      </c>
      <c r="D63" s="31" t="s">
        <v>472</v>
      </c>
      <c r="E63" s="32">
        <v>25.84</v>
      </c>
      <c r="F63" s="33">
        <v>253.3</v>
      </c>
      <c r="G63" s="32">
        <v>279.14</v>
      </c>
      <c r="H63" s="32">
        <v>0.37</v>
      </c>
      <c r="I63" s="34">
        <v>0</v>
      </c>
      <c r="J63" s="33">
        <v>0</v>
      </c>
      <c r="K63" s="34">
        <v>253</v>
      </c>
      <c r="L63" s="32">
        <v>319.64</v>
      </c>
      <c r="M63" s="32">
        <v>59.19</v>
      </c>
      <c r="N63" s="32">
        <v>66.02</v>
      </c>
      <c r="O63" s="32">
        <v>39.89</v>
      </c>
      <c r="P63" s="32">
        <v>4.59</v>
      </c>
      <c r="Q63" s="34">
        <v>89224</v>
      </c>
      <c r="R63" s="34">
        <v>2253</v>
      </c>
      <c r="S63" s="34">
        <v>91477</v>
      </c>
      <c r="T63" s="34">
        <v>14975</v>
      </c>
      <c r="U63" s="34">
        <v>16703</v>
      </c>
      <c r="V63" s="34">
        <v>118</v>
      </c>
      <c r="W63" s="34">
        <v>11356</v>
      </c>
      <c r="X63" s="34">
        <v>1306</v>
      </c>
      <c r="Y63" s="34">
        <v>135935</v>
      </c>
      <c r="Z63" s="34">
        <v>14957</v>
      </c>
      <c r="AA63" s="34">
        <v>120978</v>
      </c>
      <c r="AB63" s="34">
        <v>67583</v>
      </c>
      <c r="AC63" s="34">
        <v>53395</v>
      </c>
    </row>
    <row r="64" spans="1:29" x14ac:dyDescent="0.25">
      <c r="A64" s="31" t="s">
        <v>62</v>
      </c>
      <c r="B64" s="31" t="s">
        <v>735</v>
      </c>
      <c r="C64" s="31" t="s">
        <v>66</v>
      </c>
      <c r="D64" s="31" t="s">
        <v>473</v>
      </c>
      <c r="E64" s="32">
        <v>109.54</v>
      </c>
      <c r="F64" s="33">
        <v>795.2</v>
      </c>
      <c r="G64" s="32">
        <v>904.74</v>
      </c>
      <c r="H64" s="32">
        <v>1.2</v>
      </c>
      <c r="I64" s="34">
        <v>30</v>
      </c>
      <c r="J64" s="33">
        <v>0</v>
      </c>
      <c r="K64" s="34">
        <v>825</v>
      </c>
      <c r="L64" s="32">
        <v>319.64</v>
      </c>
      <c r="M64" s="32">
        <v>59.19</v>
      </c>
      <c r="N64" s="32">
        <v>66.02</v>
      </c>
      <c r="O64" s="32">
        <v>39.89</v>
      </c>
      <c r="P64" s="32">
        <v>4.59</v>
      </c>
      <c r="Q64" s="34">
        <v>289191</v>
      </c>
      <c r="R64" s="34">
        <v>0</v>
      </c>
      <c r="S64" s="34">
        <v>289191</v>
      </c>
      <c r="T64" s="34">
        <v>48832</v>
      </c>
      <c r="U64" s="34">
        <v>54467</v>
      </c>
      <c r="V64" s="34">
        <v>384</v>
      </c>
      <c r="W64" s="34">
        <v>36090</v>
      </c>
      <c r="X64" s="34">
        <v>4153</v>
      </c>
      <c r="Y64" s="34">
        <v>433117</v>
      </c>
      <c r="Z64" s="34">
        <v>39100</v>
      </c>
      <c r="AA64" s="34">
        <v>394017</v>
      </c>
      <c r="AB64" s="34">
        <v>227628</v>
      </c>
      <c r="AC64" s="34">
        <v>166389</v>
      </c>
    </row>
    <row r="65" spans="1:29" x14ac:dyDescent="0.25">
      <c r="A65" s="31" t="s">
        <v>62</v>
      </c>
      <c r="B65" s="31" t="s">
        <v>735</v>
      </c>
      <c r="C65" s="31" t="s">
        <v>67</v>
      </c>
      <c r="D65" s="31" t="s">
        <v>68</v>
      </c>
      <c r="E65" s="32">
        <v>65.47</v>
      </c>
      <c r="F65" s="33">
        <v>492.1</v>
      </c>
      <c r="G65" s="32">
        <v>557.57000000000005</v>
      </c>
      <c r="H65" s="32">
        <v>0.74</v>
      </c>
      <c r="I65" s="34">
        <v>4</v>
      </c>
      <c r="J65" s="33">
        <v>0</v>
      </c>
      <c r="K65" s="34">
        <v>496</v>
      </c>
      <c r="L65" s="32">
        <v>319.64</v>
      </c>
      <c r="M65" s="32">
        <v>59.19</v>
      </c>
      <c r="N65" s="32">
        <v>66.02</v>
      </c>
      <c r="O65" s="32">
        <v>39.89</v>
      </c>
      <c r="P65" s="32">
        <v>4.59</v>
      </c>
      <c r="Q65" s="34">
        <v>178222</v>
      </c>
      <c r="R65" s="34">
        <v>8290</v>
      </c>
      <c r="S65" s="34">
        <v>186512</v>
      </c>
      <c r="T65" s="34">
        <v>29358</v>
      </c>
      <c r="U65" s="34">
        <v>32746</v>
      </c>
      <c r="V65" s="34">
        <v>237</v>
      </c>
      <c r="W65" s="34">
        <v>22598</v>
      </c>
      <c r="X65" s="34">
        <v>2599</v>
      </c>
      <c r="Y65" s="34">
        <v>274050</v>
      </c>
      <c r="Z65" s="34">
        <v>29783</v>
      </c>
      <c r="AA65" s="34">
        <v>244267</v>
      </c>
      <c r="AB65" s="34">
        <v>134992</v>
      </c>
      <c r="AC65" s="34">
        <v>109275</v>
      </c>
    </row>
    <row r="66" spans="1:29" x14ac:dyDescent="0.25">
      <c r="A66" s="31" t="s">
        <v>62</v>
      </c>
      <c r="B66" s="31" t="s">
        <v>735</v>
      </c>
      <c r="C66" s="31" t="s">
        <v>69</v>
      </c>
      <c r="D66" s="31" t="s">
        <v>474</v>
      </c>
      <c r="E66" s="32">
        <v>100.39</v>
      </c>
      <c r="F66" s="33">
        <v>766</v>
      </c>
      <c r="G66" s="32">
        <v>866.39</v>
      </c>
      <c r="H66" s="32">
        <v>1.1499999999999999</v>
      </c>
      <c r="I66" s="34">
        <v>1</v>
      </c>
      <c r="J66" s="33">
        <v>0</v>
      </c>
      <c r="K66" s="34">
        <v>767</v>
      </c>
      <c r="L66" s="32">
        <v>319.64</v>
      </c>
      <c r="M66" s="32">
        <v>59.19</v>
      </c>
      <c r="N66" s="32">
        <v>66.02</v>
      </c>
      <c r="O66" s="32">
        <v>39.89</v>
      </c>
      <c r="P66" s="32">
        <v>4.59</v>
      </c>
      <c r="Q66" s="34">
        <v>276933</v>
      </c>
      <c r="R66" s="34">
        <v>0</v>
      </c>
      <c r="S66" s="34">
        <v>276933</v>
      </c>
      <c r="T66" s="34">
        <v>45399</v>
      </c>
      <c r="U66" s="34">
        <v>50637</v>
      </c>
      <c r="V66" s="34">
        <v>368</v>
      </c>
      <c r="W66" s="34">
        <v>34560</v>
      </c>
      <c r="X66" s="34">
        <v>3977</v>
      </c>
      <c r="Y66" s="34">
        <v>411874</v>
      </c>
      <c r="Z66" s="34">
        <v>39506</v>
      </c>
      <c r="AA66" s="34">
        <v>372368</v>
      </c>
      <c r="AB66" s="34">
        <v>215916</v>
      </c>
      <c r="AC66" s="34">
        <v>156452</v>
      </c>
    </row>
    <row r="67" spans="1:29" x14ac:dyDescent="0.25">
      <c r="A67" s="31" t="s">
        <v>62</v>
      </c>
      <c r="B67" s="31" t="s">
        <v>735</v>
      </c>
      <c r="C67" s="31" t="s">
        <v>70</v>
      </c>
      <c r="D67" s="31" t="s">
        <v>475</v>
      </c>
      <c r="E67" s="32">
        <v>63.93</v>
      </c>
      <c r="F67" s="33">
        <v>536.70000000000005</v>
      </c>
      <c r="G67" s="32">
        <v>600.63</v>
      </c>
      <c r="H67" s="32">
        <v>0.8</v>
      </c>
      <c r="I67" s="34">
        <v>0</v>
      </c>
      <c r="J67" s="33">
        <v>0</v>
      </c>
      <c r="K67" s="34">
        <v>537</v>
      </c>
      <c r="L67" s="32">
        <v>319.64</v>
      </c>
      <c r="M67" s="32">
        <v>59.19</v>
      </c>
      <c r="N67" s="32">
        <v>66.02</v>
      </c>
      <c r="O67" s="32">
        <v>39.89</v>
      </c>
      <c r="P67" s="32">
        <v>4.59</v>
      </c>
      <c r="Q67" s="34">
        <v>191985</v>
      </c>
      <c r="R67" s="34">
        <v>0</v>
      </c>
      <c r="S67" s="34">
        <v>191985</v>
      </c>
      <c r="T67" s="34">
        <v>31785</v>
      </c>
      <c r="U67" s="34">
        <v>35453</v>
      </c>
      <c r="V67" s="34">
        <v>256</v>
      </c>
      <c r="W67" s="34">
        <v>23959</v>
      </c>
      <c r="X67" s="34">
        <v>2757</v>
      </c>
      <c r="Y67" s="34">
        <v>286195</v>
      </c>
      <c r="Z67" s="34">
        <v>29369</v>
      </c>
      <c r="AA67" s="34">
        <v>256826</v>
      </c>
      <c r="AB67" s="34">
        <v>147705</v>
      </c>
      <c r="AC67" s="34">
        <v>109121</v>
      </c>
    </row>
    <row r="68" spans="1:29" x14ac:dyDescent="0.25">
      <c r="A68" s="31" t="s">
        <v>62</v>
      </c>
      <c r="B68" s="31" t="s">
        <v>735</v>
      </c>
      <c r="C68" s="31" t="s">
        <v>71</v>
      </c>
      <c r="D68" s="31" t="s">
        <v>72</v>
      </c>
      <c r="E68" s="32">
        <v>28.93</v>
      </c>
      <c r="F68" s="33">
        <v>248.8</v>
      </c>
      <c r="G68" s="32">
        <v>277.73</v>
      </c>
      <c r="H68" s="32">
        <v>0.37</v>
      </c>
      <c r="I68" s="34">
        <v>19</v>
      </c>
      <c r="J68" s="33">
        <v>0.5</v>
      </c>
      <c r="K68" s="34">
        <v>267</v>
      </c>
      <c r="L68" s="32">
        <v>319.64</v>
      </c>
      <c r="M68" s="32">
        <v>59.19</v>
      </c>
      <c r="N68" s="32">
        <v>66.02</v>
      </c>
      <c r="O68" s="32">
        <v>39.89</v>
      </c>
      <c r="P68" s="32">
        <v>4.59</v>
      </c>
      <c r="Q68" s="34">
        <v>88774</v>
      </c>
      <c r="R68" s="34">
        <v>4424</v>
      </c>
      <c r="S68" s="34">
        <v>93198</v>
      </c>
      <c r="T68" s="34">
        <v>15804</v>
      </c>
      <c r="U68" s="34">
        <v>17627</v>
      </c>
      <c r="V68" s="34">
        <v>118</v>
      </c>
      <c r="W68" s="34">
        <v>11284</v>
      </c>
      <c r="X68" s="34">
        <v>1298</v>
      </c>
      <c r="Y68" s="34">
        <v>139329</v>
      </c>
      <c r="Z68" s="34">
        <v>14140</v>
      </c>
      <c r="AA68" s="34">
        <v>125189</v>
      </c>
      <c r="AB68" s="34">
        <v>67967</v>
      </c>
      <c r="AC68" s="34">
        <v>57222</v>
      </c>
    </row>
    <row r="69" spans="1:29" x14ac:dyDescent="0.25">
      <c r="A69" s="31" t="s">
        <v>62</v>
      </c>
      <c r="B69" s="31" t="s">
        <v>735</v>
      </c>
      <c r="C69" s="31" t="s">
        <v>73</v>
      </c>
      <c r="D69" s="31" t="s">
        <v>476</v>
      </c>
      <c r="E69" s="32">
        <v>760.49</v>
      </c>
      <c r="F69" s="33">
        <v>5456.4</v>
      </c>
      <c r="G69" s="32">
        <v>6216.89</v>
      </c>
      <c r="H69" s="32">
        <v>8.2799999999999994</v>
      </c>
      <c r="I69" s="34">
        <v>282</v>
      </c>
      <c r="J69" s="33">
        <v>1.9</v>
      </c>
      <c r="K69" s="34">
        <v>5737</v>
      </c>
      <c r="L69" s="32">
        <v>319.64</v>
      </c>
      <c r="M69" s="32">
        <v>59.19</v>
      </c>
      <c r="N69" s="32">
        <v>66.02</v>
      </c>
      <c r="O69" s="32">
        <v>39.89</v>
      </c>
      <c r="P69" s="32">
        <v>4.59</v>
      </c>
      <c r="Q69" s="34">
        <v>1987167</v>
      </c>
      <c r="R69" s="34">
        <v>0</v>
      </c>
      <c r="S69" s="34">
        <v>1987167</v>
      </c>
      <c r="T69" s="34">
        <v>339573</v>
      </c>
      <c r="U69" s="34">
        <v>378757</v>
      </c>
      <c r="V69" s="34">
        <v>2647</v>
      </c>
      <c r="W69" s="34">
        <v>247992</v>
      </c>
      <c r="X69" s="34">
        <v>28536</v>
      </c>
      <c r="Y69" s="34">
        <v>2984672</v>
      </c>
      <c r="Z69" s="34">
        <v>198163</v>
      </c>
      <c r="AA69" s="34">
        <v>2786509</v>
      </c>
      <c r="AB69" s="34">
        <v>1634658</v>
      </c>
      <c r="AC69" s="34">
        <v>1151851</v>
      </c>
    </row>
    <row r="70" spans="1:29" x14ac:dyDescent="0.25">
      <c r="A70" s="31" t="s">
        <v>62</v>
      </c>
      <c r="B70" s="31" t="s">
        <v>735</v>
      </c>
      <c r="C70" s="31" t="s">
        <v>74</v>
      </c>
      <c r="D70" s="31" t="s">
        <v>477</v>
      </c>
      <c r="E70" s="32">
        <v>112.96</v>
      </c>
      <c r="F70" s="33">
        <v>771.1</v>
      </c>
      <c r="G70" s="32">
        <v>884.06</v>
      </c>
      <c r="H70" s="32">
        <v>1.18</v>
      </c>
      <c r="I70" s="34">
        <v>37</v>
      </c>
      <c r="J70" s="33">
        <v>0</v>
      </c>
      <c r="K70" s="34">
        <v>808</v>
      </c>
      <c r="L70" s="32">
        <v>319.64</v>
      </c>
      <c r="M70" s="32">
        <v>59.19</v>
      </c>
      <c r="N70" s="32">
        <v>66.02</v>
      </c>
      <c r="O70" s="32">
        <v>39.89</v>
      </c>
      <c r="P70" s="32">
        <v>4.59</v>
      </c>
      <c r="Q70" s="34">
        <v>282581</v>
      </c>
      <c r="R70" s="34">
        <v>0</v>
      </c>
      <c r="S70" s="34">
        <v>282581</v>
      </c>
      <c r="T70" s="34">
        <v>47826</v>
      </c>
      <c r="U70" s="34">
        <v>53344</v>
      </c>
      <c r="V70" s="34">
        <v>377</v>
      </c>
      <c r="W70" s="34">
        <v>35265</v>
      </c>
      <c r="X70" s="34">
        <v>4058</v>
      </c>
      <c r="Y70" s="34">
        <v>423451</v>
      </c>
      <c r="Z70" s="34">
        <v>46457</v>
      </c>
      <c r="AA70" s="34">
        <v>376994</v>
      </c>
      <c r="AB70" s="34">
        <v>214176</v>
      </c>
      <c r="AC70" s="34">
        <v>162818</v>
      </c>
    </row>
    <row r="71" spans="1:29" x14ac:dyDescent="0.25">
      <c r="A71" s="31" t="s">
        <v>62</v>
      </c>
      <c r="B71" s="31" t="s">
        <v>735</v>
      </c>
      <c r="C71" s="31" t="s">
        <v>75</v>
      </c>
      <c r="D71" s="31" t="s">
        <v>478</v>
      </c>
      <c r="E71" s="32">
        <v>289.48</v>
      </c>
      <c r="F71" s="33">
        <v>1563.1</v>
      </c>
      <c r="G71" s="32">
        <v>1852.58</v>
      </c>
      <c r="H71" s="32">
        <v>2.4700000000000002</v>
      </c>
      <c r="I71" s="34">
        <v>147</v>
      </c>
      <c r="J71" s="33">
        <v>5.4</v>
      </c>
      <c r="K71" s="34">
        <v>1705</v>
      </c>
      <c r="L71" s="32">
        <v>319.64</v>
      </c>
      <c r="M71" s="32">
        <v>59.19</v>
      </c>
      <c r="N71" s="32">
        <v>66.02</v>
      </c>
      <c r="O71" s="32">
        <v>39.89</v>
      </c>
      <c r="P71" s="32">
        <v>4.59</v>
      </c>
      <c r="Q71" s="34">
        <v>592159</v>
      </c>
      <c r="R71" s="34">
        <v>0</v>
      </c>
      <c r="S71" s="34">
        <v>592159</v>
      </c>
      <c r="T71" s="34">
        <v>100919</v>
      </c>
      <c r="U71" s="34">
        <v>112564</v>
      </c>
      <c r="V71" s="34">
        <v>790</v>
      </c>
      <c r="W71" s="34">
        <v>73899</v>
      </c>
      <c r="X71" s="34">
        <v>8503</v>
      </c>
      <c r="Y71" s="34">
        <v>888834</v>
      </c>
      <c r="Z71" s="34">
        <v>82982</v>
      </c>
      <c r="AA71" s="34">
        <v>805852</v>
      </c>
      <c r="AB71" s="34">
        <v>463183</v>
      </c>
      <c r="AC71" s="34">
        <v>342669</v>
      </c>
    </row>
    <row r="72" spans="1:29" x14ac:dyDescent="0.25">
      <c r="A72" s="31" t="s">
        <v>62</v>
      </c>
      <c r="B72" s="31" t="s">
        <v>735</v>
      </c>
      <c r="C72" s="31" t="s">
        <v>76</v>
      </c>
      <c r="D72" s="31" t="s">
        <v>479</v>
      </c>
      <c r="E72" s="32">
        <v>33.15</v>
      </c>
      <c r="F72" s="33">
        <v>299.60000000000002</v>
      </c>
      <c r="G72" s="32">
        <v>332.75</v>
      </c>
      <c r="H72" s="32">
        <v>0.44</v>
      </c>
      <c r="I72" s="34">
        <v>2</v>
      </c>
      <c r="J72" s="33">
        <v>0</v>
      </c>
      <c r="K72" s="34">
        <v>302</v>
      </c>
      <c r="L72" s="32">
        <v>319.64</v>
      </c>
      <c r="M72" s="32">
        <v>59.19</v>
      </c>
      <c r="N72" s="32">
        <v>66.02</v>
      </c>
      <c r="O72" s="32">
        <v>39.89</v>
      </c>
      <c r="P72" s="32">
        <v>4.59</v>
      </c>
      <c r="Q72" s="34">
        <v>106360</v>
      </c>
      <c r="R72" s="34">
        <v>11434</v>
      </c>
      <c r="S72" s="34">
        <v>117794</v>
      </c>
      <c r="T72" s="34">
        <v>17875</v>
      </c>
      <c r="U72" s="34">
        <v>19938</v>
      </c>
      <c r="V72" s="34">
        <v>141</v>
      </c>
      <c r="W72" s="34">
        <v>13273</v>
      </c>
      <c r="X72" s="34">
        <v>1527</v>
      </c>
      <c r="Y72" s="34">
        <v>170548</v>
      </c>
      <c r="Z72" s="34">
        <v>18545</v>
      </c>
      <c r="AA72" s="34">
        <v>152003</v>
      </c>
      <c r="AB72" s="34">
        <v>79553</v>
      </c>
      <c r="AC72" s="34">
        <v>72450</v>
      </c>
    </row>
    <row r="73" spans="1:29" x14ac:dyDescent="0.25">
      <c r="A73" s="31" t="s">
        <v>62</v>
      </c>
      <c r="B73" s="31" t="s">
        <v>735</v>
      </c>
      <c r="C73" s="31" t="s">
        <v>77</v>
      </c>
      <c r="D73" s="31" t="s">
        <v>480</v>
      </c>
      <c r="E73" s="32">
        <v>182.84</v>
      </c>
      <c r="F73" s="33">
        <v>1216.5</v>
      </c>
      <c r="G73" s="32">
        <v>1399.34</v>
      </c>
      <c r="H73" s="32">
        <v>1.86</v>
      </c>
      <c r="I73" s="34">
        <v>60</v>
      </c>
      <c r="J73" s="33">
        <v>0</v>
      </c>
      <c r="K73" s="34">
        <v>1277</v>
      </c>
      <c r="L73" s="32">
        <v>319.64</v>
      </c>
      <c r="M73" s="32">
        <v>59.19</v>
      </c>
      <c r="N73" s="32">
        <v>66.02</v>
      </c>
      <c r="O73" s="32">
        <v>39.89</v>
      </c>
      <c r="P73" s="32">
        <v>4.59</v>
      </c>
      <c r="Q73" s="34">
        <v>447285</v>
      </c>
      <c r="R73" s="34">
        <v>8140</v>
      </c>
      <c r="S73" s="34">
        <v>455425</v>
      </c>
      <c r="T73" s="34">
        <v>75586</v>
      </c>
      <c r="U73" s="34">
        <v>84308</v>
      </c>
      <c r="V73" s="34">
        <v>595</v>
      </c>
      <c r="W73" s="34">
        <v>57076</v>
      </c>
      <c r="X73" s="34">
        <v>6564</v>
      </c>
      <c r="Y73" s="34">
        <v>679554</v>
      </c>
      <c r="Z73" s="34">
        <v>69828</v>
      </c>
      <c r="AA73" s="34">
        <v>609726</v>
      </c>
      <c r="AB73" s="34">
        <v>344112</v>
      </c>
      <c r="AC73" s="34">
        <v>265614</v>
      </c>
    </row>
    <row r="74" spans="1:29" x14ac:dyDescent="0.25">
      <c r="A74" s="31" t="s">
        <v>62</v>
      </c>
      <c r="B74" s="31" t="s">
        <v>735</v>
      </c>
      <c r="C74" s="31" t="s">
        <v>78</v>
      </c>
      <c r="D74" s="31" t="s">
        <v>481</v>
      </c>
      <c r="E74" s="32">
        <v>75.040000000000006</v>
      </c>
      <c r="F74" s="33">
        <v>846.1</v>
      </c>
      <c r="G74" s="32">
        <v>921.14</v>
      </c>
      <c r="H74" s="32">
        <v>1.23</v>
      </c>
      <c r="I74" s="34">
        <v>5</v>
      </c>
      <c r="J74" s="33">
        <v>0</v>
      </c>
      <c r="K74" s="34">
        <v>851</v>
      </c>
      <c r="L74" s="32">
        <v>319.64</v>
      </c>
      <c r="M74" s="32">
        <v>59.19</v>
      </c>
      <c r="N74" s="32">
        <v>66.02</v>
      </c>
      <c r="O74" s="32">
        <v>39.89</v>
      </c>
      <c r="P74" s="32">
        <v>4.59</v>
      </c>
      <c r="Q74" s="34">
        <v>294433</v>
      </c>
      <c r="R74" s="34">
        <v>0</v>
      </c>
      <c r="S74" s="34">
        <v>294433</v>
      </c>
      <c r="T74" s="34">
        <v>50371</v>
      </c>
      <c r="U74" s="34">
        <v>56183</v>
      </c>
      <c r="V74" s="34">
        <v>393</v>
      </c>
      <c r="W74" s="34">
        <v>36744</v>
      </c>
      <c r="X74" s="34">
        <v>4228</v>
      </c>
      <c r="Y74" s="34">
        <v>442352</v>
      </c>
      <c r="Z74" s="34">
        <v>32842</v>
      </c>
      <c r="AA74" s="34">
        <v>409510</v>
      </c>
      <c r="AB74" s="34">
        <v>238723</v>
      </c>
      <c r="AC74" s="34">
        <v>170787</v>
      </c>
    </row>
    <row r="75" spans="1:29" x14ac:dyDescent="0.25">
      <c r="A75" s="31" t="s">
        <v>62</v>
      </c>
      <c r="B75" s="31" t="s">
        <v>735</v>
      </c>
      <c r="C75" s="31" t="s">
        <v>79</v>
      </c>
      <c r="D75" s="31" t="s">
        <v>482</v>
      </c>
      <c r="E75" s="32">
        <v>112.96</v>
      </c>
      <c r="F75" s="33">
        <v>868.7</v>
      </c>
      <c r="G75" s="32">
        <v>981.66</v>
      </c>
      <c r="H75" s="32">
        <v>1.31</v>
      </c>
      <c r="I75" s="34">
        <v>9</v>
      </c>
      <c r="J75" s="33">
        <v>0</v>
      </c>
      <c r="K75" s="34">
        <v>878</v>
      </c>
      <c r="L75" s="32">
        <v>319.64</v>
      </c>
      <c r="M75" s="32">
        <v>59.19</v>
      </c>
      <c r="N75" s="32">
        <v>66.02</v>
      </c>
      <c r="O75" s="32">
        <v>39.89</v>
      </c>
      <c r="P75" s="32">
        <v>4.59</v>
      </c>
      <c r="Q75" s="34">
        <v>313778</v>
      </c>
      <c r="R75" s="34">
        <v>0</v>
      </c>
      <c r="S75" s="34">
        <v>313778</v>
      </c>
      <c r="T75" s="34">
        <v>51969</v>
      </c>
      <c r="U75" s="34">
        <v>57966</v>
      </c>
      <c r="V75" s="34">
        <v>419</v>
      </c>
      <c r="W75" s="34">
        <v>39158</v>
      </c>
      <c r="X75" s="34">
        <v>4506</v>
      </c>
      <c r="Y75" s="34">
        <v>467796</v>
      </c>
      <c r="Z75" s="34">
        <v>36304</v>
      </c>
      <c r="AA75" s="34">
        <v>431492</v>
      </c>
      <c r="AB75" s="34">
        <v>253103</v>
      </c>
      <c r="AC75" s="34">
        <v>178389</v>
      </c>
    </row>
    <row r="76" spans="1:29" x14ac:dyDescent="0.25">
      <c r="A76" s="31" t="s">
        <v>62</v>
      </c>
      <c r="B76" s="31" t="s">
        <v>735</v>
      </c>
      <c r="C76" s="31" t="s">
        <v>80</v>
      </c>
      <c r="D76" s="31" t="s">
        <v>483</v>
      </c>
      <c r="E76" s="32">
        <v>44.89</v>
      </c>
      <c r="F76" s="33">
        <v>378.5</v>
      </c>
      <c r="G76" s="32">
        <v>423.39</v>
      </c>
      <c r="H76" s="32">
        <v>0.56000000000000005</v>
      </c>
      <c r="I76" s="34">
        <v>13</v>
      </c>
      <c r="J76" s="33">
        <v>0</v>
      </c>
      <c r="K76" s="34">
        <v>392</v>
      </c>
      <c r="L76" s="32">
        <v>319.64</v>
      </c>
      <c r="M76" s="32">
        <v>59.19</v>
      </c>
      <c r="N76" s="32">
        <v>66.02</v>
      </c>
      <c r="O76" s="32">
        <v>39.89</v>
      </c>
      <c r="P76" s="32">
        <v>4.59</v>
      </c>
      <c r="Q76" s="34">
        <v>135332</v>
      </c>
      <c r="R76" s="34">
        <v>18350</v>
      </c>
      <c r="S76" s="34">
        <v>153682</v>
      </c>
      <c r="T76" s="34">
        <v>23202</v>
      </c>
      <c r="U76" s="34">
        <v>25880</v>
      </c>
      <c r="V76" s="34">
        <v>179</v>
      </c>
      <c r="W76" s="34">
        <v>16889</v>
      </c>
      <c r="X76" s="34">
        <v>1943</v>
      </c>
      <c r="Y76" s="34">
        <v>221775</v>
      </c>
      <c r="Z76" s="34">
        <v>22973</v>
      </c>
      <c r="AA76" s="34">
        <v>198802</v>
      </c>
      <c r="AB76" s="34">
        <v>101847</v>
      </c>
      <c r="AC76" s="34">
        <v>96955</v>
      </c>
    </row>
    <row r="77" spans="1:29" x14ac:dyDescent="0.25">
      <c r="A77" s="31" t="s">
        <v>62</v>
      </c>
      <c r="B77" s="31" t="s">
        <v>735</v>
      </c>
      <c r="C77" s="31" t="s">
        <v>81</v>
      </c>
      <c r="D77" s="31" t="s">
        <v>484</v>
      </c>
      <c r="E77" s="32">
        <v>92.42</v>
      </c>
      <c r="F77" s="33">
        <v>553.4</v>
      </c>
      <c r="G77" s="32">
        <v>645.82000000000005</v>
      </c>
      <c r="H77" s="32">
        <v>0.86</v>
      </c>
      <c r="I77" s="34">
        <v>4</v>
      </c>
      <c r="J77" s="33">
        <v>0</v>
      </c>
      <c r="K77" s="34">
        <v>557</v>
      </c>
      <c r="L77" s="32">
        <v>319.64</v>
      </c>
      <c r="M77" s="32">
        <v>59.19</v>
      </c>
      <c r="N77" s="32">
        <v>66.02</v>
      </c>
      <c r="O77" s="32">
        <v>39.89</v>
      </c>
      <c r="P77" s="32">
        <v>4.59</v>
      </c>
      <c r="Q77" s="34">
        <v>206430</v>
      </c>
      <c r="R77" s="34">
        <v>0</v>
      </c>
      <c r="S77" s="34">
        <v>206430</v>
      </c>
      <c r="T77" s="34">
        <v>32969</v>
      </c>
      <c r="U77" s="34">
        <v>36773</v>
      </c>
      <c r="V77" s="34">
        <v>275</v>
      </c>
      <c r="W77" s="34">
        <v>25762</v>
      </c>
      <c r="X77" s="34">
        <v>2964</v>
      </c>
      <c r="Y77" s="34">
        <v>305173</v>
      </c>
      <c r="Z77" s="34">
        <v>28849</v>
      </c>
      <c r="AA77" s="34">
        <v>276324</v>
      </c>
      <c r="AB77" s="34">
        <v>161547</v>
      </c>
      <c r="AC77" s="34">
        <v>114777</v>
      </c>
    </row>
    <row r="78" spans="1:29" x14ac:dyDescent="0.25">
      <c r="A78" s="31" t="s">
        <v>62</v>
      </c>
      <c r="B78" s="31" t="s">
        <v>735</v>
      </c>
      <c r="C78" s="31" t="s">
        <v>82</v>
      </c>
      <c r="D78" s="31" t="s">
        <v>485</v>
      </c>
      <c r="E78" s="32">
        <v>63.21</v>
      </c>
      <c r="F78" s="33">
        <v>576.29999999999995</v>
      </c>
      <c r="G78" s="32">
        <v>639.51</v>
      </c>
      <c r="H78" s="32">
        <v>0.85</v>
      </c>
      <c r="I78" s="34">
        <v>9</v>
      </c>
      <c r="J78" s="33">
        <v>0</v>
      </c>
      <c r="K78" s="34">
        <v>585</v>
      </c>
      <c r="L78" s="32">
        <v>319.64</v>
      </c>
      <c r="M78" s="32">
        <v>59.19</v>
      </c>
      <c r="N78" s="32">
        <v>66.02</v>
      </c>
      <c r="O78" s="32">
        <v>39.89</v>
      </c>
      <c r="P78" s="32">
        <v>4.59</v>
      </c>
      <c r="Q78" s="34">
        <v>204413</v>
      </c>
      <c r="R78" s="34">
        <v>11190</v>
      </c>
      <c r="S78" s="34">
        <v>215603</v>
      </c>
      <c r="T78" s="34">
        <v>34626</v>
      </c>
      <c r="U78" s="34">
        <v>38622</v>
      </c>
      <c r="V78" s="34">
        <v>272</v>
      </c>
      <c r="W78" s="34">
        <v>26754</v>
      </c>
      <c r="X78" s="34">
        <v>3077</v>
      </c>
      <c r="Y78" s="34">
        <v>318954</v>
      </c>
      <c r="Z78" s="34">
        <v>36691</v>
      </c>
      <c r="AA78" s="34">
        <v>282263</v>
      </c>
      <c r="AB78" s="34">
        <v>153230</v>
      </c>
      <c r="AC78" s="34">
        <v>129033</v>
      </c>
    </row>
    <row r="79" spans="1:29" x14ac:dyDescent="0.25">
      <c r="A79" s="31" t="s">
        <v>62</v>
      </c>
      <c r="B79" s="31" t="s">
        <v>735</v>
      </c>
      <c r="C79" s="31" t="s">
        <v>83</v>
      </c>
      <c r="D79" s="31" t="s">
        <v>486</v>
      </c>
      <c r="E79" s="32">
        <v>110.47</v>
      </c>
      <c r="F79" s="33">
        <v>572.70000000000005</v>
      </c>
      <c r="G79" s="32">
        <v>683.17</v>
      </c>
      <c r="H79" s="32">
        <v>0.91</v>
      </c>
      <c r="I79" s="34">
        <v>2</v>
      </c>
      <c r="J79" s="33">
        <v>0</v>
      </c>
      <c r="K79" s="34">
        <v>575</v>
      </c>
      <c r="L79" s="32">
        <v>319.64</v>
      </c>
      <c r="M79" s="32">
        <v>59.19</v>
      </c>
      <c r="N79" s="32">
        <v>66.02</v>
      </c>
      <c r="O79" s="32">
        <v>39.89</v>
      </c>
      <c r="P79" s="32">
        <v>4.59</v>
      </c>
      <c r="Q79" s="34">
        <v>218368</v>
      </c>
      <c r="R79" s="34">
        <v>17133</v>
      </c>
      <c r="S79" s="34">
        <v>235501</v>
      </c>
      <c r="T79" s="34">
        <v>34034</v>
      </c>
      <c r="U79" s="34">
        <v>37962</v>
      </c>
      <c r="V79" s="34">
        <v>291</v>
      </c>
      <c r="W79" s="34">
        <v>28405</v>
      </c>
      <c r="X79" s="34">
        <v>3267</v>
      </c>
      <c r="Y79" s="34">
        <v>339460</v>
      </c>
      <c r="Z79" s="34">
        <v>31253</v>
      </c>
      <c r="AA79" s="34">
        <v>308207</v>
      </c>
      <c r="AB79" s="34">
        <v>171439</v>
      </c>
      <c r="AC79" s="34">
        <v>136768</v>
      </c>
    </row>
    <row r="80" spans="1:29" x14ac:dyDescent="0.25">
      <c r="A80" s="31" t="s">
        <v>62</v>
      </c>
      <c r="B80" s="31" t="s">
        <v>735</v>
      </c>
      <c r="C80" s="31" t="s">
        <v>84</v>
      </c>
      <c r="D80" s="31" t="s">
        <v>487</v>
      </c>
      <c r="E80" s="32">
        <v>136.71</v>
      </c>
      <c r="F80" s="33">
        <v>1045.9000000000001</v>
      </c>
      <c r="G80" s="32">
        <v>1182.6099999999999</v>
      </c>
      <c r="H80" s="32">
        <v>1.57</v>
      </c>
      <c r="I80" s="34">
        <v>16</v>
      </c>
      <c r="J80" s="33">
        <v>0</v>
      </c>
      <c r="K80" s="34">
        <v>1062</v>
      </c>
      <c r="L80" s="32">
        <v>319.64</v>
      </c>
      <c r="M80" s="32">
        <v>59.19</v>
      </c>
      <c r="N80" s="32">
        <v>66.02</v>
      </c>
      <c r="O80" s="32">
        <v>39.89</v>
      </c>
      <c r="P80" s="32">
        <v>4.59</v>
      </c>
      <c r="Q80" s="34">
        <v>378009</v>
      </c>
      <c r="R80" s="34">
        <v>42760</v>
      </c>
      <c r="S80" s="34">
        <v>420769</v>
      </c>
      <c r="T80" s="34">
        <v>62860</v>
      </c>
      <c r="U80" s="34">
        <v>70113</v>
      </c>
      <c r="V80" s="34">
        <v>502</v>
      </c>
      <c r="W80" s="34">
        <v>47476</v>
      </c>
      <c r="X80" s="34">
        <v>5460</v>
      </c>
      <c r="Y80" s="34">
        <v>607180</v>
      </c>
      <c r="Z80" s="34">
        <v>73519</v>
      </c>
      <c r="AA80" s="34">
        <v>533661</v>
      </c>
      <c r="AB80" s="34">
        <v>275462</v>
      </c>
      <c r="AC80" s="34">
        <v>258199</v>
      </c>
    </row>
    <row r="81" spans="1:29" x14ac:dyDescent="0.25">
      <c r="A81" s="31" t="s">
        <v>62</v>
      </c>
      <c r="B81" s="31" t="s">
        <v>735</v>
      </c>
      <c r="C81" s="31" t="s">
        <v>87</v>
      </c>
      <c r="D81" s="31" t="s">
        <v>88</v>
      </c>
      <c r="E81" s="32">
        <v>19.22</v>
      </c>
      <c r="F81" s="33">
        <v>250.4</v>
      </c>
      <c r="G81" s="32">
        <v>269.62</v>
      </c>
      <c r="H81" s="32">
        <v>0.36</v>
      </c>
      <c r="I81" s="34">
        <v>0</v>
      </c>
      <c r="J81" s="33">
        <v>0</v>
      </c>
      <c r="K81" s="34">
        <v>250</v>
      </c>
      <c r="L81" s="32">
        <v>319.64</v>
      </c>
      <c r="M81" s="32">
        <v>59.19</v>
      </c>
      <c r="N81" s="32">
        <v>66.02</v>
      </c>
      <c r="O81" s="32">
        <v>39.89</v>
      </c>
      <c r="P81" s="32">
        <v>4.59</v>
      </c>
      <c r="Q81" s="34">
        <v>86181</v>
      </c>
      <c r="R81" s="34">
        <v>19194</v>
      </c>
      <c r="S81" s="34">
        <v>105375</v>
      </c>
      <c r="T81" s="34">
        <v>14798</v>
      </c>
      <c r="U81" s="34">
        <v>16505</v>
      </c>
      <c r="V81" s="34">
        <v>115</v>
      </c>
      <c r="W81" s="34">
        <v>10977</v>
      </c>
      <c r="X81" s="34">
        <v>1262</v>
      </c>
      <c r="Y81" s="34">
        <v>149032</v>
      </c>
      <c r="Z81" s="34">
        <v>17366</v>
      </c>
      <c r="AA81" s="34">
        <v>131666</v>
      </c>
      <c r="AB81" s="34">
        <v>62368</v>
      </c>
      <c r="AC81" s="34">
        <v>69298</v>
      </c>
    </row>
    <row r="82" spans="1:29" x14ac:dyDescent="0.25">
      <c r="A82" s="31" t="s">
        <v>62</v>
      </c>
      <c r="B82" s="31" t="s">
        <v>735</v>
      </c>
      <c r="C82" s="31" t="s">
        <v>85</v>
      </c>
      <c r="D82" s="31" t="s">
        <v>488</v>
      </c>
      <c r="E82" s="32">
        <v>75.989999999999995</v>
      </c>
      <c r="F82" s="33">
        <v>839</v>
      </c>
      <c r="G82" s="32">
        <v>914.99</v>
      </c>
      <c r="H82" s="32">
        <v>1.22</v>
      </c>
      <c r="I82" s="34">
        <v>31</v>
      </c>
      <c r="J82" s="33">
        <v>0</v>
      </c>
      <c r="K82" s="34">
        <v>870</v>
      </c>
      <c r="L82" s="32">
        <v>319.64</v>
      </c>
      <c r="M82" s="32">
        <v>59.19</v>
      </c>
      <c r="N82" s="32">
        <v>66.02</v>
      </c>
      <c r="O82" s="32">
        <v>39.89</v>
      </c>
      <c r="P82" s="32">
        <v>4.59</v>
      </c>
      <c r="Q82" s="34">
        <v>292467</v>
      </c>
      <c r="R82" s="34">
        <v>43683</v>
      </c>
      <c r="S82" s="34">
        <v>336150</v>
      </c>
      <c r="T82" s="34">
        <v>51495</v>
      </c>
      <c r="U82" s="34">
        <v>57437</v>
      </c>
      <c r="V82" s="34">
        <v>390</v>
      </c>
      <c r="W82" s="34">
        <v>36499</v>
      </c>
      <c r="X82" s="34">
        <v>4200</v>
      </c>
      <c r="Y82" s="34">
        <v>486171</v>
      </c>
      <c r="Z82" s="34">
        <v>49755</v>
      </c>
      <c r="AA82" s="34">
        <v>436416</v>
      </c>
      <c r="AB82" s="34">
        <v>219997</v>
      </c>
      <c r="AC82" s="34">
        <v>216419</v>
      </c>
    </row>
    <row r="83" spans="1:29" x14ac:dyDescent="0.25">
      <c r="A83" s="31" t="s">
        <v>62</v>
      </c>
      <c r="B83" s="31" t="s">
        <v>735</v>
      </c>
      <c r="C83" s="31" t="s">
        <v>86</v>
      </c>
      <c r="D83" s="31" t="s">
        <v>489</v>
      </c>
      <c r="E83" s="32">
        <v>89.44</v>
      </c>
      <c r="F83" s="33">
        <v>588.9</v>
      </c>
      <c r="G83" s="32">
        <v>678.34</v>
      </c>
      <c r="H83" s="32">
        <v>0.9</v>
      </c>
      <c r="I83" s="34">
        <v>2</v>
      </c>
      <c r="J83" s="33">
        <v>0</v>
      </c>
      <c r="K83" s="34">
        <v>591</v>
      </c>
      <c r="L83" s="32">
        <v>319.64</v>
      </c>
      <c r="M83" s="32">
        <v>59.19</v>
      </c>
      <c r="N83" s="32">
        <v>66.02</v>
      </c>
      <c r="O83" s="32">
        <v>39.89</v>
      </c>
      <c r="P83" s="32">
        <v>4.59</v>
      </c>
      <c r="Q83" s="34">
        <v>216825</v>
      </c>
      <c r="R83" s="34">
        <v>0</v>
      </c>
      <c r="S83" s="34">
        <v>216825</v>
      </c>
      <c r="T83" s="34">
        <v>34981</v>
      </c>
      <c r="U83" s="34">
        <v>39018</v>
      </c>
      <c r="V83" s="34">
        <v>288</v>
      </c>
      <c r="W83" s="34">
        <v>27059</v>
      </c>
      <c r="X83" s="34">
        <v>3114</v>
      </c>
      <c r="Y83" s="34">
        <v>321285</v>
      </c>
      <c r="Z83" s="34">
        <v>38194</v>
      </c>
      <c r="AA83" s="34">
        <v>283091</v>
      </c>
      <c r="AB83" s="34">
        <v>161789</v>
      </c>
      <c r="AC83" s="34">
        <v>121302</v>
      </c>
    </row>
    <row r="84" spans="1:29" x14ac:dyDescent="0.25">
      <c r="A84" s="31" t="s">
        <v>62</v>
      </c>
      <c r="B84" s="31" t="s">
        <v>735</v>
      </c>
      <c r="C84" s="31" t="s">
        <v>89</v>
      </c>
      <c r="D84" s="31" t="s">
        <v>490</v>
      </c>
      <c r="E84" s="32">
        <v>246.5</v>
      </c>
      <c r="F84" s="33">
        <v>1571.6</v>
      </c>
      <c r="G84" s="32">
        <v>1818.1</v>
      </c>
      <c r="H84" s="32">
        <v>2.42</v>
      </c>
      <c r="I84" s="34">
        <v>40</v>
      </c>
      <c r="J84" s="33">
        <v>0.7</v>
      </c>
      <c r="K84" s="34">
        <v>1611</v>
      </c>
      <c r="L84" s="32">
        <v>319.64</v>
      </c>
      <c r="M84" s="32">
        <v>59.19</v>
      </c>
      <c r="N84" s="32">
        <v>66.02</v>
      </c>
      <c r="O84" s="32">
        <v>39.89</v>
      </c>
      <c r="P84" s="32">
        <v>4.59</v>
      </c>
      <c r="Q84" s="34">
        <v>581137</v>
      </c>
      <c r="R84" s="34">
        <v>0</v>
      </c>
      <c r="S84" s="34">
        <v>581137</v>
      </c>
      <c r="T84" s="34">
        <v>95355</v>
      </c>
      <c r="U84" s="34">
        <v>106358</v>
      </c>
      <c r="V84" s="34">
        <v>774</v>
      </c>
      <c r="W84" s="34">
        <v>72558</v>
      </c>
      <c r="X84" s="34">
        <v>8345</v>
      </c>
      <c r="Y84" s="34">
        <v>864527</v>
      </c>
      <c r="Z84" s="34">
        <v>81962</v>
      </c>
      <c r="AA84" s="34">
        <v>782565</v>
      </c>
      <c r="AB84" s="34">
        <v>454071</v>
      </c>
      <c r="AC84" s="34">
        <v>328494</v>
      </c>
    </row>
    <row r="85" spans="1:29" x14ac:dyDescent="0.25">
      <c r="A85" s="31" t="s">
        <v>62</v>
      </c>
      <c r="B85" s="31" t="s">
        <v>735</v>
      </c>
      <c r="C85" s="31" t="s">
        <v>90</v>
      </c>
      <c r="D85" s="31" t="s">
        <v>491</v>
      </c>
      <c r="E85" s="32">
        <v>80.56</v>
      </c>
      <c r="F85" s="33">
        <v>659.1</v>
      </c>
      <c r="G85" s="32">
        <v>739.66</v>
      </c>
      <c r="H85" s="32">
        <v>0.99</v>
      </c>
      <c r="I85" s="34">
        <v>6</v>
      </c>
      <c r="J85" s="33">
        <v>0</v>
      </c>
      <c r="K85" s="34">
        <v>665</v>
      </c>
      <c r="L85" s="32">
        <v>319.64</v>
      </c>
      <c r="M85" s="32">
        <v>59.19</v>
      </c>
      <c r="N85" s="32">
        <v>66.02</v>
      </c>
      <c r="O85" s="32">
        <v>39.89</v>
      </c>
      <c r="P85" s="32">
        <v>4.59</v>
      </c>
      <c r="Q85" s="34">
        <v>236425</v>
      </c>
      <c r="R85" s="34">
        <v>0</v>
      </c>
      <c r="S85" s="34">
        <v>236425</v>
      </c>
      <c r="T85" s="34">
        <v>39361</v>
      </c>
      <c r="U85" s="34">
        <v>43903</v>
      </c>
      <c r="V85" s="34">
        <v>316</v>
      </c>
      <c r="W85" s="34">
        <v>29505</v>
      </c>
      <c r="X85" s="34">
        <v>3395</v>
      </c>
      <c r="Y85" s="34">
        <v>352905</v>
      </c>
      <c r="Z85" s="34">
        <v>29520</v>
      </c>
      <c r="AA85" s="34">
        <v>323385</v>
      </c>
      <c r="AB85" s="34">
        <v>188543</v>
      </c>
      <c r="AC85" s="34">
        <v>134842</v>
      </c>
    </row>
    <row r="86" spans="1:29" x14ac:dyDescent="0.25">
      <c r="A86" s="31" t="s">
        <v>62</v>
      </c>
      <c r="B86" s="31" t="s">
        <v>735</v>
      </c>
      <c r="C86" s="31" t="s">
        <v>91</v>
      </c>
      <c r="D86" s="31" t="s">
        <v>492</v>
      </c>
      <c r="E86" s="32">
        <v>148.76</v>
      </c>
      <c r="F86" s="33">
        <v>1120.7</v>
      </c>
      <c r="G86" s="32">
        <v>1269.46</v>
      </c>
      <c r="H86" s="32">
        <v>1.69</v>
      </c>
      <c r="I86" s="34">
        <v>8</v>
      </c>
      <c r="J86" s="33">
        <v>0.3</v>
      </c>
      <c r="K86" s="34">
        <v>1128</v>
      </c>
      <c r="L86" s="32">
        <v>319.64</v>
      </c>
      <c r="M86" s="32">
        <v>59.19</v>
      </c>
      <c r="N86" s="32">
        <v>66.02</v>
      </c>
      <c r="O86" s="32">
        <v>39.89</v>
      </c>
      <c r="P86" s="32">
        <v>4.59</v>
      </c>
      <c r="Q86" s="34">
        <v>405770</v>
      </c>
      <c r="R86" s="34">
        <v>13677</v>
      </c>
      <c r="S86" s="34">
        <v>419447</v>
      </c>
      <c r="T86" s="34">
        <v>66766</v>
      </c>
      <c r="U86" s="34">
        <v>74471</v>
      </c>
      <c r="V86" s="34">
        <v>540</v>
      </c>
      <c r="W86" s="34">
        <v>51772</v>
      </c>
      <c r="X86" s="34">
        <v>5954</v>
      </c>
      <c r="Y86" s="34">
        <v>618950</v>
      </c>
      <c r="Z86" s="34">
        <v>56126</v>
      </c>
      <c r="AA86" s="34">
        <v>562824</v>
      </c>
      <c r="AB86" s="34">
        <v>319388</v>
      </c>
      <c r="AC86" s="34">
        <v>243436</v>
      </c>
    </row>
    <row r="87" spans="1:29" x14ac:dyDescent="0.25">
      <c r="A87" s="31" t="s">
        <v>62</v>
      </c>
      <c r="B87" s="31" t="s">
        <v>735</v>
      </c>
      <c r="C87" s="31" t="s">
        <v>92</v>
      </c>
      <c r="D87" s="31" t="s">
        <v>493</v>
      </c>
      <c r="E87" s="32">
        <v>39.479999999999997</v>
      </c>
      <c r="F87" s="33">
        <v>419.6</v>
      </c>
      <c r="G87" s="32">
        <v>459.08</v>
      </c>
      <c r="H87" s="32">
        <v>0.61</v>
      </c>
      <c r="I87" s="34">
        <v>3</v>
      </c>
      <c r="J87" s="33">
        <v>0</v>
      </c>
      <c r="K87" s="34">
        <v>423</v>
      </c>
      <c r="L87" s="32">
        <v>319.64</v>
      </c>
      <c r="M87" s="32">
        <v>59.19</v>
      </c>
      <c r="N87" s="32">
        <v>66.02</v>
      </c>
      <c r="O87" s="32">
        <v>39.89</v>
      </c>
      <c r="P87" s="32">
        <v>4.59</v>
      </c>
      <c r="Q87" s="34">
        <v>146740</v>
      </c>
      <c r="R87" s="34">
        <v>6414</v>
      </c>
      <c r="S87" s="34">
        <v>153154</v>
      </c>
      <c r="T87" s="34">
        <v>25037</v>
      </c>
      <c r="U87" s="34">
        <v>27926</v>
      </c>
      <c r="V87" s="34">
        <v>195</v>
      </c>
      <c r="W87" s="34">
        <v>18313</v>
      </c>
      <c r="X87" s="34">
        <v>2107</v>
      </c>
      <c r="Y87" s="34">
        <v>226732</v>
      </c>
      <c r="Z87" s="34">
        <v>23920</v>
      </c>
      <c r="AA87" s="34">
        <v>202812</v>
      </c>
      <c r="AB87" s="34">
        <v>111423</v>
      </c>
      <c r="AC87" s="34">
        <v>91389</v>
      </c>
    </row>
    <row r="88" spans="1:29" x14ac:dyDescent="0.25">
      <c r="A88" s="31" t="s">
        <v>62</v>
      </c>
      <c r="B88" s="31" t="s">
        <v>735</v>
      </c>
      <c r="C88" s="31" t="s">
        <v>93</v>
      </c>
      <c r="D88" s="31" t="s">
        <v>494</v>
      </c>
      <c r="E88" s="32">
        <v>65.89</v>
      </c>
      <c r="F88" s="33">
        <v>681.9</v>
      </c>
      <c r="G88" s="32">
        <v>747.79</v>
      </c>
      <c r="H88" s="32">
        <v>0.99</v>
      </c>
      <c r="I88" s="34">
        <v>10</v>
      </c>
      <c r="J88" s="33">
        <v>0</v>
      </c>
      <c r="K88" s="34">
        <v>692</v>
      </c>
      <c r="L88" s="32">
        <v>319.64</v>
      </c>
      <c r="M88" s="32">
        <v>59.19</v>
      </c>
      <c r="N88" s="32">
        <v>66.02</v>
      </c>
      <c r="O88" s="32">
        <v>39.89</v>
      </c>
      <c r="P88" s="32">
        <v>4.59</v>
      </c>
      <c r="Q88" s="34">
        <v>239024</v>
      </c>
      <c r="R88" s="34">
        <v>7507</v>
      </c>
      <c r="S88" s="34">
        <v>246531</v>
      </c>
      <c r="T88" s="34">
        <v>40959</v>
      </c>
      <c r="U88" s="34">
        <v>45686</v>
      </c>
      <c r="V88" s="34">
        <v>316</v>
      </c>
      <c r="W88" s="34">
        <v>30896</v>
      </c>
      <c r="X88" s="34">
        <v>3553</v>
      </c>
      <c r="Y88" s="34">
        <v>367941</v>
      </c>
      <c r="Z88" s="34">
        <v>34532</v>
      </c>
      <c r="AA88" s="34">
        <v>333409</v>
      </c>
      <c r="AB88" s="34">
        <v>187112</v>
      </c>
      <c r="AC88" s="34">
        <v>146297</v>
      </c>
    </row>
    <row r="89" spans="1:29" x14ac:dyDescent="0.25">
      <c r="A89" s="31" t="s">
        <v>62</v>
      </c>
      <c r="B89" s="31" t="s">
        <v>735</v>
      </c>
      <c r="C89" s="31" t="s">
        <v>94</v>
      </c>
      <c r="D89" s="31" t="s">
        <v>495</v>
      </c>
      <c r="E89" s="32">
        <v>188.86</v>
      </c>
      <c r="F89" s="33">
        <v>1390.7</v>
      </c>
      <c r="G89" s="32">
        <v>1579.56</v>
      </c>
      <c r="H89" s="32">
        <v>2.11</v>
      </c>
      <c r="I89" s="34">
        <v>134</v>
      </c>
      <c r="J89" s="33">
        <v>3</v>
      </c>
      <c r="K89" s="34">
        <v>1522</v>
      </c>
      <c r="L89" s="32">
        <v>319.64</v>
      </c>
      <c r="M89" s="32">
        <v>59.19</v>
      </c>
      <c r="N89" s="32">
        <v>66.02</v>
      </c>
      <c r="O89" s="32">
        <v>39.89</v>
      </c>
      <c r="P89" s="32">
        <v>4.59</v>
      </c>
      <c r="Q89" s="34">
        <v>504891</v>
      </c>
      <c r="R89" s="34">
        <v>4575</v>
      </c>
      <c r="S89" s="34">
        <v>509466</v>
      </c>
      <c r="T89" s="34">
        <v>90087</v>
      </c>
      <c r="U89" s="34">
        <v>100482</v>
      </c>
      <c r="V89" s="34">
        <v>674</v>
      </c>
      <c r="W89" s="34">
        <v>63848</v>
      </c>
      <c r="X89" s="34">
        <v>7343</v>
      </c>
      <c r="Y89" s="34">
        <v>771900</v>
      </c>
      <c r="Z89" s="34">
        <v>73977</v>
      </c>
      <c r="AA89" s="34">
        <v>697923</v>
      </c>
      <c r="AB89" s="34">
        <v>392632</v>
      </c>
      <c r="AC89" s="34">
        <v>305291</v>
      </c>
    </row>
    <row r="90" spans="1:29" x14ac:dyDescent="0.25">
      <c r="A90" s="31" t="s">
        <v>62</v>
      </c>
      <c r="B90" s="31" t="s">
        <v>735</v>
      </c>
      <c r="C90" s="31" t="s">
        <v>95</v>
      </c>
      <c r="D90" s="31" t="s">
        <v>496</v>
      </c>
      <c r="E90" s="32">
        <v>118.24</v>
      </c>
      <c r="F90" s="33">
        <v>1035.0999999999999</v>
      </c>
      <c r="G90" s="32">
        <v>1153.3399999999999</v>
      </c>
      <c r="H90" s="32">
        <v>1.54</v>
      </c>
      <c r="I90" s="34">
        <v>2</v>
      </c>
      <c r="J90" s="33">
        <v>0</v>
      </c>
      <c r="K90" s="34">
        <v>1037</v>
      </c>
      <c r="L90" s="32">
        <v>319.64</v>
      </c>
      <c r="M90" s="32">
        <v>59.19</v>
      </c>
      <c r="N90" s="32">
        <v>66.02</v>
      </c>
      <c r="O90" s="32">
        <v>39.89</v>
      </c>
      <c r="P90" s="32">
        <v>4.59</v>
      </c>
      <c r="Q90" s="34">
        <v>368654</v>
      </c>
      <c r="R90" s="34">
        <v>0</v>
      </c>
      <c r="S90" s="34">
        <v>368654</v>
      </c>
      <c r="T90" s="34">
        <v>61380</v>
      </c>
      <c r="U90" s="34">
        <v>68463</v>
      </c>
      <c r="V90" s="34">
        <v>492</v>
      </c>
      <c r="W90" s="34">
        <v>46007</v>
      </c>
      <c r="X90" s="34">
        <v>5294</v>
      </c>
      <c r="Y90" s="34">
        <v>550290</v>
      </c>
      <c r="Z90" s="34">
        <v>49711</v>
      </c>
      <c r="AA90" s="34">
        <v>500579</v>
      </c>
      <c r="AB90" s="34">
        <v>290310</v>
      </c>
      <c r="AC90" s="34">
        <v>210269</v>
      </c>
    </row>
    <row r="91" spans="1:29" x14ac:dyDescent="0.25">
      <c r="A91" s="31" t="s">
        <v>62</v>
      </c>
      <c r="B91" s="31" t="s">
        <v>735</v>
      </c>
      <c r="C91" s="31" t="s">
        <v>96</v>
      </c>
      <c r="D91" s="31" t="s">
        <v>497</v>
      </c>
      <c r="E91" s="32">
        <v>54.08</v>
      </c>
      <c r="F91" s="33">
        <v>442</v>
      </c>
      <c r="G91" s="32">
        <v>496.08</v>
      </c>
      <c r="H91" s="32">
        <v>0.66</v>
      </c>
      <c r="I91" s="34">
        <v>10</v>
      </c>
      <c r="J91" s="33">
        <v>0</v>
      </c>
      <c r="K91" s="34">
        <v>452</v>
      </c>
      <c r="L91" s="32">
        <v>319.64</v>
      </c>
      <c r="M91" s="32">
        <v>59.19</v>
      </c>
      <c r="N91" s="32">
        <v>66.02</v>
      </c>
      <c r="O91" s="32">
        <v>39.89</v>
      </c>
      <c r="P91" s="32">
        <v>4.59</v>
      </c>
      <c r="Q91" s="34">
        <v>158567</v>
      </c>
      <c r="R91" s="34">
        <v>0</v>
      </c>
      <c r="S91" s="34">
        <v>158567</v>
      </c>
      <c r="T91" s="34">
        <v>26754</v>
      </c>
      <c r="U91" s="34">
        <v>29841</v>
      </c>
      <c r="V91" s="34">
        <v>211</v>
      </c>
      <c r="W91" s="34">
        <v>19789</v>
      </c>
      <c r="X91" s="34">
        <v>2277</v>
      </c>
      <c r="Y91" s="34">
        <v>237439</v>
      </c>
      <c r="Z91" s="34">
        <v>15951</v>
      </c>
      <c r="AA91" s="34">
        <v>221488</v>
      </c>
      <c r="AB91" s="34">
        <v>130300</v>
      </c>
      <c r="AC91" s="34">
        <v>91188</v>
      </c>
    </row>
    <row r="92" spans="1:29" x14ac:dyDescent="0.25">
      <c r="A92" s="31" t="s">
        <v>62</v>
      </c>
      <c r="B92" s="31" t="s">
        <v>735</v>
      </c>
      <c r="C92" s="31" t="s">
        <v>97</v>
      </c>
      <c r="D92" s="31" t="s">
        <v>498</v>
      </c>
      <c r="E92" s="32">
        <v>100.79</v>
      </c>
      <c r="F92" s="33">
        <v>897.8</v>
      </c>
      <c r="G92" s="32">
        <v>998.59</v>
      </c>
      <c r="H92" s="32">
        <v>1.33</v>
      </c>
      <c r="I92" s="34">
        <v>110</v>
      </c>
      <c r="J92" s="33">
        <v>0.1</v>
      </c>
      <c r="K92" s="34">
        <v>1008</v>
      </c>
      <c r="L92" s="32">
        <v>319.64</v>
      </c>
      <c r="M92" s="32">
        <v>59.19</v>
      </c>
      <c r="N92" s="32">
        <v>66.02</v>
      </c>
      <c r="O92" s="32">
        <v>39.89</v>
      </c>
      <c r="P92" s="32">
        <v>4.59</v>
      </c>
      <c r="Q92" s="34">
        <v>319189</v>
      </c>
      <c r="R92" s="34">
        <v>0</v>
      </c>
      <c r="S92" s="34">
        <v>319189</v>
      </c>
      <c r="T92" s="34">
        <v>59664</v>
      </c>
      <c r="U92" s="34">
        <v>66548</v>
      </c>
      <c r="V92" s="34">
        <v>425</v>
      </c>
      <c r="W92" s="34">
        <v>39834</v>
      </c>
      <c r="X92" s="34">
        <v>4584</v>
      </c>
      <c r="Y92" s="34">
        <v>490244</v>
      </c>
      <c r="Z92" s="34">
        <v>41079</v>
      </c>
      <c r="AA92" s="34">
        <v>449165</v>
      </c>
      <c r="AB92" s="34">
        <v>253319</v>
      </c>
      <c r="AC92" s="34">
        <v>195846</v>
      </c>
    </row>
    <row r="93" spans="1:29" x14ac:dyDescent="0.25">
      <c r="A93" s="31" t="s">
        <v>62</v>
      </c>
      <c r="B93" s="31" t="s">
        <v>735</v>
      </c>
      <c r="C93" s="31" t="s">
        <v>98</v>
      </c>
      <c r="D93" s="31" t="s">
        <v>499</v>
      </c>
      <c r="E93" s="32">
        <v>67.58</v>
      </c>
      <c r="F93" s="33">
        <v>577.70000000000005</v>
      </c>
      <c r="G93" s="32">
        <v>645.28</v>
      </c>
      <c r="H93" s="32">
        <v>0.86</v>
      </c>
      <c r="I93" s="34">
        <v>0</v>
      </c>
      <c r="J93" s="33">
        <v>0</v>
      </c>
      <c r="K93" s="34">
        <v>578</v>
      </c>
      <c r="L93" s="32">
        <v>319.64</v>
      </c>
      <c r="M93" s="32">
        <v>59.19</v>
      </c>
      <c r="N93" s="32">
        <v>66.02</v>
      </c>
      <c r="O93" s="32">
        <v>39.89</v>
      </c>
      <c r="P93" s="32">
        <v>4.59</v>
      </c>
      <c r="Q93" s="34">
        <v>206257</v>
      </c>
      <c r="R93" s="34">
        <v>4700</v>
      </c>
      <c r="S93" s="34">
        <v>210957</v>
      </c>
      <c r="T93" s="34">
        <v>34212</v>
      </c>
      <c r="U93" s="34">
        <v>38160</v>
      </c>
      <c r="V93" s="34">
        <v>275</v>
      </c>
      <c r="W93" s="34">
        <v>25740</v>
      </c>
      <c r="X93" s="34">
        <v>2962</v>
      </c>
      <c r="Y93" s="34">
        <v>312306</v>
      </c>
      <c r="Z93" s="34">
        <v>32934</v>
      </c>
      <c r="AA93" s="34">
        <v>279372</v>
      </c>
      <c r="AB93" s="34">
        <v>157303</v>
      </c>
      <c r="AC93" s="34">
        <v>122069</v>
      </c>
    </row>
    <row r="94" spans="1:29" x14ac:dyDescent="0.25">
      <c r="A94" s="31" t="s">
        <v>62</v>
      </c>
      <c r="B94" s="31" t="s">
        <v>735</v>
      </c>
      <c r="C94" s="31" t="s">
        <v>99</v>
      </c>
      <c r="D94" s="31" t="s">
        <v>500</v>
      </c>
      <c r="E94" s="32">
        <v>711.12</v>
      </c>
      <c r="F94" s="33">
        <v>5332.3</v>
      </c>
      <c r="G94" s="32">
        <v>6043.42</v>
      </c>
      <c r="H94" s="32">
        <v>8.02</v>
      </c>
      <c r="I94" s="34">
        <v>211</v>
      </c>
      <c r="J94" s="33">
        <v>0.6</v>
      </c>
      <c r="K94" s="34">
        <v>5543</v>
      </c>
      <c r="L94" s="32">
        <v>319.64</v>
      </c>
      <c r="M94" s="32">
        <v>59.19</v>
      </c>
      <c r="N94" s="32">
        <v>66.02</v>
      </c>
      <c r="O94" s="32">
        <v>39.89</v>
      </c>
      <c r="P94" s="32">
        <v>4.59</v>
      </c>
      <c r="Q94" s="34">
        <v>1931719</v>
      </c>
      <c r="R94" s="34">
        <v>0</v>
      </c>
      <c r="S94" s="34">
        <v>1931719</v>
      </c>
      <c r="T94" s="34">
        <v>328090</v>
      </c>
      <c r="U94" s="34">
        <v>365949</v>
      </c>
      <c r="V94" s="34">
        <v>2564</v>
      </c>
      <c r="W94" s="34">
        <v>241072</v>
      </c>
      <c r="X94" s="34">
        <v>27739</v>
      </c>
      <c r="Y94" s="34">
        <v>2897133</v>
      </c>
      <c r="Z94" s="34">
        <v>232815</v>
      </c>
      <c r="AA94" s="34">
        <v>2664318</v>
      </c>
      <c r="AB94" s="34">
        <v>1548856</v>
      </c>
      <c r="AC94" s="34">
        <v>1115462</v>
      </c>
    </row>
    <row r="95" spans="1:29" x14ac:dyDescent="0.25">
      <c r="A95" s="31" t="s">
        <v>62</v>
      </c>
      <c r="B95" s="31" t="s">
        <v>735</v>
      </c>
      <c r="C95" s="31" t="s">
        <v>100</v>
      </c>
      <c r="D95" s="31" t="s">
        <v>501</v>
      </c>
      <c r="E95" s="32">
        <v>651.57000000000005</v>
      </c>
      <c r="F95" s="33">
        <v>3493.9</v>
      </c>
      <c r="G95" s="32">
        <v>4145.47</v>
      </c>
      <c r="H95" s="32">
        <v>5.52</v>
      </c>
      <c r="I95" s="34">
        <v>486</v>
      </c>
      <c r="J95" s="33">
        <v>3.5</v>
      </c>
      <c r="K95" s="34">
        <v>3976</v>
      </c>
      <c r="L95" s="32">
        <v>319.64</v>
      </c>
      <c r="M95" s="32">
        <v>59.19</v>
      </c>
      <c r="N95" s="32">
        <v>66.02</v>
      </c>
      <c r="O95" s="32">
        <v>39.89</v>
      </c>
      <c r="P95" s="32">
        <v>4.59</v>
      </c>
      <c r="Q95" s="34">
        <v>1325058</v>
      </c>
      <c r="R95" s="34">
        <v>23229</v>
      </c>
      <c r="S95" s="34">
        <v>1348287</v>
      </c>
      <c r="T95" s="34">
        <v>235339</v>
      </c>
      <c r="U95" s="34">
        <v>262496</v>
      </c>
      <c r="V95" s="34">
        <v>1764</v>
      </c>
      <c r="W95" s="34">
        <v>168973</v>
      </c>
      <c r="X95" s="34">
        <v>19432</v>
      </c>
      <c r="Y95" s="34">
        <v>2036291</v>
      </c>
      <c r="Z95" s="34">
        <v>218724</v>
      </c>
      <c r="AA95" s="34">
        <v>1817567</v>
      </c>
      <c r="AB95" s="34">
        <v>1007429</v>
      </c>
      <c r="AC95" s="34">
        <v>810138</v>
      </c>
    </row>
    <row r="96" spans="1:29" x14ac:dyDescent="0.25">
      <c r="A96" s="31" t="s">
        <v>62</v>
      </c>
      <c r="B96" s="31" t="s">
        <v>735</v>
      </c>
      <c r="C96" s="31" t="s">
        <v>101</v>
      </c>
      <c r="D96" s="31" t="s">
        <v>502</v>
      </c>
      <c r="E96" s="32">
        <v>68.709999999999994</v>
      </c>
      <c r="F96" s="33">
        <v>472.8</v>
      </c>
      <c r="G96" s="32">
        <v>541.51</v>
      </c>
      <c r="H96" s="32">
        <v>0.72</v>
      </c>
      <c r="I96" s="34">
        <v>5</v>
      </c>
      <c r="J96" s="33">
        <v>0</v>
      </c>
      <c r="K96" s="34">
        <v>478</v>
      </c>
      <c r="L96" s="32">
        <v>319.64</v>
      </c>
      <c r="M96" s="32">
        <v>59.19</v>
      </c>
      <c r="N96" s="32">
        <v>66.02</v>
      </c>
      <c r="O96" s="32">
        <v>39.89</v>
      </c>
      <c r="P96" s="32">
        <v>4.59</v>
      </c>
      <c r="Q96" s="34">
        <v>173088</v>
      </c>
      <c r="R96" s="34">
        <v>449</v>
      </c>
      <c r="S96" s="34">
        <v>173537</v>
      </c>
      <c r="T96" s="34">
        <v>28293</v>
      </c>
      <c r="U96" s="34">
        <v>31558</v>
      </c>
      <c r="V96" s="34">
        <v>230</v>
      </c>
      <c r="W96" s="34">
        <v>21601</v>
      </c>
      <c r="X96" s="34">
        <v>2486</v>
      </c>
      <c r="Y96" s="34">
        <v>257705</v>
      </c>
      <c r="Z96" s="34">
        <v>24738</v>
      </c>
      <c r="AA96" s="34">
        <v>232967</v>
      </c>
      <c r="AB96" s="34">
        <v>134907</v>
      </c>
      <c r="AC96" s="34">
        <v>98060</v>
      </c>
    </row>
    <row r="97" spans="1:29" x14ac:dyDescent="0.25">
      <c r="A97" s="31" t="s">
        <v>62</v>
      </c>
      <c r="B97" s="31" t="s">
        <v>735</v>
      </c>
      <c r="C97" s="31" t="s">
        <v>102</v>
      </c>
      <c r="D97" s="31" t="s">
        <v>503</v>
      </c>
      <c r="E97" s="32">
        <v>78.89</v>
      </c>
      <c r="F97" s="33">
        <v>595.6</v>
      </c>
      <c r="G97" s="32">
        <v>674.49</v>
      </c>
      <c r="H97" s="32">
        <v>0.9</v>
      </c>
      <c r="I97" s="34">
        <v>0</v>
      </c>
      <c r="J97" s="33">
        <v>0</v>
      </c>
      <c r="K97" s="34">
        <v>596</v>
      </c>
      <c r="L97" s="32">
        <v>319.64</v>
      </c>
      <c r="M97" s="32">
        <v>59.19</v>
      </c>
      <c r="N97" s="32">
        <v>66.02</v>
      </c>
      <c r="O97" s="32">
        <v>39.89</v>
      </c>
      <c r="P97" s="32">
        <v>4.59</v>
      </c>
      <c r="Q97" s="34">
        <v>215594</v>
      </c>
      <c r="R97" s="34">
        <v>0</v>
      </c>
      <c r="S97" s="34">
        <v>215594</v>
      </c>
      <c r="T97" s="34">
        <v>35277</v>
      </c>
      <c r="U97" s="34">
        <v>39348</v>
      </c>
      <c r="V97" s="34">
        <v>288</v>
      </c>
      <c r="W97" s="34">
        <v>26905</v>
      </c>
      <c r="X97" s="34">
        <v>3096</v>
      </c>
      <c r="Y97" s="34">
        <v>320508</v>
      </c>
      <c r="Z97" s="34">
        <v>37009</v>
      </c>
      <c r="AA97" s="34">
        <v>283499</v>
      </c>
      <c r="AB97" s="34">
        <v>161840</v>
      </c>
      <c r="AC97" s="34">
        <v>121659</v>
      </c>
    </row>
    <row r="98" spans="1:29" x14ac:dyDescent="0.25">
      <c r="A98" s="31" t="s">
        <v>62</v>
      </c>
      <c r="B98" s="31" t="s">
        <v>735</v>
      </c>
      <c r="C98" s="31" t="s">
        <v>103</v>
      </c>
      <c r="D98" s="31" t="s">
        <v>504</v>
      </c>
      <c r="E98" s="32">
        <v>68.900000000000006</v>
      </c>
      <c r="F98" s="33">
        <v>561.4</v>
      </c>
      <c r="G98" s="32">
        <v>630.29999999999995</v>
      </c>
      <c r="H98" s="32">
        <v>0.84</v>
      </c>
      <c r="I98" s="34">
        <v>1</v>
      </c>
      <c r="J98" s="33">
        <v>0</v>
      </c>
      <c r="K98" s="34">
        <v>562</v>
      </c>
      <c r="L98" s="32">
        <v>319.64</v>
      </c>
      <c r="M98" s="32">
        <v>59.19</v>
      </c>
      <c r="N98" s="32">
        <v>66.02</v>
      </c>
      <c r="O98" s="32">
        <v>39.89</v>
      </c>
      <c r="P98" s="32">
        <v>4.59</v>
      </c>
      <c r="Q98" s="34">
        <v>201469</v>
      </c>
      <c r="R98" s="34">
        <v>6407</v>
      </c>
      <c r="S98" s="34">
        <v>207876</v>
      </c>
      <c r="T98" s="34">
        <v>33265</v>
      </c>
      <c r="U98" s="34">
        <v>37103</v>
      </c>
      <c r="V98" s="34">
        <v>268</v>
      </c>
      <c r="W98" s="34">
        <v>25143</v>
      </c>
      <c r="X98" s="34">
        <v>2893</v>
      </c>
      <c r="Y98" s="34">
        <v>306548</v>
      </c>
      <c r="Z98" s="34">
        <v>32769</v>
      </c>
      <c r="AA98" s="34">
        <v>273779</v>
      </c>
      <c r="AB98" s="34">
        <v>153052</v>
      </c>
      <c r="AC98" s="34">
        <v>120727</v>
      </c>
    </row>
    <row r="99" spans="1:29" x14ac:dyDescent="0.25">
      <c r="A99" s="31" t="s">
        <v>62</v>
      </c>
      <c r="B99" s="31" t="s">
        <v>735</v>
      </c>
      <c r="C99" s="31" t="s">
        <v>104</v>
      </c>
      <c r="D99" s="31" t="s">
        <v>505</v>
      </c>
      <c r="E99" s="32">
        <v>47.55</v>
      </c>
      <c r="F99" s="33">
        <v>414.6</v>
      </c>
      <c r="G99" s="32">
        <v>462.15</v>
      </c>
      <c r="H99" s="32">
        <v>0.62</v>
      </c>
      <c r="I99" s="34">
        <v>3</v>
      </c>
      <c r="J99" s="33">
        <v>0</v>
      </c>
      <c r="K99" s="34">
        <v>418</v>
      </c>
      <c r="L99" s="32">
        <v>319.64</v>
      </c>
      <c r="M99" s="32">
        <v>59.19</v>
      </c>
      <c r="N99" s="32">
        <v>66.02</v>
      </c>
      <c r="O99" s="32">
        <v>39.89</v>
      </c>
      <c r="P99" s="32">
        <v>4.59</v>
      </c>
      <c r="Q99" s="34">
        <v>147722</v>
      </c>
      <c r="R99" s="34">
        <v>12400</v>
      </c>
      <c r="S99" s="34">
        <v>160122</v>
      </c>
      <c r="T99" s="34">
        <v>24741</v>
      </c>
      <c r="U99" s="34">
        <v>27596</v>
      </c>
      <c r="V99" s="34">
        <v>198</v>
      </c>
      <c r="W99" s="34">
        <v>19310</v>
      </c>
      <c r="X99" s="34">
        <v>2221</v>
      </c>
      <c r="Y99" s="34">
        <v>234188</v>
      </c>
      <c r="Z99" s="34">
        <v>29571</v>
      </c>
      <c r="AA99" s="34">
        <v>204617</v>
      </c>
      <c r="AB99" s="34">
        <v>107653</v>
      </c>
      <c r="AC99" s="34">
        <v>96964</v>
      </c>
    </row>
    <row r="100" spans="1:29" x14ac:dyDescent="0.25">
      <c r="A100" s="31" t="s">
        <v>62</v>
      </c>
      <c r="B100" s="31" t="s">
        <v>735</v>
      </c>
      <c r="C100" s="31" t="s">
        <v>105</v>
      </c>
      <c r="D100" s="31" t="s">
        <v>506</v>
      </c>
      <c r="E100" s="32">
        <v>66.819999999999993</v>
      </c>
      <c r="F100" s="33">
        <v>435.1</v>
      </c>
      <c r="G100" s="32">
        <v>501.92</v>
      </c>
      <c r="H100" s="32">
        <v>0.67</v>
      </c>
      <c r="I100" s="34">
        <v>3</v>
      </c>
      <c r="J100" s="33">
        <v>0</v>
      </c>
      <c r="K100" s="34">
        <v>438</v>
      </c>
      <c r="L100" s="32">
        <v>319.64</v>
      </c>
      <c r="M100" s="32">
        <v>59.19</v>
      </c>
      <c r="N100" s="32">
        <v>66.02</v>
      </c>
      <c r="O100" s="32">
        <v>39.89</v>
      </c>
      <c r="P100" s="32">
        <v>4.59</v>
      </c>
      <c r="Q100" s="34">
        <v>160434</v>
      </c>
      <c r="R100" s="34">
        <v>0</v>
      </c>
      <c r="S100" s="34">
        <v>160434</v>
      </c>
      <c r="T100" s="34">
        <v>25925</v>
      </c>
      <c r="U100" s="34">
        <v>28917</v>
      </c>
      <c r="V100" s="34">
        <v>214</v>
      </c>
      <c r="W100" s="34">
        <v>20075</v>
      </c>
      <c r="X100" s="34">
        <v>2309</v>
      </c>
      <c r="Y100" s="34">
        <v>237874</v>
      </c>
      <c r="Z100" s="34">
        <v>23815</v>
      </c>
      <c r="AA100" s="34">
        <v>214059</v>
      </c>
      <c r="AB100" s="34">
        <v>124217</v>
      </c>
      <c r="AC100" s="34">
        <v>89842</v>
      </c>
    </row>
    <row r="101" spans="1:29" x14ac:dyDescent="0.25">
      <c r="A101" s="31" t="s">
        <v>62</v>
      </c>
      <c r="B101" s="31" t="s">
        <v>735</v>
      </c>
      <c r="C101" s="31" t="s">
        <v>106</v>
      </c>
      <c r="D101" s="31" t="s">
        <v>507</v>
      </c>
      <c r="E101" s="32">
        <v>62.09</v>
      </c>
      <c r="F101" s="33">
        <v>503.8</v>
      </c>
      <c r="G101" s="32">
        <v>565.89</v>
      </c>
      <c r="H101" s="32">
        <v>0.75</v>
      </c>
      <c r="I101" s="34">
        <v>1</v>
      </c>
      <c r="J101" s="33">
        <v>0</v>
      </c>
      <c r="K101" s="34">
        <v>505</v>
      </c>
      <c r="L101" s="32">
        <v>319.64</v>
      </c>
      <c r="M101" s="32">
        <v>59.19</v>
      </c>
      <c r="N101" s="32">
        <v>66.02</v>
      </c>
      <c r="O101" s="32">
        <v>39.89</v>
      </c>
      <c r="P101" s="32">
        <v>4.59</v>
      </c>
      <c r="Q101" s="34">
        <v>180881</v>
      </c>
      <c r="R101" s="34">
        <v>0</v>
      </c>
      <c r="S101" s="34">
        <v>180881</v>
      </c>
      <c r="T101" s="34">
        <v>29891</v>
      </c>
      <c r="U101" s="34">
        <v>33340</v>
      </c>
      <c r="V101" s="34">
        <v>240</v>
      </c>
      <c r="W101" s="34">
        <v>22573</v>
      </c>
      <c r="X101" s="34">
        <v>2597</v>
      </c>
      <c r="Y101" s="34">
        <v>269522</v>
      </c>
      <c r="Z101" s="34">
        <v>25116</v>
      </c>
      <c r="AA101" s="34">
        <v>244406</v>
      </c>
      <c r="AB101" s="34">
        <v>141714</v>
      </c>
      <c r="AC101" s="34">
        <v>102692</v>
      </c>
    </row>
    <row r="102" spans="1:29" x14ac:dyDescent="0.25">
      <c r="A102" s="31" t="s">
        <v>62</v>
      </c>
      <c r="B102" s="31" t="s">
        <v>735</v>
      </c>
      <c r="C102" s="31" t="s">
        <v>107</v>
      </c>
      <c r="D102" s="31" t="s">
        <v>508</v>
      </c>
      <c r="E102" s="32">
        <v>86.82</v>
      </c>
      <c r="F102" s="33">
        <v>887.1</v>
      </c>
      <c r="G102" s="32">
        <v>973.92</v>
      </c>
      <c r="H102" s="32">
        <v>1.3</v>
      </c>
      <c r="I102" s="34">
        <v>3</v>
      </c>
      <c r="J102" s="33">
        <v>0</v>
      </c>
      <c r="K102" s="34">
        <v>890</v>
      </c>
      <c r="L102" s="32">
        <v>319.64</v>
      </c>
      <c r="M102" s="32">
        <v>59.19</v>
      </c>
      <c r="N102" s="32">
        <v>66.02</v>
      </c>
      <c r="O102" s="32">
        <v>39.89</v>
      </c>
      <c r="P102" s="32">
        <v>4.59</v>
      </c>
      <c r="Q102" s="34">
        <v>311304</v>
      </c>
      <c r="R102" s="34">
        <v>0</v>
      </c>
      <c r="S102" s="34">
        <v>311304</v>
      </c>
      <c r="T102" s="34">
        <v>52679</v>
      </c>
      <c r="U102" s="34">
        <v>58758</v>
      </c>
      <c r="V102" s="34">
        <v>416</v>
      </c>
      <c r="W102" s="34">
        <v>38850</v>
      </c>
      <c r="X102" s="34">
        <v>4470</v>
      </c>
      <c r="Y102" s="34">
        <v>466477</v>
      </c>
      <c r="Z102" s="34">
        <v>47573</v>
      </c>
      <c r="AA102" s="34">
        <v>418904</v>
      </c>
      <c r="AB102" s="34">
        <v>239552</v>
      </c>
      <c r="AC102" s="34">
        <v>179352</v>
      </c>
    </row>
    <row r="103" spans="1:29" x14ac:dyDescent="0.25">
      <c r="A103" s="31" t="s">
        <v>62</v>
      </c>
      <c r="B103" s="31" t="s">
        <v>735</v>
      </c>
      <c r="C103" s="31" t="s">
        <v>108</v>
      </c>
      <c r="D103" s="31" t="s">
        <v>509</v>
      </c>
      <c r="E103" s="32">
        <v>61.96</v>
      </c>
      <c r="F103" s="33">
        <v>402</v>
      </c>
      <c r="G103" s="32">
        <v>463.96</v>
      </c>
      <c r="H103" s="32">
        <v>0.62</v>
      </c>
      <c r="I103" s="34">
        <v>4</v>
      </c>
      <c r="J103" s="33">
        <v>0</v>
      </c>
      <c r="K103" s="34">
        <v>406</v>
      </c>
      <c r="L103" s="32">
        <v>319.64</v>
      </c>
      <c r="M103" s="32">
        <v>59.19</v>
      </c>
      <c r="N103" s="32">
        <v>66.02</v>
      </c>
      <c r="O103" s="32">
        <v>39.89</v>
      </c>
      <c r="P103" s="32">
        <v>4.59</v>
      </c>
      <c r="Q103" s="34">
        <v>148300</v>
      </c>
      <c r="R103" s="34">
        <v>9723</v>
      </c>
      <c r="S103" s="34">
        <v>158023</v>
      </c>
      <c r="T103" s="34">
        <v>24031</v>
      </c>
      <c r="U103" s="34">
        <v>26804</v>
      </c>
      <c r="V103" s="34">
        <v>198</v>
      </c>
      <c r="W103" s="34">
        <v>18507</v>
      </c>
      <c r="X103" s="34">
        <v>2130</v>
      </c>
      <c r="Y103" s="34">
        <v>229693</v>
      </c>
      <c r="Z103" s="34">
        <v>29454</v>
      </c>
      <c r="AA103" s="34">
        <v>200239</v>
      </c>
      <c r="AB103" s="34">
        <v>107328</v>
      </c>
      <c r="AC103" s="34">
        <v>92911</v>
      </c>
    </row>
    <row r="104" spans="1:29" x14ac:dyDescent="0.25">
      <c r="A104" s="31" t="s">
        <v>62</v>
      </c>
      <c r="B104" s="31" t="s">
        <v>735</v>
      </c>
      <c r="C104" s="31" t="s">
        <v>109</v>
      </c>
      <c r="D104" s="31" t="s">
        <v>510</v>
      </c>
      <c r="E104" s="32">
        <v>243.12</v>
      </c>
      <c r="F104" s="33">
        <v>1512.6</v>
      </c>
      <c r="G104" s="32">
        <v>1755.72</v>
      </c>
      <c r="H104" s="32">
        <v>2.34</v>
      </c>
      <c r="I104" s="34">
        <v>3</v>
      </c>
      <c r="J104" s="33">
        <v>0</v>
      </c>
      <c r="K104" s="34">
        <v>1516</v>
      </c>
      <c r="L104" s="32">
        <v>319.64</v>
      </c>
      <c r="M104" s="32">
        <v>59.19</v>
      </c>
      <c r="N104" s="32">
        <v>66.02</v>
      </c>
      <c r="O104" s="32">
        <v>39.89</v>
      </c>
      <c r="P104" s="32">
        <v>4.59</v>
      </c>
      <c r="Q104" s="34">
        <v>561198</v>
      </c>
      <c r="R104" s="34">
        <v>0</v>
      </c>
      <c r="S104" s="34">
        <v>561198</v>
      </c>
      <c r="T104" s="34">
        <v>89732</v>
      </c>
      <c r="U104" s="34">
        <v>100086</v>
      </c>
      <c r="V104" s="34">
        <v>748</v>
      </c>
      <c r="W104" s="34">
        <v>70036</v>
      </c>
      <c r="X104" s="34">
        <v>8059</v>
      </c>
      <c r="Y104" s="34">
        <v>829859</v>
      </c>
      <c r="Z104" s="34">
        <v>75549</v>
      </c>
      <c r="AA104" s="34">
        <v>754310</v>
      </c>
      <c r="AB104" s="34">
        <v>442061</v>
      </c>
      <c r="AC104" s="34">
        <v>312249</v>
      </c>
    </row>
    <row r="105" spans="1:29" x14ac:dyDescent="0.25">
      <c r="A105" s="31" t="s">
        <v>62</v>
      </c>
      <c r="B105" s="31" t="s">
        <v>735</v>
      </c>
      <c r="C105" s="31" t="s">
        <v>110</v>
      </c>
      <c r="D105" s="31" t="s">
        <v>511</v>
      </c>
      <c r="E105" s="32">
        <v>55.2</v>
      </c>
      <c r="F105" s="33">
        <v>585.6</v>
      </c>
      <c r="G105" s="32">
        <v>640.79999999999995</v>
      </c>
      <c r="H105" s="32">
        <v>0.85</v>
      </c>
      <c r="I105" s="34">
        <v>0</v>
      </c>
      <c r="J105" s="33">
        <v>0</v>
      </c>
      <c r="K105" s="34">
        <v>586</v>
      </c>
      <c r="L105" s="32">
        <v>319.64</v>
      </c>
      <c r="M105" s="32">
        <v>59.19</v>
      </c>
      <c r="N105" s="32">
        <v>66.02</v>
      </c>
      <c r="O105" s="32">
        <v>39.89</v>
      </c>
      <c r="P105" s="32">
        <v>4.59</v>
      </c>
      <c r="Q105" s="34">
        <v>204825</v>
      </c>
      <c r="R105" s="34">
        <v>0</v>
      </c>
      <c r="S105" s="34">
        <v>204825</v>
      </c>
      <c r="T105" s="34">
        <v>34685</v>
      </c>
      <c r="U105" s="34">
        <v>38688</v>
      </c>
      <c r="V105" s="34">
        <v>272</v>
      </c>
      <c r="W105" s="34">
        <v>25562</v>
      </c>
      <c r="X105" s="34">
        <v>2941</v>
      </c>
      <c r="Y105" s="34">
        <v>306973</v>
      </c>
      <c r="Z105" s="34">
        <v>34964</v>
      </c>
      <c r="AA105" s="34">
        <v>272009</v>
      </c>
      <c r="AB105" s="34">
        <v>153952</v>
      </c>
      <c r="AC105" s="34">
        <v>118057</v>
      </c>
    </row>
    <row r="106" spans="1:29" x14ac:dyDescent="0.25">
      <c r="A106" s="31" t="s">
        <v>62</v>
      </c>
      <c r="B106" s="31" t="s">
        <v>735</v>
      </c>
      <c r="C106" s="31" t="s">
        <v>111</v>
      </c>
      <c r="D106" s="31" t="s">
        <v>512</v>
      </c>
      <c r="E106" s="32">
        <v>116.12</v>
      </c>
      <c r="F106" s="33">
        <v>780.7</v>
      </c>
      <c r="G106" s="32">
        <v>896.82</v>
      </c>
      <c r="H106" s="32">
        <v>1.2</v>
      </c>
      <c r="I106" s="34">
        <v>3</v>
      </c>
      <c r="J106" s="33">
        <v>0</v>
      </c>
      <c r="K106" s="34">
        <v>784</v>
      </c>
      <c r="L106" s="32">
        <v>319.64</v>
      </c>
      <c r="M106" s="32">
        <v>59.19</v>
      </c>
      <c r="N106" s="32">
        <v>66.02</v>
      </c>
      <c r="O106" s="32">
        <v>39.89</v>
      </c>
      <c r="P106" s="32">
        <v>4.59</v>
      </c>
      <c r="Q106" s="34">
        <v>286660</v>
      </c>
      <c r="R106" s="34">
        <v>4576</v>
      </c>
      <c r="S106" s="34">
        <v>291236</v>
      </c>
      <c r="T106" s="34">
        <v>46405</v>
      </c>
      <c r="U106" s="34">
        <v>51760</v>
      </c>
      <c r="V106" s="34">
        <v>384</v>
      </c>
      <c r="W106" s="34">
        <v>36499</v>
      </c>
      <c r="X106" s="34">
        <v>4197</v>
      </c>
      <c r="Y106" s="34">
        <v>430481</v>
      </c>
      <c r="Z106" s="34">
        <v>48164</v>
      </c>
      <c r="AA106" s="34">
        <v>382317</v>
      </c>
      <c r="AB106" s="34">
        <v>217037</v>
      </c>
      <c r="AC106" s="34">
        <v>165280</v>
      </c>
    </row>
    <row r="107" spans="1:29" x14ac:dyDescent="0.25">
      <c r="A107" s="31" t="s">
        <v>62</v>
      </c>
      <c r="B107" s="31" t="s">
        <v>735</v>
      </c>
      <c r="C107" s="31" t="s">
        <v>112</v>
      </c>
      <c r="D107" s="31" t="s">
        <v>513</v>
      </c>
      <c r="E107" s="32">
        <v>62.43</v>
      </c>
      <c r="F107" s="33">
        <v>395</v>
      </c>
      <c r="G107" s="32">
        <v>457.43</v>
      </c>
      <c r="H107" s="32">
        <v>0.61</v>
      </c>
      <c r="I107" s="34">
        <v>5</v>
      </c>
      <c r="J107" s="33">
        <v>0</v>
      </c>
      <c r="K107" s="34">
        <v>400</v>
      </c>
      <c r="L107" s="32">
        <v>319.64</v>
      </c>
      <c r="M107" s="32">
        <v>59.19</v>
      </c>
      <c r="N107" s="32">
        <v>66.02</v>
      </c>
      <c r="O107" s="32">
        <v>39.89</v>
      </c>
      <c r="P107" s="32">
        <v>4.59</v>
      </c>
      <c r="Q107" s="34">
        <v>146213</v>
      </c>
      <c r="R107" s="34">
        <v>6111</v>
      </c>
      <c r="S107" s="34">
        <v>152324</v>
      </c>
      <c r="T107" s="34">
        <v>23676</v>
      </c>
      <c r="U107" s="34">
        <v>26408</v>
      </c>
      <c r="V107" s="34">
        <v>195</v>
      </c>
      <c r="W107" s="34">
        <v>18480</v>
      </c>
      <c r="X107" s="34">
        <v>2125</v>
      </c>
      <c r="Y107" s="34">
        <v>223208</v>
      </c>
      <c r="Z107" s="34">
        <v>22675</v>
      </c>
      <c r="AA107" s="34">
        <v>200533</v>
      </c>
      <c r="AB107" s="34">
        <v>112440</v>
      </c>
      <c r="AC107" s="34">
        <v>88093</v>
      </c>
    </row>
    <row r="108" spans="1:29" x14ac:dyDescent="0.25">
      <c r="A108" s="31" t="s">
        <v>62</v>
      </c>
      <c r="B108" s="31" t="s">
        <v>735</v>
      </c>
      <c r="C108" s="31" t="s">
        <v>113</v>
      </c>
      <c r="D108" s="31" t="s">
        <v>514</v>
      </c>
      <c r="E108" s="32">
        <v>163.51</v>
      </c>
      <c r="F108" s="33">
        <v>992.8</v>
      </c>
      <c r="G108" s="32">
        <v>1156.31</v>
      </c>
      <c r="H108" s="32">
        <v>1.54</v>
      </c>
      <c r="I108" s="34">
        <v>22</v>
      </c>
      <c r="J108" s="33">
        <v>0</v>
      </c>
      <c r="K108" s="34">
        <v>1015</v>
      </c>
      <c r="L108" s="32">
        <v>319.64</v>
      </c>
      <c r="M108" s="32">
        <v>59.19</v>
      </c>
      <c r="N108" s="32">
        <v>66.02</v>
      </c>
      <c r="O108" s="32">
        <v>39.89</v>
      </c>
      <c r="P108" s="32">
        <v>4.59</v>
      </c>
      <c r="Q108" s="34">
        <v>369603</v>
      </c>
      <c r="R108" s="34">
        <v>20267</v>
      </c>
      <c r="S108" s="34">
        <v>389870</v>
      </c>
      <c r="T108" s="34">
        <v>60078</v>
      </c>
      <c r="U108" s="34">
        <v>67010</v>
      </c>
      <c r="V108" s="34">
        <v>492</v>
      </c>
      <c r="W108" s="34">
        <v>46552</v>
      </c>
      <c r="X108" s="34">
        <v>5354</v>
      </c>
      <c r="Y108" s="34">
        <v>569356</v>
      </c>
      <c r="Z108" s="34">
        <v>54340</v>
      </c>
      <c r="AA108" s="34">
        <v>515016</v>
      </c>
      <c r="AB108" s="34">
        <v>287029</v>
      </c>
      <c r="AC108" s="34">
        <v>227987</v>
      </c>
    </row>
    <row r="109" spans="1:29" x14ac:dyDescent="0.25">
      <c r="A109" s="31" t="s">
        <v>62</v>
      </c>
      <c r="B109" s="31" t="s">
        <v>735</v>
      </c>
      <c r="C109" s="31" t="s">
        <v>114</v>
      </c>
      <c r="D109" s="31" t="s">
        <v>515</v>
      </c>
      <c r="E109" s="32">
        <v>67.33</v>
      </c>
      <c r="F109" s="33">
        <v>676.8</v>
      </c>
      <c r="G109" s="32">
        <v>744.13</v>
      </c>
      <c r="H109" s="32">
        <v>0.99</v>
      </c>
      <c r="I109" s="34">
        <v>19</v>
      </c>
      <c r="J109" s="33">
        <v>0</v>
      </c>
      <c r="K109" s="34">
        <v>696</v>
      </c>
      <c r="L109" s="32">
        <v>319.64</v>
      </c>
      <c r="M109" s="32">
        <v>59.19</v>
      </c>
      <c r="N109" s="32">
        <v>66.02</v>
      </c>
      <c r="O109" s="32">
        <v>39.89</v>
      </c>
      <c r="P109" s="32">
        <v>4.59</v>
      </c>
      <c r="Q109" s="34">
        <v>237854</v>
      </c>
      <c r="R109" s="34">
        <v>0</v>
      </c>
      <c r="S109" s="34">
        <v>237854</v>
      </c>
      <c r="T109" s="34">
        <v>41196</v>
      </c>
      <c r="U109" s="34">
        <v>45950</v>
      </c>
      <c r="V109" s="34">
        <v>316</v>
      </c>
      <c r="W109" s="34">
        <v>29683</v>
      </c>
      <c r="X109" s="34">
        <v>3416</v>
      </c>
      <c r="Y109" s="34">
        <v>358415</v>
      </c>
      <c r="Z109" s="34">
        <v>33496</v>
      </c>
      <c r="AA109" s="34">
        <v>324919</v>
      </c>
      <c r="AB109" s="34">
        <v>185883</v>
      </c>
      <c r="AC109" s="34">
        <v>139036</v>
      </c>
    </row>
    <row r="110" spans="1:29" x14ac:dyDescent="0.25">
      <c r="A110" s="31" t="s">
        <v>62</v>
      </c>
      <c r="B110" s="31" t="s">
        <v>735</v>
      </c>
      <c r="C110" s="31" t="s">
        <v>115</v>
      </c>
      <c r="D110" s="31" t="s">
        <v>516</v>
      </c>
      <c r="E110" s="32">
        <v>2303.5500000000002</v>
      </c>
      <c r="F110" s="33">
        <v>10626.6</v>
      </c>
      <c r="G110" s="32">
        <v>12930.15</v>
      </c>
      <c r="H110" s="32">
        <v>17.22</v>
      </c>
      <c r="I110" s="34">
        <v>1209</v>
      </c>
      <c r="J110" s="33">
        <v>10.9</v>
      </c>
      <c r="K110" s="34">
        <v>11825</v>
      </c>
      <c r="L110" s="32">
        <v>319.64</v>
      </c>
      <c r="M110" s="32">
        <v>59.19</v>
      </c>
      <c r="N110" s="32">
        <v>66.02</v>
      </c>
      <c r="O110" s="32">
        <v>39.89</v>
      </c>
      <c r="P110" s="32">
        <v>4.59</v>
      </c>
      <c r="Q110" s="34">
        <v>4132993</v>
      </c>
      <c r="R110" s="34">
        <v>0</v>
      </c>
      <c r="S110" s="34">
        <v>4132993</v>
      </c>
      <c r="T110" s="34">
        <v>699922</v>
      </c>
      <c r="U110" s="34">
        <v>780687</v>
      </c>
      <c r="V110" s="34">
        <v>5504</v>
      </c>
      <c r="W110" s="34">
        <v>517666</v>
      </c>
      <c r="X110" s="34">
        <v>59532</v>
      </c>
      <c r="Y110" s="34">
        <v>6196304</v>
      </c>
      <c r="Z110" s="34">
        <v>541622</v>
      </c>
      <c r="AA110" s="34">
        <v>5654682</v>
      </c>
      <c r="AB110" s="34">
        <v>3272419</v>
      </c>
      <c r="AC110" s="34">
        <v>2382263</v>
      </c>
    </row>
    <row r="111" spans="1:29" x14ac:dyDescent="0.25">
      <c r="A111" s="31" t="s">
        <v>62</v>
      </c>
      <c r="B111" s="31" t="s">
        <v>735</v>
      </c>
      <c r="C111" s="31" t="s">
        <v>116</v>
      </c>
      <c r="D111" s="31" t="s">
        <v>517</v>
      </c>
      <c r="E111" s="32">
        <v>253.85</v>
      </c>
      <c r="F111" s="33">
        <v>2119.1</v>
      </c>
      <c r="G111" s="32">
        <v>2372.9499999999998</v>
      </c>
      <c r="H111" s="32">
        <v>3.16</v>
      </c>
      <c r="I111" s="34">
        <v>112</v>
      </c>
      <c r="J111" s="33">
        <v>0.9</v>
      </c>
      <c r="K111" s="34">
        <v>2230</v>
      </c>
      <c r="L111" s="32">
        <v>319.64</v>
      </c>
      <c r="M111" s="32">
        <v>59.19</v>
      </c>
      <c r="N111" s="32">
        <v>66.02</v>
      </c>
      <c r="O111" s="32">
        <v>39.89</v>
      </c>
      <c r="P111" s="32">
        <v>4.59</v>
      </c>
      <c r="Q111" s="34">
        <v>758490</v>
      </c>
      <c r="R111" s="34">
        <v>0</v>
      </c>
      <c r="S111" s="34">
        <v>758490</v>
      </c>
      <c r="T111" s="34">
        <v>131994</v>
      </c>
      <c r="U111" s="34">
        <v>147225</v>
      </c>
      <c r="V111" s="34">
        <v>1010</v>
      </c>
      <c r="W111" s="34">
        <v>94657</v>
      </c>
      <c r="X111" s="34">
        <v>10892</v>
      </c>
      <c r="Y111" s="34">
        <v>1144268</v>
      </c>
      <c r="Z111" s="34">
        <v>88570</v>
      </c>
      <c r="AA111" s="34">
        <v>1055698</v>
      </c>
      <c r="AB111" s="34">
        <v>611007</v>
      </c>
      <c r="AC111" s="34">
        <v>444691</v>
      </c>
    </row>
    <row r="112" spans="1:29" x14ac:dyDescent="0.25">
      <c r="A112" s="31" t="s">
        <v>62</v>
      </c>
      <c r="B112" s="31" t="s">
        <v>735</v>
      </c>
      <c r="C112" s="31" t="s">
        <v>117</v>
      </c>
      <c r="D112" s="31" t="s">
        <v>518</v>
      </c>
      <c r="E112" s="32">
        <v>105.03</v>
      </c>
      <c r="F112" s="33">
        <v>726.7</v>
      </c>
      <c r="G112" s="32">
        <v>831.73</v>
      </c>
      <c r="H112" s="32">
        <v>1.1100000000000001</v>
      </c>
      <c r="I112" s="34">
        <v>54</v>
      </c>
      <c r="J112" s="33">
        <v>0</v>
      </c>
      <c r="K112" s="34">
        <v>781</v>
      </c>
      <c r="L112" s="32">
        <v>319.64</v>
      </c>
      <c r="M112" s="32">
        <v>59.19</v>
      </c>
      <c r="N112" s="32">
        <v>66.02</v>
      </c>
      <c r="O112" s="32">
        <v>39.89</v>
      </c>
      <c r="P112" s="32">
        <v>4.59</v>
      </c>
      <c r="Q112" s="34">
        <v>265854</v>
      </c>
      <c r="R112" s="34">
        <v>0</v>
      </c>
      <c r="S112" s="34">
        <v>265854</v>
      </c>
      <c r="T112" s="34">
        <v>46227</v>
      </c>
      <c r="U112" s="34">
        <v>51562</v>
      </c>
      <c r="V112" s="34">
        <v>355</v>
      </c>
      <c r="W112" s="34">
        <v>33178</v>
      </c>
      <c r="X112" s="34">
        <v>3818</v>
      </c>
      <c r="Y112" s="34">
        <v>400994</v>
      </c>
      <c r="Z112" s="34">
        <v>44215</v>
      </c>
      <c r="AA112" s="34">
        <v>356779</v>
      </c>
      <c r="AB112" s="34">
        <v>200991</v>
      </c>
      <c r="AC112" s="34">
        <v>155788</v>
      </c>
    </row>
    <row r="113" spans="1:29" x14ac:dyDescent="0.25">
      <c r="A113" s="31" t="s">
        <v>62</v>
      </c>
      <c r="B113" s="31" t="s">
        <v>735</v>
      </c>
      <c r="C113" s="31" t="s">
        <v>118</v>
      </c>
      <c r="D113" s="31" t="s">
        <v>519</v>
      </c>
      <c r="E113" s="32">
        <v>39.47</v>
      </c>
      <c r="F113" s="33">
        <v>566.4</v>
      </c>
      <c r="G113" s="32">
        <v>605.87</v>
      </c>
      <c r="H113" s="32">
        <v>0.81</v>
      </c>
      <c r="I113" s="34">
        <v>8</v>
      </c>
      <c r="J113" s="33">
        <v>0</v>
      </c>
      <c r="K113" s="34">
        <v>574</v>
      </c>
      <c r="L113" s="32">
        <v>319.64</v>
      </c>
      <c r="M113" s="32">
        <v>59.19</v>
      </c>
      <c r="N113" s="32">
        <v>66.02</v>
      </c>
      <c r="O113" s="32">
        <v>39.89</v>
      </c>
      <c r="P113" s="32">
        <v>4.59</v>
      </c>
      <c r="Q113" s="34">
        <v>193660</v>
      </c>
      <c r="R113" s="34">
        <v>0</v>
      </c>
      <c r="S113" s="34">
        <v>193660</v>
      </c>
      <c r="T113" s="34">
        <v>33975</v>
      </c>
      <c r="U113" s="34">
        <v>37895</v>
      </c>
      <c r="V113" s="34">
        <v>259</v>
      </c>
      <c r="W113" s="34">
        <v>24168</v>
      </c>
      <c r="X113" s="34">
        <v>2781</v>
      </c>
      <c r="Y113" s="34">
        <v>292738</v>
      </c>
      <c r="Z113" s="34">
        <v>32056</v>
      </c>
      <c r="AA113" s="34">
        <v>260682</v>
      </c>
      <c r="AB113" s="34">
        <v>146563</v>
      </c>
      <c r="AC113" s="34">
        <v>114119</v>
      </c>
    </row>
    <row r="114" spans="1:29" x14ac:dyDescent="0.25">
      <c r="A114" s="31" t="s">
        <v>62</v>
      </c>
      <c r="B114" s="31" t="s">
        <v>735</v>
      </c>
      <c r="C114" s="31" t="s">
        <v>119</v>
      </c>
      <c r="D114" s="31" t="s">
        <v>520</v>
      </c>
      <c r="E114" s="32">
        <v>86.43</v>
      </c>
      <c r="F114" s="33">
        <v>815.3</v>
      </c>
      <c r="G114" s="32">
        <v>901.73</v>
      </c>
      <c r="H114" s="32">
        <v>1.2</v>
      </c>
      <c r="I114" s="34">
        <v>2</v>
      </c>
      <c r="J114" s="33">
        <v>0</v>
      </c>
      <c r="K114" s="34">
        <v>817</v>
      </c>
      <c r="L114" s="32">
        <v>319.64</v>
      </c>
      <c r="M114" s="32">
        <v>59.19</v>
      </c>
      <c r="N114" s="32">
        <v>66.02</v>
      </c>
      <c r="O114" s="32">
        <v>39.89</v>
      </c>
      <c r="P114" s="32">
        <v>4.59</v>
      </c>
      <c r="Q114" s="34">
        <v>288229</v>
      </c>
      <c r="R114" s="34">
        <v>6534</v>
      </c>
      <c r="S114" s="34">
        <v>294763</v>
      </c>
      <c r="T114" s="34">
        <v>48358</v>
      </c>
      <c r="U114" s="34">
        <v>53938</v>
      </c>
      <c r="V114" s="34">
        <v>384</v>
      </c>
      <c r="W114" s="34">
        <v>35970</v>
      </c>
      <c r="X114" s="34">
        <v>4139</v>
      </c>
      <c r="Y114" s="34">
        <v>437552</v>
      </c>
      <c r="Z114" s="34">
        <v>38932</v>
      </c>
      <c r="AA114" s="34">
        <v>398620</v>
      </c>
      <c r="AB114" s="34">
        <v>226910</v>
      </c>
      <c r="AC114" s="34">
        <v>171710</v>
      </c>
    </row>
    <row r="115" spans="1:29" x14ac:dyDescent="0.25">
      <c r="A115" s="31" t="s">
        <v>120</v>
      </c>
      <c r="B115" s="31" t="s">
        <v>736</v>
      </c>
      <c r="C115" s="31" t="s">
        <v>121</v>
      </c>
      <c r="D115" s="31" t="s">
        <v>521</v>
      </c>
      <c r="E115" s="32">
        <v>27.87</v>
      </c>
      <c r="F115" s="33">
        <v>216.9</v>
      </c>
      <c r="G115" s="32">
        <v>244.77</v>
      </c>
      <c r="H115" s="32">
        <v>0.44</v>
      </c>
      <c r="I115" s="34">
        <v>17</v>
      </c>
      <c r="J115" s="33">
        <v>0</v>
      </c>
      <c r="K115" s="34">
        <v>234</v>
      </c>
      <c r="L115" s="32">
        <v>317.27999999999997</v>
      </c>
      <c r="M115" s="32">
        <v>58.7</v>
      </c>
      <c r="N115" s="32">
        <v>64.099999999999994</v>
      </c>
      <c r="O115" s="32">
        <v>28.96</v>
      </c>
      <c r="P115" s="32">
        <v>3.4</v>
      </c>
      <c r="Q115" s="34">
        <v>77661</v>
      </c>
      <c r="R115" s="34">
        <v>15670</v>
      </c>
      <c r="S115" s="34">
        <v>93331</v>
      </c>
      <c r="T115" s="34">
        <v>13736</v>
      </c>
      <c r="U115" s="34">
        <v>14999</v>
      </c>
      <c r="V115" s="34">
        <v>140</v>
      </c>
      <c r="W115" s="34">
        <v>7570</v>
      </c>
      <c r="X115" s="34">
        <v>889</v>
      </c>
      <c r="Y115" s="34">
        <v>130665</v>
      </c>
      <c r="Z115" s="34">
        <v>16393</v>
      </c>
      <c r="AA115" s="34">
        <v>114272</v>
      </c>
      <c r="AB115" s="34">
        <v>53369</v>
      </c>
      <c r="AC115" s="34">
        <v>60903</v>
      </c>
    </row>
    <row r="116" spans="1:29" x14ac:dyDescent="0.25">
      <c r="A116" s="31" t="s">
        <v>120</v>
      </c>
      <c r="B116" s="31" t="s">
        <v>736</v>
      </c>
      <c r="C116" s="31" t="s">
        <v>122</v>
      </c>
      <c r="D116" s="31" t="s">
        <v>522</v>
      </c>
      <c r="E116" s="32">
        <v>60.87</v>
      </c>
      <c r="F116" s="33">
        <v>590.70000000000005</v>
      </c>
      <c r="G116" s="32">
        <v>651.57000000000005</v>
      </c>
      <c r="H116" s="32">
        <v>1.18</v>
      </c>
      <c r="I116" s="34">
        <v>162</v>
      </c>
      <c r="J116" s="33">
        <v>0.7</v>
      </c>
      <c r="K116" s="34">
        <v>752</v>
      </c>
      <c r="L116" s="32">
        <v>317.27999999999997</v>
      </c>
      <c r="M116" s="32">
        <v>58.7</v>
      </c>
      <c r="N116" s="32">
        <v>64.099999999999994</v>
      </c>
      <c r="O116" s="32">
        <v>28.96</v>
      </c>
      <c r="P116" s="32">
        <v>3.4</v>
      </c>
      <c r="Q116" s="34">
        <v>206730</v>
      </c>
      <c r="R116" s="34">
        <v>0</v>
      </c>
      <c r="S116" s="34">
        <v>206730</v>
      </c>
      <c r="T116" s="34">
        <v>44142</v>
      </c>
      <c r="U116" s="34">
        <v>48203</v>
      </c>
      <c r="V116" s="34">
        <v>374</v>
      </c>
      <c r="W116" s="34">
        <v>18869</v>
      </c>
      <c r="X116" s="34">
        <v>2215</v>
      </c>
      <c r="Y116" s="34">
        <v>320533</v>
      </c>
      <c r="Z116" s="34">
        <v>33230</v>
      </c>
      <c r="AA116" s="34">
        <v>287303</v>
      </c>
      <c r="AB116" s="34">
        <v>151042</v>
      </c>
      <c r="AC116" s="34">
        <v>136261</v>
      </c>
    </row>
    <row r="117" spans="1:29" x14ac:dyDescent="0.25">
      <c r="A117" s="31" t="s">
        <v>120</v>
      </c>
      <c r="B117" s="31" t="s">
        <v>736</v>
      </c>
      <c r="C117" s="31" t="s">
        <v>123</v>
      </c>
      <c r="D117" s="31" t="s">
        <v>523</v>
      </c>
      <c r="E117" s="32">
        <v>27.31</v>
      </c>
      <c r="F117" s="33">
        <v>202.1</v>
      </c>
      <c r="G117" s="32">
        <v>229.41</v>
      </c>
      <c r="H117" s="32">
        <v>0.42</v>
      </c>
      <c r="I117" s="34">
        <v>0</v>
      </c>
      <c r="J117" s="33">
        <v>0</v>
      </c>
      <c r="K117" s="34">
        <v>202</v>
      </c>
      <c r="L117" s="32">
        <v>317.27999999999997</v>
      </c>
      <c r="M117" s="32">
        <v>58.7</v>
      </c>
      <c r="N117" s="32">
        <v>64.099999999999994</v>
      </c>
      <c r="O117" s="32">
        <v>28.96</v>
      </c>
      <c r="P117" s="32">
        <v>3.4</v>
      </c>
      <c r="Q117" s="34">
        <v>72787</v>
      </c>
      <c r="R117" s="34">
        <v>0</v>
      </c>
      <c r="S117" s="34">
        <v>72787</v>
      </c>
      <c r="T117" s="34">
        <v>11857</v>
      </c>
      <c r="U117" s="34">
        <v>12948</v>
      </c>
      <c r="V117" s="34">
        <v>133</v>
      </c>
      <c r="W117" s="34">
        <v>6644</v>
      </c>
      <c r="X117" s="34">
        <v>780</v>
      </c>
      <c r="Y117" s="34">
        <v>105149</v>
      </c>
      <c r="Z117" s="34">
        <v>11567</v>
      </c>
      <c r="AA117" s="34">
        <v>93582</v>
      </c>
      <c r="AB117" s="34">
        <v>53315</v>
      </c>
      <c r="AC117" s="34">
        <v>40267</v>
      </c>
    </row>
    <row r="118" spans="1:29" x14ac:dyDescent="0.25">
      <c r="A118" s="31" t="s">
        <v>120</v>
      </c>
      <c r="B118" s="31" t="s">
        <v>736</v>
      </c>
      <c r="C118" s="31" t="s">
        <v>124</v>
      </c>
      <c r="D118" s="31" t="s">
        <v>524</v>
      </c>
      <c r="E118" s="32">
        <v>480.24</v>
      </c>
      <c r="F118" s="33">
        <v>4071.1</v>
      </c>
      <c r="G118" s="32">
        <v>4551.34</v>
      </c>
      <c r="H118" s="32">
        <v>8.24</v>
      </c>
      <c r="I118" s="34">
        <v>349</v>
      </c>
      <c r="J118" s="33">
        <v>0</v>
      </c>
      <c r="K118" s="34">
        <v>4420</v>
      </c>
      <c r="L118" s="32">
        <v>317.27999999999997</v>
      </c>
      <c r="M118" s="32">
        <v>58.7</v>
      </c>
      <c r="N118" s="32">
        <v>64.099999999999994</v>
      </c>
      <c r="O118" s="32">
        <v>28.96</v>
      </c>
      <c r="P118" s="32">
        <v>3.4</v>
      </c>
      <c r="Q118" s="34">
        <v>1444049</v>
      </c>
      <c r="R118" s="34">
        <v>6285</v>
      </c>
      <c r="S118" s="34">
        <v>1450334</v>
      </c>
      <c r="T118" s="34">
        <v>259454</v>
      </c>
      <c r="U118" s="34">
        <v>283322</v>
      </c>
      <c r="V118" s="34">
        <v>2614</v>
      </c>
      <c r="W118" s="34">
        <v>131989</v>
      </c>
      <c r="X118" s="34">
        <v>15492</v>
      </c>
      <c r="Y118" s="34">
        <v>2143205</v>
      </c>
      <c r="Z118" s="34">
        <v>185946</v>
      </c>
      <c r="AA118" s="34">
        <v>1957259</v>
      </c>
      <c r="AB118" s="34">
        <v>1101430</v>
      </c>
      <c r="AC118" s="34">
        <v>855829</v>
      </c>
    </row>
    <row r="119" spans="1:29" x14ac:dyDescent="0.25">
      <c r="A119" s="31" t="s">
        <v>120</v>
      </c>
      <c r="B119" s="31" t="s">
        <v>736</v>
      </c>
      <c r="C119" s="31" t="s">
        <v>125</v>
      </c>
      <c r="D119" s="31" t="s">
        <v>525</v>
      </c>
      <c r="E119" s="32">
        <v>49.95</v>
      </c>
      <c r="F119" s="33">
        <v>392.2</v>
      </c>
      <c r="G119" s="32">
        <v>442.15</v>
      </c>
      <c r="H119" s="32">
        <v>0.8</v>
      </c>
      <c r="I119" s="34">
        <v>0</v>
      </c>
      <c r="J119" s="33">
        <v>0</v>
      </c>
      <c r="K119" s="34">
        <v>392</v>
      </c>
      <c r="L119" s="32">
        <v>317.27999999999997</v>
      </c>
      <c r="M119" s="32">
        <v>58.7</v>
      </c>
      <c r="N119" s="32">
        <v>64.099999999999994</v>
      </c>
      <c r="O119" s="32">
        <v>28.96</v>
      </c>
      <c r="P119" s="32">
        <v>3.4</v>
      </c>
      <c r="Q119" s="34">
        <v>140285</v>
      </c>
      <c r="R119" s="34">
        <v>15434</v>
      </c>
      <c r="S119" s="34">
        <v>155719</v>
      </c>
      <c r="T119" s="34">
        <v>23010</v>
      </c>
      <c r="U119" s="34">
        <v>25127</v>
      </c>
      <c r="V119" s="34">
        <v>254</v>
      </c>
      <c r="W119" s="34">
        <v>13028</v>
      </c>
      <c r="X119" s="34">
        <v>1529</v>
      </c>
      <c r="Y119" s="34">
        <v>218667</v>
      </c>
      <c r="Z119" s="34">
        <v>24342</v>
      </c>
      <c r="AA119" s="34">
        <v>194325</v>
      </c>
      <c r="AB119" s="34">
        <v>100953</v>
      </c>
      <c r="AC119" s="34">
        <v>93372</v>
      </c>
    </row>
    <row r="120" spans="1:29" x14ac:dyDescent="0.25">
      <c r="A120" s="31" t="s">
        <v>120</v>
      </c>
      <c r="B120" s="31" t="s">
        <v>736</v>
      </c>
      <c r="C120" s="31" t="s">
        <v>126</v>
      </c>
      <c r="D120" s="31" t="s">
        <v>526</v>
      </c>
      <c r="E120" s="32">
        <v>86.29</v>
      </c>
      <c r="F120" s="33">
        <v>812.1</v>
      </c>
      <c r="G120" s="32">
        <v>898.39</v>
      </c>
      <c r="H120" s="32">
        <v>1.63</v>
      </c>
      <c r="I120" s="34">
        <v>19</v>
      </c>
      <c r="J120" s="33">
        <v>0</v>
      </c>
      <c r="K120" s="34">
        <v>831</v>
      </c>
      <c r="L120" s="32">
        <v>317.27999999999997</v>
      </c>
      <c r="M120" s="32">
        <v>58.7</v>
      </c>
      <c r="N120" s="32">
        <v>64.099999999999994</v>
      </c>
      <c r="O120" s="32">
        <v>28.96</v>
      </c>
      <c r="P120" s="32">
        <v>3.4</v>
      </c>
      <c r="Q120" s="34">
        <v>285041</v>
      </c>
      <c r="R120" s="34">
        <v>6373</v>
      </c>
      <c r="S120" s="34">
        <v>291414</v>
      </c>
      <c r="T120" s="34">
        <v>48780</v>
      </c>
      <c r="U120" s="34">
        <v>53267</v>
      </c>
      <c r="V120" s="34">
        <v>517</v>
      </c>
      <c r="W120" s="34">
        <v>26520</v>
      </c>
      <c r="X120" s="34">
        <v>3113</v>
      </c>
      <c r="Y120" s="34">
        <v>423611</v>
      </c>
      <c r="Z120" s="34">
        <v>41235</v>
      </c>
      <c r="AA120" s="34">
        <v>382376</v>
      </c>
      <c r="AB120" s="34">
        <v>213403</v>
      </c>
      <c r="AC120" s="34">
        <v>168973</v>
      </c>
    </row>
    <row r="121" spans="1:29" x14ac:dyDescent="0.25">
      <c r="A121" s="31" t="s">
        <v>120</v>
      </c>
      <c r="B121" s="31" t="s">
        <v>736</v>
      </c>
      <c r="C121" s="31" t="s">
        <v>127</v>
      </c>
      <c r="D121" s="31" t="s">
        <v>527</v>
      </c>
      <c r="E121" s="32">
        <v>178.39</v>
      </c>
      <c r="F121" s="33">
        <v>1462.3</v>
      </c>
      <c r="G121" s="32">
        <v>1640.69</v>
      </c>
      <c r="H121" s="32">
        <v>2.97</v>
      </c>
      <c r="I121" s="34">
        <v>133</v>
      </c>
      <c r="J121" s="33">
        <v>0</v>
      </c>
      <c r="K121" s="34">
        <v>1595</v>
      </c>
      <c r="L121" s="32">
        <v>317.27999999999997</v>
      </c>
      <c r="M121" s="32">
        <v>58.7</v>
      </c>
      <c r="N121" s="32">
        <v>64.099999999999994</v>
      </c>
      <c r="O121" s="32">
        <v>28.96</v>
      </c>
      <c r="P121" s="32">
        <v>3.4</v>
      </c>
      <c r="Q121" s="34">
        <v>520558</v>
      </c>
      <c r="R121" s="34">
        <v>0</v>
      </c>
      <c r="S121" s="34">
        <v>520558</v>
      </c>
      <c r="T121" s="34">
        <v>93627</v>
      </c>
      <c r="U121" s="34">
        <v>102240</v>
      </c>
      <c r="V121" s="34">
        <v>942</v>
      </c>
      <c r="W121" s="34">
        <v>47514</v>
      </c>
      <c r="X121" s="34">
        <v>5578</v>
      </c>
      <c r="Y121" s="34">
        <v>770459</v>
      </c>
      <c r="Z121" s="34">
        <v>77370</v>
      </c>
      <c r="AA121" s="34">
        <v>693089</v>
      </c>
      <c r="AB121" s="34">
        <v>386637</v>
      </c>
      <c r="AC121" s="34">
        <v>306452</v>
      </c>
    </row>
    <row r="122" spans="1:29" x14ac:dyDescent="0.25">
      <c r="A122" s="31" t="s">
        <v>120</v>
      </c>
      <c r="B122" s="31" t="s">
        <v>736</v>
      </c>
      <c r="C122" s="31" t="s">
        <v>128</v>
      </c>
      <c r="D122" s="31" t="s">
        <v>528</v>
      </c>
      <c r="E122" s="32">
        <v>795.41</v>
      </c>
      <c r="F122" s="33">
        <v>3652.7</v>
      </c>
      <c r="G122" s="32">
        <v>4448.1099999999997</v>
      </c>
      <c r="H122" s="32">
        <v>8.0399999999999991</v>
      </c>
      <c r="I122" s="34">
        <v>160</v>
      </c>
      <c r="J122" s="33">
        <v>0</v>
      </c>
      <c r="K122" s="34">
        <v>3813</v>
      </c>
      <c r="L122" s="32">
        <v>317.27999999999997</v>
      </c>
      <c r="M122" s="32">
        <v>58.7</v>
      </c>
      <c r="N122" s="32">
        <v>64.099999999999994</v>
      </c>
      <c r="O122" s="32">
        <v>28.96</v>
      </c>
      <c r="P122" s="32">
        <v>3.4</v>
      </c>
      <c r="Q122" s="34">
        <v>1411296</v>
      </c>
      <c r="R122" s="34">
        <v>0</v>
      </c>
      <c r="S122" s="34">
        <v>1411296</v>
      </c>
      <c r="T122" s="34">
        <v>223823</v>
      </c>
      <c r="U122" s="34">
        <v>244413</v>
      </c>
      <c r="V122" s="34">
        <v>2551</v>
      </c>
      <c r="W122" s="34">
        <v>128817</v>
      </c>
      <c r="X122" s="34">
        <v>15124</v>
      </c>
      <c r="Y122" s="34">
        <v>2026024</v>
      </c>
      <c r="Z122" s="34">
        <v>219420</v>
      </c>
      <c r="AA122" s="34">
        <v>1806604</v>
      </c>
      <c r="AB122" s="34">
        <v>1038559</v>
      </c>
      <c r="AC122" s="34">
        <v>768045</v>
      </c>
    </row>
    <row r="123" spans="1:29" x14ac:dyDescent="0.25">
      <c r="A123" s="31" t="s">
        <v>120</v>
      </c>
      <c r="B123" s="31" t="s">
        <v>736</v>
      </c>
      <c r="C123" s="31" t="s">
        <v>129</v>
      </c>
      <c r="D123" s="31" t="s">
        <v>529</v>
      </c>
      <c r="E123" s="32">
        <v>102.58</v>
      </c>
      <c r="F123" s="33">
        <v>745</v>
      </c>
      <c r="G123" s="32">
        <v>847.58</v>
      </c>
      <c r="H123" s="32">
        <v>1.53</v>
      </c>
      <c r="I123" s="34">
        <v>0</v>
      </c>
      <c r="J123" s="33">
        <v>0</v>
      </c>
      <c r="K123" s="34">
        <v>745</v>
      </c>
      <c r="L123" s="32">
        <v>317.27999999999997</v>
      </c>
      <c r="M123" s="32">
        <v>58.7</v>
      </c>
      <c r="N123" s="32">
        <v>64.099999999999994</v>
      </c>
      <c r="O123" s="32">
        <v>28.96</v>
      </c>
      <c r="P123" s="32">
        <v>3.4</v>
      </c>
      <c r="Q123" s="34">
        <v>268920</v>
      </c>
      <c r="R123" s="34">
        <v>30153</v>
      </c>
      <c r="S123" s="34">
        <v>299073</v>
      </c>
      <c r="T123" s="34">
        <v>43732</v>
      </c>
      <c r="U123" s="34">
        <v>47755</v>
      </c>
      <c r="V123" s="34">
        <v>485</v>
      </c>
      <c r="W123" s="34">
        <v>24546</v>
      </c>
      <c r="X123" s="34">
        <v>2882</v>
      </c>
      <c r="Y123" s="34">
        <v>418473</v>
      </c>
      <c r="Z123" s="34">
        <v>48308</v>
      </c>
      <c r="AA123" s="34">
        <v>370165</v>
      </c>
      <c r="AB123" s="34">
        <v>191398</v>
      </c>
      <c r="AC123" s="34">
        <v>178767</v>
      </c>
    </row>
    <row r="124" spans="1:29" x14ac:dyDescent="0.25">
      <c r="A124" s="31" t="s">
        <v>120</v>
      </c>
      <c r="B124" s="31" t="s">
        <v>736</v>
      </c>
      <c r="C124" s="31" t="s">
        <v>130</v>
      </c>
      <c r="D124" s="31" t="s">
        <v>530</v>
      </c>
      <c r="E124" s="32">
        <v>2744.36</v>
      </c>
      <c r="F124" s="33">
        <v>14470.6</v>
      </c>
      <c r="G124" s="32">
        <v>17214.96</v>
      </c>
      <c r="H124" s="32">
        <v>31.15</v>
      </c>
      <c r="I124" s="34">
        <v>1690</v>
      </c>
      <c r="J124" s="33">
        <v>1.1000000000000001</v>
      </c>
      <c r="K124" s="34">
        <v>16160</v>
      </c>
      <c r="L124" s="32">
        <v>317.27999999999997</v>
      </c>
      <c r="M124" s="32">
        <v>58.7</v>
      </c>
      <c r="N124" s="32">
        <v>64.099999999999994</v>
      </c>
      <c r="O124" s="32">
        <v>28.96</v>
      </c>
      <c r="P124" s="32">
        <v>3.4</v>
      </c>
      <c r="Q124" s="34">
        <v>5461963</v>
      </c>
      <c r="R124" s="34">
        <v>141045</v>
      </c>
      <c r="S124" s="34">
        <v>5603008</v>
      </c>
      <c r="T124" s="34">
        <v>948592</v>
      </c>
      <c r="U124" s="34">
        <v>1035856</v>
      </c>
      <c r="V124" s="34">
        <v>9883</v>
      </c>
      <c r="W124" s="34">
        <v>507600</v>
      </c>
      <c r="X124" s="34">
        <v>59580</v>
      </c>
      <c r="Y124" s="34">
        <v>8164519</v>
      </c>
      <c r="Z124" s="34">
        <v>800370</v>
      </c>
      <c r="AA124" s="34">
        <v>7364149</v>
      </c>
      <c r="AB124" s="34">
        <v>4078338</v>
      </c>
      <c r="AC124" s="34">
        <v>3285811</v>
      </c>
    </row>
    <row r="125" spans="1:29" x14ac:dyDescent="0.25">
      <c r="A125" s="31" t="s">
        <v>120</v>
      </c>
      <c r="B125" s="31" t="s">
        <v>736</v>
      </c>
      <c r="C125" s="31" t="s">
        <v>131</v>
      </c>
      <c r="D125" s="31" t="s">
        <v>531</v>
      </c>
      <c r="E125" s="32">
        <v>27.17</v>
      </c>
      <c r="F125" s="33">
        <v>211.7</v>
      </c>
      <c r="G125" s="32">
        <v>238.87</v>
      </c>
      <c r="H125" s="32">
        <v>0.43</v>
      </c>
      <c r="I125" s="34">
        <v>1</v>
      </c>
      <c r="J125" s="33">
        <v>0</v>
      </c>
      <c r="K125" s="34">
        <v>213</v>
      </c>
      <c r="L125" s="32">
        <v>317.27999999999997</v>
      </c>
      <c r="M125" s="32">
        <v>58.7</v>
      </c>
      <c r="N125" s="32">
        <v>64.099999999999994</v>
      </c>
      <c r="O125" s="32">
        <v>28.96</v>
      </c>
      <c r="P125" s="32">
        <v>3.4</v>
      </c>
      <c r="Q125" s="34">
        <v>75789</v>
      </c>
      <c r="R125" s="34">
        <v>0</v>
      </c>
      <c r="S125" s="34">
        <v>75789</v>
      </c>
      <c r="T125" s="34">
        <v>12503</v>
      </c>
      <c r="U125" s="34">
        <v>13653</v>
      </c>
      <c r="V125" s="34">
        <v>136</v>
      </c>
      <c r="W125" s="34">
        <v>6918</v>
      </c>
      <c r="X125" s="34">
        <v>812</v>
      </c>
      <c r="Y125" s="34">
        <v>109811</v>
      </c>
      <c r="Z125" s="34">
        <v>13150</v>
      </c>
      <c r="AA125" s="34">
        <v>96661</v>
      </c>
      <c r="AB125" s="34">
        <v>54405</v>
      </c>
      <c r="AC125" s="34">
        <v>42256</v>
      </c>
    </row>
    <row r="126" spans="1:29" x14ac:dyDescent="0.25">
      <c r="A126" s="31" t="s">
        <v>120</v>
      </c>
      <c r="B126" s="31" t="s">
        <v>736</v>
      </c>
      <c r="C126" s="31" t="s">
        <v>132</v>
      </c>
      <c r="D126" s="31" t="s">
        <v>532</v>
      </c>
      <c r="E126" s="32">
        <v>59.13</v>
      </c>
      <c r="F126" s="33">
        <v>530.79999999999995</v>
      </c>
      <c r="G126" s="32">
        <v>589.92999999999995</v>
      </c>
      <c r="H126" s="32">
        <v>1.07</v>
      </c>
      <c r="I126" s="34">
        <v>10</v>
      </c>
      <c r="J126" s="33">
        <v>0</v>
      </c>
      <c r="K126" s="34">
        <v>541</v>
      </c>
      <c r="L126" s="32">
        <v>317.27999999999997</v>
      </c>
      <c r="M126" s="32">
        <v>58.7</v>
      </c>
      <c r="N126" s="32">
        <v>64.099999999999994</v>
      </c>
      <c r="O126" s="32">
        <v>28.96</v>
      </c>
      <c r="P126" s="32">
        <v>3.4</v>
      </c>
      <c r="Q126" s="34">
        <v>187173</v>
      </c>
      <c r="R126" s="34">
        <v>5867</v>
      </c>
      <c r="S126" s="34">
        <v>193040</v>
      </c>
      <c r="T126" s="34">
        <v>31757</v>
      </c>
      <c r="U126" s="34">
        <v>34678</v>
      </c>
      <c r="V126" s="34">
        <v>339</v>
      </c>
      <c r="W126" s="34">
        <v>17568</v>
      </c>
      <c r="X126" s="34">
        <v>2062</v>
      </c>
      <c r="Y126" s="34">
        <v>279444</v>
      </c>
      <c r="Z126" s="34">
        <v>27628</v>
      </c>
      <c r="AA126" s="34">
        <v>251816</v>
      </c>
      <c r="AB126" s="34">
        <v>139752</v>
      </c>
      <c r="AC126" s="34">
        <v>112064</v>
      </c>
    </row>
    <row r="127" spans="1:29" x14ac:dyDescent="0.25">
      <c r="A127" s="31" t="s">
        <v>120</v>
      </c>
      <c r="B127" s="31" t="s">
        <v>736</v>
      </c>
      <c r="C127" s="31" t="s">
        <v>133</v>
      </c>
      <c r="D127" s="31" t="s">
        <v>533</v>
      </c>
      <c r="E127" s="32">
        <v>101.85</v>
      </c>
      <c r="F127" s="33">
        <v>563</v>
      </c>
      <c r="G127" s="32">
        <v>664.85</v>
      </c>
      <c r="H127" s="32">
        <v>1.2</v>
      </c>
      <c r="I127" s="34">
        <v>3</v>
      </c>
      <c r="J127" s="33">
        <v>0</v>
      </c>
      <c r="K127" s="34">
        <v>566</v>
      </c>
      <c r="L127" s="32">
        <v>317.27999999999997</v>
      </c>
      <c r="M127" s="32">
        <v>58.7</v>
      </c>
      <c r="N127" s="32">
        <v>64.099999999999994</v>
      </c>
      <c r="O127" s="32">
        <v>28.96</v>
      </c>
      <c r="P127" s="32">
        <v>3.4</v>
      </c>
      <c r="Q127" s="34">
        <v>210944</v>
      </c>
      <c r="R127" s="34">
        <v>8333</v>
      </c>
      <c r="S127" s="34">
        <v>219277</v>
      </c>
      <c r="T127" s="34">
        <v>33224</v>
      </c>
      <c r="U127" s="34">
        <v>36281</v>
      </c>
      <c r="V127" s="34">
        <v>381</v>
      </c>
      <c r="W127" s="34">
        <v>19254</v>
      </c>
      <c r="X127" s="34">
        <v>2260</v>
      </c>
      <c r="Y127" s="34">
        <v>310677</v>
      </c>
      <c r="Z127" s="34">
        <v>35711</v>
      </c>
      <c r="AA127" s="34">
        <v>274966</v>
      </c>
      <c r="AB127" s="34">
        <v>152316</v>
      </c>
      <c r="AC127" s="34">
        <v>122650</v>
      </c>
    </row>
    <row r="128" spans="1:29" x14ac:dyDescent="0.25">
      <c r="A128" s="31" t="s">
        <v>120</v>
      </c>
      <c r="B128" s="31" t="s">
        <v>736</v>
      </c>
      <c r="C128" s="31" t="s">
        <v>134</v>
      </c>
      <c r="D128" s="31" t="s">
        <v>534</v>
      </c>
      <c r="E128" s="32">
        <v>96.93</v>
      </c>
      <c r="F128" s="33">
        <v>707</v>
      </c>
      <c r="G128" s="32">
        <v>803.93</v>
      </c>
      <c r="H128" s="32">
        <v>1.46</v>
      </c>
      <c r="I128" s="34">
        <v>0</v>
      </c>
      <c r="J128" s="33">
        <v>0</v>
      </c>
      <c r="K128" s="34">
        <v>707</v>
      </c>
      <c r="L128" s="32">
        <v>317.27999999999997</v>
      </c>
      <c r="M128" s="32">
        <v>58.7</v>
      </c>
      <c r="N128" s="32">
        <v>64.099999999999994</v>
      </c>
      <c r="O128" s="32">
        <v>28.96</v>
      </c>
      <c r="P128" s="32">
        <v>3.4</v>
      </c>
      <c r="Q128" s="34">
        <v>255071</v>
      </c>
      <c r="R128" s="34">
        <v>0</v>
      </c>
      <c r="S128" s="34">
        <v>255071</v>
      </c>
      <c r="T128" s="34">
        <v>41501</v>
      </c>
      <c r="U128" s="34">
        <v>45319</v>
      </c>
      <c r="V128" s="34">
        <v>463</v>
      </c>
      <c r="W128" s="34">
        <v>23282</v>
      </c>
      <c r="X128" s="34">
        <v>2733</v>
      </c>
      <c r="Y128" s="34">
        <v>368369</v>
      </c>
      <c r="Z128" s="34">
        <v>39308</v>
      </c>
      <c r="AA128" s="34">
        <v>329061</v>
      </c>
      <c r="AB128" s="34">
        <v>188055</v>
      </c>
      <c r="AC128" s="34">
        <v>141006</v>
      </c>
    </row>
    <row r="129" spans="1:29" x14ac:dyDescent="0.25">
      <c r="A129" s="31" t="s">
        <v>120</v>
      </c>
      <c r="B129" s="31" t="s">
        <v>736</v>
      </c>
      <c r="C129" s="31" t="s">
        <v>135</v>
      </c>
      <c r="D129" s="31" t="s">
        <v>535</v>
      </c>
      <c r="E129" s="32">
        <v>319.89999999999998</v>
      </c>
      <c r="F129" s="33">
        <v>1260.3</v>
      </c>
      <c r="G129" s="32">
        <v>1580.2</v>
      </c>
      <c r="H129" s="32">
        <v>2.86</v>
      </c>
      <c r="I129" s="34">
        <v>127</v>
      </c>
      <c r="J129" s="33">
        <v>0</v>
      </c>
      <c r="K129" s="34">
        <v>1387</v>
      </c>
      <c r="L129" s="32">
        <v>317.27999999999997</v>
      </c>
      <c r="M129" s="32">
        <v>58.7</v>
      </c>
      <c r="N129" s="32">
        <v>64.099999999999994</v>
      </c>
      <c r="O129" s="32">
        <v>28.96</v>
      </c>
      <c r="P129" s="32">
        <v>3.4</v>
      </c>
      <c r="Q129" s="34">
        <v>501366</v>
      </c>
      <c r="R129" s="34">
        <v>0</v>
      </c>
      <c r="S129" s="34">
        <v>501366</v>
      </c>
      <c r="T129" s="34">
        <v>81417</v>
      </c>
      <c r="U129" s="34">
        <v>88907</v>
      </c>
      <c r="V129" s="34">
        <v>907</v>
      </c>
      <c r="W129" s="34">
        <v>45763</v>
      </c>
      <c r="X129" s="34">
        <v>5373</v>
      </c>
      <c r="Y129" s="34">
        <v>723733</v>
      </c>
      <c r="Z129" s="34">
        <v>74194</v>
      </c>
      <c r="AA129" s="34">
        <v>649539</v>
      </c>
      <c r="AB129" s="34">
        <v>372707</v>
      </c>
      <c r="AC129" s="34">
        <v>276832</v>
      </c>
    </row>
    <row r="130" spans="1:29" x14ac:dyDescent="0.25">
      <c r="A130" s="31" t="s">
        <v>120</v>
      </c>
      <c r="B130" s="31" t="s">
        <v>736</v>
      </c>
      <c r="C130" s="31" t="s">
        <v>136</v>
      </c>
      <c r="D130" s="31" t="s">
        <v>536</v>
      </c>
      <c r="E130" s="32">
        <v>675.56</v>
      </c>
      <c r="F130" s="33">
        <v>4690</v>
      </c>
      <c r="G130" s="32">
        <v>5365.56</v>
      </c>
      <c r="H130" s="32">
        <v>9.7100000000000009</v>
      </c>
      <c r="I130" s="34">
        <v>191</v>
      </c>
      <c r="J130" s="33">
        <v>0</v>
      </c>
      <c r="K130" s="34">
        <v>4881</v>
      </c>
      <c r="L130" s="32">
        <v>317.27999999999997</v>
      </c>
      <c r="M130" s="32">
        <v>58.7</v>
      </c>
      <c r="N130" s="32">
        <v>64.099999999999994</v>
      </c>
      <c r="O130" s="32">
        <v>28.96</v>
      </c>
      <c r="P130" s="32">
        <v>3.4</v>
      </c>
      <c r="Q130" s="34">
        <v>1702385</v>
      </c>
      <c r="R130" s="34">
        <v>20635</v>
      </c>
      <c r="S130" s="34">
        <v>1723020</v>
      </c>
      <c r="T130" s="34">
        <v>286515</v>
      </c>
      <c r="U130" s="34">
        <v>312872</v>
      </c>
      <c r="V130" s="34">
        <v>3081</v>
      </c>
      <c r="W130" s="34">
        <v>156805</v>
      </c>
      <c r="X130" s="34">
        <v>18405</v>
      </c>
      <c r="Y130" s="34">
        <v>2500698</v>
      </c>
      <c r="Z130" s="34">
        <v>253669</v>
      </c>
      <c r="AA130" s="34">
        <v>2247029</v>
      </c>
      <c r="AB130" s="34">
        <v>1265359</v>
      </c>
      <c r="AC130" s="34">
        <v>981670</v>
      </c>
    </row>
    <row r="131" spans="1:29" x14ac:dyDescent="0.25">
      <c r="A131" s="31" t="s">
        <v>120</v>
      </c>
      <c r="B131" s="31" t="s">
        <v>736</v>
      </c>
      <c r="C131" s="31" t="s">
        <v>137</v>
      </c>
      <c r="D131" s="31" t="s">
        <v>537</v>
      </c>
      <c r="E131" s="32">
        <v>297.49</v>
      </c>
      <c r="F131" s="33">
        <v>3071</v>
      </c>
      <c r="G131" s="32">
        <v>3368.49</v>
      </c>
      <c r="H131" s="32">
        <v>6.1</v>
      </c>
      <c r="I131" s="34">
        <v>60</v>
      </c>
      <c r="J131" s="33">
        <v>0</v>
      </c>
      <c r="K131" s="34">
        <v>3131</v>
      </c>
      <c r="L131" s="32">
        <v>317.27999999999997</v>
      </c>
      <c r="M131" s="32">
        <v>58.7</v>
      </c>
      <c r="N131" s="32">
        <v>64.099999999999994</v>
      </c>
      <c r="O131" s="32">
        <v>28.96</v>
      </c>
      <c r="P131" s="32">
        <v>3.4</v>
      </c>
      <c r="Q131" s="34">
        <v>1068755</v>
      </c>
      <c r="R131" s="34">
        <v>0</v>
      </c>
      <c r="S131" s="34">
        <v>1068755</v>
      </c>
      <c r="T131" s="34">
        <v>183790</v>
      </c>
      <c r="U131" s="34">
        <v>200697</v>
      </c>
      <c r="V131" s="34">
        <v>1935</v>
      </c>
      <c r="W131" s="34">
        <v>97551</v>
      </c>
      <c r="X131" s="34">
        <v>11453</v>
      </c>
      <c r="Y131" s="34">
        <v>1564181</v>
      </c>
      <c r="Z131" s="34">
        <v>130713</v>
      </c>
      <c r="AA131" s="34">
        <v>1433468</v>
      </c>
      <c r="AB131" s="34">
        <v>821939</v>
      </c>
      <c r="AC131" s="34">
        <v>611529</v>
      </c>
    </row>
    <row r="132" spans="1:29" x14ac:dyDescent="0.25">
      <c r="A132" s="31" t="s">
        <v>120</v>
      </c>
      <c r="B132" s="31" t="s">
        <v>736</v>
      </c>
      <c r="C132" s="31" t="s">
        <v>138</v>
      </c>
      <c r="D132" s="31" t="s">
        <v>538</v>
      </c>
      <c r="E132" s="32">
        <v>59.37</v>
      </c>
      <c r="F132" s="33">
        <v>523.5</v>
      </c>
      <c r="G132" s="32">
        <v>582.87</v>
      </c>
      <c r="H132" s="32">
        <v>1.06</v>
      </c>
      <c r="I132" s="34">
        <v>1</v>
      </c>
      <c r="J132" s="33">
        <v>0</v>
      </c>
      <c r="K132" s="34">
        <v>525</v>
      </c>
      <c r="L132" s="32">
        <v>317.27999999999997</v>
      </c>
      <c r="M132" s="32">
        <v>58.7</v>
      </c>
      <c r="N132" s="32">
        <v>64.099999999999994</v>
      </c>
      <c r="O132" s="32">
        <v>28.96</v>
      </c>
      <c r="P132" s="32">
        <v>3.4</v>
      </c>
      <c r="Q132" s="34">
        <v>184933</v>
      </c>
      <c r="R132" s="34">
        <v>0</v>
      </c>
      <c r="S132" s="34">
        <v>184933</v>
      </c>
      <c r="T132" s="34">
        <v>30818</v>
      </c>
      <c r="U132" s="34">
        <v>33653</v>
      </c>
      <c r="V132" s="34">
        <v>336</v>
      </c>
      <c r="W132" s="34">
        <v>16880</v>
      </c>
      <c r="X132" s="34">
        <v>1982</v>
      </c>
      <c r="Y132" s="34">
        <v>268602</v>
      </c>
      <c r="Z132" s="34">
        <v>30807</v>
      </c>
      <c r="AA132" s="34">
        <v>237795</v>
      </c>
      <c r="AB132" s="34">
        <v>134038</v>
      </c>
      <c r="AC132" s="34">
        <v>103757</v>
      </c>
    </row>
    <row r="133" spans="1:29" x14ac:dyDescent="0.25">
      <c r="A133" s="31" t="s">
        <v>120</v>
      </c>
      <c r="B133" s="31" t="s">
        <v>736</v>
      </c>
      <c r="C133" s="31" t="s">
        <v>139</v>
      </c>
      <c r="D133" s="31" t="s">
        <v>539</v>
      </c>
      <c r="E133" s="32">
        <v>371.03</v>
      </c>
      <c r="F133" s="33">
        <v>5244.2</v>
      </c>
      <c r="G133" s="32">
        <v>5615.23</v>
      </c>
      <c r="H133" s="32">
        <v>10.16</v>
      </c>
      <c r="I133" s="34">
        <v>95</v>
      </c>
      <c r="J133" s="33">
        <v>0</v>
      </c>
      <c r="K133" s="34">
        <v>5339</v>
      </c>
      <c r="L133" s="32">
        <v>317.27999999999997</v>
      </c>
      <c r="M133" s="32">
        <v>58.7</v>
      </c>
      <c r="N133" s="32">
        <v>64.099999999999994</v>
      </c>
      <c r="O133" s="32">
        <v>28.96</v>
      </c>
      <c r="P133" s="32">
        <v>3.4</v>
      </c>
      <c r="Q133" s="34">
        <v>1781600</v>
      </c>
      <c r="R133" s="34">
        <v>0</v>
      </c>
      <c r="S133" s="34">
        <v>1781600</v>
      </c>
      <c r="T133" s="34">
        <v>313399</v>
      </c>
      <c r="U133" s="34">
        <v>342230</v>
      </c>
      <c r="V133" s="34">
        <v>3224</v>
      </c>
      <c r="W133" s="34">
        <v>162617</v>
      </c>
      <c r="X133" s="34">
        <v>19092</v>
      </c>
      <c r="Y133" s="34">
        <v>2622162</v>
      </c>
      <c r="Z133" s="34">
        <v>135851</v>
      </c>
      <c r="AA133" s="34">
        <v>2486311</v>
      </c>
      <c r="AB133" s="34">
        <v>1452206</v>
      </c>
      <c r="AC133" s="34">
        <v>1034105</v>
      </c>
    </row>
    <row r="134" spans="1:29" x14ac:dyDescent="0.25">
      <c r="A134" s="31" t="s">
        <v>120</v>
      </c>
      <c r="B134" s="31" t="s">
        <v>736</v>
      </c>
      <c r="C134" s="31" t="s">
        <v>140</v>
      </c>
      <c r="D134" s="31" t="s">
        <v>540</v>
      </c>
      <c r="E134" s="32">
        <v>139.49</v>
      </c>
      <c r="F134" s="33">
        <v>1238.5</v>
      </c>
      <c r="G134" s="32">
        <v>1377.99</v>
      </c>
      <c r="H134" s="32">
        <v>2.4900000000000002</v>
      </c>
      <c r="I134" s="34">
        <v>4</v>
      </c>
      <c r="J134" s="33">
        <v>0</v>
      </c>
      <c r="K134" s="34">
        <v>1243</v>
      </c>
      <c r="L134" s="32">
        <v>317.27999999999997</v>
      </c>
      <c r="M134" s="32">
        <v>58.7</v>
      </c>
      <c r="N134" s="32">
        <v>64.099999999999994</v>
      </c>
      <c r="O134" s="32">
        <v>28.96</v>
      </c>
      <c r="P134" s="32">
        <v>3.4</v>
      </c>
      <c r="Q134" s="34">
        <v>437209</v>
      </c>
      <c r="R134" s="34">
        <v>16633</v>
      </c>
      <c r="S134" s="34">
        <v>453842</v>
      </c>
      <c r="T134" s="34">
        <v>72964</v>
      </c>
      <c r="U134" s="34">
        <v>79676</v>
      </c>
      <c r="V134" s="34">
        <v>790</v>
      </c>
      <c r="W134" s="34">
        <v>40998</v>
      </c>
      <c r="X134" s="34">
        <v>4812</v>
      </c>
      <c r="Y134" s="34">
        <v>653082</v>
      </c>
      <c r="Z134" s="34">
        <v>51632</v>
      </c>
      <c r="AA134" s="34">
        <v>601450</v>
      </c>
      <c r="AB134" s="34">
        <v>339298</v>
      </c>
      <c r="AC134" s="34">
        <v>262152</v>
      </c>
    </row>
    <row r="135" spans="1:29" x14ac:dyDescent="0.25">
      <c r="A135" s="31" t="s">
        <v>120</v>
      </c>
      <c r="B135" s="31" t="s">
        <v>736</v>
      </c>
      <c r="C135" s="31" t="s">
        <v>141</v>
      </c>
      <c r="D135" s="31" t="s">
        <v>541</v>
      </c>
      <c r="E135" s="32">
        <v>60.36</v>
      </c>
      <c r="F135" s="33">
        <v>843.4</v>
      </c>
      <c r="G135" s="32">
        <v>903.76</v>
      </c>
      <c r="H135" s="32">
        <v>1.63</v>
      </c>
      <c r="I135" s="34">
        <v>0</v>
      </c>
      <c r="J135" s="33">
        <v>0</v>
      </c>
      <c r="K135" s="34">
        <v>843</v>
      </c>
      <c r="L135" s="32">
        <v>317.27999999999997</v>
      </c>
      <c r="M135" s="32">
        <v>58.7</v>
      </c>
      <c r="N135" s="32">
        <v>64.099999999999994</v>
      </c>
      <c r="O135" s="32">
        <v>28.96</v>
      </c>
      <c r="P135" s="32">
        <v>3.4</v>
      </c>
      <c r="Q135" s="34">
        <v>286745</v>
      </c>
      <c r="R135" s="34">
        <v>0</v>
      </c>
      <c r="S135" s="34">
        <v>286745</v>
      </c>
      <c r="T135" s="34">
        <v>49484</v>
      </c>
      <c r="U135" s="34">
        <v>54036</v>
      </c>
      <c r="V135" s="34">
        <v>517</v>
      </c>
      <c r="W135" s="34">
        <v>26173</v>
      </c>
      <c r="X135" s="34">
        <v>3073</v>
      </c>
      <c r="Y135" s="34">
        <v>420028</v>
      </c>
      <c r="Z135" s="34">
        <v>40568</v>
      </c>
      <c r="AA135" s="34">
        <v>379460</v>
      </c>
      <c r="AB135" s="34">
        <v>215026</v>
      </c>
      <c r="AC135" s="34">
        <v>164434</v>
      </c>
    </row>
    <row r="136" spans="1:29" x14ac:dyDescent="0.25">
      <c r="A136" s="31" t="s">
        <v>142</v>
      </c>
      <c r="B136" s="31" t="s">
        <v>737</v>
      </c>
      <c r="C136" s="31" t="s">
        <v>143</v>
      </c>
      <c r="D136" s="31" t="s">
        <v>542</v>
      </c>
      <c r="E136" s="32">
        <v>37.770000000000003</v>
      </c>
      <c r="F136" s="33">
        <v>516.1</v>
      </c>
      <c r="G136" s="32">
        <v>553.87</v>
      </c>
      <c r="H136" s="32">
        <v>0</v>
      </c>
      <c r="I136" s="34">
        <v>22</v>
      </c>
      <c r="J136" s="33">
        <v>0</v>
      </c>
      <c r="K136" s="34">
        <v>538</v>
      </c>
      <c r="L136" s="32">
        <v>315.36</v>
      </c>
      <c r="M136" s="32">
        <v>58.88</v>
      </c>
      <c r="N136" s="32">
        <v>64.7</v>
      </c>
      <c r="O136" s="32">
        <v>29.71</v>
      </c>
      <c r="P136" s="32">
        <v>3.46</v>
      </c>
      <c r="Q136" s="34">
        <v>174668</v>
      </c>
      <c r="R136" s="34">
        <v>0</v>
      </c>
      <c r="S136" s="34">
        <v>174668</v>
      </c>
      <c r="T136" s="34">
        <v>31677</v>
      </c>
      <c r="U136" s="34">
        <v>34809</v>
      </c>
      <c r="V136" s="34">
        <v>0</v>
      </c>
      <c r="W136" s="34">
        <v>16455</v>
      </c>
      <c r="X136" s="34">
        <v>1916</v>
      </c>
      <c r="Y136" s="34">
        <v>259525</v>
      </c>
      <c r="Z136" s="34">
        <v>28260</v>
      </c>
      <c r="AA136" s="34">
        <v>231265</v>
      </c>
      <c r="AB136" s="34">
        <v>128579</v>
      </c>
      <c r="AC136" s="34">
        <v>102686</v>
      </c>
    </row>
    <row r="137" spans="1:29" x14ac:dyDescent="0.25">
      <c r="A137" s="31" t="s">
        <v>142</v>
      </c>
      <c r="B137" s="31" t="s">
        <v>737</v>
      </c>
      <c r="C137" s="31" t="s">
        <v>144</v>
      </c>
      <c r="D137" s="31" t="s">
        <v>543</v>
      </c>
      <c r="E137" s="32">
        <v>143.05000000000001</v>
      </c>
      <c r="F137" s="33">
        <v>1285.4000000000001</v>
      </c>
      <c r="G137" s="32">
        <v>1428.45</v>
      </c>
      <c r="H137" s="32">
        <v>0</v>
      </c>
      <c r="I137" s="34">
        <v>44</v>
      </c>
      <c r="J137" s="33">
        <v>0</v>
      </c>
      <c r="K137" s="34">
        <v>1329</v>
      </c>
      <c r="L137" s="32">
        <v>315.36</v>
      </c>
      <c r="M137" s="32">
        <v>58.88</v>
      </c>
      <c r="N137" s="32">
        <v>64.7</v>
      </c>
      <c r="O137" s="32">
        <v>29.71</v>
      </c>
      <c r="P137" s="32">
        <v>3.46</v>
      </c>
      <c r="Q137" s="34">
        <v>450476</v>
      </c>
      <c r="R137" s="34">
        <v>0</v>
      </c>
      <c r="S137" s="34">
        <v>450476</v>
      </c>
      <c r="T137" s="34">
        <v>78252</v>
      </c>
      <c r="U137" s="34">
        <v>85986</v>
      </c>
      <c r="V137" s="34">
        <v>0</v>
      </c>
      <c r="W137" s="34">
        <v>42439</v>
      </c>
      <c r="X137" s="34">
        <v>4942</v>
      </c>
      <c r="Y137" s="34">
        <v>662095</v>
      </c>
      <c r="Z137" s="34">
        <v>60223</v>
      </c>
      <c r="AA137" s="34">
        <v>601872</v>
      </c>
      <c r="AB137" s="34">
        <v>344271</v>
      </c>
      <c r="AC137" s="34">
        <v>257601</v>
      </c>
    </row>
    <row r="138" spans="1:29" x14ac:dyDescent="0.25">
      <c r="A138" s="31" t="s">
        <v>142</v>
      </c>
      <c r="B138" s="31" t="s">
        <v>737</v>
      </c>
      <c r="C138" s="31" t="s">
        <v>145</v>
      </c>
      <c r="D138" s="31" t="s">
        <v>544</v>
      </c>
      <c r="E138" s="32">
        <v>31.67</v>
      </c>
      <c r="F138" s="33">
        <v>468.1</v>
      </c>
      <c r="G138" s="32">
        <v>499.77</v>
      </c>
      <c r="H138" s="32">
        <v>0</v>
      </c>
      <c r="I138" s="34">
        <v>4</v>
      </c>
      <c r="J138" s="33">
        <v>0</v>
      </c>
      <c r="K138" s="34">
        <v>472</v>
      </c>
      <c r="L138" s="32">
        <v>315.36</v>
      </c>
      <c r="M138" s="32">
        <v>58.88</v>
      </c>
      <c r="N138" s="32">
        <v>64.7</v>
      </c>
      <c r="O138" s="32">
        <v>29.71</v>
      </c>
      <c r="P138" s="32">
        <v>3.46</v>
      </c>
      <c r="Q138" s="34">
        <v>157607</v>
      </c>
      <c r="R138" s="34">
        <v>16721</v>
      </c>
      <c r="S138" s="34">
        <v>174328</v>
      </c>
      <c r="T138" s="34">
        <v>27791</v>
      </c>
      <c r="U138" s="34">
        <v>30538</v>
      </c>
      <c r="V138" s="34">
        <v>0</v>
      </c>
      <c r="W138" s="34">
        <v>15007</v>
      </c>
      <c r="X138" s="34">
        <v>1747</v>
      </c>
      <c r="Y138" s="34">
        <v>249411</v>
      </c>
      <c r="Z138" s="34">
        <v>34138</v>
      </c>
      <c r="AA138" s="34">
        <v>215273</v>
      </c>
      <c r="AB138" s="34">
        <v>107559</v>
      </c>
      <c r="AC138" s="34">
        <v>107714</v>
      </c>
    </row>
    <row r="139" spans="1:29" x14ac:dyDescent="0.25">
      <c r="A139" s="31" t="s">
        <v>142</v>
      </c>
      <c r="B139" s="31" t="s">
        <v>737</v>
      </c>
      <c r="C139" s="31" t="s">
        <v>146</v>
      </c>
      <c r="D139" s="31" t="s">
        <v>545</v>
      </c>
      <c r="E139" s="32">
        <v>159</v>
      </c>
      <c r="F139" s="33">
        <v>1500.9</v>
      </c>
      <c r="G139" s="32">
        <v>1659.9</v>
      </c>
      <c r="H139" s="32">
        <v>0</v>
      </c>
      <c r="I139" s="34">
        <v>159</v>
      </c>
      <c r="J139" s="33">
        <v>0</v>
      </c>
      <c r="K139" s="34">
        <v>1660</v>
      </c>
      <c r="L139" s="32">
        <v>315.36</v>
      </c>
      <c r="M139" s="32">
        <v>58.88</v>
      </c>
      <c r="N139" s="32">
        <v>64.7</v>
      </c>
      <c r="O139" s="32">
        <v>29.71</v>
      </c>
      <c r="P139" s="32">
        <v>3.46</v>
      </c>
      <c r="Q139" s="34">
        <v>523466</v>
      </c>
      <c r="R139" s="34">
        <v>0</v>
      </c>
      <c r="S139" s="34">
        <v>523466</v>
      </c>
      <c r="T139" s="34">
        <v>97741</v>
      </c>
      <c r="U139" s="34">
        <v>107402</v>
      </c>
      <c r="V139" s="34">
        <v>0</v>
      </c>
      <c r="W139" s="34">
        <v>49316</v>
      </c>
      <c r="X139" s="34">
        <v>5743</v>
      </c>
      <c r="Y139" s="34">
        <v>783668</v>
      </c>
      <c r="Z139" s="34">
        <v>79586</v>
      </c>
      <c r="AA139" s="34">
        <v>704082</v>
      </c>
      <c r="AB139" s="34">
        <v>390448</v>
      </c>
      <c r="AC139" s="34">
        <v>313634</v>
      </c>
    </row>
    <row r="140" spans="1:29" x14ac:dyDescent="0.25">
      <c r="A140" s="31" t="s">
        <v>142</v>
      </c>
      <c r="B140" s="31" t="s">
        <v>737</v>
      </c>
      <c r="C140" s="31" t="s">
        <v>147</v>
      </c>
      <c r="D140" s="31" t="s">
        <v>546</v>
      </c>
      <c r="E140" s="32">
        <v>2465.0100000000002</v>
      </c>
      <c r="F140" s="33">
        <v>16236.8</v>
      </c>
      <c r="G140" s="32">
        <v>18701.810000000001</v>
      </c>
      <c r="H140" s="32">
        <v>0</v>
      </c>
      <c r="I140" s="34">
        <v>1884</v>
      </c>
      <c r="J140" s="33">
        <v>20.9</v>
      </c>
      <c r="K140" s="34">
        <v>18100</v>
      </c>
      <c r="L140" s="32">
        <v>315.36</v>
      </c>
      <c r="M140" s="32">
        <v>58.88</v>
      </c>
      <c r="N140" s="32">
        <v>64.7</v>
      </c>
      <c r="O140" s="32">
        <v>29.71</v>
      </c>
      <c r="P140" s="32">
        <v>3.46</v>
      </c>
      <c r="Q140" s="34">
        <v>5897803</v>
      </c>
      <c r="R140" s="34">
        <v>65538</v>
      </c>
      <c r="S140" s="34">
        <v>5963341</v>
      </c>
      <c r="T140" s="34">
        <v>1065728</v>
      </c>
      <c r="U140" s="34">
        <v>1171070</v>
      </c>
      <c r="V140" s="34">
        <v>0</v>
      </c>
      <c r="W140" s="34">
        <v>560606</v>
      </c>
      <c r="X140" s="34">
        <v>65259</v>
      </c>
      <c r="Y140" s="34">
        <v>8826004</v>
      </c>
      <c r="Z140" s="34">
        <v>846317</v>
      </c>
      <c r="AA140" s="34">
        <v>7979687</v>
      </c>
      <c r="AB140" s="34">
        <v>4455001</v>
      </c>
      <c r="AC140" s="34">
        <v>3524686</v>
      </c>
    </row>
    <row r="141" spans="1:29" x14ac:dyDescent="0.25">
      <c r="A141" s="31" t="s">
        <v>142</v>
      </c>
      <c r="B141" s="31" t="s">
        <v>737</v>
      </c>
      <c r="C141" s="31" t="s">
        <v>148</v>
      </c>
      <c r="D141" s="31" t="s">
        <v>547</v>
      </c>
      <c r="E141" s="32">
        <v>138.63999999999999</v>
      </c>
      <c r="F141" s="33">
        <v>1280.9000000000001</v>
      </c>
      <c r="G141" s="32">
        <v>1419.54</v>
      </c>
      <c r="H141" s="32">
        <v>0</v>
      </c>
      <c r="I141" s="34">
        <v>6</v>
      </c>
      <c r="J141" s="33">
        <v>0</v>
      </c>
      <c r="K141" s="34">
        <v>1287</v>
      </c>
      <c r="L141" s="32">
        <v>315.36</v>
      </c>
      <c r="M141" s="32">
        <v>58.88</v>
      </c>
      <c r="N141" s="32">
        <v>64.7</v>
      </c>
      <c r="O141" s="32">
        <v>29.71</v>
      </c>
      <c r="P141" s="32">
        <v>3.46</v>
      </c>
      <c r="Q141" s="34">
        <v>447666</v>
      </c>
      <c r="R141" s="34">
        <v>14127</v>
      </c>
      <c r="S141" s="34">
        <v>461793</v>
      </c>
      <c r="T141" s="34">
        <v>75779</v>
      </c>
      <c r="U141" s="34">
        <v>83269</v>
      </c>
      <c r="V141" s="34">
        <v>0</v>
      </c>
      <c r="W141" s="34">
        <v>43413</v>
      </c>
      <c r="X141" s="34">
        <v>5054</v>
      </c>
      <c r="Y141" s="34">
        <v>669308</v>
      </c>
      <c r="Z141" s="34">
        <v>46594</v>
      </c>
      <c r="AA141" s="34">
        <v>622714</v>
      </c>
      <c r="AB141" s="34">
        <v>356758</v>
      </c>
      <c r="AC141" s="34">
        <v>265956</v>
      </c>
    </row>
    <row r="142" spans="1:29" x14ac:dyDescent="0.25">
      <c r="A142" s="31" t="s">
        <v>142</v>
      </c>
      <c r="B142" s="31" t="s">
        <v>737</v>
      </c>
      <c r="C142" s="31" t="s">
        <v>149</v>
      </c>
      <c r="D142" s="31" t="s">
        <v>548</v>
      </c>
      <c r="E142" s="32">
        <v>41.92</v>
      </c>
      <c r="F142" s="33">
        <v>481</v>
      </c>
      <c r="G142" s="32">
        <v>522.91999999999996</v>
      </c>
      <c r="H142" s="32">
        <v>0</v>
      </c>
      <c r="I142" s="34">
        <v>1</v>
      </c>
      <c r="J142" s="33">
        <v>0</v>
      </c>
      <c r="K142" s="34">
        <v>482</v>
      </c>
      <c r="L142" s="32">
        <v>315.36</v>
      </c>
      <c r="M142" s="32">
        <v>58.88</v>
      </c>
      <c r="N142" s="32">
        <v>64.7</v>
      </c>
      <c r="O142" s="32">
        <v>29.71</v>
      </c>
      <c r="P142" s="32">
        <v>3.46</v>
      </c>
      <c r="Q142" s="34">
        <v>164908</v>
      </c>
      <c r="R142" s="34">
        <v>0</v>
      </c>
      <c r="S142" s="34">
        <v>164908</v>
      </c>
      <c r="T142" s="34">
        <v>28380</v>
      </c>
      <c r="U142" s="34">
        <v>31185</v>
      </c>
      <c r="V142" s="34">
        <v>0</v>
      </c>
      <c r="W142" s="34">
        <v>15536</v>
      </c>
      <c r="X142" s="34">
        <v>1809</v>
      </c>
      <c r="Y142" s="34">
        <v>241818</v>
      </c>
      <c r="Z142" s="34">
        <v>23775</v>
      </c>
      <c r="AA142" s="34">
        <v>218043</v>
      </c>
      <c r="AB142" s="34">
        <v>124300</v>
      </c>
      <c r="AC142" s="34">
        <v>93743</v>
      </c>
    </row>
    <row r="143" spans="1:29" x14ac:dyDescent="0.25">
      <c r="A143" s="31" t="s">
        <v>142</v>
      </c>
      <c r="B143" s="31" t="s">
        <v>737</v>
      </c>
      <c r="C143" s="31" t="s">
        <v>150</v>
      </c>
      <c r="D143" s="31" t="s">
        <v>549</v>
      </c>
      <c r="E143" s="32">
        <v>304.8</v>
      </c>
      <c r="F143" s="33">
        <v>2624.4</v>
      </c>
      <c r="G143" s="32">
        <v>2929.2</v>
      </c>
      <c r="H143" s="32">
        <v>0</v>
      </c>
      <c r="I143" s="34">
        <v>16</v>
      </c>
      <c r="J143" s="33">
        <v>0</v>
      </c>
      <c r="K143" s="34">
        <v>2640</v>
      </c>
      <c r="L143" s="32">
        <v>315.36</v>
      </c>
      <c r="M143" s="32">
        <v>58.88</v>
      </c>
      <c r="N143" s="32">
        <v>64.7</v>
      </c>
      <c r="O143" s="32">
        <v>29.71</v>
      </c>
      <c r="P143" s="32">
        <v>3.46</v>
      </c>
      <c r="Q143" s="34">
        <v>923753</v>
      </c>
      <c r="R143" s="34">
        <v>0</v>
      </c>
      <c r="S143" s="34">
        <v>923753</v>
      </c>
      <c r="T143" s="34">
        <v>155443</v>
      </c>
      <c r="U143" s="34">
        <v>170808</v>
      </c>
      <c r="V143" s="34">
        <v>0</v>
      </c>
      <c r="W143" s="34">
        <v>87027</v>
      </c>
      <c r="X143" s="34">
        <v>10135</v>
      </c>
      <c r="Y143" s="34">
        <v>1347166</v>
      </c>
      <c r="Z143" s="34">
        <v>54531</v>
      </c>
      <c r="AA143" s="34">
        <v>1292635</v>
      </c>
      <c r="AB143" s="34">
        <v>774931</v>
      </c>
      <c r="AC143" s="34">
        <v>517704</v>
      </c>
    </row>
    <row r="144" spans="1:29" x14ac:dyDescent="0.25">
      <c r="A144" s="31" t="s">
        <v>142</v>
      </c>
      <c r="B144" s="31" t="s">
        <v>737</v>
      </c>
      <c r="C144" s="31" t="s">
        <v>151</v>
      </c>
      <c r="D144" s="31" t="s">
        <v>550</v>
      </c>
      <c r="E144" s="32">
        <v>589.19000000000005</v>
      </c>
      <c r="F144" s="33">
        <v>5089.3</v>
      </c>
      <c r="G144" s="32">
        <v>5678.49</v>
      </c>
      <c r="H144" s="32">
        <v>0</v>
      </c>
      <c r="I144" s="34">
        <v>122</v>
      </c>
      <c r="J144" s="33">
        <v>0</v>
      </c>
      <c r="K144" s="34">
        <v>5211</v>
      </c>
      <c r="L144" s="32">
        <v>315.36</v>
      </c>
      <c r="M144" s="32">
        <v>58.88</v>
      </c>
      <c r="N144" s="32">
        <v>64.7</v>
      </c>
      <c r="O144" s="32">
        <v>29.71</v>
      </c>
      <c r="P144" s="32">
        <v>3.46</v>
      </c>
      <c r="Q144" s="34">
        <v>1790769</v>
      </c>
      <c r="R144" s="34">
        <v>0</v>
      </c>
      <c r="S144" s="34">
        <v>1790769</v>
      </c>
      <c r="T144" s="34">
        <v>306824</v>
      </c>
      <c r="U144" s="34">
        <v>337152</v>
      </c>
      <c r="V144" s="34">
        <v>0</v>
      </c>
      <c r="W144" s="34">
        <v>168708</v>
      </c>
      <c r="X144" s="34">
        <v>19648</v>
      </c>
      <c r="Y144" s="34">
        <v>2623101</v>
      </c>
      <c r="Z144" s="34">
        <v>142066</v>
      </c>
      <c r="AA144" s="34">
        <v>2481035</v>
      </c>
      <c r="AB144" s="34">
        <v>1465913</v>
      </c>
      <c r="AC144" s="34">
        <v>1015122</v>
      </c>
    </row>
    <row r="145" spans="1:29" x14ac:dyDescent="0.25">
      <c r="A145" s="31" t="s">
        <v>142</v>
      </c>
      <c r="B145" s="31" t="s">
        <v>737</v>
      </c>
      <c r="C145" s="31" t="s">
        <v>152</v>
      </c>
      <c r="D145" s="31" t="s">
        <v>551</v>
      </c>
      <c r="E145" s="32">
        <v>63.05</v>
      </c>
      <c r="F145" s="33">
        <v>473</v>
      </c>
      <c r="G145" s="32">
        <v>536.04999999999995</v>
      </c>
      <c r="H145" s="32">
        <v>0</v>
      </c>
      <c r="I145" s="34">
        <v>6</v>
      </c>
      <c r="J145" s="33">
        <v>0</v>
      </c>
      <c r="K145" s="34">
        <v>479</v>
      </c>
      <c r="L145" s="32">
        <v>315.36</v>
      </c>
      <c r="M145" s="32">
        <v>58.88</v>
      </c>
      <c r="N145" s="32">
        <v>64.7</v>
      </c>
      <c r="O145" s="32">
        <v>29.71</v>
      </c>
      <c r="P145" s="32">
        <v>3.46</v>
      </c>
      <c r="Q145" s="34">
        <v>169049</v>
      </c>
      <c r="R145" s="34">
        <v>6137</v>
      </c>
      <c r="S145" s="34">
        <v>175186</v>
      </c>
      <c r="T145" s="34">
        <v>28204</v>
      </c>
      <c r="U145" s="34">
        <v>30991</v>
      </c>
      <c r="V145" s="34">
        <v>0</v>
      </c>
      <c r="W145" s="34">
        <v>15926</v>
      </c>
      <c r="X145" s="34">
        <v>1855</v>
      </c>
      <c r="Y145" s="34">
        <v>252162</v>
      </c>
      <c r="Z145" s="34">
        <v>31450</v>
      </c>
      <c r="AA145" s="34">
        <v>220712</v>
      </c>
      <c r="AB145" s="34">
        <v>120344</v>
      </c>
      <c r="AC145" s="34">
        <v>100368</v>
      </c>
    </row>
    <row r="146" spans="1:29" x14ac:dyDescent="0.25">
      <c r="A146" s="31" t="s">
        <v>142</v>
      </c>
      <c r="B146" s="31" t="s">
        <v>737</v>
      </c>
      <c r="C146" s="31" t="s">
        <v>154</v>
      </c>
      <c r="D146" s="31" t="s">
        <v>155</v>
      </c>
      <c r="E146" s="32">
        <v>40.81</v>
      </c>
      <c r="F146" s="33">
        <v>335.7</v>
      </c>
      <c r="G146" s="32">
        <v>376.51</v>
      </c>
      <c r="H146" s="32">
        <v>0</v>
      </c>
      <c r="I146" s="34">
        <v>9</v>
      </c>
      <c r="J146" s="33">
        <v>0</v>
      </c>
      <c r="K146" s="34">
        <v>345</v>
      </c>
      <c r="L146" s="32">
        <v>315.36</v>
      </c>
      <c r="M146" s="32">
        <v>58.88</v>
      </c>
      <c r="N146" s="32">
        <v>64.7</v>
      </c>
      <c r="O146" s="32">
        <v>29.71</v>
      </c>
      <c r="P146" s="32">
        <v>3.46</v>
      </c>
      <c r="Q146" s="34">
        <v>118736</v>
      </c>
      <c r="R146" s="34">
        <v>1960</v>
      </c>
      <c r="S146" s="34">
        <v>120696</v>
      </c>
      <c r="T146" s="34">
        <v>20314</v>
      </c>
      <c r="U146" s="34">
        <v>22322</v>
      </c>
      <c r="V146" s="34">
        <v>0</v>
      </c>
      <c r="W146" s="34">
        <v>11315</v>
      </c>
      <c r="X146" s="34">
        <v>1317</v>
      </c>
      <c r="Y146" s="34">
        <v>175964</v>
      </c>
      <c r="Z146" s="34">
        <v>19800</v>
      </c>
      <c r="AA146" s="34">
        <v>156164</v>
      </c>
      <c r="AB146" s="34">
        <v>86960</v>
      </c>
      <c r="AC146" s="34">
        <v>69204</v>
      </c>
    </row>
    <row r="147" spans="1:29" x14ac:dyDescent="0.25">
      <c r="A147" s="31" t="s">
        <v>142</v>
      </c>
      <c r="B147" s="31" t="s">
        <v>737</v>
      </c>
      <c r="C147" s="31" t="s">
        <v>153</v>
      </c>
      <c r="D147" s="31" t="s">
        <v>552</v>
      </c>
      <c r="E147" s="32">
        <v>65.489999999999995</v>
      </c>
      <c r="F147" s="33">
        <v>609.1</v>
      </c>
      <c r="G147" s="32">
        <v>674.59</v>
      </c>
      <c r="H147" s="32">
        <v>0</v>
      </c>
      <c r="I147" s="34">
        <v>6</v>
      </c>
      <c r="J147" s="33">
        <v>0</v>
      </c>
      <c r="K147" s="34">
        <v>615</v>
      </c>
      <c r="L147" s="32">
        <v>315.36</v>
      </c>
      <c r="M147" s="32">
        <v>58.88</v>
      </c>
      <c r="N147" s="32">
        <v>64.7</v>
      </c>
      <c r="O147" s="32">
        <v>29.71</v>
      </c>
      <c r="P147" s="32">
        <v>3.46</v>
      </c>
      <c r="Q147" s="34">
        <v>212739</v>
      </c>
      <c r="R147" s="34">
        <v>1089</v>
      </c>
      <c r="S147" s="34">
        <v>213828</v>
      </c>
      <c r="T147" s="34">
        <v>36211</v>
      </c>
      <c r="U147" s="34">
        <v>39791</v>
      </c>
      <c r="V147" s="34">
        <v>0</v>
      </c>
      <c r="W147" s="34">
        <v>20102</v>
      </c>
      <c r="X147" s="34">
        <v>2340</v>
      </c>
      <c r="Y147" s="34">
        <v>312272</v>
      </c>
      <c r="Z147" s="34">
        <v>28769</v>
      </c>
      <c r="AA147" s="34">
        <v>283503</v>
      </c>
      <c r="AB147" s="34">
        <v>162321</v>
      </c>
      <c r="AC147" s="34">
        <v>121182</v>
      </c>
    </row>
    <row r="148" spans="1:29" x14ac:dyDescent="0.25">
      <c r="A148" s="31" t="s">
        <v>142</v>
      </c>
      <c r="B148" s="31" t="s">
        <v>737</v>
      </c>
      <c r="C148" s="31" t="s">
        <v>156</v>
      </c>
      <c r="D148" s="31" t="s">
        <v>553</v>
      </c>
      <c r="E148" s="32">
        <v>1441.66</v>
      </c>
      <c r="F148" s="33">
        <v>14283.8</v>
      </c>
      <c r="G148" s="32">
        <v>15725.46</v>
      </c>
      <c r="H148" s="32">
        <v>0</v>
      </c>
      <c r="I148" s="34">
        <v>1106</v>
      </c>
      <c r="J148" s="33">
        <v>1.9</v>
      </c>
      <c r="K148" s="34">
        <v>15388</v>
      </c>
      <c r="L148" s="32">
        <v>315.36</v>
      </c>
      <c r="M148" s="32">
        <v>58.88</v>
      </c>
      <c r="N148" s="32">
        <v>64.7</v>
      </c>
      <c r="O148" s="32">
        <v>29.71</v>
      </c>
      <c r="P148" s="32">
        <v>3.46</v>
      </c>
      <c r="Q148" s="34">
        <v>4959181</v>
      </c>
      <c r="R148" s="34">
        <v>0</v>
      </c>
      <c r="S148" s="34">
        <v>4959181</v>
      </c>
      <c r="T148" s="34">
        <v>906045</v>
      </c>
      <c r="U148" s="34">
        <v>995604</v>
      </c>
      <c r="V148" s="34">
        <v>0</v>
      </c>
      <c r="W148" s="34">
        <v>467203</v>
      </c>
      <c r="X148" s="34">
        <v>54410</v>
      </c>
      <c r="Y148" s="34">
        <v>7382443</v>
      </c>
      <c r="Z148" s="34">
        <v>485100</v>
      </c>
      <c r="AA148" s="34">
        <v>6897343</v>
      </c>
      <c r="AB148" s="34">
        <v>3967878</v>
      </c>
      <c r="AC148" s="34">
        <v>2929465</v>
      </c>
    </row>
    <row r="149" spans="1:29" x14ac:dyDescent="0.25">
      <c r="A149" s="31" t="s">
        <v>142</v>
      </c>
      <c r="B149" s="31" t="s">
        <v>737</v>
      </c>
      <c r="C149" s="31" t="s">
        <v>157</v>
      </c>
      <c r="D149" s="31" t="s">
        <v>554</v>
      </c>
      <c r="E149" s="32">
        <v>52.48</v>
      </c>
      <c r="F149" s="33">
        <v>519.4</v>
      </c>
      <c r="G149" s="32">
        <v>571.88</v>
      </c>
      <c r="H149" s="32">
        <v>0</v>
      </c>
      <c r="I149" s="34">
        <v>1</v>
      </c>
      <c r="J149" s="33">
        <v>0</v>
      </c>
      <c r="K149" s="34">
        <v>520</v>
      </c>
      <c r="L149" s="32">
        <v>315.36</v>
      </c>
      <c r="M149" s="32">
        <v>58.88</v>
      </c>
      <c r="N149" s="32">
        <v>64.7</v>
      </c>
      <c r="O149" s="32">
        <v>29.71</v>
      </c>
      <c r="P149" s="32">
        <v>3.46</v>
      </c>
      <c r="Q149" s="34">
        <v>180348</v>
      </c>
      <c r="R149" s="34">
        <v>7260</v>
      </c>
      <c r="S149" s="34">
        <v>187608</v>
      </c>
      <c r="T149" s="34">
        <v>30618</v>
      </c>
      <c r="U149" s="34">
        <v>33644</v>
      </c>
      <c r="V149" s="34">
        <v>0</v>
      </c>
      <c r="W149" s="34">
        <v>17185</v>
      </c>
      <c r="X149" s="34">
        <v>2000</v>
      </c>
      <c r="Y149" s="34">
        <v>271055</v>
      </c>
      <c r="Z149" s="34">
        <v>30923</v>
      </c>
      <c r="AA149" s="34">
        <v>240132</v>
      </c>
      <c r="AB149" s="34">
        <v>131232</v>
      </c>
      <c r="AC149" s="34">
        <v>108900</v>
      </c>
    </row>
    <row r="150" spans="1:29" x14ac:dyDescent="0.25">
      <c r="A150" s="31" t="s">
        <v>142</v>
      </c>
      <c r="B150" s="31" t="s">
        <v>737</v>
      </c>
      <c r="C150" s="31" t="s">
        <v>158</v>
      </c>
      <c r="D150" s="31" t="s">
        <v>555</v>
      </c>
      <c r="E150" s="32">
        <v>762.14</v>
      </c>
      <c r="F150" s="33">
        <v>7597.9</v>
      </c>
      <c r="G150" s="32">
        <v>8360.0400000000009</v>
      </c>
      <c r="H150" s="32">
        <v>0</v>
      </c>
      <c r="I150" s="34">
        <v>401</v>
      </c>
      <c r="J150" s="33">
        <v>0</v>
      </c>
      <c r="K150" s="34">
        <v>7999</v>
      </c>
      <c r="L150" s="32">
        <v>315.36</v>
      </c>
      <c r="M150" s="32">
        <v>58.88</v>
      </c>
      <c r="N150" s="32">
        <v>64.7</v>
      </c>
      <c r="O150" s="32">
        <v>29.71</v>
      </c>
      <c r="P150" s="32">
        <v>3.46</v>
      </c>
      <c r="Q150" s="34">
        <v>2636422</v>
      </c>
      <c r="R150" s="34">
        <v>0</v>
      </c>
      <c r="S150" s="34">
        <v>2636422</v>
      </c>
      <c r="T150" s="34">
        <v>470981</v>
      </c>
      <c r="U150" s="34">
        <v>517535</v>
      </c>
      <c r="V150" s="34">
        <v>0</v>
      </c>
      <c r="W150" s="34">
        <v>248377</v>
      </c>
      <c r="X150" s="34">
        <v>28926</v>
      </c>
      <c r="Y150" s="34">
        <v>3902241</v>
      </c>
      <c r="Z150" s="34">
        <v>225812</v>
      </c>
      <c r="AA150" s="34">
        <v>3676429</v>
      </c>
      <c r="AB150" s="34">
        <v>2141501</v>
      </c>
      <c r="AC150" s="34">
        <v>1534928</v>
      </c>
    </row>
    <row r="151" spans="1:29" x14ac:dyDescent="0.25">
      <c r="A151" s="31" t="s">
        <v>142</v>
      </c>
      <c r="B151" s="31" t="s">
        <v>737</v>
      </c>
      <c r="C151" s="31" t="s">
        <v>159</v>
      </c>
      <c r="D151" s="31" t="s">
        <v>556</v>
      </c>
      <c r="E151" s="32">
        <v>44.52</v>
      </c>
      <c r="F151" s="33">
        <v>653.70000000000005</v>
      </c>
      <c r="G151" s="32">
        <v>698.22</v>
      </c>
      <c r="H151" s="32">
        <v>0</v>
      </c>
      <c r="I151" s="34">
        <v>8</v>
      </c>
      <c r="J151" s="33">
        <v>0</v>
      </c>
      <c r="K151" s="34">
        <v>662</v>
      </c>
      <c r="L151" s="32">
        <v>315.36</v>
      </c>
      <c r="M151" s="32">
        <v>58.88</v>
      </c>
      <c r="N151" s="32">
        <v>64.7</v>
      </c>
      <c r="O151" s="32">
        <v>29.71</v>
      </c>
      <c r="P151" s="32">
        <v>3.46</v>
      </c>
      <c r="Q151" s="34">
        <v>220191</v>
      </c>
      <c r="R151" s="34">
        <v>0</v>
      </c>
      <c r="S151" s="34">
        <v>220191</v>
      </c>
      <c r="T151" s="34">
        <v>38979</v>
      </c>
      <c r="U151" s="34">
        <v>42831</v>
      </c>
      <c r="V151" s="34">
        <v>0</v>
      </c>
      <c r="W151" s="34">
        <v>20744</v>
      </c>
      <c r="X151" s="34">
        <v>2416</v>
      </c>
      <c r="Y151" s="34">
        <v>325161</v>
      </c>
      <c r="Z151" s="34">
        <v>27550</v>
      </c>
      <c r="AA151" s="34">
        <v>297611</v>
      </c>
      <c r="AB151" s="34">
        <v>170165</v>
      </c>
      <c r="AC151" s="34">
        <v>127446</v>
      </c>
    </row>
    <row r="152" spans="1:29" x14ac:dyDescent="0.25">
      <c r="A152" s="31" t="s">
        <v>142</v>
      </c>
      <c r="B152" s="31" t="s">
        <v>737</v>
      </c>
      <c r="C152" s="31" t="s">
        <v>160</v>
      </c>
      <c r="D152" s="31" t="s">
        <v>557</v>
      </c>
      <c r="E152" s="32">
        <v>30.52</v>
      </c>
      <c r="F152" s="33">
        <v>369.7</v>
      </c>
      <c r="G152" s="32">
        <v>400.22</v>
      </c>
      <c r="H152" s="32">
        <v>0</v>
      </c>
      <c r="I152" s="34">
        <v>3</v>
      </c>
      <c r="J152" s="33">
        <v>0</v>
      </c>
      <c r="K152" s="34">
        <v>373</v>
      </c>
      <c r="L152" s="32">
        <v>315.36</v>
      </c>
      <c r="M152" s="32">
        <v>58.88</v>
      </c>
      <c r="N152" s="32">
        <v>64.7</v>
      </c>
      <c r="O152" s="32">
        <v>29.71</v>
      </c>
      <c r="P152" s="32">
        <v>3.46</v>
      </c>
      <c r="Q152" s="34">
        <v>126213</v>
      </c>
      <c r="R152" s="34">
        <v>2385</v>
      </c>
      <c r="S152" s="34">
        <v>128598</v>
      </c>
      <c r="T152" s="34">
        <v>21962</v>
      </c>
      <c r="U152" s="34">
        <v>24133</v>
      </c>
      <c r="V152" s="34">
        <v>0</v>
      </c>
      <c r="W152" s="34">
        <v>11891</v>
      </c>
      <c r="X152" s="34">
        <v>1385</v>
      </c>
      <c r="Y152" s="34">
        <v>187969</v>
      </c>
      <c r="Z152" s="34">
        <v>18559</v>
      </c>
      <c r="AA152" s="34">
        <v>169410</v>
      </c>
      <c r="AB152" s="34">
        <v>94772</v>
      </c>
      <c r="AC152" s="34">
        <v>74638</v>
      </c>
    </row>
    <row r="153" spans="1:29" x14ac:dyDescent="0.25">
      <c r="A153" s="31" t="s">
        <v>142</v>
      </c>
      <c r="B153" s="31" t="s">
        <v>737</v>
      </c>
      <c r="C153" s="31" t="s">
        <v>161</v>
      </c>
      <c r="D153" s="31" t="s">
        <v>558</v>
      </c>
      <c r="E153" s="32">
        <v>262.88</v>
      </c>
      <c r="F153" s="33">
        <v>1912.1</v>
      </c>
      <c r="G153" s="32">
        <v>2174.98</v>
      </c>
      <c r="H153" s="32">
        <v>0</v>
      </c>
      <c r="I153" s="34">
        <v>77</v>
      </c>
      <c r="J153" s="33">
        <v>0</v>
      </c>
      <c r="K153" s="34">
        <v>1989</v>
      </c>
      <c r="L153" s="32">
        <v>315.36</v>
      </c>
      <c r="M153" s="32">
        <v>58.88</v>
      </c>
      <c r="N153" s="32">
        <v>64.7</v>
      </c>
      <c r="O153" s="32">
        <v>29.71</v>
      </c>
      <c r="P153" s="32">
        <v>3.46</v>
      </c>
      <c r="Q153" s="34">
        <v>685902</v>
      </c>
      <c r="R153" s="34">
        <v>0</v>
      </c>
      <c r="S153" s="34">
        <v>685902</v>
      </c>
      <c r="T153" s="34">
        <v>117112</v>
      </c>
      <c r="U153" s="34">
        <v>128688</v>
      </c>
      <c r="V153" s="34">
        <v>0</v>
      </c>
      <c r="W153" s="34">
        <v>64619</v>
      </c>
      <c r="X153" s="34">
        <v>7525</v>
      </c>
      <c r="Y153" s="34">
        <v>1003846</v>
      </c>
      <c r="Z153" s="34">
        <v>80131</v>
      </c>
      <c r="AA153" s="34">
        <v>923715</v>
      </c>
      <c r="AB153" s="34">
        <v>535758</v>
      </c>
      <c r="AC153" s="34">
        <v>387957</v>
      </c>
    </row>
    <row r="154" spans="1:29" x14ac:dyDescent="0.25">
      <c r="A154" s="31" t="s">
        <v>142</v>
      </c>
      <c r="B154" s="31" t="s">
        <v>737</v>
      </c>
      <c r="C154" s="31" t="s">
        <v>162</v>
      </c>
      <c r="D154" s="31" t="s">
        <v>559</v>
      </c>
      <c r="E154" s="32">
        <v>166.39</v>
      </c>
      <c r="F154" s="33">
        <v>1275.2</v>
      </c>
      <c r="G154" s="32">
        <v>1441.59</v>
      </c>
      <c r="H154" s="32">
        <v>0</v>
      </c>
      <c r="I154" s="34">
        <v>26</v>
      </c>
      <c r="J154" s="33">
        <v>0.5</v>
      </c>
      <c r="K154" s="34">
        <v>1301</v>
      </c>
      <c r="L154" s="32">
        <v>315.36</v>
      </c>
      <c r="M154" s="32">
        <v>58.88</v>
      </c>
      <c r="N154" s="32">
        <v>64.7</v>
      </c>
      <c r="O154" s="32">
        <v>29.71</v>
      </c>
      <c r="P154" s="32">
        <v>3.46</v>
      </c>
      <c r="Q154" s="34">
        <v>454620</v>
      </c>
      <c r="R154" s="34">
        <v>0</v>
      </c>
      <c r="S154" s="34">
        <v>454620</v>
      </c>
      <c r="T154" s="34">
        <v>76603</v>
      </c>
      <c r="U154" s="34">
        <v>84175</v>
      </c>
      <c r="V154" s="34">
        <v>0</v>
      </c>
      <c r="W154" s="34">
        <v>42830</v>
      </c>
      <c r="X154" s="34">
        <v>4988</v>
      </c>
      <c r="Y154" s="34">
        <v>663216</v>
      </c>
      <c r="Z154" s="34">
        <v>55121</v>
      </c>
      <c r="AA154" s="34">
        <v>608095</v>
      </c>
      <c r="AB154" s="34">
        <v>353095</v>
      </c>
      <c r="AC154" s="34">
        <v>255000</v>
      </c>
    </row>
    <row r="155" spans="1:29" x14ac:dyDescent="0.25">
      <c r="A155" s="31" t="s">
        <v>142</v>
      </c>
      <c r="B155" s="31" t="s">
        <v>737</v>
      </c>
      <c r="C155" s="31" t="s">
        <v>163</v>
      </c>
      <c r="D155" s="31" t="s">
        <v>560</v>
      </c>
      <c r="E155" s="32">
        <v>68.78</v>
      </c>
      <c r="F155" s="33">
        <v>511.9</v>
      </c>
      <c r="G155" s="32">
        <v>580.67999999999995</v>
      </c>
      <c r="H155" s="32">
        <v>0</v>
      </c>
      <c r="I155" s="34">
        <v>4</v>
      </c>
      <c r="J155" s="33">
        <v>0</v>
      </c>
      <c r="K155" s="34">
        <v>516</v>
      </c>
      <c r="L155" s="32">
        <v>315.36</v>
      </c>
      <c r="M155" s="32">
        <v>58.88</v>
      </c>
      <c r="N155" s="32">
        <v>64.7</v>
      </c>
      <c r="O155" s="32">
        <v>29.71</v>
      </c>
      <c r="P155" s="32">
        <v>3.46</v>
      </c>
      <c r="Q155" s="34">
        <v>183123</v>
      </c>
      <c r="R155" s="34">
        <v>2389</v>
      </c>
      <c r="S155" s="34">
        <v>185512</v>
      </c>
      <c r="T155" s="34">
        <v>30382</v>
      </c>
      <c r="U155" s="34">
        <v>33385</v>
      </c>
      <c r="V155" s="34">
        <v>0</v>
      </c>
      <c r="W155" s="34">
        <v>17355</v>
      </c>
      <c r="X155" s="34">
        <v>2020</v>
      </c>
      <c r="Y155" s="34">
        <v>268654</v>
      </c>
      <c r="Z155" s="34">
        <v>35327</v>
      </c>
      <c r="AA155" s="34">
        <v>233327</v>
      </c>
      <c r="AB155" s="34">
        <v>129218</v>
      </c>
      <c r="AC155" s="34">
        <v>104109</v>
      </c>
    </row>
    <row r="156" spans="1:29" x14ac:dyDescent="0.25">
      <c r="A156" s="31" t="s">
        <v>142</v>
      </c>
      <c r="B156" s="31" t="s">
        <v>737</v>
      </c>
      <c r="C156" s="31" t="s">
        <v>164</v>
      </c>
      <c r="D156" s="31" t="s">
        <v>561</v>
      </c>
      <c r="E156" s="32">
        <v>122.07</v>
      </c>
      <c r="F156" s="33">
        <v>953.7</v>
      </c>
      <c r="G156" s="32">
        <v>1075.77</v>
      </c>
      <c r="H156" s="32">
        <v>0</v>
      </c>
      <c r="I156" s="34">
        <v>90</v>
      </c>
      <c r="J156" s="33">
        <v>2.2000000000000002</v>
      </c>
      <c r="K156" s="34">
        <v>1042</v>
      </c>
      <c r="L156" s="32">
        <v>315.36</v>
      </c>
      <c r="M156" s="32">
        <v>58.88</v>
      </c>
      <c r="N156" s="32">
        <v>64.7</v>
      </c>
      <c r="O156" s="32">
        <v>29.71</v>
      </c>
      <c r="P156" s="32">
        <v>3.46</v>
      </c>
      <c r="Q156" s="34">
        <v>339255</v>
      </c>
      <c r="R156" s="34">
        <v>6458</v>
      </c>
      <c r="S156" s="34">
        <v>345713</v>
      </c>
      <c r="T156" s="34">
        <v>61353</v>
      </c>
      <c r="U156" s="34">
        <v>67417</v>
      </c>
      <c r="V156" s="34">
        <v>0</v>
      </c>
      <c r="W156" s="34">
        <v>31961</v>
      </c>
      <c r="X156" s="34">
        <v>3722</v>
      </c>
      <c r="Y156" s="34">
        <v>510166</v>
      </c>
      <c r="Z156" s="34">
        <v>48152</v>
      </c>
      <c r="AA156" s="34">
        <v>462014</v>
      </c>
      <c r="AB156" s="34">
        <v>256474</v>
      </c>
      <c r="AC156" s="34">
        <v>205540</v>
      </c>
    </row>
    <row r="157" spans="1:29" x14ac:dyDescent="0.25">
      <c r="A157" s="31" t="s">
        <v>142</v>
      </c>
      <c r="B157" s="31" t="s">
        <v>737</v>
      </c>
      <c r="C157" s="31" t="s">
        <v>165</v>
      </c>
      <c r="D157" s="31" t="s">
        <v>562</v>
      </c>
      <c r="E157" s="32">
        <v>82.64</v>
      </c>
      <c r="F157" s="33">
        <v>1122.4000000000001</v>
      </c>
      <c r="G157" s="32">
        <v>1205.04</v>
      </c>
      <c r="H157" s="32">
        <v>0</v>
      </c>
      <c r="I157" s="34">
        <v>26</v>
      </c>
      <c r="J157" s="33">
        <v>0</v>
      </c>
      <c r="K157" s="34">
        <v>1148</v>
      </c>
      <c r="L157" s="32">
        <v>315.36</v>
      </c>
      <c r="M157" s="32">
        <v>58.88</v>
      </c>
      <c r="N157" s="32">
        <v>64.7</v>
      </c>
      <c r="O157" s="32">
        <v>29.71</v>
      </c>
      <c r="P157" s="32">
        <v>3.46</v>
      </c>
      <c r="Q157" s="34">
        <v>380021</v>
      </c>
      <c r="R157" s="34">
        <v>0</v>
      </c>
      <c r="S157" s="34">
        <v>380021</v>
      </c>
      <c r="T157" s="34">
        <v>67594</v>
      </c>
      <c r="U157" s="34">
        <v>74276</v>
      </c>
      <c r="V157" s="34">
        <v>0</v>
      </c>
      <c r="W157" s="34">
        <v>35802</v>
      </c>
      <c r="X157" s="34">
        <v>4169</v>
      </c>
      <c r="Y157" s="34">
        <v>561862</v>
      </c>
      <c r="Z157" s="34">
        <v>45951</v>
      </c>
      <c r="AA157" s="34">
        <v>515911</v>
      </c>
      <c r="AB157" s="34">
        <v>295280</v>
      </c>
      <c r="AC157" s="34">
        <v>220631</v>
      </c>
    </row>
    <row r="158" spans="1:29" x14ac:dyDescent="0.25">
      <c r="A158" s="31" t="s">
        <v>142</v>
      </c>
      <c r="B158" s="31" t="s">
        <v>737</v>
      </c>
      <c r="C158" s="31" t="s">
        <v>166</v>
      </c>
      <c r="D158" s="31" t="s">
        <v>563</v>
      </c>
      <c r="E158" s="32">
        <v>126.72</v>
      </c>
      <c r="F158" s="33">
        <v>735.3</v>
      </c>
      <c r="G158" s="32">
        <v>862.02</v>
      </c>
      <c r="H158" s="32">
        <v>0</v>
      </c>
      <c r="I158" s="34">
        <v>0</v>
      </c>
      <c r="J158" s="33">
        <v>0</v>
      </c>
      <c r="K158" s="34">
        <v>735</v>
      </c>
      <c r="L158" s="32">
        <v>315.36</v>
      </c>
      <c r="M158" s="32">
        <v>58.88</v>
      </c>
      <c r="N158" s="32">
        <v>64.7</v>
      </c>
      <c r="O158" s="32">
        <v>29.71</v>
      </c>
      <c r="P158" s="32">
        <v>3.46</v>
      </c>
      <c r="Q158" s="34">
        <v>271847</v>
      </c>
      <c r="R158" s="34">
        <v>9177</v>
      </c>
      <c r="S158" s="34">
        <v>281024</v>
      </c>
      <c r="T158" s="34">
        <v>43277</v>
      </c>
      <c r="U158" s="34">
        <v>47555</v>
      </c>
      <c r="V158" s="34">
        <v>0</v>
      </c>
      <c r="W158" s="34">
        <v>25611</v>
      </c>
      <c r="X158" s="34">
        <v>2983</v>
      </c>
      <c r="Y158" s="34">
        <v>400450</v>
      </c>
      <c r="Z158" s="34">
        <v>44471</v>
      </c>
      <c r="AA158" s="34">
        <v>355979</v>
      </c>
      <c r="AB158" s="34">
        <v>199628</v>
      </c>
      <c r="AC158" s="34">
        <v>156351</v>
      </c>
    </row>
    <row r="159" spans="1:29" x14ac:dyDescent="0.25">
      <c r="A159" s="31" t="s">
        <v>142</v>
      </c>
      <c r="B159" s="31" t="s">
        <v>737</v>
      </c>
      <c r="C159" s="31" t="s">
        <v>167</v>
      </c>
      <c r="D159" s="31" t="s">
        <v>564</v>
      </c>
      <c r="E159" s="32">
        <v>45.15</v>
      </c>
      <c r="F159" s="33">
        <v>585.29999999999995</v>
      </c>
      <c r="G159" s="32">
        <v>630.45000000000005</v>
      </c>
      <c r="H159" s="32">
        <v>0</v>
      </c>
      <c r="I159" s="34">
        <v>2</v>
      </c>
      <c r="J159" s="33">
        <v>0</v>
      </c>
      <c r="K159" s="34">
        <v>587</v>
      </c>
      <c r="L159" s="32">
        <v>315.36</v>
      </c>
      <c r="M159" s="32">
        <v>58.88</v>
      </c>
      <c r="N159" s="32">
        <v>64.7</v>
      </c>
      <c r="O159" s="32">
        <v>29.71</v>
      </c>
      <c r="P159" s="32">
        <v>3.46</v>
      </c>
      <c r="Q159" s="34">
        <v>198819</v>
      </c>
      <c r="R159" s="34">
        <v>16950</v>
      </c>
      <c r="S159" s="34">
        <v>215769</v>
      </c>
      <c r="T159" s="34">
        <v>34563</v>
      </c>
      <c r="U159" s="34">
        <v>37979</v>
      </c>
      <c r="V159" s="34">
        <v>0</v>
      </c>
      <c r="W159" s="34">
        <v>18995</v>
      </c>
      <c r="X159" s="34">
        <v>2211</v>
      </c>
      <c r="Y159" s="34">
        <v>309517</v>
      </c>
      <c r="Z159" s="34">
        <v>34751</v>
      </c>
      <c r="AA159" s="34">
        <v>274766</v>
      </c>
      <c r="AB159" s="34">
        <v>144068</v>
      </c>
      <c r="AC159" s="34">
        <v>130698</v>
      </c>
    </row>
    <row r="160" spans="1:29" x14ac:dyDescent="0.25">
      <c r="A160" s="31" t="s">
        <v>142</v>
      </c>
      <c r="B160" s="31" t="s">
        <v>737</v>
      </c>
      <c r="C160" s="31" t="s">
        <v>168</v>
      </c>
      <c r="D160" s="31" t="s">
        <v>565</v>
      </c>
      <c r="E160" s="32">
        <v>28.87</v>
      </c>
      <c r="F160" s="33">
        <v>218</v>
      </c>
      <c r="G160" s="32">
        <v>246.87</v>
      </c>
      <c r="H160" s="32">
        <v>0</v>
      </c>
      <c r="I160" s="34">
        <v>6</v>
      </c>
      <c r="J160" s="33">
        <v>0</v>
      </c>
      <c r="K160" s="34">
        <v>224</v>
      </c>
      <c r="L160" s="32">
        <v>315.36</v>
      </c>
      <c r="M160" s="32">
        <v>58.88</v>
      </c>
      <c r="N160" s="32">
        <v>64.7</v>
      </c>
      <c r="O160" s="32">
        <v>29.71</v>
      </c>
      <c r="P160" s="32">
        <v>3.46</v>
      </c>
      <c r="Q160" s="34">
        <v>77853</v>
      </c>
      <c r="R160" s="34">
        <v>649</v>
      </c>
      <c r="S160" s="34">
        <v>78502</v>
      </c>
      <c r="T160" s="34">
        <v>13189</v>
      </c>
      <c r="U160" s="34">
        <v>14493</v>
      </c>
      <c r="V160" s="34">
        <v>0</v>
      </c>
      <c r="W160" s="34">
        <v>7335</v>
      </c>
      <c r="X160" s="34">
        <v>854</v>
      </c>
      <c r="Y160" s="34">
        <v>114373</v>
      </c>
      <c r="Z160" s="34">
        <v>14596</v>
      </c>
      <c r="AA160" s="34">
        <v>99777</v>
      </c>
      <c r="AB160" s="34">
        <v>55311</v>
      </c>
      <c r="AC160" s="34">
        <v>44466</v>
      </c>
    </row>
    <row r="161" spans="1:29" x14ac:dyDescent="0.25">
      <c r="A161" s="31" t="s">
        <v>142</v>
      </c>
      <c r="B161" s="31" t="s">
        <v>737</v>
      </c>
      <c r="C161" s="31" t="s">
        <v>169</v>
      </c>
      <c r="D161" s="31" t="s">
        <v>566</v>
      </c>
      <c r="E161" s="32">
        <v>91.09</v>
      </c>
      <c r="F161" s="33">
        <v>1414.1</v>
      </c>
      <c r="G161" s="32">
        <v>1505.19</v>
      </c>
      <c r="H161" s="32">
        <v>0</v>
      </c>
      <c r="I161" s="34">
        <v>19</v>
      </c>
      <c r="J161" s="33">
        <v>0</v>
      </c>
      <c r="K161" s="34">
        <v>1433</v>
      </c>
      <c r="L161" s="32">
        <v>315.36</v>
      </c>
      <c r="M161" s="32">
        <v>58.88</v>
      </c>
      <c r="N161" s="32">
        <v>64.7</v>
      </c>
      <c r="O161" s="32">
        <v>29.71</v>
      </c>
      <c r="P161" s="32">
        <v>3.46</v>
      </c>
      <c r="Q161" s="34">
        <v>474677</v>
      </c>
      <c r="R161" s="34">
        <v>0</v>
      </c>
      <c r="S161" s="34">
        <v>474677</v>
      </c>
      <c r="T161" s="34">
        <v>84375</v>
      </c>
      <c r="U161" s="34">
        <v>92715</v>
      </c>
      <c r="V161" s="34">
        <v>0</v>
      </c>
      <c r="W161" s="34">
        <v>44719</v>
      </c>
      <c r="X161" s="34">
        <v>5208</v>
      </c>
      <c r="Y161" s="34">
        <v>701694</v>
      </c>
      <c r="Z161" s="34">
        <v>48951</v>
      </c>
      <c r="AA161" s="34">
        <v>652743</v>
      </c>
      <c r="AB161" s="34">
        <v>377274</v>
      </c>
      <c r="AC161" s="34">
        <v>275469</v>
      </c>
    </row>
    <row r="162" spans="1:29" x14ac:dyDescent="0.25">
      <c r="A162" s="31" t="s">
        <v>142</v>
      </c>
      <c r="B162" s="31" t="s">
        <v>737</v>
      </c>
      <c r="C162" s="31" t="s">
        <v>170</v>
      </c>
      <c r="D162" s="31" t="s">
        <v>567</v>
      </c>
      <c r="E162" s="32">
        <v>38.630000000000003</v>
      </c>
      <c r="F162" s="33">
        <v>404</v>
      </c>
      <c r="G162" s="32">
        <v>442.63</v>
      </c>
      <c r="H162" s="32">
        <v>0</v>
      </c>
      <c r="I162" s="34">
        <v>8</v>
      </c>
      <c r="J162" s="33">
        <v>0</v>
      </c>
      <c r="K162" s="34">
        <v>412</v>
      </c>
      <c r="L162" s="32">
        <v>315.36</v>
      </c>
      <c r="M162" s="32">
        <v>58.88</v>
      </c>
      <c r="N162" s="32">
        <v>64.7</v>
      </c>
      <c r="O162" s="32">
        <v>29.71</v>
      </c>
      <c r="P162" s="32">
        <v>3.46</v>
      </c>
      <c r="Q162" s="34">
        <v>139588</v>
      </c>
      <c r="R162" s="34">
        <v>0</v>
      </c>
      <c r="S162" s="34">
        <v>139588</v>
      </c>
      <c r="T162" s="34">
        <v>24259</v>
      </c>
      <c r="U162" s="34">
        <v>26656</v>
      </c>
      <c r="V162" s="34">
        <v>0</v>
      </c>
      <c r="W162" s="34">
        <v>13151</v>
      </c>
      <c r="X162" s="34">
        <v>1531</v>
      </c>
      <c r="Y162" s="34">
        <v>205185</v>
      </c>
      <c r="Z162" s="34">
        <v>21853</v>
      </c>
      <c r="AA162" s="34">
        <v>183332</v>
      </c>
      <c r="AB162" s="34">
        <v>103487</v>
      </c>
      <c r="AC162" s="34">
        <v>79845</v>
      </c>
    </row>
    <row r="163" spans="1:29" x14ac:dyDescent="0.25">
      <c r="A163" s="31" t="s">
        <v>142</v>
      </c>
      <c r="B163" s="31" t="s">
        <v>737</v>
      </c>
      <c r="C163" s="31" t="s">
        <v>171</v>
      </c>
      <c r="D163" s="31" t="s">
        <v>568</v>
      </c>
      <c r="E163" s="32">
        <v>126.14</v>
      </c>
      <c r="F163" s="33">
        <v>873</v>
      </c>
      <c r="G163" s="32">
        <v>999.14</v>
      </c>
      <c r="H163" s="32">
        <v>0</v>
      </c>
      <c r="I163" s="34">
        <v>3</v>
      </c>
      <c r="J163" s="33">
        <v>0</v>
      </c>
      <c r="K163" s="34">
        <v>876</v>
      </c>
      <c r="L163" s="32">
        <v>315.36</v>
      </c>
      <c r="M163" s="32">
        <v>58.88</v>
      </c>
      <c r="N163" s="32">
        <v>64.7</v>
      </c>
      <c r="O163" s="32">
        <v>29.71</v>
      </c>
      <c r="P163" s="32">
        <v>3.46</v>
      </c>
      <c r="Q163" s="34">
        <v>315089</v>
      </c>
      <c r="R163" s="34">
        <v>0</v>
      </c>
      <c r="S163" s="34">
        <v>315089</v>
      </c>
      <c r="T163" s="34">
        <v>51579</v>
      </c>
      <c r="U163" s="34">
        <v>56677</v>
      </c>
      <c r="V163" s="34">
        <v>0</v>
      </c>
      <c r="W163" s="34">
        <v>29684</v>
      </c>
      <c r="X163" s="34">
        <v>3457</v>
      </c>
      <c r="Y163" s="34">
        <v>456486</v>
      </c>
      <c r="Z163" s="34">
        <v>38524</v>
      </c>
      <c r="AA163" s="34">
        <v>417962</v>
      </c>
      <c r="AB163" s="34">
        <v>244402</v>
      </c>
      <c r="AC163" s="34">
        <v>173560</v>
      </c>
    </row>
    <row r="164" spans="1:29" x14ac:dyDescent="0.25">
      <c r="A164" s="31" t="s">
        <v>142</v>
      </c>
      <c r="B164" s="31" t="s">
        <v>737</v>
      </c>
      <c r="C164" s="31" t="s">
        <v>172</v>
      </c>
      <c r="D164" s="31" t="s">
        <v>569</v>
      </c>
      <c r="E164" s="32">
        <v>210.54</v>
      </c>
      <c r="F164" s="33">
        <v>1547.4</v>
      </c>
      <c r="G164" s="32">
        <v>1757.94</v>
      </c>
      <c r="H164" s="32">
        <v>0</v>
      </c>
      <c r="I164" s="34">
        <v>19</v>
      </c>
      <c r="J164" s="33">
        <v>0</v>
      </c>
      <c r="K164" s="34">
        <v>1566</v>
      </c>
      <c r="L164" s="32">
        <v>315.36</v>
      </c>
      <c r="M164" s="32">
        <v>58.88</v>
      </c>
      <c r="N164" s="32">
        <v>64.7</v>
      </c>
      <c r="O164" s="32">
        <v>29.71</v>
      </c>
      <c r="P164" s="32">
        <v>3.46</v>
      </c>
      <c r="Q164" s="34">
        <v>554384</v>
      </c>
      <c r="R164" s="34">
        <v>0</v>
      </c>
      <c r="S164" s="34">
        <v>554384</v>
      </c>
      <c r="T164" s="34">
        <v>92206</v>
      </c>
      <c r="U164" s="34">
        <v>101320</v>
      </c>
      <c r="V164" s="34">
        <v>0</v>
      </c>
      <c r="W164" s="34">
        <v>52228</v>
      </c>
      <c r="X164" s="34">
        <v>6082</v>
      </c>
      <c r="Y164" s="34">
        <v>806220</v>
      </c>
      <c r="Z164" s="34">
        <v>88383</v>
      </c>
      <c r="AA164" s="34">
        <v>717837</v>
      </c>
      <c r="AB164" s="34">
        <v>409412</v>
      </c>
      <c r="AC164" s="34">
        <v>308425</v>
      </c>
    </row>
    <row r="165" spans="1:29" x14ac:dyDescent="0.25">
      <c r="A165" s="31" t="s">
        <v>142</v>
      </c>
      <c r="B165" s="31" t="s">
        <v>737</v>
      </c>
      <c r="C165" s="31" t="s">
        <v>173</v>
      </c>
      <c r="D165" s="31" t="s">
        <v>570</v>
      </c>
      <c r="E165" s="32">
        <v>224.34</v>
      </c>
      <c r="F165" s="33">
        <v>1615.5</v>
      </c>
      <c r="G165" s="32">
        <v>1839.84</v>
      </c>
      <c r="H165" s="32">
        <v>0</v>
      </c>
      <c r="I165" s="34">
        <v>78</v>
      </c>
      <c r="J165" s="33">
        <v>0.6</v>
      </c>
      <c r="K165" s="34">
        <v>1693</v>
      </c>
      <c r="L165" s="32">
        <v>315.36</v>
      </c>
      <c r="M165" s="32">
        <v>58.88</v>
      </c>
      <c r="N165" s="32">
        <v>64.7</v>
      </c>
      <c r="O165" s="32">
        <v>29.71</v>
      </c>
      <c r="P165" s="32">
        <v>3.46</v>
      </c>
      <c r="Q165" s="34">
        <v>580212</v>
      </c>
      <c r="R165" s="34">
        <v>20549</v>
      </c>
      <c r="S165" s="34">
        <v>600761</v>
      </c>
      <c r="T165" s="34">
        <v>99684</v>
      </c>
      <c r="U165" s="34">
        <v>109537</v>
      </c>
      <c r="V165" s="34">
        <v>0</v>
      </c>
      <c r="W165" s="34">
        <v>56477</v>
      </c>
      <c r="X165" s="34">
        <v>6574</v>
      </c>
      <c r="Y165" s="34">
        <v>873033</v>
      </c>
      <c r="Z165" s="34">
        <v>80503</v>
      </c>
      <c r="AA165" s="34">
        <v>792530</v>
      </c>
      <c r="AB165" s="34">
        <v>442508</v>
      </c>
      <c r="AC165" s="34">
        <v>350022</v>
      </c>
    </row>
    <row r="166" spans="1:29" x14ac:dyDescent="0.25">
      <c r="A166" s="31" t="s">
        <v>142</v>
      </c>
      <c r="B166" s="31" t="s">
        <v>737</v>
      </c>
      <c r="C166" s="31" t="s">
        <v>174</v>
      </c>
      <c r="D166" s="31" t="s">
        <v>571</v>
      </c>
      <c r="E166" s="32">
        <v>90.87</v>
      </c>
      <c r="F166" s="33">
        <v>757.9</v>
      </c>
      <c r="G166" s="32">
        <v>848.77</v>
      </c>
      <c r="H166" s="32">
        <v>0</v>
      </c>
      <c r="I166" s="34">
        <v>9</v>
      </c>
      <c r="J166" s="33">
        <v>0</v>
      </c>
      <c r="K166" s="34">
        <v>767</v>
      </c>
      <c r="L166" s="32">
        <v>315.36</v>
      </c>
      <c r="M166" s="32">
        <v>58.88</v>
      </c>
      <c r="N166" s="32">
        <v>64.7</v>
      </c>
      <c r="O166" s="32">
        <v>29.71</v>
      </c>
      <c r="P166" s="32">
        <v>3.46</v>
      </c>
      <c r="Q166" s="34">
        <v>267668</v>
      </c>
      <c r="R166" s="34">
        <v>0</v>
      </c>
      <c r="S166" s="34">
        <v>267668</v>
      </c>
      <c r="T166" s="34">
        <v>45161</v>
      </c>
      <c r="U166" s="34">
        <v>49625</v>
      </c>
      <c r="V166" s="34">
        <v>0</v>
      </c>
      <c r="W166" s="34">
        <v>25217</v>
      </c>
      <c r="X166" s="34">
        <v>2937</v>
      </c>
      <c r="Y166" s="34">
        <v>390608</v>
      </c>
      <c r="Z166" s="34">
        <v>35036</v>
      </c>
      <c r="AA166" s="34">
        <v>355572</v>
      </c>
      <c r="AB166" s="34">
        <v>205311</v>
      </c>
      <c r="AC166" s="34">
        <v>150261</v>
      </c>
    </row>
    <row r="167" spans="1:29" x14ac:dyDescent="0.25">
      <c r="A167" s="31" t="s">
        <v>142</v>
      </c>
      <c r="B167" s="31" t="s">
        <v>737</v>
      </c>
      <c r="C167" s="31" t="s">
        <v>175</v>
      </c>
      <c r="D167" s="31" t="s">
        <v>572</v>
      </c>
      <c r="E167" s="32">
        <v>96.51</v>
      </c>
      <c r="F167" s="33">
        <v>1142.5999999999999</v>
      </c>
      <c r="G167" s="32">
        <v>1239.1099999999999</v>
      </c>
      <c r="H167" s="32">
        <v>0</v>
      </c>
      <c r="I167" s="34">
        <v>73</v>
      </c>
      <c r="J167" s="33">
        <v>1.5</v>
      </c>
      <c r="K167" s="34">
        <v>1214</v>
      </c>
      <c r="L167" s="32">
        <v>315.36</v>
      </c>
      <c r="M167" s="32">
        <v>58.88</v>
      </c>
      <c r="N167" s="32">
        <v>64.7</v>
      </c>
      <c r="O167" s="32">
        <v>29.71</v>
      </c>
      <c r="P167" s="32">
        <v>3.46</v>
      </c>
      <c r="Q167" s="34">
        <v>390766</v>
      </c>
      <c r="R167" s="34">
        <v>0</v>
      </c>
      <c r="S167" s="34">
        <v>390766</v>
      </c>
      <c r="T167" s="34">
        <v>71480</v>
      </c>
      <c r="U167" s="34">
        <v>78546</v>
      </c>
      <c r="V167" s="34">
        <v>0</v>
      </c>
      <c r="W167" s="34">
        <v>36814</v>
      </c>
      <c r="X167" s="34">
        <v>4287</v>
      </c>
      <c r="Y167" s="34">
        <v>581893</v>
      </c>
      <c r="Z167" s="34">
        <v>51123</v>
      </c>
      <c r="AA167" s="34">
        <v>530770</v>
      </c>
      <c r="AB167" s="34">
        <v>299756</v>
      </c>
      <c r="AC167" s="34">
        <v>231014</v>
      </c>
    </row>
    <row r="168" spans="1:29" x14ac:dyDescent="0.25">
      <c r="A168" s="31" t="s">
        <v>176</v>
      </c>
      <c r="B168" s="31" t="s">
        <v>738</v>
      </c>
      <c r="C168" s="31" t="s">
        <v>177</v>
      </c>
      <c r="D168" s="31" t="s">
        <v>573</v>
      </c>
      <c r="E168" s="32">
        <v>36.82</v>
      </c>
      <c r="F168" s="33">
        <v>295.2</v>
      </c>
      <c r="G168" s="32">
        <v>332.02</v>
      </c>
      <c r="H168" s="32">
        <v>0</v>
      </c>
      <c r="I168" s="34">
        <v>0</v>
      </c>
      <c r="J168" s="33">
        <v>0</v>
      </c>
      <c r="K168" s="34">
        <v>295</v>
      </c>
      <c r="L168" s="32">
        <v>308.26</v>
      </c>
      <c r="M168" s="32">
        <v>58.76</v>
      </c>
      <c r="N168" s="32">
        <v>64.52</v>
      </c>
      <c r="O168" s="32">
        <v>25.94</v>
      </c>
      <c r="P168" s="32">
        <v>3.27</v>
      </c>
      <c r="Q168" s="34">
        <v>102348</v>
      </c>
      <c r="R168" s="34">
        <v>3975</v>
      </c>
      <c r="S168" s="34">
        <v>106323</v>
      </c>
      <c r="T168" s="34">
        <v>17334</v>
      </c>
      <c r="U168" s="34">
        <v>19033</v>
      </c>
      <c r="V168" s="34">
        <v>0</v>
      </c>
      <c r="W168" s="34">
        <v>8613</v>
      </c>
      <c r="X168" s="34">
        <v>1086</v>
      </c>
      <c r="Y168" s="34">
        <v>152389</v>
      </c>
      <c r="Z168" s="34">
        <v>16927</v>
      </c>
      <c r="AA168" s="34">
        <v>135462</v>
      </c>
      <c r="AB168" s="34">
        <v>75777</v>
      </c>
      <c r="AC168" s="34">
        <v>59685</v>
      </c>
    </row>
    <row r="169" spans="1:29" x14ac:dyDescent="0.25">
      <c r="A169" s="31" t="s">
        <v>176</v>
      </c>
      <c r="B169" s="31" t="s">
        <v>738</v>
      </c>
      <c r="C169" s="31" t="s">
        <v>178</v>
      </c>
      <c r="D169" s="31" t="s">
        <v>574</v>
      </c>
      <c r="E169" s="32">
        <v>196.52</v>
      </c>
      <c r="F169" s="33">
        <v>2004.3</v>
      </c>
      <c r="G169" s="32">
        <v>2200.8200000000002</v>
      </c>
      <c r="H169" s="32">
        <v>0</v>
      </c>
      <c r="I169" s="34">
        <v>30</v>
      </c>
      <c r="J169" s="33">
        <v>0</v>
      </c>
      <c r="K169" s="34">
        <v>2034</v>
      </c>
      <c r="L169" s="32">
        <v>308.26</v>
      </c>
      <c r="M169" s="32">
        <v>58.76</v>
      </c>
      <c r="N169" s="32">
        <v>64.52</v>
      </c>
      <c r="O169" s="32">
        <v>25.94</v>
      </c>
      <c r="P169" s="32">
        <v>3.27</v>
      </c>
      <c r="Q169" s="34">
        <v>678425</v>
      </c>
      <c r="R169" s="34">
        <v>0</v>
      </c>
      <c r="S169" s="34">
        <v>678425</v>
      </c>
      <c r="T169" s="34">
        <v>119518</v>
      </c>
      <c r="U169" s="34">
        <v>131234</v>
      </c>
      <c r="V169" s="34">
        <v>0</v>
      </c>
      <c r="W169" s="34">
        <v>57089</v>
      </c>
      <c r="X169" s="34">
        <v>7197</v>
      </c>
      <c r="Y169" s="34">
        <v>993463</v>
      </c>
      <c r="Z169" s="34">
        <v>62785</v>
      </c>
      <c r="AA169" s="34">
        <v>930678</v>
      </c>
      <c r="AB169" s="34">
        <v>551706</v>
      </c>
      <c r="AC169" s="34">
        <v>378972</v>
      </c>
    </row>
    <row r="170" spans="1:29" x14ac:dyDescent="0.25">
      <c r="A170" s="31" t="s">
        <v>176</v>
      </c>
      <c r="B170" s="31" t="s">
        <v>738</v>
      </c>
      <c r="C170" s="31" t="s">
        <v>179</v>
      </c>
      <c r="D170" s="31" t="s">
        <v>575</v>
      </c>
      <c r="E170" s="32">
        <v>520.57000000000005</v>
      </c>
      <c r="F170" s="33">
        <v>4351.1000000000004</v>
      </c>
      <c r="G170" s="32">
        <v>4871.67</v>
      </c>
      <c r="H170" s="32">
        <v>0</v>
      </c>
      <c r="I170" s="34">
        <v>147</v>
      </c>
      <c r="J170" s="33">
        <v>0</v>
      </c>
      <c r="K170" s="34">
        <v>4498</v>
      </c>
      <c r="L170" s="32">
        <v>308.26</v>
      </c>
      <c r="M170" s="32">
        <v>58.76</v>
      </c>
      <c r="N170" s="32">
        <v>64.52</v>
      </c>
      <c r="O170" s="32">
        <v>25.94</v>
      </c>
      <c r="P170" s="32">
        <v>3.27</v>
      </c>
      <c r="Q170" s="34">
        <v>1501741</v>
      </c>
      <c r="R170" s="34">
        <v>5424</v>
      </c>
      <c r="S170" s="34">
        <v>1507165</v>
      </c>
      <c r="T170" s="34">
        <v>264302</v>
      </c>
      <c r="U170" s="34">
        <v>290211</v>
      </c>
      <c r="V170" s="34">
        <v>0</v>
      </c>
      <c r="W170" s="34">
        <v>126371</v>
      </c>
      <c r="X170" s="34">
        <v>15931</v>
      </c>
      <c r="Y170" s="34">
        <v>2203980</v>
      </c>
      <c r="Z170" s="34">
        <v>203105</v>
      </c>
      <c r="AA170" s="34">
        <v>2000875</v>
      </c>
      <c r="AB170" s="34">
        <v>1157115</v>
      </c>
      <c r="AC170" s="34">
        <v>843760</v>
      </c>
    </row>
    <row r="171" spans="1:29" x14ac:dyDescent="0.25">
      <c r="A171" s="31" t="s">
        <v>176</v>
      </c>
      <c r="B171" s="31" t="s">
        <v>738</v>
      </c>
      <c r="C171" s="31" t="s">
        <v>180</v>
      </c>
      <c r="D171" s="31" t="s">
        <v>576</v>
      </c>
      <c r="E171" s="32">
        <v>1270.72</v>
      </c>
      <c r="F171" s="33">
        <v>12147.4</v>
      </c>
      <c r="G171" s="32">
        <v>13418.12</v>
      </c>
      <c r="H171" s="32">
        <v>0</v>
      </c>
      <c r="I171" s="34">
        <v>695</v>
      </c>
      <c r="J171" s="33">
        <v>1.3</v>
      </c>
      <c r="K171" s="34">
        <v>12841</v>
      </c>
      <c r="L171" s="32">
        <v>308.26</v>
      </c>
      <c r="M171" s="32">
        <v>58.76</v>
      </c>
      <c r="N171" s="32">
        <v>64.52</v>
      </c>
      <c r="O171" s="32">
        <v>25.94</v>
      </c>
      <c r="P171" s="32">
        <v>3.27</v>
      </c>
      <c r="Q171" s="34">
        <v>4136270</v>
      </c>
      <c r="R171" s="34">
        <v>0</v>
      </c>
      <c r="S171" s="34">
        <v>4136270</v>
      </c>
      <c r="T171" s="34">
        <v>754537</v>
      </c>
      <c r="U171" s="34">
        <v>828501</v>
      </c>
      <c r="V171" s="34">
        <v>0</v>
      </c>
      <c r="W171" s="34">
        <v>348066</v>
      </c>
      <c r="X171" s="34">
        <v>43877</v>
      </c>
      <c r="Y171" s="34">
        <v>6111251</v>
      </c>
      <c r="Z171" s="34">
        <v>253394</v>
      </c>
      <c r="AA171" s="34">
        <v>5857857</v>
      </c>
      <c r="AB171" s="34">
        <v>3493079</v>
      </c>
      <c r="AC171" s="34">
        <v>2364778</v>
      </c>
    </row>
    <row r="172" spans="1:29" x14ac:dyDescent="0.25">
      <c r="A172" s="31" t="s">
        <v>176</v>
      </c>
      <c r="B172" s="31" t="s">
        <v>738</v>
      </c>
      <c r="C172" s="31" t="s">
        <v>181</v>
      </c>
      <c r="D172" s="31" t="s">
        <v>577</v>
      </c>
      <c r="E172" s="32">
        <v>76.73</v>
      </c>
      <c r="F172" s="33">
        <v>502.1</v>
      </c>
      <c r="G172" s="32">
        <v>578.83000000000004</v>
      </c>
      <c r="H172" s="32">
        <v>0</v>
      </c>
      <c r="I172" s="34">
        <v>4</v>
      </c>
      <c r="J172" s="33">
        <v>0</v>
      </c>
      <c r="K172" s="34">
        <v>506</v>
      </c>
      <c r="L172" s="32">
        <v>308.26</v>
      </c>
      <c r="M172" s="32">
        <v>58.76</v>
      </c>
      <c r="N172" s="32">
        <v>64.52</v>
      </c>
      <c r="O172" s="32">
        <v>25.94</v>
      </c>
      <c r="P172" s="32">
        <v>3.27</v>
      </c>
      <c r="Q172" s="34">
        <v>178430</v>
      </c>
      <c r="R172" s="34">
        <v>0</v>
      </c>
      <c r="S172" s="34">
        <v>178430</v>
      </c>
      <c r="T172" s="34">
        <v>29733</v>
      </c>
      <c r="U172" s="34">
        <v>32647</v>
      </c>
      <c r="V172" s="34">
        <v>0</v>
      </c>
      <c r="W172" s="34">
        <v>15015</v>
      </c>
      <c r="X172" s="34">
        <v>1893</v>
      </c>
      <c r="Y172" s="34">
        <v>257718</v>
      </c>
      <c r="Z172" s="34">
        <v>31621</v>
      </c>
      <c r="AA172" s="34">
        <v>226097</v>
      </c>
      <c r="AB172" s="34">
        <v>129995</v>
      </c>
      <c r="AC172" s="34">
        <v>96102</v>
      </c>
    </row>
    <row r="173" spans="1:29" x14ac:dyDescent="0.25">
      <c r="A173" s="31" t="s">
        <v>176</v>
      </c>
      <c r="B173" s="31" t="s">
        <v>738</v>
      </c>
      <c r="C173" s="31" t="s">
        <v>182</v>
      </c>
      <c r="D173" s="31" t="s">
        <v>578</v>
      </c>
      <c r="E173" s="32">
        <v>152.49</v>
      </c>
      <c r="F173" s="33">
        <v>1644.9</v>
      </c>
      <c r="G173" s="32">
        <v>1797.39</v>
      </c>
      <c r="H173" s="32">
        <v>0</v>
      </c>
      <c r="I173" s="34">
        <v>22</v>
      </c>
      <c r="J173" s="33">
        <v>0</v>
      </c>
      <c r="K173" s="34">
        <v>1667</v>
      </c>
      <c r="L173" s="32">
        <v>308.26</v>
      </c>
      <c r="M173" s="32">
        <v>58.76</v>
      </c>
      <c r="N173" s="32">
        <v>64.52</v>
      </c>
      <c r="O173" s="32">
        <v>25.94</v>
      </c>
      <c r="P173" s="32">
        <v>3.27</v>
      </c>
      <c r="Q173" s="34">
        <v>554063</v>
      </c>
      <c r="R173" s="34">
        <v>0</v>
      </c>
      <c r="S173" s="34">
        <v>554063</v>
      </c>
      <c r="T173" s="34">
        <v>97953</v>
      </c>
      <c r="U173" s="34">
        <v>107555</v>
      </c>
      <c r="V173" s="34">
        <v>0</v>
      </c>
      <c r="W173" s="34">
        <v>46624</v>
      </c>
      <c r="X173" s="34">
        <v>5877</v>
      </c>
      <c r="Y173" s="34">
        <v>812072</v>
      </c>
      <c r="Z173" s="34">
        <v>53719</v>
      </c>
      <c r="AA173" s="34">
        <v>758353</v>
      </c>
      <c r="AB173" s="34">
        <v>448130</v>
      </c>
      <c r="AC173" s="34">
        <v>310223</v>
      </c>
    </row>
    <row r="174" spans="1:29" x14ac:dyDescent="0.25">
      <c r="A174" s="31" t="s">
        <v>176</v>
      </c>
      <c r="B174" s="31" t="s">
        <v>738</v>
      </c>
      <c r="C174" s="31" t="s">
        <v>183</v>
      </c>
      <c r="D174" s="31" t="s">
        <v>579</v>
      </c>
      <c r="E174" s="32">
        <v>36.909999999999997</v>
      </c>
      <c r="F174" s="33">
        <v>341.3</v>
      </c>
      <c r="G174" s="32">
        <v>378.21</v>
      </c>
      <c r="H174" s="32">
        <v>0</v>
      </c>
      <c r="I174" s="34">
        <v>5</v>
      </c>
      <c r="J174" s="33">
        <v>0</v>
      </c>
      <c r="K174" s="34">
        <v>346</v>
      </c>
      <c r="L174" s="32">
        <v>308.26</v>
      </c>
      <c r="M174" s="32">
        <v>58.76</v>
      </c>
      <c r="N174" s="32">
        <v>64.52</v>
      </c>
      <c r="O174" s="32">
        <v>25.94</v>
      </c>
      <c r="P174" s="32">
        <v>3.27</v>
      </c>
      <c r="Q174" s="34">
        <v>116587</v>
      </c>
      <c r="R174" s="34">
        <v>0</v>
      </c>
      <c r="S174" s="34">
        <v>116587</v>
      </c>
      <c r="T174" s="34">
        <v>20331</v>
      </c>
      <c r="U174" s="34">
        <v>22324</v>
      </c>
      <c r="V174" s="34">
        <v>0</v>
      </c>
      <c r="W174" s="34">
        <v>9811</v>
      </c>
      <c r="X174" s="34">
        <v>1237</v>
      </c>
      <c r="Y174" s="34">
        <v>170290</v>
      </c>
      <c r="Z174" s="34">
        <v>14723</v>
      </c>
      <c r="AA174" s="34">
        <v>155567</v>
      </c>
      <c r="AB174" s="34">
        <v>90878</v>
      </c>
      <c r="AC174" s="34">
        <v>64689</v>
      </c>
    </row>
    <row r="175" spans="1:29" x14ac:dyDescent="0.25">
      <c r="A175" s="31" t="s">
        <v>176</v>
      </c>
      <c r="B175" s="31" t="s">
        <v>738</v>
      </c>
      <c r="C175" s="31" t="s">
        <v>184</v>
      </c>
      <c r="D175" s="31" t="s">
        <v>580</v>
      </c>
      <c r="E175" s="32">
        <v>230.65</v>
      </c>
      <c r="F175" s="33">
        <v>2311.3000000000002</v>
      </c>
      <c r="G175" s="32">
        <v>2541.9499999999998</v>
      </c>
      <c r="H175" s="32">
        <v>0</v>
      </c>
      <c r="I175" s="34">
        <v>36</v>
      </c>
      <c r="J175" s="33">
        <v>0</v>
      </c>
      <c r="K175" s="34">
        <v>2347</v>
      </c>
      <c r="L175" s="32">
        <v>308.26</v>
      </c>
      <c r="M175" s="32">
        <v>58.76</v>
      </c>
      <c r="N175" s="32">
        <v>64.52</v>
      </c>
      <c r="O175" s="32">
        <v>25.94</v>
      </c>
      <c r="P175" s="32">
        <v>3.27</v>
      </c>
      <c r="Q175" s="34">
        <v>783582</v>
      </c>
      <c r="R175" s="34">
        <v>0</v>
      </c>
      <c r="S175" s="34">
        <v>783582</v>
      </c>
      <c r="T175" s="34">
        <v>137910</v>
      </c>
      <c r="U175" s="34">
        <v>151428</v>
      </c>
      <c r="V175" s="34">
        <v>0</v>
      </c>
      <c r="W175" s="34">
        <v>65938</v>
      </c>
      <c r="X175" s="34">
        <v>8312</v>
      </c>
      <c r="Y175" s="34">
        <v>1147170</v>
      </c>
      <c r="Z175" s="34">
        <v>39354</v>
      </c>
      <c r="AA175" s="34">
        <v>1107816</v>
      </c>
      <c r="AB175" s="34">
        <v>670384</v>
      </c>
      <c r="AC175" s="34">
        <v>437432</v>
      </c>
    </row>
    <row r="176" spans="1:29" x14ac:dyDescent="0.25">
      <c r="A176" s="31" t="s">
        <v>176</v>
      </c>
      <c r="B176" s="31" t="s">
        <v>738</v>
      </c>
      <c r="C176" s="31" t="s">
        <v>185</v>
      </c>
      <c r="D176" s="31" t="s">
        <v>581</v>
      </c>
      <c r="E176" s="32">
        <v>363.72</v>
      </c>
      <c r="F176" s="33">
        <v>2021</v>
      </c>
      <c r="G176" s="32">
        <v>2384.7199999999998</v>
      </c>
      <c r="H176" s="32">
        <v>0</v>
      </c>
      <c r="I176" s="34">
        <v>150</v>
      </c>
      <c r="J176" s="33">
        <v>3.9</v>
      </c>
      <c r="K176" s="34">
        <v>2167</v>
      </c>
      <c r="L176" s="32">
        <v>308.26</v>
      </c>
      <c r="M176" s="32">
        <v>58.76</v>
      </c>
      <c r="N176" s="32">
        <v>64.52</v>
      </c>
      <c r="O176" s="32">
        <v>25.94</v>
      </c>
      <c r="P176" s="32">
        <v>3.27</v>
      </c>
      <c r="Q176" s="34">
        <v>735114</v>
      </c>
      <c r="R176" s="34">
        <v>0</v>
      </c>
      <c r="S176" s="34">
        <v>735114</v>
      </c>
      <c r="T176" s="34">
        <v>127333</v>
      </c>
      <c r="U176" s="34">
        <v>139815</v>
      </c>
      <c r="V176" s="34">
        <v>0</v>
      </c>
      <c r="W176" s="34">
        <v>61860</v>
      </c>
      <c r="X176" s="34">
        <v>7798</v>
      </c>
      <c r="Y176" s="34">
        <v>1071920</v>
      </c>
      <c r="Z176" s="34">
        <v>105619</v>
      </c>
      <c r="AA176" s="34">
        <v>966301</v>
      </c>
      <c r="AB176" s="34">
        <v>560219</v>
      </c>
      <c r="AC176" s="34">
        <v>406082</v>
      </c>
    </row>
    <row r="177" spans="1:29" x14ac:dyDescent="0.25">
      <c r="A177" s="31" t="s">
        <v>176</v>
      </c>
      <c r="B177" s="31" t="s">
        <v>738</v>
      </c>
      <c r="C177" s="31" t="s">
        <v>186</v>
      </c>
      <c r="D177" s="31" t="s">
        <v>582</v>
      </c>
      <c r="E177" s="32">
        <v>217.17</v>
      </c>
      <c r="F177" s="33">
        <v>1952.4</v>
      </c>
      <c r="G177" s="32">
        <v>2169.5700000000002</v>
      </c>
      <c r="H177" s="32">
        <v>0</v>
      </c>
      <c r="I177" s="34">
        <v>34</v>
      </c>
      <c r="J177" s="33">
        <v>0</v>
      </c>
      <c r="K177" s="34">
        <v>1986</v>
      </c>
      <c r="L177" s="32">
        <v>308.26</v>
      </c>
      <c r="M177" s="32">
        <v>58.76</v>
      </c>
      <c r="N177" s="32">
        <v>64.52</v>
      </c>
      <c r="O177" s="32">
        <v>25.94</v>
      </c>
      <c r="P177" s="32">
        <v>3.27</v>
      </c>
      <c r="Q177" s="34">
        <v>668792</v>
      </c>
      <c r="R177" s="34">
        <v>0</v>
      </c>
      <c r="S177" s="34">
        <v>668792</v>
      </c>
      <c r="T177" s="34">
        <v>116697</v>
      </c>
      <c r="U177" s="34">
        <v>128137</v>
      </c>
      <c r="V177" s="34">
        <v>0</v>
      </c>
      <c r="W177" s="34">
        <v>56279</v>
      </c>
      <c r="X177" s="34">
        <v>7094</v>
      </c>
      <c r="Y177" s="34">
        <v>976999</v>
      </c>
      <c r="Z177" s="34">
        <v>58812</v>
      </c>
      <c r="AA177" s="34">
        <v>918187</v>
      </c>
      <c r="AB177" s="34">
        <v>546954</v>
      </c>
      <c r="AC177" s="34">
        <v>371233</v>
      </c>
    </row>
    <row r="178" spans="1:29" x14ac:dyDescent="0.25">
      <c r="A178" s="31" t="s">
        <v>176</v>
      </c>
      <c r="B178" s="31" t="s">
        <v>738</v>
      </c>
      <c r="C178" s="31" t="s">
        <v>187</v>
      </c>
      <c r="D178" s="31" t="s">
        <v>583</v>
      </c>
      <c r="E178" s="32">
        <v>256.33</v>
      </c>
      <c r="F178" s="33">
        <v>1707.1</v>
      </c>
      <c r="G178" s="32">
        <v>1963.43</v>
      </c>
      <c r="H178" s="32">
        <v>0</v>
      </c>
      <c r="I178" s="34">
        <v>874</v>
      </c>
      <c r="J178" s="33">
        <v>8.4</v>
      </c>
      <c r="K178" s="34">
        <v>2573</v>
      </c>
      <c r="L178" s="32">
        <v>308.26</v>
      </c>
      <c r="M178" s="32">
        <v>58.76</v>
      </c>
      <c r="N178" s="32">
        <v>64.52</v>
      </c>
      <c r="O178" s="32">
        <v>25.94</v>
      </c>
      <c r="P178" s="32">
        <v>3.27</v>
      </c>
      <c r="Q178" s="34">
        <v>605247</v>
      </c>
      <c r="R178" s="34">
        <v>0</v>
      </c>
      <c r="S178" s="34">
        <v>605247</v>
      </c>
      <c r="T178" s="34">
        <v>151189</v>
      </c>
      <c r="U178" s="34">
        <v>166010</v>
      </c>
      <c r="V178" s="34">
        <v>0</v>
      </c>
      <c r="W178" s="34">
        <v>50931</v>
      </c>
      <c r="X178" s="34">
        <v>6420</v>
      </c>
      <c r="Y178" s="34">
        <v>979797</v>
      </c>
      <c r="Z178" s="34">
        <v>92884</v>
      </c>
      <c r="AA178" s="34">
        <v>886913</v>
      </c>
      <c r="AB178" s="34">
        <v>455325</v>
      </c>
      <c r="AC178" s="34">
        <v>431588</v>
      </c>
    </row>
    <row r="179" spans="1:29" x14ac:dyDescent="0.25">
      <c r="A179" s="31" t="s">
        <v>176</v>
      </c>
      <c r="B179" s="31" t="s">
        <v>738</v>
      </c>
      <c r="C179" s="31" t="s">
        <v>188</v>
      </c>
      <c r="D179" s="31" t="s">
        <v>584</v>
      </c>
      <c r="E179" s="32">
        <v>99.86</v>
      </c>
      <c r="F179" s="33">
        <v>729.8</v>
      </c>
      <c r="G179" s="32">
        <v>829.66</v>
      </c>
      <c r="H179" s="32">
        <v>0</v>
      </c>
      <c r="I179" s="34">
        <v>7</v>
      </c>
      <c r="J179" s="33">
        <v>0</v>
      </c>
      <c r="K179" s="34">
        <v>737</v>
      </c>
      <c r="L179" s="32">
        <v>308.26</v>
      </c>
      <c r="M179" s="32">
        <v>58.76</v>
      </c>
      <c r="N179" s="32">
        <v>64.52</v>
      </c>
      <c r="O179" s="32">
        <v>25.94</v>
      </c>
      <c r="P179" s="32">
        <v>3.27</v>
      </c>
      <c r="Q179" s="34">
        <v>255751</v>
      </c>
      <c r="R179" s="34">
        <v>6301</v>
      </c>
      <c r="S179" s="34">
        <v>262052</v>
      </c>
      <c r="T179" s="34">
        <v>43306</v>
      </c>
      <c r="U179" s="34">
        <v>47551</v>
      </c>
      <c r="V179" s="34">
        <v>0</v>
      </c>
      <c r="W179" s="34">
        <v>21933</v>
      </c>
      <c r="X179" s="34">
        <v>2770</v>
      </c>
      <c r="Y179" s="34">
        <v>377612</v>
      </c>
      <c r="Z179" s="34">
        <v>41179</v>
      </c>
      <c r="AA179" s="34">
        <v>336433</v>
      </c>
      <c r="AB179" s="34">
        <v>190939</v>
      </c>
      <c r="AC179" s="34">
        <v>145494</v>
      </c>
    </row>
    <row r="180" spans="1:29" x14ac:dyDescent="0.25">
      <c r="A180" s="31" t="s">
        <v>176</v>
      </c>
      <c r="B180" s="31" t="s">
        <v>738</v>
      </c>
      <c r="C180" s="31" t="s">
        <v>189</v>
      </c>
      <c r="D180" s="31" t="s">
        <v>585</v>
      </c>
      <c r="E180" s="32">
        <v>66.08</v>
      </c>
      <c r="F180" s="33">
        <v>439.2</v>
      </c>
      <c r="G180" s="32">
        <v>505.28</v>
      </c>
      <c r="H180" s="32">
        <v>0</v>
      </c>
      <c r="I180" s="34">
        <v>5</v>
      </c>
      <c r="J180" s="33">
        <v>0</v>
      </c>
      <c r="K180" s="34">
        <v>444</v>
      </c>
      <c r="L180" s="32">
        <v>308.26</v>
      </c>
      <c r="M180" s="32">
        <v>58.76</v>
      </c>
      <c r="N180" s="32">
        <v>64.52</v>
      </c>
      <c r="O180" s="32">
        <v>25.94</v>
      </c>
      <c r="P180" s="32">
        <v>3.27</v>
      </c>
      <c r="Q180" s="34">
        <v>155758</v>
      </c>
      <c r="R180" s="34">
        <v>0</v>
      </c>
      <c r="S180" s="34">
        <v>155758</v>
      </c>
      <c r="T180" s="34">
        <v>26089</v>
      </c>
      <c r="U180" s="34">
        <v>28647</v>
      </c>
      <c r="V180" s="34">
        <v>0</v>
      </c>
      <c r="W180" s="34">
        <v>13107</v>
      </c>
      <c r="X180" s="34">
        <v>1652</v>
      </c>
      <c r="Y180" s="34">
        <v>225253</v>
      </c>
      <c r="Z180" s="34">
        <v>23962</v>
      </c>
      <c r="AA180" s="34">
        <v>201291</v>
      </c>
      <c r="AB180" s="34">
        <v>117117</v>
      </c>
      <c r="AC180" s="34">
        <v>84174</v>
      </c>
    </row>
    <row r="181" spans="1:29" x14ac:dyDescent="0.25">
      <c r="A181" s="31" t="s">
        <v>176</v>
      </c>
      <c r="B181" s="31" t="s">
        <v>738</v>
      </c>
      <c r="C181" s="31" t="s">
        <v>190</v>
      </c>
      <c r="D181" s="31" t="s">
        <v>586</v>
      </c>
      <c r="E181" s="32">
        <v>37.31</v>
      </c>
      <c r="F181" s="33">
        <v>487.2</v>
      </c>
      <c r="G181" s="32">
        <v>524.51</v>
      </c>
      <c r="H181" s="32">
        <v>0</v>
      </c>
      <c r="I181" s="34">
        <v>0</v>
      </c>
      <c r="J181" s="33">
        <v>0</v>
      </c>
      <c r="K181" s="34">
        <v>487</v>
      </c>
      <c r="L181" s="32">
        <v>308.26</v>
      </c>
      <c r="M181" s="32">
        <v>58.76</v>
      </c>
      <c r="N181" s="32">
        <v>64.52</v>
      </c>
      <c r="O181" s="32">
        <v>25.94</v>
      </c>
      <c r="P181" s="32">
        <v>3.27</v>
      </c>
      <c r="Q181" s="34">
        <v>161685</v>
      </c>
      <c r="R181" s="34">
        <v>5040</v>
      </c>
      <c r="S181" s="34">
        <v>166725</v>
      </c>
      <c r="T181" s="34">
        <v>28616</v>
      </c>
      <c r="U181" s="34">
        <v>31421</v>
      </c>
      <c r="V181" s="34">
        <v>0</v>
      </c>
      <c r="W181" s="34">
        <v>13954</v>
      </c>
      <c r="X181" s="34">
        <v>1762</v>
      </c>
      <c r="Y181" s="34">
        <v>242478</v>
      </c>
      <c r="Z181" s="34">
        <v>26655</v>
      </c>
      <c r="AA181" s="34">
        <v>215823</v>
      </c>
      <c r="AB181" s="34">
        <v>120189</v>
      </c>
      <c r="AC181" s="34">
        <v>95634</v>
      </c>
    </row>
    <row r="182" spans="1:29" x14ac:dyDescent="0.25">
      <c r="A182" s="31" t="s">
        <v>176</v>
      </c>
      <c r="B182" s="31" t="s">
        <v>738</v>
      </c>
      <c r="C182" s="31" t="s">
        <v>191</v>
      </c>
      <c r="D182" s="31" t="s">
        <v>587</v>
      </c>
      <c r="E182" s="32">
        <v>62.05</v>
      </c>
      <c r="F182" s="33">
        <v>424.9</v>
      </c>
      <c r="G182" s="32">
        <v>486.95</v>
      </c>
      <c r="H182" s="32">
        <v>0</v>
      </c>
      <c r="I182" s="34">
        <v>2</v>
      </c>
      <c r="J182" s="33">
        <v>0</v>
      </c>
      <c r="K182" s="34">
        <v>427</v>
      </c>
      <c r="L182" s="32">
        <v>308.26</v>
      </c>
      <c r="M182" s="32">
        <v>58.76</v>
      </c>
      <c r="N182" s="32">
        <v>64.52</v>
      </c>
      <c r="O182" s="32">
        <v>25.94</v>
      </c>
      <c r="P182" s="32">
        <v>3.27</v>
      </c>
      <c r="Q182" s="34">
        <v>150107</v>
      </c>
      <c r="R182" s="34">
        <v>0</v>
      </c>
      <c r="S182" s="34">
        <v>150107</v>
      </c>
      <c r="T182" s="34">
        <v>25091</v>
      </c>
      <c r="U182" s="34">
        <v>27550</v>
      </c>
      <c r="V182" s="34">
        <v>0</v>
      </c>
      <c r="W182" s="34">
        <v>12631</v>
      </c>
      <c r="X182" s="34">
        <v>1592</v>
      </c>
      <c r="Y182" s="34">
        <v>216971</v>
      </c>
      <c r="Z182" s="34">
        <v>24283</v>
      </c>
      <c r="AA182" s="34">
        <v>192688</v>
      </c>
      <c r="AB182" s="34">
        <v>111678</v>
      </c>
      <c r="AC182" s="34">
        <v>81010</v>
      </c>
    </row>
    <row r="183" spans="1:29" x14ac:dyDescent="0.25">
      <c r="A183" s="31" t="s">
        <v>176</v>
      </c>
      <c r="B183" s="31" t="s">
        <v>738</v>
      </c>
      <c r="C183" s="31" t="s">
        <v>192</v>
      </c>
      <c r="D183" s="31" t="s">
        <v>588</v>
      </c>
      <c r="E183" s="32">
        <v>327.75</v>
      </c>
      <c r="F183" s="33">
        <v>3223.6</v>
      </c>
      <c r="G183" s="32">
        <v>3551.35</v>
      </c>
      <c r="H183" s="32">
        <v>0</v>
      </c>
      <c r="I183" s="34">
        <v>73</v>
      </c>
      <c r="J183" s="33">
        <v>0</v>
      </c>
      <c r="K183" s="34">
        <v>3297</v>
      </c>
      <c r="L183" s="32">
        <v>308.26</v>
      </c>
      <c r="M183" s="32">
        <v>58.76</v>
      </c>
      <c r="N183" s="32">
        <v>64.52</v>
      </c>
      <c r="O183" s="32">
        <v>25.94</v>
      </c>
      <c r="P183" s="32">
        <v>3.27</v>
      </c>
      <c r="Q183" s="34">
        <v>1094739</v>
      </c>
      <c r="R183" s="34">
        <v>0</v>
      </c>
      <c r="S183" s="34">
        <v>1094739</v>
      </c>
      <c r="T183" s="34">
        <v>193732</v>
      </c>
      <c r="U183" s="34">
        <v>212722</v>
      </c>
      <c r="V183" s="34">
        <v>0</v>
      </c>
      <c r="W183" s="34">
        <v>92122</v>
      </c>
      <c r="X183" s="34">
        <v>11613</v>
      </c>
      <c r="Y183" s="34">
        <v>1604928</v>
      </c>
      <c r="Z183" s="34">
        <v>64515</v>
      </c>
      <c r="AA183" s="34">
        <v>1540413</v>
      </c>
      <c r="AB183" s="34">
        <v>927058</v>
      </c>
      <c r="AC183" s="34">
        <v>613355</v>
      </c>
    </row>
    <row r="184" spans="1:29" x14ac:dyDescent="0.25">
      <c r="A184" s="31" t="s">
        <v>176</v>
      </c>
      <c r="B184" s="31" t="s">
        <v>738</v>
      </c>
      <c r="C184" s="31" t="s">
        <v>193</v>
      </c>
      <c r="D184" s="31" t="s">
        <v>589</v>
      </c>
      <c r="E184" s="32">
        <v>5733.95</v>
      </c>
      <c r="F184" s="33">
        <v>31621.5</v>
      </c>
      <c r="G184" s="32">
        <v>37355.449999999997</v>
      </c>
      <c r="H184" s="32">
        <v>0</v>
      </c>
      <c r="I184" s="34">
        <v>2379</v>
      </c>
      <c r="J184" s="33">
        <v>3.2</v>
      </c>
      <c r="K184" s="34">
        <v>33997</v>
      </c>
      <c r="L184" s="32">
        <v>308.26</v>
      </c>
      <c r="M184" s="32">
        <v>58.76</v>
      </c>
      <c r="N184" s="32">
        <v>64.52</v>
      </c>
      <c r="O184" s="32">
        <v>25.94</v>
      </c>
      <c r="P184" s="32">
        <v>3.27</v>
      </c>
      <c r="Q184" s="34">
        <v>11515191</v>
      </c>
      <c r="R184" s="34">
        <v>106699</v>
      </c>
      <c r="S184" s="34">
        <v>11621890</v>
      </c>
      <c r="T184" s="34">
        <v>1997664</v>
      </c>
      <c r="U184" s="34">
        <v>2193486</v>
      </c>
      <c r="V184" s="34">
        <v>0</v>
      </c>
      <c r="W184" s="34">
        <v>972708</v>
      </c>
      <c r="X184" s="34">
        <v>122844</v>
      </c>
      <c r="Y184" s="34">
        <v>16908592</v>
      </c>
      <c r="Z184" s="34">
        <v>1502984</v>
      </c>
      <c r="AA184" s="34">
        <v>15405608</v>
      </c>
      <c r="AB184" s="34">
        <v>8931431</v>
      </c>
      <c r="AC184" s="34">
        <v>6474177</v>
      </c>
    </row>
    <row r="185" spans="1:29" x14ac:dyDescent="0.25">
      <c r="A185" s="31" t="s">
        <v>176</v>
      </c>
      <c r="B185" s="31" t="s">
        <v>738</v>
      </c>
      <c r="C185" s="31" t="s">
        <v>194</v>
      </c>
      <c r="D185" s="31" t="s">
        <v>590</v>
      </c>
      <c r="E185" s="32">
        <v>52.54</v>
      </c>
      <c r="F185" s="33">
        <v>577.1</v>
      </c>
      <c r="G185" s="32">
        <v>629.64</v>
      </c>
      <c r="H185" s="32">
        <v>0</v>
      </c>
      <c r="I185" s="34">
        <v>5</v>
      </c>
      <c r="J185" s="33">
        <v>0</v>
      </c>
      <c r="K185" s="34">
        <v>582</v>
      </c>
      <c r="L185" s="32">
        <v>308.26</v>
      </c>
      <c r="M185" s="32">
        <v>58.76</v>
      </c>
      <c r="N185" s="32">
        <v>64.52</v>
      </c>
      <c r="O185" s="32">
        <v>25.94</v>
      </c>
      <c r="P185" s="32">
        <v>3.27</v>
      </c>
      <c r="Q185" s="34">
        <v>194093</v>
      </c>
      <c r="R185" s="34">
        <v>0</v>
      </c>
      <c r="S185" s="34">
        <v>194093</v>
      </c>
      <c r="T185" s="34">
        <v>34198</v>
      </c>
      <c r="U185" s="34">
        <v>37551</v>
      </c>
      <c r="V185" s="34">
        <v>0</v>
      </c>
      <c r="W185" s="34">
        <v>16333</v>
      </c>
      <c r="X185" s="34">
        <v>2059</v>
      </c>
      <c r="Y185" s="34">
        <v>284234</v>
      </c>
      <c r="Z185" s="34">
        <v>22833</v>
      </c>
      <c r="AA185" s="34">
        <v>261401</v>
      </c>
      <c r="AB185" s="34">
        <v>152969</v>
      </c>
      <c r="AC185" s="34">
        <v>108432</v>
      </c>
    </row>
    <row r="186" spans="1:29" x14ac:dyDescent="0.25">
      <c r="A186" s="31" t="s">
        <v>176</v>
      </c>
      <c r="B186" s="31" t="s">
        <v>738</v>
      </c>
      <c r="C186" s="31" t="s">
        <v>195</v>
      </c>
      <c r="D186" s="31" t="s">
        <v>591</v>
      </c>
      <c r="E186" s="32">
        <v>65.47</v>
      </c>
      <c r="F186" s="33">
        <v>401.2</v>
      </c>
      <c r="G186" s="32">
        <v>466.67</v>
      </c>
      <c r="H186" s="32">
        <v>0</v>
      </c>
      <c r="I186" s="34">
        <v>0</v>
      </c>
      <c r="J186" s="33">
        <v>0</v>
      </c>
      <c r="K186" s="34">
        <v>401</v>
      </c>
      <c r="L186" s="32">
        <v>308.26</v>
      </c>
      <c r="M186" s="32">
        <v>58.76</v>
      </c>
      <c r="N186" s="32">
        <v>64.52</v>
      </c>
      <c r="O186" s="32">
        <v>25.94</v>
      </c>
      <c r="P186" s="32">
        <v>3.27</v>
      </c>
      <c r="Q186" s="34">
        <v>143856</v>
      </c>
      <c r="R186" s="34">
        <v>11675</v>
      </c>
      <c r="S186" s="34">
        <v>155531</v>
      </c>
      <c r="T186" s="34">
        <v>23563</v>
      </c>
      <c r="U186" s="34">
        <v>25873</v>
      </c>
      <c r="V186" s="34">
        <v>0</v>
      </c>
      <c r="W186" s="34">
        <v>12105</v>
      </c>
      <c r="X186" s="34">
        <v>1526</v>
      </c>
      <c r="Y186" s="34">
        <v>218598</v>
      </c>
      <c r="Z186" s="34">
        <v>29687</v>
      </c>
      <c r="AA186" s="34">
        <v>188911</v>
      </c>
      <c r="AB186" s="34">
        <v>100612</v>
      </c>
      <c r="AC186" s="34">
        <v>88299</v>
      </c>
    </row>
    <row r="187" spans="1:29" x14ac:dyDescent="0.25">
      <c r="A187" s="31" t="s">
        <v>176</v>
      </c>
      <c r="B187" s="31" t="s">
        <v>738</v>
      </c>
      <c r="C187" s="31" t="s">
        <v>196</v>
      </c>
      <c r="D187" s="31" t="s">
        <v>592</v>
      </c>
      <c r="E187" s="32">
        <v>119.78</v>
      </c>
      <c r="F187" s="33">
        <v>1534</v>
      </c>
      <c r="G187" s="32">
        <v>1653.78</v>
      </c>
      <c r="H187" s="32">
        <v>0</v>
      </c>
      <c r="I187" s="34">
        <v>27</v>
      </c>
      <c r="J187" s="33">
        <v>0</v>
      </c>
      <c r="K187" s="34">
        <v>1561</v>
      </c>
      <c r="L187" s="32">
        <v>308.26</v>
      </c>
      <c r="M187" s="32">
        <v>58.76</v>
      </c>
      <c r="N187" s="32">
        <v>64.52</v>
      </c>
      <c r="O187" s="32">
        <v>25.94</v>
      </c>
      <c r="P187" s="32">
        <v>3.27</v>
      </c>
      <c r="Q187" s="34">
        <v>509794</v>
      </c>
      <c r="R187" s="34">
        <v>0</v>
      </c>
      <c r="S187" s="34">
        <v>509794</v>
      </c>
      <c r="T187" s="34">
        <v>91724</v>
      </c>
      <c r="U187" s="34">
        <v>100716</v>
      </c>
      <c r="V187" s="34">
        <v>0</v>
      </c>
      <c r="W187" s="34">
        <v>42899</v>
      </c>
      <c r="X187" s="34">
        <v>5408</v>
      </c>
      <c r="Y187" s="34">
        <v>750541</v>
      </c>
      <c r="Z187" s="34">
        <v>38933</v>
      </c>
      <c r="AA187" s="34">
        <v>711608</v>
      </c>
      <c r="AB187" s="34">
        <v>422819</v>
      </c>
      <c r="AC187" s="34">
        <v>288789</v>
      </c>
    </row>
    <row r="188" spans="1:29" x14ac:dyDescent="0.25">
      <c r="A188" s="31" t="s">
        <v>176</v>
      </c>
      <c r="B188" s="31" t="s">
        <v>738</v>
      </c>
      <c r="C188" s="31" t="s">
        <v>197</v>
      </c>
      <c r="D188" s="31" t="s">
        <v>593</v>
      </c>
      <c r="E188" s="32">
        <v>29.92</v>
      </c>
      <c r="F188" s="33">
        <v>279.2</v>
      </c>
      <c r="G188" s="32">
        <v>309.12</v>
      </c>
      <c r="H188" s="32">
        <v>0</v>
      </c>
      <c r="I188" s="34">
        <v>14</v>
      </c>
      <c r="J188" s="33">
        <v>0</v>
      </c>
      <c r="K188" s="34">
        <v>293</v>
      </c>
      <c r="L188" s="32">
        <v>308.26</v>
      </c>
      <c r="M188" s="32">
        <v>58.76</v>
      </c>
      <c r="N188" s="32">
        <v>64.52</v>
      </c>
      <c r="O188" s="32">
        <v>25.94</v>
      </c>
      <c r="P188" s="32">
        <v>3.27</v>
      </c>
      <c r="Q188" s="34">
        <v>95289</v>
      </c>
      <c r="R188" s="34">
        <v>2741</v>
      </c>
      <c r="S188" s="34">
        <v>98030</v>
      </c>
      <c r="T188" s="34">
        <v>17217</v>
      </c>
      <c r="U188" s="34">
        <v>18904</v>
      </c>
      <c r="V188" s="34">
        <v>0</v>
      </c>
      <c r="W188" s="34">
        <v>8019</v>
      </c>
      <c r="X188" s="34">
        <v>1011</v>
      </c>
      <c r="Y188" s="34">
        <v>143181</v>
      </c>
      <c r="Z188" s="34">
        <v>17419</v>
      </c>
      <c r="AA188" s="34">
        <v>125762</v>
      </c>
      <c r="AB188" s="34">
        <v>68891</v>
      </c>
      <c r="AC188" s="34">
        <v>56871</v>
      </c>
    </row>
    <row r="189" spans="1:29" x14ac:dyDescent="0.25">
      <c r="A189" s="31" t="s">
        <v>176</v>
      </c>
      <c r="B189" s="31" t="s">
        <v>738</v>
      </c>
      <c r="C189" s="31" t="s">
        <v>198</v>
      </c>
      <c r="D189" s="31" t="s">
        <v>594</v>
      </c>
      <c r="E189" s="32">
        <v>42.56</v>
      </c>
      <c r="F189" s="33">
        <v>406.1</v>
      </c>
      <c r="G189" s="32">
        <v>448.66</v>
      </c>
      <c r="H189" s="32">
        <v>0</v>
      </c>
      <c r="I189" s="34">
        <v>0</v>
      </c>
      <c r="J189" s="33">
        <v>0</v>
      </c>
      <c r="K189" s="34">
        <v>406</v>
      </c>
      <c r="L189" s="32">
        <v>308.26</v>
      </c>
      <c r="M189" s="32">
        <v>58.76</v>
      </c>
      <c r="N189" s="32">
        <v>64.52</v>
      </c>
      <c r="O189" s="32">
        <v>25.94</v>
      </c>
      <c r="P189" s="32">
        <v>3.27</v>
      </c>
      <c r="Q189" s="34">
        <v>138304</v>
      </c>
      <c r="R189" s="34">
        <v>11576</v>
      </c>
      <c r="S189" s="34">
        <v>149880</v>
      </c>
      <c r="T189" s="34">
        <v>23857</v>
      </c>
      <c r="U189" s="34">
        <v>26195</v>
      </c>
      <c r="V189" s="34">
        <v>0</v>
      </c>
      <c r="W189" s="34">
        <v>12136</v>
      </c>
      <c r="X189" s="34">
        <v>1533</v>
      </c>
      <c r="Y189" s="34">
        <v>213601</v>
      </c>
      <c r="Z189" s="34">
        <v>21657</v>
      </c>
      <c r="AA189" s="34">
        <v>191944</v>
      </c>
      <c r="AB189" s="34">
        <v>104177</v>
      </c>
      <c r="AC189" s="34">
        <v>87767</v>
      </c>
    </row>
    <row r="190" spans="1:29" x14ac:dyDescent="0.25">
      <c r="A190" s="31" t="s">
        <v>176</v>
      </c>
      <c r="B190" s="31" t="s">
        <v>738</v>
      </c>
      <c r="C190" s="31" t="s">
        <v>199</v>
      </c>
      <c r="D190" s="31" t="s">
        <v>595</v>
      </c>
      <c r="E190" s="32">
        <v>423.6</v>
      </c>
      <c r="F190" s="33">
        <v>3475.9</v>
      </c>
      <c r="G190" s="32">
        <v>3899.5</v>
      </c>
      <c r="H190" s="32">
        <v>0</v>
      </c>
      <c r="I190" s="34">
        <v>9</v>
      </c>
      <c r="J190" s="33">
        <v>0</v>
      </c>
      <c r="K190" s="34">
        <v>3485</v>
      </c>
      <c r="L190" s="32">
        <v>308.26</v>
      </c>
      <c r="M190" s="32">
        <v>58.76</v>
      </c>
      <c r="N190" s="32">
        <v>64.52</v>
      </c>
      <c r="O190" s="32">
        <v>25.94</v>
      </c>
      <c r="P190" s="32">
        <v>3.27</v>
      </c>
      <c r="Q190" s="34">
        <v>1202060</v>
      </c>
      <c r="R190" s="34">
        <v>0</v>
      </c>
      <c r="S190" s="34">
        <v>1202060</v>
      </c>
      <c r="T190" s="34">
        <v>204779</v>
      </c>
      <c r="U190" s="34">
        <v>224852</v>
      </c>
      <c r="V190" s="34">
        <v>0</v>
      </c>
      <c r="W190" s="34">
        <v>101153</v>
      </c>
      <c r="X190" s="34">
        <v>12751</v>
      </c>
      <c r="Y190" s="34">
        <v>1745595</v>
      </c>
      <c r="Z190" s="34">
        <v>139171</v>
      </c>
      <c r="AA190" s="34">
        <v>1606424</v>
      </c>
      <c r="AB190" s="34">
        <v>949608</v>
      </c>
      <c r="AC190" s="34">
        <v>656816</v>
      </c>
    </row>
    <row r="191" spans="1:29" x14ac:dyDescent="0.25">
      <c r="A191" s="31" t="s">
        <v>176</v>
      </c>
      <c r="B191" s="31" t="s">
        <v>738</v>
      </c>
      <c r="C191" s="31" t="s">
        <v>200</v>
      </c>
      <c r="D191" s="31" t="s">
        <v>596</v>
      </c>
      <c r="E191" s="32">
        <v>78.569999999999993</v>
      </c>
      <c r="F191" s="33">
        <v>812.1</v>
      </c>
      <c r="G191" s="32">
        <v>890.67</v>
      </c>
      <c r="H191" s="32">
        <v>0</v>
      </c>
      <c r="I191" s="34">
        <v>6</v>
      </c>
      <c r="J191" s="33">
        <v>0</v>
      </c>
      <c r="K191" s="34">
        <v>818</v>
      </c>
      <c r="L191" s="32">
        <v>308.26</v>
      </c>
      <c r="M191" s="32">
        <v>58.76</v>
      </c>
      <c r="N191" s="32">
        <v>64.52</v>
      </c>
      <c r="O191" s="32">
        <v>25.94</v>
      </c>
      <c r="P191" s="32">
        <v>3.27</v>
      </c>
      <c r="Q191" s="34">
        <v>274558</v>
      </c>
      <c r="R191" s="34">
        <v>5227</v>
      </c>
      <c r="S191" s="34">
        <v>279785</v>
      </c>
      <c r="T191" s="34">
        <v>48066</v>
      </c>
      <c r="U191" s="34">
        <v>52777</v>
      </c>
      <c r="V191" s="34">
        <v>0</v>
      </c>
      <c r="W191" s="34">
        <v>23235</v>
      </c>
      <c r="X191" s="34">
        <v>2934</v>
      </c>
      <c r="Y191" s="34">
        <v>406797</v>
      </c>
      <c r="Z191" s="34">
        <v>33511</v>
      </c>
      <c r="AA191" s="34">
        <v>373286</v>
      </c>
      <c r="AB191" s="34">
        <v>215326</v>
      </c>
      <c r="AC191" s="34">
        <v>157960</v>
      </c>
    </row>
    <row r="192" spans="1:29" x14ac:dyDescent="0.25">
      <c r="A192" s="31" t="s">
        <v>176</v>
      </c>
      <c r="B192" s="31" t="s">
        <v>738</v>
      </c>
      <c r="C192" s="31" t="s">
        <v>201</v>
      </c>
      <c r="D192" s="31" t="s">
        <v>597</v>
      </c>
      <c r="E192" s="32">
        <v>777.4</v>
      </c>
      <c r="F192" s="33">
        <v>7004.2</v>
      </c>
      <c r="G192" s="32">
        <v>7781.6</v>
      </c>
      <c r="H192" s="32">
        <v>0</v>
      </c>
      <c r="I192" s="34">
        <v>381</v>
      </c>
      <c r="J192" s="33">
        <v>0</v>
      </c>
      <c r="K192" s="34">
        <v>7385</v>
      </c>
      <c r="L192" s="32">
        <v>308.26</v>
      </c>
      <c r="M192" s="32">
        <v>58.76</v>
      </c>
      <c r="N192" s="32">
        <v>64.52</v>
      </c>
      <c r="O192" s="32">
        <v>25.94</v>
      </c>
      <c r="P192" s="32">
        <v>3.27</v>
      </c>
      <c r="Q192" s="34">
        <v>2398756</v>
      </c>
      <c r="R192" s="34">
        <v>0</v>
      </c>
      <c r="S192" s="34">
        <v>2398756</v>
      </c>
      <c r="T192" s="34">
        <v>433943</v>
      </c>
      <c r="U192" s="34">
        <v>476480</v>
      </c>
      <c r="V192" s="34">
        <v>0</v>
      </c>
      <c r="W192" s="34">
        <v>201855</v>
      </c>
      <c r="X192" s="34">
        <v>25446</v>
      </c>
      <c r="Y192" s="34">
        <v>3536480</v>
      </c>
      <c r="Z192" s="34">
        <v>179185</v>
      </c>
      <c r="AA192" s="34">
        <v>3357295</v>
      </c>
      <c r="AB192" s="34">
        <v>1993516</v>
      </c>
      <c r="AC192" s="34">
        <v>1363779</v>
      </c>
    </row>
    <row r="193" spans="1:29" x14ac:dyDescent="0.25">
      <c r="A193" s="31" t="s">
        <v>176</v>
      </c>
      <c r="B193" s="31" t="s">
        <v>738</v>
      </c>
      <c r="C193" s="31" t="s">
        <v>202</v>
      </c>
      <c r="D193" s="31" t="s">
        <v>598</v>
      </c>
      <c r="E193" s="32">
        <v>252.08</v>
      </c>
      <c r="F193" s="33">
        <v>1752.6</v>
      </c>
      <c r="G193" s="32">
        <v>2004.68</v>
      </c>
      <c r="H193" s="32">
        <v>0</v>
      </c>
      <c r="I193" s="34">
        <v>16</v>
      </c>
      <c r="J193" s="33">
        <v>0</v>
      </c>
      <c r="K193" s="34">
        <v>1769</v>
      </c>
      <c r="L193" s="32">
        <v>308.26</v>
      </c>
      <c r="M193" s="32">
        <v>58.76</v>
      </c>
      <c r="N193" s="32">
        <v>64.52</v>
      </c>
      <c r="O193" s="32">
        <v>25.94</v>
      </c>
      <c r="P193" s="32">
        <v>3.27</v>
      </c>
      <c r="Q193" s="34">
        <v>617963</v>
      </c>
      <c r="R193" s="34">
        <v>0</v>
      </c>
      <c r="S193" s="34">
        <v>617963</v>
      </c>
      <c r="T193" s="34">
        <v>103946</v>
      </c>
      <c r="U193" s="34">
        <v>114136</v>
      </c>
      <c r="V193" s="34">
        <v>0</v>
      </c>
      <c r="W193" s="34">
        <v>52001</v>
      </c>
      <c r="X193" s="34">
        <v>6555</v>
      </c>
      <c r="Y193" s="34">
        <v>894601</v>
      </c>
      <c r="Z193" s="34">
        <v>89650</v>
      </c>
      <c r="AA193" s="34">
        <v>804951</v>
      </c>
      <c r="AB193" s="34">
        <v>470076</v>
      </c>
      <c r="AC193" s="34">
        <v>334875</v>
      </c>
    </row>
    <row r="194" spans="1:29" x14ac:dyDescent="0.25">
      <c r="A194" s="31" t="s">
        <v>176</v>
      </c>
      <c r="B194" s="31" t="s">
        <v>738</v>
      </c>
      <c r="C194" s="31" t="s">
        <v>203</v>
      </c>
      <c r="D194" s="31" t="s">
        <v>599</v>
      </c>
      <c r="E194" s="32">
        <v>52.66</v>
      </c>
      <c r="F194" s="33">
        <v>434.6</v>
      </c>
      <c r="G194" s="32">
        <v>487.26</v>
      </c>
      <c r="H194" s="32">
        <v>0</v>
      </c>
      <c r="I194" s="34">
        <v>56</v>
      </c>
      <c r="J194" s="33">
        <v>0</v>
      </c>
      <c r="K194" s="34">
        <v>491</v>
      </c>
      <c r="L194" s="32">
        <v>308.26</v>
      </c>
      <c r="M194" s="32">
        <v>58.76</v>
      </c>
      <c r="N194" s="32">
        <v>64.52</v>
      </c>
      <c r="O194" s="32">
        <v>25.94</v>
      </c>
      <c r="P194" s="32">
        <v>3.27</v>
      </c>
      <c r="Q194" s="34">
        <v>150203</v>
      </c>
      <c r="R194" s="34">
        <v>3667</v>
      </c>
      <c r="S194" s="34">
        <v>153870</v>
      </c>
      <c r="T194" s="34">
        <v>28851</v>
      </c>
      <c r="U194" s="34">
        <v>31679</v>
      </c>
      <c r="V194" s="34">
        <v>0</v>
      </c>
      <c r="W194" s="34">
        <v>12878</v>
      </c>
      <c r="X194" s="34">
        <v>1626</v>
      </c>
      <c r="Y194" s="34">
        <v>228904</v>
      </c>
      <c r="Z194" s="34">
        <v>23232</v>
      </c>
      <c r="AA194" s="34">
        <v>205672</v>
      </c>
      <c r="AB194" s="34">
        <v>113087</v>
      </c>
      <c r="AC194" s="34">
        <v>92585</v>
      </c>
    </row>
    <row r="195" spans="1:29" x14ac:dyDescent="0.25">
      <c r="A195" s="31" t="s">
        <v>176</v>
      </c>
      <c r="B195" s="31" t="s">
        <v>738</v>
      </c>
      <c r="C195" s="31" t="s">
        <v>204</v>
      </c>
      <c r="D195" s="31" t="s">
        <v>600</v>
      </c>
      <c r="E195" s="32">
        <v>82.04</v>
      </c>
      <c r="F195" s="33">
        <v>675.7</v>
      </c>
      <c r="G195" s="32">
        <v>757.74</v>
      </c>
      <c r="H195" s="32">
        <v>0</v>
      </c>
      <c r="I195" s="34">
        <v>5</v>
      </c>
      <c r="J195" s="33">
        <v>0</v>
      </c>
      <c r="K195" s="34">
        <v>681</v>
      </c>
      <c r="L195" s="32">
        <v>308.26</v>
      </c>
      <c r="M195" s="32">
        <v>58.76</v>
      </c>
      <c r="N195" s="32">
        <v>64.52</v>
      </c>
      <c r="O195" s="32">
        <v>25.94</v>
      </c>
      <c r="P195" s="32">
        <v>3.27</v>
      </c>
      <c r="Q195" s="34">
        <v>233581</v>
      </c>
      <c r="R195" s="34">
        <v>0</v>
      </c>
      <c r="S195" s="34">
        <v>233581</v>
      </c>
      <c r="T195" s="34">
        <v>40016</v>
      </c>
      <c r="U195" s="34">
        <v>43938</v>
      </c>
      <c r="V195" s="34">
        <v>0</v>
      </c>
      <c r="W195" s="34">
        <v>19656</v>
      </c>
      <c r="X195" s="34">
        <v>2478</v>
      </c>
      <c r="Y195" s="34">
        <v>339669</v>
      </c>
      <c r="Z195" s="34">
        <v>25816</v>
      </c>
      <c r="AA195" s="34">
        <v>313853</v>
      </c>
      <c r="AB195" s="34">
        <v>185753</v>
      </c>
      <c r="AC195" s="34">
        <v>128100</v>
      </c>
    </row>
    <row r="196" spans="1:29" x14ac:dyDescent="0.25">
      <c r="A196" s="31" t="s">
        <v>176</v>
      </c>
      <c r="B196" s="31" t="s">
        <v>738</v>
      </c>
      <c r="C196" s="31" t="s">
        <v>205</v>
      </c>
      <c r="D196" s="31" t="s">
        <v>601</v>
      </c>
      <c r="E196" s="32">
        <v>46.59</v>
      </c>
      <c r="F196" s="33">
        <v>515.29999999999995</v>
      </c>
      <c r="G196" s="32">
        <v>561.89</v>
      </c>
      <c r="H196" s="32">
        <v>0</v>
      </c>
      <c r="I196" s="34">
        <v>25</v>
      </c>
      <c r="J196" s="33">
        <v>0</v>
      </c>
      <c r="K196" s="34">
        <v>540</v>
      </c>
      <c r="L196" s="32">
        <v>308.26</v>
      </c>
      <c r="M196" s="32">
        <v>58.76</v>
      </c>
      <c r="N196" s="32">
        <v>64.52</v>
      </c>
      <c r="O196" s="32">
        <v>25.94</v>
      </c>
      <c r="P196" s="32">
        <v>3.27</v>
      </c>
      <c r="Q196" s="34">
        <v>173208</v>
      </c>
      <c r="R196" s="34">
        <v>0</v>
      </c>
      <c r="S196" s="34">
        <v>173208</v>
      </c>
      <c r="T196" s="34">
        <v>31730</v>
      </c>
      <c r="U196" s="34">
        <v>34841</v>
      </c>
      <c r="V196" s="34">
        <v>0</v>
      </c>
      <c r="W196" s="34">
        <v>14575</v>
      </c>
      <c r="X196" s="34">
        <v>1837</v>
      </c>
      <c r="Y196" s="34">
        <v>256191</v>
      </c>
      <c r="Z196" s="34">
        <v>22923</v>
      </c>
      <c r="AA196" s="34">
        <v>233268</v>
      </c>
      <c r="AB196" s="34">
        <v>133962</v>
      </c>
      <c r="AC196" s="34">
        <v>99306</v>
      </c>
    </row>
    <row r="197" spans="1:29" x14ac:dyDescent="0.25">
      <c r="A197" s="31" t="s">
        <v>176</v>
      </c>
      <c r="B197" s="31" t="s">
        <v>738</v>
      </c>
      <c r="C197" s="31" t="s">
        <v>206</v>
      </c>
      <c r="D197" s="31" t="s">
        <v>602</v>
      </c>
      <c r="E197" s="32">
        <v>51.24</v>
      </c>
      <c r="F197" s="33">
        <v>328</v>
      </c>
      <c r="G197" s="32">
        <v>379.24</v>
      </c>
      <c r="H197" s="32">
        <v>0</v>
      </c>
      <c r="I197" s="34">
        <v>0</v>
      </c>
      <c r="J197" s="33">
        <v>0</v>
      </c>
      <c r="K197" s="34">
        <v>328</v>
      </c>
      <c r="L197" s="32">
        <v>308.26</v>
      </c>
      <c r="M197" s="32">
        <v>58.76</v>
      </c>
      <c r="N197" s="32">
        <v>64.52</v>
      </c>
      <c r="O197" s="32">
        <v>25.94</v>
      </c>
      <c r="P197" s="32">
        <v>3.27</v>
      </c>
      <c r="Q197" s="34">
        <v>116905</v>
      </c>
      <c r="R197" s="34">
        <v>0</v>
      </c>
      <c r="S197" s="34">
        <v>116905</v>
      </c>
      <c r="T197" s="34">
        <v>19273</v>
      </c>
      <c r="U197" s="34">
        <v>21163</v>
      </c>
      <c r="V197" s="34">
        <v>0</v>
      </c>
      <c r="W197" s="34">
        <v>9837</v>
      </c>
      <c r="X197" s="34">
        <v>1240</v>
      </c>
      <c r="Y197" s="34">
        <v>168418</v>
      </c>
      <c r="Z197" s="34">
        <v>20816</v>
      </c>
      <c r="AA197" s="34">
        <v>147602</v>
      </c>
      <c r="AB197" s="34">
        <v>85071</v>
      </c>
      <c r="AC197" s="34">
        <v>62531</v>
      </c>
    </row>
    <row r="198" spans="1:29" x14ac:dyDescent="0.25">
      <c r="A198" s="31" t="s">
        <v>176</v>
      </c>
      <c r="B198" s="31" t="s">
        <v>738</v>
      </c>
      <c r="C198" s="31" t="s">
        <v>207</v>
      </c>
      <c r="D198" s="31" t="s">
        <v>603</v>
      </c>
      <c r="E198" s="32">
        <v>170.32</v>
      </c>
      <c r="F198" s="33">
        <v>1470.9</v>
      </c>
      <c r="G198" s="32">
        <v>1641.22</v>
      </c>
      <c r="H198" s="32">
        <v>0</v>
      </c>
      <c r="I198" s="34">
        <v>2</v>
      </c>
      <c r="J198" s="33">
        <v>0</v>
      </c>
      <c r="K198" s="34">
        <v>1473</v>
      </c>
      <c r="L198" s="32">
        <v>308.26</v>
      </c>
      <c r="M198" s="32">
        <v>58.76</v>
      </c>
      <c r="N198" s="32">
        <v>64.52</v>
      </c>
      <c r="O198" s="32">
        <v>25.94</v>
      </c>
      <c r="P198" s="32">
        <v>3.27</v>
      </c>
      <c r="Q198" s="34">
        <v>505922</v>
      </c>
      <c r="R198" s="34">
        <v>0</v>
      </c>
      <c r="S198" s="34">
        <v>505922</v>
      </c>
      <c r="T198" s="34">
        <v>86553</v>
      </c>
      <c r="U198" s="34">
        <v>95038</v>
      </c>
      <c r="V198" s="34">
        <v>0</v>
      </c>
      <c r="W198" s="34">
        <v>42573</v>
      </c>
      <c r="X198" s="34">
        <v>5367</v>
      </c>
      <c r="Y198" s="34">
        <v>735453</v>
      </c>
      <c r="Z198" s="34">
        <v>69114</v>
      </c>
      <c r="AA198" s="34">
        <v>666339</v>
      </c>
      <c r="AB198" s="34">
        <v>389131</v>
      </c>
      <c r="AC198" s="34">
        <v>277208</v>
      </c>
    </row>
    <row r="199" spans="1:29" x14ac:dyDescent="0.25">
      <c r="A199" s="31" t="s">
        <v>176</v>
      </c>
      <c r="B199" s="31" t="s">
        <v>738</v>
      </c>
      <c r="C199" s="31" t="s">
        <v>208</v>
      </c>
      <c r="D199" s="31" t="s">
        <v>604</v>
      </c>
      <c r="E199" s="32">
        <v>472.21</v>
      </c>
      <c r="F199" s="33">
        <v>2947.9</v>
      </c>
      <c r="G199" s="32">
        <v>3420.11</v>
      </c>
      <c r="H199" s="32">
        <v>0</v>
      </c>
      <c r="I199" s="34">
        <v>81</v>
      </c>
      <c r="J199" s="33">
        <v>0.3</v>
      </c>
      <c r="K199" s="34">
        <v>3029</v>
      </c>
      <c r="L199" s="32">
        <v>308.26</v>
      </c>
      <c r="M199" s="32">
        <v>58.76</v>
      </c>
      <c r="N199" s="32">
        <v>64.52</v>
      </c>
      <c r="O199" s="32">
        <v>25.94</v>
      </c>
      <c r="P199" s="32">
        <v>3.27</v>
      </c>
      <c r="Q199" s="34">
        <v>1054283</v>
      </c>
      <c r="R199" s="34">
        <v>0</v>
      </c>
      <c r="S199" s="34">
        <v>1054283</v>
      </c>
      <c r="T199" s="34">
        <v>177984</v>
      </c>
      <c r="U199" s="34">
        <v>195431</v>
      </c>
      <c r="V199" s="34">
        <v>0</v>
      </c>
      <c r="W199" s="34">
        <v>88718</v>
      </c>
      <c r="X199" s="34">
        <v>11184</v>
      </c>
      <c r="Y199" s="34">
        <v>1527600</v>
      </c>
      <c r="Z199" s="34">
        <v>154889</v>
      </c>
      <c r="AA199" s="34">
        <v>1372711</v>
      </c>
      <c r="AB199" s="34">
        <v>800041</v>
      </c>
      <c r="AC199" s="34">
        <v>572670</v>
      </c>
    </row>
    <row r="200" spans="1:29" x14ac:dyDescent="0.25">
      <c r="A200" s="31" t="s">
        <v>176</v>
      </c>
      <c r="B200" s="31" t="s">
        <v>738</v>
      </c>
      <c r="C200" s="31" t="s">
        <v>209</v>
      </c>
      <c r="D200" s="31" t="s">
        <v>605</v>
      </c>
      <c r="E200" s="32">
        <v>126.56</v>
      </c>
      <c r="F200" s="33">
        <v>1896.9</v>
      </c>
      <c r="G200" s="32">
        <v>2023.46</v>
      </c>
      <c r="H200" s="32">
        <v>0</v>
      </c>
      <c r="I200" s="34">
        <v>31</v>
      </c>
      <c r="J200" s="33">
        <v>0</v>
      </c>
      <c r="K200" s="34">
        <v>1928</v>
      </c>
      <c r="L200" s="32">
        <v>308.26</v>
      </c>
      <c r="M200" s="32">
        <v>58.76</v>
      </c>
      <c r="N200" s="32">
        <v>64.52</v>
      </c>
      <c r="O200" s="32">
        <v>25.94</v>
      </c>
      <c r="P200" s="32">
        <v>3.27</v>
      </c>
      <c r="Q200" s="34">
        <v>623752</v>
      </c>
      <c r="R200" s="34">
        <v>0</v>
      </c>
      <c r="S200" s="34">
        <v>623752</v>
      </c>
      <c r="T200" s="34">
        <v>113289</v>
      </c>
      <c r="U200" s="34">
        <v>124395</v>
      </c>
      <c r="V200" s="34">
        <v>0</v>
      </c>
      <c r="W200" s="34">
        <v>52489</v>
      </c>
      <c r="X200" s="34">
        <v>6617</v>
      </c>
      <c r="Y200" s="34">
        <v>920542</v>
      </c>
      <c r="Z200" s="34">
        <v>39904</v>
      </c>
      <c r="AA200" s="34">
        <v>880638</v>
      </c>
      <c r="AB200" s="34">
        <v>525067</v>
      </c>
      <c r="AC200" s="34">
        <v>355571</v>
      </c>
    </row>
    <row r="201" spans="1:29" x14ac:dyDescent="0.25">
      <c r="A201" s="31" t="s">
        <v>176</v>
      </c>
      <c r="B201" s="31" t="s">
        <v>738</v>
      </c>
      <c r="C201" s="31" t="s">
        <v>210</v>
      </c>
      <c r="D201" s="31" t="s">
        <v>606</v>
      </c>
      <c r="E201" s="32">
        <v>337.24</v>
      </c>
      <c r="F201" s="33">
        <v>3190</v>
      </c>
      <c r="G201" s="32">
        <v>3527.24</v>
      </c>
      <c r="H201" s="32">
        <v>0</v>
      </c>
      <c r="I201" s="34">
        <v>68</v>
      </c>
      <c r="J201" s="33">
        <v>0</v>
      </c>
      <c r="K201" s="34">
        <v>3258</v>
      </c>
      <c r="L201" s="32">
        <v>308.26</v>
      </c>
      <c r="M201" s="32">
        <v>58.76</v>
      </c>
      <c r="N201" s="32">
        <v>64.52</v>
      </c>
      <c r="O201" s="32">
        <v>25.94</v>
      </c>
      <c r="P201" s="32">
        <v>3.27</v>
      </c>
      <c r="Q201" s="34">
        <v>1087307</v>
      </c>
      <c r="R201" s="34">
        <v>0</v>
      </c>
      <c r="S201" s="34">
        <v>1087307</v>
      </c>
      <c r="T201" s="34">
        <v>191440</v>
      </c>
      <c r="U201" s="34">
        <v>210206</v>
      </c>
      <c r="V201" s="34">
        <v>0</v>
      </c>
      <c r="W201" s="34">
        <v>91497</v>
      </c>
      <c r="X201" s="34">
        <v>11534</v>
      </c>
      <c r="Y201" s="34">
        <v>1591984</v>
      </c>
      <c r="Z201" s="34">
        <v>95234</v>
      </c>
      <c r="AA201" s="34">
        <v>1496750</v>
      </c>
      <c r="AB201" s="34">
        <v>889607</v>
      </c>
      <c r="AC201" s="34">
        <v>607143</v>
      </c>
    </row>
    <row r="202" spans="1:29" x14ac:dyDescent="0.25">
      <c r="A202" s="31" t="s">
        <v>176</v>
      </c>
      <c r="B202" s="31" t="s">
        <v>738</v>
      </c>
      <c r="C202" s="31" t="s">
        <v>211</v>
      </c>
      <c r="D202" s="31" t="s">
        <v>607</v>
      </c>
      <c r="E202" s="32">
        <v>51.46</v>
      </c>
      <c r="F202" s="33">
        <v>607.79999999999995</v>
      </c>
      <c r="G202" s="32">
        <v>659.26</v>
      </c>
      <c r="H202" s="32">
        <v>0</v>
      </c>
      <c r="I202" s="34">
        <v>9</v>
      </c>
      <c r="J202" s="33">
        <v>0</v>
      </c>
      <c r="K202" s="34">
        <v>617</v>
      </c>
      <c r="L202" s="32">
        <v>308.26</v>
      </c>
      <c r="M202" s="32">
        <v>58.76</v>
      </c>
      <c r="N202" s="32">
        <v>64.52</v>
      </c>
      <c r="O202" s="32">
        <v>25.94</v>
      </c>
      <c r="P202" s="32">
        <v>3.27</v>
      </c>
      <c r="Q202" s="34">
        <v>203223</v>
      </c>
      <c r="R202" s="34">
        <v>856</v>
      </c>
      <c r="S202" s="34">
        <v>204079</v>
      </c>
      <c r="T202" s="34">
        <v>36255</v>
      </c>
      <c r="U202" s="34">
        <v>39809</v>
      </c>
      <c r="V202" s="34">
        <v>0</v>
      </c>
      <c r="W202" s="34">
        <v>17101</v>
      </c>
      <c r="X202" s="34">
        <v>2157</v>
      </c>
      <c r="Y202" s="34">
        <v>299401</v>
      </c>
      <c r="Z202" s="34">
        <v>31557</v>
      </c>
      <c r="AA202" s="34">
        <v>267844</v>
      </c>
      <c r="AB202" s="34">
        <v>152516</v>
      </c>
      <c r="AC202" s="34">
        <v>115328</v>
      </c>
    </row>
    <row r="203" spans="1:29" x14ac:dyDescent="0.25">
      <c r="A203" s="31" t="s">
        <v>176</v>
      </c>
      <c r="B203" s="31" t="s">
        <v>738</v>
      </c>
      <c r="C203" s="31" t="s">
        <v>213</v>
      </c>
      <c r="D203" s="31" t="s">
        <v>214</v>
      </c>
      <c r="E203" s="32">
        <v>109.51</v>
      </c>
      <c r="F203" s="33">
        <v>1023.6</v>
      </c>
      <c r="G203" s="32">
        <v>1133.1099999999999</v>
      </c>
      <c r="H203" s="32">
        <v>0</v>
      </c>
      <c r="I203" s="34">
        <v>17</v>
      </c>
      <c r="J203" s="33">
        <v>0</v>
      </c>
      <c r="K203" s="34">
        <v>1041</v>
      </c>
      <c r="L203" s="32">
        <v>308.26</v>
      </c>
      <c r="M203" s="32">
        <v>58.76</v>
      </c>
      <c r="N203" s="32">
        <v>64.52</v>
      </c>
      <c r="O203" s="32">
        <v>25.94</v>
      </c>
      <c r="P203" s="32">
        <v>3.27</v>
      </c>
      <c r="Q203" s="34">
        <v>349292</v>
      </c>
      <c r="R203" s="34">
        <v>4887</v>
      </c>
      <c r="S203" s="34">
        <v>354179</v>
      </c>
      <c r="T203" s="34">
        <v>61169</v>
      </c>
      <c r="U203" s="34">
        <v>67165</v>
      </c>
      <c r="V203" s="34">
        <v>0</v>
      </c>
      <c r="W203" s="34">
        <v>29643</v>
      </c>
      <c r="X203" s="34">
        <v>3744</v>
      </c>
      <c r="Y203" s="34">
        <v>515900</v>
      </c>
      <c r="Z203" s="34">
        <v>44572</v>
      </c>
      <c r="AA203" s="34">
        <v>471328</v>
      </c>
      <c r="AB203" s="34">
        <v>272093</v>
      </c>
      <c r="AC203" s="34">
        <v>199235</v>
      </c>
    </row>
    <row r="204" spans="1:29" x14ac:dyDescent="0.25">
      <c r="A204" s="31" t="s">
        <v>176</v>
      </c>
      <c r="B204" s="31" t="s">
        <v>738</v>
      </c>
      <c r="C204" s="31" t="s">
        <v>212</v>
      </c>
      <c r="D204" s="31" t="s">
        <v>608</v>
      </c>
      <c r="E204" s="32">
        <v>82.94</v>
      </c>
      <c r="F204" s="33">
        <v>692.3</v>
      </c>
      <c r="G204" s="32">
        <v>775.24</v>
      </c>
      <c r="H204" s="32">
        <v>0</v>
      </c>
      <c r="I204" s="34">
        <v>0</v>
      </c>
      <c r="J204" s="33">
        <v>0</v>
      </c>
      <c r="K204" s="34">
        <v>692</v>
      </c>
      <c r="L204" s="32">
        <v>308.26</v>
      </c>
      <c r="M204" s="32">
        <v>58.76</v>
      </c>
      <c r="N204" s="32">
        <v>64.52</v>
      </c>
      <c r="O204" s="32">
        <v>25.94</v>
      </c>
      <c r="P204" s="32">
        <v>3.27</v>
      </c>
      <c r="Q204" s="34">
        <v>238975</v>
      </c>
      <c r="R204" s="34">
        <v>0</v>
      </c>
      <c r="S204" s="34">
        <v>238975</v>
      </c>
      <c r="T204" s="34">
        <v>40662</v>
      </c>
      <c r="U204" s="34">
        <v>44648</v>
      </c>
      <c r="V204" s="34">
        <v>0</v>
      </c>
      <c r="W204" s="34">
        <v>20110</v>
      </c>
      <c r="X204" s="34">
        <v>2535</v>
      </c>
      <c r="Y204" s="34">
        <v>346930</v>
      </c>
      <c r="Z204" s="34">
        <v>32669</v>
      </c>
      <c r="AA204" s="34">
        <v>314261</v>
      </c>
      <c r="AB204" s="34">
        <v>183786</v>
      </c>
      <c r="AC204" s="34">
        <v>130475</v>
      </c>
    </row>
    <row r="205" spans="1:29" x14ac:dyDescent="0.25">
      <c r="A205" s="31" t="s">
        <v>176</v>
      </c>
      <c r="B205" s="31" t="s">
        <v>738</v>
      </c>
      <c r="C205" s="31" t="s">
        <v>215</v>
      </c>
      <c r="D205" s="31" t="s">
        <v>609</v>
      </c>
      <c r="E205" s="32">
        <v>230.29</v>
      </c>
      <c r="F205" s="33">
        <v>2139.1999999999998</v>
      </c>
      <c r="G205" s="32">
        <v>2369.4899999999998</v>
      </c>
      <c r="H205" s="32">
        <v>0</v>
      </c>
      <c r="I205" s="34">
        <v>569</v>
      </c>
      <c r="J205" s="33">
        <v>3.9</v>
      </c>
      <c r="K205" s="34">
        <v>2704</v>
      </c>
      <c r="L205" s="32">
        <v>308.26</v>
      </c>
      <c r="M205" s="32">
        <v>58.76</v>
      </c>
      <c r="N205" s="32">
        <v>64.52</v>
      </c>
      <c r="O205" s="32">
        <v>25.94</v>
      </c>
      <c r="P205" s="32">
        <v>3.27</v>
      </c>
      <c r="Q205" s="34">
        <v>730419</v>
      </c>
      <c r="R205" s="34">
        <v>0</v>
      </c>
      <c r="S205" s="34">
        <v>730419</v>
      </c>
      <c r="T205" s="34">
        <v>158887</v>
      </c>
      <c r="U205" s="34">
        <v>174462</v>
      </c>
      <c r="V205" s="34">
        <v>0</v>
      </c>
      <c r="W205" s="34">
        <v>61465</v>
      </c>
      <c r="X205" s="34">
        <v>7748</v>
      </c>
      <c r="Y205" s="34">
        <v>1132981</v>
      </c>
      <c r="Z205" s="34">
        <v>94924</v>
      </c>
      <c r="AA205" s="34">
        <v>1038057</v>
      </c>
      <c r="AB205" s="34">
        <v>566662</v>
      </c>
      <c r="AC205" s="34">
        <v>471395</v>
      </c>
    </row>
    <row r="206" spans="1:29" x14ac:dyDescent="0.25">
      <c r="A206" s="31" t="s">
        <v>176</v>
      </c>
      <c r="B206" s="31" t="s">
        <v>738</v>
      </c>
      <c r="C206" s="31" t="s">
        <v>216</v>
      </c>
      <c r="D206" s="31" t="s">
        <v>610</v>
      </c>
      <c r="E206" s="32">
        <v>231.72</v>
      </c>
      <c r="F206" s="33">
        <v>1818.4</v>
      </c>
      <c r="G206" s="32">
        <v>2050.12</v>
      </c>
      <c r="H206" s="32">
        <v>0</v>
      </c>
      <c r="I206" s="34">
        <v>90</v>
      </c>
      <c r="J206" s="33">
        <v>6.2</v>
      </c>
      <c r="K206" s="34">
        <v>1902</v>
      </c>
      <c r="L206" s="32">
        <v>308.26</v>
      </c>
      <c r="M206" s="32">
        <v>58.76</v>
      </c>
      <c r="N206" s="32">
        <v>64.52</v>
      </c>
      <c r="O206" s="32">
        <v>25.94</v>
      </c>
      <c r="P206" s="32">
        <v>3.27</v>
      </c>
      <c r="Q206" s="34">
        <v>631970</v>
      </c>
      <c r="R206" s="34">
        <v>0</v>
      </c>
      <c r="S206" s="34">
        <v>631970</v>
      </c>
      <c r="T206" s="34">
        <v>111762</v>
      </c>
      <c r="U206" s="34">
        <v>122717</v>
      </c>
      <c r="V206" s="34">
        <v>0</v>
      </c>
      <c r="W206" s="34">
        <v>53180</v>
      </c>
      <c r="X206" s="34">
        <v>6704</v>
      </c>
      <c r="Y206" s="34">
        <v>926333</v>
      </c>
      <c r="Z206" s="34">
        <v>80425</v>
      </c>
      <c r="AA206" s="34">
        <v>845908</v>
      </c>
      <c r="AB206" s="34">
        <v>491989</v>
      </c>
      <c r="AC206" s="34">
        <v>353919</v>
      </c>
    </row>
    <row r="207" spans="1:29" x14ac:dyDescent="0.25">
      <c r="A207" s="31" t="s">
        <v>176</v>
      </c>
      <c r="B207" s="31" t="s">
        <v>738</v>
      </c>
      <c r="C207" s="31" t="s">
        <v>217</v>
      </c>
      <c r="D207" s="31" t="s">
        <v>611</v>
      </c>
      <c r="E207" s="32">
        <v>77.05</v>
      </c>
      <c r="F207" s="33">
        <v>650</v>
      </c>
      <c r="G207" s="32">
        <v>727.05</v>
      </c>
      <c r="H207" s="32">
        <v>0</v>
      </c>
      <c r="I207" s="34">
        <v>1</v>
      </c>
      <c r="J207" s="33">
        <v>0</v>
      </c>
      <c r="K207" s="34">
        <v>651</v>
      </c>
      <c r="L207" s="32">
        <v>308.26</v>
      </c>
      <c r="M207" s="32">
        <v>58.76</v>
      </c>
      <c r="N207" s="32">
        <v>64.52</v>
      </c>
      <c r="O207" s="32">
        <v>25.94</v>
      </c>
      <c r="P207" s="32">
        <v>3.27</v>
      </c>
      <c r="Q207" s="34">
        <v>224120</v>
      </c>
      <c r="R207" s="34">
        <v>5534</v>
      </c>
      <c r="S207" s="34">
        <v>229654</v>
      </c>
      <c r="T207" s="34">
        <v>38253</v>
      </c>
      <c r="U207" s="34">
        <v>42003</v>
      </c>
      <c r="V207" s="34">
        <v>0</v>
      </c>
      <c r="W207" s="34">
        <v>19221</v>
      </c>
      <c r="X207" s="34">
        <v>2427</v>
      </c>
      <c r="Y207" s="34">
        <v>331558</v>
      </c>
      <c r="Z207" s="34">
        <v>30464</v>
      </c>
      <c r="AA207" s="34">
        <v>301094</v>
      </c>
      <c r="AB207" s="34">
        <v>172947</v>
      </c>
      <c r="AC207" s="34">
        <v>128147</v>
      </c>
    </row>
    <row r="208" spans="1:29" x14ac:dyDescent="0.25">
      <c r="A208" s="31" t="s">
        <v>176</v>
      </c>
      <c r="B208" s="31" t="s">
        <v>738</v>
      </c>
      <c r="C208" s="31" t="s">
        <v>218</v>
      </c>
      <c r="D208" s="31" t="s">
        <v>612</v>
      </c>
      <c r="E208" s="32">
        <v>73.569999999999993</v>
      </c>
      <c r="F208" s="33">
        <v>969</v>
      </c>
      <c r="G208" s="32">
        <v>1042.57</v>
      </c>
      <c r="H208" s="32">
        <v>0</v>
      </c>
      <c r="I208" s="34">
        <v>12</v>
      </c>
      <c r="J208" s="33">
        <v>0</v>
      </c>
      <c r="K208" s="34">
        <v>981</v>
      </c>
      <c r="L208" s="32">
        <v>308.26</v>
      </c>
      <c r="M208" s="32">
        <v>58.76</v>
      </c>
      <c r="N208" s="32">
        <v>64.52</v>
      </c>
      <c r="O208" s="32">
        <v>25.94</v>
      </c>
      <c r="P208" s="32">
        <v>3.27</v>
      </c>
      <c r="Q208" s="34">
        <v>321383</v>
      </c>
      <c r="R208" s="34">
        <v>8646</v>
      </c>
      <c r="S208" s="34">
        <v>330029</v>
      </c>
      <c r="T208" s="34">
        <v>57644</v>
      </c>
      <c r="U208" s="34">
        <v>63294</v>
      </c>
      <c r="V208" s="34">
        <v>0</v>
      </c>
      <c r="W208" s="34">
        <v>27294</v>
      </c>
      <c r="X208" s="34">
        <v>3447</v>
      </c>
      <c r="Y208" s="34">
        <v>481708</v>
      </c>
      <c r="Z208" s="34">
        <v>47283</v>
      </c>
      <c r="AA208" s="34">
        <v>434425</v>
      </c>
      <c r="AB208" s="34">
        <v>244101</v>
      </c>
      <c r="AC208" s="34">
        <v>190324</v>
      </c>
    </row>
    <row r="209" spans="1:29" x14ac:dyDescent="0.25">
      <c r="A209" s="31" t="s">
        <v>176</v>
      </c>
      <c r="B209" s="31" t="s">
        <v>738</v>
      </c>
      <c r="C209" s="31" t="s">
        <v>219</v>
      </c>
      <c r="D209" s="31" t="s">
        <v>613</v>
      </c>
      <c r="E209" s="32">
        <v>137.43</v>
      </c>
      <c r="F209" s="33">
        <v>1075.4000000000001</v>
      </c>
      <c r="G209" s="32">
        <v>1212.83</v>
      </c>
      <c r="H209" s="32">
        <v>0</v>
      </c>
      <c r="I209" s="34">
        <v>48</v>
      </c>
      <c r="J209" s="33">
        <v>0</v>
      </c>
      <c r="K209" s="34">
        <v>1123</v>
      </c>
      <c r="L209" s="32">
        <v>308.26</v>
      </c>
      <c r="M209" s="32">
        <v>58.76</v>
      </c>
      <c r="N209" s="32">
        <v>64.52</v>
      </c>
      <c r="O209" s="32">
        <v>25.94</v>
      </c>
      <c r="P209" s="32">
        <v>3.27</v>
      </c>
      <c r="Q209" s="34">
        <v>373867</v>
      </c>
      <c r="R209" s="34">
        <v>12012</v>
      </c>
      <c r="S209" s="34">
        <v>385879</v>
      </c>
      <c r="T209" s="34">
        <v>65987</v>
      </c>
      <c r="U209" s="34">
        <v>72456</v>
      </c>
      <c r="V209" s="34">
        <v>0</v>
      </c>
      <c r="W209" s="34">
        <v>32297</v>
      </c>
      <c r="X209" s="34">
        <v>4079</v>
      </c>
      <c r="Y209" s="34">
        <v>560698</v>
      </c>
      <c r="Z209" s="34">
        <v>66136</v>
      </c>
      <c r="AA209" s="34">
        <v>494562</v>
      </c>
      <c r="AB209" s="34">
        <v>273448</v>
      </c>
      <c r="AC209" s="34">
        <v>221114</v>
      </c>
    </row>
    <row r="210" spans="1:29" x14ac:dyDescent="0.25">
      <c r="A210" s="31" t="s">
        <v>176</v>
      </c>
      <c r="B210" s="31" t="s">
        <v>738</v>
      </c>
      <c r="C210" s="31" t="s">
        <v>220</v>
      </c>
      <c r="D210" s="31" t="s">
        <v>614</v>
      </c>
      <c r="E210" s="32">
        <v>911.81</v>
      </c>
      <c r="F210" s="33">
        <v>6910.5</v>
      </c>
      <c r="G210" s="32">
        <v>7822.31</v>
      </c>
      <c r="H210" s="32">
        <v>0</v>
      </c>
      <c r="I210" s="34">
        <v>302</v>
      </c>
      <c r="J210" s="33">
        <v>0</v>
      </c>
      <c r="K210" s="34">
        <v>7213</v>
      </c>
      <c r="L210" s="32">
        <v>308.26</v>
      </c>
      <c r="M210" s="32">
        <v>58.76</v>
      </c>
      <c r="N210" s="32">
        <v>64.52</v>
      </c>
      <c r="O210" s="32">
        <v>25.94</v>
      </c>
      <c r="P210" s="32">
        <v>3.27</v>
      </c>
      <c r="Q210" s="34">
        <v>2411305</v>
      </c>
      <c r="R210" s="34">
        <v>0</v>
      </c>
      <c r="S210" s="34">
        <v>2411305</v>
      </c>
      <c r="T210" s="34">
        <v>423836</v>
      </c>
      <c r="U210" s="34">
        <v>465383</v>
      </c>
      <c r="V210" s="34">
        <v>0</v>
      </c>
      <c r="W210" s="34">
        <v>202911</v>
      </c>
      <c r="X210" s="34">
        <v>25579</v>
      </c>
      <c r="Y210" s="34">
        <v>3529014</v>
      </c>
      <c r="Z210" s="34">
        <v>198481</v>
      </c>
      <c r="AA210" s="34">
        <v>3330533</v>
      </c>
      <c r="AB210" s="34">
        <v>1985587</v>
      </c>
      <c r="AC210" s="34">
        <v>1344946</v>
      </c>
    </row>
    <row r="211" spans="1:29" x14ac:dyDescent="0.25">
      <c r="A211" s="31" t="s">
        <v>176</v>
      </c>
      <c r="B211" s="31" t="s">
        <v>738</v>
      </c>
      <c r="C211" s="31" t="s">
        <v>221</v>
      </c>
      <c r="D211" s="31" t="s">
        <v>615</v>
      </c>
      <c r="E211" s="32">
        <v>73.78</v>
      </c>
      <c r="F211" s="33">
        <v>536.79999999999995</v>
      </c>
      <c r="G211" s="32">
        <v>610.58000000000004</v>
      </c>
      <c r="H211" s="32">
        <v>0</v>
      </c>
      <c r="I211" s="34">
        <v>0</v>
      </c>
      <c r="J211" s="33">
        <v>0</v>
      </c>
      <c r="K211" s="34">
        <v>537</v>
      </c>
      <c r="L211" s="32">
        <v>308.26</v>
      </c>
      <c r="M211" s="32">
        <v>58.76</v>
      </c>
      <c r="N211" s="32">
        <v>64.52</v>
      </c>
      <c r="O211" s="32">
        <v>25.94</v>
      </c>
      <c r="P211" s="32">
        <v>3.27</v>
      </c>
      <c r="Q211" s="34">
        <v>188217</v>
      </c>
      <c r="R211" s="34">
        <v>187</v>
      </c>
      <c r="S211" s="34">
        <v>188404</v>
      </c>
      <c r="T211" s="34">
        <v>31554</v>
      </c>
      <c r="U211" s="34">
        <v>34647</v>
      </c>
      <c r="V211" s="34">
        <v>0</v>
      </c>
      <c r="W211" s="34">
        <v>15838</v>
      </c>
      <c r="X211" s="34">
        <v>1997</v>
      </c>
      <c r="Y211" s="34">
        <v>272440</v>
      </c>
      <c r="Z211" s="34">
        <v>26643</v>
      </c>
      <c r="AA211" s="34">
        <v>245797</v>
      </c>
      <c r="AB211" s="34">
        <v>143837</v>
      </c>
      <c r="AC211" s="34">
        <v>101960</v>
      </c>
    </row>
    <row r="212" spans="1:29" x14ac:dyDescent="0.25">
      <c r="A212" s="31" t="s">
        <v>176</v>
      </c>
      <c r="B212" s="31" t="s">
        <v>738</v>
      </c>
      <c r="C212" s="31" t="s">
        <v>222</v>
      </c>
      <c r="D212" s="31" t="s">
        <v>616</v>
      </c>
      <c r="E212" s="32">
        <v>62.18</v>
      </c>
      <c r="F212" s="33">
        <v>309.89999999999998</v>
      </c>
      <c r="G212" s="32">
        <v>372.08</v>
      </c>
      <c r="H212" s="32">
        <v>0</v>
      </c>
      <c r="I212" s="34">
        <v>11</v>
      </c>
      <c r="J212" s="33">
        <v>0</v>
      </c>
      <c r="K212" s="34">
        <v>321</v>
      </c>
      <c r="L212" s="32">
        <v>308.26</v>
      </c>
      <c r="M212" s="32">
        <v>58.76</v>
      </c>
      <c r="N212" s="32">
        <v>64.52</v>
      </c>
      <c r="O212" s="32">
        <v>25.94</v>
      </c>
      <c r="P212" s="32">
        <v>3.27</v>
      </c>
      <c r="Q212" s="34">
        <v>114697</v>
      </c>
      <c r="R212" s="34">
        <v>3602</v>
      </c>
      <c r="S212" s="34">
        <v>118299</v>
      </c>
      <c r="T212" s="34">
        <v>18862</v>
      </c>
      <c r="U212" s="34">
        <v>20711</v>
      </c>
      <c r="V212" s="34">
        <v>0</v>
      </c>
      <c r="W212" s="34">
        <v>9712</v>
      </c>
      <c r="X212" s="34">
        <v>1226</v>
      </c>
      <c r="Y212" s="34">
        <v>168810</v>
      </c>
      <c r="Z212" s="34">
        <v>20920</v>
      </c>
      <c r="AA212" s="34">
        <v>147890</v>
      </c>
      <c r="AB212" s="34">
        <v>83038</v>
      </c>
      <c r="AC212" s="34">
        <v>64852</v>
      </c>
    </row>
    <row r="213" spans="1:29" x14ac:dyDescent="0.25">
      <c r="A213" s="31" t="s">
        <v>176</v>
      </c>
      <c r="B213" s="31" t="s">
        <v>738</v>
      </c>
      <c r="C213" s="31" t="s">
        <v>223</v>
      </c>
      <c r="D213" s="31" t="s">
        <v>617</v>
      </c>
      <c r="E213" s="32">
        <v>48.19</v>
      </c>
      <c r="F213" s="33">
        <v>372</v>
      </c>
      <c r="G213" s="32">
        <v>420.19</v>
      </c>
      <c r="H213" s="32">
        <v>0</v>
      </c>
      <c r="I213" s="34">
        <v>9</v>
      </c>
      <c r="J213" s="33">
        <v>0</v>
      </c>
      <c r="K213" s="34">
        <v>381</v>
      </c>
      <c r="L213" s="32">
        <v>308.26</v>
      </c>
      <c r="M213" s="32">
        <v>58.76</v>
      </c>
      <c r="N213" s="32">
        <v>64.52</v>
      </c>
      <c r="O213" s="32">
        <v>25.94</v>
      </c>
      <c r="P213" s="32">
        <v>3.27</v>
      </c>
      <c r="Q213" s="34">
        <v>129528</v>
      </c>
      <c r="R213" s="34">
        <v>6342</v>
      </c>
      <c r="S213" s="34">
        <v>135870</v>
      </c>
      <c r="T213" s="34">
        <v>22388</v>
      </c>
      <c r="U213" s="34">
        <v>24582</v>
      </c>
      <c r="V213" s="34">
        <v>0</v>
      </c>
      <c r="W213" s="34">
        <v>11372</v>
      </c>
      <c r="X213" s="34">
        <v>1436</v>
      </c>
      <c r="Y213" s="34">
        <v>195648</v>
      </c>
      <c r="Z213" s="34">
        <v>19730</v>
      </c>
      <c r="AA213" s="34">
        <v>175918</v>
      </c>
      <c r="AB213" s="34">
        <v>98126</v>
      </c>
      <c r="AC213" s="34">
        <v>77792</v>
      </c>
    </row>
    <row r="214" spans="1:29" x14ac:dyDescent="0.25">
      <c r="A214" s="31" t="s">
        <v>176</v>
      </c>
      <c r="B214" s="31" t="s">
        <v>738</v>
      </c>
      <c r="C214" s="31" t="s">
        <v>224</v>
      </c>
      <c r="D214" s="31" t="s">
        <v>618</v>
      </c>
      <c r="E214" s="32">
        <v>406.93</v>
      </c>
      <c r="F214" s="33">
        <v>3368</v>
      </c>
      <c r="G214" s="32">
        <v>3774.93</v>
      </c>
      <c r="H214" s="32">
        <v>0</v>
      </c>
      <c r="I214" s="34">
        <v>455</v>
      </c>
      <c r="J214" s="33">
        <v>1.1000000000000001</v>
      </c>
      <c r="K214" s="34">
        <v>3822</v>
      </c>
      <c r="L214" s="32">
        <v>308.26</v>
      </c>
      <c r="M214" s="32">
        <v>58.76</v>
      </c>
      <c r="N214" s="32">
        <v>64.52</v>
      </c>
      <c r="O214" s="32">
        <v>25.94</v>
      </c>
      <c r="P214" s="32">
        <v>3.27</v>
      </c>
      <c r="Q214" s="34">
        <v>1163660</v>
      </c>
      <c r="R214" s="34">
        <v>0</v>
      </c>
      <c r="S214" s="34">
        <v>1163660</v>
      </c>
      <c r="T214" s="34">
        <v>224581</v>
      </c>
      <c r="U214" s="34">
        <v>246595</v>
      </c>
      <c r="V214" s="34">
        <v>0</v>
      </c>
      <c r="W214" s="34">
        <v>97922</v>
      </c>
      <c r="X214" s="34">
        <v>12344</v>
      </c>
      <c r="Y214" s="34">
        <v>1745102</v>
      </c>
      <c r="Z214" s="34">
        <v>138380</v>
      </c>
      <c r="AA214" s="34">
        <v>1606722</v>
      </c>
      <c r="AB214" s="34">
        <v>915619</v>
      </c>
      <c r="AC214" s="34">
        <v>691103</v>
      </c>
    </row>
    <row r="215" spans="1:29" x14ac:dyDescent="0.25">
      <c r="A215" s="31" t="s">
        <v>176</v>
      </c>
      <c r="B215" s="31" t="s">
        <v>738</v>
      </c>
      <c r="C215" s="31" t="s">
        <v>225</v>
      </c>
      <c r="D215" s="31" t="s">
        <v>619</v>
      </c>
      <c r="E215" s="32">
        <v>54.73</v>
      </c>
      <c r="F215" s="33">
        <v>779.3</v>
      </c>
      <c r="G215" s="32">
        <v>834.03</v>
      </c>
      <c r="H215" s="32">
        <v>0</v>
      </c>
      <c r="I215" s="34">
        <v>30</v>
      </c>
      <c r="J215" s="33">
        <v>0</v>
      </c>
      <c r="K215" s="34">
        <v>809</v>
      </c>
      <c r="L215" s="32">
        <v>308.26</v>
      </c>
      <c r="M215" s="32">
        <v>58.76</v>
      </c>
      <c r="N215" s="32">
        <v>64.52</v>
      </c>
      <c r="O215" s="32">
        <v>25.94</v>
      </c>
      <c r="P215" s="32">
        <v>3.27</v>
      </c>
      <c r="Q215" s="34">
        <v>257098</v>
      </c>
      <c r="R215" s="34">
        <v>0</v>
      </c>
      <c r="S215" s="34">
        <v>257098</v>
      </c>
      <c r="T215" s="34">
        <v>47537</v>
      </c>
      <c r="U215" s="34">
        <v>52197</v>
      </c>
      <c r="V215" s="34">
        <v>0</v>
      </c>
      <c r="W215" s="34">
        <v>21635</v>
      </c>
      <c r="X215" s="34">
        <v>2727</v>
      </c>
      <c r="Y215" s="34">
        <v>381194</v>
      </c>
      <c r="Z215" s="34">
        <v>22227</v>
      </c>
      <c r="AA215" s="34">
        <v>358967</v>
      </c>
      <c r="AB215" s="34">
        <v>210643</v>
      </c>
      <c r="AC215" s="34">
        <v>148324</v>
      </c>
    </row>
    <row r="216" spans="1:29" x14ac:dyDescent="0.25">
      <c r="A216" s="31" t="s">
        <v>176</v>
      </c>
      <c r="B216" s="31" t="s">
        <v>738</v>
      </c>
      <c r="C216" s="31" t="s">
        <v>226</v>
      </c>
      <c r="D216" s="31" t="s">
        <v>620</v>
      </c>
      <c r="E216" s="32">
        <v>1077.17</v>
      </c>
      <c r="F216" s="33">
        <v>11994.7</v>
      </c>
      <c r="G216" s="32">
        <v>13071.87</v>
      </c>
      <c r="H216" s="32">
        <v>0</v>
      </c>
      <c r="I216" s="34">
        <v>1175</v>
      </c>
      <c r="J216" s="33">
        <v>0.6</v>
      </c>
      <c r="K216" s="34">
        <v>13169</v>
      </c>
      <c r="L216" s="32">
        <v>308.26</v>
      </c>
      <c r="M216" s="32">
        <v>58.76</v>
      </c>
      <c r="N216" s="32">
        <v>64.52</v>
      </c>
      <c r="O216" s="32">
        <v>25.94</v>
      </c>
      <c r="P216" s="32">
        <v>3.27</v>
      </c>
      <c r="Q216" s="34">
        <v>4029535</v>
      </c>
      <c r="R216" s="34">
        <v>0</v>
      </c>
      <c r="S216" s="34">
        <v>4029535</v>
      </c>
      <c r="T216" s="34">
        <v>773810</v>
      </c>
      <c r="U216" s="34">
        <v>849664</v>
      </c>
      <c r="V216" s="34">
        <v>0</v>
      </c>
      <c r="W216" s="34">
        <v>339084</v>
      </c>
      <c r="X216" s="34">
        <v>42745</v>
      </c>
      <c r="Y216" s="34">
        <v>6034838</v>
      </c>
      <c r="Z216" s="34">
        <v>115205</v>
      </c>
      <c r="AA216" s="34">
        <v>5919633</v>
      </c>
      <c r="AB216" s="34">
        <v>3534592</v>
      </c>
      <c r="AC216" s="34">
        <v>2385041</v>
      </c>
    </row>
    <row r="217" spans="1:29" x14ac:dyDescent="0.25">
      <c r="A217" s="31" t="s">
        <v>176</v>
      </c>
      <c r="B217" s="31" t="s">
        <v>738</v>
      </c>
      <c r="C217" s="31" t="s">
        <v>227</v>
      </c>
      <c r="D217" s="31" t="s">
        <v>621</v>
      </c>
      <c r="E217" s="32">
        <v>147.66999999999999</v>
      </c>
      <c r="F217" s="33">
        <v>954.7</v>
      </c>
      <c r="G217" s="32">
        <v>1102.3699999999999</v>
      </c>
      <c r="H217" s="32">
        <v>0</v>
      </c>
      <c r="I217" s="34">
        <v>4</v>
      </c>
      <c r="J217" s="33">
        <v>0</v>
      </c>
      <c r="K217" s="34">
        <v>959</v>
      </c>
      <c r="L217" s="32">
        <v>308.26</v>
      </c>
      <c r="M217" s="32">
        <v>58.76</v>
      </c>
      <c r="N217" s="32">
        <v>64.52</v>
      </c>
      <c r="O217" s="32">
        <v>25.94</v>
      </c>
      <c r="P217" s="32">
        <v>3.27</v>
      </c>
      <c r="Q217" s="34">
        <v>339817</v>
      </c>
      <c r="R217" s="34">
        <v>0</v>
      </c>
      <c r="S217" s="34">
        <v>339817</v>
      </c>
      <c r="T217" s="34">
        <v>56351</v>
      </c>
      <c r="U217" s="34">
        <v>61875</v>
      </c>
      <c r="V217" s="34">
        <v>0</v>
      </c>
      <c r="W217" s="34">
        <v>28595</v>
      </c>
      <c r="X217" s="34">
        <v>3605</v>
      </c>
      <c r="Y217" s="34">
        <v>490243</v>
      </c>
      <c r="Z217" s="34">
        <v>43965</v>
      </c>
      <c r="AA217" s="34">
        <v>446278</v>
      </c>
      <c r="AB217" s="34">
        <v>263828</v>
      </c>
      <c r="AC217" s="34">
        <v>182450</v>
      </c>
    </row>
    <row r="218" spans="1:29" x14ac:dyDescent="0.25">
      <c r="A218" s="31" t="s">
        <v>176</v>
      </c>
      <c r="B218" s="31" t="s">
        <v>738</v>
      </c>
      <c r="C218" s="31" t="s">
        <v>228</v>
      </c>
      <c r="D218" s="31" t="s">
        <v>622</v>
      </c>
      <c r="E218" s="32">
        <v>1078.19</v>
      </c>
      <c r="F218" s="33">
        <v>8820.1</v>
      </c>
      <c r="G218" s="32">
        <v>9898.2900000000009</v>
      </c>
      <c r="H218" s="32">
        <v>0</v>
      </c>
      <c r="I218" s="34">
        <v>1224</v>
      </c>
      <c r="J218" s="33">
        <v>3.7</v>
      </c>
      <c r="K218" s="34">
        <v>10040</v>
      </c>
      <c r="L218" s="32">
        <v>308.26</v>
      </c>
      <c r="M218" s="32">
        <v>58.76</v>
      </c>
      <c r="N218" s="32">
        <v>64.52</v>
      </c>
      <c r="O218" s="32">
        <v>25.94</v>
      </c>
      <c r="P218" s="32">
        <v>3.27</v>
      </c>
      <c r="Q218" s="34">
        <v>3051247</v>
      </c>
      <c r="R218" s="34">
        <v>0</v>
      </c>
      <c r="S218" s="34">
        <v>3051247</v>
      </c>
      <c r="T218" s="34">
        <v>589950</v>
      </c>
      <c r="U218" s="34">
        <v>647781</v>
      </c>
      <c r="V218" s="34">
        <v>0</v>
      </c>
      <c r="W218" s="34">
        <v>256762</v>
      </c>
      <c r="X218" s="34">
        <v>32367</v>
      </c>
      <c r="Y218" s="34">
        <v>4578107</v>
      </c>
      <c r="Z218" s="34">
        <v>390197</v>
      </c>
      <c r="AA218" s="34">
        <v>4187910</v>
      </c>
      <c r="AB218" s="34">
        <v>2373505</v>
      </c>
      <c r="AC218" s="34">
        <v>1814405</v>
      </c>
    </row>
    <row r="219" spans="1:29" x14ac:dyDescent="0.25">
      <c r="A219" s="31" t="s">
        <v>176</v>
      </c>
      <c r="B219" s="31" t="s">
        <v>738</v>
      </c>
      <c r="C219" s="31" t="s">
        <v>229</v>
      </c>
      <c r="D219" s="31" t="s">
        <v>623</v>
      </c>
      <c r="E219" s="32">
        <v>190.38</v>
      </c>
      <c r="F219" s="33">
        <v>1669.6</v>
      </c>
      <c r="G219" s="32">
        <v>1859.98</v>
      </c>
      <c r="H219" s="32">
        <v>0</v>
      </c>
      <c r="I219" s="34">
        <v>13</v>
      </c>
      <c r="J219" s="33">
        <v>0</v>
      </c>
      <c r="K219" s="34">
        <v>1683</v>
      </c>
      <c r="L219" s="32">
        <v>308.26</v>
      </c>
      <c r="M219" s="32">
        <v>58.76</v>
      </c>
      <c r="N219" s="32">
        <v>64.52</v>
      </c>
      <c r="O219" s="32">
        <v>25.94</v>
      </c>
      <c r="P219" s="32">
        <v>3.27</v>
      </c>
      <c r="Q219" s="34">
        <v>573357</v>
      </c>
      <c r="R219" s="34">
        <v>4501</v>
      </c>
      <c r="S219" s="34">
        <v>577858</v>
      </c>
      <c r="T219" s="34">
        <v>98893</v>
      </c>
      <c r="U219" s="34">
        <v>108587</v>
      </c>
      <c r="V219" s="34">
        <v>0</v>
      </c>
      <c r="W219" s="34">
        <v>48364</v>
      </c>
      <c r="X219" s="34">
        <v>6108</v>
      </c>
      <c r="Y219" s="34">
        <v>839810</v>
      </c>
      <c r="Z219" s="34">
        <v>70332</v>
      </c>
      <c r="AA219" s="34">
        <v>769478</v>
      </c>
      <c r="AB219" s="34">
        <v>449135</v>
      </c>
      <c r="AC219" s="34">
        <v>320343</v>
      </c>
    </row>
    <row r="220" spans="1:29" x14ac:dyDescent="0.25">
      <c r="A220" s="31" t="s">
        <v>176</v>
      </c>
      <c r="B220" s="31" t="s">
        <v>738</v>
      </c>
      <c r="C220" s="31" t="s">
        <v>230</v>
      </c>
      <c r="D220" s="31" t="s">
        <v>624</v>
      </c>
      <c r="E220" s="32">
        <v>88.41</v>
      </c>
      <c r="F220" s="33">
        <v>1006.7</v>
      </c>
      <c r="G220" s="32">
        <v>1095.1099999999999</v>
      </c>
      <c r="H220" s="32">
        <v>0</v>
      </c>
      <c r="I220" s="34">
        <v>45</v>
      </c>
      <c r="J220" s="33">
        <v>0</v>
      </c>
      <c r="K220" s="34">
        <v>1052</v>
      </c>
      <c r="L220" s="32">
        <v>308.26</v>
      </c>
      <c r="M220" s="32">
        <v>58.76</v>
      </c>
      <c r="N220" s="32">
        <v>64.52</v>
      </c>
      <c r="O220" s="32">
        <v>25.94</v>
      </c>
      <c r="P220" s="32">
        <v>3.27</v>
      </c>
      <c r="Q220" s="34">
        <v>337579</v>
      </c>
      <c r="R220" s="34">
        <v>0</v>
      </c>
      <c r="S220" s="34">
        <v>337579</v>
      </c>
      <c r="T220" s="34">
        <v>61816</v>
      </c>
      <c r="U220" s="34">
        <v>67875</v>
      </c>
      <c r="V220" s="34">
        <v>0</v>
      </c>
      <c r="W220" s="34">
        <v>28407</v>
      </c>
      <c r="X220" s="34">
        <v>3581</v>
      </c>
      <c r="Y220" s="34">
        <v>499258</v>
      </c>
      <c r="Z220" s="34">
        <v>30067</v>
      </c>
      <c r="AA220" s="34">
        <v>469191</v>
      </c>
      <c r="AB220" s="34">
        <v>275699</v>
      </c>
      <c r="AC220" s="34">
        <v>193492</v>
      </c>
    </row>
    <row r="221" spans="1:29" x14ac:dyDescent="0.25">
      <c r="A221" s="31" t="s">
        <v>231</v>
      </c>
      <c r="B221" s="31" t="s">
        <v>739</v>
      </c>
      <c r="C221" s="31" t="s">
        <v>232</v>
      </c>
      <c r="D221" s="31" t="s">
        <v>625</v>
      </c>
      <c r="E221" s="32">
        <v>72.77</v>
      </c>
      <c r="F221" s="33">
        <v>539.5</v>
      </c>
      <c r="G221" s="32">
        <v>612.27</v>
      </c>
      <c r="H221" s="32">
        <v>1.25</v>
      </c>
      <c r="I221" s="34">
        <v>10</v>
      </c>
      <c r="J221" s="33">
        <v>0</v>
      </c>
      <c r="K221" s="34">
        <v>550</v>
      </c>
      <c r="L221" s="32">
        <v>322.89999999999998</v>
      </c>
      <c r="M221" s="32">
        <v>59.17</v>
      </c>
      <c r="N221" s="32">
        <v>66.3</v>
      </c>
      <c r="O221" s="32">
        <v>32.5</v>
      </c>
      <c r="P221" s="32">
        <v>3.88</v>
      </c>
      <c r="Q221" s="34">
        <v>197702</v>
      </c>
      <c r="R221" s="34">
        <v>9701</v>
      </c>
      <c r="S221" s="34">
        <v>207403</v>
      </c>
      <c r="T221" s="34">
        <v>32544</v>
      </c>
      <c r="U221" s="34">
        <v>36465</v>
      </c>
      <c r="V221" s="34">
        <v>404</v>
      </c>
      <c r="W221" s="34">
        <v>20866</v>
      </c>
      <c r="X221" s="34">
        <v>2492</v>
      </c>
      <c r="Y221" s="34">
        <v>300174</v>
      </c>
      <c r="Z221" s="34">
        <v>26925</v>
      </c>
      <c r="AA221" s="34">
        <v>273249</v>
      </c>
      <c r="AB221" s="34">
        <v>149813</v>
      </c>
      <c r="AC221" s="34">
        <v>123436</v>
      </c>
    </row>
    <row r="222" spans="1:29" x14ac:dyDescent="0.25">
      <c r="A222" s="31" t="s">
        <v>231</v>
      </c>
      <c r="B222" s="31" t="s">
        <v>739</v>
      </c>
      <c r="C222" s="31" t="s">
        <v>233</v>
      </c>
      <c r="D222" s="31" t="s">
        <v>626</v>
      </c>
      <c r="E222" s="32">
        <v>38.630000000000003</v>
      </c>
      <c r="F222" s="33">
        <v>278</v>
      </c>
      <c r="G222" s="32">
        <v>316.63</v>
      </c>
      <c r="H222" s="32">
        <v>0.65</v>
      </c>
      <c r="I222" s="34">
        <v>65</v>
      </c>
      <c r="J222" s="33">
        <v>0</v>
      </c>
      <c r="K222" s="34">
        <v>343</v>
      </c>
      <c r="L222" s="32">
        <v>322.89999999999998</v>
      </c>
      <c r="M222" s="32">
        <v>59.17</v>
      </c>
      <c r="N222" s="32">
        <v>66.3</v>
      </c>
      <c r="O222" s="32">
        <v>32.5</v>
      </c>
      <c r="P222" s="32">
        <v>3.88</v>
      </c>
      <c r="Q222" s="34">
        <v>102240</v>
      </c>
      <c r="R222" s="34">
        <v>3087</v>
      </c>
      <c r="S222" s="34">
        <v>105327</v>
      </c>
      <c r="T222" s="34">
        <v>20295</v>
      </c>
      <c r="U222" s="34">
        <v>22741</v>
      </c>
      <c r="V222" s="34">
        <v>210</v>
      </c>
      <c r="W222" s="34">
        <v>10290</v>
      </c>
      <c r="X222" s="34">
        <v>1229</v>
      </c>
      <c r="Y222" s="34">
        <v>160092</v>
      </c>
      <c r="Z222" s="34">
        <v>20681</v>
      </c>
      <c r="AA222" s="34">
        <v>139411</v>
      </c>
      <c r="AB222" s="34">
        <v>70158</v>
      </c>
      <c r="AC222" s="34">
        <v>69253</v>
      </c>
    </row>
    <row r="223" spans="1:29" x14ac:dyDescent="0.25">
      <c r="A223" s="31" t="s">
        <v>231</v>
      </c>
      <c r="B223" s="31" t="s">
        <v>739</v>
      </c>
      <c r="C223" s="31" t="s">
        <v>234</v>
      </c>
      <c r="D223" s="31" t="s">
        <v>627</v>
      </c>
      <c r="E223" s="32">
        <v>79.010000000000005</v>
      </c>
      <c r="F223" s="33">
        <v>594.29999999999995</v>
      </c>
      <c r="G223" s="32">
        <v>673.31</v>
      </c>
      <c r="H223" s="32">
        <v>1.38</v>
      </c>
      <c r="I223" s="34">
        <v>358</v>
      </c>
      <c r="J223" s="33">
        <v>5.0999999999999996</v>
      </c>
      <c r="K223" s="34">
        <v>947</v>
      </c>
      <c r="L223" s="32">
        <v>322.89999999999998</v>
      </c>
      <c r="M223" s="32">
        <v>59.17</v>
      </c>
      <c r="N223" s="32">
        <v>66.3</v>
      </c>
      <c r="O223" s="32">
        <v>32.5</v>
      </c>
      <c r="P223" s="32">
        <v>3.88</v>
      </c>
      <c r="Q223" s="34">
        <v>217412</v>
      </c>
      <c r="R223" s="34">
        <v>0</v>
      </c>
      <c r="S223" s="34">
        <v>217412</v>
      </c>
      <c r="T223" s="34">
        <v>56034</v>
      </c>
      <c r="U223" s="34">
        <v>62786</v>
      </c>
      <c r="V223" s="34">
        <v>446</v>
      </c>
      <c r="W223" s="34">
        <v>21883</v>
      </c>
      <c r="X223" s="34">
        <v>2612</v>
      </c>
      <c r="Y223" s="34">
        <v>361173</v>
      </c>
      <c r="Z223" s="34">
        <v>31059</v>
      </c>
      <c r="AA223" s="34">
        <v>330114</v>
      </c>
      <c r="AB223" s="34">
        <v>162109</v>
      </c>
      <c r="AC223" s="34">
        <v>168005</v>
      </c>
    </row>
    <row r="224" spans="1:29" x14ac:dyDescent="0.25">
      <c r="A224" s="31" t="s">
        <v>231</v>
      </c>
      <c r="B224" s="31" t="s">
        <v>739</v>
      </c>
      <c r="C224" s="31" t="s">
        <v>235</v>
      </c>
      <c r="D224" s="31" t="s">
        <v>628</v>
      </c>
      <c r="E224" s="32">
        <v>92.04</v>
      </c>
      <c r="F224" s="33">
        <v>748.6</v>
      </c>
      <c r="G224" s="32">
        <v>840.64</v>
      </c>
      <c r="H224" s="32">
        <v>1.72</v>
      </c>
      <c r="I224" s="34">
        <v>131</v>
      </c>
      <c r="J224" s="33">
        <v>0</v>
      </c>
      <c r="K224" s="34">
        <v>880</v>
      </c>
      <c r="L224" s="32">
        <v>322.89999999999998</v>
      </c>
      <c r="M224" s="32">
        <v>59.17</v>
      </c>
      <c r="N224" s="32">
        <v>66.3</v>
      </c>
      <c r="O224" s="32">
        <v>32.5</v>
      </c>
      <c r="P224" s="32">
        <v>3.88</v>
      </c>
      <c r="Q224" s="34">
        <v>271443</v>
      </c>
      <c r="R224" s="34">
        <v>0</v>
      </c>
      <c r="S224" s="34">
        <v>271443</v>
      </c>
      <c r="T224" s="34">
        <v>52070</v>
      </c>
      <c r="U224" s="34">
        <v>58344</v>
      </c>
      <c r="V224" s="34">
        <v>555</v>
      </c>
      <c r="W224" s="34">
        <v>27321</v>
      </c>
      <c r="X224" s="34">
        <v>3262</v>
      </c>
      <c r="Y224" s="34">
        <v>412995</v>
      </c>
      <c r="Z224" s="34">
        <v>34843</v>
      </c>
      <c r="AA224" s="34">
        <v>378152</v>
      </c>
      <c r="AB224" s="34">
        <v>206330</v>
      </c>
      <c r="AC224" s="34">
        <v>171822</v>
      </c>
    </row>
    <row r="225" spans="1:29" x14ac:dyDescent="0.25">
      <c r="A225" s="31" t="s">
        <v>231</v>
      </c>
      <c r="B225" s="31" t="s">
        <v>739</v>
      </c>
      <c r="C225" s="31" t="s">
        <v>236</v>
      </c>
      <c r="D225" s="31" t="s">
        <v>629</v>
      </c>
      <c r="E225" s="32">
        <v>46.21</v>
      </c>
      <c r="F225" s="33">
        <v>265</v>
      </c>
      <c r="G225" s="32">
        <v>311.20999999999998</v>
      </c>
      <c r="H225" s="32">
        <v>0.63</v>
      </c>
      <c r="I225" s="34">
        <v>0</v>
      </c>
      <c r="J225" s="33">
        <v>0</v>
      </c>
      <c r="K225" s="34">
        <v>265</v>
      </c>
      <c r="L225" s="32">
        <v>322.89999999999998</v>
      </c>
      <c r="M225" s="32">
        <v>59.17</v>
      </c>
      <c r="N225" s="32">
        <v>66.3</v>
      </c>
      <c r="O225" s="32">
        <v>32.5</v>
      </c>
      <c r="P225" s="32">
        <v>3.88</v>
      </c>
      <c r="Q225" s="34">
        <v>100490</v>
      </c>
      <c r="R225" s="34">
        <v>0</v>
      </c>
      <c r="S225" s="34">
        <v>100490</v>
      </c>
      <c r="T225" s="34">
        <v>15680</v>
      </c>
      <c r="U225" s="34">
        <v>17570</v>
      </c>
      <c r="V225" s="34">
        <v>203</v>
      </c>
      <c r="W225" s="34">
        <v>10114</v>
      </c>
      <c r="X225" s="34">
        <v>1207</v>
      </c>
      <c r="Y225" s="34">
        <v>145264</v>
      </c>
      <c r="Z225" s="34">
        <v>17747</v>
      </c>
      <c r="AA225" s="34">
        <v>127517</v>
      </c>
      <c r="AB225" s="34">
        <v>71534</v>
      </c>
      <c r="AC225" s="34">
        <v>55983</v>
      </c>
    </row>
    <row r="226" spans="1:29" x14ac:dyDescent="0.25">
      <c r="A226" s="31" t="s">
        <v>231</v>
      </c>
      <c r="B226" s="31" t="s">
        <v>739</v>
      </c>
      <c r="C226" s="31" t="s">
        <v>237</v>
      </c>
      <c r="D226" s="31" t="s">
        <v>630</v>
      </c>
      <c r="E226" s="32">
        <v>132.93</v>
      </c>
      <c r="F226" s="33">
        <v>1028.7</v>
      </c>
      <c r="G226" s="32">
        <v>1161.6300000000001</v>
      </c>
      <c r="H226" s="32">
        <v>2.37</v>
      </c>
      <c r="I226" s="34">
        <v>5</v>
      </c>
      <c r="J226" s="33">
        <v>0</v>
      </c>
      <c r="K226" s="34">
        <v>1034</v>
      </c>
      <c r="L226" s="32">
        <v>322.89999999999998</v>
      </c>
      <c r="M226" s="32">
        <v>59.17</v>
      </c>
      <c r="N226" s="32">
        <v>66.3</v>
      </c>
      <c r="O226" s="32">
        <v>32.5</v>
      </c>
      <c r="P226" s="32">
        <v>3.88</v>
      </c>
      <c r="Q226" s="34">
        <v>375090</v>
      </c>
      <c r="R226" s="34">
        <v>0</v>
      </c>
      <c r="S226" s="34">
        <v>375090</v>
      </c>
      <c r="T226" s="34">
        <v>61182</v>
      </c>
      <c r="U226" s="34">
        <v>68554</v>
      </c>
      <c r="V226" s="34">
        <v>765</v>
      </c>
      <c r="W226" s="34">
        <v>37753</v>
      </c>
      <c r="X226" s="34">
        <v>4507</v>
      </c>
      <c r="Y226" s="34">
        <v>547851</v>
      </c>
      <c r="Z226" s="34">
        <v>53299</v>
      </c>
      <c r="AA226" s="34">
        <v>494552</v>
      </c>
      <c r="AB226" s="34">
        <v>279961</v>
      </c>
      <c r="AC226" s="34">
        <v>214591</v>
      </c>
    </row>
    <row r="227" spans="1:29" x14ac:dyDescent="0.25">
      <c r="A227" s="31" t="s">
        <v>231</v>
      </c>
      <c r="B227" s="31" t="s">
        <v>739</v>
      </c>
      <c r="C227" s="31" t="s">
        <v>238</v>
      </c>
      <c r="D227" s="31" t="s">
        <v>631</v>
      </c>
      <c r="E227" s="32">
        <v>249.76</v>
      </c>
      <c r="F227" s="33">
        <v>2068.6</v>
      </c>
      <c r="G227" s="32">
        <v>2318.36</v>
      </c>
      <c r="H227" s="32">
        <v>4.74</v>
      </c>
      <c r="I227" s="34">
        <v>144</v>
      </c>
      <c r="J227" s="33">
        <v>0</v>
      </c>
      <c r="K227" s="34">
        <v>2213</v>
      </c>
      <c r="L227" s="32">
        <v>322.89999999999998</v>
      </c>
      <c r="M227" s="32">
        <v>59.17</v>
      </c>
      <c r="N227" s="32">
        <v>66.3</v>
      </c>
      <c r="O227" s="32">
        <v>32.5</v>
      </c>
      <c r="P227" s="32">
        <v>3.88</v>
      </c>
      <c r="Q227" s="34">
        <v>748598</v>
      </c>
      <c r="R227" s="34">
        <v>22425</v>
      </c>
      <c r="S227" s="34">
        <v>771023</v>
      </c>
      <c r="T227" s="34">
        <v>130943</v>
      </c>
      <c r="U227" s="34">
        <v>146722</v>
      </c>
      <c r="V227" s="34">
        <v>1531</v>
      </c>
      <c r="W227" s="34">
        <v>77569</v>
      </c>
      <c r="X227" s="34">
        <v>9262</v>
      </c>
      <c r="Y227" s="34">
        <v>1137050</v>
      </c>
      <c r="Z227" s="34">
        <v>77738</v>
      </c>
      <c r="AA227" s="34">
        <v>1059312</v>
      </c>
      <c r="AB227" s="34">
        <v>589868</v>
      </c>
      <c r="AC227" s="34">
        <v>469444</v>
      </c>
    </row>
    <row r="228" spans="1:29" x14ac:dyDescent="0.25">
      <c r="A228" s="31" t="s">
        <v>231</v>
      </c>
      <c r="B228" s="31" t="s">
        <v>739</v>
      </c>
      <c r="C228" s="31" t="s">
        <v>239</v>
      </c>
      <c r="D228" s="31" t="s">
        <v>632</v>
      </c>
      <c r="E228" s="32">
        <v>49.12</v>
      </c>
      <c r="F228" s="33">
        <v>468</v>
      </c>
      <c r="G228" s="32">
        <v>517.12</v>
      </c>
      <c r="H228" s="32">
        <v>1.06</v>
      </c>
      <c r="I228" s="34">
        <v>1</v>
      </c>
      <c r="J228" s="33">
        <v>0</v>
      </c>
      <c r="K228" s="34">
        <v>469</v>
      </c>
      <c r="L228" s="32">
        <v>322.89999999999998</v>
      </c>
      <c r="M228" s="32">
        <v>59.17</v>
      </c>
      <c r="N228" s="32">
        <v>66.3</v>
      </c>
      <c r="O228" s="32">
        <v>32.5</v>
      </c>
      <c r="P228" s="32">
        <v>3.88</v>
      </c>
      <c r="Q228" s="34">
        <v>166978</v>
      </c>
      <c r="R228" s="34">
        <v>0</v>
      </c>
      <c r="S228" s="34">
        <v>166978</v>
      </c>
      <c r="T228" s="34">
        <v>27751</v>
      </c>
      <c r="U228" s="34">
        <v>31095</v>
      </c>
      <c r="V228" s="34">
        <v>342</v>
      </c>
      <c r="W228" s="34">
        <v>16806</v>
      </c>
      <c r="X228" s="34">
        <v>2006</v>
      </c>
      <c r="Y228" s="34">
        <v>244978</v>
      </c>
      <c r="Z228" s="34">
        <v>25821</v>
      </c>
      <c r="AA228" s="34">
        <v>219157</v>
      </c>
      <c r="AB228" s="34">
        <v>122536</v>
      </c>
      <c r="AC228" s="34">
        <v>96621</v>
      </c>
    </row>
    <row r="229" spans="1:29" x14ac:dyDescent="0.25">
      <c r="A229" s="31" t="s">
        <v>231</v>
      </c>
      <c r="B229" s="31" t="s">
        <v>739</v>
      </c>
      <c r="C229" s="31" t="s">
        <v>240</v>
      </c>
      <c r="D229" s="31" t="s">
        <v>633</v>
      </c>
      <c r="E229" s="32">
        <v>45.03</v>
      </c>
      <c r="F229" s="33">
        <v>425</v>
      </c>
      <c r="G229" s="32">
        <v>470.03</v>
      </c>
      <c r="H229" s="32">
        <v>0.96</v>
      </c>
      <c r="I229" s="34">
        <v>9</v>
      </c>
      <c r="J229" s="33">
        <v>0</v>
      </c>
      <c r="K229" s="34">
        <v>434</v>
      </c>
      <c r="L229" s="32">
        <v>322.89999999999998</v>
      </c>
      <c r="M229" s="32">
        <v>59.17</v>
      </c>
      <c r="N229" s="32">
        <v>66.3</v>
      </c>
      <c r="O229" s="32">
        <v>32.5</v>
      </c>
      <c r="P229" s="32">
        <v>3.88</v>
      </c>
      <c r="Q229" s="34">
        <v>151773</v>
      </c>
      <c r="R229" s="34">
        <v>0</v>
      </c>
      <c r="S229" s="34">
        <v>151773</v>
      </c>
      <c r="T229" s="34">
        <v>25680</v>
      </c>
      <c r="U229" s="34">
        <v>28774</v>
      </c>
      <c r="V229" s="34">
        <v>310</v>
      </c>
      <c r="W229" s="34">
        <v>15276</v>
      </c>
      <c r="X229" s="34">
        <v>1824</v>
      </c>
      <c r="Y229" s="34">
        <v>223637</v>
      </c>
      <c r="Z229" s="34">
        <v>24051</v>
      </c>
      <c r="AA229" s="34">
        <v>199586</v>
      </c>
      <c r="AB229" s="34">
        <v>110797</v>
      </c>
      <c r="AC229" s="34">
        <v>88789</v>
      </c>
    </row>
    <row r="230" spans="1:29" x14ac:dyDescent="0.25">
      <c r="A230" s="31" t="s">
        <v>231</v>
      </c>
      <c r="B230" s="31" t="s">
        <v>739</v>
      </c>
      <c r="C230" s="31" t="s">
        <v>241</v>
      </c>
      <c r="D230" s="31" t="s">
        <v>634</v>
      </c>
      <c r="E230" s="32">
        <v>118.31</v>
      </c>
      <c r="F230" s="33">
        <v>612.20000000000005</v>
      </c>
      <c r="G230" s="32">
        <v>730.51</v>
      </c>
      <c r="H230" s="32">
        <v>1.49</v>
      </c>
      <c r="I230" s="34">
        <v>123</v>
      </c>
      <c r="J230" s="33">
        <v>0</v>
      </c>
      <c r="K230" s="34">
        <v>735</v>
      </c>
      <c r="L230" s="32">
        <v>322.89999999999998</v>
      </c>
      <c r="M230" s="32">
        <v>59.17</v>
      </c>
      <c r="N230" s="32">
        <v>66.3</v>
      </c>
      <c r="O230" s="32">
        <v>32.5</v>
      </c>
      <c r="P230" s="32">
        <v>3.88</v>
      </c>
      <c r="Q230" s="34">
        <v>235882</v>
      </c>
      <c r="R230" s="34">
        <v>0</v>
      </c>
      <c r="S230" s="34">
        <v>235882</v>
      </c>
      <c r="T230" s="34">
        <v>43490</v>
      </c>
      <c r="U230" s="34">
        <v>48731</v>
      </c>
      <c r="V230" s="34">
        <v>481</v>
      </c>
      <c r="W230" s="34">
        <v>23742</v>
      </c>
      <c r="X230" s="34">
        <v>2834</v>
      </c>
      <c r="Y230" s="34">
        <v>355160</v>
      </c>
      <c r="Z230" s="34">
        <v>41896</v>
      </c>
      <c r="AA230" s="34">
        <v>313264</v>
      </c>
      <c r="AB230" s="34">
        <v>167680</v>
      </c>
      <c r="AC230" s="34">
        <v>145584</v>
      </c>
    </row>
    <row r="231" spans="1:29" x14ac:dyDescent="0.25">
      <c r="A231" s="31" t="s">
        <v>231</v>
      </c>
      <c r="B231" s="31" t="s">
        <v>739</v>
      </c>
      <c r="C231" s="31" t="s">
        <v>242</v>
      </c>
      <c r="D231" s="31" t="s">
        <v>635</v>
      </c>
      <c r="E231" s="32">
        <v>34.35</v>
      </c>
      <c r="F231" s="33">
        <v>521</v>
      </c>
      <c r="G231" s="32">
        <v>555.35</v>
      </c>
      <c r="H231" s="32">
        <v>1.1299999999999999</v>
      </c>
      <c r="I231" s="34">
        <v>18</v>
      </c>
      <c r="J231" s="33">
        <v>0</v>
      </c>
      <c r="K231" s="34">
        <v>539</v>
      </c>
      <c r="L231" s="32">
        <v>322.89999999999998</v>
      </c>
      <c r="M231" s="32">
        <v>59.17</v>
      </c>
      <c r="N231" s="32">
        <v>66.3</v>
      </c>
      <c r="O231" s="32">
        <v>32.5</v>
      </c>
      <c r="P231" s="32">
        <v>3.88</v>
      </c>
      <c r="Q231" s="34">
        <v>179323</v>
      </c>
      <c r="R231" s="34">
        <v>2409</v>
      </c>
      <c r="S231" s="34">
        <v>181732</v>
      </c>
      <c r="T231" s="34">
        <v>31893</v>
      </c>
      <c r="U231" s="34">
        <v>35736</v>
      </c>
      <c r="V231" s="34">
        <v>365</v>
      </c>
      <c r="W231" s="34">
        <v>18283</v>
      </c>
      <c r="X231" s="34">
        <v>2183</v>
      </c>
      <c r="Y231" s="34">
        <v>270192</v>
      </c>
      <c r="Z231" s="34">
        <v>25986</v>
      </c>
      <c r="AA231" s="34">
        <v>244206</v>
      </c>
      <c r="AB231" s="34">
        <v>133600</v>
      </c>
      <c r="AC231" s="34">
        <v>110606</v>
      </c>
    </row>
    <row r="232" spans="1:29" x14ac:dyDescent="0.25">
      <c r="A232" s="31" t="s">
        <v>231</v>
      </c>
      <c r="B232" s="31" t="s">
        <v>739</v>
      </c>
      <c r="C232" s="31" t="s">
        <v>243</v>
      </c>
      <c r="D232" s="31" t="s">
        <v>636</v>
      </c>
      <c r="E232" s="32">
        <v>49.68</v>
      </c>
      <c r="F232" s="33">
        <v>466.7</v>
      </c>
      <c r="G232" s="32">
        <v>516.38</v>
      </c>
      <c r="H232" s="32">
        <v>1.06</v>
      </c>
      <c r="I232" s="34">
        <v>4</v>
      </c>
      <c r="J232" s="33">
        <v>0</v>
      </c>
      <c r="K232" s="34">
        <v>471</v>
      </c>
      <c r="L232" s="32">
        <v>322.89999999999998</v>
      </c>
      <c r="M232" s="32">
        <v>59.17</v>
      </c>
      <c r="N232" s="32">
        <v>66.3</v>
      </c>
      <c r="O232" s="32">
        <v>32.5</v>
      </c>
      <c r="P232" s="32">
        <v>3.88</v>
      </c>
      <c r="Q232" s="34">
        <v>166739</v>
      </c>
      <c r="R232" s="34">
        <v>0</v>
      </c>
      <c r="S232" s="34">
        <v>166739</v>
      </c>
      <c r="T232" s="34">
        <v>27869</v>
      </c>
      <c r="U232" s="34">
        <v>31227</v>
      </c>
      <c r="V232" s="34">
        <v>342</v>
      </c>
      <c r="W232" s="34">
        <v>16782</v>
      </c>
      <c r="X232" s="34">
        <v>2004</v>
      </c>
      <c r="Y232" s="34">
        <v>244963</v>
      </c>
      <c r="Z232" s="34">
        <v>21764</v>
      </c>
      <c r="AA232" s="34">
        <v>223199</v>
      </c>
      <c r="AB232" s="34">
        <v>126382</v>
      </c>
      <c r="AC232" s="34">
        <v>96817</v>
      </c>
    </row>
    <row r="233" spans="1:29" x14ac:dyDescent="0.25">
      <c r="A233" s="31" t="s">
        <v>231</v>
      </c>
      <c r="B233" s="31" t="s">
        <v>739</v>
      </c>
      <c r="C233" s="31" t="s">
        <v>244</v>
      </c>
      <c r="D233" s="31" t="s">
        <v>637</v>
      </c>
      <c r="E233" s="32">
        <v>48.01</v>
      </c>
      <c r="F233" s="33">
        <v>607.9</v>
      </c>
      <c r="G233" s="32">
        <v>655.91</v>
      </c>
      <c r="H233" s="32">
        <v>1.34</v>
      </c>
      <c r="I233" s="34">
        <v>15</v>
      </c>
      <c r="J233" s="33">
        <v>0</v>
      </c>
      <c r="K233" s="34">
        <v>623</v>
      </c>
      <c r="L233" s="32">
        <v>322.89999999999998</v>
      </c>
      <c r="M233" s="32">
        <v>59.17</v>
      </c>
      <c r="N233" s="32">
        <v>66.3</v>
      </c>
      <c r="O233" s="32">
        <v>32.5</v>
      </c>
      <c r="P233" s="32">
        <v>3.88</v>
      </c>
      <c r="Q233" s="34">
        <v>211793</v>
      </c>
      <c r="R233" s="34">
        <v>0</v>
      </c>
      <c r="S233" s="34">
        <v>211793</v>
      </c>
      <c r="T233" s="34">
        <v>36863</v>
      </c>
      <c r="U233" s="34">
        <v>41305</v>
      </c>
      <c r="V233" s="34">
        <v>433</v>
      </c>
      <c r="W233" s="34">
        <v>21317</v>
      </c>
      <c r="X233" s="34">
        <v>2545</v>
      </c>
      <c r="Y233" s="34">
        <v>314256</v>
      </c>
      <c r="Z233" s="34">
        <v>28228</v>
      </c>
      <c r="AA233" s="34">
        <v>286028</v>
      </c>
      <c r="AB233" s="34">
        <v>159947</v>
      </c>
      <c r="AC233" s="34">
        <v>126081</v>
      </c>
    </row>
    <row r="234" spans="1:29" x14ac:dyDescent="0.25">
      <c r="A234" s="31" t="s">
        <v>231</v>
      </c>
      <c r="B234" s="31" t="s">
        <v>739</v>
      </c>
      <c r="C234" s="31" t="s">
        <v>245</v>
      </c>
      <c r="D234" s="31" t="s">
        <v>638</v>
      </c>
      <c r="E234" s="32">
        <v>323.95999999999998</v>
      </c>
      <c r="F234" s="33">
        <v>2232.3000000000002</v>
      </c>
      <c r="G234" s="32">
        <v>2556.2600000000002</v>
      </c>
      <c r="H234" s="32">
        <v>5.22</v>
      </c>
      <c r="I234" s="34">
        <v>416</v>
      </c>
      <c r="J234" s="33">
        <v>0.9</v>
      </c>
      <c r="K234" s="34">
        <v>2647</v>
      </c>
      <c r="L234" s="32">
        <v>322.89999999999998</v>
      </c>
      <c r="M234" s="32">
        <v>59.17</v>
      </c>
      <c r="N234" s="32">
        <v>66.3</v>
      </c>
      <c r="O234" s="32">
        <v>32.5</v>
      </c>
      <c r="P234" s="32">
        <v>3.88</v>
      </c>
      <c r="Q234" s="34">
        <v>825416</v>
      </c>
      <c r="R234" s="34">
        <v>0</v>
      </c>
      <c r="S234" s="34">
        <v>825416</v>
      </c>
      <c r="T234" s="34">
        <v>156623</v>
      </c>
      <c r="U234" s="34">
        <v>175496</v>
      </c>
      <c r="V234" s="34">
        <v>1686</v>
      </c>
      <c r="W234" s="34">
        <v>83078</v>
      </c>
      <c r="X234" s="34">
        <v>9918</v>
      </c>
      <c r="Y234" s="34">
        <v>1252217</v>
      </c>
      <c r="Z234" s="34">
        <v>105133</v>
      </c>
      <c r="AA234" s="34">
        <v>1147084</v>
      </c>
      <c r="AB234" s="34">
        <v>628233</v>
      </c>
      <c r="AC234" s="34">
        <v>518851</v>
      </c>
    </row>
    <row r="235" spans="1:29" x14ac:dyDescent="0.25">
      <c r="A235" s="31" t="s">
        <v>231</v>
      </c>
      <c r="B235" s="31" t="s">
        <v>739</v>
      </c>
      <c r="C235" s="31" t="s">
        <v>246</v>
      </c>
      <c r="D235" s="31" t="s">
        <v>639</v>
      </c>
      <c r="E235" s="32">
        <v>78.95</v>
      </c>
      <c r="F235" s="33">
        <v>599.20000000000005</v>
      </c>
      <c r="G235" s="32">
        <v>678.15</v>
      </c>
      <c r="H235" s="32">
        <v>1.38</v>
      </c>
      <c r="I235" s="34">
        <v>25</v>
      </c>
      <c r="J235" s="33">
        <v>0</v>
      </c>
      <c r="K235" s="34">
        <v>624</v>
      </c>
      <c r="L235" s="32">
        <v>322.89999999999998</v>
      </c>
      <c r="M235" s="32">
        <v>59.17</v>
      </c>
      <c r="N235" s="32">
        <v>66.3</v>
      </c>
      <c r="O235" s="32">
        <v>32.5</v>
      </c>
      <c r="P235" s="32">
        <v>3.88</v>
      </c>
      <c r="Q235" s="34">
        <v>218975</v>
      </c>
      <c r="R235" s="34">
        <v>16402</v>
      </c>
      <c r="S235" s="34">
        <v>235377</v>
      </c>
      <c r="T235" s="34">
        <v>36922</v>
      </c>
      <c r="U235" s="34">
        <v>41371</v>
      </c>
      <c r="V235" s="34">
        <v>446</v>
      </c>
      <c r="W235" s="34">
        <v>22040</v>
      </c>
      <c r="X235" s="34">
        <v>2631</v>
      </c>
      <c r="Y235" s="34">
        <v>338787</v>
      </c>
      <c r="Z235" s="34">
        <v>42589</v>
      </c>
      <c r="AA235" s="34">
        <v>296198</v>
      </c>
      <c r="AB235" s="34">
        <v>151965</v>
      </c>
      <c r="AC235" s="34">
        <v>144233</v>
      </c>
    </row>
    <row r="236" spans="1:29" x14ac:dyDescent="0.25">
      <c r="A236" s="31" t="s">
        <v>231</v>
      </c>
      <c r="B236" s="31" t="s">
        <v>739</v>
      </c>
      <c r="C236" s="31" t="s">
        <v>247</v>
      </c>
      <c r="D236" s="31" t="s">
        <v>640</v>
      </c>
      <c r="E236" s="32">
        <v>51.62</v>
      </c>
      <c r="F236" s="33">
        <v>436.1</v>
      </c>
      <c r="G236" s="32">
        <v>487.72</v>
      </c>
      <c r="H236" s="32">
        <v>1</v>
      </c>
      <c r="I236" s="34">
        <v>5</v>
      </c>
      <c r="J236" s="33">
        <v>0</v>
      </c>
      <c r="K236" s="34">
        <v>441</v>
      </c>
      <c r="L236" s="32">
        <v>322.89999999999998</v>
      </c>
      <c r="M236" s="32">
        <v>59.17</v>
      </c>
      <c r="N236" s="32">
        <v>66.3</v>
      </c>
      <c r="O236" s="32">
        <v>32.5</v>
      </c>
      <c r="P236" s="32">
        <v>3.88</v>
      </c>
      <c r="Q236" s="34">
        <v>157485</v>
      </c>
      <c r="R236" s="34">
        <v>434</v>
      </c>
      <c r="S236" s="34">
        <v>157919</v>
      </c>
      <c r="T236" s="34">
        <v>26094</v>
      </c>
      <c r="U236" s="34">
        <v>29238</v>
      </c>
      <c r="V236" s="34">
        <v>323</v>
      </c>
      <c r="W236" s="34">
        <v>15887</v>
      </c>
      <c r="X236" s="34">
        <v>1897</v>
      </c>
      <c r="Y236" s="34">
        <v>231358</v>
      </c>
      <c r="Z236" s="34">
        <v>28045</v>
      </c>
      <c r="AA236" s="34">
        <v>203313</v>
      </c>
      <c r="AB236" s="34">
        <v>111919</v>
      </c>
      <c r="AC236" s="34">
        <v>91394</v>
      </c>
    </row>
    <row r="237" spans="1:29" x14ac:dyDescent="0.25">
      <c r="A237" s="31" t="s">
        <v>231</v>
      </c>
      <c r="B237" s="31" t="s">
        <v>739</v>
      </c>
      <c r="C237" s="31" t="s">
        <v>248</v>
      </c>
      <c r="D237" s="31" t="s">
        <v>641</v>
      </c>
      <c r="E237" s="32">
        <v>199.79</v>
      </c>
      <c r="F237" s="33">
        <v>1498</v>
      </c>
      <c r="G237" s="32">
        <v>1697.79</v>
      </c>
      <c r="H237" s="32">
        <v>3.47</v>
      </c>
      <c r="I237" s="34">
        <v>540</v>
      </c>
      <c r="J237" s="33">
        <v>8.6999999999999993</v>
      </c>
      <c r="K237" s="34">
        <v>2029</v>
      </c>
      <c r="L237" s="32">
        <v>322.89999999999998</v>
      </c>
      <c r="M237" s="32">
        <v>59.17</v>
      </c>
      <c r="N237" s="32">
        <v>66.3</v>
      </c>
      <c r="O237" s="32">
        <v>32.5</v>
      </c>
      <c r="P237" s="32">
        <v>3.88</v>
      </c>
      <c r="Q237" s="34">
        <v>548216</v>
      </c>
      <c r="R237" s="34">
        <v>0</v>
      </c>
      <c r="S237" s="34">
        <v>548216</v>
      </c>
      <c r="T237" s="34">
        <v>120056</v>
      </c>
      <c r="U237" s="34">
        <v>134523</v>
      </c>
      <c r="V237" s="34">
        <v>1120</v>
      </c>
      <c r="W237" s="34">
        <v>55178</v>
      </c>
      <c r="X237" s="34">
        <v>6587</v>
      </c>
      <c r="Y237" s="34">
        <v>865680</v>
      </c>
      <c r="Z237" s="34">
        <v>71335</v>
      </c>
      <c r="AA237" s="34">
        <v>794345</v>
      </c>
      <c r="AB237" s="34">
        <v>415745</v>
      </c>
      <c r="AC237" s="34">
        <v>378600</v>
      </c>
    </row>
    <row r="238" spans="1:29" x14ac:dyDescent="0.25">
      <c r="A238" s="31" t="s">
        <v>231</v>
      </c>
      <c r="B238" s="31" t="s">
        <v>739</v>
      </c>
      <c r="C238" s="31" t="s">
        <v>44</v>
      </c>
      <c r="D238" s="31" t="s">
        <v>642</v>
      </c>
      <c r="E238" s="32">
        <v>115.42</v>
      </c>
      <c r="F238" s="33">
        <v>966.6</v>
      </c>
      <c r="G238" s="32">
        <v>1082.02</v>
      </c>
      <c r="H238" s="32">
        <v>2.21</v>
      </c>
      <c r="I238" s="34">
        <v>20</v>
      </c>
      <c r="J238" s="33">
        <v>0</v>
      </c>
      <c r="K238" s="34">
        <v>987</v>
      </c>
      <c r="L238" s="32">
        <v>322.89999999999998</v>
      </c>
      <c r="M238" s="32">
        <v>59.17</v>
      </c>
      <c r="N238" s="32">
        <v>66.3</v>
      </c>
      <c r="O238" s="32">
        <v>32.5</v>
      </c>
      <c r="P238" s="32">
        <v>3.88</v>
      </c>
      <c r="Q238" s="34">
        <v>349384</v>
      </c>
      <c r="R238" s="34">
        <v>0</v>
      </c>
      <c r="S238" s="34">
        <v>349384</v>
      </c>
      <c r="T238" s="34">
        <v>58401</v>
      </c>
      <c r="U238" s="34">
        <v>65438</v>
      </c>
      <c r="V238" s="34">
        <v>714</v>
      </c>
      <c r="W238" s="34">
        <v>35166</v>
      </c>
      <c r="X238" s="34">
        <v>4198</v>
      </c>
      <c r="Y238" s="34">
        <v>513301</v>
      </c>
      <c r="Z238" s="34">
        <v>58024</v>
      </c>
      <c r="AA238" s="34">
        <v>455277</v>
      </c>
      <c r="AB238" s="34">
        <v>252398</v>
      </c>
      <c r="AC238" s="34">
        <v>202879</v>
      </c>
    </row>
    <row r="239" spans="1:29" x14ac:dyDescent="0.25">
      <c r="A239" s="31" t="s">
        <v>231</v>
      </c>
      <c r="B239" s="31" t="s">
        <v>739</v>
      </c>
      <c r="C239" s="31" t="s">
        <v>249</v>
      </c>
      <c r="D239" s="31" t="s">
        <v>643</v>
      </c>
      <c r="E239" s="32">
        <v>55.16</v>
      </c>
      <c r="F239" s="33">
        <v>307.5</v>
      </c>
      <c r="G239" s="32">
        <v>362.66</v>
      </c>
      <c r="H239" s="32">
        <v>0.74</v>
      </c>
      <c r="I239" s="34">
        <v>185</v>
      </c>
      <c r="J239" s="33">
        <v>2.5</v>
      </c>
      <c r="K239" s="34">
        <v>490</v>
      </c>
      <c r="L239" s="32">
        <v>322.89999999999998</v>
      </c>
      <c r="M239" s="32">
        <v>59.17</v>
      </c>
      <c r="N239" s="32">
        <v>66.3</v>
      </c>
      <c r="O239" s="32">
        <v>32.5</v>
      </c>
      <c r="P239" s="32">
        <v>3.88</v>
      </c>
      <c r="Q239" s="34">
        <v>117103</v>
      </c>
      <c r="R239" s="34">
        <v>14895</v>
      </c>
      <c r="S239" s="34">
        <v>131998</v>
      </c>
      <c r="T239" s="34">
        <v>28993</v>
      </c>
      <c r="U239" s="34">
        <v>32487</v>
      </c>
      <c r="V239" s="34">
        <v>239</v>
      </c>
      <c r="W239" s="34">
        <v>11819</v>
      </c>
      <c r="X239" s="34">
        <v>1411</v>
      </c>
      <c r="Y239" s="34">
        <v>206947</v>
      </c>
      <c r="Z239" s="34">
        <v>24390</v>
      </c>
      <c r="AA239" s="34">
        <v>182557</v>
      </c>
      <c r="AB239" s="34">
        <v>79690</v>
      </c>
      <c r="AC239" s="34">
        <v>102867</v>
      </c>
    </row>
    <row r="240" spans="1:29" x14ac:dyDescent="0.25">
      <c r="A240" s="31" t="s">
        <v>231</v>
      </c>
      <c r="B240" s="31" t="s">
        <v>739</v>
      </c>
      <c r="C240" s="31" t="s">
        <v>250</v>
      </c>
      <c r="D240" s="31" t="s">
        <v>644</v>
      </c>
      <c r="E240" s="32">
        <v>55.24</v>
      </c>
      <c r="F240" s="33">
        <v>407.1</v>
      </c>
      <c r="G240" s="32">
        <v>462.34</v>
      </c>
      <c r="H240" s="32">
        <v>0.94</v>
      </c>
      <c r="I240" s="34">
        <v>0</v>
      </c>
      <c r="J240" s="33">
        <v>0</v>
      </c>
      <c r="K240" s="34">
        <v>407</v>
      </c>
      <c r="L240" s="32">
        <v>322.89999999999998</v>
      </c>
      <c r="M240" s="32">
        <v>59.17</v>
      </c>
      <c r="N240" s="32">
        <v>66.3</v>
      </c>
      <c r="O240" s="32">
        <v>32.5</v>
      </c>
      <c r="P240" s="32">
        <v>3.88</v>
      </c>
      <c r="Q240" s="34">
        <v>149290</v>
      </c>
      <c r="R240" s="34">
        <v>0</v>
      </c>
      <c r="S240" s="34">
        <v>149290</v>
      </c>
      <c r="T240" s="34">
        <v>24082</v>
      </c>
      <c r="U240" s="34">
        <v>26984</v>
      </c>
      <c r="V240" s="34">
        <v>304</v>
      </c>
      <c r="W240" s="34">
        <v>15026</v>
      </c>
      <c r="X240" s="34">
        <v>1794</v>
      </c>
      <c r="Y240" s="34">
        <v>217480</v>
      </c>
      <c r="Z240" s="34">
        <v>24876</v>
      </c>
      <c r="AA240" s="34">
        <v>192604</v>
      </c>
      <c r="AB240" s="34">
        <v>107764</v>
      </c>
      <c r="AC240" s="34">
        <v>84840</v>
      </c>
    </row>
    <row r="241" spans="1:29" x14ac:dyDescent="0.25">
      <c r="A241" s="31" t="s">
        <v>231</v>
      </c>
      <c r="B241" s="31" t="s">
        <v>739</v>
      </c>
      <c r="C241" s="31" t="s">
        <v>251</v>
      </c>
      <c r="D241" s="31" t="s">
        <v>645</v>
      </c>
      <c r="E241" s="32">
        <v>98.06</v>
      </c>
      <c r="F241" s="33">
        <v>823.8</v>
      </c>
      <c r="G241" s="32">
        <v>921.86</v>
      </c>
      <c r="H241" s="32">
        <v>1.88</v>
      </c>
      <c r="I241" s="34">
        <v>445</v>
      </c>
      <c r="J241" s="33">
        <v>0.8</v>
      </c>
      <c r="K241" s="34">
        <v>1268</v>
      </c>
      <c r="L241" s="32">
        <v>322.89999999999998</v>
      </c>
      <c r="M241" s="32">
        <v>59.17</v>
      </c>
      <c r="N241" s="32">
        <v>66.3</v>
      </c>
      <c r="O241" s="32">
        <v>32.5</v>
      </c>
      <c r="P241" s="32">
        <v>3.88</v>
      </c>
      <c r="Q241" s="34">
        <v>297669</v>
      </c>
      <c r="R241" s="34">
        <v>3277</v>
      </c>
      <c r="S241" s="34">
        <v>300946</v>
      </c>
      <c r="T241" s="34">
        <v>75028</v>
      </c>
      <c r="U241" s="34">
        <v>84068</v>
      </c>
      <c r="V241" s="34">
        <v>607</v>
      </c>
      <c r="W241" s="34">
        <v>30277</v>
      </c>
      <c r="X241" s="34">
        <v>3615</v>
      </c>
      <c r="Y241" s="34">
        <v>494541</v>
      </c>
      <c r="Z241" s="34">
        <v>28717</v>
      </c>
      <c r="AA241" s="34">
        <v>465824</v>
      </c>
      <c r="AB241" s="34">
        <v>236110</v>
      </c>
      <c r="AC241" s="34">
        <v>229714</v>
      </c>
    </row>
    <row r="242" spans="1:29" x14ac:dyDescent="0.25">
      <c r="A242" s="31" t="s">
        <v>231</v>
      </c>
      <c r="B242" s="31" t="s">
        <v>739</v>
      </c>
      <c r="C242" s="31" t="s">
        <v>252</v>
      </c>
      <c r="D242" s="31" t="s">
        <v>646</v>
      </c>
      <c r="E242" s="32">
        <v>41.66</v>
      </c>
      <c r="F242" s="33">
        <v>249</v>
      </c>
      <c r="G242" s="32">
        <v>290.66000000000003</v>
      </c>
      <c r="H242" s="32">
        <v>0.59</v>
      </c>
      <c r="I242" s="34">
        <v>4</v>
      </c>
      <c r="J242" s="33">
        <v>0</v>
      </c>
      <c r="K242" s="34">
        <v>253</v>
      </c>
      <c r="L242" s="32">
        <v>322.89999999999998</v>
      </c>
      <c r="M242" s="32">
        <v>59.17</v>
      </c>
      <c r="N242" s="32">
        <v>66.3</v>
      </c>
      <c r="O242" s="32">
        <v>32.5</v>
      </c>
      <c r="P242" s="32">
        <v>3.88</v>
      </c>
      <c r="Q242" s="34">
        <v>93854</v>
      </c>
      <c r="R242" s="34">
        <v>11105</v>
      </c>
      <c r="S242" s="34">
        <v>104959</v>
      </c>
      <c r="T242" s="34">
        <v>14970</v>
      </c>
      <c r="U242" s="34">
        <v>16774</v>
      </c>
      <c r="V242" s="34">
        <v>191</v>
      </c>
      <c r="W242" s="34">
        <v>9446</v>
      </c>
      <c r="X242" s="34">
        <v>1128</v>
      </c>
      <c r="Y242" s="34">
        <v>147468</v>
      </c>
      <c r="Z242" s="34">
        <v>13977</v>
      </c>
      <c r="AA242" s="34">
        <v>133491</v>
      </c>
      <c r="AB242" s="34">
        <v>69410</v>
      </c>
      <c r="AC242" s="34">
        <v>64081</v>
      </c>
    </row>
    <row r="243" spans="1:29" x14ac:dyDescent="0.25">
      <c r="A243" s="31" t="s">
        <v>231</v>
      </c>
      <c r="B243" s="31" t="s">
        <v>739</v>
      </c>
      <c r="C243" s="31" t="s">
        <v>253</v>
      </c>
      <c r="D243" s="31" t="s">
        <v>647</v>
      </c>
      <c r="E243" s="32">
        <v>212.86</v>
      </c>
      <c r="F243" s="33">
        <v>1385.4</v>
      </c>
      <c r="G243" s="32">
        <v>1598.26</v>
      </c>
      <c r="H243" s="32">
        <v>3.26</v>
      </c>
      <c r="I243" s="34">
        <v>23</v>
      </c>
      <c r="J243" s="33">
        <v>0</v>
      </c>
      <c r="K243" s="34">
        <v>1408</v>
      </c>
      <c r="L243" s="32">
        <v>322.89999999999998</v>
      </c>
      <c r="M243" s="32">
        <v>59.17</v>
      </c>
      <c r="N243" s="32">
        <v>66.3</v>
      </c>
      <c r="O243" s="32">
        <v>32.5</v>
      </c>
      <c r="P243" s="32">
        <v>3.88</v>
      </c>
      <c r="Q243" s="34">
        <v>516078</v>
      </c>
      <c r="R243" s="34">
        <v>0</v>
      </c>
      <c r="S243" s="34">
        <v>516078</v>
      </c>
      <c r="T243" s="34">
        <v>83311</v>
      </c>
      <c r="U243" s="34">
        <v>93350</v>
      </c>
      <c r="V243" s="34">
        <v>1053</v>
      </c>
      <c r="W243" s="34">
        <v>51943</v>
      </c>
      <c r="X243" s="34">
        <v>6201</v>
      </c>
      <c r="Y243" s="34">
        <v>751936</v>
      </c>
      <c r="Z243" s="34">
        <v>56471</v>
      </c>
      <c r="AA243" s="34">
        <v>695465</v>
      </c>
      <c r="AB243" s="34">
        <v>402053</v>
      </c>
      <c r="AC243" s="34">
        <v>293412</v>
      </c>
    </row>
    <row r="244" spans="1:29" x14ac:dyDescent="0.25">
      <c r="A244" s="31" t="s">
        <v>231</v>
      </c>
      <c r="B244" s="31" t="s">
        <v>739</v>
      </c>
      <c r="C244" s="31" t="s">
        <v>254</v>
      </c>
      <c r="D244" s="31" t="s">
        <v>648</v>
      </c>
      <c r="E244" s="32">
        <v>148.13999999999999</v>
      </c>
      <c r="F244" s="33">
        <v>1096</v>
      </c>
      <c r="G244" s="32">
        <v>1244.1400000000001</v>
      </c>
      <c r="H244" s="32">
        <v>2.54</v>
      </c>
      <c r="I244" s="34">
        <v>178</v>
      </c>
      <c r="J244" s="33">
        <v>3.5</v>
      </c>
      <c r="K244" s="34">
        <v>1271</v>
      </c>
      <c r="L244" s="32">
        <v>322.89999999999998</v>
      </c>
      <c r="M244" s="32">
        <v>59.17</v>
      </c>
      <c r="N244" s="32">
        <v>66.3</v>
      </c>
      <c r="O244" s="32">
        <v>32.5</v>
      </c>
      <c r="P244" s="32">
        <v>3.88</v>
      </c>
      <c r="Q244" s="34">
        <v>401733</v>
      </c>
      <c r="R244" s="34">
        <v>0</v>
      </c>
      <c r="S244" s="34">
        <v>401733</v>
      </c>
      <c r="T244" s="34">
        <v>75205</v>
      </c>
      <c r="U244" s="34">
        <v>84267</v>
      </c>
      <c r="V244" s="34">
        <v>820</v>
      </c>
      <c r="W244" s="34">
        <v>40435</v>
      </c>
      <c r="X244" s="34">
        <v>4827</v>
      </c>
      <c r="Y244" s="34">
        <v>607287</v>
      </c>
      <c r="Z244" s="34">
        <v>53257</v>
      </c>
      <c r="AA244" s="34">
        <v>554030</v>
      </c>
      <c r="AB244" s="34">
        <v>303675</v>
      </c>
      <c r="AC244" s="34">
        <v>250355</v>
      </c>
    </row>
    <row r="245" spans="1:29" x14ac:dyDescent="0.25">
      <c r="A245" s="31" t="s">
        <v>231</v>
      </c>
      <c r="B245" s="31" t="s">
        <v>739</v>
      </c>
      <c r="C245" s="31" t="s">
        <v>255</v>
      </c>
      <c r="D245" s="31" t="s">
        <v>649</v>
      </c>
      <c r="E245" s="32">
        <v>63.32</v>
      </c>
      <c r="F245" s="33">
        <v>708.7</v>
      </c>
      <c r="G245" s="32">
        <v>772.02</v>
      </c>
      <c r="H245" s="32">
        <v>1.58</v>
      </c>
      <c r="I245" s="34">
        <v>13</v>
      </c>
      <c r="J245" s="33">
        <v>0</v>
      </c>
      <c r="K245" s="34">
        <v>722</v>
      </c>
      <c r="L245" s="32">
        <v>322.89999999999998</v>
      </c>
      <c r="M245" s="32">
        <v>59.17</v>
      </c>
      <c r="N245" s="32">
        <v>66.3</v>
      </c>
      <c r="O245" s="32">
        <v>32.5</v>
      </c>
      <c r="P245" s="32">
        <v>3.88</v>
      </c>
      <c r="Q245" s="34">
        <v>249285</v>
      </c>
      <c r="R245" s="34">
        <v>6263</v>
      </c>
      <c r="S245" s="34">
        <v>255548</v>
      </c>
      <c r="T245" s="34">
        <v>42721</v>
      </c>
      <c r="U245" s="34">
        <v>47869</v>
      </c>
      <c r="V245" s="34">
        <v>510</v>
      </c>
      <c r="W245" s="34">
        <v>25449</v>
      </c>
      <c r="X245" s="34">
        <v>3039</v>
      </c>
      <c r="Y245" s="34">
        <v>375136</v>
      </c>
      <c r="Z245" s="34">
        <v>43971</v>
      </c>
      <c r="AA245" s="34">
        <v>331165</v>
      </c>
      <c r="AB245" s="34">
        <v>177917</v>
      </c>
      <c r="AC245" s="34">
        <v>153248</v>
      </c>
    </row>
    <row r="246" spans="1:29" x14ac:dyDescent="0.25">
      <c r="A246" s="31" t="s">
        <v>231</v>
      </c>
      <c r="B246" s="31" t="s">
        <v>739</v>
      </c>
      <c r="C246" s="31" t="s">
        <v>256</v>
      </c>
      <c r="D246" s="31" t="s">
        <v>650</v>
      </c>
      <c r="E246" s="32">
        <v>167.71</v>
      </c>
      <c r="F246" s="33">
        <v>1418.8</v>
      </c>
      <c r="G246" s="32">
        <v>1586.51</v>
      </c>
      <c r="H246" s="32">
        <v>3.24</v>
      </c>
      <c r="I246" s="34">
        <v>744</v>
      </c>
      <c r="J246" s="33">
        <v>0</v>
      </c>
      <c r="K246" s="34">
        <v>2163</v>
      </c>
      <c r="L246" s="32">
        <v>322.89999999999998</v>
      </c>
      <c r="M246" s="32">
        <v>59.17</v>
      </c>
      <c r="N246" s="32">
        <v>66.3</v>
      </c>
      <c r="O246" s="32">
        <v>32.5</v>
      </c>
      <c r="P246" s="32">
        <v>3.88</v>
      </c>
      <c r="Q246" s="34">
        <v>512284</v>
      </c>
      <c r="R246" s="34">
        <v>0</v>
      </c>
      <c r="S246" s="34">
        <v>512284</v>
      </c>
      <c r="T246" s="34">
        <v>127985</v>
      </c>
      <c r="U246" s="34">
        <v>143407</v>
      </c>
      <c r="V246" s="34">
        <v>1046</v>
      </c>
      <c r="W246" s="34">
        <v>51562</v>
      </c>
      <c r="X246" s="34">
        <v>6156</v>
      </c>
      <c r="Y246" s="34">
        <v>842440</v>
      </c>
      <c r="Z246" s="34">
        <v>48328</v>
      </c>
      <c r="AA246" s="34">
        <v>794112</v>
      </c>
      <c r="AB246" s="34">
        <v>406828</v>
      </c>
      <c r="AC246" s="34">
        <v>387284</v>
      </c>
    </row>
    <row r="247" spans="1:29" x14ac:dyDescent="0.25">
      <c r="A247" s="31" t="s">
        <v>231</v>
      </c>
      <c r="B247" s="31" t="s">
        <v>739</v>
      </c>
      <c r="C247" s="31" t="s">
        <v>257</v>
      </c>
      <c r="D247" s="31" t="s">
        <v>651</v>
      </c>
      <c r="E247" s="32">
        <v>2400.94</v>
      </c>
      <c r="F247" s="33">
        <v>14815.2</v>
      </c>
      <c r="G247" s="32">
        <v>17216.14</v>
      </c>
      <c r="H247" s="32">
        <v>35.15</v>
      </c>
      <c r="I247" s="34">
        <v>1365</v>
      </c>
      <c r="J247" s="33">
        <v>10.7</v>
      </c>
      <c r="K247" s="34">
        <v>16170</v>
      </c>
      <c r="L247" s="32">
        <v>322.89999999999998</v>
      </c>
      <c r="M247" s="32">
        <v>59.17</v>
      </c>
      <c r="N247" s="32">
        <v>66.3</v>
      </c>
      <c r="O247" s="32">
        <v>32.5</v>
      </c>
      <c r="P247" s="32">
        <v>3.88</v>
      </c>
      <c r="Q247" s="34">
        <v>5559092</v>
      </c>
      <c r="R247" s="34">
        <v>0</v>
      </c>
      <c r="S247" s="34">
        <v>5559092</v>
      </c>
      <c r="T247" s="34">
        <v>956779</v>
      </c>
      <c r="U247" s="34">
        <v>1072071</v>
      </c>
      <c r="V247" s="34">
        <v>11350</v>
      </c>
      <c r="W247" s="34">
        <v>559525</v>
      </c>
      <c r="X247" s="34">
        <v>66799</v>
      </c>
      <c r="Y247" s="34">
        <v>8225616</v>
      </c>
      <c r="Z247" s="34">
        <v>680000</v>
      </c>
      <c r="AA247" s="34">
        <v>7545616</v>
      </c>
      <c r="AB247" s="34">
        <v>4259147</v>
      </c>
      <c r="AC247" s="34">
        <v>3286469</v>
      </c>
    </row>
    <row r="248" spans="1:29" x14ac:dyDescent="0.25">
      <c r="A248" s="31" t="s">
        <v>231</v>
      </c>
      <c r="B248" s="31" t="s">
        <v>739</v>
      </c>
      <c r="C248" s="31" t="s">
        <v>258</v>
      </c>
      <c r="D248" s="31" t="s">
        <v>652</v>
      </c>
      <c r="E248" s="32">
        <v>109.8</v>
      </c>
      <c r="F248" s="33">
        <v>584.1</v>
      </c>
      <c r="G248" s="32">
        <v>693.9</v>
      </c>
      <c r="H248" s="32">
        <v>1.42</v>
      </c>
      <c r="I248" s="34">
        <v>49</v>
      </c>
      <c r="J248" s="33">
        <v>1.6</v>
      </c>
      <c r="K248" s="34">
        <v>632</v>
      </c>
      <c r="L248" s="32">
        <v>322.89999999999998</v>
      </c>
      <c r="M248" s="32">
        <v>59.17</v>
      </c>
      <c r="N248" s="32">
        <v>66.3</v>
      </c>
      <c r="O248" s="32">
        <v>32.5</v>
      </c>
      <c r="P248" s="32">
        <v>3.88</v>
      </c>
      <c r="Q248" s="34">
        <v>224060</v>
      </c>
      <c r="R248" s="34">
        <v>0</v>
      </c>
      <c r="S248" s="34">
        <v>224060</v>
      </c>
      <c r="T248" s="34">
        <v>37395</v>
      </c>
      <c r="U248" s="34">
        <v>41902</v>
      </c>
      <c r="V248" s="34">
        <v>459</v>
      </c>
      <c r="W248" s="34">
        <v>22552</v>
      </c>
      <c r="X248" s="34">
        <v>2692</v>
      </c>
      <c r="Y248" s="34">
        <v>329060</v>
      </c>
      <c r="Z248" s="34">
        <v>39658</v>
      </c>
      <c r="AA248" s="34">
        <v>289402</v>
      </c>
      <c r="AB248" s="34">
        <v>159416</v>
      </c>
      <c r="AC248" s="34">
        <v>129986</v>
      </c>
    </row>
    <row r="249" spans="1:29" x14ac:dyDescent="0.25">
      <c r="A249" s="31" t="s">
        <v>231</v>
      </c>
      <c r="B249" s="31" t="s">
        <v>739</v>
      </c>
      <c r="C249" s="31" t="s">
        <v>259</v>
      </c>
      <c r="D249" s="31" t="s">
        <v>653</v>
      </c>
      <c r="E249" s="32">
        <v>72.540000000000006</v>
      </c>
      <c r="F249" s="33">
        <v>940.6</v>
      </c>
      <c r="G249" s="32">
        <v>1013.14</v>
      </c>
      <c r="H249" s="32">
        <v>2.0699999999999998</v>
      </c>
      <c r="I249" s="34">
        <v>130</v>
      </c>
      <c r="J249" s="33">
        <v>0</v>
      </c>
      <c r="K249" s="34">
        <v>1071</v>
      </c>
      <c r="L249" s="32">
        <v>322.89999999999998</v>
      </c>
      <c r="M249" s="32">
        <v>59.17</v>
      </c>
      <c r="N249" s="32">
        <v>66.3</v>
      </c>
      <c r="O249" s="32">
        <v>32.5</v>
      </c>
      <c r="P249" s="32">
        <v>3.88</v>
      </c>
      <c r="Q249" s="34">
        <v>327143</v>
      </c>
      <c r="R249" s="34">
        <v>0</v>
      </c>
      <c r="S249" s="34">
        <v>327143</v>
      </c>
      <c r="T249" s="34">
        <v>63371</v>
      </c>
      <c r="U249" s="34">
        <v>71007</v>
      </c>
      <c r="V249" s="34">
        <v>668</v>
      </c>
      <c r="W249" s="34">
        <v>32927</v>
      </c>
      <c r="X249" s="34">
        <v>3931</v>
      </c>
      <c r="Y249" s="34">
        <v>499047</v>
      </c>
      <c r="Z249" s="34">
        <v>39031</v>
      </c>
      <c r="AA249" s="34">
        <v>460016</v>
      </c>
      <c r="AB249" s="34">
        <v>251630</v>
      </c>
      <c r="AC249" s="34">
        <v>208386</v>
      </c>
    </row>
    <row r="250" spans="1:29" x14ac:dyDescent="0.25">
      <c r="A250" s="31" t="s">
        <v>231</v>
      </c>
      <c r="B250" s="31" t="s">
        <v>739</v>
      </c>
      <c r="C250" s="31" t="s">
        <v>260</v>
      </c>
      <c r="D250" s="31" t="s">
        <v>654</v>
      </c>
      <c r="E250" s="32">
        <v>114.99</v>
      </c>
      <c r="F250" s="33">
        <v>630.20000000000005</v>
      </c>
      <c r="G250" s="32">
        <v>745.19</v>
      </c>
      <c r="H250" s="32">
        <v>1.52</v>
      </c>
      <c r="I250" s="34">
        <v>4</v>
      </c>
      <c r="J250" s="33">
        <v>0</v>
      </c>
      <c r="K250" s="34">
        <v>634</v>
      </c>
      <c r="L250" s="32">
        <v>322.89999999999998</v>
      </c>
      <c r="M250" s="32">
        <v>59.17</v>
      </c>
      <c r="N250" s="32">
        <v>66.3</v>
      </c>
      <c r="O250" s="32">
        <v>32.5</v>
      </c>
      <c r="P250" s="32">
        <v>3.88</v>
      </c>
      <c r="Q250" s="34">
        <v>240622</v>
      </c>
      <c r="R250" s="34">
        <v>0</v>
      </c>
      <c r="S250" s="34">
        <v>240622</v>
      </c>
      <c r="T250" s="34">
        <v>37514</v>
      </c>
      <c r="U250" s="34">
        <v>42034</v>
      </c>
      <c r="V250" s="34">
        <v>491</v>
      </c>
      <c r="W250" s="34">
        <v>24219</v>
      </c>
      <c r="X250" s="34">
        <v>2891</v>
      </c>
      <c r="Y250" s="34">
        <v>347771</v>
      </c>
      <c r="Z250" s="34">
        <v>33583</v>
      </c>
      <c r="AA250" s="34">
        <v>314188</v>
      </c>
      <c r="AB250" s="34">
        <v>180205</v>
      </c>
      <c r="AC250" s="34">
        <v>133983</v>
      </c>
    </row>
    <row r="251" spans="1:29" x14ac:dyDescent="0.25">
      <c r="A251" s="31" t="s">
        <v>231</v>
      </c>
      <c r="B251" s="31" t="s">
        <v>739</v>
      </c>
      <c r="C251" s="31" t="s">
        <v>261</v>
      </c>
      <c r="D251" s="31" t="s">
        <v>655</v>
      </c>
      <c r="E251" s="32">
        <v>128.71</v>
      </c>
      <c r="F251" s="33">
        <v>829.8</v>
      </c>
      <c r="G251" s="32">
        <v>958.51</v>
      </c>
      <c r="H251" s="32">
        <v>1.96</v>
      </c>
      <c r="I251" s="34">
        <v>95</v>
      </c>
      <c r="J251" s="33">
        <v>0.1</v>
      </c>
      <c r="K251" s="34">
        <v>925</v>
      </c>
      <c r="L251" s="32">
        <v>322.89999999999998</v>
      </c>
      <c r="M251" s="32">
        <v>59.17</v>
      </c>
      <c r="N251" s="32">
        <v>66.3</v>
      </c>
      <c r="O251" s="32">
        <v>32.5</v>
      </c>
      <c r="P251" s="32">
        <v>3.88</v>
      </c>
      <c r="Q251" s="34">
        <v>309503</v>
      </c>
      <c r="R251" s="34">
        <v>5930</v>
      </c>
      <c r="S251" s="34">
        <v>315433</v>
      </c>
      <c r="T251" s="34">
        <v>54732</v>
      </c>
      <c r="U251" s="34">
        <v>61328</v>
      </c>
      <c r="V251" s="34">
        <v>633</v>
      </c>
      <c r="W251" s="34">
        <v>31734</v>
      </c>
      <c r="X251" s="34">
        <v>3789</v>
      </c>
      <c r="Y251" s="34">
        <v>467649</v>
      </c>
      <c r="Z251" s="34">
        <v>37148</v>
      </c>
      <c r="AA251" s="34">
        <v>430501</v>
      </c>
      <c r="AB251" s="34">
        <v>238493</v>
      </c>
      <c r="AC251" s="34">
        <v>192008</v>
      </c>
    </row>
    <row r="252" spans="1:29" x14ac:dyDescent="0.25">
      <c r="A252" s="31" t="s">
        <v>231</v>
      </c>
      <c r="B252" s="31" t="s">
        <v>739</v>
      </c>
      <c r="C252" s="31" t="s">
        <v>262</v>
      </c>
      <c r="D252" s="31" t="s">
        <v>656</v>
      </c>
      <c r="E252" s="32">
        <v>86.35</v>
      </c>
      <c r="F252" s="33">
        <v>532.4</v>
      </c>
      <c r="G252" s="32">
        <v>618.75</v>
      </c>
      <c r="H252" s="32">
        <v>1.26</v>
      </c>
      <c r="I252" s="34">
        <v>10</v>
      </c>
      <c r="J252" s="33">
        <v>0</v>
      </c>
      <c r="K252" s="34">
        <v>542</v>
      </c>
      <c r="L252" s="32">
        <v>322.89999999999998</v>
      </c>
      <c r="M252" s="32">
        <v>59.17</v>
      </c>
      <c r="N252" s="32">
        <v>66.3</v>
      </c>
      <c r="O252" s="32">
        <v>32.5</v>
      </c>
      <c r="P252" s="32">
        <v>3.88</v>
      </c>
      <c r="Q252" s="34">
        <v>199794</v>
      </c>
      <c r="R252" s="34">
        <v>0</v>
      </c>
      <c r="S252" s="34">
        <v>199794</v>
      </c>
      <c r="T252" s="34">
        <v>32070</v>
      </c>
      <c r="U252" s="34">
        <v>35935</v>
      </c>
      <c r="V252" s="34">
        <v>407</v>
      </c>
      <c r="W252" s="34">
        <v>20109</v>
      </c>
      <c r="X252" s="34">
        <v>2401</v>
      </c>
      <c r="Y252" s="34">
        <v>290716</v>
      </c>
      <c r="Z252" s="34">
        <v>31987</v>
      </c>
      <c r="AA252" s="34">
        <v>258729</v>
      </c>
      <c r="AB252" s="34">
        <v>145526</v>
      </c>
      <c r="AC252" s="34">
        <v>113203</v>
      </c>
    </row>
    <row r="253" spans="1:29" x14ac:dyDescent="0.25">
      <c r="A253" s="31" t="s">
        <v>231</v>
      </c>
      <c r="B253" s="31" t="s">
        <v>739</v>
      </c>
      <c r="C253" s="31" t="s">
        <v>263</v>
      </c>
      <c r="D253" s="31" t="s">
        <v>657</v>
      </c>
      <c r="E253" s="32">
        <v>28.47</v>
      </c>
      <c r="F253" s="33">
        <v>187.1</v>
      </c>
      <c r="G253" s="32">
        <v>215.57</v>
      </c>
      <c r="H253" s="32">
        <v>0.44</v>
      </c>
      <c r="I253" s="34">
        <v>1</v>
      </c>
      <c r="J253" s="33">
        <v>0</v>
      </c>
      <c r="K253" s="34">
        <v>188</v>
      </c>
      <c r="L253" s="32">
        <v>322.89999999999998</v>
      </c>
      <c r="M253" s="32">
        <v>59.17</v>
      </c>
      <c r="N253" s="32">
        <v>66.3</v>
      </c>
      <c r="O253" s="32">
        <v>32.5</v>
      </c>
      <c r="P253" s="32">
        <v>3.88</v>
      </c>
      <c r="Q253" s="34">
        <v>69608</v>
      </c>
      <c r="R253" s="34">
        <v>3324</v>
      </c>
      <c r="S253" s="34">
        <v>72932</v>
      </c>
      <c r="T253" s="34">
        <v>11124</v>
      </c>
      <c r="U253" s="34">
        <v>12464</v>
      </c>
      <c r="V253" s="34">
        <v>142</v>
      </c>
      <c r="W253" s="34">
        <v>7006</v>
      </c>
      <c r="X253" s="34">
        <v>836</v>
      </c>
      <c r="Y253" s="34">
        <v>104504</v>
      </c>
      <c r="Z253" s="34">
        <v>11015</v>
      </c>
      <c r="AA253" s="34">
        <v>93489</v>
      </c>
      <c r="AB253" s="34">
        <v>50830</v>
      </c>
      <c r="AC253" s="34">
        <v>42659</v>
      </c>
    </row>
    <row r="254" spans="1:29" x14ac:dyDescent="0.25">
      <c r="A254" s="31" t="s">
        <v>231</v>
      </c>
      <c r="B254" s="31" t="s">
        <v>739</v>
      </c>
      <c r="C254" s="31" t="s">
        <v>264</v>
      </c>
      <c r="D254" s="31" t="s">
        <v>658</v>
      </c>
      <c r="E254" s="32">
        <v>81.819999999999993</v>
      </c>
      <c r="F254" s="33">
        <v>531</v>
      </c>
      <c r="G254" s="32">
        <v>612.82000000000005</v>
      </c>
      <c r="H254" s="32">
        <v>1.25</v>
      </c>
      <c r="I254" s="34">
        <v>1</v>
      </c>
      <c r="J254" s="33">
        <v>0</v>
      </c>
      <c r="K254" s="34">
        <v>532</v>
      </c>
      <c r="L254" s="32">
        <v>322.89999999999998</v>
      </c>
      <c r="M254" s="32">
        <v>59.17</v>
      </c>
      <c r="N254" s="32">
        <v>66.3</v>
      </c>
      <c r="O254" s="32">
        <v>32.5</v>
      </c>
      <c r="P254" s="32">
        <v>3.88</v>
      </c>
      <c r="Q254" s="34">
        <v>197880</v>
      </c>
      <c r="R254" s="34">
        <v>6441</v>
      </c>
      <c r="S254" s="34">
        <v>204321</v>
      </c>
      <c r="T254" s="34">
        <v>31478</v>
      </c>
      <c r="U254" s="34">
        <v>35272</v>
      </c>
      <c r="V254" s="34">
        <v>404</v>
      </c>
      <c r="W254" s="34">
        <v>20556</v>
      </c>
      <c r="X254" s="34">
        <v>2455</v>
      </c>
      <c r="Y254" s="34">
        <v>294486</v>
      </c>
      <c r="Z254" s="34">
        <v>27534</v>
      </c>
      <c r="AA254" s="34">
        <v>266952</v>
      </c>
      <c r="AB254" s="34">
        <v>148995</v>
      </c>
      <c r="AC254" s="34">
        <v>117957</v>
      </c>
    </row>
    <row r="255" spans="1:29" x14ac:dyDescent="0.25">
      <c r="A255" s="31" t="s">
        <v>265</v>
      </c>
      <c r="B255" s="31" t="s">
        <v>740</v>
      </c>
      <c r="C255" s="31" t="s">
        <v>266</v>
      </c>
      <c r="D255" s="31" t="s">
        <v>659</v>
      </c>
      <c r="E255" s="32">
        <v>103.15</v>
      </c>
      <c r="F255" s="33">
        <v>755</v>
      </c>
      <c r="G255" s="32">
        <v>858.15</v>
      </c>
      <c r="H255" s="32">
        <v>1.92</v>
      </c>
      <c r="I255" s="34">
        <v>0</v>
      </c>
      <c r="J255" s="33">
        <v>0</v>
      </c>
      <c r="K255" s="34">
        <v>755</v>
      </c>
      <c r="L255" s="32">
        <v>316.32</v>
      </c>
      <c r="M255" s="32">
        <v>58.89</v>
      </c>
      <c r="N255" s="32">
        <v>65.099999999999994</v>
      </c>
      <c r="O255" s="32">
        <v>32.479999999999997</v>
      </c>
      <c r="P255" s="32">
        <v>3.49</v>
      </c>
      <c r="Q255" s="34">
        <v>271450</v>
      </c>
      <c r="R255" s="34">
        <v>0</v>
      </c>
      <c r="S255" s="34">
        <v>271450</v>
      </c>
      <c r="T255" s="34">
        <v>44462</v>
      </c>
      <c r="U255" s="34">
        <v>49151</v>
      </c>
      <c r="V255" s="34">
        <v>607</v>
      </c>
      <c r="W255" s="34">
        <v>27873</v>
      </c>
      <c r="X255" s="34">
        <v>2995</v>
      </c>
      <c r="Y255" s="34">
        <v>396538</v>
      </c>
      <c r="Z255" s="34">
        <v>42239</v>
      </c>
      <c r="AA255" s="34">
        <v>354299</v>
      </c>
      <c r="AB255" s="34">
        <v>203647</v>
      </c>
      <c r="AC255" s="34">
        <v>150652</v>
      </c>
    </row>
    <row r="256" spans="1:29" x14ac:dyDescent="0.25">
      <c r="A256" s="31" t="s">
        <v>265</v>
      </c>
      <c r="B256" s="31" t="s">
        <v>740</v>
      </c>
      <c r="C256" s="31" t="s">
        <v>267</v>
      </c>
      <c r="D256" s="31" t="s">
        <v>660</v>
      </c>
      <c r="E256" s="32">
        <v>222.76</v>
      </c>
      <c r="F256" s="33">
        <v>1333.3</v>
      </c>
      <c r="G256" s="32">
        <v>1556.06</v>
      </c>
      <c r="H256" s="32">
        <v>3.47</v>
      </c>
      <c r="I256" s="34">
        <v>0</v>
      </c>
      <c r="J256" s="33">
        <v>0</v>
      </c>
      <c r="K256" s="34">
        <v>1333</v>
      </c>
      <c r="L256" s="32">
        <v>316.32</v>
      </c>
      <c r="M256" s="32">
        <v>58.89</v>
      </c>
      <c r="N256" s="32">
        <v>65.099999999999994</v>
      </c>
      <c r="O256" s="32">
        <v>32.479999999999997</v>
      </c>
      <c r="P256" s="32">
        <v>3.49</v>
      </c>
      <c r="Q256" s="34">
        <v>492213</v>
      </c>
      <c r="R256" s="34">
        <v>0</v>
      </c>
      <c r="S256" s="34">
        <v>492213</v>
      </c>
      <c r="T256" s="34">
        <v>78500</v>
      </c>
      <c r="U256" s="34">
        <v>86778</v>
      </c>
      <c r="V256" s="34">
        <v>1098</v>
      </c>
      <c r="W256" s="34">
        <v>50541</v>
      </c>
      <c r="X256" s="34">
        <v>5431</v>
      </c>
      <c r="Y256" s="34">
        <v>714561</v>
      </c>
      <c r="Z256" s="34">
        <v>68797</v>
      </c>
      <c r="AA256" s="34">
        <v>645764</v>
      </c>
      <c r="AB256" s="34">
        <v>377058</v>
      </c>
      <c r="AC256" s="34">
        <v>268706</v>
      </c>
    </row>
    <row r="257" spans="1:29" x14ac:dyDescent="0.25">
      <c r="A257" s="31" t="s">
        <v>265</v>
      </c>
      <c r="B257" s="31" t="s">
        <v>740</v>
      </c>
      <c r="C257" s="31" t="s">
        <v>268</v>
      </c>
      <c r="D257" s="31" t="s">
        <v>661</v>
      </c>
      <c r="E257" s="32">
        <v>58.48</v>
      </c>
      <c r="F257" s="33">
        <v>489.5</v>
      </c>
      <c r="G257" s="32">
        <v>547.98</v>
      </c>
      <c r="H257" s="32">
        <v>1.22</v>
      </c>
      <c r="I257" s="34">
        <v>5</v>
      </c>
      <c r="J257" s="33">
        <v>0</v>
      </c>
      <c r="K257" s="34">
        <v>495</v>
      </c>
      <c r="L257" s="32">
        <v>316.32</v>
      </c>
      <c r="M257" s="32">
        <v>58.89</v>
      </c>
      <c r="N257" s="32">
        <v>65.099999999999994</v>
      </c>
      <c r="O257" s="32">
        <v>32.479999999999997</v>
      </c>
      <c r="P257" s="32">
        <v>3.49</v>
      </c>
      <c r="Q257" s="34">
        <v>173337</v>
      </c>
      <c r="R257" s="34">
        <v>762</v>
      </c>
      <c r="S257" s="34">
        <v>174099</v>
      </c>
      <c r="T257" s="34">
        <v>29151</v>
      </c>
      <c r="U257" s="34">
        <v>32225</v>
      </c>
      <c r="V257" s="34">
        <v>386</v>
      </c>
      <c r="W257" s="34">
        <v>17877</v>
      </c>
      <c r="X257" s="34">
        <v>1916</v>
      </c>
      <c r="Y257" s="34">
        <v>255654</v>
      </c>
      <c r="Z257" s="34">
        <v>29839</v>
      </c>
      <c r="AA257" s="34">
        <v>225815</v>
      </c>
      <c r="AB257" s="34">
        <v>127254</v>
      </c>
      <c r="AC257" s="34">
        <v>98561</v>
      </c>
    </row>
    <row r="258" spans="1:29" x14ac:dyDescent="0.25">
      <c r="A258" s="31" t="s">
        <v>265</v>
      </c>
      <c r="B258" s="31" t="s">
        <v>740</v>
      </c>
      <c r="C258" s="31" t="s">
        <v>269</v>
      </c>
      <c r="D258" s="31" t="s">
        <v>662</v>
      </c>
      <c r="E258" s="32">
        <v>51.15</v>
      </c>
      <c r="F258" s="33">
        <v>386.6</v>
      </c>
      <c r="G258" s="32">
        <v>437.75</v>
      </c>
      <c r="H258" s="32">
        <v>0.98</v>
      </c>
      <c r="I258" s="34">
        <v>3</v>
      </c>
      <c r="J258" s="33">
        <v>0</v>
      </c>
      <c r="K258" s="34">
        <v>390</v>
      </c>
      <c r="L258" s="32">
        <v>316.32</v>
      </c>
      <c r="M258" s="32">
        <v>58.89</v>
      </c>
      <c r="N258" s="32">
        <v>65.099999999999994</v>
      </c>
      <c r="O258" s="32">
        <v>32.479999999999997</v>
      </c>
      <c r="P258" s="32">
        <v>3.49</v>
      </c>
      <c r="Q258" s="34">
        <v>138469</v>
      </c>
      <c r="R258" s="34">
        <v>4862</v>
      </c>
      <c r="S258" s="34">
        <v>143331</v>
      </c>
      <c r="T258" s="34">
        <v>22967</v>
      </c>
      <c r="U258" s="34">
        <v>25389</v>
      </c>
      <c r="V258" s="34">
        <v>310</v>
      </c>
      <c r="W258" s="34">
        <v>14574</v>
      </c>
      <c r="X258" s="34">
        <v>1562</v>
      </c>
      <c r="Y258" s="34">
        <v>208133</v>
      </c>
      <c r="Z258" s="34">
        <v>25701</v>
      </c>
      <c r="AA258" s="34">
        <v>182432</v>
      </c>
      <c r="AB258" s="34">
        <v>100118</v>
      </c>
      <c r="AC258" s="34">
        <v>82314</v>
      </c>
    </row>
    <row r="259" spans="1:29" x14ac:dyDescent="0.25">
      <c r="A259" s="31" t="s">
        <v>265</v>
      </c>
      <c r="B259" s="31" t="s">
        <v>740</v>
      </c>
      <c r="C259" s="31" t="s">
        <v>270</v>
      </c>
      <c r="D259" s="31" t="s">
        <v>271</v>
      </c>
      <c r="E259" s="32">
        <v>48.39</v>
      </c>
      <c r="F259" s="33">
        <v>494.2</v>
      </c>
      <c r="G259" s="32">
        <v>542.59</v>
      </c>
      <c r="H259" s="32">
        <v>1.21</v>
      </c>
      <c r="I259" s="34">
        <v>0</v>
      </c>
      <c r="J259" s="33">
        <v>0</v>
      </c>
      <c r="K259" s="34">
        <v>494</v>
      </c>
      <c r="L259" s="32">
        <v>316.32</v>
      </c>
      <c r="M259" s="32">
        <v>58.89</v>
      </c>
      <c r="N259" s="32">
        <v>65.099999999999994</v>
      </c>
      <c r="O259" s="32">
        <v>32.479999999999997</v>
      </c>
      <c r="P259" s="32">
        <v>3.49</v>
      </c>
      <c r="Q259" s="34">
        <v>171632</v>
      </c>
      <c r="R259" s="34">
        <v>23</v>
      </c>
      <c r="S259" s="34">
        <v>171655</v>
      </c>
      <c r="T259" s="34">
        <v>29092</v>
      </c>
      <c r="U259" s="34">
        <v>32159</v>
      </c>
      <c r="V259" s="34">
        <v>383</v>
      </c>
      <c r="W259" s="34">
        <v>17626</v>
      </c>
      <c r="X259" s="34">
        <v>1894</v>
      </c>
      <c r="Y259" s="34">
        <v>252809</v>
      </c>
      <c r="Z259" s="34">
        <v>25872</v>
      </c>
      <c r="AA259" s="34">
        <v>226937</v>
      </c>
      <c r="AB259" s="34">
        <v>129598</v>
      </c>
      <c r="AC259" s="34">
        <v>97339</v>
      </c>
    </row>
    <row r="260" spans="1:29" x14ac:dyDescent="0.25">
      <c r="A260" s="31" t="s">
        <v>265</v>
      </c>
      <c r="B260" s="31" t="s">
        <v>740</v>
      </c>
      <c r="C260" s="31" t="s">
        <v>272</v>
      </c>
      <c r="D260" s="31" t="s">
        <v>663</v>
      </c>
      <c r="E260" s="32">
        <v>90.83</v>
      </c>
      <c r="F260" s="33">
        <v>648.20000000000005</v>
      </c>
      <c r="G260" s="32">
        <v>739.03</v>
      </c>
      <c r="H260" s="32">
        <v>1.65</v>
      </c>
      <c r="I260" s="34">
        <v>0</v>
      </c>
      <c r="J260" s="33">
        <v>0</v>
      </c>
      <c r="K260" s="34">
        <v>648</v>
      </c>
      <c r="L260" s="32">
        <v>316.32</v>
      </c>
      <c r="M260" s="32">
        <v>58.89</v>
      </c>
      <c r="N260" s="32">
        <v>65.099999999999994</v>
      </c>
      <c r="O260" s="32">
        <v>32.479999999999997</v>
      </c>
      <c r="P260" s="32">
        <v>3.49</v>
      </c>
      <c r="Q260" s="34">
        <v>233770</v>
      </c>
      <c r="R260" s="34">
        <v>0</v>
      </c>
      <c r="S260" s="34">
        <v>233770</v>
      </c>
      <c r="T260" s="34">
        <v>38161</v>
      </c>
      <c r="U260" s="34">
        <v>42185</v>
      </c>
      <c r="V260" s="34">
        <v>522</v>
      </c>
      <c r="W260" s="34">
        <v>24004</v>
      </c>
      <c r="X260" s="34">
        <v>2579</v>
      </c>
      <c r="Y260" s="34">
        <v>341221</v>
      </c>
      <c r="Z260" s="34">
        <v>35545</v>
      </c>
      <c r="AA260" s="34">
        <v>305676</v>
      </c>
      <c r="AB260" s="34">
        <v>176208</v>
      </c>
      <c r="AC260" s="34">
        <v>129468</v>
      </c>
    </row>
    <row r="261" spans="1:29" x14ac:dyDescent="0.25">
      <c r="A261" s="31" t="s">
        <v>265</v>
      </c>
      <c r="B261" s="31" t="s">
        <v>740</v>
      </c>
      <c r="C261" s="31" t="s">
        <v>273</v>
      </c>
      <c r="D261" s="31" t="s">
        <v>664</v>
      </c>
      <c r="E261" s="32">
        <v>113.96</v>
      </c>
      <c r="F261" s="33">
        <v>944.3</v>
      </c>
      <c r="G261" s="32">
        <v>1058.26</v>
      </c>
      <c r="H261" s="32">
        <v>2.36</v>
      </c>
      <c r="I261" s="34">
        <v>67</v>
      </c>
      <c r="J261" s="33">
        <v>1.6</v>
      </c>
      <c r="K261" s="34">
        <v>1010</v>
      </c>
      <c r="L261" s="32">
        <v>316.32</v>
      </c>
      <c r="M261" s="32">
        <v>58.89</v>
      </c>
      <c r="N261" s="32">
        <v>65.099999999999994</v>
      </c>
      <c r="O261" s="32">
        <v>32.479999999999997</v>
      </c>
      <c r="P261" s="32">
        <v>3.49</v>
      </c>
      <c r="Q261" s="34">
        <v>334749</v>
      </c>
      <c r="R261" s="34">
        <v>4654</v>
      </c>
      <c r="S261" s="34">
        <v>339403</v>
      </c>
      <c r="T261" s="34">
        <v>59479</v>
      </c>
      <c r="U261" s="34">
        <v>65751</v>
      </c>
      <c r="V261" s="34">
        <v>747</v>
      </c>
      <c r="W261" s="34">
        <v>34851</v>
      </c>
      <c r="X261" s="34">
        <v>3736</v>
      </c>
      <c r="Y261" s="34">
        <v>503967</v>
      </c>
      <c r="Z261" s="34">
        <v>50182</v>
      </c>
      <c r="AA261" s="34">
        <v>453785</v>
      </c>
      <c r="AB261" s="34">
        <v>253560</v>
      </c>
      <c r="AC261" s="34">
        <v>200225</v>
      </c>
    </row>
    <row r="262" spans="1:29" x14ac:dyDescent="0.25">
      <c r="A262" s="31" t="s">
        <v>265</v>
      </c>
      <c r="B262" s="31" t="s">
        <v>740</v>
      </c>
      <c r="C262" s="31" t="s">
        <v>274</v>
      </c>
      <c r="D262" s="31" t="s">
        <v>665</v>
      </c>
      <c r="E262" s="32">
        <v>189.51</v>
      </c>
      <c r="F262" s="33">
        <v>1413.6</v>
      </c>
      <c r="G262" s="32">
        <v>1603.11</v>
      </c>
      <c r="H262" s="32">
        <v>3.58</v>
      </c>
      <c r="I262" s="34">
        <v>3</v>
      </c>
      <c r="J262" s="33">
        <v>0</v>
      </c>
      <c r="K262" s="34">
        <v>1417</v>
      </c>
      <c r="L262" s="32">
        <v>316.32</v>
      </c>
      <c r="M262" s="32">
        <v>58.89</v>
      </c>
      <c r="N262" s="32">
        <v>65.099999999999994</v>
      </c>
      <c r="O262" s="32">
        <v>32.479999999999997</v>
      </c>
      <c r="P262" s="32">
        <v>3.49</v>
      </c>
      <c r="Q262" s="34">
        <v>507096</v>
      </c>
      <c r="R262" s="34">
        <v>0</v>
      </c>
      <c r="S262" s="34">
        <v>507096</v>
      </c>
      <c r="T262" s="34">
        <v>83447</v>
      </c>
      <c r="U262" s="34">
        <v>92247</v>
      </c>
      <c r="V262" s="34">
        <v>1132</v>
      </c>
      <c r="W262" s="34">
        <v>52069</v>
      </c>
      <c r="X262" s="34">
        <v>5595</v>
      </c>
      <c r="Y262" s="34">
        <v>741586</v>
      </c>
      <c r="Z262" s="34">
        <v>66523</v>
      </c>
      <c r="AA262" s="34">
        <v>675063</v>
      </c>
      <c r="AB262" s="34">
        <v>392814</v>
      </c>
      <c r="AC262" s="34">
        <v>282249</v>
      </c>
    </row>
    <row r="263" spans="1:29" x14ac:dyDescent="0.25">
      <c r="A263" s="31" t="s">
        <v>265</v>
      </c>
      <c r="B263" s="31" t="s">
        <v>740</v>
      </c>
      <c r="C263" s="31" t="s">
        <v>275</v>
      </c>
      <c r="D263" s="31" t="s">
        <v>666</v>
      </c>
      <c r="E263" s="32">
        <v>53.34</v>
      </c>
      <c r="F263" s="33">
        <v>408.4</v>
      </c>
      <c r="G263" s="32">
        <v>461.74</v>
      </c>
      <c r="H263" s="32">
        <v>1.03</v>
      </c>
      <c r="I263" s="34">
        <v>1</v>
      </c>
      <c r="J263" s="33">
        <v>0</v>
      </c>
      <c r="K263" s="34">
        <v>409</v>
      </c>
      <c r="L263" s="32">
        <v>316.32</v>
      </c>
      <c r="M263" s="32">
        <v>58.89</v>
      </c>
      <c r="N263" s="32">
        <v>65.099999999999994</v>
      </c>
      <c r="O263" s="32">
        <v>32.479999999999997</v>
      </c>
      <c r="P263" s="32">
        <v>3.49</v>
      </c>
      <c r="Q263" s="34">
        <v>146058</v>
      </c>
      <c r="R263" s="34">
        <v>5492</v>
      </c>
      <c r="S263" s="34">
        <v>151550</v>
      </c>
      <c r="T263" s="34">
        <v>24086</v>
      </c>
      <c r="U263" s="34">
        <v>26626</v>
      </c>
      <c r="V263" s="34">
        <v>326</v>
      </c>
      <c r="W263" s="34">
        <v>14997</v>
      </c>
      <c r="X263" s="34">
        <v>1611</v>
      </c>
      <c r="Y263" s="34">
        <v>219196</v>
      </c>
      <c r="Z263" s="34">
        <v>28933</v>
      </c>
      <c r="AA263" s="34">
        <v>190263</v>
      </c>
      <c r="AB263" s="34">
        <v>103368</v>
      </c>
      <c r="AC263" s="34">
        <v>86895</v>
      </c>
    </row>
    <row r="264" spans="1:29" x14ac:dyDescent="0.25">
      <c r="A264" s="31" t="s">
        <v>265</v>
      </c>
      <c r="B264" s="31" t="s">
        <v>740</v>
      </c>
      <c r="C264" s="31" t="s">
        <v>276</v>
      </c>
      <c r="D264" s="31" t="s">
        <v>667</v>
      </c>
      <c r="E264" s="32">
        <v>2073.7199999999998</v>
      </c>
      <c r="F264" s="33">
        <v>8884.7999999999993</v>
      </c>
      <c r="G264" s="32">
        <v>10958.52</v>
      </c>
      <c r="H264" s="32">
        <v>24.45</v>
      </c>
      <c r="I264" s="34">
        <v>399</v>
      </c>
      <c r="J264" s="33">
        <v>3</v>
      </c>
      <c r="K264" s="34">
        <v>9281</v>
      </c>
      <c r="L264" s="32">
        <v>316.32</v>
      </c>
      <c r="M264" s="32">
        <v>58.89</v>
      </c>
      <c r="N264" s="32">
        <v>65.099999999999994</v>
      </c>
      <c r="O264" s="32">
        <v>32.479999999999997</v>
      </c>
      <c r="P264" s="32">
        <v>3.49</v>
      </c>
      <c r="Q264" s="34">
        <v>3466399</v>
      </c>
      <c r="R264" s="34">
        <v>17157</v>
      </c>
      <c r="S264" s="34">
        <v>3483556</v>
      </c>
      <c r="T264" s="34">
        <v>546558</v>
      </c>
      <c r="U264" s="34">
        <v>604193</v>
      </c>
      <c r="V264" s="34">
        <v>7734</v>
      </c>
      <c r="W264" s="34">
        <v>357704</v>
      </c>
      <c r="X264" s="34">
        <v>38342</v>
      </c>
      <c r="Y264" s="34">
        <v>5038087</v>
      </c>
      <c r="Z264" s="34">
        <v>450650</v>
      </c>
      <c r="AA264" s="34">
        <v>4587437</v>
      </c>
      <c r="AB264" s="34">
        <v>2691139</v>
      </c>
      <c r="AC264" s="34">
        <v>1896298</v>
      </c>
    </row>
    <row r="265" spans="1:29" x14ac:dyDescent="0.25">
      <c r="A265" s="31" t="s">
        <v>265</v>
      </c>
      <c r="B265" s="31" t="s">
        <v>740</v>
      </c>
      <c r="C265" s="31" t="s">
        <v>277</v>
      </c>
      <c r="D265" s="31" t="s">
        <v>668</v>
      </c>
      <c r="E265" s="32">
        <v>199.65</v>
      </c>
      <c r="F265" s="33">
        <v>1462</v>
      </c>
      <c r="G265" s="32">
        <v>1661.65</v>
      </c>
      <c r="H265" s="32">
        <v>3.71</v>
      </c>
      <c r="I265" s="34">
        <v>108</v>
      </c>
      <c r="J265" s="33">
        <v>0.3</v>
      </c>
      <c r="K265" s="34">
        <v>1570</v>
      </c>
      <c r="L265" s="32">
        <v>316.32</v>
      </c>
      <c r="M265" s="32">
        <v>58.89</v>
      </c>
      <c r="N265" s="32">
        <v>65.099999999999994</v>
      </c>
      <c r="O265" s="32">
        <v>32.479999999999997</v>
      </c>
      <c r="P265" s="32">
        <v>3.49</v>
      </c>
      <c r="Q265" s="34">
        <v>525613</v>
      </c>
      <c r="R265" s="34">
        <v>0</v>
      </c>
      <c r="S265" s="34">
        <v>525613</v>
      </c>
      <c r="T265" s="34">
        <v>92457</v>
      </c>
      <c r="U265" s="34">
        <v>102207</v>
      </c>
      <c r="V265" s="34">
        <v>1174</v>
      </c>
      <c r="W265" s="34">
        <v>53970</v>
      </c>
      <c r="X265" s="34">
        <v>5799</v>
      </c>
      <c r="Y265" s="34">
        <v>781220</v>
      </c>
      <c r="Z265" s="34">
        <v>73855</v>
      </c>
      <c r="AA265" s="34">
        <v>707365</v>
      </c>
      <c r="AB265" s="34">
        <v>402254</v>
      </c>
      <c r="AC265" s="34">
        <v>305111</v>
      </c>
    </row>
    <row r="266" spans="1:29" x14ac:dyDescent="0.25">
      <c r="A266" s="31" t="s">
        <v>265</v>
      </c>
      <c r="B266" s="31" t="s">
        <v>740</v>
      </c>
      <c r="C266" s="31" t="s">
        <v>278</v>
      </c>
      <c r="D266" s="31" t="s">
        <v>669</v>
      </c>
      <c r="E266" s="32">
        <v>12.02</v>
      </c>
      <c r="F266" s="33">
        <v>102</v>
      </c>
      <c r="G266" s="32">
        <v>114.02</v>
      </c>
      <c r="H266" s="32">
        <v>0.26</v>
      </c>
      <c r="I266" s="34">
        <v>0</v>
      </c>
      <c r="J266" s="33">
        <v>0</v>
      </c>
      <c r="K266" s="34">
        <v>102</v>
      </c>
      <c r="L266" s="32">
        <v>316.32</v>
      </c>
      <c r="M266" s="32">
        <v>58.89</v>
      </c>
      <c r="N266" s="32">
        <v>65.099999999999994</v>
      </c>
      <c r="O266" s="32">
        <v>32.479999999999997</v>
      </c>
      <c r="P266" s="32">
        <v>3.49</v>
      </c>
      <c r="Q266" s="34">
        <v>36067</v>
      </c>
      <c r="R266" s="34">
        <v>0</v>
      </c>
      <c r="S266" s="34">
        <v>36067</v>
      </c>
      <c r="T266" s="34">
        <v>6007</v>
      </c>
      <c r="U266" s="34">
        <v>6640</v>
      </c>
      <c r="V266" s="34">
        <v>82</v>
      </c>
      <c r="W266" s="34">
        <v>3703</v>
      </c>
      <c r="X266" s="34">
        <v>398</v>
      </c>
      <c r="Y266" s="34">
        <v>52897</v>
      </c>
      <c r="Z266" s="34">
        <v>6461</v>
      </c>
      <c r="AA266" s="34">
        <v>46436</v>
      </c>
      <c r="AB266" s="34">
        <v>26210</v>
      </c>
      <c r="AC266" s="34">
        <v>20226</v>
      </c>
    </row>
    <row r="267" spans="1:29" x14ac:dyDescent="0.25">
      <c r="A267" s="31" t="s">
        <v>265</v>
      </c>
      <c r="B267" s="31" t="s">
        <v>740</v>
      </c>
      <c r="C267" s="31" t="s">
        <v>279</v>
      </c>
      <c r="D267" s="31" t="s">
        <v>670</v>
      </c>
      <c r="E267" s="32">
        <v>97.03</v>
      </c>
      <c r="F267" s="33">
        <v>546.1</v>
      </c>
      <c r="G267" s="32">
        <v>643.13</v>
      </c>
      <c r="H267" s="32">
        <v>1.44</v>
      </c>
      <c r="I267" s="34">
        <v>0</v>
      </c>
      <c r="J267" s="33">
        <v>0</v>
      </c>
      <c r="K267" s="34">
        <v>546</v>
      </c>
      <c r="L267" s="32">
        <v>316.32</v>
      </c>
      <c r="M267" s="32">
        <v>58.89</v>
      </c>
      <c r="N267" s="32">
        <v>65.099999999999994</v>
      </c>
      <c r="O267" s="32">
        <v>32.479999999999997</v>
      </c>
      <c r="P267" s="32">
        <v>3.49</v>
      </c>
      <c r="Q267" s="34">
        <v>203435</v>
      </c>
      <c r="R267" s="34">
        <v>0</v>
      </c>
      <c r="S267" s="34">
        <v>203435</v>
      </c>
      <c r="T267" s="34">
        <v>32154</v>
      </c>
      <c r="U267" s="34">
        <v>35545</v>
      </c>
      <c r="V267" s="34">
        <v>456</v>
      </c>
      <c r="W267" s="34">
        <v>20889</v>
      </c>
      <c r="X267" s="34">
        <v>2245</v>
      </c>
      <c r="Y267" s="34">
        <v>294724</v>
      </c>
      <c r="Z267" s="34">
        <v>31373</v>
      </c>
      <c r="AA267" s="34">
        <v>263351</v>
      </c>
      <c r="AB267" s="34">
        <v>152904</v>
      </c>
      <c r="AC267" s="34">
        <v>110447</v>
      </c>
    </row>
    <row r="268" spans="1:29" x14ac:dyDescent="0.25">
      <c r="A268" s="31" t="s">
        <v>265</v>
      </c>
      <c r="B268" s="31" t="s">
        <v>740</v>
      </c>
      <c r="C268" s="31" t="s">
        <v>280</v>
      </c>
      <c r="D268" s="31" t="s">
        <v>671</v>
      </c>
      <c r="E268" s="32">
        <v>56.46</v>
      </c>
      <c r="F268" s="33">
        <v>505</v>
      </c>
      <c r="G268" s="32">
        <v>561.46</v>
      </c>
      <c r="H268" s="32">
        <v>1.26</v>
      </c>
      <c r="I268" s="34">
        <v>4</v>
      </c>
      <c r="J268" s="33">
        <v>0</v>
      </c>
      <c r="K268" s="34">
        <v>509</v>
      </c>
      <c r="L268" s="32">
        <v>316.32</v>
      </c>
      <c r="M268" s="32">
        <v>58.89</v>
      </c>
      <c r="N268" s="32">
        <v>65.099999999999994</v>
      </c>
      <c r="O268" s="32">
        <v>32.479999999999997</v>
      </c>
      <c r="P268" s="32">
        <v>3.49</v>
      </c>
      <c r="Q268" s="34">
        <v>177601</v>
      </c>
      <c r="R268" s="34">
        <v>0</v>
      </c>
      <c r="S268" s="34">
        <v>177601</v>
      </c>
      <c r="T268" s="34">
        <v>29975</v>
      </c>
      <c r="U268" s="34">
        <v>33136</v>
      </c>
      <c r="V268" s="34">
        <v>399</v>
      </c>
      <c r="W268" s="34">
        <v>18236</v>
      </c>
      <c r="X268" s="34">
        <v>1959</v>
      </c>
      <c r="Y268" s="34">
        <v>261306</v>
      </c>
      <c r="Z268" s="34">
        <v>25766</v>
      </c>
      <c r="AA268" s="34">
        <v>235540</v>
      </c>
      <c r="AB268" s="34">
        <v>135109</v>
      </c>
      <c r="AC268" s="34">
        <v>100431</v>
      </c>
    </row>
    <row r="269" spans="1:29" x14ac:dyDescent="0.25">
      <c r="A269" s="31" t="s">
        <v>265</v>
      </c>
      <c r="B269" s="31" t="s">
        <v>740</v>
      </c>
      <c r="C269" s="31" t="s">
        <v>281</v>
      </c>
      <c r="D269" s="31" t="s">
        <v>672</v>
      </c>
      <c r="E269" s="32">
        <v>24.4</v>
      </c>
      <c r="F269" s="33">
        <v>192.3</v>
      </c>
      <c r="G269" s="32">
        <v>216.7</v>
      </c>
      <c r="H269" s="32">
        <v>0.48</v>
      </c>
      <c r="I269" s="34">
        <v>3</v>
      </c>
      <c r="J269" s="33">
        <v>0</v>
      </c>
      <c r="K269" s="34">
        <v>195</v>
      </c>
      <c r="L269" s="32">
        <v>316.32</v>
      </c>
      <c r="M269" s="32">
        <v>58.89</v>
      </c>
      <c r="N269" s="32">
        <v>65.099999999999994</v>
      </c>
      <c r="O269" s="32">
        <v>32.479999999999997</v>
      </c>
      <c r="P269" s="32">
        <v>3.49</v>
      </c>
      <c r="Q269" s="34">
        <v>68547</v>
      </c>
      <c r="R269" s="34">
        <v>4598</v>
      </c>
      <c r="S269" s="34">
        <v>73145</v>
      </c>
      <c r="T269" s="34">
        <v>11484</v>
      </c>
      <c r="U269" s="34">
        <v>12695</v>
      </c>
      <c r="V269" s="34">
        <v>152</v>
      </c>
      <c r="W269" s="34">
        <v>7038</v>
      </c>
      <c r="X269" s="34">
        <v>756</v>
      </c>
      <c r="Y269" s="34">
        <v>105270</v>
      </c>
      <c r="Z269" s="34">
        <v>12000</v>
      </c>
      <c r="AA269" s="34">
        <v>93270</v>
      </c>
      <c r="AB269" s="34">
        <v>50089</v>
      </c>
      <c r="AC269" s="34">
        <v>43181</v>
      </c>
    </row>
    <row r="270" spans="1:29" x14ac:dyDescent="0.25">
      <c r="A270" s="31" t="s">
        <v>265</v>
      </c>
      <c r="B270" s="31" t="s">
        <v>740</v>
      </c>
      <c r="C270" s="31" t="s">
        <v>282</v>
      </c>
      <c r="D270" s="31" t="s">
        <v>673</v>
      </c>
      <c r="E270" s="32">
        <v>70.459999999999994</v>
      </c>
      <c r="F270" s="33">
        <v>446.1</v>
      </c>
      <c r="G270" s="32">
        <v>516.55999999999995</v>
      </c>
      <c r="H270" s="32">
        <v>1.1499999999999999</v>
      </c>
      <c r="I270" s="34">
        <v>0</v>
      </c>
      <c r="J270" s="33">
        <v>0</v>
      </c>
      <c r="K270" s="34">
        <v>446</v>
      </c>
      <c r="L270" s="32">
        <v>316.32</v>
      </c>
      <c r="M270" s="32">
        <v>58.89</v>
      </c>
      <c r="N270" s="32">
        <v>65.099999999999994</v>
      </c>
      <c r="O270" s="32">
        <v>32.479999999999997</v>
      </c>
      <c r="P270" s="32">
        <v>3.49</v>
      </c>
      <c r="Q270" s="34">
        <v>163398</v>
      </c>
      <c r="R270" s="34">
        <v>0</v>
      </c>
      <c r="S270" s="34">
        <v>163398</v>
      </c>
      <c r="T270" s="34">
        <v>26265</v>
      </c>
      <c r="U270" s="34">
        <v>29035</v>
      </c>
      <c r="V270" s="34">
        <v>364</v>
      </c>
      <c r="W270" s="34">
        <v>16778</v>
      </c>
      <c r="X270" s="34">
        <v>1803</v>
      </c>
      <c r="Y270" s="34">
        <v>237643</v>
      </c>
      <c r="Z270" s="34">
        <v>20998</v>
      </c>
      <c r="AA270" s="34">
        <v>216645</v>
      </c>
      <c r="AB270" s="34">
        <v>127011</v>
      </c>
      <c r="AC270" s="34">
        <v>89634</v>
      </c>
    </row>
    <row r="271" spans="1:29" x14ac:dyDescent="0.25">
      <c r="A271" s="31" t="s">
        <v>265</v>
      </c>
      <c r="B271" s="31" t="s">
        <v>740</v>
      </c>
      <c r="C271" s="31" t="s">
        <v>283</v>
      </c>
      <c r="D271" s="31" t="s">
        <v>674</v>
      </c>
      <c r="E271" s="32">
        <v>223.01</v>
      </c>
      <c r="F271" s="33">
        <v>1926.9</v>
      </c>
      <c r="G271" s="32">
        <v>2149.91</v>
      </c>
      <c r="H271" s="32">
        <v>4.8</v>
      </c>
      <c r="I271" s="34">
        <v>8</v>
      </c>
      <c r="J271" s="33">
        <v>0</v>
      </c>
      <c r="K271" s="34">
        <v>1935</v>
      </c>
      <c r="L271" s="32">
        <v>316.32</v>
      </c>
      <c r="M271" s="32">
        <v>58.89</v>
      </c>
      <c r="N271" s="32">
        <v>65.099999999999994</v>
      </c>
      <c r="O271" s="32">
        <v>32.479999999999997</v>
      </c>
      <c r="P271" s="32">
        <v>3.49</v>
      </c>
      <c r="Q271" s="34">
        <v>680060</v>
      </c>
      <c r="R271" s="34">
        <v>0</v>
      </c>
      <c r="S271" s="34">
        <v>680060</v>
      </c>
      <c r="T271" s="34">
        <v>113952</v>
      </c>
      <c r="U271" s="34">
        <v>125969</v>
      </c>
      <c r="V271" s="34">
        <v>1518</v>
      </c>
      <c r="W271" s="34">
        <v>69829</v>
      </c>
      <c r="X271" s="34">
        <v>7503</v>
      </c>
      <c r="Y271" s="34">
        <v>998831</v>
      </c>
      <c r="Z271" s="34">
        <v>89118</v>
      </c>
      <c r="AA271" s="34">
        <v>909713</v>
      </c>
      <c r="AB271" s="34">
        <v>526892</v>
      </c>
      <c r="AC271" s="34">
        <v>382821</v>
      </c>
    </row>
    <row r="272" spans="1:29" x14ac:dyDescent="0.25">
      <c r="A272" s="31" t="s">
        <v>265</v>
      </c>
      <c r="B272" s="31" t="s">
        <v>740</v>
      </c>
      <c r="C272" s="31" t="s">
        <v>284</v>
      </c>
      <c r="D272" s="31" t="s">
        <v>675</v>
      </c>
      <c r="E272" s="32">
        <v>92.81</v>
      </c>
      <c r="F272" s="33">
        <v>452.2</v>
      </c>
      <c r="G272" s="32">
        <v>545.01</v>
      </c>
      <c r="H272" s="32">
        <v>1.22</v>
      </c>
      <c r="I272" s="34">
        <v>0</v>
      </c>
      <c r="J272" s="33">
        <v>0</v>
      </c>
      <c r="K272" s="34">
        <v>452</v>
      </c>
      <c r="L272" s="32">
        <v>316.32</v>
      </c>
      <c r="M272" s="32">
        <v>58.89</v>
      </c>
      <c r="N272" s="32">
        <v>65.099999999999994</v>
      </c>
      <c r="O272" s="32">
        <v>32.479999999999997</v>
      </c>
      <c r="P272" s="32">
        <v>3.49</v>
      </c>
      <c r="Q272" s="34">
        <v>172398</v>
      </c>
      <c r="R272" s="34">
        <v>9749</v>
      </c>
      <c r="S272" s="34">
        <v>182147</v>
      </c>
      <c r="T272" s="34">
        <v>26618</v>
      </c>
      <c r="U272" s="34">
        <v>29425</v>
      </c>
      <c r="V272" s="34">
        <v>386</v>
      </c>
      <c r="W272" s="34">
        <v>17800</v>
      </c>
      <c r="X272" s="34">
        <v>1908</v>
      </c>
      <c r="Y272" s="34">
        <v>258284</v>
      </c>
      <c r="Z272" s="34">
        <v>31091</v>
      </c>
      <c r="AA272" s="34">
        <v>227193</v>
      </c>
      <c r="AB272" s="34">
        <v>125175</v>
      </c>
      <c r="AC272" s="34">
        <v>102018</v>
      </c>
    </row>
    <row r="273" spans="1:29" x14ac:dyDescent="0.25">
      <c r="A273" s="31" t="s">
        <v>265</v>
      </c>
      <c r="B273" s="31" t="s">
        <v>740</v>
      </c>
      <c r="C273" s="31" t="s">
        <v>285</v>
      </c>
      <c r="D273" s="31" t="s">
        <v>676</v>
      </c>
      <c r="E273" s="32">
        <v>35.119999999999997</v>
      </c>
      <c r="F273" s="33">
        <v>196</v>
      </c>
      <c r="G273" s="32">
        <v>231.12</v>
      </c>
      <c r="H273" s="32">
        <v>0.52</v>
      </c>
      <c r="I273" s="34">
        <v>0</v>
      </c>
      <c r="J273" s="33">
        <v>0</v>
      </c>
      <c r="K273" s="34">
        <v>196</v>
      </c>
      <c r="L273" s="32">
        <v>316.32</v>
      </c>
      <c r="M273" s="32">
        <v>58.89</v>
      </c>
      <c r="N273" s="32">
        <v>65.099999999999994</v>
      </c>
      <c r="O273" s="32">
        <v>32.479999999999997</v>
      </c>
      <c r="P273" s="32">
        <v>3.49</v>
      </c>
      <c r="Q273" s="34">
        <v>73108</v>
      </c>
      <c r="R273" s="34">
        <v>10629</v>
      </c>
      <c r="S273" s="34">
        <v>83737</v>
      </c>
      <c r="T273" s="34">
        <v>11542</v>
      </c>
      <c r="U273" s="34">
        <v>12760</v>
      </c>
      <c r="V273" s="34">
        <v>164</v>
      </c>
      <c r="W273" s="34">
        <v>7567</v>
      </c>
      <c r="X273" s="34">
        <v>811</v>
      </c>
      <c r="Y273" s="34">
        <v>116581</v>
      </c>
      <c r="Z273" s="34">
        <v>14961</v>
      </c>
      <c r="AA273" s="34">
        <v>101620</v>
      </c>
      <c r="AB273" s="34">
        <v>51327</v>
      </c>
      <c r="AC273" s="34">
        <v>50293</v>
      </c>
    </row>
    <row r="274" spans="1:29" x14ac:dyDescent="0.25">
      <c r="A274" s="31" t="s">
        <v>265</v>
      </c>
      <c r="B274" s="31" t="s">
        <v>740</v>
      </c>
      <c r="C274" s="31" t="s">
        <v>286</v>
      </c>
      <c r="D274" s="31" t="s">
        <v>677</v>
      </c>
      <c r="E274" s="32">
        <v>172.35</v>
      </c>
      <c r="F274" s="33">
        <v>1354.7</v>
      </c>
      <c r="G274" s="32">
        <v>1527.05</v>
      </c>
      <c r="H274" s="32">
        <v>3.41</v>
      </c>
      <c r="I274" s="34">
        <v>71</v>
      </c>
      <c r="J274" s="33">
        <v>1.2</v>
      </c>
      <c r="K274" s="34">
        <v>1425</v>
      </c>
      <c r="L274" s="32">
        <v>316.32</v>
      </c>
      <c r="M274" s="32">
        <v>58.89</v>
      </c>
      <c r="N274" s="32">
        <v>65.099999999999994</v>
      </c>
      <c r="O274" s="32">
        <v>32.479999999999997</v>
      </c>
      <c r="P274" s="32">
        <v>3.49</v>
      </c>
      <c r="Q274" s="34">
        <v>483036</v>
      </c>
      <c r="R274" s="34">
        <v>0</v>
      </c>
      <c r="S274" s="34">
        <v>483036</v>
      </c>
      <c r="T274" s="34">
        <v>83918</v>
      </c>
      <c r="U274" s="34">
        <v>92768</v>
      </c>
      <c r="V274" s="34">
        <v>1079</v>
      </c>
      <c r="W274" s="34">
        <v>49599</v>
      </c>
      <c r="X274" s="34">
        <v>5329</v>
      </c>
      <c r="Y274" s="34">
        <v>715729</v>
      </c>
      <c r="Z274" s="34">
        <v>75561</v>
      </c>
      <c r="AA274" s="34">
        <v>640168</v>
      </c>
      <c r="AB274" s="34">
        <v>361982</v>
      </c>
      <c r="AC274" s="34">
        <v>278186</v>
      </c>
    </row>
    <row r="275" spans="1:29" x14ac:dyDescent="0.25">
      <c r="A275" s="31" t="s">
        <v>265</v>
      </c>
      <c r="B275" s="31" t="s">
        <v>740</v>
      </c>
      <c r="C275" s="31" t="s">
        <v>287</v>
      </c>
      <c r="D275" s="31" t="s">
        <v>678</v>
      </c>
      <c r="E275" s="32">
        <v>98.78</v>
      </c>
      <c r="F275" s="33">
        <v>677.9</v>
      </c>
      <c r="G275" s="32">
        <v>776.68</v>
      </c>
      <c r="H275" s="32">
        <v>1.74</v>
      </c>
      <c r="I275" s="34">
        <v>10</v>
      </c>
      <c r="J275" s="33">
        <v>0</v>
      </c>
      <c r="K275" s="34">
        <v>688</v>
      </c>
      <c r="L275" s="32">
        <v>316.32</v>
      </c>
      <c r="M275" s="32">
        <v>58.89</v>
      </c>
      <c r="N275" s="32">
        <v>65.099999999999994</v>
      </c>
      <c r="O275" s="32">
        <v>32.479999999999997</v>
      </c>
      <c r="P275" s="32">
        <v>3.49</v>
      </c>
      <c r="Q275" s="34">
        <v>245679</v>
      </c>
      <c r="R275" s="34">
        <v>0</v>
      </c>
      <c r="S275" s="34">
        <v>245679</v>
      </c>
      <c r="T275" s="34">
        <v>40516</v>
      </c>
      <c r="U275" s="34">
        <v>44789</v>
      </c>
      <c r="V275" s="34">
        <v>550</v>
      </c>
      <c r="W275" s="34">
        <v>25227</v>
      </c>
      <c r="X275" s="34">
        <v>2711</v>
      </c>
      <c r="Y275" s="34">
        <v>359472</v>
      </c>
      <c r="Z275" s="34">
        <v>45080</v>
      </c>
      <c r="AA275" s="34">
        <v>314392</v>
      </c>
      <c r="AB275" s="34">
        <v>177463</v>
      </c>
      <c r="AC275" s="34">
        <v>136929</v>
      </c>
    </row>
    <row r="276" spans="1:29" x14ac:dyDescent="0.25">
      <c r="A276" s="31" t="s">
        <v>265</v>
      </c>
      <c r="B276" s="31" t="s">
        <v>740</v>
      </c>
      <c r="C276" s="31" t="s">
        <v>288</v>
      </c>
      <c r="D276" s="31" t="s">
        <v>679</v>
      </c>
      <c r="E276" s="32">
        <v>61.48</v>
      </c>
      <c r="F276" s="33">
        <v>300.8</v>
      </c>
      <c r="G276" s="32">
        <v>362.28</v>
      </c>
      <c r="H276" s="32">
        <v>0.81</v>
      </c>
      <c r="I276" s="34">
        <v>0</v>
      </c>
      <c r="J276" s="33">
        <v>0</v>
      </c>
      <c r="K276" s="34">
        <v>301</v>
      </c>
      <c r="L276" s="32">
        <v>316.32</v>
      </c>
      <c r="M276" s="32">
        <v>58.89</v>
      </c>
      <c r="N276" s="32">
        <v>65.099999999999994</v>
      </c>
      <c r="O276" s="32">
        <v>32.479999999999997</v>
      </c>
      <c r="P276" s="32">
        <v>3.49</v>
      </c>
      <c r="Q276" s="34">
        <v>114596</v>
      </c>
      <c r="R276" s="34">
        <v>0</v>
      </c>
      <c r="S276" s="34">
        <v>114596</v>
      </c>
      <c r="T276" s="34">
        <v>17726</v>
      </c>
      <c r="U276" s="34">
        <v>19595</v>
      </c>
      <c r="V276" s="34">
        <v>256</v>
      </c>
      <c r="W276" s="34">
        <v>11767</v>
      </c>
      <c r="X276" s="34">
        <v>1264</v>
      </c>
      <c r="Y276" s="34">
        <v>165204</v>
      </c>
      <c r="Z276" s="34">
        <v>16904</v>
      </c>
      <c r="AA276" s="34">
        <v>148300</v>
      </c>
      <c r="AB276" s="34">
        <v>86900</v>
      </c>
      <c r="AC276" s="34">
        <v>61400</v>
      </c>
    </row>
    <row r="277" spans="1:29" x14ac:dyDescent="0.25">
      <c r="A277" s="31" t="s">
        <v>265</v>
      </c>
      <c r="B277" s="31" t="s">
        <v>740</v>
      </c>
      <c r="C277" s="31" t="s">
        <v>289</v>
      </c>
      <c r="D277" s="31" t="s">
        <v>680</v>
      </c>
      <c r="E277" s="32">
        <v>36.21</v>
      </c>
      <c r="F277" s="33">
        <v>453.7</v>
      </c>
      <c r="G277" s="32">
        <v>489.91</v>
      </c>
      <c r="H277" s="32">
        <v>1.0900000000000001</v>
      </c>
      <c r="I277" s="34">
        <v>2</v>
      </c>
      <c r="J277" s="33">
        <v>0</v>
      </c>
      <c r="K277" s="34">
        <v>456</v>
      </c>
      <c r="L277" s="32">
        <v>316.32</v>
      </c>
      <c r="M277" s="32">
        <v>58.89</v>
      </c>
      <c r="N277" s="32">
        <v>65.099999999999994</v>
      </c>
      <c r="O277" s="32">
        <v>32.479999999999997</v>
      </c>
      <c r="P277" s="32">
        <v>3.49</v>
      </c>
      <c r="Q277" s="34">
        <v>154968</v>
      </c>
      <c r="R277" s="34">
        <v>0</v>
      </c>
      <c r="S277" s="34">
        <v>154968</v>
      </c>
      <c r="T277" s="34">
        <v>26854</v>
      </c>
      <c r="U277" s="34">
        <v>29686</v>
      </c>
      <c r="V277" s="34">
        <v>345</v>
      </c>
      <c r="W277" s="34">
        <v>15912</v>
      </c>
      <c r="X277" s="34">
        <v>1710</v>
      </c>
      <c r="Y277" s="34">
        <v>229475</v>
      </c>
      <c r="Z277" s="34">
        <v>21840</v>
      </c>
      <c r="AA277" s="34">
        <v>207635</v>
      </c>
      <c r="AB277" s="34">
        <v>118532</v>
      </c>
      <c r="AC277" s="34">
        <v>89103</v>
      </c>
    </row>
    <row r="278" spans="1:29" x14ac:dyDescent="0.25">
      <c r="A278" s="31" t="s">
        <v>265</v>
      </c>
      <c r="B278" s="31" t="s">
        <v>740</v>
      </c>
      <c r="C278" s="31" t="s">
        <v>290</v>
      </c>
      <c r="D278" s="31" t="s">
        <v>681</v>
      </c>
      <c r="E278" s="32">
        <v>384.67</v>
      </c>
      <c r="F278" s="33">
        <v>2608.5</v>
      </c>
      <c r="G278" s="32">
        <v>2993.17</v>
      </c>
      <c r="H278" s="32">
        <v>6.69</v>
      </c>
      <c r="I278" s="34">
        <v>194</v>
      </c>
      <c r="J278" s="33">
        <v>0.7</v>
      </c>
      <c r="K278" s="34">
        <v>2802</v>
      </c>
      <c r="L278" s="32">
        <v>316.32</v>
      </c>
      <c r="M278" s="32">
        <v>58.89</v>
      </c>
      <c r="N278" s="32">
        <v>65.099999999999994</v>
      </c>
      <c r="O278" s="32">
        <v>32.479999999999997</v>
      </c>
      <c r="P278" s="32">
        <v>3.49</v>
      </c>
      <c r="Q278" s="34">
        <v>946800</v>
      </c>
      <c r="R278" s="34">
        <v>0</v>
      </c>
      <c r="S278" s="34">
        <v>946800</v>
      </c>
      <c r="T278" s="34">
        <v>165010</v>
      </c>
      <c r="U278" s="34">
        <v>182410</v>
      </c>
      <c r="V278" s="34">
        <v>2116</v>
      </c>
      <c r="W278" s="34">
        <v>97218</v>
      </c>
      <c r="X278" s="34">
        <v>10446</v>
      </c>
      <c r="Y278" s="34">
        <v>1404000</v>
      </c>
      <c r="Z278" s="34">
        <v>112825</v>
      </c>
      <c r="AA278" s="34">
        <v>1291175</v>
      </c>
      <c r="AB278" s="34">
        <v>744804</v>
      </c>
      <c r="AC278" s="34">
        <v>546371</v>
      </c>
    </row>
    <row r="279" spans="1:29" x14ac:dyDescent="0.25">
      <c r="A279" s="31" t="s">
        <v>265</v>
      </c>
      <c r="B279" s="31" t="s">
        <v>740</v>
      </c>
      <c r="C279" s="31" t="s">
        <v>291</v>
      </c>
      <c r="D279" s="31" t="s">
        <v>682</v>
      </c>
      <c r="E279" s="32">
        <v>55.5</v>
      </c>
      <c r="F279" s="33">
        <v>544.1</v>
      </c>
      <c r="G279" s="32">
        <v>599.6</v>
      </c>
      <c r="H279" s="32">
        <v>1.34</v>
      </c>
      <c r="I279" s="34">
        <v>0</v>
      </c>
      <c r="J279" s="33">
        <v>0</v>
      </c>
      <c r="K279" s="34">
        <v>544</v>
      </c>
      <c r="L279" s="32">
        <v>316.32</v>
      </c>
      <c r="M279" s="32">
        <v>58.89</v>
      </c>
      <c r="N279" s="32">
        <v>65.099999999999994</v>
      </c>
      <c r="O279" s="32">
        <v>32.479999999999997</v>
      </c>
      <c r="P279" s="32">
        <v>3.49</v>
      </c>
      <c r="Q279" s="34">
        <v>189665</v>
      </c>
      <c r="R279" s="34">
        <v>7886</v>
      </c>
      <c r="S279" s="34">
        <v>197551</v>
      </c>
      <c r="T279" s="34">
        <v>32036</v>
      </c>
      <c r="U279" s="34">
        <v>35414</v>
      </c>
      <c r="V279" s="34">
        <v>424</v>
      </c>
      <c r="W279" s="34">
        <v>20285</v>
      </c>
      <c r="X279" s="34">
        <v>2174</v>
      </c>
      <c r="Y279" s="34">
        <v>287884</v>
      </c>
      <c r="Z279" s="34">
        <v>28459</v>
      </c>
      <c r="AA279" s="34">
        <v>259425</v>
      </c>
      <c r="AB279" s="34">
        <v>144235</v>
      </c>
      <c r="AC279" s="34">
        <v>115190</v>
      </c>
    </row>
    <row r="280" spans="1:29" x14ac:dyDescent="0.25">
      <c r="A280" s="31" t="s">
        <v>265</v>
      </c>
      <c r="B280" s="31" t="s">
        <v>740</v>
      </c>
      <c r="C280" s="31" t="s">
        <v>292</v>
      </c>
      <c r="D280" s="31" t="s">
        <v>683</v>
      </c>
      <c r="E280" s="32">
        <v>105.26</v>
      </c>
      <c r="F280" s="33">
        <v>771.7</v>
      </c>
      <c r="G280" s="32">
        <v>876.96</v>
      </c>
      <c r="H280" s="32">
        <v>1.97</v>
      </c>
      <c r="I280" s="34">
        <v>8</v>
      </c>
      <c r="J280" s="33">
        <v>0</v>
      </c>
      <c r="K280" s="34">
        <v>780</v>
      </c>
      <c r="L280" s="32">
        <v>316.32</v>
      </c>
      <c r="M280" s="32">
        <v>58.89</v>
      </c>
      <c r="N280" s="32">
        <v>65.099999999999994</v>
      </c>
      <c r="O280" s="32">
        <v>32.479999999999997</v>
      </c>
      <c r="P280" s="32">
        <v>3.49</v>
      </c>
      <c r="Q280" s="34">
        <v>277400</v>
      </c>
      <c r="R280" s="34">
        <v>10746</v>
      </c>
      <c r="S280" s="34">
        <v>288146</v>
      </c>
      <c r="T280" s="34">
        <v>45934</v>
      </c>
      <c r="U280" s="34">
        <v>50778</v>
      </c>
      <c r="V280" s="34">
        <v>623</v>
      </c>
      <c r="W280" s="34">
        <v>29320</v>
      </c>
      <c r="X280" s="34">
        <v>3143</v>
      </c>
      <c r="Y280" s="34">
        <v>417944</v>
      </c>
      <c r="Z280" s="34">
        <v>44838</v>
      </c>
      <c r="AA280" s="34">
        <v>373106</v>
      </c>
      <c r="AB280" s="34">
        <v>207358</v>
      </c>
      <c r="AC280" s="34">
        <v>165748</v>
      </c>
    </row>
    <row r="281" spans="1:29" x14ac:dyDescent="0.25">
      <c r="A281" s="31" t="s">
        <v>265</v>
      </c>
      <c r="B281" s="31" t="s">
        <v>740</v>
      </c>
      <c r="C281" s="31" t="s">
        <v>293</v>
      </c>
      <c r="D281" s="31" t="s">
        <v>684</v>
      </c>
      <c r="E281" s="32">
        <v>52.91</v>
      </c>
      <c r="F281" s="33">
        <v>223</v>
      </c>
      <c r="G281" s="32">
        <v>275.91000000000003</v>
      </c>
      <c r="H281" s="32">
        <v>0.62</v>
      </c>
      <c r="I281" s="34">
        <v>0</v>
      </c>
      <c r="J281" s="33">
        <v>0</v>
      </c>
      <c r="K281" s="34">
        <v>223</v>
      </c>
      <c r="L281" s="32">
        <v>316.32</v>
      </c>
      <c r="M281" s="32">
        <v>58.89</v>
      </c>
      <c r="N281" s="32">
        <v>65.099999999999994</v>
      </c>
      <c r="O281" s="32">
        <v>32.479999999999997</v>
      </c>
      <c r="P281" s="32">
        <v>3.49</v>
      </c>
      <c r="Q281" s="34">
        <v>87276</v>
      </c>
      <c r="R281" s="34">
        <v>5592</v>
      </c>
      <c r="S281" s="34">
        <v>92868</v>
      </c>
      <c r="T281" s="34">
        <v>13132</v>
      </c>
      <c r="U281" s="34">
        <v>14517</v>
      </c>
      <c r="V281" s="34">
        <v>196</v>
      </c>
      <c r="W281" s="34">
        <v>8962</v>
      </c>
      <c r="X281" s="34">
        <v>963</v>
      </c>
      <c r="Y281" s="34">
        <v>130638</v>
      </c>
      <c r="Z281" s="34">
        <v>14742</v>
      </c>
      <c r="AA281" s="34">
        <v>115896</v>
      </c>
      <c r="AB281" s="34">
        <v>64316</v>
      </c>
      <c r="AC281" s="34">
        <v>51580</v>
      </c>
    </row>
    <row r="282" spans="1:29" x14ac:dyDescent="0.25">
      <c r="A282" s="31" t="s">
        <v>265</v>
      </c>
      <c r="B282" s="31" t="s">
        <v>740</v>
      </c>
      <c r="C282" s="31" t="s">
        <v>294</v>
      </c>
      <c r="D282" s="31" t="s">
        <v>685</v>
      </c>
      <c r="E282" s="32">
        <v>86.67</v>
      </c>
      <c r="F282" s="33">
        <v>576.4</v>
      </c>
      <c r="G282" s="32">
        <v>663.07</v>
      </c>
      <c r="H282" s="32">
        <v>1.48</v>
      </c>
      <c r="I282" s="34">
        <v>1</v>
      </c>
      <c r="J282" s="33">
        <v>0</v>
      </c>
      <c r="K282" s="34">
        <v>577</v>
      </c>
      <c r="L282" s="32">
        <v>316.32</v>
      </c>
      <c r="M282" s="32">
        <v>58.89</v>
      </c>
      <c r="N282" s="32">
        <v>65.099999999999994</v>
      </c>
      <c r="O282" s="32">
        <v>32.479999999999997</v>
      </c>
      <c r="P282" s="32">
        <v>3.49</v>
      </c>
      <c r="Q282" s="34">
        <v>209742</v>
      </c>
      <c r="R282" s="34">
        <v>6399</v>
      </c>
      <c r="S282" s="34">
        <v>216141</v>
      </c>
      <c r="T282" s="34">
        <v>33980</v>
      </c>
      <c r="U282" s="34">
        <v>37563</v>
      </c>
      <c r="V282" s="34">
        <v>468</v>
      </c>
      <c r="W282" s="34">
        <v>22194</v>
      </c>
      <c r="X282" s="34">
        <v>2379</v>
      </c>
      <c r="Y282" s="34">
        <v>312725</v>
      </c>
      <c r="Z282" s="34">
        <v>39236</v>
      </c>
      <c r="AA282" s="34">
        <v>273489</v>
      </c>
      <c r="AB282" s="34">
        <v>151475</v>
      </c>
      <c r="AC282" s="34">
        <v>122014</v>
      </c>
    </row>
    <row r="283" spans="1:29" x14ac:dyDescent="0.25">
      <c r="A283" s="31" t="s">
        <v>265</v>
      </c>
      <c r="B283" s="31" t="s">
        <v>740</v>
      </c>
      <c r="C283" s="31" t="s">
        <v>295</v>
      </c>
      <c r="D283" s="31" t="s">
        <v>686</v>
      </c>
      <c r="E283" s="32">
        <v>36.799999999999997</v>
      </c>
      <c r="F283" s="33">
        <v>221.2</v>
      </c>
      <c r="G283" s="32">
        <v>258</v>
      </c>
      <c r="H283" s="32">
        <v>0.57999999999999996</v>
      </c>
      <c r="I283" s="34">
        <v>0</v>
      </c>
      <c r="J283" s="33">
        <v>0</v>
      </c>
      <c r="K283" s="34">
        <v>221</v>
      </c>
      <c r="L283" s="32">
        <v>316.32</v>
      </c>
      <c r="M283" s="32">
        <v>58.89</v>
      </c>
      <c r="N283" s="32">
        <v>65.099999999999994</v>
      </c>
      <c r="O283" s="32">
        <v>32.479999999999997</v>
      </c>
      <c r="P283" s="32">
        <v>3.49</v>
      </c>
      <c r="Q283" s="34">
        <v>81611</v>
      </c>
      <c r="R283" s="34">
        <v>6482</v>
      </c>
      <c r="S283" s="34">
        <v>88093</v>
      </c>
      <c r="T283" s="34">
        <v>13015</v>
      </c>
      <c r="U283" s="34">
        <v>14387</v>
      </c>
      <c r="V283" s="34">
        <v>183</v>
      </c>
      <c r="W283" s="34">
        <v>8554</v>
      </c>
      <c r="X283" s="34">
        <v>917</v>
      </c>
      <c r="Y283" s="34">
        <v>125149</v>
      </c>
      <c r="Z283" s="34">
        <v>15048</v>
      </c>
      <c r="AA283" s="34">
        <v>110101</v>
      </c>
      <c r="AB283" s="34">
        <v>59068</v>
      </c>
      <c r="AC283" s="34">
        <v>51033</v>
      </c>
    </row>
    <row r="284" spans="1:29" x14ac:dyDescent="0.25">
      <c r="A284" s="31" t="s">
        <v>265</v>
      </c>
      <c r="B284" s="31" t="s">
        <v>740</v>
      </c>
      <c r="C284" s="31" t="s">
        <v>296</v>
      </c>
      <c r="D284" s="31" t="s">
        <v>687</v>
      </c>
      <c r="E284" s="32">
        <v>77.41</v>
      </c>
      <c r="F284" s="33">
        <v>626.4</v>
      </c>
      <c r="G284" s="32">
        <v>703.81</v>
      </c>
      <c r="H284" s="32">
        <v>1.57</v>
      </c>
      <c r="I284" s="34">
        <v>15</v>
      </c>
      <c r="J284" s="33">
        <v>0</v>
      </c>
      <c r="K284" s="34">
        <v>641</v>
      </c>
      <c r="L284" s="32">
        <v>316.32</v>
      </c>
      <c r="M284" s="32">
        <v>58.89</v>
      </c>
      <c r="N284" s="32">
        <v>65.099999999999994</v>
      </c>
      <c r="O284" s="32">
        <v>32.479999999999997</v>
      </c>
      <c r="P284" s="32">
        <v>3.49</v>
      </c>
      <c r="Q284" s="34">
        <v>222629</v>
      </c>
      <c r="R284" s="34">
        <v>0</v>
      </c>
      <c r="S284" s="34">
        <v>222629</v>
      </c>
      <c r="T284" s="34">
        <v>37748</v>
      </c>
      <c r="U284" s="34">
        <v>41729</v>
      </c>
      <c r="V284" s="34">
        <v>497</v>
      </c>
      <c r="W284" s="34">
        <v>22860</v>
      </c>
      <c r="X284" s="34">
        <v>2456</v>
      </c>
      <c r="Y284" s="34">
        <v>327919</v>
      </c>
      <c r="Z284" s="34">
        <v>39610</v>
      </c>
      <c r="AA284" s="34">
        <v>288309</v>
      </c>
      <c r="AB284" s="34">
        <v>162051</v>
      </c>
      <c r="AC284" s="34">
        <v>126258</v>
      </c>
    </row>
    <row r="285" spans="1:29" x14ac:dyDescent="0.25">
      <c r="A285" s="31" t="s">
        <v>265</v>
      </c>
      <c r="B285" s="31" t="s">
        <v>740</v>
      </c>
      <c r="C285" s="31" t="s">
        <v>297</v>
      </c>
      <c r="D285" s="31" t="s">
        <v>688</v>
      </c>
      <c r="E285" s="32">
        <v>32.020000000000003</v>
      </c>
      <c r="F285" s="33">
        <v>170.1</v>
      </c>
      <c r="G285" s="32">
        <v>202.12</v>
      </c>
      <c r="H285" s="32">
        <v>0.45</v>
      </c>
      <c r="I285" s="34">
        <v>3</v>
      </c>
      <c r="J285" s="33">
        <v>0</v>
      </c>
      <c r="K285" s="34">
        <v>173</v>
      </c>
      <c r="L285" s="32">
        <v>316.32</v>
      </c>
      <c r="M285" s="32">
        <v>58.89</v>
      </c>
      <c r="N285" s="32">
        <v>65.099999999999994</v>
      </c>
      <c r="O285" s="32">
        <v>32.479999999999997</v>
      </c>
      <c r="P285" s="32">
        <v>3.49</v>
      </c>
      <c r="Q285" s="34">
        <v>63935</v>
      </c>
      <c r="R285" s="34">
        <v>8831</v>
      </c>
      <c r="S285" s="34">
        <v>72766</v>
      </c>
      <c r="T285" s="34">
        <v>10188</v>
      </c>
      <c r="U285" s="34">
        <v>11262</v>
      </c>
      <c r="V285" s="34">
        <v>142</v>
      </c>
      <c r="W285" s="34">
        <v>6565</v>
      </c>
      <c r="X285" s="34">
        <v>705</v>
      </c>
      <c r="Y285" s="34">
        <v>101628</v>
      </c>
      <c r="Z285" s="34">
        <v>14187</v>
      </c>
      <c r="AA285" s="34">
        <v>87441</v>
      </c>
      <c r="AB285" s="34">
        <v>43726</v>
      </c>
      <c r="AC285" s="34">
        <v>43715</v>
      </c>
    </row>
    <row r="286" spans="1:29" x14ac:dyDescent="0.25">
      <c r="A286" s="31" t="s">
        <v>265</v>
      </c>
      <c r="B286" s="31" t="s">
        <v>740</v>
      </c>
      <c r="C286" s="31" t="s">
        <v>298</v>
      </c>
      <c r="D286" s="31" t="s">
        <v>689</v>
      </c>
      <c r="E286" s="32">
        <v>130.62</v>
      </c>
      <c r="F286" s="33">
        <v>1036.5999999999999</v>
      </c>
      <c r="G286" s="32">
        <v>1167.22</v>
      </c>
      <c r="H286" s="32">
        <v>2.61</v>
      </c>
      <c r="I286" s="34">
        <v>0</v>
      </c>
      <c r="J286" s="33">
        <v>0</v>
      </c>
      <c r="K286" s="34">
        <v>1037</v>
      </c>
      <c r="L286" s="32">
        <v>316.32</v>
      </c>
      <c r="M286" s="32">
        <v>58.89</v>
      </c>
      <c r="N286" s="32">
        <v>65.099999999999994</v>
      </c>
      <c r="O286" s="32">
        <v>32.479999999999997</v>
      </c>
      <c r="P286" s="32">
        <v>3.49</v>
      </c>
      <c r="Q286" s="34">
        <v>369215</v>
      </c>
      <c r="R286" s="34">
        <v>10662</v>
      </c>
      <c r="S286" s="34">
        <v>379877</v>
      </c>
      <c r="T286" s="34">
        <v>61069</v>
      </c>
      <c r="U286" s="34">
        <v>67509</v>
      </c>
      <c r="V286" s="34">
        <v>826</v>
      </c>
      <c r="W286" s="34">
        <v>37911</v>
      </c>
      <c r="X286" s="34">
        <v>4074</v>
      </c>
      <c r="Y286" s="34">
        <v>551266</v>
      </c>
      <c r="Z286" s="34">
        <v>62151</v>
      </c>
      <c r="AA286" s="34">
        <v>489115</v>
      </c>
      <c r="AB286" s="34">
        <v>272292</v>
      </c>
      <c r="AC286" s="34">
        <v>216823</v>
      </c>
    </row>
    <row r="287" spans="1:29" x14ac:dyDescent="0.25">
      <c r="A287" s="31" t="s">
        <v>265</v>
      </c>
      <c r="B287" s="31" t="s">
        <v>740</v>
      </c>
      <c r="C287" s="31" t="s">
        <v>299</v>
      </c>
      <c r="D287" s="31" t="s">
        <v>690</v>
      </c>
      <c r="E287" s="32">
        <v>87.44</v>
      </c>
      <c r="F287" s="33">
        <v>685.2</v>
      </c>
      <c r="G287" s="32">
        <v>772.64</v>
      </c>
      <c r="H287" s="32">
        <v>1.73</v>
      </c>
      <c r="I287" s="34">
        <v>3</v>
      </c>
      <c r="J287" s="33">
        <v>0</v>
      </c>
      <c r="K287" s="34">
        <v>688</v>
      </c>
      <c r="L287" s="32">
        <v>316.32</v>
      </c>
      <c r="M287" s="32">
        <v>58.89</v>
      </c>
      <c r="N287" s="32">
        <v>65.099999999999994</v>
      </c>
      <c r="O287" s="32">
        <v>32.479999999999997</v>
      </c>
      <c r="P287" s="32">
        <v>3.49</v>
      </c>
      <c r="Q287" s="34">
        <v>244401</v>
      </c>
      <c r="R287" s="34">
        <v>0</v>
      </c>
      <c r="S287" s="34">
        <v>244401</v>
      </c>
      <c r="T287" s="34">
        <v>40516</v>
      </c>
      <c r="U287" s="34">
        <v>44789</v>
      </c>
      <c r="V287" s="34">
        <v>547</v>
      </c>
      <c r="W287" s="34">
        <v>25095</v>
      </c>
      <c r="X287" s="34">
        <v>2697</v>
      </c>
      <c r="Y287" s="34">
        <v>358045</v>
      </c>
      <c r="Z287" s="34">
        <v>33188</v>
      </c>
      <c r="AA287" s="34">
        <v>324857</v>
      </c>
      <c r="AB287" s="34">
        <v>188197</v>
      </c>
      <c r="AC287" s="34">
        <v>136660</v>
      </c>
    </row>
    <row r="288" spans="1:29" x14ac:dyDescent="0.25">
      <c r="A288" s="31" t="s">
        <v>265</v>
      </c>
      <c r="B288" s="31" t="s">
        <v>740</v>
      </c>
      <c r="C288" s="31" t="s">
        <v>300</v>
      </c>
      <c r="D288" s="31" t="s">
        <v>691</v>
      </c>
      <c r="E288" s="32">
        <v>132.55000000000001</v>
      </c>
      <c r="F288" s="33">
        <v>1016.3</v>
      </c>
      <c r="G288" s="32">
        <v>1148.8499999999999</v>
      </c>
      <c r="H288" s="32">
        <v>2.56</v>
      </c>
      <c r="I288" s="34">
        <v>6</v>
      </c>
      <c r="J288" s="33">
        <v>0</v>
      </c>
      <c r="K288" s="34">
        <v>1022</v>
      </c>
      <c r="L288" s="32">
        <v>316.32</v>
      </c>
      <c r="M288" s="32">
        <v>58.89</v>
      </c>
      <c r="N288" s="32">
        <v>65.099999999999994</v>
      </c>
      <c r="O288" s="32">
        <v>32.479999999999997</v>
      </c>
      <c r="P288" s="32">
        <v>3.49</v>
      </c>
      <c r="Q288" s="34">
        <v>363404</v>
      </c>
      <c r="R288" s="34">
        <v>6142</v>
      </c>
      <c r="S288" s="34">
        <v>369546</v>
      </c>
      <c r="T288" s="34">
        <v>60186</v>
      </c>
      <c r="U288" s="34">
        <v>66532</v>
      </c>
      <c r="V288" s="34">
        <v>810</v>
      </c>
      <c r="W288" s="34">
        <v>37946</v>
      </c>
      <c r="X288" s="34">
        <v>4067</v>
      </c>
      <c r="Y288" s="34">
        <v>539087</v>
      </c>
      <c r="Z288" s="34">
        <v>57385</v>
      </c>
      <c r="AA288" s="34">
        <v>481702</v>
      </c>
      <c r="AB288" s="34">
        <v>272481</v>
      </c>
      <c r="AC288" s="34">
        <v>209221</v>
      </c>
    </row>
    <row r="289" spans="1:29" x14ac:dyDescent="0.25">
      <c r="A289" s="31" t="s">
        <v>265</v>
      </c>
      <c r="B289" s="31" t="s">
        <v>740</v>
      </c>
      <c r="C289" s="31" t="s">
        <v>301</v>
      </c>
      <c r="D289" s="31" t="s">
        <v>692</v>
      </c>
      <c r="E289" s="32">
        <v>40.06</v>
      </c>
      <c r="F289" s="33">
        <v>369.8</v>
      </c>
      <c r="G289" s="32">
        <v>409.86</v>
      </c>
      <c r="H289" s="32">
        <v>0.92</v>
      </c>
      <c r="I289" s="34">
        <v>0</v>
      </c>
      <c r="J289" s="33">
        <v>0</v>
      </c>
      <c r="K289" s="34">
        <v>370</v>
      </c>
      <c r="L289" s="32">
        <v>316.32</v>
      </c>
      <c r="M289" s="32">
        <v>58.89</v>
      </c>
      <c r="N289" s="32">
        <v>65.099999999999994</v>
      </c>
      <c r="O289" s="32">
        <v>32.479999999999997</v>
      </c>
      <c r="P289" s="32">
        <v>3.49</v>
      </c>
      <c r="Q289" s="34">
        <v>129647</v>
      </c>
      <c r="R289" s="34">
        <v>8079</v>
      </c>
      <c r="S289" s="34">
        <v>137726</v>
      </c>
      <c r="T289" s="34">
        <v>21789</v>
      </c>
      <c r="U289" s="34">
        <v>24087</v>
      </c>
      <c r="V289" s="34">
        <v>291</v>
      </c>
      <c r="W289" s="34">
        <v>13502</v>
      </c>
      <c r="X289" s="34">
        <v>1447</v>
      </c>
      <c r="Y289" s="34">
        <v>198842</v>
      </c>
      <c r="Z289" s="34">
        <v>22474</v>
      </c>
      <c r="AA289" s="34">
        <v>176368</v>
      </c>
      <c r="AB289" s="34">
        <v>95170</v>
      </c>
      <c r="AC289" s="34">
        <v>81198</v>
      </c>
    </row>
    <row r="290" spans="1:29" x14ac:dyDescent="0.25">
      <c r="A290" s="31" t="s">
        <v>265</v>
      </c>
      <c r="B290" s="31" t="s">
        <v>740</v>
      </c>
      <c r="C290" s="31" t="s">
        <v>302</v>
      </c>
      <c r="D290" s="31" t="s">
        <v>693</v>
      </c>
      <c r="E290" s="32">
        <v>38.1</v>
      </c>
      <c r="F290" s="33">
        <v>214.1</v>
      </c>
      <c r="G290" s="32">
        <v>252.2</v>
      </c>
      <c r="H290" s="32">
        <v>0.56000000000000005</v>
      </c>
      <c r="I290" s="34">
        <v>0</v>
      </c>
      <c r="J290" s="33">
        <v>0</v>
      </c>
      <c r="K290" s="34">
        <v>214</v>
      </c>
      <c r="L290" s="32">
        <v>316.32</v>
      </c>
      <c r="M290" s="32">
        <v>58.89</v>
      </c>
      <c r="N290" s="32">
        <v>65.099999999999994</v>
      </c>
      <c r="O290" s="32">
        <v>32.479999999999997</v>
      </c>
      <c r="P290" s="32">
        <v>3.49</v>
      </c>
      <c r="Q290" s="34">
        <v>79776</v>
      </c>
      <c r="R290" s="34">
        <v>0</v>
      </c>
      <c r="S290" s="34">
        <v>79776</v>
      </c>
      <c r="T290" s="34">
        <v>12602</v>
      </c>
      <c r="U290" s="34">
        <v>13931</v>
      </c>
      <c r="V290" s="34">
        <v>177</v>
      </c>
      <c r="W290" s="34">
        <v>8191</v>
      </c>
      <c r="X290" s="34">
        <v>880</v>
      </c>
      <c r="Y290" s="34">
        <v>115557</v>
      </c>
      <c r="Z290" s="34">
        <v>15658</v>
      </c>
      <c r="AA290" s="34">
        <v>99899</v>
      </c>
      <c r="AB290" s="34">
        <v>56603</v>
      </c>
      <c r="AC290" s="34">
        <v>43296</v>
      </c>
    </row>
    <row r="291" spans="1:29" x14ac:dyDescent="0.25">
      <c r="A291" s="31" t="s">
        <v>265</v>
      </c>
      <c r="B291" s="31" t="s">
        <v>740</v>
      </c>
      <c r="C291" s="31" t="s">
        <v>303</v>
      </c>
      <c r="D291" s="31" t="s">
        <v>694</v>
      </c>
      <c r="E291" s="32">
        <v>24.77</v>
      </c>
      <c r="F291" s="33">
        <v>187.1</v>
      </c>
      <c r="G291" s="32">
        <v>211.87</v>
      </c>
      <c r="H291" s="32">
        <v>0.47</v>
      </c>
      <c r="I291" s="34">
        <v>0</v>
      </c>
      <c r="J291" s="33">
        <v>0</v>
      </c>
      <c r="K291" s="34">
        <v>187</v>
      </c>
      <c r="L291" s="32">
        <v>316.32</v>
      </c>
      <c r="M291" s="32">
        <v>58.89</v>
      </c>
      <c r="N291" s="32">
        <v>65.099999999999994</v>
      </c>
      <c r="O291" s="32">
        <v>32.479999999999997</v>
      </c>
      <c r="P291" s="32">
        <v>3.49</v>
      </c>
      <c r="Q291" s="34">
        <v>67019</v>
      </c>
      <c r="R291" s="34">
        <v>0</v>
      </c>
      <c r="S291" s="34">
        <v>67019</v>
      </c>
      <c r="T291" s="34">
        <v>11012</v>
      </c>
      <c r="U291" s="34">
        <v>12174</v>
      </c>
      <c r="V291" s="34">
        <v>149</v>
      </c>
      <c r="W291" s="34">
        <v>6882</v>
      </c>
      <c r="X291" s="34">
        <v>739</v>
      </c>
      <c r="Y291" s="34">
        <v>97975</v>
      </c>
      <c r="Z291" s="34">
        <v>12066</v>
      </c>
      <c r="AA291" s="34">
        <v>85909</v>
      </c>
      <c r="AB291" s="34">
        <v>48640</v>
      </c>
      <c r="AC291" s="34">
        <v>37269</v>
      </c>
    </row>
    <row r="292" spans="1:29" x14ac:dyDescent="0.25">
      <c r="A292" s="31" t="s">
        <v>265</v>
      </c>
      <c r="B292" s="31" t="s">
        <v>740</v>
      </c>
      <c r="C292" s="31" t="s">
        <v>304</v>
      </c>
      <c r="D292" s="31" t="s">
        <v>695</v>
      </c>
      <c r="E292" s="32">
        <v>39.94</v>
      </c>
      <c r="F292" s="33">
        <v>589.6</v>
      </c>
      <c r="G292" s="32">
        <v>629.54</v>
      </c>
      <c r="H292" s="32">
        <v>1.41</v>
      </c>
      <c r="I292" s="34">
        <v>45</v>
      </c>
      <c r="J292" s="33">
        <v>0</v>
      </c>
      <c r="K292" s="34">
        <v>635</v>
      </c>
      <c r="L292" s="32">
        <v>316.32</v>
      </c>
      <c r="M292" s="32">
        <v>58.89</v>
      </c>
      <c r="N292" s="32">
        <v>65.099999999999994</v>
      </c>
      <c r="O292" s="32">
        <v>32.479999999999997</v>
      </c>
      <c r="P292" s="32">
        <v>3.49</v>
      </c>
      <c r="Q292" s="34">
        <v>199136</v>
      </c>
      <c r="R292" s="34">
        <v>6635</v>
      </c>
      <c r="S292" s="34">
        <v>205771</v>
      </c>
      <c r="T292" s="34">
        <v>37395</v>
      </c>
      <c r="U292" s="34">
        <v>41339</v>
      </c>
      <c r="V292" s="34">
        <v>446</v>
      </c>
      <c r="W292" s="34">
        <v>21129</v>
      </c>
      <c r="X292" s="34">
        <v>2265</v>
      </c>
      <c r="Y292" s="34">
        <v>308345</v>
      </c>
      <c r="Z292" s="34">
        <v>22629</v>
      </c>
      <c r="AA292" s="34">
        <v>285716</v>
      </c>
      <c r="AB292" s="34">
        <v>158503</v>
      </c>
      <c r="AC292" s="34">
        <v>127213</v>
      </c>
    </row>
    <row r="293" spans="1:29" x14ac:dyDescent="0.25">
      <c r="A293" s="31" t="s">
        <v>265</v>
      </c>
      <c r="B293" s="31" t="s">
        <v>740</v>
      </c>
      <c r="C293" s="31" t="s">
        <v>305</v>
      </c>
      <c r="D293" s="31" t="s">
        <v>696</v>
      </c>
      <c r="E293" s="32">
        <v>72.58</v>
      </c>
      <c r="F293" s="33">
        <v>662.9</v>
      </c>
      <c r="G293" s="32">
        <v>735.48</v>
      </c>
      <c r="H293" s="32">
        <v>1.64</v>
      </c>
      <c r="I293" s="34">
        <v>2</v>
      </c>
      <c r="J293" s="33">
        <v>0</v>
      </c>
      <c r="K293" s="34">
        <v>665</v>
      </c>
      <c r="L293" s="32">
        <v>316.32</v>
      </c>
      <c r="M293" s="32">
        <v>58.89</v>
      </c>
      <c r="N293" s="32">
        <v>65.099999999999994</v>
      </c>
      <c r="O293" s="32">
        <v>32.479999999999997</v>
      </c>
      <c r="P293" s="32">
        <v>3.49</v>
      </c>
      <c r="Q293" s="34">
        <v>232647</v>
      </c>
      <c r="R293" s="34">
        <v>0</v>
      </c>
      <c r="S293" s="34">
        <v>232647</v>
      </c>
      <c r="T293" s="34">
        <v>39162</v>
      </c>
      <c r="U293" s="34">
        <v>43292</v>
      </c>
      <c r="V293" s="34">
        <v>519</v>
      </c>
      <c r="W293" s="34">
        <v>23888</v>
      </c>
      <c r="X293" s="34">
        <v>2567</v>
      </c>
      <c r="Y293" s="34">
        <v>342075</v>
      </c>
      <c r="Z293" s="34">
        <v>33287</v>
      </c>
      <c r="AA293" s="34">
        <v>308788</v>
      </c>
      <c r="AB293" s="34">
        <v>177448</v>
      </c>
      <c r="AC293" s="34">
        <v>131340</v>
      </c>
    </row>
    <row r="294" spans="1:29" x14ac:dyDescent="0.25">
      <c r="A294" s="31" t="s">
        <v>265</v>
      </c>
      <c r="B294" s="31" t="s">
        <v>740</v>
      </c>
      <c r="C294" s="31" t="s">
        <v>306</v>
      </c>
      <c r="D294" s="31" t="s">
        <v>697</v>
      </c>
      <c r="E294" s="32">
        <v>75.75</v>
      </c>
      <c r="F294" s="33">
        <v>726.1</v>
      </c>
      <c r="G294" s="32">
        <v>801.85</v>
      </c>
      <c r="H294" s="32">
        <v>1.79</v>
      </c>
      <c r="I294" s="34">
        <v>31</v>
      </c>
      <c r="J294" s="33">
        <v>0</v>
      </c>
      <c r="K294" s="34">
        <v>757</v>
      </c>
      <c r="L294" s="32">
        <v>316.32</v>
      </c>
      <c r="M294" s="32">
        <v>58.89</v>
      </c>
      <c r="N294" s="32">
        <v>65.099999999999994</v>
      </c>
      <c r="O294" s="32">
        <v>32.479999999999997</v>
      </c>
      <c r="P294" s="32">
        <v>3.49</v>
      </c>
      <c r="Q294" s="34">
        <v>253641</v>
      </c>
      <c r="R294" s="34">
        <v>0</v>
      </c>
      <c r="S294" s="34">
        <v>253641</v>
      </c>
      <c r="T294" s="34">
        <v>44580</v>
      </c>
      <c r="U294" s="34">
        <v>49281</v>
      </c>
      <c r="V294" s="34">
        <v>566</v>
      </c>
      <c r="W294" s="34">
        <v>26044</v>
      </c>
      <c r="X294" s="34">
        <v>2798</v>
      </c>
      <c r="Y294" s="34">
        <v>376910</v>
      </c>
      <c r="Z294" s="34">
        <v>30799</v>
      </c>
      <c r="AA294" s="34">
        <v>346111</v>
      </c>
      <c r="AB294" s="34">
        <v>198953</v>
      </c>
      <c r="AC294" s="34">
        <v>147158</v>
      </c>
    </row>
    <row r="295" spans="1:29" x14ac:dyDescent="0.25">
      <c r="A295" s="31" t="s">
        <v>265</v>
      </c>
      <c r="B295" s="31" t="s">
        <v>740</v>
      </c>
      <c r="C295" s="31" t="s">
        <v>307</v>
      </c>
      <c r="D295" s="31" t="s">
        <v>698</v>
      </c>
      <c r="E295" s="32">
        <v>27.48</v>
      </c>
      <c r="F295" s="33">
        <v>273</v>
      </c>
      <c r="G295" s="32">
        <v>300.48</v>
      </c>
      <c r="H295" s="32">
        <v>0.67</v>
      </c>
      <c r="I295" s="34">
        <v>0</v>
      </c>
      <c r="J295" s="33">
        <v>0</v>
      </c>
      <c r="K295" s="34">
        <v>273</v>
      </c>
      <c r="L295" s="32">
        <v>316.32</v>
      </c>
      <c r="M295" s="32">
        <v>58.89</v>
      </c>
      <c r="N295" s="32">
        <v>65.099999999999994</v>
      </c>
      <c r="O295" s="32">
        <v>32.479999999999997</v>
      </c>
      <c r="P295" s="32">
        <v>3.49</v>
      </c>
      <c r="Q295" s="34">
        <v>95048</v>
      </c>
      <c r="R295" s="34">
        <v>17788</v>
      </c>
      <c r="S295" s="34">
        <v>112836</v>
      </c>
      <c r="T295" s="34">
        <v>16077</v>
      </c>
      <c r="U295" s="34">
        <v>17772</v>
      </c>
      <c r="V295" s="34">
        <v>212</v>
      </c>
      <c r="W295" s="34">
        <v>9929</v>
      </c>
      <c r="X295" s="34">
        <v>1064</v>
      </c>
      <c r="Y295" s="34">
        <v>157890</v>
      </c>
      <c r="Z295" s="34">
        <v>20643</v>
      </c>
      <c r="AA295" s="34">
        <v>137247</v>
      </c>
      <c r="AB295" s="34">
        <v>65638</v>
      </c>
      <c r="AC295" s="34">
        <v>71609</v>
      </c>
    </row>
    <row r="296" spans="1:29" x14ac:dyDescent="0.25">
      <c r="A296" s="31" t="s">
        <v>265</v>
      </c>
      <c r="B296" s="31" t="s">
        <v>740</v>
      </c>
      <c r="C296" s="31" t="s">
        <v>308</v>
      </c>
      <c r="D296" s="31" t="s">
        <v>699</v>
      </c>
      <c r="E296" s="32">
        <v>47.85</v>
      </c>
      <c r="F296" s="33">
        <v>339.7</v>
      </c>
      <c r="G296" s="32">
        <v>387.55</v>
      </c>
      <c r="H296" s="32">
        <v>0.86</v>
      </c>
      <c r="I296" s="34">
        <v>0</v>
      </c>
      <c r="J296" s="33">
        <v>0</v>
      </c>
      <c r="K296" s="34">
        <v>340</v>
      </c>
      <c r="L296" s="32">
        <v>316.32</v>
      </c>
      <c r="M296" s="32">
        <v>58.89</v>
      </c>
      <c r="N296" s="32">
        <v>65.099999999999994</v>
      </c>
      <c r="O296" s="32">
        <v>32.479999999999997</v>
      </c>
      <c r="P296" s="32">
        <v>3.49</v>
      </c>
      <c r="Q296" s="34">
        <v>122590</v>
      </c>
      <c r="R296" s="34">
        <v>25370</v>
      </c>
      <c r="S296" s="34">
        <v>147960</v>
      </c>
      <c r="T296" s="34">
        <v>20023</v>
      </c>
      <c r="U296" s="34">
        <v>22134</v>
      </c>
      <c r="V296" s="34">
        <v>272</v>
      </c>
      <c r="W296" s="34">
        <v>12588</v>
      </c>
      <c r="X296" s="34">
        <v>1353</v>
      </c>
      <c r="Y296" s="34">
        <v>204330</v>
      </c>
      <c r="Z296" s="34">
        <v>25347</v>
      </c>
      <c r="AA296" s="34">
        <v>178983</v>
      </c>
      <c r="AB296" s="34">
        <v>85697</v>
      </c>
      <c r="AC296" s="34">
        <v>93286</v>
      </c>
    </row>
    <row r="297" spans="1:29" x14ac:dyDescent="0.25">
      <c r="A297" s="31" t="s">
        <v>265</v>
      </c>
      <c r="B297" s="31" t="s">
        <v>740</v>
      </c>
      <c r="C297" s="31" t="s">
        <v>309</v>
      </c>
      <c r="D297" s="31" t="s">
        <v>700</v>
      </c>
      <c r="E297" s="32">
        <v>47.33</v>
      </c>
      <c r="F297" s="33">
        <v>470.3</v>
      </c>
      <c r="G297" s="32">
        <v>517.63</v>
      </c>
      <c r="H297" s="32">
        <v>1.1599999999999999</v>
      </c>
      <c r="I297" s="34">
        <v>4</v>
      </c>
      <c r="J297" s="33">
        <v>0</v>
      </c>
      <c r="K297" s="34">
        <v>474</v>
      </c>
      <c r="L297" s="32">
        <v>316.32</v>
      </c>
      <c r="M297" s="32">
        <v>58.89</v>
      </c>
      <c r="N297" s="32">
        <v>65.099999999999994</v>
      </c>
      <c r="O297" s="32">
        <v>32.479999999999997</v>
      </c>
      <c r="P297" s="32">
        <v>3.49</v>
      </c>
      <c r="Q297" s="34">
        <v>163737</v>
      </c>
      <c r="R297" s="34">
        <v>0</v>
      </c>
      <c r="S297" s="34">
        <v>163737</v>
      </c>
      <c r="T297" s="34">
        <v>27914</v>
      </c>
      <c r="U297" s="34">
        <v>30857</v>
      </c>
      <c r="V297" s="34">
        <v>367</v>
      </c>
      <c r="W297" s="34">
        <v>16813</v>
      </c>
      <c r="X297" s="34">
        <v>1807</v>
      </c>
      <c r="Y297" s="34">
        <v>241495</v>
      </c>
      <c r="Z297" s="34">
        <v>25428</v>
      </c>
      <c r="AA297" s="34">
        <v>216067</v>
      </c>
      <c r="AB297" s="34">
        <v>122890</v>
      </c>
      <c r="AC297" s="34">
        <v>93177</v>
      </c>
    </row>
    <row r="298" spans="1:29" x14ac:dyDescent="0.25">
      <c r="A298" s="31" t="s">
        <v>310</v>
      </c>
      <c r="B298" s="31" t="s">
        <v>741</v>
      </c>
      <c r="C298" s="31" t="s">
        <v>311</v>
      </c>
      <c r="D298" s="31" t="s">
        <v>701</v>
      </c>
      <c r="E298" s="32">
        <v>121.11</v>
      </c>
      <c r="F298" s="33">
        <v>1149.9000000000001</v>
      </c>
      <c r="G298" s="32">
        <v>1271.01</v>
      </c>
      <c r="H298" s="32">
        <v>3.15</v>
      </c>
      <c r="I298" s="34">
        <v>1</v>
      </c>
      <c r="J298" s="33">
        <v>0</v>
      </c>
      <c r="K298" s="34">
        <v>1151</v>
      </c>
      <c r="L298" s="32">
        <v>313.68</v>
      </c>
      <c r="M298" s="32">
        <v>58.86</v>
      </c>
      <c r="N298" s="32">
        <v>64.67</v>
      </c>
      <c r="O298" s="32">
        <v>31.49</v>
      </c>
      <c r="P298" s="32">
        <v>3.44</v>
      </c>
      <c r="Q298" s="34">
        <v>398690</v>
      </c>
      <c r="R298" s="34">
        <v>0</v>
      </c>
      <c r="S298" s="34">
        <v>398690</v>
      </c>
      <c r="T298" s="34">
        <v>67748</v>
      </c>
      <c r="U298" s="34">
        <v>74435</v>
      </c>
      <c r="V298" s="34">
        <v>988</v>
      </c>
      <c r="W298" s="34">
        <v>40024</v>
      </c>
      <c r="X298" s="34">
        <v>4372</v>
      </c>
      <c r="Y298" s="34">
        <v>586257</v>
      </c>
      <c r="Z298" s="34">
        <v>57955</v>
      </c>
      <c r="AA298" s="34">
        <v>528302</v>
      </c>
      <c r="AB298" s="34">
        <v>304981</v>
      </c>
      <c r="AC298" s="34">
        <v>223321</v>
      </c>
    </row>
    <row r="299" spans="1:29" x14ac:dyDescent="0.25">
      <c r="A299" s="31" t="s">
        <v>310</v>
      </c>
      <c r="B299" s="31" t="s">
        <v>741</v>
      </c>
      <c r="C299" s="31" t="s">
        <v>312</v>
      </c>
      <c r="D299" s="31" t="s">
        <v>702</v>
      </c>
      <c r="E299" s="32">
        <v>770.8</v>
      </c>
      <c r="F299" s="33">
        <v>3913.1</v>
      </c>
      <c r="G299" s="32">
        <v>4683.8999999999996</v>
      </c>
      <c r="H299" s="32">
        <v>11.62</v>
      </c>
      <c r="I299" s="34">
        <v>336</v>
      </c>
      <c r="J299" s="33">
        <v>1.7</v>
      </c>
      <c r="K299" s="34">
        <v>4247</v>
      </c>
      <c r="L299" s="32">
        <v>313.68</v>
      </c>
      <c r="M299" s="32">
        <v>58.86</v>
      </c>
      <c r="N299" s="32">
        <v>64.67</v>
      </c>
      <c r="O299" s="32">
        <v>31.49</v>
      </c>
      <c r="P299" s="32">
        <v>3.44</v>
      </c>
      <c r="Q299" s="34">
        <v>1469246</v>
      </c>
      <c r="R299" s="34">
        <v>53220</v>
      </c>
      <c r="S299" s="34">
        <v>1522466</v>
      </c>
      <c r="T299" s="34">
        <v>249978</v>
      </c>
      <c r="U299" s="34">
        <v>274653</v>
      </c>
      <c r="V299" s="34">
        <v>3645</v>
      </c>
      <c r="W299" s="34">
        <v>148250</v>
      </c>
      <c r="X299" s="34">
        <v>16161</v>
      </c>
      <c r="Y299" s="34">
        <v>2215153</v>
      </c>
      <c r="Z299" s="34">
        <v>231008</v>
      </c>
      <c r="AA299" s="34">
        <v>1984145</v>
      </c>
      <c r="AB299" s="34">
        <v>1107283</v>
      </c>
      <c r="AC299" s="34">
        <v>876862</v>
      </c>
    </row>
    <row r="300" spans="1:29" x14ac:dyDescent="0.25">
      <c r="A300" s="31" t="s">
        <v>310</v>
      </c>
      <c r="B300" s="31" t="s">
        <v>741</v>
      </c>
      <c r="C300" s="31" t="s">
        <v>313</v>
      </c>
      <c r="D300" s="31" t="s">
        <v>703</v>
      </c>
      <c r="E300" s="32">
        <v>93.01</v>
      </c>
      <c r="F300" s="33">
        <v>591</v>
      </c>
      <c r="G300" s="32">
        <v>684.01</v>
      </c>
      <c r="H300" s="32">
        <v>1.7</v>
      </c>
      <c r="I300" s="34">
        <v>0</v>
      </c>
      <c r="J300" s="33">
        <v>0</v>
      </c>
      <c r="K300" s="34">
        <v>591</v>
      </c>
      <c r="L300" s="32">
        <v>313.68</v>
      </c>
      <c r="M300" s="32">
        <v>58.86</v>
      </c>
      <c r="N300" s="32">
        <v>64.67</v>
      </c>
      <c r="O300" s="32">
        <v>31.49</v>
      </c>
      <c r="P300" s="32">
        <v>3.44</v>
      </c>
      <c r="Q300" s="34">
        <v>214560</v>
      </c>
      <c r="R300" s="34">
        <v>0</v>
      </c>
      <c r="S300" s="34">
        <v>214560</v>
      </c>
      <c r="T300" s="34">
        <v>34786</v>
      </c>
      <c r="U300" s="34">
        <v>38220</v>
      </c>
      <c r="V300" s="34">
        <v>533</v>
      </c>
      <c r="W300" s="34">
        <v>21539</v>
      </c>
      <c r="X300" s="34">
        <v>2353</v>
      </c>
      <c r="Y300" s="34">
        <v>311991</v>
      </c>
      <c r="Z300" s="34">
        <v>29808</v>
      </c>
      <c r="AA300" s="34">
        <v>282183</v>
      </c>
      <c r="AB300" s="34">
        <v>165512</v>
      </c>
      <c r="AC300" s="34">
        <v>116671</v>
      </c>
    </row>
    <row r="301" spans="1:29" x14ac:dyDescent="0.25">
      <c r="A301" s="31" t="s">
        <v>310</v>
      </c>
      <c r="B301" s="31" t="s">
        <v>741</v>
      </c>
      <c r="C301" s="31" t="s">
        <v>314</v>
      </c>
      <c r="D301" s="31" t="s">
        <v>704</v>
      </c>
      <c r="E301" s="32">
        <v>165.24</v>
      </c>
      <c r="F301" s="33">
        <v>1352.4</v>
      </c>
      <c r="G301" s="32">
        <v>1517.64</v>
      </c>
      <c r="H301" s="32">
        <v>3.76</v>
      </c>
      <c r="I301" s="34">
        <v>0</v>
      </c>
      <c r="J301" s="33">
        <v>0</v>
      </c>
      <c r="K301" s="34">
        <v>1352</v>
      </c>
      <c r="L301" s="32">
        <v>313.68</v>
      </c>
      <c r="M301" s="32">
        <v>58.86</v>
      </c>
      <c r="N301" s="32">
        <v>64.67</v>
      </c>
      <c r="O301" s="32">
        <v>31.49</v>
      </c>
      <c r="P301" s="32">
        <v>3.44</v>
      </c>
      <c r="Q301" s="34">
        <v>476053</v>
      </c>
      <c r="R301" s="34">
        <v>0</v>
      </c>
      <c r="S301" s="34">
        <v>476053</v>
      </c>
      <c r="T301" s="34">
        <v>79579</v>
      </c>
      <c r="U301" s="34">
        <v>87434</v>
      </c>
      <c r="V301" s="34">
        <v>1179</v>
      </c>
      <c r="W301" s="34">
        <v>47790</v>
      </c>
      <c r="X301" s="34">
        <v>5221</v>
      </c>
      <c r="Y301" s="34">
        <v>697256</v>
      </c>
      <c r="Z301" s="34">
        <v>76839</v>
      </c>
      <c r="AA301" s="34">
        <v>620417</v>
      </c>
      <c r="AB301" s="34">
        <v>356522</v>
      </c>
      <c r="AC301" s="34">
        <v>263895</v>
      </c>
    </row>
    <row r="302" spans="1:29" x14ac:dyDescent="0.25">
      <c r="A302" s="31" t="s">
        <v>310</v>
      </c>
      <c r="B302" s="31" t="s">
        <v>741</v>
      </c>
      <c r="C302" s="31" t="s">
        <v>315</v>
      </c>
      <c r="D302" s="31" t="s">
        <v>705</v>
      </c>
      <c r="E302" s="32">
        <v>89.09</v>
      </c>
      <c r="F302" s="33">
        <v>771</v>
      </c>
      <c r="G302" s="32">
        <v>860.09</v>
      </c>
      <c r="H302" s="32">
        <v>2.13</v>
      </c>
      <c r="I302" s="34">
        <v>12</v>
      </c>
      <c r="J302" s="33">
        <v>0</v>
      </c>
      <c r="K302" s="34">
        <v>783</v>
      </c>
      <c r="L302" s="32">
        <v>313.68</v>
      </c>
      <c r="M302" s="32">
        <v>58.86</v>
      </c>
      <c r="N302" s="32">
        <v>64.67</v>
      </c>
      <c r="O302" s="32">
        <v>31.49</v>
      </c>
      <c r="P302" s="32">
        <v>3.44</v>
      </c>
      <c r="Q302" s="34">
        <v>269793</v>
      </c>
      <c r="R302" s="34">
        <v>0</v>
      </c>
      <c r="S302" s="34">
        <v>269793</v>
      </c>
      <c r="T302" s="34">
        <v>46087</v>
      </c>
      <c r="U302" s="34">
        <v>50637</v>
      </c>
      <c r="V302" s="34">
        <v>668</v>
      </c>
      <c r="W302" s="34">
        <v>27084</v>
      </c>
      <c r="X302" s="34">
        <v>2959</v>
      </c>
      <c r="Y302" s="34">
        <v>397228</v>
      </c>
      <c r="Z302" s="34">
        <v>46695</v>
      </c>
      <c r="AA302" s="34">
        <v>350533</v>
      </c>
      <c r="AB302" s="34">
        <v>198903</v>
      </c>
      <c r="AC302" s="34">
        <v>151630</v>
      </c>
    </row>
    <row r="303" spans="1:29" x14ac:dyDescent="0.25">
      <c r="A303" s="31" t="s">
        <v>310</v>
      </c>
      <c r="B303" s="31" t="s">
        <v>741</v>
      </c>
      <c r="C303" s="31" t="s">
        <v>316</v>
      </c>
      <c r="D303" s="31" t="s">
        <v>706</v>
      </c>
      <c r="E303" s="32">
        <v>141.65</v>
      </c>
      <c r="F303" s="33">
        <v>1255</v>
      </c>
      <c r="G303" s="32">
        <v>1396.65</v>
      </c>
      <c r="H303" s="32">
        <v>3.47</v>
      </c>
      <c r="I303" s="34">
        <v>4</v>
      </c>
      <c r="J303" s="33">
        <v>0</v>
      </c>
      <c r="K303" s="34">
        <v>1259</v>
      </c>
      <c r="L303" s="32">
        <v>313.68</v>
      </c>
      <c r="M303" s="32">
        <v>58.86</v>
      </c>
      <c r="N303" s="32">
        <v>64.67</v>
      </c>
      <c r="O303" s="32">
        <v>31.49</v>
      </c>
      <c r="P303" s="32">
        <v>3.44</v>
      </c>
      <c r="Q303" s="34">
        <v>438101</v>
      </c>
      <c r="R303" s="34">
        <v>2280</v>
      </c>
      <c r="S303" s="34">
        <v>440381</v>
      </c>
      <c r="T303" s="34">
        <v>74105</v>
      </c>
      <c r="U303" s="34">
        <v>81420</v>
      </c>
      <c r="V303" s="34">
        <v>1088</v>
      </c>
      <c r="W303" s="34">
        <v>43981</v>
      </c>
      <c r="X303" s="34">
        <v>4804</v>
      </c>
      <c r="Y303" s="34">
        <v>645779</v>
      </c>
      <c r="Z303" s="34">
        <v>69564</v>
      </c>
      <c r="AA303" s="34">
        <v>576215</v>
      </c>
      <c r="AB303" s="34">
        <v>329251</v>
      </c>
      <c r="AC303" s="34">
        <v>246964</v>
      </c>
    </row>
    <row r="304" spans="1:29" x14ac:dyDescent="0.25">
      <c r="A304" s="31" t="s">
        <v>310</v>
      </c>
      <c r="B304" s="31" t="s">
        <v>741</v>
      </c>
      <c r="C304" s="31" t="s">
        <v>317</v>
      </c>
      <c r="D304" s="31" t="s">
        <v>707</v>
      </c>
      <c r="E304" s="32">
        <v>48.45</v>
      </c>
      <c r="F304" s="33">
        <v>483.9</v>
      </c>
      <c r="G304" s="32">
        <v>532.35</v>
      </c>
      <c r="H304" s="32">
        <v>1.32</v>
      </c>
      <c r="I304" s="34">
        <v>4</v>
      </c>
      <c r="J304" s="33">
        <v>0</v>
      </c>
      <c r="K304" s="34">
        <v>488</v>
      </c>
      <c r="L304" s="32">
        <v>313.68</v>
      </c>
      <c r="M304" s="32">
        <v>58.86</v>
      </c>
      <c r="N304" s="32">
        <v>64.67</v>
      </c>
      <c r="O304" s="32">
        <v>31.49</v>
      </c>
      <c r="P304" s="32">
        <v>3.44</v>
      </c>
      <c r="Q304" s="34">
        <v>166988</v>
      </c>
      <c r="R304" s="34">
        <v>6122</v>
      </c>
      <c r="S304" s="34">
        <v>173110</v>
      </c>
      <c r="T304" s="34">
        <v>28724</v>
      </c>
      <c r="U304" s="34">
        <v>31559</v>
      </c>
      <c r="V304" s="34">
        <v>414</v>
      </c>
      <c r="W304" s="34">
        <v>17369</v>
      </c>
      <c r="X304" s="34">
        <v>1893</v>
      </c>
      <c r="Y304" s="34">
        <v>253069</v>
      </c>
      <c r="Z304" s="34">
        <v>20792</v>
      </c>
      <c r="AA304" s="34">
        <v>232277</v>
      </c>
      <c r="AB304" s="34">
        <v>131888</v>
      </c>
      <c r="AC304" s="34">
        <v>100389</v>
      </c>
    </row>
    <row r="305" spans="1:29" x14ac:dyDescent="0.25">
      <c r="A305" s="31" t="s">
        <v>310</v>
      </c>
      <c r="B305" s="31" t="s">
        <v>741</v>
      </c>
      <c r="C305" s="31" t="s">
        <v>318</v>
      </c>
      <c r="D305" s="31" t="s">
        <v>708</v>
      </c>
      <c r="E305" s="32">
        <v>120.6</v>
      </c>
      <c r="F305" s="33">
        <v>1168.5999999999999</v>
      </c>
      <c r="G305" s="32">
        <v>1289.2</v>
      </c>
      <c r="H305" s="32">
        <v>3.2</v>
      </c>
      <c r="I305" s="34">
        <v>1</v>
      </c>
      <c r="J305" s="33">
        <v>0</v>
      </c>
      <c r="K305" s="34">
        <v>1170</v>
      </c>
      <c r="L305" s="32">
        <v>313.68</v>
      </c>
      <c r="M305" s="32">
        <v>58.86</v>
      </c>
      <c r="N305" s="32">
        <v>64.67</v>
      </c>
      <c r="O305" s="32">
        <v>31.49</v>
      </c>
      <c r="P305" s="32">
        <v>3.44</v>
      </c>
      <c r="Q305" s="34">
        <v>404396</v>
      </c>
      <c r="R305" s="34">
        <v>0</v>
      </c>
      <c r="S305" s="34">
        <v>404396</v>
      </c>
      <c r="T305" s="34">
        <v>68866</v>
      </c>
      <c r="U305" s="34">
        <v>75664</v>
      </c>
      <c r="V305" s="34">
        <v>1004</v>
      </c>
      <c r="W305" s="34">
        <v>40597</v>
      </c>
      <c r="X305" s="34">
        <v>4435</v>
      </c>
      <c r="Y305" s="34">
        <v>594962</v>
      </c>
      <c r="Z305" s="34">
        <v>56419</v>
      </c>
      <c r="AA305" s="34">
        <v>538543</v>
      </c>
      <c r="AB305" s="34">
        <v>311713</v>
      </c>
      <c r="AC305" s="34">
        <v>226830</v>
      </c>
    </row>
    <row r="306" spans="1:29" x14ac:dyDescent="0.25">
      <c r="A306" s="31" t="s">
        <v>310</v>
      </c>
      <c r="B306" s="31" t="s">
        <v>741</v>
      </c>
      <c r="C306" s="31" t="s">
        <v>319</v>
      </c>
      <c r="D306" s="31" t="s">
        <v>709</v>
      </c>
      <c r="E306" s="32">
        <v>87.29</v>
      </c>
      <c r="F306" s="33">
        <v>870.9</v>
      </c>
      <c r="G306" s="32">
        <v>958.19</v>
      </c>
      <c r="H306" s="32">
        <v>2.38</v>
      </c>
      <c r="I306" s="34">
        <v>19</v>
      </c>
      <c r="J306" s="33">
        <v>0</v>
      </c>
      <c r="K306" s="34">
        <v>890</v>
      </c>
      <c r="L306" s="32">
        <v>313.68</v>
      </c>
      <c r="M306" s="32">
        <v>58.86</v>
      </c>
      <c r="N306" s="32">
        <v>64.67</v>
      </c>
      <c r="O306" s="32">
        <v>31.49</v>
      </c>
      <c r="P306" s="32">
        <v>3.44</v>
      </c>
      <c r="Q306" s="34">
        <v>300565</v>
      </c>
      <c r="R306" s="34">
        <v>0</v>
      </c>
      <c r="S306" s="34">
        <v>300565</v>
      </c>
      <c r="T306" s="34">
        <v>52385</v>
      </c>
      <c r="U306" s="34">
        <v>57556</v>
      </c>
      <c r="V306" s="34">
        <v>747</v>
      </c>
      <c r="W306" s="34">
        <v>30173</v>
      </c>
      <c r="X306" s="34">
        <v>3296</v>
      </c>
      <c r="Y306" s="34">
        <v>444722</v>
      </c>
      <c r="Z306" s="34">
        <v>44907</v>
      </c>
      <c r="AA306" s="34">
        <v>399815</v>
      </c>
      <c r="AB306" s="34">
        <v>228705</v>
      </c>
      <c r="AC306" s="34">
        <v>171110</v>
      </c>
    </row>
    <row r="307" spans="1:29" x14ac:dyDescent="0.25">
      <c r="A307" s="31" t="s">
        <v>310</v>
      </c>
      <c r="B307" s="31" t="s">
        <v>741</v>
      </c>
      <c r="C307" s="31" t="s">
        <v>320</v>
      </c>
      <c r="D307" s="31" t="s">
        <v>710</v>
      </c>
      <c r="E307" s="32">
        <v>283.31</v>
      </c>
      <c r="F307" s="33">
        <v>1602.7</v>
      </c>
      <c r="G307" s="32">
        <v>1886.01</v>
      </c>
      <c r="H307" s="32">
        <v>4.68</v>
      </c>
      <c r="I307" s="34">
        <v>123</v>
      </c>
      <c r="J307" s="33">
        <v>0</v>
      </c>
      <c r="K307" s="34">
        <v>1726</v>
      </c>
      <c r="L307" s="32">
        <v>313.68</v>
      </c>
      <c r="M307" s="32">
        <v>58.86</v>
      </c>
      <c r="N307" s="32">
        <v>64.67</v>
      </c>
      <c r="O307" s="32">
        <v>31.49</v>
      </c>
      <c r="P307" s="32">
        <v>3.44</v>
      </c>
      <c r="Q307" s="34">
        <v>591604</v>
      </c>
      <c r="R307" s="34">
        <v>0</v>
      </c>
      <c r="S307" s="34">
        <v>591604</v>
      </c>
      <c r="T307" s="34">
        <v>101592</v>
      </c>
      <c r="U307" s="34">
        <v>111620</v>
      </c>
      <c r="V307" s="34">
        <v>1468</v>
      </c>
      <c r="W307" s="34">
        <v>59390</v>
      </c>
      <c r="X307" s="34">
        <v>6488</v>
      </c>
      <c r="Y307" s="34">
        <v>872162</v>
      </c>
      <c r="Z307" s="34">
        <v>91881</v>
      </c>
      <c r="AA307" s="34">
        <v>780281</v>
      </c>
      <c r="AB307" s="34">
        <v>446670</v>
      </c>
      <c r="AC307" s="34">
        <v>333611</v>
      </c>
    </row>
    <row r="308" spans="1:29" x14ac:dyDescent="0.25">
      <c r="A308" s="31" t="s">
        <v>310</v>
      </c>
      <c r="B308" s="31" t="s">
        <v>741</v>
      </c>
      <c r="C308" s="31" t="s">
        <v>321</v>
      </c>
      <c r="D308" s="31" t="s">
        <v>711</v>
      </c>
      <c r="E308" s="32">
        <v>364</v>
      </c>
      <c r="F308" s="33">
        <v>2079.5</v>
      </c>
      <c r="G308" s="32">
        <v>2443.5</v>
      </c>
      <c r="H308" s="32">
        <v>6.06</v>
      </c>
      <c r="I308" s="34">
        <v>264</v>
      </c>
      <c r="J308" s="33">
        <v>5.4</v>
      </c>
      <c r="K308" s="34">
        <v>2338</v>
      </c>
      <c r="L308" s="32">
        <v>313.68</v>
      </c>
      <c r="M308" s="32">
        <v>58.86</v>
      </c>
      <c r="N308" s="32">
        <v>64.67</v>
      </c>
      <c r="O308" s="32">
        <v>31.49</v>
      </c>
      <c r="P308" s="32">
        <v>3.44</v>
      </c>
      <c r="Q308" s="34">
        <v>766477</v>
      </c>
      <c r="R308" s="34">
        <v>0</v>
      </c>
      <c r="S308" s="34">
        <v>766477</v>
      </c>
      <c r="T308" s="34">
        <v>137615</v>
      </c>
      <c r="U308" s="34">
        <v>151198</v>
      </c>
      <c r="V308" s="34">
        <v>1901</v>
      </c>
      <c r="W308" s="34">
        <v>76946</v>
      </c>
      <c r="X308" s="34">
        <v>8406</v>
      </c>
      <c r="Y308" s="34">
        <v>1142543</v>
      </c>
      <c r="Z308" s="34">
        <v>124889</v>
      </c>
      <c r="AA308" s="34">
        <v>1017654</v>
      </c>
      <c r="AB308" s="34">
        <v>572853</v>
      </c>
      <c r="AC308" s="34">
        <v>444801</v>
      </c>
    </row>
    <row r="309" spans="1:29" x14ac:dyDescent="0.25">
      <c r="A309" s="31" t="s">
        <v>310</v>
      </c>
      <c r="B309" s="31" t="s">
        <v>741</v>
      </c>
      <c r="C309" s="31" t="s">
        <v>322</v>
      </c>
      <c r="D309" s="31" t="s">
        <v>712</v>
      </c>
      <c r="E309" s="32">
        <v>358.82</v>
      </c>
      <c r="F309" s="33">
        <v>1902.8</v>
      </c>
      <c r="G309" s="32">
        <v>2261.62</v>
      </c>
      <c r="H309" s="32">
        <v>5.61</v>
      </c>
      <c r="I309" s="34">
        <v>65</v>
      </c>
      <c r="J309" s="33">
        <v>0.6</v>
      </c>
      <c r="K309" s="34">
        <v>1967</v>
      </c>
      <c r="L309" s="32">
        <v>313.68</v>
      </c>
      <c r="M309" s="32">
        <v>58.86</v>
      </c>
      <c r="N309" s="32">
        <v>64.67</v>
      </c>
      <c r="O309" s="32">
        <v>31.49</v>
      </c>
      <c r="P309" s="32">
        <v>3.44</v>
      </c>
      <c r="Q309" s="34">
        <v>709425</v>
      </c>
      <c r="R309" s="34">
        <v>0</v>
      </c>
      <c r="S309" s="34">
        <v>709425</v>
      </c>
      <c r="T309" s="34">
        <v>115778</v>
      </c>
      <c r="U309" s="34">
        <v>127206</v>
      </c>
      <c r="V309" s="34">
        <v>1760</v>
      </c>
      <c r="W309" s="34">
        <v>71218</v>
      </c>
      <c r="X309" s="34">
        <v>7780</v>
      </c>
      <c r="Y309" s="34">
        <v>1033167</v>
      </c>
      <c r="Z309" s="34">
        <v>104456</v>
      </c>
      <c r="AA309" s="34">
        <v>928711</v>
      </c>
      <c r="AB309" s="34">
        <v>541350</v>
      </c>
      <c r="AC309" s="34">
        <v>387361</v>
      </c>
    </row>
    <row r="310" spans="1:29" x14ac:dyDescent="0.25">
      <c r="A310" s="31" t="s">
        <v>310</v>
      </c>
      <c r="B310" s="31" t="s">
        <v>741</v>
      </c>
      <c r="C310" s="31" t="s">
        <v>323</v>
      </c>
      <c r="D310" s="31" t="s">
        <v>713</v>
      </c>
      <c r="E310" s="32">
        <v>42.66</v>
      </c>
      <c r="F310" s="33">
        <v>350.4</v>
      </c>
      <c r="G310" s="32">
        <v>393.06</v>
      </c>
      <c r="H310" s="32">
        <v>0.98</v>
      </c>
      <c r="I310" s="34">
        <v>0</v>
      </c>
      <c r="J310" s="33">
        <v>0</v>
      </c>
      <c r="K310" s="34">
        <v>350</v>
      </c>
      <c r="L310" s="32">
        <v>313.68</v>
      </c>
      <c r="M310" s="32">
        <v>58.86</v>
      </c>
      <c r="N310" s="32">
        <v>64.67</v>
      </c>
      <c r="O310" s="32">
        <v>31.49</v>
      </c>
      <c r="P310" s="32">
        <v>3.44</v>
      </c>
      <c r="Q310" s="34">
        <v>123295</v>
      </c>
      <c r="R310" s="34">
        <v>677</v>
      </c>
      <c r="S310" s="34">
        <v>123972</v>
      </c>
      <c r="T310" s="34">
        <v>20601</v>
      </c>
      <c r="U310" s="34">
        <v>22635</v>
      </c>
      <c r="V310" s="34">
        <v>307</v>
      </c>
      <c r="W310" s="34">
        <v>12439</v>
      </c>
      <c r="X310" s="34">
        <v>1356</v>
      </c>
      <c r="Y310" s="34">
        <v>181310</v>
      </c>
      <c r="Z310" s="34">
        <v>17793</v>
      </c>
      <c r="AA310" s="34">
        <v>163517</v>
      </c>
      <c r="AB310" s="34">
        <v>94512</v>
      </c>
      <c r="AC310" s="34">
        <v>69005</v>
      </c>
    </row>
    <row r="311" spans="1:29" x14ac:dyDescent="0.25">
      <c r="A311" s="31" t="s">
        <v>310</v>
      </c>
      <c r="B311" s="31" t="s">
        <v>741</v>
      </c>
      <c r="C311" s="31" t="s">
        <v>324</v>
      </c>
      <c r="D311" s="31" t="s">
        <v>714</v>
      </c>
      <c r="E311" s="32">
        <v>83.16</v>
      </c>
      <c r="F311" s="33">
        <v>823.5</v>
      </c>
      <c r="G311" s="32">
        <v>906.66</v>
      </c>
      <c r="H311" s="32">
        <v>2.25</v>
      </c>
      <c r="I311" s="34">
        <v>0</v>
      </c>
      <c r="J311" s="33">
        <v>0</v>
      </c>
      <c r="K311" s="34">
        <v>824</v>
      </c>
      <c r="L311" s="32">
        <v>313.68</v>
      </c>
      <c r="M311" s="32">
        <v>58.86</v>
      </c>
      <c r="N311" s="32">
        <v>64.67</v>
      </c>
      <c r="O311" s="32">
        <v>31.49</v>
      </c>
      <c r="P311" s="32">
        <v>3.44</v>
      </c>
      <c r="Q311" s="34">
        <v>284401</v>
      </c>
      <c r="R311" s="34">
        <v>0</v>
      </c>
      <c r="S311" s="34">
        <v>284401</v>
      </c>
      <c r="T311" s="34">
        <v>48501</v>
      </c>
      <c r="U311" s="34">
        <v>53288</v>
      </c>
      <c r="V311" s="34">
        <v>706</v>
      </c>
      <c r="W311" s="34">
        <v>28551</v>
      </c>
      <c r="X311" s="34">
        <v>3119</v>
      </c>
      <c r="Y311" s="34">
        <v>418566</v>
      </c>
      <c r="Z311" s="34">
        <v>41596</v>
      </c>
      <c r="AA311" s="34">
        <v>376970</v>
      </c>
      <c r="AB311" s="34">
        <v>217302</v>
      </c>
      <c r="AC311" s="34">
        <v>159668</v>
      </c>
    </row>
    <row r="312" spans="1:29" x14ac:dyDescent="0.25">
      <c r="A312" s="31" t="s">
        <v>310</v>
      </c>
      <c r="B312" s="31" t="s">
        <v>741</v>
      </c>
      <c r="C312" s="31" t="s">
        <v>325</v>
      </c>
      <c r="D312" s="31" t="s">
        <v>715</v>
      </c>
      <c r="E312" s="32">
        <v>41.52</v>
      </c>
      <c r="F312" s="33">
        <v>348.8</v>
      </c>
      <c r="G312" s="32">
        <v>390.32</v>
      </c>
      <c r="H312" s="32">
        <v>0.97</v>
      </c>
      <c r="I312" s="34">
        <v>0</v>
      </c>
      <c r="J312" s="33">
        <v>0</v>
      </c>
      <c r="K312" s="34">
        <v>349</v>
      </c>
      <c r="L312" s="32">
        <v>313.68</v>
      </c>
      <c r="M312" s="32">
        <v>58.86</v>
      </c>
      <c r="N312" s="32">
        <v>64.67</v>
      </c>
      <c r="O312" s="32">
        <v>31.49</v>
      </c>
      <c r="P312" s="32">
        <v>3.44</v>
      </c>
      <c r="Q312" s="34">
        <v>122436</v>
      </c>
      <c r="R312" s="34">
        <v>0</v>
      </c>
      <c r="S312" s="34">
        <v>122436</v>
      </c>
      <c r="T312" s="34">
        <v>20542</v>
      </c>
      <c r="U312" s="34">
        <v>22570</v>
      </c>
      <c r="V312" s="34">
        <v>304</v>
      </c>
      <c r="W312" s="34">
        <v>12291</v>
      </c>
      <c r="X312" s="34">
        <v>1343</v>
      </c>
      <c r="Y312" s="34">
        <v>179486</v>
      </c>
      <c r="Z312" s="34">
        <v>14721</v>
      </c>
      <c r="AA312" s="34">
        <v>164765</v>
      </c>
      <c r="AB312" s="34">
        <v>96736</v>
      </c>
      <c r="AC312" s="34">
        <v>68029</v>
      </c>
    </row>
    <row r="313" spans="1:29" x14ac:dyDescent="0.25">
      <c r="A313" s="31" t="s">
        <v>310</v>
      </c>
      <c r="B313" s="31" t="s">
        <v>741</v>
      </c>
      <c r="C313" s="31" t="s">
        <v>326</v>
      </c>
      <c r="D313" s="31" t="s">
        <v>716</v>
      </c>
      <c r="E313" s="32">
        <v>17.170000000000002</v>
      </c>
      <c r="F313" s="33">
        <v>190</v>
      </c>
      <c r="G313" s="32">
        <v>207.17</v>
      </c>
      <c r="H313" s="32">
        <v>0.51</v>
      </c>
      <c r="I313" s="34">
        <v>0</v>
      </c>
      <c r="J313" s="33">
        <v>0</v>
      </c>
      <c r="K313" s="34">
        <v>190</v>
      </c>
      <c r="L313" s="32">
        <v>313.68</v>
      </c>
      <c r="M313" s="32">
        <v>58.86</v>
      </c>
      <c r="N313" s="32">
        <v>64.67</v>
      </c>
      <c r="O313" s="32">
        <v>31.49</v>
      </c>
      <c r="P313" s="32">
        <v>3.44</v>
      </c>
      <c r="Q313" s="34">
        <v>64985</v>
      </c>
      <c r="R313" s="34">
        <v>4637</v>
      </c>
      <c r="S313" s="34">
        <v>69622</v>
      </c>
      <c r="T313" s="34">
        <v>11183</v>
      </c>
      <c r="U313" s="34">
        <v>12287</v>
      </c>
      <c r="V313" s="34">
        <v>160</v>
      </c>
      <c r="W313" s="34">
        <v>6922</v>
      </c>
      <c r="X313" s="34">
        <v>755</v>
      </c>
      <c r="Y313" s="34">
        <v>100929</v>
      </c>
      <c r="Z313" s="34">
        <v>10949</v>
      </c>
      <c r="AA313" s="34">
        <v>89980</v>
      </c>
      <c r="AB313" s="34">
        <v>48648</v>
      </c>
      <c r="AC313" s="34">
        <v>41332</v>
      </c>
    </row>
    <row r="314" spans="1:29" x14ac:dyDescent="0.25">
      <c r="A314" s="31" t="s">
        <v>310</v>
      </c>
      <c r="B314" s="31" t="s">
        <v>741</v>
      </c>
      <c r="C314" s="31" t="s">
        <v>327</v>
      </c>
      <c r="D314" s="31" t="s">
        <v>717</v>
      </c>
      <c r="E314" s="32">
        <v>22.3</v>
      </c>
      <c r="F314" s="33">
        <v>206.3</v>
      </c>
      <c r="G314" s="32">
        <v>228.6</v>
      </c>
      <c r="H314" s="32">
        <v>0.56999999999999995</v>
      </c>
      <c r="I314" s="34">
        <v>0</v>
      </c>
      <c r="J314" s="33">
        <v>0</v>
      </c>
      <c r="K314" s="34">
        <v>206</v>
      </c>
      <c r="L314" s="32">
        <v>313.68</v>
      </c>
      <c r="M314" s="32">
        <v>58.86</v>
      </c>
      <c r="N314" s="32">
        <v>64.67</v>
      </c>
      <c r="O314" s="32">
        <v>31.49</v>
      </c>
      <c r="P314" s="32">
        <v>3.44</v>
      </c>
      <c r="Q314" s="34">
        <v>71707</v>
      </c>
      <c r="R314" s="34">
        <v>2440</v>
      </c>
      <c r="S314" s="34">
        <v>74147</v>
      </c>
      <c r="T314" s="34">
        <v>12125</v>
      </c>
      <c r="U314" s="34">
        <v>13322</v>
      </c>
      <c r="V314" s="34">
        <v>179</v>
      </c>
      <c r="W314" s="34">
        <v>7240</v>
      </c>
      <c r="X314" s="34">
        <v>789</v>
      </c>
      <c r="Y314" s="34">
        <v>107802</v>
      </c>
      <c r="Z314" s="34">
        <v>12939</v>
      </c>
      <c r="AA314" s="34">
        <v>94863</v>
      </c>
      <c r="AB314" s="34">
        <v>52383</v>
      </c>
      <c r="AC314" s="34">
        <v>42480</v>
      </c>
    </row>
    <row r="315" spans="1:29" x14ac:dyDescent="0.25">
      <c r="A315" s="31" t="s">
        <v>310</v>
      </c>
      <c r="B315" s="31" t="s">
        <v>741</v>
      </c>
      <c r="C315" s="31" t="s">
        <v>328</v>
      </c>
      <c r="D315" s="31" t="s">
        <v>718</v>
      </c>
      <c r="E315" s="32">
        <v>259.38</v>
      </c>
      <c r="F315" s="33">
        <v>1858.4</v>
      </c>
      <c r="G315" s="32">
        <v>2117.7800000000002</v>
      </c>
      <c r="H315" s="32">
        <v>5.25</v>
      </c>
      <c r="I315" s="34">
        <v>4</v>
      </c>
      <c r="J315" s="33">
        <v>0</v>
      </c>
      <c r="K315" s="34">
        <v>1862</v>
      </c>
      <c r="L315" s="32">
        <v>313.68</v>
      </c>
      <c r="M315" s="32">
        <v>58.86</v>
      </c>
      <c r="N315" s="32">
        <v>64.67</v>
      </c>
      <c r="O315" s="32">
        <v>31.49</v>
      </c>
      <c r="P315" s="32">
        <v>3.44</v>
      </c>
      <c r="Q315" s="34">
        <v>664305</v>
      </c>
      <c r="R315" s="34">
        <v>185</v>
      </c>
      <c r="S315" s="34">
        <v>664490</v>
      </c>
      <c r="T315" s="34">
        <v>109597</v>
      </c>
      <c r="U315" s="34">
        <v>120416</v>
      </c>
      <c r="V315" s="34">
        <v>1647</v>
      </c>
      <c r="W315" s="34">
        <v>66689</v>
      </c>
      <c r="X315" s="34">
        <v>7285</v>
      </c>
      <c r="Y315" s="34">
        <v>970124</v>
      </c>
      <c r="Z315" s="34">
        <v>93333</v>
      </c>
      <c r="AA315" s="34">
        <v>876791</v>
      </c>
      <c r="AB315" s="34">
        <v>511399</v>
      </c>
      <c r="AC315" s="34">
        <v>365392</v>
      </c>
    </row>
    <row r="316" spans="1:29" x14ac:dyDescent="0.25">
      <c r="A316" s="31" t="s">
        <v>310</v>
      </c>
      <c r="B316" s="31" t="s">
        <v>741</v>
      </c>
      <c r="C316" s="31" t="s">
        <v>329</v>
      </c>
      <c r="D316" s="31" t="s">
        <v>719</v>
      </c>
      <c r="E316" s="32">
        <v>53.33</v>
      </c>
      <c r="F316" s="33">
        <v>502.1</v>
      </c>
      <c r="G316" s="32">
        <v>555.42999999999995</v>
      </c>
      <c r="H316" s="32">
        <v>1.38</v>
      </c>
      <c r="I316" s="34">
        <v>3</v>
      </c>
      <c r="J316" s="33">
        <v>0</v>
      </c>
      <c r="K316" s="34">
        <v>505</v>
      </c>
      <c r="L316" s="32">
        <v>313.68</v>
      </c>
      <c r="M316" s="32">
        <v>58.86</v>
      </c>
      <c r="N316" s="32">
        <v>64.67</v>
      </c>
      <c r="O316" s="32">
        <v>31.49</v>
      </c>
      <c r="P316" s="32">
        <v>3.44</v>
      </c>
      <c r="Q316" s="34">
        <v>174227</v>
      </c>
      <c r="R316" s="34">
        <v>0</v>
      </c>
      <c r="S316" s="34">
        <v>174227</v>
      </c>
      <c r="T316" s="34">
        <v>29724</v>
      </c>
      <c r="U316" s="34">
        <v>32658</v>
      </c>
      <c r="V316" s="34">
        <v>433</v>
      </c>
      <c r="W316" s="34">
        <v>17490</v>
      </c>
      <c r="X316" s="34">
        <v>1911</v>
      </c>
      <c r="Y316" s="34">
        <v>256443</v>
      </c>
      <c r="Z316" s="34">
        <v>25009</v>
      </c>
      <c r="AA316" s="34">
        <v>231434</v>
      </c>
      <c r="AB316" s="34">
        <v>133595</v>
      </c>
      <c r="AC316" s="34">
        <v>97839</v>
      </c>
    </row>
    <row r="317" spans="1:29" x14ac:dyDescent="0.25">
      <c r="A317" s="31" t="s">
        <v>310</v>
      </c>
      <c r="B317" s="31" t="s">
        <v>741</v>
      </c>
      <c r="C317" s="31" t="s">
        <v>330</v>
      </c>
      <c r="D317" s="31" t="s">
        <v>720</v>
      </c>
      <c r="E317" s="32">
        <v>60.19</v>
      </c>
      <c r="F317" s="33">
        <v>486.8</v>
      </c>
      <c r="G317" s="32">
        <v>546.99</v>
      </c>
      <c r="H317" s="32">
        <v>1.36</v>
      </c>
      <c r="I317" s="34">
        <v>29</v>
      </c>
      <c r="J317" s="33">
        <v>0</v>
      </c>
      <c r="K317" s="34">
        <v>516</v>
      </c>
      <c r="L317" s="32">
        <v>313.68</v>
      </c>
      <c r="M317" s="32">
        <v>58.86</v>
      </c>
      <c r="N317" s="32">
        <v>64.67</v>
      </c>
      <c r="O317" s="32">
        <v>31.49</v>
      </c>
      <c r="P317" s="32">
        <v>3.44</v>
      </c>
      <c r="Q317" s="34">
        <v>171580</v>
      </c>
      <c r="R317" s="34">
        <v>0</v>
      </c>
      <c r="S317" s="34">
        <v>171580</v>
      </c>
      <c r="T317" s="34">
        <v>30372</v>
      </c>
      <c r="U317" s="34">
        <v>33370</v>
      </c>
      <c r="V317" s="34">
        <v>427</v>
      </c>
      <c r="W317" s="34">
        <v>17225</v>
      </c>
      <c r="X317" s="34">
        <v>1882</v>
      </c>
      <c r="Y317" s="34">
        <v>254856</v>
      </c>
      <c r="Z317" s="34">
        <v>25355</v>
      </c>
      <c r="AA317" s="34">
        <v>229501</v>
      </c>
      <c r="AB317" s="34">
        <v>130840</v>
      </c>
      <c r="AC317" s="34">
        <v>98661</v>
      </c>
    </row>
    <row r="318" spans="1:29" x14ac:dyDescent="0.25">
      <c r="A318" s="31" t="s">
        <v>310</v>
      </c>
      <c r="B318" s="31" t="s">
        <v>741</v>
      </c>
      <c r="C318" s="31" t="s">
        <v>331</v>
      </c>
      <c r="D318" s="31" t="s">
        <v>721</v>
      </c>
      <c r="E318" s="32">
        <v>274.58</v>
      </c>
      <c r="F318" s="33">
        <v>2245</v>
      </c>
      <c r="G318" s="32">
        <v>2519.58</v>
      </c>
      <c r="H318" s="32">
        <v>6.25</v>
      </c>
      <c r="I318" s="34">
        <v>178</v>
      </c>
      <c r="J318" s="33">
        <v>0.2</v>
      </c>
      <c r="K318" s="34">
        <v>2423</v>
      </c>
      <c r="L318" s="32">
        <v>313.68</v>
      </c>
      <c r="M318" s="32">
        <v>58.86</v>
      </c>
      <c r="N318" s="32">
        <v>64.67</v>
      </c>
      <c r="O318" s="32">
        <v>31.49</v>
      </c>
      <c r="P318" s="32">
        <v>3.44</v>
      </c>
      <c r="Q318" s="34">
        <v>790342</v>
      </c>
      <c r="R318" s="34">
        <v>0</v>
      </c>
      <c r="S318" s="34">
        <v>790342</v>
      </c>
      <c r="T318" s="34">
        <v>142618</v>
      </c>
      <c r="U318" s="34">
        <v>156695</v>
      </c>
      <c r="V318" s="34">
        <v>1961</v>
      </c>
      <c r="W318" s="34">
        <v>79342</v>
      </c>
      <c r="X318" s="34">
        <v>8667</v>
      </c>
      <c r="Y318" s="34">
        <v>1179625</v>
      </c>
      <c r="Z318" s="34">
        <v>115216</v>
      </c>
      <c r="AA318" s="34">
        <v>1064409</v>
      </c>
      <c r="AB318" s="34">
        <v>604251</v>
      </c>
      <c r="AC318" s="34">
        <v>460158</v>
      </c>
    </row>
    <row r="319" spans="1:29" x14ac:dyDescent="0.25">
      <c r="A319" s="31" t="s">
        <v>310</v>
      </c>
      <c r="B319" s="31" t="s">
        <v>741</v>
      </c>
      <c r="C319" s="31" t="s">
        <v>332</v>
      </c>
      <c r="D319" s="31" t="s">
        <v>722</v>
      </c>
      <c r="E319" s="32">
        <v>601.04999999999995</v>
      </c>
      <c r="F319" s="33">
        <v>4784</v>
      </c>
      <c r="G319" s="32">
        <v>5385.05</v>
      </c>
      <c r="H319" s="32">
        <v>13.32</v>
      </c>
      <c r="I319" s="34">
        <v>136</v>
      </c>
      <c r="J319" s="33">
        <v>0.8</v>
      </c>
      <c r="K319" s="34">
        <v>4919</v>
      </c>
      <c r="L319" s="32">
        <v>313.68</v>
      </c>
      <c r="M319" s="32">
        <v>58.86</v>
      </c>
      <c r="N319" s="32">
        <v>64.67</v>
      </c>
      <c r="O319" s="32">
        <v>31.49</v>
      </c>
      <c r="P319" s="32">
        <v>3.44</v>
      </c>
      <c r="Q319" s="34">
        <v>1689182</v>
      </c>
      <c r="R319" s="34">
        <v>0</v>
      </c>
      <c r="S319" s="34">
        <v>1689182</v>
      </c>
      <c r="T319" s="34">
        <v>289532</v>
      </c>
      <c r="U319" s="34">
        <v>318112</v>
      </c>
      <c r="V319" s="34">
        <v>4178</v>
      </c>
      <c r="W319" s="34">
        <v>169575</v>
      </c>
      <c r="X319" s="34">
        <v>18525</v>
      </c>
      <c r="Y319" s="34">
        <v>2489104</v>
      </c>
      <c r="Z319" s="34">
        <v>217386</v>
      </c>
      <c r="AA319" s="34">
        <v>2271718</v>
      </c>
      <c r="AB319" s="34">
        <v>1320307</v>
      </c>
      <c r="AC319" s="34">
        <v>951411</v>
      </c>
    </row>
    <row r="320" spans="1:29" x14ac:dyDescent="0.25">
      <c r="A320" s="31" t="s">
        <v>310</v>
      </c>
      <c r="B320" s="31" t="s">
        <v>741</v>
      </c>
      <c r="C320" s="31" t="s">
        <v>333</v>
      </c>
      <c r="D320" s="31" t="s">
        <v>723</v>
      </c>
      <c r="E320" s="32">
        <v>78.31</v>
      </c>
      <c r="F320" s="33">
        <v>590.29999999999995</v>
      </c>
      <c r="G320" s="32">
        <v>668.61</v>
      </c>
      <c r="H320" s="32">
        <v>1.66</v>
      </c>
      <c r="I320" s="34">
        <v>1</v>
      </c>
      <c r="J320" s="33">
        <v>0</v>
      </c>
      <c r="K320" s="34">
        <v>591</v>
      </c>
      <c r="L320" s="32">
        <v>313.68</v>
      </c>
      <c r="M320" s="32">
        <v>58.86</v>
      </c>
      <c r="N320" s="32">
        <v>64.67</v>
      </c>
      <c r="O320" s="32">
        <v>31.49</v>
      </c>
      <c r="P320" s="32">
        <v>3.44</v>
      </c>
      <c r="Q320" s="34">
        <v>209730</v>
      </c>
      <c r="R320" s="34">
        <v>0</v>
      </c>
      <c r="S320" s="34">
        <v>209730</v>
      </c>
      <c r="T320" s="34">
        <v>34786</v>
      </c>
      <c r="U320" s="34">
        <v>38220</v>
      </c>
      <c r="V320" s="34">
        <v>521</v>
      </c>
      <c r="W320" s="34">
        <v>21055</v>
      </c>
      <c r="X320" s="34">
        <v>2300</v>
      </c>
      <c r="Y320" s="34">
        <v>306612</v>
      </c>
      <c r="Z320" s="34">
        <v>33180</v>
      </c>
      <c r="AA320" s="34">
        <v>273432</v>
      </c>
      <c r="AB320" s="34">
        <v>157743</v>
      </c>
      <c r="AC320" s="34">
        <v>115689</v>
      </c>
    </row>
    <row r="321" spans="1:29" x14ac:dyDescent="0.25">
      <c r="A321" s="31" t="s">
        <v>310</v>
      </c>
      <c r="B321" s="31" t="s">
        <v>741</v>
      </c>
      <c r="C321" s="31" t="s">
        <v>334</v>
      </c>
      <c r="D321" s="31" t="s">
        <v>724</v>
      </c>
      <c r="E321" s="32">
        <v>26.31</v>
      </c>
      <c r="F321" s="33">
        <v>255.6</v>
      </c>
      <c r="G321" s="32">
        <v>281.91000000000003</v>
      </c>
      <c r="H321" s="32">
        <v>0.7</v>
      </c>
      <c r="I321" s="34">
        <v>0</v>
      </c>
      <c r="J321" s="33">
        <v>0</v>
      </c>
      <c r="K321" s="34">
        <v>256</v>
      </c>
      <c r="L321" s="32">
        <v>313.68</v>
      </c>
      <c r="M321" s="32">
        <v>58.86</v>
      </c>
      <c r="N321" s="32">
        <v>64.67</v>
      </c>
      <c r="O321" s="32">
        <v>31.49</v>
      </c>
      <c r="P321" s="32">
        <v>3.44</v>
      </c>
      <c r="Q321" s="34">
        <v>88430</v>
      </c>
      <c r="R321" s="34">
        <v>4469</v>
      </c>
      <c r="S321" s="34">
        <v>92899</v>
      </c>
      <c r="T321" s="34">
        <v>15068</v>
      </c>
      <c r="U321" s="34">
        <v>16556</v>
      </c>
      <c r="V321" s="34">
        <v>220</v>
      </c>
      <c r="W321" s="34">
        <v>9163</v>
      </c>
      <c r="X321" s="34">
        <v>999</v>
      </c>
      <c r="Y321" s="34">
        <v>134905</v>
      </c>
      <c r="Z321" s="34">
        <v>16442</v>
      </c>
      <c r="AA321" s="34">
        <v>118463</v>
      </c>
      <c r="AB321" s="34">
        <v>64373</v>
      </c>
      <c r="AC321" s="34">
        <v>54090</v>
      </c>
    </row>
    <row r="322" spans="1:29" x14ac:dyDescent="0.25">
      <c r="A322" s="31" t="s">
        <v>310</v>
      </c>
      <c r="B322" s="31" t="s">
        <v>741</v>
      </c>
      <c r="C322" s="31" t="s">
        <v>335</v>
      </c>
      <c r="D322" s="31" t="s">
        <v>725</v>
      </c>
      <c r="E322" s="32">
        <v>48.81</v>
      </c>
      <c r="F322" s="33">
        <v>550.4</v>
      </c>
      <c r="G322" s="32">
        <v>599.21</v>
      </c>
      <c r="H322" s="32">
        <v>1.49</v>
      </c>
      <c r="I322" s="34">
        <v>1</v>
      </c>
      <c r="J322" s="33">
        <v>0</v>
      </c>
      <c r="K322" s="34">
        <v>551</v>
      </c>
      <c r="L322" s="32">
        <v>313.68</v>
      </c>
      <c r="M322" s="32">
        <v>58.86</v>
      </c>
      <c r="N322" s="32">
        <v>64.67</v>
      </c>
      <c r="O322" s="32">
        <v>31.49</v>
      </c>
      <c r="P322" s="32">
        <v>3.44</v>
      </c>
      <c r="Q322" s="34">
        <v>187960</v>
      </c>
      <c r="R322" s="34">
        <v>757</v>
      </c>
      <c r="S322" s="34">
        <v>188717</v>
      </c>
      <c r="T322" s="34">
        <v>32432</v>
      </c>
      <c r="U322" s="34">
        <v>35633</v>
      </c>
      <c r="V322" s="34">
        <v>467</v>
      </c>
      <c r="W322" s="34">
        <v>18935</v>
      </c>
      <c r="X322" s="34">
        <v>2064</v>
      </c>
      <c r="Y322" s="34">
        <v>278248</v>
      </c>
      <c r="Z322" s="34">
        <v>32703</v>
      </c>
      <c r="AA322" s="34">
        <v>245545</v>
      </c>
      <c r="AB322" s="34">
        <v>138471</v>
      </c>
      <c r="AC322" s="34">
        <v>107074</v>
      </c>
    </row>
    <row r="323" spans="1:29" x14ac:dyDescent="0.25">
      <c r="A323" s="31" t="s">
        <v>310</v>
      </c>
      <c r="B323" s="31" t="s">
        <v>741</v>
      </c>
      <c r="C323" s="31" t="s">
        <v>336</v>
      </c>
      <c r="D323" s="31" t="s">
        <v>726</v>
      </c>
      <c r="E323" s="32">
        <v>26.24</v>
      </c>
      <c r="F323" s="33">
        <v>278.60000000000002</v>
      </c>
      <c r="G323" s="32">
        <v>304.83999999999997</v>
      </c>
      <c r="H323" s="32">
        <v>0.76</v>
      </c>
      <c r="I323" s="34">
        <v>6</v>
      </c>
      <c r="J323" s="33">
        <v>0</v>
      </c>
      <c r="K323" s="34">
        <v>285</v>
      </c>
      <c r="L323" s="32">
        <v>313.68</v>
      </c>
      <c r="M323" s="32">
        <v>58.86</v>
      </c>
      <c r="N323" s="32">
        <v>64.67</v>
      </c>
      <c r="O323" s="32">
        <v>31.49</v>
      </c>
      <c r="P323" s="32">
        <v>3.44</v>
      </c>
      <c r="Q323" s="34">
        <v>95622</v>
      </c>
      <c r="R323" s="34">
        <v>2905</v>
      </c>
      <c r="S323" s="34">
        <v>98527</v>
      </c>
      <c r="T323" s="34">
        <v>16775</v>
      </c>
      <c r="U323" s="34">
        <v>18431</v>
      </c>
      <c r="V323" s="34">
        <v>238</v>
      </c>
      <c r="W323" s="34">
        <v>9699</v>
      </c>
      <c r="X323" s="34">
        <v>1057</v>
      </c>
      <c r="Y323" s="34">
        <v>144727</v>
      </c>
      <c r="Z323" s="34">
        <v>17232</v>
      </c>
      <c r="AA323" s="34">
        <v>127495</v>
      </c>
      <c r="AB323" s="34">
        <v>69924</v>
      </c>
      <c r="AC323" s="34">
        <v>57571</v>
      </c>
    </row>
    <row r="324" spans="1:29" x14ac:dyDescent="0.25">
      <c r="A324" s="31" t="s">
        <v>310</v>
      </c>
      <c r="B324" s="31" t="s">
        <v>741</v>
      </c>
      <c r="C324" s="31" t="s">
        <v>337</v>
      </c>
      <c r="D324" s="31" t="s">
        <v>742</v>
      </c>
      <c r="E324" s="32">
        <v>123.12</v>
      </c>
      <c r="F324" s="33">
        <v>939.7</v>
      </c>
      <c r="G324" s="32">
        <v>1062.82</v>
      </c>
      <c r="H324" s="32">
        <v>2.64</v>
      </c>
      <c r="I324" s="34">
        <v>1</v>
      </c>
      <c r="J324" s="33">
        <v>0</v>
      </c>
      <c r="K324" s="34">
        <v>941</v>
      </c>
      <c r="L324" s="32">
        <v>313.68</v>
      </c>
      <c r="M324" s="32">
        <v>58.86</v>
      </c>
      <c r="N324" s="32">
        <v>64.67</v>
      </c>
      <c r="O324" s="32">
        <v>31.49</v>
      </c>
      <c r="P324" s="32">
        <v>3.44</v>
      </c>
      <c r="Q324" s="34">
        <v>333385</v>
      </c>
      <c r="R324" s="34">
        <v>4053</v>
      </c>
      <c r="S324" s="34">
        <v>337438</v>
      </c>
      <c r="T324" s="34">
        <v>55387</v>
      </c>
      <c r="U324" s="34">
        <v>60854</v>
      </c>
      <c r="V324" s="34">
        <v>828</v>
      </c>
      <c r="W324" s="34">
        <v>33468</v>
      </c>
      <c r="X324" s="34">
        <v>3656</v>
      </c>
      <c r="Y324" s="34">
        <v>491631</v>
      </c>
      <c r="Z324" s="34">
        <v>61494</v>
      </c>
      <c r="AA324" s="34">
        <v>430137</v>
      </c>
      <c r="AB324" s="34">
        <v>241995</v>
      </c>
      <c r="AC324" s="34">
        <v>188142</v>
      </c>
    </row>
    <row r="325" spans="1:29" x14ac:dyDescent="0.25">
      <c r="A325" s="31" t="s">
        <v>310</v>
      </c>
      <c r="B325" s="31" t="s">
        <v>741</v>
      </c>
      <c r="C325" s="31" t="s">
        <v>338</v>
      </c>
      <c r="D325" s="31" t="s">
        <v>727</v>
      </c>
      <c r="E325" s="32">
        <v>68.87</v>
      </c>
      <c r="F325" s="33">
        <v>459</v>
      </c>
      <c r="G325" s="32">
        <v>527.87</v>
      </c>
      <c r="H325" s="32">
        <v>1.31</v>
      </c>
      <c r="I325" s="34">
        <v>0</v>
      </c>
      <c r="J325" s="33">
        <v>0</v>
      </c>
      <c r="K325" s="34">
        <v>459</v>
      </c>
      <c r="L325" s="32">
        <v>313.68</v>
      </c>
      <c r="M325" s="32">
        <v>58.86</v>
      </c>
      <c r="N325" s="32">
        <v>64.67</v>
      </c>
      <c r="O325" s="32">
        <v>31.49</v>
      </c>
      <c r="P325" s="32">
        <v>3.44</v>
      </c>
      <c r="Q325" s="34">
        <v>165582</v>
      </c>
      <c r="R325" s="34">
        <v>7856</v>
      </c>
      <c r="S325" s="34">
        <v>173438</v>
      </c>
      <c r="T325" s="34">
        <v>27017</v>
      </c>
      <c r="U325" s="34">
        <v>29684</v>
      </c>
      <c r="V325" s="34">
        <v>411</v>
      </c>
      <c r="W325" s="34">
        <v>17402</v>
      </c>
      <c r="X325" s="34">
        <v>1897</v>
      </c>
      <c r="Y325" s="34">
        <v>249849</v>
      </c>
      <c r="Z325" s="34">
        <v>26545</v>
      </c>
      <c r="AA325" s="34">
        <v>223304</v>
      </c>
      <c r="AB325" s="34">
        <v>125049</v>
      </c>
      <c r="AC325" s="34">
        <v>98255</v>
      </c>
    </row>
    <row r="326" spans="1:29" x14ac:dyDescent="0.25">
      <c r="A326" s="31" t="s">
        <v>310</v>
      </c>
      <c r="B326" s="31" t="s">
        <v>741</v>
      </c>
      <c r="C326" s="31" t="s">
        <v>339</v>
      </c>
      <c r="D326" s="31" t="s">
        <v>728</v>
      </c>
      <c r="E326" s="32">
        <v>76.87</v>
      </c>
      <c r="F326" s="33">
        <v>557.29999999999995</v>
      </c>
      <c r="G326" s="32">
        <v>634.16999999999996</v>
      </c>
      <c r="H326" s="32">
        <v>1.57</v>
      </c>
      <c r="I326" s="34">
        <v>0</v>
      </c>
      <c r="J326" s="33">
        <v>0</v>
      </c>
      <c r="K326" s="34">
        <v>557</v>
      </c>
      <c r="L326" s="32">
        <v>313.68</v>
      </c>
      <c r="M326" s="32">
        <v>58.86</v>
      </c>
      <c r="N326" s="32">
        <v>64.67</v>
      </c>
      <c r="O326" s="32">
        <v>31.49</v>
      </c>
      <c r="P326" s="32">
        <v>3.44</v>
      </c>
      <c r="Q326" s="34">
        <v>198926</v>
      </c>
      <c r="R326" s="34">
        <v>30080</v>
      </c>
      <c r="S326" s="34">
        <v>229006</v>
      </c>
      <c r="T326" s="34">
        <v>32785</v>
      </c>
      <c r="U326" s="34">
        <v>36021</v>
      </c>
      <c r="V326" s="34">
        <v>492</v>
      </c>
      <c r="W326" s="34">
        <v>20497</v>
      </c>
      <c r="X326" s="34">
        <v>2234</v>
      </c>
      <c r="Y326" s="34">
        <v>321035</v>
      </c>
      <c r="Z326" s="34">
        <v>34892</v>
      </c>
      <c r="AA326" s="34">
        <v>286143</v>
      </c>
      <c r="AB326" s="34">
        <v>146774</v>
      </c>
      <c r="AC326" s="34">
        <v>139369</v>
      </c>
    </row>
    <row r="327" spans="1:29" x14ac:dyDescent="0.25">
      <c r="A327" s="31" t="s">
        <v>310</v>
      </c>
      <c r="B327" s="31" t="s">
        <v>741</v>
      </c>
      <c r="C327" s="31" t="s">
        <v>340</v>
      </c>
      <c r="D327" s="31" t="s">
        <v>729</v>
      </c>
      <c r="E327" s="32">
        <v>64.98</v>
      </c>
      <c r="F327" s="33">
        <v>545.20000000000005</v>
      </c>
      <c r="G327" s="32">
        <v>610.17999999999995</v>
      </c>
      <c r="H327" s="32">
        <v>1.51</v>
      </c>
      <c r="I327" s="34">
        <v>0</v>
      </c>
      <c r="J327" s="33">
        <v>0</v>
      </c>
      <c r="K327" s="34">
        <v>545</v>
      </c>
      <c r="L327" s="32">
        <v>313.68</v>
      </c>
      <c r="M327" s="32">
        <v>58.86</v>
      </c>
      <c r="N327" s="32">
        <v>64.67</v>
      </c>
      <c r="O327" s="32">
        <v>31.49</v>
      </c>
      <c r="P327" s="32">
        <v>3.44</v>
      </c>
      <c r="Q327" s="34">
        <v>191401</v>
      </c>
      <c r="R327" s="34">
        <v>13083</v>
      </c>
      <c r="S327" s="34">
        <v>204484</v>
      </c>
      <c r="T327" s="34">
        <v>32079</v>
      </c>
      <c r="U327" s="34">
        <v>35245</v>
      </c>
      <c r="V327" s="34">
        <v>474</v>
      </c>
      <c r="W327" s="34">
        <v>20517</v>
      </c>
      <c r="X327" s="34">
        <v>2237</v>
      </c>
      <c r="Y327" s="34">
        <v>295036</v>
      </c>
      <c r="Z327" s="34">
        <v>35052</v>
      </c>
      <c r="AA327" s="34">
        <v>259984</v>
      </c>
      <c r="AB327" s="34">
        <v>140625</v>
      </c>
      <c r="AC327" s="34">
        <v>119359</v>
      </c>
    </row>
    <row r="328" spans="1:29" x14ac:dyDescent="0.25">
      <c r="A328" s="31" t="s">
        <v>310</v>
      </c>
      <c r="B328" s="31" t="s">
        <v>741</v>
      </c>
      <c r="C328" s="31" t="s">
        <v>341</v>
      </c>
      <c r="D328" s="31" t="s">
        <v>730</v>
      </c>
      <c r="E328" s="32">
        <v>61.49</v>
      </c>
      <c r="F328" s="33">
        <v>445</v>
      </c>
      <c r="G328" s="32">
        <v>506.49</v>
      </c>
      <c r="H328" s="32">
        <v>1.26</v>
      </c>
      <c r="I328" s="34">
        <v>7</v>
      </c>
      <c r="J328" s="33">
        <v>0</v>
      </c>
      <c r="K328" s="34">
        <v>452</v>
      </c>
      <c r="L328" s="32">
        <v>313.68</v>
      </c>
      <c r="M328" s="32">
        <v>58.86</v>
      </c>
      <c r="N328" s="32">
        <v>64.67</v>
      </c>
      <c r="O328" s="32">
        <v>31.49</v>
      </c>
      <c r="P328" s="32">
        <v>3.44</v>
      </c>
      <c r="Q328" s="34">
        <v>158876</v>
      </c>
      <c r="R328" s="34">
        <v>0</v>
      </c>
      <c r="S328" s="34">
        <v>158876</v>
      </c>
      <c r="T328" s="34">
        <v>26605</v>
      </c>
      <c r="U328" s="34">
        <v>29231</v>
      </c>
      <c r="V328" s="34">
        <v>395</v>
      </c>
      <c r="W328" s="34">
        <v>15949</v>
      </c>
      <c r="X328" s="34">
        <v>1742</v>
      </c>
      <c r="Y328" s="34">
        <v>232798</v>
      </c>
      <c r="Z328" s="34">
        <v>21967</v>
      </c>
      <c r="AA328" s="34">
        <v>210831</v>
      </c>
      <c r="AB328" s="34">
        <v>122662</v>
      </c>
      <c r="AC328" s="34">
        <v>88169</v>
      </c>
    </row>
    <row r="329" spans="1:29" x14ac:dyDescent="0.25">
      <c r="A329" s="31" t="s">
        <v>310</v>
      </c>
      <c r="B329" s="31" t="s">
        <v>741</v>
      </c>
      <c r="C329" s="31" t="s">
        <v>342</v>
      </c>
      <c r="D329" s="31" t="s">
        <v>731</v>
      </c>
      <c r="E329" s="32">
        <v>17.78</v>
      </c>
      <c r="F329" s="33">
        <v>314</v>
      </c>
      <c r="G329" s="32">
        <v>331.78</v>
      </c>
      <c r="H329" s="32">
        <v>0.82</v>
      </c>
      <c r="I329" s="34">
        <v>0</v>
      </c>
      <c r="J329" s="33">
        <v>0</v>
      </c>
      <c r="K329" s="34">
        <v>314</v>
      </c>
      <c r="L329" s="32">
        <v>313.68</v>
      </c>
      <c r="M329" s="32">
        <v>58.86</v>
      </c>
      <c r="N329" s="32">
        <v>64.67</v>
      </c>
      <c r="O329" s="32">
        <v>31.49</v>
      </c>
      <c r="P329" s="32">
        <v>3.44</v>
      </c>
      <c r="Q329" s="34">
        <v>104073</v>
      </c>
      <c r="R329" s="34">
        <v>11655</v>
      </c>
      <c r="S329" s="34">
        <v>115728</v>
      </c>
      <c r="T329" s="34">
        <v>18482</v>
      </c>
      <c r="U329" s="34">
        <v>20306</v>
      </c>
      <c r="V329" s="34">
        <v>257</v>
      </c>
      <c r="W329" s="34">
        <v>10448</v>
      </c>
      <c r="X329" s="34">
        <v>1141</v>
      </c>
      <c r="Y329" s="34">
        <v>166362</v>
      </c>
      <c r="Z329" s="34">
        <v>18261</v>
      </c>
      <c r="AA329" s="34">
        <v>148101</v>
      </c>
      <c r="AB329" s="34">
        <v>76478</v>
      </c>
      <c r="AC329" s="34">
        <v>71623</v>
      </c>
    </row>
  </sheetData>
  <sheetProtection sheet="1" objects="1" scenarios="1"/>
  <pageMargins left="0.7" right="0.7" top="0.75" bottom="0.75" header="0.3" footer="0.3"/>
  <pageSetup paperSize="5" scale="38"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338"/>
  <sheetViews>
    <sheetView workbookViewId="0">
      <selection activeCell="B11" sqref="B11"/>
    </sheetView>
  </sheetViews>
  <sheetFormatPr defaultRowHeight="12.75" x14ac:dyDescent="0.2"/>
  <cols>
    <col min="1" max="1" width="8.42578125" style="20" bestFit="1" customWidth="1"/>
    <col min="2" max="2" width="31.140625" style="20" bestFit="1" customWidth="1"/>
    <col min="3" max="3" width="11.28515625" style="20" customWidth="1"/>
    <col min="4" max="4" width="9.7109375" style="20" bestFit="1" customWidth="1"/>
    <col min="5" max="5" width="9.85546875" style="20" bestFit="1" customWidth="1"/>
    <col min="6" max="6" width="13.140625" style="20" bestFit="1" customWidth="1"/>
    <col min="7" max="7" width="9.42578125" style="20" bestFit="1" customWidth="1"/>
    <col min="8" max="8" width="10.85546875" style="20" customWidth="1"/>
    <col min="9" max="9" width="11.42578125" style="20" bestFit="1" customWidth="1"/>
    <col min="10" max="10" width="10.85546875" style="20" bestFit="1" customWidth="1"/>
    <col min="11" max="11" width="10.28515625" style="20" bestFit="1" customWidth="1"/>
    <col min="12" max="12" width="10.85546875" style="20" bestFit="1" customWidth="1"/>
    <col min="13" max="14" width="9.85546875" style="20" bestFit="1" customWidth="1"/>
    <col min="15" max="15" width="7.42578125" style="20" bestFit="1" customWidth="1"/>
    <col min="16" max="16" width="10.5703125" style="20" bestFit="1" customWidth="1"/>
    <col min="17" max="17" width="11.7109375" style="20" bestFit="1" customWidth="1"/>
    <col min="18" max="18" width="10.85546875" style="20" bestFit="1" customWidth="1"/>
    <col min="19" max="19" width="9.85546875" style="20" bestFit="1" customWidth="1"/>
    <col min="20" max="21" width="10.85546875" style="20" bestFit="1" customWidth="1"/>
    <col min="22" max="22" width="11" style="20" bestFit="1" customWidth="1"/>
    <col min="23" max="333" width="16.28515625" style="20" bestFit="1" customWidth="1"/>
    <col min="334" max="334" width="11.28515625" style="20" bestFit="1" customWidth="1"/>
    <col min="335" max="16384" width="9.140625" style="20"/>
  </cols>
  <sheetData>
    <row r="1" spans="1:22" ht="15.75" customHeight="1" x14ac:dyDescent="0.2">
      <c r="B1" s="35" t="str">
        <f>CONCATENATE(INDEX(Detail[],MATCH(A5,Detail[Dist],0),2)," Detail by School District")</f>
        <v>Central Rivers Detail by School District</v>
      </c>
    </row>
    <row r="2" spans="1:22" ht="15.75" customHeight="1" x14ac:dyDescent="0.2">
      <c r="B2" s="35"/>
    </row>
    <row r="3" spans="1:22" ht="16.5" customHeight="1" x14ac:dyDescent="0.2">
      <c r="B3" s="35"/>
    </row>
    <row r="4" spans="1:22" s="21" customFormat="1" ht="63.75" x14ac:dyDescent="0.2">
      <c r="A4" s="22" t="s">
        <v>732</v>
      </c>
      <c r="B4" s="22" t="s">
        <v>367</v>
      </c>
      <c r="C4" s="23" t="s">
        <v>392</v>
      </c>
      <c r="D4" s="23" t="s">
        <v>393</v>
      </c>
      <c r="E4" s="23" t="s">
        <v>394</v>
      </c>
      <c r="F4" s="23" t="s">
        <v>395</v>
      </c>
      <c r="G4" s="23" t="s">
        <v>396</v>
      </c>
      <c r="H4" s="23" t="s">
        <v>397</v>
      </c>
      <c r="I4" s="23" t="s">
        <v>399</v>
      </c>
      <c r="J4" s="23" t="s">
        <v>400</v>
      </c>
      <c r="K4" s="23" t="s">
        <v>401</v>
      </c>
      <c r="L4" s="23" t="s">
        <v>402</v>
      </c>
      <c r="M4" s="23" t="s">
        <v>403</v>
      </c>
      <c r="N4" s="23" t="s">
        <v>404</v>
      </c>
      <c r="O4" s="23" t="s">
        <v>405</v>
      </c>
      <c r="P4" s="23" t="s">
        <v>406</v>
      </c>
      <c r="Q4" s="23" t="s">
        <v>407</v>
      </c>
      <c r="R4" s="23" t="s">
        <v>408</v>
      </c>
      <c r="S4" s="23" t="s">
        <v>409</v>
      </c>
      <c r="T4" s="23" t="s">
        <v>410</v>
      </c>
      <c r="U4" s="23" t="s">
        <v>411</v>
      </c>
      <c r="V4" s="23" t="s">
        <v>412</v>
      </c>
    </row>
    <row r="5" spans="1:22" x14ac:dyDescent="0.2">
      <c r="A5" s="20" t="s">
        <v>63</v>
      </c>
      <c r="B5" s="20" t="s">
        <v>64</v>
      </c>
      <c r="C5" s="25">
        <v>95.38</v>
      </c>
      <c r="D5" s="27">
        <v>676.2</v>
      </c>
      <c r="E5" s="25">
        <v>771.58</v>
      </c>
      <c r="F5" s="25">
        <v>1.03</v>
      </c>
      <c r="G5" s="29">
        <v>17</v>
      </c>
      <c r="H5" s="27">
        <v>0</v>
      </c>
      <c r="I5" s="29">
        <v>693</v>
      </c>
      <c r="J5" s="29">
        <v>246628</v>
      </c>
      <c r="K5" s="29">
        <v>0</v>
      </c>
      <c r="L5" s="29">
        <v>246628</v>
      </c>
      <c r="M5" s="29">
        <v>41019</v>
      </c>
      <c r="N5" s="29">
        <v>45752</v>
      </c>
      <c r="O5" s="29">
        <v>329</v>
      </c>
      <c r="P5" s="29">
        <v>30778</v>
      </c>
      <c r="Q5" s="29">
        <v>3542</v>
      </c>
      <c r="R5" s="29">
        <v>368048</v>
      </c>
      <c r="S5" s="29">
        <v>41289</v>
      </c>
      <c r="T5" s="29">
        <v>326759</v>
      </c>
      <c r="U5" s="29">
        <v>186184</v>
      </c>
      <c r="V5" s="29">
        <v>140575</v>
      </c>
    </row>
    <row r="6" spans="1:22" x14ac:dyDescent="0.2">
      <c r="A6" s="20" t="s">
        <v>177</v>
      </c>
      <c r="B6" s="20" t="s">
        <v>573</v>
      </c>
      <c r="C6" s="25">
        <v>36.82</v>
      </c>
      <c r="D6" s="27">
        <v>295.2</v>
      </c>
      <c r="E6" s="25">
        <v>332.02</v>
      </c>
      <c r="F6" s="25">
        <v>0</v>
      </c>
      <c r="G6" s="29">
        <v>0</v>
      </c>
      <c r="H6" s="27">
        <v>0</v>
      </c>
      <c r="I6" s="29">
        <v>295</v>
      </c>
      <c r="J6" s="29">
        <v>102348</v>
      </c>
      <c r="K6" s="29">
        <v>3975</v>
      </c>
      <c r="L6" s="29">
        <v>106323</v>
      </c>
      <c r="M6" s="29">
        <v>17334</v>
      </c>
      <c r="N6" s="29">
        <v>19033</v>
      </c>
      <c r="O6" s="29">
        <v>0</v>
      </c>
      <c r="P6" s="29">
        <v>8613</v>
      </c>
      <c r="Q6" s="29">
        <v>1086</v>
      </c>
      <c r="R6" s="29">
        <v>152389</v>
      </c>
      <c r="S6" s="29">
        <v>16927</v>
      </c>
      <c r="T6" s="29">
        <v>135462</v>
      </c>
      <c r="U6" s="29">
        <v>75777</v>
      </c>
      <c r="V6" s="29">
        <v>59685</v>
      </c>
    </row>
    <row r="7" spans="1:22" x14ac:dyDescent="0.2">
      <c r="A7" s="20" t="s">
        <v>178</v>
      </c>
      <c r="B7" s="20" t="s">
        <v>574</v>
      </c>
      <c r="C7" s="25">
        <v>196.52</v>
      </c>
      <c r="D7" s="27">
        <v>2004.3</v>
      </c>
      <c r="E7" s="25">
        <v>2200.8200000000002</v>
      </c>
      <c r="F7" s="25">
        <v>0</v>
      </c>
      <c r="G7" s="29">
        <v>30</v>
      </c>
      <c r="H7" s="27">
        <v>0</v>
      </c>
      <c r="I7" s="29">
        <v>2034</v>
      </c>
      <c r="J7" s="29">
        <v>678425</v>
      </c>
      <c r="K7" s="29">
        <v>0</v>
      </c>
      <c r="L7" s="29">
        <v>678425</v>
      </c>
      <c r="M7" s="29">
        <v>119518</v>
      </c>
      <c r="N7" s="29">
        <v>131234</v>
      </c>
      <c r="O7" s="29">
        <v>0</v>
      </c>
      <c r="P7" s="29">
        <v>57089</v>
      </c>
      <c r="Q7" s="29">
        <v>7197</v>
      </c>
      <c r="R7" s="29">
        <v>993463</v>
      </c>
      <c r="S7" s="29">
        <v>62785</v>
      </c>
      <c r="T7" s="29">
        <v>930678</v>
      </c>
      <c r="U7" s="29">
        <v>551706</v>
      </c>
      <c r="V7" s="29">
        <v>378972</v>
      </c>
    </row>
    <row r="8" spans="1:22" x14ac:dyDescent="0.2">
      <c r="A8" s="20" t="s">
        <v>232</v>
      </c>
      <c r="B8" s="20" t="s">
        <v>625</v>
      </c>
      <c r="C8" s="25">
        <v>72.77</v>
      </c>
      <c r="D8" s="27">
        <v>539.5</v>
      </c>
      <c r="E8" s="25">
        <v>612.27</v>
      </c>
      <c r="F8" s="25">
        <v>1.25</v>
      </c>
      <c r="G8" s="29">
        <v>10</v>
      </c>
      <c r="H8" s="27">
        <v>0</v>
      </c>
      <c r="I8" s="29">
        <v>550</v>
      </c>
      <c r="J8" s="29">
        <v>197702</v>
      </c>
      <c r="K8" s="29">
        <v>9701</v>
      </c>
      <c r="L8" s="29">
        <v>207403</v>
      </c>
      <c r="M8" s="29">
        <v>32544</v>
      </c>
      <c r="N8" s="29">
        <v>36465</v>
      </c>
      <c r="O8" s="29">
        <v>404</v>
      </c>
      <c r="P8" s="29">
        <v>20866</v>
      </c>
      <c r="Q8" s="29">
        <v>2492</v>
      </c>
      <c r="R8" s="29">
        <v>300174</v>
      </c>
      <c r="S8" s="29">
        <v>26925</v>
      </c>
      <c r="T8" s="29">
        <v>273249</v>
      </c>
      <c r="U8" s="29">
        <v>149813</v>
      </c>
      <c r="V8" s="29">
        <v>123436</v>
      </c>
    </row>
    <row r="9" spans="1:22" x14ac:dyDescent="0.2">
      <c r="A9" s="20" t="s">
        <v>23</v>
      </c>
      <c r="B9" s="20" t="s">
        <v>434</v>
      </c>
      <c r="C9" s="25">
        <v>30.1</v>
      </c>
      <c r="D9" s="27">
        <v>215.7</v>
      </c>
      <c r="E9" s="25">
        <v>245.8</v>
      </c>
      <c r="F9" s="25">
        <v>0</v>
      </c>
      <c r="G9" s="29">
        <v>1</v>
      </c>
      <c r="H9" s="27">
        <v>0</v>
      </c>
      <c r="I9" s="29">
        <v>217</v>
      </c>
      <c r="J9" s="29">
        <v>80197</v>
      </c>
      <c r="K9" s="29">
        <v>656</v>
      </c>
      <c r="L9" s="29">
        <v>80853</v>
      </c>
      <c r="M9" s="29">
        <v>12855</v>
      </c>
      <c r="N9" s="29">
        <v>14409</v>
      </c>
      <c r="O9" s="29">
        <v>0</v>
      </c>
      <c r="P9" s="29">
        <v>8586</v>
      </c>
      <c r="Q9" s="29">
        <v>1022</v>
      </c>
      <c r="R9" s="29">
        <v>117725</v>
      </c>
      <c r="S9" s="29">
        <v>14109</v>
      </c>
      <c r="T9" s="29">
        <v>103616</v>
      </c>
      <c r="U9" s="29">
        <v>56949</v>
      </c>
      <c r="V9" s="29">
        <v>46667</v>
      </c>
    </row>
    <row r="10" spans="1:22" x14ac:dyDescent="0.2">
      <c r="A10" s="20" t="s">
        <v>311</v>
      </c>
      <c r="B10" s="20" t="s">
        <v>701</v>
      </c>
      <c r="C10" s="25">
        <v>121.11</v>
      </c>
      <c r="D10" s="27">
        <v>1149.9000000000001</v>
      </c>
      <c r="E10" s="25">
        <v>1271.01</v>
      </c>
      <c r="F10" s="25">
        <v>3.15</v>
      </c>
      <c r="G10" s="29">
        <v>1</v>
      </c>
      <c r="H10" s="27">
        <v>0</v>
      </c>
      <c r="I10" s="29">
        <v>1151</v>
      </c>
      <c r="J10" s="29">
        <v>398690</v>
      </c>
      <c r="K10" s="29">
        <v>0</v>
      </c>
      <c r="L10" s="29">
        <v>398690</v>
      </c>
      <c r="M10" s="29">
        <v>67748</v>
      </c>
      <c r="N10" s="29">
        <v>74435</v>
      </c>
      <c r="O10" s="29">
        <v>988</v>
      </c>
      <c r="P10" s="29">
        <v>40024</v>
      </c>
      <c r="Q10" s="29">
        <v>4372</v>
      </c>
      <c r="R10" s="29">
        <v>586257</v>
      </c>
      <c r="S10" s="29">
        <v>57955</v>
      </c>
      <c r="T10" s="29">
        <v>528302</v>
      </c>
      <c r="U10" s="29">
        <v>304981</v>
      </c>
      <c r="V10" s="29">
        <v>223321</v>
      </c>
    </row>
    <row r="11" spans="1:22" x14ac:dyDescent="0.2">
      <c r="A11" s="20" t="s">
        <v>143</v>
      </c>
      <c r="B11" s="20" t="s">
        <v>542</v>
      </c>
      <c r="C11" s="25">
        <v>37.770000000000003</v>
      </c>
      <c r="D11" s="27">
        <v>516.1</v>
      </c>
      <c r="E11" s="25">
        <v>553.87</v>
      </c>
      <c r="F11" s="25">
        <v>0</v>
      </c>
      <c r="G11" s="29">
        <v>22</v>
      </c>
      <c r="H11" s="27">
        <v>0</v>
      </c>
      <c r="I11" s="29">
        <v>538</v>
      </c>
      <c r="J11" s="29">
        <v>174668</v>
      </c>
      <c r="K11" s="29">
        <v>0</v>
      </c>
      <c r="L11" s="29">
        <v>174668</v>
      </c>
      <c r="M11" s="29">
        <v>31677</v>
      </c>
      <c r="N11" s="29">
        <v>34809</v>
      </c>
      <c r="O11" s="29">
        <v>0</v>
      </c>
      <c r="P11" s="29">
        <v>16455</v>
      </c>
      <c r="Q11" s="29">
        <v>1916</v>
      </c>
      <c r="R11" s="29">
        <v>259525</v>
      </c>
      <c r="S11" s="29">
        <v>28260</v>
      </c>
      <c r="T11" s="29">
        <v>231265</v>
      </c>
      <c r="U11" s="29">
        <v>128579</v>
      </c>
      <c r="V11" s="29">
        <v>102686</v>
      </c>
    </row>
    <row r="12" spans="1:22" x14ac:dyDescent="0.2">
      <c r="A12" s="20" t="s">
        <v>65</v>
      </c>
      <c r="B12" s="20" t="s">
        <v>472</v>
      </c>
      <c r="C12" s="25">
        <v>25.84</v>
      </c>
      <c r="D12" s="27">
        <v>253.3</v>
      </c>
      <c r="E12" s="25">
        <v>279.14</v>
      </c>
      <c r="F12" s="25">
        <v>0.37</v>
      </c>
      <c r="G12" s="29">
        <v>0</v>
      </c>
      <c r="H12" s="27">
        <v>0</v>
      </c>
      <c r="I12" s="29">
        <v>253</v>
      </c>
      <c r="J12" s="29">
        <v>89224</v>
      </c>
      <c r="K12" s="29">
        <v>2253</v>
      </c>
      <c r="L12" s="29">
        <v>91477</v>
      </c>
      <c r="M12" s="29">
        <v>14975</v>
      </c>
      <c r="N12" s="29">
        <v>16703</v>
      </c>
      <c r="O12" s="29">
        <v>118</v>
      </c>
      <c r="P12" s="29">
        <v>11356</v>
      </c>
      <c r="Q12" s="29">
        <v>1306</v>
      </c>
      <c r="R12" s="29">
        <v>135935</v>
      </c>
      <c r="S12" s="29">
        <v>14957</v>
      </c>
      <c r="T12" s="29">
        <v>120978</v>
      </c>
      <c r="U12" s="29">
        <v>67583</v>
      </c>
      <c r="V12" s="29">
        <v>53395</v>
      </c>
    </row>
    <row r="13" spans="1:22" x14ac:dyDescent="0.2">
      <c r="A13" s="20" t="s">
        <v>24</v>
      </c>
      <c r="B13" s="20" t="s">
        <v>435</v>
      </c>
      <c r="C13" s="25">
        <v>186.63</v>
      </c>
      <c r="D13" s="27">
        <v>1282.4000000000001</v>
      </c>
      <c r="E13" s="25">
        <v>1469.03</v>
      </c>
      <c r="F13" s="25">
        <v>0</v>
      </c>
      <c r="G13" s="29">
        <v>298</v>
      </c>
      <c r="H13" s="27">
        <v>8.8000000000000007</v>
      </c>
      <c r="I13" s="29">
        <v>1572</v>
      </c>
      <c r="J13" s="29">
        <v>479300</v>
      </c>
      <c r="K13" s="29">
        <v>0</v>
      </c>
      <c r="L13" s="29">
        <v>479300</v>
      </c>
      <c r="M13" s="29">
        <v>93125</v>
      </c>
      <c r="N13" s="29">
        <v>104381</v>
      </c>
      <c r="O13" s="29">
        <v>0</v>
      </c>
      <c r="P13" s="29">
        <v>50858</v>
      </c>
      <c r="Q13" s="29">
        <v>6052</v>
      </c>
      <c r="R13" s="29">
        <v>733716</v>
      </c>
      <c r="S13" s="29">
        <v>83780</v>
      </c>
      <c r="T13" s="29">
        <v>649936</v>
      </c>
      <c r="U13" s="29">
        <v>340388</v>
      </c>
      <c r="V13" s="29">
        <v>309548</v>
      </c>
    </row>
    <row r="14" spans="1:22" x14ac:dyDescent="0.2">
      <c r="A14" s="20" t="s">
        <v>1</v>
      </c>
      <c r="B14" s="20" t="s">
        <v>413</v>
      </c>
      <c r="C14" s="25">
        <v>134.33000000000001</v>
      </c>
      <c r="D14" s="27">
        <v>1070.9000000000001</v>
      </c>
      <c r="E14" s="25">
        <v>1205.23</v>
      </c>
      <c r="F14" s="25">
        <v>3.38</v>
      </c>
      <c r="G14" s="29">
        <v>158</v>
      </c>
      <c r="H14" s="27">
        <v>1.2</v>
      </c>
      <c r="I14" s="29">
        <v>1228</v>
      </c>
      <c r="J14" s="29">
        <v>398353</v>
      </c>
      <c r="K14" s="29">
        <v>1761</v>
      </c>
      <c r="L14" s="29">
        <v>400114</v>
      </c>
      <c r="M14" s="29">
        <v>72648</v>
      </c>
      <c r="N14" s="29">
        <v>80962</v>
      </c>
      <c r="O14" s="29">
        <v>1117</v>
      </c>
      <c r="P14" s="29">
        <v>39502</v>
      </c>
      <c r="Q14" s="29">
        <v>4260</v>
      </c>
      <c r="R14" s="29">
        <v>598603</v>
      </c>
      <c r="S14" s="29">
        <v>73532</v>
      </c>
      <c r="T14" s="29">
        <v>525071</v>
      </c>
      <c r="U14" s="29">
        <v>272383</v>
      </c>
      <c r="V14" s="29">
        <v>252688</v>
      </c>
    </row>
    <row r="15" spans="1:22" x14ac:dyDescent="0.2">
      <c r="A15" s="20" t="s">
        <v>103</v>
      </c>
      <c r="B15" s="20" t="s">
        <v>504</v>
      </c>
      <c r="C15" s="25">
        <v>68.900000000000006</v>
      </c>
      <c r="D15" s="27">
        <v>561.4</v>
      </c>
      <c r="E15" s="25">
        <v>630.29999999999995</v>
      </c>
      <c r="F15" s="25">
        <v>0.84</v>
      </c>
      <c r="G15" s="29">
        <v>1</v>
      </c>
      <c r="H15" s="27">
        <v>0</v>
      </c>
      <c r="I15" s="29">
        <v>562</v>
      </c>
      <c r="J15" s="29">
        <v>201469</v>
      </c>
      <c r="K15" s="29">
        <v>6407</v>
      </c>
      <c r="L15" s="29">
        <v>207876</v>
      </c>
      <c r="M15" s="29">
        <v>33265</v>
      </c>
      <c r="N15" s="29">
        <v>37103</v>
      </c>
      <c r="O15" s="29">
        <v>268</v>
      </c>
      <c r="P15" s="29">
        <v>25143</v>
      </c>
      <c r="Q15" s="29">
        <v>2893</v>
      </c>
      <c r="R15" s="29">
        <v>306548</v>
      </c>
      <c r="S15" s="29">
        <v>32769</v>
      </c>
      <c r="T15" s="29">
        <v>273779</v>
      </c>
      <c r="U15" s="29">
        <v>153052</v>
      </c>
      <c r="V15" s="29">
        <v>120727</v>
      </c>
    </row>
    <row r="16" spans="1:22" x14ac:dyDescent="0.2">
      <c r="A16" s="20" t="s">
        <v>25</v>
      </c>
      <c r="B16" s="20" t="s">
        <v>436</v>
      </c>
      <c r="C16" s="25">
        <v>78</v>
      </c>
      <c r="D16" s="27">
        <v>826</v>
      </c>
      <c r="E16" s="25">
        <v>904</v>
      </c>
      <c r="F16" s="25">
        <v>0</v>
      </c>
      <c r="G16" s="29">
        <v>12</v>
      </c>
      <c r="H16" s="27">
        <v>0</v>
      </c>
      <c r="I16" s="29">
        <v>838</v>
      </c>
      <c r="J16" s="29">
        <v>294948</v>
      </c>
      <c r="K16" s="29">
        <v>0</v>
      </c>
      <c r="L16" s="29">
        <v>294948</v>
      </c>
      <c r="M16" s="29">
        <v>49643</v>
      </c>
      <c r="N16" s="29">
        <v>55643</v>
      </c>
      <c r="O16" s="29">
        <v>0</v>
      </c>
      <c r="P16" s="29">
        <v>31296</v>
      </c>
      <c r="Q16" s="29">
        <v>3724</v>
      </c>
      <c r="R16" s="29">
        <v>435254</v>
      </c>
      <c r="S16" s="29">
        <v>44685</v>
      </c>
      <c r="T16" s="29">
        <v>390569</v>
      </c>
      <c r="U16" s="29">
        <v>216335</v>
      </c>
      <c r="V16" s="29">
        <v>174234</v>
      </c>
    </row>
    <row r="17" spans="1:22" x14ac:dyDescent="0.2">
      <c r="A17" s="20" t="s">
        <v>179</v>
      </c>
      <c r="B17" s="20" t="s">
        <v>575</v>
      </c>
      <c r="C17" s="25">
        <v>520.57000000000005</v>
      </c>
      <c r="D17" s="27">
        <v>4351.1000000000004</v>
      </c>
      <c r="E17" s="25">
        <v>4871.67</v>
      </c>
      <c r="F17" s="25">
        <v>0</v>
      </c>
      <c r="G17" s="29">
        <v>147</v>
      </c>
      <c r="H17" s="27">
        <v>0</v>
      </c>
      <c r="I17" s="29">
        <v>4498</v>
      </c>
      <c r="J17" s="29">
        <v>1501741</v>
      </c>
      <c r="K17" s="29">
        <v>5424</v>
      </c>
      <c r="L17" s="29">
        <v>1507165</v>
      </c>
      <c r="M17" s="29">
        <v>264302</v>
      </c>
      <c r="N17" s="29">
        <v>290211</v>
      </c>
      <c r="O17" s="29">
        <v>0</v>
      </c>
      <c r="P17" s="29">
        <v>126371</v>
      </c>
      <c r="Q17" s="29">
        <v>15931</v>
      </c>
      <c r="R17" s="29">
        <v>2203980</v>
      </c>
      <c r="S17" s="29">
        <v>203105</v>
      </c>
      <c r="T17" s="29">
        <v>2000875</v>
      </c>
      <c r="U17" s="29">
        <v>1157115</v>
      </c>
      <c r="V17" s="29">
        <v>843760</v>
      </c>
    </row>
    <row r="18" spans="1:22" x14ac:dyDescent="0.2">
      <c r="A18" s="20" t="s">
        <v>144</v>
      </c>
      <c r="B18" s="20" t="s">
        <v>543</v>
      </c>
      <c r="C18" s="25">
        <v>143.05000000000001</v>
      </c>
      <c r="D18" s="27">
        <v>1285.4000000000001</v>
      </c>
      <c r="E18" s="25">
        <v>1428.45</v>
      </c>
      <c r="F18" s="25">
        <v>0</v>
      </c>
      <c r="G18" s="29">
        <v>44</v>
      </c>
      <c r="H18" s="27">
        <v>0</v>
      </c>
      <c r="I18" s="29">
        <v>1329</v>
      </c>
      <c r="J18" s="29">
        <v>450476</v>
      </c>
      <c r="K18" s="29">
        <v>0</v>
      </c>
      <c r="L18" s="29">
        <v>450476</v>
      </c>
      <c r="M18" s="29">
        <v>78252</v>
      </c>
      <c r="N18" s="29">
        <v>85986</v>
      </c>
      <c r="O18" s="29">
        <v>0</v>
      </c>
      <c r="P18" s="29">
        <v>42439</v>
      </c>
      <c r="Q18" s="29">
        <v>4942</v>
      </c>
      <c r="R18" s="29">
        <v>662095</v>
      </c>
      <c r="S18" s="29">
        <v>60223</v>
      </c>
      <c r="T18" s="29">
        <v>601872</v>
      </c>
      <c r="U18" s="29">
        <v>344271</v>
      </c>
      <c r="V18" s="29">
        <v>257601</v>
      </c>
    </row>
    <row r="19" spans="1:22" x14ac:dyDescent="0.2">
      <c r="A19" s="20" t="s">
        <v>121</v>
      </c>
      <c r="B19" s="20" t="s">
        <v>521</v>
      </c>
      <c r="C19" s="25">
        <v>27.87</v>
      </c>
      <c r="D19" s="27">
        <v>216.9</v>
      </c>
      <c r="E19" s="25">
        <v>244.77</v>
      </c>
      <c r="F19" s="25">
        <v>0.44</v>
      </c>
      <c r="G19" s="29">
        <v>17</v>
      </c>
      <c r="H19" s="27">
        <v>0</v>
      </c>
      <c r="I19" s="29">
        <v>234</v>
      </c>
      <c r="J19" s="29">
        <v>77661</v>
      </c>
      <c r="K19" s="29">
        <v>15670</v>
      </c>
      <c r="L19" s="29">
        <v>93331</v>
      </c>
      <c r="M19" s="29">
        <v>13736</v>
      </c>
      <c r="N19" s="29">
        <v>14999</v>
      </c>
      <c r="O19" s="29">
        <v>140</v>
      </c>
      <c r="P19" s="29">
        <v>7570</v>
      </c>
      <c r="Q19" s="29">
        <v>889</v>
      </c>
      <c r="R19" s="29">
        <v>130665</v>
      </c>
      <c r="S19" s="29">
        <v>16393</v>
      </c>
      <c r="T19" s="29">
        <v>114272</v>
      </c>
      <c r="U19" s="29">
        <v>53369</v>
      </c>
      <c r="V19" s="29">
        <v>60903</v>
      </c>
    </row>
    <row r="20" spans="1:22" x14ac:dyDescent="0.2">
      <c r="A20" s="20" t="s">
        <v>180</v>
      </c>
      <c r="B20" s="20" t="s">
        <v>576</v>
      </c>
      <c r="C20" s="25">
        <v>1270.72</v>
      </c>
      <c r="D20" s="27">
        <v>12147.4</v>
      </c>
      <c r="E20" s="25">
        <v>13418.12</v>
      </c>
      <c r="F20" s="25">
        <v>0</v>
      </c>
      <c r="G20" s="29">
        <v>695</v>
      </c>
      <c r="H20" s="27">
        <v>1.3</v>
      </c>
      <c r="I20" s="29">
        <v>12841</v>
      </c>
      <c r="J20" s="29">
        <v>4136270</v>
      </c>
      <c r="K20" s="29">
        <v>0</v>
      </c>
      <c r="L20" s="29">
        <v>4136270</v>
      </c>
      <c r="M20" s="29">
        <v>754537</v>
      </c>
      <c r="N20" s="29">
        <v>828501</v>
      </c>
      <c r="O20" s="29">
        <v>0</v>
      </c>
      <c r="P20" s="29">
        <v>348066</v>
      </c>
      <c r="Q20" s="29">
        <v>43877</v>
      </c>
      <c r="R20" s="29">
        <v>6111251</v>
      </c>
      <c r="S20" s="29">
        <v>253394</v>
      </c>
      <c r="T20" s="29">
        <v>5857857</v>
      </c>
      <c r="U20" s="29">
        <v>3493079</v>
      </c>
      <c r="V20" s="29">
        <v>2364778</v>
      </c>
    </row>
    <row r="21" spans="1:22" x14ac:dyDescent="0.2">
      <c r="A21" s="20" t="s">
        <v>66</v>
      </c>
      <c r="B21" s="20" t="s">
        <v>473</v>
      </c>
      <c r="C21" s="25">
        <v>109.54</v>
      </c>
      <c r="D21" s="27">
        <v>795.2</v>
      </c>
      <c r="E21" s="25">
        <v>904.74</v>
      </c>
      <c r="F21" s="25">
        <v>1.2</v>
      </c>
      <c r="G21" s="29">
        <v>30</v>
      </c>
      <c r="H21" s="27">
        <v>0</v>
      </c>
      <c r="I21" s="29">
        <v>825</v>
      </c>
      <c r="J21" s="29">
        <v>289191</v>
      </c>
      <c r="K21" s="29">
        <v>0</v>
      </c>
      <c r="L21" s="29">
        <v>289191</v>
      </c>
      <c r="M21" s="29">
        <v>48832</v>
      </c>
      <c r="N21" s="29">
        <v>54467</v>
      </c>
      <c r="O21" s="29">
        <v>384</v>
      </c>
      <c r="P21" s="29">
        <v>36090</v>
      </c>
      <c r="Q21" s="29">
        <v>4153</v>
      </c>
      <c r="R21" s="29">
        <v>433117</v>
      </c>
      <c r="S21" s="29">
        <v>39100</v>
      </c>
      <c r="T21" s="29">
        <v>394017</v>
      </c>
      <c r="U21" s="29">
        <v>227628</v>
      </c>
      <c r="V21" s="29">
        <v>166389</v>
      </c>
    </row>
    <row r="22" spans="1:22" x14ac:dyDescent="0.2">
      <c r="A22" s="20" t="s">
        <v>43</v>
      </c>
      <c r="B22" s="20" t="s">
        <v>454</v>
      </c>
      <c r="C22" s="25">
        <v>65.790000000000006</v>
      </c>
      <c r="D22" s="27">
        <v>401</v>
      </c>
      <c r="E22" s="25">
        <v>466.79</v>
      </c>
      <c r="F22" s="25">
        <v>0</v>
      </c>
      <c r="G22" s="29">
        <v>13</v>
      </c>
      <c r="H22" s="27">
        <v>0</v>
      </c>
      <c r="I22" s="29">
        <v>414</v>
      </c>
      <c r="J22" s="29">
        <v>152300</v>
      </c>
      <c r="K22" s="29">
        <v>17935</v>
      </c>
      <c r="L22" s="29">
        <v>170235</v>
      </c>
      <c r="M22" s="29">
        <v>24525</v>
      </c>
      <c r="N22" s="29">
        <v>27490</v>
      </c>
      <c r="O22" s="29">
        <v>0</v>
      </c>
      <c r="P22" s="29">
        <v>16160</v>
      </c>
      <c r="Q22" s="29">
        <v>1923</v>
      </c>
      <c r="R22" s="29">
        <v>240333</v>
      </c>
      <c r="S22" s="29">
        <v>31389</v>
      </c>
      <c r="T22" s="29">
        <v>208944</v>
      </c>
      <c r="U22" s="29">
        <v>103392</v>
      </c>
      <c r="V22" s="29">
        <v>105552</v>
      </c>
    </row>
    <row r="23" spans="1:22" x14ac:dyDescent="0.2">
      <c r="A23" s="20" t="s">
        <v>233</v>
      </c>
      <c r="B23" s="20" t="s">
        <v>626</v>
      </c>
      <c r="C23" s="25">
        <v>38.630000000000003</v>
      </c>
      <c r="D23" s="27">
        <v>278</v>
      </c>
      <c r="E23" s="25">
        <v>316.63</v>
      </c>
      <c r="F23" s="25">
        <v>0.65</v>
      </c>
      <c r="G23" s="29">
        <v>65</v>
      </c>
      <c r="H23" s="27">
        <v>0</v>
      </c>
      <c r="I23" s="29">
        <v>343</v>
      </c>
      <c r="J23" s="29">
        <v>102240</v>
      </c>
      <c r="K23" s="29">
        <v>3087</v>
      </c>
      <c r="L23" s="29">
        <v>105327</v>
      </c>
      <c r="M23" s="29">
        <v>20295</v>
      </c>
      <c r="N23" s="29">
        <v>22741</v>
      </c>
      <c r="O23" s="29">
        <v>210</v>
      </c>
      <c r="P23" s="29">
        <v>10290</v>
      </c>
      <c r="Q23" s="29">
        <v>1229</v>
      </c>
      <c r="R23" s="29">
        <v>160092</v>
      </c>
      <c r="S23" s="29">
        <v>20681</v>
      </c>
      <c r="T23" s="29">
        <v>139411</v>
      </c>
      <c r="U23" s="29">
        <v>70158</v>
      </c>
      <c r="V23" s="29">
        <v>69253</v>
      </c>
    </row>
    <row r="24" spans="1:22" x14ac:dyDescent="0.2">
      <c r="A24" s="20" t="s">
        <v>267</v>
      </c>
      <c r="B24" s="20" t="s">
        <v>660</v>
      </c>
      <c r="C24" s="25">
        <v>222.76</v>
      </c>
      <c r="D24" s="27">
        <v>1333.3</v>
      </c>
      <c r="E24" s="25">
        <v>1556.06</v>
      </c>
      <c r="F24" s="25">
        <v>3.47</v>
      </c>
      <c r="G24" s="29">
        <v>0</v>
      </c>
      <c r="H24" s="27">
        <v>0</v>
      </c>
      <c r="I24" s="29">
        <v>1333</v>
      </c>
      <c r="J24" s="29">
        <v>492213</v>
      </c>
      <c r="K24" s="29">
        <v>0</v>
      </c>
      <c r="L24" s="29">
        <v>492213</v>
      </c>
      <c r="M24" s="29">
        <v>78500</v>
      </c>
      <c r="N24" s="29">
        <v>86778</v>
      </c>
      <c r="O24" s="29">
        <v>1098</v>
      </c>
      <c r="P24" s="29">
        <v>50541</v>
      </c>
      <c r="Q24" s="29">
        <v>5431</v>
      </c>
      <c r="R24" s="29">
        <v>714561</v>
      </c>
      <c r="S24" s="29">
        <v>68797</v>
      </c>
      <c r="T24" s="29">
        <v>645764</v>
      </c>
      <c r="U24" s="29">
        <v>377058</v>
      </c>
      <c r="V24" s="29">
        <v>268706</v>
      </c>
    </row>
    <row r="25" spans="1:22" x14ac:dyDescent="0.2">
      <c r="A25" s="20" t="s">
        <v>181</v>
      </c>
      <c r="B25" s="20" t="s">
        <v>577</v>
      </c>
      <c r="C25" s="25">
        <v>76.73</v>
      </c>
      <c r="D25" s="27">
        <v>502.1</v>
      </c>
      <c r="E25" s="25">
        <v>578.83000000000004</v>
      </c>
      <c r="F25" s="25">
        <v>0</v>
      </c>
      <c r="G25" s="29">
        <v>4</v>
      </c>
      <c r="H25" s="27">
        <v>0</v>
      </c>
      <c r="I25" s="29">
        <v>506</v>
      </c>
      <c r="J25" s="29">
        <v>178430</v>
      </c>
      <c r="K25" s="29">
        <v>0</v>
      </c>
      <c r="L25" s="29">
        <v>178430</v>
      </c>
      <c r="M25" s="29">
        <v>29733</v>
      </c>
      <c r="N25" s="29">
        <v>32647</v>
      </c>
      <c r="O25" s="29">
        <v>0</v>
      </c>
      <c r="P25" s="29">
        <v>15015</v>
      </c>
      <c r="Q25" s="29">
        <v>1893</v>
      </c>
      <c r="R25" s="29">
        <v>257718</v>
      </c>
      <c r="S25" s="29">
        <v>31621</v>
      </c>
      <c r="T25" s="29">
        <v>226097</v>
      </c>
      <c r="U25" s="29">
        <v>129995</v>
      </c>
      <c r="V25" s="29">
        <v>96102</v>
      </c>
    </row>
    <row r="26" spans="1:22" x14ac:dyDescent="0.2">
      <c r="A26" s="20" t="s">
        <v>266</v>
      </c>
      <c r="B26" s="20" t="s">
        <v>659</v>
      </c>
      <c r="C26" s="25">
        <v>103.15</v>
      </c>
      <c r="D26" s="27">
        <v>755</v>
      </c>
      <c r="E26" s="25">
        <v>858.15</v>
      </c>
      <c r="F26" s="25">
        <v>1.92</v>
      </c>
      <c r="G26" s="29">
        <v>0</v>
      </c>
      <c r="H26" s="27">
        <v>0</v>
      </c>
      <c r="I26" s="29">
        <v>755</v>
      </c>
      <c r="J26" s="29">
        <v>271450</v>
      </c>
      <c r="K26" s="29">
        <v>0</v>
      </c>
      <c r="L26" s="29">
        <v>271450</v>
      </c>
      <c r="M26" s="29">
        <v>44462</v>
      </c>
      <c r="N26" s="29">
        <v>49151</v>
      </c>
      <c r="O26" s="29">
        <v>607</v>
      </c>
      <c r="P26" s="29">
        <v>27873</v>
      </c>
      <c r="Q26" s="29">
        <v>2995</v>
      </c>
      <c r="R26" s="29">
        <v>396538</v>
      </c>
      <c r="S26" s="29">
        <v>42239</v>
      </c>
      <c r="T26" s="29">
        <v>354299</v>
      </c>
      <c r="U26" s="29">
        <v>203647</v>
      </c>
      <c r="V26" s="29">
        <v>150652</v>
      </c>
    </row>
    <row r="27" spans="1:22" x14ac:dyDescent="0.2">
      <c r="A27" s="20" t="s">
        <v>182</v>
      </c>
      <c r="B27" s="20" t="s">
        <v>578</v>
      </c>
      <c r="C27" s="25">
        <v>152.49</v>
      </c>
      <c r="D27" s="27">
        <v>1644.9</v>
      </c>
      <c r="E27" s="25">
        <v>1797.39</v>
      </c>
      <c r="F27" s="25">
        <v>0</v>
      </c>
      <c r="G27" s="29">
        <v>22</v>
      </c>
      <c r="H27" s="27">
        <v>0</v>
      </c>
      <c r="I27" s="29">
        <v>1667</v>
      </c>
      <c r="J27" s="29">
        <v>554063</v>
      </c>
      <c r="K27" s="29">
        <v>0</v>
      </c>
      <c r="L27" s="29">
        <v>554063</v>
      </c>
      <c r="M27" s="29">
        <v>97953</v>
      </c>
      <c r="N27" s="29">
        <v>107555</v>
      </c>
      <c r="O27" s="29">
        <v>0</v>
      </c>
      <c r="P27" s="29">
        <v>46624</v>
      </c>
      <c r="Q27" s="29">
        <v>5877</v>
      </c>
      <c r="R27" s="29">
        <v>812072</v>
      </c>
      <c r="S27" s="29">
        <v>53719</v>
      </c>
      <c r="T27" s="29">
        <v>758353</v>
      </c>
      <c r="U27" s="29">
        <v>448130</v>
      </c>
      <c r="V27" s="29">
        <v>310223</v>
      </c>
    </row>
    <row r="28" spans="1:22" x14ac:dyDescent="0.2">
      <c r="A28" s="20" t="s">
        <v>183</v>
      </c>
      <c r="B28" s="20" t="s">
        <v>579</v>
      </c>
      <c r="C28" s="25">
        <v>36.909999999999997</v>
      </c>
      <c r="D28" s="27">
        <v>341.3</v>
      </c>
      <c r="E28" s="25">
        <v>378.21</v>
      </c>
      <c r="F28" s="25">
        <v>0</v>
      </c>
      <c r="G28" s="29">
        <v>5</v>
      </c>
      <c r="H28" s="27">
        <v>0</v>
      </c>
      <c r="I28" s="29">
        <v>346</v>
      </c>
      <c r="J28" s="29">
        <v>116587</v>
      </c>
      <c r="K28" s="29">
        <v>0</v>
      </c>
      <c r="L28" s="29">
        <v>116587</v>
      </c>
      <c r="M28" s="29">
        <v>20331</v>
      </c>
      <c r="N28" s="29">
        <v>22324</v>
      </c>
      <c r="O28" s="29">
        <v>0</v>
      </c>
      <c r="P28" s="29">
        <v>9811</v>
      </c>
      <c r="Q28" s="29">
        <v>1237</v>
      </c>
      <c r="R28" s="29">
        <v>170290</v>
      </c>
      <c r="S28" s="29">
        <v>14723</v>
      </c>
      <c r="T28" s="29">
        <v>155567</v>
      </c>
      <c r="U28" s="29">
        <v>90878</v>
      </c>
      <c r="V28" s="29">
        <v>64689</v>
      </c>
    </row>
    <row r="29" spans="1:22" x14ac:dyDescent="0.2">
      <c r="A29" s="20" t="s">
        <v>67</v>
      </c>
      <c r="B29" s="20" t="s">
        <v>68</v>
      </c>
      <c r="C29" s="25">
        <v>65.47</v>
      </c>
      <c r="D29" s="27">
        <v>492.1</v>
      </c>
      <c r="E29" s="25">
        <v>557.57000000000005</v>
      </c>
      <c r="F29" s="25">
        <v>0.74</v>
      </c>
      <c r="G29" s="29">
        <v>4</v>
      </c>
      <c r="H29" s="27">
        <v>0</v>
      </c>
      <c r="I29" s="29">
        <v>496</v>
      </c>
      <c r="J29" s="29">
        <v>178222</v>
      </c>
      <c r="K29" s="29">
        <v>8290</v>
      </c>
      <c r="L29" s="29">
        <v>186512</v>
      </c>
      <c r="M29" s="29">
        <v>29358</v>
      </c>
      <c r="N29" s="29">
        <v>32746</v>
      </c>
      <c r="O29" s="29">
        <v>237</v>
      </c>
      <c r="P29" s="29">
        <v>22598</v>
      </c>
      <c r="Q29" s="29">
        <v>2599</v>
      </c>
      <c r="R29" s="29">
        <v>274050</v>
      </c>
      <c r="S29" s="29">
        <v>29783</v>
      </c>
      <c r="T29" s="29">
        <v>244267</v>
      </c>
      <c r="U29" s="29">
        <v>134992</v>
      </c>
      <c r="V29" s="29">
        <v>109275</v>
      </c>
    </row>
    <row r="30" spans="1:22" x14ac:dyDescent="0.2">
      <c r="A30" s="20" t="s">
        <v>268</v>
      </c>
      <c r="B30" s="20" t="s">
        <v>661</v>
      </c>
      <c r="C30" s="25">
        <v>58.48</v>
      </c>
      <c r="D30" s="27">
        <v>489.5</v>
      </c>
      <c r="E30" s="25">
        <v>547.98</v>
      </c>
      <c r="F30" s="25">
        <v>1.22</v>
      </c>
      <c r="G30" s="29">
        <v>5</v>
      </c>
      <c r="H30" s="27">
        <v>0</v>
      </c>
      <c r="I30" s="29">
        <v>495</v>
      </c>
      <c r="J30" s="29">
        <v>173337</v>
      </c>
      <c r="K30" s="29">
        <v>762</v>
      </c>
      <c r="L30" s="29">
        <v>174099</v>
      </c>
      <c r="M30" s="29">
        <v>29151</v>
      </c>
      <c r="N30" s="29">
        <v>32225</v>
      </c>
      <c r="O30" s="29">
        <v>386</v>
      </c>
      <c r="P30" s="29">
        <v>17877</v>
      </c>
      <c r="Q30" s="29">
        <v>1916</v>
      </c>
      <c r="R30" s="29">
        <v>255654</v>
      </c>
      <c r="S30" s="29">
        <v>29839</v>
      </c>
      <c r="T30" s="29">
        <v>225815</v>
      </c>
      <c r="U30" s="29">
        <v>127254</v>
      </c>
      <c r="V30" s="29">
        <v>98561</v>
      </c>
    </row>
    <row r="31" spans="1:22" x14ac:dyDescent="0.2">
      <c r="A31" s="20" t="s">
        <v>145</v>
      </c>
      <c r="B31" s="20" t="s">
        <v>544</v>
      </c>
      <c r="C31" s="25">
        <v>31.67</v>
      </c>
      <c r="D31" s="27">
        <v>468.1</v>
      </c>
      <c r="E31" s="25">
        <v>499.77</v>
      </c>
      <c r="F31" s="25">
        <v>0</v>
      </c>
      <c r="G31" s="29">
        <v>4</v>
      </c>
      <c r="H31" s="27">
        <v>0</v>
      </c>
      <c r="I31" s="29">
        <v>472</v>
      </c>
      <c r="J31" s="29">
        <v>157607</v>
      </c>
      <c r="K31" s="29">
        <v>16721</v>
      </c>
      <c r="L31" s="29">
        <v>174328</v>
      </c>
      <c r="M31" s="29">
        <v>27791</v>
      </c>
      <c r="N31" s="29">
        <v>30538</v>
      </c>
      <c r="O31" s="29">
        <v>0</v>
      </c>
      <c r="P31" s="29">
        <v>15007</v>
      </c>
      <c r="Q31" s="29">
        <v>1747</v>
      </c>
      <c r="R31" s="29">
        <v>249411</v>
      </c>
      <c r="S31" s="29">
        <v>34138</v>
      </c>
      <c r="T31" s="29">
        <v>215273</v>
      </c>
      <c r="U31" s="29">
        <v>107559</v>
      </c>
      <c r="V31" s="29">
        <v>107714</v>
      </c>
    </row>
    <row r="32" spans="1:22" x14ac:dyDescent="0.2">
      <c r="A32" s="20" t="s">
        <v>122</v>
      </c>
      <c r="B32" s="20" t="s">
        <v>522</v>
      </c>
      <c r="C32" s="25">
        <v>60.87</v>
      </c>
      <c r="D32" s="27">
        <v>590.70000000000005</v>
      </c>
      <c r="E32" s="25">
        <v>651.57000000000005</v>
      </c>
      <c r="F32" s="25">
        <v>1.18</v>
      </c>
      <c r="G32" s="29">
        <v>162</v>
      </c>
      <c r="H32" s="27">
        <v>0.7</v>
      </c>
      <c r="I32" s="29">
        <v>752</v>
      </c>
      <c r="J32" s="29">
        <v>206730</v>
      </c>
      <c r="K32" s="29">
        <v>0</v>
      </c>
      <c r="L32" s="29">
        <v>206730</v>
      </c>
      <c r="M32" s="29">
        <v>44142</v>
      </c>
      <c r="N32" s="29">
        <v>48203</v>
      </c>
      <c r="O32" s="29">
        <v>374</v>
      </c>
      <c r="P32" s="29">
        <v>18869</v>
      </c>
      <c r="Q32" s="29">
        <v>2215</v>
      </c>
      <c r="R32" s="29">
        <v>320533</v>
      </c>
      <c r="S32" s="29">
        <v>33230</v>
      </c>
      <c r="T32" s="29">
        <v>287303</v>
      </c>
      <c r="U32" s="29">
        <v>151042</v>
      </c>
      <c r="V32" s="29">
        <v>136261</v>
      </c>
    </row>
    <row r="33" spans="1:22" x14ac:dyDescent="0.2">
      <c r="A33" s="20" t="s">
        <v>69</v>
      </c>
      <c r="B33" s="20" t="s">
        <v>474</v>
      </c>
      <c r="C33" s="25">
        <v>100.39</v>
      </c>
      <c r="D33" s="27">
        <v>766</v>
      </c>
      <c r="E33" s="25">
        <v>866.39</v>
      </c>
      <c r="F33" s="25">
        <v>1.1499999999999999</v>
      </c>
      <c r="G33" s="29">
        <v>1</v>
      </c>
      <c r="H33" s="27">
        <v>0</v>
      </c>
      <c r="I33" s="29">
        <v>767</v>
      </c>
      <c r="J33" s="29">
        <v>276933</v>
      </c>
      <c r="K33" s="29">
        <v>0</v>
      </c>
      <c r="L33" s="29">
        <v>276933</v>
      </c>
      <c r="M33" s="29">
        <v>45399</v>
      </c>
      <c r="N33" s="29">
        <v>50637</v>
      </c>
      <c r="O33" s="29">
        <v>368</v>
      </c>
      <c r="P33" s="29">
        <v>34560</v>
      </c>
      <c r="Q33" s="29">
        <v>3977</v>
      </c>
      <c r="R33" s="29">
        <v>411874</v>
      </c>
      <c r="S33" s="29">
        <v>39506</v>
      </c>
      <c r="T33" s="29">
        <v>372368</v>
      </c>
      <c r="U33" s="29">
        <v>215916</v>
      </c>
      <c r="V33" s="29">
        <v>156452</v>
      </c>
    </row>
    <row r="34" spans="1:22" x14ac:dyDescent="0.2">
      <c r="A34" s="20" t="s">
        <v>123</v>
      </c>
      <c r="B34" s="20" t="s">
        <v>523</v>
      </c>
      <c r="C34" s="25">
        <v>27.31</v>
      </c>
      <c r="D34" s="27">
        <v>202.1</v>
      </c>
      <c r="E34" s="25">
        <v>229.41</v>
      </c>
      <c r="F34" s="25">
        <v>0.42</v>
      </c>
      <c r="G34" s="29">
        <v>0</v>
      </c>
      <c r="H34" s="27">
        <v>0</v>
      </c>
      <c r="I34" s="29">
        <v>202</v>
      </c>
      <c r="J34" s="29">
        <v>72787</v>
      </c>
      <c r="K34" s="29">
        <v>0</v>
      </c>
      <c r="L34" s="29">
        <v>72787</v>
      </c>
      <c r="M34" s="29">
        <v>11857</v>
      </c>
      <c r="N34" s="29">
        <v>12948</v>
      </c>
      <c r="O34" s="29">
        <v>133</v>
      </c>
      <c r="P34" s="29">
        <v>6644</v>
      </c>
      <c r="Q34" s="29">
        <v>780</v>
      </c>
      <c r="R34" s="29">
        <v>105149</v>
      </c>
      <c r="S34" s="29">
        <v>11567</v>
      </c>
      <c r="T34" s="29">
        <v>93582</v>
      </c>
      <c r="U34" s="29">
        <v>53315</v>
      </c>
      <c r="V34" s="29">
        <v>40267</v>
      </c>
    </row>
    <row r="35" spans="1:22" x14ac:dyDescent="0.2">
      <c r="A35" s="20" t="s">
        <v>146</v>
      </c>
      <c r="B35" s="20" t="s">
        <v>545</v>
      </c>
      <c r="C35" s="25">
        <v>159</v>
      </c>
      <c r="D35" s="27">
        <v>1500.9</v>
      </c>
      <c r="E35" s="25">
        <v>1659.9</v>
      </c>
      <c r="F35" s="25">
        <v>0</v>
      </c>
      <c r="G35" s="29">
        <v>159</v>
      </c>
      <c r="H35" s="27">
        <v>0</v>
      </c>
      <c r="I35" s="29">
        <v>1660</v>
      </c>
      <c r="J35" s="29">
        <v>523466</v>
      </c>
      <c r="K35" s="29">
        <v>0</v>
      </c>
      <c r="L35" s="29">
        <v>523466</v>
      </c>
      <c r="M35" s="29">
        <v>97741</v>
      </c>
      <c r="N35" s="29">
        <v>107402</v>
      </c>
      <c r="O35" s="29">
        <v>0</v>
      </c>
      <c r="P35" s="29">
        <v>49316</v>
      </c>
      <c r="Q35" s="29">
        <v>5743</v>
      </c>
      <c r="R35" s="29">
        <v>783668</v>
      </c>
      <c r="S35" s="29">
        <v>79586</v>
      </c>
      <c r="T35" s="29">
        <v>704082</v>
      </c>
      <c r="U35" s="29">
        <v>390448</v>
      </c>
      <c r="V35" s="29">
        <v>313634</v>
      </c>
    </row>
    <row r="36" spans="1:22" x14ac:dyDescent="0.2">
      <c r="A36" s="20" t="s">
        <v>124</v>
      </c>
      <c r="B36" s="20" t="s">
        <v>524</v>
      </c>
      <c r="C36" s="25">
        <v>480.24</v>
      </c>
      <c r="D36" s="27">
        <v>4071.1</v>
      </c>
      <c r="E36" s="25">
        <v>4551.34</v>
      </c>
      <c r="F36" s="25">
        <v>8.24</v>
      </c>
      <c r="G36" s="29">
        <v>349</v>
      </c>
      <c r="H36" s="27">
        <v>0</v>
      </c>
      <c r="I36" s="29">
        <v>4420</v>
      </c>
      <c r="J36" s="29">
        <v>1444049</v>
      </c>
      <c r="K36" s="29">
        <v>6285</v>
      </c>
      <c r="L36" s="29">
        <v>1450334</v>
      </c>
      <c r="M36" s="29">
        <v>259454</v>
      </c>
      <c r="N36" s="29">
        <v>283322</v>
      </c>
      <c r="O36" s="29">
        <v>2614</v>
      </c>
      <c r="P36" s="29">
        <v>131989</v>
      </c>
      <c r="Q36" s="29">
        <v>15492</v>
      </c>
      <c r="R36" s="29">
        <v>2143205</v>
      </c>
      <c r="S36" s="29">
        <v>185946</v>
      </c>
      <c r="T36" s="29">
        <v>1957259</v>
      </c>
      <c r="U36" s="29">
        <v>1101430</v>
      </c>
      <c r="V36" s="29">
        <v>855829</v>
      </c>
    </row>
    <row r="37" spans="1:22" x14ac:dyDescent="0.2">
      <c r="A37" s="20" t="s">
        <v>319</v>
      </c>
      <c r="B37" s="20" t="s">
        <v>709</v>
      </c>
      <c r="C37" s="25">
        <v>87.29</v>
      </c>
      <c r="D37" s="27">
        <v>870.9</v>
      </c>
      <c r="E37" s="25">
        <v>958.19</v>
      </c>
      <c r="F37" s="25">
        <v>2.38</v>
      </c>
      <c r="G37" s="29">
        <v>19</v>
      </c>
      <c r="H37" s="27">
        <v>0</v>
      </c>
      <c r="I37" s="29">
        <v>890</v>
      </c>
      <c r="J37" s="29">
        <v>300565</v>
      </c>
      <c r="K37" s="29">
        <v>0</v>
      </c>
      <c r="L37" s="29">
        <v>300565</v>
      </c>
      <c r="M37" s="29">
        <v>52385</v>
      </c>
      <c r="N37" s="29">
        <v>57556</v>
      </c>
      <c r="O37" s="29">
        <v>747</v>
      </c>
      <c r="P37" s="29">
        <v>30173</v>
      </c>
      <c r="Q37" s="29">
        <v>3296</v>
      </c>
      <c r="R37" s="29">
        <v>444722</v>
      </c>
      <c r="S37" s="29">
        <v>44907</v>
      </c>
      <c r="T37" s="29">
        <v>399815</v>
      </c>
      <c r="U37" s="29">
        <v>228705</v>
      </c>
      <c r="V37" s="29">
        <v>171110</v>
      </c>
    </row>
    <row r="38" spans="1:22" x14ac:dyDescent="0.2">
      <c r="A38" s="20" t="s">
        <v>184</v>
      </c>
      <c r="B38" s="20" t="s">
        <v>580</v>
      </c>
      <c r="C38" s="25">
        <v>230.65</v>
      </c>
      <c r="D38" s="27">
        <v>2311.3000000000002</v>
      </c>
      <c r="E38" s="25">
        <v>2541.9499999999998</v>
      </c>
      <c r="F38" s="25">
        <v>0</v>
      </c>
      <c r="G38" s="29">
        <v>36</v>
      </c>
      <c r="H38" s="27">
        <v>0</v>
      </c>
      <c r="I38" s="29">
        <v>2347</v>
      </c>
      <c r="J38" s="29">
        <v>783582</v>
      </c>
      <c r="K38" s="29">
        <v>0</v>
      </c>
      <c r="L38" s="29">
        <v>783582</v>
      </c>
      <c r="M38" s="29">
        <v>137910</v>
      </c>
      <c r="N38" s="29">
        <v>151428</v>
      </c>
      <c r="O38" s="29">
        <v>0</v>
      </c>
      <c r="P38" s="29">
        <v>65938</v>
      </c>
      <c r="Q38" s="29">
        <v>8312</v>
      </c>
      <c r="R38" s="29">
        <v>1147170</v>
      </c>
      <c r="S38" s="29">
        <v>39354</v>
      </c>
      <c r="T38" s="29">
        <v>1107816</v>
      </c>
      <c r="U38" s="29">
        <v>670384</v>
      </c>
      <c r="V38" s="29">
        <v>437432</v>
      </c>
    </row>
    <row r="39" spans="1:22" x14ac:dyDescent="0.2">
      <c r="A39" s="20" t="s">
        <v>185</v>
      </c>
      <c r="B39" s="20" t="s">
        <v>581</v>
      </c>
      <c r="C39" s="25">
        <v>363.72</v>
      </c>
      <c r="D39" s="27">
        <v>2021</v>
      </c>
      <c r="E39" s="25">
        <v>2384.7199999999998</v>
      </c>
      <c r="F39" s="25">
        <v>0</v>
      </c>
      <c r="G39" s="29">
        <v>150</v>
      </c>
      <c r="H39" s="27">
        <v>3.9</v>
      </c>
      <c r="I39" s="29">
        <v>2167</v>
      </c>
      <c r="J39" s="29">
        <v>735114</v>
      </c>
      <c r="K39" s="29">
        <v>0</v>
      </c>
      <c r="L39" s="29">
        <v>735114</v>
      </c>
      <c r="M39" s="29">
        <v>127333</v>
      </c>
      <c r="N39" s="29">
        <v>139815</v>
      </c>
      <c r="O39" s="29">
        <v>0</v>
      </c>
      <c r="P39" s="29">
        <v>61860</v>
      </c>
      <c r="Q39" s="29">
        <v>7798</v>
      </c>
      <c r="R39" s="29">
        <v>1071920</v>
      </c>
      <c r="S39" s="29">
        <v>105619</v>
      </c>
      <c r="T39" s="29">
        <v>966301</v>
      </c>
      <c r="U39" s="29">
        <v>560219</v>
      </c>
      <c r="V39" s="29">
        <v>406082</v>
      </c>
    </row>
    <row r="40" spans="1:22" x14ac:dyDescent="0.2">
      <c r="A40" s="20" t="s">
        <v>234</v>
      </c>
      <c r="B40" s="20" t="s">
        <v>627</v>
      </c>
      <c r="C40" s="25">
        <v>79.010000000000005</v>
      </c>
      <c r="D40" s="27">
        <v>594.29999999999995</v>
      </c>
      <c r="E40" s="25">
        <v>673.31</v>
      </c>
      <c r="F40" s="25">
        <v>1.38</v>
      </c>
      <c r="G40" s="29">
        <v>358</v>
      </c>
      <c r="H40" s="27">
        <v>5.0999999999999996</v>
      </c>
      <c r="I40" s="29">
        <v>947</v>
      </c>
      <c r="J40" s="29">
        <v>217412</v>
      </c>
      <c r="K40" s="29">
        <v>0</v>
      </c>
      <c r="L40" s="29">
        <v>217412</v>
      </c>
      <c r="M40" s="29">
        <v>56034</v>
      </c>
      <c r="N40" s="29">
        <v>62786</v>
      </c>
      <c r="O40" s="29">
        <v>446</v>
      </c>
      <c r="P40" s="29">
        <v>21883</v>
      </c>
      <c r="Q40" s="29">
        <v>2612</v>
      </c>
      <c r="R40" s="29">
        <v>361173</v>
      </c>
      <c r="S40" s="29">
        <v>31059</v>
      </c>
      <c r="T40" s="29">
        <v>330114</v>
      </c>
      <c r="U40" s="29">
        <v>162109</v>
      </c>
      <c r="V40" s="29">
        <v>168005</v>
      </c>
    </row>
    <row r="41" spans="1:22" x14ac:dyDescent="0.2">
      <c r="A41" s="20" t="s">
        <v>118</v>
      </c>
      <c r="B41" s="20" t="s">
        <v>519</v>
      </c>
      <c r="C41" s="25">
        <v>39.47</v>
      </c>
      <c r="D41" s="27">
        <v>566.4</v>
      </c>
      <c r="E41" s="25">
        <v>605.87</v>
      </c>
      <c r="F41" s="25">
        <v>0.81</v>
      </c>
      <c r="G41" s="29">
        <v>8</v>
      </c>
      <c r="H41" s="27">
        <v>0</v>
      </c>
      <c r="I41" s="29">
        <v>574</v>
      </c>
      <c r="J41" s="29">
        <v>193660</v>
      </c>
      <c r="K41" s="29">
        <v>0</v>
      </c>
      <c r="L41" s="29">
        <v>193660</v>
      </c>
      <c r="M41" s="29">
        <v>33975</v>
      </c>
      <c r="N41" s="29">
        <v>37895</v>
      </c>
      <c r="O41" s="29">
        <v>259</v>
      </c>
      <c r="P41" s="29">
        <v>24168</v>
      </c>
      <c r="Q41" s="29">
        <v>2781</v>
      </c>
      <c r="R41" s="29">
        <v>292738</v>
      </c>
      <c r="S41" s="29">
        <v>32056</v>
      </c>
      <c r="T41" s="29">
        <v>260682</v>
      </c>
      <c r="U41" s="29">
        <v>146563</v>
      </c>
      <c r="V41" s="29">
        <v>114119</v>
      </c>
    </row>
    <row r="42" spans="1:22" x14ac:dyDescent="0.2">
      <c r="A42" s="20" t="s">
        <v>70</v>
      </c>
      <c r="B42" s="20" t="s">
        <v>475</v>
      </c>
      <c r="C42" s="25">
        <v>63.93</v>
      </c>
      <c r="D42" s="27">
        <v>536.70000000000005</v>
      </c>
      <c r="E42" s="25">
        <v>600.63</v>
      </c>
      <c r="F42" s="25">
        <v>0.8</v>
      </c>
      <c r="G42" s="29">
        <v>0</v>
      </c>
      <c r="H42" s="27">
        <v>0</v>
      </c>
      <c r="I42" s="29">
        <v>537</v>
      </c>
      <c r="J42" s="29">
        <v>191985</v>
      </c>
      <c r="K42" s="29">
        <v>0</v>
      </c>
      <c r="L42" s="29">
        <v>191985</v>
      </c>
      <c r="M42" s="29">
        <v>31785</v>
      </c>
      <c r="N42" s="29">
        <v>35453</v>
      </c>
      <c r="O42" s="29">
        <v>256</v>
      </c>
      <c r="P42" s="29">
        <v>23959</v>
      </c>
      <c r="Q42" s="29">
        <v>2757</v>
      </c>
      <c r="R42" s="29">
        <v>286195</v>
      </c>
      <c r="S42" s="29">
        <v>29369</v>
      </c>
      <c r="T42" s="29">
        <v>256826</v>
      </c>
      <c r="U42" s="29">
        <v>147705</v>
      </c>
      <c r="V42" s="29">
        <v>109121</v>
      </c>
    </row>
    <row r="43" spans="1:22" x14ac:dyDescent="0.2">
      <c r="A43" s="20" t="s">
        <v>104</v>
      </c>
      <c r="B43" s="20" t="s">
        <v>505</v>
      </c>
      <c r="C43" s="25">
        <v>47.55</v>
      </c>
      <c r="D43" s="27">
        <v>414.6</v>
      </c>
      <c r="E43" s="25">
        <v>462.15</v>
      </c>
      <c r="F43" s="25">
        <v>0.62</v>
      </c>
      <c r="G43" s="29">
        <v>3</v>
      </c>
      <c r="H43" s="27">
        <v>0</v>
      </c>
      <c r="I43" s="29">
        <v>418</v>
      </c>
      <c r="J43" s="29">
        <v>147722</v>
      </c>
      <c r="K43" s="29">
        <v>12400</v>
      </c>
      <c r="L43" s="29">
        <v>160122</v>
      </c>
      <c r="M43" s="29">
        <v>24741</v>
      </c>
      <c r="N43" s="29">
        <v>27596</v>
      </c>
      <c r="O43" s="29">
        <v>198</v>
      </c>
      <c r="P43" s="29">
        <v>19310</v>
      </c>
      <c r="Q43" s="29">
        <v>2221</v>
      </c>
      <c r="R43" s="29">
        <v>234188</v>
      </c>
      <c r="S43" s="29">
        <v>29571</v>
      </c>
      <c r="T43" s="29">
        <v>204617</v>
      </c>
      <c r="U43" s="29">
        <v>107653</v>
      </c>
      <c r="V43" s="29">
        <v>96964</v>
      </c>
    </row>
    <row r="44" spans="1:22" x14ac:dyDescent="0.2">
      <c r="A44" s="20" t="s">
        <v>312</v>
      </c>
      <c r="B44" s="20" t="s">
        <v>702</v>
      </c>
      <c r="C44" s="25">
        <v>770.8</v>
      </c>
      <c r="D44" s="27">
        <v>3913.1</v>
      </c>
      <c r="E44" s="25">
        <v>4683.8999999999996</v>
      </c>
      <c r="F44" s="25">
        <v>11.62</v>
      </c>
      <c r="G44" s="29">
        <v>336</v>
      </c>
      <c r="H44" s="27">
        <v>1.7</v>
      </c>
      <c r="I44" s="29">
        <v>4247</v>
      </c>
      <c r="J44" s="29">
        <v>1469246</v>
      </c>
      <c r="K44" s="29">
        <v>53220</v>
      </c>
      <c r="L44" s="29">
        <v>1522466</v>
      </c>
      <c r="M44" s="29">
        <v>249978</v>
      </c>
      <c r="N44" s="29">
        <v>274653</v>
      </c>
      <c r="O44" s="29">
        <v>3645</v>
      </c>
      <c r="P44" s="29">
        <v>148250</v>
      </c>
      <c r="Q44" s="29">
        <v>16161</v>
      </c>
      <c r="R44" s="29">
        <v>2215153</v>
      </c>
      <c r="S44" s="29">
        <v>231008</v>
      </c>
      <c r="T44" s="29">
        <v>1984145</v>
      </c>
      <c r="U44" s="29">
        <v>1107283</v>
      </c>
      <c r="V44" s="29">
        <v>876862</v>
      </c>
    </row>
    <row r="45" spans="1:22" x14ac:dyDescent="0.2">
      <c r="A45" s="20" t="s">
        <v>270</v>
      </c>
      <c r="B45" s="20" t="s">
        <v>271</v>
      </c>
      <c r="C45" s="25">
        <v>48.39</v>
      </c>
      <c r="D45" s="27">
        <v>494.2</v>
      </c>
      <c r="E45" s="25">
        <v>542.59</v>
      </c>
      <c r="F45" s="25">
        <v>1.21</v>
      </c>
      <c r="G45" s="29">
        <v>0</v>
      </c>
      <c r="H45" s="27">
        <v>0</v>
      </c>
      <c r="I45" s="29">
        <v>494</v>
      </c>
      <c r="J45" s="29">
        <v>171632</v>
      </c>
      <c r="K45" s="29">
        <v>23</v>
      </c>
      <c r="L45" s="29">
        <v>171655</v>
      </c>
      <c r="M45" s="29">
        <v>29092</v>
      </c>
      <c r="N45" s="29">
        <v>32159</v>
      </c>
      <c r="O45" s="29">
        <v>383</v>
      </c>
      <c r="P45" s="29">
        <v>17626</v>
      </c>
      <c r="Q45" s="29">
        <v>1894</v>
      </c>
      <c r="R45" s="29">
        <v>252809</v>
      </c>
      <c r="S45" s="29">
        <v>25872</v>
      </c>
      <c r="T45" s="29">
        <v>226937</v>
      </c>
      <c r="U45" s="29">
        <v>129598</v>
      </c>
      <c r="V45" s="29">
        <v>97339</v>
      </c>
    </row>
    <row r="46" spans="1:22" x14ac:dyDescent="0.2">
      <c r="A46" s="20" t="s">
        <v>71</v>
      </c>
      <c r="B46" s="20" t="s">
        <v>72</v>
      </c>
      <c r="C46" s="25">
        <v>28.93</v>
      </c>
      <c r="D46" s="27">
        <v>248.8</v>
      </c>
      <c r="E46" s="25">
        <v>277.73</v>
      </c>
      <c r="F46" s="25">
        <v>0.37</v>
      </c>
      <c r="G46" s="29">
        <v>19</v>
      </c>
      <c r="H46" s="27">
        <v>0.5</v>
      </c>
      <c r="I46" s="29">
        <v>267</v>
      </c>
      <c r="J46" s="29">
        <v>88774</v>
      </c>
      <c r="K46" s="29">
        <v>4424</v>
      </c>
      <c r="L46" s="29">
        <v>93198</v>
      </c>
      <c r="M46" s="29">
        <v>15804</v>
      </c>
      <c r="N46" s="29">
        <v>17627</v>
      </c>
      <c r="O46" s="29">
        <v>118</v>
      </c>
      <c r="P46" s="29">
        <v>11284</v>
      </c>
      <c r="Q46" s="29">
        <v>1298</v>
      </c>
      <c r="R46" s="29">
        <v>139329</v>
      </c>
      <c r="S46" s="29">
        <v>14140</v>
      </c>
      <c r="T46" s="29">
        <v>125189</v>
      </c>
      <c r="U46" s="29">
        <v>67967</v>
      </c>
      <c r="V46" s="29">
        <v>57222</v>
      </c>
    </row>
    <row r="47" spans="1:22" x14ac:dyDescent="0.2">
      <c r="A47" s="20" t="s">
        <v>125</v>
      </c>
      <c r="B47" s="20" t="s">
        <v>525</v>
      </c>
      <c r="C47" s="25">
        <v>49.95</v>
      </c>
      <c r="D47" s="27">
        <v>392.2</v>
      </c>
      <c r="E47" s="25">
        <v>442.15</v>
      </c>
      <c r="F47" s="25">
        <v>0.8</v>
      </c>
      <c r="G47" s="29">
        <v>0</v>
      </c>
      <c r="H47" s="27">
        <v>0</v>
      </c>
      <c r="I47" s="29">
        <v>392</v>
      </c>
      <c r="J47" s="29">
        <v>140285</v>
      </c>
      <c r="K47" s="29">
        <v>15434</v>
      </c>
      <c r="L47" s="29">
        <v>155719</v>
      </c>
      <c r="M47" s="29">
        <v>23010</v>
      </c>
      <c r="N47" s="29">
        <v>25127</v>
      </c>
      <c r="O47" s="29">
        <v>254</v>
      </c>
      <c r="P47" s="29">
        <v>13028</v>
      </c>
      <c r="Q47" s="29">
        <v>1529</v>
      </c>
      <c r="R47" s="29">
        <v>218667</v>
      </c>
      <c r="S47" s="29">
        <v>24342</v>
      </c>
      <c r="T47" s="29">
        <v>194325</v>
      </c>
      <c r="U47" s="29">
        <v>100953</v>
      </c>
      <c r="V47" s="29">
        <v>93372</v>
      </c>
    </row>
    <row r="48" spans="1:22" x14ac:dyDescent="0.2">
      <c r="A48" s="20" t="s">
        <v>126</v>
      </c>
      <c r="B48" s="20" t="s">
        <v>526</v>
      </c>
      <c r="C48" s="25">
        <v>86.29</v>
      </c>
      <c r="D48" s="27">
        <v>812.1</v>
      </c>
      <c r="E48" s="25">
        <v>898.39</v>
      </c>
      <c r="F48" s="25">
        <v>1.63</v>
      </c>
      <c r="G48" s="29">
        <v>19</v>
      </c>
      <c r="H48" s="27">
        <v>0</v>
      </c>
      <c r="I48" s="29">
        <v>831</v>
      </c>
      <c r="J48" s="29">
        <v>285041</v>
      </c>
      <c r="K48" s="29">
        <v>6373</v>
      </c>
      <c r="L48" s="29">
        <v>291414</v>
      </c>
      <c r="M48" s="29">
        <v>48780</v>
      </c>
      <c r="N48" s="29">
        <v>53267</v>
      </c>
      <c r="O48" s="29">
        <v>517</v>
      </c>
      <c r="P48" s="29">
        <v>26520</v>
      </c>
      <c r="Q48" s="29">
        <v>3113</v>
      </c>
      <c r="R48" s="29">
        <v>423611</v>
      </c>
      <c r="S48" s="29">
        <v>41235</v>
      </c>
      <c r="T48" s="29">
        <v>382376</v>
      </c>
      <c r="U48" s="29">
        <v>213403</v>
      </c>
      <c r="V48" s="29">
        <v>168973</v>
      </c>
    </row>
    <row r="49" spans="1:22" x14ac:dyDescent="0.2">
      <c r="A49" s="20" t="s">
        <v>313</v>
      </c>
      <c r="B49" s="20" t="s">
        <v>703</v>
      </c>
      <c r="C49" s="25">
        <v>93.01</v>
      </c>
      <c r="D49" s="27">
        <v>591</v>
      </c>
      <c r="E49" s="25">
        <v>684.01</v>
      </c>
      <c r="F49" s="25">
        <v>1.7</v>
      </c>
      <c r="G49" s="29">
        <v>0</v>
      </c>
      <c r="H49" s="27">
        <v>0</v>
      </c>
      <c r="I49" s="29">
        <v>591</v>
      </c>
      <c r="J49" s="29">
        <v>214560</v>
      </c>
      <c r="K49" s="29">
        <v>0</v>
      </c>
      <c r="L49" s="29">
        <v>214560</v>
      </c>
      <c r="M49" s="29">
        <v>34786</v>
      </c>
      <c r="N49" s="29">
        <v>38220</v>
      </c>
      <c r="O49" s="29">
        <v>533</v>
      </c>
      <c r="P49" s="29">
        <v>21539</v>
      </c>
      <c r="Q49" s="29">
        <v>2353</v>
      </c>
      <c r="R49" s="29">
        <v>311991</v>
      </c>
      <c r="S49" s="29">
        <v>29808</v>
      </c>
      <c r="T49" s="29">
        <v>282183</v>
      </c>
      <c r="U49" s="29">
        <v>165512</v>
      </c>
      <c r="V49" s="29">
        <v>116671</v>
      </c>
    </row>
    <row r="50" spans="1:22" x14ac:dyDescent="0.2">
      <c r="A50" s="20" t="s">
        <v>186</v>
      </c>
      <c r="B50" s="20" t="s">
        <v>582</v>
      </c>
      <c r="C50" s="25">
        <v>217.17</v>
      </c>
      <c r="D50" s="27">
        <v>1952.4</v>
      </c>
      <c r="E50" s="25">
        <v>2169.5700000000002</v>
      </c>
      <c r="F50" s="25">
        <v>0</v>
      </c>
      <c r="G50" s="29">
        <v>34</v>
      </c>
      <c r="H50" s="27">
        <v>0</v>
      </c>
      <c r="I50" s="29">
        <v>1986</v>
      </c>
      <c r="J50" s="29">
        <v>668792</v>
      </c>
      <c r="K50" s="29">
        <v>0</v>
      </c>
      <c r="L50" s="29">
        <v>668792</v>
      </c>
      <c r="M50" s="29">
        <v>116697</v>
      </c>
      <c r="N50" s="29">
        <v>128137</v>
      </c>
      <c r="O50" s="29">
        <v>0</v>
      </c>
      <c r="P50" s="29">
        <v>56279</v>
      </c>
      <c r="Q50" s="29">
        <v>7094</v>
      </c>
      <c r="R50" s="29">
        <v>976999</v>
      </c>
      <c r="S50" s="29">
        <v>58812</v>
      </c>
      <c r="T50" s="29">
        <v>918187</v>
      </c>
      <c r="U50" s="29">
        <v>546954</v>
      </c>
      <c r="V50" s="29">
        <v>371233</v>
      </c>
    </row>
    <row r="51" spans="1:22" x14ac:dyDescent="0.2">
      <c r="A51" s="20" t="s">
        <v>187</v>
      </c>
      <c r="B51" s="20" t="s">
        <v>583</v>
      </c>
      <c r="C51" s="25">
        <v>256.33</v>
      </c>
      <c r="D51" s="27">
        <v>1707.1</v>
      </c>
      <c r="E51" s="25">
        <v>1963.43</v>
      </c>
      <c r="F51" s="25">
        <v>0</v>
      </c>
      <c r="G51" s="29">
        <v>874</v>
      </c>
      <c r="H51" s="27">
        <v>8.4</v>
      </c>
      <c r="I51" s="29">
        <v>2573</v>
      </c>
      <c r="J51" s="29">
        <v>605247</v>
      </c>
      <c r="K51" s="29">
        <v>0</v>
      </c>
      <c r="L51" s="29">
        <v>605247</v>
      </c>
      <c r="M51" s="29">
        <v>151189</v>
      </c>
      <c r="N51" s="29">
        <v>166010</v>
      </c>
      <c r="O51" s="29">
        <v>0</v>
      </c>
      <c r="P51" s="29">
        <v>50931</v>
      </c>
      <c r="Q51" s="29">
        <v>6420</v>
      </c>
      <c r="R51" s="29">
        <v>979797</v>
      </c>
      <c r="S51" s="29">
        <v>92884</v>
      </c>
      <c r="T51" s="29">
        <v>886913</v>
      </c>
      <c r="U51" s="29">
        <v>455325</v>
      </c>
      <c r="V51" s="29">
        <v>431588</v>
      </c>
    </row>
    <row r="52" spans="1:22" x14ac:dyDescent="0.2">
      <c r="A52" s="20" t="s">
        <v>73</v>
      </c>
      <c r="B52" s="20" t="s">
        <v>476</v>
      </c>
      <c r="C52" s="25">
        <v>760.49</v>
      </c>
      <c r="D52" s="27">
        <v>5456.4</v>
      </c>
      <c r="E52" s="25">
        <v>6216.89</v>
      </c>
      <c r="F52" s="25">
        <v>8.2799999999999994</v>
      </c>
      <c r="G52" s="29">
        <v>282</v>
      </c>
      <c r="H52" s="27">
        <v>1.9</v>
      </c>
      <c r="I52" s="29">
        <v>5737</v>
      </c>
      <c r="J52" s="29">
        <v>1987167</v>
      </c>
      <c r="K52" s="29">
        <v>0</v>
      </c>
      <c r="L52" s="29">
        <v>1987167</v>
      </c>
      <c r="M52" s="29">
        <v>339573</v>
      </c>
      <c r="N52" s="29">
        <v>378757</v>
      </c>
      <c r="O52" s="29">
        <v>2647</v>
      </c>
      <c r="P52" s="29">
        <v>247992</v>
      </c>
      <c r="Q52" s="29">
        <v>28536</v>
      </c>
      <c r="R52" s="29">
        <v>2984672</v>
      </c>
      <c r="S52" s="29">
        <v>198163</v>
      </c>
      <c r="T52" s="29">
        <v>2786509</v>
      </c>
      <c r="U52" s="29">
        <v>1634658</v>
      </c>
      <c r="V52" s="29">
        <v>1151851</v>
      </c>
    </row>
    <row r="53" spans="1:22" x14ac:dyDescent="0.2">
      <c r="A53" s="20" t="s">
        <v>147</v>
      </c>
      <c r="B53" s="20" t="s">
        <v>546</v>
      </c>
      <c r="C53" s="25">
        <v>2465.0100000000002</v>
      </c>
      <c r="D53" s="27">
        <v>16236.8</v>
      </c>
      <c r="E53" s="25">
        <v>18701.810000000001</v>
      </c>
      <c r="F53" s="25">
        <v>0</v>
      </c>
      <c r="G53" s="29">
        <v>1884</v>
      </c>
      <c r="H53" s="27">
        <v>20.9</v>
      </c>
      <c r="I53" s="29">
        <v>18100</v>
      </c>
      <c r="J53" s="29">
        <v>5897803</v>
      </c>
      <c r="K53" s="29">
        <v>65538</v>
      </c>
      <c r="L53" s="29">
        <v>5963341</v>
      </c>
      <c r="M53" s="29">
        <v>1065728</v>
      </c>
      <c r="N53" s="29">
        <v>1171070</v>
      </c>
      <c r="O53" s="29">
        <v>0</v>
      </c>
      <c r="P53" s="29">
        <v>560606</v>
      </c>
      <c r="Q53" s="29">
        <v>65259</v>
      </c>
      <c r="R53" s="29">
        <v>8826004</v>
      </c>
      <c r="S53" s="29">
        <v>846317</v>
      </c>
      <c r="T53" s="29">
        <v>7979687</v>
      </c>
      <c r="U53" s="29">
        <v>4455001</v>
      </c>
      <c r="V53" s="29">
        <v>3524686</v>
      </c>
    </row>
    <row r="54" spans="1:22" x14ac:dyDescent="0.2">
      <c r="A54" s="20" t="s">
        <v>148</v>
      </c>
      <c r="B54" s="20" t="s">
        <v>547</v>
      </c>
      <c r="C54" s="25">
        <v>138.63999999999999</v>
      </c>
      <c r="D54" s="27">
        <v>1280.9000000000001</v>
      </c>
      <c r="E54" s="25">
        <v>1419.54</v>
      </c>
      <c r="F54" s="25">
        <v>0</v>
      </c>
      <c r="G54" s="29">
        <v>6</v>
      </c>
      <c r="H54" s="27">
        <v>0</v>
      </c>
      <c r="I54" s="29">
        <v>1287</v>
      </c>
      <c r="J54" s="29">
        <v>447666</v>
      </c>
      <c r="K54" s="29">
        <v>14127</v>
      </c>
      <c r="L54" s="29">
        <v>461793</v>
      </c>
      <c r="M54" s="29">
        <v>75779</v>
      </c>
      <c r="N54" s="29">
        <v>83269</v>
      </c>
      <c r="O54" s="29">
        <v>0</v>
      </c>
      <c r="P54" s="29">
        <v>43413</v>
      </c>
      <c r="Q54" s="29">
        <v>5054</v>
      </c>
      <c r="R54" s="29">
        <v>669308</v>
      </c>
      <c r="S54" s="29">
        <v>46594</v>
      </c>
      <c r="T54" s="29">
        <v>622714</v>
      </c>
      <c r="U54" s="29">
        <v>356758</v>
      </c>
      <c r="V54" s="29">
        <v>265956</v>
      </c>
    </row>
    <row r="55" spans="1:22" x14ac:dyDescent="0.2">
      <c r="A55" s="20" t="s">
        <v>314</v>
      </c>
      <c r="B55" s="20" t="s">
        <v>704</v>
      </c>
      <c r="C55" s="25">
        <v>165.24</v>
      </c>
      <c r="D55" s="27">
        <v>1352.4</v>
      </c>
      <c r="E55" s="25">
        <v>1517.64</v>
      </c>
      <c r="F55" s="25">
        <v>3.76</v>
      </c>
      <c r="G55" s="29">
        <v>0</v>
      </c>
      <c r="H55" s="27">
        <v>0</v>
      </c>
      <c r="I55" s="29">
        <v>1352</v>
      </c>
      <c r="J55" s="29">
        <v>476053</v>
      </c>
      <c r="K55" s="29">
        <v>0</v>
      </c>
      <c r="L55" s="29">
        <v>476053</v>
      </c>
      <c r="M55" s="29">
        <v>79579</v>
      </c>
      <c r="N55" s="29">
        <v>87434</v>
      </c>
      <c r="O55" s="29">
        <v>1179</v>
      </c>
      <c r="P55" s="29">
        <v>47790</v>
      </c>
      <c r="Q55" s="29">
        <v>5221</v>
      </c>
      <c r="R55" s="29">
        <v>697256</v>
      </c>
      <c r="S55" s="29">
        <v>76839</v>
      </c>
      <c r="T55" s="29">
        <v>620417</v>
      </c>
      <c r="U55" s="29">
        <v>356522</v>
      </c>
      <c r="V55" s="29">
        <v>263895</v>
      </c>
    </row>
    <row r="56" spans="1:22" x14ac:dyDescent="0.2">
      <c r="A56" s="20" t="s">
        <v>315</v>
      </c>
      <c r="B56" s="20" t="s">
        <v>705</v>
      </c>
      <c r="C56" s="25">
        <v>89.09</v>
      </c>
      <c r="D56" s="27">
        <v>771</v>
      </c>
      <c r="E56" s="25">
        <v>860.09</v>
      </c>
      <c r="F56" s="25">
        <v>2.13</v>
      </c>
      <c r="G56" s="29">
        <v>12</v>
      </c>
      <c r="H56" s="27">
        <v>0</v>
      </c>
      <c r="I56" s="29">
        <v>783</v>
      </c>
      <c r="J56" s="29">
        <v>269793</v>
      </c>
      <c r="K56" s="29">
        <v>0</v>
      </c>
      <c r="L56" s="29">
        <v>269793</v>
      </c>
      <c r="M56" s="29">
        <v>46087</v>
      </c>
      <c r="N56" s="29">
        <v>50637</v>
      </c>
      <c r="O56" s="29">
        <v>668</v>
      </c>
      <c r="P56" s="29">
        <v>27084</v>
      </c>
      <c r="Q56" s="29">
        <v>2959</v>
      </c>
      <c r="R56" s="29">
        <v>397228</v>
      </c>
      <c r="S56" s="29">
        <v>46695</v>
      </c>
      <c r="T56" s="29">
        <v>350533</v>
      </c>
      <c r="U56" s="29">
        <v>198903</v>
      </c>
      <c r="V56" s="29">
        <v>151630</v>
      </c>
    </row>
    <row r="57" spans="1:22" x14ac:dyDescent="0.2">
      <c r="A57" s="20" t="s">
        <v>2</v>
      </c>
      <c r="B57" s="20" t="s">
        <v>414</v>
      </c>
      <c r="C57" s="25">
        <v>56.59</v>
      </c>
      <c r="D57" s="27">
        <v>425</v>
      </c>
      <c r="E57" s="25">
        <v>481.59</v>
      </c>
      <c r="F57" s="25">
        <v>1.35</v>
      </c>
      <c r="G57" s="29">
        <v>1</v>
      </c>
      <c r="H57" s="27">
        <v>0</v>
      </c>
      <c r="I57" s="29">
        <v>426</v>
      </c>
      <c r="J57" s="29">
        <v>159175</v>
      </c>
      <c r="K57" s="29">
        <v>9821</v>
      </c>
      <c r="L57" s="29">
        <v>168996</v>
      </c>
      <c r="M57" s="29">
        <v>25202</v>
      </c>
      <c r="N57" s="29">
        <v>28086</v>
      </c>
      <c r="O57" s="29">
        <v>446</v>
      </c>
      <c r="P57" s="29">
        <v>15729</v>
      </c>
      <c r="Q57" s="29">
        <v>1700</v>
      </c>
      <c r="R57" s="29">
        <v>240159</v>
      </c>
      <c r="S57" s="29">
        <v>29988</v>
      </c>
      <c r="T57" s="29">
        <v>210171</v>
      </c>
      <c r="U57" s="29">
        <v>108176</v>
      </c>
      <c r="V57" s="29">
        <v>101995</v>
      </c>
    </row>
    <row r="58" spans="1:22" x14ac:dyDescent="0.2">
      <c r="A58" s="20" t="s">
        <v>127</v>
      </c>
      <c r="B58" s="20" t="s">
        <v>527</v>
      </c>
      <c r="C58" s="25">
        <v>178.39</v>
      </c>
      <c r="D58" s="27">
        <v>1462.3</v>
      </c>
      <c r="E58" s="25">
        <v>1640.69</v>
      </c>
      <c r="F58" s="25">
        <v>2.97</v>
      </c>
      <c r="G58" s="29">
        <v>133</v>
      </c>
      <c r="H58" s="27">
        <v>0</v>
      </c>
      <c r="I58" s="29">
        <v>1595</v>
      </c>
      <c r="J58" s="29">
        <v>520558</v>
      </c>
      <c r="K58" s="29">
        <v>0</v>
      </c>
      <c r="L58" s="29">
        <v>520558</v>
      </c>
      <c r="M58" s="29">
        <v>93627</v>
      </c>
      <c r="N58" s="29">
        <v>102240</v>
      </c>
      <c r="O58" s="29">
        <v>942</v>
      </c>
      <c r="P58" s="29">
        <v>47514</v>
      </c>
      <c r="Q58" s="29">
        <v>5578</v>
      </c>
      <c r="R58" s="29">
        <v>770459</v>
      </c>
      <c r="S58" s="29">
        <v>77370</v>
      </c>
      <c r="T58" s="29">
        <v>693089</v>
      </c>
      <c r="U58" s="29">
        <v>386637</v>
      </c>
      <c r="V58" s="29">
        <v>306452</v>
      </c>
    </row>
    <row r="59" spans="1:22" x14ac:dyDescent="0.2">
      <c r="A59" s="20" t="s">
        <v>149</v>
      </c>
      <c r="B59" s="20" t="s">
        <v>548</v>
      </c>
      <c r="C59" s="25">
        <v>41.92</v>
      </c>
      <c r="D59" s="27">
        <v>481</v>
      </c>
      <c r="E59" s="25">
        <v>522.91999999999996</v>
      </c>
      <c r="F59" s="25">
        <v>0</v>
      </c>
      <c r="G59" s="29">
        <v>1</v>
      </c>
      <c r="H59" s="27">
        <v>0</v>
      </c>
      <c r="I59" s="29">
        <v>482</v>
      </c>
      <c r="J59" s="29">
        <v>164908</v>
      </c>
      <c r="K59" s="29">
        <v>0</v>
      </c>
      <c r="L59" s="29">
        <v>164908</v>
      </c>
      <c r="M59" s="29">
        <v>28380</v>
      </c>
      <c r="N59" s="29">
        <v>31185</v>
      </c>
      <c r="O59" s="29">
        <v>0</v>
      </c>
      <c r="P59" s="29">
        <v>15536</v>
      </c>
      <c r="Q59" s="29">
        <v>1809</v>
      </c>
      <c r="R59" s="29">
        <v>241818</v>
      </c>
      <c r="S59" s="29">
        <v>23775</v>
      </c>
      <c r="T59" s="29">
        <v>218043</v>
      </c>
      <c r="U59" s="29">
        <v>124300</v>
      </c>
      <c r="V59" s="29">
        <v>93743</v>
      </c>
    </row>
    <row r="60" spans="1:22" x14ac:dyDescent="0.2">
      <c r="A60" s="20" t="s">
        <v>272</v>
      </c>
      <c r="B60" s="20" t="s">
        <v>663</v>
      </c>
      <c r="C60" s="25">
        <v>90.83</v>
      </c>
      <c r="D60" s="27">
        <v>648.20000000000005</v>
      </c>
      <c r="E60" s="25">
        <v>739.03</v>
      </c>
      <c r="F60" s="25">
        <v>1.65</v>
      </c>
      <c r="G60" s="29">
        <v>0</v>
      </c>
      <c r="H60" s="27">
        <v>0</v>
      </c>
      <c r="I60" s="29">
        <v>648</v>
      </c>
      <c r="J60" s="29">
        <v>233770</v>
      </c>
      <c r="K60" s="29">
        <v>0</v>
      </c>
      <c r="L60" s="29">
        <v>233770</v>
      </c>
      <c r="M60" s="29">
        <v>38161</v>
      </c>
      <c r="N60" s="29">
        <v>42185</v>
      </c>
      <c r="O60" s="29">
        <v>522</v>
      </c>
      <c r="P60" s="29">
        <v>24004</v>
      </c>
      <c r="Q60" s="29">
        <v>2579</v>
      </c>
      <c r="R60" s="29">
        <v>341221</v>
      </c>
      <c r="S60" s="29">
        <v>35545</v>
      </c>
      <c r="T60" s="29">
        <v>305676</v>
      </c>
      <c r="U60" s="29">
        <v>176208</v>
      </c>
      <c r="V60" s="29">
        <v>129468</v>
      </c>
    </row>
    <row r="61" spans="1:22" x14ac:dyDescent="0.2">
      <c r="A61" s="20" t="s">
        <v>235</v>
      </c>
      <c r="B61" s="20" t="s">
        <v>628</v>
      </c>
      <c r="C61" s="25">
        <v>92.04</v>
      </c>
      <c r="D61" s="27">
        <v>748.6</v>
      </c>
      <c r="E61" s="25">
        <v>840.64</v>
      </c>
      <c r="F61" s="25">
        <v>1.72</v>
      </c>
      <c r="G61" s="29">
        <v>131</v>
      </c>
      <c r="H61" s="27">
        <v>0</v>
      </c>
      <c r="I61" s="29">
        <v>880</v>
      </c>
      <c r="J61" s="29">
        <v>271443</v>
      </c>
      <c r="K61" s="29">
        <v>0</v>
      </c>
      <c r="L61" s="29">
        <v>271443</v>
      </c>
      <c r="M61" s="29">
        <v>52070</v>
      </c>
      <c r="N61" s="29">
        <v>58344</v>
      </c>
      <c r="O61" s="29">
        <v>555</v>
      </c>
      <c r="P61" s="29">
        <v>27321</v>
      </c>
      <c r="Q61" s="29">
        <v>3262</v>
      </c>
      <c r="R61" s="29">
        <v>412995</v>
      </c>
      <c r="S61" s="29">
        <v>34843</v>
      </c>
      <c r="T61" s="29">
        <v>378152</v>
      </c>
      <c r="U61" s="29">
        <v>206330</v>
      </c>
      <c r="V61" s="29">
        <v>171822</v>
      </c>
    </row>
    <row r="62" spans="1:22" x14ac:dyDescent="0.2">
      <c r="A62" s="20" t="s">
        <v>316</v>
      </c>
      <c r="B62" s="20" t="s">
        <v>706</v>
      </c>
      <c r="C62" s="25">
        <v>141.65</v>
      </c>
      <c r="D62" s="27">
        <v>1255</v>
      </c>
      <c r="E62" s="25">
        <v>1396.65</v>
      </c>
      <c r="F62" s="25">
        <v>3.47</v>
      </c>
      <c r="G62" s="29">
        <v>4</v>
      </c>
      <c r="H62" s="27">
        <v>0</v>
      </c>
      <c r="I62" s="29">
        <v>1259</v>
      </c>
      <c r="J62" s="29">
        <v>438101</v>
      </c>
      <c r="K62" s="29">
        <v>2280</v>
      </c>
      <c r="L62" s="29">
        <v>440381</v>
      </c>
      <c r="M62" s="29">
        <v>74105</v>
      </c>
      <c r="N62" s="29">
        <v>81420</v>
      </c>
      <c r="O62" s="29">
        <v>1088</v>
      </c>
      <c r="P62" s="29">
        <v>43981</v>
      </c>
      <c r="Q62" s="29">
        <v>4804</v>
      </c>
      <c r="R62" s="29">
        <v>645779</v>
      </c>
      <c r="S62" s="29">
        <v>69564</v>
      </c>
      <c r="T62" s="29">
        <v>576215</v>
      </c>
      <c r="U62" s="29">
        <v>329251</v>
      </c>
      <c r="V62" s="29">
        <v>246964</v>
      </c>
    </row>
    <row r="63" spans="1:22" x14ac:dyDescent="0.2">
      <c r="A63" s="20" t="s">
        <v>75</v>
      </c>
      <c r="B63" s="20" t="s">
        <v>478</v>
      </c>
      <c r="C63" s="25">
        <v>289.48</v>
      </c>
      <c r="D63" s="27">
        <v>1563.1</v>
      </c>
      <c r="E63" s="25">
        <v>1852.58</v>
      </c>
      <c r="F63" s="25">
        <v>2.4700000000000002</v>
      </c>
      <c r="G63" s="29">
        <v>147</v>
      </c>
      <c r="H63" s="27">
        <v>5.4</v>
      </c>
      <c r="I63" s="29">
        <v>1705</v>
      </c>
      <c r="J63" s="29">
        <v>592159</v>
      </c>
      <c r="K63" s="29">
        <v>0</v>
      </c>
      <c r="L63" s="29">
        <v>592159</v>
      </c>
      <c r="M63" s="29">
        <v>100919</v>
      </c>
      <c r="N63" s="29">
        <v>112564</v>
      </c>
      <c r="O63" s="29">
        <v>790</v>
      </c>
      <c r="P63" s="29">
        <v>73899</v>
      </c>
      <c r="Q63" s="29">
        <v>8503</v>
      </c>
      <c r="R63" s="29">
        <v>888834</v>
      </c>
      <c r="S63" s="29">
        <v>82982</v>
      </c>
      <c r="T63" s="29">
        <v>805852</v>
      </c>
      <c r="U63" s="29">
        <v>463183</v>
      </c>
      <c r="V63" s="29">
        <v>342669</v>
      </c>
    </row>
    <row r="64" spans="1:22" x14ac:dyDescent="0.2">
      <c r="A64" s="20" t="s">
        <v>236</v>
      </c>
      <c r="B64" s="20" t="s">
        <v>629</v>
      </c>
      <c r="C64" s="25">
        <v>46.21</v>
      </c>
      <c r="D64" s="27">
        <v>265</v>
      </c>
      <c r="E64" s="25">
        <v>311.20999999999998</v>
      </c>
      <c r="F64" s="25">
        <v>0.63</v>
      </c>
      <c r="G64" s="29">
        <v>0</v>
      </c>
      <c r="H64" s="27">
        <v>0</v>
      </c>
      <c r="I64" s="29">
        <v>265</v>
      </c>
      <c r="J64" s="29">
        <v>100490</v>
      </c>
      <c r="K64" s="29">
        <v>0</v>
      </c>
      <c r="L64" s="29">
        <v>100490</v>
      </c>
      <c r="M64" s="29">
        <v>15680</v>
      </c>
      <c r="N64" s="29">
        <v>17570</v>
      </c>
      <c r="O64" s="29">
        <v>203</v>
      </c>
      <c r="P64" s="29">
        <v>10114</v>
      </c>
      <c r="Q64" s="29">
        <v>1207</v>
      </c>
      <c r="R64" s="29">
        <v>145264</v>
      </c>
      <c r="S64" s="29">
        <v>17747</v>
      </c>
      <c r="T64" s="29">
        <v>127517</v>
      </c>
      <c r="U64" s="29">
        <v>71534</v>
      </c>
      <c r="V64" s="29">
        <v>55983</v>
      </c>
    </row>
    <row r="65" spans="1:22" x14ac:dyDescent="0.2">
      <c r="A65" s="20" t="s">
        <v>237</v>
      </c>
      <c r="B65" s="20" t="s">
        <v>630</v>
      </c>
      <c r="C65" s="25">
        <v>132.93</v>
      </c>
      <c r="D65" s="27">
        <v>1028.7</v>
      </c>
      <c r="E65" s="25">
        <v>1161.6300000000001</v>
      </c>
      <c r="F65" s="25">
        <v>2.37</v>
      </c>
      <c r="G65" s="29">
        <v>5</v>
      </c>
      <c r="H65" s="27">
        <v>0</v>
      </c>
      <c r="I65" s="29">
        <v>1034</v>
      </c>
      <c r="J65" s="29">
        <v>375090</v>
      </c>
      <c r="K65" s="29">
        <v>0</v>
      </c>
      <c r="L65" s="29">
        <v>375090</v>
      </c>
      <c r="M65" s="29">
        <v>61182</v>
      </c>
      <c r="N65" s="29">
        <v>68554</v>
      </c>
      <c r="O65" s="29">
        <v>765</v>
      </c>
      <c r="P65" s="29">
        <v>37753</v>
      </c>
      <c r="Q65" s="29">
        <v>4507</v>
      </c>
      <c r="R65" s="29">
        <v>547851</v>
      </c>
      <c r="S65" s="29">
        <v>53299</v>
      </c>
      <c r="T65" s="29">
        <v>494552</v>
      </c>
      <c r="U65" s="29">
        <v>279961</v>
      </c>
      <c r="V65" s="29">
        <v>214591</v>
      </c>
    </row>
    <row r="66" spans="1:22" x14ac:dyDescent="0.2">
      <c r="A66" s="20" t="s">
        <v>273</v>
      </c>
      <c r="B66" s="20" t="s">
        <v>664</v>
      </c>
      <c r="C66" s="25">
        <v>113.96</v>
      </c>
      <c r="D66" s="27">
        <v>944.3</v>
      </c>
      <c r="E66" s="25">
        <v>1058.26</v>
      </c>
      <c r="F66" s="25">
        <v>2.36</v>
      </c>
      <c r="G66" s="29">
        <v>67</v>
      </c>
      <c r="H66" s="27">
        <v>1.6</v>
      </c>
      <c r="I66" s="29">
        <v>1010</v>
      </c>
      <c r="J66" s="29">
        <v>334749</v>
      </c>
      <c r="K66" s="29">
        <v>4654</v>
      </c>
      <c r="L66" s="29">
        <v>339403</v>
      </c>
      <c r="M66" s="29">
        <v>59479</v>
      </c>
      <c r="N66" s="29">
        <v>65751</v>
      </c>
      <c r="O66" s="29">
        <v>747</v>
      </c>
      <c r="P66" s="29">
        <v>34851</v>
      </c>
      <c r="Q66" s="29">
        <v>3736</v>
      </c>
      <c r="R66" s="29">
        <v>503967</v>
      </c>
      <c r="S66" s="29">
        <v>50182</v>
      </c>
      <c r="T66" s="29">
        <v>453785</v>
      </c>
      <c r="U66" s="29">
        <v>253560</v>
      </c>
      <c r="V66" s="29">
        <v>200225</v>
      </c>
    </row>
    <row r="67" spans="1:22" x14ac:dyDescent="0.2">
      <c r="A67" s="20" t="s">
        <v>26</v>
      </c>
      <c r="B67" s="20" t="s">
        <v>437</v>
      </c>
      <c r="C67" s="25">
        <v>122.34</v>
      </c>
      <c r="D67" s="27">
        <v>946.2</v>
      </c>
      <c r="E67" s="25">
        <v>1068.54</v>
      </c>
      <c r="F67" s="25">
        <v>0</v>
      </c>
      <c r="G67" s="29">
        <v>3</v>
      </c>
      <c r="H67" s="27">
        <v>0</v>
      </c>
      <c r="I67" s="29">
        <v>949</v>
      </c>
      <c r="J67" s="29">
        <v>348633</v>
      </c>
      <c r="K67" s="29">
        <v>15</v>
      </c>
      <c r="L67" s="29">
        <v>348648</v>
      </c>
      <c r="M67" s="29">
        <v>56219</v>
      </c>
      <c r="N67" s="29">
        <v>63014</v>
      </c>
      <c r="O67" s="29">
        <v>0</v>
      </c>
      <c r="P67" s="29">
        <v>37023</v>
      </c>
      <c r="Q67" s="29">
        <v>4406</v>
      </c>
      <c r="R67" s="29">
        <v>509310</v>
      </c>
      <c r="S67" s="29">
        <v>52020</v>
      </c>
      <c r="T67" s="29">
        <v>457290</v>
      </c>
      <c r="U67" s="29">
        <v>256544</v>
      </c>
      <c r="V67" s="29">
        <v>200746</v>
      </c>
    </row>
    <row r="68" spans="1:22" x14ac:dyDescent="0.2">
      <c r="A68" s="20" t="s">
        <v>274</v>
      </c>
      <c r="B68" s="20" t="s">
        <v>665</v>
      </c>
      <c r="C68" s="25">
        <v>189.51</v>
      </c>
      <c r="D68" s="27">
        <v>1413.6</v>
      </c>
      <c r="E68" s="25">
        <v>1603.11</v>
      </c>
      <c r="F68" s="25">
        <v>3.58</v>
      </c>
      <c r="G68" s="29">
        <v>3</v>
      </c>
      <c r="H68" s="27">
        <v>0</v>
      </c>
      <c r="I68" s="29">
        <v>1417</v>
      </c>
      <c r="J68" s="29">
        <v>507096</v>
      </c>
      <c r="K68" s="29">
        <v>0</v>
      </c>
      <c r="L68" s="29">
        <v>507096</v>
      </c>
      <c r="M68" s="29">
        <v>83447</v>
      </c>
      <c r="N68" s="29">
        <v>92247</v>
      </c>
      <c r="O68" s="29">
        <v>1132</v>
      </c>
      <c r="P68" s="29">
        <v>52069</v>
      </c>
      <c r="Q68" s="29">
        <v>5595</v>
      </c>
      <c r="R68" s="29">
        <v>741586</v>
      </c>
      <c r="S68" s="29">
        <v>66523</v>
      </c>
      <c r="T68" s="29">
        <v>675063</v>
      </c>
      <c r="U68" s="29">
        <v>392814</v>
      </c>
      <c r="V68" s="29">
        <v>282249</v>
      </c>
    </row>
    <row r="69" spans="1:22" x14ac:dyDescent="0.2">
      <c r="A69" s="20" t="s">
        <v>76</v>
      </c>
      <c r="B69" s="20" t="s">
        <v>479</v>
      </c>
      <c r="C69" s="25">
        <v>33.15</v>
      </c>
      <c r="D69" s="27">
        <v>299.60000000000002</v>
      </c>
      <c r="E69" s="25">
        <v>332.75</v>
      </c>
      <c r="F69" s="25">
        <v>0.44</v>
      </c>
      <c r="G69" s="29">
        <v>2</v>
      </c>
      <c r="H69" s="27">
        <v>0</v>
      </c>
      <c r="I69" s="29">
        <v>302</v>
      </c>
      <c r="J69" s="29">
        <v>106360</v>
      </c>
      <c r="K69" s="29">
        <v>11434</v>
      </c>
      <c r="L69" s="29">
        <v>117794</v>
      </c>
      <c r="M69" s="29">
        <v>17875</v>
      </c>
      <c r="N69" s="29">
        <v>19938</v>
      </c>
      <c r="O69" s="29">
        <v>141</v>
      </c>
      <c r="P69" s="29">
        <v>13273</v>
      </c>
      <c r="Q69" s="29">
        <v>1527</v>
      </c>
      <c r="R69" s="29">
        <v>170548</v>
      </c>
      <c r="S69" s="29">
        <v>18545</v>
      </c>
      <c r="T69" s="29">
        <v>152003</v>
      </c>
      <c r="U69" s="29">
        <v>79553</v>
      </c>
      <c r="V69" s="29">
        <v>72450</v>
      </c>
    </row>
    <row r="70" spans="1:22" x14ac:dyDescent="0.2">
      <c r="A70" s="20" t="s">
        <v>27</v>
      </c>
      <c r="B70" s="20" t="s">
        <v>438</v>
      </c>
      <c r="C70" s="25">
        <v>41.96</v>
      </c>
      <c r="D70" s="27">
        <v>314</v>
      </c>
      <c r="E70" s="25">
        <v>355.96</v>
      </c>
      <c r="F70" s="25">
        <v>0</v>
      </c>
      <c r="G70" s="29">
        <v>23</v>
      </c>
      <c r="H70" s="27">
        <v>0</v>
      </c>
      <c r="I70" s="29">
        <v>337</v>
      </c>
      <c r="J70" s="29">
        <v>116139</v>
      </c>
      <c r="K70" s="29">
        <v>8894</v>
      </c>
      <c r="L70" s="29">
        <v>125033</v>
      </c>
      <c r="M70" s="29">
        <v>19964</v>
      </c>
      <c r="N70" s="29">
        <v>22377</v>
      </c>
      <c r="O70" s="29">
        <v>0</v>
      </c>
      <c r="P70" s="29">
        <v>12323</v>
      </c>
      <c r="Q70" s="29">
        <v>1467</v>
      </c>
      <c r="R70" s="29">
        <v>181164</v>
      </c>
      <c r="S70" s="29">
        <v>23296</v>
      </c>
      <c r="T70" s="29">
        <v>157868</v>
      </c>
      <c r="U70" s="29">
        <v>79484</v>
      </c>
      <c r="V70" s="29">
        <v>78384</v>
      </c>
    </row>
    <row r="71" spans="1:22" x14ac:dyDescent="0.2">
      <c r="A71" s="20" t="s">
        <v>150</v>
      </c>
      <c r="B71" s="20" t="s">
        <v>549</v>
      </c>
      <c r="C71" s="25">
        <v>304.8</v>
      </c>
      <c r="D71" s="27">
        <v>2624.4</v>
      </c>
      <c r="E71" s="25">
        <v>2929.2</v>
      </c>
      <c r="F71" s="25">
        <v>0</v>
      </c>
      <c r="G71" s="29">
        <v>16</v>
      </c>
      <c r="H71" s="27">
        <v>0</v>
      </c>
      <c r="I71" s="29">
        <v>2640</v>
      </c>
      <c r="J71" s="29">
        <v>923753</v>
      </c>
      <c r="K71" s="29">
        <v>0</v>
      </c>
      <c r="L71" s="29">
        <v>923753</v>
      </c>
      <c r="M71" s="29">
        <v>155443</v>
      </c>
      <c r="N71" s="29">
        <v>170808</v>
      </c>
      <c r="O71" s="29">
        <v>0</v>
      </c>
      <c r="P71" s="29">
        <v>87027</v>
      </c>
      <c r="Q71" s="29">
        <v>10135</v>
      </c>
      <c r="R71" s="29">
        <v>1347166</v>
      </c>
      <c r="S71" s="29">
        <v>54531</v>
      </c>
      <c r="T71" s="29">
        <v>1292635</v>
      </c>
      <c r="U71" s="29">
        <v>774931</v>
      </c>
      <c r="V71" s="29">
        <v>517704</v>
      </c>
    </row>
    <row r="72" spans="1:22" x14ac:dyDescent="0.2">
      <c r="A72" s="20" t="s">
        <v>77</v>
      </c>
      <c r="B72" s="20" t="s">
        <v>480</v>
      </c>
      <c r="C72" s="25">
        <v>182.84</v>
      </c>
      <c r="D72" s="27">
        <v>1216.5</v>
      </c>
      <c r="E72" s="25">
        <v>1399.34</v>
      </c>
      <c r="F72" s="25">
        <v>1.86</v>
      </c>
      <c r="G72" s="29">
        <v>60</v>
      </c>
      <c r="H72" s="27">
        <v>0</v>
      </c>
      <c r="I72" s="29">
        <v>1277</v>
      </c>
      <c r="J72" s="29">
        <v>447285</v>
      </c>
      <c r="K72" s="29">
        <v>8140</v>
      </c>
      <c r="L72" s="29">
        <v>455425</v>
      </c>
      <c r="M72" s="29">
        <v>75586</v>
      </c>
      <c r="N72" s="29">
        <v>84308</v>
      </c>
      <c r="O72" s="29">
        <v>595</v>
      </c>
      <c r="P72" s="29">
        <v>57076</v>
      </c>
      <c r="Q72" s="29">
        <v>6564</v>
      </c>
      <c r="R72" s="29">
        <v>679554</v>
      </c>
      <c r="S72" s="29">
        <v>69828</v>
      </c>
      <c r="T72" s="29">
        <v>609726</v>
      </c>
      <c r="U72" s="29">
        <v>344112</v>
      </c>
      <c r="V72" s="29">
        <v>265614</v>
      </c>
    </row>
    <row r="73" spans="1:22" x14ac:dyDescent="0.2">
      <c r="A73" s="20" t="s">
        <v>128</v>
      </c>
      <c r="B73" s="20" t="s">
        <v>528</v>
      </c>
      <c r="C73" s="25">
        <v>795.41</v>
      </c>
      <c r="D73" s="27">
        <v>3652.7</v>
      </c>
      <c r="E73" s="25">
        <v>4448.1099999999997</v>
      </c>
      <c r="F73" s="25">
        <v>8.0399999999999991</v>
      </c>
      <c r="G73" s="29">
        <v>160</v>
      </c>
      <c r="H73" s="27">
        <v>0</v>
      </c>
      <c r="I73" s="29">
        <v>3813</v>
      </c>
      <c r="J73" s="29">
        <v>1411296</v>
      </c>
      <c r="K73" s="29">
        <v>0</v>
      </c>
      <c r="L73" s="29">
        <v>1411296</v>
      </c>
      <c r="M73" s="29">
        <v>223823</v>
      </c>
      <c r="N73" s="29">
        <v>244413</v>
      </c>
      <c r="O73" s="29">
        <v>2551</v>
      </c>
      <c r="P73" s="29">
        <v>128817</v>
      </c>
      <c r="Q73" s="29">
        <v>15124</v>
      </c>
      <c r="R73" s="29">
        <v>2026024</v>
      </c>
      <c r="S73" s="29">
        <v>219420</v>
      </c>
      <c r="T73" s="29">
        <v>1806604</v>
      </c>
      <c r="U73" s="29">
        <v>1038559</v>
      </c>
      <c r="V73" s="29">
        <v>768045</v>
      </c>
    </row>
    <row r="74" spans="1:22" x14ac:dyDescent="0.2">
      <c r="A74" s="20" t="s">
        <v>188</v>
      </c>
      <c r="B74" s="20" t="s">
        <v>584</v>
      </c>
      <c r="C74" s="25">
        <v>99.86</v>
      </c>
      <c r="D74" s="27">
        <v>729.8</v>
      </c>
      <c r="E74" s="25">
        <v>829.66</v>
      </c>
      <c r="F74" s="25">
        <v>0</v>
      </c>
      <c r="G74" s="29">
        <v>7</v>
      </c>
      <c r="H74" s="27">
        <v>0</v>
      </c>
      <c r="I74" s="29">
        <v>737</v>
      </c>
      <c r="J74" s="29">
        <v>255751</v>
      </c>
      <c r="K74" s="29">
        <v>6301</v>
      </c>
      <c r="L74" s="29">
        <v>262052</v>
      </c>
      <c r="M74" s="29">
        <v>43306</v>
      </c>
      <c r="N74" s="29">
        <v>47551</v>
      </c>
      <c r="O74" s="29">
        <v>0</v>
      </c>
      <c r="P74" s="29">
        <v>21933</v>
      </c>
      <c r="Q74" s="29">
        <v>2770</v>
      </c>
      <c r="R74" s="29">
        <v>377612</v>
      </c>
      <c r="S74" s="29">
        <v>41179</v>
      </c>
      <c r="T74" s="29">
        <v>336433</v>
      </c>
      <c r="U74" s="29">
        <v>190939</v>
      </c>
      <c r="V74" s="29">
        <v>145494</v>
      </c>
    </row>
    <row r="75" spans="1:22" x14ac:dyDescent="0.2">
      <c r="A75" s="20" t="s">
        <v>151</v>
      </c>
      <c r="B75" s="20" t="s">
        <v>550</v>
      </c>
      <c r="C75" s="25">
        <v>589.19000000000005</v>
      </c>
      <c r="D75" s="27">
        <v>5089.3</v>
      </c>
      <c r="E75" s="25">
        <v>5678.49</v>
      </c>
      <c r="F75" s="25">
        <v>0</v>
      </c>
      <c r="G75" s="29">
        <v>122</v>
      </c>
      <c r="H75" s="27">
        <v>0</v>
      </c>
      <c r="I75" s="29">
        <v>5211</v>
      </c>
      <c r="J75" s="29">
        <v>1790769</v>
      </c>
      <c r="K75" s="29">
        <v>0</v>
      </c>
      <c r="L75" s="29">
        <v>1790769</v>
      </c>
      <c r="M75" s="29">
        <v>306824</v>
      </c>
      <c r="N75" s="29">
        <v>337152</v>
      </c>
      <c r="O75" s="29">
        <v>0</v>
      </c>
      <c r="P75" s="29">
        <v>168708</v>
      </c>
      <c r="Q75" s="29">
        <v>19648</v>
      </c>
      <c r="R75" s="29">
        <v>2623101</v>
      </c>
      <c r="S75" s="29">
        <v>142066</v>
      </c>
      <c r="T75" s="29">
        <v>2481035</v>
      </c>
      <c r="U75" s="29">
        <v>1465913</v>
      </c>
      <c r="V75" s="29">
        <v>1015122</v>
      </c>
    </row>
    <row r="76" spans="1:22" x14ac:dyDescent="0.2">
      <c r="A76" s="20" t="s">
        <v>189</v>
      </c>
      <c r="B76" s="20" t="s">
        <v>585</v>
      </c>
      <c r="C76" s="25">
        <v>66.08</v>
      </c>
      <c r="D76" s="27">
        <v>439.2</v>
      </c>
      <c r="E76" s="25">
        <v>505.28</v>
      </c>
      <c r="F76" s="25">
        <v>0</v>
      </c>
      <c r="G76" s="29">
        <v>5</v>
      </c>
      <c r="H76" s="27">
        <v>0</v>
      </c>
      <c r="I76" s="29">
        <v>444</v>
      </c>
      <c r="J76" s="29">
        <v>155758</v>
      </c>
      <c r="K76" s="29">
        <v>0</v>
      </c>
      <c r="L76" s="29">
        <v>155758</v>
      </c>
      <c r="M76" s="29">
        <v>26089</v>
      </c>
      <c r="N76" s="29">
        <v>28647</v>
      </c>
      <c r="O76" s="29">
        <v>0</v>
      </c>
      <c r="P76" s="29">
        <v>13107</v>
      </c>
      <c r="Q76" s="29">
        <v>1652</v>
      </c>
      <c r="R76" s="29">
        <v>225253</v>
      </c>
      <c r="S76" s="29">
        <v>23962</v>
      </c>
      <c r="T76" s="29">
        <v>201291</v>
      </c>
      <c r="U76" s="29">
        <v>117117</v>
      </c>
      <c r="V76" s="29">
        <v>84174</v>
      </c>
    </row>
    <row r="77" spans="1:22" x14ac:dyDescent="0.2">
      <c r="A77" s="20" t="s">
        <v>190</v>
      </c>
      <c r="B77" s="20" t="s">
        <v>586</v>
      </c>
      <c r="C77" s="25">
        <v>37.31</v>
      </c>
      <c r="D77" s="27">
        <v>487.2</v>
      </c>
      <c r="E77" s="25">
        <v>524.51</v>
      </c>
      <c r="F77" s="25">
        <v>0</v>
      </c>
      <c r="G77" s="29">
        <v>0</v>
      </c>
      <c r="H77" s="27">
        <v>0</v>
      </c>
      <c r="I77" s="29">
        <v>487</v>
      </c>
      <c r="J77" s="29">
        <v>161685</v>
      </c>
      <c r="K77" s="29">
        <v>5040</v>
      </c>
      <c r="L77" s="29">
        <v>166725</v>
      </c>
      <c r="M77" s="29">
        <v>28616</v>
      </c>
      <c r="N77" s="29">
        <v>31421</v>
      </c>
      <c r="O77" s="29">
        <v>0</v>
      </c>
      <c r="P77" s="29">
        <v>13954</v>
      </c>
      <c r="Q77" s="29">
        <v>1762</v>
      </c>
      <c r="R77" s="29">
        <v>242478</v>
      </c>
      <c r="S77" s="29">
        <v>26655</v>
      </c>
      <c r="T77" s="29">
        <v>215823</v>
      </c>
      <c r="U77" s="29">
        <v>120189</v>
      </c>
      <c r="V77" s="29">
        <v>95634</v>
      </c>
    </row>
    <row r="78" spans="1:22" x14ac:dyDescent="0.2">
      <c r="A78" s="20" t="s">
        <v>129</v>
      </c>
      <c r="B78" s="20" t="s">
        <v>529</v>
      </c>
      <c r="C78" s="25">
        <v>102.58</v>
      </c>
      <c r="D78" s="27">
        <v>745</v>
      </c>
      <c r="E78" s="25">
        <v>847.58</v>
      </c>
      <c r="F78" s="25">
        <v>1.53</v>
      </c>
      <c r="G78" s="29">
        <v>0</v>
      </c>
      <c r="H78" s="27">
        <v>0</v>
      </c>
      <c r="I78" s="29">
        <v>745</v>
      </c>
      <c r="J78" s="29">
        <v>268920</v>
      </c>
      <c r="K78" s="29">
        <v>30153</v>
      </c>
      <c r="L78" s="29">
        <v>299073</v>
      </c>
      <c r="M78" s="29">
        <v>43732</v>
      </c>
      <c r="N78" s="29">
        <v>47755</v>
      </c>
      <c r="O78" s="29">
        <v>485</v>
      </c>
      <c r="P78" s="29">
        <v>24546</v>
      </c>
      <c r="Q78" s="29">
        <v>2882</v>
      </c>
      <c r="R78" s="29">
        <v>418473</v>
      </c>
      <c r="S78" s="29">
        <v>48308</v>
      </c>
      <c r="T78" s="29">
        <v>370165</v>
      </c>
      <c r="U78" s="29">
        <v>191398</v>
      </c>
      <c r="V78" s="29">
        <v>178767</v>
      </c>
    </row>
    <row r="79" spans="1:22" x14ac:dyDescent="0.2">
      <c r="A79" s="20" t="s">
        <v>191</v>
      </c>
      <c r="B79" s="20" t="s">
        <v>587</v>
      </c>
      <c r="C79" s="25">
        <v>62.05</v>
      </c>
      <c r="D79" s="27">
        <v>424.9</v>
      </c>
      <c r="E79" s="25">
        <v>486.95</v>
      </c>
      <c r="F79" s="25">
        <v>0</v>
      </c>
      <c r="G79" s="29">
        <v>2</v>
      </c>
      <c r="H79" s="27">
        <v>0</v>
      </c>
      <c r="I79" s="29">
        <v>427</v>
      </c>
      <c r="J79" s="29">
        <v>150107</v>
      </c>
      <c r="K79" s="29">
        <v>0</v>
      </c>
      <c r="L79" s="29">
        <v>150107</v>
      </c>
      <c r="M79" s="29">
        <v>25091</v>
      </c>
      <c r="N79" s="29">
        <v>27550</v>
      </c>
      <c r="O79" s="29">
        <v>0</v>
      </c>
      <c r="P79" s="29">
        <v>12631</v>
      </c>
      <c r="Q79" s="29">
        <v>1592</v>
      </c>
      <c r="R79" s="29">
        <v>216971</v>
      </c>
      <c r="S79" s="29">
        <v>24283</v>
      </c>
      <c r="T79" s="29">
        <v>192688</v>
      </c>
      <c r="U79" s="29">
        <v>111678</v>
      </c>
      <c r="V79" s="29">
        <v>81010</v>
      </c>
    </row>
    <row r="80" spans="1:22" x14ac:dyDescent="0.2">
      <c r="A80" s="20" t="s">
        <v>275</v>
      </c>
      <c r="B80" s="20" t="s">
        <v>666</v>
      </c>
      <c r="C80" s="25">
        <v>53.34</v>
      </c>
      <c r="D80" s="27">
        <v>408.4</v>
      </c>
      <c r="E80" s="25">
        <v>461.74</v>
      </c>
      <c r="F80" s="25">
        <v>1.03</v>
      </c>
      <c r="G80" s="29">
        <v>1</v>
      </c>
      <c r="H80" s="27">
        <v>0</v>
      </c>
      <c r="I80" s="29">
        <v>409</v>
      </c>
      <c r="J80" s="29">
        <v>146058</v>
      </c>
      <c r="K80" s="29">
        <v>5492</v>
      </c>
      <c r="L80" s="29">
        <v>151550</v>
      </c>
      <c r="M80" s="29">
        <v>24086</v>
      </c>
      <c r="N80" s="29">
        <v>26626</v>
      </c>
      <c r="O80" s="29">
        <v>326</v>
      </c>
      <c r="P80" s="29">
        <v>14997</v>
      </c>
      <c r="Q80" s="29">
        <v>1611</v>
      </c>
      <c r="R80" s="29">
        <v>219196</v>
      </c>
      <c r="S80" s="29">
        <v>28933</v>
      </c>
      <c r="T80" s="29">
        <v>190263</v>
      </c>
      <c r="U80" s="29">
        <v>103368</v>
      </c>
      <c r="V80" s="29">
        <v>86895</v>
      </c>
    </row>
    <row r="81" spans="1:22" x14ac:dyDescent="0.2">
      <c r="A81" s="20" t="s">
        <v>276</v>
      </c>
      <c r="B81" s="20" t="s">
        <v>667</v>
      </c>
      <c r="C81" s="25">
        <v>2073.7199999999998</v>
      </c>
      <c r="D81" s="27">
        <v>8884.7999999999993</v>
      </c>
      <c r="E81" s="25">
        <v>10958.52</v>
      </c>
      <c r="F81" s="25">
        <v>24.45</v>
      </c>
      <c r="G81" s="29">
        <v>399</v>
      </c>
      <c r="H81" s="27">
        <v>3</v>
      </c>
      <c r="I81" s="29">
        <v>9281</v>
      </c>
      <c r="J81" s="29">
        <v>3466399</v>
      </c>
      <c r="K81" s="29">
        <v>17157</v>
      </c>
      <c r="L81" s="29">
        <v>3483556</v>
      </c>
      <c r="M81" s="29">
        <v>546558</v>
      </c>
      <c r="N81" s="29">
        <v>604193</v>
      </c>
      <c r="O81" s="29">
        <v>7734</v>
      </c>
      <c r="P81" s="29">
        <v>357704</v>
      </c>
      <c r="Q81" s="29">
        <v>38342</v>
      </c>
      <c r="R81" s="29">
        <v>5038087</v>
      </c>
      <c r="S81" s="29">
        <v>450650</v>
      </c>
      <c r="T81" s="29">
        <v>4587437</v>
      </c>
      <c r="U81" s="29">
        <v>2691139</v>
      </c>
      <c r="V81" s="29">
        <v>1896298</v>
      </c>
    </row>
    <row r="82" spans="1:22" x14ac:dyDescent="0.2">
      <c r="A82" s="20" t="s">
        <v>277</v>
      </c>
      <c r="B82" s="20" t="s">
        <v>668</v>
      </c>
      <c r="C82" s="25">
        <v>199.65</v>
      </c>
      <c r="D82" s="27">
        <v>1462</v>
      </c>
      <c r="E82" s="25">
        <v>1661.65</v>
      </c>
      <c r="F82" s="25">
        <v>3.71</v>
      </c>
      <c r="G82" s="29">
        <v>108</v>
      </c>
      <c r="H82" s="27">
        <v>0.3</v>
      </c>
      <c r="I82" s="29">
        <v>1570</v>
      </c>
      <c r="J82" s="29">
        <v>525613</v>
      </c>
      <c r="K82" s="29">
        <v>0</v>
      </c>
      <c r="L82" s="29">
        <v>525613</v>
      </c>
      <c r="M82" s="29">
        <v>92457</v>
      </c>
      <c r="N82" s="29">
        <v>102207</v>
      </c>
      <c r="O82" s="29">
        <v>1174</v>
      </c>
      <c r="P82" s="29">
        <v>53970</v>
      </c>
      <c r="Q82" s="29">
        <v>5799</v>
      </c>
      <c r="R82" s="29">
        <v>781220</v>
      </c>
      <c r="S82" s="29">
        <v>73855</v>
      </c>
      <c r="T82" s="29">
        <v>707365</v>
      </c>
      <c r="U82" s="29">
        <v>402254</v>
      </c>
      <c r="V82" s="29">
        <v>305111</v>
      </c>
    </row>
    <row r="83" spans="1:22" x14ac:dyDescent="0.2">
      <c r="A83" s="20" t="s">
        <v>192</v>
      </c>
      <c r="B83" s="20" t="s">
        <v>588</v>
      </c>
      <c r="C83" s="25">
        <v>327.75</v>
      </c>
      <c r="D83" s="27">
        <v>3223.6</v>
      </c>
      <c r="E83" s="25">
        <v>3551.35</v>
      </c>
      <c r="F83" s="25">
        <v>0</v>
      </c>
      <c r="G83" s="29">
        <v>73</v>
      </c>
      <c r="H83" s="27">
        <v>0</v>
      </c>
      <c r="I83" s="29">
        <v>3297</v>
      </c>
      <c r="J83" s="29">
        <v>1094739</v>
      </c>
      <c r="K83" s="29">
        <v>0</v>
      </c>
      <c r="L83" s="29">
        <v>1094739</v>
      </c>
      <c r="M83" s="29">
        <v>193732</v>
      </c>
      <c r="N83" s="29">
        <v>212722</v>
      </c>
      <c r="O83" s="29">
        <v>0</v>
      </c>
      <c r="P83" s="29">
        <v>92122</v>
      </c>
      <c r="Q83" s="29">
        <v>11613</v>
      </c>
      <c r="R83" s="29">
        <v>1604928</v>
      </c>
      <c r="S83" s="29">
        <v>64515</v>
      </c>
      <c r="T83" s="29">
        <v>1540413</v>
      </c>
      <c r="U83" s="29">
        <v>927058</v>
      </c>
      <c r="V83" s="29">
        <v>613355</v>
      </c>
    </row>
    <row r="84" spans="1:22" x14ac:dyDescent="0.2">
      <c r="A84" s="20" t="s">
        <v>317</v>
      </c>
      <c r="B84" s="20" t="s">
        <v>707</v>
      </c>
      <c r="C84" s="25">
        <v>48.45</v>
      </c>
      <c r="D84" s="27">
        <v>483.9</v>
      </c>
      <c r="E84" s="25">
        <v>532.35</v>
      </c>
      <c r="F84" s="25">
        <v>1.32</v>
      </c>
      <c r="G84" s="29">
        <v>4</v>
      </c>
      <c r="H84" s="27">
        <v>0</v>
      </c>
      <c r="I84" s="29">
        <v>488</v>
      </c>
      <c r="J84" s="29">
        <v>166988</v>
      </c>
      <c r="K84" s="29">
        <v>6122</v>
      </c>
      <c r="L84" s="29">
        <v>173110</v>
      </c>
      <c r="M84" s="29">
        <v>28724</v>
      </c>
      <c r="N84" s="29">
        <v>31559</v>
      </c>
      <c r="O84" s="29">
        <v>414</v>
      </c>
      <c r="P84" s="29">
        <v>17369</v>
      </c>
      <c r="Q84" s="29">
        <v>1893</v>
      </c>
      <c r="R84" s="29">
        <v>253069</v>
      </c>
      <c r="S84" s="29">
        <v>20792</v>
      </c>
      <c r="T84" s="29">
        <v>232277</v>
      </c>
      <c r="U84" s="29">
        <v>131888</v>
      </c>
      <c r="V84" s="29">
        <v>100389</v>
      </c>
    </row>
    <row r="85" spans="1:22" x14ac:dyDescent="0.2">
      <c r="A85" s="20" t="s">
        <v>130</v>
      </c>
      <c r="B85" s="20" t="s">
        <v>530</v>
      </c>
      <c r="C85" s="25">
        <v>2744.36</v>
      </c>
      <c r="D85" s="27">
        <v>14470.6</v>
      </c>
      <c r="E85" s="25">
        <v>17214.96</v>
      </c>
      <c r="F85" s="25">
        <v>31.15</v>
      </c>
      <c r="G85" s="29">
        <v>1690</v>
      </c>
      <c r="H85" s="27">
        <v>1.1000000000000001</v>
      </c>
      <c r="I85" s="29">
        <v>16160</v>
      </c>
      <c r="J85" s="29">
        <v>5461963</v>
      </c>
      <c r="K85" s="29">
        <v>141045</v>
      </c>
      <c r="L85" s="29">
        <v>5603008</v>
      </c>
      <c r="M85" s="29">
        <v>948592</v>
      </c>
      <c r="N85" s="29">
        <v>1035856</v>
      </c>
      <c r="O85" s="29">
        <v>9883</v>
      </c>
      <c r="P85" s="29">
        <v>507600</v>
      </c>
      <c r="Q85" s="29">
        <v>59580</v>
      </c>
      <c r="R85" s="29">
        <v>8164519</v>
      </c>
      <c r="S85" s="29">
        <v>800370</v>
      </c>
      <c r="T85" s="29">
        <v>7364149</v>
      </c>
      <c r="U85" s="29">
        <v>4078338</v>
      </c>
      <c r="V85" s="29">
        <v>3285811</v>
      </c>
    </row>
    <row r="86" spans="1:22" x14ac:dyDescent="0.2">
      <c r="A86" s="20" t="s">
        <v>318</v>
      </c>
      <c r="B86" s="20" t="s">
        <v>708</v>
      </c>
      <c r="C86" s="25">
        <v>120.6</v>
      </c>
      <c r="D86" s="27">
        <v>1168.5999999999999</v>
      </c>
      <c r="E86" s="25">
        <v>1289.2</v>
      </c>
      <c r="F86" s="25">
        <v>3.2</v>
      </c>
      <c r="G86" s="29">
        <v>1</v>
      </c>
      <c r="H86" s="27">
        <v>0</v>
      </c>
      <c r="I86" s="29">
        <v>1170</v>
      </c>
      <c r="J86" s="29">
        <v>404396</v>
      </c>
      <c r="K86" s="29">
        <v>0</v>
      </c>
      <c r="L86" s="29">
        <v>404396</v>
      </c>
      <c r="M86" s="29">
        <v>68866</v>
      </c>
      <c r="N86" s="29">
        <v>75664</v>
      </c>
      <c r="O86" s="29">
        <v>1004</v>
      </c>
      <c r="P86" s="29">
        <v>40597</v>
      </c>
      <c r="Q86" s="29">
        <v>4435</v>
      </c>
      <c r="R86" s="29">
        <v>594962</v>
      </c>
      <c r="S86" s="29">
        <v>56419</v>
      </c>
      <c r="T86" s="29">
        <v>538543</v>
      </c>
      <c r="U86" s="29">
        <v>311713</v>
      </c>
      <c r="V86" s="29">
        <v>226830</v>
      </c>
    </row>
    <row r="87" spans="1:22" x14ac:dyDescent="0.2">
      <c r="A87" s="20" t="s">
        <v>4</v>
      </c>
      <c r="B87" s="20" t="s">
        <v>416</v>
      </c>
      <c r="C87" s="25">
        <v>200.82</v>
      </c>
      <c r="D87" s="27">
        <v>1547.5</v>
      </c>
      <c r="E87" s="25">
        <v>1748.32</v>
      </c>
      <c r="F87" s="25">
        <v>4.9000000000000004</v>
      </c>
      <c r="G87" s="29">
        <v>136</v>
      </c>
      <c r="H87" s="27">
        <v>1.8</v>
      </c>
      <c r="I87" s="29">
        <v>1682</v>
      </c>
      <c r="J87" s="29">
        <v>577855</v>
      </c>
      <c r="K87" s="29">
        <v>1029</v>
      </c>
      <c r="L87" s="29">
        <v>578884</v>
      </c>
      <c r="M87" s="29">
        <v>99507</v>
      </c>
      <c r="N87" s="29">
        <v>110894</v>
      </c>
      <c r="O87" s="29">
        <v>1620</v>
      </c>
      <c r="P87" s="29">
        <v>57152</v>
      </c>
      <c r="Q87" s="29">
        <v>6172</v>
      </c>
      <c r="R87" s="29">
        <v>854229</v>
      </c>
      <c r="S87" s="29">
        <v>93008</v>
      </c>
      <c r="T87" s="29">
        <v>761221</v>
      </c>
      <c r="U87" s="29">
        <v>408621</v>
      </c>
      <c r="V87" s="29">
        <v>352600</v>
      </c>
    </row>
    <row r="88" spans="1:22" x14ac:dyDescent="0.2">
      <c r="A88" s="20" t="s">
        <v>131</v>
      </c>
      <c r="B88" s="20" t="s">
        <v>531</v>
      </c>
      <c r="C88" s="25">
        <v>27.17</v>
      </c>
      <c r="D88" s="27">
        <v>211.7</v>
      </c>
      <c r="E88" s="25">
        <v>238.87</v>
      </c>
      <c r="F88" s="25">
        <v>0.43</v>
      </c>
      <c r="G88" s="29">
        <v>1</v>
      </c>
      <c r="H88" s="27">
        <v>0</v>
      </c>
      <c r="I88" s="29">
        <v>213</v>
      </c>
      <c r="J88" s="29">
        <v>75789</v>
      </c>
      <c r="K88" s="29">
        <v>0</v>
      </c>
      <c r="L88" s="29">
        <v>75789</v>
      </c>
      <c r="M88" s="29">
        <v>12503</v>
      </c>
      <c r="N88" s="29">
        <v>13653</v>
      </c>
      <c r="O88" s="29">
        <v>136</v>
      </c>
      <c r="P88" s="29">
        <v>6918</v>
      </c>
      <c r="Q88" s="29">
        <v>812</v>
      </c>
      <c r="R88" s="29">
        <v>109811</v>
      </c>
      <c r="S88" s="29">
        <v>13150</v>
      </c>
      <c r="T88" s="29">
        <v>96661</v>
      </c>
      <c r="U88" s="29">
        <v>54405</v>
      </c>
      <c r="V88" s="29">
        <v>42256</v>
      </c>
    </row>
    <row r="89" spans="1:22" x14ac:dyDescent="0.2">
      <c r="A89" s="20" t="s">
        <v>238</v>
      </c>
      <c r="B89" s="20" t="s">
        <v>631</v>
      </c>
      <c r="C89" s="25">
        <v>249.76</v>
      </c>
      <c r="D89" s="27">
        <v>2068.6</v>
      </c>
      <c r="E89" s="25">
        <v>2318.36</v>
      </c>
      <c r="F89" s="25">
        <v>4.74</v>
      </c>
      <c r="G89" s="29">
        <v>144</v>
      </c>
      <c r="H89" s="27">
        <v>0</v>
      </c>
      <c r="I89" s="29">
        <v>2213</v>
      </c>
      <c r="J89" s="29">
        <v>748598</v>
      </c>
      <c r="K89" s="29">
        <v>22425</v>
      </c>
      <c r="L89" s="29">
        <v>771023</v>
      </c>
      <c r="M89" s="29">
        <v>130943</v>
      </c>
      <c r="N89" s="29">
        <v>146722</v>
      </c>
      <c r="O89" s="29">
        <v>1531</v>
      </c>
      <c r="P89" s="29">
        <v>77569</v>
      </c>
      <c r="Q89" s="29">
        <v>9262</v>
      </c>
      <c r="R89" s="29">
        <v>1137050</v>
      </c>
      <c r="S89" s="29">
        <v>77738</v>
      </c>
      <c r="T89" s="29">
        <v>1059312</v>
      </c>
      <c r="U89" s="29">
        <v>589868</v>
      </c>
      <c r="V89" s="29">
        <v>469444</v>
      </c>
    </row>
    <row r="90" spans="1:22" x14ac:dyDescent="0.2">
      <c r="A90" s="20" t="s">
        <v>78</v>
      </c>
      <c r="B90" s="20" t="s">
        <v>481</v>
      </c>
      <c r="C90" s="25">
        <v>75.040000000000006</v>
      </c>
      <c r="D90" s="27">
        <v>846.1</v>
      </c>
      <c r="E90" s="25">
        <v>921.14</v>
      </c>
      <c r="F90" s="25">
        <v>1.23</v>
      </c>
      <c r="G90" s="29">
        <v>5</v>
      </c>
      <c r="H90" s="27">
        <v>0</v>
      </c>
      <c r="I90" s="29">
        <v>851</v>
      </c>
      <c r="J90" s="29">
        <v>294433</v>
      </c>
      <c r="K90" s="29">
        <v>0</v>
      </c>
      <c r="L90" s="29">
        <v>294433</v>
      </c>
      <c r="M90" s="29">
        <v>50371</v>
      </c>
      <c r="N90" s="29">
        <v>56183</v>
      </c>
      <c r="O90" s="29">
        <v>393</v>
      </c>
      <c r="P90" s="29">
        <v>36744</v>
      </c>
      <c r="Q90" s="29">
        <v>4228</v>
      </c>
      <c r="R90" s="29">
        <v>442352</v>
      </c>
      <c r="S90" s="29">
        <v>32842</v>
      </c>
      <c r="T90" s="29">
        <v>409510</v>
      </c>
      <c r="U90" s="29">
        <v>238723</v>
      </c>
      <c r="V90" s="29">
        <v>170787</v>
      </c>
    </row>
    <row r="91" spans="1:22" x14ac:dyDescent="0.2">
      <c r="A91" s="20" t="s">
        <v>193</v>
      </c>
      <c r="B91" s="20" t="s">
        <v>589</v>
      </c>
      <c r="C91" s="25">
        <v>5733.95</v>
      </c>
      <c r="D91" s="27">
        <v>31621.5</v>
      </c>
      <c r="E91" s="25">
        <v>37355.449999999997</v>
      </c>
      <c r="F91" s="25">
        <v>0</v>
      </c>
      <c r="G91" s="29">
        <v>2379</v>
      </c>
      <c r="H91" s="27">
        <v>3.2</v>
      </c>
      <c r="I91" s="29">
        <v>33997</v>
      </c>
      <c r="J91" s="29">
        <v>11515191</v>
      </c>
      <c r="K91" s="29">
        <v>106699</v>
      </c>
      <c r="L91" s="29">
        <v>11621890</v>
      </c>
      <c r="M91" s="29">
        <v>1997664</v>
      </c>
      <c r="N91" s="29">
        <v>2193486</v>
      </c>
      <c r="O91" s="29">
        <v>0</v>
      </c>
      <c r="P91" s="29">
        <v>972708</v>
      </c>
      <c r="Q91" s="29">
        <v>122844</v>
      </c>
      <c r="R91" s="29">
        <v>16908592</v>
      </c>
      <c r="S91" s="29">
        <v>1502984</v>
      </c>
      <c r="T91" s="29">
        <v>15405608</v>
      </c>
      <c r="U91" s="29">
        <v>8931431</v>
      </c>
      <c r="V91" s="29">
        <v>6474177</v>
      </c>
    </row>
    <row r="92" spans="1:22" x14ac:dyDescent="0.2">
      <c r="A92" s="20" t="s">
        <v>278</v>
      </c>
      <c r="B92" s="20" t="s">
        <v>669</v>
      </c>
      <c r="C92" s="25">
        <v>12.02</v>
      </c>
      <c r="D92" s="27">
        <v>102</v>
      </c>
      <c r="E92" s="25">
        <v>114.02</v>
      </c>
      <c r="F92" s="25">
        <v>0.26</v>
      </c>
      <c r="G92" s="29">
        <v>0</v>
      </c>
      <c r="H92" s="27">
        <v>0</v>
      </c>
      <c r="I92" s="29">
        <v>102</v>
      </c>
      <c r="J92" s="29">
        <v>36067</v>
      </c>
      <c r="K92" s="29">
        <v>0</v>
      </c>
      <c r="L92" s="29">
        <v>36067</v>
      </c>
      <c r="M92" s="29">
        <v>6007</v>
      </c>
      <c r="N92" s="29">
        <v>6640</v>
      </c>
      <c r="O92" s="29">
        <v>82</v>
      </c>
      <c r="P92" s="29">
        <v>3703</v>
      </c>
      <c r="Q92" s="29">
        <v>398</v>
      </c>
      <c r="R92" s="29">
        <v>52897</v>
      </c>
      <c r="S92" s="29">
        <v>6461</v>
      </c>
      <c r="T92" s="29">
        <v>46436</v>
      </c>
      <c r="U92" s="29">
        <v>26210</v>
      </c>
      <c r="V92" s="29">
        <v>20226</v>
      </c>
    </row>
    <row r="93" spans="1:22" x14ac:dyDescent="0.2">
      <c r="A93" s="20" t="s">
        <v>79</v>
      </c>
      <c r="B93" s="20" t="s">
        <v>482</v>
      </c>
      <c r="C93" s="25">
        <v>112.96</v>
      </c>
      <c r="D93" s="27">
        <v>868.7</v>
      </c>
      <c r="E93" s="25">
        <v>981.66</v>
      </c>
      <c r="F93" s="25">
        <v>1.31</v>
      </c>
      <c r="G93" s="29">
        <v>9</v>
      </c>
      <c r="H93" s="27">
        <v>0</v>
      </c>
      <c r="I93" s="29">
        <v>878</v>
      </c>
      <c r="J93" s="29">
        <v>313778</v>
      </c>
      <c r="K93" s="29">
        <v>0</v>
      </c>
      <c r="L93" s="29">
        <v>313778</v>
      </c>
      <c r="M93" s="29">
        <v>51969</v>
      </c>
      <c r="N93" s="29">
        <v>57966</v>
      </c>
      <c r="O93" s="29">
        <v>419</v>
      </c>
      <c r="P93" s="29">
        <v>39158</v>
      </c>
      <c r="Q93" s="29">
        <v>4506</v>
      </c>
      <c r="R93" s="29">
        <v>467796</v>
      </c>
      <c r="S93" s="29">
        <v>36304</v>
      </c>
      <c r="T93" s="29">
        <v>431492</v>
      </c>
      <c r="U93" s="29">
        <v>253103</v>
      </c>
      <c r="V93" s="29">
        <v>178389</v>
      </c>
    </row>
    <row r="94" spans="1:22" x14ac:dyDescent="0.2">
      <c r="A94" s="20" t="s">
        <v>5</v>
      </c>
      <c r="B94" s="20" t="s">
        <v>417</v>
      </c>
      <c r="C94" s="25">
        <v>1952.13</v>
      </c>
      <c r="D94" s="27">
        <v>10309.799999999999</v>
      </c>
      <c r="E94" s="25">
        <v>12261.93</v>
      </c>
      <c r="F94" s="25">
        <v>34.369999999999997</v>
      </c>
      <c r="G94" s="29">
        <v>1599</v>
      </c>
      <c r="H94" s="27">
        <v>1.1000000000000001</v>
      </c>
      <c r="I94" s="29">
        <v>11908</v>
      </c>
      <c r="J94" s="29">
        <v>4052813</v>
      </c>
      <c r="K94" s="29">
        <v>0</v>
      </c>
      <c r="L94" s="29">
        <v>4052813</v>
      </c>
      <c r="M94" s="29">
        <v>704477</v>
      </c>
      <c r="N94" s="29">
        <v>785094</v>
      </c>
      <c r="O94" s="29">
        <v>11360</v>
      </c>
      <c r="P94" s="29">
        <v>400475</v>
      </c>
      <c r="Q94" s="29">
        <v>43285</v>
      </c>
      <c r="R94" s="29">
        <v>5997504</v>
      </c>
      <c r="S94" s="29">
        <v>514177</v>
      </c>
      <c r="T94" s="29">
        <v>5483327</v>
      </c>
      <c r="U94" s="29">
        <v>3003658</v>
      </c>
      <c r="V94" s="29">
        <v>2479669</v>
      </c>
    </row>
    <row r="95" spans="1:22" x14ac:dyDescent="0.2">
      <c r="A95" s="20" t="s">
        <v>80</v>
      </c>
      <c r="B95" s="20" t="s">
        <v>483</v>
      </c>
      <c r="C95" s="25">
        <v>44.89</v>
      </c>
      <c r="D95" s="27">
        <v>378.5</v>
      </c>
      <c r="E95" s="25">
        <v>423.39</v>
      </c>
      <c r="F95" s="25">
        <v>0.56000000000000005</v>
      </c>
      <c r="G95" s="29">
        <v>13</v>
      </c>
      <c r="H95" s="27">
        <v>0</v>
      </c>
      <c r="I95" s="29">
        <v>392</v>
      </c>
      <c r="J95" s="29">
        <v>135332</v>
      </c>
      <c r="K95" s="29">
        <v>18350</v>
      </c>
      <c r="L95" s="29">
        <v>153682</v>
      </c>
      <c r="M95" s="29">
        <v>23202</v>
      </c>
      <c r="N95" s="29">
        <v>25880</v>
      </c>
      <c r="O95" s="29">
        <v>179</v>
      </c>
      <c r="P95" s="29">
        <v>16889</v>
      </c>
      <c r="Q95" s="29">
        <v>1943</v>
      </c>
      <c r="R95" s="29">
        <v>221775</v>
      </c>
      <c r="S95" s="29">
        <v>22973</v>
      </c>
      <c r="T95" s="29">
        <v>198802</v>
      </c>
      <c r="U95" s="29">
        <v>101847</v>
      </c>
      <c r="V95" s="29">
        <v>96955</v>
      </c>
    </row>
    <row r="96" spans="1:22" x14ac:dyDescent="0.2">
      <c r="A96" s="20" t="s">
        <v>269</v>
      </c>
      <c r="B96" s="20" t="s">
        <v>662</v>
      </c>
      <c r="C96" s="25">
        <v>51.15</v>
      </c>
      <c r="D96" s="27">
        <v>386.6</v>
      </c>
      <c r="E96" s="25">
        <v>437.75</v>
      </c>
      <c r="F96" s="25">
        <v>0.98</v>
      </c>
      <c r="G96" s="29">
        <v>3</v>
      </c>
      <c r="H96" s="27">
        <v>0</v>
      </c>
      <c r="I96" s="29">
        <v>390</v>
      </c>
      <c r="J96" s="29">
        <v>138469</v>
      </c>
      <c r="K96" s="29">
        <v>4862</v>
      </c>
      <c r="L96" s="29">
        <v>143331</v>
      </c>
      <c r="M96" s="29">
        <v>22967</v>
      </c>
      <c r="N96" s="29">
        <v>25389</v>
      </c>
      <c r="O96" s="29">
        <v>310</v>
      </c>
      <c r="P96" s="29">
        <v>14574</v>
      </c>
      <c r="Q96" s="29">
        <v>1562</v>
      </c>
      <c r="R96" s="29">
        <v>208133</v>
      </c>
      <c r="S96" s="29">
        <v>25701</v>
      </c>
      <c r="T96" s="29">
        <v>182432</v>
      </c>
      <c r="U96" s="29">
        <v>100118</v>
      </c>
      <c r="V96" s="29">
        <v>82314</v>
      </c>
    </row>
    <row r="97" spans="1:22" x14ac:dyDescent="0.2">
      <c r="A97" s="20" t="s">
        <v>132</v>
      </c>
      <c r="B97" s="20" t="s">
        <v>532</v>
      </c>
      <c r="C97" s="25">
        <v>59.13</v>
      </c>
      <c r="D97" s="27">
        <v>530.79999999999995</v>
      </c>
      <c r="E97" s="25">
        <v>589.92999999999995</v>
      </c>
      <c r="F97" s="25">
        <v>1.07</v>
      </c>
      <c r="G97" s="29">
        <v>10</v>
      </c>
      <c r="H97" s="27">
        <v>0</v>
      </c>
      <c r="I97" s="29">
        <v>541</v>
      </c>
      <c r="J97" s="29">
        <v>187173</v>
      </c>
      <c r="K97" s="29">
        <v>5867</v>
      </c>
      <c r="L97" s="29">
        <v>193040</v>
      </c>
      <c r="M97" s="29">
        <v>31757</v>
      </c>
      <c r="N97" s="29">
        <v>34678</v>
      </c>
      <c r="O97" s="29">
        <v>339</v>
      </c>
      <c r="P97" s="29">
        <v>17568</v>
      </c>
      <c r="Q97" s="29">
        <v>2062</v>
      </c>
      <c r="R97" s="29">
        <v>279444</v>
      </c>
      <c r="S97" s="29">
        <v>27628</v>
      </c>
      <c r="T97" s="29">
        <v>251816</v>
      </c>
      <c r="U97" s="29">
        <v>139752</v>
      </c>
      <c r="V97" s="29">
        <v>112064</v>
      </c>
    </row>
    <row r="98" spans="1:22" x14ac:dyDescent="0.2">
      <c r="A98" s="20" t="s">
        <v>113</v>
      </c>
      <c r="B98" s="20" t="s">
        <v>514</v>
      </c>
      <c r="C98" s="25">
        <v>163.51</v>
      </c>
      <c r="D98" s="27">
        <v>992.8</v>
      </c>
      <c r="E98" s="25">
        <v>1156.31</v>
      </c>
      <c r="F98" s="25">
        <v>1.54</v>
      </c>
      <c r="G98" s="29">
        <v>22</v>
      </c>
      <c r="H98" s="27">
        <v>0</v>
      </c>
      <c r="I98" s="29">
        <v>1015</v>
      </c>
      <c r="J98" s="29">
        <v>369603</v>
      </c>
      <c r="K98" s="29">
        <v>20267</v>
      </c>
      <c r="L98" s="29">
        <v>389870</v>
      </c>
      <c r="M98" s="29">
        <v>60078</v>
      </c>
      <c r="N98" s="29">
        <v>67010</v>
      </c>
      <c r="O98" s="29">
        <v>492</v>
      </c>
      <c r="P98" s="29">
        <v>46552</v>
      </c>
      <c r="Q98" s="29">
        <v>5354</v>
      </c>
      <c r="R98" s="29">
        <v>569356</v>
      </c>
      <c r="S98" s="29">
        <v>54340</v>
      </c>
      <c r="T98" s="29">
        <v>515016</v>
      </c>
      <c r="U98" s="29">
        <v>287029</v>
      </c>
      <c r="V98" s="29">
        <v>227987</v>
      </c>
    </row>
    <row r="99" spans="1:22" x14ac:dyDescent="0.2">
      <c r="A99" s="20" t="s">
        <v>28</v>
      </c>
      <c r="B99" s="20" t="s">
        <v>439</v>
      </c>
      <c r="C99" s="25">
        <v>129.57</v>
      </c>
      <c r="D99" s="27">
        <v>946.6</v>
      </c>
      <c r="E99" s="25">
        <v>1076.17</v>
      </c>
      <c r="F99" s="25">
        <v>0</v>
      </c>
      <c r="G99" s="29">
        <v>2</v>
      </c>
      <c r="H99" s="27">
        <v>0</v>
      </c>
      <c r="I99" s="29">
        <v>949</v>
      </c>
      <c r="J99" s="29">
        <v>351122</v>
      </c>
      <c r="K99" s="29">
        <v>463</v>
      </c>
      <c r="L99" s="29">
        <v>351585</v>
      </c>
      <c r="M99" s="29">
        <v>56219</v>
      </c>
      <c r="N99" s="29">
        <v>63014</v>
      </c>
      <c r="O99" s="29">
        <v>0</v>
      </c>
      <c r="P99" s="29">
        <v>37335</v>
      </c>
      <c r="Q99" s="29">
        <v>4444</v>
      </c>
      <c r="R99" s="29">
        <v>512597</v>
      </c>
      <c r="S99" s="29">
        <v>45100</v>
      </c>
      <c r="T99" s="29">
        <v>467497</v>
      </c>
      <c r="U99" s="29">
        <v>265722</v>
      </c>
      <c r="V99" s="29">
        <v>201775</v>
      </c>
    </row>
    <row r="100" spans="1:22" x14ac:dyDescent="0.2">
      <c r="A100" s="20" t="s">
        <v>194</v>
      </c>
      <c r="B100" s="20" t="s">
        <v>590</v>
      </c>
      <c r="C100" s="25">
        <v>52.54</v>
      </c>
      <c r="D100" s="27">
        <v>577.1</v>
      </c>
      <c r="E100" s="25">
        <v>629.64</v>
      </c>
      <c r="F100" s="25">
        <v>0</v>
      </c>
      <c r="G100" s="29">
        <v>5</v>
      </c>
      <c r="H100" s="27">
        <v>0</v>
      </c>
      <c r="I100" s="29">
        <v>582</v>
      </c>
      <c r="J100" s="29">
        <v>194093</v>
      </c>
      <c r="K100" s="29">
        <v>0</v>
      </c>
      <c r="L100" s="29">
        <v>194093</v>
      </c>
      <c r="M100" s="29">
        <v>34198</v>
      </c>
      <c r="N100" s="29">
        <v>37551</v>
      </c>
      <c r="O100" s="29">
        <v>0</v>
      </c>
      <c r="P100" s="29">
        <v>16333</v>
      </c>
      <c r="Q100" s="29">
        <v>2059</v>
      </c>
      <c r="R100" s="29">
        <v>284234</v>
      </c>
      <c r="S100" s="29">
        <v>22833</v>
      </c>
      <c r="T100" s="29">
        <v>261401</v>
      </c>
      <c r="U100" s="29">
        <v>152969</v>
      </c>
      <c r="V100" s="29">
        <v>108432</v>
      </c>
    </row>
    <row r="101" spans="1:22" x14ac:dyDescent="0.2">
      <c r="A101" s="20" t="s">
        <v>81</v>
      </c>
      <c r="B101" s="20" t="s">
        <v>484</v>
      </c>
      <c r="C101" s="25">
        <v>92.42</v>
      </c>
      <c r="D101" s="27">
        <v>553.4</v>
      </c>
      <c r="E101" s="25">
        <v>645.82000000000005</v>
      </c>
      <c r="F101" s="25">
        <v>0.86</v>
      </c>
      <c r="G101" s="29">
        <v>4</v>
      </c>
      <c r="H101" s="27">
        <v>0</v>
      </c>
      <c r="I101" s="29">
        <v>557</v>
      </c>
      <c r="J101" s="29">
        <v>206430</v>
      </c>
      <c r="K101" s="29">
        <v>0</v>
      </c>
      <c r="L101" s="29">
        <v>206430</v>
      </c>
      <c r="M101" s="29">
        <v>32969</v>
      </c>
      <c r="N101" s="29">
        <v>36773</v>
      </c>
      <c r="O101" s="29">
        <v>275</v>
      </c>
      <c r="P101" s="29">
        <v>25762</v>
      </c>
      <c r="Q101" s="29">
        <v>2964</v>
      </c>
      <c r="R101" s="29">
        <v>305173</v>
      </c>
      <c r="S101" s="29">
        <v>28849</v>
      </c>
      <c r="T101" s="29">
        <v>276324</v>
      </c>
      <c r="U101" s="29">
        <v>161547</v>
      </c>
      <c r="V101" s="29">
        <v>114777</v>
      </c>
    </row>
    <row r="102" spans="1:22" x14ac:dyDescent="0.2">
      <c r="A102" s="20" t="s">
        <v>133</v>
      </c>
      <c r="B102" s="20" t="s">
        <v>533</v>
      </c>
      <c r="C102" s="25">
        <v>101.85</v>
      </c>
      <c r="D102" s="27">
        <v>563</v>
      </c>
      <c r="E102" s="25">
        <v>664.85</v>
      </c>
      <c r="F102" s="25">
        <v>1.2</v>
      </c>
      <c r="G102" s="29">
        <v>3</v>
      </c>
      <c r="H102" s="27">
        <v>0</v>
      </c>
      <c r="I102" s="29">
        <v>566</v>
      </c>
      <c r="J102" s="29">
        <v>210944</v>
      </c>
      <c r="K102" s="29">
        <v>8333</v>
      </c>
      <c r="L102" s="29">
        <v>219277</v>
      </c>
      <c r="M102" s="29">
        <v>33224</v>
      </c>
      <c r="N102" s="29">
        <v>36281</v>
      </c>
      <c r="O102" s="29">
        <v>381</v>
      </c>
      <c r="P102" s="29">
        <v>19254</v>
      </c>
      <c r="Q102" s="29">
        <v>2260</v>
      </c>
      <c r="R102" s="29">
        <v>310677</v>
      </c>
      <c r="S102" s="29">
        <v>35711</v>
      </c>
      <c r="T102" s="29">
        <v>274966</v>
      </c>
      <c r="U102" s="29">
        <v>152316</v>
      </c>
      <c r="V102" s="29">
        <v>122650</v>
      </c>
    </row>
    <row r="103" spans="1:22" x14ac:dyDescent="0.2">
      <c r="A103" s="20" t="s">
        <v>280</v>
      </c>
      <c r="B103" s="20" t="s">
        <v>671</v>
      </c>
      <c r="C103" s="25">
        <v>56.46</v>
      </c>
      <c r="D103" s="27">
        <v>505</v>
      </c>
      <c r="E103" s="25">
        <v>561.46</v>
      </c>
      <c r="F103" s="25">
        <v>1.26</v>
      </c>
      <c r="G103" s="29">
        <v>4</v>
      </c>
      <c r="H103" s="27">
        <v>0</v>
      </c>
      <c r="I103" s="29">
        <v>509</v>
      </c>
      <c r="J103" s="29">
        <v>177601</v>
      </c>
      <c r="K103" s="29">
        <v>0</v>
      </c>
      <c r="L103" s="29">
        <v>177601</v>
      </c>
      <c r="M103" s="29">
        <v>29975</v>
      </c>
      <c r="N103" s="29">
        <v>33136</v>
      </c>
      <c r="O103" s="29">
        <v>399</v>
      </c>
      <c r="P103" s="29">
        <v>18236</v>
      </c>
      <c r="Q103" s="29">
        <v>1959</v>
      </c>
      <c r="R103" s="29">
        <v>261306</v>
      </c>
      <c r="S103" s="29">
        <v>25766</v>
      </c>
      <c r="T103" s="29">
        <v>235540</v>
      </c>
      <c r="U103" s="29">
        <v>135109</v>
      </c>
      <c r="V103" s="29">
        <v>100431</v>
      </c>
    </row>
    <row r="104" spans="1:22" x14ac:dyDescent="0.2">
      <c r="A104" s="20" t="s">
        <v>6</v>
      </c>
      <c r="B104" s="20" t="s">
        <v>418</v>
      </c>
      <c r="C104" s="25">
        <v>32.979999999999997</v>
      </c>
      <c r="D104" s="27">
        <v>322</v>
      </c>
      <c r="E104" s="25">
        <v>354.98</v>
      </c>
      <c r="F104" s="25">
        <v>1</v>
      </c>
      <c r="G104" s="29">
        <v>5</v>
      </c>
      <c r="H104" s="27">
        <v>0</v>
      </c>
      <c r="I104" s="29">
        <v>327</v>
      </c>
      <c r="J104" s="29">
        <v>117328</v>
      </c>
      <c r="K104" s="29">
        <v>10899</v>
      </c>
      <c r="L104" s="29">
        <v>128227</v>
      </c>
      <c r="M104" s="29">
        <v>19345</v>
      </c>
      <c r="N104" s="29">
        <v>21559</v>
      </c>
      <c r="O104" s="29">
        <v>331</v>
      </c>
      <c r="P104" s="29">
        <v>11594</v>
      </c>
      <c r="Q104" s="29">
        <v>1253</v>
      </c>
      <c r="R104" s="29">
        <v>182309</v>
      </c>
      <c r="S104" s="29">
        <v>23749</v>
      </c>
      <c r="T104" s="29">
        <v>158560</v>
      </c>
      <c r="U104" s="29">
        <v>78093</v>
      </c>
      <c r="V104" s="29">
        <v>80467</v>
      </c>
    </row>
    <row r="105" spans="1:22" x14ac:dyDescent="0.2">
      <c r="A105" s="20" t="s">
        <v>250</v>
      </c>
      <c r="B105" s="20" t="s">
        <v>644</v>
      </c>
      <c r="C105" s="25">
        <v>55.24</v>
      </c>
      <c r="D105" s="27">
        <v>407.1</v>
      </c>
      <c r="E105" s="25">
        <v>462.34</v>
      </c>
      <c r="F105" s="25">
        <v>0.94</v>
      </c>
      <c r="G105" s="29">
        <v>0</v>
      </c>
      <c r="H105" s="27">
        <v>0</v>
      </c>
      <c r="I105" s="29">
        <v>407</v>
      </c>
      <c r="J105" s="29">
        <v>149290</v>
      </c>
      <c r="K105" s="29">
        <v>0</v>
      </c>
      <c r="L105" s="29">
        <v>149290</v>
      </c>
      <c r="M105" s="29">
        <v>24082</v>
      </c>
      <c r="N105" s="29">
        <v>26984</v>
      </c>
      <c r="O105" s="29">
        <v>304</v>
      </c>
      <c r="P105" s="29">
        <v>15026</v>
      </c>
      <c r="Q105" s="29">
        <v>1794</v>
      </c>
      <c r="R105" s="29">
        <v>217480</v>
      </c>
      <c r="S105" s="29">
        <v>24876</v>
      </c>
      <c r="T105" s="29">
        <v>192604</v>
      </c>
      <c r="U105" s="29">
        <v>107764</v>
      </c>
      <c r="V105" s="29">
        <v>84840</v>
      </c>
    </row>
    <row r="106" spans="1:22" x14ac:dyDescent="0.2">
      <c r="A106" s="20" t="s">
        <v>7</v>
      </c>
      <c r="B106" s="20" t="s">
        <v>419</v>
      </c>
      <c r="C106" s="25">
        <v>40.69</v>
      </c>
      <c r="D106" s="27">
        <v>401</v>
      </c>
      <c r="E106" s="25">
        <v>441.69</v>
      </c>
      <c r="F106" s="25">
        <v>1.24</v>
      </c>
      <c r="G106" s="29">
        <v>31</v>
      </c>
      <c r="H106" s="27">
        <v>0</v>
      </c>
      <c r="I106" s="29">
        <v>432</v>
      </c>
      <c r="J106" s="29">
        <v>145987</v>
      </c>
      <c r="K106" s="29">
        <v>356</v>
      </c>
      <c r="L106" s="29">
        <v>146343</v>
      </c>
      <c r="M106" s="29">
        <v>25557</v>
      </c>
      <c r="N106" s="29">
        <v>28482</v>
      </c>
      <c r="O106" s="29">
        <v>410</v>
      </c>
      <c r="P106" s="29">
        <v>14448</v>
      </c>
      <c r="Q106" s="29">
        <v>1559</v>
      </c>
      <c r="R106" s="29">
        <v>216799</v>
      </c>
      <c r="S106" s="29">
        <v>27107</v>
      </c>
      <c r="T106" s="29">
        <v>189692</v>
      </c>
      <c r="U106" s="29">
        <v>99633</v>
      </c>
      <c r="V106" s="29">
        <v>90059</v>
      </c>
    </row>
    <row r="107" spans="1:22" x14ac:dyDescent="0.2">
      <c r="A107" s="20" t="s">
        <v>83</v>
      </c>
      <c r="B107" s="20" t="s">
        <v>486</v>
      </c>
      <c r="C107" s="25">
        <v>110.47</v>
      </c>
      <c r="D107" s="27">
        <v>572.70000000000005</v>
      </c>
      <c r="E107" s="25">
        <v>683.17</v>
      </c>
      <c r="F107" s="25">
        <v>0.91</v>
      </c>
      <c r="G107" s="29">
        <v>2</v>
      </c>
      <c r="H107" s="27">
        <v>0</v>
      </c>
      <c r="I107" s="29">
        <v>575</v>
      </c>
      <c r="J107" s="29">
        <v>218368</v>
      </c>
      <c r="K107" s="29">
        <v>17133</v>
      </c>
      <c r="L107" s="29">
        <v>235501</v>
      </c>
      <c r="M107" s="29">
        <v>34034</v>
      </c>
      <c r="N107" s="29">
        <v>37962</v>
      </c>
      <c r="O107" s="29">
        <v>291</v>
      </c>
      <c r="P107" s="29">
        <v>28405</v>
      </c>
      <c r="Q107" s="29">
        <v>3267</v>
      </c>
      <c r="R107" s="29">
        <v>339460</v>
      </c>
      <c r="S107" s="29">
        <v>31253</v>
      </c>
      <c r="T107" s="29">
        <v>308207</v>
      </c>
      <c r="U107" s="29">
        <v>171439</v>
      </c>
      <c r="V107" s="29">
        <v>136768</v>
      </c>
    </row>
    <row r="108" spans="1:22" x14ac:dyDescent="0.2">
      <c r="A108" s="20" t="s">
        <v>30</v>
      </c>
      <c r="B108" s="20" t="s">
        <v>441</v>
      </c>
      <c r="C108" s="25">
        <v>112.48</v>
      </c>
      <c r="D108" s="27">
        <v>652.79999999999995</v>
      </c>
      <c r="E108" s="25">
        <v>765.28</v>
      </c>
      <c r="F108" s="25">
        <v>0</v>
      </c>
      <c r="G108" s="29">
        <v>83</v>
      </c>
      <c r="H108" s="27">
        <v>2.8</v>
      </c>
      <c r="I108" s="29">
        <v>733</v>
      </c>
      <c r="J108" s="29">
        <v>249688</v>
      </c>
      <c r="K108" s="29">
        <v>5347</v>
      </c>
      <c r="L108" s="29">
        <v>255035</v>
      </c>
      <c r="M108" s="29">
        <v>43423</v>
      </c>
      <c r="N108" s="29">
        <v>48671</v>
      </c>
      <c r="O108" s="29">
        <v>0</v>
      </c>
      <c r="P108" s="29">
        <v>26764</v>
      </c>
      <c r="Q108" s="29">
        <v>3185</v>
      </c>
      <c r="R108" s="29">
        <v>377078</v>
      </c>
      <c r="S108" s="29">
        <v>39116</v>
      </c>
      <c r="T108" s="29">
        <v>337962</v>
      </c>
      <c r="U108" s="29">
        <v>182153</v>
      </c>
      <c r="V108" s="29">
        <v>155809</v>
      </c>
    </row>
    <row r="109" spans="1:22" x14ac:dyDescent="0.2">
      <c r="A109" s="20" t="s">
        <v>152</v>
      </c>
      <c r="B109" s="20" t="s">
        <v>551</v>
      </c>
      <c r="C109" s="25">
        <v>63.05</v>
      </c>
      <c r="D109" s="27">
        <v>473</v>
      </c>
      <c r="E109" s="25">
        <v>536.04999999999995</v>
      </c>
      <c r="F109" s="25">
        <v>0</v>
      </c>
      <c r="G109" s="29">
        <v>6</v>
      </c>
      <c r="H109" s="27">
        <v>0</v>
      </c>
      <c r="I109" s="29">
        <v>479</v>
      </c>
      <c r="J109" s="29">
        <v>169049</v>
      </c>
      <c r="K109" s="29">
        <v>6137</v>
      </c>
      <c r="L109" s="29">
        <v>175186</v>
      </c>
      <c r="M109" s="29">
        <v>28204</v>
      </c>
      <c r="N109" s="29">
        <v>30991</v>
      </c>
      <c r="O109" s="29">
        <v>0</v>
      </c>
      <c r="P109" s="29">
        <v>15926</v>
      </c>
      <c r="Q109" s="29">
        <v>1855</v>
      </c>
      <c r="R109" s="29">
        <v>252162</v>
      </c>
      <c r="S109" s="29">
        <v>31450</v>
      </c>
      <c r="T109" s="29">
        <v>220712</v>
      </c>
      <c r="U109" s="29">
        <v>120344</v>
      </c>
      <c r="V109" s="29">
        <v>100368</v>
      </c>
    </row>
    <row r="110" spans="1:22" x14ac:dyDescent="0.2">
      <c r="A110" s="20" t="s">
        <v>281</v>
      </c>
      <c r="B110" s="20" t="s">
        <v>672</v>
      </c>
      <c r="C110" s="25">
        <v>24.4</v>
      </c>
      <c r="D110" s="27">
        <v>192.3</v>
      </c>
      <c r="E110" s="25">
        <v>216.7</v>
      </c>
      <c r="F110" s="25">
        <v>0.48</v>
      </c>
      <c r="G110" s="29">
        <v>3</v>
      </c>
      <c r="H110" s="27">
        <v>0</v>
      </c>
      <c r="I110" s="29">
        <v>195</v>
      </c>
      <c r="J110" s="29">
        <v>68547</v>
      </c>
      <c r="K110" s="29">
        <v>4598</v>
      </c>
      <c r="L110" s="29">
        <v>73145</v>
      </c>
      <c r="M110" s="29">
        <v>11484</v>
      </c>
      <c r="N110" s="29">
        <v>12695</v>
      </c>
      <c r="O110" s="29">
        <v>152</v>
      </c>
      <c r="P110" s="29">
        <v>7038</v>
      </c>
      <c r="Q110" s="29">
        <v>756</v>
      </c>
      <c r="R110" s="29">
        <v>105270</v>
      </c>
      <c r="S110" s="29">
        <v>12000</v>
      </c>
      <c r="T110" s="29">
        <v>93270</v>
      </c>
      <c r="U110" s="29">
        <v>50089</v>
      </c>
      <c r="V110" s="29">
        <v>43181</v>
      </c>
    </row>
    <row r="111" spans="1:22" x14ac:dyDescent="0.2">
      <c r="A111" s="20" t="s">
        <v>31</v>
      </c>
      <c r="B111" s="20" t="s">
        <v>442</v>
      </c>
      <c r="C111" s="25">
        <v>147.53</v>
      </c>
      <c r="D111" s="27">
        <v>1228.4000000000001</v>
      </c>
      <c r="E111" s="25">
        <v>1375.93</v>
      </c>
      <c r="F111" s="25">
        <v>0</v>
      </c>
      <c r="G111" s="29">
        <v>1</v>
      </c>
      <c r="H111" s="27">
        <v>0</v>
      </c>
      <c r="I111" s="29">
        <v>1229</v>
      </c>
      <c r="J111" s="29">
        <v>448925</v>
      </c>
      <c r="K111" s="29">
        <v>18089</v>
      </c>
      <c r="L111" s="29">
        <v>467014</v>
      </c>
      <c r="M111" s="29">
        <v>72806</v>
      </c>
      <c r="N111" s="29">
        <v>81606</v>
      </c>
      <c r="O111" s="29">
        <v>0</v>
      </c>
      <c r="P111" s="29">
        <v>48428</v>
      </c>
      <c r="Q111" s="29">
        <v>5764</v>
      </c>
      <c r="R111" s="29">
        <v>675618</v>
      </c>
      <c r="S111" s="29">
        <v>70397</v>
      </c>
      <c r="T111" s="29">
        <v>605221</v>
      </c>
      <c r="U111" s="29">
        <v>327778</v>
      </c>
      <c r="V111" s="29">
        <v>277443</v>
      </c>
    </row>
    <row r="112" spans="1:22" x14ac:dyDescent="0.2">
      <c r="A112" s="20" t="s">
        <v>195</v>
      </c>
      <c r="B112" s="20" t="s">
        <v>591</v>
      </c>
      <c r="C112" s="25">
        <v>65.47</v>
      </c>
      <c r="D112" s="27">
        <v>401.2</v>
      </c>
      <c r="E112" s="25">
        <v>466.67</v>
      </c>
      <c r="F112" s="25">
        <v>0</v>
      </c>
      <c r="G112" s="29">
        <v>0</v>
      </c>
      <c r="H112" s="27">
        <v>0</v>
      </c>
      <c r="I112" s="29">
        <v>401</v>
      </c>
      <c r="J112" s="29">
        <v>143856</v>
      </c>
      <c r="K112" s="29">
        <v>11675</v>
      </c>
      <c r="L112" s="29">
        <v>155531</v>
      </c>
      <c r="M112" s="29">
        <v>23563</v>
      </c>
      <c r="N112" s="29">
        <v>25873</v>
      </c>
      <c r="O112" s="29">
        <v>0</v>
      </c>
      <c r="P112" s="29">
        <v>12105</v>
      </c>
      <c r="Q112" s="29">
        <v>1526</v>
      </c>
      <c r="R112" s="29">
        <v>218598</v>
      </c>
      <c r="S112" s="29">
        <v>29687</v>
      </c>
      <c r="T112" s="29">
        <v>188911</v>
      </c>
      <c r="U112" s="29">
        <v>100612</v>
      </c>
      <c r="V112" s="29">
        <v>88299</v>
      </c>
    </row>
    <row r="113" spans="1:22" x14ac:dyDescent="0.2">
      <c r="A113" s="20" t="s">
        <v>320</v>
      </c>
      <c r="B113" s="20" t="s">
        <v>710</v>
      </c>
      <c r="C113" s="25">
        <v>283.31</v>
      </c>
      <c r="D113" s="27">
        <v>1602.7</v>
      </c>
      <c r="E113" s="25">
        <v>1886.01</v>
      </c>
      <c r="F113" s="25">
        <v>4.68</v>
      </c>
      <c r="G113" s="29">
        <v>123</v>
      </c>
      <c r="H113" s="27">
        <v>0</v>
      </c>
      <c r="I113" s="29">
        <v>1726</v>
      </c>
      <c r="J113" s="29">
        <v>591604</v>
      </c>
      <c r="K113" s="29">
        <v>0</v>
      </c>
      <c r="L113" s="29">
        <v>591604</v>
      </c>
      <c r="M113" s="29">
        <v>101592</v>
      </c>
      <c r="N113" s="29">
        <v>111620</v>
      </c>
      <c r="O113" s="29">
        <v>1468</v>
      </c>
      <c r="P113" s="29">
        <v>59390</v>
      </c>
      <c r="Q113" s="29">
        <v>6488</v>
      </c>
      <c r="R113" s="29">
        <v>872162</v>
      </c>
      <c r="S113" s="29">
        <v>91881</v>
      </c>
      <c r="T113" s="29">
        <v>780281</v>
      </c>
      <c r="U113" s="29">
        <v>446670</v>
      </c>
      <c r="V113" s="29">
        <v>333611</v>
      </c>
    </row>
    <row r="114" spans="1:22" x14ac:dyDescent="0.2">
      <c r="A114" s="20" t="s">
        <v>84</v>
      </c>
      <c r="B114" s="20" t="s">
        <v>487</v>
      </c>
      <c r="C114" s="25">
        <v>136.71</v>
      </c>
      <c r="D114" s="27">
        <v>1045.9000000000001</v>
      </c>
      <c r="E114" s="25">
        <v>1182.6099999999999</v>
      </c>
      <c r="F114" s="25">
        <v>1.57</v>
      </c>
      <c r="G114" s="29">
        <v>16</v>
      </c>
      <c r="H114" s="27">
        <v>0</v>
      </c>
      <c r="I114" s="29">
        <v>1062</v>
      </c>
      <c r="J114" s="29">
        <v>378009</v>
      </c>
      <c r="K114" s="29">
        <v>42760</v>
      </c>
      <c r="L114" s="29">
        <v>420769</v>
      </c>
      <c r="M114" s="29">
        <v>62860</v>
      </c>
      <c r="N114" s="29">
        <v>70113</v>
      </c>
      <c r="O114" s="29">
        <v>502</v>
      </c>
      <c r="P114" s="29">
        <v>47476</v>
      </c>
      <c r="Q114" s="29">
        <v>5460</v>
      </c>
      <c r="R114" s="29">
        <v>607180</v>
      </c>
      <c r="S114" s="29">
        <v>73519</v>
      </c>
      <c r="T114" s="29">
        <v>533661</v>
      </c>
      <c r="U114" s="29">
        <v>275462</v>
      </c>
      <c r="V114" s="29">
        <v>258199</v>
      </c>
    </row>
    <row r="115" spans="1:22" x14ac:dyDescent="0.2">
      <c r="A115" s="20" t="s">
        <v>32</v>
      </c>
      <c r="B115" s="20" t="s">
        <v>443</v>
      </c>
      <c r="C115" s="25">
        <v>675.87</v>
      </c>
      <c r="D115" s="27">
        <v>3674.6</v>
      </c>
      <c r="E115" s="25">
        <v>4350.47</v>
      </c>
      <c r="F115" s="25">
        <v>0</v>
      </c>
      <c r="G115" s="29">
        <v>582</v>
      </c>
      <c r="H115" s="27">
        <v>3</v>
      </c>
      <c r="I115" s="29">
        <v>4254</v>
      </c>
      <c r="J115" s="29">
        <v>1419428</v>
      </c>
      <c r="K115" s="29">
        <v>0</v>
      </c>
      <c r="L115" s="29">
        <v>1419428</v>
      </c>
      <c r="M115" s="29">
        <v>252007</v>
      </c>
      <c r="N115" s="29">
        <v>282466</v>
      </c>
      <c r="O115" s="29">
        <v>0</v>
      </c>
      <c r="P115" s="29">
        <v>150613</v>
      </c>
      <c r="Q115" s="29">
        <v>17924</v>
      </c>
      <c r="R115" s="29">
        <v>2122438</v>
      </c>
      <c r="S115" s="29">
        <v>212765</v>
      </c>
      <c r="T115" s="29">
        <v>1909673</v>
      </c>
      <c r="U115" s="29">
        <v>1043390</v>
      </c>
      <c r="V115" s="29">
        <v>866283</v>
      </c>
    </row>
    <row r="116" spans="1:22" x14ac:dyDescent="0.2">
      <c r="A116" s="20" t="s">
        <v>321</v>
      </c>
      <c r="B116" s="20" t="s">
        <v>711</v>
      </c>
      <c r="C116" s="25">
        <v>364</v>
      </c>
      <c r="D116" s="27">
        <v>2079.5</v>
      </c>
      <c r="E116" s="25">
        <v>2443.5</v>
      </c>
      <c r="F116" s="25">
        <v>6.06</v>
      </c>
      <c r="G116" s="29">
        <v>264</v>
      </c>
      <c r="H116" s="27">
        <v>5.4</v>
      </c>
      <c r="I116" s="29">
        <v>2338</v>
      </c>
      <c r="J116" s="29">
        <v>766477</v>
      </c>
      <c r="K116" s="29">
        <v>0</v>
      </c>
      <c r="L116" s="29">
        <v>766477</v>
      </c>
      <c r="M116" s="29">
        <v>137615</v>
      </c>
      <c r="N116" s="29">
        <v>151198</v>
      </c>
      <c r="O116" s="29">
        <v>1901</v>
      </c>
      <c r="P116" s="29">
        <v>76946</v>
      </c>
      <c r="Q116" s="29">
        <v>8406</v>
      </c>
      <c r="R116" s="29">
        <v>1142543</v>
      </c>
      <c r="S116" s="29">
        <v>124889</v>
      </c>
      <c r="T116" s="29">
        <v>1017654</v>
      </c>
      <c r="U116" s="29">
        <v>572853</v>
      </c>
      <c r="V116" s="29">
        <v>444801</v>
      </c>
    </row>
    <row r="117" spans="1:22" x14ac:dyDescent="0.2">
      <c r="A117" s="20" t="s">
        <v>282</v>
      </c>
      <c r="B117" s="20" t="s">
        <v>673</v>
      </c>
      <c r="C117" s="25">
        <v>70.459999999999994</v>
      </c>
      <c r="D117" s="27">
        <v>446.1</v>
      </c>
      <c r="E117" s="25">
        <v>516.55999999999995</v>
      </c>
      <c r="F117" s="25">
        <v>1.1499999999999999</v>
      </c>
      <c r="G117" s="29">
        <v>0</v>
      </c>
      <c r="H117" s="27">
        <v>0</v>
      </c>
      <c r="I117" s="29">
        <v>446</v>
      </c>
      <c r="J117" s="29">
        <v>163398</v>
      </c>
      <c r="K117" s="29">
        <v>0</v>
      </c>
      <c r="L117" s="29">
        <v>163398</v>
      </c>
      <c r="M117" s="29">
        <v>26265</v>
      </c>
      <c r="N117" s="29">
        <v>29035</v>
      </c>
      <c r="O117" s="29">
        <v>364</v>
      </c>
      <c r="P117" s="29">
        <v>16778</v>
      </c>
      <c r="Q117" s="29">
        <v>1803</v>
      </c>
      <c r="R117" s="29">
        <v>237643</v>
      </c>
      <c r="S117" s="29">
        <v>20998</v>
      </c>
      <c r="T117" s="29">
        <v>216645</v>
      </c>
      <c r="U117" s="29">
        <v>127011</v>
      </c>
      <c r="V117" s="29">
        <v>89634</v>
      </c>
    </row>
    <row r="118" spans="1:22" x14ac:dyDescent="0.2">
      <c r="A118" s="20" t="s">
        <v>239</v>
      </c>
      <c r="B118" s="20" t="s">
        <v>632</v>
      </c>
      <c r="C118" s="25">
        <v>49.12</v>
      </c>
      <c r="D118" s="27">
        <v>468</v>
      </c>
      <c r="E118" s="25">
        <v>517.12</v>
      </c>
      <c r="F118" s="25">
        <v>1.06</v>
      </c>
      <c r="G118" s="29">
        <v>1</v>
      </c>
      <c r="H118" s="27">
        <v>0</v>
      </c>
      <c r="I118" s="29">
        <v>469</v>
      </c>
      <c r="J118" s="29">
        <v>166978</v>
      </c>
      <c r="K118" s="29">
        <v>0</v>
      </c>
      <c r="L118" s="29">
        <v>166978</v>
      </c>
      <c r="M118" s="29">
        <v>27751</v>
      </c>
      <c r="N118" s="29">
        <v>31095</v>
      </c>
      <c r="O118" s="29">
        <v>342</v>
      </c>
      <c r="P118" s="29">
        <v>16806</v>
      </c>
      <c r="Q118" s="29">
        <v>2006</v>
      </c>
      <c r="R118" s="29">
        <v>244978</v>
      </c>
      <c r="S118" s="29">
        <v>25821</v>
      </c>
      <c r="T118" s="29">
        <v>219157</v>
      </c>
      <c r="U118" s="29">
        <v>122536</v>
      </c>
      <c r="V118" s="29">
        <v>96621</v>
      </c>
    </row>
    <row r="119" spans="1:22" x14ac:dyDescent="0.2">
      <c r="A119" s="20" t="s">
        <v>85</v>
      </c>
      <c r="B119" s="20" t="s">
        <v>488</v>
      </c>
      <c r="C119" s="25">
        <v>75.989999999999995</v>
      </c>
      <c r="D119" s="27">
        <v>839</v>
      </c>
      <c r="E119" s="25">
        <v>914.99</v>
      </c>
      <c r="F119" s="25">
        <v>1.22</v>
      </c>
      <c r="G119" s="29">
        <v>31</v>
      </c>
      <c r="H119" s="27">
        <v>0</v>
      </c>
      <c r="I119" s="29">
        <v>870</v>
      </c>
      <c r="J119" s="29">
        <v>292467</v>
      </c>
      <c r="K119" s="29">
        <v>43683</v>
      </c>
      <c r="L119" s="29">
        <v>336150</v>
      </c>
      <c r="M119" s="29">
        <v>51495</v>
      </c>
      <c r="N119" s="29">
        <v>57437</v>
      </c>
      <c r="O119" s="29">
        <v>390</v>
      </c>
      <c r="P119" s="29">
        <v>36499</v>
      </c>
      <c r="Q119" s="29">
        <v>4200</v>
      </c>
      <c r="R119" s="29">
        <v>486171</v>
      </c>
      <c r="S119" s="29">
        <v>49755</v>
      </c>
      <c r="T119" s="29">
        <v>436416</v>
      </c>
      <c r="U119" s="29">
        <v>219997</v>
      </c>
      <c r="V119" s="29">
        <v>216419</v>
      </c>
    </row>
    <row r="120" spans="1:22" x14ac:dyDescent="0.2">
      <c r="A120" s="20" t="s">
        <v>240</v>
      </c>
      <c r="B120" s="20" t="s">
        <v>633</v>
      </c>
      <c r="C120" s="25">
        <v>45.03</v>
      </c>
      <c r="D120" s="27">
        <v>425</v>
      </c>
      <c r="E120" s="25">
        <v>470.03</v>
      </c>
      <c r="F120" s="25">
        <v>0.96</v>
      </c>
      <c r="G120" s="29">
        <v>9</v>
      </c>
      <c r="H120" s="27">
        <v>0</v>
      </c>
      <c r="I120" s="29">
        <v>434</v>
      </c>
      <c r="J120" s="29">
        <v>151773</v>
      </c>
      <c r="K120" s="29">
        <v>0</v>
      </c>
      <c r="L120" s="29">
        <v>151773</v>
      </c>
      <c r="M120" s="29">
        <v>25680</v>
      </c>
      <c r="N120" s="29">
        <v>28774</v>
      </c>
      <c r="O120" s="29">
        <v>310</v>
      </c>
      <c r="P120" s="29">
        <v>15276</v>
      </c>
      <c r="Q120" s="29">
        <v>1824</v>
      </c>
      <c r="R120" s="29">
        <v>223637</v>
      </c>
      <c r="S120" s="29">
        <v>24051</v>
      </c>
      <c r="T120" s="29">
        <v>199586</v>
      </c>
      <c r="U120" s="29">
        <v>110797</v>
      </c>
      <c r="V120" s="29">
        <v>88789</v>
      </c>
    </row>
    <row r="121" spans="1:22" x14ac:dyDescent="0.2">
      <c r="A121" s="20" t="s">
        <v>196</v>
      </c>
      <c r="B121" s="20" t="s">
        <v>592</v>
      </c>
      <c r="C121" s="25">
        <v>119.78</v>
      </c>
      <c r="D121" s="27">
        <v>1534</v>
      </c>
      <c r="E121" s="25">
        <v>1653.78</v>
      </c>
      <c r="F121" s="25">
        <v>0</v>
      </c>
      <c r="G121" s="29">
        <v>27</v>
      </c>
      <c r="H121" s="27">
        <v>0</v>
      </c>
      <c r="I121" s="29">
        <v>1561</v>
      </c>
      <c r="J121" s="29">
        <v>509794</v>
      </c>
      <c r="K121" s="29">
        <v>0</v>
      </c>
      <c r="L121" s="29">
        <v>509794</v>
      </c>
      <c r="M121" s="29">
        <v>91724</v>
      </c>
      <c r="N121" s="29">
        <v>100716</v>
      </c>
      <c r="O121" s="29">
        <v>0</v>
      </c>
      <c r="P121" s="29">
        <v>42899</v>
      </c>
      <c r="Q121" s="29">
        <v>5408</v>
      </c>
      <c r="R121" s="29">
        <v>750541</v>
      </c>
      <c r="S121" s="29">
        <v>38933</v>
      </c>
      <c r="T121" s="29">
        <v>711608</v>
      </c>
      <c r="U121" s="29">
        <v>422819</v>
      </c>
      <c r="V121" s="29">
        <v>288789</v>
      </c>
    </row>
    <row r="122" spans="1:22" x14ac:dyDescent="0.2">
      <c r="A122" s="20" t="s">
        <v>33</v>
      </c>
      <c r="B122" s="20" t="s">
        <v>444</v>
      </c>
      <c r="C122" s="25">
        <v>35.74</v>
      </c>
      <c r="D122" s="27">
        <v>166</v>
      </c>
      <c r="E122" s="25">
        <v>201.74</v>
      </c>
      <c r="F122" s="25">
        <v>0</v>
      </c>
      <c r="G122" s="29">
        <v>5</v>
      </c>
      <c r="H122" s="27">
        <v>0</v>
      </c>
      <c r="I122" s="29">
        <v>171</v>
      </c>
      <c r="J122" s="29">
        <v>65822</v>
      </c>
      <c r="K122" s="29">
        <v>0</v>
      </c>
      <c r="L122" s="29">
        <v>65822</v>
      </c>
      <c r="M122" s="29">
        <v>10130</v>
      </c>
      <c r="N122" s="29">
        <v>11354</v>
      </c>
      <c r="O122" s="29">
        <v>0</v>
      </c>
      <c r="P122" s="29">
        <v>6984</v>
      </c>
      <c r="Q122" s="29">
        <v>831</v>
      </c>
      <c r="R122" s="29">
        <v>95121</v>
      </c>
      <c r="S122" s="29">
        <v>10845</v>
      </c>
      <c r="T122" s="29">
        <v>84276</v>
      </c>
      <c r="U122" s="29">
        <v>47405</v>
      </c>
      <c r="V122" s="29">
        <v>36871</v>
      </c>
    </row>
    <row r="123" spans="1:22" x14ac:dyDescent="0.2">
      <c r="A123" s="20" t="s">
        <v>86</v>
      </c>
      <c r="B123" s="20" t="s">
        <v>489</v>
      </c>
      <c r="C123" s="25">
        <v>89.44</v>
      </c>
      <c r="D123" s="27">
        <v>588.9</v>
      </c>
      <c r="E123" s="25">
        <v>678.34</v>
      </c>
      <c r="F123" s="25">
        <v>0.9</v>
      </c>
      <c r="G123" s="29">
        <v>2</v>
      </c>
      <c r="H123" s="27">
        <v>0</v>
      </c>
      <c r="I123" s="29">
        <v>591</v>
      </c>
      <c r="J123" s="29">
        <v>216825</v>
      </c>
      <c r="K123" s="29">
        <v>0</v>
      </c>
      <c r="L123" s="29">
        <v>216825</v>
      </c>
      <c r="M123" s="29">
        <v>34981</v>
      </c>
      <c r="N123" s="29">
        <v>39018</v>
      </c>
      <c r="O123" s="29">
        <v>288</v>
      </c>
      <c r="P123" s="29">
        <v>27059</v>
      </c>
      <c r="Q123" s="29">
        <v>3114</v>
      </c>
      <c r="R123" s="29">
        <v>321285</v>
      </c>
      <c r="S123" s="29">
        <v>38194</v>
      </c>
      <c r="T123" s="29">
        <v>283091</v>
      </c>
      <c r="U123" s="29">
        <v>161789</v>
      </c>
      <c r="V123" s="29">
        <v>121302</v>
      </c>
    </row>
    <row r="124" spans="1:22" x14ac:dyDescent="0.2">
      <c r="A124" s="20" t="s">
        <v>283</v>
      </c>
      <c r="B124" s="20" t="s">
        <v>674</v>
      </c>
      <c r="C124" s="25">
        <v>223.01</v>
      </c>
      <c r="D124" s="27">
        <v>1926.9</v>
      </c>
      <c r="E124" s="25">
        <v>2149.91</v>
      </c>
      <c r="F124" s="25">
        <v>4.8</v>
      </c>
      <c r="G124" s="29">
        <v>8</v>
      </c>
      <c r="H124" s="27">
        <v>0</v>
      </c>
      <c r="I124" s="29">
        <v>1935</v>
      </c>
      <c r="J124" s="29">
        <v>680060</v>
      </c>
      <c r="K124" s="29">
        <v>0</v>
      </c>
      <c r="L124" s="29">
        <v>680060</v>
      </c>
      <c r="M124" s="29">
        <v>113952</v>
      </c>
      <c r="N124" s="29">
        <v>125969</v>
      </c>
      <c r="O124" s="29">
        <v>1518</v>
      </c>
      <c r="P124" s="29">
        <v>69829</v>
      </c>
      <c r="Q124" s="29">
        <v>7503</v>
      </c>
      <c r="R124" s="29">
        <v>998831</v>
      </c>
      <c r="S124" s="29">
        <v>89118</v>
      </c>
      <c r="T124" s="29">
        <v>909713</v>
      </c>
      <c r="U124" s="29">
        <v>526892</v>
      </c>
      <c r="V124" s="29">
        <v>382821</v>
      </c>
    </row>
    <row r="125" spans="1:22" x14ac:dyDescent="0.2">
      <c r="A125" s="20" t="s">
        <v>197</v>
      </c>
      <c r="B125" s="20" t="s">
        <v>593</v>
      </c>
      <c r="C125" s="25">
        <v>29.92</v>
      </c>
      <c r="D125" s="27">
        <v>279.2</v>
      </c>
      <c r="E125" s="25">
        <v>309.12</v>
      </c>
      <c r="F125" s="25">
        <v>0</v>
      </c>
      <c r="G125" s="29">
        <v>14</v>
      </c>
      <c r="H125" s="27">
        <v>0</v>
      </c>
      <c r="I125" s="29">
        <v>293</v>
      </c>
      <c r="J125" s="29">
        <v>95289</v>
      </c>
      <c r="K125" s="29">
        <v>2741</v>
      </c>
      <c r="L125" s="29">
        <v>98030</v>
      </c>
      <c r="M125" s="29">
        <v>17217</v>
      </c>
      <c r="N125" s="29">
        <v>18904</v>
      </c>
      <c r="O125" s="29">
        <v>0</v>
      </c>
      <c r="P125" s="29">
        <v>8019</v>
      </c>
      <c r="Q125" s="29">
        <v>1011</v>
      </c>
      <c r="R125" s="29">
        <v>143181</v>
      </c>
      <c r="S125" s="29">
        <v>17419</v>
      </c>
      <c r="T125" s="29">
        <v>125762</v>
      </c>
      <c r="U125" s="29">
        <v>68891</v>
      </c>
      <c r="V125" s="29">
        <v>56871</v>
      </c>
    </row>
    <row r="126" spans="1:22" x14ac:dyDescent="0.2">
      <c r="A126" s="20" t="s">
        <v>34</v>
      </c>
      <c r="B126" s="20" t="s">
        <v>445</v>
      </c>
      <c r="C126" s="25">
        <v>38.81</v>
      </c>
      <c r="D126" s="27">
        <v>387</v>
      </c>
      <c r="E126" s="25">
        <v>425.81</v>
      </c>
      <c r="F126" s="25">
        <v>0</v>
      </c>
      <c r="G126" s="29">
        <v>5</v>
      </c>
      <c r="H126" s="27">
        <v>0</v>
      </c>
      <c r="I126" s="29">
        <v>392</v>
      </c>
      <c r="J126" s="29">
        <v>138929</v>
      </c>
      <c r="K126" s="29">
        <v>0</v>
      </c>
      <c r="L126" s="29">
        <v>138929</v>
      </c>
      <c r="M126" s="29">
        <v>23222</v>
      </c>
      <c r="N126" s="29">
        <v>26029</v>
      </c>
      <c r="O126" s="29">
        <v>0</v>
      </c>
      <c r="P126" s="29">
        <v>14742</v>
      </c>
      <c r="Q126" s="29">
        <v>1754</v>
      </c>
      <c r="R126" s="29">
        <v>204676</v>
      </c>
      <c r="S126" s="29">
        <v>23426</v>
      </c>
      <c r="T126" s="29">
        <v>181250</v>
      </c>
      <c r="U126" s="29">
        <v>99523</v>
      </c>
      <c r="V126" s="29">
        <v>81727</v>
      </c>
    </row>
    <row r="127" spans="1:22" x14ac:dyDescent="0.2">
      <c r="A127" s="20" t="s">
        <v>296</v>
      </c>
      <c r="B127" s="20" t="s">
        <v>687</v>
      </c>
      <c r="C127" s="25">
        <v>77.41</v>
      </c>
      <c r="D127" s="27">
        <v>626.4</v>
      </c>
      <c r="E127" s="25">
        <v>703.81</v>
      </c>
      <c r="F127" s="25">
        <v>1.57</v>
      </c>
      <c r="G127" s="29">
        <v>15</v>
      </c>
      <c r="H127" s="27">
        <v>0</v>
      </c>
      <c r="I127" s="29">
        <v>641</v>
      </c>
      <c r="J127" s="29">
        <v>222629</v>
      </c>
      <c r="K127" s="29">
        <v>0</v>
      </c>
      <c r="L127" s="29">
        <v>222629</v>
      </c>
      <c r="M127" s="29">
        <v>37748</v>
      </c>
      <c r="N127" s="29">
        <v>41729</v>
      </c>
      <c r="O127" s="29">
        <v>497</v>
      </c>
      <c r="P127" s="29">
        <v>22860</v>
      </c>
      <c r="Q127" s="29">
        <v>2456</v>
      </c>
      <c r="R127" s="29">
        <v>327919</v>
      </c>
      <c r="S127" s="29">
        <v>39610</v>
      </c>
      <c r="T127" s="29">
        <v>288309</v>
      </c>
      <c r="U127" s="29">
        <v>162051</v>
      </c>
      <c r="V127" s="29">
        <v>126258</v>
      </c>
    </row>
    <row r="128" spans="1:22" x14ac:dyDescent="0.2">
      <c r="A128" s="20" t="s">
        <v>87</v>
      </c>
      <c r="B128" s="20" t="s">
        <v>88</v>
      </c>
      <c r="C128" s="25">
        <v>19.22</v>
      </c>
      <c r="D128" s="27">
        <v>250.4</v>
      </c>
      <c r="E128" s="25">
        <v>269.62</v>
      </c>
      <c r="F128" s="25">
        <v>0.36</v>
      </c>
      <c r="G128" s="29">
        <v>0</v>
      </c>
      <c r="H128" s="27">
        <v>0</v>
      </c>
      <c r="I128" s="29">
        <v>250</v>
      </c>
      <c r="J128" s="29">
        <v>86181</v>
      </c>
      <c r="K128" s="29">
        <v>19194</v>
      </c>
      <c r="L128" s="29">
        <v>105375</v>
      </c>
      <c r="M128" s="29">
        <v>14798</v>
      </c>
      <c r="N128" s="29">
        <v>16505</v>
      </c>
      <c r="O128" s="29">
        <v>115</v>
      </c>
      <c r="P128" s="29">
        <v>10977</v>
      </c>
      <c r="Q128" s="29">
        <v>1262</v>
      </c>
      <c r="R128" s="29">
        <v>149032</v>
      </c>
      <c r="S128" s="29">
        <v>17366</v>
      </c>
      <c r="T128" s="29">
        <v>131666</v>
      </c>
      <c r="U128" s="29">
        <v>62368</v>
      </c>
      <c r="V128" s="29">
        <v>69298</v>
      </c>
    </row>
    <row r="129" spans="1:22" x14ac:dyDescent="0.2">
      <c r="A129" s="20" t="s">
        <v>89</v>
      </c>
      <c r="B129" s="20" t="s">
        <v>490</v>
      </c>
      <c r="C129" s="25">
        <v>246.5</v>
      </c>
      <c r="D129" s="27">
        <v>1571.6</v>
      </c>
      <c r="E129" s="25">
        <v>1818.1</v>
      </c>
      <c r="F129" s="25">
        <v>2.42</v>
      </c>
      <c r="G129" s="29">
        <v>40</v>
      </c>
      <c r="H129" s="27">
        <v>0.7</v>
      </c>
      <c r="I129" s="29">
        <v>1611</v>
      </c>
      <c r="J129" s="29">
        <v>581137</v>
      </c>
      <c r="K129" s="29">
        <v>0</v>
      </c>
      <c r="L129" s="29">
        <v>581137</v>
      </c>
      <c r="M129" s="29">
        <v>95355</v>
      </c>
      <c r="N129" s="29">
        <v>106358</v>
      </c>
      <c r="O129" s="29">
        <v>774</v>
      </c>
      <c r="P129" s="29">
        <v>72558</v>
      </c>
      <c r="Q129" s="29">
        <v>8345</v>
      </c>
      <c r="R129" s="29">
        <v>864527</v>
      </c>
      <c r="S129" s="29">
        <v>81962</v>
      </c>
      <c r="T129" s="29">
        <v>782565</v>
      </c>
      <c r="U129" s="29">
        <v>454071</v>
      </c>
      <c r="V129" s="29">
        <v>328494</v>
      </c>
    </row>
    <row r="130" spans="1:22" x14ac:dyDescent="0.2">
      <c r="A130" s="20" t="s">
        <v>284</v>
      </c>
      <c r="B130" s="20" t="s">
        <v>675</v>
      </c>
      <c r="C130" s="25">
        <v>92.81</v>
      </c>
      <c r="D130" s="27">
        <v>452.2</v>
      </c>
      <c r="E130" s="25">
        <v>545.01</v>
      </c>
      <c r="F130" s="25">
        <v>1.22</v>
      </c>
      <c r="G130" s="29">
        <v>0</v>
      </c>
      <c r="H130" s="27">
        <v>0</v>
      </c>
      <c r="I130" s="29">
        <v>452</v>
      </c>
      <c r="J130" s="29">
        <v>172398</v>
      </c>
      <c r="K130" s="29">
        <v>9749</v>
      </c>
      <c r="L130" s="29">
        <v>182147</v>
      </c>
      <c r="M130" s="29">
        <v>26618</v>
      </c>
      <c r="N130" s="29">
        <v>29425</v>
      </c>
      <c r="O130" s="29">
        <v>386</v>
      </c>
      <c r="P130" s="29">
        <v>17800</v>
      </c>
      <c r="Q130" s="29">
        <v>1908</v>
      </c>
      <c r="R130" s="29">
        <v>258284</v>
      </c>
      <c r="S130" s="29">
        <v>31091</v>
      </c>
      <c r="T130" s="29">
        <v>227193</v>
      </c>
      <c r="U130" s="29">
        <v>125175</v>
      </c>
      <c r="V130" s="29">
        <v>102018</v>
      </c>
    </row>
    <row r="131" spans="1:22" x14ac:dyDescent="0.2">
      <c r="A131" s="20" t="s">
        <v>90</v>
      </c>
      <c r="B131" s="20" t="s">
        <v>491</v>
      </c>
      <c r="C131" s="25">
        <v>80.56</v>
      </c>
      <c r="D131" s="27">
        <v>659.1</v>
      </c>
      <c r="E131" s="25">
        <v>739.66</v>
      </c>
      <c r="F131" s="25">
        <v>0.99</v>
      </c>
      <c r="G131" s="29">
        <v>6</v>
      </c>
      <c r="H131" s="27">
        <v>0</v>
      </c>
      <c r="I131" s="29">
        <v>665</v>
      </c>
      <c r="J131" s="29">
        <v>236425</v>
      </c>
      <c r="K131" s="29">
        <v>0</v>
      </c>
      <c r="L131" s="29">
        <v>236425</v>
      </c>
      <c r="M131" s="29">
        <v>39361</v>
      </c>
      <c r="N131" s="29">
        <v>43903</v>
      </c>
      <c r="O131" s="29">
        <v>316</v>
      </c>
      <c r="P131" s="29">
        <v>29505</v>
      </c>
      <c r="Q131" s="29">
        <v>3395</v>
      </c>
      <c r="R131" s="29">
        <v>352905</v>
      </c>
      <c r="S131" s="29">
        <v>29520</v>
      </c>
      <c r="T131" s="29">
        <v>323385</v>
      </c>
      <c r="U131" s="29">
        <v>188543</v>
      </c>
      <c r="V131" s="29">
        <v>134842</v>
      </c>
    </row>
    <row r="132" spans="1:22" x14ac:dyDescent="0.2">
      <c r="A132" s="20" t="s">
        <v>198</v>
      </c>
      <c r="B132" s="20" t="s">
        <v>594</v>
      </c>
      <c r="C132" s="25">
        <v>42.56</v>
      </c>
      <c r="D132" s="27">
        <v>406.1</v>
      </c>
      <c r="E132" s="25">
        <v>448.66</v>
      </c>
      <c r="F132" s="25">
        <v>0</v>
      </c>
      <c r="G132" s="29">
        <v>0</v>
      </c>
      <c r="H132" s="27">
        <v>0</v>
      </c>
      <c r="I132" s="29">
        <v>406</v>
      </c>
      <c r="J132" s="29">
        <v>138304</v>
      </c>
      <c r="K132" s="29">
        <v>11576</v>
      </c>
      <c r="L132" s="29">
        <v>149880</v>
      </c>
      <c r="M132" s="29">
        <v>23857</v>
      </c>
      <c r="N132" s="29">
        <v>26195</v>
      </c>
      <c r="O132" s="29">
        <v>0</v>
      </c>
      <c r="P132" s="29">
        <v>12136</v>
      </c>
      <c r="Q132" s="29">
        <v>1533</v>
      </c>
      <c r="R132" s="29">
        <v>213601</v>
      </c>
      <c r="S132" s="29">
        <v>21657</v>
      </c>
      <c r="T132" s="29">
        <v>191944</v>
      </c>
      <c r="U132" s="29">
        <v>104177</v>
      </c>
      <c r="V132" s="29">
        <v>87767</v>
      </c>
    </row>
    <row r="133" spans="1:22" x14ac:dyDescent="0.2">
      <c r="A133" s="20" t="s">
        <v>3</v>
      </c>
      <c r="B133" s="20" t="s">
        <v>415</v>
      </c>
      <c r="C133" s="25">
        <v>72.760000000000005</v>
      </c>
      <c r="D133" s="27">
        <v>594.6</v>
      </c>
      <c r="E133" s="25">
        <v>667.36</v>
      </c>
      <c r="F133" s="25">
        <v>1.87</v>
      </c>
      <c r="G133" s="29">
        <v>54</v>
      </c>
      <c r="H133" s="27">
        <v>2.8</v>
      </c>
      <c r="I133" s="29">
        <v>646</v>
      </c>
      <c r="J133" s="29">
        <v>220576</v>
      </c>
      <c r="K133" s="29">
        <v>0</v>
      </c>
      <c r="L133" s="29">
        <v>220576</v>
      </c>
      <c r="M133" s="29">
        <v>38217</v>
      </c>
      <c r="N133" s="29">
        <v>42591</v>
      </c>
      <c r="O133" s="29">
        <v>618</v>
      </c>
      <c r="P133" s="29">
        <v>21796</v>
      </c>
      <c r="Q133" s="29">
        <v>2356</v>
      </c>
      <c r="R133" s="29">
        <v>326154</v>
      </c>
      <c r="S133" s="29">
        <v>39375</v>
      </c>
      <c r="T133" s="29">
        <v>286779</v>
      </c>
      <c r="U133" s="29">
        <v>152085</v>
      </c>
      <c r="V133" s="29">
        <v>134694</v>
      </c>
    </row>
    <row r="134" spans="1:22" x14ac:dyDescent="0.2">
      <c r="A134" s="20" t="s">
        <v>154</v>
      </c>
      <c r="B134" s="20" t="s">
        <v>155</v>
      </c>
      <c r="C134" s="25">
        <v>40.81</v>
      </c>
      <c r="D134" s="27">
        <v>335.7</v>
      </c>
      <c r="E134" s="25">
        <v>376.51</v>
      </c>
      <c r="F134" s="25">
        <v>0</v>
      </c>
      <c r="G134" s="29">
        <v>9</v>
      </c>
      <c r="H134" s="27">
        <v>0</v>
      </c>
      <c r="I134" s="29">
        <v>345</v>
      </c>
      <c r="J134" s="29">
        <v>118736</v>
      </c>
      <c r="K134" s="29">
        <v>1960</v>
      </c>
      <c r="L134" s="29">
        <v>120696</v>
      </c>
      <c r="M134" s="29">
        <v>20314</v>
      </c>
      <c r="N134" s="29">
        <v>22322</v>
      </c>
      <c r="O134" s="29">
        <v>0</v>
      </c>
      <c r="P134" s="29">
        <v>11315</v>
      </c>
      <c r="Q134" s="29">
        <v>1317</v>
      </c>
      <c r="R134" s="29">
        <v>175964</v>
      </c>
      <c r="S134" s="29">
        <v>19800</v>
      </c>
      <c r="T134" s="29">
        <v>156164</v>
      </c>
      <c r="U134" s="29">
        <v>86960</v>
      </c>
      <c r="V134" s="29">
        <v>69204</v>
      </c>
    </row>
    <row r="135" spans="1:22" x14ac:dyDescent="0.2">
      <c r="A135" s="20" t="s">
        <v>285</v>
      </c>
      <c r="B135" s="20" t="s">
        <v>676</v>
      </c>
      <c r="C135" s="25">
        <v>35.119999999999997</v>
      </c>
      <c r="D135" s="27">
        <v>196</v>
      </c>
      <c r="E135" s="25">
        <v>231.12</v>
      </c>
      <c r="F135" s="25">
        <v>0.52</v>
      </c>
      <c r="G135" s="29">
        <v>0</v>
      </c>
      <c r="H135" s="27">
        <v>0</v>
      </c>
      <c r="I135" s="29">
        <v>196</v>
      </c>
      <c r="J135" s="29">
        <v>73108</v>
      </c>
      <c r="K135" s="29">
        <v>10629</v>
      </c>
      <c r="L135" s="29">
        <v>83737</v>
      </c>
      <c r="M135" s="29">
        <v>11542</v>
      </c>
      <c r="N135" s="29">
        <v>12760</v>
      </c>
      <c r="O135" s="29">
        <v>164</v>
      </c>
      <c r="P135" s="29">
        <v>7567</v>
      </c>
      <c r="Q135" s="29">
        <v>811</v>
      </c>
      <c r="R135" s="29">
        <v>116581</v>
      </c>
      <c r="S135" s="29">
        <v>14961</v>
      </c>
      <c r="T135" s="29">
        <v>101620</v>
      </c>
      <c r="U135" s="29">
        <v>51327</v>
      </c>
      <c r="V135" s="29">
        <v>50293</v>
      </c>
    </row>
    <row r="136" spans="1:22" x14ac:dyDescent="0.2">
      <c r="A136" s="20" t="s">
        <v>91</v>
      </c>
      <c r="B136" s="20" t="s">
        <v>492</v>
      </c>
      <c r="C136" s="25">
        <v>148.76</v>
      </c>
      <c r="D136" s="27">
        <v>1120.7</v>
      </c>
      <c r="E136" s="25">
        <v>1269.46</v>
      </c>
      <c r="F136" s="25">
        <v>1.69</v>
      </c>
      <c r="G136" s="29">
        <v>8</v>
      </c>
      <c r="H136" s="27">
        <v>0.3</v>
      </c>
      <c r="I136" s="29">
        <v>1128</v>
      </c>
      <c r="J136" s="29">
        <v>405770</v>
      </c>
      <c r="K136" s="29">
        <v>13677</v>
      </c>
      <c r="L136" s="29">
        <v>419447</v>
      </c>
      <c r="M136" s="29">
        <v>66766</v>
      </c>
      <c r="N136" s="29">
        <v>74471</v>
      </c>
      <c r="O136" s="29">
        <v>540</v>
      </c>
      <c r="P136" s="29">
        <v>51772</v>
      </c>
      <c r="Q136" s="29">
        <v>5954</v>
      </c>
      <c r="R136" s="29">
        <v>618950</v>
      </c>
      <c r="S136" s="29">
        <v>56126</v>
      </c>
      <c r="T136" s="29">
        <v>562824</v>
      </c>
      <c r="U136" s="29">
        <v>319388</v>
      </c>
      <c r="V136" s="29">
        <v>243436</v>
      </c>
    </row>
    <row r="137" spans="1:22" x14ac:dyDescent="0.2">
      <c r="A137" s="20" t="s">
        <v>286</v>
      </c>
      <c r="B137" s="20" t="s">
        <v>677</v>
      </c>
      <c r="C137" s="25">
        <v>172.35</v>
      </c>
      <c r="D137" s="27">
        <v>1354.7</v>
      </c>
      <c r="E137" s="25">
        <v>1527.05</v>
      </c>
      <c r="F137" s="25">
        <v>3.41</v>
      </c>
      <c r="G137" s="29">
        <v>71</v>
      </c>
      <c r="H137" s="27">
        <v>1.2</v>
      </c>
      <c r="I137" s="29">
        <v>1425</v>
      </c>
      <c r="J137" s="29">
        <v>483036</v>
      </c>
      <c r="K137" s="29">
        <v>0</v>
      </c>
      <c r="L137" s="29">
        <v>483036</v>
      </c>
      <c r="M137" s="29">
        <v>83918</v>
      </c>
      <c r="N137" s="29">
        <v>92768</v>
      </c>
      <c r="O137" s="29">
        <v>1079</v>
      </c>
      <c r="P137" s="29">
        <v>49599</v>
      </c>
      <c r="Q137" s="29">
        <v>5329</v>
      </c>
      <c r="R137" s="29">
        <v>715729</v>
      </c>
      <c r="S137" s="29">
        <v>75561</v>
      </c>
      <c r="T137" s="29">
        <v>640168</v>
      </c>
      <c r="U137" s="29">
        <v>361982</v>
      </c>
      <c r="V137" s="29">
        <v>278186</v>
      </c>
    </row>
    <row r="138" spans="1:22" x14ac:dyDescent="0.2">
      <c r="A138" s="20" t="s">
        <v>36</v>
      </c>
      <c r="B138" s="20" t="s">
        <v>447</v>
      </c>
      <c r="C138" s="25">
        <v>32.22</v>
      </c>
      <c r="D138" s="27">
        <v>295</v>
      </c>
      <c r="E138" s="25">
        <v>327.22000000000003</v>
      </c>
      <c r="F138" s="25">
        <v>0</v>
      </c>
      <c r="G138" s="29">
        <v>0</v>
      </c>
      <c r="H138" s="27">
        <v>0</v>
      </c>
      <c r="I138" s="29">
        <v>295</v>
      </c>
      <c r="J138" s="29">
        <v>106762</v>
      </c>
      <c r="K138" s="29">
        <v>0</v>
      </c>
      <c r="L138" s="29">
        <v>106762</v>
      </c>
      <c r="M138" s="29">
        <v>17476</v>
      </c>
      <c r="N138" s="29">
        <v>19588</v>
      </c>
      <c r="O138" s="29">
        <v>0</v>
      </c>
      <c r="P138" s="29">
        <v>11328</v>
      </c>
      <c r="Q138" s="29">
        <v>1348</v>
      </c>
      <c r="R138" s="29">
        <v>156502</v>
      </c>
      <c r="S138" s="29">
        <v>15519</v>
      </c>
      <c r="T138" s="29">
        <v>140983</v>
      </c>
      <c r="U138" s="29">
        <v>78962</v>
      </c>
      <c r="V138" s="29">
        <v>62021</v>
      </c>
    </row>
    <row r="139" spans="1:22" x14ac:dyDescent="0.2">
      <c r="A139" s="20" t="s">
        <v>241</v>
      </c>
      <c r="B139" s="20" t="s">
        <v>634</v>
      </c>
      <c r="C139" s="25">
        <v>118.31</v>
      </c>
      <c r="D139" s="27">
        <v>612.20000000000005</v>
      </c>
      <c r="E139" s="25">
        <v>730.51</v>
      </c>
      <c r="F139" s="25">
        <v>1.49</v>
      </c>
      <c r="G139" s="29">
        <v>123</v>
      </c>
      <c r="H139" s="27">
        <v>0</v>
      </c>
      <c r="I139" s="29">
        <v>735</v>
      </c>
      <c r="J139" s="29">
        <v>235882</v>
      </c>
      <c r="K139" s="29">
        <v>0</v>
      </c>
      <c r="L139" s="29">
        <v>235882</v>
      </c>
      <c r="M139" s="29">
        <v>43490</v>
      </c>
      <c r="N139" s="29">
        <v>48731</v>
      </c>
      <c r="O139" s="29">
        <v>481</v>
      </c>
      <c r="P139" s="29">
        <v>23742</v>
      </c>
      <c r="Q139" s="29">
        <v>2834</v>
      </c>
      <c r="R139" s="29">
        <v>355160</v>
      </c>
      <c r="S139" s="29">
        <v>41896</v>
      </c>
      <c r="T139" s="29">
        <v>313264</v>
      </c>
      <c r="U139" s="29">
        <v>167680</v>
      </c>
      <c r="V139" s="29">
        <v>145584</v>
      </c>
    </row>
    <row r="140" spans="1:22" x14ac:dyDescent="0.2">
      <c r="A140" s="20" t="s">
        <v>153</v>
      </c>
      <c r="B140" s="20" t="s">
        <v>552</v>
      </c>
      <c r="C140" s="25">
        <v>65.489999999999995</v>
      </c>
      <c r="D140" s="27">
        <v>609.1</v>
      </c>
      <c r="E140" s="25">
        <v>674.59</v>
      </c>
      <c r="F140" s="25">
        <v>0</v>
      </c>
      <c r="G140" s="29">
        <v>6</v>
      </c>
      <c r="H140" s="27">
        <v>0</v>
      </c>
      <c r="I140" s="29">
        <v>615</v>
      </c>
      <c r="J140" s="29">
        <v>212739</v>
      </c>
      <c r="K140" s="29">
        <v>1089</v>
      </c>
      <c r="L140" s="29">
        <v>213828</v>
      </c>
      <c r="M140" s="29">
        <v>36211</v>
      </c>
      <c r="N140" s="29">
        <v>39791</v>
      </c>
      <c r="O140" s="29">
        <v>0</v>
      </c>
      <c r="P140" s="29">
        <v>20102</v>
      </c>
      <c r="Q140" s="29">
        <v>2340</v>
      </c>
      <c r="R140" s="29">
        <v>312272</v>
      </c>
      <c r="S140" s="29">
        <v>28769</v>
      </c>
      <c r="T140" s="29">
        <v>283503</v>
      </c>
      <c r="U140" s="29">
        <v>162321</v>
      </c>
      <c r="V140" s="29">
        <v>121182</v>
      </c>
    </row>
    <row r="141" spans="1:22" x14ac:dyDescent="0.2">
      <c r="A141" s="20" t="s">
        <v>242</v>
      </c>
      <c r="B141" s="20" t="s">
        <v>635</v>
      </c>
      <c r="C141" s="25">
        <v>34.35</v>
      </c>
      <c r="D141" s="27">
        <v>521</v>
      </c>
      <c r="E141" s="25">
        <v>555.35</v>
      </c>
      <c r="F141" s="25">
        <v>1.1299999999999999</v>
      </c>
      <c r="G141" s="29">
        <v>18</v>
      </c>
      <c r="H141" s="27">
        <v>0</v>
      </c>
      <c r="I141" s="29">
        <v>539</v>
      </c>
      <c r="J141" s="29">
        <v>179323</v>
      </c>
      <c r="K141" s="29">
        <v>2409</v>
      </c>
      <c r="L141" s="29">
        <v>181732</v>
      </c>
      <c r="M141" s="29">
        <v>31893</v>
      </c>
      <c r="N141" s="29">
        <v>35736</v>
      </c>
      <c r="O141" s="29">
        <v>365</v>
      </c>
      <c r="P141" s="29">
        <v>18283</v>
      </c>
      <c r="Q141" s="29">
        <v>2183</v>
      </c>
      <c r="R141" s="29">
        <v>270192</v>
      </c>
      <c r="S141" s="29">
        <v>25986</v>
      </c>
      <c r="T141" s="29">
        <v>244206</v>
      </c>
      <c r="U141" s="29">
        <v>133600</v>
      </c>
      <c r="V141" s="29">
        <v>110606</v>
      </c>
    </row>
    <row r="142" spans="1:22" x14ac:dyDescent="0.2">
      <c r="A142" s="20" t="s">
        <v>8</v>
      </c>
      <c r="B142" s="20" t="s">
        <v>420</v>
      </c>
      <c r="C142" s="25">
        <v>189.28</v>
      </c>
      <c r="D142" s="27">
        <v>1124.5</v>
      </c>
      <c r="E142" s="25">
        <v>1313.78</v>
      </c>
      <c r="F142" s="25">
        <v>3.68</v>
      </c>
      <c r="G142" s="29">
        <v>166</v>
      </c>
      <c r="H142" s="27">
        <v>1</v>
      </c>
      <c r="I142" s="29">
        <v>1290</v>
      </c>
      <c r="J142" s="29">
        <v>434231</v>
      </c>
      <c r="K142" s="29">
        <v>0</v>
      </c>
      <c r="L142" s="29">
        <v>434231</v>
      </c>
      <c r="M142" s="29">
        <v>76316</v>
      </c>
      <c r="N142" s="29">
        <v>85050</v>
      </c>
      <c r="O142" s="29">
        <v>1216</v>
      </c>
      <c r="P142" s="29">
        <v>42908</v>
      </c>
      <c r="Q142" s="29">
        <v>4638</v>
      </c>
      <c r="R142" s="29">
        <v>644359</v>
      </c>
      <c r="S142" s="29">
        <v>74965</v>
      </c>
      <c r="T142" s="29">
        <v>569394</v>
      </c>
      <c r="U142" s="29">
        <v>301946</v>
      </c>
      <c r="V142" s="29">
        <v>267448</v>
      </c>
    </row>
    <row r="143" spans="1:22" x14ac:dyDescent="0.2">
      <c r="A143" s="20" t="s">
        <v>92</v>
      </c>
      <c r="B143" s="20" t="s">
        <v>493</v>
      </c>
      <c r="C143" s="25">
        <v>39.479999999999997</v>
      </c>
      <c r="D143" s="27">
        <v>419.6</v>
      </c>
      <c r="E143" s="25">
        <v>459.08</v>
      </c>
      <c r="F143" s="25">
        <v>0.61</v>
      </c>
      <c r="G143" s="29">
        <v>3</v>
      </c>
      <c r="H143" s="27">
        <v>0</v>
      </c>
      <c r="I143" s="29">
        <v>423</v>
      </c>
      <c r="J143" s="29">
        <v>146740</v>
      </c>
      <c r="K143" s="29">
        <v>6414</v>
      </c>
      <c r="L143" s="29">
        <v>153154</v>
      </c>
      <c r="M143" s="29">
        <v>25037</v>
      </c>
      <c r="N143" s="29">
        <v>27926</v>
      </c>
      <c r="O143" s="29">
        <v>195</v>
      </c>
      <c r="P143" s="29">
        <v>18313</v>
      </c>
      <c r="Q143" s="29">
        <v>2107</v>
      </c>
      <c r="R143" s="29">
        <v>226732</v>
      </c>
      <c r="S143" s="29">
        <v>23920</v>
      </c>
      <c r="T143" s="29">
        <v>202812</v>
      </c>
      <c r="U143" s="29">
        <v>111423</v>
      </c>
      <c r="V143" s="29">
        <v>91389</v>
      </c>
    </row>
    <row r="144" spans="1:22" x14ac:dyDescent="0.2">
      <c r="A144" s="20" t="s">
        <v>93</v>
      </c>
      <c r="B144" s="20" t="s">
        <v>494</v>
      </c>
      <c r="C144" s="25">
        <v>65.89</v>
      </c>
      <c r="D144" s="27">
        <v>681.9</v>
      </c>
      <c r="E144" s="25">
        <v>747.79</v>
      </c>
      <c r="F144" s="25">
        <v>0.99</v>
      </c>
      <c r="G144" s="29">
        <v>10</v>
      </c>
      <c r="H144" s="27">
        <v>0</v>
      </c>
      <c r="I144" s="29">
        <v>692</v>
      </c>
      <c r="J144" s="29">
        <v>239024</v>
      </c>
      <c r="K144" s="29">
        <v>7507</v>
      </c>
      <c r="L144" s="29">
        <v>246531</v>
      </c>
      <c r="M144" s="29">
        <v>40959</v>
      </c>
      <c r="N144" s="29">
        <v>45686</v>
      </c>
      <c r="O144" s="29">
        <v>316</v>
      </c>
      <c r="P144" s="29">
        <v>30896</v>
      </c>
      <c r="Q144" s="29">
        <v>3553</v>
      </c>
      <c r="R144" s="29">
        <v>367941</v>
      </c>
      <c r="S144" s="29">
        <v>34532</v>
      </c>
      <c r="T144" s="29">
        <v>333409</v>
      </c>
      <c r="U144" s="29">
        <v>187112</v>
      </c>
      <c r="V144" s="29">
        <v>146297</v>
      </c>
    </row>
    <row r="145" spans="1:22" x14ac:dyDescent="0.2">
      <c r="A145" s="20" t="s">
        <v>37</v>
      </c>
      <c r="B145" s="20" t="s">
        <v>448</v>
      </c>
      <c r="C145" s="25">
        <v>136.05000000000001</v>
      </c>
      <c r="D145" s="27">
        <v>1242.0999999999999</v>
      </c>
      <c r="E145" s="25">
        <v>1378.15</v>
      </c>
      <c r="F145" s="25">
        <v>0</v>
      </c>
      <c r="G145" s="29">
        <v>108</v>
      </c>
      <c r="H145" s="27">
        <v>1.8</v>
      </c>
      <c r="I145" s="29">
        <v>1348</v>
      </c>
      <c r="J145" s="29">
        <v>449649</v>
      </c>
      <c r="K145" s="29">
        <v>0</v>
      </c>
      <c r="L145" s="29">
        <v>449649</v>
      </c>
      <c r="M145" s="29">
        <v>79856</v>
      </c>
      <c r="N145" s="29">
        <v>89507</v>
      </c>
      <c r="O145" s="29">
        <v>0</v>
      </c>
      <c r="P145" s="29">
        <v>47712</v>
      </c>
      <c r="Q145" s="29">
        <v>5678</v>
      </c>
      <c r="R145" s="29">
        <v>672402</v>
      </c>
      <c r="S145" s="29">
        <v>61988</v>
      </c>
      <c r="T145" s="29">
        <v>610414</v>
      </c>
      <c r="U145" s="29">
        <v>335940</v>
      </c>
      <c r="V145" s="29">
        <v>274474</v>
      </c>
    </row>
    <row r="146" spans="1:22" x14ac:dyDescent="0.2">
      <c r="A146" s="20" t="s">
        <v>94</v>
      </c>
      <c r="B146" s="20" t="s">
        <v>495</v>
      </c>
      <c r="C146" s="25">
        <v>188.86</v>
      </c>
      <c r="D146" s="27">
        <v>1390.7</v>
      </c>
      <c r="E146" s="25">
        <v>1579.56</v>
      </c>
      <c r="F146" s="25">
        <v>2.11</v>
      </c>
      <c r="G146" s="29">
        <v>134</v>
      </c>
      <c r="H146" s="27">
        <v>3</v>
      </c>
      <c r="I146" s="29">
        <v>1522</v>
      </c>
      <c r="J146" s="29">
        <v>504891</v>
      </c>
      <c r="K146" s="29">
        <v>4575</v>
      </c>
      <c r="L146" s="29">
        <v>509466</v>
      </c>
      <c r="M146" s="29">
        <v>90087</v>
      </c>
      <c r="N146" s="29">
        <v>100482</v>
      </c>
      <c r="O146" s="29">
        <v>674</v>
      </c>
      <c r="P146" s="29">
        <v>63848</v>
      </c>
      <c r="Q146" s="29">
        <v>7343</v>
      </c>
      <c r="R146" s="29">
        <v>771900</v>
      </c>
      <c r="S146" s="29">
        <v>73977</v>
      </c>
      <c r="T146" s="29">
        <v>697923</v>
      </c>
      <c r="U146" s="29">
        <v>392632</v>
      </c>
      <c r="V146" s="29">
        <v>305291</v>
      </c>
    </row>
    <row r="147" spans="1:22" x14ac:dyDescent="0.2">
      <c r="A147" s="20" t="s">
        <v>199</v>
      </c>
      <c r="B147" s="20" t="s">
        <v>595</v>
      </c>
      <c r="C147" s="25">
        <v>423.6</v>
      </c>
      <c r="D147" s="27">
        <v>3475.9</v>
      </c>
      <c r="E147" s="25">
        <v>3899.5</v>
      </c>
      <c r="F147" s="25">
        <v>0</v>
      </c>
      <c r="G147" s="29">
        <v>9</v>
      </c>
      <c r="H147" s="27">
        <v>0</v>
      </c>
      <c r="I147" s="29">
        <v>3485</v>
      </c>
      <c r="J147" s="29">
        <v>1202060</v>
      </c>
      <c r="K147" s="29">
        <v>0</v>
      </c>
      <c r="L147" s="29">
        <v>1202060</v>
      </c>
      <c r="M147" s="29">
        <v>204779</v>
      </c>
      <c r="N147" s="29">
        <v>224852</v>
      </c>
      <c r="O147" s="29">
        <v>0</v>
      </c>
      <c r="P147" s="29">
        <v>101153</v>
      </c>
      <c r="Q147" s="29">
        <v>12751</v>
      </c>
      <c r="R147" s="29">
        <v>1745595</v>
      </c>
      <c r="S147" s="29">
        <v>139171</v>
      </c>
      <c r="T147" s="29">
        <v>1606424</v>
      </c>
      <c r="U147" s="29">
        <v>949608</v>
      </c>
      <c r="V147" s="29">
        <v>656816</v>
      </c>
    </row>
    <row r="148" spans="1:22" x14ac:dyDescent="0.2">
      <c r="A148" s="20" t="s">
        <v>200</v>
      </c>
      <c r="B148" s="20" t="s">
        <v>596</v>
      </c>
      <c r="C148" s="25">
        <v>78.569999999999993</v>
      </c>
      <c r="D148" s="27">
        <v>812.1</v>
      </c>
      <c r="E148" s="25">
        <v>890.67</v>
      </c>
      <c r="F148" s="25">
        <v>0</v>
      </c>
      <c r="G148" s="29">
        <v>6</v>
      </c>
      <c r="H148" s="27">
        <v>0</v>
      </c>
      <c r="I148" s="29">
        <v>818</v>
      </c>
      <c r="J148" s="29">
        <v>274558</v>
      </c>
      <c r="K148" s="29">
        <v>5227</v>
      </c>
      <c r="L148" s="29">
        <v>279785</v>
      </c>
      <c r="M148" s="29">
        <v>48066</v>
      </c>
      <c r="N148" s="29">
        <v>52777</v>
      </c>
      <c r="O148" s="29">
        <v>0</v>
      </c>
      <c r="P148" s="29">
        <v>23235</v>
      </c>
      <c r="Q148" s="29">
        <v>2934</v>
      </c>
      <c r="R148" s="29">
        <v>406797</v>
      </c>
      <c r="S148" s="29">
        <v>33511</v>
      </c>
      <c r="T148" s="29">
        <v>373286</v>
      </c>
      <c r="U148" s="29">
        <v>215326</v>
      </c>
      <c r="V148" s="29">
        <v>157960</v>
      </c>
    </row>
    <row r="149" spans="1:22" x14ac:dyDescent="0.2">
      <c r="A149" s="20" t="s">
        <v>156</v>
      </c>
      <c r="B149" s="20" t="s">
        <v>553</v>
      </c>
      <c r="C149" s="25">
        <v>1441.66</v>
      </c>
      <c r="D149" s="27">
        <v>14283.8</v>
      </c>
      <c r="E149" s="25">
        <v>15725.46</v>
      </c>
      <c r="F149" s="25">
        <v>0</v>
      </c>
      <c r="G149" s="29">
        <v>1106</v>
      </c>
      <c r="H149" s="27">
        <v>1.9</v>
      </c>
      <c r="I149" s="29">
        <v>15388</v>
      </c>
      <c r="J149" s="29">
        <v>4959181</v>
      </c>
      <c r="K149" s="29">
        <v>0</v>
      </c>
      <c r="L149" s="29">
        <v>4959181</v>
      </c>
      <c r="M149" s="29">
        <v>906045</v>
      </c>
      <c r="N149" s="29">
        <v>995604</v>
      </c>
      <c r="O149" s="29">
        <v>0</v>
      </c>
      <c r="P149" s="29">
        <v>467203</v>
      </c>
      <c r="Q149" s="29">
        <v>54410</v>
      </c>
      <c r="R149" s="29">
        <v>7382443</v>
      </c>
      <c r="S149" s="29">
        <v>485100</v>
      </c>
      <c r="T149" s="29">
        <v>6897343</v>
      </c>
      <c r="U149" s="29">
        <v>3967878</v>
      </c>
      <c r="V149" s="29">
        <v>2929465</v>
      </c>
    </row>
    <row r="150" spans="1:22" x14ac:dyDescent="0.2">
      <c r="A150" s="20" t="s">
        <v>95</v>
      </c>
      <c r="B150" s="20" t="s">
        <v>496</v>
      </c>
      <c r="C150" s="25">
        <v>118.24</v>
      </c>
      <c r="D150" s="27">
        <v>1035.0999999999999</v>
      </c>
      <c r="E150" s="25">
        <v>1153.3399999999999</v>
      </c>
      <c r="F150" s="25">
        <v>1.54</v>
      </c>
      <c r="G150" s="29">
        <v>2</v>
      </c>
      <c r="H150" s="27">
        <v>0</v>
      </c>
      <c r="I150" s="29">
        <v>1037</v>
      </c>
      <c r="J150" s="29">
        <v>368654</v>
      </c>
      <c r="K150" s="29">
        <v>0</v>
      </c>
      <c r="L150" s="29">
        <v>368654</v>
      </c>
      <c r="M150" s="29">
        <v>61380</v>
      </c>
      <c r="N150" s="29">
        <v>68463</v>
      </c>
      <c r="O150" s="29">
        <v>492</v>
      </c>
      <c r="P150" s="29">
        <v>46007</v>
      </c>
      <c r="Q150" s="29">
        <v>5294</v>
      </c>
      <c r="R150" s="29">
        <v>550290</v>
      </c>
      <c r="S150" s="29">
        <v>49711</v>
      </c>
      <c r="T150" s="29">
        <v>500579</v>
      </c>
      <c r="U150" s="29">
        <v>290310</v>
      </c>
      <c r="V150" s="29">
        <v>210269</v>
      </c>
    </row>
    <row r="151" spans="1:22" x14ac:dyDescent="0.2">
      <c r="A151" s="20" t="s">
        <v>157</v>
      </c>
      <c r="B151" s="20" t="s">
        <v>554</v>
      </c>
      <c r="C151" s="25">
        <v>52.48</v>
      </c>
      <c r="D151" s="27">
        <v>519.4</v>
      </c>
      <c r="E151" s="25">
        <v>571.88</v>
      </c>
      <c r="F151" s="25">
        <v>0</v>
      </c>
      <c r="G151" s="29">
        <v>1</v>
      </c>
      <c r="H151" s="27">
        <v>0</v>
      </c>
      <c r="I151" s="29">
        <v>520</v>
      </c>
      <c r="J151" s="29">
        <v>180348</v>
      </c>
      <c r="K151" s="29">
        <v>7260</v>
      </c>
      <c r="L151" s="29">
        <v>187608</v>
      </c>
      <c r="M151" s="29">
        <v>30618</v>
      </c>
      <c r="N151" s="29">
        <v>33644</v>
      </c>
      <c r="O151" s="29">
        <v>0</v>
      </c>
      <c r="P151" s="29">
        <v>17185</v>
      </c>
      <c r="Q151" s="29">
        <v>2000</v>
      </c>
      <c r="R151" s="29">
        <v>271055</v>
      </c>
      <c r="S151" s="29">
        <v>30923</v>
      </c>
      <c r="T151" s="29">
        <v>240132</v>
      </c>
      <c r="U151" s="29">
        <v>131232</v>
      </c>
      <c r="V151" s="29">
        <v>108900</v>
      </c>
    </row>
    <row r="152" spans="1:22" x14ac:dyDescent="0.2">
      <c r="A152" s="20" t="s">
        <v>287</v>
      </c>
      <c r="B152" s="20" t="s">
        <v>678</v>
      </c>
      <c r="C152" s="25">
        <v>98.78</v>
      </c>
      <c r="D152" s="27">
        <v>677.9</v>
      </c>
      <c r="E152" s="25">
        <v>776.68</v>
      </c>
      <c r="F152" s="25">
        <v>1.74</v>
      </c>
      <c r="G152" s="29">
        <v>10</v>
      </c>
      <c r="H152" s="27">
        <v>0</v>
      </c>
      <c r="I152" s="29">
        <v>688</v>
      </c>
      <c r="J152" s="29">
        <v>245679</v>
      </c>
      <c r="K152" s="29">
        <v>0</v>
      </c>
      <c r="L152" s="29">
        <v>245679</v>
      </c>
      <c r="M152" s="29">
        <v>40516</v>
      </c>
      <c r="N152" s="29">
        <v>44789</v>
      </c>
      <c r="O152" s="29">
        <v>550</v>
      </c>
      <c r="P152" s="29">
        <v>25227</v>
      </c>
      <c r="Q152" s="29">
        <v>2711</v>
      </c>
      <c r="R152" s="29">
        <v>359472</v>
      </c>
      <c r="S152" s="29">
        <v>45080</v>
      </c>
      <c r="T152" s="29">
        <v>314392</v>
      </c>
      <c r="U152" s="29">
        <v>177463</v>
      </c>
      <c r="V152" s="29">
        <v>136929</v>
      </c>
    </row>
    <row r="153" spans="1:22" x14ac:dyDescent="0.2">
      <c r="A153" s="20" t="s">
        <v>96</v>
      </c>
      <c r="B153" s="20" t="s">
        <v>497</v>
      </c>
      <c r="C153" s="25">
        <v>54.08</v>
      </c>
      <c r="D153" s="27">
        <v>442</v>
      </c>
      <c r="E153" s="25">
        <v>496.08</v>
      </c>
      <c r="F153" s="25">
        <v>0.66</v>
      </c>
      <c r="G153" s="29">
        <v>10</v>
      </c>
      <c r="H153" s="27">
        <v>0</v>
      </c>
      <c r="I153" s="29">
        <v>452</v>
      </c>
      <c r="J153" s="29">
        <v>158567</v>
      </c>
      <c r="K153" s="29">
        <v>0</v>
      </c>
      <c r="L153" s="29">
        <v>158567</v>
      </c>
      <c r="M153" s="29">
        <v>26754</v>
      </c>
      <c r="N153" s="29">
        <v>29841</v>
      </c>
      <c r="O153" s="29">
        <v>211</v>
      </c>
      <c r="P153" s="29">
        <v>19789</v>
      </c>
      <c r="Q153" s="29">
        <v>2277</v>
      </c>
      <c r="R153" s="29">
        <v>237439</v>
      </c>
      <c r="S153" s="29">
        <v>15951</v>
      </c>
      <c r="T153" s="29">
        <v>221488</v>
      </c>
      <c r="U153" s="29">
        <v>130300</v>
      </c>
      <c r="V153" s="29">
        <v>91188</v>
      </c>
    </row>
    <row r="154" spans="1:22" x14ac:dyDescent="0.2">
      <c r="A154" s="20" t="s">
        <v>35</v>
      </c>
      <c r="B154" s="20" t="s">
        <v>446</v>
      </c>
      <c r="C154" s="25">
        <v>176.15</v>
      </c>
      <c r="D154" s="27">
        <v>1159.5999999999999</v>
      </c>
      <c r="E154" s="25">
        <v>1335.75</v>
      </c>
      <c r="F154" s="25">
        <v>0</v>
      </c>
      <c r="G154" s="29">
        <v>0</v>
      </c>
      <c r="H154" s="27">
        <v>0</v>
      </c>
      <c r="I154" s="29">
        <v>1160</v>
      </c>
      <c r="J154" s="29">
        <v>435815</v>
      </c>
      <c r="K154" s="29">
        <v>2487</v>
      </c>
      <c r="L154" s="29">
        <v>438302</v>
      </c>
      <c r="M154" s="29">
        <v>68718</v>
      </c>
      <c r="N154" s="29">
        <v>77024</v>
      </c>
      <c r="O154" s="29">
        <v>0</v>
      </c>
      <c r="P154" s="29">
        <v>46544</v>
      </c>
      <c r="Q154" s="29">
        <v>5540</v>
      </c>
      <c r="R154" s="29">
        <v>636128</v>
      </c>
      <c r="S154" s="29">
        <v>79359</v>
      </c>
      <c r="T154" s="29">
        <v>556769</v>
      </c>
      <c r="U154" s="29">
        <v>306663</v>
      </c>
      <c r="V154" s="29">
        <v>250106</v>
      </c>
    </row>
    <row r="155" spans="1:22" x14ac:dyDescent="0.2">
      <c r="A155" s="20" t="s">
        <v>97</v>
      </c>
      <c r="B155" s="20" t="s">
        <v>498</v>
      </c>
      <c r="C155" s="25">
        <v>100.79</v>
      </c>
      <c r="D155" s="27">
        <v>897.8</v>
      </c>
      <c r="E155" s="25">
        <v>998.59</v>
      </c>
      <c r="F155" s="25">
        <v>1.33</v>
      </c>
      <c r="G155" s="29">
        <v>110</v>
      </c>
      <c r="H155" s="27">
        <v>0.1</v>
      </c>
      <c r="I155" s="29">
        <v>1008</v>
      </c>
      <c r="J155" s="29">
        <v>319189</v>
      </c>
      <c r="K155" s="29">
        <v>0</v>
      </c>
      <c r="L155" s="29">
        <v>319189</v>
      </c>
      <c r="M155" s="29">
        <v>59664</v>
      </c>
      <c r="N155" s="29">
        <v>66548</v>
      </c>
      <c r="O155" s="29">
        <v>425</v>
      </c>
      <c r="P155" s="29">
        <v>39834</v>
      </c>
      <c r="Q155" s="29">
        <v>4584</v>
      </c>
      <c r="R155" s="29">
        <v>490244</v>
      </c>
      <c r="S155" s="29">
        <v>41079</v>
      </c>
      <c r="T155" s="29">
        <v>449165</v>
      </c>
      <c r="U155" s="29">
        <v>253319</v>
      </c>
      <c r="V155" s="29">
        <v>195846</v>
      </c>
    </row>
    <row r="156" spans="1:22" x14ac:dyDescent="0.2">
      <c r="A156" s="20" t="s">
        <v>201</v>
      </c>
      <c r="B156" s="20" t="s">
        <v>597</v>
      </c>
      <c r="C156" s="25">
        <v>777.4</v>
      </c>
      <c r="D156" s="27">
        <v>7004.2</v>
      </c>
      <c r="E156" s="25">
        <v>7781.6</v>
      </c>
      <c r="F156" s="25">
        <v>0</v>
      </c>
      <c r="G156" s="29">
        <v>381</v>
      </c>
      <c r="H156" s="27">
        <v>0</v>
      </c>
      <c r="I156" s="29">
        <v>7385</v>
      </c>
      <c r="J156" s="29">
        <v>2398756</v>
      </c>
      <c r="K156" s="29">
        <v>0</v>
      </c>
      <c r="L156" s="29">
        <v>2398756</v>
      </c>
      <c r="M156" s="29">
        <v>433943</v>
      </c>
      <c r="N156" s="29">
        <v>476480</v>
      </c>
      <c r="O156" s="29">
        <v>0</v>
      </c>
      <c r="P156" s="29">
        <v>201855</v>
      </c>
      <c r="Q156" s="29">
        <v>25446</v>
      </c>
      <c r="R156" s="29">
        <v>3536480</v>
      </c>
      <c r="S156" s="29">
        <v>179185</v>
      </c>
      <c r="T156" s="29">
        <v>3357295</v>
      </c>
      <c r="U156" s="29">
        <v>1993516</v>
      </c>
      <c r="V156" s="29">
        <v>1363779</v>
      </c>
    </row>
    <row r="157" spans="1:22" x14ac:dyDescent="0.2">
      <c r="A157" s="20" t="s">
        <v>322</v>
      </c>
      <c r="B157" s="20" t="s">
        <v>712</v>
      </c>
      <c r="C157" s="25">
        <v>358.82</v>
      </c>
      <c r="D157" s="27">
        <v>1902.8</v>
      </c>
      <c r="E157" s="25">
        <v>2261.62</v>
      </c>
      <c r="F157" s="25">
        <v>5.61</v>
      </c>
      <c r="G157" s="29">
        <v>65</v>
      </c>
      <c r="H157" s="27">
        <v>0.6</v>
      </c>
      <c r="I157" s="29">
        <v>1967</v>
      </c>
      <c r="J157" s="29">
        <v>709425</v>
      </c>
      <c r="K157" s="29">
        <v>0</v>
      </c>
      <c r="L157" s="29">
        <v>709425</v>
      </c>
      <c r="M157" s="29">
        <v>115778</v>
      </c>
      <c r="N157" s="29">
        <v>127206</v>
      </c>
      <c r="O157" s="29">
        <v>1760</v>
      </c>
      <c r="P157" s="29">
        <v>71218</v>
      </c>
      <c r="Q157" s="29">
        <v>7780</v>
      </c>
      <c r="R157" s="29">
        <v>1033167</v>
      </c>
      <c r="S157" s="29">
        <v>104456</v>
      </c>
      <c r="T157" s="29">
        <v>928711</v>
      </c>
      <c r="U157" s="29">
        <v>541350</v>
      </c>
      <c r="V157" s="29">
        <v>387361</v>
      </c>
    </row>
    <row r="158" spans="1:22" x14ac:dyDescent="0.2">
      <c r="A158" s="20" t="s">
        <v>323</v>
      </c>
      <c r="B158" s="20" t="s">
        <v>713</v>
      </c>
      <c r="C158" s="25">
        <v>42.66</v>
      </c>
      <c r="D158" s="27">
        <v>350.4</v>
      </c>
      <c r="E158" s="25">
        <v>393.06</v>
      </c>
      <c r="F158" s="25">
        <v>0.98</v>
      </c>
      <c r="G158" s="29">
        <v>0</v>
      </c>
      <c r="H158" s="27">
        <v>0</v>
      </c>
      <c r="I158" s="29">
        <v>350</v>
      </c>
      <c r="J158" s="29">
        <v>123295</v>
      </c>
      <c r="K158" s="29">
        <v>677</v>
      </c>
      <c r="L158" s="29">
        <v>123972</v>
      </c>
      <c r="M158" s="29">
        <v>20601</v>
      </c>
      <c r="N158" s="29">
        <v>22635</v>
      </c>
      <c r="O158" s="29">
        <v>307</v>
      </c>
      <c r="P158" s="29">
        <v>12439</v>
      </c>
      <c r="Q158" s="29">
        <v>1356</v>
      </c>
      <c r="R158" s="29">
        <v>181310</v>
      </c>
      <c r="S158" s="29">
        <v>17793</v>
      </c>
      <c r="T158" s="29">
        <v>163517</v>
      </c>
      <c r="U158" s="29">
        <v>94512</v>
      </c>
      <c r="V158" s="29">
        <v>69005</v>
      </c>
    </row>
    <row r="159" spans="1:22" x14ac:dyDescent="0.2">
      <c r="A159" s="20" t="s">
        <v>243</v>
      </c>
      <c r="B159" s="20" t="s">
        <v>636</v>
      </c>
      <c r="C159" s="25">
        <v>49.68</v>
      </c>
      <c r="D159" s="27">
        <v>466.7</v>
      </c>
      <c r="E159" s="25">
        <v>516.38</v>
      </c>
      <c r="F159" s="25">
        <v>1.06</v>
      </c>
      <c r="G159" s="29">
        <v>4</v>
      </c>
      <c r="H159" s="27">
        <v>0</v>
      </c>
      <c r="I159" s="29">
        <v>471</v>
      </c>
      <c r="J159" s="29">
        <v>166739</v>
      </c>
      <c r="K159" s="29">
        <v>0</v>
      </c>
      <c r="L159" s="29">
        <v>166739</v>
      </c>
      <c r="M159" s="29">
        <v>27869</v>
      </c>
      <c r="N159" s="29">
        <v>31227</v>
      </c>
      <c r="O159" s="29">
        <v>342</v>
      </c>
      <c r="P159" s="29">
        <v>16782</v>
      </c>
      <c r="Q159" s="29">
        <v>2004</v>
      </c>
      <c r="R159" s="29">
        <v>244963</v>
      </c>
      <c r="S159" s="29">
        <v>21764</v>
      </c>
      <c r="T159" s="29">
        <v>223199</v>
      </c>
      <c r="U159" s="29">
        <v>126382</v>
      </c>
      <c r="V159" s="29">
        <v>96817</v>
      </c>
    </row>
    <row r="160" spans="1:22" x14ac:dyDescent="0.2">
      <c r="A160" s="20" t="s">
        <v>202</v>
      </c>
      <c r="B160" s="20" t="s">
        <v>598</v>
      </c>
      <c r="C160" s="25">
        <v>252.08</v>
      </c>
      <c r="D160" s="27">
        <v>1752.6</v>
      </c>
      <c r="E160" s="25">
        <v>2004.68</v>
      </c>
      <c r="F160" s="25">
        <v>0</v>
      </c>
      <c r="G160" s="29">
        <v>16</v>
      </c>
      <c r="H160" s="27">
        <v>0</v>
      </c>
      <c r="I160" s="29">
        <v>1769</v>
      </c>
      <c r="J160" s="29">
        <v>617963</v>
      </c>
      <c r="K160" s="29">
        <v>0</v>
      </c>
      <c r="L160" s="29">
        <v>617963</v>
      </c>
      <c r="M160" s="29">
        <v>103946</v>
      </c>
      <c r="N160" s="29">
        <v>114136</v>
      </c>
      <c r="O160" s="29">
        <v>0</v>
      </c>
      <c r="P160" s="29">
        <v>52001</v>
      </c>
      <c r="Q160" s="29">
        <v>6555</v>
      </c>
      <c r="R160" s="29">
        <v>894601</v>
      </c>
      <c r="S160" s="29">
        <v>89650</v>
      </c>
      <c r="T160" s="29">
        <v>804951</v>
      </c>
      <c r="U160" s="29">
        <v>470076</v>
      </c>
      <c r="V160" s="29">
        <v>334875</v>
      </c>
    </row>
    <row r="161" spans="1:22" x14ac:dyDescent="0.2">
      <c r="A161" s="20" t="s">
        <v>98</v>
      </c>
      <c r="B161" s="20" t="s">
        <v>499</v>
      </c>
      <c r="C161" s="25">
        <v>67.58</v>
      </c>
      <c r="D161" s="27">
        <v>577.70000000000005</v>
      </c>
      <c r="E161" s="25">
        <v>645.28</v>
      </c>
      <c r="F161" s="25">
        <v>0.86</v>
      </c>
      <c r="G161" s="29">
        <v>0</v>
      </c>
      <c r="H161" s="27">
        <v>0</v>
      </c>
      <c r="I161" s="29">
        <v>578</v>
      </c>
      <c r="J161" s="29">
        <v>206257</v>
      </c>
      <c r="K161" s="29">
        <v>4700</v>
      </c>
      <c r="L161" s="29">
        <v>210957</v>
      </c>
      <c r="M161" s="29">
        <v>34212</v>
      </c>
      <c r="N161" s="29">
        <v>38160</v>
      </c>
      <c r="O161" s="29">
        <v>275</v>
      </c>
      <c r="P161" s="29">
        <v>25740</v>
      </c>
      <c r="Q161" s="29">
        <v>2962</v>
      </c>
      <c r="R161" s="29">
        <v>312306</v>
      </c>
      <c r="S161" s="29">
        <v>32934</v>
      </c>
      <c r="T161" s="29">
        <v>279372</v>
      </c>
      <c r="U161" s="29">
        <v>157303</v>
      </c>
      <c r="V161" s="29">
        <v>122069</v>
      </c>
    </row>
    <row r="162" spans="1:22" x14ac:dyDescent="0.2">
      <c r="A162" s="20" t="s">
        <v>288</v>
      </c>
      <c r="B162" s="20" t="s">
        <v>679</v>
      </c>
      <c r="C162" s="25">
        <v>61.48</v>
      </c>
      <c r="D162" s="27">
        <v>300.8</v>
      </c>
      <c r="E162" s="25">
        <v>362.28</v>
      </c>
      <c r="F162" s="25">
        <v>0.81</v>
      </c>
      <c r="G162" s="29">
        <v>0</v>
      </c>
      <c r="H162" s="27">
        <v>0</v>
      </c>
      <c r="I162" s="29">
        <v>301</v>
      </c>
      <c r="J162" s="29">
        <v>114596</v>
      </c>
      <c r="K162" s="29">
        <v>0</v>
      </c>
      <c r="L162" s="29">
        <v>114596</v>
      </c>
      <c r="M162" s="29">
        <v>17726</v>
      </c>
      <c r="N162" s="29">
        <v>19595</v>
      </c>
      <c r="O162" s="29">
        <v>256</v>
      </c>
      <c r="P162" s="29">
        <v>11767</v>
      </c>
      <c r="Q162" s="29">
        <v>1264</v>
      </c>
      <c r="R162" s="29">
        <v>165204</v>
      </c>
      <c r="S162" s="29">
        <v>16904</v>
      </c>
      <c r="T162" s="29">
        <v>148300</v>
      </c>
      <c r="U162" s="29">
        <v>86900</v>
      </c>
      <c r="V162" s="29">
        <v>61400</v>
      </c>
    </row>
    <row r="163" spans="1:22" x14ac:dyDescent="0.2">
      <c r="A163" s="20" t="s">
        <v>38</v>
      </c>
      <c r="B163" s="20" t="s">
        <v>449</v>
      </c>
      <c r="C163" s="25">
        <v>48.82</v>
      </c>
      <c r="D163" s="27">
        <v>268</v>
      </c>
      <c r="E163" s="25">
        <v>316.82</v>
      </c>
      <c r="F163" s="25">
        <v>0</v>
      </c>
      <c r="G163" s="29">
        <v>2</v>
      </c>
      <c r="H163" s="27">
        <v>0</v>
      </c>
      <c r="I163" s="29">
        <v>270</v>
      </c>
      <c r="J163" s="29">
        <v>103369</v>
      </c>
      <c r="K163" s="29">
        <v>8896</v>
      </c>
      <c r="L163" s="29">
        <v>112265</v>
      </c>
      <c r="M163" s="29">
        <v>15995</v>
      </c>
      <c r="N163" s="29">
        <v>17928</v>
      </c>
      <c r="O163" s="29">
        <v>0</v>
      </c>
      <c r="P163" s="29">
        <v>10968</v>
      </c>
      <c r="Q163" s="29">
        <v>1305</v>
      </c>
      <c r="R163" s="29">
        <v>158461</v>
      </c>
      <c r="S163" s="29">
        <v>21809</v>
      </c>
      <c r="T163" s="29">
        <v>136652</v>
      </c>
      <c r="U163" s="29">
        <v>69669</v>
      </c>
      <c r="V163" s="29">
        <v>66983</v>
      </c>
    </row>
    <row r="164" spans="1:22" x14ac:dyDescent="0.2">
      <c r="A164" s="20" t="s">
        <v>244</v>
      </c>
      <c r="B164" s="20" t="s">
        <v>637</v>
      </c>
      <c r="C164" s="25">
        <v>48.01</v>
      </c>
      <c r="D164" s="27">
        <v>607.9</v>
      </c>
      <c r="E164" s="25">
        <v>655.91</v>
      </c>
      <c r="F164" s="25">
        <v>1.34</v>
      </c>
      <c r="G164" s="29">
        <v>15</v>
      </c>
      <c r="H164" s="27">
        <v>0</v>
      </c>
      <c r="I164" s="29">
        <v>623</v>
      </c>
      <c r="J164" s="29">
        <v>211793</v>
      </c>
      <c r="K164" s="29">
        <v>0</v>
      </c>
      <c r="L164" s="29">
        <v>211793</v>
      </c>
      <c r="M164" s="29">
        <v>36863</v>
      </c>
      <c r="N164" s="29">
        <v>41305</v>
      </c>
      <c r="O164" s="29">
        <v>433</v>
      </c>
      <c r="P164" s="29">
        <v>21317</v>
      </c>
      <c r="Q164" s="29">
        <v>2545</v>
      </c>
      <c r="R164" s="29">
        <v>314256</v>
      </c>
      <c r="S164" s="29">
        <v>28228</v>
      </c>
      <c r="T164" s="29">
        <v>286028</v>
      </c>
      <c r="U164" s="29">
        <v>159947</v>
      </c>
      <c r="V164" s="29">
        <v>126081</v>
      </c>
    </row>
    <row r="165" spans="1:22" x14ac:dyDescent="0.2">
      <c r="A165" s="20" t="s">
        <v>82</v>
      </c>
      <c r="B165" s="20" t="s">
        <v>485</v>
      </c>
      <c r="C165" s="25">
        <v>63.21</v>
      </c>
      <c r="D165" s="27">
        <v>576.29999999999995</v>
      </c>
      <c r="E165" s="25">
        <v>639.51</v>
      </c>
      <c r="F165" s="25">
        <v>0.85</v>
      </c>
      <c r="G165" s="29">
        <v>9</v>
      </c>
      <c r="H165" s="27">
        <v>0</v>
      </c>
      <c r="I165" s="29">
        <v>585</v>
      </c>
      <c r="J165" s="29">
        <v>204413</v>
      </c>
      <c r="K165" s="29">
        <v>11190</v>
      </c>
      <c r="L165" s="29">
        <v>215603</v>
      </c>
      <c r="M165" s="29">
        <v>34626</v>
      </c>
      <c r="N165" s="29">
        <v>38622</v>
      </c>
      <c r="O165" s="29">
        <v>272</v>
      </c>
      <c r="P165" s="29">
        <v>26754</v>
      </c>
      <c r="Q165" s="29">
        <v>3077</v>
      </c>
      <c r="R165" s="29">
        <v>318954</v>
      </c>
      <c r="S165" s="29">
        <v>36691</v>
      </c>
      <c r="T165" s="29">
        <v>282263</v>
      </c>
      <c r="U165" s="29">
        <v>153230</v>
      </c>
      <c r="V165" s="29">
        <v>129033</v>
      </c>
    </row>
    <row r="166" spans="1:22" x14ac:dyDescent="0.2">
      <c r="A166" s="20" t="s">
        <v>245</v>
      </c>
      <c r="B166" s="20" t="s">
        <v>638</v>
      </c>
      <c r="C166" s="25">
        <v>323.95999999999998</v>
      </c>
      <c r="D166" s="27">
        <v>2232.3000000000002</v>
      </c>
      <c r="E166" s="25">
        <v>2556.2600000000002</v>
      </c>
      <c r="F166" s="25">
        <v>5.22</v>
      </c>
      <c r="G166" s="29">
        <v>416</v>
      </c>
      <c r="H166" s="27">
        <v>0.9</v>
      </c>
      <c r="I166" s="29">
        <v>2647</v>
      </c>
      <c r="J166" s="29">
        <v>825416</v>
      </c>
      <c r="K166" s="29">
        <v>0</v>
      </c>
      <c r="L166" s="29">
        <v>825416</v>
      </c>
      <c r="M166" s="29">
        <v>156623</v>
      </c>
      <c r="N166" s="29">
        <v>175496</v>
      </c>
      <c r="O166" s="29">
        <v>1686</v>
      </c>
      <c r="P166" s="29">
        <v>83078</v>
      </c>
      <c r="Q166" s="29">
        <v>9918</v>
      </c>
      <c r="R166" s="29">
        <v>1252217</v>
      </c>
      <c r="S166" s="29">
        <v>105133</v>
      </c>
      <c r="T166" s="29">
        <v>1147084</v>
      </c>
      <c r="U166" s="29">
        <v>628233</v>
      </c>
      <c r="V166" s="29">
        <v>518851</v>
      </c>
    </row>
    <row r="167" spans="1:22" x14ac:dyDescent="0.2">
      <c r="A167" s="20" t="s">
        <v>289</v>
      </c>
      <c r="B167" s="20" t="s">
        <v>680</v>
      </c>
      <c r="C167" s="25">
        <v>36.21</v>
      </c>
      <c r="D167" s="27">
        <v>453.7</v>
      </c>
      <c r="E167" s="25">
        <v>489.91</v>
      </c>
      <c r="F167" s="25">
        <v>1.0900000000000001</v>
      </c>
      <c r="G167" s="29">
        <v>2</v>
      </c>
      <c r="H167" s="27">
        <v>0</v>
      </c>
      <c r="I167" s="29">
        <v>456</v>
      </c>
      <c r="J167" s="29">
        <v>154968</v>
      </c>
      <c r="K167" s="29">
        <v>0</v>
      </c>
      <c r="L167" s="29">
        <v>154968</v>
      </c>
      <c r="M167" s="29">
        <v>26854</v>
      </c>
      <c r="N167" s="29">
        <v>29686</v>
      </c>
      <c r="O167" s="29">
        <v>345</v>
      </c>
      <c r="P167" s="29">
        <v>15912</v>
      </c>
      <c r="Q167" s="29">
        <v>1710</v>
      </c>
      <c r="R167" s="29">
        <v>229475</v>
      </c>
      <c r="S167" s="29">
        <v>21840</v>
      </c>
      <c r="T167" s="29">
        <v>207635</v>
      </c>
      <c r="U167" s="29">
        <v>118532</v>
      </c>
      <c r="V167" s="29">
        <v>89103</v>
      </c>
    </row>
    <row r="168" spans="1:22" x14ac:dyDescent="0.2">
      <c r="A168" s="20" t="s">
        <v>290</v>
      </c>
      <c r="B168" s="20" t="s">
        <v>681</v>
      </c>
      <c r="C168" s="25">
        <v>384.67</v>
      </c>
      <c r="D168" s="27">
        <v>2608.5</v>
      </c>
      <c r="E168" s="25">
        <v>2993.17</v>
      </c>
      <c r="F168" s="25">
        <v>6.69</v>
      </c>
      <c r="G168" s="29">
        <v>194</v>
      </c>
      <c r="H168" s="27">
        <v>0.7</v>
      </c>
      <c r="I168" s="29">
        <v>2802</v>
      </c>
      <c r="J168" s="29">
        <v>946800</v>
      </c>
      <c r="K168" s="29">
        <v>0</v>
      </c>
      <c r="L168" s="29">
        <v>946800</v>
      </c>
      <c r="M168" s="29">
        <v>165010</v>
      </c>
      <c r="N168" s="29">
        <v>182410</v>
      </c>
      <c r="O168" s="29">
        <v>2116</v>
      </c>
      <c r="P168" s="29">
        <v>97218</v>
      </c>
      <c r="Q168" s="29">
        <v>10446</v>
      </c>
      <c r="R168" s="29">
        <v>1404000</v>
      </c>
      <c r="S168" s="29">
        <v>112825</v>
      </c>
      <c r="T168" s="29">
        <v>1291175</v>
      </c>
      <c r="U168" s="29">
        <v>744804</v>
      </c>
      <c r="V168" s="29">
        <v>546371</v>
      </c>
    </row>
    <row r="169" spans="1:22" x14ac:dyDescent="0.2">
      <c r="A169" s="20" t="s">
        <v>166</v>
      </c>
      <c r="B169" s="20" t="s">
        <v>563</v>
      </c>
      <c r="C169" s="25">
        <v>126.72</v>
      </c>
      <c r="D169" s="27">
        <v>735.3</v>
      </c>
      <c r="E169" s="25">
        <v>862.02</v>
      </c>
      <c r="F169" s="25">
        <v>0</v>
      </c>
      <c r="G169" s="29">
        <v>0</v>
      </c>
      <c r="H169" s="27">
        <v>0</v>
      </c>
      <c r="I169" s="29">
        <v>735</v>
      </c>
      <c r="J169" s="29">
        <v>271847</v>
      </c>
      <c r="K169" s="29">
        <v>9177</v>
      </c>
      <c r="L169" s="29">
        <v>281024</v>
      </c>
      <c r="M169" s="29">
        <v>43277</v>
      </c>
      <c r="N169" s="29">
        <v>47555</v>
      </c>
      <c r="O169" s="29">
        <v>0</v>
      </c>
      <c r="P169" s="29">
        <v>25611</v>
      </c>
      <c r="Q169" s="29">
        <v>2983</v>
      </c>
      <c r="R169" s="29">
        <v>400450</v>
      </c>
      <c r="S169" s="29">
        <v>44471</v>
      </c>
      <c r="T169" s="29">
        <v>355979</v>
      </c>
      <c r="U169" s="29">
        <v>199628</v>
      </c>
      <c r="V169" s="29">
        <v>156351</v>
      </c>
    </row>
    <row r="170" spans="1:22" x14ac:dyDescent="0.2">
      <c r="A170" s="20" t="s">
        <v>158</v>
      </c>
      <c r="B170" s="20" t="s">
        <v>555</v>
      </c>
      <c r="C170" s="25">
        <v>762.14</v>
      </c>
      <c r="D170" s="27">
        <v>7597.9</v>
      </c>
      <c r="E170" s="25">
        <v>8360.0400000000009</v>
      </c>
      <c r="F170" s="25">
        <v>0</v>
      </c>
      <c r="G170" s="29">
        <v>401</v>
      </c>
      <c r="H170" s="27">
        <v>0</v>
      </c>
      <c r="I170" s="29">
        <v>7999</v>
      </c>
      <c r="J170" s="29">
        <v>2636422</v>
      </c>
      <c r="K170" s="29">
        <v>0</v>
      </c>
      <c r="L170" s="29">
        <v>2636422</v>
      </c>
      <c r="M170" s="29">
        <v>470981</v>
      </c>
      <c r="N170" s="29">
        <v>517535</v>
      </c>
      <c r="O170" s="29">
        <v>0</v>
      </c>
      <c r="P170" s="29">
        <v>248377</v>
      </c>
      <c r="Q170" s="29">
        <v>28926</v>
      </c>
      <c r="R170" s="29">
        <v>3902241</v>
      </c>
      <c r="S170" s="29">
        <v>225812</v>
      </c>
      <c r="T170" s="29">
        <v>3676429</v>
      </c>
      <c r="U170" s="29">
        <v>2141501</v>
      </c>
      <c r="V170" s="29">
        <v>1534928</v>
      </c>
    </row>
    <row r="171" spans="1:22" x14ac:dyDescent="0.2">
      <c r="A171" s="20" t="s">
        <v>159</v>
      </c>
      <c r="B171" s="20" t="s">
        <v>556</v>
      </c>
      <c r="C171" s="25">
        <v>44.52</v>
      </c>
      <c r="D171" s="27">
        <v>653.70000000000005</v>
      </c>
      <c r="E171" s="25">
        <v>698.22</v>
      </c>
      <c r="F171" s="25">
        <v>0</v>
      </c>
      <c r="G171" s="29">
        <v>8</v>
      </c>
      <c r="H171" s="27">
        <v>0</v>
      </c>
      <c r="I171" s="29">
        <v>662</v>
      </c>
      <c r="J171" s="29">
        <v>220191</v>
      </c>
      <c r="K171" s="29">
        <v>0</v>
      </c>
      <c r="L171" s="29">
        <v>220191</v>
      </c>
      <c r="M171" s="29">
        <v>38979</v>
      </c>
      <c r="N171" s="29">
        <v>42831</v>
      </c>
      <c r="O171" s="29">
        <v>0</v>
      </c>
      <c r="P171" s="29">
        <v>20744</v>
      </c>
      <c r="Q171" s="29">
        <v>2416</v>
      </c>
      <c r="R171" s="29">
        <v>325161</v>
      </c>
      <c r="S171" s="29">
        <v>27550</v>
      </c>
      <c r="T171" s="29">
        <v>297611</v>
      </c>
      <c r="U171" s="29">
        <v>170165</v>
      </c>
      <c r="V171" s="29">
        <v>127446</v>
      </c>
    </row>
    <row r="172" spans="1:22" x14ac:dyDescent="0.2">
      <c r="A172" s="20" t="s">
        <v>291</v>
      </c>
      <c r="B172" s="20" t="s">
        <v>682</v>
      </c>
      <c r="C172" s="25">
        <v>55.5</v>
      </c>
      <c r="D172" s="27">
        <v>544.1</v>
      </c>
      <c r="E172" s="25">
        <v>599.6</v>
      </c>
      <c r="F172" s="25">
        <v>1.34</v>
      </c>
      <c r="G172" s="29">
        <v>0</v>
      </c>
      <c r="H172" s="27">
        <v>0</v>
      </c>
      <c r="I172" s="29">
        <v>544</v>
      </c>
      <c r="J172" s="29">
        <v>189665</v>
      </c>
      <c r="K172" s="29">
        <v>7886</v>
      </c>
      <c r="L172" s="29">
        <v>197551</v>
      </c>
      <c r="M172" s="29">
        <v>32036</v>
      </c>
      <c r="N172" s="29">
        <v>35414</v>
      </c>
      <c r="O172" s="29">
        <v>424</v>
      </c>
      <c r="P172" s="29">
        <v>20285</v>
      </c>
      <c r="Q172" s="29">
        <v>2174</v>
      </c>
      <c r="R172" s="29">
        <v>287884</v>
      </c>
      <c r="S172" s="29">
        <v>28459</v>
      </c>
      <c r="T172" s="29">
        <v>259425</v>
      </c>
      <c r="U172" s="29">
        <v>144235</v>
      </c>
      <c r="V172" s="29">
        <v>115190</v>
      </c>
    </row>
    <row r="173" spans="1:22" x14ac:dyDescent="0.2">
      <c r="A173" s="20" t="s">
        <v>160</v>
      </c>
      <c r="B173" s="20" t="s">
        <v>557</v>
      </c>
      <c r="C173" s="25">
        <v>30.52</v>
      </c>
      <c r="D173" s="27">
        <v>369.7</v>
      </c>
      <c r="E173" s="25">
        <v>400.22</v>
      </c>
      <c r="F173" s="25">
        <v>0</v>
      </c>
      <c r="G173" s="29">
        <v>3</v>
      </c>
      <c r="H173" s="27">
        <v>0</v>
      </c>
      <c r="I173" s="29">
        <v>373</v>
      </c>
      <c r="J173" s="29">
        <v>126213</v>
      </c>
      <c r="K173" s="29">
        <v>2385</v>
      </c>
      <c r="L173" s="29">
        <v>128598</v>
      </c>
      <c r="M173" s="29">
        <v>21962</v>
      </c>
      <c r="N173" s="29">
        <v>24133</v>
      </c>
      <c r="O173" s="29">
        <v>0</v>
      </c>
      <c r="P173" s="29">
        <v>11891</v>
      </c>
      <c r="Q173" s="29">
        <v>1385</v>
      </c>
      <c r="R173" s="29">
        <v>187969</v>
      </c>
      <c r="S173" s="29">
        <v>18559</v>
      </c>
      <c r="T173" s="29">
        <v>169410</v>
      </c>
      <c r="U173" s="29">
        <v>94772</v>
      </c>
      <c r="V173" s="29">
        <v>74638</v>
      </c>
    </row>
    <row r="174" spans="1:22" x14ac:dyDescent="0.2">
      <c r="A174" s="20" t="s">
        <v>134</v>
      </c>
      <c r="B174" s="20" t="s">
        <v>534</v>
      </c>
      <c r="C174" s="25">
        <v>96.93</v>
      </c>
      <c r="D174" s="27">
        <v>707</v>
      </c>
      <c r="E174" s="25">
        <v>803.93</v>
      </c>
      <c r="F174" s="25">
        <v>1.46</v>
      </c>
      <c r="G174" s="29">
        <v>0</v>
      </c>
      <c r="H174" s="27">
        <v>0</v>
      </c>
      <c r="I174" s="29">
        <v>707</v>
      </c>
      <c r="J174" s="29">
        <v>255071</v>
      </c>
      <c r="K174" s="29">
        <v>0</v>
      </c>
      <c r="L174" s="29">
        <v>255071</v>
      </c>
      <c r="M174" s="29">
        <v>41501</v>
      </c>
      <c r="N174" s="29">
        <v>45319</v>
      </c>
      <c r="O174" s="29">
        <v>463</v>
      </c>
      <c r="P174" s="29">
        <v>23282</v>
      </c>
      <c r="Q174" s="29">
        <v>2733</v>
      </c>
      <c r="R174" s="29">
        <v>368369</v>
      </c>
      <c r="S174" s="29">
        <v>39308</v>
      </c>
      <c r="T174" s="29">
        <v>329061</v>
      </c>
      <c r="U174" s="29">
        <v>188055</v>
      </c>
      <c r="V174" s="29">
        <v>141006</v>
      </c>
    </row>
    <row r="175" spans="1:22" x14ac:dyDescent="0.2">
      <c r="A175" s="20" t="s">
        <v>39</v>
      </c>
      <c r="B175" s="20" t="s">
        <v>450</v>
      </c>
      <c r="C175" s="25">
        <v>23.93</v>
      </c>
      <c r="D175" s="27">
        <v>158.30000000000001</v>
      </c>
      <c r="E175" s="25">
        <v>182.23</v>
      </c>
      <c r="F175" s="25">
        <v>0</v>
      </c>
      <c r="G175" s="29">
        <v>22</v>
      </c>
      <c r="H175" s="27">
        <v>0</v>
      </c>
      <c r="I175" s="29">
        <v>180</v>
      </c>
      <c r="J175" s="29">
        <v>59456</v>
      </c>
      <c r="K175" s="29">
        <v>0</v>
      </c>
      <c r="L175" s="29">
        <v>59456</v>
      </c>
      <c r="M175" s="29">
        <v>10663</v>
      </c>
      <c r="N175" s="29">
        <v>11952</v>
      </c>
      <c r="O175" s="29">
        <v>0</v>
      </c>
      <c r="P175" s="29">
        <v>6309</v>
      </c>
      <c r="Q175" s="29">
        <v>751</v>
      </c>
      <c r="R175" s="29">
        <v>89131</v>
      </c>
      <c r="S175" s="29">
        <v>16136</v>
      </c>
      <c r="T175" s="29">
        <v>72995</v>
      </c>
      <c r="U175" s="29">
        <v>36482</v>
      </c>
      <c r="V175" s="29">
        <v>36513</v>
      </c>
    </row>
    <row r="176" spans="1:22" x14ac:dyDescent="0.2">
      <c r="A176" s="20" t="s">
        <v>203</v>
      </c>
      <c r="B176" s="20" t="s">
        <v>599</v>
      </c>
      <c r="C176" s="25">
        <v>52.66</v>
      </c>
      <c r="D176" s="27">
        <v>434.6</v>
      </c>
      <c r="E176" s="25">
        <v>487.26</v>
      </c>
      <c r="F176" s="25">
        <v>0</v>
      </c>
      <c r="G176" s="29">
        <v>56</v>
      </c>
      <c r="H176" s="27">
        <v>0</v>
      </c>
      <c r="I176" s="29">
        <v>491</v>
      </c>
      <c r="J176" s="29">
        <v>150203</v>
      </c>
      <c r="K176" s="29">
        <v>3667</v>
      </c>
      <c r="L176" s="29">
        <v>153870</v>
      </c>
      <c r="M176" s="29">
        <v>28851</v>
      </c>
      <c r="N176" s="29">
        <v>31679</v>
      </c>
      <c r="O176" s="29">
        <v>0</v>
      </c>
      <c r="P176" s="29">
        <v>12878</v>
      </c>
      <c r="Q176" s="29">
        <v>1626</v>
      </c>
      <c r="R176" s="29">
        <v>228904</v>
      </c>
      <c r="S176" s="29">
        <v>23232</v>
      </c>
      <c r="T176" s="29">
        <v>205672</v>
      </c>
      <c r="U176" s="29">
        <v>113087</v>
      </c>
      <c r="V176" s="29">
        <v>92585</v>
      </c>
    </row>
    <row r="177" spans="1:22" x14ac:dyDescent="0.2">
      <c r="A177" s="20" t="s">
        <v>204</v>
      </c>
      <c r="B177" s="20" t="s">
        <v>600</v>
      </c>
      <c r="C177" s="25">
        <v>82.04</v>
      </c>
      <c r="D177" s="27">
        <v>675.7</v>
      </c>
      <c r="E177" s="25">
        <v>757.74</v>
      </c>
      <c r="F177" s="25">
        <v>0</v>
      </c>
      <c r="G177" s="29">
        <v>5</v>
      </c>
      <c r="H177" s="27">
        <v>0</v>
      </c>
      <c r="I177" s="29">
        <v>681</v>
      </c>
      <c r="J177" s="29">
        <v>233581</v>
      </c>
      <c r="K177" s="29">
        <v>0</v>
      </c>
      <c r="L177" s="29">
        <v>233581</v>
      </c>
      <c r="M177" s="29">
        <v>40016</v>
      </c>
      <c r="N177" s="29">
        <v>43938</v>
      </c>
      <c r="O177" s="29">
        <v>0</v>
      </c>
      <c r="P177" s="29">
        <v>19656</v>
      </c>
      <c r="Q177" s="29">
        <v>2478</v>
      </c>
      <c r="R177" s="29">
        <v>339669</v>
      </c>
      <c r="S177" s="29">
        <v>25816</v>
      </c>
      <c r="T177" s="29">
        <v>313853</v>
      </c>
      <c r="U177" s="29">
        <v>185753</v>
      </c>
      <c r="V177" s="29">
        <v>128100</v>
      </c>
    </row>
    <row r="178" spans="1:22" x14ac:dyDescent="0.2">
      <c r="A178" s="20" t="s">
        <v>279</v>
      </c>
      <c r="B178" s="20" t="s">
        <v>670</v>
      </c>
      <c r="C178" s="25">
        <v>97.03</v>
      </c>
      <c r="D178" s="27">
        <v>546.1</v>
      </c>
      <c r="E178" s="25">
        <v>643.13</v>
      </c>
      <c r="F178" s="25">
        <v>1.44</v>
      </c>
      <c r="G178" s="29">
        <v>0</v>
      </c>
      <c r="H178" s="27">
        <v>0</v>
      </c>
      <c r="I178" s="29">
        <v>546</v>
      </c>
      <c r="J178" s="29">
        <v>203435</v>
      </c>
      <c r="K178" s="29">
        <v>0</v>
      </c>
      <c r="L178" s="29">
        <v>203435</v>
      </c>
      <c r="M178" s="29">
        <v>32154</v>
      </c>
      <c r="N178" s="29">
        <v>35545</v>
      </c>
      <c r="O178" s="29">
        <v>456</v>
      </c>
      <c r="P178" s="29">
        <v>20889</v>
      </c>
      <c r="Q178" s="29">
        <v>2245</v>
      </c>
      <c r="R178" s="29">
        <v>294724</v>
      </c>
      <c r="S178" s="29">
        <v>31373</v>
      </c>
      <c r="T178" s="29">
        <v>263351</v>
      </c>
      <c r="U178" s="29">
        <v>152904</v>
      </c>
      <c r="V178" s="29">
        <v>110447</v>
      </c>
    </row>
    <row r="179" spans="1:22" x14ac:dyDescent="0.2">
      <c r="A179" s="20" t="s">
        <v>40</v>
      </c>
      <c r="B179" s="20" t="s">
        <v>451</v>
      </c>
      <c r="C179" s="25">
        <v>61.27</v>
      </c>
      <c r="D179" s="27">
        <v>652</v>
      </c>
      <c r="E179" s="25">
        <v>713.27</v>
      </c>
      <c r="F179" s="25">
        <v>0</v>
      </c>
      <c r="G179" s="29">
        <v>50</v>
      </c>
      <c r="H179" s="27">
        <v>0</v>
      </c>
      <c r="I179" s="29">
        <v>702</v>
      </c>
      <c r="J179" s="29">
        <v>232719</v>
      </c>
      <c r="K179" s="29">
        <v>0</v>
      </c>
      <c r="L179" s="29">
        <v>232719</v>
      </c>
      <c r="M179" s="29">
        <v>41586</v>
      </c>
      <c r="N179" s="29">
        <v>46613</v>
      </c>
      <c r="O179" s="29">
        <v>0</v>
      </c>
      <c r="P179" s="29">
        <v>24693</v>
      </c>
      <c r="Q179" s="29">
        <v>2939</v>
      </c>
      <c r="R179" s="29">
        <v>348550</v>
      </c>
      <c r="S179" s="29">
        <v>38009</v>
      </c>
      <c r="T179" s="29">
        <v>310541</v>
      </c>
      <c r="U179" s="29">
        <v>167941</v>
      </c>
      <c r="V179" s="29">
        <v>142600</v>
      </c>
    </row>
    <row r="180" spans="1:22" x14ac:dyDescent="0.2">
      <c r="A180" s="20" t="s">
        <v>246</v>
      </c>
      <c r="B180" s="20" t="s">
        <v>639</v>
      </c>
      <c r="C180" s="25">
        <v>78.95</v>
      </c>
      <c r="D180" s="27">
        <v>599.20000000000005</v>
      </c>
      <c r="E180" s="25">
        <v>678.15</v>
      </c>
      <c r="F180" s="25">
        <v>1.38</v>
      </c>
      <c r="G180" s="29">
        <v>25</v>
      </c>
      <c r="H180" s="27">
        <v>0</v>
      </c>
      <c r="I180" s="29">
        <v>624</v>
      </c>
      <c r="J180" s="29">
        <v>218975</v>
      </c>
      <c r="K180" s="29">
        <v>16402</v>
      </c>
      <c r="L180" s="29">
        <v>235377</v>
      </c>
      <c r="M180" s="29">
        <v>36922</v>
      </c>
      <c r="N180" s="29">
        <v>41371</v>
      </c>
      <c r="O180" s="29">
        <v>446</v>
      </c>
      <c r="P180" s="29">
        <v>22040</v>
      </c>
      <c r="Q180" s="29">
        <v>2631</v>
      </c>
      <c r="R180" s="29">
        <v>338787</v>
      </c>
      <c r="S180" s="29">
        <v>42589</v>
      </c>
      <c r="T180" s="29">
        <v>296198</v>
      </c>
      <c r="U180" s="29">
        <v>151965</v>
      </c>
      <c r="V180" s="29">
        <v>144233</v>
      </c>
    </row>
    <row r="181" spans="1:22" x14ac:dyDescent="0.2">
      <c r="A181" s="20" t="s">
        <v>135</v>
      </c>
      <c r="B181" s="20" t="s">
        <v>535</v>
      </c>
      <c r="C181" s="25">
        <v>319.89999999999998</v>
      </c>
      <c r="D181" s="27">
        <v>1260.3</v>
      </c>
      <c r="E181" s="25">
        <v>1580.2</v>
      </c>
      <c r="F181" s="25">
        <v>2.86</v>
      </c>
      <c r="G181" s="29">
        <v>127</v>
      </c>
      <c r="H181" s="27">
        <v>0</v>
      </c>
      <c r="I181" s="29">
        <v>1387</v>
      </c>
      <c r="J181" s="29">
        <v>501366</v>
      </c>
      <c r="K181" s="29">
        <v>0</v>
      </c>
      <c r="L181" s="29">
        <v>501366</v>
      </c>
      <c r="M181" s="29">
        <v>81417</v>
      </c>
      <c r="N181" s="29">
        <v>88907</v>
      </c>
      <c r="O181" s="29">
        <v>907</v>
      </c>
      <c r="P181" s="29">
        <v>45763</v>
      </c>
      <c r="Q181" s="29">
        <v>5373</v>
      </c>
      <c r="R181" s="29">
        <v>723733</v>
      </c>
      <c r="S181" s="29">
        <v>74194</v>
      </c>
      <c r="T181" s="29">
        <v>649539</v>
      </c>
      <c r="U181" s="29">
        <v>372707</v>
      </c>
      <c r="V181" s="29">
        <v>276832</v>
      </c>
    </row>
    <row r="182" spans="1:22" x14ac:dyDescent="0.2">
      <c r="A182" s="20" t="s">
        <v>9</v>
      </c>
      <c r="B182" s="20" t="s">
        <v>421</v>
      </c>
      <c r="C182" s="25">
        <v>54.47</v>
      </c>
      <c r="D182" s="27">
        <v>676.6</v>
      </c>
      <c r="E182" s="25">
        <v>731.07</v>
      </c>
      <c r="F182" s="25">
        <v>2.0499999999999998</v>
      </c>
      <c r="G182" s="29">
        <v>24</v>
      </c>
      <c r="H182" s="27">
        <v>0</v>
      </c>
      <c r="I182" s="29">
        <v>701</v>
      </c>
      <c r="J182" s="29">
        <v>241633</v>
      </c>
      <c r="K182" s="29">
        <v>424</v>
      </c>
      <c r="L182" s="29">
        <v>242057</v>
      </c>
      <c r="M182" s="29">
        <v>41471</v>
      </c>
      <c r="N182" s="29">
        <v>46217</v>
      </c>
      <c r="O182" s="29">
        <v>678</v>
      </c>
      <c r="P182" s="29">
        <v>23877</v>
      </c>
      <c r="Q182" s="29">
        <v>2581</v>
      </c>
      <c r="R182" s="29">
        <v>356881</v>
      </c>
      <c r="S182" s="29">
        <v>45215</v>
      </c>
      <c r="T182" s="29">
        <v>311666</v>
      </c>
      <c r="U182" s="29">
        <v>164523</v>
      </c>
      <c r="V182" s="29">
        <v>147143</v>
      </c>
    </row>
    <row r="183" spans="1:22" x14ac:dyDescent="0.2">
      <c r="A183" s="20" t="s">
        <v>247</v>
      </c>
      <c r="B183" s="20" t="s">
        <v>640</v>
      </c>
      <c r="C183" s="25">
        <v>51.62</v>
      </c>
      <c r="D183" s="27">
        <v>436.1</v>
      </c>
      <c r="E183" s="25">
        <v>487.72</v>
      </c>
      <c r="F183" s="25">
        <v>1</v>
      </c>
      <c r="G183" s="29">
        <v>5</v>
      </c>
      <c r="H183" s="27">
        <v>0</v>
      </c>
      <c r="I183" s="29">
        <v>441</v>
      </c>
      <c r="J183" s="29">
        <v>157485</v>
      </c>
      <c r="K183" s="29">
        <v>434</v>
      </c>
      <c r="L183" s="29">
        <v>157919</v>
      </c>
      <c r="M183" s="29">
        <v>26094</v>
      </c>
      <c r="N183" s="29">
        <v>29238</v>
      </c>
      <c r="O183" s="29">
        <v>323</v>
      </c>
      <c r="P183" s="29">
        <v>15887</v>
      </c>
      <c r="Q183" s="29">
        <v>1897</v>
      </c>
      <c r="R183" s="29">
        <v>231358</v>
      </c>
      <c r="S183" s="29">
        <v>28045</v>
      </c>
      <c r="T183" s="29">
        <v>203313</v>
      </c>
      <c r="U183" s="29">
        <v>111919</v>
      </c>
      <c r="V183" s="29">
        <v>91394</v>
      </c>
    </row>
    <row r="184" spans="1:22" x14ac:dyDescent="0.2">
      <c r="A184" s="20" t="s">
        <v>161</v>
      </c>
      <c r="B184" s="20" t="s">
        <v>558</v>
      </c>
      <c r="C184" s="25">
        <v>262.88</v>
      </c>
      <c r="D184" s="27">
        <v>1912.1</v>
      </c>
      <c r="E184" s="25">
        <v>2174.98</v>
      </c>
      <c r="F184" s="25">
        <v>0</v>
      </c>
      <c r="G184" s="29">
        <v>77</v>
      </c>
      <c r="H184" s="27">
        <v>0</v>
      </c>
      <c r="I184" s="29">
        <v>1989</v>
      </c>
      <c r="J184" s="29">
        <v>685902</v>
      </c>
      <c r="K184" s="29">
        <v>0</v>
      </c>
      <c r="L184" s="29">
        <v>685902</v>
      </c>
      <c r="M184" s="29">
        <v>117112</v>
      </c>
      <c r="N184" s="29">
        <v>128688</v>
      </c>
      <c r="O184" s="29">
        <v>0</v>
      </c>
      <c r="P184" s="29">
        <v>64619</v>
      </c>
      <c r="Q184" s="29">
        <v>7525</v>
      </c>
      <c r="R184" s="29">
        <v>1003846</v>
      </c>
      <c r="S184" s="29">
        <v>80131</v>
      </c>
      <c r="T184" s="29">
        <v>923715</v>
      </c>
      <c r="U184" s="29">
        <v>535758</v>
      </c>
      <c r="V184" s="29">
        <v>387957</v>
      </c>
    </row>
    <row r="185" spans="1:22" x14ac:dyDescent="0.2">
      <c r="A185" s="20" t="s">
        <v>99</v>
      </c>
      <c r="B185" s="20" t="s">
        <v>500</v>
      </c>
      <c r="C185" s="25">
        <v>711.12</v>
      </c>
      <c r="D185" s="27">
        <v>5332.3</v>
      </c>
      <c r="E185" s="25">
        <v>6043.42</v>
      </c>
      <c r="F185" s="25">
        <v>8.02</v>
      </c>
      <c r="G185" s="29">
        <v>211</v>
      </c>
      <c r="H185" s="27">
        <v>0.6</v>
      </c>
      <c r="I185" s="29">
        <v>5543</v>
      </c>
      <c r="J185" s="29">
        <v>1931719</v>
      </c>
      <c r="K185" s="29">
        <v>0</v>
      </c>
      <c r="L185" s="29">
        <v>1931719</v>
      </c>
      <c r="M185" s="29">
        <v>328090</v>
      </c>
      <c r="N185" s="29">
        <v>365949</v>
      </c>
      <c r="O185" s="29">
        <v>2564</v>
      </c>
      <c r="P185" s="29">
        <v>241072</v>
      </c>
      <c r="Q185" s="29">
        <v>27739</v>
      </c>
      <c r="R185" s="29">
        <v>2897133</v>
      </c>
      <c r="S185" s="29">
        <v>232815</v>
      </c>
      <c r="T185" s="29">
        <v>2664318</v>
      </c>
      <c r="U185" s="29">
        <v>1548856</v>
      </c>
      <c r="V185" s="29">
        <v>1115462</v>
      </c>
    </row>
    <row r="186" spans="1:22" x14ac:dyDescent="0.2">
      <c r="A186" s="20" t="s">
        <v>205</v>
      </c>
      <c r="B186" s="20" t="s">
        <v>601</v>
      </c>
      <c r="C186" s="25">
        <v>46.59</v>
      </c>
      <c r="D186" s="27">
        <v>515.29999999999995</v>
      </c>
      <c r="E186" s="25">
        <v>561.89</v>
      </c>
      <c r="F186" s="25">
        <v>0</v>
      </c>
      <c r="G186" s="29">
        <v>25</v>
      </c>
      <c r="H186" s="27">
        <v>0</v>
      </c>
      <c r="I186" s="29">
        <v>540</v>
      </c>
      <c r="J186" s="29">
        <v>173208</v>
      </c>
      <c r="K186" s="29">
        <v>0</v>
      </c>
      <c r="L186" s="29">
        <v>173208</v>
      </c>
      <c r="M186" s="29">
        <v>31730</v>
      </c>
      <c r="N186" s="29">
        <v>34841</v>
      </c>
      <c r="O186" s="29">
        <v>0</v>
      </c>
      <c r="P186" s="29">
        <v>14575</v>
      </c>
      <c r="Q186" s="29">
        <v>1837</v>
      </c>
      <c r="R186" s="29">
        <v>256191</v>
      </c>
      <c r="S186" s="29">
        <v>22923</v>
      </c>
      <c r="T186" s="29">
        <v>233268</v>
      </c>
      <c r="U186" s="29">
        <v>133962</v>
      </c>
      <c r="V186" s="29">
        <v>99306</v>
      </c>
    </row>
    <row r="187" spans="1:22" x14ac:dyDescent="0.2">
      <c r="A187" s="20" t="s">
        <v>100</v>
      </c>
      <c r="B187" s="20" t="s">
        <v>501</v>
      </c>
      <c r="C187" s="25">
        <v>651.57000000000005</v>
      </c>
      <c r="D187" s="27">
        <v>3493.9</v>
      </c>
      <c r="E187" s="25">
        <v>4145.47</v>
      </c>
      <c r="F187" s="25">
        <v>5.52</v>
      </c>
      <c r="G187" s="29">
        <v>486</v>
      </c>
      <c r="H187" s="27">
        <v>3.5</v>
      </c>
      <c r="I187" s="29">
        <v>3976</v>
      </c>
      <c r="J187" s="29">
        <v>1325058</v>
      </c>
      <c r="K187" s="29">
        <v>23229</v>
      </c>
      <c r="L187" s="29">
        <v>1348287</v>
      </c>
      <c r="M187" s="29">
        <v>235339</v>
      </c>
      <c r="N187" s="29">
        <v>262496</v>
      </c>
      <c r="O187" s="29">
        <v>1764</v>
      </c>
      <c r="P187" s="29">
        <v>168973</v>
      </c>
      <c r="Q187" s="29">
        <v>19432</v>
      </c>
      <c r="R187" s="29">
        <v>2036291</v>
      </c>
      <c r="S187" s="29">
        <v>218724</v>
      </c>
      <c r="T187" s="29">
        <v>1817567</v>
      </c>
      <c r="U187" s="29">
        <v>1007429</v>
      </c>
      <c r="V187" s="29">
        <v>810138</v>
      </c>
    </row>
    <row r="188" spans="1:22" x14ac:dyDescent="0.2">
      <c r="A188" s="20" t="s">
        <v>248</v>
      </c>
      <c r="B188" s="20" t="s">
        <v>641</v>
      </c>
      <c r="C188" s="25">
        <v>199.79</v>
      </c>
      <c r="D188" s="27">
        <v>1498</v>
      </c>
      <c r="E188" s="25">
        <v>1697.79</v>
      </c>
      <c r="F188" s="25">
        <v>3.47</v>
      </c>
      <c r="G188" s="29">
        <v>540</v>
      </c>
      <c r="H188" s="27">
        <v>8.6999999999999993</v>
      </c>
      <c r="I188" s="29">
        <v>2029</v>
      </c>
      <c r="J188" s="29">
        <v>548216</v>
      </c>
      <c r="K188" s="29">
        <v>0</v>
      </c>
      <c r="L188" s="29">
        <v>548216</v>
      </c>
      <c r="M188" s="29">
        <v>120056</v>
      </c>
      <c r="N188" s="29">
        <v>134523</v>
      </c>
      <c r="O188" s="29">
        <v>1120</v>
      </c>
      <c r="P188" s="29">
        <v>55178</v>
      </c>
      <c r="Q188" s="29">
        <v>6587</v>
      </c>
      <c r="R188" s="29">
        <v>865680</v>
      </c>
      <c r="S188" s="29">
        <v>71335</v>
      </c>
      <c r="T188" s="29">
        <v>794345</v>
      </c>
      <c r="U188" s="29">
        <v>415745</v>
      </c>
      <c r="V188" s="29">
        <v>378600</v>
      </c>
    </row>
    <row r="189" spans="1:22" x14ac:dyDescent="0.2">
      <c r="A189" s="20" t="s">
        <v>324</v>
      </c>
      <c r="B189" s="20" t="s">
        <v>714</v>
      </c>
      <c r="C189" s="25">
        <v>83.16</v>
      </c>
      <c r="D189" s="27">
        <v>823.5</v>
      </c>
      <c r="E189" s="25">
        <v>906.66</v>
      </c>
      <c r="F189" s="25">
        <v>2.25</v>
      </c>
      <c r="G189" s="29">
        <v>0</v>
      </c>
      <c r="H189" s="27">
        <v>0</v>
      </c>
      <c r="I189" s="29">
        <v>824</v>
      </c>
      <c r="J189" s="29">
        <v>284401</v>
      </c>
      <c r="K189" s="29">
        <v>0</v>
      </c>
      <c r="L189" s="29">
        <v>284401</v>
      </c>
      <c r="M189" s="29">
        <v>48501</v>
      </c>
      <c r="N189" s="29">
        <v>53288</v>
      </c>
      <c r="O189" s="29">
        <v>706</v>
      </c>
      <c r="P189" s="29">
        <v>28551</v>
      </c>
      <c r="Q189" s="29">
        <v>3119</v>
      </c>
      <c r="R189" s="29">
        <v>418566</v>
      </c>
      <c r="S189" s="29">
        <v>41596</v>
      </c>
      <c r="T189" s="29">
        <v>376970</v>
      </c>
      <c r="U189" s="29">
        <v>217302</v>
      </c>
      <c r="V189" s="29">
        <v>159668</v>
      </c>
    </row>
    <row r="190" spans="1:22" x14ac:dyDescent="0.2">
      <c r="A190" s="20" t="s">
        <v>206</v>
      </c>
      <c r="B190" s="20" t="s">
        <v>602</v>
      </c>
      <c r="C190" s="25">
        <v>51.24</v>
      </c>
      <c r="D190" s="27">
        <v>328</v>
      </c>
      <c r="E190" s="25">
        <v>379.24</v>
      </c>
      <c r="F190" s="25">
        <v>0</v>
      </c>
      <c r="G190" s="29">
        <v>0</v>
      </c>
      <c r="H190" s="27">
        <v>0</v>
      </c>
      <c r="I190" s="29">
        <v>328</v>
      </c>
      <c r="J190" s="29">
        <v>116905</v>
      </c>
      <c r="K190" s="29">
        <v>0</v>
      </c>
      <c r="L190" s="29">
        <v>116905</v>
      </c>
      <c r="M190" s="29">
        <v>19273</v>
      </c>
      <c r="N190" s="29">
        <v>21163</v>
      </c>
      <c r="O190" s="29">
        <v>0</v>
      </c>
      <c r="P190" s="29">
        <v>9837</v>
      </c>
      <c r="Q190" s="29">
        <v>1240</v>
      </c>
      <c r="R190" s="29">
        <v>168418</v>
      </c>
      <c r="S190" s="29">
        <v>20816</v>
      </c>
      <c r="T190" s="29">
        <v>147602</v>
      </c>
      <c r="U190" s="29">
        <v>85071</v>
      </c>
      <c r="V190" s="29">
        <v>62531</v>
      </c>
    </row>
    <row r="191" spans="1:22" x14ac:dyDescent="0.2">
      <c r="A191" s="20" t="s">
        <v>163</v>
      </c>
      <c r="B191" s="20" t="s">
        <v>560</v>
      </c>
      <c r="C191" s="25">
        <v>68.78</v>
      </c>
      <c r="D191" s="27">
        <v>511.9</v>
      </c>
      <c r="E191" s="25">
        <v>580.67999999999995</v>
      </c>
      <c r="F191" s="25">
        <v>0</v>
      </c>
      <c r="G191" s="29">
        <v>4</v>
      </c>
      <c r="H191" s="27">
        <v>0</v>
      </c>
      <c r="I191" s="29">
        <v>516</v>
      </c>
      <c r="J191" s="29">
        <v>183123</v>
      </c>
      <c r="K191" s="29">
        <v>2389</v>
      </c>
      <c r="L191" s="29">
        <v>185512</v>
      </c>
      <c r="M191" s="29">
        <v>30382</v>
      </c>
      <c r="N191" s="29">
        <v>33385</v>
      </c>
      <c r="O191" s="29">
        <v>0</v>
      </c>
      <c r="P191" s="29">
        <v>17355</v>
      </c>
      <c r="Q191" s="29">
        <v>2020</v>
      </c>
      <c r="R191" s="29">
        <v>268654</v>
      </c>
      <c r="S191" s="29">
        <v>35327</v>
      </c>
      <c r="T191" s="29">
        <v>233327</v>
      </c>
      <c r="U191" s="29">
        <v>129218</v>
      </c>
      <c r="V191" s="29">
        <v>104109</v>
      </c>
    </row>
    <row r="192" spans="1:22" x14ac:dyDescent="0.2">
      <c r="A192" s="20" t="s">
        <v>162</v>
      </c>
      <c r="B192" s="20" t="s">
        <v>559</v>
      </c>
      <c r="C192" s="25">
        <v>166.39</v>
      </c>
      <c r="D192" s="27">
        <v>1275.2</v>
      </c>
      <c r="E192" s="25">
        <v>1441.59</v>
      </c>
      <c r="F192" s="25">
        <v>0</v>
      </c>
      <c r="G192" s="29">
        <v>26</v>
      </c>
      <c r="H192" s="27">
        <v>0.5</v>
      </c>
      <c r="I192" s="29">
        <v>1301</v>
      </c>
      <c r="J192" s="29">
        <v>454620</v>
      </c>
      <c r="K192" s="29">
        <v>0</v>
      </c>
      <c r="L192" s="29">
        <v>454620</v>
      </c>
      <c r="M192" s="29">
        <v>76603</v>
      </c>
      <c r="N192" s="29">
        <v>84175</v>
      </c>
      <c r="O192" s="29">
        <v>0</v>
      </c>
      <c r="P192" s="29">
        <v>42830</v>
      </c>
      <c r="Q192" s="29">
        <v>4988</v>
      </c>
      <c r="R192" s="29">
        <v>663216</v>
      </c>
      <c r="S192" s="29">
        <v>55121</v>
      </c>
      <c r="T192" s="29">
        <v>608095</v>
      </c>
      <c r="U192" s="29">
        <v>353095</v>
      </c>
      <c r="V192" s="29">
        <v>255000</v>
      </c>
    </row>
    <row r="193" spans="1:22" x14ac:dyDescent="0.2">
      <c r="A193" s="20" t="s">
        <v>292</v>
      </c>
      <c r="B193" s="20" t="s">
        <v>683</v>
      </c>
      <c r="C193" s="25">
        <v>105.26</v>
      </c>
      <c r="D193" s="27">
        <v>771.7</v>
      </c>
      <c r="E193" s="25">
        <v>876.96</v>
      </c>
      <c r="F193" s="25">
        <v>1.97</v>
      </c>
      <c r="G193" s="29">
        <v>8</v>
      </c>
      <c r="H193" s="27">
        <v>0</v>
      </c>
      <c r="I193" s="29">
        <v>780</v>
      </c>
      <c r="J193" s="29">
        <v>277400</v>
      </c>
      <c r="K193" s="29">
        <v>10746</v>
      </c>
      <c r="L193" s="29">
        <v>288146</v>
      </c>
      <c r="M193" s="29">
        <v>45934</v>
      </c>
      <c r="N193" s="29">
        <v>50778</v>
      </c>
      <c r="O193" s="29">
        <v>623</v>
      </c>
      <c r="P193" s="29">
        <v>29320</v>
      </c>
      <c r="Q193" s="29">
        <v>3143</v>
      </c>
      <c r="R193" s="29">
        <v>417944</v>
      </c>
      <c r="S193" s="29">
        <v>44838</v>
      </c>
      <c r="T193" s="29">
        <v>373106</v>
      </c>
      <c r="U193" s="29">
        <v>207358</v>
      </c>
      <c r="V193" s="29">
        <v>165748</v>
      </c>
    </row>
    <row r="194" spans="1:22" x14ac:dyDescent="0.2">
      <c r="A194" s="20" t="s">
        <v>10</v>
      </c>
      <c r="B194" s="20" t="s">
        <v>422</v>
      </c>
      <c r="C194" s="25">
        <v>102.65</v>
      </c>
      <c r="D194" s="27">
        <v>793.7</v>
      </c>
      <c r="E194" s="25">
        <v>896.35</v>
      </c>
      <c r="F194" s="25">
        <v>2.5099999999999998</v>
      </c>
      <c r="G194" s="29">
        <v>0</v>
      </c>
      <c r="H194" s="27">
        <v>0</v>
      </c>
      <c r="I194" s="29">
        <v>794</v>
      </c>
      <c r="J194" s="29">
        <v>296262</v>
      </c>
      <c r="K194" s="29">
        <v>0</v>
      </c>
      <c r="L194" s="29">
        <v>296262</v>
      </c>
      <c r="M194" s="29">
        <v>46973</v>
      </c>
      <c r="N194" s="29">
        <v>52348</v>
      </c>
      <c r="O194" s="29">
        <v>830</v>
      </c>
      <c r="P194" s="29">
        <v>29275</v>
      </c>
      <c r="Q194" s="29">
        <v>3164</v>
      </c>
      <c r="R194" s="29">
        <v>428852</v>
      </c>
      <c r="S194" s="29">
        <v>49021</v>
      </c>
      <c r="T194" s="29">
        <v>379831</v>
      </c>
      <c r="U194" s="29">
        <v>208133</v>
      </c>
      <c r="V194" s="29">
        <v>171698</v>
      </c>
    </row>
    <row r="195" spans="1:22" x14ac:dyDescent="0.2">
      <c r="A195" s="20" t="s">
        <v>101</v>
      </c>
      <c r="B195" s="20" t="s">
        <v>502</v>
      </c>
      <c r="C195" s="25">
        <v>68.709999999999994</v>
      </c>
      <c r="D195" s="27">
        <v>472.8</v>
      </c>
      <c r="E195" s="25">
        <v>541.51</v>
      </c>
      <c r="F195" s="25">
        <v>0.72</v>
      </c>
      <c r="G195" s="29">
        <v>5</v>
      </c>
      <c r="H195" s="27">
        <v>0</v>
      </c>
      <c r="I195" s="29">
        <v>478</v>
      </c>
      <c r="J195" s="29">
        <v>173088</v>
      </c>
      <c r="K195" s="29">
        <v>449</v>
      </c>
      <c r="L195" s="29">
        <v>173537</v>
      </c>
      <c r="M195" s="29">
        <v>28293</v>
      </c>
      <c r="N195" s="29">
        <v>31558</v>
      </c>
      <c r="O195" s="29">
        <v>230</v>
      </c>
      <c r="P195" s="29">
        <v>21601</v>
      </c>
      <c r="Q195" s="29">
        <v>2486</v>
      </c>
      <c r="R195" s="29">
        <v>257705</v>
      </c>
      <c r="S195" s="29">
        <v>24738</v>
      </c>
      <c r="T195" s="29">
        <v>232967</v>
      </c>
      <c r="U195" s="29">
        <v>134907</v>
      </c>
      <c r="V195" s="29">
        <v>98060</v>
      </c>
    </row>
    <row r="196" spans="1:22" x14ac:dyDescent="0.2">
      <c r="A196" s="20" t="s">
        <v>164</v>
      </c>
      <c r="B196" s="20" t="s">
        <v>561</v>
      </c>
      <c r="C196" s="25">
        <v>122.07</v>
      </c>
      <c r="D196" s="27">
        <v>953.7</v>
      </c>
      <c r="E196" s="25">
        <v>1075.77</v>
      </c>
      <c r="F196" s="25">
        <v>0</v>
      </c>
      <c r="G196" s="29">
        <v>90</v>
      </c>
      <c r="H196" s="27">
        <v>2.2000000000000002</v>
      </c>
      <c r="I196" s="29">
        <v>1042</v>
      </c>
      <c r="J196" s="29">
        <v>339255</v>
      </c>
      <c r="K196" s="29">
        <v>6458</v>
      </c>
      <c r="L196" s="29">
        <v>345713</v>
      </c>
      <c r="M196" s="29">
        <v>61353</v>
      </c>
      <c r="N196" s="29">
        <v>67417</v>
      </c>
      <c r="O196" s="29">
        <v>0</v>
      </c>
      <c r="P196" s="29">
        <v>31961</v>
      </c>
      <c r="Q196" s="29">
        <v>3722</v>
      </c>
      <c r="R196" s="29">
        <v>510166</v>
      </c>
      <c r="S196" s="29">
        <v>48152</v>
      </c>
      <c r="T196" s="29">
        <v>462014</v>
      </c>
      <c r="U196" s="29">
        <v>256474</v>
      </c>
      <c r="V196" s="29">
        <v>205540</v>
      </c>
    </row>
    <row r="197" spans="1:22" x14ac:dyDescent="0.2">
      <c r="A197" s="20" t="s">
        <v>325</v>
      </c>
      <c r="B197" s="20" t="s">
        <v>715</v>
      </c>
      <c r="C197" s="25">
        <v>41.52</v>
      </c>
      <c r="D197" s="27">
        <v>348.8</v>
      </c>
      <c r="E197" s="25">
        <v>390.32</v>
      </c>
      <c r="F197" s="25">
        <v>0.97</v>
      </c>
      <c r="G197" s="29">
        <v>0</v>
      </c>
      <c r="H197" s="27">
        <v>0</v>
      </c>
      <c r="I197" s="29">
        <v>349</v>
      </c>
      <c r="J197" s="29">
        <v>122436</v>
      </c>
      <c r="K197" s="29">
        <v>0</v>
      </c>
      <c r="L197" s="29">
        <v>122436</v>
      </c>
      <c r="M197" s="29">
        <v>20542</v>
      </c>
      <c r="N197" s="29">
        <v>22570</v>
      </c>
      <c r="O197" s="29">
        <v>304</v>
      </c>
      <c r="P197" s="29">
        <v>12291</v>
      </c>
      <c r="Q197" s="29">
        <v>1343</v>
      </c>
      <c r="R197" s="29">
        <v>179486</v>
      </c>
      <c r="S197" s="29">
        <v>14721</v>
      </c>
      <c r="T197" s="29">
        <v>164765</v>
      </c>
      <c r="U197" s="29">
        <v>96736</v>
      </c>
      <c r="V197" s="29">
        <v>68029</v>
      </c>
    </row>
    <row r="198" spans="1:22" x14ac:dyDescent="0.2">
      <c r="A198" s="20" t="s">
        <v>293</v>
      </c>
      <c r="B198" s="20" t="s">
        <v>684</v>
      </c>
      <c r="C198" s="25">
        <v>52.91</v>
      </c>
      <c r="D198" s="27">
        <v>223</v>
      </c>
      <c r="E198" s="25">
        <v>275.91000000000003</v>
      </c>
      <c r="F198" s="25">
        <v>0.62</v>
      </c>
      <c r="G198" s="29">
        <v>0</v>
      </c>
      <c r="H198" s="27">
        <v>0</v>
      </c>
      <c r="I198" s="29">
        <v>223</v>
      </c>
      <c r="J198" s="29">
        <v>87276</v>
      </c>
      <c r="K198" s="29">
        <v>5592</v>
      </c>
      <c r="L198" s="29">
        <v>92868</v>
      </c>
      <c r="M198" s="29">
        <v>13132</v>
      </c>
      <c r="N198" s="29">
        <v>14517</v>
      </c>
      <c r="O198" s="29">
        <v>196</v>
      </c>
      <c r="P198" s="29">
        <v>8962</v>
      </c>
      <c r="Q198" s="29">
        <v>963</v>
      </c>
      <c r="R198" s="29">
        <v>130638</v>
      </c>
      <c r="S198" s="29">
        <v>14742</v>
      </c>
      <c r="T198" s="29">
        <v>115896</v>
      </c>
      <c r="U198" s="29">
        <v>64316</v>
      </c>
      <c r="V198" s="29">
        <v>51580</v>
      </c>
    </row>
    <row r="199" spans="1:22" x14ac:dyDescent="0.2">
      <c r="A199" s="20" t="s">
        <v>326</v>
      </c>
      <c r="B199" s="20" t="s">
        <v>716</v>
      </c>
      <c r="C199" s="25">
        <v>17.170000000000002</v>
      </c>
      <c r="D199" s="27">
        <v>190</v>
      </c>
      <c r="E199" s="25">
        <v>207.17</v>
      </c>
      <c r="F199" s="25">
        <v>0.51</v>
      </c>
      <c r="G199" s="29">
        <v>0</v>
      </c>
      <c r="H199" s="27">
        <v>0</v>
      </c>
      <c r="I199" s="29">
        <v>190</v>
      </c>
      <c r="J199" s="29">
        <v>64985</v>
      </c>
      <c r="K199" s="29">
        <v>4637</v>
      </c>
      <c r="L199" s="29">
        <v>69622</v>
      </c>
      <c r="M199" s="29">
        <v>11183</v>
      </c>
      <c r="N199" s="29">
        <v>12287</v>
      </c>
      <c r="O199" s="29">
        <v>160</v>
      </c>
      <c r="P199" s="29">
        <v>6922</v>
      </c>
      <c r="Q199" s="29">
        <v>755</v>
      </c>
      <c r="R199" s="29">
        <v>100929</v>
      </c>
      <c r="S199" s="29">
        <v>10949</v>
      </c>
      <c r="T199" s="29">
        <v>89980</v>
      </c>
      <c r="U199" s="29">
        <v>48648</v>
      </c>
      <c r="V199" s="29">
        <v>41332</v>
      </c>
    </row>
    <row r="200" spans="1:22" x14ac:dyDescent="0.2">
      <c r="A200" s="20" t="s">
        <v>327</v>
      </c>
      <c r="B200" s="20" t="s">
        <v>717</v>
      </c>
      <c r="C200" s="25">
        <v>22.3</v>
      </c>
      <c r="D200" s="27">
        <v>206.3</v>
      </c>
      <c r="E200" s="25">
        <v>228.6</v>
      </c>
      <c r="F200" s="25">
        <v>0.56999999999999995</v>
      </c>
      <c r="G200" s="29">
        <v>0</v>
      </c>
      <c r="H200" s="27">
        <v>0</v>
      </c>
      <c r="I200" s="29">
        <v>206</v>
      </c>
      <c r="J200" s="29">
        <v>71707</v>
      </c>
      <c r="K200" s="29">
        <v>2440</v>
      </c>
      <c r="L200" s="29">
        <v>74147</v>
      </c>
      <c r="M200" s="29">
        <v>12125</v>
      </c>
      <c r="N200" s="29">
        <v>13322</v>
      </c>
      <c r="O200" s="29">
        <v>179</v>
      </c>
      <c r="P200" s="29">
        <v>7240</v>
      </c>
      <c r="Q200" s="29">
        <v>789</v>
      </c>
      <c r="R200" s="29">
        <v>107802</v>
      </c>
      <c r="S200" s="29">
        <v>12939</v>
      </c>
      <c r="T200" s="29">
        <v>94863</v>
      </c>
      <c r="U200" s="29">
        <v>52383</v>
      </c>
      <c r="V200" s="29">
        <v>42480</v>
      </c>
    </row>
    <row r="201" spans="1:22" x14ac:dyDescent="0.2">
      <c r="A201" s="20" t="s">
        <v>294</v>
      </c>
      <c r="B201" s="20" t="s">
        <v>685</v>
      </c>
      <c r="C201" s="25">
        <v>86.67</v>
      </c>
      <c r="D201" s="27">
        <v>576.4</v>
      </c>
      <c r="E201" s="25">
        <v>663.07</v>
      </c>
      <c r="F201" s="25">
        <v>1.48</v>
      </c>
      <c r="G201" s="29">
        <v>1</v>
      </c>
      <c r="H201" s="27">
        <v>0</v>
      </c>
      <c r="I201" s="29">
        <v>577</v>
      </c>
      <c r="J201" s="29">
        <v>209742</v>
      </c>
      <c r="K201" s="29">
        <v>6399</v>
      </c>
      <c r="L201" s="29">
        <v>216141</v>
      </c>
      <c r="M201" s="29">
        <v>33980</v>
      </c>
      <c r="N201" s="29">
        <v>37563</v>
      </c>
      <c r="O201" s="29">
        <v>468</v>
      </c>
      <c r="P201" s="29">
        <v>22194</v>
      </c>
      <c r="Q201" s="29">
        <v>2379</v>
      </c>
      <c r="R201" s="29">
        <v>312725</v>
      </c>
      <c r="S201" s="29">
        <v>39236</v>
      </c>
      <c r="T201" s="29">
        <v>273489</v>
      </c>
      <c r="U201" s="29">
        <v>151475</v>
      </c>
      <c r="V201" s="29">
        <v>122014</v>
      </c>
    </row>
    <row r="202" spans="1:22" x14ac:dyDescent="0.2">
      <c r="A202" s="20" t="s">
        <v>328</v>
      </c>
      <c r="B202" s="20" t="s">
        <v>718</v>
      </c>
      <c r="C202" s="25">
        <v>259.38</v>
      </c>
      <c r="D202" s="27">
        <v>1858.4</v>
      </c>
      <c r="E202" s="25">
        <v>2117.7800000000002</v>
      </c>
      <c r="F202" s="25">
        <v>5.25</v>
      </c>
      <c r="G202" s="29">
        <v>4</v>
      </c>
      <c r="H202" s="27">
        <v>0</v>
      </c>
      <c r="I202" s="29">
        <v>1862</v>
      </c>
      <c r="J202" s="29">
        <v>664305</v>
      </c>
      <c r="K202" s="29">
        <v>185</v>
      </c>
      <c r="L202" s="29">
        <v>664490</v>
      </c>
      <c r="M202" s="29">
        <v>109597</v>
      </c>
      <c r="N202" s="29">
        <v>120416</v>
      </c>
      <c r="O202" s="29">
        <v>1647</v>
      </c>
      <c r="P202" s="29">
        <v>66689</v>
      </c>
      <c r="Q202" s="29">
        <v>7285</v>
      </c>
      <c r="R202" s="29">
        <v>970124</v>
      </c>
      <c r="S202" s="29">
        <v>93333</v>
      </c>
      <c r="T202" s="29">
        <v>876791</v>
      </c>
      <c r="U202" s="29">
        <v>511399</v>
      </c>
      <c r="V202" s="29">
        <v>365392</v>
      </c>
    </row>
    <row r="203" spans="1:22" x14ac:dyDescent="0.2">
      <c r="A203" s="20" t="s">
        <v>165</v>
      </c>
      <c r="B203" s="20" t="s">
        <v>562</v>
      </c>
      <c r="C203" s="25">
        <v>82.64</v>
      </c>
      <c r="D203" s="27">
        <v>1122.4000000000001</v>
      </c>
      <c r="E203" s="25">
        <v>1205.04</v>
      </c>
      <c r="F203" s="25">
        <v>0</v>
      </c>
      <c r="G203" s="29">
        <v>26</v>
      </c>
      <c r="H203" s="27">
        <v>0</v>
      </c>
      <c r="I203" s="29">
        <v>1148</v>
      </c>
      <c r="J203" s="29">
        <v>380021</v>
      </c>
      <c r="K203" s="29">
        <v>0</v>
      </c>
      <c r="L203" s="29">
        <v>380021</v>
      </c>
      <c r="M203" s="29">
        <v>67594</v>
      </c>
      <c r="N203" s="29">
        <v>74276</v>
      </c>
      <c r="O203" s="29">
        <v>0</v>
      </c>
      <c r="P203" s="29">
        <v>35802</v>
      </c>
      <c r="Q203" s="29">
        <v>4169</v>
      </c>
      <c r="R203" s="29">
        <v>561862</v>
      </c>
      <c r="S203" s="29">
        <v>45951</v>
      </c>
      <c r="T203" s="29">
        <v>515911</v>
      </c>
      <c r="U203" s="29">
        <v>295280</v>
      </c>
      <c r="V203" s="29">
        <v>220631</v>
      </c>
    </row>
    <row r="204" spans="1:22" x14ac:dyDescent="0.2">
      <c r="A204" s="20" t="s">
        <v>295</v>
      </c>
      <c r="B204" s="20" t="s">
        <v>686</v>
      </c>
      <c r="C204" s="25">
        <v>36.799999999999997</v>
      </c>
      <c r="D204" s="27">
        <v>221.2</v>
      </c>
      <c r="E204" s="25">
        <v>258</v>
      </c>
      <c r="F204" s="25">
        <v>0.57999999999999996</v>
      </c>
      <c r="G204" s="29">
        <v>0</v>
      </c>
      <c r="H204" s="27">
        <v>0</v>
      </c>
      <c r="I204" s="29">
        <v>221</v>
      </c>
      <c r="J204" s="29">
        <v>81611</v>
      </c>
      <c r="K204" s="29">
        <v>6482</v>
      </c>
      <c r="L204" s="29">
        <v>88093</v>
      </c>
      <c r="M204" s="29">
        <v>13015</v>
      </c>
      <c r="N204" s="29">
        <v>14387</v>
      </c>
      <c r="O204" s="29">
        <v>183</v>
      </c>
      <c r="P204" s="29">
        <v>8554</v>
      </c>
      <c r="Q204" s="29">
        <v>917</v>
      </c>
      <c r="R204" s="29">
        <v>125149</v>
      </c>
      <c r="S204" s="29">
        <v>15048</v>
      </c>
      <c r="T204" s="29">
        <v>110101</v>
      </c>
      <c r="U204" s="29">
        <v>59068</v>
      </c>
      <c r="V204" s="29">
        <v>51033</v>
      </c>
    </row>
    <row r="205" spans="1:22" x14ac:dyDescent="0.2">
      <c r="A205" s="20" t="s">
        <v>136</v>
      </c>
      <c r="B205" s="20" t="s">
        <v>536</v>
      </c>
      <c r="C205" s="25">
        <v>675.56</v>
      </c>
      <c r="D205" s="27">
        <v>4690</v>
      </c>
      <c r="E205" s="25">
        <v>5365.56</v>
      </c>
      <c r="F205" s="25">
        <v>9.7100000000000009</v>
      </c>
      <c r="G205" s="29">
        <v>191</v>
      </c>
      <c r="H205" s="27">
        <v>0</v>
      </c>
      <c r="I205" s="29">
        <v>4881</v>
      </c>
      <c r="J205" s="29">
        <v>1702385</v>
      </c>
      <c r="K205" s="29">
        <v>20635</v>
      </c>
      <c r="L205" s="29">
        <v>1723020</v>
      </c>
      <c r="M205" s="29">
        <v>286515</v>
      </c>
      <c r="N205" s="29">
        <v>312872</v>
      </c>
      <c r="O205" s="29">
        <v>3081</v>
      </c>
      <c r="P205" s="29">
        <v>156805</v>
      </c>
      <c r="Q205" s="29">
        <v>18405</v>
      </c>
      <c r="R205" s="29">
        <v>2500698</v>
      </c>
      <c r="S205" s="29">
        <v>253669</v>
      </c>
      <c r="T205" s="29">
        <v>2247029</v>
      </c>
      <c r="U205" s="29">
        <v>1265359</v>
      </c>
      <c r="V205" s="29">
        <v>981670</v>
      </c>
    </row>
    <row r="206" spans="1:22" x14ac:dyDescent="0.2">
      <c r="A206" s="20" t="s">
        <v>102</v>
      </c>
      <c r="B206" s="20" t="s">
        <v>503</v>
      </c>
      <c r="C206" s="25">
        <v>78.89</v>
      </c>
      <c r="D206" s="27">
        <v>595.6</v>
      </c>
      <c r="E206" s="25">
        <v>674.49</v>
      </c>
      <c r="F206" s="25">
        <v>0.9</v>
      </c>
      <c r="G206" s="29">
        <v>0</v>
      </c>
      <c r="H206" s="27">
        <v>0</v>
      </c>
      <c r="I206" s="29">
        <v>596</v>
      </c>
      <c r="J206" s="29">
        <v>215594</v>
      </c>
      <c r="K206" s="29">
        <v>0</v>
      </c>
      <c r="L206" s="29">
        <v>215594</v>
      </c>
      <c r="M206" s="29">
        <v>35277</v>
      </c>
      <c r="N206" s="29">
        <v>39348</v>
      </c>
      <c r="O206" s="29">
        <v>288</v>
      </c>
      <c r="P206" s="29">
        <v>26905</v>
      </c>
      <c r="Q206" s="29">
        <v>3096</v>
      </c>
      <c r="R206" s="29">
        <v>320508</v>
      </c>
      <c r="S206" s="29">
        <v>37009</v>
      </c>
      <c r="T206" s="29">
        <v>283499</v>
      </c>
      <c r="U206" s="29">
        <v>161840</v>
      </c>
      <c r="V206" s="29">
        <v>121659</v>
      </c>
    </row>
    <row r="207" spans="1:22" x14ac:dyDescent="0.2">
      <c r="A207" s="20" t="s">
        <v>207</v>
      </c>
      <c r="B207" s="20" t="s">
        <v>603</v>
      </c>
      <c r="C207" s="25">
        <v>170.32</v>
      </c>
      <c r="D207" s="27">
        <v>1470.9</v>
      </c>
      <c r="E207" s="25">
        <v>1641.22</v>
      </c>
      <c r="F207" s="25">
        <v>0</v>
      </c>
      <c r="G207" s="29">
        <v>2</v>
      </c>
      <c r="H207" s="27">
        <v>0</v>
      </c>
      <c r="I207" s="29">
        <v>1473</v>
      </c>
      <c r="J207" s="29">
        <v>505922</v>
      </c>
      <c r="K207" s="29">
        <v>0</v>
      </c>
      <c r="L207" s="29">
        <v>505922</v>
      </c>
      <c r="M207" s="29">
        <v>86553</v>
      </c>
      <c r="N207" s="29">
        <v>95038</v>
      </c>
      <c r="O207" s="29">
        <v>0</v>
      </c>
      <c r="P207" s="29">
        <v>42573</v>
      </c>
      <c r="Q207" s="29">
        <v>5367</v>
      </c>
      <c r="R207" s="29">
        <v>735453</v>
      </c>
      <c r="S207" s="29">
        <v>69114</v>
      </c>
      <c r="T207" s="29">
        <v>666339</v>
      </c>
      <c r="U207" s="29">
        <v>389131</v>
      </c>
      <c r="V207" s="29">
        <v>277208</v>
      </c>
    </row>
    <row r="208" spans="1:22" x14ac:dyDescent="0.2">
      <c r="A208" s="20" t="s">
        <v>41</v>
      </c>
      <c r="B208" s="20" t="s">
        <v>452</v>
      </c>
      <c r="C208" s="25">
        <v>36.85</v>
      </c>
      <c r="D208" s="27">
        <v>469.2</v>
      </c>
      <c r="E208" s="25">
        <v>506.05</v>
      </c>
      <c r="F208" s="25">
        <v>0</v>
      </c>
      <c r="G208" s="29">
        <v>6</v>
      </c>
      <c r="H208" s="27">
        <v>0</v>
      </c>
      <c r="I208" s="29">
        <v>475</v>
      </c>
      <c r="J208" s="29">
        <v>165109</v>
      </c>
      <c r="K208" s="29">
        <v>0</v>
      </c>
      <c r="L208" s="29">
        <v>165109</v>
      </c>
      <c r="M208" s="29">
        <v>28139</v>
      </c>
      <c r="N208" s="29">
        <v>31540</v>
      </c>
      <c r="O208" s="29">
        <v>0</v>
      </c>
      <c r="P208" s="29">
        <v>17519</v>
      </c>
      <c r="Q208" s="29">
        <v>2085</v>
      </c>
      <c r="R208" s="29">
        <v>244392</v>
      </c>
      <c r="S208" s="29">
        <v>22754</v>
      </c>
      <c r="T208" s="29">
        <v>221638</v>
      </c>
      <c r="U208" s="29">
        <v>123363</v>
      </c>
      <c r="V208" s="29">
        <v>98275</v>
      </c>
    </row>
    <row r="209" spans="1:22" x14ac:dyDescent="0.2">
      <c r="A209" s="20" t="s">
        <v>11</v>
      </c>
      <c r="B209" s="20" t="s">
        <v>423</v>
      </c>
      <c r="C209" s="25">
        <v>103.84</v>
      </c>
      <c r="D209" s="27">
        <v>928.1</v>
      </c>
      <c r="E209" s="25">
        <v>1031.94</v>
      </c>
      <c r="F209" s="25">
        <v>2.89</v>
      </c>
      <c r="G209" s="29">
        <v>104</v>
      </c>
      <c r="H209" s="27">
        <v>0.8</v>
      </c>
      <c r="I209" s="29">
        <v>1031</v>
      </c>
      <c r="J209" s="29">
        <v>341077</v>
      </c>
      <c r="K209" s="29">
        <v>0</v>
      </c>
      <c r="L209" s="29">
        <v>341077</v>
      </c>
      <c r="M209" s="29">
        <v>60994</v>
      </c>
      <c r="N209" s="29">
        <v>67974</v>
      </c>
      <c r="O209" s="29">
        <v>955</v>
      </c>
      <c r="P209" s="29">
        <v>33703</v>
      </c>
      <c r="Q209" s="29">
        <v>3643</v>
      </c>
      <c r="R209" s="29">
        <v>508346</v>
      </c>
      <c r="S209" s="29">
        <v>58022</v>
      </c>
      <c r="T209" s="29">
        <v>450324</v>
      </c>
      <c r="U209" s="29">
        <v>238032</v>
      </c>
      <c r="V209" s="29">
        <v>212292</v>
      </c>
    </row>
    <row r="210" spans="1:22" x14ac:dyDescent="0.2">
      <c r="A210" s="20" t="s">
        <v>329</v>
      </c>
      <c r="B210" s="20" t="s">
        <v>719</v>
      </c>
      <c r="C210" s="25">
        <v>53.33</v>
      </c>
      <c r="D210" s="27">
        <v>502.1</v>
      </c>
      <c r="E210" s="25">
        <v>555.42999999999995</v>
      </c>
      <c r="F210" s="25">
        <v>1.38</v>
      </c>
      <c r="G210" s="29">
        <v>3</v>
      </c>
      <c r="H210" s="27">
        <v>0</v>
      </c>
      <c r="I210" s="29">
        <v>505</v>
      </c>
      <c r="J210" s="29">
        <v>174227</v>
      </c>
      <c r="K210" s="29">
        <v>0</v>
      </c>
      <c r="L210" s="29">
        <v>174227</v>
      </c>
      <c r="M210" s="29">
        <v>29724</v>
      </c>
      <c r="N210" s="29">
        <v>32658</v>
      </c>
      <c r="O210" s="29">
        <v>433</v>
      </c>
      <c r="P210" s="29">
        <v>17490</v>
      </c>
      <c r="Q210" s="29">
        <v>1911</v>
      </c>
      <c r="R210" s="29">
        <v>256443</v>
      </c>
      <c r="S210" s="29">
        <v>25009</v>
      </c>
      <c r="T210" s="29">
        <v>231434</v>
      </c>
      <c r="U210" s="29">
        <v>133595</v>
      </c>
      <c r="V210" s="29">
        <v>97839</v>
      </c>
    </row>
    <row r="211" spans="1:22" x14ac:dyDescent="0.2">
      <c r="A211" s="20" t="s">
        <v>208</v>
      </c>
      <c r="B211" s="20" t="s">
        <v>604</v>
      </c>
      <c r="C211" s="25">
        <v>472.21</v>
      </c>
      <c r="D211" s="27">
        <v>2947.9</v>
      </c>
      <c r="E211" s="25">
        <v>3420.11</v>
      </c>
      <c r="F211" s="25">
        <v>0</v>
      </c>
      <c r="G211" s="29">
        <v>81</v>
      </c>
      <c r="H211" s="27">
        <v>0.3</v>
      </c>
      <c r="I211" s="29">
        <v>3029</v>
      </c>
      <c r="J211" s="29">
        <v>1054283</v>
      </c>
      <c r="K211" s="29">
        <v>0</v>
      </c>
      <c r="L211" s="29">
        <v>1054283</v>
      </c>
      <c r="M211" s="29">
        <v>177984</v>
      </c>
      <c r="N211" s="29">
        <v>195431</v>
      </c>
      <c r="O211" s="29">
        <v>0</v>
      </c>
      <c r="P211" s="29">
        <v>88718</v>
      </c>
      <c r="Q211" s="29">
        <v>11184</v>
      </c>
      <c r="R211" s="29">
        <v>1527600</v>
      </c>
      <c r="S211" s="29">
        <v>154889</v>
      </c>
      <c r="T211" s="29">
        <v>1372711</v>
      </c>
      <c r="U211" s="29">
        <v>800041</v>
      </c>
      <c r="V211" s="29">
        <v>572670</v>
      </c>
    </row>
    <row r="212" spans="1:22" x14ac:dyDescent="0.2">
      <c r="A212" s="20" t="s">
        <v>74</v>
      </c>
      <c r="B212" s="20" t="s">
        <v>477</v>
      </c>
      <c r="C212" s="25">
        <v>112.96</v>
      </c>
      <c r="D212" s="27">
        <v>771.1</v>
      </c>
      <c r="E212" s="25">
        <v>884.06</v>
      </c>
      <c r="F212" s="25">
        <v>1.18</v>
      </c>
      <c r="G212" s="29">
        <v>37</v>
      </c>
      <c r="H212" s="27">
        <v>0</v>
      </c>
      <c r="I212" s="29">
        <v>808</v>
      </c>
      <c r="J212" s="29">
        <v>282581</v>
      </c>
      <c r="K212" s="29">
        <v>0</v>
      </c>
      <c r="L212" s="29">
        <v>282581</v>
      </c>
      <c r="M212" s="29">
        <v>47826</v>
      </c>
      <c r="N212" s="29">
        <v>53344</v>
      </c>
      <c r="O212" s="29">
        <v>377</v>
      </c>
      <c r="P212" s="29">
        <v>35265</v>
      </c>
      <c r="Q212" s="29">
        <v>4058</v>
      </c>
      <c r="R212" s="29">
        <v>423451</v>
      </c>
      <c r="S212" s="29">
        <v>46457</v>
      </c>
      <c r="T212" s="29">
        <v>376994</v>
      </c>
      <c r="U212" s="29">
        <v>214176</v>
      </c>
      <c r="V212" s="29">
        <v>162818</v>
      </c>
    </row>
    <row r="213" spans="1:22" x14ac:dyDescent="0.2">
      <c r="A213" s="20" t="s">
        <v>138</v>
      </c>
      <c r="B213" s="20" t="s">
        <v>538</v>
      </c>
      <c r="C213" s="25">
        <v>59.37</v>
      </c>
      <c r="D213" s="27">
        <v>523.5</v>
      </c>
      <c r="E213" s="25">
        <v>582.87</v>
      </c>
      <c r="F213" s="25">
        <v>1.06</v>
      </c>
      <c r="G213" s="29">
        <v>1</v>
      </c>
      <c r="H213" s="27">
        <v>0</v>
      </c>
      <c r="I213" s="29">
        <v>525</v>
      </c>
      <c r="J213" s="29">
        <v>184933</v>
      </c>
      <c r="K213" s="29">
        <v>0</v>
      </c>
      <c r="L213" s="29">
        <v>184933</v>
      </c>
      <c r="M213" s="29">
        <v>30818</v>
      </c>
      <c r="N213" s="29">
        <v>33653</v>
      </c>
      <c r="O213" s="29">
        <v>336</v>
      </c>
      <c r="P213" s="29">
        <v>16880</v>
      </c>
      <c r="Q213" s="29">
        <v>1982</v>
      </c>
      <c r="R213" s="29">
        <v>268602</v>
      </c>
      <c r="S213" s="29">
        <v>30807</v>
      </c>
      <c r="T213" s="29">
        <v>237795</v>
      </c>
      <c r="U213" s="29">
        <v>134038</v>
      </c>
      <c r="V213" s="29">
        <v>103757</v>
      </c>
    </row>
    <row r="214" spans="1:22" x14ac:dyDescent="0.2">
      <c r="A214" s="20" t="s">
        <v>12</v>
      </c>
      <c r="B214" s="20" t="s">
        <v>424</v>
      </c>
      <c r="C214" s="25">
        <v>181.17</v>
      </c>
      <c r="D214" s="27">
        <v>1098.4000000000001</v>
      </c>
      <c r="E214" s="25">
        <v>1279.57</v>
      </c>
      <c r="F214" s="25">
        <v>3.59</v>
      </c>
      <c r="G214" s="29">
        <v>4</v>
      </c>
      <c r="H214" s="27">
        <v>0</v>
      </c>
      <c r="I214" s="29">
        <v>1102</v>
      </c>
      <c r="J214" s="29">
        <v>422923</v>
      </c>
      <c r="K214" s="29">
        <v>14049</v>
      </c>
      <c r="L214" s="29">
        <v>436972</v>
      </c>
      <c r="M214" s="29">
        <v>65194</v>
      </c>
      <c r="N214" s="29">
        <v>72655</v>
      </c>
      <c r="O214" s="29">
        <v>1187</v>
      </c>
      <c r="P214" s="29">
        <v>42075</v>
      </c>
      <c r="Q214" s="29">
        <v>4537</v>
      </c>
      <c r="R214" s="29">
        <v>622620</v>
      </c>
      <c r="S214" s="29">
        <v>80898</v>
      </c>
      <c r="T214" s="29">
        <v>541722</v>
      </c>
      <c r="U214" s="29">
        <v>286504</v>
      </c>
      <c r="V214" s="29">
        <v>255218</v>
      </c>
    </row>
    <row r="215" spans="1:22" x14ac:dyDescent="0.2">
      <c r="A215" s="20" t="s">
        <v>330</v>
      </c>
      <c r="B215" s="20" t="s">
        <v>720</v>
      </c>
      <c r="C215" s="25">
        <v>60.19</v>
      </c>
      <c r="D215" s="27">
        <v>486.8</v>
      </c>
      <c r="E215" s="25">
        <v>546.99</v>
      </c>
      <c r="F215" s="25">
        <v>1.36</v>
      </c>
      <c r="G215" s="29">
        <v>29</v>
      </c>
      <c r="H215" s="27">
        <v>0</v>
      </c>
      <c r="I215" s="29">
        <v>516</v>
      </c>
      <c r="J215" s="29">
        <v>171580</v>
      </c>
      <c r="K215" s="29">
        <v>0</v>
      </c>
      <c r="L215" s="29">
        <v>171580</v>
      </c>
      <c r="M215" s="29">
        <v>30372</v>
      </c>
      <c r="N215" s="29">
        <v>33370</v>
      </c>
      <c r="O215" s="29">
        <v>427</v>
      </c>
      <c r="P215" s="29">
        <v>17225</v>
      </c>
      <c r="Q215" s="29">
        <v>1882</v>
      </c>
      <c r="R215" s="29">
        <v>254856</v>
      </c>
      <c r="S215" s="29">
        <v>25355</v>
      </c>
      <c r="T215" s="29">
        <v>229501</v>
      </c>
      <c r="U215" s="29">
        <v>130840</v>
      </c>
      <c r="V215" s="29">
        <v>98661</v>
      </c>
    </row>
    <row r="216" spans="1:22" x14ac:dyDescent="0.2">
      <c r="A216" s="20" t="s">
        <v>167</v>
      </c>
      <c r="B216" s="20" t="s">
        <v>564</v>
      </c>
      <c r="C216" s="25">
        <v>45.15</v>
      </c>
      <c r="D216" s="27">
        <v>585.29999999999995</v>
      </c>
      <c r="E216" s="25">
        <v>630.45000000000005</v>
      </c>
      <c r="F216" s="25">
        <v>0</v>
      </c>
      <c r="G216" s="29">
        <v>2</v>
      </c>
      <c r="H216" s="27">
        <v>0</v>
      </c>
      <c r="I216" s="29">
        <v>587</v>
      </c>
      <c r="J216" s="29">
        <v>198819</v>
      </c>
      <c r="K216" s="29">
        <v>16950</v>
      </c>
      <c r="L216" s="29">
        <v>215769</v>
      </c>
      <c r="M216" s="29">
        <v>34563</v>
      </c>
      <c r="N216" s="29">
        <v>37979</v>
      </c>
      <c r="O216" s="29">
        <v>0</v>
      </c>
      <c r="P216" s="29">
        <v>18995</v>
      </c>
      <c r="Q216" s="29">
        <v>2211</v>
      </c>
      <c r="R216" s="29">
        <v>309517</v>
      </c>
      <c r="S216" s="29">
        <v>34751</v>
      </c>
      <c r="T216" s="29">
        <v>274766</v>
      </c>
      <c r="U216" s="29">
        <v>144068</v>
      </c>
      <c r="V216" s="29">
        <v>130698</v>
      </c>
    </row>
    <row r="217" spans="1:22" x14ac:dyDescent="0.2">
      <c r="A217" s="20" t="s">
        <v>42</v>
      </c>
      <c r="B217" s="20" t="s">
        <v>453</v>
      </c>
      <c r="C217" s="25">
        <v>43.48</v>
      </c>
      <c r="D217" s="27">
        <v>265.8</v>
      </c>
      <c r="E217" s="25">
        <v>309.27999999999997</v>
      </c>
      <c r="F217" s="25">
        <v>0</v>
      </c>
      <c r="G217" s="29">
        <v>36</v>
      </c>
      <c r="H217" s="27">
        <v>0</v>
      </c>
      <c r="I217" s="29">
        <v>302</v>
      </c>
      <c r="J217" s="29">
        <v>100909</v>
      </c>
      <c r="K217" s="29">
        <v>8112</v>
      </c>
      <c r="L217" s="29">
        <v>109021</v>
      </c>
      <c r="M217" s="29">
        <v>17890</v>
      </c>
      <c r="N217" s="29">
        <v>20053</v>
      </c>
      <c r="O217" s="29">
        <v>0</v>
      </c>
      <c r="P217" s="29">
        <v>10876</v>
      </c>
      <c r="Q217" s="29">
        <v>1294</v>
      </c>
      <c r="R217" s="29">
        <v>159134</v>
      </c>
      <c r="S217" s="29">
        <v>21324</v>
      </c>
      <c r="T217" s="29">
        <v>137810</v>
      </c>
      <c r="U217" s="29">
        <v>68166</v>
      </c>
      <c r="V217" s="29">
        <v>69644</v>
      </c>
    </row>
    <row r="218" spans="1:22" x14ac:dyDescent="0.2">
      <c r="A218" s="20" t="s">
        <v>209</v>
      </c>
      <c r="B218" s="20" t="s">
        <v>605</v>
      </c>
      <c r="C218" s="25">
        <v>126.56</v>
      </c>
      <c r="D218" s="27">
        <v>1896.9</v>
      </c>
      <c r="E218" s="25">
        <v>2023.46</v>
      </c>
      <c r="F218" s="25">
        <v>0</v>
      </c>
      <c r="G218" s="29">
        <v>31</v>
      </c>
      <c r="H218" s="27">
        <v>0</v>
      </c>
      <c r="I218" s="29">
        <v>1928</v>
      </c>
      <c r="J218" s="29">
        <v>623752</v>
      </c>
      <c r="K218" s="29">
        <v>0</v>
      </c>
      <c r="L218" s="29">
        <v>623752</v>
      </c>
      <c r="M218" s="29">
        <v>113289</v>
      </c>
      <c r="N218" s="29">
        <v>124395</v>
      </c>
      <c r="O218" s="29">
        <v>0</v>
      </c>
      <c r="P218" s="29">
        <v>52489</v>
      </c>
      <c r="Q218" s="29">
        <v>6617</v>
      </c>
      <c r="R218" s="29">
        <v>920542</v>
      </c>
      <c r="S218" s="29">
        <v>39904</v>
      </c>
      <c r="T218" s="29">
        <v>880638</v>
      </c>
      <c r="U218" s="29">
        <v>525067</v>
      </c>
      <c r="V218" s="29">
        <v>355571</v>
      </c>
    </row>
    <row r="219" spans="1:22" x14ac:dyDescent="0.2">
      <c r="A219" s="20" t="s">
        <v>137</v>
      </c>
      <c r="B219" s="20" t="s">
        <v>537</v>
      </c>
      <c r="C219" s="25">
        <v>297.49</v>
      </c>
      <c r="D219" s="27">
        <v>3071</v>
      </c>
      <c r="E219" s="25">
        <v>3368.49</v>
      </c>
      <c r="F219" s="25">
        <v>6.1</v>
      </c>
      <c r="G219" s="29">
        <v>60</v>
      </c>
      <c r="H219" s="27">
        <v>0</v>
      </c>
      <c r="I219" s="29">
        <v>3131</v>
      </c>
      <c r="J219" s="29">
        <v>1068755</v>
      </c>
      <c r="K219" s="29">
        <v>0</v>
      </c>
      <c r="L219" s="29">
        <v>1068755</v>
      </c>
      <c r="M219" s="29">
        <v>183790</v>
      </c>
      <c r="N219" s="29">
        <v>200697</v>
      </c>
      <c r="O219" s="29">
        <v>1935</v>
      </c>
      <c r="P219" s="29">
        <v>97551</v>
      </c>
      <c r="Q219" s="29">
        <v>11453</v>
      </c>
      <c r="R219" s="29">
        <v>1564181</v>
      </c>
      <c r="S219" s="29">
        <v>130713</v>
      </c>
      <c r="T219" s="29">
        <v>1433468</v>
      </c>
      <c r="U219" s="29">
        <v>821939</v>
      </c>
      <c r="V219" s="29">
        <v>611529</v>
      </c>
    </row>
    <row r="220" spans="1:22" x14ac:dyDescent="0.2">
      <c r="A220" s="20" t="s">
        <v>105</v>
      </c>
      <c r="B220" s="20" t="s">
        <v>506</v>
      </c>
      <c r="C220" s="25">
        <v>66.819999999999993</v>
      </c>
      <c r="D220" s="27">
        <v>435.1</v>
      </c>
      <c r="E220" s="25">
        <v>501.92</v>
      </c>
      <c r="F220" s="25">
        <v>0.67</v>
      </c>
      <c r="G220" s="29">
        <v>3</v>
      </c>
      <c r="H220" s="27">
        <v>0</v>
      </c>
      <c r="I220" s="29">
        <v>438</v>
      </c>
      <c r="J220" s="29">
        <v>160434</v>
      </c>
      <c r="K220" s="29">
        <v>0</v>
      </c>
      <c r="L220" s="29">
        <v>160434</v>
      </c>
      <c r="M220" s="29">
        <v>25925</v>
      </c>
      <c r="N220" s="29">
        <v>28917</v>
      </c>
      <c r="O220" s="29">
        <v>214</v>
      </c>
      <c r="P220" s="29">
        <v>20075</v>
      </c>
      <c r="Q220" s="29">
        <v>2309</v>
      </c>
      <c r="R220" s="29">
        <v>237874</v>
      </c>
      <c r="S220" s="29">
        <v>23815</v>
      </c>
      <c r="T220" s="29">
        <v>214059</v>
      </c>
      <c r="U220" s="29">
        <v>124217</v>
      </c>
      <c r="V220" s="29">
        <v>89842</v>
      </c>
    </row>
    <row r="221" spans="1:22" x14ac:dyDescent="0.2">
      <c r="A221" s="20" t="s">
        <v>106</v>
      </c>
      <c r="B221" s="20" t="s">
        <v>507</v>
      </c>
      <c r="C221" s="25">
        <v>62.09</v>
      </c>
      <c r="D221" s="27">
        <v>503.8</v>
      </c>
      <c r="E221" s="25">
        <v>565.89</v>
      </c>
      <c r="F221" s="25">
        <v>0.75</v>
      </c>
      <c r="G221" s="29">
        <v>1</v>
      </c>
      <c r="H221" s="27">
        <v>0</v>
      </c>
      <c r="I221" s="29">
        <v>505</v>
      </c>
      <c r="J221" s="29">
        <v>180881</v>
      </c>
      <c r="K221" s="29">
        <v>0</v>
      </c>
      <c r="L221" s="29">
        <v>180881</v>
      </c>
      <c r="M221" s="29">
        <v>29891</v>
      </c>
      <c r="N221" s="29">
        <v>33340</v>
      </c>
      <c r="O221" s="29">
        <v>240</v>
      </c>
      <c r="P221" s="29">
        <v>22573</v>
      </c>
      <c r="Q221" s="29">
        <v>2597</v>
      </c>
      <c r="R221" s="29">
        <v>269522</v>
      </c>
      <c r="S221" s="29">
        <v>25116</v>
      </c>
      <c r="T221" s="29">
        <v>244406</v>
      </c>
      <c r="U221" s="29">
        <v>141714</v>
      </c>
      <c r="V221" s="29">
        <v>102692</v>
      </c>
    </row>
    <row r="222" spans="1:22" x14ac:dyDescent="0.2">
      <c r="A222" s="20" t="s">
        <v>210</v>
      </c>
      <c r="B222" s="20" t="s">
        <v>606</v>
      </c>
      <c r="C222" s="25">
        <v>337.24</v>
      </c>
      <c r="D222" s="27">
        <v>3190</v>
      </c>
      <c r="E222" s="25">
        <v>3527.24</v>
      </c>
      <c r="F222" s="25">
        <v>0</v>
      </c>
      <c r="G222" s="29">
        <v>68</v>
      </c>
      <c r="H222" s="27">
        <v>0</v>
      </c>
      <c r="I222" s="29">
        <v>3258</v>
      </c>
      <c r="J222" s="29">
        <v>1087307</v>
      </c>
      <c r="K222" s="29">
        <v>0</v>
      </c>
      <c r="L222" s="29">
        <v>1087307</v>
      </c>
      <c r="M222" s="29">
        <v>191440</v>
      </c>
      <c r="N222" s="29">
        <v>210206</v>
      </c>
      <c r="O222" s="29">
        <v>0</v>
      </c>
      <c r="P222" s="29">
        <v>91497</v>
      </c>
      <c r="Q222" s="29">
        <v>11534</v>
      </c>
      <c r="R222" s="29">
        <v>1591984</v>
      </c>
      <c r="S222" s="29">
        <v>95234</v>
      </c>
      <c r="T222" s="29">
        <v>1496750</v>
      </c>
      <c r="U222" s="29">
        <v>889607</v>
      </c>
      <c r="V222" s="29">
        <v>607143</v>
      </c>
    </row>
    <row r="223" spans="1:22" x14ac:dyDescent="0.2">
      <c r="A223" s="20" t="s">
        <v>299</v>
      </c>
      <c r="B223" s="20" t="s">
        <v>690</v>
      </c>
      <c r="C223" s="25">
        <v>87.44</v>
      </c>
      <c r="D223" s="27">
        <v>685.2</v>
      </c>
      <c r="E223" s="25">
        <v>772.64</v>
      </c>
      <c r="F223" s="25">
        <v>1.73</v>
      </c>
      <c r="G223" s="29">
        <v>3</v>
      </c>
      <c r="H223" s="27">
        <v>0</v>
      </c>
      <c r="I223" s="29">
        <v>688</v>
      </c>
      <c r="J223" s="29">
        <v>244401</v>
      </c>
      <c r="K223" s="29">
        <v>0</v>
      </c>
      <c r="L223" s="29">
        <v>244401</v>
      </c>
      <c r="M223" s="29">
        <v>40516</v>
      </c>
      <c r="N223" s="29">
        <v>44789</v>
      </c>
      <c r="O223" s="29">
        <v>547</v>
      </c>
      <c r="P223" s="29">
        <v>25095</v>
      </c>
      <c r="Q223" s="29">
        <v>2697</v>
      </c>
      <c r="R223" s="29">
        <v>358045</v>
      </c>
      <c r="S223" s="29">
        <v>33188</v>
      </c>
      <c r="T223" s="29">
        <v>324857</v>
      </c>
      <c r="U223" s="29">
        <v>188197</v>
      </c>
      <c r="V223" s="29">
        <v>136660</v>
      </c>
    </row>
    <row r="224" spans="1:22" x14ac:dyDescent="0.2">
      <c r="A224" s="20" t="s">
        <v>44</v>
      </c>
      <c r="B224" s="20" t="s">
        <v>642</v>
      </c>
      <c r="C224" s="25">
        <v>115.42</v>
      </c>
      <c r="D224" s="27">
        <v>966.6</v>
      </c>
      <c r="E224" s="25">
        <v>1082.02</v>
      </c>
      <c r="F224" s="25">
        <v>2.21</v>
      </c>
      <c r="G224" s="29">
        <v>20</v>
      </c>
      <c r="H224" s="27">
        <v>0</v>
      </c>
      <c r="I224" s="29">
        <v>987</v>
      </c>
      <c r="J224" s="29">
        <v>349384</v>
      </c>
      <c r="K224" s="29">
        <v>0</v>
      </c>
      <c r="L224" s="29">
        <v>349384</v>
      </c>
      <c r="M224" s="29">
        <v>58401</v>
      </c>
      <c r="N224" s="29">
        <v>65438</v>
      </c>
      <c r="O224" s="29">
        <v>714</v>
      </c>
      <c r="P224" s="29">
        <v>35166</v>
      </c>
      <c r="Q224" s="29">
        <v>4198</v>
      </c>
      <c r="R224" s="29">
        <v>513301</v>
      </c>
      <c r="S224" s="29">
        <v>58024</v>
      </c>
      <c r="T224" s="29">
        <v>455277</v>
      </c>
      <c r="U224" s="29">
        <v>252398</v>
      </c>
      <c r="V224" s="29">
        <v>202879</v>
      </c>
    </row>
    <row r="225" spans="1:22" x14ac:dyDescent="0.2">
      <c r="A225" s="20" t="s">
        <v>13</v>
      </c>
      <c r="B225" s="20" t="s">
        <v>425</v>
      </c>
      <c r="C225" s="25">
        <v>252.78</v>
      </c>
      <c r="D225" s="27">
        <v>1326.5</v>
      </c>
      <c r="E225" s="25">
        <v>1579.28</v>
      </c>
      <c r="F225" s="25">
        <v>4.41</v>
      </c>
      <c r="G225" s="29">
        <v>5</v>
      </c>
      <c r="H225" s="27">
        <v>0</v>
      </c>
      <c r="I225" s="29">
        <v>1332</v>
      </c>
      <c r="J225" s="29">
        <v>521984</v>
      </c>
      <c r="K225" s="29">
        <v>0</v>
      </c>
      <c r="L225" s="29">
        <v>521984</v>
      </c>
      <c r="M225" s="29">
        <v>78801</v>
      </c>
      <c r="N225" s="29">
        <v>87819</v>
      </c>
      <c r="O225" s="29">
        <v>1458</v>
      </c>
      <c r="P225" s="29">
        <v>51579</v>
      </c>
      <c r="Q225" s="29">
        <v>5575</v>
      </c>
      <c r="R225" s="29">
        <v>747216</v>
      </c>
      <c r="S225" s="29">
        <v>78419</v>
      </c>
      <c r="T225" s="29">
        <v>668797</v>
      </c>
      <c r="U225" s="29">
        <v>374658</v>
      </c>
      <c r="V225" s="29">
        <v>294139</v>
      </c>
    </row>
    <row r="226" spans="1:22" x14ac:dyDescent="0.2">
      <c r="A226" s="20" t="s">
        <v>211</v>
      </c>
      <c r="B226" s="20" t="s">
        <v>607</v>
      </c>
      <c r="C226" s="25">
        <v>51.46</v>
      </c>
      <c r="D226" s="27">
        <v>607.79999999999995</v>
      </c>
      <c r="E226" s="25">
        <v>659.26</v>
      </c>
      <c r="F226" s="25">
        <v>0</v>
      </c>
      <c r="G226" s="29">
        <v>9</v>
      </c>
      <c r="H226" s="27">
        <v>0</v>
      </c>
      <c r="I226" s="29">
        <v>617</v>
      </c>
      <c r="J226" s="29">
        <v>203223</v>
      </c>
      <c r="K226" s="29">
        <v>856</v>
      </c>
      <c r="L226" s="29">
        <v>204079</v>
      </c>
      <c r="M226" s="29">
        <v>36255</v>
      </c>
      <c r="N226" s="29">
        <v>39809</v>
      </c>
      <c r="O226" s="29">
        <v>0</v>
      </c>
      <c r="P226" s="29">
        <v>17101</v>
      </c>
      <c r="Q226" s="29">
        <v>2157</v>
      </c>
      <c r="R226" s="29">
        <v>299401</v>
      </c>
      <c r="S226" s="29">
        <v>31557</v>
      </c>
      <c r="T226" s="29">
        <v>267844</v>
      </c>
      <c r="U226" s="29">
        <v>152516</v>
      </c>
      <c r="V226" s="29">
        <v>115328</v>
      </c>
    </row>
    <row r="227" spans="1:22" x14ac:dyDescent="0.2">
      <c r="A227" s="20" t="s">
        <v>45</v>
      </c>
      <c r="B227" s="20" t="s">
        <v>455</v>
      </c>
      <c r="C227" s="25">
        <v>118.06</v>
      </c>
      <c r="D227" s="27">
        <v>1033</v>
      </c>
      <c r="E227" s="25">
        <v>1151.06</v>
      </c>
      <c r="F227" s="25">
        <v>0</v>
      </c>
      <c r="G227" s="29">
        <v>6</v>
      </c>
      <c r="H227" s="27">
        <v>0</v>
      </c>
      <c r="I227" s="29">
        <v>1039</v>
      </c>
      <c r="J227" s="29">
        <v>375556</v>
      </c>
      <c r="K227" s="29">
        <v>0</v>
      </c>
      <c r="L227" s="29">
        <v>375556</v>
      </c>
      <c r="M227" s="29">
        <v>61550</v>
      </c>
      <c r="N227" s="29">
        <v>68990</v>
      </c>
      <c r="O227" s="29">
        <v>0</v>
      </c>
      <c r="P227" s="29">
        <v>39850</v>
      </c>
      <c r="Q227" s="29">
        <v>4742</v>
      </c>
      <c r="R227" s="29">
        <v>550688</v>
      </c>
      <c r="S227" s="29">
        <v>46312</v>
      </c>
      <c r="T227" s="29">
        <v>504376</v>
      </c>
      <c r="U227" s="29">
        <v>286045</v>
      </c>
      <c r="V227" s="29">
        <v>218331</v>
      </c>
    </row>
    <row r="228" spans="1:22" x14ac:dyDescent="0.2">
      <c r="A228" s="20" t="s">
        <v>168</v>
      </c>
      <c r="B228" s="20" t="s">
        <v>565</v>
      </c>
      <c r="C228" s="25">
        <v>28.87</v>
      </c>
      <c r="D228" s="27">
        <v>218</v>
      </c>
      <c r="E228" s="25">
        <v>246.87</v>
      </c>
      <c r="F228" s="25">
        <v>0</v>
      </c>
      <c r="G228" s="29">
        <v>6</v>
      </c>
      <c r="H228" s="27">
        <v>0</v>
      </c>
      <c r="I228" s="29">
        <v>224</v>
      </c>
      <c r="J228" s="29">
        <v>77853</v>
      </c>
      <c r="K228" s="29">
        <v>649</v>
      </c>
      <c r="L228" s="29">
        <v>78502</v>
      </c>
      <c r="M228" s="29">
        <v>13189</v>
      </c>
      <c r="N228" s="29">
        <v>14493</v>
      </c>
      <c r="O228" s="29">
        <v>0</v>
      </c>
      <c r="P228" s="29">
        <v>7335</v>
      </c>
      <c r="Q228" s="29">
        <v>854</v>
      </c>
      <c r="R228" s="29">
        <v>114373</v>
      </c>
      <c r="S228" s="29">
        <v>14596</v>
      </c>
      <c r="T228" s="29">
        <v>99777</v>
      </c>
      <c r="U228" s="29">
        <v>55311</v>
      </c>
      <c r="V228" s="29">
        <v>44466</v>
      </c>
    </row>
    <row r="229" spans="1:22" x14ac:dyDescent="0.2">
      <c r="A229" s="20" t="s">
        <v>297</v>
      </c>
      <c r="B229" s="20" t="s">
        <v>688</v>
      </c>
      <c r="C229" s="25">
        <v>32.020000000000003</v>
      </c>
      <c r="D229" s="27">
        <v>170.1</v>
      </c>
      <c r="E229" s="25">
        <v>202.12</v>
      </c>
      <c r="F229" s="25">
        <v>0.45</v>
      </c>
      <c r="G229" s="29">
        <v>3</v>
      </c>
      <c r="H229" s="27">
        <v>0</v>
      </c>
      <c r="I229" s="29">
        <v>173</v>
      </c>
      <c r="J229" s="29">
        <v>63935</v>
      </c>
      <c r="K229" s="29">
        <v>8831</v>
      </c>
      <c r="L229" s="29">
        <v>72766</v>
      </c>
      <c r="M229" s="29">
        <v>10188</v>
      </c>
      <c r="N229" s="29">
        <v>11262</v>
      </c>
      <c r="O229" s="29">
        <v>142</v>
      </c>
      <c r="P229" s="29">
        <v>6565</v>
      </c>
      <c r="Q229" s="29">
        <v>705</v>
      </c>
      <c r="R229" s="29">
        <v>101628</v>
      </c>
      <c r="S229" s="29">
        <v>14187</v>
      </c>
      <c r="T229" s="29">
        <v>87441</v>
      </c>
      <c r="U229" s="29">
        <v>43726</v>
      </c>
      <c r="V229" s="29">
        <v>43715</v>
      </c>
    </row>
    <row r="230" spans="1:22" x14ac:dyDescent="0.2">
      <c r="A230" s="20" t="s">
        <v>107</v>
      </c>
      <c r="B230" s="20" t="s">
        <v>508</v>
      </c>
      <c r="C230" s="25">
        <v>86.82</v>
      </c>
      <c r="D230" s="27">
        <v>887.1</v>
      </c>
      <c r="E230" s="25">
        <v>973.92</v>
      </c>
      <c r="F230" s="25">
        <v>1.3</v>
      </c>
      <c r="G230" s="29">
        <v>3</v>
      </c>
      <c r="H230" s="27">
        <v>0</v>
      </c>
      <c r="I230" s="29">
        <v>890</v>
      </c>
      <c r="J230" s="29">
        <v>311304</v>
      </c>
      <c r="K230" s="29">
        <v>0</v>
      </c>
      <c r="L230" s="29">
        <v>311304</v>
      </c>
      <c r="M230" s="29">
        <v>52679</v>
      </c>
      <c r="N230" s="29">
        <v>58758</v>
      </c>
      <c r="O230" s="29">
        <v>416</v>
      </c>
      <c r="P230" s="29">
        <v>38850</v>
      </c>
      <c r="Q230" s="29">
        <v>4470</v>
      </c>
      <c r="R230" s="29">
        <v>466477</v>
      </c>
      <c r="S230" s="29">
        <v>47573</v>
      </c>
      <c r="T230" s="29">
        <v>418904</v>
      </c>
      <c r="U230" s="29">
        <v>239552</v>
      </c>
      <c r="V230" s="29">
        <v>179352</v>
      </c>
    </row>
    <row r="231" spans="1:22" x14ac:dyDescent="0.2">
      <c r="A231" s="20" t="s">
        <v>331</v>
      </c>
      <c r="B231" s="20" t="s">
        <v>721</v>
      </c>
      <c r="C231" s="25">
        <v>274.58</v>
      </c>
      <c r="D231" s="27">
        <v>2245</v>
      </c>
      <c r="E231" s="25">
        <v>2519.58</v>
      </c>
      <c r="F231" s="25">
        <v>6.25</v>
      </c>
      <c r="G231" s="29">
        <v>178</v>
      </c>
      <c r="H231" s="27">
        <v>0.2</v>
      </c>
      <c r="I231" s="29">
        <v>2423</v>
      </c>
      <c r="J231" s="29">
        <v>790342</v>
      </c>
      <c r="K231" s="29">
        <v>0</v>
      </c>
      <c r="L231" s="29">
        <v>790342</v>
      </c>
      <c r="M231" s="29">
        <v>142618</v>
      </c>
      <c r="N231" s="29">
        <v>156695</v>
      </c>
      <c r="O231" s="29">
        <v>1961</v>
      </c>
      <c r="P231" s="29">
        <v>79342</v>
      </c>
      <c r="Q231" s="29">
        <v>8667</v>
      </c>
      <c r="R231" s="29">
        <v>1179625</v>
      </c>
      <c r="S231" s="29">
        <v>115216</v>
      </c>
      <c r="T231" s="29">
        <v>1064409</v>
      </c>
      <c r="U231" s="29">
        <v>604251</v>
      </c>
      <c r="V231" s="29">
        <v>460158</v>
      </c>
    </row>
    <row r="232" spans="1:22" x14ac:dyDescent="0.2">
      <c r="A232" s="20" t="s">
        <v>332</v>
      </c>
      <c r="B232" s="20" t="s">
        <v>722</v>
      </c>
      <c r="C232" s="25">
        <v>601.04999999999995</v>
      </c>
      <c r="D232" s="27">
        <v>4784</v>
      </c>
      <c r="E232" s="25">
        <v>5385.05</v>
      </c>
      <c r="F232" s="25">
        <v>13.32</v>
      </c>
      <c r="G232" s="29">
        <v>136</v>
      </c>
      <c r="H232" s="27">
        <v>0.8</v>
      </c>
      <c r="I232" s="29">
        <v>4919</v>
      </c>
      <c r="J232" s="29">
        <v>1689182</v>
      </c>
      <c r="K232" s="29">
        <v>0</v>
      </c>
      <c r="L232" s="29">
        <v>1689182</v>
      </c>
      <c r="M232" s="29">
        <v>289532</v>
      </c>
      <c r="N232" s="29">
        <v>318112</v>
      </c>
      <c r="O232" s="29">
        <v>4178</v>
      </c>
      <c r="P232" s="29">
        <v>169575</v>
      </c>
      <c r="Q232" s="29">
        <v>18525</v>
      </c>
      <c r="R232" s="29">
        <v>2489104</v>
      </c>
      <c r="S232" s="29">
        <v>217386</v>
      </c>
      <c r="T232" s="29">
        <v>2271718</v>
      </c>
      <c r="U232" s="29">
        <v>1320307</v>
      </c>
      <c r="V232" s="29">
        <v>951411</v>
      </c>
    </row>
    <row r="233" spans="1:22" x14ac:dyDescent="0.2">
      <c r="A233" s="20" t="s">
        <v>212</v>
      </c>
      <c r="B233" s="20" t="s">
        <v>608</v>
      </c>
      <c r="C233" s="25">
        <v>82.94</v>
      </c>
      <c r="D233" s="27">
        <v>692.3</v>
      </c>
      <c r="E233" s="25">
        <v>775.24</v>
      </c>
      <c r="F233" s="25">
        <v>0</v>
      </c>
      <c r="G233" s="29">
        <v>0</v>
      </c>
      <c r="H233" s="27">
        <v>0</v>
      </c>
      <c r="I233" s="29">
        <v>692</v>
      </c>
      <c r="J233" s="29">
        <v>238975</v>
      </c>
      <c r="K233" s="29">
        <v>0</v>
      </c>
      <c r="L233" s="29">
        <v>238975</v>
      </c>
      <c r="M233" s="29">
        <v>40662</v>
      </c>
      <c r="N233" s="29">
        <v>44648</v>
      </c>
      <c r="O233" s="29">
        <v>0</v>
      </c>
      <c r="P233" s="29">
        <v>20110</v>
      </c>
      <c r="Q233" s="29">
        <v>2535</v>
      </c>
      <c r="R233" s="29">
        <v>346930</v>
      </c>
      <c r="S233" s="29">
        <v>32669</v>
      </c>
      <c r="T233" s="29">
        <v>314261</v>
      </c>
      <c r="U233" s="29">
        <v>183786</v>
      </c>
      <c r="V233" s="29">
        <v>130475</v>
      </c>
    </row>
    <row r="234" spans="1:22" x14ac:dyDescent="0.2">
      <c r="A234" s="20" t="s">
        <v>46</v>
      </c>
      <c r="B234" s="20" t="s">
        <v>456</v>
      </c>
      <c r="C234" s="25">
        <v>17.03</v>
      </c>
      <c r="D234" s="27">
        <v>204</v>
      </c>
      <c r="E234" s="25">
        <v>221.03</v>
      </c>
      <c r="F234" s="25">
        <v>0</v>
      </c>
      <c r="G234" s="29">
        <v>0</v>
      </c>
      <c r="H234" s="27">
        <v>0</v>
      </c>
      <c r="I234" s="29">
        <v>204</v>
      </c>
      <c r="J234" s="29">
        <v>72115</v>
      </c>
      <c r="K234" s="29">
        <v>0</v>
      </c>
      <c r="L234" s="29">
        <v>72115</v>
      </c>
      <c r="M234" s="29">
        <v>12085</v>
      </c>
      <c r="N234" s="29">
        <v>13546</v>
      </c>
      <c r="O234" s="29">
        <v>0</v>
      </c>
      <c r="P234" s="29">
        <v>7652</v>
      </c>
      <c r="Q234" s="29">
        <v>911</v>
      </c>
      <c r="R234" s="29">
        <v>106309</v>
      </c>
      <c r="S234" s="29">
        <v>10377</v>
      </c>
      <c r="T234" s="29">
        <v>95932</v>
      </c>
      <c r="U234" s="29">
        <v>53444</v>
      </c>
      <c r="V234" s="29">
        <v>42488</v>
      </c>
    </row>
    <row r="235" spans="1:22" x14ac:dyDescent="0.2">
      <c r="A235" s="20" t="s">
        <v>258</v>
      </c>
      <c r="B235" s="20" t="s">
        <v>652</v>
      </c>
      <c r="C235" s="25">
        <v>109.8</v>
      </c>
      <c r="D235" s="27">
        <v>584.1</v>
      </c>
      <c r="E235" s="25">
        <v>693.9</v>
      </c>
      <c r="F235" s="25">
        <v>1.42</v>
      </c>
      <c r="G235" s="29">
        <v>49</v>
      </c>
      <c r="H235" s="27">
        <v>1.6</v>
      </c>
      <c r="I235" s="29">
        <v>632</v>
      </c>
      <c r="J235" s="29">
        <v>224060</v>
      </c>
      <c r="K235" s="29">
        <v>0</v>
      </c>
      <c r="L235" s="29">
        <v>224060</v>
      </c>
      <c r="M235" s="29">
        <v>37395</v>
      </c>
      <c r="N235" s="29">
        <v>41902</v>
      </c>
      <c r="O235" s="29">
        <v>459</v>
      </c>
      <c r="P235" s="29">
        <v>22552</v>
      </c>
      <c r="Q235" s="29">
        <v>2692</v>
      </c>
      <c r="R235" s="29">
        <v>329060</v>
      </c>
      <c r="S235" s="29">
        <v>39658</v>
      </c>
      <c r="T235" s="29">
        <v>289402</v>
      </c>
      <c r="U235" s="29">
        <v>159416</v>
      </c>
      <c r="V235" s="29">
        <v>129986</v>
      </c>
    </row>
    <row r="236" spans="1:22" x14ac:dyDescent="0.2">
      <c r="A236" s="20" t="s">
        <v>333</v>
      </c>
      <c r="B236" s="20" t="s">
        <v>723</v>
      </c>
      <c r="C236" s="25">
        <v>78.31</v>
      </c>
      <c r="D236" s="27">
        <v>590.29999999999995</v>
      </c>
      <c r="E236" s="25">
        <v>668.61</v>
      </c>
      <c r="F236" s="25">
        <v>1.66</v>
      </c>
      <c r="G236" s="29">
        <v>1</v>
      </c>
      <c r="H236" s="27">
        <v>0</v>
      </c>
      <c r="I236" s="29">
        <v>591</v>
      </c>
      <c r="J236" s="29">
        <v>209730</v>
      </c>
      <c r="K236" s="29">
        <v>0</v>
      </c>
      <c r="L236" s="29">
        <v>209730</v>
      </c>
      <c r="M236" s="29">
        <v>34786</v>
      </c>
      <c r="N236" s="29">
        <v>38220</v>
      </c>
      <c r="O236" s="29">
        <v>521</v>
      </c>
      <c r="P236" s="29">
        <v>21055</v>
      </c>
      <c r="Q236" s="29">
        <v>2300</v>
      </c>
      <c r="R236" s="29">
        <v>306612</v>
      </c>
      <c r="S236" s="29">
        <v>33180</v>
      </c>
      <c r="T236" s="29">
        <v>273432</v>
      </c>
      <c r="U236" s="29">
        <v>157743</v>
      </c>
      <c r="V236" s="29">
        <v>115689</v>
      </c>
    </row>
    <row r="237" spans="1:22" x14ac:dyDescent="0.2">
      <c r="A237" s="20" t="s">
        <v>215</v>
      </c>
      <c r="B237" s="20" t="s">
        <v>609</v>
      </c>
      <c r="C237" s="25">
        <v>230.29</v>
      </c>
      <c r="D237" s="27">
        <v>2139.1999999999998</v>
      </c>
      <c r="E237" s="25">
        <v>2369.4899999999998</v>
      </c>
      <c r="F237" s="25">
        <v>0</v>
      </c>
      <c r="G237" s="29">
        <v>569</v>
      </c>
      <c r="H237" s="27">
        <v>3.9</v>
      </c>
      <c r="I237" s="29">
        <v>2704</v>
      </c>
      <c r="J237" s="29">
        <v>730419</v>
      </c>
      <c r="K237" s="29">
        <v>0</v>
      </c>
      <c r="L237" s="29">
        <v>730419</v>
      </c>
      <c r="M237" s="29">
        <v>158887</v>
      </c>
      <c r="N237" s="29">
        <v>174462</v>
      </c>
      <c r="O237" s="29">
        <v>0</v>
      </c>
      <c r="P237" s="29">
        <v>61465</v>
      </c>
      <c r="Q237" s="29">
        <v>7748</v>
      </c>
      <c r="R237" s="29">
        <v>1132981</v>
      </c>
      <c r="S237" s="29">
        <v>94924</v>
      </c>
      <c r="T237" s="29">
        <v>1038057</v>
      </c>
      <c r="U237" s="29">
        <v>566662</v>
      </c>
      <c r="V237" s="29">
        <v>471395</v>
      </c>
    </row>
    <row r="238" spans="1:22" x14ac:dyDescent="0.2">
      <c r="A238" s="20" t="s">
        <v>216</v>
      </c>
      <c r="B238" s="20" t="s">
        <v>610</v>
      </c>
      <c r="C238" s="25">
        <v>231.72</v>
      </c>
      <c r="D238" s="27">
        <v>1818.4</v>
      </c>
      <c r="E238" s="25">
        <v>2050.12</v>
      </c>
      <c r="F238" s="25">
        <v>0</v>
      </c>
      <c r="G238" s="29">
        <v>90</v>
      </c>
      <c r="H238" s="27">
        <v>6.2</v>
      </c>
      <c r="I238" s="29">
        <v>1902</v>
      </c>
      <c r="J238" s="29">
        <v>631970</v>
      </c>
      <c r="K238" s="29">
        <v>0</v>
      </c>
      <c r="L238" s="29">
        <v>631970</v>
      </c>
      <c r="M238" s="29">
        <v>111762</v>
      </c>
      <c r="N238" s="29">
        <v>122717</v>
      </c>
      <c r="O238" s="29">
        <v>0</v>
      </c>
      <c r="P238" s="29">
        <v>53180</v>
      </c>
      <c r="Q238" s="29">
        <v>6704</v>
      </c>
      <c r="R238" s="29">
        <v>926333</v>
      </c>
      <c r="S238" s="29">
        <v>80425</v>
      </c>
      <c r="T238" s="29">
        <v>845908</v>
      </c>
      <c r="U238" s="29">
        <v>491989</v>
      </c>
      <c r="V238" s="29">
        <v>353919</v>
      </c>
    </row>
    <row r="239" spans="1:22" x14ac:dyDescent="0.2">
      <c r="A239" s="20" t="s">
        <v>139</v>
      </c>
      <c r="B239" s="20" t="s">
        <v>539</v>
      </c>
      <c r="C239" s="25">
        <v>371.03</v>
      </c>
      <c r="D239" s="27">
        <v>5244.2</v>
      </c>
      <c r="E239" s="25">
        <v>5615.23</v>
      </c>
      <c r="F239" s="25">
        <v>10.16</v>
      </c>
      <c r="G239" s="29">
        <v>95</v>
      </c>
      <c r="H239" s="27">
        <v>0</v>
      </c>
      <c r="I239" s="29">
        <v>5339</v>
      </c>
      <c r="J239" s="29">
        <v>1781600</v>
      </c>
      <c r="K239" s="29">
        <v>0</v>
      </c>
      <c r="L239" s="29">
        <v>1781600</v>
      </c>
      <c r="M239" s="29">
        <v>313399</v>
      </c>
      <c r="N239" s="29">
        <v>342230</v>
      </c>
      <c r="O239" s="29">
        <v>3224</v>
      </c>
      <c r="P239" s="29">
        <v>162617</v>
      </c>
      <c r="Q239" s="29">
        <v>19092</v>
      </c>
      <c r="R239" s="29">
        <v>2622162</v>
      </c>
      <c r="S239" s="29">
        <v>135851</v>
      </c>
      <c r="T239" s="29">
        <v>2486311</v>
      </c>
      <c r="U239" s="29">
        <v>1452206</v>
      </c>
      <c r="V239" s="29">
        <v>1034105</v>
      </c>
    </row>
    <row r="240" spans="1:22" x14ac:dyDescent="0.2">
      <c r="A240" s="20" t="s">
        <v>217</v>
      </c>
      <c r="B240" s="20" t="s">
        <v>611</v>
      </c>
      <c r="C240" s="25">
        <v>77.05</v>
      </c>
      <c r="D240" s="27">
        <v>650</v>
      </c>
      <c r="E240" s="25">
        <v>727.05</v>
      </c>
      <c r="F240" s="25">
        <v>0</v>
      </c>
      <c r="G240" s="29">
        <v>1</v>
      </c>
      <c r="H240" s="27">
        <v>0</v>
      </c>
      <c r="I240" s="29">
        <v>651</v>
      </c>
      <c r="J240" s="29">
        <v>224120</v>
      </c>
      <c r="K240" s="29">
        <v>5534</v>
      </c>
      <c r="L240" s="29">
        <v>229654</v>
      </c>
      <c r="M240" s="29">
        <v>38253</v>
      </c>
      <c r="N240" s="29">
        <v>42003</v>
      </c>
      <c r="O240" s="29">
        <v>0</v>
      </c>
      <c r="P240" s="29">
        <v>19221</v>
      </c>
      <c r="Q240" s="29">
        <v>2427</v>
      </c>
      <c r="R240" s="29">
        <v>331558</v>
      </c>
      <c r="S240" s="29">
        <v>30464</v>
      </c>
      <c r="T240" s="29">
        <v>301094</v>
      </c>
      <c r="U240" s="29">
        <v>172947</v>
      </c>
      <c r="V240" s="29">
        <v>128147</v>
      </c>
    </row>
    <row r="241" spans="1:22" x14ac:dyDescent="0.2">
      <c r="A241" s="20" t="s">
        <v>47</v>
      </c>
      <c r="B241" s="20" t="s">
        <v>457</v>
      </c>
      <c r="C241" s="25">
        <v>86.93</v>
      </c>
      <c r="D241" s="27">
        <v>660.1</v>
      </c>
      <c r="E241" s="25">
        <v>747.03</v>
      </c>
      <c r="F241" s="25">
        <v>0</v>
      </c>
      <c r="G241" s="29">
        <v>72</v>
      </c>
      <c r="H241" s="27">
        <v>6.1</v>
      </c>
      <c r="I241" s="29">
        <v>726</v>
      </c>
      <c r="J241" s="29">
        <v>243733</v>
      </c>
      <c r="K241" s="29">
        <v>22314</v>
      </c>
      <c r="L241" s="29">
        <v>266047</v>
      </c>
      <c r="M241" s="29">
        <v>43008</v>
      </c>
      <c r="N241" s="29">
        <v>48206</v>
      </c>
      <c r="O241" s="29">
        <v>0</v>
      </c>
      <c r="P241" s="29">
        <v>25862</v>
      </c>
      <c r="Q241" s="29">
        <v>3078</v>
      </c>
      <c r="R241" s="29">
        <v>386201</v>
      </c>
      <c r="S241" s="29">
        <v>52222</v>
      </c>
      <c r="T241" s="29">
        <v>333979</v>
      </c>
      <c r="U241" s="29">
        <v>163476</v>
      </c>
      <c r="V241" s="29">
        <v>170503</v>
      </c>
    </row>
    <row r="242" spans="1:22" x14ac:dyDescent="0.2">
      <c r="A242" s="20" t="s">
        <v>14</v>
      </c>
      <c r="B242" s="20" t="s">
        <v>426</v>
      </c>
      <c r="C242" s="25">
        <v>83.41</v>
      </c>
      <c r="D242" s="27">
        <v>727.8</v>
      </c>
      <c r="E242" s="25">
        <v>811.21</v>
      </c>
      <c r="F242" s="25">
        <v>2.27</v>
      </c>
      <c r="G242" s="29">
        <v>2</v>
      </c>
      <c r="H242" s="27">
        <v>0</v>
      </c>
      <c r="I242" s="29">
        <v>730</v>
      </c>
      <c r="J242" s="29">
        <v>268121</v>
      </c>
      <c r="K242" s="29">
        <v>7301</v>
      </c>
      <c r="L242" s="29">
        <v>275422</v>
      </c>
      <c r="M242" s="29">
        <v>43187</v>
      </c>
      <c r="N242" s="29">
        <v>48129</v>
      </c>
      <c r="O242" s="29">
        <v>750</v>
      </c>
      <c r="P242" s="29">
        <v>27192</v>
      </c>
      <c r="Q242" s="29">
        <v>2932</v>
      </c>
      <c r="R242" s="29">
        <v>397612</v>
      </c>
      <c r="S242" s="29">
        <v>30686</v>
      </c>
      <c r="T242" s="29">
        <v>366926</v>
      </c>
      <c r="U242" s="29">
        <v>202808</v>
      </c>
      <c r="V242" s="29">
        <v>164118</v>
      </c>
    </row>
    <row r="243" spans="1:22" x14ac:dyDescent="0.2">
      <c r="A243" s="20" t="s">
        <v>213</v>
      </c>
      <c r="B243" s="20" t="s">
        <v>214</v>
      </c>
      <c r="C243" s="25">
        <v>109.51</v>
      </c>
      <c r="D243" s="27">
        <v>1023.6</v>
      </c>
      <c r="E243" s="25">
        <v>1133.1099999999999</v>
      </c>
      <c r="F243" s="25">
        <v>0</v>
      </c>
      <c r="G243" s="29">
        <v>17</v>
      </c>
      <c r="H243" s="27">
        <v>0</v>
      </c>
      <c r="I243" s="29">
        <v>1041</v>
      </c>
      <c r="J243" s="29">
        <v>349292</v>
      </c>
      <c r="K243" s="29">
        <v>4887</v>
      </c>
      <c r="L243" s="29">
        <v>354179</v>
      </c>
      <c r="M243" s="29">
        <v>61169</v>
      </c>
      <c r="N243" s="29">
        <v>67165</v>
      </c>
      <c r="O243" s="29">
        <v>0</v>
      </c>
      <c r="P243" s="29">
        <v>29643</v>
      </c>
      <c r="Q243" s="29">
        <v>3744</v>
      </c>
      <c r="R243" s="29">
        <v>515900</v>
      </c>
      <c r="S243" s="29">
        <v>44572</v>
      </c>
      <c r="T243" s="29">
        <v>471328</v>
      </c>
      <c r="U243" s="29">
        <v>272093</v>
      </c>
      <c r="V243" s="29">
        <v>199235</v>
      </c>
    </row>
    <row r="244" spans="1:22" x14ac:dyDescent="0.2">
      <c r="A244" s="20" t="s">
        <v>48</v>
      </c>
      <c r="B244" s="20" t="s">
        <v>458</v>
      </c>
      <c r="C244" s="25">
        <v>66.78</v>
      </c>
      <c r="D244" s="27">
        <v>575.70000000000005</v>
      </c>
      <c r="E244" s="25">
        <v>642.48</v>
      </c>
      <c r="F244" s="25">
        <v>0</v>
      </c>
      <c r="G244" s="29">
        <v>23</v>
      </c>
      <c r="H244" s="27">
        <v>0</v>
      </c>
      <c r="I244" s="29">
        <v>599</v>
      </c>
      <c r="J244" s="29">
        <v>209622</v>
      </c>
      <c r="K244" s="29">
        <v>0</v>
      </c>
      <c r="L244" s="29">
        <v>209622</v>
      </c>
      <c r="M244" s="29">
        <v>35485</v>
      </c>
      <c r="N244" s="29">
        <v>39774</v>
      </c>
      <c r="O244" s="29">
        <v>0</v>
      </c>
      <c r="P244" s="29">
        <v>22243</v>
      </c>
      <c r="Q244" s="29">
        <v>2647</v>
      </c>
      <c r="R244" s="29">
        <v>309771</v>
      </c>
      <c r="S244" s="29">
        <v>38887</v>
      </c>
      <c r="T244" s="29">
        <v>270884</v>
      </c>
      <c r="U244" s="29">
        <v>146623</v>
      </c>
      <c r="V244" s="29">
        <v>124261</v>
      </c>
    </row>
    <row r="245" spans="1:22" x14ac:dyDescent="0.2">
      <c r="A245" s="20" t="s">
        <v>298</v>
      </c>
      <c r="B245" s="20" t="s">
        <v>689</v>
      </c>
      <c r="C245" s="25">
        <v>130.62</v>
      </c>
      <c r="D245" s="27">
        <v>1036.5999999999999</v>
      </c>
      <c r="E245" s="25">
        <v>1167.22</v>
      </c>
      <c r="F245" s="25">
        <v>2.61</v>
      </c>
      <c r="G245" s="29">
        <v>0</v>
      </c>
      <c r="H245" s="27">
        <v>0</v>
      </c>
      <c r="I245" s="29">
        <v>1037</v>
      </c>
      <c r="J245" s="29">
        <v>369215</v>
      </c>
      <c r="K245" s="29">
        <v>10662</v>
      </c>
      <c r="L245" s="29">
        <v>379877</v>
      </c>
      <c r="M245" s="29">
        <v>61069</v>
      </c>
      <c r="N245" s="29">
        <v>67509</v>
      </c>
      <c r="O245" s="29">
        <v>826</v>
      </c>
      <c r="P245" s="29">
        <v>37911</v>
      </c>
      <c r="Q245" s="29">
        <v>4074</v>
      </c>
      <c r="R245" s="29">
        <v>551266</v>
      </c>
      <c r="S245" s="29">
        <v>62151</v>
      </c>
      <c r="T245" s="29">
        <v>489115</v>
      </c>
      <c r="U245" s="29">
        <v>272292</v>
      </c>
      <c r="V245" s="29">
        <v>216823</v>
      </c>
    </row>
    <row r="246" spans="1:22" x14ac:dyDescent="0.2">
      <c r="A246" s="20" t="s">
        <v>249</v>
      </c>
      <c r="B246" s="20" t="s">
        <v>643</v>
      </c>
      <c r="C246" s="25">
        <v>55.16</v>
      </c>
      <c r="D246" s="27">
        <v>307.5</v>
      </c>
      <c r="E246" s="25">
        <v>362.66</v>
      </c>
      <c r="F246" s="25">
        <v>0.74</v>
      </c>
      <c r="G246" s="29">
        <v>185</v>
      </c>
      <c r="H246" s="27">
        <v>2.5</v>
      </c>
      <c r="I246" s="29">
        <v>490</v>
      </c>
      <c r="J246" s="29">
        <v>117103</v>
      </c>
      <c r="K246" s="29">
        <v>14895</v>
      </c>
      <c r="L246" s="29">
        <v>131998</v>
      </c>
      <c r="M246" s="29">
        <v>28993</v>
      </c>
      <c r="N246" s="29">
        <v>32487</v>
      </c>
      <c r="O246" s="29">
        <v>239</v>
      </c>
      <c r="P246" s="29">
        <v>11819</v>
      </c>
      <c r="Q246" s="29">
        <v>1411</v>
      </c>
      <c r="R246" s="29">
        <v>206947</v>
      </c>
      <c r="S246" s="29">
        <v>24390</v>
      </c>
      <c r="T246" s="29">
        <v>182557</v>
      </c>
      <c r="U246" s="29">
        <v>79690</v>
      </c>
      <c r="V246" s="29">
        <v>102867</v>
      </c>
    </row>
    <row r="247" spans="1:22" x14ac:dyDescent="0.2">
      <c r="A247" s="20" t="s">
        <v>15</v>
      </c>
      <c r="B247" s="20" t="s">
        <v>427</v>
      </c>
      <c r="C247" s="25">
        <v>32.44</v>
      </c>
      <c r="D247" s="27">
        <v>333.6</v>
      </c>
      <c r="E247" s="25">
        <v>366.04</v>
      </c>
      <c r="F247" s="25">
        <v>1.03</v>
      </c>
      <c r="G247" s="29">
        <v>0</v>
      </c>
      <c r="H247" s="27">
        <v>0</v>
      </c>
      <c r="I247" s="29">
        <v>334</v>
      </c>
      <c r="J247" s="29">
        <v>120984</v>
      </c>
      <c r="K247" s="29">
        <v>0</v>
      </c>
      <c r="L247" s="29">
        <v>120984</v>
      </c>
      <c r="M247" s="29">
        <v>19759</v>
      </c>
      <c r="N247" s="29">
        <v>22021</v>
      </c>
      <c r="O247" s="29">
        <v>340</v>
      </c>
      <c r="P247" s="29">
        <v>11955</v>
      </c>
      <c r="Q247" s="29">
        <v>1292</v>
      </c>
      <c r="R247" s="29">
        <v>176351</v>
      </c>
      <c r="S247" s="29">
        <v>21332</v>
      </c>
      <c r="T247" s="29">
        <v>155019</v>
      </c>
      <c r="U247" s="29">
        <v>83683</v>
      </c>
      <c r="V247" s="29">
        <v>71336</v>
      </c>
    </row>
    <row r="248" spans="1:22" x14ac:dyDescent="0.2">
      <c r="A248" s="20" t="s">
        <v>251</v>
      </c>
      <c r="B248" s="20" t="s">
        <v>645</v>
      </c>
      <c r="C248" s="25">
        <v>98.06</v>
      </c>
      <c r="D248" s="27">
        <v>823.8</v>
      </c>
      <c r="E248" s="25">
        <v>921.86</v>
      </c>
      <c r="F248" s="25">
        <v>1.88</v>
      </c>
      <c r="G248" s="29">
        <v>445</v>
      </c>
      <c r="H248" s="27">
        <v>0.8</v>
      </c>
      <c r="I248" s="29">
        <v>1268</v>
      </c>
      <c r="J248" s="29">
        <v>297669</v>
      </c>
      <c r="K248" s="29">
        <v>3277</v>
      </c>
      <c r="L248" s="29">
        <v>300946</v>
      </c>
      <c r="M248" s="29">
        <v>75028</v>
      </c>
      <c r="N248" s="29">
        <v>84068</v>
      </c>
      <c r="O248" s="29">
        <v>607</v>
      </c>
      <c r="P248" s="29">
        <v>30277</v>
      </c>
      <c r="Q248" s="29">
        <v>3615</v>
      </c>
      <c r="R248" s="29">
        <v>494541</v>
      </c>
      <c r="S248" s="29">
        <v>28717</v>
      </c>
      <c r="T248" s="29">
        <v>465824</v>
      </c>
      <c r="U248" s="29">
        <v>236110</v>
      </c>
      <c r="V248" s="29">
        <v>229714</v>
      </c>
    </row>
    <row r="249" spans="1:22" x14ac:dyDescent="0.2">
      <c r="A249" s="20" t="s">
        <v>218</v>
      </c>
      <c r="B249" s="20" t="s">
        <v>612</v>
      </c>
      <c r="C249" s="25">
        <v>73.569999999999993</v>
      </c>
      <c r="D249" s="27">
        <v>969</v>
      </c>
      <c r="E249" s="25">
        <v>1042.57</v>
      </c>
      <c r="F249" s="25">
        <v>0</v>
      </c>
      <c r="G249" s="29">
        <v>12</v>
      </c>
      <c r="H249" s="27">
        <v>0</v>
      </c>
      <c r="I249" s="29">
        <v>981</v>
      </c>
      <c r="J249" s="29">
        <v>321383</v>
      </c>
      <c r="K249" s="29">
        <v>8646</v>
      </c>
      <c r="L249" s="29">
        <v>330029</v>
      </c>
      <c r="M249" s="29">
        <v>57644</v>
      </c>
      <c r="N249" s="29">
        <v>63294</v>
      </c>
      <c r="O249" s="29">
        <v>0</v>
      </c>
      <c r="P249" s="29">
        <v>27294</v>
      </c>
      <c r="Q249" s="29">
        <v>3447</v>
      </c>
      <c r="R249" s="29">
        <v>481708</v>
      </c>
      <c r="S249" s="29">
        <v>47283</v>
      </c>
      <c r="T249" s="29">
        <v>434425</v>
      </c>
      <c r="U249" s="29">
        <v>244101</v>
      </c>
      <c r="V249" s="29">
        <v>190324</v>
      </c>
    </row>
    <row r="250" spans="1:22" x14ac:dyDescent="0.2">
      <c r="A250" s="20" t="s">
        <v>108</v>
      </c>
      <c r="B250" s="20" t="s">
        <v>509</v>
      </c>
      <c r="C250" s="25">
        <v>61.96</v>
      </c>
      <c r="D250" s="27">
        <v>402</v>
      </c>
      <c r="E250" s="25">
        <v>463.96</v>
      </c>
      <c r="F250" s="25">
        <v>0.62</v>
      </c>
      <c r="G250" s="29">
        <v>4</v>
      </c>
      <c r="H250" s="27">
        <v>0</v>
      </c>
      <c r="I250" s="29">
        <v>406</v>
      </c>
      <c r="J250" s="29">
        <v>148300</v>
      </c>
      <c r="K250" s="29">
        <v>9723</v>
      </c>
      <c r="L250" s="29">
        <v>158023</v>
      </c>
      <c r="M250" s="29">
        <v>24031</v>
      </c>
      <c r="N250" s="29">
        <v>26804</v>
      </c>
      <c r="O250" s="29">
        <v>198</v>
      </c>
      <c r="P250" s="29">
        <v>18507</v>
      </c>
      <c r="Q250" s="29">
        <v>2130</v>
      </c>
      <c r="R250" s="29">
        <v>229693</v>
      </c>
      <c r="S250" s="29">
        <v>29454</v>
      </c>
      <c r="T250" s="29">
        <v>200239</v>
      </c>
      <c r="U250" s="29">
        <v>107328</v>
      </c>
      <c r="V250" s="29">
        <v>92911</v>
      </c>
    </row>
    <row r="251" spans="1:22" x14ac:dyDescent="0.2">
      <c r="A251" s="20" t="s">
        <v>49</v>
      </c>
      <c r="B251" s="20" t="s">
        <v>459</v>
      </c>
      <c r="C251" s="25">
        <v>41.04</v>
      </c>
      <c r="D251" s="27">
        <v>224</v>
      </c>
      <c r="E251" s="25">
        <v>265.04000000000002</v>
      </c>
      <c r="F251" s="25">
        <v>0</v>
      </c>
      <c r="G251" s="29">
        <v>13</v>
      </c>
      <c r="H251" s="27">
        <v>0</v>
      </c>
      <c r="I251" s="29">
        <v>237</v>
      </c>
      <c r="J251" s="29">
        <v>86475</v>
      </c>
      <c r="K251" s="29">
        <v>0</v>
      </c>
      <c r="L251" s="29">
        <v>86475</v>
      </c>
      <c r="M251" s="29">
        <v>14040</v>
      </c>
      <c r="N251" s="29">
        <v>15737</v>
      </c>
      <c r="O251" s="29">
        <v>0</v>
      </c>
      <c r="P251" s="29">
        <v>9176</v>
      </c>
      <c r="Q251" s="29">
        <v>1092</v>
      </c>
      <c r="R251" s="29">
        <v>126520</v>
      </c>
      <c r="S251" s="29">
        <v>13144</v>
      </c>
      <c r="T251" s="29">
        <v>113376</v>
      </c>
      <c r="U251" s="29">
        <v>63384</v>
      </c>
      <c r="V251" s="29">
        <v>49992</v>
      </c>
    </row>
    <row r="252" spans="1:22" x14ac:dyDescent="0.2">
      <c r="A252" s="20" t="s">
        <v>110</v>
      </c>
      <c r="B252" s="20" t="s">
        <v>511</v>
      </c>
      <c r="C252" s="25">
        <v>55.2</v>
      </c>
      <c r="D252" s="27">
        <v>585.6</v>
      </c>
      <c r="E252" s="25">
        <v>640.79999999999995</v>
      </c>
      <c r="F252" s="25">
        <v>0.85</v>
      </c>
      <c r="G252" s="29">
        <v>0</v>
      </c>
      <c r="H252" s="27">
        <v>0</v>
      </c>
      <c r="I252" s="29">
        <v>586</v>
      </c>
      <c r="J252" s="29">
        <v>204825</v>
      </c>
      <c r="K252" s="29">
        <v>0</v>
      </c>
      <c r="L252" s="29">
        <v>204825</v>
      </c>
      <c r="M252" s="29">
        <v>34685</v>
      </c>
      <c r="N252" s="29">
        <v>38688</v>
      </c>
      <c r="O252" s="29">
        <v>272</v>
      </c>
      <c r="P252" s="29">
        <v>25562</v>
      </c>
      <c r="Q252" s="29">
        <v>2941</v>
      </c>
      <c r="R252" s="29">
        <v>306973</v>
      </c>
      <c r="S252" s="29">
        <v>34964</v>
      </c>
      <c r="T252" s="29">
        <v>272009</v>
      </c>
      <c r="U252" s="29">
        <v>153952</v>
      </c>
      <c r="V252" s="29">
        <v>118057</v>
      </c>
    </row>
    <row r="253" spans="1:22" x14ac:dyDescent="0.2">
      <c r="A253" s="20" t="s">
        <v>219</v>
      </c>
      <c r="B253" s="20" t="s">
        <v>613</v>
      </c>
      <c r="C253" s="25">
        <v>137.43</v>
      </c>
      <c r="D253" s="27">
        <v>1075.4000000000001</v>
      </c>
      <c r="E253" s="25">
        <v>1212.83</v>
      </c>
      <c r="F253" s="25">
        <v>0</v>
      </c>
      <c r="G253" s="29">
        <v>48</v>
      </c>
      <c r="H253" s="27">
        <v>0</v>
      </c>
      <c r="I253" s="29">
        <v>1123</v>
      </c>
      <c r="J253" s="29">
        <v>373867</v>
      </c>
      <c r="K253" s="29">
        <v>12012</v>
      </c>
      <c r="L253" s="29">
        <v>385879</v>
      </c>
      <c r="M253" s="29">
        <v>65987</v>
      </c>
      <c r="N253" s="29">
        <v>72456</v>
      </c>
      <c r="O253" s="29">
        <v>0</v>
      </c>
      <c r="P253" s="29">
        <v>32297</v>
      </c>
      <c r="Q253" s="29">
        <v>4079</v>
      </c>
      <c r="R253" s="29">
        <v>560698</v>
      </c>
      <c r="S253" s="29">
        <v>66136</v>
      </c>
      <c r="T253" s="29">
        <v>494562</v>
      </c>
      <c r="U253" s="29">
        <v>273448</v>
      </c>
      <c r="V253" s="29">
        <v>221114</v>
      </c>
    </row>
    <row r="254" spans="1:22" x14ac:dyDescent="0.2">
      <c r="A254" s="20" t="s">
        <v>50</v>
      </c>
      <c r="B254" s="20" t="s">
        <v>460</v>
      </c>
      <c r="C254" s="25">
        <v>53.07</v>
      </c>
      <c r="D254" s="27">
        <v>370</v>
      </c>
      <c r="E254" s="25">
        <v>423.07</v>
      </c>
      <c r="F254" s="25">
        <v>0</v>
      </c>
      <c r="G254" s="29">
        <v>14</v>
      </c>
      <c r="H254" s="27">
        <v>0</v>
      </c>
      <c r="I254" s="29">
        <v>384</v>
      </c>
      <c r="J254" s="29">
        <v>138035</v>
      </c>
      <c r="K254" s="29">
        <v>0</v>
      </c>
      <c r="L254" s="29">
        <v>138035</v>
      </c>
      <c r="M254" s="29">
        <v>22748</v>
      </c>
      <c r="N254" s="29">
        <v>25498</v>
      </c>
      <c r="O254" s="29">
        <v>0</v>
      </c>
      <c r="P254" s="29">
        <v>14647</v>
      </c>
      <c r="Q254" s="29">
        <v>1743</v>
      </c>
      <c r="R254" s="29">
        <v>202671</v>
      </c>
      <c r="S254" s="29">
        <v>23788</v>
      </c>
      <c r="T254" s="29">
        <v>178883</v>
      </c>
      <c r="U254" s="29">
        <v>98370</v>
      </c>
      <c r="V254" s="29">
        <v>80513</v>
      </c>
    </row>
    <row r="255" spans="1:22" x14ac:dyDescent="0.2">
      <c r="A255" s="20" t="s">
        <v>252</v>
      </c>
      <c r="B255" s="20" t="s">
        <v>646</v>
      </c>
      <c r="C255" s="25">
        <v>41.66</v>
      </c>
      <c r="D255" s="27">
        <v>249</v>
      </c>
      <c r="E255" s="25">
        <v>290.66000000000003</v>
      </c>
      <c r="F255" s="25">
        <v>0.59</v>
      </c>
      <c r="G255" s="29">
        <v>4</v>
      </c>
      <c r="H255" s="27">
        <v>0</v>
      </c>
      <c r="I255" s="29">
        <v>253</v>
      </c>
      <c r="J255" s="29">
        <v>93854</v>
      </c>
      <c r="K255" s="29">
        <v>11105</v>
      </c>
      <c r="L255" s="29">
        <v>104959</v>
      </c>
      <c r="M255" s="29">
        <v>14970</v>
      </c>
      <c r="N255" s="29">
        <v>16774</v>
      </c>
      <c r="O255" s="29">
        <v>191</v>
      </c>
      <c r="P255" s="29">
        <v>9446</v>
      </c>
      <c r="Q255" s="29">
        <v>1128</v>
      </c>
      <c r="R255" s="29">
        <v>147468</v>
      </c>
      <c r="S255" s="29">
        <v>13977</v>
      </c>
      <c r="T255" s="29">
        <v>133491</v>
      </c>
      <c r="U255" s="29">
        <v>69410</v>
      </c>
      <c r="V255" s="29">
        <v>64081</v>
      </c>
    </row>
    <row r="256" spans="1:22" x14ac:dyDescent="0.2">
      <c r="A256" s="20" t="s">
        <v>253</v>
      </c>
      <c r="B256" s="20" t="s">
        <v>647</v>
      </c>
      <c r="C256" s="25">
        <v>212.86</v>
      </c>
      <c r="D256" s="27">
        <v>1385.4</v>
      </c>
      <c r="E256" s="25">
        <v>1598.26</v>
      </c>
      <c r="F256" s="25">
        <v>3.26</v>
      </c>
      <c r="G256" s="29">
        <v>23</v>
      </c>
      <c r="H256" s="27">
        <v>0</v>
      </c>
      <c r="I256" s="29">
        <v>1408</v>
      </c>
      <c r="J256" s="29">
        <v>516078</v>
      </c>
      <c r="K256" s="29">
        <v>0</v>
      </c>
      <c r="L256" s="29">
        <v>516078</v>
      </c>
      <c r="M256" s="29">
        <v>83311</v>
      </c>
      <c r="N256" s="29">
        <v>93350</v>
      </c>
      <c r="O256" s="29">
        <v>1053</v>
      </c>
      <c r="P256" s="29">
        <v>51943</v>
      </c>
      <c r="Q256" s="29">
        <v>6201</v>
      </c>
      <c r="R256" s="29">
        <v>751936</v>
      </c>
      <c r="S256" s="29">
        <v>56471</v>
      </c>
      <c r="T256" s="29">
        <v>695465</v>
      </c>
      <c r="U256" s="29">
        <v>402053</v>
      </c>
      <c r="V256" s="29">
        <v>293412</v>
      </c>
    </row>
    <row r="257" spans="1:22" x14ac:dyDescent="0.2">
      <c r="A257" s="20" t="s">
        <v>334</v>
      </c>
      <c r="B257" s="20" t="s">
        <v>724</v>
      </c>
      <c r="C257" s="25">
        <v>26.31</v>
      </c>
      <c r="D257" s="27">
        <v>255.6</v>
      </c>
      <c r="E257" s="25">
        <v>281.91000000000003</v>
      </c>
      <c r="F257" s="25">
        <v>0.7</v>
      </c>
      <c r="G257" s="29">
        <v>0</v>
      </c>
      <c r="H257" s="27">
        <v>0</v>
      </c>
      <c r="I257" s="29">
        <v>256</v>
      </c>
      <c r="J257" s="29">
        <v>88430</v>
      </c>
      <c r="K257" s="29">
        <v>4469</v>
      </c>
      <c r="L257" s="29">
        <v>92899</v>
      </c>
      <c r="M257" s="29">
        <v>15068</v>
      </c>
      <c r="N257" s="29">
        <v>16556</v>
      </c>
      <c r="O257" s="29">
        <v>220</v>
      </c>
      <c r="P257" s="29">
        <v>9163</v>
      </c>
      <c r="Q257" s="29">
        <v>999</v>
      </c>
      <c r="R257" s="29">
        <v>134905</v>
      </c>
      <c r="S257" s="29">
        <v>16442</v>
      </c>
      <c r="T257" s="29">
        <v>118463</v>
      </c>
      <c r="U257" s="29">
        <v>64373</v>
      </c>
      <c r="V257" s="29">
        <v>54090</v>
      </c>
    </row>
    <row r="258" spans="1:22" x14ac:dyDescent="0.2">
      <c r="A258" s="20" t="s">
        <v>117</v>
      </c>
      <c r="B258" s="20" t="s">
        <v>518</v>
      </c>
      <c r="C258" s="25">
        <v>105.03</v>
      </c>
      <c r="D258" s="27">
        <v>726.7</v>
      </c>
      <c r="E258" s="25">
        <v>831.73</v>
      </c>
      <c r="F258" s="25">
        <v>1.1100000000000001</v>
      </c>
      <c r="G258" s="29">
        <v>54</v>
      </c>
      <c r="H258" s="27">
        <v>0</v>
      </c>
      <c r="I258" s="29">
        <v>781</v>
      </c>
      <c r="J258" s="29">
        <v>265854</v>
      </c>
      <c r="K258" s="29">
        <v>0</v>
      </c>
      <c r="L258" s="29">
        <v>265854</v>
      </c>
      <c r="M258" s="29">
        <v>46227</v>
      </c>
      <c r="N258" s="29">
        <v>51562</v>
      </c>
      <c r="O258" s="29">
        <v>355</v>
      </c>
      <c r="P258" s="29">
        <v>33178</v>
      </c>
      <c r="Q258" s="29">
        <v>3818</v>
      </c>
      <c r="R258" s="29">
        <v>400994</v>
      </c>
      <c r="S258" s="29">
        <v>44215</v>
      </c>
      <c r="T258" s="29">
        <v>356779</v>
      </c>
      <c r="U258" s="29">
        <v>200991</v>
      </c>
      <c r="V258" s="29">
        <v>155788</v>
      </c>
    </row>
    <row r="259" spans="1:22" x14ac:dyDescent="0.2">
      <c r="A259" s="20" t="s">
        <v>254</v>
      </c>
      <c r="B259" s="20" t="s">
        <v>648</v>
      </c>
      <c r="C259" s="25">
        <v>148.13999999999999</v>
      </c>
      <c r="D259" s="27">
        <v>1096</v>
      </c>
      <c r="E259" s="25">
        <v>1244.1400000000001</v>
      </c>
      <c r="F259" s="25">
        <v>2.54</v>
      </c>
      <c r="G259" s="29">
        <v>178</v>
      </c>
      <c r="H259" s="27">
        <v>3.5</v>
      </c>
      <c r="I259" s="29">
        <v>1271</v>
      </c>
      <c r="J259" s="29">
        <v>401733</v>
      </c>
      <c r="K259" s="29">
        <v>0</v>
      </c>
      <c r="L259" s="29">
        <v>401733</v>
      </c>
      <c r="M259" s="29">
        <v>75205</v>
      </c>
      <c r="N259" s="29">
        <v>84267</v>
      </c>
      <c r="O259" s="29">
        <v>820</v>
      </c>
      <c r="P259" s="29">
        <v>40435</v>
      </c>
      <c r="Q259" s="29">
        <v>4827</v>
      </c>
      <c r="R259" s="29">
        <v>607287</v>
      </c>
      <c r="S259" s="29">
        <v>53257</v>
      </c>
      <c r="T259" s="29">
        <v>554030</v>
      </c>
      <c r="U259" s="29">
        <v>303675</v>
      </c>
      <c r="V259" s="29">
        <v>250355</v>
      </c>
    </row>
    <row r="260" spans="1:22" x14ac:dyDescent="0.2">
      <c r="A260" s="20" t="s">
        <v>300</v>
      </c>
      <c r="B260" s="20" t="s">
        <v>691</v>
      </c>
      <c r="C260" s="25">
        <v>132.55000000000001</v>
      </c>
      <c r="D260" s="27">
        <v>1016.3</v>
      </c>
      <c r="E260" s="25">
        <v>1148.8499999999999</v>
      </c>
      <c r="F260" s="25">
        <v>2.56</v>
      </c>
      <c r="G260" s="29">
        <v>6</v>
      </c>
      <c r="H260" s="27">
        <v>0</v>
      </c>
      <c r="I260" s="29">
        <v>1022</v>
      </c>
      <c r="J260" s="29">
        <v>363404</v>
      </c>
      <c r="K260" s="29">
        <v>6142</v>
      </c>
      <c r="L260" s="29">
        <v>369546</v>
      </c>
      <c r="M260" s="29">
        <v>60186</v>
      </c>
      <c r="N260" s="29">
        <v>66532</v>
      </c>
      <c r="O260" s="29">
        <v>810</v>
      </c>
      <c r="P260" s="29">
        <v>37946</v>
      </c>
      <c r="Q260" s="29">
        <v>4067</v>
      </c>
      <c r="R260" s="29">
        <v>539087</v>
      </c>
      <c r="S260" s="29">
        <v>57385</v>
      </c>
      <c r="T260" s="29">
        <v>481702</v>
      </c>
      <c r="U260" s="29">
        <v>272481</v>
      </c>
      <c r="V260" s="29">
        <v>209221</v>
      </c>
    </row>
    <row r="261" spans="1:22" x14ac:dyDescent="0.2">
      <c r="A261" s="20" t="s">
        <v>255</v>
      </c>
      <c r="B261" s="20" t="s">
        <v>649</v>
      </c>
      <c r="C261" s="25">
        <v>63.32</v>
      </c>
      <c r="D261" s="27">
        <v>708.7</v>
      </c>
      <c r="E261" s="25">
        <v>772.02</v>
      </c>
      <c r="F261" s="25">
        <v>1.58</v>
      </c>
      <c r="G261" s="29">
        <v>13</v>
      </c>
      <c r="H261" s="27">
        <v>0</v>
      </c>
      <c r="I261" s="29">
        <v>722</v>
      </c>
      <c r="J261" s="29">
        <v>249285</v>
      </c>
      <c r="K261" s="29">
        <v>6263</v>
      </c>
      <c r="L261" s="29">
        <v>255548</v>
      </c>
      <c r="M261" s="29">
        <v>42721</v>
      </c>
      <c r="N261" s="29">
        <v>47869</v>
      </c>
      <c r="O261" s="29">
        <v>510</v>
      </c>
      <c r="P261" s="29">
        <v>25449</v>
      </c>
      <c r="Q261" s="29">
        <v>3039</v>
      </c>
      <c r="R261" s="29">
        <v>375136</v>
      </c>
      <c r="S261" s="29">
        <v>43971</v>
      </c>
      <c r="T261" s="29">
        <v>331165</v>
      </c>
      <c r="U261" s="29">
        <v>177917</v>
      </c>
      <c r="V261" s="29">
        <v>153248</v>
      </c>
    </row>
    <row r="262" spans="1:22" x14ac:dyDescent="0.2">
      <c r="A262" s="20" t="s">
        <v>301</v>
      </c>
      <c r="B262" s="20" t="s">
        <v>692</v>
      </c>
      <c r="C262" s="25">
        <v>40.06</v>
      </c>
      <c r="D262" s="27">
        <v>369.8</v>
      </c>
      <c r="E262" s="25">
        <v>409.86</v>
      </c>
      <c r="F262" s="25">
        <v>0.92</v>
      </c>
      <c r="G262" s="29">
        <v>0</v>
      </c>
      <c r="H262" s="27">
        <v>0</v>
      </c>
      <c r="I262" s="29">
        <v>370</v>
      </c>
      <c r="J262" s="29">
        <v>129647</v>
      </c>
      <c r="K262" s="29">
        <v>8079</v>
      </c>
      <c r="L262" s="29">
        <v>137726</v>
      </c>
      <c r="M262" s="29">
        <v>21789</v>
      </c>
      <c r="N262" s="29">
        <v>24087</v>
      </c>
      <c r="O262" s="29">
        <v>291</v>
      </c>
      <c r="P262" s="29">
        <v>13502</v>
      </c>
      <c r="Q262" s="29">
        <v>1447</v>
      </c>
      <c r="R262" s="29">
        <v>198842</v>
      </c>
      <c r="S262" s="29">
        <v>22474</v>
      </c>
      <c r="T262" s="29">
        <v>176368</v>
      </c>
      <c r="U262" s="29">
        <v>95170</v>
      </c>
      <c r="V262" s="29">
        <v>81198</v>
      </c>
    </row>
    <row r="263" spans="1:22" x14ac:dyDescent="0.2">
      <c r="A263" s="20" t="s">
        <v>335</v>
      </c>
      <c r="B263" s="20" t="s">
        <v>725</v>
      </c>
      <c r="C263" s="25">
        <v>48.81</v>
      </c>
      <c r="D263" s="27">
        <v>550.4</v>
      </c>
      <c r="E263" s="25">
        <v>599.21</v>
      </c>
      <c r="F263" s="25">
        <v>1.49</v>
      </c>
      <c r="G263" s="29">
        <v>1</v>
      </c>
      <c r="H263" s="27">
        <v>0</v>
      </c>
      <c r="I263" s="29">
        <v>551</v>
      </c>
      <c r="J263" s="29">
        <v>187960</v>
      </c>
      <c r="K263" s="29">
        <v>757</v>
      </c>
      <c r="L263" s="29">
        <v>188717</v>
      </c>
      <c r="M263" s="29">
        <v>32432</v>
      </c>
      <c r="N263" s="29">
        <v>35633</v>
      </c>
      <c r="O263" s="29">
        <v>467</v>
      </c>
      <c r="P263" s="29">
        <v>18935</v>
      </c>
      <c r="Q263" s="29">
        <v>2064</v>
      </c>
      <c r="R263" s="29">
        <v>278248</v>
      </c>
      <c r="S263" s="29">
        <v>32703</v>
      </c>
      <c r="T263" s="29">
        <v>245545</v>
      </c>
      <c r="U263" s="29">
        <v>138471</v>
      </c>
      <c r="V263" s="29">
        <v>107074</v>
      </c>
    </row>
    <row r="264" spans="1:22" x14ac:dyDescent="0.2">
      <c r="A264" s="20" t="s">
        <v>256</v>
      </c>
      <c r="B264" s="20" t="s">
        <v>650</v>
      </c>
      <c r="C264" s="25">
        <v>167.71</v>
      </c>
      <c r="D264" s="27">
        <v>1418.8</v>
      </c>
      <c r="E264" s="25">
        <v>1586.51</v>
      </c>
      <c r="F264" s="25">
        <v>3.24</v>
      </c>
      <c r="G264" s="29">
        <v>744</v>
      </c>
      <c r="H264" s="27">
        <v>0</v>
      </c>
      <c r="I264" s="29">
        <v>2163</v>
      </c>
      <c r="J264" s="29">
        <v>512284</v>
      </c>
      <c r="K264" s="29">
        <v>0</v>
      </c>
      <c r="L264" s="29">
        <v>512284</v>
      </c>
      <c r="M264" s="29">
        <v>127985</v>
      </c>
      <c r="N264" s="29">
        <v>143407</v>
      </c>
      <c r="O264" s="29">
        <v>1046</v>
      </c>
      <c r="P264" s="29">
        <v>51562</v>
      </c>
      <c r="Q264" s="29">
        <v>6156</v>
      </c>
      <c r="R264" s="29">
        <v>842440</v>
      </c>
      <c r="S264" s="29">
        <v>48328</v>
      </c>
      <c r="T264" s="29">
        <v>794112</v>
      </c>
      <c r="U264" s="29">
        <v>406828</v>
      </c>
      <c r="V264" s="29">
        <v>387284</v>
      </c>
    </row>
    <row r="265" spans="1:22" x14ac:dyDescent="0.2">
      <c r="A265" s="20" t="s">
        <v>257</v>
      </c>
      <c r="B265" s="20" t="s">
        <v>651</v>
      </c>
      <c r="C265" s="25">
        <v>2400.94</v>
      </c>
      <c r="D265" s="27">
        <v>14815.2</v>
      </c>
      <c r="E265" s="25">
        <v>17216.14</v>
      </c>
      <c r="F265" s="25">
        <v>35.15</v>
      </c>
      <c r="G265" s="29">
        <v>1365</v>
      </c>
      <c r="H265" s="27">
        <v>10.7</v>
      </c>
      <c r="I265" s="29">
        <v>16170</v>
      </c>
      <c r="J265" s="29">
        <v>5559092</v>
      </c>
      <c r="K265" s="29">
        <v>0</v>
      </c>
      <c r="L265" s="29">
        <v>5559092</v>
      </c>
      <c r="M265" s="29">
        <v>956779</v>
      </c>
      <c r="N265" s="29">
        <v>1072071</v>
      </c>
      <c r="O265" s="29">
        <v>11350</v>
      </c>
      <c r="P265" s="29">
        <v>559525</v>
      </c>
      <c r="Q265" s="29">
        <v>66799</v>
      </c>
      <c r="R265" s="29">
        <v>8225616</v>
      </c>
      <c r="S265" s="29">
        <v>680000</v>
      </c>
      <c r="T265" s="29">
        <v>7545616</v>
      </c>
      <c r="U265" s="29">
        <v>4259147</v>
      </c>
      <c r="V265" s="29">
        <v>3286469</v>
      </c>
    </row>
    <row r="266" spans="1:22" x14ac:dyDescent="0.2">
      <c r="A266" s="20" t="s">
        <v>51</v>
      </c>
      <c r="B266" s="20" t="s">
        <v>461</v>
      </c>
      <c r="C266" s="25">
        <v>56.94</v>
      </c>
      <c r="D266" s="27">
        <v>463.1</v>
      </c>
      <c r="E266" s="25">
        <v>520.04</v>
      </c>
      <c r="F266" s="25">
        <v>0</v>
      </c>
      <c r="G266" s="29">
        <v>5</v>
      </c>
      <c r="H266" s="27">
        <v>0</v>
      </c>
      <c r="I266" s="29">
        <v>468</v>
      </c>
      <c r="J266" s="29">
        <v>169673</v>
      </c>
      <c r="K266" s="29">
        <v>4712</v>
      </c>
      <c r="L266" s="29">
        <v>174385</v>
      </c>
      <c r="M266" s="29">
        <v>27724</v>
      </c>
      <c r="N266" s="29">
        <v>31075</v>
      </c>
      <c r="O266" s="29">
        <v>0</v>
      </c>
      <c r="P266" s="29">
        <v>18518</v>
      </c>
      <c r="Q266" s="29">
        <v>2204</v>
      </c>
      <c r="R266" s="29">
        <v>253906</v>
      </c>
      <c r="S266" s="29">
        <v>29208</v>
      </c>
      <c r="T266" s="29">
        <v>224698</v>
      </c>
      <c r="U266" s="29">
        <v>121524</v>
      </c>
      <c r="V266" s="29">
        <v>103174</v>
      </c>
    </row>
    <row r="267" spans="1:22" x14ac:dyDescent="0.2">
      <c r="A267" s="20" t="s">
        <v>52</v>
      </c>
      <c r="B267" s="20" t="s">
        <v>462</v>
      </c>
      <c r="C267" s="25">
        <v>114.06</v>
      </c>
      <c r="D267" s="27">
        <v>930.9</v>
      </c>
      <c r="E267" s="25">
        <v>1044.96</v>
      </c>
      <c r="F267" s="25">
        <v>0</v>
      </c>
      <c r="G267" s="29">
        <v>26</v>
      </c>
      <c r="H267" s="27">
        <v>0</v>
      </c>
      <c r="I267" s="29">
        <v>957</v>
      </c>
      <c r="J267" s="29">
        <v>340939</v>
      </c>
      <c r="K267" s="29">
        <v>0</v>
      </c>
      <c r="L267" s="29">
        <v>340939</v>
      </c>
      <c r="M267" s="29">
        <v>56693</v>
      </c>
      <c r="N267" s="29">
        <v>63545</v>
      </c>
      <c r="O267" s="29">
        <v>0</v>
      </c>
      <c r="P267" s="29">
        <v>36177</v>
      </c>
      <c r="Q267" s="29">
        <v>4305</v>
      </c>
      <c r="R267" s="29">
        <v>501659</v>
      </c>
      <c r="S267" s="29">
        <v>55190</v>
      </c>
      <c r="T267" s="29">
        <v>446469</v>
      </c>
      <c r="U267" s="29">
        <v>246532</v>
      </c>
      <c r="V267" s="29">
        <v>199937</v>
      </c>
    </row>
    <row r="268" spans="1:22" x14ac:dyDescent="0.2">
      <c r="A268" s="20" t="s">
        <v>169</v>
      </c>
      <c r="B268" s="20" t="s">
        <v>566</v>
      </c>
      <c r="C268" s="25">
        <v>91.09</v>
      </c>
      <c r="D268" s="27">
        <v>1414.1</v>
      </c>
      <c r="E268" s="25">
        <v>1505.19</v>
      </c>
      <c r="F268" s="25">
        <v>0</v>
      </c>
      <c r="G268" s="29">
        <v>19</v>
      </c>
      <c r="H268" s="27">
        <v>0</v>
      </c>
      <c r="I268" s="29">
        <v>1433</v>
      </c>
      <c r="J268" s="29">
        <v>474677</v>
      </c>
      <c r="K268" s="29">
        <v>0</v>
      </c>
      <c r="L268" s="29">
        <v>474677</v>
      </c>
      <c r="M268" s="29">
        <v>84375</v>
      </c>
      <c r="N268" s="29">
        <v>92715</v>
      </c>
      <c r="O268" s="29">
        <v>0</v>
      </c>
      <c r="P268" s="29">
        <v>44719</v>
      </c>
      <c r="Q268" s="29">
        <v>5208</v>
      </c>
      <c r="R268" s="29">
        <v>701694</v>
      </c>
      <c r="S268" s="29">
        <v>48951</v>
      </c>
      <c r="T268" s="29">
        <v>652743</v>
      </c>
      <c r="U268" s="29">
        <v>377274</v>
      </c>
      <c r="V268" s="29">
        <v>275469</v>
      </c>
    </row>
    <row r="269" spans="1:22" x14ac:dyDescent="0.2">
      <c r="A269" s="20" t="s">
        <v>221</v>
      </c>
      <c r="B269" s="20" t="s">
        <v>615</v>
      </c>
      <c r="C269" s="25">
        <v>73.78</v>
      </c>
      <c r="D269" s="27">
        <v>536.79999999999995</v>
      </c>
      <c r="E269" s="25">
        <v>610.58000000000004</v>
      </c>
      <c r="F269" s="25">
        <v>0</v>
      </c>
      <c r="G269" s="29">
        <v>0</v>
      </c>
      <c r="H269" s="27">
        <v>0</v>
      </c>
      <c r="I269" s="29">
        <v>537</v>
      </c>
      <c r="J269" s="29">
        <v>188217</v>
      </c>
      <c r="K269" s="29">
        <v>187</v>
      </c>
      <c r="L269" s="29">
        <v>188404</v>
      </c>
      <c r="M269" s="29">
        <v>31554</v>
      </c>
      <c r="N269" s="29">
        <v>34647</v>
      </c>
      <c r="O269" s="29">
        <v>0</v>
      </c>
      <c r="P269" s="29">
        <v>15838</v>
      </c>
      <c r="Q269" s="29">
        <v>1997</v>
      </c>
      <c r="R269" s="29">
        <v>272440</v>
      </c>
      <c r="S269" s="29">
        <v>26643</v>
      </c>
      <c r="T269" s="29">
        <v>245797</v>
      </c>
      <c r="U269" s="29">
        <v>143837</v>
      </c>
      <c r="V269" s="29">
        <v>101960</v>
      </c>
    </row>
    <row r="270" spans="1:22" x14ac:dyDescent="0.2">
      <c r="A270" s="20" t="s">
        <v>53</v>
      </c>
      <c r="B270" s="20" t="s">
        <v>463</v>
      </c>
      <c r="C270" s="25">
        <v>55.83</v>
      </c>
      <c r="D270" s="27">
        <v>620.6</v>
      </c>
      <c r="E270" s="25">
        <v>676.43</v>
      </c>
      <c r="F270" s="25">
        <v>0</v>
      </c>
      <c r="G270" s="29">
        <v>0</v>
      </c>
      <c r="H270" s="27">
        <v>0</v>
      </c>
      <c r="I270" s="29">
        <v>621</v>
      </c>
      <c r="J270" s="29">
        <v>220699</v>
      </c>
      <c r="K270" s="29">
        <v>4630</v>
      </c>
      <c r="L270" s="29">
        <v>225329</v>
      </c>
      <c r="M270" s="29">
        <v>36788</v>
      </c>
      <c r="N270" s="29">
        <v>41234</v>
      </c>
      <c r="O270" s="29">
        <v>0</v>
      </c>
      <c r="P270" s="29">
        <v>23928</v>
      </c>
      <c r="Q270" s="29">
        <v>2848</v>
      </c>
      <c r="R270" s="29">
        <v>330127</v>
      </c>
      <c r="S270" s="29">
        <v>35146</v>
      </c>
      <c r="T270" s="29">
        <v>294981</v>
      </c>
      <c r="U270" s="29">
        <v>160738</v>
      </c>
      <c r="V270" s="29">
        <v>134243</v>
      </c>
    </row>
    <row r="271" spans="1:22" x14ac:dyDescent="0.2">
      <c r="A271" s="20" t="s">
        <v>54</v>
      </c>
      <c r="B271" s="20" t="s">
        <v>464</v>
      </c>
      <c r="C271" s="25">
        <v>72.92</v>
      </c>
      <c r="D271" s="27">
        <v>524.1</v>
      </c>
      <c r="E271" s="25">
        <v>597.02</v>
      </c>
      <c r="F271" s="25">
        <v>0</v>
      </c>
      <c r="G271" s="29">
        <v>0</v>
      </c>
      <c r="H271" s="27">
        <v>0</v>
      </c>
      <c r="I271" s="29">
        <v>524</v>
      </c>
      <c r="J271" s="29">
        <v>194790</v>
      </c>
      <c r="K271" s="29">
        <v>9309</v>
      </c>
      <c r="L271" s="29">
        <v>204099</v>
      </c>
      <c r="M271" s="29">
        <v>31042</v>
      </c>
      <c r="N271" s="29">
        <v>34794</v>
      </c>
      <c r="O271" s="29">
        <v>0</v>
      </c>
      <c r="P271" s="29">
        <v>20765</v>
      </c>
      <c r="Q271" s="29">
        <v>2471</v>
      </c>
      <c r="R271" s="29">
        <v>293171</v>
      </c>
      <c r="S271" s="29">
        <v>32474</v>
      </c>
      <c r="T271" s="29">
        <v>260697</v>
      </c>
      <c r="U271" s="29">
        <v>140017</v>
      </c>
      <c r="V271" s="29">
        <v>120680</v>
      </c>
    </row>
    <row r="272" spans="1:22" x14ac:dyDescent="0.2">
      <c r="A272" s="20" t="s">
        <v>302</v>
      </c>
      <c r="B272" s="20" t="s">
        <v>693</v>
      </c>
      <c r="C272" s="25">
        <v>38.1</v>
      </c>
      <c r="D272" s="27">
        <v>214.1</v>
      </c>
      <c r="E272" s="25">
        <v>252.2</v>
      </c>
      <c r="F272" s="25">
        <v>0.56000000000000005</v>
      </c>
      <c r="G272" s="29">
        <v>0</v>
      </c>
      <c r="H272" s="27">
        <v>0</v>
      </c>
      <c r="I272" s="29">
        <v>214</v>
      </c>
      <c r="J272" s="29">
        <v>79776</v>
      </c>
      <c r="K272" s="29">
        <v>0</v>
      </c>
      <c r="L272" s="29">
        <v>79776</v>
      </c>
      <c r="M272" s="29">
        <v>12602</v>
      </c>
      <c r="N272" s="29">
        <v>13931</v>
      </c>
      <c r="O272" s="29">
        <v>177</v>
      </c>
      <c r="P272" s="29">
        <v>8191</v>
      </c>
      <c r="Q272" s="29">
        <v>880</v>
      </c>
      <c r="R272" s="29">
        <v>115557</v>
      </c>
      <c r="S272" s="29">
        <v>15658</v>
      </c>
      <c r="T272" s="29">
        <v>99899</v>
      </c>
      <c r="U272" s="29">
        <v>56603</v>
      </c>
      <c r="V272" s="29">
        <v>43296</v>
      </c>
    </row>
    <row r="273" spans="1:22" x14ac:dyDescent="0.2">
      <c r="A273" s="20" t="s">
        <v>109</v>
      </c>
      <c r="B273" s="20" t="s">
        <v>510</v>
      </c>
      <c r="C273" s="25">
        <v>243.12</v>
      </c>
      <c r="D273" s="27">
        <v>1512.6</v>
      </c>
      <c r="E273" s="25">
        <v>1755.72</v>
      </c>
      <c r="F273" s="25">
        <v>2.34</v>
      </c>
      <c r="G273" s="29">
        <v>3</v>
      </c>
      <c r="H273" s="27">
        <v>0</v>
      </c>
      <c r="I273" s="29">
        <v>1516</v>
      </c>
      <c r="J273" s="29">
        <v>561198</v>
      </c>
      <c r="K273" s="29">
        <v>0</v>
      </c>
      <c r="L273" s="29">
        <v>561198</v>
      </c>
      <c r="M273" s="29">
        <v>89732</v>
      </c>
      <c r="N273" s="29">
        <v>100086</v>
      </c>
      <c r="O273" s="29">
        <v>748</v>
      </c>
      <c r="P273" s="29">
        <v>70036</v>
      </c>
      <c r="Q273" s="29">
        <v>8059</v>
      </c>
      <c r="R273" s="29">
        <v>829859</v>
      </c>
      <c r="S273" s="29">
        <v>75549</v>
      </c>
      <c r="T273" s="29">
        <v>754310</v>
      </c>
      <c r="U273" s="29">
        <v>442061</v>
      </c>
      <c r="V273" s="29">
        <v>312249</v>
      </c>
    </row>
    <row r="274" spans="1:22" x14ac:dyDescent="0.2">
      <c r="A274" s="20" t="s">
        <v>16</v>
      </c>
      <c r="B274" s="20" t="s">
        <v>428</v>
      </c>
      <c r="C274" s="25">
        <v>110.32</v>
      </c>
      <c r="D274" s="27">
        <v>507.1</v>
      </c>
      <c r="E274" s="25">
        <v>617.41999999999996</v>
      </c>
      <c r="F274" s="25">
        <v>1.73</v>
      </c>
      <c r="G274" s="29">
        <v>174</v>
      </c>
      <c r="H274" s="27">
        <v>2.1</v>
      </c>
      <c r="I274" s="29">
        <v>679</v>
      </c>
      <c r="J274" s="29">
        <v>204070</v>
      </c>
      <c r="K274" s="29">
        <v>0</v>
      </c>
      <c r="L274" s="29">
        <v>204070</v>
      </c>
      <c r="M274" s="29">
        <v>40170</v>
      </c>
      <c r="N274" s="29">
        <v>44766</v>
      </c>
      <c r="O274" s="29">
        <v>572</v>
      </c>
      <c r="P274" s="29">
        <v>20165</v>
      </c>
      <c r="Q274" s="29">
        <v>2179</v>
      </c>
      <c r="R274" s="29">
        <v>311922</v>
      </c>
      <c r="S274" s="29">
        <v>37693</v>
      </c>
      <c r="T274" s="29">
        <v>274229</v>
      </c>
      <c r="U274" s="29">
        <v>139439</v>
      </c>
      <c r="V274" s="29">
        <v>134790</v>
      </c>
    </row>
    <row r="275" spans="1:22" x14ac:dyDescent="0.2">
      <c r="A275" s="20" t="s">
        <v>220</v>
      </c>
      <c r="B275" s="20" t="s">
        <v>614</v>
      </c>
      <c r="C275" s="25">
        <v>911.81</v>
      </c>
      <c r="D275" s="27">
        <v>6910.5</v>
      </c>
      <c r="E275" s="25">
        <v>7822.31</v>
      </c>
      <c r="F275" s="25">
        <v>0</v>
      </c>
      <c r="G275" s="29">
        <v>302</v>
      </c>
      <c r="H275" s="27">
        <v>0</v>
      </c>
      <c r="I275" s="29">
        <v>7213</v>
      </c>
      <c r="J275" s="29">
        <v>2411305</v>
      </c>
      <c r="K275" s="29">
        <v>0</v>
      </c>
      <c r="L275" s="29">
        <v>2411305</v>
      </c>
      <c r="M275" s="29">
        <v>423836</v>
      </c>
      <c r="N275" s="29">
        <v>465383</v>
      </c>
      <c r="O275" s="29">
        <v>0</v>
      </c>
      <c r="P275" s="29">
        <v>202911</v>
      </c>
      <c r="Q275" s="29">
        <v>25579</v>
      </c>
      <c r="R275" s="29">
        <v>3529014</v>
      </c>
      <c r="S275" s="29">
        <v>198481</v>
      </c>
      <c r="T275" s="29">
        <v>3330533</v>
      </c>
      <c r="U275" s="29">
        <v>1985587</v>
      </c>
      <c r="V275" s="29">
        <v>1344946</v>
      </c>
    </row>
    <row r="276" spans="1:22" x14ac:dyDescent="0.2">
      <c r="A276" s="20" t="s">
        <v>55</v>
      </c>
      <c r="B276" s="20" t="s">
        <v>465</v>
      </c>
      <c r="C276" s="25">
        <v>363.68</v>
      </c>
      <c r="D276" s="27">
        <v>1968.6</v>
      </c>
      <c r="E276" s="25">
        <v>2332.2800000000002</v>
      </c>
      <c r="F276" s="25">
        <v>0</v>
      </c>
      <c r="G276" s="29">
        <v>188</v>
      </c>
      <c r="H276" s="27">
        <v>0.3</v>
      </c>
      <c r="I276" s="29">
        <v>2156</v>
      </c>
      <c r="J276" s="29">
        <v>760953</v>
      </c>
      <c r="K276" s="29">
        <v>0</v>
      </c>
      <c r="L276" s="29">
        <v>760953</v>
      </c>
      <c r="M276" s="29">
        <v>127721</v>
      </c>
      <c r="N276" s="29">
        <v>143158</v>
      </c>
      <c r="O276" s="29">
        <v>0</v>
      </c>
      <c r="P276" s="29">
        <v>80744</v>
      </c>
      <c r="Q276" s="29">
        <v>9609</v>
      </c>
      <c r="R276" s="29">
        <v>1122185</v>
      </c>
      <c r="S276" s="29">
        <v>101066</v>
      </c>
      <c r="T276" s="29">
        <v>1021119</v>
      </c>
      <c r="U276" s="29">
        <v>572357</v>
      </c>
      <c r="V276" s="29">
        <v>448762</v>
      </c>
    </row>
    <row r="277" spans="1:22" x14ac:dyDescent="0.2">
      <c r="A277" s="20" t="s">
        <v>56</v>
      </c>
      <c r="B277" s="20" t="s">
        <v>466</v>
      </c>
      <c r="C277" s="25">
        <v>126.35</v>
      </c>
      <c r="D277" s="27">
        <v>1162</v>
      </c>
      <c r="E277" s="25">
        <v>1288.3499999999999</v>
      </c>
      <c r="F277" s="25">
        <v>0</v>
      </c>
      <c r="G277" s="29">
        <v>2</v>
      </c>
      <c r="H277" s="27">
        <v>0</v>
      </c>
      <c r="I277" s="29">
        <v>1164</v>
      </c>
      <c r="J277" s="29">
        <v>420350</v>
      </c>
      <c r="K277" s="29">
        <v>0</v>
      </c>
      <c r="L277" s="29">
        <v>420350</v>
      </c>
      <c r="M277" s="29">
        <v>68955</v>
      </c>
      <c r="N277" s="29">
        <v>77290</v>
      </c>
      <c r="O277" s="29">
        <v>0</v>
      </c>
      <c r="P277" s="29">
        <v>44603</v>
      </c>
      <c r="Q277" s="29">
        <v>5308</v>
      </c>
      <c r="R277" s="29">
        <v>616506</v>
      </c>
      <c r="S277" s="29">
        <v>56032</v>
      </c>
      <c r="T277" s="29">
        <v>560474</v>
      </c>
      <c r="U277" s="29">
        <v>315967</v>
      </c>
      <c r="V277" s="29">
        <v>244507</v>
      </c>
    </row>
    <row r="278" spans="1:22" x14ac:dyDescent="0.2">
      <c r="A278" s="20" t="s">
        <v>170</v>
      </c>
      <c r="B278" s="20" t="s">
        <v>567</v>
      </c>
      <c r="C278" s="25">
        <v>38.630000000000003</v>
      </c>
      <c r="D278" s="27">
        <v>404</v>
      </c>
      <c r="E278" s="25">
        <v>442.63</v>
      </c>
      <c r="F278" s="25">
        <v>0</v>
      </c>
      <c r="G278" s="29">
        <v>8</v>
      </c>
      <c r="H278" s="27">
        <v>0</v>
      </c>
      <c r="I278" s="29">
        <v>412</v>
      </c>
      <c r="J278" s="29">
        <v>139588</v>
      </c>
      <c r="K278" s="29">
        <v>0</v>
      </c>
      <c r="L278" s="29">
        <v>139588</v>
      </c>
      <c r="M278" s="29">
        <v>24259</v>
      </c>
      <c r="N278" s="29">
        <v>26656</v>
      </c>
      <c r="O278" s="29">
        <v>0</v>
      </c>
      <c r="P278" s="29">
        <v>13151</v>
      </c>
      <c r="Q278" s="29">
        <v>1531</v>
      </c>
      <c r="R278" s="29">
        <v>205185</v>
      </c>
      <c r="S278" s="29">
        <v>21853</v>
      </c>
      <c r="T278" s="29">
        <v>183332</v>
      </c>
      <c r="U278" s="29">
        <v>103487</v>
      </c>
      <c r="V278" s="29">
        <v>79845</v>
      </c>
    </row>
    <row r="279" spans="1:22" x14ac:dyDescent="0.2">
      <c r="A279" s="20" t="s">
        <v>303</v>
      </c>
      <c r="B279" s="20" t="s">
        <v>694</v>
      </c>
      <c r="C279" s="25">
        <v>24.77</v>
      </c>
      <c r="D279" s="27">
        <v>187.1</v>
      </c>
      <c r="E279" s="25">
        <v>211.87</v>
      </c>
      <c r="F279" s="25">
        <v>0.47</v>
      </c>
      <c r="G279" s="29">
        <v>0</v>
      </c>
      <c r="H279" s="27">
        <v>0</v>
      </c>
      <c r="I279" s="29">
        <v>187</v>
      </c>
      <c r="J279" s="29">
        <v>67019</v>
      </c>
      <c r="K279" s="29">
        <v>0</v>
      </c>
      <c r="L279" s="29">
        <v>67019</v>
      </c>
      <c r="M279" s="29">
        <v>11012</v>
      </c>
      <c r="N279" s="29">
        <v>12174</v>
      </c>
      <c r="O279" s="29">
        <v>149</v>
      </c>
      <c r="P279" s="29">
        <v>6882</v>
      </c>
      <c r="Q279" s="29">
        <v>739</v>
      </c>
      <c r="R279" s="29">
        <v>97975</v>
      </c>
      <c r="S279" s="29">
        <v>12066</v>
      </c>
      <c r="T279" s="29">
        <v>85909</v>
      </c>
      <c r="U279" s="29">
        <v>48640</v>
      </c>
      <c r="V279" s="29">
        <v>37269</v>
      </c>
    </row>
    <row r="280" spans="1:22" x14ac:dyDescent="0.2">
      <c r="A280" s="20" t="s">
        <v>17</v>
      </c>
      <c r="B280" s="20" t="s">
        <v>429</v>
      </c>
      <c r="C280" s="25">
        <v>107.23</v>
      </c>
      <c r="D280" s="27">
        <v>609.4</v>
      </c>
      <c r="E280" s="25">
        <v>716.63</v>
      </c>
      <c r="F280" s="25">
        <v>2.0099999999999998</v>
      </c>
      <c r="G280" s="29">
        <v>0</v>
      </c>
      <c r="H280" s="27">
        <v>0</v>
      </c>
      <c r="I280" s="29">
        <v>609</v>
      </c>
      <c r="J280" s="29">
        <v>236861</v>
      </c>
      <c r="K280" s="29">
        <v>0</v>
      </c>
      <c r="L280" s="29">
        <v>236861</v>
      </c>
      <c r="M280" s="29">
        <v>36028</v>
      </c>
      <c r="N280" s="29">
        <v>40151</v>
      </c>
      <c r="O280" s="29">
        <v>664</v>
      </c>
      <c r="P280" s="29">
        <v>23405</v>
      </c>
      <c r="Q280" s="29">
        <v>2530</v>
      </c>
      <c r="R280" s="29">
        <v>339639</v>
      </c>
      <c r="S280" s="29">
        <v>41746</v>
      </c>
      <c r="T280" s="29">
        <v>297893</v>
      </c>
      <c r="U280" s="29">
        <v>163849</v>
      </c>
      <c r="V280" s="29">
        <v>134044</v>
      </c>
    </row>
    <row r="281" spans="1:22" x14ac:dyDescent="0.2">
      <c r="A281" s="20" t="s">
        <v>57</v>
      </c>
      <c r="B281" s="20" t="s">
        <v>467</v>
      </c>
      <c r="C281" s="25">
        <v>314.22000000000003</v>
      </c>
      <c r="D281" s="27">
        <v>2603.6</v>
      </c>
      <c r="E281" s="25">
        <v>2917.82</v>
      </c>
      <c r="F281" s="25">
        <v>0</v>
      </c>
      <c r="G281" s="29">
        <v>195</v>
      </c>
      <c r="H281" s="27">
        <v>4.0999999999999996</v>
      </c>
      <c r="I281" s="29">
        <v>2795</v>
      </c>
      <c r="J281" s="29">
        <v>951997</v>
      </c>
      <c r="K281" s="29">
        <v>0</v>
      </c>
      <c r="L281" s="29">
        <v>951997</v>
      </c>
      <c r="M281" s="29">
        <v>165576</v>
      </c>
      <c r="N281" s="29">
        <v>185588</v>
      </c>
      <c r="O281" s="29">
        <v>0</v>
      </c>
      <c r="P281" s="29">
        <v>101015</v>
      </c>
      <c r="Q281" s="29">
        <v>12021</v>
      </c>
      <c r="R281" s="29">
        <v>1416197</v>
      </c>
      <c r="S281" s="29">
        <v>89007</v>
      </c>
      <c r="T281" s="29">
        <v>1327190</v>
      </c>
      <c r="U281" s="29">
        <v>753484</v>
      </c>
      <c r="V281" s="29">
        <v>573706</v>
      </c>
    </row>
    <row r="282" spans="1:22" x14ac:dyDescent="0.2">
      <c r="A282" s="20" t="s">
        <v>58</v>
      </c>
      <c r="B282" s="20" t="s">
        <v>468</v>
      </c>
      <c r="C282" s="25">
        <v>19.36</v>
      </c>
      <c r="D282" s="27">
        <v>128.69999999999999</v>
      </c>
      <c r="E282" s="25">
        <v>148.06</v>
      </c>
      <c r="F282" s="25">
        <v>0</v>
      </c>
      <c r="G282" s="29">
        <v>4</v>
      </c>
      <c r="H282" s="27">
        <v>0</v>
      </c>
      <c r="I282" s="29">
        <v>133</v>
      </c>
      <c r="J282" s="29">
        <v>48308</v>
      </c>
      <c r="K282" s="29">
        <v>15203</v>
      </c>
      <c r="L282" s="29">
        <v>63511</v>
      </c>
      <c r="M282" s="29">
        <v>7879</v>
      </c>
      <c r="N282" s="29">
        <v>8831</v>
      </c>
      <c r="O282" s="29">
        <v>0</v>
      </c>
      <c r="P282" s="29">
        <v>5527</v>
      </c>
      <c r="Q282" s="29">
        <v>658</v>
      </c>
      <c r="R282" s="29">
        <v>86406</v>
      </c>
      <c r="S282" s="29">
        <v>10017</v>
      </c>
      <c r="T282" s="29">
        <v>76389</v>
      </c>
      <c r="U282" s="29">
        <v>33183</v>
      </c>
      <c r="V282" s="29">
        <v>43206</v>
      </c>
    </row>
    <row r="283" spans="1:22" x14ac:dyDescent="0.2">
      <c r="A283" s="20" t="s">
        <v>227</v>
      </c>
      <c r="B283" s="20" t="s">
        <v>621</v>
      </c>
      <c r="C283" s="25">
        <v>147.66999999999999</v>
      </c>
      <c r="D283" s="27">
        <v>954.7</v>
      </c>
      <c r="E283" s="25">
        <v>1102.3699999999999</v>
      </c>
      <c r="F283" s="25">
        <v>0</v>
      </c>
      <c r="G283" s="29">
        <v>4</v>
      </c>
      <c r="H283" s="27">
        <v>0</v>
      </c>
      <c r="I283" s="29">
        <v>959</v>
      </c>
      <c r="J283" s="29">
        <v>339817</v>
      </c>
      <c r="K283" s="29">
        <v>0</v>
      </c>
      <c r="L283" s="29">
        <v>339817</v>
      </c>
      <c r="M283" s="29">
        <v>56351</v>
      </c>
      <c r="N283" s="29">
        <v>61875</v>
      </c>
      <c r="O283" s="29">
        <v>0</v>
      </c>
      <c r="P283" s="29">
        <v>28595</v>
      </c>
      <c r="Q283" s="29">
        <v>3605</v>
      </c>
      <c r="R283" s="29">
        <v>490243</v>
      </c>
      <c r="S283" s="29">
        <v>43965</v>
      </c>
      <c r="T283" s="29">
        <v>446278</v>
      </c>
      <c r="U283" s="29">
        <v>263828</v>
      </c>
      <c r="V283" s="29">
        <v>182450</v>
      </c>
    </row>
    <row r="284" spans="1:22" x14ac:dyDescent="0.2">
      <c r="A284" s="20" t="s">
        <v>111</v>
      </c>
      <c r="B284" s="20" t="s">
        <v>512</v>
      </c>
      <c r="C284" s="25">
        <v>116.12</v>
      </c>
      <c r="D284" s="27">
        <v>780.7</v>
      </c>
      <c r="E284" s="25">
        <v>896.82</v>
      </c>
      <c r="F284" s="25">
        <v>1.2</v>
      </c>
      <c r="G284" s="29">
        <v>3</v>
      </c>
      <c r="H284" s="27">
        <v>0</v>
      </c>
      <c r="I284" s="29">
        <v>784</v>
      </c>
      <c r="J284" s="29">
        <v>286660</v>
      </c>
      <c r="K284" s="29">
        <v>4576</v>
      </c>
      <c r="L284" s="29">
        <v>291236</v>
      </c>
      <c r="M284" s="29">
        <v>46405</v>
      </c>
      <c r="N284" s="29">
        <v>51760</v>
      </c>
      <c r="O284" s="29">
        <v>384</v>
      </c>
      <c r="P284" s="29">
        <v>36499</v>
      </c>
      <c r="Q284" s="29">
        <v>4197</v>
      </c>
      <c r="R284" s="29">
        <v>430481</v>
      </c>
      <c r="S284" s="29">
        <v>48164</v>
      </c>
      <c r="T284" s="29">
        <v>382317</v>
      </c>
      <c r="U284" s="29">
        <v>217037</v>
      </c>
      <c r="V284" s="29">
        <v>165280</v>
      </c>
    </row>
    <row r="285" spans="1:22" x14ac:dyDescent="0.2">
      <c r="A285" s="20" t="s">
        <v>171</v>
      </c>
      <c r="B285" s="20" t="s">
        <v>568</v>
      </c>
      <c r="C285" s="25">
        <v>126.14</v>
      </c>
      <c r="D285" s="27">
        <v>873</v>
      </c>
      <c r="E285" s="25">
        <v>999.14</v>
      </c>
      <c r="F285" s="25">
        <v>0</v>
      </c>
      <c r="G285" s="29">
        <v>3</v>
      </c>
      <c r="H285" s="27">
        <v>0</v>
      </c>
      <c r="I285" s="29">
        <v>876</v>
      </c>
      <c r="J285" s="29">
        <v>315089</v>
      </c>
      <c r="K285" s="29">
        <v>0</v>
      </c>
      <c r="L285" s="29">
        <v>315089</v>
      </c>
      <c r="M285" s="29">
        <v>51579</v>
      </c>
      <c r="N285" s="29">
        <v>56677</v>
      </c>
      <c r="O285" s="29">
        <v>0</v>
      </c>
      <c r="P285" s="29">
        <v>29684</v>
      </c>
      <c r="Q285" s="29">
        <v>3457</v>
      </c>
      <c r="R285" s="29">
        <v>456486</v>
      </c>
      <c r="S285" s="29">
        <v>38524</v>
      </c>
      <c r="T285" s="29">
        <v>417962</v>
      </c>
      <c r="U285" s="29">
        <v>244402</v>
      </c>
      <c r="V285" s="29">
        <v>173560</v>
      </c>
    </row>
    <row r="286" spans="1:22" x14ac:dyDescent="0.2">
      <c r="A286" s="20" t="s">
        <v>304</v>
      </c>
      <c r="B286" s="20" t="s">
        <v>695</v>
      </c>
      <c r="C286" s="25">
        <v>39.94</v>
      </c>
      <c r="D286" s="27">
        <v>589.6</v>
      </c>
      <c r="E286" s="25">
        <v>629.54</v>
      </c>
      <c r="F286" s="25">
        <v>1.41</v>
      </c>
      <c r="G286" s="29">
        <v>45</v>
      </c>
      <c r="H286" s="27">
        <v>0</v>
      </c>
      <c r="I286" s="29">
        <v>635</v>
      </c>
      <c r="J286" s="29">
        <v>199136</v>
      </c>
      <c r="K286" s="29">
        <v>6635</v>
      </c>
      <c r="L286" s="29">
        <v>205771</v>
      </c>
      <c r="M286" s="29">
        <v>37395</v>
      </c>
      <c r="N286" s="29">
        <v>41339</v>
      </c>
      <c r="O286" s="29">
        <v>446</v>
      </c>
      <c r="P286" s="29">
        <v>21129</v>
      </c>
      <c r="Q286" s="29">
        <v>2265</v>
      </c>
      <c r="R286" s="29">
        <v>308345</v>
      </c>
      <c r="S286" s="29">
        <v>22629</v>
      </c>
      <c r="T286" s="29">
        <v>285716</v>
      </c>
      <c r="U286" s="29">
        <v>158503</v>
      </c>
      <c r="V286" s="29">
        <v>127213</v>
      </c>
    </row>
    <row r="287" spans="1:22" x14ac:dyDescent="0.2">
      <c r="A287" s="20" t="s">
        <v>305</v>
      </c>
      <c r="B287" s="20" t="s">
        <v>696</v>
      </c>
      <c r="C287" s="25">
        <v>72.58</v>
      </c>
      <c r="D287" s="27">
        <v>662.9</v>
      </c>
      <c r="E287" s="25">
        <v>735.48</v>
      </c>
      <c r="F287" s="25">
        <v>1.64</v>
      </c>
      <c r="G287" s="29">
        <v>2</v>
      </c>
      <c r="H287" s="27">
        <v>0</v>
      </c>
      <c r="I287" s="29">
        <v>665</v>
      </c>
      <c r="J287" s="29">
        <v>232647</v>
      </c>
      <c r="K287" s="29">
        <v>0</v>
      </c>
      <c r="L287" s="29">
        <v>232647</v>
      </c>
      <c r="M287" s="29">
        <v>39162</v>
      </c>
      <c r="N287" s="29">
        <v>43292</v>
      </c>
      <c r="O287" s="29">
        <v>519</v>
      </c>
      <c r="P287" s="29">
        <v>23888</v>
      </c>
      <c r="Q287" s="29">
        <v>2567</v>
      </c>
      <c r="R287" s="29">
        <v>342075</v>
      </c>
      <c r="S287" s="29">
        <v>33287</v>
      </c>
      <c r="T287" s="29">
        <v>308788</v>
      </c>
      <c r="U287" s="29">
        <v>177448</v>
      </c>
      <c r="V287" s="29">
        <v>131340</v>
      </c>
    </row>
    <row r="288" spans="1:22" x14ac:dyDescent="0.2">
      <c r="A288" s="20" t="s">
        <v>336</v>
      </c>
      <c r="B288" s="20" t="s">
        <v>726</v>
      </c>
      <c r="C288" s="25">
        <v>26.24</v>
      </c>
      <c r="D288" s="27">
        <v>278.60000000000002</v>
      </c>
      <c r="E288" s="25">
        <v>304.83999999999997</v>
      </c>
      <c r="F288" s="25">
        <v>0.76</v>
      </c>
      <c r="G288" s="29">
        <v>6</v>
      </c>
      <c r="H288" s="27">
        <v>0</v>
      </c>
      <c r="I288" s="29">
        <v>285</v>
      </c>
      <c r="J288" s="29">
        <v>95622</v>
      </c>
      <c r="K288" s="29">
        <v>2905</v>
      </c>
      <c r="L288" s="29">
        <v>98527</v>
      </c>
      <c r="M288" s="29">
        <v>16775</v>
      </c>
      <c r="N288" s="29">
        <v>18431</v>
      </c>
      <c r="O288" s="29">
        <v>238</v>
      </c>
      <c r="P288" s="29">
        <v>9699</v>
      </c>
      <c r="Q288" s="29">
        <v>1057</v>
      </c>
      <c r="R288" s="29">
        <v>144727</v>
      </c>
      <c r="S288" s="29">
        <v>17232</v>
      </c>
      <c r="T288" s="29">
        <v>127495</v>
      </c>
      <c r="U288" s="29">
        <v>69924</v>
      </c>
      <c r="V288" s="29">
        <v>57571</v>
      </c>
    </row>
    <row r="289" spans="1:22" x14ac:dyDescent="0.2">
      <c r="A289" s="20" t="s">
        <v>112</v>
      </c>
      <c r="B289" s="20" t="s">
        <v>513</v>
      </c>
      <c r="C289" s="25">
        <v>62.43</v>
      </c>
      <c r="D289" s="27">
        <v>395</v>
      </c>
      <c r="E289" s="25">
        <v>457.43</v>
      </c>
      <c r="F289" s="25">
        <v>0.61</v>
      </c>
      <c r="G289" s="29">
        <v>5</v>
      </c>
      <c r="H289" s="27">
        <v>0</v>
      </c>
      <c r="I289" s="29">
        <v>400</v>
      </c>
      <c r="J289" s="29">
        <v>146213</v>
      </c>
      <c r="K289" s="29">
        <v>6111</v>
      </c>
      <c r="L289" s="29">
        <v>152324</v>
      </c>
      <c r="M289" s="29">
        <v>23676</v>
      </c>
      <c r="N289" s="29">
        <v>26408</v>
      </c>
      <c r="O289" s="29">
        <v>195</v>
      </c>
      <c r="P289" s="29">
        <v>18480</v>
      </c>
      <c r="Q289" s="29">
        <v>2125</v>
      </c>
      <c r="R289" s="29">
        <v>223208</v>
      </c>
      <c r="S289" s="29">
        <v>22675</v>
      </c>
      <c r="T289" s="29">
        <v>200533</v>
      </c>
      <c r="U289" s="29">
        <v>112440</v>
      </c>
      <c r="V289" s="29">
        <v>88093</v>
      </c>
    </row>
    <row r="290" spans="1:22" x14ac:dyDescent="0.2">
      <c r="A290" s="20" t="s">
        <v>18</v>
      </c>
      <c r="B290" s="20" t="s">
        <v>430</v>
      </c>
      <c r="C290" s="25">
        <v>45.61</v>
      </c>
      <c r="D290" s="27">
        <v>347.7</v>
      </c>
      <c r="E290" s="25">
        <v>393.31</v>
      </c>
      <c r="F290" s="25">
        <v>1.1000000000000001</v>
      </c>
      <c r="G290" s="29">
        <v>52</v>
      </c>
      <c r="H290" s="27">
        <v>0.4</v>
      </c>
      <c r="I290" s="29">
        <v>399</v>
      </c>
      <c r="J290" s="29">
        <v>129997</v>
      </c>
      <c r="K290" s="29">
        <v>16757</v>
      </c>
      <c r="L290" s="29">
        <v>146754</v>
      </c>
      <c r="M290" s="29">
        <v>23605</v>
      </c>
      <c r="N290" s="29">
        <v>26306</v>
      </c>
      <c r="O290" s="29">
        <v>364</v>
      </c>
      <c r="P290" s="29">
        <v>13204</v>
      </c>
      <c r="Q290" s="29">
        <v>1424</v>
      </c>
      <c r="R290" s="29">
        <v>211657</v>
      </c>
      <c r="S290" s="29">
        <v>29583</v>
      </c>
      <c r="T290" s="29">
        <v>182074</v>
      </c>
      <c r="U290" s="29">
        <v>83648</v>
      </c>
      <c r="V290" s="29">
        <v>98426</v>
      </c>
    </row>
    <row r="291" spans="1:22" x14ac:dyDescent="0.2">
      <c r="A291" s="20" t="s">
        <v>222</v>
      </c>
      <c r="B291" s="20" t="s">
        <v>616</v>
      </c>
      <c r="C291" s="25">
        <v>62.18</v>
      </c>
      <c r="D291" s="27">
        <v>309.89999999999998</v>
      </c>
      <c r="E291" s="25">
        <v>372.08</v>
      </c>
      <c r="F291" s="25">
        <v>0</v>
      </c>
      <c r="G291" s="29">
        <v>11</v>
      </c>
      <c r="H291" s="27">
        <v>0</v>
      </c>
      <c r="I291" s="29">
        <v>321</v>
      </c>
      <c r="J291" s="29">
        <v>114697</v>
      </c>
      <c r="K291" s="29">
        <v>3602</v>
      </c>
      <c r="L291" s="29">
        <v>118299</v>
      </c>
      <c r="M291" s="29">
        <v>18862</v>
      </c>
      <c r="N291" s="29">
        <v>20711</v>
      </c>
      <c r="O291" s="29">
        <v>0</v>
      </c>
      <c r="P291" s="29">
        <v>9712</v>
      </c>
      <c r="Q291" s="29">
        <v>1226</v>
      </c>
      <c r="R291" s="29">
        <v>168810</v>
      </c>
      <c r="S291" s="29">
        <v>20920</v>
      </c>
      <c r="T291" s="29">
        <v>147890</v>
      </c>
      <c r="U291" s="29">
        <v>83038</v>
      </c>
      <c r="V291" s="29">
        <v>64852</v>
      </c>
    </row>
    <row r="292" spans="1:22" x14ac:dyDescent="0.2">
      <c r="A292" s="20" t="s">
        <v>59</v>
      </c>
      <c r="B292" s="20" t="s">
        <v>469</v>
      </c>
      <c r="C292" s="25">
        <v>27.75</v>
      </c>
      <c r="D292" s="27">
        <v>159</v>
      </c>
      <c r="E292" s="25">
        <v>186.75</v>
      </c>
      <c r="F292" s="25">
        <v>0</v>
      </c>
      <c r="G292" s="29">
        <v>13</v>
      </c>
      <c r="H292" s="27">
        <v>0</v>
      </c>
      <c r="I292" s="29">
        <v>172</v>
      </c>
      <c r="J292" s="29">
        <v>60931</v>
      </c>
      <c r="K292" s="29">
        <v>0</v>
      </c>
      <c r="L292" s="29">
        <v>60931</v>
      </c>
      <c r="M292" s="29">
        <v>10189</v>
      </c>
      <c r="N292" s="29">
        <v>11421</v>
      </c>
      <c r="O292" s="29">
        <v>0</v>
      </c>
      <c r="P292" s="29">
        <v>6465</v>
      </c>
      <c r="Q292" s="29">
        <v>769</v>
      </c>
      <c r="R292" s="29">
        <v>89775</v>
      </c>
      <c r="S292" s="29">
        <v>11565</v>
      </c>
      <c r="T292" s="29">
        <v>78210</v>
      </c>
      <c r="U292" s="29">
        <v>42357</v>
      </c>
      <c r="V292" s="29">
        <v>35853</v>
      </c>
    </row>
    <row r="293" spans="1:22" x14ac:dyDescent="0.2">
      <c r="A293" s="20" t="s">
        <v>306</v>
      </c>
      <c r="B293" s="20" t="s">
        <v>697</v>
      </c>
      <c r="C293" s="25">
        <v>75.75</v>
      </c>
      <c r="D293" s="27">
        <v>726.1</v>
      </c>
      <c r="E293" s="25">
        <v>801.85</v>
      </c>
      <c r="F293" s="25">
        <v>1.79</v>
      </c>
      <c r="G293" s="29">
        <v>31</v>
      </c>
      <c r="H293" s="27">
        <v>0</v>
      </c>
      <c r="I293" s="29">
        <v>757</v>
      </c>
      <c r="J293" s="29">
        <v>253641</v>
      </c>
      <c r="K293" s="29">
        <v>0</v>
      </c>
      <c r="L293" s="29">
        <v>253641</v>
      </c>
      <c r="M293" s="29">
        <v>44580</v>
      </c>
      <c r="N293" s="29">
        <v>49281</v>
      </c>
      <c r="O293" s="29">
        <v>566</v>
      </c>
      <c r="P293" s="29">
        <v>26044</v>
      </c>
      <c r="Q293" s="29">
        <v>2798</v>
      </c>
      <c r="R293" s="29">
        <v>376910</v>
      </c>
      <c r="S293" s="29">
        <v>30799</v>
      </c>
      <c r="T293" s="29">
        <v>346111</v>
      </c>
      <c r="U293" s="29">
        <v>198953</v>
      </c>
      <c r="V293" s="29">
        <v>147158</v>
      </c>
    </row>
    <row r="294" spans="1:22" x14ac:dyDescent="0.2">
      <c r="A294" s="20" t="s">
        <v>223</v>
      </c>
      <c r="B294" s="20" t="s">
        <v>617</v>
      </c>
      <c r="C294" s="25">
        <v>48.19</v>
      </c>
      <c r="D294" s="27">
        <v>372</v>
      </c>
      <c r="E294" s="25">
        <v>420.19</v>
      </c>
      <c r="F294" s="25">
        <v>0</v>
      </c>
      <c r="G294" s="29">
        <v>9</v>
      </c>
      <c r="H294" s="27">
        <v>0</v>
      </c>
      <c r="I294" s="29">
        <v>381</v>
      </c>
      <c r="J294" s="29">
        <v>129528</v>
      </c>
      <c r="K294" s="29">
        <v>6342</v>
      </c>
      <c r="L294" s="29">
        <v>135870</v>
      </c>
      <c r="M294" s="29">
        <v>22388</v>
      </c>
      <c r="N294" s="29">
        <v>24582</v>
      </c>
      <c r="O294" s="29">
        <v>0</v>
      </c>
      <c r="P294" s="29">
        <v>11372</v>
      </c>
      <c r="Q294" s="29">
        <v>1436</v>
      </c>
      <c r="R294" s="29">
        <v>195648</v>
      </c>
      <c r="S294" s="29">
        <v>19730</v>
      </c>
      <c r="T294" s="29">
        <v>175918</v>
      </c>
      <c r="U294" s="29">
        <v>98126</v>
      </c>
      <c r="V294" s="29">
        <v>77792</v>
      </c>
    </row>
    <row r="295" spans="1:22" x14ac:dyDescent="0.2">
      <c r="A295" s="20" t="s">
        <v>224</v>
      </c>
      <c r="B295" s="20" t="s">
        <v>618</v>
      </c>
      <c r="C295" s="25">
        <v>406.93</v>
      </c>
      <c r="D295" s="27">
        <v>3368</v>
      </c>
      <c r="E295" s="25">
        <v>3774.93</v>
      </c>
      <c r="F295" s="25">
        <v>0</v>
      </c>
      <c r="G295" s="29">
        <v>455</v>
      </c>
      <c r="H295" s="27">
        <v>1.1000000000000001</v>
      </c>
      <c r="I295" s="29">
        <v>3822</v>
      </c>
      <c r="J295" s="29">
        <v>1163660</v>
      </c>
      <c r="K295" s="29">
        <v>0</v>
      </c>
      <c r="L295" s="29">
        <v>1163660</v>
      </c>
      <c r="M295" s="29">
        <v>224581</v>
      </c>
      <c r="N295" s="29">
        <v>246595</v>
      </c>
      <c r="O295" s="29">
        <v>0</v>
      </c>
      <c r="P295" s="29">
        <v>97922</v>
      </c>
      <c r="Q295" s="29">
        <v>12344</v>
      </c>
      <c r="R295" s="29">
        <v>1745102</v>
      </c>
      <c r="S295" s="29">
        <v>138380</v>
      </c>
      <c r="T295" s="29">
        <v>1606722</v>
      </c>
      <c r="U295" s="29">
        <v>915619</v>
      </c>
      <c r="V295" s="29">
        <v>691103</v>
      </c>
    </row>
    <row r="296" spans="1:22" x14ac:dyDescent="0.2">
      <c r="A296" s="20" t="s">
        <v>337</v>
      </c>
      <c r="B296" s="20" t="s">
        <v>742</v>
      </c>
      <c r="C296" s="25">
        <v>123.12</v>
      </c>
      <c r="D296" s="27">
        <v>939.7</v>
      </c>
      <c r="E296" s="25">
        <v>1062.82</v>
      </c>
      <c r="F296" s="25">
        <v>2.64</v>
      </c>
      <c r="G296" s="29">
        <v>1</v>
      </c>
      <c r="H296" s="27">
        <v>0</v>
      </c>
      <c r="I296" s="29">
        <v>941</v>
      </c>
      <c r="J296" s="29">
        <v>333385</v>
      </c>
      <c r="K296" s="29">
        <v>4053</v>
      </c>
      <c r="L296" s="29">
        <v>337438</v>
      </c>
      <c r="M296" s="29">
        <v>55387</v>
      </c>
      <c r="N296" s="29">
        <v>60854</v>
      </c>
      <c r="O296" s="29">
        <v>828</v>
      </c>
      <c r="P296" s="29">
        <v>33468</v>
      </c>
      <c r="Q296" s="29">
        <v>3656</v>
      </c>
      <c r="R296" s="29">
        <v>491631</v>
      </c>
      <c r="S296" s="29">
        <v>61494</v>
      </c>
      <c r="T296" s="29">
        <v>430137</v>
      </c>
      <c r="U296" s="29">
        <v>241995</v>
      </c>
      <c r="V296" s="29">
        <v>188142</v>
      </c>
    </row>
    <row r="297" spans="1:22" x14ac:dyDescent="0.2">
      <c r="A297" s="20" t="s">
        <v>225</v>
      </c>
      <c r="B297" s="20" t="s">
        <v>619</v>
      </c>
      <c r="C297" s="25">
        <v>54.73</v>
      </c>
      <c r="D297" s="27">
        <v>779.3</v>
      </c>
      <c r="E297" s="25">
        <v>834.03</v>
      </c>
      <c r="F297" s="25">
        <v>0</v>
      </c>
      <c r="G297" s="29">
        <v>30</v>
      </c>
      <c r="H297" s="27">
        <v>0</v>
      </c>
      <c r="I297" s="29">
        <v>809</v>
      </c>
      <c r="J297" s="29">
        <v>257098</v>
      </c>
      <c r="K297" s="29">
        <v>0</v>
      </c>
      <c r="L297" s="29">
        <v>257098</v>
      </c>
      <c r="M297" s="29">
        <v>47537</v>
      </c>
      <c r="N297" s="29">
        <v>52197</v>
      </c>
      <c r="O297" s="29">
        <v>0</v>
      </c>
      <c r="P297" s="29">
        <v>21635</v>
      </c>
      <c r="Q297" s="29">
        <v>2727</v>
      </c>
      <c r="R297" s="29">
        <v>381194</v>
      </c>
      <c r="S297" s="29">
        <v>22227</v>
      </c>
      <c r="T297" s="29">
        <v>358967</v>
      </c>
      <c r="U297" s="29">
        <v>210643</v>
      </c>
      <c r="V297" s="29">
        <v>148324</v>
      </c>
    </row>
    <row r="298" spans="1:22" x14ac:dyDescent="0.2">
      <c r="A298" s="20" t="s">
        <v>307</v>
      </c>
      <c r="B298" s="20" t="s">
        <v>698</v>
      </c>
      <c r="C298" s="25">
        <v>27.48</v>
      </c>
      <c r="D298" s="27">
        <v>273</v>
      </c>
      <c r="E298" s="25">
        <v>300.48</v>
      </c>
      <c r="F298" s="25">
        <v>0.67</v>
      </c>
      <c r="G298" s="29">
        <v>0</v>
      </c>
      <c r="H298" s="27">
        <v>0</v>
      </c>
      <c r="I298" s="29">
        <v>273</v>
      </c>
      <c r="J298" s="29">
        <v>95048</v>
      </c>
      <c r="K298" s="29">
        <v>17788</v>
      </c>
      <c r="L298" s="29">
        <v>112836</v>
      </c>
      <c r="M298" s="29">
        <v>16077</v>
      </c>
      <c r="N298" s="29">
        <v>17772</v>
      </c>
      <c r="O298" s="29">
        <v>212</v>
      </c>
      <c r="P298" s="29">
        <v>9929</v>
      </c>
      <c r="Q298" s="29">
        <v>1064</v>
      </c>
      <c r="R298" s="29">
        <v>157890</v>
      </c>
      <c r="S298" s="29">
        <v>20643</v>
      </c>
      <c r="T298" s="29">
        <v>137247</v>
      </c>
      <c r="U298" s="29">
        <v>65638</v>
      </c>
      <c r="V298" s="29">
        <v>71609</v>
      </c>
    </row>
    <row r="299" spans="1:22" x14ac:dyDescent="0.2">
      <c r="A299" s="20" t="s">
        <v>172</v>
      </c>
      <c r="B299" s="20" t="s">
        <v>569</v>
      </c>
      <c r="C299" s="25">
        <v>210.54</v>
      </c>
      <c r="D299" s="27">
        <v>1547.4</v>
      </c>
      <c r="E299" s="25">
        <v>1757.94</v>
      </c>
      <c r="F299" s="25">
        <v>0</v>
      </c>
      <c r="G299" s="29">
        <v>19</v>
      </c>
      <c r="H299" s="27">
        <v>0</v>
      </c>
      <c r="I299" s="29">
        <v>1566</v>
      </c>
      <c r="J299" s="29">
        <v>554384</v>
      </c>
      <c r="K299" s="29">
        <v>0</v>
      </c>
      <c r="L299" s="29">
        <v>554384</v>
      </c>
      <c r="M299" s="29">
        <v>92206</v>
      </c>
      <c r="N299" s="29">
        <v>101320</v>
      </c>
      <c r="O299" s="29">
        <v>0</v>
      </c>
      <c r="P299" s="29">
        <v>52228</v>
      </c>
      <c r="Q299" s="29">
        <v>6082</v>
      </c>
      <c r="R299" s="29">
        <v>806220</v>
      </c>
      <c r="S299" s="29">
        <v>88383</v>
      </c>
      <c r="T299" s="29">
        <v>717837</v>
      </c>
      <c r="U299" s="29">
        <v>409412</v>
      </c>
      <c r="V299" s="29">
        <v>308425</v>
      </c>
    </row>
    <row r="300" spans="1:22" x14ac:dyDescent="0.2">
      <c r="A300" s="20" t="s">
        <v>338</v>
      </c>
      <c r="B300" s="20" t="s">
        <v>727</v>
      </c>
      <c r="C300" s="25">
        <v>68.87</v>
      </c>
      <c r="D300" s="27">
        <v>459</v>
      </c>
      <c r="E300" s="25">
        <v>527.87</v>
      </c>
      <c r="F300" s="25">
        <v>1.31</v>
      </c>
      <c r="G300" s="29">
        <v>0</v>
      </c>
      <c r="H300" s="27">
        <v>0</v>
      </c>
      <c r="I300" s="29">
        <v>459</v>
      </c>
      <c r="J300" s="29">
        <v>165582</v>
      </c>
      <c r="K300" s="29">
        <v>7856</v>
      </c>
      <c r="L300" s="29">
        <v>173438</v>
      </c>
      <c r="M300" s="29">
        <v>27017</v>
      </c>
      <c r="N300" s="29">
        <v>29684</v>
      </c>
      <c r="O300" s="29">
        <v>411</v>
      </c>
      <c r="P300" s="29">
        <v>17402</v>
      </c>
      <c r="Q300" s="29">
        <v>1897</v>
      </c>
      <c r="R300" s="29">
        <v>249849</v>
      </c>
      <c r="S300" s="29">
        <v>26545</v>
      </c>
      <c r="T300" s="29">
        <v>223304</v>
      </c>
      <c r="U300" s="29">
        <v>125049</v>
      </c>
      <c r="V300" s="29">
        <v>98255</v>
      </c>
    </row>
    <row r="301" spans="1:22" x14ac:dyDescent="0.2">
      <c r="A301" s="20" t="s">
        <v>29</v>
      </c>
      <c r="B301" s="20" t="s">
        <v>440</v>
      </c>
      <c r="C301" s="25">
        <v>98.06</v>
      </c>
      <c r="D301" s="27">
        <v>786.9</v>
      </c>
      <c r="E301" s="25">
        <v>884.96</v>
      </c>
      <c r="F301" s="25">
        <v>0</v>
      </c>
      <c r="G301" s="29">
        <v>45</v>
      </c>
      <c r="H301" s="27">
        <v>0</v>
      </c>
      <c r="I301" s="29">
        <v>832</v>
      </c>
      <c r="J301" s="29">
        <v>288736</v>
      </c>
      <c r="K301" s="29">
        <v>9406</v>
      </c>
      <c r="L301" s="29">
        <v>298142</v>
      </c>
      <c r="M301" s="29">
        <v>49288</v>
      </c>
      <c r="N301" s="29">
        <v>55245</v>
      </c>
      <c r="O301" s="29">
        <v>0</v>
      </c>
      <c r="P301" s="29">
        <v>30637</v>
      </c>
      <c r="Q301" s="29">
        <v>3646</v>
      </c>
      <c r="R301" s="29">
        <v>436958</v>
      </c>
      <c r="S301" s="29">
        <v>51797</v>
      </c>
      <c r="T301" s="29">
        <v>385161</v>
      </c>
      <c r="U301" s="29">
        <v>203726</v>
      </c>
      <c r="V301" s="29">
        <v>181435</v>
      </c>
    </row>
    <row r="302" spans="1:22" x14ac:dyDescent="0.2">
      <c r="A302" s="20" t="s">
        <v>339</v>
      </c>
      <c r="B302" s="20" t="s">
        <v>728</v>
      </c>
      <c r="C302" s="25">
        <v>76.87</v>
      </c>
      <c r="D302" s="27">
        <v>557.29999999999995</v>
      </c>
      <c r="E302" s="25">
        <v>634.16999999999996</v>
      </c>
      <c r="F302" s="25">
        <v>1.57</v>
      </c>
      <c r="G302" s="29">
        <v>0</v>
      </c>
      <c r="H302" s="27">
        <v>0</v>
      </c>
      <c r="I302" s="29">
        <v>557</v>
      </c>
      <c r="J302" s="29">
        <v>198926</v>
      </c>
      <c r="K302" s="29">
        <v>30080</v>
      </c>
      <c r="L302" s="29">
        <v>229006</v>
      </c>
      <c r="M302" s="29">
        <v>32785</v>
      </c>
      <c r="N302" s="29">
        <v>36021</v>
      </c>
      <c r="O302" s="29">
        <v>492</v>
      </c>
      <c r="P302" s="29">
        <v>20497</v>
      </c>
      <c r="Q302" s="29">
        <v>2234</v>
      </c>
      <c r="R302" s="29">
        <v>321035</v>
      </c>
      <c r="S302" s="29">
        <v>34892</v>
      </c>
      <c r="T302" s="29">
        <v>286143</v>
      </c>
      <c r="U302" s="29">
        <v>146774</v>
      </c>
      <c r="V302" s="29">
        <v>139369</v>
      </c>
    </row>
    <row r="303" spans="1:22" x14ac:dyDescent="0.2">
      <c r="A303" s="20" t="s">
        <v>114</v>
      </c>
      <c r="B303" s="20" t="s">
        <v>515</v>
      </c>
      <c r="C303" s="25">
        <v>67.33</v>
      </c>
      <c r="D303" s="27">
        <v>676.8</v>
      </c>
      <c r="E303" s="25">
        <v>744.13</v>
      </c>
      <c r="F303" s="25">
        <v>0.99</v>
      </c>
      <c r="G303" s="29">
        <v>19</v>
      </c>
      <c r="H303" s="27">
        <v>0</v>
      </c>
      <c r="I303" s="29">
        <v>696</v>
      </c>
      <c r="J303" s="29">
        <v>237854</v>
      </c>
      <c r="K303" s="29">
        <v>0</v>
      </c>
      <c r="L303" s="29">
        <v>237854</v>
      </c>
      <c r="M303" s="29">
        <v>41196</v>
      </c>
      <c r="N303" s="29">
        <v>45950</v>
      </c>
      <c r="O303" s="29">
        <v>316</v>
      </c>
      <c r="P303" s="29">
        <v>29683</v>
      </c>
      <c r="Q303" s="29">
        <v>3416</v>
      </c>
      <c r="R303" s="29">
        <v>358415</v>
      </c>
      <c r="S303" s="29">
        <v>33496</v>
      </c>
      <c r="T303" s="29">
        <v>324919</v>
      </c>
      <c r="U303" s="29">
        <v>185883</v>
      </c>
      <c r="V303" s="29">
        <v>139036</v>
      </c>
    </row>
    <row r="304" spans="1:22" x14ac:dyDescent="0.2">
      <c r="A304" s="20" t="s">
        <v>173</v>
      </c>
      <c r="B304" s="20" t="s">
        <v>570</v>
      </c>
      <c r="C304" s="25">
        <v>224.34</v>
      </c>
      <c r="D304" s="27">
        <v>1615.5</v>
      </c>
      <c r="E304" s="25">
        <v>1839.84</v>
      </c>
      <c r="F304" s="25">
        <v>0</v>
      </c>
      <c r="G304" s="29">
        <v>78</v>
      </c>
      <c r="H304" s="27">
        <v>0.6</v>
      </c>
      <c r="I304" s="29">
        <v>1693</v>
      </c>
      <c r="J304" s="29">
        <v>580212</v>
      </c>
      <c r="K304" s="29">
        <v>20549</v>
      </c>
      <c r="L304" s="29">
        <v>600761</v>
      </c>
      <c r="M304" s="29">
        <v>99684</v>
      </c>
      <c r="N304" s="29">
        <v>109537</v>
      </c>
      <c r="O304" s="29">
        <v>0</v>
      </c>
      <c r="P304" s="29">
        <v>56477</v>
      </c>
      <c r="Q304" s="29">
        <v>6574</v>
      </c>
      <c r="R304" s="29">
        <v>873033</v>
      </c>
      <c r="S304" s="29">
        <v>80503</v>
      </c>
      <c r="T304" s="29">
        <v>792530</v>
      </c>
      <c r="U304" s="29">
        <v>442508</v>
      </c>
      <c r="V304" s="29">
        <v>350022</v>
      </c>
    </row>
    <row r="305" spans="1:22" x14ac:dyDescent="0.2">
      <c r="A305" s="20" t="s">
        <v>115</v>
      </c>
      <c r="B305" s="20" t="s">
        <v>516</v>
      </c>
      <c r="C305" s="25">
        <v>2303.5500000000002</v>
      </c>
      <c r="D305" s="27">
        <v>10626.6</v>
      </c>
      <c r="E305" s="25">
        <v>12930.15</v>
      </c>
      <c r="F305" s="25">
        <v>17.22</v>
      </c>
      <c r="G305" s="29">
        <v>1209</v>
      </c>
      <c r="H305" s="27">
        <v>10.9</v>
      </c>
      <c r="I305" s="29">
        <v>11825</v>
      </c>
      <c r="J305" s="29">
        <v>4132993</v>
      </c>
      <c r="K305" s="29">
        <v>0</v>
      </c>
      <c r="L305" s="29">
        <v>4132993</v>
      </c>
      <c r="M305" s="29">
        <v>699922</v>
      </c>
      <c r="N305" s="29">
        <v>780687</v>
      </c>
      <c r="O305" s="29">
        <v>5504</v>
      </c>
      <c r="P305" s="29">
        <v>517666</v>
      </c>
      <c r="Q305" s="29">
        <v>59532</v>
      </c>
      <c r="R305" s="29">
        <v>6196304</v>
      </c>
      <c r="S305" s="29">
        <v>541622</v>
      </c>
      <c r="T305" s="29">
        <v>5654682</v>
      </c>
      <c r="U305" s="29">
        <v>3272419</v>
      </c>
      <c r="V305" s="29">
        <v>2382263</v>
      </c>
    </row>
    <row r="306" spans="1:22" x14ac:dyDescent="0.2">
      <c r="A306" s="20" t="s">
        <v>226</v>
      </c>
      <c r="B306" s="20" t="s">
        <v>620</v>
      </c>
      <c r="C306" s="25">
        <v>1077.17</v>
      </c>
      <c r="D306" s="27">
        <v>11994.7</v>
      </c>
      <c r="E306" s="25">
        <v>13071.87</v>
      </c>
      <c r="F306" s="25">
        <v>0</v>
      </c>
      <c r="G306" s="29">
        <v>1175</v>
      </c>
      <c r="H306" s="27">
        <v>0.6</v>
      </c>
      <c r="I306" s="29">
        <v>13169</v>
      </c>
      <c r="J306" s="29">
        <v>4029535</v>
      </c>
      <c r="K306" s="29">
        <v>0</v>
      </c>
      <c r="L306" s="29">
        <v>4029535</v>
      </c>
      <c r="M306" s="29">
        <v>773810</v>
      </c>
      <c r="N306" s="29">
        <v>849664</v>
      </c>
      <c r="O306" s="29">
        <v>0</v>
      </c>
      <c r="P306" s="29">
        <v>339084</v>
      </c>
      <c r="Q306" s="29">
        <v>42745</v>
      </c>
      <c r="R306" s="29">
        <v>6034838</v>
      </c>
      <c r="S306" s="29">
        <v>115205</v>
      </c>
      <c r="T306" s="29">
        <v>5919633</v>
      </c>
      <c r="U306" s="29">
        <v>3534592</v>
      </c>
      <c r="V306" s="29">
        <v>2385041</v>
      </c>
    </row>
    <row r="307" spans="1:22" x14ac:dyDescent="0.2">
      <c r="A307" s="20" t="s">
        <v>116</v>
      </c>
      <c r="B307" s="20" t="s">
        <v>517</v>
      </c>
      <c r="C307" s="25">
        <v>253.85</v>
      </c>
      <c r="D307" s="27">
        <v>2119.1</v>
      </c>
      <c r="E307" s="25">
        <v>2372.9499999999998</v>
      </c>
      <c r="F307" s="25">
        <v>3.16</v>
      </c>
      <c r="G307" s="29">
        <v>112</v>
      </c>
      <c r="H307" s="27">
        <v>0.9</v>
      </c>
      <c r="I307" s="29">
        <v>2230</v>
      </c>
      <c r="J307" s="29">
        <v>758490</v>
      </c>
      <c r="K307" s="29">
        <v>0</v>
      </c>
      <c r="L307" s="29">
        <v>758490</v>
      </c>
      <c r="M307" s="29">
        <v>131994</v>
      </c>
      <c r="N307" s="29">
        <v>147225</v>
      </c>
      <c r="O307" s="29">
        <v>1010</v>
      </c>
      <c r="P307" s="29">
        <v>94657</v>
      </c>
      <c r="Q307" s="29">
        <v>10892</v>
      </c>
      <c r="R307" s="29">
        <v>1144268</v>
      </c>
      <c r="S307" s="29">
        <v>88570</v>
      </c>
      <c r="T307" s="29">
        <v>1055698</v>
      </c>
      <c r="U307" s="29">
        <v>611007</v>
      </c>
      <c r="V307" s="29">
        <v>444691</v>
      </c>
    </row>
    <row r="308" spans="1:22" x14ac:dyDescent="0.2">
      <c r="A308" s="20" t="s">
        <v>340</v>
      </c>
      <c r="B308" s="20" t="s">
        <v>729</v>
      </c>
      <c r="C308" s="25">
        <v>64.98</v>
      </c>
      <c r="D308" s="27">
        <v>545.20000000000005</v>
      </c>
      <c r="E308" s="25">
        <v>610.17999999999995</v>
      </c>
      <c r="F308" s="25">
        <v>1.51</v>
      </c>
      <c r="G308" s="29">
        <v>0</v>
      </c>
      <c r="H308" s="27">
        <v>0</v>
      </c>
      <c r="I308" s="29">
        <v>545</v>
      </c>
      <c r="J308" s="29">
        <v>191401</v>
      </c>
      <c r="K308" s="29">
        <v>13083</v>
      </c>
      <c r="L308" s="29">
        <v>204484</v>
      </c>
      <c r="M308" s="29">
        <v>32079</v>
      </c>
      <c r="N308" s="29">
        <v>35245</v>
      </c>
      <c r="O308" s="29">
        <v>474</v>
      </c>
      <c r="P308" s="29">
        <v>20517</v>
      </c>
      <c r="Q308" s="29">
        <v>2237</v>
      </c>
      <c r="R308" s="29">
        <v>295036</v>
      </c>
      <c r="S308" s="29">
        <v>35052</v>
      </c>
      <c r="T308" s="29">
        <v>259984</v>
      </c>
      <c r="U308" s="29">
        <v>140625</v>
      </c>
      <c r="V308" s="29">
        <v>119359</v>
      </c>
    </row>
    <row r="309" spans="1:22" x14ac:dyDescent="0.2">
      <c r="A309" s="20" t="s">
        <v>60</v>
      </c>
      <c r="B309" s="20" t="s">
        <v>470</v>
      </c>
      <c r="C309" s="25">
        <v>203.68</v>
      </c>
      <c r="D309" s="27">
        <v>1740</v>
      </c>
      <c r="E309" s="25">
        <v>1943.68</v>
      </c>
      <c r="F309" s="25">
        <v>0</v>
      </c>
      <c r="G309" s="29">
        <v>78</v>
      </c>
      <c r="H309" s="27">
        <v>0</v>
      </c>
      <c r="I309" s="29">
        <v>1818</v>
      </c>
      <c r="J309" s="29">
        <v>634164</v>
      </c>
      <c r="K309" s="29">
        <v>0</v>
      </c>
      <c r="L309" s="29">
        <v>634164</v>
      </c>
      <c r="M309" s="29">
        <v>107698</v>
      </c>
      <c r="N309" s="29">
        <v>120715</v>
      </c>
      <c r="O309" s="29">
        <v>0</v>
      </c>
      <c r="P309" s="29">
        <v>67290</v>
      </c>
      <c r="Q309" s="29">
        <v>8008</v>
      </c>
      <c r="R309" s="29">
        <v>937875</v>
      </c>
      <c r="S309" s="29">
        <v>94005</v>
      </c>
      <c r="T309" s="29">
        <v>843870</v>
      </c>
      <c r="U309" s="29">
        <v>467213</v>
      </c>
      <c r="V309" s="29">
        <v>376657</v>
      </c>
    </row>
    <row r="310" spans="1:22" x14ac:dyDescent="0.2">
      <c r="A310" s="20" t="s">
        <v>61</v>
      </c>
      <c r="B310" s="20" t="s">
        <v>471</v>
      </c>
      <c r="C310" s="25">
        <v>37.799999999999997</v>
      </c>
      <c r="D310" s="27">
        <v>307</v>
      </c>
      <c r="E310" s="25">
        <v>344.8</v>
      </c>
      <c r="F310" s="25">
        <v>0</v>
      </c>
      <c r="G310" s="29">
        <v>27</v>
      </c>
      <c r="H310" s="27">
        <v>0</v>
      </c>
      <c r="I310" s="29">
        <v>334</v>
      </c>
      <c r="J310" s="29">
        <v>112498</v>
      </c>
      <c r="K310" s="29">
        <v>3481</v>
      </c>
      <c r="L310" s="29">
        <v>115979</v>
      </c>
      <c r="M310" s="29">
        <v>19786</v>
      </c>
      <c r="N310" s="29">
        <v>22178</v>
      </c>
      <c r="O310" s="29">
        <v>0</v>
      </c>
      <c r="P310" s="29">
        <v>11937</v>
      </c>
      <c r="Q310" s="29">
        <v>1421</v>
      </c>
      <c r="R310" s="29">
        <v>171301</v>
      </c>
      <c r="S310" s="29">
        <v>19619</v>
      </c>
      <c r="T310" s="29">
        <v>151682</v>
      </c>
      <c r="U310" s="29">
        <v>79939</v>
      </c>
      <c r="V310" s="29">
        <v>71743</v>
      </c>
    </row>
    <row r="311" spans="1:22" x14ac:dyDescent="0.2">
      <c r="A311" s="20" t="s">
        <v>174</v>
      </c>
      <c r="B311" s="20" t="s">
        <v>571</v>
      </c>
      <c r="C311" s="25">
        <v>90.87</v>
      </c>
      <c r="D311" s="27">
        <v>757.9</v>
      </c>
      <c r="E311" s="25">
        <v>848.77</v>
      </c>
      <c r="F311" s="25">
        <v>0</v>
      </c>
      <c r="G311" s="29">
        <v>9</v>
      </c>
      <c r="H311" s="27">
        <v>0</v>
      </c>
      <c r="I311" s="29">
        <v>767</v>
      </c>
      <c r="J311" s="29">
        <v>267668</v>
      </c>
      <c r="K311" s="29">
        <v>0</v>
      </c>
      <c r="L311" s="29">
        <v>267668</v>
      </c>
      <c r="M311" s="29">
        <v>45161</v>
      </c>
      <c r="N311" s="29">
        <v>49625</v>
      </c>
      <c r="O311" s="29">
        <v>0</v>
      </c>
      <c r="P311" s="29">
        <v>25217</v>
      </c>
      <c r="Q311" s="29">
        <v>2937</v>
      </c>
      <c r="R311" s="29">
        <v>390608</v>
      </c>
      <c r="S311" s="29">
        <v>35036</v>
      </c>
      <c r="T311" s="29">
        <v>355572</v>
      </c>
      <c r="U311" s="29">
        <v>205311</v>
      </c>
      <c r="V311" s="29">
        <v>150261</v>
      </c>
    </row>
    <row r="312" spans="1:22" x14ac:dyDescent="0.2">
      <c r="A312" s="20" t="s">
        <v>341</v>
      </c>
      <c r="B312" s="20" t="s">
        <v>730</v>
      </c>
      <c r="C312" s="25">
        <v>61.49</v>
      </c>
      <c r="D312" s="27">
        <v>445</v>
      </c>
      <c r="E312" s="25">
        <v>506.49</v>
      </c>
      <c r="F312" s="25">
        <v>1.26</v>
      </c>
      <c r="G312" s="29">
        <v>7</v>
      </c>
      <c r="H312" s="27">
        <v>0</v>
      </c>
      <c r="I312" s="29">
        <v>452</v>
      </c>
      <c r="J312" s="29">
        <v>158876</v>
      </c>
      <c r="K312" s="29">
        <v>0</v>
      </c>
      <c r="L312" s="29">
        <v>158876</v>
      </c>
      <c r="M312" s="29">
        <v>26605</v>
      </c>
      <c r="N312" s="29">
        <v>29231</v>
      </c>
      <c r="O312" s="29">
        <v>395</v>
      </c>
      <c r="P312" s="29">
        <v>15949</v>
      </c>
      <c r="Q312" s="29">
        <v>1742</v>
      </c>
      <c r="R312" s="29">
        <v>232798</v>
      </c>
      <c r="S312" s="29">
        <v>21967</v>
      </c>
      <c r="T312" s="29">
        <v>210831</v>
      </c>
      <c r="U312" s="29">
        <v>122662</v>
      </c>
      <c r="V312" s="29">
        <v>88169</v>
      </c>
    </row>
    <row r="313" spans="1:22" x14ac:dyDescent="0.2">
      <c r="A313" s="20" t="s">
        <v>19</v>
      </c>
      <c r="B313" s="20" t="s">
        <v>431</v>
      </c>
      <c r="C313" s="25">
        <v>36.89</v>
      </c>
      <c r="D313" s="27">
        <v>262</v>
      </c>
      <c r="E313" s="25">
        <v>298.89</v>
      </c>
      <c r="F313" s="25">
        <v>0.84</v>
      </c>
      <c r="G313" s="29">
        <v>0</v>
      </c>
      <c r="H313" s="27">
        <v>0</v>
      </c>
      <c r="I313" s="29">
        <v>262</v>
      </c>
      <c r="J313" s="29">
        <v>98789</v>
      </c>
      <c r="K313" s="29">
        <v>0</v>
      </c>
      <c r="L313" s="29">
        <v>98789</v>
      </c>
      <c r="M313" s="29">
        <v>15500</v>
      </c>
      <c r="N313" s="29">
        <v>17274</v>
      </c>
      <c r="O313" s="29">
        <v>278</v>
      </c>
      <c r="P313" s="29">
        <v>9762</v>
      </c>
      <c r="Q313" s="29">
        <v>1055</v>
      </c>
      <c r="R313" s="29">
        <v>142658</v>
      </c>
      <c r="S313" s="29">
        <v>16863</v>
      </c>
      <c r="T313" s="29">
        <v>125795</v>
      </c>
      <c r="U313" s="29">
        <v>68887</v>
      </c>
      <c r="V313" s="29">
        <v>56908</v>
      </c>
    </row>
    <row r="314" spans="1:22" x14ac:dyDescent="0.2">
      <c r="A314" s="20" t="s">
        <v>20</v>
      </c>
      <c r="B314" s="20" t="s">
        <v>432</v>
      </c>
      <c r="C314" s="25">
        <v>178.3</v>
      </c>
      <c r="D314" s="27">
        <v>1399.3</v>
      </c>
      <c r="E314" s="25">
        <v>1577.6</v>
      </c>
      <c r="F314" s="25">
        <v>4.42</v>
      </c>
      <c r="G314" s="29">
        <v>191</v>
      </c>
      <c r="H314" s="27">
        <v>1</v>
      </c>
      <c r="I314" s="29">
        <v>1589</v>
      </c>
      <c r="J314" s="29">
        <v>521428</v>
      </c>
      <c r="K314" s="29">
        <v>0</v>
      </c>
      <c r="L314" s="29">
        <v>521428</v>
      </c>
      <c r="M314" s="29">
        <v>94005</v>
      </c>
      <c r="N314" s="29">
        <v>104763</v>
      </c>
      <c r="O314" s="29">
        <v>1461</v>
      </c>
      <c r="P314" s="29">
        <v>51524</v>
      </c>
      <c r="Q314" s="29">
        <v>5569</v>
      </c>
      <c r="R314" s="29">
        <v>778750</v>
      </c>
      <c r="S314" s="29">
        <v>90517</v>
      </c>
      <c r="T314" s="29">
        <v>688233</v>
      </c>
      <c r="U314" s="29">
        <v>362081</v>
      </c>
      <c r="V314" s="29">
        <v>326152</v>
      </c>
    </row>
    <row r="315" spans="1:22" x14ac:dyDescent="0.2">
      <c r="A315" s="20" t="s">
        <v>228</v>
      </c>
      <c r="B315" s="20" t="s">
        <v>622</v>
      </c>
      <c r="C315" s="25">
        <v>1078.19</v>
      </c>
      <c r="D315" s="27">
        <v>8820.1</v>
      </c>
      <c r="E315" s="25">
        <v>9898.2900000000009</v>
      </c>
      <c r="F315" s="25">
        <v>0</v>
      </c>
      <c r="G315" s="29">
        <v>1224</v>
      </c>
      <c r="H315" s="27">
        <v>3.7</v>
      </c>
      <c r="I315" s="29">
        <v>10040</v>
      </c>
      <c r="J315" s="29">
        <v>3051247</v>
      </c>
      <c r="K315" s="29">
        <v>0</v>
      </c>
      <c r="L315" s="29">
        <v>3051247</v>
      </c>
      <c r="M315" s="29">
        <v>589950</v>
      </c>
      <c r="N315" s="29">
        <v>647781</v>
      </c>
      <c r="O315" s="29">
        <v>0</v>
      </c>
      <c r="P315" s="29">
        <v>256762</v>
      </c>
      <c r="Q315" s="29">
        <v>32367</v>
      </c>
      <c r="R315" s="29">
        <v>4578107</v>
      </c>
      <c r="S315" s="29">
        <v>390197</v>
      </c>
      <c r="T315" s="29">
        <v>4187910</v>
      </c>
      <c r="U315" s="29">
        <v>2373505</v>
      </c>
      <c r="V315" s="29">
        <v>1814405</v>
      </c>
    </row>
    <row r="316" spans="1:22" x14ac:dyDescent="0.2">
      <c r="A316" s="20" t="s">
        <v>21</v>
      </c>
      <c r="B316" s="20" t="s">
        <v>433</v>
      </c>
      <c r="C316" s="25">
        <v>414.11</v>
      </c>
      <c r="D316" s="27">
        <v>3197.7</v>
      </c>
      <c r="E316" s="25">
        <v>3611.81</v>
      </c>
      <c r="F316" s="25">
        <v>10.119999999999999</v>
      </c>
      <c r="G316" s="29">
        <v>1061</v>
      </c>
      <c r="H316" s="27">
        <v>3.6</v>
      </c>
      <c r="I316" s="29">
        <v>4255</v>
      </c>
      <c r="J316" s="29">
        <v>1193775</v>
      </c>
      <c r="K316" s="29">
        <v>0</v>
      </c>
      <c r="L316" s="29">
        <v>1193775</v>
      </c>
      <c r="M316" s="29">
        <v>251726</v>
      </c>
      <c r="N316" s="29">
        <v>280532</v>
      </c>
      <c r="O316" s="29">
        <v>3345</v>
      </c>
      <c r="P316" s="29">
        <v>117962</v>
      </c>
      <c r="Q316" s="29">
        <v>12750</v>
      </c>
      <c r="R316" s="29">
        <v>1860090</v>
      </c>
      <c r="S316" s="29">
        <v>140594</v>
      </c>
      <c r="T316" s="29">
        <v>1719496</v>
      </c>
      <c r="U316" s="29">
        <v>895601</v>
      </c>
      <c r="V316" s="29">
        <v>823895</v>
      </c>
    </row>
    <row r="317" spans="1:22" x14ac:dyDescent="0.2">
      <c r="A317" s="20" t="s">
        <v>308</v>
      </c>
      <c r="B317" s="20" t="s">
        <v>699</v>
      </c>
      <c r="C317" s="25">
        <v>47.85</v>
      </c>
      <c r="D317" s="27">
        <v>339.7</v>
      </c>
      <c r="E317" s="25">
        <v>387.55</v>
      </c>
      <c r="F317" s="25">
        <v>0.86</v>
      </c>
      <c r="G317" s="29">
        <v>0</v>
      </c>
      <c r="H317" s="27">
        <v>0</v>
      </c>
      <c r="I317" s="29">
        <v>340</v>
      </c>
      <c r="J317" s="29">
        <v>122590</v>
      </c>
      <c r="K317" s="29">
        <v>25370</v>
      </c>
      <c r="L317" s="29">
        <v>147960</v>
      </c>
      <c r="M317" s="29">
        <v>20023</v>
      </c>
      <c r="N317" s="29">
        <v>22134</v>
      </c>
      <c r="O317" s="29">
        <v>272</v>
      </c>
      <c r="P317" s="29">
        <v>12588</v>
      </c>
      <c r="Q317" s="29">
        <v>1353</v>
      </c>
      <c r="R317" s="29">
        <v>204330</v>
      </c>
      <c r="S317" s="29">
        <v>25347</v>
      </c>
      <c r="T317" s="29">
        <v>178983</v>
      </c>
      <c r="U317" s="29">
        <v>85697</v>
      </c>
      <c r="V317" s="29">
        <v>93286</v>
      </c>
    </row>
    <row r="318" spans="1:22" x14ac:dyDescent="0.2">
      <c r="A318" s="20" t="s">
        <v>140</v>
      </c>
      <c r="B318" s="20" t="s">
        <v>540</v>
      </c>
      <c r="C318" s="25">
        <v>139.49</v>
      </c>
      <c r="D318" s="27">
        <v>1238.5</v>
      </c>
      <c r="E318" s="25">
        <v>1377.99</v>
      </c>
      <c r="F318" s="25">
        <v>2.4900000000000002</v>
      </c>
      <c r="G318" s="29">
        <v>4</v>
      </c>
      <c r="H318" s="27">
        <v>0</v>
      </c>
      <c r="I318" s="29">
        <v>1243</v>
      </c>
      <c r="J318" s="29">
        <v>437209</v>
      </c>
      <c r="K318" s="29">
        <v>16633</v>
      </c>
      <c r="L318" s="29">
        <v>453842</v>
      </c>
      <c r="M318" s="29">
        <v>72964</v>
      </c>
      <c r="N318" s="29">
        <v>79676</v>
      </c>
      <c r="O318" s="29">
        <v>790</v>
      </c>
      <c r="P318" s="29">
        <v>40998</v>
      </c>
      <c r="Q318" s="29">
        <v>4812</v>
      </c>
      <c r="R318" s="29">
        <v>653082</v>
      </c>
      <c r="S318" s="29">
        <v>51632</v>
      </c>
      <c r="T318" s="29">
        <v>601450</v>
      </c>
      <c r="U318" s="29">
        <v>339298</v>
      </c>
      <c r="V318" s="29">
        <v>262152</v>
      </c>
    </row>
    <row r="319" spans="1:22" x14ac:dyDescent="0.2">
      <c r="A319" s="20" t="s">
        <v>259</v>
      </c>
      <c r="B319" s="20" t="s">
        <v>653</v>
      </c>
      <c r="C319" s="25">
        <v>72.540000000000006</v>
      </c>
      <c r="D319" s="27">
        <v>940.6</v>
      </c>
      <c r="E319" s="25">
        <v>1013.14</v>
      </c>
      <c r="F319" s="25">
        <v>2.0699999999999998</v>
      </c>
      <c r="G319" s="29">
        <v>130</v>
      </c>
      <c r="H319" s="27">
        <v>0</v>
      </c>
      <c r="I319" s="29">
        <v>1071</v>
      </c>
      <c r="J319" s="29">
        <v>327143</v>
      </c>
      <c r="K319" s="29">
        <v>0</v>
      </c>
      <c r="L319" s="29">
        <v>327143</v>
      </c>
      <c r="M319" s="29">
        <v>63371</v>
      </c>
      <c r="N319" s="29">
        <v>71007</v>
      </c>
      <c r="O319" s="29">
        <v>668</v>
      </c>
      <c r="P319" s="29">
        <v>32927</v>
      </c>
      <c r="Q319" s="29">
        <v>3931</v>
      </c>
      <c r="R319" s="29">
        <v>499047</v>
      </c>
      <c r="S319" s="29">
        <v>39031</v>
      </c>
      <c r="T319" s="29">
        <v>460016</v>
      </c>
      <c r="U319" s="29">
        <v>251630</v>
      </c>
      <c r="V319" s="29">
        <v>208386</v>
      </c>
    </row>
    <row r="320" spans="1:22" x14ac:dyDescent="0.2">
      <c r="A320" s="20" t="s">
        <v>119</v>
      </c>
      <c r="B320" s="20" t="s">
        <v>520</v>
      </c>
      <c r="C320" s="25">
        <v>86.43</v>
      </c>
      <c r="D320" s="27">
        <v>815.3</v>
      </c>
      <c r="E320" s="25">
        <v>901.73</v>
      </c>
      <c r="F320" s="25">
        <v>1.2</v>
      </c>
      <c r="G320" s="29">
        <v>2</v>
      </c>
      <c r="H320" s="27">
        <v>0</v>
      </c>
      <c r="I320" s="29">
        <v>817</v>
      </c>
      <c r="J320" s="29">
        <v>288229</v>
      </c>
      <c r="K320" s="29">
        <v>6534</v>
      </c>
      <c r="L320" s="29">
        <v>294763</v>
      </c>
      <c r="M320" s="29">
        <v>48358</v>
      </c>
      <c r="N320" s="29">
        <v>53938</v>
      </c>
      <c r="O320" s="29">
        <v>384</v>
      </c>
      <c r="P320" s="29">
        <v>35970</v>
      </c>
      <c r="Q320" s="29">
        <v>4139</v>
      </c>
      <c r="R320" s="29">
        <v>437552</v>
      </c>
      <c r="S320" s="29">
        <v>38932</v>
      </c>
      <c r="T320" s="29">
        <v>398620</v>
      </c>
      <c r="U320" s="29">
        <v>226910</v>
      </c>
      <c r="V320" s="29">
        <v>171710</v>
      </c>
    </row>
    <row r="321" spans="1:22" x14ac:dyDescent="0.2">
      <c r="A321" s="20" t="s">
        <v>260</v>
      </c>
      <c r="B321" s="20" t="s">
        <v>654</v>
      </c>
      <c r="C321" s="25">
        <v>114.99</v>
      </c>
      <c r="D321" s="27">
        <v>630.20000000000005</v>
      </c>
      <c r="E321" s="25">
        <v>745.19</v>
      </c>
      <c r="F321" s="25">
        <v>1.52</v>
      </c>
      <c r="G321" s="29">
        <v>4</v>
      </c>
      <c r="H321" s="27">
        <v>0</v>
      </c>
      <c r="I321" s="29">
        <v>634</v>
      </c>
      <c r="J321" s="29">
        <v>240622</v>
      </c>
      <c r="K321" s="29">
        <v>0</v>
      </c>
      <c r="L321" s="29">
        <v>240622</v>
      </c>
      <c r="M321" s="29">
        <v>37514</v>
      </c>
      <c r="N321" s="29">
        <v>42034</v>
      </c>
      <c r="O321" s="29">
        <v>491</v>
      </c>
      <c r="P321" s="29">
        <v>24219</v>
      </c>
      <c r="Q321" s="29">
        <v>2891</v>
      </c>
      <c r="R321" s="29">
        <v>347771</v>
      </c>
      <c r="S321" s="29">
        <v>33583</v>
      </c>
      <c r="T321" s="29">
        <v>314188</v>
      </c>
      <c r="U321" s="29">
        <v>180205</v>
      </c>
      <c r="V321" s="29">
        <v>133983</v>
      </c>
    </row>
    <row r="322" spans="1:22" x14ac:dyDescent="0.2">
      <c r="A322" s="20" t="s">
        <v>261</v>
      </c>
      <c r="B322" s="20" t="s">
        <v>655</v>
      </c>
      <c r="C322" s="25">
        <v>128.71</v>
      </c>
      <c r="D322" s="27">
        <v>829.8</v>
      </c>
      <c r="E322" s="25">
        <v>958.51</v>
      </c>
      <c r="F322" s="25">
        <v>1.96</v>
      </c>
      <c r="G322" s="29">
        <v>95</v>
      </c>
      <c r="H322" s="27">
        <v>0.1</v>
      </c>
      <c r="I322" s="29">
        <v>925</v>
      </c>
      <c r="J322" s="29">
        <v>309503</v>
      </c>
      <c r="K322" s="29">
        <v>5930</v>
      </c>
      <c r="L322" s="29">
        <v>315433</v>
      </c>
      <c r="M322" s="29">
        <v>54732</v>
      </c>
      <c r="N322" s="29">
        <v>61328</v>
      </c>
      <c r="O322" s="29">
        <v>633</v>
      </c>
      <c r="P322" s="29">
        <v>31734</v>
      </c>
      <c r="Q322" s="29">
        <v>3789</v>
      </c>
      <c r="R322" s="29">
        <v>467649</v>
      </c>
      <c r="S322" s="29">
        <v>37148</v>
      </c>
      <c r="T322" s="29">
        <v>430501</v>
      </c>
      <c r="U322" s="29">
        <v>238493</v>
      </c>
      <c r="V322" s="29">
        <v>192008</v>
      </c>
    </row>
    <row r="323" spans="1:22" x14ac:dyDescent="0.2">
      <c r="A323" s="20" t="s">
        <v>262</v>
      </c>
      <c r="B323" s="20" t="s">
        <v>656</v>
      </c>
      <c r="C323" s="25">
        <v>86.35</v>
      </c>
      <c r="D323" s="27">
        <v>532.4</v>
      </c>
      <c r="E323" s="25">
        <v>618.75</v>
      </c>
      <c r="F323" s="25">
        <v>1.26</v>
      </c>
      <c r="G323" s="29">
        <v>10</v>
      </c>
      <c r="H323" s="27">
        <v>0</v>
      </c>
      <c r="I323" s="29">
        <v>542</v>
      </c>
      <c r="J323" s="29">
        <v>199794</v>
      </c>
      <c r="K323" s="29">
        <v>0</v>
      </c>
      <c r="L323" s="29">
        <v>199794</v>
      </c>
      <c r="M323" s="29">
        <v>32070</v>
      </c>
      <c r="N323" s="29">
        <v>35935</v>
      </c>
      <c r="O323" s="29">
        <v>407</v>
      </c>
      <c r="P323" s="29">
        <v>20109</v>
      </c>
      <c r="Q323" s="29">
        <v>2401</v>
      </c>
      <c r="R323" s="29">
        <v>290716</v>
      </c>
      <c r="S323" s="29">
        <v>31987</v>
      </c>
      <c r="T323" s="29">
        <v>258729</v>
      </c>
      <c r="U323" s="29">
        <v>145526</v>
      </c>
      <c r="V323" s="29">
        <v>113203</v>
      </c>
    </row>
    <row r="324" spans="1:22" x14ac:dyDescent="0.2">
      <c r="A324" s="20" t="s">
        <v>263</v>
      </c>
      <c r="B324" s="20" t="s">
        <v>657</v>
      </c>
      <c r="C324" s="25">
        <v>28.47</v>
      </c>
      <c r="D324" s="27">
        <v>187.1</v>
      </c>
      <c r="E324" s="25">
        <v>215.57</v>
      </c>
      <c r="F324" s="25">
        <v>0.44</v>
      </c>
      <c r="G324" s="29">
        <v>1</v>
      </c>
      <c r="H324" s="27">
        <v>0</v>
      </c>
      <c r="I324" s="29">
        <v>188</v>
      </c>
      <c r="J324" s="29">
        <v>69608</v>
      </c>
      <c r="K324" s="29">
        <v>3324</v>
      </c>
      <c r="L324" s="29">
        <v>72932</v>
      </c>
      <c r="M324" s="29">
        <v>11124</v>
      </c>
      <c r="N324" s="29">
        <v>12464</v>
      </c>
      <c r="O324" s="29">
        <v>142</v>
      </c>
      <c r="P324" s="29">
        <v>7006</v>
      </c>
      <c r="Q324" s="29">
        <v>836</v>
      </c>
      <c r="R324" s="29">
        <v>104504</v>
      </c>
      <c r="S324" s="29">
        <v>11015</v>
      </c>
      <c r="T324" s="29">
        <v>93489</v>
      </c>
      <c r="U324" s="29">
        <v>50830</v>
      </c>
      <c r="V324" s="29">
        <v>42659</v>
      </c>
    </row>
    <row r="325" spans="1:22" x14ac:dyDescent="0.2">
      <c r="A325" s="20" t="s">
        <v>175</v>
      </c>
      <c r="B325" s="20" t="s">
        <v>572</v>
      </c>
      <c r="C325" s="25">
        <v>96.51</v>
      </c>
      <c r="D325" s="27">
        <v>1142.5999999999999</v>
      </c>
      <c r="E325" s="25">
        <v>1239.1099999999999</v>
      </c>
      <c r="F325" s="25">
        <v>0</v>
      </c>
      <c r="G325" s="29">
        <v>73</v>
      </c>
      <c r="H325" s="27">
        <v>1.5</v>
      </c>
      <c r="I325" s="29">
        <v>1214</v>
      </c>
      <c r="J325" s="29">
        <v>390766</v>
      </c>
      <c r="K325" s="29">
        <v>0</v>
      </c>
      <c r="L325" s="29">
        <v>390766</v>
      </c>
      <c r="M325" s="29">
        <v>71480</v>
      </c>
      <c r="N325" s="29">
        <v>78546</v>
      </c>
      <c r="O325" s="29">
        <v>0</v>
      </c>
      <c r="P325" s="29">
        <v>36814</v>
      </c>
      <c r="Q325" s="29">
        <v>4287</v>
      </c>
      <c r="R325" s="29">
        <v>581893</v>
      </c>
      <c r="S325" s="29">
        <v>51123</v>
      </c>
      <c r="T325" s="29">
        <v>530770</v>
      </c>
      <c r="U325" s="29">
        <v>299756</v>
      </c>
      <c r="V325" s="29">
        <v>231014</v>
      </c>
    </row>
    <row r="326" spans="1:22" x14ac:dyDescent="0.2">
      <c r="A326" s="20" t="s">
        <v>141</v>
      </c>
      <c r="B326" s="20" t="s">
        <v>541</v>
      </c>
      <c r="C326" s="25">
        <v>60.36</v>
      </c>
      <c r="D326" s="27">
        <v>843.4</v>
      </c>
      <c r="E326" s="25">
        <v>903.76</v>
      </c>
      <c r="F326" s="25">
        <v>1.63</v>
      </c>
      <c r="G326" s="29">
        <v>0</v>
      </c>
      <c r="H326" s="27">
        <v>0</v>
      </c>
      <c r="I326" s="29">
        <v>843</v>
      </c>
      <c r="J326" s="29">
        <v>286745</v>
      </c>
      <c r="K326" s="29">
        <v>0</v>
      </c>
      <c r="L326" s="29">
        <v>286745</v>
      </c>
      <c r="M326" s="29">
        <v>49484</v>
      </c>
      <c r="N326" s="29">
        <v>54036</v>
      </c>
      <c r="O326" s="29">
        <v>517</v>
      </c>
      <c r="P326" s="29">
        <v>26173</v>
      </c>
      <c r="Q326" s="29">
        <v>3073</v>
      </c>
      <c r="R326" s="29">
        <v>420028</v>
      </c>
      <c r="S326" s="29">
        <v>40568</v>
      </c>
      <c r="T326" s="29">
        <v>379460</v>
      </c>
      <c r="U326" s="29">
        <v>215026</v>
      </c>
      <c r="V326" s="29">
        <v>164434</v>
      </c>
    </row>
    <row r="327" spans="1:22" x14ac:dyDescent="0.2">
      <c r="A327" s="20" t="s">
        <v>342</v>
      </c>
      <c r="B327" s="20" t="s">
        <v>731</v>
      </c>
      <c r="C327" s="25">
        <v>17.78</v>
      </c>
      <c r="D327" s="27">
        <v>314</v>
      </c>
      <c r="E327" s="25">
        <v>331.78</v>
      </c>
      <c r="F327" s="25">
        <v>0.82</v>
      </c>
      <c r="G327" s="29">
        <v>0</v>
      </c>
      <c r="H327" s="27">
        <v>0</v>
      </c>
      <c r="I327" s="29">
        <v>314</v>
      </c>
      <c r="J327" s="29">
        <v>104073</v>
      </c>
      <c r="K327" s="29">
        <v>11655</v>
      </c>
      <c r="L327" s="29">
        <v>115728</v>
      </c>
      <c r="M327" s="29">
        <v>18482</v>
      </c>
      <c r="N327" s="29">
        <v>20306</v>
      </c>
      <c r="O327" s="29">
        <v>257</v>
      </c>
      <c r="P327" s="29">
        <v>10448</v>
      </c>
      <c r="Q327" s="29">
        <v>1141</v>
      </c>
      <c r="R327" s="29">
        <v>166362</v>
      </c>
      <c r="S327" s="29">
        <v>18261</v>
      </c>
      <c r="T327" s="29">
        <v>148101</v>
      </c>
      <c r="U327" s="29">
        <v>76478</v>
      </c>
      <c r="V327" s="29">
        <v>71623</v>
      </c>
    </row>
    <row r="328" spans="1:22" x14ac:dyDescent="0.2">
      <c r="A328" s="20" t="s">
        <v>229</v>
      </c>
      <c r="B328" s="20" t="s">
        <v>623</v>
      </c>
      <c r="C328" s="25">
        <v>190.38</v>
      </c>
      <c r="D328" s="27">
        <v>1669.6</v>
      </c>
      <c r="E328" s="25">
        <v>1859.98</v>
      </c>
      <c r="F328" s="25">
        <v>0</v>
      </c>
      <c r="G328" s="29">
        <v>13</v>
      </c>
      <c r="H328" s="27">
        <v>0</v>
      </c>
      <c r="I328" s="29">
        <v>1683</v>
      </c>
      <c r="J328" s="29">
        <v>573357</v>
      </c>
      <c r="K328" s="29">
        <v>4501</v>
      </c>
      <c r="L328" s="29">
        <v>577858</v>
      </c>
      <c r="M328" s="29">
        <v>98893</v>
      </c>
      <c r="N328" s="29">
        <v>108587</v>
      </c>
      <c r="O328" s="29">
        <v>0</v>
      </c>
      <c r="P328" s="29">
        <v>48364</v>
      </c>
      <c r="Q328" s="29">
        <v>6108</v>
      </c>
      <c r="R328" s="29">
        <v>839810</v>
      </c>
      <c r="S328" s="29">
        <v>70332</v>
      </c>
      <c r="T328" s="29">
        <v>769478</v>
      </c>
      <c r="U328" s="29">
        <v>449135</v>
      </c>
      <c r="V328" s="29">
        <v>320343</v>
      </c>
    </row>
    <row r="329" spans="1:22" x14ac:dyDescent="0.2">
      <c r="A329" s="20" t="s">
        <v>309</v>
      </c>
      <c r="B329" s="20" t="s">
        <v>700</v>
      </c>
      <c r="C329" s="25">
        <v>47.33</v>
      </c>
      <c r="D329" s="27">
        <v>470.3</v>
      </c>
      <c r="E329" s="25">
        <v>517.63</v>
      </c>
      <c r="F329" s="25">
        <v>1.1599999999999999</v>
      </c>
      <c r="G329" s="29">
        <v>4</v>
      </c>
      <c r="H329" s="27">
        <v>0</v>
      </c>
      <c r="I329" s="29">
        <v>474</v>
      </c>
      <c r="J329" s="29">
        <v>163737</v>
      </c>
      <c r="K329" s="29">
        <v>0</v>
      </c>
      <c r="L329" s="29">
        <v>163737</v>
      </c>
      <c r="M329" s="29">
        <v>27914</v>
      </c>
      <c r="N329" s="29">
        <v>30857</v>
      </c>
      <c r="O329" s="29">
        <v>367</v>
      </c>
      <c r="P329" s="29">
        <v>16813</v>
      </c>
      <c r="Q329" s="29">
        <v>1807</v>
      </c>
      <c r="R329" s="29">
        <v>241495</v>
      </c>
      <c r="S329" s="29">
        <v>25428</v>
      </c>
      <c r="T329" s="29">
        <v>216067</v>
      </c>
      <c r="U329" s="29">
        <v>122890</v>
      </c>
      <c r="V329" s="29">
        <v>93177</v>
      </c>
    </row>
    <row r="330" spans="1:22" x14ac:dyDescent="0.2">
      <c r="A330" s="20" t="s">
        <v>264</v>
      </c>
      <c r="B330" s="20" t="s">
        <v>658</v>
      </c>
      <c r="C330" s="25">
        <v>81.819999999999993</v>
      </c>
      <c r="D330" s="27">
        <v>531</v>
      </c>
      <c r="E330" s="25">
        <v>612.82000000000005</v>
      </c>
      <c r="F330" s="25">
        <v>1.25</v>
      </c>
      <c r="G330" s="29">
        <v>1</v>
      </c>
      <c r="H330" s="27">
        <v>0</v>
      </c>
      <c r="I330" s="29">
        <v>532</v>
      </c>
      <c r="J330" s="29">
        <v>197880</v>
      </c>
      <c r="K330" s="29">
        <v>6441</v>
      </c>
      <c r="L330" s="29">
        <v>204321</v>
      </c>
      <c r="M330" s="29">
        <v>31478</v>
      </c>
      <c r="N330" s="29">
        <v>35272</v>
      </c>
      <c r="O330" s="29">
        <v>404</v>
      </c>
      <c r="P330" s="29">
        <v>20556</v>
      </c>
      <c r="Q330" s="29">
        <v>2455</v>
      </c>
      <c r="R330" s="29">
        <v>294486</v>
      </c>
      <c r="S330" s="29">
        <v>27534</v>
      </c>
      <c r="T330" s="29">
        <v>266952</v>
      </c>
      <c r="U330" s="29">
        <v>148995</v>
      </c>
      <c r="V330" s="29">
        <v>117957</v>
      </c>
    </row>
    <row r="331" spans="1:22" x14ac:dyDescent="0.2">
      <c r="A331" s="20" t="s">
        <v>230</v>
      </c>
      <c r="B331" s="20" t="s">
        <v>624</v>
      </c>
      <c r="C331" s="25">
        <v>88.41</v>
      </c>
      <c r="D331" s="27">
        <v>1006.7</v>
      </c>
      <c r="E331" s="25">
        <v>1095.1099999999999</v>
      </c>
      <c r="F331" s="25">
        <v>0</v>
      </c>
      <c r="G331" s="29">
        <v>45</v>
      </c>
      <c r="H331" s="27">
        <v>0</v>
      </c>
      <c r="I331" s="29">
        <v>1052</v>
      </c>
      <c r="J331" s="29">
        <v>337579</v>
      </c>
      <c r="K331" s="29">
        <v>0</v>
      </c>
      <c r="L331" s="29">
        <v>337579</v>
      </c>
      <c r="M331" s="29">
        <v>61816</v>
      </c>
      <c r="N331" s="29">
        <v>67875</v>
      </c>
      <c r="O331" s="29">
        <v>0</v>
      </c>
      <c r="P331" s="29">
        <v>28407</v>
      </c>
      <c r="Q331" s="29">
        <v>3581</v>
      </c>
      <c r="R331" s="29">
        <v>499258</v>
      </c>
      <c r="S331" s="29">
        <v>30067</v>
      </c>
      <c r="T331" s="29">
        <v>469191</v>
      </c>
      <c r="U331" s="29">
        <v>275699</v>
      </c>
      <c r="V331" s="29">
        <v>193492</v>
      </c>
    </row>
    <row r="332" spans="1:22" x14ac:dyDescent="0.2">
      <c r="A332" s="24" t="s">
        <v>398</v>
      </c>
      <c r="B332" s="24"/>
      <c r="C332" s="26">
        <v>66798.250000000058</v>
      </c>
      <c r="D332" s="28">
        <v>484158.49999999965</v>
      </c>
      <c r="E332" s="26">
        <v>550956.74999999988</v>
      </c>
      <c r="F332" s="26">
        <v>562.5600000000004</v>
      </c>
      <c r="G332" s="30">
        <v>32687</v>
      </c>
      <c r="H332" s="28">
        <v>181.89999999999998</v>
      </c>
      <c r="I332" s="30">
        <v>516673</v>
      </c>
      <c r="J332" s="30">
        <v>174214872</v>
      </c>
      <c r="K332" s="30">
        <v>1591125</v>
      </c>
      <c r="L332" s="30">
        <v>175805997</v>
      </c>
      <c r="M332" s="30">
        <v>30448181</v>
      </c>
      <c r="N332" s="30">
        <v>33637154</v>
      </c>
      <c r="O332" s="30">
        <v>180004</v>
      </c>
      <c r="P332" s="30">
        <v>17097333</v>
      </c>
      <c r="Q332" s="30">
        <v>2005047</v>
      </c>
      <c r="R332" s="30">
        <v>259173716</v>
      </c>
      <c r="S332" s="30">
        <v>22500000</v>
      </c>
      <c r="T332" s="30">
        <v>236673716</v>
      </c>
      <c r="U332" s="30">
        <v>134482289</v>
      </c>
      <c r="V332" s="30">
        <v>102191427</v>
      </c>
    </row>
    <row r="333" spans="1:22" ht="15" x14ac:dyDescent="0.25">
      <c r="A333"/>
      <c r="B333"/>
      <c r="C333"/>
      <c r="D333"/>
      <c r="E333"/>
      <c r="F333"/>
      <c r="G333"/>
      <c r="H333"/>
      <c r="I333"/>
      <c r="J333"/>
      <c r="K333"/>
      <c r="L333"/>
      <c r="M333"/>
      <c r="N333"/>
      <c r="O333"/>
      <c r="P333"/>
      <c r="Q333"/>
      <c r="R333"/>
      <c r="S333"/>
      <c r="T333"/>
      <c r="U333"/>
      <c r="V333"/>
    </row>
    <row r="334" spans="1:22" ht="15" x14ac:dyDescent="0.25">
      <c r="A334"/>
      <c r="B334"/>
      <c r="C334"/>
      <c r="D334"/>
      <c r="E334"/>
      <c r="F334"/>
      <c r="G334"/>
      <c r="H334"/>
      <c r="I334"/>
      <c r="J334"/>
      <c r="K334"/>
      <c r="L334"/>
      <c r="M334"/>
      <c r="N334"/>
      <c r="O334"/>
      <c r="P334"/>
      <c r="Q334"/>
      <c r="R334"/>
      <c r="S334"/>
      <c r="T334"/>
      <c r="U334"/>
      <c r="V334"/>
    </row>
    <row r="335" spans="1:22" ht="15" x14ac:dyDescent="0.25">
      <c r="A335"/>
      <c r="B335"/>
      <c r="C335"/>
      <c r="D335"/>
      <c r="E335"/>
      <c r="F335"/>
      <c r="G335"/>
      <c r="H335"/>
      <c r="I335"/>
      <c r="J335"/>
      <c r="K335"/>
      <c r="L335"/>
      <c r="M335"/>
      <c r="N335"/>
      <c r="O335"/>
      <c r="P335"/>
      <c r="Q335"/>
      <c r="R335"/>
      <c r="S335"/>
      <c r="T335"/>
      <c r="U335"/>
      <c r="V335"/>
    </row>
    <row r="336" spans="1:22" ht="15" x14ac:dyDescent="0.25">
      <c r="A336"/>
      <c r="B336"/>
      <c r="C336"/>
      <c r="D336"/>
      <c r="E336"/>
      <c r="F336"/>
      <c r="G336"/>
      <c r="H336"/>
      <c r="I336"/>
      <c r="J336"/>
      <c r="K336"/>
      <c r="L336"/>
      <c r="M336"/>
      <c r="N336"/>
      <c r="O336"/>
      <c r="P336"/>
      <c r="Q336"/>
      <c r="R336"/>
      <c r="S336"/>
      <c r="T336"/>
      <c r="U336"/>
      <c r="V336"/>
    </row>
    <row r="337" spans="1:22" ht="15" x14ac:dyDescent="0.25">
      <c r="A337"/>
      <c r="B337"/>
      <c r="C337"/>
      <c r="D337"/>
      <c r="E337"/>
      <c r="F337"/>
      <c r="G337"/>
      <c r="H337"/>
      <c r="I337"/>
      <c r="J337"/>
      <c r="K337"/>
      <c r="L337"/>
      <c r="M337"/>
      <c r="N337"/>
      <c r="O337"/>
      <c r="P337"/>
      <c r="Q337"/>
      <c r="R337"/>
      <c r="S337"/>
      <c r="T337"/>
      <c r="U337"/>
      <c r="V337"/>
    </row>
    <row r="338" spans="1:22" ht="15" x14ac:dyDescent="0.25">
      <c r="A338"/>
      <c r="B338"/>
      <c r="C338"/>
      <c r="D338"/>
      <c r="E338"/>
      <c r="F338"/>
      <c r="G338"/>
      <c r="H338"/>
      <c r="I338"/>
      <c r="J338"/>
      <c r="K338"/>
      <c r="L338"/>
      <c r="M338"/>
      <c r="N338"/>
      <c r="O338"/>
      <c r="P338"/>
      <c r="Q338"/>
      <c r="R338"/>
      <c r="S338"/>
      <c r="T338"/>
      <c r="U338"/>
      <c r="V338"/>
    </row>
  </sheetData>
  <mergeCells count="1">
    <mergeCell ref="B1:B3"/>
  </mergeCells>
  <pageMargins left="0.25" right="0.25" top="0.75" bottom="0.75" header="0.3" footer="0.3"/>
  <pageSetup scale="46" fitToHeight="0" orientation="landscape"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Summary</vt:lpstr>
      <vt:lpstr>Detail</vt:lpstr>
      <vt:lpstr>Detail By AEA</vt:lpstr>
      <vt:lpstr>Detail!Print_Area</vt:lpstr>
      <vt:lpstr>Summary!Print_Area</vt:lpstr>
      <vt:lpstr>Detail!Print_Titles</vt:lpstr>
      <vt:lpstr>'Detail By AEA'!Print_Titles</vt:lpstr>
    </vt:vector>
  </TitlesOfParts>
  <Company>State of Iowa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Management</dc:creator>
  <cp:lastModifiedBy>Parker, John [IDOM]</cp:lastModifiedBy>
  <cp:lastPrinted>2021-07-06T14:35:01Z</cp:lastPrinted>
  <dcterms:created xsi:type="dcterms:W3CDTF">2017-04-24T18:31:54Z</dcterms:created>
  <dcterms:modified xsi:type="dcterms:W3CDTF">2021-07-06T14:40:21Z</dcterms:modified>
</cp:coreProperties>
</file>