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7"/>
  <workbookPr hidePivotFieldList="1" defaultThemeVersion="124226"/>
  <mc:AlternateContent xmlns:mc="http://schemas.openxmlformats.org/markup-compatibility/2006">
    <mc:Choice Requires="x15">
      <x15ac:absPath xmlns:x15ac="http://schemas.microsoft.com/office/spreadsheetml/2010/11/ac" url="H:\My Drive\AEA\FY2023\"/>
    </mc:Choice>
  </mc:AlternateContent>
  <xr:revisionPtr revIDLastSave="0" documentId="13_ncr:1_{774F16A8-1D1A-472C-AD79-B099EA6EF4A9}" xr6:coauthVersionLast="36" xr6:coauthVersionMax="36" xr10:uidLastSave="{00000000-0000-0000-0000-000000000000}"/>
  <bookViews>
    <workbookView xWindow="0" yWindow="60" windowWidth="16275" windowHeight="13605" xr2:uid="{00000000-000D-0000-FFFF-FFFF00000000}"/>
  </bookViews>
  <sheets>
    <sheet name="Summary" sheetId="2" r:id="rId1"/>
    <sheet name="Detail" sheetId="1" r:id="rId2"/>
    <sheet name="Detail By AEA" sheetId="4" r:id="rId3"/>
  </sheets>
  <definedNames>
    <definedName name="AEA_Name">#REF!</definedName>
    <definedName name="_xlnm.Print_Area" localSheetId="1">Detail!$A$1:$AC$329</definedName>
    <definedName name="_xlnm.Print_Area" localSheetId="0">Summary!$A$1:$K$38</definedName>
    <definedName name="_xlnm.Print_Titles" localSheetId="1">Detail!$1:$2</definedName>
    <definedName name="_xlnm.Print_Titles" localSheetId="2">'Detail By AEA'!$A:$B,'Detail By AEA'!$4:$4</definedName>
    <definedName name="Slicer_AEA_Name">#N/A</definedName>
  </definedNames>
  <calcPr calcId="191029" iterateDelta="0"/>
  <pivotCaches>
    <pivotCache cacheId="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B1" i="4" l="1"/>
  <c r="I27" i="2" l="1"/>
  <c r="D27" i="2"/>
  <c r="E27" i="2"/>
  <c r="F27" i="2"/>
  <c r="G27" i="2"/>
  <c r="H27" i="2"/>
  <c r="C27" i="2"/>
  <c r="G14" i="2"/>
  <c r="H14" i="2"/>
  <c r="I14" i="2"/>
  <c r="J14" i="2"/>
  <c r="F14" i="2"/>
  <c r="E14" i="2"/>
  <c r="D14" i="2"/>
  <c r="C14" i="2"/>
  <c r="B15" i="2"/>
  <c r="B28" i="2" s="1"/>
  <c r="A15" i="2"/>
  <c r="A28" i="2" s="1"/>
  <c r="K1" i="2"/>
  <c r="J1" i="2"/>
  <c r="I1" i="2"/>
  <c r="H1" i="2"/>
  <c r="G1" i="2"/>
  <c r="F1" i="2"/>
  <c r="E1" i="2"/>
  <c r="D1" i="2"/>
  <c r="C1" i="2"/>
  <c r="A3" i="2" a="1"/>
  <c r="A3" i="2" s="1"/>
  <c r="J3" i="2" s="1"/>
  <c r="A4" i="2" l="1" a="1"/>
  <c r="A4" i="2" s="1"/>
  <c r="D4" i="2" s="1"/>
  <c r="E3" i="2"/>
  <c r="G3" i="2"/>
  <c r="I3" i="2"/>
  <c r="K3" i="2"/>
  <c r="A16" i="2"/>
  <c r="C16" i="2" s="1"/>
  <c r="D3" i="2"/>
  <c r="F3" i="2"/>
  <c r="H3" i="2"/>
  <c r="C3" i="2"/>
  <c r="B3" i="2"/>
  <c r="B16" i="2" s="1"/>
  <c r="B29" i="2" s="1"/>
  <c r="D16" i="2" l="1"/>
  <c r="A29" i="2"/>
  <c r="D29" i="2" s="1"/>
  <c r="G16" i="2"/>
  <c r="J16" i="2"/>
  <c r="F16" i="2"/>
  <c r="I16" i="2"/>
  <c r="E16" i="2"/>
  <c r="H16" i="2"/>
  <c r="A5" i="2" a="1"/>
  <c r="A5" i="2" s="1"/>
  <c r="B5" i="2" s="1"/>
  <c r="B18" i="2" s="1"/>
  <c r="B31" i="2" s="1"/>
  <c r="G4" i="2"/>
  <c r="J4" i="2"/>
  <c r="H4" i="2"/>
  <c r="C4" i="2"/>
  <c r="A17" i="2"/>
  <c r="F4" i="2"/>
  <c r="K4" i="2"/>
  <c r="I4" i="2"/>
  <c r="B4" i="2"/>
  <c r="B17" i="2" s="1"/>
  <c r="B30" i="2" s="1"/>
  <c r="E4" i="2"/>
  <c r="I29" i="2" l="1"/>
  <c r="H29" i="2"/>
  <c r="E29" i="2"/>
  <c r="G29" i="2"/>
  <c r="F29" i="2"/>
  <c r="C29" i="2"/>
  <c r="D17" i="2"/>
  <c r="A30" i="2"/>
  <c r="G17" i="2"/>
  <c r="C17" i="2"/>
  <c r="I17" i="2"/>
  <c r="F17" i="2"/>
  <c r="J17" i="2"/>
  <c r="E17" i="2"/>
  <c r="H17" i="2"/>
  <c r="A6" i="2" a="1"/>
  <c r="A6" i="2" s="1"/>
  <c r="B6" i="2" s="1"/>
  <c r="B19" i="2" s="1"/>
  <c r="B32" i="2" s="1"/>
  <c r="H5" i="2"/>
  <c r="I5" i="2"/>
  <c r="K5" i="2"/>
  <c r="G5" i="2"/>
  <c r="J5" i="2"/>
  <c r="A18" i="2"/>
  <c r="E5" i="2"/>
  <c r="C5" i="2"/>
  <c r="D5" i="2"/>
  <c r="F5" i="2"/>
  <c r="I30" i="2" l="1"/>
  <c r="H18" i="2"/>
  <c r="G18" i="2"/>
  <c r="C18" i="2"/>
  <c r="A31" i="2"/>
  <c r="D18" i="2"/>
  <c r="I18" i="2"/>
  <c r="E18" i="2"/>
  <c r="J18" i="2"/>
  <c r="F18" i="2"/>
  <c r="G30" i="2"/>
  <c r="C30" i="2"/>
  <c r="D30" i="2"/>
  <c r="H30" i="2"/>
  <c r="E30" i="2"/>
  <c r="F30" i="2"/>
  <c r="A7" i="2" a="1"/>
  <c r="A7" i="2" s="1"/>
  <c r="B7" i="2" s="1"/>
  <c r="B20" i="2" s="1"/>
  <c r="B33" i="2" s="1"/>
  <c r="C6" i="2"/>
  <c r="K6" i="2"/>
  <c r="D6" i="2"/>
  <c r="A19" i="2"/>
  <c r="J6" i="2"/>
  <c r="I6" i="2"/>
  <c r="G6" i="2"/>
  <c r="H6" i="2"/>
  <c r="F6" i="2"/>
  <c r="E6" i="2"/>
  <c r="I31" i="2" l="1"/>
  <c r="C19" i="2"/>
  <c r="A32" i="2"/>
  <c r="D19" i="2"/>
  <c r="G19" i="2"/>
  <c r="H19" i="2"/>
  <c r="F19" i="2"/>
  <c r="J19" i="2"/>
  <c r="E19" i="2"/>
  <c r="I19" i="2"/>
  <c r="F31" i="2"/>
  <c r="C31" i="2"/>
  <c r="G31" i="2"/>
  <c r="D31" i="2"/>
  <c r="H31" i="2"/>
  <c r="E31" i="2"/>
  <c r="A8" i="2" a="1"/>
  <c r="A8" i="2" s="1"/>
  <c r="A20" i="2"/>
  <c r="J7" i="2"/>
  <c r="D7" i="2"/>
  <c r="H7" i="2"/>
  <c r="I7" i="2"/>
  <c r="K7" i="2"/>
  <c r="C7" i="2"/>
  <c r="E7" i="2"/>
  <c r="G7" i="2"/>
  <c r="F7" i="2"/>
  <c r="I32" i="2" l="1"/>
  <c r="E32" i="2"/>
  <c r="G32" i="2"/>
  <c r="C32" i="2"/>
  <c r="D32" i="2"/>
  <c r="H32" i="2"/>
  <c r="F32" i="2"/>
  <c r="D20" i="2"/>
  <c r="C20" i="2"/>
  <c r="A33" i="2"/>
  <c r="J20" i="2"/>
  <c r="E20" i="2"/>
  <c r="G20" i="2"/>
  <c r="F20" i="2"/>
  <c r="H20" i="2"/>
  <c r="I20" i="2"/>
  <c r="H8" i="2"/>
  <c r="A21" i="2"/>
  <c r="C8" i="2"/>
  <c r="K8" i="2"/>
  <c r="J8" i="2"/>
  <c r="I8" i="2"/>
  <c r="G8" i="2"/>
  <c r="F8" i="2"/>
  <c r="E8" i="2"/>
  <c r="D8" i="2"/>
  <c r="B8" i="2"/>
  <c r="B21" i="2" s="1"/>
  <c r="B34" i="2" s="1"/>
  <c r="A9" i="2" a="1"/>
  <c r="A9" i="2" s="1"/>
  <c r="I33" i="2" l="1"/>
  <c r="D21" i="2"/>
  <c r="A34" i="2"/>
  <c r="G21" i="2"/>
  <c r="I21" i="2"/>
  <c r="C21" i="2"/>
  <c r="H21" i="2"/>
  <c r="F21" i="2"/>
  <c r="E21" i="2"/>
  <c r="J21" i="2"/>
  <c r="D33" i="2"/>
  <c r="C33" i="2"/>
  <c r="H33" i="2"/>
  <c r="E33" i="2"/>
  <c r="G33" i="2"/>
  <c r="F33" i="2"/>
  <c r="A10" i="2" a="1"/>
  <c r="A10" i="2" s="1"/>
  <c r="B10" i="2" s="1"/>
  <c r="B23" i="2" s="1"/>
  <c r="B36" i="2" s="1"/>
  <c r="I9" i="2"/>
  <c r="E9" i="2"/>
  <c r="K9" i="2"/>
  <c r="J9" i="2"/>
  <c r="A22" i="2"/>
  <c r="H9" i="2"/>
  <c r="C9" i="2"/>
  <c r="D9" i="2"/>
  <c r="G9" i="2"/>
  <c r="F9" i="2"/>
  <c r="B9" i="2"/>
  <c r="B22" i="2" s="1"/>
  <c r="B35" i="2" s="1"/>
  <c r="I34" i="2" l="1"/>
  <c r="G34" i="2"/>
  <c r="F34" i="2"/>
  <c r="H34" i="2"/>
  <c r="E34" i="2"/>
  <c r="C34" i="2"/>
  <c r="D34" i="2"/>
  <c r="G22" i="2"/>
  <c r="D22" i="2"/>
  <c r="A35" i="2"/>
  <c r="C22" i="2"/>
  <c r="E22" i="2"/>
  <c r="I22" i="2"/>
  <c r="J22" i="2"/>
  <c r="H22" i="2"/>
  <c r="F22" i="2"/>
  <c r="K10" i="2"/>
  <c r="A23" i="2"/>
  <c r="J10" i="2"/>
  <c r="I10" i="2"/>
  <c r="C10" i="2"/>
  <c r="D10" i="2"/>
  <c r="F10" i="2"/>
  <c r="G10" i="2"/>
  <c r="H10" i="2"/>
  <c r="E10" i="2"/>
  <c r="A11" i="2" a="1"/>
  <c r="A11" i="2" s="1"/>
  <c r="I35" i="2" l="1"/>
  <c r="C23" i="2"/>
  <c r="A36" i="2"/>
  <c r="G23" i="2"/>
  <c r="D23" i="2"/>
  <c r="I23" i="2"/>
  <c r="J23" i="2"/>
  <c r="F23" i="2"/>
  <c r="E23" i="2"/>
  <c r="H23" i="2"/>
  <c r="F35" i="2"/>
  <c r="G35" i="2"/>
  <c r="D35" i="2"/>
  <c r="E35" i="2"/>
  <c r="C35" i="2"/>
  <c r="H35" i="2"/>
  <c r="J11" i="2"/>
  <c r="H11" i="2"/>
  <c r="H12" i="2" s="1"/>
  <c r="I11" i="2"/>
  <c r="A24" i="2"/>
  <c r="K11" i="2"/>
  <c r="C11" i="2"/>
  <c r="C12" i="2" s="1"/>
  <c r="D11" i="2"/>
  <c r="D12" i="2" s="1"/>
  <c r="G11" i="2"/>
  <c r="G12" i="2" s="1"/>
  <c r="F11" i="2"/>
  <c r="F12" i="2" s="1"/>
  <c r="E11" i="2"/>
  <c r="E12" i="2" s="1"/>
  <c r="B11" i="2"/>
  <c r="B24" i="2" s="1"/>
  <c r="B37" i="2" s="1"/>
  <c r="I36" i="2" l="1"/>
  <c r="D24" i="2"/>
  <c r="C24" i="2"/>
  <c r="A37" i="2"/>
  <c r="G24" i="2"/>
  <c r="G25" i="2" s="1"/>
  <c r="J24" i="2"/>
  <c r="J25" i="2" s="1"/>
  <c r="E24" i="2"/>
  <c r="E25" i="2" s="1"/>
  <c r="I24" i="2"/>
  <c r="I25" i="2" s="1"/>
  <c r="F24" i="2"/>
  <c r="F25" i="2" s="1"/>
  <c r="H24" i="2"/>
  <c r="H25" i="2" s="1"/>
  <c r="E36" i="2"/>
  <c r="C36" i="2"/>
  <c r="F36" i="2"/>
  <c r="H36" i="2"/>
  <c r="G36" i="2"/>
  <c r="D36" i="2"/>
  <c r="I37" i="2" l="1"/>
  <c r="I38" i="2" s="1"/>
  <c r="H37" i="2"/>
  <c r="H38" i="2" s="1"/>
  <c r="D37" i="2"/>
  <c r="C37" i="2"/>
  <c r="C38" i="2" s="1"/>
  <c r="G37" i="2"/>
  <c r="G38" i="2" s="1"/>
  <c r="E37" i="2"/>
  <c r="E38" i="2" s="1"/>
  <c r="F37" i="2"/>
  <c r="F38" i="2" s="1"/>
  <c r="D38" i="2" l="1"/>
</calcChain>
</file>

<file path=xl/sharedStrings.xml><?xml version="1.0" encoding="utf-8"?>
<sst xmlns="http://schemas.openxmlformats.org/spreadsheetml/2006/main" count="1496" uniqueCount="747">
  <si>
    <t>01</t>
  </si>
  <si>
    <t>0135</t>
  </si>
  <si>
    <t>1080</t>
  </si>
  <si>
    <t>2763</t>
  </si>
  <si>
    <t>1638</t>
  </si>
  <si>
    <t>1863</t>
  </si>
  <si>
    <t>1972</t>
  </si>
  <si>
    <t>1989</t>
  </si>
  <si>
    <t>3029</t>
  </si>
  <si>
    <t>4043</t>
  </si>
  <si>
    <t>4419</t>
  </si>
  <si>
    <t>4662</t>
  </si>
  <si>
    <t>4774</t>
  </si>
  <si>
    <t>4869</t>
  </si>
  <si>
    <t>5310</t>
  </si>
  <si>
    <t>5508</t>
  </si>
  <si>
    <t>6100</t>
  </si>
  <si>
    <t>6175</t>
  </si>
  <si>
    <t>6509</t>
  </si>
  <si>
    <t>6943</t>
  </si>
  <si>
    <t>6950</t>
  </si>
  <si>
    <t>6961</t>
  </si>
  <si>
    <t>05</t>
  </si>
  <si>
    <t>0072</t>
  </si>
  <si>
    <t>0126</t>
  </si>
  <si>
    <t>0171</t>
  </si>
  <si>
    <t>1206</t>
  </si>
  <si>
    <t>1218</t>
  </si>
  <si>
    <t>1944</t>
  </si>
  <si>
    <t>6741</t>
  </si>
  <si>
    <t>2088</t>
  </si>
  <si>
    <t>2124</t>
  </si>
  <si>
    <t>2313</t>
  </si>
  <si>
    <t>2493</t>
  </si>
  <si>
    <t>2556</t>
  </si>
  <si>
    <t>3195</t>
  </si>
  <si>
    <t>2846</t>
  </si>
  <si>
    <t>3060</t>
  </si>
  <si>
    <t>3537</t>
  </si>
  <si>
    <t>3897</t>
  </si>
  <si>
    <t>4023</t>
  </si>
  <si>
    <t>4644</t>
  </si>
  <si>
    <t>4778</t>
  </si>
  <si>
    <t>0333</t>
  </si>
  <si>
    <t>4860</t>
  </si>
  <si>
    <t>4890</t>
  </si>
  <si>
    <t>5139</t>
  </si>
  <si>
    <t>5283</t>
  </si>
  <si>
    <t>5323</t>
  </si>
  <si>
    <t>5724</t>
  </si>
  <si>
    <t>5823</t>
  </si>
  <si>
    <t>6048</t>
  </si>
  <si>
    <t>6091</t>
  </si>
  <si>
    <t>6095</t>
  </si>
  <si>
    <t>6096</t>
  </si>
  <si>
    <t>6102</t>
  </si>
  <si>
    <t>6120</t>
  </si>
  <si>
    <t>6219</t>
  </si>
  <si>
    <t>6246</t>
  </si>
  <si>
    <t>6516</t>
  </si>
  <si>
    <t>6867</t>
  </si>
  <si>
    <t>6921</t>
  </si>
  <si>
    <t>07</t>
  </si>
  <si>
    <t>0009</t>
  </si>
  <si>
    <t>AGWSR</t>
  </si>
  <si>
    <t>0108</t>
  </si>
  <si>
    <t>0279</t>
  </si>
  <si>
    <t>0540</t>
  </si>
  <si>
    <t>BCLUW</t>
  </si>
  <si>
    <t>0594</t>
  </si>
  <si>
    <t>0846</t>
  </si>
  <si>
    <t>0916</t>
  </si>
  <si>
    <t>CAL</t>
  </si>
  <si>
    <t>1044</t>
  </si>
  <si>
    <t>4772</t>
  </si>
  <si>
    <t>1116</t>
  </si>
  <si>
    <t>1215</t>
  </si>
  <si>
    <t>1233</t>
  </si>
  <si>
    <t>1719</t>
  </si>
  <si>
    <t>1791</t>
  </si>
  <si>
    <t>1908</t>
  </si>
  <si>
    <t>1963</t>
  </si>
  <si>
    <t>3582</t>
  </si>
  <si>
    <t>2007</t>
  </si>
  <si>
    <t>2295</t>
  </si>
  <si>
    <t>2403</t>
  </si>
  <si>
    <t>2502</t>
  </si>
  <si>
    <t>2682</t>
  </si>
  <si>
    <t>GMG</t>
  </si>
  <si>
    <t>2709</t>
  </si>
  <si>
    <t>2727</t>
  </si>
  <si>
    <t>2781</t>
  </si>
  <si>
    <t>3033</t>
  </si>
  <si>
    <t>3042</t>
  </si>
  <si>
    <t>3105</t>
  </si>
  <si>
    <t>3150</t>
  </si>
  <si>
    <t>3186</t>
  </si>
  <si>
    <t>3204</t>
  </si>
  <si>
    <t>3420</t>
  </si>
  <si>
    <t>4104</t>
  </si>
  <si>
    <t>4131</t>
  </si>
  <si>
    <t>4437</t>
  </si>
  <si>
    <t>4599</t>
  </si>
  <si>
    <t>0153</t>
  </si>
  <si>
    <t>0873</t>
  </si>
  <si>
    <t>4785</t>
  </si>
  <si>
    <t>4788</t>
  </si>
  <si>
    <t>4995</t>
  </si>
  <si>
    <t>5697</t>
  </si>
  <si>
    <t>6098</t>
  </si>
  <si>
    <t>5751</t>
  </si>
  <si>
    <t>6273</t>
  </si>
  <si>
    <t>6471</t>
  </si>
  <si>
    <t>1935</t>
  </si>
  <si>
    <t>6762</t>
  </si>
  <si>
    <t>6795</t>
  </si>
  <si>
    <t>6840</t>
  </si>
  <si>
    <t>5922</t>
  </si>
  <si>
    <t>0819</t>
  </si>
  <si>
    <t>6985</t>
  </si>
  <si>
    <t>09</t>
  </si>
  <si>
    <t>0243</t>
  </si>
  <si>
    <t>0585</t>
  </si>
  <si>
    <t>0603</t>
  </si>
  <si>
    <t>0621</t>
  </si>
  <si>
    <t>0918</t>
  </si>
  <si>
    <t>0936</t>
  </si>
  <si>
    <t>1082</t>
  </si>
  <si>
    <t>1278</t>
  </si>
  <si>
    <t>1368</t>
  </si>
  <si>
    <t>1611</t>
  </si>
  <si>
    <t>1675</t>
  </si>
  <si>
    <t>1926</t>
  </si>
  <si>
    <t>1965</t>
  </si>
  <si>
    <t>3841</t>
  </si>
  <si>
    <t>4041</t>
  </si>
  <si>
    <t>4581</t>
  </si>
  <si>
    <t>4784</t>
  </si>
  <si>
    <t>4773</t>
  </si>
  <si>
    <t>5250</t>
  </si>
  <si>
    <t>6975</t>
  </si>
  <si>
    <t>7038</t>
  </si>
  <si>
    <t>10</t>
  </si>
  <si>
    <t>0099</t>
  </si>
  <si>
    <t>0234</t>
  </si>
  <si>
    <t>0576</t>
  </si>
  <si>
    <t>0609</t>
  </si>
  <si>
    <t>1053</t>
  </si>
  <si>
    <t>1062</t>
  </si>
  <si>
    <t>1089</t>
  </si>
  <si>
    <t>1221</t>
  </si>
  <si>
    <t>1337</t>
  </si>
  <si>
    <t>2097</t>
  </si>
  <si>
    <t>2977</t>
  </si>
  <si>
    <t>2766</t>
  </si>
  <si>
    <t>HLV</t>
  </si>
  <si>
    <t>3141</t>
  </si>
  <si>
    <t>3154</t>
  </si>
  <si>
    <t>3715</t>
  </si>
  <si>
    <t>3744</t>
  </si>
  <si>
    <t>3816</t>
  </si>
  <si>
    <t>4086</t>
  </si>
  <si>
    <t>4271</t>
  </si>
  <si>
    <t>4269</t>
  </si>
  <si>
    <t>4446</t>
  </si>
  <si>
    <t>4554</t>
  </si>
  <si>
    <t>3691</t>
  </si>
  <si>
    <t>4777</t>
  </si>
  <si>
    <t>4905</t>
  </si>
  <si>
    <t>6093</t>
  </si>
  <si>
    <t>6138</t>
  </si>
  <si>
    <t>6408</t>
  </si>
  <si>
    <t>6660</t>
  </si>
  <si>
    <t>6768</t>
  </si>
  <si>
    <t>6930</t>
  </si>
  <si>
    <t>7029</t>
  </si>
  <si>
    <t>11</t>
  </si>
  <si>
    <t>0018</t>
  </si>
  <si>
    <t>0027</t>
  </si>
  <si>
    <t>0225</t>
  </si>
  <si>
    <t>0261</t>
  </si>
  <si>
    <t>0414</t>
  </si>
  <si>
    <t>0472</t>
  </si>
  <si>
    <t>0513</t>
  </si>
  <si>
    <t>0720</t>
  </si>
  <si>
    <t>0729</t>
  </si>
  <si>
    <t>0981</t>
  </si>
  <si>
    <t>0999</t>
  </si>
  <si>
    <t>1332</t>
  </si>
  <si>
    <t>1350</t>
  </si>
  <si>
    <t>1359</t>
  </si>
  <si>
    <t>1413</t>
  </si>
  <si>
    <t>1576</t>
  </si>
  <si>
    <t>1737</t>
  </si>
  <si>
    <t>1953</t>
  </si>
  <si>
    <t>2151</t>
  </si>
  <si>
    <t>2466</t>
  </si>
  <si>
    <t>2520</t>
  </si>
  <si>
    <t>2754</t>
  </si>
  <si>
    <t>3114</t>
  </si>
  <si>
    <t>3119</t>
  </si>
  <si>
    <t>3231</t>
  </si>
  <si>
    <t>3375</t>
  </si>
  <si>
    <t>3906</t>
  </si>
  <si>
    <t>3942</t>
  </si>
  <si>
    <t>4122</t>
  </si>
  <si>
    <t>4212</t>
  </si>
  <si>
    <t>4617</t>
  </si>
  <si>
    <t>4725</t>
  </si>
  <si>
    <t>4779</t>
  </si>
  <si>
    <t>4797</t>
  </si>
  <si>
    <t>4878</t>
  </si>
  <si>
    <t>5121</t>
  </si>
  <si>
    <t>5319</t>
  </si>
  <si>
    <t>PCM</t>
  </si>
  <si>
    <t>5166</t>
  </si>
  <si>
    <t>5184</t>
  </si>
  <si>
    <t>5256</t>
  </si>
  <si>
    <t>5643</t>
  </si>
  <si>
    <t>5805</t>
  </si>
  <si>
    <t>6101</t>
  </si>
  <si>
    <t>6094</t>
  </si>
  <si>
    <t>6512</t>
  </si>
  <si>
    <t>6561</t>
  </si>
  <si>
    <t>6579</t>
  </si>
  <si>
    <t>6615</t>
  </si>
  <si>
    <t>6822</t>
  </si>
  <si>
    <t>6264</t>
  </si>
  <si>
    <t>6957</t>
  </si>
  <si>
    <t>7056</t>
  </si>
  <si>
    <t>7110</t>
  </si>
  <si>
    <t>12</t>
  </si>
  <si>
    <t>0063</t>
  </si>
  <si>
    <t>0355</t>
  </si>
  <si>
    <t>0747</t>
  </si>
  <si>
    <t>1095</t>
  </si>
  <si>
    <t>1134</t>
  </si>
  <si>
    <t>1152</t>
  </si>
  <si>
    <t>1701</t>
  </si>
  <si>
    <t>2376</t>
  </si>
  <si>
    <t>2457</t>
  </si>
  <si>
    <t>2862</t>
  </si>
  <si>
    <t>2988</t>
  </si>
  <si>
    <t>3348</t>
  </si>
  <si>
    <t>3555</t>
  </si>
  <si>
    <t>3600</t>
  </si>
  <si>
    <t>4033</t>
  </si>
  <si>
    <t>4068</t>
  </si>
  <si>
    <t>4149</t>
  </si>
  <si>
    <t>5486</t>
  </si>
  <si>
    <t>1975</t>
  </si>
  <si>
    <t>5607</t>
  </si>
  <si>
    <t>5832</t>
  </si>
  <si>
    <t>5877</t>
  </si>
  <si>
    <t>5949</t>
  </si>
  <si>
    <t>5994</t>
  </si>
  <si>
    <t>6030</t>
  </si>
  <si>
    <t>6039</t>
  </si>
  <si>
    <t>5157</t>
  </si>
  <si>
    <t>6983</t>
  </si>
  <si>
    <t>6987</t>
  </si>
  <si>
    <t>6990</t>
  </si>
  <si>
    <t>6992</t>
  </si>
  <si>
    <t>7002</t>
  </si>
  <si>
    <t>7098</t>
  </si>
  <si>
    <t>13</t>
  </si>
  <si>
    <t>0441</t>
  </si>
  <si>
    <t>0387</t>
  </si>
  <si>
    <t>0549</t>
  </si>
  <si>
    <t>1917</t>
  </si>
  <si>
    <t>0914</t>
  </si>
  <si>
    <t>CAM</t>
  </si>
  <si>
    <t>1093</t>
  </si>
  <si>
    <t>1197</t>
  </si>
  <si>
    <t>1211</t>
  </si>
  <si>
    <t>1431</t>
  </si>
  <si>
    <t>1476</t>
  </si>
  <si>
    <t>1503</t>
  </si>
  <si>
    <t>1782</t>
  </si>
  <si>
    <t>3978</t>
  </si>
  <si>
    <t>1970</t>
  </si>
  <si>
    <t>2113</t>
  </si>
  <si>
    <t>2369</t>
  </si>
  <si>
    <t>2511</t>
  </si>
  <si>
    <t>2718</t>
  </si>
  <si>
    <t>2772</t>
  </si>
  <si>
    <t>2826</t>
  </si>
  <si>
    <t>3168</t>
  </si>
  <si>
    <t>3465</t>
  </si>
  <si>
    <t>3609</t>
  </si>
  <si>
    <t>3645</t>
  </si>
  <si>
    <t>3798</t>
  </si>
  <si>
    <t>4356</t>
  </si>
  <si>
    <t>4505</t>
  </si>
  <si>
    <t>4527</t>
  </si>
  <si>
    <t>4572</t>
  </si>
  <si>
    <t>2673</t>
  </si>
  <si>
    <t>4978</t>
  </si>
  <si>
    <t>5463</t>
  </si>
  <si>
    <t>4824</t>
  </si>
  <si>
    <t>5976</t>
  </si>
  <si>
    <t>6003</t>
  </si>
  <si>
    <t>6097</t>
  </si>
  <si>
    <t>6165</t>
  </si>
  <si>
    <t>6453</t>
  </si>
  <si>
    <t>6460</t>
  </si>
  <si>
    <t>6534</t>
  </si>
  <si>
    <t>6651</t>
  </si>
  <si>
    <t>6969</t>
  </si>
  <si>
    <t>7092</t>
  </si>
  <si>
    <t>15</t>
  </si>
  <si>
    <t>0081</t>
  </si>
  <si>
    <t>0882</t>
  </si>
  <si>
    <t>0977</t>
  </si>
  <si>
    <t>1071</t>
  </si>
  <si>
    <t>1079</t>
  </si>
  <si>
    <t>1107</t>
  </si>
  <si>
    <t>1602</t>
  </si>
  <si>
    <t>1619</t>
  </si>
  <si>
    <t>0657</t>
  </si>
  <si>
    <t>2169</t>
  </si>
  <si>
    <t>2322</t>
  </si>
  <si>
    <t>3312</t>
  </si>
  <si>
    <t>3330</t>
  </si>
  <si>
    <t>4203</t>
  </si>
  <si>
    <t>4491</t>
  </si>
  <si>
    <t>4509</t>
  </si>
  <si>
    <t>4518</t>
  </si>
  <si>
    <t>4536</t>
  </si>
  <si>
    <t>4689</t>
  </si>
  <si>
    <t>4776</t>
  </si>
  <si>
    <t>5013</t>
  </si>
  <si>
    <t>5049</t>
  </si>
  <si>
    <t>5163</t>
  </si>
  <si>
    <t>5895</t>
  </si>
  <si>
    <t>6012</t>
  </si>
  <si>
    <t>6462</t>
  </si>
  <si>
    <t>6592</t>
  </si>
  <si>
    <t>6700</t>
  </si>
  <si>
    <t>6759</t>
  </si>
  <si>
    <t>6854</t>
  </si>
  <si>
    <t>6937</t>
  </si>
  <si>
    <t>7047</t>
  </si>
  <si>
    <t>Total Special Ed Weighting in Addition to 1.0</t>
  </si>
  <si>
    <t>Budget Enrollment</t>
  </si>
  <si>
    <t>AEA Weighted Enrollment</t>
  </si>
  <si>
    <t>AEA Supplementary Weight for Sharing</t>
  </si>
  <si>
    <t>Resident Accredited Nonpublic Students</t>
  </si>
  <si>
    <t>Shared-Time Nonpublic Pupils Counted in Line 1.1</t>
  </si>
  <si>
    <t>Total Enrollment Served - AEA Media and Ed Services</t>
  </si>
  <si>
    <t>AEA Special Ed Support Cost Per Pupil</t>
  </si>
  <si>
    <t>AEA Ed Services Cost Per Pupil</t>
  </si>
  <si>
    <t>AEA Teacher Salary Supplement District Cost Per Pupil</t>
  </si>
  <si>
    <t>Professional Development Supplement District Cost Per Pupil</t>
  </si>
  <si>
    <t>AEA Special Ed Support District Cost without Adjustment</t>
  </si>
  <si>
    <t>Special Education Total Cost</t>
  </si>
  <si>
    <t>AEA Media Services District Cost</t>
  </si>
  <si>
    <t>AEA Ed Services District Cost</t>
  </si>
  <si>
    <t>AEA Sharing District Cost</t>
  </si>
  <si>
    <t>AEA Teacher Salary Supplement District Cost</t>
  </si>
  <si>
    <t>Subtotal Budget</t>
  </si>
  <si>
    <t>AEA Statewide State Aid Reduction</t>
  </si>
  <si>
    <t>Total Budget</t>
  </si>
  <si>
    <t>State Aid Portion</t>
  </si>
  <si>
    <t>Property Tax Portion</t>
  </si>
  <si>
    <t>AEA</t>
  </si>
  <si>
    <t>AEA Name</t>
  </si>
  <si>
    <t>District</t>
  </si>
  <si>
    <t>AEA Media Cost Per Pupil</t>
  </si>
  <si>
    <t>AEA Special Ed Support Adjustment</t>
  </si>
  <si>
    <t>Special Ed Weights</t>
  </si>
  <si>
    <t>Weighted Enrollment</t>
  </si>
  <si>
    <t>Nonpublic</t>
  </si>
  <si>
    <t xml:space="preserve">Shared-Time  </t>
  </si>
  <si>
    <t>Media/Ed Served</t>
  </si>
  <si>
    <t>Support Cost PP</t>
  </si>
  <si>
    <t>Media Cost PP</t>
  </si>
  <si>
    <t>Ed Cost PP</t>
  </si>
  <si>
    <t>Teach Sal Cost PP</t>
  </si>
  <si>
    <t>Prof Dev Cost PP</t>
  </si>
  <si>
    <t>Spec ED Support</t>
  </si>
  <si>
    <t>Spec Ed Adjust</t>
  </si>
  <si>
    <t>Special Ed Total Cost</t>
  </si>
  <si>
    <t>Media Services</t>
  </si>
  <si>
    <t>Education Services</t>
  </si>
  <si>
    <t>Sharing Operations</t>
  </si>
  <si>
    <t>Teacher Salary Supplement</t>
  </si>
  <si>
    <t>Prorata Reduction</t>
  </si>
  <si>
    <t xml:space="preserve">State Aid  </t>
  </si>
  <si>
    <t xml:space="preserve">Property Tax  </t>
  </si>
  <si>
    <t>AEA Professional Development Supplement District Cost</t>
  </si>
  <si>
    <t>Professional Development Supplement</t>
  </si>
  <si>
    <t>Total Special Ed Weighting</t>
  </si>
  <si>
    <t xml:space="preserve">Budget Enrollment </t>
  </si>
  <si>
    <t xml:space="preserve">AEA Weighted Enrollment </t>
  </si>
  <si>
    <t xml:space="preserve">AEA Supplementary Weight for Sharing </t>
  </si>
  <si>
    <t xml:space="preserve">Resident Accredited Nonpublic Students </t>
  </si>
  <si>
    <t>Shared-Time Nonpublic Pupils</t>
  </si>
  <si>
    <t>AEA Total</t>
  </si>
  <si>
    <t xml:space="preserve">Total Enrollment Served - AEA Media and Ed Services </t>
  </si>
  <si>
    <t xml:space="preserve">AEA Special Ed Support District Cost without Adjustment </t>
  </si>
  <si>
    <t xml:space="preserve">AEA Special Ed Support Adjustment </t>
  </si>
  <si>
    <t xml:space="preserve">Special Education Total Cost </t>
  </si>
  <si>
    <t xml:space="preserve">AEA Media Services District Cost </t>
  </si>
  <si>
    <t xml:space="preserve">AEA Ed Services District Cost </t>
  </si>
  <si>
    <t xml:space="preserve">AEA Sharing District Cost </t>
  </si>
  <si>
    <t xml:space="preserve">AEA Teacher Salary Supplement District Cost </t>
  </si>
  <si>
    <t xml:space="preserve">AEA Professional Development Supplement District Cost </t>
  </si>
  <si>
    <t xml:space="preserve">Subtotal Budget </t>
  </si>
  <si>
    <t>AEA State Aid Reduction</t>
  </si>
  <si>
    <t xml:space="preserve">Total Budget </t>
  </si>
  <si>
    <t xml:space="preserve">State Aid Portion </t>
  </si>
  <si>
    <t xml:space="preserve">Property Tax Portion </t>
  </si>
  <si>
    <t>Allamakee</t>
  </si>
  <si>
    <t>Central Clayton</t>
  </si>
  <si>
    <t>Clayton Ridge</t>
  </si>
  <si>
    <t>Decorah</t>
  </si>
  <si>
    <t>Dubuque</t>
  </si>
  <si>
    <t>Eastern Allamakee</t>
  </si>
  <si>
    <t>Edgewood-Colesburg</t>
  </si>
  <si>
    <t>Howard-Winneshiek</t>
  </si>
  <si>
    <t>Maquoketa Valley</t>
  </si>
  <si>
    <t>MFL Mar Mac</t>
  </si>
  <si>
    <t>New Hampton</t>
  </si>
  <si>
    <t>North Fayette Valley</t>
  </si>
  <si>
    <t>Oelwein</t>
  </si>
  <si>
    <t>Postville</t>
  </si>
  <si>
    <t>Riceville</t>
  </si>
  <si>
    <t>South Winneshiek</t>
  </si>
  <si>
    <t>Starmont</t>
  </si>
  <si>
    <t>Turkey Valley</t>
  </si>
  <si>
    <t>West Central</t>
  </si>
  <si>
    <t>West Delaware Co</t>
  </si>
  <si>
    <t>Western Dubuque Co</t>
  </si>
  <si>
    <t>Albert City-Truesdale</t>
  </si>
  <si>
    <t>Algona</t>
  </si>
  <si>
    <t>Alta-Aurelia</t>
  </si>
  <si>
    <t>Clarion-Goldfield-Dows</t>
  </si>
  <si>
    <t>Clay Central-Everly</t>
  </si>
  <si>
    <t>Eagle Grove</t>
  </si>
  <si>
    <t>East Sac County</t>
  </si>
  <si>
    <t>Emmetsburg</t>
  </si>
  <si>
    <t>Estherville-Lincoln Central</t>
  </si>
  <si>
    <t>Fort Dodge</t>
  </si>
  <si>
    <t>Gilmore City-Bradgate</t>
  </si>
  <si>
    <t>Graettinger-Terril</t>
  </si>
  <si>
    <t>Greene County</t>
  </si>
  <si>
    <t>Harris-Lake Park</t>
  </si>
  <si>
    <t>Humboldt</t>
  </si>
  <si>
    <t>Laurens-Marathon</t>
  </si>
  <si>
    <t>Lu Verne</t>
  </si>
  <si>
    <t>Manson-Northwest Webster</t>
  </si>
  <si>
    <t>Newell-Fonda</t>
  </si>
  <si>
    <t>North Kossuth</t>
  </si>
  <si>
    <t>North Union</t>
  </si>
  <si>
    <t>Okoboji</t>
  </si>
  <si>
    <t>Paton-Churdan</t>
  </si>
  <si>
    <t>Pocahontas Area</t>
  </si>
  <si>
    <t>Prairie Valley</t>
  </si>
  <si>
    <t>Ruthven-Ayrshire</t>
  </si>
  <si>
    <t>Schaller-Crestland</t>
  </si>
  <si>
    <t>Sioux Central</t>
  </si>
  <si>
    <t>South Central Calhoun</t>
  </si>
  <si>
    <t>South Hamilton</t>
  </si>
  <si>
    <t>Southeast Webster-Grand</t>
  </si>
  <si>
    <t>Spencer</t>
  </si>
  <si>
    <t>Spirit Lake</t>
  </si>
  <si>
    <t>Storm Lake</t>
  </si>
  <si>
    <t>Stratford</t>
  </si>
  <si>
    <t>Twin Rivers</t>
  </si>
  <si>
    <t>Webster City</t>
  </si>
  <si>
    <t>West Bend-Mallard</t>
  </si>
  <si>
    <t>Alden</t>
  </si>
  <si>
    <t>Aplington-Parkersburg</t>
  </si>
  <si>
    <t>Belmond-Klemme</t>
  </si>
  <si>
    <t>Brooklyn-Guernsey-Malcom</t>
  </si>
  <si>
    <t>Cedar Falls</t>
  </si>
  <si>
    <t>Central Springs</t>
  </si>
  <si>
    <t>Charles City</t>
  </si>
  <si>
    <t>Clarksville</t>
  </si>
  <si>
    <t>Clear Lake</t>
  </si>
  <si>
    <t>Denver</t>
  </si>
  <si>
    <t>Dike-New Hartford</t>
  </si>
  <si>
    <t>Dunkerton</t>
  </si>
  <si>
    <t>East Buchanan</t>
  </si>
  <si>
    <t>East Marshall</t>
  </si>
  <si>
    <t>Eldora-New Providence</t>
  </si>
  <si>
    <t>Forest City</t>
  </si>
  <si>
    <t>Garner-Hayfield-Ventura</t>
  </si>
  <si>
    <t>Gladbrook-Reinbeck</t>
  </si>
  <si>
    <t>Grinnell-Newburg</t>
  </si>
  <si>
    <t>Grundy Center</t>
  </si>
  <si>
    <t>Hampton-Dumont</t>
  </si>
  <si>
    <t>Hubbard-Radcliffe</t>
  </si>
  <si>
    <t>Hudson</t>
  </si>
  <si>
    <t>Independence</t>
  </si>
  <si>
    <t>Iowa Falls</t>
  </si>
  <si>
    <t>Janesville</t>
  </si>
  <si>
    <t>Jesup</t>
  </si>
  <si>
    <t>Lake Mills</t>
  </si>
  <si>
    <t>Marshalltown</t>
  </si>
  <si>
    <t>Mason City</t>
  </si>
  <si>
    <t>Montezuma</t>
  </si>
  <si>
    <t>Nashua-Plainfield</t>
  </si>
  <si>
    <t>North Butler</t>
  </si>
  <si>
    <t>North Iowa</t>
  </si>
  <si>
    <t>North Tama</t>
  </si>
  <si>
    <t>Northwood-Kensett</t>
  </si>
  <si>
    <t>Osage</t>
  </si>
  <si>
    <t>Rudd-Rockford-Marble Rock</t>
  </si>
  <si>
    <t>South Tama</t>
  </si>
  <si>
    <t>St Ansgar</t>
  </si>
  <si>
    <t>Sumner-Fredericksburg</t>
  </si>
  <si>
    <t>Tripoli</t>
  </si>
  <si>
    <t>Union</t>
  </si>
  <si>
    <t>Wapsie Valley</t>
  </si>
  <si>
    <t>Waterloo</t>
  </si>
  <si>
    <t>Waverly-Shell Rock</t>
  </si>
  <si>
    <t>West Fork</t>
  </si>
  <si>
    <t>West Hancock</t>
  </si>
  <si>
    <t>West Marshall</t>
  </si>
  <si>
    <t>Andrew</t>
  </si>
  <si>
    <t>Bellevue</t>
  </si>
  <si>
    <t>Bennett</t>
  </si>
  <si>
    <t>Bettendorf</t>
  </si>
  <si>
    <t>Calamus-Wheatland</t>
  </si>
  <si>
    <t>Camanche</t>
  </si>
  <si>
    <t>Central De Witt</t>
  </si>
  <si>
    <t>Clinton</t>
  </si>
  <si>
    <t>Columbus</t>
  </si>
  <si>
    <t>Davenport</t>
  </si>
  <si>
    <t>Delwood</t>
  </si>
  <si>
    <t>Durant</t>
  </si>
  <si>
    <t>Easton Valley</t>
  </si>
  <si>
    <t>Louisa-Muscatine</t>
  </si>
  <si>
    <t>Maquoketa</t>
  </si>
  <si>
    <t>Muscatine</t>
  </si>
  <si>
    <t>North Scott</t>
  </si>
  <si>
    <t>Northeast</t>
  </si>
  <si>
    <t>Pleasant Valley</t>
  </si>
  <si>
    <t>West Liberty</t>
  </si>
  <si>
    <t>Wilton</t>
  </si>
  <si>
    <t>Alburnett</t>
  </si>
  <si>
    <t>Anamosa</t>
  </si>
  <si>
    <t>Belle Plaine</t>
  </si>
  <si>
    <t>Benton</t>
  </si>
  <si>
    <t>Cedar Rapids</t>
  </si>
  <si>
    <t>Center Point-Urbana</t>
  </si>
  <si>
    <t>Central City</t>
  </si>
  <si>
    <t>Clear Creek-Amana</t>
  </si>
  <si>
    <t>College Community</t>
  </si>
  <si>
    <t>English Valleys</t>
  </si>
  <si>
    <t>Highland</t>
  </si>
  <si>
    <t>Iowa City</t>
  </si>
  <si>
    <t>Iowa Valley</t>
  </si>
  <si>
    <t>Linn-Mar</t>
  </si>
  <si>
    <t>Lisbon</t>
  </si>
  <si>
    <t>Lone Tree</t>
  </si>
  <si>
    <t>Marion</t>
  </si>
  <si>
    <t>Mid-Prairie</t>
  </si>
  <si>
    <t>Midland</t>
  </si>
  <si>
    <t>Monticello</t>
  </si>
  <si>
    <t>Mount Vernon</t>
  </si>
  <si>
    <t>North Cedar</t>
  </si>
  <si>
    <t>North Linn</t>
  </si>
  <si>
    <t>Olin</t>
  </si>
  <si>
    <t>Solon</t>
  </si>
  <si>
    <t>Springville</t>
  </si>
  <si>
    <t>Tipton</t>
  </si>
  <si>
    <t>Vinton-Shellsburg</t>
  </si>
  <si>
    <t>Washington</t>
  </si>
  <si>
    <t>West Branch</t>
  </si>
  <si>
    <t>Williamsburg</t>
  </si>
  <si>
    <t>Adair-Casey</t>
  </si>
  <si>
    <t>Adel-Desoto-Minburn</t>
  </si>
  <si>
    <t>Ames</t>
  </si>
  <si>
    <t>Ankeny</t>
  </si>
  <si>
    <t>Audubon</t>
  </si>
  <si>
    <t>Ballard</t>
  </si>
  <si>
    <t>Baxter</t>
  </si>
  <si>
    <t>Bondurant-Farrar</t>
  </si>
  <si>
    <t>Boone</t>
  </si>
  <si>
    <t>Carlisle</t>
  </si>
  <si>
    <t>Carroll</t>
  </si>
  <si>
    <t>Colfax-Mingo</t>
  </si>
  <si>
    <t>Collins-Maxwell</t>
  </si>
  <si>
    <t>Colo-Nesco</t>
  </si>
  <si>
    <t>Coon Rapids-Bayard</t>
  </si>
  <si>
    <t>Dallas Center-Grimes</t>
  </si>
  <si>
    <t>Des Moines</t>
  </si>
  <si>
    <t>Earlham</t>
  </si>
  <si>
    <t>Exira-Elk Horn-Kimballton</t>
  </si>
  <si>
    <t>Gilbert</t>
  </si>
  <si>
    <t>Glidden-Ralston</t>
  </si>
  <si>
    <t>Guthrie Center</t>
  </si>
  <si>
    <t>Indianola</t>
  </si>
  <si>
    <t>Interstate 35</t>
  </si>
  <si>
    <t>Johnston</t>
  </si>
  <si>
    <t>Knoxville</t>
  </si>
  <si>
    <t>Lynnville-Sully</t>
  </si>
  <si>
    <t>Madrid</t>
  </si>
  <si>
    <t>Martensdale-St Marys</t>
  </si>
  <si>
    <t>Melcher-Dallas</t>
  </si>
  <si>
    <t>Nevada</t>
  </si>
  <si>
    <t>Newton</t>
  </si>
  <si>
    <t>North Polk</t>
  </si>
  <si>
    <t>Norwalk</t>
  </si>
  <si>
    <t>Ogden</t>
  </si>
  <si>
    <t>Panorama</t>
  </si>
  <si>
    <t>Pella</t>
  </si>
  <si>
    <t>Perry</t>
  </si>
  <si>
    <t>Pleasantville</t>
  </si>
  <si>
    <t>Roland-Story</t>
  </si>
  <si>
    <t>Saydel</t>
  </si>
  <si>
    <t>Southeast Polk</t>
  </si>
  <si>
    <t>Southeast Warren</t>
  </si>
  <si>
    <t>Twin Cedars</t>
  </si>
  <si>
    <t>United</t>
  </si>
  <si>
    <t>Urbandale</t>
  </si>
  <si>
    <t>Van Meter</t>
  </si>
  <si>
    <t>Waukee</t>
  </si>
  <si>
    <t>West Central Valley</t>
  </si>
  <si>
    <t>West Des Moines</t>
  </si>
  <si>
    <t>Winterset</t>
  </si>
  <si>
    <t>Woodward-Granger</t>
  </si>
  <si>
    <t>Akron-Westfield</t>
  </si>
  <si>
    <t>Ar-We-Va</t>
  </si>
  <si>
    <t>Boyden-Hull</t>
  </si>
  <si>
    <t>Central Lyon</t>
  </si>
  <si>
    <t>Charter Oak-Ute</t>
  </si>
  <si>
    <t>Cherokee</t>
  </si>
  <si>
    <t>Denison</t>
  </si>
  <si>
    <t>Galva-Holstein</t>
  </si>
  <si>
    <t>George-Little Rock</t>
  </si>
  <si>
    <t>Hartley-Melvin-Sanborn</t>
  </si>
  <si>
    <t>Hinton</t>
  </si>
  <si>
    <t>Kingsley-Pierson</t>
  </si>
  <si>
    <t>Lawton-Bronson</t>
  </si>
  <si>
    <t>Le Mars</t>
  </si>
  <si>
    <t>Maple Valley-Anthon Oto</t>
  </si>
  <si>
    <t>Marcus-Meriden Cleghorn</t>
  </si>
  <si>
    <t>Moc-Floyd Valley</t>
  </si>
  <si>
    <t>Odebolt Arthur Battle Creek Ida Grove</t>
  </si>
  <si>
    <t>Remsen-Union</t>
  </si>
  <si>
    <t>River Valley</t>
  </si>
  <si>
    <t>Rock Valley</t>
  </si>
  <si>
    <t>Schleswig</t>
  </si>
  <si>
    <t>Sergeant Bluff-Luton</t>
  </si>
  <si>
    <t>Sheldon</t>
  </si>
  <si>
    <t>Sibley-Ocheyedan</t>
  </si>
  <si>
    <t>Sioux Center</t>
  </si>
  <si>
    <t>Sioux City</t>
  </si>
  <si>
    <t>South O'Brien</t>
  </si>
  <si>
    <t>West Lyon</t>
  </si>
  <si>
    <t>West Monona</t>
  </si>
  <si>
    <t>West Sioux</t>
  </si>
  <si>
    <t>Westwood</t>
  </si>
  <si>
    <t>Whiting</t>
  </si>
  <si>
    <t>Woodbury Central</t>
  </si>
  <si>
    <t>AHSTW</t>
  </si>
  <si>
    <t>Atlantic</t>
  </si>
  <si>
    <t>Bedford</t>
  </si>
  <si>
    <t>Boyer Valley</t>
  </si>
  <si>
    <t>Central Decatur</t>
  </si>
  <si>
    <t>Clarinda</t>
  </si>
  <si>
    <t>Clarke</t>
  </si>
  <si>
    <t>Corning</t>
  </si>
  <si>
    <t>Council Bluffs</t>
  </si>
  <si>
    <t>Creston</t>
  </si>
  <si>
    <t>Diagonal</t>
  </si>
  <si>
    <t>East Mills</t>
  </si>
  <si>
    <t>East Union</t>
  </si>
  <si>
    <t>Essex</t>
  </si>
  <si>
    <t>Fremont-Mills</t>
  </si>
  <si>
    <t>Glenwood</t>
  </si>
  <si>
    <t>Griswold</t>
  </si>
  <si>
    <t>Hamburg</t>
  </si>
  <si>
    <t>Harlan</t>
  </si>
  <si>
    <t>IKM-Manning</t>
  </si>
  <si>
    <t>Lamoni</t>
  </si>
  <si>
    <t>Lenox</t>
  </si>
  <si>
    <t>Lewis Central</t>
  </si>
  <si>
    <t>Logan-Magnolia</t>
  </si>
  <si>
    <t>Missouri Valley</t>
  </si>
  <si>
    <t>Mormon Trail</t>
  </si>
  <si>
    <t>Mount Ayr</t>
  </si>
  <si>
    <t>Murray</t>
  </si>
  <si>
    <t>Nodaway Valley</t>
  </si>
  <si>
    <t>Orient-Macksburg</t>
  </si>
  <si>
    <t>Red Oak</t>
  </si>
  <si>
    <t>Riverside</t>
  </si>
  <si>
    <t>Shenandoah</t>
  </si>
  <si>
    <t>Sidney</t>
  </si>
  <si>
    <t>South Page</t>
  </si>
  <si>
    <t>Stanton</t>
  </si>
  <si>
    <t>Treynor</t>
  </si>
  <si>
    <t>Tri-Center</t>
  </si>
  <si>
    <t>Underwood</t>
  </si>
  <si>
    <t>Villisca</t>
  </si>
  <si>
    <t>West Harrison</t>
  </si>
  <si>
    <t>Woodbine</t>
  </si>
  <si>
    <t>Albia</t>
  </si>
  <si>
    <t>Burlington</t>
  </si>
  <si>
    <t>Cardinal</t>
  </si>
  <si>
    <t>Centerville</t>
  </si>
  <si>
    <t>Central Lee</t>
  </si>
  <si>
    <t>Chariton</t>
  </si>
  <si>
    <t>Danville</t>
  </si>
  <si>
    <t>Davis County</t>
  </si>
  <si>
    <t>Eddyville-Blakesburg-Fremont</t>
  </si>
  <si>
    <t>Fairfield</t>
  </si>
  <si>
    <t>Fort Madison</t>
  </si>
  <si>
    <t>Keokuk</t>
  </si>
  <si>
    <t>Keota</t>
  </si>
  <si>
    <t>Mediapolis</t>
  </si>
  <si>
    <t>Moravia</t>
  </si>
  <si>
    <t>Morning Sun</t>
  </si>
  <si>
    <t>Moulton-Udell</t>
  </si>
  <si>
    <t>Mount Pleasant</t>
  </si>
  <si>
    <t>New London</t>
  </si>
  <si>
    <t>North Mahaska</t>
  </si>
  <si>
    <t>Oskaloosa</t>
  </si>
  <si>
    <t>Ottumwa</t>
  </si>
  <si>
    <t>Pekin</t>
  </si>
  <si>
    <t>Seymour</t>
  </si>
  <si>
    <t>Sigourney</t>
  </si>
  <si>
    <t>Tri-County</t>
  </si>
  <si>
    <t>Waco</t>
  </si>
  <si>
    <t>Wapello</t>
  </si>
  <si>
    <t>Wayne</t>
  </si>
  <si>
    <t>West Burlington</t>
  </si>
  <si>
    <t>Winfield-Mt Union</t>
  </si>
  <si>
    <t>Dist</t>
  </si>
  <si>
    <t>Keystone AEA 1</t>
  </si>
  <si>
    <t>Prairie Lakes AEA 8</t>
  </si>
  <si>
    <t>Central Rivers</t>
  </si>
  <si>
    <t>Mississippi Bend AEA 9</t>
  </si>
  <si>
    <t>Grant Wood AEA 10</t>
  </si>
  <si>
    <t>Heartland AEA 11</t>
  </si>
  <si>
    <t>Northwest AEA</t>
  </si>
  <si>
    <t>Green Hills AEA 13</t>
  </si>
  <si>
    <t>Great Prairie AEA 15</t>
  </si>
  <si>
    <t>Van Buren County</t>
  </si>
  <si>
    <t>FY 2023 AEA Weights and Costs Detail</t>
  </si>
  <si>
    <t>b.  Notwithstanding subsection 1, and in addition to the reductions applicable pursuant to subsection 2 and paragraph “a” of this subsection, the state aid for area education agencies and the portion of the combined district cost calculated for these agencies related to professional development expenditures for the fiscal year beginning July 1, 2022, and ending June 30, 2023, shall be reduced by the department of management by an amount equal to the sum of the area education agency professional development supplement district cost for all area education agencies determined under section 257.37A, subsection 2, for the budget year beginning July 1, 2022. The reduction for each area education agency shall be equal to the area education agency’s professional development district cost determined under section 257.37A, subsection 2, for the budget year beginning July 1, 2022. The amounts reduced under this paragraph shall be considered funds paid to school districts and area education agencies under chapter 284 for purposes of requirements for providing professional development opportunities.</t>
  </si>
  <si>
    <t>Professional Development Reduction Language HF 2589</t>
  </si>
  <si>
    <t>https://www.legis.iowa.gov/legislation/BillBook?ga=89&amp;ba=HF%202589&amp;v=e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</si>
</sst>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6"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b/>
      <sz val="12"/>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5" tint="0.59999389629810485"/>
        <bgColor indexed="64"/>
      </patternFill>
    </fill>
  </fills>
  <borders count="4">
    <border>
      <left/>
      <right/>
      <top/>
      <bottom/>
      <diagonal/>
    </border>
    <border>
      <left/>
      <right/>
      <top/>
      <bottom style="thin">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applyNumberFormat="0" applyFill="0" applyBorder="0" applyAlignment="0" applyProtection="0"/>
  </cellStyleXfs>
  <cellXfs count="38">
    <xf numFmtId="0" fontId="0" fillId="0" borderId="0" xfId="0"/>
    <xf numFmtId="49" fontId="0" fillId="0" borderId="0" xfId="0" applyNumberFormat="1"/>
    <xf numFmtId="4" fontId="0" fillId="0" borderId="0" xfId="0" applyNumberFormat="1"/>
    <xf numFmtId="164" fontId="0" fillId="0" borderId="0" xfId="0" applyNumberFormat="1"/>
    <xf numFmtId="3" fontId="0" fillId="0" borderId="0" xfId="0" applyNumberFormat="1"/>
    <xf numFmtId="0" fontId="1" fillId="0" borderId="0" xfId="0" applyFont="1"/>
    <xf numFmtId="0" fontId="1" fillId="0" borderId="1" xfId="0" applyFont="1" applyBorder="1"/>
    <xf numFmtId="0" fontId="1" fillId="0" borderId="1" xfId="0" applyFont="1" applyBorder="1" applyAlignment="1">
      <alignment wrapText="1"/>
    </xf>
    <xf numFmtId="0" fontId="1" fillId="0" borderId="1" xfId="0" applyFont="1" applyBorder="1" applyAlignment="1">
      <alignment horizontal="center" wrapText="1"/>
    </xf>
    <xf numFmtId="4" fontId="0" fillId="0" borderId="2" xfId="0" applyNumberFormat="1" applyBorder="1"/>
    <xf numFmtId="0" fontId="0" fillId="0" borderId="0" xfId="0" applyAlignment="1">
      <alignment wrapText="1"/>
    </xf>
    <xf numFmtId="0" fontId="0" fillId="0" borderId="0" xfId="0" applyAlignment="1">
      <alignment horizontal="center" wrapText="1"/>
    </xf>
    <xf numFmtId="3" fontId="0" fillId="0" borderId="2" xfId="0" applyNumberFormat="1" applyBorder="1"/>
    <xf numFmtId="0" fontId="0" fillId="2" borderId="0" xfId="0" applyFill="1" applyAlignment="1">
      <alignment wrapText="1"/>
    </xf>
    <xf numFmtId="0" fontId="0" fillId="2" borderId="0" xfId="0" applyFill="1"/>
    <xf numFmtId="0" fontId="1" fillId="0" borderId="1" xfId="0" applyFont="1" applyFill="1" applyBorder="1" applyAlignment="1">
      <alignment horizontal="center" wrapText="1"/>
    </xf>
    <xf numFmtId="0" fontId="1" fillId="0" borderId="0" xfId="0" applyFont="1" applyFill="1" applyBorder="1" applyAlignment="1">
      <alignment horizontal="center" wrapText="1"/>
    </xf>
    <xf numFmtId="0" fontId="0" fillId="0" borderId="0" xfId="0" applyFill="1" applyBorder="1" applyAlignment="1">
      <alignment wrapText="1"/>
    </xf>
    <xf numFmtId="3" fontId="0" fillId="0" borderId="0" xfId="0" applyNumberFormat="1" applyFill="1" applyBorder="1"/>
    <xf numFmtId="164" fontId="0" fillId="0" borderId="2" xfId="0" applyNumberFormat="1" applyBorder="1"/>
    <xf numFmtId="0" fontId="2" fillId="0" borderId="0" xfId="0" applyFont="1"/>
    <xf numFmtId="0" fontId="2" fillId="0" borderId="0" xfId="0" applyFont="1" applyAlignment="1">
      <alignment wrapText="1"/>
    </xf>
    <xf numFmtId="0" fontId="3" fillId="0" borderId="0" xfId="0" pivotButton="1" applyFont="1" applyAlignment="1">
      <alignment wrapText="1"/>
    </xf>
    <xf numFmtId="0" fontId="3" fillId="0" borderId="0" xfId="0" applyFont="1" applyAlignment="1">
      <alignment wrapText="1"/>
    </xf>
    <xf numFmtId="0" fontId="3" fillId="0" borderId="0" xfId="0" applyFont="1"/>
    <xf numFmtId="4" fontId="2" fillId="0" borderId="0" xfId="0" applyNumberFormat="1" applyFont="1"/>
    <xf numFmtId="4" fontId="3" fillId="0" borderId="0" xfId="0" applyNumberFormat="1" applyFont="1"/>
    <xf numFmtId="164" fontId="2" fillId="0" borderId="0" xfId="0" applyNumberFormat="1" applyFont="1"/>
    <xf numFmtId="164" fontId="3" fillId="0" borderId="0" xfId="0" applyNumberFormat="1" applyFont="1"/>
    <xf numFmtId="3" fontId="2" fillId="0" borderId="0" xfId="0" applyNumberFormat="1" applyFont="1"/>
    <xf numFmtId="3" fontId="3" fillId="0" borderId="0" xfId="0" applyNumberFormat="1" applyFont="1"/>
    <xf numFmtId="49" fontId="0" fillId="0" borderId="3" xfId="0" applyNumberFormat="1" applyBorder="1"/>
    <xf numFmtId="4" fontId="0" fillId="0" borderId="3" xfId="0" applyNumberFormat="1" applyBorder="1"/>
    <xf numFmtId="164" fontId="0" fillId="0" borderId="3" xfId="0" applyNumberFormat="1" applyBorder="1"/>
    <xf numFmtId="3" fontId="0" fillId="0" borderId="3" xfId="0" applyNumberFormat="1" applyBorder="1"/>
    <xf numFmtId="0" fontId="5" fillId="0" borderId="0" xfId="1" applyBorder="1"/>
    <xf numFmtId="0" fontId="0" fillId="0" borderId="0" xfId="0" applyBorder="1" applyAlignment="1">
      <alignment horizontal="left" wrapText="1"/>
    </xf>
    <xf numFmtId="0" fontId="4" fillId="0" borderId="0" xfId="0" applyFont="1" applyAlignment="1">
      <alignment horizontal="center" wrapText="1"/>
    </xf>
  </cellXfs>
  <cellStyles count="2">
    <cellStyle name="Hyperlink" xfId="1" builtinId="8"/>
    <cellStyle name="Normal" xfId="0" builtinId="0"/>
  </cellStyles>
  <dxfs count="61">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4" formatCode="#,##0.0"/>
    </dxf>
    <dxf>
      <numFmt numFmtId="3" formatCode="#,##0"/>
    </dxf>
    <dxf>
      <numFmt numFmtId="4" formatCode="#,##0.00"/>
    </dxf>
    <dxf>
      <numFmt numFmtId="4" formatCode="#,##0.00"/>
    </dxf>
    <dxf>
      <numFmt numFmtId="164" formatCode="#,##0.0"/>
    </dxf>
    <dxf>
      <numFmt numFmtId="4" formatCode="#,##0.00"/>
    </dxf>
    <dxf>
      <font>
        <b/>
      </font>
    </dxf>
    <dxf>
      <font>
        <b/>
      </font>
    </dxf>
    <dxf>
      <font>
        <b/>
      </font>
    </dxf>
    <dxf>
      <font>
        <b/>
      </font>
    </dxf>
    <dxf>
      <font>
        <b/>
      </font>
    </dxf>
    <dxf>
      <font>
        <sz val="10"/>
      </font>
    </dxf>
    <dxf>
      <alignment wrapText="1" readingOrder="0"/>
    </dxf>
    <dxf>
      <alignment wrapText="1" readingOrder="0"/>
    </dxf>
    <dxf>
      <alignment wrapText="1" readingOrder="0"/>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font>
        <b/>
        <i val="0"/>
        <strike val="0"/>
        <condense val="0"/>
        <extend val="0"/>
        <outline val="0"/>
        <shadow val="0"/>
        <u val="none"/>
        <vertAlign val="baseline"/>
        <sz val="11"/>
        <color theme="1"/>
        <name val="Calibri"/>
        <scheme val="minor"/>
      </font>
      <alignment horizontal="center" vertical="bottom" textRotation="0" wrapText="1" indent="0" justifyLastLine="0" shrinkToFit="0" readingOrder="0"/>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PivotTable Style 1" table="0" count="1" xr9:uid="{00000000-0011-0000-FFFF-FFFF00000000}">
      <tableStyleElement type="wholeTable" dxfId="6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4</xdr:col>
      <xdr:colOff>552450</xdr:colOff>
      <xdr:row>0</xdr:row>
      <xdr:rowOff>0</xdr:rowOff>
    </xdr:from>
    <xdr:to>
      <xdr:col>7</xdr:col>
      <xdr:colOff>409576</xdr:colOff>
      <xdr:row>13</xdr:row>
      <xdr:rowOff>123825</xdr:rowOff>
    </xdr:to>
    <mc:AlternateContent xmlns:mc="http://schemas.openxmlformats.org/markup-compatibility/2006" xmlns:a14="http://schemas.microsoft.com/office/drawing/2010/main">
      <mc:Choice Requires="a14">
        <xdr:graphicFrame macro="">
          <xdr:nvGraphicFramePr>
            <xdr:cNvPr id="2" name="AEA Name">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AEA Name"/>
            </a:graphicData>
          </a:graphic>
        </xdr:graphicFrame>
      </mc:Choice>
      <mc:Fallback xmlns="">
        <xdr:sp macro="" textlink="">
          <xdr:nvSpPr>
            <xdr:cNvPr id="0" name=""/>
            <xdr:cNvSpPr>
              <a:spLocks noTextEdit="1"/>
            </xdr:cNvSpPr>
          </xdr:nvSpPr>
          <xdr:spPr>
            <a:xfrm>
              <a:off x="4591050" y="0"/>
              <a:ext cx="2009776" cy="30003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fPrint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ker, John [IDOM]" refreshedDate="44734.356160300929" createdVersion="4" refreshedVersion="6" minRefreshableVersion="3" recordCount="327" xr:uid="{00000000-000A-0000-FFFF-FFFF05000000}">
  <cacheSource type="worksheet">
    <worksheetSource name="Detail"/>
  </cacheSource>
  <cacheFields count="29">
    <cacheField name="AEA" numFmtId="49">
      <sharedItems/>
    </cacheField>
    <cacheField name="AEA Name" numFmtId="49">
      <sharedItems count="9">
        <s v="Keystone AEA 1"/>
        <s v="Prairie Lakes AEA 8"/>
        <s v="Central Rivers"/>
        <s v="Mississippi Bend AEA 9"/>
        <s v="Grant Wood AEA 10"/>
        <s v="Heartland AEA 11"/>
        <s v="Northwest AEA"/>
        <s v="Green Hills AEA 13"/>
        <s v="Great Prairie AEA 15"/>
      </sharedItems>
    </cacheField>
    <cacheField name="Dist" numFmtId="49">
      <sharedItems count="333">
        <s v="0135"/>
        <s v="1080"/>
        <s v="2763"/>
        <s v="1638"/>
        <s v="1863"/>
        <s v="1972"/>
        <s v="1989"/>
        <s v="3029"/>
        <s v="4419"/>
        <s v="4043"/>
        <s v="4662"/>
        <s v="4774"/>
        <s v="4869"/>
        <s v="5310"/>
        <s v="5508"/>
        <s v="6100"/>
        <s v="6175"/>
        <s v="6509"/>
        <s v="6943"/>
        <s v="6950"/>
        <s v="6961"/>
        <s v="0072"/>
        <s v="0126"/>
        <s v="0171"/>
        <s v="1206"/>
        <s v="1218"/>
        <s v="1944"/>
        <s v="6741"/>
        <s v="2088"/>
        <s v="2124"/>
        <s v="2313"/>
        <s v="2493"/>
        <s v="2556"/>
        <s v="3195"/>
        <s v="2846"/>
        <s v="3060"/>
        <s v="3537"/>
        <s v="3897"/>
        <s v="4023"/>
        <s v="4644"/>
        <s v="4778"/>
        <s v="0333"/>
        <s v="4890"/>
        <s v="5139"/>
        <s v="5283"/>
        <s v="5323"/>
        <s v="5724"/>
        <s v="5823"/>
        <s v="6048"/>
        <s v="6091"/>
        <s v="6095"/>
        <s v="6096"/>
        <s v="6102"/>
        <s v="6120"/>
        <s v="6219"/>
        <s v="6246"/>
        <s v="6516"/>
        <s v="6867"/>
        <s v="6921"/>
        <s v="0009"/>
        <s v="0108"/>
        <s v="0279"/>
        <s v="0540"/>
        <s v="0594"/>
        <s v="0846"/>
        <s v="0916"/>
        <s v="1044"/>
        <s v="4772"/>
        <s v="1116"/>
        <s v="1215"/>
        <s v="1233"/>
        <s v="1719"/>
        <s v="1791"/>
        <s v="1908"/>
        <s v="1963"/>
        <s v="3582"/>
        <s v="2007"/>
        <s v="2295"/>
        <s v="2682"/>
        <s v="2403"/>
        <s v="2502"/>
        <s v="2709"/>
        <s v="2727"/>
        <s v="2781"/>
        <s v="3033"/>
        <s v="3042"/>
        <s v="3105"/>
        <s v="3150"/>
        <s v="3186"/>
        <s v="3204"/>
        <s v="3420"/>
        <s v="4104"/>
        <s v="4131"/>
        <s v="4437"/>
        <s v="4599"/>
        <s v="0153"/>
        <s v="0873"/>
        <s v="4785"/>
        <s v="4788"/>
        <s v="4995"/>
        <s v="5697"/>
        <s v="6098"/>
        <s v="5751"/>
        <s v="6273"/>
        <s v="6471"/>
        <s v="1935"/>
        <s v="6762"/>
        <s v="6795"/>
        <s v="6840"/>
        <s v="5922"/>
        <s v="0819"/>
        <s v="6985"/>
        <s v="0243"/>
        <s v="0585"/>
        <s v="0603"/>
        <s v="0621"/>
        <s v="0918"/>
        <s v="0936"/>
        <s v="1082"/>
        <s v="1278"/>
        <s v="1368"/>
        <s v="1611"/>
        <s v="1675"/>
        <s v="1926"/>
        <s v="1965"/>
        <s v="3841"/>
        <s v="4041"/>
        <s v="4581"/>
        <s v="4784"/>
        <s v="4773"/>
        <s v="5250"/>
        <s v="6975"/>
        <s v="7038"/>
        <s v="0099"/>
        <s v="0234"/>
        <s v="0576"/>
        <s v="0609"/>
        <s v="1053"/>
        <s v="1062"/>
        <s v="1089"/>
        <s v="1221"/>
        <s v="1337"/>
        <s v="2097"/>
        <s v="2766"/>
        <s v="2977"/>
        <s v="3141"/>
        <s v="3154"/>
        <s v="3715"/>
        <s v="3744"/>
        <s v="3816"/>
        <s v="4086"/>
        <s v="4271"/>
        <s v="4269"/>
        <s v="4446"/>
        <s v="4554"/>
        <s v="3691"/>
        <s v="4777"/>
        <s v="4905"/>
        <s v="6093"/>
        <s v="6138"/>
        <s v="6408"/>
        <s v="6660"/>
        <s v="6768"/>
        <s v="6930"/>
        <s v="7029"/>
        <s v="0018"/>
        <s v="0027"/>
        <s v="0225"/>
        <s v="0261"/>
        <s v="0414"/>
        <s v="0472"/>
        <s v="0513"/>
        <s v="0720"/>
        <s v="0729"/>
        <s v="0981"/>
        <s v="0999"/>
        <s v="1332"/>
        <s v="1350"/>
        <s v="1359"/>
        <s v="1413"/>
        <s v="1576"/>
        <s v="1737"/>
        <s v="1953"/>
        <s v="2151"/>
        <s v="2466"/>
        <s v="2520"/>
        <s v="2754"/>
        <s v="3114"/>
        <s v="3119"/>
        <s v="3231"/>
        <s v="3375"/>
        <s v="3906"/>
        <s v="3942"/>
        <s v="4122"/>
        <s v="4212"/>
        <s v="4617"/>
        <s v="4725"/>
        <s v="4779"/>
        <s v="4797"/>
        <s v="4878"/>
        <s v="5319"/>
        <s v="5121"/>
        <s v="5166"/>
        <s v="5184"/>
        <s v="5256"/>
        <s v="5643"/>
        <s v="5805"/>
        <s v="6101"/>
        <s v="6094"/>
        <s v="6512"/>
        <s v="6561"/>
        <s v="6579"/>
        <s v="6615"/>
        <s v="6822"/>
        <s v="6264"/>
        <s v="6957"/>
        <s v="7056"/>
        <s v="7110"/>
        <s v="0063"/>
        <s v="0355"/>
        <s v="0747"/>
        <s v="1095"/>
        <s v="1134"/>
        <s v="1152"/>
        <s v="1701"/>
        <s v="2376"/>
        <s v="2457"/>
        <s v="2862"/>
        <s v="2988"/>
        <s v="3348"/>
        <s v="3555"/>
        <s v="3600"/>
        <s v="4033"/>
        <s v="4068"/>
        <s v="4149"/>
        <s v="4860"/>
        <s v="5486"/>
        <s v="1975"/>
        <s v="5607"/>
        <s v="5832"/>
        <s v="5877"/>
        <s v="5949"/>
        <s v="5994"/>
        <s v="6030"/>
        <s v="6039"/>
        <s v="5157"/>
        <s v="6983"/>
        <s v="6987"/>
        <s v="6990"/>
        <s v="6992"/>
        <s v="7002"/>
        <s v="7098"/>
        <s v="0441"/>
        <s v="0387"/>
        <s v="0549"/>
        <s v="1917"/>
        <s v="0914"/>
        <s v="1093"/>
        <s v="1197"/>
        <s v="1211"/>
        <s v="1431"/>
        <s v="1476"/>
        <s v="1503"/>
        <s v="1782"/>
        <s v="3978"/>
        <s v="1970"/>
        <s v="2113"/>
        <s v="2369"/>
        <s v="2511"/>
        <s v="2718"/>
        <s v="2772"/>
        <s v="2826"/>
        <s v="3168"/>
        <s v="3465"/>
        <s v="3609"/>
        <s v="3645"/>
        <s v="3798"/>
        <s v="4356"/>
        <s v="4505"/>
        <s v="4527"/>
        <s v="4572"/>
        <s v="2673"/>
        <s v="4978"/>
        <s v="5463"/>
        <s v="4824"/>
        <s v="5976"/>
        <s v="6003"/>
        <s v="6097"/>
        <s v="6165"/>
        <s v="6453"/>
        <s v="6460"/>
        <s v="6534"/>
        <s v="6651"/>
        <s v="6969"/>
        <s v="7092"/>
        <s v="0081"/>
        <s v="0882"/>
        <s v="0977"/>
        <s v="1071"/>
        <s v="1079"/>
        <s v="1107"/>
        <s v="1602"/>
        <s v="1619"/>
        <s v="0657"/>
        <s v="2169"/>
        <s v="2322"/>
        <s v="3312"/>
        <s v="3330"/>
        <s v="4203"/>
        <s v="4491"/>
        <s v="4509"/>
        <s v="4518"/>
        <s v="4536"/>
        <s v="4689"/>
        <s v="4776"/>
        <s v="5013"/>
        <s v="5049"/>
        <s v="5163"/>
        <s v="5895"/>
        <s v="6012"/>
        <s v="6462"/>
        <s v="6592"/>
        <s v="6700"/>
        <s v="6759"/>
        <s v="6854"/>
        <s v="6937"/>
        <s v="7047"/>
        <s v="6591" u="1"/>
        <s v="0504" u="1"/>
        <s v="4775" u="1"/>
        <s v="4787" u="1"/>
        <s v="0423" u="1"/>
        <s v="2834" u="1"/>
      </sharedItems>
    </cacheField>
    <cacheField name="District" numFmtId="49">
      <sharedItems count="355">
        <s v="Allamakee"/>
        <s v="Central Clayton"/>
        <s v="Clayton Ridge"/>
        <s v="Decorah"/>
        <s v="Dubuque"/>
        <s v="Eastern Allamakee"/>
        <s v="Edgewood-Colesburg"/>
        <s v="Howard-Winneshiek"/>
        <s v="MFL Mar Mac"/>
        <s v="Maquoketa Valley"/>
        <s v="New Hampton"/>
        <s v="North Fayette Valley"/>
        <s v="Oelwein"/>
        <s v="Postville"/>
        <s v="Riceville"/>
        <s v="South Winneshiek"/>
        <s v="Starmont"/>
        <s v="Turkey Valley"/>
        <s v="West Central"/>
        <s v="West Delaware Co"/>
        <s v="Western Dubuque Co"/>
        <s v="Albert City-Truesdale"/>
        <s v="Algona"/>
        <s v="Alta-Aurelia"/>
        <s v="Clarion-Goldfield-Dows"/>
        <s v="Clay Central-Everly"/>
        <s v="Eagle Grove"/>
        <s v="East Sac County"/>
        <s v="Emmetsburg"/>
        <s v="Estherville-Lincoln Central"/>
        <s v="Fort Dodge"/>
        <s v="Gilmore City-Bradgate"/>
        <s v="Graettinger-Terril"/>
        <s v="Greene County"/>
        <s v="Harris-Lake Park"/>
        <s v="Humboldt"/>
        <s v="Laurens-Marathon"/>
        <s v="Lu Verne"/>
        <s v="Manson-Northwest Webster"/>
        <s v="Newell-Fonda"/>
        <s v="North Kossuth"/>
        <s v="North Union"/>
        <s v="Okoboji"/>
        <s v="Paton-Churdan"/>
        <s v="Pocahontas Area"/>
        <s v="Prairie Valley"/>
        <s v="Ruthven-Ayrshire"/>
        <s v="Schaller-Crestland"/>
        <s v="Sioux Central"/>
        <s v="South Central Calhoun"/>
        <s v="South Hamilton"/>
        <s v="Southeast Webster-Grand"/>
        <s v="Spencer"/>
        <s v="Spirit Lake"/>
        <s v="Storm Lake"/>
        <s v="Stratford"/>
        <s v="Twin Rivers"/>
        <s v="Webster City"/>
        <s v="West Bend-Mallard"/>
        <s v="AGWSR"/>
        <s v="Alden"/>
        <s v="Aplington-Parkersburg"/>
        <s v="BCLUW"/>
        <s v="Belmond-Klemme"/>
        <s v="Brooklyn-Guernsey-Malcom"/>
        <s v="CAL"/>
        <s v="Cedar Falls"/>
        <s v="Central Springs"/>
        <s v="Charles City"/>
        <s v="Clarksville"/>
        <s v="Clear Lake"/>
        <s v="Denver"/>
        <s v="Dike-New Hartford"/>
        <s v="Dunkerton"/>
        <s v="East Buchanan"/>
        <s v="East Marshall"/>
        <s v="Eldora-New Providence"/>
        <s v="Forest City"/>
        <s v="GMG"/>
        <s v="Garner-Hayfield-Ventura"/>
        <s v="Gladbrook-Reinbeck"/>
        <s v="Grinnell-Newburg"/>
        <s v="Grundy Center"/>
        <s v="Hampton-Dumont"/>
        <s v="Hubbard-Radcliffe"/>
        <s v="Hudson"/>
        <s v="Independence"/>
        <s v="Iowa Falls"/>
        <s v="Janesville"/>
        <s v="Jesup"/>
        <s v="Lake Mills"/>
        <s v="Marshalltown"/>
        <s v="Mason City"/>
        <s v="Montezuma"/>
        <s v="Nashua-Plainfield"/>
        <s v="North Butler"/>
        <s v="North Iowa"/>
        <s v="North Tama"/>
        <s v="Northwood-Kensett"/>
        <s v="Osage"/>
        <s v="Rudd-Rockford-Marble Rock"/>
        <s v="South Tama"/>
        <s v="St Ansgar"/>
        <s v="Sumner-Fredericksburg"/>
        <s v="Tripoli"/>
        <s v="Union"/>
        <s v="Wapsie Valley"/>
        <s v="Waterloo"/>
        <s v="Waverly-Shell Rock"/>
        <s v="West Fork"/>
        <s v="West Hancock"/>
        <s v="West Marshall"/>
        <s v="Andrew"/>
        <s v="Bellevue"/>
        <s v="Bennett"/>
        <s v="Bettendorf"/>
        <s v="Calamus-Wheatland"/>
        <s v="Camanche"/>
        <s v="Central De Witt"/>
        <s v="Clinton"/>
        <s v="Columbus"/>
        <s v="Davenport"/>
        <s v="Delwood"/>
        <s v="Durant"/>
        <s v="Easton Valley"/>
        <s v="Louisa-Muscatine"/>
        <s v="Maquoketa"/>
        <s v="Muscatine"/>
        <s v="North Scott"/>
        <s v="Northeast"/>
        <s v="Pleasant Valley"/>
        <s v="West Liberty"/>
        <s v="Wilton"/>
        <s v="Alburnett"/>
        <s v="Anamosa"/>
        <s v="Belle Plaine"/>
        <s v="Benton"/>
        <s v="Cedar Rapids"/>
        <s v="Center Point-Urbana"/>
        <s v="Central City"/>
        <s v="Clear Creek-Amana"/>
        <s v="College Community"/>
        <s v="English Valleys"/>
        <s v="HLV"/>
        <s v="Highland"/>
        <s v="Iowa City"/>
        <s v="Iowa Valley"/>
        <s v="Linn-Mar"/>
        <s v="Lisbon"/>
        <s v="Lone Tree"/>
        <s v="Marion"/>
        <s v="Mid-Prairie"/>
        <s v="Midland"/>
        <s v="Monticello"/>
        <s v="Mount Vernon"/>
        <s v="North Cedar"/>
        <s v="North Linn"/>
        <s v="Olin"/>
        <s v="Solon"/>
        <s v="Springville"/>
        <s v="Tipton"/>
        <s v="Vinton-Shellsburg"/>
        <s v="Washington"/>
        <s v="West Branch"/>
        <s v="Williamsburg"/>
        <s v="Adair-Casey"/>
        <s v="Adel-Desoto-Minburn"/>
        <s v="Ames"/>
        <s v="Ankeny"/>
        <s v="Audubon"/>
        <s v="Ballard"/>
        <s v="Baxter"/>
        <s v="Bondurant-Farrar"/>
        <s v="Boone"/>
        <s v="Carlisle"/>
        <s v="Carroll"/>
        <s v="Colfax-Mingo"/>
        <s v="Collins-Maxwell"/>
        <s v="Colo-Nesco"/>
        <s v="Coon Rapids-Bayard"/>
        <s v="Dallas Center-Grimes"/>
        <s v="Des Moines"/>
        <s v="Earlham"/>
        <s v="Exira-Elk Horn-Kimballton"/>
        <s v="Gilbert"/>
        <s v="Glidden-Ralston"/>
        <s v="Guthrie Center"/>
        <s v="Indianola"/>
        <s v="Interstate 35"/>
        <s v="Johnston"/>
        <s v="Knoxville"/>
        <s v="Lynnville-Sully"/>
        <s v="Madrid"/>
        <s v="Martensdale-St Marys"/>
        <s v="Melcher-Dallas"/>
        <s v="Nevada"/>
        <s v="Newton"/>
        <s v="North Polk"/>
        <s v="Norwalk"/>
        <s v="Ogden"/>
        <s v="PCM"/>
        <s v="Panorama"/>
        <s v="Pella"/>
        <s v="Perry"/>
        <s v="Pleasantville"/>
        <s v="Roland-Story"/>
        <s v="Saydel"/>
        <s v="Southeast Polk"/>
        <s v="Southeast Warren"/>
        <s v="Twin Cedars"/>
        <s v="United"/>
        <s v="Urbandale"/>
        <s v="Van Meter"/>
        <s v="Waukee"/>
        <s v="West Central Valley"/>
        <s v="West Des Moines"/>
        <s v="Winterset"/>
        <s v="Woodward-Granger"/>
        <s v="Akron-Westfield"/>
        <s v="Ar-We-Va"/>
        <s v="Boyden-Hull"/>
        <s v="Central Lyon"/>
        <s v="Charter Oak-Ute"/>
        <s v="Cherokee"/>
        <s v="Denison"/>
        <s v="Galva-Holstein"/>
        <s v="George-Little Rock"/>
        <s v="Hartley-Melvin-Sanborn"/>
        <s v="Hinton"/>
        <s v="Kingsley-Pierson"/>
        <s v="Lawton-Bronson"/>
        <s v="Le Mars"/>
        <s v="Maple Valley-Anthon Oto"/>
        <s v="Marcus-Meriden Cleghorn"/>
        <s v="Moc-Floyd Valley"/>
        <s v="Odebolt Arthur Battle Creek Ida Grove"/>
        <s v="Remsen-Union"/>
        <s v="River Valley"/>
        <s v="Rock Valley"/>
        <s v="Schleswig"/>
        <s v="Sergeant Bluff-Luton"/>
        <s v="Sheldon"/>
        <s v="Sibley-Ocheyedan"/>
        <s v="Sioux Center"/>
        <s v="Sioux City"/>
        <s v="South O'Brien"/>
        <s v="West Lyon"/>
        <s v="West Monona"/>
        <s v="West Sioux"/>
        <s v="Westwood"/>
        <s v="Whiting"/>
        <s v="Woodbury Central"/>
        <s v="AHSTW"/>
        <s v="Atlantic"/>
        <s v="Bedford"/>
        <s v="Boyer Valley"/>
        <s v="CAM"/>
        <s v="Central Decatur"/>
        <s v="Clarinda"/>
        <s v="Clarke"/>
        <s v="Corning"/>
        <s v="Council Bluffs"/>
        <s v="Creston"/>
        <s v="Diagonal"/>
        <s v="East Mills"/>
        <s v="East Union"/>
        <s v="Essex"/>
        <s v="Fremont-Mills"/>
        <s v="Glenwood"/>
        <s v="Griswold"/>
        <s v="Hamburg"/>
        <s v="Harlan"/>
        <s v="IKM-Manning"/>
        <s v="Lamoni"/>
        <s v="Lenox"/>
        <s v="Lewis Central"/>
        <s v="Logan-Magnolia"/>
        <s v="Missouri Valley"/>
        <s v="Mormon Trail"/>
        <s v="Mount Ayr"/>
        <s v="Murray"/>
        <s v="Nodaway Valley"/>
        <s v="Orient-Macksburg"/>
        <s v="Red Oak"/>
        <s v="Riverside"/>
        <s v="Shenandoah"/>
        <s v="Sidney"/>
        <s v="South Page"/>
        <s v="Stanton"/>
        <s v="Treynor"/>
        <s v="Tri-Center"/>
        <s v="Underwood"/>
        <s v="Villisca"/>
        <s v="West Harrison"/>
        <s v="Woodbine"/>
        <s v="Albia"/>
        <s v="Burlington"/>
        <s v="Cardinal"/>
        <s v="Centerville"/>
        <s v="Central Lee"/>
        <s v="Chariton"/>
        <s v="Danville"/>
        <s v="Davis County"/>
        <s v="Eddyville-Blakesburg-Fremont"/>
        <s v="Fairfield"/>
        <s v="Fort Madison"/>
        <s v="Keokuk"/>
        <s v="Keota"/>
        <s v="Mediapolis"/>
        <s v="Moravia"/>
        <s v="Morning Sun"/>
        <s v="Moulton-Udell"/>
        <s v="Mount Pleasant"/>
        <s v="New London"/>
        <s v="North Mahaska"/>
        <s v="Oskaloosa"/>
        <s v="Ottumwa"/>
        <s v="Pekin"/>
        <s v="Seymour"/>
        <s v="Sigourney"/>
        <s v="Tri-County"/>
        <s v="Van Buren County"/>
        <s v="Waco"/>
        <s v="Wapello"/>
        <s v="Wayne"/>
        <s v="West Burlington"/>
        <s v="Winfield-Mt Union"/>
        <s v="CLARION-GOLDFIELD-DOWS (C" u="1"/>
        <s v="FOREST CITY(FOREST CITY)" u="1"/>
        <s v="COLLEGE" u="1"/>
        <s v="NORTH BUTLER (ALLISON BRI" u="1"/>
        <s v="NODAWAY VALLEY (GREENFIEL" u="1"/>
        <s v="ALGONA (ALGONA)" u="1"/>
        <s v="AHSTW (AHST)" u="1"/>
        <s v="MAPLE VALLEY-ANTHON OTO (" u="1"/>
        <s v="GREENE COUNTY (JEFFERSON-" u="1"/>
        <s v="NORTH UNION (ARMSTRONG-RI" u="1"/>
        <s v="ODEBOLT-ARTHUR" u="1"/>
        <s v="GARNER-HAYFIELD-VENTURA (" u="1"/>
        <s v="AURELIA" u="1"/>
        <s v="CLEAR CREEK-AMANA (CLEAR" u="1"/>
        <s v="EAST MILLS (MALVERN)" u="1"/>
        <s v="BATTLE CREEK-IDA GROVE" u="1"/>
        <s v="Van Buren" u="1"/>
        <s v="CALAMUS/WHEATLAND" u="1"/>
        <s v="ENGLISH VALLEYS (ENGLISH" u="1"/>
        <s v="ESTHERVILLE-LINCOLN CENTR" u="1"/>
        <s v="NORTH FAYETTE" u="1"/>
        <s v="Northeast Hamilton" u="1"/>
        <s v="Harmony" u="1"/>
        <s v="EDDYVILLE-BLAKESBURG-FREM" u="1"/>
        <s v="ALTA" u="1"/>
        <s v="CRESTON (CRESTON)" u="1"/>
        <s v="North Winneshiek" u="1"/>
        <s v="VALLEY" u="1"/>
      </sharedItems>
    </cacheField>
    <cacheField name="Total Special Ed Weighting in Addition to 1.0" numFmtId="4">
      <sharedItems containsSemiMixedTypes="0" containsString="0" containsNumber="1" minValue="13.6" maxValue="5686.22"/>
    </cacheField>
    <cacheField name="Budget Enrollment" numFmtId="164">
      <sharedItems containsSemiMixedTypes="0" containsString="0" containsNumber="1" minValue="109" maxValue="31023.8"/>
    </cacheField>
    <cacheField name="AEA Weighted Enrollment" numFmtId="4">
      <sharedItems containsSemiMixedTypes="0" containsString="0" containsNumber="1" minValue="123.06" maxValue="36710.019999999997"/>
    </cacheField>
    <cacheField name="AEA Supplementary Weight for Sharing" numFmtId="4">
      <sharedItems containsSemiMixedTypes="0" containsString="0" containsNumber="1" minValue="0" maxValue="34.17"/>
    </cacheField>
    <cacheField name="Resident Accredited Nonpublic Students" numFmtId="3">
      <sharedItems containsSemiMixedTypes="0" containsString="0" containsNumber="1" containsInteger="1" minValue="0" maxValue="2604"/>
    </cacheField>
    <cacheField name="Shared-Time Nonpublic Pupils Counted in Line 1.1" numFmtId="164">
      <sharedItems containsSemiMixedTypes="0" containsString="0" containsNumber="1" minValue="0" maxValue="22.3"/>
    </cacheField>
    <cacheField name="Total Enrollment Served - AEA Media and Ed Services" numFmtId="3">
      <sharedItems containsSemiMixedTypes="0" containsString="0" containsNumber="1" containsInteger="1" minValue="109" maxValue="33623"/>
    </cacheField>
    <cacheField name="AEA Special Ed Support Cost Per Pupil" numFmtId="4">
      <sharedItems containsSemiMixedTypes="0" containsString="0" containsNumber="1" minValue="316.16000000000003" maxValue="338.42"/>
    </cacheField>
    <cacheField name="AEA Media Cost Per Pupil" numFmtId="4">
      <sharedItems containsSemiMixedTypes="0" containsString="0" containsNumber="1" minValue="60.17" maxValue="60.71"/>
    </cacheField>
    <cacheField name="AEA Ed Services Cost Per Pupil" numFmtId="4">
      <sharedItems containsSemiMixedTypes="0" containsString="0" containsNumber="1" minValue="65.73" maxValue="68.03"/>
    </cacheField>
    <cacheField name="AEA Teacher Salary Supplement District Cost Per Pupil" numFmtId="4">
      <sharedItems containsSemiMixedTypes="0" containsString="0" containsNumber="1" minValue="26.75" maxValue="40.700000000000003"/>
    </cacheField>
    <cacheField name="Professional Development Supplement District Cost Per Pupil" numFmtId="4">
      <sharedItems containsSemiMixedTypes="0" containsString="0" containsNumber="1" minValue="3.36" maxValue="4.68"/>
    </cacheField>
    <cacheField name="AEA Special Ed Support District Cost without Adjustment" numFmtId="3">
      <sharedItems containsSemiMixedTypes="0" containsString="0" containsNumber="1" containsInteger="1" minValue="39899" maxValue="11606240"/>
    </cacheField>
    <cacheField name="AEA Special Ed Support Adjustment" numFmtId="3">
      <sharedItems containsSemiMixedTypes="0" containsString="0" containsNumber="1" containsInteger="1" minValue="0" maxValue="102279"/>
    </cacheField>
    <cacheField name="Special Education Total Cost" numFmtId="3">
      <sharedItems containsSemiMixedTypes="0" containsString="0" containsNumber="1" containsInteger="1" minValue="39899" maxValue="11621890"/>
    </cacheField>
    <cacheField name="AEA Media Services District Cost" numFmtId="3">
      <sharedItems containsSemiMixedTypes="0" containsString="0" containsNumber="1" containsInteger="1" minValue="6579" maxValue="2025113"/>
    </cacheField>
    <cacheField name="AEA Ed Services District Cost" numFmtId="3">
      <sharedItems containsSemiMixedTypes="0" containsString="0" containsNumber="1" containsInteger="1" minValue="7274" maxValue="2224161"/>
    </cacheField>
    <cacheField name="AEA Sharing District Cost" numFmtId="3">
      <sharedItems containsSemiMixedTypes="0" containsString="0" containsNumber="1" containsInteger="1" minValue="0" maxValue="11303"/>
    </cacheField>
    <cacheField name="AEA Teacher Salary Supplement District Cost" numFmtId="3">
      <sharedItems containsSemiMixedTypes="0" containsString="0" containsNumber="1" containsInteger="1" minValue="4097" maxValue="981993"/>
    </cacheField>
    <cacheField name="AEA Professional Development Supplement District Cost" numFmtId="3">
      <sharedItems containsSemiMixedTypes="0" containsString="0" containsNumber="1" containsInteger="1" minValue="441" maxValue="123346"/>
    </cacheField>
    <cacheField name="Subtotal Budget" numFmtId="3">
      <sharedItems containsSemiMixedTypes="0" containsString="0" containsNumber="1" containsInteger="1" minValue="58378" maxValue="16976503"/>
    </cacheField>
    <cacheField name="AEA Statewide State Aid Reduction" numFmtId="3">
      <sharedItems containsSemiMixedTypes="0" containsString="0" containsNumber="1" containsInteger="1" minValue="6902" maxValue="1626330"/>
    </cacheField>
    <cacheField name="Total Budget" numFmtId="3">
      <sharedItems containsSemiMixedTypes="0" containsString="0" containsNumber="1" containsInteger="1" minValue="51476" maxValue="15350173"/>
    </cacheField>
    <cacheField name="State Aid Portion" numFmtId="3">
      <sharedItems containsSemiMixedTypes="0" containsString="0" containsNumber="1" containsInteger="1" minValue="29208" maxValue="8876774"/>
    </cacheField>
    <cacheField name="Property Tax Portion" numFmtId="3">
      <sharedItems containsSemiMixedTypes="0" containsString="0" containsNumber="1" containsInteger="1" minValue="22268" maxValue="6473399"/>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7">
  <r>
    <s v="01"/>
    <x v="0"/>
    <x v="0"/>
    <x v="0"/>
    <n v="145.88"/>
    <n v="1048.7"/>
    <n v="1194.58"/>
    <n v="3.29"/>
    <n v="164"/>
    <n v="1.2"/>
    <n v="1212"/>
    <n v="338.42"/>
    <n v="60.63"/>
    <n v="67.56"/>
    <n v="33.47"/>
    <n v="3.62"/>
    <n v="404270"/>
    <n v="0"/>
    <n v="404270"/>
    <n v="73484"/>
    <n v="81883"/>
    <n v="1113"/>
    <n v="39983"/>
    <n v="4324"/>
    <n v="605057"/>
    <n v="77856"/>
    <n v="527201"/>
    <n v="273106"/>
    <n v="254095"/>
  </r>
  <r>
    <s v="01"/>
    <x v="0"/>
    <x v="1"/>
    <x v="1"/>
    <n v="53.44"/>
    <n v="437.3"/>
    <n v="490.74"/>
    <n v="1.35"/>
    <n v="1"/>
    <n v="0"/>
    <n v="438"/>
    <n v="338.42"/>
    <n v="60.63"/>
    <n v="67.56"/>
    <n v="33.47"/>
    <n v="3.62"/>
    <n v="166076"/>
    <n v="2920"/>
    <n v="168996"/>
    <n v="26556"/>
    <n v="29591"/>
    <n v="457"/>
    <n v="16425"/>
    <n v="1776"/>
    <n v="243801"/>
    <n v="31764"/>
    <n v="212037"/>
    <n v="112412"/>
    <n v="99625"/>
  </r>
  <r>
    <s v="01"/>
    <x v="0"/>
    <x v="2"/>
    <x v="2"/>
    <n v="71.34"/>
    <n v="601.79999999999995"/>
    <n v="673.14"/>
    <n v="1.85"/>
    <n v="64"/>
    <n v="3"/>
    <n v="663"/>
    <n v="338.42"/>
    <n v="60.63"/>
    <n v="67.56"/>
    <n v="33.47"/>
    <n v="3.62"/>
    <n v="227804"/>
    <n v="0"/>
    <n v="227804"/>
    <n v="40198"/>
    <n v="44792"/>
    <n v="626"/>
    <n v="22530"/>
    <n v="2437"/>
    <n v="338387"/>
    <n v="41812"/>
    <n v="296575"/>
    <n v="155952"/>
    <n v="140623"/>
  </r>
  <r>
    <s v="01"/>
    <x v="0"/>
    <x v="3"/>
    <x v="3"/>
    <n v="188.78"/>
    <n v="1530.5"/>
    <n v="1719.28"/>
    <n v="4.7300000000000004"/>
    <n v="135"/>
    <n v="0"/>
    <n v="1666"/>
    <n v="338.42"/>
    <n v="60.63"/>
    <n v="67.56"/>
    <n v="33.47"/>
    <n v="3.62"/>
    <n v="581839"/>
    <n v="0"/>
    <n v="581839"/>
    <n v="101010"/>
    <n v="112555"/>
    <n v="1601"/>
    <n v="57544"/>
    <n v="6224"/>
    <n v="860773"/>
    <n v="99232"/>
    <n v="761541"/>
    <n v="405883"/>
    <n v="355658"/>
  </r>
  <r>
    <s v="01"/>
    <x v="0"/>
    <x v="4"/>
    <x v="4"/>
    <n v="1960.66"/>
    <n v="10120.299999999999"/>
    <n v="12080.96"/>
    <n v="33.270000000000003"/>
    <n v="1662"/>
    <n v="1.7"/>
    <n v="11781"/>
    <n v="338.42"/>
    <n v="60.63"/>
    <n v="67.56"/>
    <n v="33.47"/>
    <n v="3.62"/>
    <n v="4088438"/>
    <n v="0"/>
    <n v="4088438"/>
    <n v="714282"/>
    <n v="795924"/>
    <n v="11259"/>
    <n v="404350"/>
    <n v="43733"/>
    <n v="6057986"/>
    <n v="557910"/>
    <n v="5500076"/>
    <n v="2991416"/>
    <n v="2508660"/>
  </r>
  <r>
    <s v="01"/>
    <x v="0"/>
    <x v="5"/>
    <x v="5"/>
    <n v="45.86"/>
    <n v="330.3"/>
    <n v="376.16"/>
    <n v="1.04"/>
    <n v="6"/>
    <n v="0"/>
    <n v="336"/>
    <n v="338.42"/>
    <n v="60.63"/>
    <n v="67.56"/>
    <n v="33.47"/>
    <n v="3.62"/>
    <n v="127300"/>
    <n v="927"/>
    <n v="128227"/>
    <n v="20372"/>
    <n v="22700"/>
    <n v="352"/>
    <n v="12590"/>
    <n v="1362"/>
    <n v="185603"/>
    <n v="25111"/>
    <n v="160492"/>
    <n v="85404"/>
    <n v="75088"/>
  </r>
  <r>
    <s v="01"/>
    <x v="0"/>
    <x v="6"/>
    <x v="6"/>
    <n v="31.35"/>
    <n v="399"/>
    <n v="430.35"/>
    <n v="1.18"/>
    <n v="30"/>
    <n v="0"/>
    <n v="429"/>
    <n v="338.42"/>
    <n v="60.63"/>
    <n v="67.56"/>
    <n v="33.47"/>
    <n v="3.62"/>
    <n v="145639"/>
    <n v="704"/>
    <n v="146343"/>
    <n v="26010"/>
    <n v="28983"/>
    <n v="399"/>
    <n v="14426"/>
    <n v="1559"/>
    <n v="217720"/>
    <n v="28666"/>
    <n v="189054"/>
    <n v="97791"/>
    <n v="91263"/>
  </r>
  <r>
    <s v="01"/>
    <x v="0"/>
    <x v="7"/>
    <x v="7"/>
    <n v="169.95"/>
    <n v="1155"/>
    <n v="1324.95"/>
    <n v="3.65"/>
    <n v="165"/>
    <n v="0.8"/>
    <n v="1319"/>
    <n v="338.42"/>
    <n v="60.63"/>
    <n v="67.56"/>
    <n v="33.47"/>
    <n v="3.62"/>
    <n v="448390"/>
    <n v="0"/>
    <n v="448390"/>
    <n v="79971"/>
    <n v="89112"/>
    <n v="1235"/>
    <n v="44346"/>
    <n v="4796"/>
    <n v="667850"/>
    <n v="79761"/>
    <n v="588089"/>
    <n v="309503"/>
    <n v="278586"/>
  </r>
  <r>
    <s v="01"/>
    <x v="0"/>
    <x v="8"/>
    <x v="8"/>
    <n v="89.19"/>
    <n v="802.8"/>
    <n v="891.99"/>
    <n v="2.46"/>
    <n v="2"/>
    <n v="0"/>
    <n v="805"/>
    <n v="338.42"/>
    <n v="60.63"/>
    <n v="67.56"/>
    <n v="33.47"/>
    <n v="3.62"/>
    <n v="301867"/>
    <n v="0"/>
    <n v="301867"/>
    <n v="48807"/>
    <n v="54386"/>
    <n v="833"/>
    <n v="29855"/>
    <n v="3229"/>
    <n v="438977"/>
    <n v="52250"/>
    <n v="386727"/>
    <n v="209813"/>
    <n v="176914"/>
  </r>
  <r>
    <s v="01"/>
    <x v="0"/>
    <x v="9"/>
    <x v="9"/>
    <n v="63.18"/>
    <n v="677.6"/>
    <n v="740.78"/>
    <n v="2.04"/>
    <n v="31"/>
    <n v="0"/>
    <n v="709"/>
    <n v="338.42"/>
    <n v="60.63"/>
    <n v="67.56"/>
    <n v="33.47"/>
    <n v="3.62"/>
    <n v="250695"/>
    <n v="0"/>
    <n v="250695"/>
    <n v="42987"/>
    <n v="47900"/>
    <n v="690"/>
    <n v="24794"/>
    <n v="2682"/>
    <n v="369748"/>
    <n v="47897"/>
    <n v="321851"/>
    <n v="169741"/>
    <n v="152110"/>
  </r>
  <r>
    <s v="01"/>
    <x v="0"/>
    <x v="10"/>
    <x v="10"/>
    <n v="101.38"/>
    <n v="922.2"/>
    <n v="1023.58"/>
    <n v="2.82"/>
    <n v="91"/>
    <n v="0.9"/>
    <n v="1012"/>
    <n v="338.42"/>
    <n v="60.63"/>
    <n v="67.56"/>
    <n v="33.47"/>
    <n v="3.62"/>
    <n v="346400"/>
    <n v="0"/>
    <n v="346400"/>
    <n v="61358"/>
    <n v="68371"/>
    <n v="954"/>
    <n v="34259"/>
    <n v="3705"/>
    <n v="515047"/>
    <n v="61727"/>
    <n v="453320"/>
    <n v="238995"/>
    <n v="214325"/>
  </r>
  <r>
    <s v="01"/>
    <x v="0"/>
    <x v="11"/>
    <x v="11"/>
    <n v="190.48"/>
    <n v="1113.2"/>
    <n v="1303.68"/>
    <n v="3.59"/>
    <n v="3"/>
    <n v="0"/>
    <n v="1116"/>
    <n v="338.42"/>
    <n v="60.63"/>
    <n v="67.56"/>
    <n v="33.47"/>
    <n v="3.62"/>
    <n v="441191"/>
    <n v="0"/>
    <n v="441191"/>
    <n v="67663"/>
    <n v="75397"/>
    <n v="1215"/>
    <n v="43634"/>
    <n v="4719"/>
    <n v="633819"/>
    <n v="85617"/>
    <n v="548202"/>
    <n v="297397"/>
    <n v="250805"/>
  </r>
  <r>
    <s v="01"/>
    <x v="0"/>
    <x v="12"/>
    <x v="12"/>
    <n v="269.77999999999997"/>
    <n v="1340.2"/>
    <n v="1609.98"/>
    <n v="4.4400000000000004"/>
    <n v="5"/>
    <n v="0"/>
    <n v="1345"/>
    <n v="338.42"/>
    <n v="60.63"/>
    <n v="67.56"/>
    <n v="33.47"/>
    <n v="3.62"/>
    <n v="544849"/>
    <n v="0"/>
    <n v="544849"/>
    <n v="81547"/>
    <n v="90868"/>
    <n v="1503"/>
    <n v="53886"/>
    <n v="5828"/>
    <n v="778481"/>
    <n v="84247"/>
    <n v="694234"/>
    <n v="388759"/>
    <n v="305475"/>
  </r>
  <r>
    <s v="01"/>
    <x v="0"/>
    <x v="13"/>
    <x v="13"/>
    <n v="85.7"/>
    <n v="675.6"/>
    <n v="761.3"/>
    <n v="2.1"/>
    <n v="4"/>
    <n v="0"/>
    <n v="680"/>
    <n v="338.42"/>
    <n v="60.63"/>
    <n v="67.56"/>
    <n v="33.47"/>
    <n v="3.62"/>
    <n v="257639"/>
    <n v="17783"/>
    <n v="275422"/>
    <n v="41228"/>
    <n v="45941"/>
    <n v="711"/>
    <n v="26494"/>
    <n v="2864"/>
    <n v="392660"/>
    <n v="33550"/>
    <n v="359110"/>
    <n v="191238"/>
    <n v="167872"/>
  </r>
  <r>
    <s v="01"/>
    <x v="0"/>
    <x v="14"/>
    <x v="14"/>
    <n v="34.97"/>
    <n v="332.5"/>
    <n v="367.47"/>
    <n v="1.03"/>
    <n v="0"/>
    <n v="0"/>
    <n v="333"/>
    <n v="338.42"/>
    <n v="60.63"/>
    <n v="67.56"/>
    <n v="33.47"/>
    <n v="3.62"/>
    <n v="124359"/>
    <n v="0"/>
    <n v="124359"/>
    <n v="20190"/>
    <n v="22497"/>
    <n v="349"/>
    <n v="12299"/>
    <n v="1330"/>
    <n v="181024"/>
    <n v="22662"/>
    <n v="158362"/>
    <n v="85303"/>
    <n v="73059"/>
  </r>
  <r>
    <s v="01"/>
    <x v="0"/>
    <x v="15"/>
    <x v="15"/>
    <n v="104.2"/>
    <n v="507.2"/>
    <n v="611.4"/>
    <n v="1.68"/>
    <n v="175"/>
    <n v="3.2"/>
    <n v="679"/>
    <n v="338.42"/>
    <n v="60.63"/>
    <n v="67.56"/>
    <n v="33.47"/>
    <n v="3.62"/>
    <n v="206910"/>
    <n v="0"/>
    <n v="206910"/>
    <n v="41168"/>
    <n v="45873"/>
    <n v="569"/>
    <n v="20464"/>
    <n v="2213"/>
    <n v="317197"/>
    <n v="39906"/>
    <n v="277291"/>
    <n v="139719"/>
    <n v="137572"/>
  </r>
  <r>
    <s v="01"/>
    <x v="0"/>
    <x v="16"/>
    <x v="16"/>
    <n v="108.24"/>
    <n v="604.6"/>
    <n v="712.84"/>
    <n v="1.96"/>
    <n v="0"/>
    <n v="0"/>
    <n v="605"/>
    <n v="338.42"/>
    <n v="60.63"/>
    <n v="67.56"/>
    <n v="33.47"/>
    <n v="3.62"/>
    <n v="241239"/>
    <n v="0"/>
    <n v="241239"/>
    <n v="36681"/>
    <n v="40874"/>
    <n v="663"/>
    <n v="23859"/>
    <n v="2580"/>
    <n v="345896"/>
    <n v="44326"/>
    <n v="301570"/>
    <n v="165102"/>
    <n v="136468"/>
  </r>
  <r>
    <s v="01"/>
    <x v="0"/>
    <x v="17"/>
    <x v="17"/>
    <n v="48.35"/>
    <n v="356.2"/>
    <n v="404.55"/>
    <n v="1.1100000000000001"/>
    <n v="47"/>
    <n v="0.5"/>
    <n v="403"/>
    <n v="338.42"/>
    <n v="60.63"/>
    <n v="67.56"/>
    <n v="33.47"/>
    <n v="3.62"/>
    <n v="136908"/>
    <n v="9846"/>
    <n v="146754"/>
    <n v="24434"/>
    <n v="27227"/>
    <n v="376"/>
    <n v="13540"/>
    <n v="1464"/>
    <n v="213795"/>
    <n v="31047"/>
    <n v="182748"/>
    <n v="87806"/>
    <n v="94942"/>
  </r>
  <r>
    <s v="01"/>
    <x v="0"/>
    <x v="18"/>
    <x v="18"/>
    <n v="36.69"/>
    <n v="255.2"/>
    <n v="291.89"/>
    <n v="0.8"/>
    <n v="0"/>
    <n v="0"/>
    <n v="255"/>
    <n v="338.42"/>
    <n v="60.63"/>
    <n v="67.56"/>
    <n v="33.47"/>
    <n v="3.62"/>
    <n v="98781"/>
    <n v="8"/>
    <n v="98789"/>
    <n v="15461"/>
    <n v="17228"/>
    <n v="271"/>
    <n v="9770"/>
    <n v="1057"/>
    <n v="142576"/>
    <n v="17920"/>
    <n v="124656"/>
    <n v="67836"/>
    <n v="56820"/>
  </r>
  <r>
    <s v="01"/>
    <x v="0"/>
    <x v="19"/>
    <x v="19"/>
    <n v="184.36"/>
    <n v="1394"/>
    <n v="1578.36"/>
    <n v="4.3499999999999996"/>
    <n v="193"/>
    <n v="0.8"/>
    <n v="1586"/>
    <n v="338.42"/>
    <n v="60.63"/>
    <n v="67.56"/>
    <n v="33.47"/>
    <n v="3.62"/>
    <n v="534149"/>
    <n v="0"/>
    <n v="534149"/>
    <n v="96159"/>
    <n v="107150"/>
    <n v="1472"/>
    <n v="52828"/>
    <n v="5714"/>
    <n v="797472"/>
    <n v="96231"/>
    <n v="701241"/>
    <n v="367485"/>
    <n v="333756"/>
  </r>
  <r>
    <s v="01"/>
    <x v="0"/>
    <x v="20"/>
    <x v="20"/>
    <n v="402.27"/>
    <n v="3196.5"/>
    <n v="3598.77"/>
    <n v="9.91"/>
    <n v="1051"/>
    <n v="2.7"/>
    <n v="4245"/>
    <n v="338.42"/>
    <n v="60.63"/>
    <n v="67.56"/>
    <n v="33.47"/>
    <n v="3.62"/>
    <n v="1217896"/>
    <n v="0"/>
    <n v="1217896"/>
    <n v="257374"/>
    <n v="286792"/>
    <n v="3354"/>
    <n v="120451"/>
    <n v="13028"/>
    <n v="1898895"/>
    <n v="153622"/>
    <n v="1745273"/>
    <n v="903679"/>
    <n v="841594"/>
  </r>
  <r>
    <s v="05"/>
    <x v="1"/>
    <x v="21"/>
    <x v="21"/>
    <n v="28.12"/>
    <n v="195.3"/>
    <n v="223.42"/>
    <n v="0"/>
    <n v="2"/>
    <n v="0"/>
    <n v="197"/>
    <n v="334.17"/>
    <n v="60.71"/>
    <n v="68.03"/>
    <n v="35.43"/>
    <n v="4.21"/>
    <n v="74660"/>
    <n v="6193"/>
    <n v="80853"/>
    <n v="11960"/>
    <n v="13402"/>
    <n v="0"/>
    <n v="8510"/>
    <n v="1013"/>
    <n v="115738"/>
    <n v="15122"/>
    <n v="100616"/>
    <n v="51597"/>
    <n v="49019"/>
  </r>
  <r>
    <s v="05"/>
    <x v="1"/>
    <x v="22"/>
    <x v="22"/>
    <n v="197.35"/>
    <n v="1299.5"/>
    <n v="1496.85"/>
    <n v="0"/>
    <n v="272"/>
    <n v="6.2"/>
    <n v="1565"/>
    <n v="334.17"/>
    <n v="60.71"/>
    <n v="68.03"/>
    <n v="35.43"/>
    <n v="4.21"/>
    <n v="500202"/>
    <n v="0"/>
    <n v="500202"/>
    <n v="95011"/>
    <n v="106467"/>
    <n v="0"/>
    <n v="53033"/>
    <n v="6302"/>
    <n v="761015"/>
    <n v="90082"/>
    <n v="670933"/>
    <n v="352447"/>
    <n v="318486"/>
  </r>
  <r>
    <s v="05"/>
    <x v="1"/>
    <x v="23"/>
    <x v="23"/>
    <n v="75.680000000000007"/>
    <n v="856.1"/>
    <n v="931.78"/>
    <n v="0"/>
    <n v="14"/>
    <n v="0"/>
    <n v="870"/>
    <n v="334.17"/>
    <n v="60.71"/>
    <n v="68.03"/>
    <n v="35.43"/>
    <n v="4.21"/>
    <n v="311373"/>
    <n v="0"/>
    <n v="311373"/>
    <n v="52818"/>
    <n v="59186"/>
    <n v="0"/>
    <n v="33013"/>
    <n v="3923"/>
    <n v="460313"/>
    <n v="48608"/>
    <n v="411705"/>
    <n v="226864"/>
    <n v="184841"/>
  </r>
  <r>
    <s v="05"/>
    <x v="1"/>
    <x v="24"/>
    <x v="24"/>
    <n v="125.77"/>
    <n v="985"/>
    <n v="1110.77"/>
    <n v="0"/>
    <n v="4"/>
    <n v="0"/>
    <n v="989"/>
    <n v="334.17"/>
    <n v="60.71"/>
    <n v="68.03"/>
    <n v="35.43"/>
    <n v="4.21"/>
    <n v="371186"/>
    <n v="0"/>
    <n v="371186"/>
    <n v="60042"/>
    <n v="67282"/>
    <n v="0"/>
    <n v="39355"/>
    <n v="4676"/>
    <n v="542541"/>
    <n v="56696"/>
    <n v="485845"/>
    <n v="271692"/>
    <n v="214153"/>
  </r>
  <r>
    <s v="05"/>
    <x v="1"/>
    <x v="25"/>
    <x v="25"/>
    <n v="40.75"/>
    <n v="294"/>
    <n v="334.75"/>
    <n v="0"/>
    <n v="25"/>
    <n v="0"/>
    <n v="319"/>
    <n v="334.17"/>
    <n v="60.71"/>
    <n v="68.03"/>
    <n v="35.43"/>
    <n v="4.21"/>
    <n v="111863"/>
    <n v="13170"/>
    <n v="125033"/>
    <n v="19366"/>
    <n v="21702"/>
    <n v="0"/>
    <n v="12323"/>
    <n v="1467"/>
    <n v="179891"/>
    <n v="24763"/>
    <n v="155128"/>
    <n v="74723"/>
    <n v="80405"/>
  </r>
  <r>
    <s v="05"/>
    <x v="1"/>
    <x v="26"/>
    <x v="26"/>
    <n v="138.12"/>
    <n v="972"/>
    <n v="1110.1199999999999"/>
    <n v="0"/>
    <n v="0"/>
    <n v="0"/>
    <n v="972"/>
    <n v="334.17"/>
    <n v="60.71"/>
    <n v="68.03"/>
    <n v="35.43"/>
    <n v="4.21"/>
    <n v="370969"/>
    <n v="0"/>
    <n v="370969"/>
    <n v="59010"/>
    <n v="66125"/>
    <n v="0"/>
    <n v="39332"/>
    <n v="4674"/>
    <n v="540110"/>
    <n v="49774"/>
    <n v="490336"/>
    <n v="278423"/>
    <n v="211913"/>
  </r>
  <r>
    <s v="05"/>
    <x v="1"/>
    <x v="27"/>
    <x v="27"/>
    <n v="96.35"/>
    <n v="809.4"/>
    <n v="905.75"/>
    <n v="0"/>
    <n v="45"/>
    <n v="0"/>
    <n v="854"/>
    <n v="334.17"/>
    <n v="60.71"/>
    <n v="68.03"/>
    <n v="35.43"/>
    <n v="4.21"/>
    <n v="302674"/>
    <n v="0"/>
    <n v="302674"/>
    <n v="51846"/>
    <n v="58098"/>
    <n v="0"/>
    <n v="32091"/>
    <n v="3813"/>
    <n v="448522"/>
    <n v="55610"/>
    <n v="392912"/>
    <n v="212166"/>
    <n v="180746"/>
  </r>
  <r>
    <s v="05"/>
    <x v="1"/>
    <x v="28"/>
    <x v="28"/>
    <n v="113.69"/>
    <n v="649.4"/>
    <n v="763.09"/>
    <n v="0"/>
    <n v="85"/>
    <n v="2.4"/>
    <n v="732"/>
    <n v="334.17"/>
    <n v="60.71"/>
    <n v="68.03"/>
    <n v="35.43"/>
    <n v="4.21"/>
    <n v="255002"/>
    <n v="33"/>
    <n v="255035"/>
    <n v="44440"/>
    <n v="49798"/>
    <n v="0"/>
    <n v="27036"/>
    <n v="3213"/>
    <n v="379522"/>
    <n v="42329"/>
    <n v="337193"/>
    <n v="183271"/>
    <n v="153922"/>
  </r>
  <r>
    <s v="05"/>
    <x v="1"/>
    <x v="29"/>
    <x v="29"/>
    <n v="139.77000000000001"/>
    <n v="1222.0999999999999"/>
    <n v="1361.87"/>
    <n v="0"/>
    <n v="1"/>
    <n v="0"/>
    <n v="1223"/>
    <n v="334.17"/>
    <n v="60.71"/>
    <n v="68.03"/>
    <n v="35.43"/>
    <n v="4.21"/>
    <n v="455096"/>
    <n v="11918"/>
    <n v="467014"/>
    <n v="74248"/>
    <n v="83201"/>
    <n v="0"/>
    <n v="48251"/>
    <n v="5733"/>
    <n v="678447"/>
    <n v="76130"/>
    <n v="602317"/>
    <n v="326493"/>
    <n v="275824"/>
  </r>
  <r>
    <s v="05"/>
    <x v="1"/>
    <x v="30"/>
    <x v="30"/>
    <n v="610"/>
    <n v="3655.8"/>
    <n v="4265.8"/>
    <n v="0"/>
    <n v="608"/>
    <n v="6.9"/>
    <n v="4257"/>
    <n v="334.17"/>
    <n v="60.71"/>
    <n v="68.03"/>
    <n v="35.43"/>
    <n v="4.21"/>
    <n v="1425502"/>
    <n v="0"/>
    <n v="1425502"/>
    <n v="258442"/>
    <n v="289604"/>
    <n v="0"/>
    <n v="151137"/>
    <n v="17959"/>
    <n v="2142644"/>
    <n v="230724"/>
    <n v="1911920"/>
    <n v="1030417"/>
    <n v="881503"/>
  </r>
  <r>
    <s v="05"/>
    <x v="1"/>
    <x v="31"/>
    <x v="31"/>
    <n v="31.39"/>
    <n v="164"/>
    <n v="195.39"/>
    <n v="0"/>
    <n v="4"/>
    <n v="0"/>
    <n v="168"/>
    <n v="334.17"/>
    <n v="60.71"/>
    <n v="68.03"/>
    <n v="35.43"/>
    <n v="4.21"/>
    <n v="65293"/>
    <n v="529"/>
    <n v="65822"/>
    <n v="10199"/>
    <n v="11429"/>
    <n v="0"/>
    <n v="6984"/>
    <n v="831"/>
    <n v="95265"/>
    <n v="11676"/>
    <n v="83589"/>
    <n v="46159"/>
    <n v="37430"/>
  </r>
  <r>
    <s v="05"/>
    <x v="1"/>
    <x v="32"/>
    <x v="32"/>
    <n v="42.09"/>
    <n v="385.2"/>
    <n v="427.29"/>
    <n v="0"/>
    <n v="4"/>
    <n v="0"/>
    <n v="389"/>
    <n v="334.17"/>
    <n v="60.71"/>
    <n v="68.03"/>
    <n v="35.43"/>
    <n v="4.21"/>
    <n v="142787"/>
    <n v="0"/>
    <n v="142787"/>
    <n v="23616"/>
    <n v="26464"/>
    <n v="0"/>
    <n v="15139"/>
    <n v="1799"/>
    <n v="209805"/>
    <n v="25225"/>
    <n v="184580"/>
    <n v="101099"/>
    <n v="83481"/>
  </r>
  <r>
    <s v="05"/>
    <x v="1"/>
    <x v="33"/>
    <x v="33"/>
    <n v="176.71"/>
    <n v="1187.4000000000001"/>
    <n v="1364.11"/>
    <n v="0"/>
    <n v="1"/>
    <n v="0"/>
    <n v="1188"/>
    <n v="334.17"/>
    <n v="60.71"/>
    <n v="68.03"/>
    <n v="35.43"/>
    <n v="4.21"/>
    <n v="455845"/>
    <n v="0"/>
    <n v="455845"/>
    <n v="72123"/>
    <n v="80820"/>
    <n v="0"/>
    <n v="48330"/>
    <n v="5743"/>
    <n v="662861"/>
    <n v="85102"/>
    <n v="577759"/>
    <n v="318183"/>
    <n v="259576"/>
  </r>
  <r>
    <s v="05"/>
    <x v="1"/>
    <x v="34"/>
    <x v="34"/>
    <n v="32.96"/>
    <n v="293"/>
    <n v="325.95999999999998"/>
    <n v="0"/>
    <n v="0"/>
    <n v="0"/>
    <n v="293"/>
    <n v="334.17"/>
    <n v="60.71"/>
    <n v="68.03"/>
    <n v="35.43"/>
    <n v="4.21"/>
    <n v="108926"/>
    <n v="0"/>
    <n v="108926"/>
    <n v="17788"/>
    <n v="19933"/>
    <n v="0"/>
    <n v="11549"/>
    <n v="1372"/>
    <n v="159568"/>
    <n v="16891"/>
    <n v="142677"/>
    <n v="79476"/>
    <n v="63201"/>
  </r>
  <r>
    <s v="05"/>
    <x v="1"/>
    <x v="35"/>
    <x v="35"/>
    <n v="140.1"/>
    <n v="1236.4000000000001"/>
    <n v="1376.5"/>
    <n v="0"/>
    <n v="114"/>
    <n v="1.2"/>
    <n v="1349"/>
    <n v="334.17"/>
    <n v="60.71"/>
    <n v="68.03"/>
    <n v="35.43"/>
    <n v="4.21"/>
    <n v="459985"/>
    <n v="0"/>
    <n v="459985"/>
    <n v="81898"/>
    <n v="91772"/>
    <n v="0"/>
    <n v="48769"/>
    <n v="5795"/>
    <n v="688219"/>
    <n v="67783"/>
    <n v="620436"/>
    <n v="339165"/>
    <n v="281271"/>
  </r>
  <r>
    <s v="05"/>
    <x v="1"/>
    <x v="36"/>
    <x v="36"/>
    <n v="54.59"/>
    <n v="277.8"/>
    <n v="332.39"/>
    <n v="0"/>
    <n v="1"/>
    <n v="0"/>
    <n v="279"/>
    <n v="334.17"/>
    <n v="60.71"/>
    <n v="68.03"/>
    <n v="35.43"/>
    <n v="4.21"/>
    <n v="111075"/>
    <n v="1190"/>
    <n v="112265"/>
    <n v="16938"/>
    <n v="18980"/>
    <n v="0"/>
    <n v="11777"/>
    <n v="1399"/>
    <n v="161359"/>
    <n v="23208"/>
    <n v="138151"/>
    <n v="75060"/>
    <n v="63091"/>
  </r>
  <r>
    <s v="05"/>
    <x v="1"/>
    <x v="37"/>
    <x v="37"/>
    <n v="24.49"/>
    <n v="150"/>
    <n v="174.49"/>
    <n v="0"/>
    <n v="19"/>
    <n v="0"/>
    <n v="169"/>
    <n v="334.17"/>
    <n v="60.71"/>
    <n v="68.03"/>
    <n v="35.43"/>
    <n v="4.21"/>
    <n v="58309"/>
    <n v="1147"/>
    <n v="59456"/>
    <n v="10260"/>
    <n v="11497"/>
    <n v="0"/>
    <n v="6309"/>
    <n v="751"/>
    <n v="88273"/>
    <n v="16887"/>
    <n v="71386"/>
    <n v="34842"/>
    <n v="36544"/>
  </r>
  <r>
    <s v="05"/>
    <x v="1"/>
    <x v="38"/>
    <x v="38"/>
    <n v="61.41"/>
    <n v="650.4"/>
    <n v="711.81"/>
    <n v="0"/>
    <n v="47"/>
    <n v="0"/>
    <n v="697"/>
    <n v="334.17"/>
    <n v="60.71"/>
    <n v="68.03"/>
    <n v="35.43"/>
    <n v="4.21"/>
    <n v="237866"/>
    <n v="0"/>
    <n v="237866"/>
    <n v="42315"/>
    <n v="47417"/>
    <n v="0"/>
    <n v="25219"/>
    <n v="2997"/>
    <n v="355814"/>
    <n v="41006"/>
    <n v="314808"/>
    <n v="169433"/>
    <n v="145375"/>
  </r>
  <r>
    <s v="05"/>
    <x v="1"/>
    <x v="39"/>
    <x v="39"/>
    <n v="39.67"/>
    <n v="476.2"/>
    <n v="515.87"/>
    <n v="0"/>
    <n v="6"/>
    <n v="0"/>
    <n v="482"/>
    <n v="334.17"/>
    <n v="60.71"/>
    <n v="68.03"/>
    <n v="35.43"/>
    <n v="4.21"/>
    <n v="172388"/>
    <n v="0"/>
    <n v="172388"/>
    <n v="29262"/>
    <n v="32790"/>
    <n v="0"/>
    <n v="18277"/>
    <n v="2172"/>
    <n v="254889"/>
    <n v="24926"/>
    <n v="229963"/>
    <n v="127586"/>
    <n v="102377"/>
  </r>
  <r>
    <s v="05"/>
    <x v="1"/>
    <x v="40"/>
    <x v="40"/>
    <n v="50.95"/>
    <n v="255.8"/>
    <n v="306.75"/>
    <n v="0"/>
    <n v="34"/>
    <n v="0"/>
    <n v="290"/>
    <n v="334.17"/>
    <n v="60.71"/>
    <n v="68.03"/>
    <n v="35.43"/>
    <n v="4.21"/>
    <n v="102507"/>
    <n v="6514"/>
    <n v="109021"/>
    <n v="17606"/>
    <n v="19729"/>
    <n v="0"/>
    <n v="10868"/>
    <n v="1291"/>
    <n v="158515"/>
    <n v="22615"/>
    <n v="135900"/>
    <n v="68072"/>
    <n v="67828"/>
  </r>
  <r>
    <s v="05"/>
    <x v="1"/>
    <x v="41"/>
    <x v="41"/>
    <n v="48.28"/>
    <n v="402"/>
    <n v="450.28"/>
    <n v="0"/>
    <n v="14"/>
    <n v="0"/>
    <n v="416"/>
    <n v="334.17"/>
    <n v="60.71"/>
    <n v="68.03"/>
    <n v="35.43"/>
    <n v="4.21"/>
    <n v="150470"/>
    <n v="19765"/>
    <n v="170235"/>
    <n v="25255"/>
    <n v="28300"/>
    <n v="0"/>
    <n v="16160"/>
    <n v="1923"/>
    <n v="241873"/>
    <n v="33312"/>
    <n v="208561"/>
    <n v="100043"/>
    <n v="108518"/>
  </r>
  <r>
    <s v="05"/>
    <x v="1"/>
    <x v="42"/>
    <x v="42"/>
    <n v="119.84"/>
    <n v="1043.2"/>
    <n v="1163.04"/>
    <n v="0"/>
    <n v="5"/>
    <n v="0"/>
    <n v="1048"/>
    <n v="334.17"/>
    <n v="60.71"/>
    <n v="68.03"/>
    <n v="35.43"/>
    <n v="4.21"/>
    <n v="388653"/>
    <n v="0"/>
    <n v="388653"/>
    <n v="63624"/>
    <n v="71295"/>
    <n v="0"/>
    <n v="41207"/>
    <n v="4896"/>
    <n v="569675"/>
    <n v="51208"/>
    <n v="518467"/>
    <n v="292633"/>
    <n v="225834"/>
  </r>
  <r>
    <s v="05"/>
    <x v="1"/>
    <x v="43"/>
    <x v="43"/>
    <n v="13.6"/>
    <n v="183"/>
    <n v="196.6"/>
    <n v="0"/>
    <n v="4"/>
    <n v="0"/>
    <n v="187"/>
    <n v="334.17"/>
    <n v="60.71"/>
    <n v="68.03"/>
    <n v="35.43"/>
    <n v="4.21"/>
    <n v="65698"/>
    <n v="6417"/>
    <n v="72115"/>
    <n v="11353"/>
    <n v="12722"/>
    <n v="0"/>
    <n v="7652"/>
    <n v="911"/>
    <n v="104753"/>
    <n v="11288"/>
    <n v="93465"/>
    <n v="47605"/>
    <n v="45860"/>
  </r>
  <r>
    <s v="05"/>
    <x v="1"/>
    <x v="44"/>
    <x v="44"/>
    <n v="108.76"/>
    <n v="671.6"/>
    <n v="780.36"/>
    <n v="0"/>
    <n v="82"/>
    <n v="5.9"/>
    <n v="748"/>
    <n v="334.17"/>
    <n v="60.71"/>
    <n v="68.03"/>
    <n v="35.43"/>
    <n v="4.21"/>
    <n v="260773"/>
    <n v="5274"/>
    <n v="266047"/>
    <n v="45411"/>
    <n v="50886"/>
    <n v="0"/>
    <n v="27648"/>
    <n v="3285"/>
    <n v="393277"/>
    <n v="55507"/>
    <n v="337770"/>
    <n v="175198"/>
    <n v="162572"/>
  </r>
  <r>
    <s v="05"/>
    <x v="1"/>
    <x v="45"/>
    <x v="45"/>
    <n v="73.92"/>
    <n v="573.6"/>
    <n v="647.52"/>
    <n v="0"/>
    <n v="13"/>
    <n v="0"/>
    <n v="587"/>
    <n v="334.17"/>
    <n v="60.71"/>
    <n v="68.03"/>
    <n v="35.43"/>
    <n v="4.21"/>
    <n v="216382"/>
    <n v="0"/>
    <n v="216382"/>
    <n v="35637"/>
    <n v="39934"/>
    <n v="0"/>
    <n v="22942"/>
    <n v="2726"/>
    <n v="317621"/>
    <n v="41613"/>
    <n v="276008"/>
    <n v="149820"/>
    <n v="126188"/>
  </r>
  <r>
    <s v="05"/>
    <x v="1"/>
    <x v="46"/>
    <x v="46"/>
    <n v="35.159999999999997"/>
    <n v="200"/>
    <n v="235.16"/>
    <n v="0"/>
    <n v="14"/>
    <n v="0"/>
    <n v="214"/>
    <n v="334.17"/>
    <n v="60.71"/>
    <n v="68.03"/>
    <n v="35.43"/>
    <n v="4.21"/>
    <n v="78583"/>
    <n v="7892"/>
    <n v="86475"/>
    <n v="12992"/>
    <n v="14558"/>
    <n v="0"/>
    <n v="9176"/>
    <n v="1092"/>
    <n v="124293"/>
    <n v="14236"/>
    <n v="110057"/>
    <n v="56233"/>
    <n v="53824"/>
  </r>
  <r>
    <s v="05"/>
    <x v="1"/>
    <x v="47"/>
    <x v="47"/>
    <n v="53.21"/>
    <n v="372"/>
    <n v="425.21"/>
    <n v="0"/>
    <n v="15"/>
    <n v="0"/>
    <n v="387"/>
    <n v="334.17"/>
    <n v="60.71"/>
    <n v="68.03"/>
    <n v="35.43"/>
    <n v="4.21"/>
    <n v="142092"/>
    <n v="0"/>
    <n v="142092"/>
    <n v="23495"/>
    <n v="26328"/>
    <n v="0"/>
    <n v="15065"/>
    <n v="1790"/>
    <n v="208770"/>
    <n v="25578"/>
    <n v="183192"/>
    <n v="100131"/>
    <n v="83061"/>
  </r>
  <r>
    <s v="05"/>
    <x v="1"/>
    <x v="48"/>
    <x v="48"/>
    <n v="63.67"/>
    <n v="430"/>
    <n v="493.67"/>
    <n v="0"/>
    <n v="7"/>
    <n v="0"/>
    <n v="437"/>
    <n v="334.17"/>
    <n v="60.71"/>
    <n v="68.03"/>
    <n v="35.43"/>
    <n v="4.21"/>
    <n v="164970"/>
    <n v="9415"/>
    <n v="174385"/>
    <n v="26530"/>
    <n v="29729"/>
    <n v="0"/>
    <n v="18004"/>
    <n v="2143"/>
    <n v="250791"/>
    <n v="31351"/>
    <n v="219440"/>
    <n v="115176"/>
    <n v="104264"/>
  </r>
  <r>
    <s v="05"/>
    <x v="1"/>
    <x v="49"/>
    <x v="49"/>
    <n v="100.68"/>
    <n v="895.6"/>
    <n v="996.28"/>
    <n v="0"/>
    <n v="31"/>
    <n v="0"/>
    <n v="927"/>
    <n v="334.17"/>
    <n v="60.71"/>
    <n v="68.03"/>
    <n v="35.43"/>
    <n v="4.21"/>
    <n v="332927"/>
    <n v="8012"/>
    <n v="340939"/>
    <n v="56278"/>
    <n v="63064"/>
    <n v="0"/>
    <n v="36177"/>
    <n v="4305"/>
    <n v="500763"/>
    <n v="59495"/>
    <n v="441268"/>
    <n v="236035"/>
    <n v="205233"/>
  </r>
  <r>
    <s v="05"/>
    <x v="1"/>
    <x v="50"/>
    <x v="50"/>
    <n v="53.84"/>
    <n v="631.29999999999995"/>
    <n v="685.14"/>
    <n v="0"/>
    <n v="0"/>
    <n v="0"/>
    <n v="631"/>
    <n v="334.17"/>
    <n v="60.71"/>
    <n v="68.03"/>
    <n v="35.43"/>
    <n v="4.21"/>
    <n v="228953"/>
    <n v="0"/>
    <n v="228953"/>
    <n v="38308"/>
    <n v="42927"/>
    <n v="0"/>
    <n v="24275"/>
    <n v="2884"/>
    <n v="337347"/>
    <n v="38030"/>
    <n v="299317"/>
    <n v="164525"/>
    <n v="134792"/>
  </r>
  <r>
    <s v="05"/>
    <x v="1"/>
    <x v="51"/>
    <x v="51"/>
    <n v="62.92"/>
    <n v="525.20000000000005"/>
    <n v="588.12"/>
    <n v="0"/>
    <n v="4"/>
    <n v="0"/>
    <n v="529"/>
    <n v="334.17"/>
    <n v="60.71"/>
    <n v="68.03"/>
    <n v="35.43"/>
    <n v="4.21"/>
    <n v="196532"/>
    <n v="7567"/>
    <n v="204099"/>
    <n v="32116"/>
    <n v="35988"/>
    <n v="0"/>
    <n v="20837"/>
    <n v="2476"/>
    <n v="295516"/>
    <n v="34950"/>
    <n v="260566"/>
    <n v="138922"/>
    <n v="121644"/>
  </r>
  <r>
    <s v="05"/>
    <x v="1"/>
    <x v="52"/>
    <x v="52"/>
    <n v="370.43"/>
    <n v="2002.4"/>
    <n v="2372.83"/>
    <n v="0"/>
    <n v="191"/>
    <n v="0.5"/>
    <n v="2193"/>
    <n v="334.17"/>
    <n v="60.71"/>
    <n v="68.03"/>
    <n v="35.43"/>
    <n v="4.21"/>
    <n v="792929"/>
    <n v="0"/>
    <n v="792929"/>
    <n v="133137"/>
    <n v="149190"/>
    <n v="0"/>
    <n v="84069"/>
    <n v="9990"/>
    <n v="1169315"/>
    <n v="111056"/>
    <n v="1058259"/>
    <n v="590447"/>
    <n v="467812"/>
  </r>
  <r>
    <s v="05"/>
    <x v="1"/>
    <x v="53"/>
    <x v="53"/>
    <n v="118.1"/>
    <n v="1145.9000000000001"/>
    <n v="1264"/>
    <n v="0"/>
    <n v="0"/>
    <n v="0"/>
    <n v="1146"/>
    <n v="334.17"/>
    <n v="60.71"/>
    <n v="68.03"/>
    <n v="35.43"/>
    <n v="4.21"/>
    <n v="422391"/>
    <n v="0"/>
    <n v="422391"/>
    <n v="69574"/>
    <n v="77962"/>
    <n v="0"/>
    <n v="44784"/>
    <n v="5321"/>
    <n v="620032"/>
    <n v="61353"/>
    <n v="558679"/>
    <n v="312336"/>
    <n v="246343"/>
  </r>
  <r>
    <s v="05"/>
    <x v="1"/>
    <x v="54"/>
    <x v="54"/>
    <n v="329.35"/>
    <n v="2570.1999999999998"/>
    <n v="2899.55"/>
    <n v="0"/>
    <n v="202"/>
    <n v="3.3"/>
    <n v="2769"/>
    <n v="334.17"/>
    <n v="60.71"/>
    <n v="68.03"/>
    <n v="35.43"/>
    <n v="4.21"/>
    <n v="968943"/>
    <n v="0"/>
    <n v="968943"/>
    <n v="168106"/>
    <n v="188375"/>
    <n v="0"/>
    <n v="102731"/>
    <n v="12207"/>
    <n v="1440362"/>
    <n v="101214"/>
    <n v="1339148"/>
    <n v="756009"/>
    <n v="583139"/>
  </r>
  <r>
    <s v="05"/>
    <x v="1"/>
    <x v="55"/>
    <x v="55"/>
    <n v="21.45"/>
    <n v="126.4"/>
    <n v="147.85"/>
    <n v="0"/>
    <n v="4"/>
    <n v="0"/>
    <n v="130"/>
    <n v="334.17"/>
    <n v="60.71"/>
    <n v="68.03"/>
    <n v="35.43"/>
    <n v="4.21"/>
    <n v="49407"/>
    <n v="14104"/>
    <n v="63511"/>
    <n v="7892"/>
    <n v="8844"/>
    <n v="0"/>
    <n v="5238"/>
    <n v="622"/>
    <n v="86107"/>
    <n v="10639"/>
    <n v="75468"/>
    <n v="33071"/>
    <n v="42397"/>
  </r>
  <r>
    <s v="05"/>
    <x v="1"/>
    <x v="56"/>
    <x v="56"/>
    <n v="22.68"/>
    <n v="161"/>
    <n v="183.68"/>
    <n v="0"/>
    <n v="14"/>
    <n v="0"/>
    <n v="175"/>
    <n v="334.17"/>
    <n v="60.71"/>
    <n v="68.03"/>
    <n v="35.43"/>
    <n v="4.21"/>
    <n v="61380"/>
    <n v="0"/>
    <n v="61380"/>
    <n v="10624"/>
    <n v="11905"/>
    <n v="0"/>
    <n v="6508"/>
    <n v="773"/>
    <n v="91190"/>
    <n v="12338"/>
    <n v="78852"/>
    <n v="41965"/>
    <n v="36887"/>
  </r>
  <r>
    <s v="05"/>
    <x v="1"/>
    <x v="57"/>
    <x v="57"/>
    <n v="192.59"/>
    <n v="1763.4"/>
    <n v="1955.99"/>
    <n v="0"/>
    <n v="84"/>
    <n v="1.4"/>
    <n v="1846"/>
    <n v="334.17"/>
    <n v="60.71"/>
    <n v="68.03"/>
    <n v="35.43"/>
    <n v="4.21"/>
    <n v="653633"/>
    <n v="0"/>
    <n v="653633"/>
    <n v="112071"/>
    <n v="125583"/>
    <n v="0"/>
    <n v="69301"/>
    <n v="8235"/>
    <n v="968823"/>
    <n v="102240"/>
    <n v="866583"/>
    <n v="476029"/>
    <n v="390554"/>
  </r>
  <r>
    <s v="05"/>
    <x v="1"/>
    <x v="58"/>
    <x v="58"/>
    <n v="32.5"/>
    <n v="318"/>
    <n v="350.5"/>
    <n v="0"/>
    <n v="25"/>
    <n v="0"/>
    <n v="343"/>
    <n v="334.17"/>
    <n v="60.71"/>
    <n v="68.03"/>
    <n v="35.43"/>
    <n v="4.21"/>
    <n v="117127"/>
    <n v="0"/>
    <n v="117127"/>
    <n v="20824"/>
    <n v="23334"/>
    <n v="0"/>
    <n v="12418"/>
    <n v="1476"/>
    <n v="175179"/>
    <n v="21095"/>
    <n v="154084"/>
    <n v="82527"/>
    <n v="71557"/>
  </r>
  <r>
    <s v="07"/>
    <x v="2"/>
    <x v="59"/>
    <x v="59"/>
    <n v="104.66"/>
    <n v="680.1"/>
    <n v="784.76"/>
    <n v="1.02"/>
    <n v="22"/>
    <n v="0.1"/>
    <n v="702"/>
    <n v="327.54000000000002"/>
    <n v="60.66"/>
    <n v="67.650000000000006"/>
    <n v="40.700000000000003"/>
    <n v="4.68"/>
    <n v="257040"/>
    <n v="0"/>
    <n v="257040"/>
    <n v="42583"/>
    <n v="47490"/>
    <n v="334"/>
    <n v="31940"/>
    <n v="3673"/>
    <n v="383060"/>
    <n v="44962"/>
    <n v="338098"/>
    <n v="191811"/>
    <n v="146287"/>
  </r>
  <r>
    <s v="07"/>
    <x v="2"/>
    <x v="60"/>
    <x v="60"/>
    <n v="24.37"/>
    <n v="280.8"/>
    <n v="305.17"/>
    <n v="0.4"/>
    <n v="0"/>
    <n v="0"/>
    <n v="281"/>
    <n v="327.54000000000002"/>
    <n v="60.66"/>
    <n v="67.650000000000006"/>
    <n v="40.700000000000003"/>
    <n v="4.68"/>
    <n v="99955"/>
    <n v="0"/>
    <n v="99955"/>
    <n v="17045"/>
    <n v="19010"/>
    <n v="131"/>
    <n v="12420"/>
    <n v="1428"/>
    <n v="149989"/>
    <n v="16385"/>
    <n v="133604"/>
    <n v="75689"/>
    <n v="57915"/>
  </r>
  <r>
    <s v="07"/>
    <x v="2"/>
    <x v="61"/>
    <x v="61"/>
    <n v="120.04"/>
    <n v="814.8"/>
    <n v="934.84"/>
    <n v="1.21"/>
    <n v="18"/>
    <n v="0"/>
    <n v="833"/>
    <n v="327.54000000000002"/>
    <n v="60.66"/>
    <n v="67.650000000000006"/>
    <n v="40.700000000000003"/>
    <n v="4.68"/>
    <n v="306197"/>
    <n v="0"/>
    <n v="306197"/>
    <n v="50530"/>
    <n v="56352"/>
    <n v="396"/>
    <n v="38048"/>
    <n v="4375"/>
    <n v="455898"/>
    <n v="43475"/>
    <n v="412423"/>
    <n v="238577"/>
    <n v="173846"/>
  </r>
  <r>
    <s v="07"/>
    <x v="2"/>
    <x v="62"/>
    <x v="62"/>
    <n v="72.459999999999994"/>
    <n v="486.9"/>
    <n v="559.36"/>
    <n v="0.73"/>
    <n v="6"/>
    <n v="0"/>
    <n v="493"/>
    <n v="327.54000000000002"/>
    <n v="60.66"/>
    <n v="67.650000000000006"/>
    <n v="40.700000000000003"/>
    <n v="4.68"/>
    <n v="183213"/>
    <n v="3299"/>
    <n v="186512"/>
    <n v="29905"/>
    <n v="33351"/>
    <n v="239"/>
    <n v="22766"/>
    <n v="2618"/>
    <n v="275391"/>
    <n v="32401"/>
    <n v="242990"/>
    <n v="136366"/>
    <n v="106624"/>
  </r>
  <r>
    <s v="07"/>
    <x v="2"/>
    <x v="63"/>
    <x v="63"/>
    <n v="93.41"/>
    <n v="756"/>
    <n v="849.41"/>
    <n v="1.1000000000000001"/>
    <n v="0"/>
    <n v="0"/>
    <n v="756"/>
    <n v="327.54000000000002"/>
    <n v="60.66"/>
    <n v="67.650000000000006"/>
    <n v="40.700000000000003"/>
    <n v="4.68"/>
    <n v="278216"/>
    <n v="0"/>
    <n v="278216"/>
    <n v="45859"/>
    <n v="51143"/>
    <n v="360"/>
    <n v="34571"/>
    <n v="3977"/>
    <n v="414126"/>
    <n v="43483"/>
    <n v="370643"/>
    <n v="212796"/>
    <n v="157847"/>
  </r>
  <r>
    <s v="07"/>
    <x v="2"/>
    <x v="64"/>
    <x v="64"/>
    <n v="66.56"/>
    <n v="531.79999999999995"/>
    <n v="598.36"/>
    <n v="0.78"/>
    <n v="1"/>
    <n v="0"/>
    <n v="533"/>
    <n v="327.54000000000002"/>
    <n v="60.66"/>
    <n v="67.650000000000006"/>
    <n v="40.700000000000003"/>
    <n v="4.68"/>
    <n v="195987"/>
    <n v="0"/>
    <n v="195987"/>
    <n v="32332"/>
    <n v="36057"/>
    <n v="255"/>
    <n v="24353"/>
    <n v="2800"/>
    <n v="291784"/>
    <n v="32169"/>
    <n v="259615"/>
    <n v="148364"/>
    <n v="111251"/>
  </r>
  <r>
    <s v="07"/>
    <x v="2"/>
    <x v="65"/>
    <x v="65"/>
    <n v="30.9"/>
    <n v="269.60000000000002"/>
    <n v="300.5"/>
    <n v="0.39"/>
    <n v="15"/>
    <n v="0.3"/>
    <n v="284"/>
    <n v="327.54000000000002"/>
    <n v="60.66"/>
    <n v="67.650000000000006"/>
    <n v="40.700000000000003"/>
    <n v="4.68"/>
    <n v="98426"/>
    <n v="0"/>
    <n v="98426"/>
    <n v="17227"/>
    <n v="19213"/>
    <n v="128"/>
    <n v="12230"/>
    <n v="1406"/>
    <n v="148630"/>
    <n v="15546"/>
    <n v="133084"/>
    <n v="75118"/>
    <n v="57966"/>
  </r>
  <r>
    <s v="07"/>
    <x v="2"/>
    <x v="66"/>
    <x v="66"/>
    <n v="813.81"/>
    <n v="5565.8"/>
    <n v="6379.61"/>
    <n v="8.27"/>
    <n v="286"/>
    <n v="2.5"/>
    <n v="5849"/>
    <n v="327.54000000000002"/>
    <n v="60.66"/>
    <n v="67.650000000000006"/>
    <n v="40.700000000000003"/>
    <n v="4.68"/>
    <n v="2089577"/>
    <n v="0"/>
    <n v="2089577"/>
    <n v="354800"/>
    <n v="395685"/>
    <n v="2709"/>
    <n v="259650"/>
    <n v="29857"/>
    <n v="3132278"/>
    <n v="228020"/>
    <n v="2904258"/>
    <n v="1696784"/>
    <n v="1207474"/>
  </r>
  <r>
    <s v="07"/>
    <x v="2"/>
    <x v="67"/>
    <x v="67"/>
    <n v="102.9"/>
    <n v="797.8"/>
    <n v="900.7"/>
    <n v="1.17"/>
    <n v="31"/>
    <n v="0"/>
    <n v="829"/>
    <n v="327.54000000000002"/>
    <n v="60.66"/>
    <n v="67.650000000000006"/>
    <n v="40.700000000000003"/>
    <n v="4.68"/>
    <n v="295015"/>
    <n v="0"/>
    <n v="295015"/>
    <n v="50287"/>
    <n v="56082"/>
    <n v="383"/>
    <n v="36658"/>
    <n v="4215"/>
    <n v="442640"/>
    <n v="50672"/>
    <n v="391968"/>
    <n v="221080"/>
    <n v="170888"/>
  </r>
  <r>
    <s v="07"/>
    <x v="2"/>
    <x v="68"/>
    <x v="68"/>
    <n v="283.74"/>
    <n v="1554.5"/>
    <n v="1838.24"/>
    <n v="2.38"/>
    <n v="154"/>
    <n v="5.8"/>
    <n v="1703"/>
    <n v="327.54000000000002"/>
    <n v="60.66"/>
    <n v="67.650000000000006"/>
    <n v="40.700000000000003"/>
    <n v="4.68"/>
    <n v="602097"/>
    <n v="0"/>
    <n v="602097"/>
    <n v="103304"/>
    <n v="115208"/>
    <n v="780"/>
    <n v="74816"/>
    <n v="8603"/>
    <n v="904808"/>
    <n v="91585"/>
    <n v="813223"/>
    <n v="463033"/>
    <n v="350190"/>
  </r>
  <r>
    <s v="07"/>
    <x v="2"/>
    <x v="69"/>
    <x v="69"/>
    <n v="43.77"/>
    <n v="286.2"/>
    <n v="329.97"/>
    <n v="0.43"/>
    <n v="2"/>
    <n v="0"/>
    <n v="288"/>
    <n v="327.54000000000002"/>
    <n v="60.66"/>
    <n v="67.650000000000006"/>
    <n v="40.700000000000003"/>
    <n v="4.68"/>
    <n v="108078"/>
    <n v="9716"/>
    <n v="117794"/>
    <n v="17470"/>
    <n v="19483"/>
    <n v="141"/>
    <n v="13430"/>
    <n v="1544"/>
    <n v="169862"/>
    <n v="20089"/>
    <n v="149773"/>
    <n v="79467"/>
    <n v="70306"/>
  </r>
  <r>
    <s v="07"/>
    <x v="2"/>
    <x v="70"/>
    <x v="70"/>
    <n v="158.33000000000001"/>
    <n v="1187.0999999999999"/>
    <n v="1345.43"/>
    <n v="1.74"/>
    <n v="68"/>
    <n v="0"/>
    <n v="1255"/>
    <n v="327.54000000000002"/>
    <n v="60.66"/>
    <n v="67.650000000000006"/>
    <n v="40.700000000000003"/>
    <n v="4.68"/>
    <n v="440682"/>
    <n v="14743"/>
    <n v="455425"/>
    <n v="76128"/>
    <n v="84901"/>
    <n v="570"/>
    <n v="55820"/>
    <n v="6423"/>
    <n v="679267"/>
    <n v="76251"/>
    <n v="603016"/>
    <n v="330868"/>
    <n v="272148"/>
  </r>
  <r>
    <s v="07"/>
    <x v="2"/>
    <x v="71"/>
    <x v="71"/>
    <n v="86.75"/>
    <n v="863.6"/>
    <n v="950.35"/>
    <n v="1.23"/>
    <n v="9"/>
    <n v="0"/>
    <n v="873"/>
    <n v="327.54000000000002"/>
    <n v="60.66"/>
    <n v="67.650000000000006"/>
    <n v="40.700000000000003"/>
    <n v="4.68"/>
    <n v="311278"/>
    <n v="0"/>
    <n v="311278"/>
    <n v="52956"/>
    <n v="59058"/>
    <n v="403"/>
    <n v="38679"/>
    <n v="4448"/>
    <n v="466822"/>
    <n v="37290"/>
    <n v="429532"/>
    <n v="249441"/>
    <n v="180091"/>
  </r>
  <r>
    <s v="07"/>
    <x v="2"/>
    <x v="72"/>
    <x v="72"/>
    <n v="112.05"/>
    <n v="875.7"/>
    <n v="987.75"/>
    <n v="1.28"/>
    <n v="12"/>
    <n v="0"/>
    <n v="888"/>
    <n v="327.54000000000002"/>
    <n v="60.66"/>
    <n v="67.650000000000006"/>
    <n v="40.700000000000003"/>
    <n v="4.68"/>
    <n v="323528"/>
    <n v="0"/>
    <n v="323528"/>
    <n v="53866"/>
    <n v="60073"/>
    <n v="419"/>
    <n v="40201"/>
    <n v="4623"/>
    <n v="482710"/>
    <n v="40927"/>
    <n v="441783"/>
    <n v="257089"/>
    <n v="184694"/>
  </r>
  <r>
    <s v="07"/>
    <x v="2"/>
    <x v="73"/>
    <x v="73"/>
    <n v="43.82"/>
    <n v="381.1"/>
    <n v="424.92"/>
    <n v="0.55000000000000004"/>
    <n v="16"/>
    <n v="0"/>
    <n v="397"/>
    <n v="327.54000000000002"/>
    <n v="60.66"/>
    <n v="67.650000000000006"/>
    <n v="40.700000000000003"/>
    <n v="4.68"/>
    <n v="139178"/>
    <n v="14504"/>
    <n v="153682"/>
    <n v="24082"/>
    <n v="26857"/>
    <n v="180"/>
    <n v="17294"/>
    <n v="1989"/>
    <n v="224084"/>
    <n v="24962"/>
    <n v="199122"/>
    <n v="103241"/>
    <n v="95881"/>
  </r>
  <r>
    <s v="07"/>
    <x v="2"/>
    <x v="74"/>
    <x v="74"/>
    <n v="92.23"/>
    <n v="552.5"/>
    <n v="644.73"/>
    <n v="0.84"/>
    <n v="5"/>
    <n v="0"/>
    <n v="558"/>
    <n v="327.54000000000002"/>
    <n v="60.66"/>
    <n v="67.650000000000006"/>
    <n v="40.700000000000003"/>
    <n v="4.68"/>
    <n v="211175"/>
    <n v="0"/>
    <n v="211175"/>
    <n v="33848"/>
    <n v="37749"/>
    <n v="275"/>
    <n v="26241"/>
    <n v="3017"/>
    <n v="312305"/>
    <n v="31866"/>
    <n v="280439"/>
    <n v="162658"/>
    <n v="117781"/>
  </r>
  <r>
    <s v="07"/>
    <x v="2"/>
    <x v="75"/>
    <x v="75"/>
    <n v="62.15"/>
    <n v="567.20000000000005"/>
    <n v="629.35"/>
    <n v="0.82"/>
    <n v="7"/>
    <n v="0"/>
    <n v="574"/>
    <n v="327.54000000000002"/>
    <n v="60.66"/>
    <n v="67.650000000000006"/>
    <n v="40.700000000000003"/>
    <n v="4.68"/>
    <n v="206137"/>
    <n v="9466"/>
    <n v="215603"/>
    <n v="34819"/>
    <n v="38831"/>
    <n v="269"/>
    <n v="25615"/>
    <n v="2945"/>
    <n v="318082"/>
    <n v="39636"/>
    <n v="278446"/>
    <n v="150248"/>
    <n v="128198"/>
  </r>
  <r>
    <s v="07"/>
    <x v="2"/>
    <x v="76"/>
    <x v="76"/>
    <n v="114.76"/>
    <n v="532.1"/>
    <n v="646.86"/>
    <n v="0.84"/>
    <n v="3"/>
    <n v="0"/>
    <n v="535"/>
    <n v="327.54000000000002"/>
    <n v="60.66"/>
    <n v="67.650000000000006"/>
    <n v="40.700000000000003"/>
    <n v="4.68"/>
    <n v="211873"/>
    <n v="23628"/>
    <n v="235501"/>
    <n v="32453"/>
    <n v="36193"/>
    <n v="275"/>
    <n v="27252"/>
    <n v="3136"/>
    <n v="334810"/>
    <n v="34389"/>
    <n v="300421"/>
    <n v="161810"/>
    <n v="138611"/>
  </r>
  <r>
    <s v="07"/>
    <x v="2"/>
    <x v="77"/>
    <x v="77"/>
    <n v="138.44"/>
    <n v="1058"/>
    <n v="1196.44"/>
    <n v="1.55"/>
    <n v="24"/>
    <n v="0"/>
    <n v="1082"/>
    <n v="327.54000000000002"/>
    <n v="60.66"/>
    <n v="67.650000000000006"/>
    <n v="40.700000000000003"/>
    <n v="4.68"/>
    <n v="391882"/>
    <n v="28887"/>
    <n v="420769"/>
    <n v="65634"/>
    <n v="73197"/>
    <n v="508"/>
    <n v="48695"/>
    <n v="5599"/>
    <n v="614402"/>
    <n v="79118"/>
    <n v="535284"/>
    <n v="281861"/>
    <n v="253423"/>
  </r>
  <r>
    <s v="07"/>
    <x v="2"/>
    <x v="78"/>
    <x v="78"/>
    <n v="23.71"/>
    <n v="255.2"/>
    <n v="278.91000000000003"/>
    <n v="0.36"/>
    <n v="4"/>
    <n v="0"/>
    <n v="259"/>
    <n v="327.54000000000002"/>
    <n v="60.66"/>
    <n v="67.650000000000006"/>
    <n v="40.700000000000003"/>
    <n v="4.68"/>
    <n v="91354"/>
    <n v="14021"/>
    <n v="105375"/>
    <n v="15711"/>
    <n v="17521"/>
    <n v="118"/>
    <n v="11352"/>
    <n v="1305"/>
    <n v="151382"/>
    <n v="18671"/>
    <n v="132711"/>
    <n v="65479"/>
    <n v="67232"/>
  </r>
  <r>
    <s v="07"/>
    <x v="2"/>
    <x v="79"/>
    <x v="79"/>
    <n v="82.82"/>
    <n v="836.4"/>
    <n v="919.22"/>
    <n v="1.19"/>
    <n v="27"/>
    <n v="0"/>
    <n v="863"/>
    <n v="327.54000000000002"/>
    <n v="60.66"/>
    <n v="67.650000000000006"/>
    <n v="40.700000000000003"/>
    <n v="4.68"/>
    <n v="301081"/>
    <n v="35069"/>
    <n v="336150"/>
    <n v="52350"/>
    <n v="58382"/>
    <n v="390"/>
    <n v="37412"/>
    <n v="4302"/>
    <n v="488986"/>
    <n v="54057"/>
    <n v="434929"/>
    <n v="223282"/>
    <n v="211647"/>
  </r>
  <r>
    <s v="07"/>
    <x v="2"/>
    <x v="80"/>
    <x v="80"/>
    <n v="94.37"/>
    <n v="616.79999999999995"/>
    <n v="711.17"/>
    <n v="0.92"/>
    <n v="2"/>
    <n v="0"/>
    <n v="619"/>
    <n v="327.54000000000002"/>
    <n v="60.66"/>
    <n v="67.650000000000006"/>
    <n v="40.700000000000003"/>
    <n v="4.68"/>
    <n v="232937"/>
    <n v="0"/>
    <n v="232937"/>
    <n v="37549"/>
    <n v="41875"/>
    <n v="301"/>
    <n v="28945"/>
    <n v="3328"/>
    <n v="344935"/>
    <n v="41522"/>
    <n v="303413"/>
    <n v="173046"/>
    <n v="130367"/>
  </r>
  <r>
    <s v="07"/>
    <x v="2"/>
    <x v="81"/>
    <x v="81"/>
    <n v="246.58"/>
    <n v="1521.9"/>
    <n v="1768.48"/>
    <n v="2.29"/>
    <n v="54"/>
    <n v="0.2"/>
    <n v="1576"/>
    <n v="327.54000000000002"/>
    <n v="60.66"/>
    <n v="67.650000000000006"/>
    <n v="40.700000000000003"/>
    <n v="4.68"/>
    <n v="579248"/>
    <n v="1889"/>
    <n v="581137"/>
    <n v="95600"/>
    <n v="106616"/>
    <n v="750"/>
    <n v="72524"/>
    <n v="8345"/>
    <n v="864972"/>
    <n v="90307"/>
    <n v="774665"/>
    <n v="443879"/>
    <n v="330786"/>
  </r>
  <r>
    <s v="07"/>
    <x v="2"/>
    <x v="82"/>
    <x v="82"/>
    <n v="85.84"/>
    <n v="668.2"/>
    <n v="754.04"/>
    <n v="0.98"/>
    <n v="11"/>
    <n v="0"/>
    <n v="679"/>
    <n v="327.54000000000002"/>
    <n v="60.66"/>
    <n v="67.650000000000006"/>
    <n v="40.700000000000003"/>
    <n v="4.68"/>
    <n v="246978"/>
    <n v="0"/>
    <n v="246978"/>
    <n v="41188"/>
    <n v="45934"/>
    <n v="321"/>
    <n v="30689"/>
    <n v="3529"/>
    <n v="368639"/>
    <n v="33049"/>
    <n v="335590"/>
    <n v="194454"/>
    <n v="141136"/>
  </r>
  <r>
    <s v="07"/>
    <x v="2"/>
    <x v="83"/>
    <x v="83"/>
    <n v="152.85"/>
    <n v="1108.3"/>
    <n v="1261.1500000000001"/>
    <n v="1.64"/>
    <n v="11"/>
    <n v="0.4"/>
    <n v="1119"/>
    <n v="327.54000000000002"/>
    <n v="60.66"/>
    <n v="67.650000000000006"/>
    <n v="40.700000000000003"/>
    <n v="4.68"/>
    <n v="413077"/>
    <n v="6370"/>
    <n v="419447"/>
    <n v="67879"/>
    <n v="75700"/>
    <n v="537"/>
    <n v="51329"/>
    <n v="5902"/>
    <n v="620794"/>
    <n v="62028"/>
    <n v="558766"/>
    <n v="318477"/>
    <n v="240289"/>
  </r>
  <r>
    <s v="07"/>
    <x v="2"/>
    <x v="84"/>
    <x v="84"/>
    <n v="44.24"/>
    <n v="409.1"/>
    <n v="453.34"/>
    <n v="0.59"/>
    <n v="0"/>
    <n v="0"/>
    <n v="409"/>
    <n v="327.54000000000002"/>
    <n v="60.66"/>
    <n v="67.650000000000006"/>
    <n v="40.700000000000003"/>
    <n v="4.68"/>
    <n v="148487"/>
    <n v="4667"/>
    <n v="153154"/>
    <n v="24810"/>
    <n v="27669"/>
    <n v="193"/>
    <n v="18451"/>
    <n v="2122"/>
    <n v="226399"/>
    <n v="26042"/>
    <n v="200357"/>
    <n v="110737"/>
    <n v="89620"/>
  </r>
  <r>
    <s v="07"/>
    <x v="2"/>
    <x v="85"/>
    <x v="85"/>
    <n v="76.09"/>
    <n v="678.2"/>
    <n v="754.29"/>
    <n v="0.98"/>
    <n v="19"/>
    <n v="0"/>
    <n v="697"/>
    <n v="327.54000000000002"/>
    <n v="60.66"/>
    <n v="67.650000000000006"/>
    <n v="40.700000000000003"/>
    <n v="4.68"/>
    <n v="247060"/>
    <n v="0"/>
    <n v="247060"/>
    <n v="42280"/>
    <n v="47152"/>
    <n v="321"/>
    <n v="30700"/>
    <n v="3530"/>
    <n v="371043"/>
    <n v="38062"/>
    <n v="332981"/>
    <n v="189517"/>
    <n v="143464"/>
  </r>
  <r>
    <s v="07"/>
    <x v="2"/>
    <x v="86"/>
    <x v="86"/>
    <n v="183.33"/>
    <n v="1406.7"/>
    <n v="1590.03"/>
    <n v="2.06"/>
    <n v="130"/>
    <n v="3.8"/>
    <n v="1533"/>
    <n v="327.54000000000002"/>
    <n v="60.66"/>
    <n v="67.650000000000006"/>
    <n v="40.700000000000003"/>
    <n v="4.68"/>
    <n v="520798"/>
    <n v="0"/>
    <n v="520798"/>
    <n v="92992"/>
    <n v="103707"/>
    <n v="675"/>
    <n v="64714"/>
    <n v="7441"/>
    <n v="790327"/>
    <n v="81418"/>
    <n v="708909"/>
    <n v="398312"/>
    <n v="310597"/>
  </r>
  <r>
    <s v="07"/>
    <x v="2"/>
    <x v="87"/>
    <x v="87"/>
    <n v="133.29"/>
    <n v="1015.1"/>
    <n v="1148.3900000000001"/>
    <n v="1.49"/>
    <n v="2"/>
    <n v="0"/>
    <n v="1017"/>
    <n v="327.54000000000002"/>
    <n v="60.66"/>
    <n v="67.650000000000006"/>
    <n v="40.700000000000003"/>
    <n v="4.68"/>
    <n v="376144"/>
    <n v="0"/>
    <n v="376144"/>
    <n v="61691"/>
    <n v="68800"/>
    <n v="488"/>
    <n v="46739"/>
    <n v="5374"/>
    <n v="559236"/>
    <n v="55085"/>
    <n v="504151"/>
    <n v="291397"/>
    <n v="212754"/>
  </r>
  <r>
    <s v="07"/>
    <x v="2"/>
    <x v="88"/>
    <x v="88"/>
    <n v="56.47"/>
    <n v="437.9"/>
    <n v="494.37"/>
    <n v="0.64"/>
    <n v="14"/>
    <n v="0"/>
    <n v="452"/>
    <n v="327.54000000000002"/>
    <n v="60.66"/>
    <n v="67.650000000000006"/>
    <n v="40.700000000000003"/>
    <n v="4.68"/>
    <n v="161926"/>
    <n v="0"/>
    <n v="161926"/>
    <n v="27418"/>
    <n v="30578"/>
    <n v="210"/>
    <n v="20121"/>
    <n v="2314"/>
    <n v="242567"/>
    <n v="18265"/>
    <n v="224302"/>
    <n v="130893"/>
    <n v="93409"/>
  </r>
  <r>
    <s v="07"/>
    <x v="2"/>
    <x v="89"/>
    <x v="89"/>
    <n v="119.36"/>
    <n v="913.3"/>
    <n v="1032.6600000000001"/>
    <n v="1.34"/>
    <n v="113"/>
    <n v="0.1"/>
    <n v="1026"/>
    <n v="327.54000000000002"/>
    <n v="60.66"/>
    <n v="67.650000000000006"/>
    <n v="40.700000000000003"/>
    <n v="4.68"/>
    <n v="338237"/>
    <n v="0"/>
    <n v="338237"/>
    <n v="62237"/>
    <n v="69409"/>
    <n v="439"/>
    <n v="42029"/>
    <n v="4833"/>
    <n v="517184"/>
    <n v="45912"/>
    <n v="471272"/>
    <n v="265654"/>
    <n v="205618"/>
  </r>
  <r>
    <s v="07"/>
    <x v="2"/>
    <x v="90"/>
    <x v="90"/>
    <n v="74.53"/>
    <n v="574.29999999999995"/>
    <n v="648.83000000000004"/>
    <n v="0.84"/>
    <n v="0"/>
    <n v="0"/>
    <n v="574"/>
    <n v="327.54000000000002"/>
    <n v="60.66"/>
    <n v="67.650000000000006"/>
    <n v="40.700000000000003"/>
    <n v="4.68"/>
    <n v="212518"/>
    <n v="0"/>
    <n v="212518"/>
    <n v="34819"/>
    <n v="38831"/>
    <n v="275"/>
    <n v="26407"/>
    <n v="3037"/>
    <n v="315887"/>
    <n v="35971"/>
    <n v="279916"/>
    <n v="159789"/>
    <n v="120127"/>
  </r>
  <r>
    <s v="07"/>
    <x v="2"/>
    <x v="91"/>
    <x v="91"/>
    <n v="729.26"/>
    <n v="5287.4"/>
    <n v="6016.66"/>
    <n v="7.79"/>
    <n v="220"/>
    <n v="2"/>
    <n v="5505"/>
    <n v="327.54000000000002"/>
    <n v="60.66"/>
    <n v="67.650000000000006"/>
    <n v="40.700000000000003"/>
    <n v="4.68"/>
    <n v="1970697"/>
    <n v="0"/>
    <n v="1970697"/>
    <n v="333933"/>
    <n v="372413"/>
    <n v="2552"/>
    <n v="244878"/>
    <n v="28158"/>
    <n v="2952631"/>
    <n v="260973"/>
    <n v="2691658"/>
    <n v="1554322"/>
    <n v="1137336"/>
  </r>
  <r>
    <s v="07"/>
    <x v="2"/>
    <x v="92"/>
    <x v="92"/>
    <n v="620.41999999999996"/>
    <n v="3403.8"/>
    <n v="4024.22"/>
    <n v="5.22"/>
    <n v="534"/>
    <n v="4.9000000000000004"/>
    <n v="3933"/>
    <n v="327.54000000000002"/>
    <n v="60.66"/>
    <n v="67.650000000000006"/>
    <n v="40.700000000000003"/>
    <n v="4.68"/>
    <n v="1318093"/>
    <n v="30194"/>
    <n v="1348287"/>
    <n v="238576"/>
    <n v="266067"/>
    <n v="1710"/>
    <n v="165363"/>
    <n v="19028"/>
    <n v="2039031"/>
    <n v="237752"/>
    <n v="1801279"/>
    <n v="978176"/>
    <n v="823103"/>
  </r>
  <r>
    <s v="07"/>
    <x v="2"/>
    <x v="93"/>
    <x v="93"/>
    <n v="60.26"/>
    <n v="493.5"/>
    <n v="553.76"/>
    <n v="0.72"/>
    <n v="6"/>
    <n v="0"/>
    <n v="500"/>
    <n v="327.54000000000002"/>
    <n v="60.66"/>
    <n v="67.650000000000006"/>
    <n v="40.700000000000003"/>
    <n v="4.68"/>
    <n v="181379"/>
    <n v="0"/>
    <n v="181379"/>
    <n v="30330"/>
    <n v="33825"/>
    <n v="236"/>
    <n v="22538"/>
    <n v="2592"/>
    <n v="270900"/>
    <n v="27330"/>
    <n v="243570"/>
    <n v="139747"/>
    <n v="103823"/>
  </r>
  <r>
    <s v="07"/>
    <x v="2"/>
    <x v="94"/>
    <x v="94"/>
    <n v="74.680000000000007"/>
    <n v="595.70000000000005"/>
    <n v="670.38"/>
    <n v="0.87"/>
    <n v="2"/>
    <n v="0"/>
    <n v="598"/>
    <n v="327.54000000000002"/>
    <n v="60.66"/>
    <n v="67.650000000000006"/>
    <n v="40.700000000000003"/>
    <n v="4.68"/>
    <n v="219576"/>
    <n v="0"/>
    <n v="219576"/>
    <n v="36275"/>
    <n v="40455"/>
    <n v="285"/>
    <n v="27284"/>
    <n v="3137"/>
    <n v="327012"/>
    <n v="40146"/>
    <n v="286866"/>
    <n v="162115"/>
    <n v="124751"/>
  </r>
  <r>
    <s v="07"/>
    <x v="2"/>
    <x v="95"/>
    <x v="95"/>
    <n v="70.14"/>
    <n v="568.6"/>
    <n v="638.74"/>
    <n v="0.83"/>
    <n v="2"/>
    <n v="0"/>
    <n v="571"/>
    <n v="327.54000000000002"/>
    <n v="60.66"/>
    <n v="67.650000000000006"/>
    <n v="40.700000000000003"/>
    <n v="4.68"/>
    <n v="209213"/>
    <n v="0"/>
    <n v="209213"/>
    <n v="34637"/>
    <n v="38628"/>
    <n v="272"/>
    <n v="25997"/>
    <n v="2989"/>
    <n v="311736"/>
    <n v="35758"/>
    <n v="275978"/>
    <n v="156958"/>
    <n v="119020"/>
  </r>
  <r>
    <s v="07"/>
    <x v="2"/>
    <x v="96"/>
    <x v="96"/>
    <n v="49.73"/>
    <n v="443.8"/>
    <n v="493.53"/>
    <n v="0.64"/>
    <n v="2"/>
    <n v="0"/>
    <n v="446"/>
    <n v="327.54000000000002"/>
    <n v="60.66"/>
    <n v="67.650000000000006"/>
    <n v="40.700000000000003"/>
    <n v="4.68"/>
    <n v="161651"/>
    <n v="0"/>
    <n v="161651"/>
    <n v="27054"/>
    <n v="30172"/>
    <n v="210"/>
    <n v="20087"/>
    <n v="2310"/>
    <n v="241484"/>
    <n v="31881"/>
    <n v="209603"/>
    <n v="117024"/>
    <n v="92579"/>
  </r>
  <r>
    <s v="07"/>
    <x v="2"/>
    <x v="97"/>
    <x v="97"/>
    <n v="64.91"/>
    <n v="455"/>
    <n v="519.91"/>
    <n v="0.67"/>
    <n v="1"/>
    <n v="0"/>
    <n v="456"/>
    <n v="327.54000000000002"/>
    <n v="60.66"/>
    <n v="67.650000000000006"/>
    <n v="40.700000000000003"/>
    <n v="4.68"/>
    <n v="170291"/>
    <n v="0"/>
    <n v="170291"/>
    <n v="27661"/>
    <n v="30848"/>
    <n v="219"/>
    <n v="21160"/>
    <n v="2433"/>
    <n v="252612"/>
    <n v="26248"/>
    <n v="226364"/>
    <n v="130613"/>
    <n v="95751"/>
  </r>
  <r>
    <s v="07"/>
    <x v="2"/>
    <x v="98"/>
    <x v="98"/>
    <n v="56.08"/>
    <n v="503"/>
    <n v="559.08000000000004"/>
    <n v="0.72"/>
    <n v="0"/>
    <n v="0"/>
    <n v="503"/>
    <n v="327.54000000000002"/>
    <n v="60.66"/>
    <n v="67.650000000000006"/>
    <n v="40.700000000000003"/>
    <n v="4.68"/>
    <n v="183121"/>
    <n v="0"/>
    <n v="183121"/>
    <n v="30512"/>
    <n v="34028"/>
    <n v="236"/>
    <n v="22755"/>
    <n v="2616"/>
    <n v="273268"/>
    <n v="27732"/>
    <n v="245536"/>
    <n v="140948"/>
    <n v="104588"/>
  </r>
  <r>
    <s v="07"/>
    <x v="2"/>
    <x v="99"/>
    <x v="99"/>
    <n v="84.68"/>
    <n v="902.2"/>
    <n v="986.88"/>
    <n v="1.28"/>
    <n v="2"/>
    <n v="0"/>
    <n v="904"/>
    <n v="327.54000000000002"/>
    <n v="60.66"/>
    <n v="67.650000000000006"/>
    <n v="40.700000000000003"/>
    <n v="4.68"/>
    <n v="323243"/>
    <n v="0"/>
    <n v="323243"/>
    <n v="54837"/>
    <n v="61156"/>
    <n v="419"/>
    <n v="40166"/>
    <n v="4619"/>
    <n v="484440"/>
    <n v="52192"/>
    <n v="432248"/>
    <n v="245562"/>
    <n v="186686"/>
  </r>
  <r>
    <s v="07"/>
    <x v="2"/>
    <x v="100"/>
    <x v="100"/>
    <n v="66.959999999999994"/>
    <n v="394"/>
    <n v="460.96"/>
    <n v="0.6"/>
    <n v="8"/>
    <n v="0"/>
    <n v="402"/>
    <n v="327.54000000000002"/>
    <n v="60.66"/>
    <n v="67.650000000000006"/>
    <n v="40.700000000000003"/>
    <n v="4.68"/>
    <n v="150983"/>
    <n v="7040"/>
    <n v="158023"/>
    <n v="24385"/>
    <n v="27195"/>
    <n v="197"/>
    <n v="18761"/>
    <n v="2157"/>
    <n v="230718"/>
    <n v="31611"/>
    <n v="199107"/>
    <n v="107466"/>
    <n v="91641"/>
  </r>
  <r>
    <s v="07"/>
    <x v="2"/>
    <x v="101"/>
    <x v="101"/>
    <n v="261"/>
    <n v="1453.4"/>
    <n v="1714.4"/>
    <n v="2.2200000000000002"/>
    <n v="1"/>
    <n v="0"/>
    <n v="1454"/>
    <n v="327.54000000000002"/>
    <n v="60.66"/>
    <n v="67.650000000000006"/>
    <n v="40.700000000000003"/>
    <n v="4.68"/>
    <n v="561535"/>
    <n v="0"/>
    <n v="561535"/>
    <n v="88200"/>
    <n v="98363"/>
    <n v="727"/>
    <n v="70036"/>
    <n v="8059"/>
    <n v="826920"/>
    <n v="83608"/>
    <n v="743312"/>
    <n v="433942"/>
    <n v="309370"/>
  </r>
  <r>
    <s v="07"/>
    <x v="2"/>
    <x v="102"/>
    <x v="102"/>
    <n v="55.55"/>
    <n v="561.1"/>
    <n v="616.65"/>
    <n v="0.8"/>
    <n v="0"/>
    <n v="0"/>
    <n v="561"/>
    <n v="327.54000000000002"/>
    <n v="60.66"/>
    <n v="67.650000000000006"/>
    <n v="40.700000000000003"/>
    <n v="4.68"/>
    <n v="201978"/>
    <n v="2847"/>
    <n v="204825"/>
    <n v="34030"/>
    <n v="37952"/>
    <n v="262"/>
    <n v="25562"/>
    <n v="2941"/>
    <n v="305572"/>
    <n v="37905"/>
    <n v="267667"/>
    <n v="148665"/>
    <n v="119002"/>
  </r>
  <r>
    <s v="07"/>
    <x v="2"/>
    <x v="103"/>
    <x v="103"/>
    <n v="118.11"/>
    <n v="790.9"/>
    <n v="909.01"/>
    <n v="1.18"/>
    <n v="3"/>
    <n v="0"/>
    <n v="794"/>
    <n v="327.54000000000002"/>
    <n v="60.66"/>
    <n v="67.650000000000006"/>
    <n v="40.700000000000003"/>
    <n v="4.68"/>
    <n v="297737"/>
    <n v="0"/>
    <n v="297737"/>
    <n v="48164"/>
    <n v="53714"/>
    <n v="386"/>
    <n v="36997"/>
    <n v="4254"/>
    <n v="441252"/>
    <n v="52418"/>
    <n v="388834"/>
    <n v="221842"/>
    <n v="166992"/>
  </r>
  <r>
    <s v="07"/>
    <x v="2"/>
    <x v="104"/>
    <x v="104"/>
    <n v="67.42"/>
    <n v="382.4"/>
    <n v="449.82"/>
    <n v="0.57999999999999996"/>
    <n v="0"/>
    <n v="0"/>
    <n v="382"/>
    <n v="327.54000000000002"/>
    <n v="60.66"/>
    <n v="67.650000000000006"/>
    <n v="40.700000000000003"/>
    <n v="4.68"/>
    <n v="147334"/>
    <n v="4990"/>
    <n v="152324"/>
    <n v="23172"/>
    <n v="25842"/>
    <n v="190"/>
    <n v="18308"/>
    <n v="2105"/>
    <n v="221941"/>
    <n v="24780"/>
    <n v="197161"/>
    <n v="110935"/>
    <n v="86226"/>
  </r>
  <r>
    <s v="07"/>
    <x v="2"/>
    <x v="105"/>
    <x v="105"/>
    <n v="149.66999999999999"/>
    <n v="993.4"/>
    <n v="1143.07"/>
    <n v="1.48"/>
    <n v="24"/>
    <n v="0"/>
    <n v="1017"/>
    <n v="327.54000000000002"/>
    <n v="60.66"/>
    <n v="67.650000000000006"/>
    <n v="40.700000000000003"/>
    <n v="4.68"/>
    <n v="374401"/>
    <n v="15469"/>
    <n v="389870"/>
    <n v="61691"/>
    <n v="68800"/>
    <n v="485"/>
    <n v="46523"/>
    <n v="5350"/>
    <n v="572719"/>
    <n v="59690"/>
    <n v="513029"/>
    <n v="285188"/>
    <n v="227841"/>
  </r>
  <r>
    <s v="07"/>
    <x v="2"/>
    <x v="106"/>
    <x v="106"/>
    <n v="79.099999999999994"/>
    <n v="673.6"/>
    <n v="752.7"/>
    <n v="0.98"/>
    <n v="24"/>
    <n v="0"/>
    <n v="698"/>
    <n v="327.54000000000002"/>
    <n v="60.66"/>
    <n v="67.650000000000006"/>
    <n v="40.700000000000003"/>
    <n v="4.68"/>
    <n v="246539"/>
    <n v="0"/>
    <n v="246539"/>
    <n v="42341"/>
    <n v="47220"/>
    <n v="321"/>
    <n v="30635"/>
    <n v="3523"/>
    <n v="370579"/>
    <n v="37019"/>
    <n v="333560"/>
    <n v="190081"/>
    <n v="143479"/>
  </r>
  <r>
    <s v="07"/>
    <x v="2"/>
    <x v="107"/>
    <x v="107"/>
    <n v="2250.4699999999998"/>
    <n v="10679.9"/>
    <n v="12930.37"/>
    <n v="16.760000000000002"/>
    <n v="1155"/>
    <n v="14.9"/>
    <n v="11820"/>
    <n v="327.54000000000002"/>
    <n v="60.66"/>
    <n v="67.650000000000006"/>
    <n v="40.700000000000003"/>
    <n v="4.68"/>
    <n v="4235213"/>
    <n v="0"/>
    <n v="4235213"/>
    <n v="717001"/>
    <n v="799623"/>
    <n v="5490"/>
    <n v="526266"/>
    <n v="60514"/>
    <n v="6344107"/>
    <n v="602136"/>
    <n v="5741971"/>
    <n v="3299109"/>
    <n v="2442862"/>
  </r>
  <r>
    <s v="07"/>
    <x v="2"/>
    <x v="108"/>
    <x v="108"/>
    <n v="260.83"/>
    <n v="2168.1999999999998"/>
    <n v="2429.0300000000002"/>
    <n v="3.15"/>
    <n v="114"/>
    <n v="0.5"/>
    <n v="2282"/>
    <n v="327.54000000000002"/>
    <n v="60.66"/>
    <n v="67.650000000000006"/>
    <n v="40.700000000000003"/>
    <n v="4.68"/>
    <n v="795604"/>
    <n v="0"/>
    <n v="795604"/>
    <n v="138426"/>
    <n v="154377"/>
    <n v="1032"/>
    <n v="98862"/>
    <n v="11368"/>
    <n v="1199669"/>
    <n v="99938"/>
    <n v="1099731"/>
    <n v="632930"/>
    <n v="466801"/>
  </r>
  <r>
    <s v="07"/>
    <x v="2"/>
    <x v="109"/>
    <x v="109"/>
    <n v="109.78"/>
    <n v="749.9"/>
    <n v="859.68"/>
    <n v="1.1100000000000001"/>
    <n v="58"/>
    <n v="0"/>
    <n v="808"/>
    <n v="327.54000000000002"/>
    <n v="60.66"/>
    <n v="67.650000000000006"/>
    <n v="40.700000000000003"/>
    <n v="4.68"/>
    <n v="281580"/>
    <n v="0"/>
    <n v="281580"/>
    <n v="49013"/>
    <n v="54661"/>
    <n v="364"/>
    <n v="34989"/>
    <n v="4023"/>
    <n v="424630"/>
    <n v="48238"/>
    <n v="376392"/>
    <n v="211136"/>
    <n v="165256"/>
  </r>
  <r>
    <s v="07"/>
    <x v="2"/>
    <x v="110"/>
    <x v="110"/>
    <n v="41"/>
    <n v="563.6"/>
    <n v="604.6"/>
    <n v="0.78"/>
    <n v="8"/>
    <n v="0"/>
    <n v="572"/>
    <n v="327.54000000000002"/>
    <n v="60.66"/>
    <n v="67.650000000000006"/>
    <n v="40.700000000000003"/>
    <n v="4.68"/>
    <n v="198031"/>
    <n v="0"/>
    <n v="198031"/>
    <n v="34698"/>
    <n v="38696"/>
    <n v="255"/>
    <n v="24607"/>
    <n v="2830"/>
    <n v="299117"/>
    <n v="34886"/>
    <n v="264231"/>
    <n v="147528"/>
    <n v="116703"/>
  </r>
  <r>
    <s v="07"/>
    <x v="2"/>
    <x v="111"/>
    <x v="111"/>
    <n v="81.599999999999994"/>
    <n v="813.6"/>
    <n v="895.2"/>
    <n v="1.1599999999999999"/>
    <n v="3"/>
    <n v="0"/>
    <n v="817"/>
    <n v="327.54000000000002"/>
    <n v="60.66"/>
    <n v="67.650000000000006"/>
    <n v="40.700000000000003"/>
    <n v="4.68"/>
    <n v="293214"/>
    <n v="1549"/>
    <n v="294763"/>
    <n v="49559"/>
    <n v="55270"/>
    <n v="380"/>
    <n v="36435"/>
    <n v="4190"/>
    <n v="440597"/>
    <n v="43122"/>
    <n v="397475"/>
    <n v="226971"/>
    <n v="170504"/>
  </r>
  <r>
    <s v="09"/>
    <x v="3"/>
    <x v="112"/>
    <x v="112"/>
    <n v="36.15"/>
    <n v="223"/>
    <n v="259.14999999999998"/>
    <n v="0.46"/>
    <n v="18"/>
    <n v="0"/>
    <n v="241"/>
    <n v="325.18"/>
    <n v="60.17"/>
    <n v="65.73"/>
    <n v="29.77"/>
    <n v="3.49"/>
    <n v="84270"/>
    <n v="9061"/>
    <n v="93331"/>
    <n v="14501"/>
    <n v="15841"/>
    <n v="150"/>
    <n v="7715"/>
    <n v="904"/>
    <n v="132442"/>
    <n v="17297"/>
    <n v="115145"/>
    <n v="57782"/>
    <n v="57363"/>
  </r>
  <r>
    <s v="09"/>
    <x v="3"/>
    <x v="113"/>
    <x v="113"/>
    <n v="59.36"/>
    <n v="623.1"/>
    <n v="682.46"/>
    <n v="1.21"/>
    <n v="172"/>
    <n v="0"/>
    <n v="795"/>
    <n v="325.18"/>
    <n v="60.17"/>
    <n v="65.73"/>
    <n v="29.77"/>
    <n v="3.49"/>
    <n v="221922"/>
    <n v="0"/>
    <n v="221922"/>
    <n v="47835"/>
    <n v="52255"/>
    <n v="393"/>
    <n v="20317"/>
    <n v="2382"/>
    <n v="345104"/>
    <n v="35612"/>
    <n v="309492"/>
    <n v="162107"/>
    <n v="147385"/>
  </r>
  <r>
    <s v="09"/>
    <x v="3"/>
    <x v="114"/>
    <x v="114"/>
    <n v="23.54"/>
    <n v="185.1"/>
    <n v="208.64"/>
    <n v="0.37"/>
    <n v="0"/>
    <n v="0"/>
    <n v="185"/>
    <n v="325.18"/>
    <n v="60.17"/>
    <n v="65.73"/>
    <n v="29.77"/>
    <n v="3.49"/>
    <n v="67846"/>
    <n v="4941"/>
    <n v="72787"/>
    <n v="11131"/>
    <n v="12160"/>
    <n v="120"/>
    <n v="6644"/>
    <n v="780"/>
    <n v="103622"/>
    <n v="12347"/>
    <n v="91275"/>
    <n v="48584"/>
    <n v="42691"/>
  </r>
  <r>
    <s v="09"/>
    <x v="3"/>
    <x v="115"/>
    <x v="115"/>
    <n v="478.51"/>
    <n v="4044.3"/>
    <n v="4522.8100000000004"/>
    <n v="8.01"/>
    <n v="256"/>
    <n v="0"/>
    <n v="4300"/>
    <n v="325.18"/>
    <n v="60.17"/>
    <n v="65.73"/>
    <n v="29.77"/>
    <n v="3.49"/>
    <n v="1470727"/>
    <n v="0"/>
    <n v="1470727"/>
    <n v="258731"/>
    <n v="282639"/>
    <n v="2605"/>
    <n v="134644"/>
    <n v="15785"/>
    <n v="2165131"/>
    <n v="201731"/>
    <n v="1963400"/>
    <n v="1108588"/>
    <n v="854812"/>
  </r>
  <r>
    <s v="09"/>
    <x v="3"/>
    <x v="116"/>
    <x v="116"/>
    <n v="51.94"/>
    <n v="384.3"/>
    <n v="436.24"/>
    <n v="0.77"/>
    <n v="3"/>
    <n v="0"/>
    <n v="387"/>
    <n v="325.18"/>
    <n v="60.17"/>
    <n v="65.73"/>
    <n v="29.77"/>
    <n v="3.49"/>
    <n v="141857"/>
    <n v="13862"/>
    <n v="155719"/>
    <n v="23286"/>
    <n v="25438"/>
    <n v="250"/>
    <n v="12987"/>
    <n v="1522"/>
    <n v="219202"/>
    <n v="25864"/>
    <n v="193338"/>
    <n v="100520"/>
    <n v="92818"/>
  </r>
  <r>
    <s v="09"/>
    <x v="3"/>
    <x v="117"/>
    <x v="117"/>
    <n v="92.97"/>
    <n v="845.1"/>
    <n v="938.07"/>
    <n v="1.66"/>
    <n v="17"/>
    <n v="0"/>
    <n v="862"/>
    <n v="325.18"/>
    <n v="60.17"/>
    <n v="65.73"/>
    <n v="29.77"/>
    <n v="3.49"/>
    <n v="305042"/>
    <n v="0"/>
    <n v="305042"/>
    <n v="51867"/>
    <n v="56659"/>
    <n v="540"/>
    <n v="27926"/>
    <n v="3274"/>
    <n v="445308"/>
    <n v="44509"/>
    <n v="400799"/>
    <n v="227262"/>
    <n v="173537"/>
  </r>
  <r>
    <s v="09"/>
    <x v="3"/>
    <x v="118"/>
    <x v="118"/>
    <n v="190.72"/>
    <n v="1460.6"/>
    <n v="1651.32"/>
    <n v="2.93"/>
    <n v="144"/>
    <n v="0"/>
    <n v="1605"/>
    <n v="325.18"/>
    <n v="60.17"/>
    <n v="65.73"/>
    <n v="29.77"/>
    <n v="3.49"/>
    <n v="536976"/>
    <n v="0"/>
    <n v="536976"/>
    <n v="96573"/>
    <n v="105497"/>
    <n v="953"/>
    <n v="49160"/>
    <n v="5763"/>
    <n v="794922"/>
    <n v="83133"/>
    <n v="711789"/>
    <n v="395278"/>
    <n v="316511"/>
  </r>
  <r>
    <s v="09"/>
    <x v="3"/>
    <x v="119"/>
    <x v="119"/>
    <n v="785.66"/>
    <n v="3612.4"/>
    <n v="4398.0600000000004"/>
    <n v="7.77"/>
    <n v="160"/>
    <n v="0"/>
    <n v="3772"/>
    <n v="325.18"/>
    <n v="60.17"/>
    <n v="65.73"/>
    <n v="29.77"/>
    <n v="3.49"/>
    <n v="1430161"/>
    <n v="0"/>
    <n v="1430161"/>
    <n v="226961"/>
    <n v="247934"/>
    <n v="2527"/>
    <n v="130930"/>
    <n v="15349"/>
    <n v="2053862"/>
    <n v="234769"/>
    <n v="1819093"/>
    <n v="1039402"/>
    <n v="779691"/>
  </r>
  <r>
    <s v="09"/>
    <x v="3"/>
    <x v="120"/>
    <x v="120"/>
    <n v="119.07"/>
    <n v="756.8"/>
    <n v="875.87"/>
    <n v="1.55"/>
    <n v="0"/>
    <n v="0"/>
    <n v="757"/>
    <n v="325.18"/>
    <n v="60.17"/>
    <n v="65.73"/>
    <n v="29.77"/>
    <n v="3.49"/>
    <n v="284815"/>
    <n v="14258"/>
    <n v="299073"/>
    <n v="45549"/>
    <n v="49758"/>
    <n v="504"/>
    <n v="26075"/>
    <n v="3057"/>
    <n v="424016"/>
    <n v="51365"/>
    <n v="372651"/>
    <n v="202387"/>
    <n v="170264"/>
  </r>
  <r>
    <s v="09"/>
    <x v="3"/>
    <x v="121"/>
    <x v="121"/>
    <n v="2503.35"/>
    <n v="14412.6"/>
    <n v="16915.95"/>
    <n v="29.98"/>
    <n v="1758"/>
    <n v="2.7"/>
    <n v="16168"/>
    <n v="325.18"/>
    <n v="60.17"/>
    <n v="65.73"/>
    <n v="29.77"/>
    <n v="3.49"/>
    <n v="5500729"/>
    <n v="102279"/>
    <n v="5603008"/>
    <n v="972829"/>
    <n v="1062723"/>
    <n v="9749"/>
    <n v="503588"/>
    <n v="59037"/>
    <n v="8210934"/>
    <n v="859407"/>
    <n v="7351527"/>
    <n v="4041376"/>
    <n v="3310151"/>
  </r>
  <r>
    <s v="09"/>
    <x v="3"/>
    <x v="122"/>
    <x v="122"/>
    <n v="21.87"/>
    <n v="190"/>
    <n v="211.87"/>
    <n v="0.38"/>
    <n v="1"/>
    <n v="0"/>
    <n v="191"/>
    <n v="325.18"/>
    <n v="60.17"/>
    <n v="65.73"/>
    <n v="29.77"/>
    <n v="3.49"/>
    <n v="68896"/>
    <n v="6893"/>
    <n v="75789"/>
    <n v="11492"/>
    <n v="12554"/>
    <n v="124"/>
    <n v="6918"/>
    <n v="812"/>
    <n v="107689"/>
    <n v="13962"/>
    <n v="93727"/>
    <n v="48104"/>
    <n v="45623"/>
  </r>
  <r>
    <s v="09"/>
    <x v="3"/>
    <x v="123"/>
    <x v="123"/>
    <n v="58.38"/>
    <n v="531"/>
    <n v="589.38"/>
    <n v="1.05"/>
    <n v="3"/>
    <n v="0"/>
    <n v="534"/>
    <n v="325.18"/>
    <n v="60.17"/>
    <n v="65.73"/>
    <n v="29.77"/>
    <n v="3.49"/>
    <n v="191655"/>
    <n v="1385"/>
    <n v="193040"/>
    <n v="32131"/>
    <n v="35100"/>
    <n v="341"/>
    <n v="17546"/>
    <n v="2057"/>
    <n v="280215"/>
    <n v="29685"/>
    <n v="250530"/>
    <n v="141068"/>
    <n v="109462"/>
  </r>
  <r>
    <s v="09"/>
    <x v="3"/>
    <x v="124"/>
    <x v="124"/>
    <n v="98.28"/>
    <n v="558.9"/>
    <n v="657.18"/>
    <n v="1.17"/>
    <n v="8"/>
    <n v="0"/>
    <n v="567"/>
    <n v="325.18"/>
    <n v="60.17"/>
    <n v="65.73"/>
    <n v="29.77"/>
    <n v="3.49"/>
    <n v="213702"/>
    <n v="5575"/>
    <n v="219277"/>
    <n v="34116"/>
    <n v="37269"/>
    <n v="380"/>
    <n v="19564"/>
    <n v="2294"/>
    <n v="312900"/>
    <n v="38005"/>
    <n v="274895"/>
    <n v="152391"/>
    <n v="122504"/>
  </r>
  <r>
    <s v="09"/>
    <x v="3"/>
    <x v="125"/>
    <x v="125"/>
    <n v="89.62"/>
    <n v="692.5"/>
    <n v="782.12"/>
    <n v="1.39"/>
    <n v="0"/>
    <n v="0"/>
    <n v="693"/>
    <n v="325.18"/>
    <n v="60.17"/>
    <n v="65.73"/>
    <n v="29.77"/>
    <n v="3.49"/>
    <n v="254330"/>
    <n v="741"/>
    <n v="255071"/>
    <n v="41698"/>
    <n v="45551"/>
    <n v="452"/>
    <n v="23284"/>
    <n v="2733"/>
    <n v="368789"/>
    <n v="42041"/>
    <n v="326748"/>
    <n v="184555"/>
    <n v="142193"/>
  </r>
  <r>
    <s v="09"/>
    <x v="3"/>
    <x v="126"/>
    <x v="126"/>
    <n v="284.08999999999997"/>
    <n v="1245.2"/>
    <n v="1529.29"/>
    <n v="2.71"/>
    <n v="124"/>
    <n v="0"/>
    <n v="1369"/>
    <n v="325.18"/>
    <n v="60.17"/>
    <n v="65.73"/>
    <n v="29.77"/>
    <n v="3.49"/>
    <n v="497295"/>
    <n v="4071"/>
    <n v="501366"/>
    <n v="82373"/>
    <n v="89984"/>
    <n v="881"/>
    <n v="45763"/>
    <n v="5373"/>
    <n v="725740"/>
    <n v="79567"/>
    <n v="646173"/>
    <n v="363761"/>
    <n v="282412"/>
  </r>
  <r>
    <s v="09"/>
    <x v="3"/>
    <x v="127"/>
    <x v="127"/>
    <n v="658.34"/>
    <n v="4604.5"/>
    <n v="5262.84"/>
    <n v="9.33"/>
    <n v="205"/>
    <n v="0"/>
    <n v="4810"/>
    <n v="325.18"/>
    <n v="60.17"/>
    <n v="65.73"/>
    <n v="29.77"/>
    <n v="3.49"/>
    <n v="1711370"/>
    <n v="11650"/>
    <n v="1723020"/>
    <n v="289418"/>
    <n v="316161"/>
    <n v="3034"/>
    <n v="156675"/>
    <n v="18367"/>
    <n v="2506675"/>
    <n v="272036"/>
    <n v="2234639"/>
    <n v="1252682"/>
    <n v="981957"/>
  </r>
  <r>
    <s v="09"/>
    <x v="3"/>
    <x v="128"/>
    <x v="128"/>
    <n v="308.37"/>
    <n v="3112.5"/>
    <n v="3420.87"/>
    <n v="6.06"/>
    <n v="45"/>
    <n v="0"/>
    <n v="3158"/>
    <n v="325.18"/>
    <n v="60.17"/>
    <n v="65.73"/>
    <n v="29.77"/>
    <n v="3.49"/>
    <n v="1112399"/>
    <n v="0"/>
    <n v="1112399"/>
    <n v="190017"/>
    <n v="207575"/>
    <n v="1971"/>
    <n v="101839"/>
    <n v="11939"/>
    <n v="1625740"/>
    <n v="142652"/>
    <n v="1483088"/>
    <n v="848420"/>
    <n v="634668"/>
  </r>
  <r>
    <s v="09"/>
    <x v="3"/>
    <x v="129"/>
    <x v="129"/>
    <n v="64.38"/>
    <n v="514.4"/>
    <n v="578.78"/>
    <n v="1.03"/>
    <n v="1"/>
    <n v="0"/>
    <n v="515"/>
    <n v="325.18"/>
    <n v="60.17"/>
    <n v="65.73"/>
    <n v="29.77"/>
    <n v="3.49"/>
    <n v="188208"/>
    <n v="0"/>
    <n v="188208"/>
    <n v="30988"/>
    <n v="33851"/>
    <n v="335"/>
    <n v="17230"/>
    <n v="2020"/>
    <n v="272632"/>
    <n v="32827"/>
    <n v="239805"/>
    <n v="134854"/>
    <n v="104951"/>
  </r>
  <r>
    <s v="09"/>
    <x v="3"/>
    <x v="130"/>
    <x v="130"/>
    <n v="425.59"/>
    <n v="5423.6"/>
    <n v="5849.19"/>
    <n v="10.37"/>
    <n v="142"/>
    <n v="0"/>
    <n v="5566"/>
    <n v="325.18"/>
    <n v="60.17"/>
    <n v="65.73"/>
    <n v="29.77"/>
    <n v="3.49"/>
    <n v="1902040"/>
    <n v="0"/>
    <n v="1902040"/>
    <n v="334906"/>
    <n v="365853"/>
    <n v="3372"/>
    <n v="174130"/>
    <n v="20414"/>
    <n v="2800715"/>
    <n v="156265"/>
    <n v="2644450"/>
    <n v="1538326"/>
    <n v="1106124"/>
  </r>
  <r>
    <s v="09"/>
    <x v="3"/>
    <x v="131"/>
    <x v="131"/>
    <n v="130.31"/>
    <n v="1235.0999999999999"/>
    <n v="1365.41"/>
    <n v="2.42"/>
    <n v="3"/>
    <n v="0"/>
    <n v="1238"/>
    <n v="325.18"/>
    <n v="60.17"/>
    <n v="65.73"/>
    <n v="29.77"/>
    <n v="3.49"/>
    <n v="444004"/>
    <n v="9838"/>
    <n v="453842"/>
    <n v="74490"/>
    <n v="81374"/>
    <n v="787"/>
    <n v="40648"/>
    <n v="4765"/>
    <n v="655906"/>
    <n v="56397"/>
    <n v="599509"/>
    <n v="339180"/>
    <n v="260329"/>
  </r>
  <r>
    <s v="09"/>
    <x v="3"/>
    <x v="132"/>
    <x v="132"/>
    <n v="80.62"/>
    <n v="843.3"/>
    <n v="923.92"/>
    <n v="1.64"/>
    <n v="0"/>
    <n v="0"/>
    <n v="843"/>
    <n v="325.18"/>
    <n v="60.17"/>
    <n v="65.73"/>
    <n v="29.77"/>
    <n v="3.49"/>
    <n v="300440"/>
    <n v="0"/>
    <n v="300440"/>
    <n v="50723"/>
    <n v="55410"/>
    <n v="533"/>
    <n v="27505"/>
    <n v="3224"/>
    <n v="437835"/>
    <n v="43792"/>
    <n v="394043"/>
    <n v="223880"/>
    <n v="170163"/>
  </r>
  <r>
    <s v="10"/>
    <x v="4"/>
    <x v="133"/>
    <x v="133"/>
    <n v="31.87"/>
    <n v="518.79999999999995"/>
    <n v="550.66999999999996"/>
    <n v="0.66"/>
    <n v="23"/>
    <n v="0"/>
    <n v="542"/>
    <n v="323.26"/>
    <n v="60.35"/>
    <n v="66.33"/>
    <n v="30.52"/>
    <n v="3.55"/>
    <n v="178010"/>
    <n v="0"/>
    <n v="178010"/>
    <n v="32710"/>
    <n v="35951"/>
    <n v="213"/>
    <n v="16806"/>
    <n v="1955"/>
    <n v="265645"/>
    <n v="30215"/>
    <n v="235430"/>
    <n v="129686"/>
    <n v="105744"/>
  </r>
  <r>
    <s v="10"/>
    <x v="4"/>
    <x v="134"/>
    <x v="134"/>
    <n v="142.08000000000001"/>
    <n v="1268.4000000000001"/>
    <n v="1410.48"/>
    <n v="1.69"/>
    <n v="47"/>
    <n v="0"/>
    <n v="1315"/>
    <n v="323.26"/>
    <n v="60.35"/>
    <n v="66.33"/>
    <n v="30.52"/>
    <n v="3.55"/>
    <n v="455952"/>
    <n v="0"/>
    <n v="455952"/>
    <n v="79360"/>
    <n v="87224"/>
    <n v="546"/>
    <n v="43048"/>
    <n v="5007"/>
    <n v="671137"/>
    <n v="65230"/>
    <n v="605907"/>
    <n v="344341"/>
    <n v="261566"/>
  </r>
  <r>
    <s v="10"/>
    <x v="4"/>
    <x v="135"/>
    <x v="135"/>
    <n v="36.85"/>
    <n v="471.3"/>
    <n v="508.15"/>
    <n v="0.61"/>
    <n v="4"/>
    <n v="0"/>
    <n v="475"/>
    <n v="323.26"/>
    <n v="60.35"/>
    <n v="66.33"/>
    <n v="30.52"/>
    <n v="3.55"/>
    <n v="164265"/>
    <n v="10063"/>
    <n v="174328"/>
    <n v="28666"/>
    <n v="31507"/>
    <n v="197"/>
    <n v="15509"/>
    <n v="1804"/>
    <n v="252011"/>
    <n v="35942"/>
    <n v="216069"/>
    <n v="111614"/>
    <n v="104455"/>
  </r>
  <r>
    <s v="10"/>
    <x v="4"/>
    <x v="136"/>
    <x v="136"/>
    <n v="148.94999999999999"/>
    <n v="1510.7"/>
    <n v="1659.65"/>
    <n v="1.98"/>
    <n v="122"/>
    <n v="0"/>
    <n v="1633"/>
    <n v="323.26"/>
    <n v="60.35"/>
    <n v="66.33"/>
    <n v="30.52"/>
    <n v="3.55"/>
    <n v="536498"/>
    <n v="0"/>
    <n v="536498"/>
    <n v="98552"/>
    <n v="108317"/>
    <n v="640"/>
    <n v="50653"/>
    <n v="5892"/>
    <n v="800552"/>
    <n v="85478"/>
    <n v="715074"/>
    <n v="396444"/>
    <n v="318630"/>
  </r>
  <r>
    <s v="10"/>
    <x v="4"/>
    <x v="137"/>
    <x v="137"/>
    <n v="2428.79"/>
    <n v="16086.2"/>
    <n v="18514.990000000002"/>
    <n v="22.12"/>
    <n v="1877"/>
    <n v="7.9"/>
    <n v="17955"/>
    <n v="323.26"/>
    <n v="60.35"/>
    <n v="66.33"/>
    <n v="30.52"/>
    <n v="3.55"/>
    <n v="5985156"/>
    <n v="0"/>
    <n v="5985156"/>
    <n v="1083584"/>
    <n v="1190955"/>
    <n v="7151"/>
    <n v="565077"/>
    <n v="65728"/>
    <n v="8897651"/>
    <n v="912045"/>
    <n v="7985606"/>
    <n v="4464260"/>
    <n v="3521346"/>
  </r>
  <r>
    <s v="10"/>
    <x v="4"/>
    <x v="138"/>
    <x v="138"/>
    <n v="118.64"/>
    <n v="1254.9000000000001"/>
    <n v="1373.54"/>
    <n v="1.64"/>
    <n v="7"/>
    <n v="0"/>
    <n v="1262"/>
    <n v="323.26"/>
    <n v="60.35"/>
    <n v="66.33"/>
    <n v="30.52"/>
    <n v="3.55"/>
    <n v="444011"/>
    <n v="17782"/>
    <n v="461793"/>
    <n v="76162"/>
    <n v="83708"/>
    <n v="530"/>
    <n v="42175"/>
    <n v="4912"/>
    <n v="669280"/>
    <n v="51506"/>
    <n v="617774"/>
    <n v="347627"/>
    <n v="270147"/>
  </r>
  <r>
    <s v="10"/>
    <x v="4"/>
    <x v="139"/>
    <x v="139"/>
    <n v="39.909999999999997"/>
    <n v="464.6"/>
    <n v="504.51"/>
    <n v="0.6"/>
    <n v="3"/>
    <n v="0"/>
    <n v="468"/>
    <n v="323.26"/>
    <n v="60.35"/>
    <n v="66.33"/>
    <n v="30.52"/>
    <n v="3.55"/>
    <n v="163088"/>
    <n v="1820"/>
    <n v="164908"/>
    <n v="28244"/>
    <n v="31042"/>
    <n v="194"/>
    <n v="15536"/>
    <n v="1809"/>
    <n v="241733"/>
    <n v="25584"/>
    <n v="216149"/>
    <n v="121069"/>
    <n v="95080"/>
  </r>
  <r>
    <s v="10"/>
    <x v="4"/>
    <x v="140"/>
    <x v="140"/>
    <n v="332.44"/>
    <n v="2797.8"/>
    <n v="3130.24"/>
    <n v="3.74"/>
    <n v="19"/>
    <n v="0"/>
    <n v="2817"/>
    <n v="323.26"/>
    <n v="60.35"/>
    <n v="66.33"/>
    <n v="30.52"/>
    <n v="3.55"/>
    <n v="1011881"/>
    <n v="0"/>
    <n v="1011881"/>
    <n v="170006"/>
    <n v="186852"/>
    <n v="1209"/>
    <n v="95535"/>
    <n v="11112"/>
    <n v="1476595"/>
    <n v="65643"/>
    <n v="1410952"/>
    <n v="843303"/>
    <n v="567649"/>
  </r>
  <r>
    <s v="10"/>
    <x v="4"/>
    <x v="141"/>
    <x v="141"/>
    <n v="637.80999999999995"/>
    <n v="5130.8999999999996"/>
    <n v="5768.71"/>
    <n v="6.89"/>
    <n v="131"/>
    <n v="0"/>
    <n v="5262"/>
    <n v="323.26"/>
    <n v="60.35"/>
    <n v="66.33"/>
    <n v="30.52"/>
    <n v="3.55"/>
    <n v="1864793"/>
    <n v="0"/>
    <n v="1864793"/>
    <n v="317562"/>
    <n v="349028"/>
    <n v="2227"/>
    <n v="176061"/>
    <n v="20479"/>
    <n v="2730150"/>
    <n v="162545"/>
    <n v="2567605"/>
    <n v="1512549"/>
    <n v="1055056"/>
  </r>
  <r>
    <s v="10"/>
    <x v="4"/>
    <x v="142"/>
    <x v="142"/>
    <n v="57.28"/>
    <n v="481.4"/>
    <n v="538.67999999999995"/>
    <n v="0.64"/>
    <n v="6"/>
    <n v="0"/>
    <n v="487"/>
    <n v="323.26"/>
    <n v="60.35"/>
    <n v="66.33"/>
    <n v="30.52"/>
    <n v="3.55"/>
    <n v="174134"/>
    <n v="1052"/>
    <n v="175186"/>
    <n v="29390"/>
    <n v="32303"/>
    <n v="207"/>
    <n v="16441"/>
    <n v="1912"/>
    <n v="255439"/>
    <n v="33362"/>
    <n v="222077"/>
    <n v="123057"/>
    <n v="99020"/>
  </r>
  <r>
    <s v="10"/>
    <x v="4"/>
    <x v="143"/>
    <x v="143"/>
    <n v="41.3"/>
    <n v="326.39999999999998"/>
    <n v="367.7"/>
    <n v="0.44"/>
    <n v="8"/>
    <n v="0"/>
    <n v="334"/>
    <n v="323.26"/>
    <n v="60.35"/>
    <n v="66.33"/>
    <n v="30.52"/>
    <n v="3.55"/>
    <n v="118863"/>
    <n v="1833"/>
    <n v="120696"/>
    <n v="20157"/>
    <n v="22154"/>
    <n v="142"/>
    <n v="11222"/>
    <n v="1305"/>
    <n v="175676"/>
    <n v="21105"/>
    <n v="154571"/>
    <n v="85666"/>
    <n v="68905"/>
  </r>
  <r>
    <s v="10"/>
    <x v="4"/>
    <x v="144"/>
    <x v="144"/>
    <n v="64.28"/>
    <n v="588.1"/>
    <n v="652.38"/>
    <n v="0.78"/>
    <n v="10"/>
    <n v="0"/>
    <n v="598"/>
    <n v="323.26"/>
    <n v="60.35"/>
    <n v="66.33"/>
    <n v="30.52"/>
    <n v="3.55"/>
    <n v="210888"/>
    <n v="2940"/>
    <n v="213828"/>
    <n v="36089"/>
    <n v="39665"/>
    <n v="252"/>
    <n v="20042"/>
    <n v="2334"/>
    <n v="312210"/>
    <n v="31103"/>
    <n v="281107"/>
    <n v="158482"/>
    <n v="122625"/>
  </r>
  <r>
    <s v="10"/>
    <x v="4"/>
    <x v="145"/>
    <x v="145"/>
    <n v="1512.75"/>
    <n v="14395"/>
    <n v="15907.75"/>
    <n v="19"/>
    <n v="1157"/>
    <n v="0.8"/>
    <n v="15551"/>
    <n v="323.26"/>
    <n v="60.35"/>
    <n v="66.33"/>
    <n v="30.52"/>
    <n v="3.55"/>
    <n v="5142339"/>
    <n v="0"/>
    <n v="5142339"/>
    <n v="938503"/>
    <n v="1031498"/>
    <n v="6142"/>
    <n v="485505"/>
    <n v="56473"/>
    <n v="7660460"/>
    <n v="541573"/>
    <n v="7118887"/>
    <n v="4077653"/>
    <n v="3041234"/>
  </r>
  <r>
    <s v="10"/>
    <x v="4"/>
    <x v="146"/>
    <x v="146"/>
    <n v="62.52"/>
    <n v="496"/>
    <n v="558.52"/>
    <n v="0.67"/>
    <n v="1"/>
    <n v="0"/>
    <n v="497"/>
    <n v="323.26"/>
    <n v="60.35"/>
    <n v="66.33"/>
    <n v="30.52"/>
    <n v="3.55"/>
    <n v="180547"/>
    <n v="7061"/>
    <n v="187608"/>
    <n v="29994"/>
    <n v="32966"/>
    <n v="217"/>
    <n v="17046"/>
    <n v="1983"/>
    <n v="269814"/>
    <n v="32906"/>
    <n v="236908"/>
    <n v="129276"/>
    <n v="107632"/>
  </r>
  <r>
    <s v="10"/>
    <x v="4"/>
    <x v="147"/>
    <x v="147"/>
    <n v="799.76"/>
    <n v="7579.3"/>
    <n v="8379.06"/>
    <n v="10.01"/>
    <n v="434"/>
    <n v="0"/>
    <n v="8013"/>
    <n v="323.26"/>
    <n v="60.35"/>
    <n v="66.33"/>
    <n v="30.52"/>
    <n v="3.55"/>
    <n v="2708615"/>
    <n v="0"/>
    <n v="2708615"/>
    <n v="483585"/>
    <n v="531502"/>
    <n v="3236"/>
    <n v="255729"/>
    <n v="29746"/>
    <n v="4012413"/>
    <n v="255558"/>
    <n v="3756855"/>
    <n v="2177519"/>
    <n v="1579336"/>
  </r>
  <r>
    <s v="10"/>
    <x v="4"/>
    <x v="148"/>
    <x v="148"/>
    <n v="53.77"/>
    <n v="658.7"/>
    <n v="712.47"/>
    <n v="0.85"/>
    <n v="5"/>
    <n v="0"/>
    <n v="664"/>
    <n v="323.26"/>
    <n v="60.35"/>
    <n v="66.33"/>
    <n v="30.52"/>
    <n v="3.55"/>
    <n v="230313"/>
    <n v="0"/>
    <n v="230313"/>
    <n v="40072"/>
    <n v="44043"/>
    <n v="275"/>
    <n v="21745"/>
    <n v="2529"/>
    <n v="338977"/>
    <n v="30079"/>
    <n v="308898"/>
    <n v="176805"/>
    <n v="132093"/>
  </r>
  <r>
    <s v="10"/>
    <x v="4"/>
    <x v="149"/>
    <x v="149"/>
    <n v="33.29"/>
    <n v="335.4"/>
    <n v="368.69"/>
    <n v="0.44"/>
    <n v="3"/>
    <n v="0"/>
    <n v="338"/>
    <n v="323.26"/>
    <n v="60.35"/>
    <n v="66.33"/>
    <n v="30.52"/>
    <n v="3.55"/>
    <n v="119183"/>
    <n v="9415"/>
    <n v="128598"/>
    <n v="20398"/>
    <n v="22420"/>
    <n v="142"/>
    <n v="11891"/>
    <n v="1385"/>
    <n v="184834"/>
    <n v="19944"/>
    <n v="164890"/>
    <n v="87829"/>
    <n v="77061"/>
  </r>
  <r>
    <s v="10"/>
    <x v="4"/>
    <x v="150"/>
    <x v="150"/>
    <n v="263.99"/>
    <n v="1867.4"/>
    <n v="2131.39"/>
    <n v="2.5499999999999998"/>
    <n v="85"/>
    <n v="0.1"/>
    <n v="1952"/>
    <n v="323.26"/>
    <n v="60.35"/>
    <n v="66.33"/>
    <n v="30.52"/>
    <n v="3.55"/>
    <n v="688993"/>
    <n v="0"/>
    <n v="688993"/>
    <n v="117803"/>
    <n v="129476"/>
    <n v="824"/>
    <n v="65050"/>
    <n v="7566"/>
    <n v="1009712"/>
    <n v="87697"/>
    <n v="922015"/>
    <n v="531208"/>
    <n v="390807"/>
  </r>
  <r>
    <s v="10"/>
    <x v="4"/>
    <x v="151"/>
    <x v="151"/>
    <n v="148.56"/>
    <n v="1258.5"/>
    <n v="1407.06"/>
    <n v="1.68"/>
    <n v="36"/>
    <n v="0.4"/>
    <n v="1294"/>
    <n v="323.26"/>
    <n v="60.35"/>
    <n v="66.33"/>
    <n v="30.52"/>
    <n v="3.55"/>
    <n v="454846"/>
    <n v="0"/>
    <n v="454846"/>
    <n v="78093"/>
    <n v="85831"/>
    <n v="543"/>
    <n v="42943"/>
    <n v="4995"/>
    <n v="667251"/>
    <n v="60116"/>
    <n v="607135"/>
    <n v="348459"/>
    <n v="258676"/>
  </r>
  <r>
    <s v="10"/>
    <x v="4"/>
    <x v="152"/>
    <x v="152"/>
    <n v="83.46"/>
    <n v="514.5"/>
    <n v="597.96"/>
    <n v="0.71"/>
    <n v="5"/>
    <n v="0"/>
    <n v="520"/>
    <n v="323.26"/>
    <n v="60.35"/>
    <n v="66.33"/>
    <n v="30.52"/>
    <n v="3.55"/>
    <n v="193297"/>
    <n v="0"/>
    <n v="193297"/>
    <n v="31382"/>
    <n v="34492"/>
    <n v="230"/>
    <n v="18250"/>
    <n v="2123"/>
    <n v="279774"/>
    <n v="37450"/>
    <n v="242324"/>
    <n v="136183"/>
    <n v="106141"/>
  </r>
  <r>
    <s v="10"/>
    <x v="4"/>
    <x v="153"/>
    <x v="153"/>
    <n v="118.18"/>
    <n v="957.6"/>
    <n v="1075.78"/>
    <n v="1.28"/>
    <n v="70"/>
    <n v="1.5"/>
    <n v="1026"/>
    <n v="323.26"/>
    <n v="60.35"/>
    <n v="66.33"/>
    <n v="30.52"/>
    <n v="3.55"/>
    <n v="347757"/>
    <n v="0"/>
    <n v="347757"/>
    <n v="61919"/>
    <n v="68055"/>
    <n v="414"/>
    <n v="32833"/>
    <n v="3819"/>
    <n v="514797"/>
    <n v="51971"/>
    <n v="462826"/>
    <n v="260408"/>
    <n v="202418"/>
  </r>
  <r>
    <s v="10"/>
    <x v="4"/>
    <x v="154"/>
    <x v="154"/>
    <n v="93.6"/>
    <n v="1119.5"/>
    <n v="1213.0999999999999"/>
    <n v="1.45"/>
    <n v="24"/>
    <n v="0"/>
    <n v="1144"/>
    <n v="323.26"/>
    <n v="60.35"/>
    <n v="66.33"/>
    <n v="30.52"/>
    <n v="3.55"/>
    <n v="392147"/>
    <n v="0"/>
    <n v="392147"/>
    <n v="69040"/>
    <n v="75882"/>
    <n v="469"/>
    <n v="37024"/>
    <n v="4307"/>
    <n v="578869"/>
    <n v="50258"/>
    <n v="528611"/>
    <n v="301998"/>
    <n v="226613"/>
  </r>
  <r>
    <s v="10"/>
    <x v="4"/>
    <x v="155"/>
    <x v="155"/>
    <n v="118.83"/>
    <n v="718"/>
    <n v="836.83"/>
    <n v="1"/>
    <n v="0"/>
    <n v="0"/>
    <n v="718"/>
    <n v="323.26"/>
    <n v="60.35"/>
    <n v="66.33"/>
    <n v="30.52"/>
    <n v="3.55"/>
    <n v="270514"/>
    <n v="10510"/>
    <n v="281024"/>
    <n v="43331"/>
    <n v="47625"/>
    <n v="323"/>
    <n v="25611"/>
    <n v="2983"/>
    <n v="400897"/>
    <n v="47454"/>
    <n v="353443"/>
    <n v="195624"/>
    <n v="157819"/>
  </r>
  <r>
    <s v="10"/>
    <x v="4"/>
    <x v="156"/>
    <x v="156"/>
    <n v="42.79"/>
    <n v="548.6"/>
    <n v="591.39"/>
    <n v="0.71"/>
    <n v="5"/>
    <n v="0"/>
    <n v="554"/>
    <n v="323.26"/>
    <n v="60.35"/>
    <n v="66.33"/>
    <n v="30.52"/>
    <n v="3.55"/>
    <n v="191173"/>
    <n v="24596"/>
    <n v="215769"/>
    <n v="33434"/>
    <n v="36747"/>
    <n v="230"/>
    <n v="18731"/>
    <n v="2181"/>
    <n v="307092"/>
    <n v="36932"/>
    <n v="270160"/>
    <n v="135558"/>
    <n v="134602"/>
  </r>
  <r>
    <s v="10"/>
    <x v="4"/>
    <x v="157"/>
    <x v="157"/>
    <n v="24.63"/>
    <n v="214"/>
    <n v="238.63"/>
    <n v="0.28000000000000003"/>
    <n v="4"/>
    <n v="0"/>
    <n v="218"/>
    <n v="323.26"/>
    <n v="60.35"/>
    <n v="66.33"/>
    <n v="30.52"/>
    <n v="3.55"/>
    <n v="77140"/>
    <n v="1362"/>
    <n v="78502"/>
    <n v="13156"/>
    <n v="14460"/>
    <n v="91"/>
    <n v="7335"/>
    <n v="854"/>
    <n v="114398"/>
    <n v="15450"/>
    <n v="98948"/>
    <n v="53900"/>
    <n v="45048"/>
  </r>
  <r>
    <s v="10"/>
    <x v="4"/>
    <x v="158"/>
    <x v="158"/>
    <n v="99.54"/>
    <n v="1429.8"/>
    <n v="1529.34"/>
    <n v="1.83"/>
    <n v="21"/>
    <n v="0"/>
    <n v="1451"/>
    <n v="323.26"/>
    <n v="60.35"/>
    <n v="66.33"/>
    <n v="30.52"/>
    <n v="3.55"/>
    <n v="494374"/>
    <n v="0"/>
    <n v="494374"/>
    <n v="87568"/>
    <n v="96245"/>
    <n v="592"/>
    <n v="46675"/>
    <n v="5429"/>
    <n v="730883"/>
    <n v="54380"/>
    <n v="676503"/>
    <n v="389704"/>
    <n v="286799"/>
  </r>
  <r>
    <s v="10"/>
    <x v="4"/>
    <x v="159"/>
    <x v="159"/>
    <n v="35.86"/>
    <n v="401.1"/>
    <n v="436.96"/>
    <n v="0.52"/>
    <n v="8"/>
    <n v="0"/>
    <n v="409"/>
    <n v="323.26"/>
    <n v="60.35"/>
    <n v="66.33"/>
    <n v="30.52"/>
    <n v="3.55"/>
    <n v="141252"/>
    <n v="0"/>
    <n v="141252"/>
    <n v="24683"/>
    <n v="27129"/>
    <n v="168"/>
    <n v="13336"/>
    <n v="1551"/>
    <n v="208119"/>
    <n v="23404"/>
    <n v="184715"/>
    <n v="103478"/>
    <n v="81237"/>
  </r>
  <r>
    <s v="10"/>
    <x v="4"/>
    <x v="160"/>
    <x v="160"/>
    <n v="119.48"/>
    <n v="848.5"/>
    <n v="967.98"/>
    <n v="1.1599999999999999"/>
    <n v="5"/>
    <n v="0"/>
    <n v="854"/>
    <n v="323.26"/>
    <n v="60.35"/>
    <n v="66.33"/>
    <n v="30.52"/>
    <n v="3.55"/>
    <n v="312909"/>
    <n v="2180"/>
    <n v="315089"/>
    <n v="51539"/>
    <n v="56646"/>
    <n v="375"/>
    <n v="29684"/>
    <n v="3457"/>
    <n v="456790"/>
    <n v="41981"/>
    <n v="414809"/>
    <n v="239260"/>
    <n v="175549"/>
  </r>
  <r>
    <s v="10"/>
    <x v="4"/>
    <x v="161"/>
    <x v="161"/>
    <n v="219.24"/>
    <n v="1617.2"/>
    <n v="1836.44"/>
    <n v="2.19"/>
    <n v="10"/>
    <n v="0"/>
    <n v="1627"/>
    <n v="323.26"/>
    <n v="60.35"/>
    <n v="66.33"/>
    <n v="30.52"/>
    <n v="3.55"/>
    <n v="593648"/>
    <n v="0"/>
    <n v="593648"/>
    <n v="98189"/>
    <n v="107919"/>
    <n v="708"/>
    <n v="56048"/>
    <n v="6519"/>
    <n v="863031"/>
    <n v="94902"/>
    <n v="768129"/>
    <n v="438354"/>
    <n v="329775"/>
  </r>
  <r>
    <s v="10"/>
    <x v="4"/>
    <x v="162"/>
    <x v="162"/>
    <n v="210.69"/>
    <n v="1617.2"/>
    <n v="1827.89"/>
    <n v="2.1800000000000002"/>
    <n v="76"/>
    <n v="0.4"/>
    <n v="1693"/>
    <n v="323.26"/>
    <n v="60.35"/>
    <n v="66.33"/>
    <n v="30.52"/>
    <n v="3.55"/>
    <n v="590884"/>
    <n v="9877"/>
    <n v="600761"/>
    <n v="102173"/>
    <n v="112297"/>
    <n v="705"/>
    <n v="55787"/>
    <n v="6489"/>
    <n v="878212"/>
    <n v="86992"/>
    <n v="791220"/>
    <n v="443782"/>
    <n v="347438"/>
  </r>
  <r>
    <s v="10"/>
    <x v="4"/>
    <x v="163"/>
    <x v="163"/>
    <n v="89.12"/>
    <n v="769.4"/>
    <n v="858.52"/>
    <n v="1.03"/>
    <n v="12"/>
    <n v="0"/>
    <n v="781"/>
    <n v="323.26"/>
    <n v="60.35"/>
    <n v="66.33"/>
    <n v="30.52"/>
    <n v="3.55"/>
    <n v="277525"/>
    <n v="0"/>
    <n v="277525"/>
    <n v="47133"/>
    <n v="51804"/>
    <n v="333"/>
    <n v="26202"/>
    <n v="3048"/>
    <n v="406045"/>
    <n v="38084"/>
    <n v="367961"/>
    <n v="211211"/>
    <n v="156750"/>
  </r>
  <r>
    <s v="10"/>
    <x v="4"/>
    <x v="164"/>
    <x v="164"/>
    <n v="100.39"/>
    <n v="1133.3"/>
    <n v="1233.69"/>
    <n v="1.47"/>
    <n v="65"/>
    <n v="1.1000000000000001"/>
    <n v="1197"/>
    <n v="323.26"/>
    <n v="60.35"/>
    <n v="66.33"/>
    <n v="30.52"/>
    <n v="3.55"/>
    <n v="398803"/>
    <n v="0"/>
    <n v="398803"/>
    <n v="72239"/>
    <n v="79397"/>
    <n v="475"/>
    <n v="37652"/>
    <n v="4380"/>
    <n v="592946"/>
    <n v="55503"/>
    <n v="537443"/>
    <n v="302730"/>
    <n v="234713"/>
  </r>
  <r>
    <s v="11"/>
    <x v="5"/>
    <x v="165"/>
    <x v="165"/>
    <n v="40.6"/>
    <n v="309.89999999999998"/>
    <n v="350.5"/>
    <n v="0"/>
    <n v="0"/>
    <n v="0"/>
    <n v="310"/>
    <n v="316.16000000000003"/>
    <n v="60.23"/>
    <n v="66.150000000000006"/>
    <n v="26.75"/>
    <n v="3.36"/>
    <n v="110814"/>
    <n v="0"/>
    <n v="110814"/>
    <n v="18671"/>
    <n v="20507"/>
    <n v="0"/>
    <n v="9376"/>
    <n v="1178"/>
    <n v="160546"/>
    <n v="18105"/>
    <n v="142441"/>
    <n v="82177"/>
    <n v="60264"/>
  </r>
  <r>
    <s v="11"/>
    <x v="5"/>
    <x v="166"/>
    <x v="166"/>
    <n v="225.79"/>
    <n v="2054.8000000000002"/>
    <n v="2280.59"/>
    <n v="0"/>
    <n v="28"/>
    <n v="0"/>
    <n v="2083"/>
    <n v="316.16000000000003"/>
    <n v="60.23"/>
    <n v="66.150000000000006"/>
    <n v="26.75"/>
    <n v="3.36"/>
    <n v="721031"/>
    <n v="0"/>
    <n v="721031"/>
    <n v="125459"/>
    <n v="137790"/>
    <n v="0"/>
    <n v="61006"/>
    <n v="7663"/>
    <n v="1052949"/>
    <n v="70448"/>
    <n v="982501"/>
    <n v="582052"/>
    <n v="400449"/>
  </r>
  <r>
    <s v="11"/>
    <x v="5"/>
    <x v="167"/>
    <x v="167"/>
    <n v="546.6"/>
    <n v="4484.3999999999996"/>
    <n v="5031"/>
    <n v="0"/>
    <n v="143"/>
    <n v="0"/>
    <n v="4627"/>
    <n v="316.16000000000003"/>
    <n v="60.23"/>
    <n v="66.150000000000006"/>
    <n v="26.75"/>
    <n v="3.36"/>
    <n v="1590601"/>
    <n v="0"/>
    <n v="1590601"/>
    <n v="278684"/>
    <n v="306076"/>
    <n v="0"/>
    <n v="134579"/>
    <n v="16904"/>
    <n v="2326844"/>
    <n v="220009"/>
    <n v="2106835"/>
    <n v="1219410"/>
    <n v="887425"/>
  </r>
  <r>
    <s v="11"/>
    <x v="5"/>
    <x v="168"/>
    <x v="168"/>
    <n v="1347.95"/>
    <n v="12512.2"/>
    <n v="13860.15"/>
    <n v="0"/>
    <n v="831"/>
    <n v="2.7"/>
    <n v="13341"/>
    <n v="316.16000000000003"/>
    <n v="60.23"/>
    <n v="66.150000000000006"/>
    <n v="26.75"/>
    <n v="3.36"/>
    <n v="4382025"/>
    <n v="0"/>
    <n v="4382025"/>
    <n v="803528"/>
    <n v="882507"/>
    <n v="0"/>
    <n v="370759"/>
    <n v="46570"/>
    <n v="6485389"/>
    <n v="299964"/>
    <n v="6185425"/>
    <n v="3665563"/>
    <n v="2519862"/>
  </r>
  <r>
    <s v="11"/>
    <x v="5"/>
    <x v="169"/>
    <x v="169"/>
    <n v="82.71"/>
    <n v="523.79999999999995"/>
    <n v="606.51"/>
    <n v="0"/>
    <n v="5"/>
    <n v="0"/>
    <n v="529"/>
    <n v="316.16000000000003"/>
    <n v="60.23"/>
    <n v="66.150000000000006"/>
    <n v="26.75"/>
    <n v="3.36"/>
    <n v="191754"/>
    <n v="0"/>
    <n v="191754"/>
    <n v="31862"/>
    <n v="34993"/>
    <n v="0"/>
    <n v="16224"/>
    <n v="2038"/>
    <n v="276871"/>
    <n v="33659"/>
    <n v="243212"/>
    <n v="139870"/>
    <n v="103342"/>
  </r>
  <r>
    <s v="11"/>
    <x v="5"/>
    <x v="170"/>
    <x v="170"/>
    <n v="161.55000000000001"/>
    <n v="1700"/>
    <n v="1861.55"/>
    <n v="0"/>
    <n v="23"/>
    <n v="0"/>
    <n v="1723"/>
    <n v="316.16000000000003"/>
    <n v="60.23"/>
    <n v="66.150000000000006"/>
    <n v="26.75"/>
    <n v="3.36"/>
    <n v="588548"/>
    <n v="0"/>
    <n v="588548"/>
    <n v="103776"/>
    <n v="113976"/>
    <n v="0"/>
    <n v="49796"/>
    <n v="6255"/>
    <n v="862351"/>
    <n v="59974"/>
    <n v="802377"/>
    <n v="472634"/>
    <n v="329743"/>
  </r>
  <r>
    <s v="11"/>
    <x v="5"/>
    <x v="171"/>
    <x v="171"/>
    <n v="41.43"/>
    <n v="359.2"/>
    <n v="400.63"/>
    <n v="0"/>
    <n v="4"/>
    <n v="0"/>
    <n v="363"/>
    <n v="316.16000000000003"/>
    <n v="60.23"/>
    <n v="66.150000000000006"/>
    <n v="26.75"/>
    <n v="3.36"/>
    <n v="126663"/>
    <n v="0"/>
    <n v="126663"/>
    <n v="21863"/>
    <n v="24012"/>
    <n v="0"/>
    <n v="10717"/>
    <n v="1346"/>
    <n v="184601"/>
    <n v="16069"/>
    <n v="168532"/>
    <n v="98555"/>
    <n v="69977"/>
  </r>
  <r>
    <s v="11"/>
    <x v="5"/>
    <x v="172"/>
    <x v="172"/>
    <n v="259.36"/>
    <n v="2423.6999999999998"/>
    <n v="2683.06"/>
    <n v="0"/>
    <n v="38"/>
    <n v="0"/>
    <n v="2462"/>
    <n v="316.16000000000003"/>
    <n v="60.23"/>
    <n v="66.150000000000006"/>
    <n v="26.75"/>
    <n v="3.36"/>
    <n v="848276"/>
    <n v="0"/>
    <n v="848276"/>
    <n v="148286"/>
    <n v="162861"/>
    <n v="0"/>
    <n v="71772"/>
    <n v="9015"/>
    <n v="1240210"/>
    <n v="48369"/>
    <n v="1191841"/>
    <n v="719281"/>
    <n v="472560"/>
  </r>
  <r>
    <s v="11"/>
    <x v="5"/>
    <x v="173"/>
    <x v="173"/>
    <n v="362.92"/>
    <n v="2020.2"/>
    <n v="2383.12"/>
    <n v="0"/>
    <n v="149"/>
    <n v="3"/>
    <n v="2166"/>
    <n v="316.16000000000003"/>
    <n v="60.23"/>
    <n v="66.150000000000006"/>
    <n v="26.75"/>
    <n v="3.36"/>
    <n v="753447"/>
    <n v="0"/>
    <n v="753447"/>
    <n v="130458"/>
    <n v="143281"/>
    <n v="0"/>
    <n v="63748"/>
    <n v="8007"/>
    <n v="1098941"/>
    <n v="113626"/>
    <n v="985315"/>
    <n v="568208"/>
    <n v="417107"/>
  </r>
  <r>
    <s v="11"/>
    <x v="5"/>
    <x v="174"/>
    <x v="174"/>
    <n v="205.71"/>
    <n v="1978.2"/>
    <n v="2183.91"/>
    <n v="0"/>
    <n v="33"/>
    <n v="0"/>
    <n v="2011"/>
    <n v="316.16000000000003"/>
    <n v="60.23"/>
    <n v="66.150000000000006"/>
    <n v="26.75"/>
    <n v="3.36"/>
    <n v="690465"/>
    <n v="0"/>
    <n v="690465"/>
    <n v="121123"/>
    <n v="133028"/>
    <n v="0"/>
    <n v="58420"/>
    <n v="7338"/>
    <n v="1010374"/>
    <n v="66150"/>
    <n v="944224"/>
    <n v="558689"/>
    <n v="385535"/>
  </r>
  <r>
    <s v="11"/>
    <x v="5"/>
    <x v="175"/>
    <x v="175"/>
    <n v="276.66000000000003"/>
    <n v="1670.6"/>
    <n v="1947.26"/>
    <n v="0"/>
    <n v="905"/>
    <n v="22.3"/>
    <n v="2553"/>
    <n v="316.16000000000003"/>
    <n v="60.23"/>
    <n v="66.150000000000006"/>
    <n v="26.75"/>
    <n v="3.36"/>
    <n v="615646"/>
    <n v="0"/>
    <n v="615646"/>
    <n v="153767"/>
    <n v="168881"/>
    <n v="0"/>
    <n v="52089"/>
    <n v="6543"/>
    <n v="996926"/>
    <n v="99427"/>
    <n v="897499"/>
    <n v="457704"/>
    <n v="439795"/>
  </r>
  <r>
    <s v="11"/>
    <x v="5"/>
    <x v="176"/>
    <x v="176"/>
    <n v="95.46"/>
    <n v="726.5"/>
    <n v="821.96"/>
    <n v="0"/>
    <n v="9"/>
    <n v="0"/>
    <n v="736"/>
    <n v="316.16000000000003"/>
    <n v="60.23"/>
    <n v="66.150000000000006"/>
    <n v="26.75"/>
    <n v="3.36"/>
    <n v="259871"/>
    <n v="2181"/>
    <n v="262052"/>
    <n v="44329"/>
    <n v="48686"/>
    <n v="0"/>
    <n v="21987"/>
    <n v="2762"/>
    <n v="379816"/>
    <n v="43941"/>
    <n v="335875"/>
    <n v="191230"/>
    <n v="144645"/>
  </r>
  <r>
    <s v="11"/>
    <x v="5"/>
    <x v="177"/>
    <x v="177"/>
    <n v="65.88"/>
    <n v="466"/>
    <n v="531.88"/>
    <n v="0"/>
    <n v="9"/>
    <n v="0"/>
    <n v="475"/>
    <n v="316.16000000000003"/>
    <n v="60.23"/>
    <n v="66.150000000000006"/>
    <n v="26.75"/>
    <n v="3.36"/>
    <n v="168159"/>
    <n v="0"/>
    <n v="168159"/>
    <n v="28609"/>
    <n v="31421"/>
    <n v="0"/>
    <n v="14228"/>
    <n v="1787"/>
    <n v="244204"/>
    <n v="25749"/>
    <n v="218455"/>
    <n v="126427"/>
    <n v="92028"/>
  </r>
  <r>
    <s v="11"/>
    <x v="5"/>
    <x v="178"/>
    <x v="178"/>
    <n v="41.72"/>
    <n v="482"/>
    <n v="523.72"/>
    <n v="0"/>
    <n v="0"/>
    <n v="0"/>
    <n v="482"/>
    <n v="316.16000000000003"/>
    <n v="60.23"/>
    <n v="66.150000000000006"/>
    <n v="26.75"/>
    <n v="3.36"/>
    <n v="165579"/>
    <n v="1146"/>
    <n v="166725"/>
    <n v="29031"/>
    <n v="31884"/>
    <n v="0"/>
    <n v="14010"/>
    <n v="1760"/>
    <n v="243410"/>
    <n v="28415"/>
    <n v="214995"/>
    <n v="121427"/>
    <n v="93568"/>
  </r>
  <r>
    <s v="11"/>
    <x v="5"/>
    <x v="179"/>
    <x v="179"/>
    <n v="68.849999999999994"/>
    <n v="427"/>
    <n v="495.85"/>
    <n v="0"/>
    <n v="1"/>
    <n v="0"/>
    <n v="428"/>
    <n v="316.16000000000003"/>
    <n v="60.23"/>
    <n v="66.150000000000006"/>
    <n v="26.75"/>
    <n v="3.36"/>
    <n v="156768"/>
    <n v="0"/>
    <n v="156768"/>
    <n v="25778"/>
    <n v="28312"/>
    <n v="0"/>
    <n v="13264"/>
    <n v="1666"/>
    <n v="225788"/>
    <n v="25949"/>
    <n v="199839"/>
    <n v="115919"/>
    <n v="83920"/>
  </r>
  <r>
    <s v="11"/>
    <x v="5"/>
    <x v="180"/>
    <x v="180"/>
    <n v="352.65"/>
    <n v="3394.1"/>
    <n v="3746.75"/>
    <n v="0"/>
    <n v="79"/>
    <n v="0"/>
    <n v="3473"/>
    <n v="316.16000000000003"/>
    <n v="60.23"/>
    <n v="66.150000000000006"/>
    <n v="26.75"/>
    <n v="3.36"/>
    <n v="1184572"/>
    <n v="0"/>
    <n v="1184572"/>
    <n v="209179"/>
    <n v="229739"/>
    <n v="0"/>
    <n v="100226"/>
    <n v="12589"/>
    <n v="1736305"/>
    <n v="77104"/>
    <n v="1659201"/>
    <n v="994879"/>
    <n v="664322"/>
  </r>
  <r>
    <s v="11"/>
    <x v="5"/>
    <x v="181"/>
    <x v="181"/>
    <n v="5686.22"/>
    <n v="31023.8"/>
    <n v="36710.019999999997"/>
    <n v="0"/>
    <n v="2604"/>
    <n v="4.5"/>
    <n v="33623"/>
    <n v="316.16000000000003"/>
    <n v="60.23"/>
    <n v="66.150000000000006"/>
    <n v="26.75"/>
    <n v="3.36"/>
    <n v="11606240"/>
    <n v="15650"/>
    <n v="11621890"/>
    <n v="2025113"/>
    <n v="2224161"/>
    <n v="0"/>
    <n v="981993"/>
    <n v="123346"/>
    <n v="16976503"/>
    <n v="1626330"/>
    <n v="15350173"/>
    <n v="8876774"/>
    <n v="6473399"/>
  </r>
  <r>
    <s v="11"/>
    <x v="5"/>
    <x v="182"/>
    <x v="182"/>
    <n v="41.29"/>
    <n v="580.79999999999995"/>
    <n v="622.09"/>
    <n v="0"/>
    <n v="6"/>
    <n v="0"/>
    <n v="587"/>
    <n v="316.16000000000003"/>
    <n v="60.23"/>
    <n v="66.150000000000006"/>
    <n v="26.75"/>
    <n v="3.36"/>
    <n v="196680"/>
    <n v="0"/>
    <n v="196680"/>
    <n v="35355"/>
    <n v="38830"/>
    <n v="0"/>
    <n v="16641"/>
    <n v="2090"/>
    <n v="289596"/>
    <n v="24923"/>
    <n v="264673"/>
    <n v="153063"/>
    <n v="111610"/>
  </r>
  <r>
    <s v="11"/>
    <x v="5"/>
    <x v="183"/>
    <x v="183"/>
    <n v="52.83"/>
    <n v="407"/>
    <n v="459.83"/>
    <n v="0"/>
    <n v="0"/>
    <n v="0"/>
    <n v="407"/>
    <n v="316.16000000000003"/>
    <n v="60.23"/>
    <n v="66.150000000000006"/>
    <n v="26.75"/>
    <n v="3.36"/>
    <n v="145380"/>
    <n v="10151"/>
    <n v="155531"/>
    <n v="24514"/>
    <n v="26923"/>
    <n v="0"/>
    <n v="12300"/>
    <n v="1545"/>
    <n v="220813"/>
    <n v="31232"/>
    <n v="189581"/>
    <n v="100329"/>
    <n v="89252"/>
  </r>
  <r>
    <s v="11"/>
    <x v="5"/>
    <x v="184"/>
    <x v="184"/>
    <n v="113.66"/>
    <n v="1562.7"/>
    <n v="1676.36"/>
    <n v="0"/>
    <n v="36"/>
    <n v="0"/>
    <n v="1599"/>
    <n v="316.16000000000003"/>
    <n v="60.23"/>
    <n v="66.150000000000006"/>
    <n v="26.75"/>
    <n v="3.36"/>
    <n v="529998"/>
    <n v="0"/>
    <n v="529998"/>
    <n v="96308"/>
    <n v="105774"/>
    <n v="0"/>
    <n v="44843"/>
    <n v="5633"/>
    <n v="782556"/>
    <n v="44566"/>
    <n v="737990"/>
    <n v="435058"/>
    <n v="302932"/>
  </r>
  <r>
    <s v="11"/>
    <x v="5"/>
    <x v="185"/>
    <x v="185"/>
    <n v="29.44"/>
    <n v="279"/>
    <n v="308.44"/>
    <n v="0"/>
    <n v="15"/>
    <n v="0"/>
    <n v="294"/>
    <n v="316.16000000000003"/>
    <n v="60.23"/>
    <n v="66.150000000000006"/>
    <n v="26.75"/>
    <n v="3.36"/>
    <n v="97516"/>
    <n v="514"/>
    <n v="98030"/>
    <n v="17708"/>
    <n v="19448"/>
    <n v="0"/>
    <n v="8251"/>
    <n v="1036"/>
    <n v="144473"/>
    <n v="18455"/>
    <n v="126018"/>
    <n v="69793"/>
    <n v="56225"/>
  </r>
  <r>
    <s v="11"/>
    <x v="5"/>
    <x v="186"/>
    <x v="186"/>
    <n v="39.01"/>
    <n v="396.2"/>
    <n v="435.21"/>
    <n v="0"/>
    <n v="0"/>
    <n v="0"/>
    <n v="396"/>
    <n v="316.16000000000003"/>
    <n v="60.23"/>
    <n v="66.150000000000006"/>
    <n v="26.75"/>
    <n v="3.36"/>
    <n v="137596"/>
    <n v="12284"/>
    <n v="149880"/>
    <n v="23851"/>
    <n v="26195"/>
    <n v="0"/>
    <n v="11642"/>
    <n v="1467"/>
    <n v="213035"/>
    <n v="23124"/>
    <n v="189911"/>
    <n v="101399"/>
    <n v="88512"/>
  </r>
  <r>
    <s v="11"/>
    <x v="5"/>
    <x v="187"/>
    <x v="187"/>
    <n v="466.11"/>
    <n v="3474.5"/>
    <n v="3940.61"/>
    <n v="0"/>
    <n v="10"/>
    <n v="0"/>
    <n v="3485"/>
    <n v="316.16000000000003"/>
    <n v="60.23"/>
    <n v="66.150000000000006"/>
    <n v="26.75"/>
    <n v="3.36"/>
    <n v="1245863"/>
    <n v="0"/>
    <n v="1245863"/>
    <n v="209902"/>
    <n v="230533"/>
    <n v="0"/>
    <n v="105411"/>
    <n v="13240"/>
    <n v="1804949"/>
    <n v="152411"/>
    <n v="1652538"/>
    <n v="975036"/>
    <n v="677502"/>
  </r>
  <r>
    <s v="11"/>
    <x v="5"/>
    <x v="188"/>
    <x v="188"/>
    <n v="85.09"/>
    <n v="847.3"/>
    <n v="932.39"/>
    <n v="0"/>
    <n v="6"/>
    <n v="0"/>
    <n v="853"/>
    <n v="316.16000000000003"/>
    <n v="60.23"/>
    <n v="66.150000000000006"/>
    <n v="26.75"/>
    <n v="3.36"/>
    <n v="294784"/>
    <n v="0"/>
    <n v="294784"/>
    <n v="51376"/>
    <n v="56426"/>
    <n v="0"/>
    <n v="24941"/>
    <n v="3133"/>
    <n v="430660"/>
    <n v="36644"/>
    <n v="394016"/>
    <n v="230122"/>
    <n v="163894"/>
  </r>
  <r>
    <s v="11"/>
    <x v="5"/>
    <x v="189"/>
    <x v="189"/>
    <n v="792.89"/>
    <n v="6986.9"/>
    <n v="7779.79"/>
    <n v="0"/>
    <n v="405"/>
    <n v="0"/>
    <n v="7392"/>
    <n v="316.16000000000003"/>
    <n v="60.23"/>
    <n v="66.150000000000006"/>
    <n v="26.75"/>
    <n v="3.36"/>
    <n v="2459658"/>
    <n v="0"/>
    <n v="2459658"/>
    <n v="445220"/>
    <n v="488981"/>
    <n v="0"/>
    <n v="208109"/>
    <n v="26140"/>
    <n v="3628108"/>
    <n v="205325"/>
    <n v="3422783"/>
    <n v="2020550"/>
    <n v="1402233"/>
  </r>
  <r>
    <s v="11"/>
    <x v="5"/>
    <x v="190"/>
    <x v="190"/>
    <n v="227.92"/>
    <n v="1754.1"/>
    <n v="1982.02"/>
    <n v="0"/>
    <n v="16"/>
    <n v="0"/>
    <n v="1770"/>
    <n v="316.16000000000003"/>
    <n v="60.23"/>
    <n v="66.150000000000006"/>
    <n v="26.75"/>
    <n v="3.36"/>
    <n v="626635"/>
    <n v="0"/>
    <n v="626635"/>
    <n v="106607"/>
    <n v="117086"/>
    <n v="0"/>
    <n v="53019"/>
    <n v="6660"/>
    <n v="910007"/>
    <n v="96310"/>
    <n v="813697"/>
    <n v="470766"/>
    <n v="342931"/>
  </r>
  <r>
    <s v="11"/>
    <x v="5"/>
    <x v="191"/>
    <x v="191"/>
    <n v="52.52"/>
    <n v="450.8"/>
    <n v="503.32"/>
    <n v="0"/>
    <n v="61"/>
    <n v="0"/>
    <n v="512"/>
    <n v="316.16000000000003"/>
    <n v="60.23"/>
    <n v="66.150000000000006"/>
    <n v="26.75"/>
    <n v="3.36"/>
    <n v="159130"/>
    <n v="0"/>
    <n v="159130"/>
    <n v="30838"/>
    <n v="33869"/>
    <n v="0"/>
    <n v="13464"/>
    <n v="1691"/>
    <n v="238992"/>
    <n v="24923"/>
    <n v="214069"/>
    <n v="119082"/>
    <n v="94987"/>
  </r>
  <r>
    <s v="11"/>
    <x v="5"/>
    <x v="192"/>
    <x v="192"/>
    <n v="76.180000000000007"/>
    <n v="652.9"/>
    <n v="729.08"/>
    <n v="0"/>
    <n v="5"/>
    <n v="0"/>
    <n v="658"/>
    <n v="316.16000000000003"/>
    <n v="60.23"/>
    <n v="66.150000000000006"/>
    <n v="26.75"/>
    <n v="3.36"/>
    <n v="230506"/>
    <n v="3075"/>
    <n v="233581"/>
    <n v="39631"/>
    <n v="43527"/>
    <n v="0"/>
    <n v="19656"/>
    <n v="2478"/>
    <n v="338873"/>
    <n v="28294"/>
    <n v="310579"/>
    <n v="180484"/>
    <n v="130095"/>
  </r>
  <r>
    <s v="11"/>
    <x v="5"/>
    <x v="193"/>
    <x v="193"/>
    <n v="34.31"/>
    <n v="507"/>
    <n v="541.30999999999995"/>
    <n v="0"/>
    <n v="28"/>
    <n v="0"/>
    <n v="535"/>
    <n v="316.16000000000003"/>
    <n v="60.23"/>
    <n v="66.150000000000006"/>
    <n v="26.75"/>
    <n v="3.36"/>
    <n v="171141"/>
    <n v="2067"/>
    <n v="173208"/>
    <n v="32223"/>
    <n v="35390"/>
    <n v="0"/>
    <n v="14575"/>
    <n v="1837"/>
    <n v="257233"/>
    <n v="24760"/>
    <n v="232473"/>
    <n v="130227"/>
    <n v="102246"/>
  </r>
  <r>
    <s v="11"/>
    <x v="5"/>
    <x v="194"/>
    <x v="194"/>
    <n v="34.74"/>
    <n v="320"/>
    <n v="354.74"/>
    <n v="0"/>
    <n v="0"/>
    <n v="0"/>
    <n v="320"/>
    <n v="316.16000000000003"/>
    <n v="60.23"/>
    <n v="66.150000000000006"/>
    <n v="26.75"/>
    <n v="3.36"/>
    <n v="112155"/>
    <n v="4750"/>
    <n v="116905"/>
    <n v="19274"/>
    <n v="21168"/>
    <n v="0"/>
    <n v="9837"/>
    <n v="1240"/>
    <n v="168424"/>
    <n v="22056"/>
    <n v="146368"/>
    <n v="79834"/>
    <n v="66534"/>
  </r>
  <r>
    <s v="11"/>
    <x v="5"/>
    <x v="195"/>
    <x v="195"/>
    <n v="165.55"/>
    <n v="1404.3"/>
    <n v="1569.85"/>
    <n v="0"/>
    <n v="7"/>
    <n v="0"/>
    <n v="1411"/>
    <n v="316.16000000000003"/>
    <n v="60.23"/>
    <n v="66.150000000000006"/>
    <n v="26.75"/>
    <n v="3.36"/>
    <n v="496324"/>
    <n v="9598"/>
    <n v="505922"/>
    <n v="84985"/>
    <n v="93338"/>
    <n v="0"/>
    <n v="42573"/>
    <n v="5367"/>
    <n v="732185"/>
    <n v="74481"/>
    <n v="657704"/>
    <n v="375341"/>
    <n v="282363"/>
  </r>
  <r>
    <s v="11"/>
    <x v="5"/>
    <x v="196"/>
    <x v="196"/>
    <n v="490.42"/>
    <n v="2939.9"/>
    <n v="3430.32"/>
    <n v="0"/>
    <n v="91"/>
    <n v="0"/>
    <n v="3031"/>
    <n v="316.16000000000003"/>
    <n v="60.23"/>
    <n v="66.150000000000006"/>
    <n v="26.75"/>
    <n v="3.36"/>
    <n v="1084530"/>
    <n v="0"/>
    <n v="1084530"/>
    <n v="182557"/>
    <n v="200501"/>
    <n v="0"/>
    <n v="91761"/>
    <n v="11526"/>
    <n v="1570875"/>
    <n v="166415"/>
    <n v="1404460"/>
    <n v="815034"/>
    <n v="589426"/>
  </r>
  <r>
    <s v="11"/>
    <x v="5"/>
    <x v="197"/>
    <x v="197"/>
    <n v="138.01"/>
    <n v="1946"/>
    <n v="2084.0100000000002"/>
    <n v="0"/>
    <n v="49"/>
    <n v="0"/>
    <n v="1995"/>
    <n v="316.16000000000003"/>
    <n v="60.23"/>
    <n v="66.150000000000006"/>
    <n v="26.75"/>
    <n v="3.36"/>
    <n v="658881"/>
    <n v="0"/>
    <n v="658881"/>
    <n v="120159"/>
    <n v="131969"/>
    <n v="0"/>
    <n v="55747"/>
    <n v="7002"/>
    <n v="973758"/>
    <n v="46906"/>
    <n v="926852"/>
    <n v="549350"/>
    <n v="377502"/>
  </r>
  <r>
    <s v="11"/>
    <x v="5"/>
    <x v="198"/>
    <x v="198"/>
    <n v="390.14"/>
    <n v="3350.5"/>
    <n v="3740.64"/>
    <n v="0"/>
    <n v="78"/>
    <n v="0"/>
    <n v="3429"/>
    <n v="316.16000000000003"/>
    <n v="60.23"/>
    <n v="66.150000000000006"/>
    <n v="26.75"/>
    <n v="3.36"/>
    <n v="1182641"/>
    <n v="0"/>
    <n v="1182641"/>
    <n v="206529"/>
    <n v="226828"/>
    <n v="0"/>
    <n v="100062"/>
    <n v="12569"/>
    <n v="1728629"/>
    <n v="107803"/>
    <n v="1620826"/>
    <n v="962432"/>
    <n v="658394"/>
  </r>
  <r>
    <s v="11"/>
    <x v="5"/>
    <x v="199"/>
    <x v="199"/>
    <n v="46.65"/>
    <n v="601.9"/>
    <n v="648.54999999999995"/>
    <n v="0"/>
    <n v="14"/>
    <n v="0"/>
    <n v="616"/>
    <n v="316.16000000000003"/>
    <n v="60.23"/>
    <n v="66.150000000000006"/>
    <n v="26.75"/>
    <n v="3.36"/>
    <n v="205046"/>
    <n v="0"/>
    <n v="205046"/>
    <n v="37102"/>
    <n v="40748"/>
    <n v="0"/>
    <n v="17349"/>
    <n v="2179"/>
    <n v="302424"/>
    <n v="33736"/>
    <n v="268688"/>
    <n v="151821"/>
    <n v="116867"/>
  </r>
  <r>
    <s v="11"/>
    <x v="5"/>
    <x v="200"/>
    <x v="200"/>
    <n v="113.61"/>
    <n v="1022.9"/>
    <n v="1136.51"/>
    <n v="0"/>
    <n v="18"/>
    <n v="0"/>
    <n v="1041"/>
    <n v="316.16000000000003"/>
    <n v="60.23"/>
    <n v="66.150000000000006"/>
    <n v="26.75"/>
    <n v="3.36"/>
    <n v="359319"/>
    <n v="0"/>
    <n v="359319"/>
    <n v="62699"/>
    <n v="68862"/>
    <n v="0"/>
    <n v="30402"/>
    <n v="3819"/>
    <n v="525101"/>
    <n v="48391"/>
    <n v="476710"/>
    <n v="276777"/>
    <n v="199933"/>
  </r>
  <r>
    <s v="11"/>
    <x v="5"/>
    <x v="201"/>
    <x v="201"/>
    <n v="91.52"/>
    <n v="686.6"/>
    <n v="778.12"/>
    <n v="0"/>
    <n v="2"/>
    <n v="0"/>
    <n v="689"/>
    <n v="316.16000000000003"/>
    <n v="60.23"/>
    <n v="66.150000000000006"/>
    <n v="26.75"/>
    <n v="3.36"/>
    <n v="246010"/>
    <n v="0"/>
    <n v="246010"/>
    <n v="41498"/>
    <n v="45577"/>
    <n v="0"/>
    <n v="20815"/>
    <n v="2614"/>
    <n v="356514"/>
    <n v="35283"/>
    <n v="321231"/>
    <n v="187345"/>
    <n v="133886"/>
  </r>
  <r>
    <s v="11"/>
    <x v="5"/>
    <x v="202"/>
    <x v="202"/>
    <n v="225.16"/>
    <n v="2174.1999999999998"/>
    <n v="2399.36"/>
    <n v="0"/>
    <n v="570"/>
    <n v="2.4"/>
    <n v="2742"/>
    <n v="316.16000000000003"/>
    <n v="60.23"/>
    <n v="66.150000000000006"/>
    <n v="26.75"/>
    <n v="3.36"/>
    <n v="758582"/>
    <n v="0"/>
    <n v="758582"/>
    <n v="165151"/>
    <n v="181383"/>
    <n v="0"/>
    <n v="64183"/>
    <n v="8062"/>
    <n v="1177361"/>
    <n v="102986"/>
    <n v="1074375"/>
    <n v="583495"/>
    <n v="490880"/>
  </r>
  <r>
    <s v="11"/>
    <x v="5"/>
    <x v="203"/>
    <x v="203"/>
    <n v="253.5"/>
    <n v="1830.9"/>
    <n v="2084.4"/>
    <n v="0"/>
    <n v="78"/>
    <n v="8.6999999999999993"/>
    <n v="1900"/>
    <n v="316.16000000000003"/>
    <n v="60.23"/>
    <n v="66.150000000000006"/>
    <n v="26.75"/>
    <n v="3.36"/>
    <n v="659004"/>
    <n v="0"/>
    <n v="659004"/>
    <n v="114437"/>
    <n v="125685"/>
    <n v="0"/>
    <n v="55758"/>
    <n v="7004"/>
    <n v="961888"/>
    <n v="87429"/>
    <n v="874459"/>
    <n v="508939"/>
    <n v="365520"/>
  </r>
  <r>
    <s v="11"/>
    <x v="5"/>
    <x v="204"/>
    <x v="204"/>
    <n v="86.96"/>
    <n v="675.4"/>
    <n v="762.36"/>
    <n v="0"/>
    <n v="2"/>
    <n v="0"/>
    <n v="677"/>
    <n v="316.16000000000003"/>
    <n v="60.23"/>
    <n v="66.150000000000006"/>
    <n v="26.75"/>
    <n v="3.36"/>
    <n v="241028"/>
    <n v="0"/>
    <n v="241028"/>
    <n v="40776"/>
    <n v="44784"/>
    <n v="0"/>
    <n v="20393"/>
    <n v="2562"/>
    <n v="349543"/>
    <n v="33026"/>
    <n v="316517"/>
    <n v="185093"/>
    <n v="131424"/>
  </r>
  <r>
    <s v="11"/>
    <x v="5"/>
    <x v="205"/>
    <x v="205"/>
    <n v="86.62"/>
    <n v="986.9"/>
    <n v="1073.52"/>
    <n v="0"/>
    <n v="7"/>
    <n v="0"/>
    <n v="994"/>
    <n v="316.16000000000003"/>
    <n v="60.23"/>
    <n v="66.150000000000006"/>
    <n v="26.75"/>
    <n v="3.36"/>
    <n v="339404"/>
    <n v="0"/>
    <n v="339404"/>
    <n v="59869"/>
    <n v="65753"/>
    <n v="0"/>
    <n v="28717"/>
    <n v="3607"/>
    <n v="497350"/>
    <n v="50890"/>
    <n v="446460"/>
    <n v="256255"/>
    <n v="190205"/>
  </r>
  <r>
    <s v="11"/>
    <x v="5"/>
    <x v="206"/>
    <x v="206"/>
    <n v="146.29"/>
    <n v="1067.3"/>
    <n v="1213.5899999999999"/>
    <n v="0"/>
    <n v="40"/>
    <n v="0.2"/>
    <n v="1107"/>
    <n v="316.16000000000003"/>
    <n v="60.23"/>
    <n v="66.150000000000006"/>
    <n v="26.75"/>
    <n v="3.36"/>
    <n v="383689"/>
    <n v="2190"/>
    <n v="385879"/>
    <n v="66675"/>
    <n v="73228"/>
    <n v="0"/>
    <n v="32464"/>
    <n v="4078"/>
    <n v="562324"/>
    <n v="70214"/>
    <n v="492110"/>
    <n v="277007"/>
    <n v="215103"/>
  </r>
  <r>
    <s v="11"/>
    <x v="5"/>
    <x v="207"/>
    <x v="207"/>
    <n v="991.12"/>
    <n v="7024.1"/>
    <n v="8015.22"/>
    <n v="0"/>
    <n v="339"/>
    <n v="0"/>
    <n v="7363"/>
    <n v="316.16000000000003"/>
    <n v="60.23"/>
    <n v="66.150000000000006"/>
    <n v="26.75"/>
    <n v="3.36"/>
    <n v="2534092"/>
    <n v="0"/>
    <n v="2534092"/>
    <n v="443473"/>
    <n v="487062"/>
    <n v="0"/>
    <n v="214407"/>
    <n v="26931"/>
    <n v="3705965"/>
    <n v="225412"/>
    <n v="3480553"/>
    <n v="2067822"/>
    <n v="1412731"/>
  </r>
  <r>
    <s v="11"/>
    <x v="5"/>
    <x v="208"/>
    <x v="208"/>
    <n v="71.22"/>
    <n v="531.5"/>
    <n v="602.72"/>
    <n v="0"/>
    <n v="0"/>
    <n v="0"/>
    <n v="532"/>
    <n v="316.16000000000003"/>
    <n v="60.23"/>
    <n v="66.150000000000006"/>
    <n v="26.75"/>
    <n v="3.36"/>
    <n v="190556"/>
    <n v="0"/>
    <n v="190556"/>
    <n v="32042"/>
    <n v="35192"/>
    <n v="0"/>
    <n v="16123"/>
    <n v="2025"/>
    <n v="275938"/>
    <n v="28668"/>
    <n v="247270"/>
    <n v="143776"/>
    <n v="103494"/>
  </r>
  <r>
    <s v="11"/>
    <x v="5"/>
    <x v="209"/>
    <x v="209"/>
    <n v="69.05"/>
    <n v="317.8"/>
    <n v="386.85"/>
    <n v="0"/>
    <n v="13"/>
    <n v="0"/>
    <n v="331"/>
    <n v="316.16000000000003"/>
    <n v="60.23"/>
    <n v="66.150000000000006"/>
    <n v="26.75"/>
    <n v="3.36"/>
    <n v="122306"/>
    <n v="0"/>
    <n v="122306"/>
    <n v="19936"/>
    <n v="21896"/>
    <n v="0"/>
    <n v="10348"/>
    <n v="1300"/>
    <n v="175786"/>
    <n v="22220"/>
    <n v="153566"/>
    <n v="88462"/>
    <n v="65104"/>
  </r>
  <r>
    <s v="11"/>
    <x v="5"/>
    <x v="210"/>
    <x v="210"/>
    <n v="43.17"/>
    <n v="373.3"/>
    <n v="416.47"/>
    <n v="0"/>
    <n v="10"/>
    <n v="0"/>
    <n v="383"/>
    <n v="316.16000000000003"/>
    <n v="60.23"/>
    <n v="66.150000000000006"/>
    <n v="26.75"/>
    <n v="3.36"/>
    <n v="131671"/>
    <n v="4199"/>
    <n v="135870"/>
    <n v="23068"/>
    <n v="25335"/>
    <n v="0"/>
    <n v="11141"/>
    <n v="1399"/>
    <n v="196813"/>
    <n v="21129"/>
    <n v="175684"/>
    <n v="98027"/>
    <n v="77657"/>
  </r>
  <r>
    <s v="11"/>
    <x v="5"/>
    <x v="211"/>
    <x v="211"/>
    <n v="419.26"/>
    <n v="3424.5"/>
    <n v="3843.76"/>
    <n v="0"/>
    <n v="455"/>
    <n v="2.5"/>
    <n v="3877"/>
    <n v="316.16000000000003"/>
    <n v="60.23"/>
    <n v="66.150000000000006"/>
    <n v="26.75"/>
    <n v="3.36"/>
    <n v="1215243"/>
    <n v="0"/>
    <n v="1215243"/>
    <n v="233512"/>
    <n v="256464"/>
    <n v="0"/>
    <n v="102821"/>
    <n v="12915"/>
    <n v="1820955"/>
    <n v="151295"/>
    <n v="1669660"/>
    <n v="948444"/>
    <n v="721216"/>
  </r>
  <r>
    <s v="11"/>
    <x v="5"/>
    <x v="212"/>
    <x v="212"/>
    <n v="51.34"/>
    <n v="858.5"/>
    <n v="909.84"/>
    <n v="0"/>
    <n v="34"/>
    <n v="0"/>
    <n v="893"/>
    <n v="316.16000000000003"/>
    <n v="60.23"/>
    <n v="66.150000000000006"/>
    <n v="26.75"/>
    <n v="3.36"/>
    <n v="287655"/>
    <n v="0"/>
    <n v="287655"/>
    <n v="53785"/>
    <n v="59072"/>
    <n v="0"/>
    <n v="24338"/>
    <n v="3057"/>
    <n v="427907"/>
    <n v="25284"/>
    <n v="402623"/>
    <n v="235030"/>
    <n v="167593"/>
  </r>
  <r>
    <s v="11"/>
    <x v="5"/>
    <x v="213"/>
    <x v="213"/>
    <n v="1223.3399999999999"/>
    <n v="12615.8"/>
    <n v="13839.14"/>
    <n v="0"/>
    <n v="1188"/>
    <n v="0.7"/>
    <n v="13803"/>
    <n v="316.16000000000003"/>
    <n v="60.23"/>
    <n v="66.150000000000006"/>
    <n v="26.75"/>
    <n v="3.36"/>
    <n v="4375383"/>
    <n v="0"/>
    <n v="4375383"/>
    <n v="831355"/>
    <n v="913068"/>
    <n v="0"/>
    <n v="370197"/>
    <n v="46500"/>
    <n v="6536503"/>
    <n v="161705"/>
    <n v="6374798"/>
    <n v="3797812"/>
    <n v="2576986"/>
  </r>
  <r>
    <s v="11"/>
    <x v="5"/>
    <x v="214"/>
    <x v="214"/>
    <n v="150.34"/>
    <n v="934.7"/>
    <n v="1085.04"/>
    <n v="0"/>
    <n v="6"/>
    <n v="0"/>
    <n v="941"/>
    <n v="316.16000000000003"/>
    <n v="60.23"/>
    <n v="66.150000000000006"/>
    <n v="26.75"/>
    <n v="3.36"/>
    <n v="343046"/>
    <n v="0"/>
    <n v="343046"/>
    <n v="56676"/>
    <n v="62247"/>
    <n v="0"/>
    <n v="29025"/>
    <n v="3646"/>
    <n v="494640"/>
    <n v="47611"/>
    <n v="447029"/>
    <n v="262830"/>
    <n v="184199"/>
  </r>
  <r>
    <s v="11"/>
    <x v="5"/>
    <x v="215"/>
    <x v="215"/>
    <n v="1081.31"/>
    <n v="8774.5"/>
    <n v="9855.81"/>
    <n v="0"/>
    <n v="1209"/>
    <n v="5.4"/>
    <n v="9978"/>
    <n v="316.16000000000003"/>
    <n v="60.23"/>
    <n v="66.150000000000006"/>
    <n v="26.75"/>
    <n v="3.36"/>
    <n v="3116013"/>
    <n v="0"/>
    <n v="3116013"/>
    <n v="600975"/>
    <n v="660045"/>
    <n v="0"/>
    <n v="263643"/>
    <n v="33116"/>
    <n v="4673792"/>
    <n v="423313"/>
    <n v="4250479"/>
    <n v="2396533"/>
    <n v="1853946"/>
  </r>
  <r>
    <s v="11"/>
    <x v="5"/>
    <x v="216"/>
    <x v="216"/>
    <n v="192.3"/>
    <n v="1702.4"/>
    <n v="1894.7"/>
    <n v="0"/>
    <n v="17"/>
    <n v="0"/>
    <n v="1719"/>
    <n v="316.16000000000003"/>
    <n v="60.23"/>
    <n v="66.150000000000006"/>
    <n v="26.75"/>
    <n v="3.36"/>
    <n v="599028"/>
    <n v="0"/>
    <n v="599028"/>
    <n v="103535"/>
    <n v="113712"/>
    <n v="0"/>
    <n v="50683"/>
    <n v="6366"/>
    <n v="873324"/>
    <n v="76698"/>
    <n v="796626"/>
    <n v="465394"/>
    <n v="331232"/>
  </r>
  <r>
    <s v="11"/>
    <x v="5"/>
    <x v="217"/>
    <x v="217"/>
    <n v="99.12"/>
    <n v="1037.2"/>
    <n v="1136.32"/>
    <n v="0"/>
    <n v="34"/>
    <n v="0"/>
    <n v="1071"/>
    <n v="316.16000000000003"/>
    <n v="60.23"/>
    <n v="66.150000000000006"/>
    <n v="26.75"/>
    <n v="3.36"/>
    <n v="359259"/>
    <n v="0"/>
    <n v="359259"/>
    <n v="64506"/>
    <n v="70847"/>
    <n v="0"/>
    <n v="30397"/>
    <n v="3818"/>
    <n v="528827"/>
    <n v="33885"/>
    <n v="494942"/>
    <n v="291228"/>
    <n v="203714"/>
  </r>
  <r>
    <s v="12"/>
    <x v="6"/>
    <x v="218"/>
    <x v="218"/>
    <n v="74.09"/>
    <n v="556"/>
    <n v="630.09"/>
    <n v="1.25"/>
    <n v="11"/>
    <n v="0"/>
    <n v="567"/>
    <n v="330.8"/>
    <n v="60.64"/>
    <n v="67.930000000000007"/>
    <n v="33.31"/>
    <n v="3.97"/>
    <n v="208434"/>
    <n v="0"/>
    <n v="208434"/>
    <n v="34383"/>
    <n v="38516"/>
    <n v="414"/>
    <n v="20988"/>
    <n v="2501"/>
    <n v="305236"/>
    <n v="29426"/>
    <n v="275810"/>
    <n v="155686"/>
    <n v="120124"/>
  </r>
  <r>
    <s v="12"/>
    <x v="6"/>
    <x v="219"/>
    <x v="219"/>
    <n v="38.99"/>
    <n v="279.2"/>
    <n v="318.19"/>
    <n v="0.63"/>
    <n v="62"/>
    <n v="0"/>
    <n v="341"/>
    <n v="330.8"/>
    <n v="60.64"/>
    <n v="67.930000000000007"/>
    <n v="33.31"/>
    <n v="3.97"/>
    <n v="105257"/>
    <n v="70"/>
    <n v="105327"/>
    <n v="20678"/>
    <n v="23164"/>
    <n v="208"/>
    <n v="10599"/>
    <n v="1263"/>
    <n v="161239"/>
    <n v="21944"/>
    <n v="139295"/>
    <n v="71536"/>
    <n v="67759"/>
  </r>
  <r>
    <s v="12"/>
    <x v="6"/>
    <x v="220"/>
    <x v="220"/>
    <n v="83.08"/>
    <n v="572.20000000000005"/>
    <n v="655.28"/>
    <n v="1.3"/>
    <n v="370"/>
    <n v="3.6"/>
    <n v="939"/>
    <n v="330.8"/>
    <n v="60.64"/>
    <n v="67.930000000000007"/>
    <n v="33.31"/>
    <n v="3.97"/>
    <n v="216767"/>
    <n v="645"/>
    <n v="217412"/>
    <n v="56941"/>
    <n v="63786"/>
    <n v="430"/>
    <n v="21883"/>
    <n v="2612"/>
    <n v="363064"/>
    <n v="33671"/>
    <n v="329393"/>
    <n v="158908"/>
    <n v="170485"/>
  </r>
  <r>
    <s v="12"/>
    <x v="6"/>
    <x v="221"/>
    <x v="221"/>
    <n v="96.75"/>
    <n v="759.6"/>
    <n v="856.35"/>
    <n v="1.7"/>
    <n v="126"/>
    <n v="0"/>
    <n v="886"/>
    <n v="330.8"/>
    <n v="60.64"/>
    <n v="67.930000000000007"/>
    <n v="33.31"/>
    <n v="3.97"/>
    <n v="283281"/>
    <n v="0"/>
    <n v="283281"/>
    <n v="53727"/>
    <n v="60186"/>
    <n v="562"/>
    <n v="28525"/>
    <n v="3400"/>
    <n v="429681"/>
    <n v="38243"/>
    <n v="391438"/>
    <n v="213343"/>
    <n v="178095"/>
  </r>
  <r>
    <s v="12"/>
    <x v="6"/>
    <x v="222"/>
    <x v="222"/>
    <n v="47.33"/>
    <n v="275.8"/>
    <n v="323.13"/>
    <n v="0.64"/>
    <n v="0"/>
    <n v="0"/>
    <n v="276"/>
    <n v="330.8"/>
    <n v="60.64"/>
    <n v="67.930000000000007"/>
    <n v="33.31"/>
    <n v="3.97"/>
    <n v="106891"/>
    <n v="0"/>
    <n v="106891"/>
    <n v="16737"/>
    <n v="18749"/>
    <n v="212"/>
    <n v="10763"/>
    <n v="1283"/>
    <n v="154635"/>
    <n v="19030"/>
    <n v="135605"/>
    <n v="75901"/>
    <n v="59704"/>
  </r>
  <r>
    <s v="12"/>
    <x v="6"/>
    <x v="223"/>
    <x v="223"/>
    <n v="142.65"/>
    <n v="1037.0999999999999"/>
    <n v="1179.75"/>
    <n v="2.34"/>
    <n v="16"/>
    <n v="0"/>
    <n v="1053"/>
    <n v="330.8"/>
    <n v="60.64"/>
    <n v="67.930000000000007"/>
    <n v="33.31"/>
    <n v="3.97"/>
    <n v="390261"/>
    <n v="0"/>
    <n v="390261"/>
    <n v="63854"/>
    <n v="71530"/>
    <n v="774"/>
    <n v="39297"/>
    <n v="4684"/>
    <n v="570400"/>
    <n v="57983"/>
    <n v="512417"/>
    <n v="288613"/>
    <n v="223804"/>
  </r>
  <r>
    <s v="12"/>
    <x v="6"/>
    <x v="224"/>
    <x v="224"/>
    <n v="293.08"/>
    <n v="2044.8"/>
    <n v="2337.88"/>
    <n v="4.63"/>
    <n v="150"/>
    <n v="0"/>
    <n v="2195"/>
    <n v="330.8"/>
    <n v="60.64"/>
    <n v="67.930000000000007"/>
    <n v="33.31"/>
    <n v="3.97"/>
    <n v="773371"/>
    <n v="0"/>
    <n v="773371"/>
    <n v="133105"/>
    <n v="149106"/>
    <n v="1532"/>
    <n v="77875"/>
    <n v="9281"/>
    <n v="1144270"/>
    <n v="87019"/>
    <n v="1057251"/>
    <n v="599820"/>
    <n v="457431"/>
  </r>
  <r>
    <s v="12"/>
    <x v="6"/>
    <x v="225"/>
    <x v="225"/>
    <n v="42.03"/>
    <n v="472"/>
    <n v="514.03"/>
    <n v="1.02"/>
    <n v="0"/>
    <n v="0"/>
    <n v="472"/>
    <n v="330.8"/>
    <n v="60.64"/>
    <n v="67.930000000000007"/>
    <n v="33.31"/>
    <n v="3.97"/>
    <n v="170041"/>
    <n v="0"/>
    <n v="170041"/>
    <n v="28622"/>
    <n v="32063"/>
    <n v="337"/>
    <n v="17122"/>
    <n v="2041"/>
    <n v="250226"/>
    <n v="27862"/>
    <n v="222364"/>
    <n v="123154"/>
    <n v="99210"/>
  </r>
  <r>
    <s v="12"/>
    <x v="6"/>
    <x v="226"/>
    <x v="226"/>
    <n v="57"/>
    <n v="455.7"/>
    <n v="512.70000000000005"/>
    <n v="1.02"/>
    <n v="11"/>
    <n v="0"/>
    <n v="467"/>
    <n v="330.8"/>
    <n v="60.64"/>
    <n v="67.930000000000007"/>
    <n v="33.31"/>
    <n v="3.97"/>
    <n v="169601"/>
    <n v="0"/>
    <n v="169601"/>
    <n v="28319"/>
    <n v="31723"/>
    <n v="337"/>
    <n v="17078"/>
    <n v="2035"/>
    <n v="249093"/>
    <n v="26086"/>
    <n v="223007"/>
    <n v="124539"/>
    <n v="98468"/>
  </r>
  <r>
    <s v="12"/>
    <x v="6"/>
    <x v="227"/>
    <x v="227"/>
    <n v="123.64"/>
    <n v="642.79999999999995"/>
    <n v="766.44"/>
    <n v="1.52"/>
    <n v="129"/>
    <n v="0"/>
    <n v="772"/>
    <n v="330.8"/>
    <n v="60.64"/>
    <n v="67.930000000000007"/>
    <n v="33.31"/>
    <n v="3.97"/>
    <n v="253538"/>
    <n v="0"/>
    <n v="253538"/>
    <n v="46814"/>
    <n v="52442"/>
    <n v="503"/>
    <n v="25530"/>
    <n v="3043"/>
    <n v="381870"/>
    <n v="44939"/>
    <n v="336931"/>
    <n v="180232"/>
    <n v="156699"/>
  </r>
  <r>
    <s v="12"/>
    <x v="6"/>
    <x v="228"/>
    <x v="228"/>
    <n v="48.03"/>
    <n v="557.20000000000005"/>
    <n v="605.23"/>
    <n v="1.2"/>
    <n v="17"/>
    <n v="0"/>
    <n v="574"/>
    <n v="330.8"/>
    <n v="60.64"/>
    <n v="67.930000000000007"/>
    <n v="33.31"/>
    <n v="3.97"/>
    <n v="200210"/>
    <n v="0"/>
    <n v="200210"/>
    <n v="34807"/>
    <n v="38992"/>
    <n v="397"/>
    <n v="20160"/>
    <n v="2403"/>
    <n v="296969"/>
    <n v="28389"/>
    <n v="268580"/>
    <n v="149420"/>
    <n v="119160"/>
  </r>
  <r>
    <s v="12"/>
    <x v="6"/>
    <x v="229"/>
    <x v="229"/>
    <n v="67.930000000000007"/>
    <n v="463.5"/>
    <n v="531.42999999999995"/>
    <n v="1.05"/>
    <n v="5"/>
    <n v="0"/>
    <n v="469"/>
    <n v="330.8"/>
    <n v="60.64"/>
    <n v="67.930000000000007"/>
    <n v="33.31"/>
    <n v="3.97"/>
    <n v="175797"/>
    <n v="0"/>
    <n v="175797"/>
    <n v="28440"/>
    <n v="31859"/>
    <n v="347"/>
    <n v="17702"/>
    <n v="2110"/>
    <n v="256255"/>
    <n v="23874"/>
    <n v="232381"/>
    <n v="132253"/>
    <n v="100128"/>
  </r>
  <r>
    <s v="12"/>
    <x v="6"/>
    <x v="230"/>
    <x v="230"/>
    <n v="51.32"/>
    <n v="616.1"/>
    <n v="667.42"/>
    <n v="1.32"/>
    <n v="25"/>
    <n v="0"/>
    <n v="641"/>
    <n v="330.8"/>
    <n v="60.64"/>
    <n v="67.930000000000007"/>
    <n v="33.31"/>
    <n v="3.97"/>
    <n v="220783"/>
    <n v="0"/>
    <n v="220783"/>
    <n v="38870"/>
    <n v="43543"/>
    <n v="437"/>
    <n v="22232"/>
    <n v="2650"/>
    <n v="328515"/>
    <n v="30878"/>
    <n v="297637"/>
    <n v="165201"/>
    <n v="132436"/>
  </r>
  <r>
    <s v="12"/>
    <x v="6"/>
    <x v="231"/>
    <x v="231"/>
    <n v="337.01"/>
    <n v="2235.8000000000002"/>
    <n v="2572.81"/>
    <n v="5.09"/>
    <n v="438"/>
    <n v="2.5"/>
    <n v="2671"/>
    <n v="330.8"/>
    <n v="60.64"/>
    <n v="67.930000000000007"/>
    <n v="33.31"/>
    <n v="3.97"/>
    <n v="851086"/>
    <n v="0"/>
    <n v="851086"/>
    <n v="161969"/>
    <n v="181441"/>
    <n v="1684"/>
    <n v="85700"/>
    <n v="10214"/>
    <n v="1292094"/>
    <n v="115347"/>
    <n v="1176747"/>
    <n v="640509"/>
    <n v="536238"/>
  </r>
  <r>
    <s v="12"/>
    <x v="6"/>
    <x v="232"/>
    <x v="232"/>
    <n v="81.48"/>
    <n v="611.70000000000005"/>
    <n v="693.18"/>
    <n v="1.37"/>
    <n v="28"/>
    <n v="0.1"/>
    <n v="640"/>
    <n v="330.8"/>
    <n v="60.64"/>
    <n v="67.930000000000007"/>
    <n v="33.31"/>
    <n v="3.97"/>
    <n v="229304"/>
    <n v="6073"/>
    <n v="235377"/>
    <n v="38810"/>
    <n v="43475"/>
    <n v="453"/>
    <n v="23090"/>
    <n v="2752"/>
    <n v="343957"/>
    <n v="45341"/>
    <n v="298616"/>
    <n v="158306"/>
    <n v="140310"/>
  </r>
  <r>
    <s v="12"/>
    <x v="6"/>
    <x v="233"/>
    <x v="233"/>
    <n v="45.19"/>
    <n v="452.2"/>
    <n v="497.39"/>
    <n v="0.99"/>
    <n v="10"/>
    <n v="0"/>
    <n v="462"/>
    <n v="330.8"/>
    <n v="60.64"/>
    <n v="67.930000000000007"/>
    <n v="33.31"/>
    <n v="3.97"/>
    <n v="164537"/>
    <n v="0"/>
    <n v="164537"/>
    <n v="28016"/>
    <n v="31384"/>
    <n v="327"/>
    <n v="16568"/>
    <n v="1975"/>
    <n v="242807"/>
    <n v="30020"/>
    <n v="212787"/>
    <n v="116108"/>
    <n v="96679"/>
  </r>
  <r>
    <s v="12"/>
    <x v="6"/>
    <x v="234"/>
    <x v="234"/>
    <n v="196.05"/>
    <n v="1534.8"/>
    <n v="1730.85"/>
    <n v="3.43"/>
    <n v="549"/>
    <n v="11.6"/>
    <n v="2072"/>
    <n v="330.8"/>
    <n v="60.64"/>
    <n v="67.930000000000007"/>
    <n v="33.31"/>
    <n v="3.97"/>
    <n v="572565"/>
    <n v="0"/>
    <n v="572565"/>
    <n v="125646"/>
    <n v="140751"/>
    <n v="1135"/>
    <n v="57655"/>
    <n v="6871"/>
    <n v="904623"/>
    <n v="78206"/>
    <n v="826417"/>
    <n v="430296"/>
    <n v="396121"/>
  </r>
  <r>
    <s v="12"/>
    <x v="6"/>
    <x v="235"/>
    <x v="235"/>
    <n v="111.68"/>
    <n v="924.9"/>
    <n v="1036.58"/>
    <n v="2.0499999999999998"/>
    <n v="14"/>
    <n v="0"/>
    <n v="939"/>
    <n v="330.8"/>
    <n v="60.64"/>
    <n v="67.930000000000007"/>
    <n v="33.31"/>
    <n v="3.97"/>
    <n v="342901"/>
    <n v="6483"/>
    <n v="349384"/>
    <n v="56941"/>
    <n v="63786"/>
    <n v="678"/>
    <n v="35166"/>
    <n v="4198"/>
    <n v="510153"/>
    <n v="62222"/>
    <n v="447931"/>
    <n v="243031"/>
    <n v="204900"/>
  </r>
  <r>
    <s v="12"/>
    <x v="6"/>
    <x v="236"/>
    <x v="236"/>
    <n v="56.54"/>
    <n v="330"/>
    <n v="386.54"/>
    <n v="0.76"/>
    <n v="182"/>
    <n v="3"/>
    <n v="509"/>
    <n v="330.8"/>
    <n v="60.64"/>
    <n v="67.930000000000007"/>
    <n v="33.31"/>
    <n v="3.97"/>
    <n v="127867"/>
    <n v="4131"/>
    <n v="131998"/>
    <n v="30866"/>
    <n v="34576"/>
    <n v="251"/>
    <n v="12876"/>
    <n v="1535"/>
    <n v="212102"/>
    <n v="25925"/>
    <n v="186177"/>
    <n v="87635"/>
    <n v="98542"/>
  </r>
  <r>
    <s v="12"/>
    <x v="6"/>
    <x v="237"/>
    <x v="237"/>
    <n v="51.64"/>
    <n v="371.2"/>
    <n v="422.84"/>
    <n v="0.84"/>
    <n v="0"/>
    <n v="0"/>
    <n v="371"/>
    <n v="330.8"/>
    <n v="60.64"/>
    <n v="67.930000000000007"/>
    <n v="33.31"/>
    <n v="3.97"/>
    <n v="139875"/>
    <n v="9415"/>
    <n v="149290"/>
    <n v="22497"/>
    <n v="25202"/>
    <n v="278"/>
    <n v="15026"/>
    <n v="1794"/>
    <n v="214087"/>
    <n v="26670"/>
    <n v="187417"/>
    <n v="98612"/>
    <n v="88805"/>
  </r>
  <r>
    <s v="12"/>
    <x v="6"/>
    <x v="238"/>
    <x v="238"/>
    <n v="93.15"/>
    <n v="853.9"/>
    <n v="947.05"/>
    <n v="1.87"/>
    <n v="460"/>
    <n v="0.9"/>
    <n v="1313"/>
    <n v="330.8"/>
    <n v="60.64"/>
    <n v="67.930000000000007"/>
    <n v="33.31"/>
    <n v="3.97"/>
    <n v="313284"/>
    <n v="0"/>
    <n v="313284"/>
    <n v="79620"/>
    <n v="89192"/>
    <n v="619"/>
    <n v="31546"/>
    <n v="3760"/>
    <n v="518021"/>
    <n v="32477"/>
    <n v="485544"/>
    <n v="245753"/>
    <n v="239791"/>
  </r>
  <r>
    <s v="12"/>
    <x v="6"/>
    <x v="239"/>
    <x v="239"/>
    <n v="37.840000000000003"/>
    <n v="226"/>
    <n v="263.83999999999997"/>
    <n v="0.52"/>
    <n v="6"/>
    <n v="0"/>
    <n v="232"/>
    <n v="330.8"/>
    <n v="60.64"/>
    <n v="67.930000000000007"/>
    <n v="33.31"/>
    <n v="3.97"/>
    <n v="87278"/>
    <n v="17681"/>
    <n v="104959"/>
    <n v="14068"/>
    <n v="15760"/>
    <n v="172"/>
    <n v="9446"/>
    <n v="1128"/>
    <n v="145533"/>
    <n v="15105"/>
    <n v="130428"/>
    <n v="63145"/>
    <n v="67283"/>
  </r>
  <r>
    <s v="12"/>
    <x v="6"/>
    <x v="240"/>
    <x v="240"/>
    <n v="209.96"/>
    <n v="1407.7"/>
    <n v="1617.66"/>
    <n v="3.2"/>
    <n v="30"/>
    <n v="0"/>
    <n v="1438"/>
    <n v="330.8"/>
    <n v="60.64"/>
    <n v="67.930000000000007"/>
    <n v="33.31"/>
    <n v="3.97"/>
    <n v="535122"/>
    <n v="0"/>
    <n v="535122"/>
    <n v="87200"/>
    <n v="97683"/>
    <n v="1059"/>
    <n v="53884"/>
    <n v="6422"/>
    <n v="781370"/>
    <n v="62893"/>
    <n v="718477"/>
    <n v="412353"/>
    <n v="306124"/>
  </r>
  <r>
    <s v="12"/>
    <x v="6"/>
    <x v="241"/>
    <x v="241"/>
    <n v="147.02000000000001"/>
    <n v="1116.4000000000001"/>
    <n v="1263.42"/>
    <n v="2.5"/>
    <n v="175"/>
    <n v="2.9"/>
    <n v="1289"/>
    <n v="330.8"/>
    <n v="60.64"/>
    <n v="67.930000000000007"/>
    <n v="33.31"/>
    <n v="3.97"/>
    <n v="417939"/>
    <n v="0"/>
    <n v="417939"/>
    <n v="78165"/>
    <n v="87562"/>
    <n v="827"/>
    <n v="42085"/>
    <n v="5016"/>
    <n v="631594"/>
    <n v="58273"/>
    <n v="573321"/>
    <n v="312904"/>
    <n v="260417"/>
  </r>
  <r>
    <s v="12"/>
    <x v="6"/>
    <x v="242"/>
    <x v="242"/>
    <n v="71.52"/>
    <n v="710"/>
    <n v="781.52"/>
    <n v="1.55"/>
    <n v="16"/>
    <n v="0"/>
    <n v="726"/>
    <n v="330.8"/>
    <n v="60.64"/>
    <n v="67.930000000000007"/>
    <n v="33.31"/>
    <n v="3.97"/>
    <n v="258527"/>
    <n v="0"/>
    <n v="258527"/>
    <n v="44025"/>
    <n v="49317"/>
    <n v="513"/>
    <n v="26032"/>
    <n v="3103"/>
    <n v="381517"/>
    <n v="47074"/>
    <n v="334443"/>
    <n v="182527"/>
    <n v="151916"/>
  </r>
  <r>
    <s v="12"/>
    <x v="6"/>
    <x v="243"/>
    <x v="243"/>
    <n v="179.91"/>
    <n v="1478.5"/>
    <n v="1658.41"/>
    <n v="3.28"/>
    <n v="724"/>
    <n v="0"/>
    <n v="2203"/>
    <n v="330.8"/>
    <n v="60.64"/>
    <n v="67.930000000000007"/>
    <n v="33.31"/>
    <n v="3.97"/>
    <n v="548602"/>
    <n v="0"/>
    <n v="548602"/>
    <n v="133590"/>
    <n v="149650"/>
    <n v="1085"/>
    <n v="55242"/>
    <n v="6584"/>
    <n v="894753"/>
    <n v="54912"/>
    <n v="839841"/>
    <n v="432307"/>
    <n v="407534"/>
  </r>
  <r>
    <s v="12"/>
    <x v="6"/>
    <x v="244"/>
    <x v="244"/>
    <n v="2398.0300000000002"/>
    <n v="14868.6"/>
    <n v="17266.63"/>
    <n v="34.17"/>
    <n v="1405"/>
    <n v="11.4"/>
    <n v="16262"/>
    <n v="330.8"/>
    <n v="60.64"/>
    <n v="67.930000000000007"/>
    <n v="33.31"/>
    <n v="3.97"/>
    <n v="5711801"/>
    <n v="0"/>
    <n v="5711801"/>
    <n v="986128"/>
    <n v="1104678"/>
    <n v="11303"/>
    <n v="575151"/>
    <n v="68549"/>
    <n v="8457610"/>
    <n v="748549"/>
    <n v="7709061"/>
    <n v="4324156"/>
    <n v="3384905"/>
  </r>
  <r>
    <s v="12"/>
    <x v="6"/>
    <x v="245"/>
    <x v="245"/>
    <n v="118.4"/>
    <n v="546.9"/>
    <n v="665.3"/>
    <n v="1.32"/>
    <n v="59"/>
    <n v="1.2"/>
    <n v="605"/>
    <n v="330.8"/>
    <n v="60.64"/>
    <n v="67.930000000000007"/>
    <n v="33.31"/>
    <n v="3.97"/>
    <n v="220081"/>
    <n v="3979"/>
    <n v="224060"/>
    <n v="36687"/>
    <n v="41098"/>
    <n v="437"/>
    <n v="22552"/>
    <n v="2692"/>
    <n v="327526"/>
    <n v="42350"/>
    <n v="285176"/>
    <n v="153549"/>
    <n v="131627"/>
  </r>
  <r>
    <s v="12"/>
    <x v="6"/>
    <x v="246"/>
    <x v="246"/>
    <n v="82.47"/>
    <n v="934.4"/>
    <n v="1016.87"/>
    <n v="2.0099999999999998"/>
    <n v="133"/>
    <n v="0"/>
    <n v="1067"/>
    <n v="330.8"/>
    <n v="60.64"/>
    <n v="67.930000000000007"/>
    <n v="33.31"/>
    <n v="3.97"/>
    <n v="336381"/>
    <n v="0"/>
    <n v="336381"/>
    <n v="64703"/>
    <n v="72481"/>
    <n v="665"/>
    <n v="33872"/>
    <n v="4037"/>
    <n v="512139"/>
    <n v="43068"/>
    <n v="469071"/>
    <n v="255674"/>
    <n v="213397"/>
  </r>
  <r>
    <s v="12"/>
    <x v="6"/>
    <x v="247"/>
    <x v="247"/>
    <n v="116.49"/>
    <n v="614.79999999999995"/>
    <n v="731.29"/>
    <n v="1.45"/>
    <n v="4"/>
    <n v="0"/>
    <n v="619"/>
    <n v="330.8"/>
    <n v="60.64"/>
    <n v="67.930000000000007"/>
    <n v="33.31"/>
    <n v="3.97"/>
    <n v="241911"/>
    <n v="0"/>
    <n v="241911"/>
    <n v="37536"/>
    <n v="42049"/>
    <n v="480"/>
    <n v="24359"/>
    <n v="2903"/>
    <n v="349238"/>
    <n v="36486"/>
    <n v="312752"/>
    <n v="178357"/>
    <n v="134395"/>
  </r>
  <r>
    <s v="12"/>
    <x v="6"/>
    <x v="248"/>
    <x v="248"/>
    <n v="136.26"/>
    <n v="809.8"/>
    <n v="946.06"/>
    <n v="1.87"/>
    <n v="92"/>
    <n v="0.1"/>
    <n v="902"/>
    <n v="330.8"/>
    <n v="60.64"/>
    <n v="67.930000000000007"/>
    <n v="33.31"/>
    <n v="3.97"/>
    <n v="312957"/>
    <n v="2476"/>
    <n v="315433"/>
    <n v="54697"/>
    <n v="61273"/>
    <n v="619"/>
    <n v="31513"/>
    <n v="3756"/>
    <n v="467291"/>
    <n v="40904"/>
    <n v="426387"/>
    <n v="237035"/>
    <n v="189352"/>
  </r>
  <r>
    <s v="12"/>
    <x v="6"/>
    <x v="249"/>
    <x v="249"/>
    <n v="69.849999999999994"/>
    <n v="521.5"/>
    <n v="591.35"/>
    <n v="1.17"/>
    <n v="9"/>
    <n v="0"/>
    <n v="531"/>
    <n v="330.8"/>
    <n v="60.64"/>
    <n v="67.930000000000007"/>
    <n v="33.31"/>
    <n v="3.97"/>
    <n v="195619"/>
    <n v="4175"/>
    <n v="199794"/>
    <n v="32200"/>
    <n v="36071"/>
    <n v="387"/>
    <n v="20109"/>
    <n v="2401"/>
    <n v="290962"/>
    <n v="34388"/>
    <n v="256574"/>
    <n v="139807"/>
    <n v="116767"/>
  </r>
  <r>
    <s v="12"/>
    <x v="6"/>
    <x v="250"/>
    <x v="250"/>
    <n v="25.82"/>
    <n v="193"/>
    <n v="218.82"/>
    <n v="0.43"/>
    <n v="0"/>
    <n v="0"/>
    <n v="193"/>
    <n v="330.8"/>
    <n v="60.64"/>
    <n v="67.930000000000007"/>
    <n v="33.31"/>
    <n v="3.97"/>
    <n v="72386"/>
    <n v="546"/>
    <n v="72932"/>
    <n v="11704"/>
    <n v="13110"/>
    <n v="142"/>
    <n v="7289"/>
    <n v="869"/>
    <n v="106046"/>
    <n v="11884"/>
    <n v="94162"/>
    <n v="52402"/>
    <n v="41760"/>
  </r>
  <r>
    <s v="12"/>
    <x v="6"/>
    <x v="251"/>
    <x v="251"/>
    <n v="81.59"/>
    <n v="525.6"/>
    <n v="607.19000000000005"/>
    <n v="1.2"/>
    <n v="9"/>
    <n v="0"/>
    <n v="535"/>
    <n v="330.8"/>
    <n v="60.64"/>
    <n v="67.930000000000007"/>
    <n v="33.31"/>
    <n v="3.97"/>
    <n v="200858"/>
    <n v="3463"/>
    <n v="204321"/>
    <n v="32442"/>
    <n v="36343"/>
    <n v="397"/>
    <n v="20225"/>
    <n v="2411"/>
    <n v="296139"/>
    <n v="29945"/>
    <n v="266194"/>
    <n v="148439"/>
    <n v="117755"/>
  </r>
  <r>
    <s v="13"/>
    <x v="7"/>
    <x v="252"/>
    <x v="252"/>
    <n v="103.14"/>
    <n v="765.3"/>
    <n v="868.44"/>
    <n v="1.89"/>
    <n v="6"/>
    <n v="0"/>
    <n v="771"/>
    <n v="324.22000000000003"/>
    <n v="60.36"/>
    <n v="66.73"/>
    <n v="33.29"/>
    <n v="3.58"/>
    <n v="281566"/>
    <n v="0"/>
    <n v="281566"/>
    <n v="46538"/>
    <n v="51449"/>
    <n v="613"/>
    <n v="28910"/>
    <n v="3109"/>
    <n v="412185"/>
    <n v="45348"/>
    <n v="366837"/>
    <n v="209475"/>
    <n v="157362"/>
  </r>
  <r>
    <s v="13"/>
    <x v="7"/>
    <x v="253"/>
    <x v="253"/>
    <n v="241.29"/>
    <n v="1375.2"/>
    <n v="1616.49"/>
    <n v="3.52"/>
    <n v="0"/>
    <n v="0"/>
    <n v="1375"/>
    <n v="324.22000000000003"/>
    <n v="60.36"/>
    <n v="66.73"/>
    <n v="33.29"/>
    <n v="3.58"/>
    <n v="524098"/>
    <n v="0"/>
    <n v="524098"/>
    <n v="82995"/>
    <n v="91754"/>
    <n v="1141"/>
    <n v="53813"/>
    <n v="5787"/>
    <n v="759588"/>
    <n v="74584"/>
    <n v="685004"/>
    <n v="399739"/>
    <n v="285265"/>
  </r>
  <r>
    <s v="13"/>
    <x v="7"/>
    <x v="254"/>
    <x v="254"/>
    <n v="56.62"/>
    <n v="486.7"/>
    <n v="543.32000000000005"/>
    <n v="1.18"/>
    <n v="6"/>
    <n v="0"/>
    <n v="493"/>
    <n v="324.22000000000003"/>
    <n v="60.36"/>
    <n v="66.73"/>
    <n v="33.29"/>
    <n v="3.58"/>
    <n v="176155"/>
    <n v="0"/>
    <n v="176155"/>
    <n v="29757"/>
    <n v="32898"/>
    <n v="383"/>
    <n v="18087"/>
    <n v="1945"/>
    <n v="259225"/>
    <n v="31784"/>
    <n v="227441"/>
    <n v="127640"/>
    <n v="99801"/>
  </r>
  <r>
    <s v="13"/>
    <x v="7"/>
    <x v="255"/>
    <x v="255"/>
    <n v="44.72"/>
    <n v="396.7"/>
    <n v="441.42"/>
    <n v="0.96"/>
    <n v="5"/>
    <n v="0"/>
    <n v="402"/>
    <n v="324.22000000000003"/>
    <n v="60.36"/>
    <n v="66.73"/>
    <n v="33.29"/>
    <n v="3.58"/>
    <n v="143117"/>
    <n v="214"/>
    <n v="143331"/>
    <n v="24265"/>
    <n v="26825"/>
    <n v="311"/>
    <n v="14695"/>
    <n v="1580"/>
    <n v="211007"/>
    <n v="27281"/>
    <n v="183726"/>
    <n v="102243"/>
    <n v="81483"/>
  </r>
  <r>
    <s v="13"/>
    <x v="7"/>
    <x v="256"/>
    <x v="256"/>
    <n v="45.8"/>
    <n v="466.3"/>
    <n v="512.1"/>
    <n v="1.1200000000000001"/>
    <n v="0"/>
    <n v="0"/>
    <n v="466"/>
    <n v="324.22000000000003"/>
    <n v="60.36"/>
    <n v="66.73"/>
    <n v="33.29"/>
    <n v="3.58"/>
    <n v="166033"/>
    <n v="5622"/>
    <n v="171655"/>
    <n v="28128"/>
    <n v="31096"/>
    <n v="363"/>
    <n v="17623"/>
    <n v="1894"/>
    <n v="250759"/>
    <n v="27766"/>
    <n v="222993"/>
    <n v="123135"/>
    <n v="99858"/>
  </r>
  <r>
    <s v="13"/>
    <x v="7"/>
    <x v="257"/>
    <x v="257"/>
    <n v="102.4"/>
    <n v="643.79999999999995"/>
    <n v="746.2"/>
    <n v="1.62"/>
    <n v="0"/>
    <n v="0"/>
    <n v="644"/>
    <n v="324.22000000000003"/>
    <n v="60.36"/>
    <n v="66.73"/>
    <n v="33.29"/>
    <n v="3.58"/>
    <n v="241933"/>
    <n v="0"/>
    <n v="241933"/>
    <n v="38872"/>
    <n v="42974"/>
    <n v="525"/>
    <n v="24841"/>
    <n v="2671"/>
    <n v="351816"/>
    <n v="38216"/>
    <n v="313600"/>
    <n v="180738"/>
    <n v="132862"/>
  </r>
  <r>
    <s v="13"/>
    <x v="7"/>
    <x v="258"/>
    <x v="258"/>
    <n v="126.79"/>
    <n v="968.2"/>
    <n v="1094.99"/>
    <n v="2.38"/>
    <n v="61"/>
    <n v="0.9"/>
    <n v="1028"/>
    <n v="324.22000000000003"/>
    <n v="60.36"/>
    <n v="66.73"/>
    <n v="33.29"/>
    <n v="3.58"/>
    <n v="355018"/>
    <n v="0"/>
    <n v="355018"/>
    <n v="62050"/>
    <n v="68598"/>
    <n v="772"/>
    <n v="36452"/>
    <n v="3920"/>
    <n v="526810"/>
    <n v="54102"/>
    <n v="472708"/>
    <n v="267197"/>
    <n v="205511"/>
  </r>
  <r>
    <s v="13"/>
    <x v="7"/>
    <x v="259"/>
    <x v="259"/>
    <n v="185.62"/>
    <n v="1407.5"/>
    <n v="1593.12"/>
    <n v="3.47"/>
    <n v="4"/>
    <n v="0"/>
    <n v="1412"/>
    <n v="324.22000000000003"/>
    <n v="60.36"/>
    <n v="66.73"/>
    <n v="33.29"/>
    <n v="3.58"/>
    <n v="516521"/>
    <n v="0"/>
    <n v="516521"/>
    <n v="85228"/>
    <n v="94223"/>
    <n v="1125"/>
    <n v="53035"/>
    <n v="5703"/>
    <n v="755835"/>
    <n v="72226"/>
    <n v="683609"/>
    <n v="395239"/>
    <n v="288370"/>
  </r>
  <r>
    <s v="13"/>
    <x v="7"/>
    <x v="260"/>
    <x v="260"/>
    <n v="48.84"/>
    <n v="412.4"/>
    <n v="461.24"/>
    <n v="1.01"/>
    <n v="1"/>
    <n v="0"/>
    <n v="413"/>
    <n v="324.22000000000003"/>
    <n v="60.36"/>
    <n v="66.73"/>
    <n v="33.29"/>
    <n v="3.58"/>
    <n v="149543"/>
    <n v="2007"/>
    <n v="151550"/>
    <n v="24929"/>
    <n v="27559"/>
    <n v="327"/>
    <n v="15355"/>
    <n v="1651"/>
    <n v="221371"/>
    <n v="30584"/>
    <n v="190787"/>
    <n v="104758"/>
    <n v="86029"/>
  </r>
  <r>
    <s v="13"/>
    <x v="7"/>
    <x v="261"/>
    <x v="261"/>
    <n v="2095.9299999999998"/>
    <n v="8688.1"/>
    <n v="10784.03"/>
    <n v="23.48"/>
    <n v="395"/>
    <n v="0.5"/>
    <n v="9083"/>
    <n v="324.22000000000003"/>
    <n v="60.36"/>
    <n v="66.73"/>
    <n v="33.29"/>
    <n v="3.58"/>
    <n v="3496398"/>
    <n v="0"/>
    <n v="3496398"/>
    <n v="548250"/>
    <n v="606109"/>
    <n v="7613"/>
    <n v="359000"/>
    <n v="38607"/>
    <n v="5055977"/>
    <n v="489257"/>
    <n v="4566720"/>
    <n v="2675073"/>
    <n v="1891647"/>
  </r>
  <r>
    <s v="13"/>
    <x v="7"/>
    <x v="262"/>
    <x v="262"/>
    <n v="189.78"/>
    <n v="1402"/>
    <n v="1591.78"/>
    <n v="3.47"/>
    <n v="110"/>
    <n v="0.5"/>
    <n v="1512"/>
    <n v="324.22000000000003"/>
    <n v="60.36"/>
    <n v="66.73"/>
    <n v="33.29"/>
    <n v="3.58"/>
    <n v="516087"/>
    <n v="9526"/>
    <n v="525613"/>
    <n v="91264"/>
    <n v="100896"/>
    <n v="1125"/>
    <n v="53970"/>
    <n v="5799"/>
    <n v="778667"/>
    <n v="79654"/>
    <n v="699013"/>
    <n v="388499"/>
    <n v="310514"/>
  </r>
  <r>
    <s v="13"/>
    <x v="7"/>
    <x v="263"/>
    <x v="263"/>
    <n v="14.06"/>
    <n v="109"/>
    <n v="123.06"/>
    <n v="0.27"/>
    <n v="0"/>
    <n v="0"/>
    <n v="109"/>
    <n v="324.22000000000003"/>
    <n v="60.36"/>
    <n v="66.73"/>
    <n v="33.29"/>
    <n v="3.58"/>
    <n v="39899"/>
    <n v="0"/>
    <n v="39899"/>
    <n v="6579"/>
    <n v="7274"/>
    <n v="88"/>
    <n v="4097"/>
    <n v="441"/>
    <n v="58378"/>
    <n v="6902"/>
    <n v="51476"/>
    <n v="29208"/>
    <n v="22268"/>
  </r>
  <r>
    <s v="13"/>
    <x v="7"/>
    <x v="264"/>
    <x v="264"/>
    <n v="84.88"/>
    <n v="527.1"/>
    <n v="611.98"/>
    <n v="1.33"/>
    <n v="0"/>
    <n v="0"/>
    <n v="527"/>
    <n v="324.22000000000003"/>
    <n v="60.36"/>
    <n v="66.73"/>
    <n v="33.29"/>
    <n v="3.58"/>
    <n v="198416"/>
    <n v="5019"/>
    <n v="203435"/>
    <n v="31810"/>
    <n v="35167"/>
    <n v="431"/>
    <n v="20889"/>
    <n v="2245"/>
    <n v="293977"/>
    <n v="33618"/>
    <n v="260359"/>
    <n v="146523"/>
    <n v="113836"/>
  </r>
  <r>
    <s v="13"/>
    <x v="7"/>
    <x v="265"/>
    <x v="265"/>
    <n v="63.15"/>
    <n v="482"/>
    <n v="545.15"/>
    <n v="1.19"/>
    <n v="3"/>
    <n v="0"/>
    <n v="485"/>
    <n v="324.22000000000003"/>
    <n v="60.36"/>
    <n v="66.73"/>
    <n v="33.29"/>
    <n v="3.58"/>
    <n v="176749"/>
    <n v="852"/>
    <n v="177601"/>
    <n v="29275"/>
    <n v="32364"/>
    <n v="386"/>
    <n v="18236"/>
    <n v="1959"/>
    <n v="259821"/>
    <n v="27725"/>
    <n v="232096"/>
    <n v="132333"/>
    <n v="99763"/>
  </r>
  <r>
    <s v="13"/>
    <x v="7"/>
    <x v="266"/>
    <x v="266"/>
    <n v="25.61"/>
    <n v="183.4"/>
    <n v="209.01"/>
    <n v="0.46"/>
    <n v="3"/>
    <n v="0"/>
    <n v="186"/>
    <n v="324.22000000000003"/>
    <n v="60.36"/>
    <n v="66.73"/>
    <n v="33.29"/>
    <n v="3.58"/>
    <n v="67765"/>
    <n v="5380"/>
    <n v="73145"/>
    <n v="11227"/>
    <n v="12412"/>
    <n v="149"/>
    <n v="7038"/>
    <n v="756"/>
    <n v="104727"/>
    <n v="12756"/>
    <n v="91971"/>
    <n v="48662"/>
    <n v="43309"/>
  </r>
  <r>
    <s v="13"/>
    <x v="7"/>
    <x v="267"/>
    <x v="267"/>
    <n v="71.400000000000006"/>
    <n v="436"/>
    <n v="507.4"/>
    <n v="1.1000000000000001"/>
    <n v="0"/>
    <n v="0"/>
    <n v="436"/>
    <n v="324.22000000000003"/>
    <n v="60.36"/>
    <n v="66.73"/>
    <n v="33.29"/>
    <n v="3.58"/>
    <n v="164509"/>
    <n v="0"/>
    <n v="164509"/>
    <n v="26317"/>
    <n v="29094"/>
    <n v="357"/>
    <n v="16891"/>
    <n v="1816"/>
    <n v="238984"/>
    <n v="22814"/>
    <n v="216170"/>
    <n v="126069"/>
    <n v="90101"/>
  </r>
  <r>
    <s v="13"/>
    <x v="7"/>
    <x v="268"/>
    <x v="268"/>
    <n v="212.94"/>
    <n v="1933.5"/>
    <n v="2146.44"/>
    <n v="4.67"/>
    <n v="12"/>
    <n v="0"/>
    <n v="1946"/>
    <n v="324.22000000000003"/>
    <n v="60.36"/>
    <n v="66.73"/>
    <n v="33.29"/>
    <n v="3.58"/>
    <n v="695919"/>
    <n v="0"/>
    <n v="695919"/>
    <n v="117461"/>
    <n v="129857"/>
    <n v="1514"/>
    <n v="71455"/>
    <n v="7684"/>
    <n v="1023890"/>
    <n v="96802"/>
    <n v="927088"/>
    <n v="533021"/>
    <n v="394067"/>
  </r>
  <r>
    <s v="13"/>
    <x v="7"/>
    <x v="269"/>
    <x v="269"/>
    <n v="89.9"/>
    <n v="456.7"/>
    <n v="546.6"/>
    <n v="1.19"/>
    <n v="0"/>
    <n v="0"/>
    <n v="457"/>
    <n v="324.22000000000003"/>
    <n v="60.36"/>
    <n v="66.73"/>
    <n v="33.29"/>
    <n v="3.58"/>
    <n v="177219"/>
    <n v="4928"/>
    <n v="182147"/>
    <n v="27585"/>
    <n v="30496"/>
    <n v="386"/>
    <n v="18196"/>
    <n v="1957"/>
    <n v="260767"/>
    <n v="33048"/>
    <n v="227719"/>
    <n v="127339"/>
    <n v="100380"/>
  </r>
  <r>
    <s v="13"/>
    <x v="7"/>
    <x v="270"/>
    <x v="270"/>
    <n v="34.6"/>
    <n v="227"/>
    <n v="261.60000000000002"/>
    <n v="0.56999999999999995"/>
    <n v="0"/>
    <n v="0"/>
    <n v="227"/>
    <n v="324.22000000000003"/>
    <n v="60.36"/>
    <n v="66.73"/>
    <n v="33.29"/>
    <n v="3.58"/>
    <n v="84816"/>
    <n v="0"/>
    <n v="84816"/>
    <n v="13702"/>
    <n v="15148"/>
    <n v="185"/>
    <n v="8709"/>
    <n v="937"/>
    <n v="123497"/>
    <n v="15898"/>
    <n v="107599"/>
    <n v="60864"/>
    <n v="46735"/>
  </r>
  <r>
    <s v="13"/>
    <x v="7"/>
    <x v="271"/>
    <x v="271"/>
    <n v="165.7"/>
    <n v="1351.6"/>
    <n v="1517.3"/>
    <n v="3.3"/>
    <n v="71"/>
    <n v="0.8"/>
    <n v="1422"/>
    <n v="324.22000000000003"/>
    <n v="60.36"/>
    <n v="66.73"/>
    <n v="33.29"/>
    <n v="3.58"/>
    <n v="491939"/>
    <n v="0"/>
    <n v="491939"/>
    <n v="85832"/>
    <n v="94890"/>
    <n v="1070"/>
    <n v="50511"/>
    <n v="5432"/>
    <n v="729674"/>
    <n v="80993"/>
    <n v="648681"/>
    <n v="364224"/>
    <n v="284457"/>
  </r>
  <r>
    <s v="13"/>
    <x v="7"/>
    <x v="272"/>
    <x v="272"/>
    <n v="87.04"/>
    <n v="682"/>
    <n v="769.04"/>
    <n v="1.67"/>
    <n v="10"/>
    <n v="0"/>
    <n v="692"/>
    <n v="324.22000000000003"/>
    <n v="60.36"/>
    <n v="66.73"/>
    <n v="33.29"/>
    <n v="3.58"/>
    <n v="249338"/>
    <n v="0"/>
    <n v="249338"/>
    <n v="41769"/>
    <n v="46177"/>
    <n v="541"/>
    <n v="25601"/>
    <n v="2753"/>
    <n v="366179"/>
    <n v="47833"/>
    <n v="318346"/>
    <n v="177823"/>
    <n v="140523"/>
  </r>
  <r>
    <s v="13"/>
    <x v="7"/>
    <x v="273"/>
    <x v="273"/>
    <n v="53.86"/>
    <n v="313.39999999999998"/>
    <n v="367.26"/>
    <n v="0.8"/>
    <n v="0"/>
    <n v="0"/>
    <n v="313"/>
    <n v="324.22000000000003"/>
    <n v="60.36"/>
    <n v="66.73"/>
    <n v="33.29"/>
    <n v="3.58"/>
    <n v="119073"/>
    <n v="0"/>
    <n v="119073"/>
    <n v="18893"/>
    <n v="20886"/>
    <n v="259"/>
    <n v="12226"/>
    <n v="1315"/>
    <n v="172652"/>
    <n v="18219"/>
    <n v="154433"/>
    <n v="89545"/>
    <n v="64888"/>
  </r>
  <r>
    <s v="13"/>
    <x v="7"/>
    <x v="274"/>
    <x v="274"/>
    <n v="42.43"/>
    <n v="450.3"/>
    <n v="492.73"/>
    <n v="1.07"/>
    <n v="1"/>
    <n v="0"/>
    <n v="451"/>
    <n v="324.22000000000003"/>
    <n v="60.36"/>
    <n v="66.73"/>
    <n v="33.29"/>
    <n v="3.58"/>
    <n v="159753"/>
    <n v="0"/>
    <n v="159753"/>
    <n v="27222"/>
    <n v="30095"/>
    <n v="347"/>
    <n v="16403"/>
    <n v="1764"/>
    <n v="235584"/>
    <n v="23604"/>
    <n v="211980"/>
    <n v="120976"/>
    <n v="91004"/>
  </r>
  <r>
    <s v="13"/>
    <x v="7"/>
    <x v="275"/>
    <x v="275"/>
    <n v="381.26"/>
    <n v="2627.1"/>
    <n v="3008.36"/>
    <n v="6.55"/>
    <n v="207"/>
    <n v="0.3"/>
    <n v="2834"/>
    <n v="324.22000000000003"/>
    <n v="60.36"/>
    <n v="66.73"/>
    <n v="33.29"/>
    <n v="3.58"/>
    <n v="975370"/>
    <n v="0"/>
    <n v="975370"/>
    <n v="171060"/>
    <n v="189113"/>
    <n v="2124"/>
    <n v="100148"/>
    <n v="10770"/>
    <n v="1448585"/>
    <n v="123595"/>
    <n v="1324990"/>
    <n v="759140"/>
    <n v="565850"/>
  </r>
  <r>
    <s v="13"/>
    <x v="7"/>
    <x v="276"/>
    <x v="276"/>
    <n v="46.93"/>
    <n v="574.70000000000005"/>
    <n v="621.63"/>
    <n v="1.35"/>
    <n v="0"/>
    <n v="0"/>
    <n v="575"/>
    <n v="324.22000000000003"/>
    <n v="60.36"/>
    <n v="66.73"/>
    <n v="33.29"/>
    <n v="3.58"/>
    <n v="201545"/>
    <n v="0"/>
    <n v="201545"/>
    <n v="34707"/>
    <n v="38370"/>
    <n v="438"/>
    <n v="20694"/>
    <n v="2225"/>
    <n v="297979"/>
    <n v="30684"/>
    <n v="267295"/>
    <n v="151718"/>
    <n v="115577"/>
  </r>
  <r>
    <s v="13"/>
    <x v="7"/>
    <x v="277"/>
    <x v="277"/>
    <n v="113.46"/>
    <n v="772.3"/>
    <n v="885.76"/>
    <n v="1.93"/>
    <n v="7"/>
    <n v="0"/>
    <n v="779"/>
    <n v="324.22000000000003"/>
    <n v="60.36"/>
    <n v="66.73"/>
    <n v="33.29"/>
    <n v="3.58"/>
    <n v="287181"/>
    <n v="965"/>
    <n v="288146"/>
    <n v="47020"/>
    <n v="51983"/>
    <n v="626"/>
    <n v="29487"/>
    <n v="3171"/>
    <n v="420433"/>
    <n v="48009"/>
    <n v="372424"/>
    <n v="211898"/>
    <n v="160526"/>
  </r>
  <r>
    <s v="13"/>
    <x v="7"/>
    <x v="278"/>
    <x v="278"/>
    <n v="49.7"/>
    <n v="219.3"/>
    <n v="269"/>
    <n v="0.59"/>
    <n v="0"/>
    <n v="0"/>
    <n v="219"/>
    <n v="324.22000000000003"/>
    <n v="60.36"/>
    <n v="66.73"/>
    <n v="33.29"/>
    <n v="3.58"/>
    <n v="87215"/>
    <n v="5653"/>
    <n v="92868"/>
    <n v="13219"/>
    <n v="14614"/>
    <n v="191"/>
    <n v="8962"/>
    <n v="963"/>
    <n v="130817"/>
    <n v="15705"/>
    <n v="115112"/>
    <n v="63235"/>
    <n v="51877"/>
  </r>
  <r>
    <s v="13"/>
    <x v="7"/>
    <x v="279"/>
    <x v="279"/>
    <n v="86.73"/>
    <n v="595.79999999999995"/>
    <n v="682.53"/>
    <n v="1.49"/>
    <n v="0"/>
    <n v="0"/>
    <n v="596"/>
    <n v="324.22000000000003"/>
    <n v="60.36"/>
    <n v="66.73"/>
    <n v="33.29"/>
    <n v="3.58"/>
    <n v="221290"/>
    <n v="0"/>
    <n v="221290"/>
    <n v="35975"/>
    <n v="39771"/>
    <n v="483"/>
    <n v="22721"/>
    <n v="2443"/>
    <n v="322683"/>
    <n v="41679"/>
    <n v="281004"/>
    <n v="158594"/>
    <n v="122410"/>
  </r>
  <r>
    <s v="13"/>
    <x v="7"/>
    <x v="280"/>
    <x v="280"/>
    <n v="25.47"/>
    <n v="224.9"/>
    <n v="250.37"/>
    <n v="0.55000000000000004"/>
    <n v="0"/>
    <n v="0"/>
    <n v="225"/>
    <n v="324.22000000000003"/>
    <n v="60.36"/>
    <n v="66.73"/>
    <n v="33.29"/>
    <n v="3.58"/>
    <n v="81175"/>
    <n v="6918"/>
    <n v="88093"/>
    <n v="13581"/>
    <n v="15014"/>
    <n v="178"/>
    <n v="8380"/>
    <n v="900"/>
    <n v="126146"/>
    <n v="15948"/>
    <n v="110198"/>
    <n v="57568"/>
    <n v="52630"/>
  </r>
  <r>
    <s v="13"/>
    <x v="7"/>
    <x v="281"/>
    <x v="281"/>
    <n v="68.75"/>
    <n v="615.5"/>
    <n v="684.25"/>
    <n v="1.49"/>
    <n v="16"/>
    <n v="0"/>
    <n v="632"/>
    <n v="324.22000000000003"/>
    <n v="60.36"/>
    <n v="66.73"/>
    <n v="33.29"/>
    <n v="3.58"/>
    <n v="221848"/>
    <n v="781"/>
    <n v="222629"/>
    <n v="38148"/>
    <n v="42173"/>
    <n v="483"/>
    <n v="22860"/>
    <n v="2456"/>
    <n v="328749"/>
    <n v="42066"/>
    <n v="286683"/>
    <n v="158799"/>
    <n v="127884"/>
  </r>
  <r>
    <s v="13"/>
    <x v="7"/>
    <x v="282"/>
    <x v="282"/>
    <n v="32.94"/>
    <n v="176.9"/>
    <n v="209.84"/>
    <n v="0.46"/>
    <n v="4"/>
    <n v="0"/>
    <n v="181"/>
    <n v="324.22000000000003"/>
    <n v="60.36"/>
    <n v="66.73"/>
    <n v="33.29"/>
    <n v="3.58"/>
    <n v="68034"/>
    <n v="4732"/>
    <n v="72766"/>
    <n v="10925"/>
    <n v="12078"/>
    <n v="149"/>
    <n v="6986"/>
    <n v="751"/>
    <n v="103655"/>
    <n v="14938"/>
    <n v="88717"/>
    <n v="46636"/>
    <n v="42081"/>
  </r>
  <r>
    <s v="13"/>
    <x v="7"/>
    <x v="283"/>
    <x v="283"/>
    <n v="143.81"/>
    <n v="1073.0999999999999"/>
    <n v="1216.9100000000001"/>
    <n v="2.65"/>
    <n v="0"/>
    <n v="0"/>
    <n v="1073"/>
    <n v="324.22000000000003"/>
    <n v="60.36"/>
    <n v="66.73"/>
    <n v="33.29"/>
    <n v="3.58"/>
    <n v="394547"/>
    <n v="0"/>
    <n v="394547"/>
    <n v="64766"/>
    <n v="71601"/>
    <n v="859"/>
    <n v="40511"/>
    <n v="4357"/>
    <n v="576641"/>
    <n v="66508"/>
    <n v="510133"/>
    <n v="290567"/>
    <n v="219566"/>
  </r>
  <r>
    <s v="13"/>
    <x v="7"/>
    <x v="284"/>
    <x v="284"/>
    <n v="96.07"/>
    <n v="694.2"/>
    <n v="790.27"/>
    <n v="1.72"/>
    <n v="4"/>
    <n v="0"/>
    <n v="698"/>
    <n v="324.22000000000003"/>
    <n v="60.36"/>
    <n v="66.73"/>
    <n v="33.29"/>
    <n v="3.58"/>
    <n v="256221"/>
    <n v="0"/>
    <n v="256221"/>
    <n v="42131"/>
    <n v="46578"/>
    <n v="558"/>
    <n v="26308"/>
    <n v="2829"/>
    <n v="374625"/>
    <n v="36017"/>
    <n v="338608"/>
    <n v="195869"/>
    <n v="142739"/>
  </r>
  <r>
    <s v="13"/>
    <x v="7"/>
    <x v="285"/>
    <x v="285"/>
    <n v="137.02000000000001"/>
    <n v="1037.0999999999999"/>
    <n v="1174.1199999999999"/>
    <n v="2.56"/>
    <n v="5"/>
    <n v="0"/>
    <n v="1042"/>
    <n v="324.22000000000003"/>
    <n v="60.36"/>
    <n v="66.73"/>
    <n v="33.29"/>
    <n v="3.58"/>
    <n v="380673"/>
    <n v="0"/>
    <n v="380673"/>
    <n v="62895"/>
    <n v="69533"/>
    <n v="830"/>
    <n v="39086"/>
    <n v="4203"/>
    <n v="557220"/>
    <n v="61588"/>
    <n v="495632"/>
    <n v="282931"/>
    <n v="212701"/>
  </r>
  <r>
    <s v="13"/>
    <x v="7"/>
    <x v="286"/>
    <x v="286"/>
    <n v="51.63"/>
    <n v="370.8"/>
    <n v="422.43"/>
    <n v="0.92"/>
    <n v="0"/>
    <n v="0"/>
    <n v="371"/>
    <n v="324.22000000000003"/>
    <n v="60.36"/>
    <n v="66.73"/>
    <n v="33.29"/>
    <n v="3.58"/>
    <n v="136960"/>
    <n v="766"/>
    <n v="137726"/>
    <n v="22394"/>
    <n v="24757"/>
    <n v="298"/>
    <n v="14063"/>
    <n v="1512"/>
    <n v="200750"/>
    <n v="23986"/>
    <n v="176764"/>
    <n v="99967"/>
    <n v="76797"/>
  </r>
  <r>
    <s v="13"/>
    <x v="7"/>
    <x v="287"/>
    <x v="287"/>
    <n v="35.94"/>
    <n v="203.1"/>
    <n v="239.04"/>
    <n v="0.52"/>
    <n v="0"/>
    <n v="0"/>
    <n v="203"/>
    <n v="324.22000000000003"/>
    <n v="60.36"/>
    <n v="66.73"/>
    <n v="33.29"/>
    <n v="3.58"/>
    <n v="77502"/>
    <n v="2274"/>
    <n v="79776"/>
    <n v="12253"/>
    <n v="13546"/>
    <n v="169"/>
    <n v="8191"/>
    <n v="880"/>
    <n v="114815"/>
    <n v="16538"/>
    <n v="98277"/>
    <n v="53860"/>
    <n v="44417"/>
  </r>
  <r>
    <s v="13"/>
    <x v="7"/>
    <x v="288"/>
    <x v="288"/>
    <n v="25.93"/>
    <n v="194.5"/>
    <n v="220.43"/>
    <n v="0.48"/>
    <n v="0"/>
    <n v="0"/>
    <n v="195"/>
    <n v="324.22000000000003"/>
    <n v="60.36"/>
    <n v="66.73"/>
    <n v="33.29"/>
    <n v="3.58"/>
    <n v="71468"/>
    <n v="0"/>
    <n v="71468"/>
    <n v="11770"/>
    <n v="13012"/>
    <n v="156"/>
    <n v="7338"/>
    <n v="789"/>
    <n v="104533"/>
    <n v="12855"/>
    <n v="91678"/>
    <n v="51825"/>
    <n v="39853"/>
  </r>
  <r>
    <s v="13"/>
    <x v="7"/>
    <x v="289"/>
    <x v="289"/>
    <n v="42.59"/>
    <n v="591.20000000000005"/>
    <n v="633.79"/>
    <n v="1.38"/>
    <n v="51"/>
    <n v="0"/>
    <n v="642"/>
    <n v="324.22000000000003"/>
    <n v="60.36"/>
    <n v="66.73"/>
    <n v="33.29"/>
    <n v="3.58"/>
    <n v="205487"/>
    <n v="284"/>
    <n v="205771"/>
    <n v="38751"/>
    <n v="42841"/>
    <n v="447"/>
    <n v="21099"/>
    <n v="2269"/>
    <n v="311178"/>
    <n v="24898"/>
    <n v="286280"/>
    <n v="161074"/>
    <n v="125206"/>
  </r>
  <r>
    <s v="13"/>
    <x v="7"/>
    <x v="290"/>
    <x v="290"/>
    <n v="72.84"/>
    <n v="667.1"/>
    <n v="739.94"/>
    <n v="1.61"/>
    <n v="3"/>
    <n v="0"/>
    <n v="670"/>
    <n v="324.22000000000003"/>
    <n v="60.36"/>
    <n v="66.73"/>
    <n v="33.29"/>
    <n v="3.58"/>
    <n v="239903"/>
    <n v="0"/>
    <n v="239903"/>
    <n v="40441"/>
    <n v="44709"/>
    <n v="522"/>
    <n v="24633"/>
    <n v="2649"/>
    <n v="352857"/>
    <n v="35936"/>
    <n v="316921"/>
    <n v="181183"/>
    <n v="135738"/>
  </r>
  <r>
    <s v="13"/>
    <x v="7"/>
    <x v="291"/>
    <x v="291"/>
    <n v="79.27"/>
    <n v="765.2"/>
    <n v="844.47"/>
    <n v="1.84"/>
    <n v="23"/>
    <n v="0"/>
    <n v="788"/>
    <n v="324.22000000000003"/>
    <n v="60.36"/>
    <n v="66.73"/>
    <n v="33.29"/>
    <n v="3.58"/>
    <n v="273794"/>
    <n v="0"/>
    <n v="273794"/>
    <n v="47564"/>
    <n v="52583"/>
    <n v="597"/>
    <n v="28112"/>
    <n v="3023"/>
    <n v="405673"/>
    <n v="33822"/>
    <n v="371851"/>
    <n v="213968"/>
    <n v="157883"/>
  </r>
  <r>
    <s v="13"/>
    <x v="7"/>
    <x v="292"/>
    <x v="292"/>
    <n v="32.15"/>
    <n v="281"/>
    <n v="313.14999999999998"/>
    <n v="0.68"/>
    <n v="0"/>
    <n v="0"/>
    <n v="281"/>
    <n v="324.22000000000003"/>
    <n v="60.36"/>
    <n v="66.73"/>
    <n v="33.29"/>
    <n v="3.58"/>
    <n v="101529"/>
    <n v="11307"/>
    <n v="112836"/>
    <n v="16961"/>
    <n v="18751"/>
    <n v="220"/>
    <n v="10425"/>
    <n v="1121"/>
    <n v="160314"/>
    <n v="21764"/>
    <n v="138550"/>
    <n v="70122"/>
    <n v="68428"/>
  </r>
  <r>
    <s v="13"/>
    <x v="7"/>
    <x v="293"/>
    <x v="293"/>
    <n v="55.99"/>
    <n v="350.6"/>
    <n v="406.59"/>
    <n v="0.89"/>
    <n v="0"/>
    <n v="0"/>
    <n v="351"/>
    <n v="324.22000000000003"/>
    <n v="60.36"/>
    <n v="66.73"/>
    <n v="33.29"/>
    <n v="3.58"/>
    <n v="131825"/>
    <n v="16135"/>
    <n v="147960"/>
    <n v="21186"/>
    <n v="23422"/>
    <n v="289"/>
    <n v="13535"/>
    <n v="1456"/>
    <n v="207848"/>
    <n v="26803"/>
    <n v="181045"/>
    <n v="92503"/>
    <n v="88542"/>
  </r>
  <r>
    <s v="13"/>
    <x v="7"/>
    <x v="294"/>
    <x v="294"/>
    <n v="50.99"/>
    <n v="478.4"/>
    <n v="529.39"/>
    <n v="1.1499999999999999"/>
    <n v="3"/>
    <n v="0"/>
    <n v="481"/>
    <n v="324.22000000000003"/>
    <n v="60.36"/>
    <n v="66.73"/>
    <n v="33.29"/>
    <n v="3.58"/>
    <n v="171639"/>
    <n v="0"/>
    <n v="171639"/>
    <n v="29033"/>
    <n v="32097"/>
    <n v="373"/>
    <n v="17623"/>
    <n v="1895"/>
    <n v="252660"/>
    <n v="27323"/>
    <n v="225337"/>
    <n v="128013"/>
    <n v="97324"/>
  </r>
  <r>
    <s v="15"/>
    <x v="8"/>
    <x v="295"/>
    <x v="295"/>
    <n v="132.18"/>
    <n v="1142.7"/>
    <n v="1274.8800000000001"/>
    <n v="3.08"/>
    <n v="2"/>
    <n v="0"/>
    <n v="1145"/>
    <n v="321.58"/>
    <n v="60.33"/>
    <n v="66.3"/>
    <n v="32.299999999999997"/>
    <n v="3.53"/>
    <n v="409976"/>
    <n v="0"/>
    <n v="409976"/>
    <n v="69078"/>
    <n v="75914"/>
    <n v="990"/>
    <n v="41179"/>
    <n v="4500"/>
    <n v="601637"/>
    <n v="62455"/>
    <n v="539182"/>
    <n v="310382"/>
    <n v="228800"/>
  </r>
  <r>
    <s v="15"/>
    <x v="8"/>
    <x v="296"/>
    <x v="296"/>
    <n v="771.99"/>
    <n v="3916.8"/>
    <n v="4688.79"/>
    <n v="11.34"/>
    <n v="330"/>
    <n v="1.9"/>
    <n v="4245"/>
    <n v="321.58"/>
    <n v="60.33"/>
    <n v="66.3"/>
    <n v="32.299999999999997"/>
    <n v="3.53"/>
    <n v="1507821"/>
    <n v="14645"/>
    <n v="1522466"/>
    <n v="256101"/>
    <n v="281444"/>
    <n v="3647"/>
    <n v="151448"/>
    <n v="16551"/>
    <n v="2231657"/>
    <n v="247559"/>
    <n v="1984098"/>
    <n v="1123673"/>
    <n v="860425"/>
  </r>
  <r>
    <s v="15"/>
    <x v="8"/>
    <x v="297"/>
    <x v="297"/>
    <n v="98.71"/>
    <n v="581.1"/>
    <n v="679.81"/>
    <n v="1.65"/>
    <n v="0"/>
    <n v="0"/>
    <n v="581"/>
    <n v="321.58"/>
    <n v="60.33"/>
    <n v="66.3"/>
    <n v="32.299999999999997"/>
    <n v="3.53"/>
    <n v="218613"/>
    <n v="0"/>
    <n v="218613"/>
    <n v="35052"/>
    <n v="38520"/>
    <n v="531"/>
    <n v="21958"/>
    <n v="2400"/>
    <n v="317074"/>
    <n v="32208"/>
    <n v="284866"/>
    <n v="166604"/>
    <n v="118262"/>
  </r>
  <r>
    <s v="15"/>
    <x v="8"/>
    <x v="298"/>
    <x v="298"/>
    <n v="163.18"/>
    <n v="1325.4"/>
    <n v="1488.58"/>
    <n v="3.6"/>
    <n v="0"/>
    <n v="0"/>
    <n v="1325"/>
    <n v="321.58"/>
    <n v="60.33"/>
    <n v="66.3"/>
    <n v="32.299999999999997"/>
    <n v="3.53"/>
    <n v="478698"/>
    <n v="0"/>
    <n v="478698"/>
    <n v="79937"/>
    <n v="87848"/>
    <n v="1158"/>
    <n v="48081"/>
    <n v="5255"/>
    <n v="700977"/>
    <n v="82094"/>
    <n v="618883"/>
    <n v="353240"/>
    <n v="265643"/>
  </r>
  <r>
    <s v="15"/>
    <x v="8"/>
    <x v="299"/>
    <x v="299"/>
    <n v="95.71"/>
    <n v="777.9"/>
    <n v="873.61"/>
    <n v="2.11"/>
    <n v="16"/>
    <n v="0"/>
    <n v="794"/>
    <n v="321.58"/>
    <n v="60.33"/>
    <n v="66.3"/>
    <n v="32.299999999999997"/>
    <n v="3.53"/>
    <n v="280936"/>
    <n v="0"/>
    <n v="280936"/>
    <n v="47902"/>
    <n v="52642"/>
    <n v="679"/>
    <n v="28218"/>
    <n v="3084"/>
    <n v="413461"/>
    <n v="49779"/>
    <n v="363682"/>
    <n v="205707"/>
    <n v="157975"/>
  </r>
  <r>
    <s v="15"/>
    <x v="8"/>
    <x v="300"/>
    <x v="300"/>
    <n v="145.28"/>
    <n v="1252.3"/>
    <n v="1397.58"/>
    <n v="3.38"/>
    <n v="4"/>
    <n v="0"/>
    <n v="1256"/>
    <n v="321.58"/>
    <n v="60.33"/>
    <n v="66.3"/>
    <n v="32.299999999999997"/>
    <n v="3.53"/>
    <n v="449434"/>
    <n v="0"/>
    <n v="449434"/>
    <n v="75774"/>
    <n v="83273"/>
    <n v="1087"/>
    <n v="45142"/>
    <n v="4933"/>
    <n v="659643"/>
    <n v="74497"/>
    <n v="585146"/>
    <n v="334224"/>
    <n v="250922"/>
  </r>
  <r>
    <s v="15"/>
    <x v="8"/>
    <x v="301"/>
    <x v="301"/>
    <n v="48.9"/>
    <n v="468.9"/>
    <n v="517.79999999999995"/>
    <n v="1.25"/>
    <n v="5"/>
    <n v="0"/>
    <n v="474"/>
    <n v="321.58"/>
    <n v="60.33"/>
    <n v="66.3"/>
    <n v="32.299999999999997"/>
    <n v="3.53"/>
    <n v="166514"/>
    <n v="6596"/>
    <n v="173110"/>
    <n v="28596"/>
    <n v="31426"/>
    <n v="402"/>
    <n v="16764"/>
    <n v="1831"/>
    <n v="252129"/>
    <n v="22623"/>
    <n v="229506"/>
    <n v="128849"/>
    <n v="100657"/>
  </r>
  <r>
    <s v="15"/>
    <x v="8"/>
    <x v="302"/>
    <x v="302"/>
    <n v="103.86"/>
    <n v="1182.5"/>
    <n v="1286.3599999999999"/>
    <n v="3.11"/>
    <n v="3"/>
    <n v="0"/>
    <n v="1186"/>
    <n v="321.58"/>
    <n v="60.33"/>
    <n v="66.3"/>
    <n v="32.299999999999997"/>
    <n v="3.53"/>
    <n v="413668"/>
    <n v="0"/>
    <n v="413668"/>
    <n v="71551"/>
    <n v="78632"/>
    <n v="1000"/>
    <n v="41549"/>
    <n v="4541"/>
    <n v="610941"/>
    <n v="60960"/>
    <n v="549981"/>
    <n v="315234"/>
    <n v="234747"/>
  </r>
  <r>
    <s v="15"/>
    <x v="8"/>
    <x v="303"/>
    <x v="303"/>
    <n v="91.77"/>
    <n v="864.7"/>
    <n v="956.47"/>
    <n v="2.35"/>
    <n v="17"/>
    <n v="0"/>
    <n v="882"/>
    <n v="321.58"/>
    <n v="60.33"/>
    <n v="66.3"/>
    <n v="32.299999999999997"/>
    <n v="3.53"/>
    <n v="307582"/>
    <n v="0"/>
    <n v="307582"/>
    <n v="53211"/>
    <n v="58477"/>
    <n v="756"/>
    <n v="30894"/>
    <n v="3376"/>
    <n v="454296"/>
    <n v="48283"/>
    <n v="406013"/>
    <n v="231445"/>
    <n v="174568"/>
  </r>
  <r>
    <s v="15"/>
    <x v="8"/>
    <x v="304"/>
    <x v="304"/>
    <n v="278.14999999999998"/>
    <n v="1607.4"/>
    <n v="1885.55"/>
    <n v="4.5599999999999996"/>
    <n v="113"/>
    <n v="0"/>
    <n v="1720"/>
    <n v="321.58"/>
    <n v="60.33"/>
    <n v="66.3"/>
    <n v="32.299999999999997"/>
    <n v="3.53"/>
    <n v="606355"/>
    <n v="0"/>
    <n v="606355"/>
    <n v="103768"/>
    <n v="114036"/>
    <n v="1466"/>
    <n v="60903"/>
    <n v="6656"/>
    <n v="893184"/>
    <n v="98537"/>
    <n v="794647"/>
    <n v="452890"/>
    <n v="341757"/>
  </r>
  <r>
    <s v="15"/>
    <x v="8"/>
    <x v="305"/>
    <x v="305"/>
    <n v="356.17"/>
    <n v="2046.4"/>
    <n v="2402.5700000000002"/>
    <n v="5.81"/>
    <n v="270"/>
    <n v="3.9"/>
    <n v="2313"/>
    <n v="321.58"/>
    <n v="60.33"/>
    <n v="66.3"/>
    <n v="32.299999999999997"/>
    <n v="3.53"/>
    <n v="772618"/>
    <n v="0"/>
    <n v="772618"/>
    <n v="139543"/>
    <n v="153352"/>
    <n v="1868"/>
    <n v="77603"/>
    <n v="8481"/>
    <n v="1153465"/>
    <n v="133370"/>
    <n v="1020095"/>
    <n v="569259"/>
    <n v="450836"/>
  </r>
  <r>
    <s v="15"/>
    <x v="8"/>
    <x v="306"/>
    <x v="306"/>
    <n v="358.88"/>
    <n v="1877.4"/>
    <n v="2236.2800000000002"/>
    <n v="5.41"/>
    <n v="74"/>
    <n v="0"/>
    <n v="1951"/>
    <n v="321.58"/>
    <n v="60.33"/>
    <n v="66.3"/>
    <n v="32.299999999999997"/>
    <n v="3.53"/>
    <n v="719143"/>
    <n v="0"/>
    <n v="719143"/>
    <n v="117704"/>
    <n v="129351"/>
    <n v="1740"/>
    <n v="72232"/>
    <n v="7894"/>
    <n v="1048064"/>
    <n v="112350"/>
    <n v="935714"/>
    <n v="541649"/>
    <n v="394065"/>
  </r>
  <r>
    <s v="15"/>
    <x v="8"/>
    <x v="307"/>
    <x v="307"/>
    <n v="51.31"/>
    <n v="346.7"/>
    <n v="398.01"/>
    <n v="0.96"/>
    <n v="3"/>
    <n v="0"/>
    <n v="350"/>
    <n v="321.58"/>
    <n v="60.33"/>
    <n v="66.3"/>
    <n v="32.299999999999997"/>
    <n v="3.53"/>
    <n v="127992"/>
    <n v="0"/>
    <n v="127992"/>
    <n v="21116"/>
    <n v="23205"/>
    <n v="309"/>
    <n v="12856"/>
    <n v="1405"/>
    <n v="186883"/>
    <n v="19198"/>
    <n v="167685"/>
    <n v="97199"/>
    <n v="70486"/>
  </r>
  <r>
    <s v="15"/>
    <x v="8"/>
    <x v="308"/>
    <x v="308"/>
    <n v="86.07"/>
    <n v="856.6"/>
    <n v="942.67"/>
    <n v="2.2799999999999998"/>
    <n v="0"/>
    <n v="0"/>
    <n v="857"/>
    <n v="321.58"/>
    <n v="60.33"/>
    <n v="66.3"/>
    <n v="32.299999999999997"/>
    <n v="3.53"/>
    <n v="303144"/>
    <n v="0"/>
    <n v="303144"/>
    <n v="51703"/>
    <n v="56819"/>
    <n v="733"/>
    <n v="30448"/>
    <n v="3328"/>
    <n v="446175"/>
    <n v="44924"/>
    <n v="401251"/>
    <n v="230759"/>
    <n v="170492"/>
  </r>
  <r>
    <s v="15"/>
    <x v="8"/>
    <x v="309"/>
    <x v="309"/>
    <n v="40.799999999999997"/>
    <n v="338.4"/>
    <n v="379.2"/>
    <n v="0.92"/>
    <n v="0"/>
    <n v="0"/>
    <n v="338"/>
    <n v="321.58"/>
    <n v="60.33"/>
    <n v="66.3"/>
    <n v="32.299999999999997"/>
    <n v="3.53"/>
    <n v="121943"/>
    <n v="493"/>
    <n v="122436"/>
    <n v="20392"/>
    <n v="22409"/>
    <n v="296"/>
    <n v="12291"/>
    <n v="1343"/>
    <n v="179167"/>
    <n v="16064"/>
    <n v="163103"/>
    <n v="94881"/>
    <n v="68222"/>
  </r>
  <r>
    <s v="15"/>
    <x v="8"/>
    <x v="310"/>
    <x v="310"/>
    <n v="23.46"/>
    <n v="179.2"/>
    <n v="202.66"/>
    <n v="0.49"/>
    <n v="0"/>
    <n v="0"/>
    <n v="179"/>
    <n v="321.58"/>
    <n v="60.33"/>
    <n v="66.3"/>
    <n v="32.299999999999997"/>
    <n v="3.53"/>
    <n v="65171"/>
    <n v="4451"/>
    <n v="69622"/>
    <n v="10799"/>
    <n v="11868"/>
    <n v="158"/>
    <n v="6546"/>
    <n v="715"/>
    <n v="99708"/>
    <n v="11664"/>
    <n v="88044"/>
    <n v="47603"/>
    <n v="40441"/>
  </r>
  <r>
    <s v="15"/>
    <x v="8"/>
    <x v="311"/>
    <x v="311"/>
    <n v="16.8"/>
    <n v="185.3"/>
    <n v="202.1"/>
    <n v="0.49"/>
    <n v="0"/>
    <n v="0"/>
    <n v="185"/>
    <n v="321.58"/>
    <n v="60.33"/>
    <n v="66.3"/>
    <n v="32.299999999999997"/>
    <n v="3.53"/>
    <n v="64991"/>
    <n v="9156"/>
    <n v="74147"/>
    <n v="11161"/>
    <n v="12266"/>
    <n v="158"/>
    <n v="7199"/>
    <n v="786"/>
    <n v="105717"/>
    <n v="13725"/>
    <n v="91992"/>
    <n v="46123"/>
    <n v="45869"/>
  </r>
  <r>
    <s v="15"/>
    <x v="8"/>
    <x v="312"/>
    <x v="312"/>
    <n v="241.81"/>
    <n v="1830"/>
    <n v="2071.81"/>
    <n v="5.01"/>
    <n v="6"/>
    <n v="0"/>
    <n v="1836"/>
    <n v="321.58"/>
    <n v="60.33"/>
    <n v="66.3"/>
    <n v="32.299999999999997"/>
    <n v="3.53"/>
    <n v="666253"/>
    <n v="0"/>
    <n v="666253"/>
    <n v="110766"/>
    <n v="121727"/>
    <n v="1611"/>
    <n v="66919"/>
    <n v="7313"/>
    <n v="974589"/>
    <n v="100646"/>
    <n v="873943"/>
    <n v="505252"/>
    <n v="368691"/>
  </r>
  <r>
    <s v="15"/>
    <x v="8"/>
    <x v="313"/>
    <x v="313"/>
    <n v="66.349999999999994"/>
    <n v="533"/>
    <n v="599.35"/>
    <n v="1.45"/>
    <n v="3"/>
    <n v="0"/>
    <n v="536"/>
    <n v="321.58"/>
    <n v="60.33"/>
    <n v="66.3"/>
    <n v="32.299999999999997"/>
    <n v="3.53"/>
    <n v="192739"/>
    <n v="0"/>
    <n v="192739"/>
    <n v="32337"/>
    <n v="35537"/>
    <n v="466"/>
    <n v="19359"/>
    <n v="2116"/>
    <n v="282554"/>
    <n v="27125"/>
    <n v="255429"/>
    <n v="148155"/>
    <n v="107274"/>
  </r>
  <r>
    <s v="15"/>
    <x v="8"/>
    <x v="314"/>
    <x v="314"/>
    <n v="73.16"/>
    <n v="498.2"/>
    <n v="571.36"/>
    <n v="1.38"/>
    <n v="28"/>
    <n v="0"/>
    <n v="526"/>
    <n v="321.58"/>
    <n v="60.33"/>
    <n v="66.3"/>
    <n v="32.299999999999997"/>
    <n v="3.53"/>
    <n v="183738"/>
    <n v="0"/>
    <n v="183738"/>
    <n v="31734"/>
    <n v="34874"/>
    <n v="444"/>
    <n v="18455"/>
    <n v="2017"/>
    <n v="271262"/>
    <n v="27372"/>
    <n v="243890"/>
    <n v="139721"/>
    <n v="104169"/>
  </r>
  <r>
    <s v="15"/>
    <x v="8"/>
    <x v="315"/>
    <x v="315"/>
    <n v="269.3"/>
    <n v="2208.6"/>
    <n v="2477.9"/>
    <n v="6"/>
    <n v="190"/>
    <n v="0.1"/>
    <n v="2399"/>
    <n v="321.58"/>
    <n v="60.33"/>
    <n v="66.3"/>
    <n v="32.299999999999997"/>
    <n v="3.53"/>
    <n v="796843"/>
    <n v="0"/>
    <n v="796843"/>
    <n v="144732"/>
    <n v="159054"/>
    <n v="1929"/>
    <n v="80036"/>
    <n v="8747"/>
    <n v="1191341"/>
    <n v="123963"/>
    <n v="1067378"/>
    <n v="600698"/>
    <n v="466680"/>
  </r>
  <r>
    <s v="15"/>
    <x v="8"/>
    <x v="316"/>
    <x v="316"/>
    <n v="606.51"/>
    <n v="4871.8"/>
    <n v="5478.31"/>
    <n v="13.26"/>
    <n v="129"/>
    <n v="0.8"/>
    <n v="5000"/>
    <n v="321.58"/>
    <n v="60.33"/>
    <n v="66.3"/>
    <n v="32.299999999999997"/>
    <n v="3.53"/>
    <n v="1761715"/>
    <n v="0"/>
    <n v="1761715"/>
    <n v="301650"/>
    <n v="331500"/>
    <n v="4264"/>
    <n v="176949"/>
    <n v="19338"/>
    <n v="2595416"/>
    <n v="236724"/>
    <n v="2358692"/>
    <n v="1365405"/>
    <n v="993287"/>
  </r>
  <r>
    <s v="15"/>
    <x v="8"/>
    <x v="317"/>
    <x v="317"/>
    <n v="63.91"/>
    <n v="575.29999999999995"/>
    <n v="639.21"/>
    <n v="1.55"/>
    <n v="0"/>
    <n v="0"/>
    <n v="575"/>
    <n v="321.58"/>
    <n v="60.33"/>
    <n v="66.3"/>
    <n v="32.299999999999997"/>
    <n v="3.53"/>
    <n v="205557"/>
    <n v="4173"/>
    <n v="209730"/>
    <n v="34690"/>
    <n v="38123"/>
    <n v="498"/>
    <n v="21055"/>
    <n v="2300"/>
    <n v="306396"/>
    <n v="35480"/>
    <n v="270916"/>
    <n v="151910"/>
    <n v="119006"/>
  </r>
  <r>
    <s v="15"/>
    <x v="8"/>
    <x v="318"/>
    <x v="318"/>
    <n v="24.31"/>
    <n v="254.6"/>
    <n v="278.91000000000003"/>
    <n v="0.67"/>
    <n v="0"/>
    <n v="0"/>
    <n v="255"/>
    <n v="321.58"/>
    <n v="60.33"/>
    <n v="66.3"/>
    <n v="32.299999999999997"/>
    <n v="3.53"/>
    <n v="89692"/>
    <n v="3207"/>
    <n v="92899"/>
    <n v="15384"/>
    <n v="16907"/>
    <n v="215"/>
    <n v="9009"/>
    <n v="985"/>
    <n v="135399"/>
    <n v="17427"/>
    <n v="117972"/>
    <n v="64139"/>
    <n v="53833"/>
  </r>
  <r>
    <s v="15"/>
    <x v="8"/>
    <x v="319"/>
    <x v="319"/>
    <n v="52.65"/>
    <n v="538.6"/>
    <n v="591.25"/>
    <n v="1.43"/>
    <n v="0"/>
    <n v="0"/>
    <n v="539"/>
    <n v="321.58"/>
    <n v="60.33"/>
    <n v="66.3"/>
    <n v="32.299999999999997"/>
    <n v="3.53"/>
    <n v="190134"/>
    <n v="0"/>
    <n v="190134"/>
    <n v="32518"/>
    <n v="35736"/>
    <n v="460"/>
    <n v="19097"/>
    <n v="2087"/>
    <n v="280032"/>
    <n v="34790"/>
    <n v="245242"/>
    <n v="138120"/>
    <n v="107122"/>
  </r>
  <r>
    <s v="15"/>
    <x v="8"/>
    <x v="320"/>
    <x v="320"/>
    <n v="34.770000000000003"/>
    <n v="268.39999999999998"/>
    <n v="303.17"/>
    <n v="0.73"/>
    <n v="7"/>
    <n v="0"/>
    <n v="275"/>
    <n v="321.58"/>
    <n v="60.33"/>
    <n v="66.3"/>
    <n v="32.299999999999997"/>
    <n v="3.53"/>
    <n v="97493"/>
    <n v="1034"/>
    <n v="98527"/>
    <n v="16591"/>
    <n v="18233"/>
    <n v="235"/>
    <n v="9792"/>
    <n v="1070"/>
    <n v="144448"/>
    <n v="18302"/>
    <n v="126146"/>
    <n v="70358"/>
    <n v="55788"/>
  </r>
  <r>
    <s v="15"/>
    <x v="8"/>
    <x v="321"/>
    <x v="321"/>
    <n v="135.59"/>
    <n v="963.1"/>
    <n v="1098.69"/>
    <n v="2.66"/>
    <n v="0"/>
    <n v="0"/>
    <n v="963"/>
    <n v="321.58"/>
    <n v="60.33"/>
    <n v="66.3"/>
    <n v="32.299999999999997"/>
    <n v="3.53"/>
    <n v="353317"/>
    <n v="0"/>
    <n v="353317"/>
    <n v="58098"/>
    <n v="63847"/>
    <n v="855"/>
    <n v="35488"/>
    <n v="3878"/>
    <n v="515483"/>
    <n v="65372"/>
    <n v="450111"/>
    <n v="255940"/>
    <n v="194171"/>
  </r>
  <r>
    <s v="15"/>
    <x v="8"/>
    <x v="322"/>
    <x v="322"/>
    <n v="72.540000000000006"/>
    <n v="477"/>
    <n v="549.54"/>
    <n v="1.33"/>
    <n v="0"/>
    <n v="0"/>
    <n v="477"/>
    <n v="321.58"/>
    <n v="60.33"/>
    <n v="66.3"/>
    <n v="32.299999999999997"/>
    <n v="3.53"/>
    <n v="176721"/>
    <n v="0"/>
    <n v="176721"/>
    <n v="28777"/>
    <n v="31625"/>
    <n v="428"/>
    <n v="17750"/>
    <n v="1940"/>
    <n v="257241"/>
    <n v="28485"/>
    <n v="228756"/>
    <n v="132228"/>
    <n v="96528"/>
  </r>
  <r>
    <s v="15"/>
    <x v="8"/>
    <x v="323"/>
    <x v="323"/>
    <n v="66.67"/>
    <n v="544.1"/>
    <n v="610.77"/>
    <n v="1.48"/>
    <n v="1"/>
    <n v="0"/>
    <n v="545"/>
    <n v="321.58"/>
    <n v="60.33"/>
    <n v="66.3"/>
    <n v="32.299999999999997"/>
    <n v="3.53"/>
    <n v="196411"/>
    <n v="32595"/>
    <n v="229006"/>
    <n v="32880"/>
    <n v="36134"/>
    <n v="476"/>
    <n v="19970"/>
    <n v="2182"/>
    <n v="320648"/>
    <n v="37074"/>
    <n v="283574"/>
    <n v="141814"/>
    <n v="141760"/>
  </r>
  <r>
    <s v="15"/>
    <x v="8"/>
    <x v="324"/>
    <x v="324"/>
    <n v="74.459999999999994"/>
    <n v="576.4"/>
    <n v="650.86"/>
    <n v="1.57"/>
    <n v="0"/>
    <n v="0"/>
    <n v="576"/>
    <n v="321.58"/>
    <n v="60.33"/>
    <n v="66.3"/>
    <n v="32.299999999999997"/>
    <n v="3.53"/>
    <n v="209304"/>
    <n v="0"/>
    <n v="209304"/>
    <n v="34750"/>
    <n v="38189"/>
    <n v="505"/>
    <n v="21023"/>
    <n v="2298"/>
    <n v="306069"/>
    <n v="37350"/>
    <n v="268719"/>
    <n v="152993"/>
    <n v="115726"/>
  </r>
  <r>
    <s v="15"/>
    <x v="8"/>
    <x v="325"/>
    <x v="325"/>
    <n v="54.81"/>
    <n v="426"/>
    <n v="480.81"/>
    <n v="1.1599999999999999"/>
    <n v="10"/>
    <n v="0"/>
    <n v="436"/>
    <n v="321.58"/>
    <n v="60.33"/>
    <n v="66.3"/>
    <n v="32.299999999999997"/>
    <n v="3.53"/>
    <n v="154619"/>
    <n v="4257"/>
    <n v="158876"/>
    <n v="26304"/>
    <n v="28907"/>
    <n v="373"/>
    <n v="15949"/>
    <n v="1742"/>
    <n v="232151"/>
    <n v="23709"/>
    <n v="208442"/>
    <n v="117366"/>
    <n v="91076"/>
  </r>
  <r>
    <s v="15"/>
    <x v="8"/>
    <x v="326"/>
    <x v="326"/>
    <n v="26.1"/>
    <n v="315.10000000000002"/>
    <n v="341.2"/>
    <n v="0.82"/>
    <n v="0"/>
    <n v="0"/>
    <n v="315"/>
    <n v="321.58"/>
    <n v="60.33"/>
    <n v="66.3"/>
    <n v="32.299999999999997"/>
    <n v="3.53"/>
    <n v="109723"/>
    <n v="6005"/>
    <n v="115728"/>
    <n v="19004"/>
    <n v="20885"/>
    <n v="264"/>
    <n v="11021"/>
    <n v="1204"/>
    <n v="168106"/>
    <n v="19465"/>
    <n v="148641"/>
    <n v="80317"/>
    <n v="683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6" applyNumberFormats="0" applyBorderFormats="0" applyFontFormats="0" applyPatternFormats="0" applyAlignmentFormats="0" applyWidthHeightFormats="1" dataCaption="Values" grandTotalCaption="AEA Total" updatedVersion="6" minRefreshableVersion="3" showDrill="0" useAutoFormatting="1" itemPrintTitles="1" createdVersion="4" indent="0" compact="0" compactData="0" multipleFieldFilters="0">
  <location ref="A4:V58" firstHeaderRow="0" firstDataRow="1" firstDataCol="2"/>
  <pivotFields count="29">
    <pivotField compact="0" outline="0" showAll="0" defaultSubtotal="0"/>
    <pivotField compact="0" outline="0" showAll="0" defaultSubtotal="0">
      <items count="9">
        <item x="2"/>
        <item h="1" x="4"/>
        <item h="1" x="8"/>
        <item h="1" x="7"/>
        <item h="1" x="5"/>
        <item h="1" x="0"/>
        <item h="1" x="3"/>
        <item h="1" x="6"/>
        <item h="1" x="1"/>
      </items>
    </pivotField>
    <pivotField axis="axisRow" compact="0" outline="0" showAll="0" defaultSubtotal="0">
      <items count="333">
        <item x="59"/>
        <item x="165"/>
        <item x="166"/>
        <item x="218"/>
        <item x="21"/>
        <item x="295"/>
        <item x="133"/>
        <item x="60"/>
        <item x="22"/>
        <item x="0"/>
        <item x="95"/>
        <item x="23"/>
        <item x="167"/>
        <item x="134"/>
        <item x="112"/>
        <item x="168"/>
        <item x="61"/>
        <item x="41"/>
        <item x="219"/>
        <item x="253"/>
        <item x="169"/>
        <item m="1" x="331"/>
        <item x="252"/>
        <item x="170"/>
        <item m="1" x="328"/>
        <item x="171"/>
        <item x="62"/>
        <item x="254"/>
        <item x="135"/>
        <item x="113"/>
        <item x="63"/>
        <item x="114"/>
        <item x="136"/>
        <item x="115"/>
        <item x="303"/>
        <item x="172"/>
        <item x="173"/>
        <item x="220"/>
        <item x="110"/>
        <item x="64"/>
        <item x="96"/>
        <item x="296"/>
        <item x="256"/>
        <item x="65"/>
        <item x="116"/>
        <item x="117"/>
        <item x="297"/>
        <item x="174"/>
        <item x="175"/>
        <item x="66"/>
        <item x="137"/>
        <item x="138"/>
        <item x="298"/>
        <item x="299"/>
        <item x="1"/>
        <item x="118"/>
        <item x="139"/>
        <item x="257"/>
        <item x="221"/>
        <item x="300"/>
        <item x="68"/>
        <item x="222"/>
        <item x="223"/>
        <item x="258"/>
        <item x="24"/>
        <item x="259"/>
        <item x="69"/>
        <item x="25"/>
        <item x="140"/>
        <item x="70"/>
        <item x="119"/>
        <item x="176"/>
        <item x="141"/>
        <item x="177"/>
        <item x="178"/>
        <item x="120"/>
        <item x="179"/>
        <item x="260"/>
        <item x="261"/>
        <item x="262"/>
        <item x="180"/>
        <item x="301"/>
        <item x="121"/>
        <item x="302"/>
        <item x="3"/>
        <item x="122"/>
        <item x="224"/>
        <item x="71"/>
        <item x="181"/>
        <item x="263"/>
        <item x="72"/>
        <item x="4"/>
        <item x="73"/>
        <item x="255"/>
        <item x="123"/>
        <item x="105"/>
        <item x="26"/>
        <item x="182"/>
        <item x="74"/>
        <item x="124"/>
        <item x="265"/>
        <item x="5"/>
        <item x="237"/>
        <item x="6"/>
        <item x="76"/>
        <item x="28"/>
        <item x="142"/>
        <item x="266"/>
        <item x="29"/>
        <item x="183"/>
        <item x="304"/>
        <item x="77"/>
        <item x="30"/>
        <item x="305"/>
        <item x="267"/>
        <item x="225"/>
        <item x="79"/>
        <item x="226"/>
        <item x="184"/>
        <item x="31"/>
        <item x="80"/>
        <item x="268"/>
        <item x="185"/>
        <item x="32"/>
        <item x="281"/>
        <item x="78"/>
        <item x="81"/>
        <item x="269"/>
        <item x="82"/>
        <item x="186"/>
        <item x="2"/>
        <item x="143"/>
        <item x="270"/>
        <item x="83"/>
        <item x="271"/>
        <item m="1" x="332"/>
        <item x="34"/>
        <item x="227"/>
        <item x="144"/>
        <item x="228"/>
        <item x="7"/>
        <item x="84"/>
        <item x="85"/>
        <item x="35"/>
        <item x="86"/>
        <item x="187"/>
        <item x="188"/>
        <item x="145"/>
        <item x="87"/>
        <item x="146"/>
        <item x="272"/>
        <item x="88"/>
        <item x="33"/>
        <item x="89"/>
        <item x="189"/>
        <item x="306"/>
        <item x="307"/>
        <item x="229"/>
        <item x="190"/>
        <item x="90"/>
        <item x="273"/>
        <item x="36"/>
        <item x="230"/>
        <item x="75"/>
        <item x="231"/>
        <item x="274"/>
        <item x="275"/>
        <item x="155"/>
        <item x="147"/>
        <item x="148"/>
        <item x="276"/>
        <item x="149"/>
        <item x="125"/>
        <item x="37"/>
        <item x="191"/>
        <item x="192"/>
        <item x="264"/>
        <item x="38"/>
        <item x="232"/>
        <item x="126"/>
        <item x="9"/>
        <item x="233"/>
        <item x="150"/>
        <item x="91"/>
        <item x="193"/>
        <item x="92"/>
        <item x="234"/>
        <item x="308"/>
        <item x="194"/>
        <item x="152"/>
        <item x="151"/>
        <item x="277"/>
        <item x="8"/>
        <item x="93"/>
        <item x="153"/>
        <item x="309"/>
        <item x="278"/>
        <item x="310"/>
        <item x="311"/>
        <item x="279"/>
        <item x="312"/>
        <item x="154"/>
        <item x="280"/>
        <item x="127"/>
        <item x="94"/>
        <item x="195"/>
        <item x="39"/>
        <item x="10"/>
        <item x="313"/>
        <item x="196"/>
        <item x="67"/>
        <item x="129"/>
        <item x="11"/>
        <item m="1" x="329"/>
        <item x="314"/>
        <item x="156"/>
        <item x="40"/>
        <item x="197"/>
        <item x="128"/>
        <item x="97"/>
        <item m="1" x="330"/>
        <item x="98"/>
        <item x="198"/>
        <item x="284"/>
        <item x="235"/>
        <item x="12"/>
        <item x="199"/>
        <item x="42"/>
        <item x="157"/>
        <item x="282"/>
        <item x="99"/>
        <item x="315"/>
        <item x="316"/>
        <item x="201"/>
        <item x="43"/>
        <item x="245"/>
        <item x="317"/>
        <item x="202"/>
        <item x="203"/>
        <item x="130"/>
        <item x="204"/>
        <item x="44"/>
        <item x="13"/>
        <item x="200"/>
        <item x="45"/>
        <item x="283"/>
        <item x="236"/>
        <item x="14"/>
        <item x="238"/>
        <item x="205"/>
        <item x="100"/>
        <item x="46"/>
        <item x="102"/>
        <item x="206"/>
        <item x="47"/>
        <item x="239"/>
        <item x="240"/>
        <item x="318"/>
        <item x="109"/>
        <item x="241"/>
        <item x="285"/>
        <item x="242"/>
        <item x="286"/>
        <item x="319"/>
        <item x="243"/>
        <item x="244"/>
        <item x="48"/>
        <item x="49"/>
        <item x="158"/>
        <item x="208"/>
        <item x="50"/>
        <item x="51"/>
        <item x="287"/>
        <item x="101"/>
        <item x="15"/>
        <item x="207"/>
        <item x="52"/>
        <item x="53"/>
        <item x="159"/>
        <item x="288"/>
        <item x="16"/>
        <item x="54"/>
        <item x="55"/>
        <item x="214"/>
        <item x="103"/>
        <item x="160"/>
        <item x="289"/>
        <item x="290"/>
        <item x="320"/>
        <item x="104"/>
        <item x="17"/>
        <item x="209"/>
        <item x="56"/>
        <item x="291"/>
        <item x="210"/>
        <item x="211"/>
        <item m="1" x="327"/>
        <item x="321"/>
        <item x="212"/>
        <item x="292"/>
        <item x="161"/>
        <item x="322"/>
        <item x="27"/>
        <item x="323"/>
        <item x="106"/>
        <item x="162"/>
        <item x="107"/>
        <item x="213"/>
        <item x="108"/>
        <item x="324"/>
        <item x="57"/>
        <item x="58"/>
        <item x="163"/>
        <item x="325"/>
        <item x="18"/>
        <item x="19"/>
        <item x="215"/>
        <item x="20"/>
        <item x="293"/>
        <item x="131"/>
        <item x="246"/>
        <item x="111"/>
        <item x="247"/>
        <item x="248"/>
        <item x="249"/>
        <item x="250"/>
        <item x="164"/>
        <item x="132"/>
        <item x="326"/>
        <item x="216"/>
        <item x="294"/>
        <item x="251"/>
        <item x="217"/>
      </items>
    </pivotField>
    <pivotField axis="axisRow" compact="0" outline="0" showAll="0" defaultSubtotal="0">
      <items count="355">
        <item x="165"/>
        <item x="166"/>
        <item x="59"/>
        <item m="1" x="333"/>
        <item x="218"/>
        <item x="21"/>
        <item x="295"/>
        <item x="133"/>
        <item x="60"/>
        <item m="1" x="332"/>
        <item x="0"/>
        <item m="1" x="351"/>
        <item x="167"/>
        <item x="134"/>
        <item x="112"/>
        <item x="168"/>
        <item x="61"/>
        <item x="219"/>
        <item x="253"/>
        <item x="169"/>
        <item m="1" x="339"/>
        <item x="170"/>
        <item m="1" x="342"/>
        <item x="171"/>
        <item x="62"/>
        <item x="254"/>
        <item x="135"/>
        <item x="113"/>
        <item x="63"/>
        <item x="114"/>
        <item x="136"/>
        <item x="115"/>
        <item x="172"/>
        <item x="173"/>
        <item x="220"/>
        <item x="255"/>
        <item x="64"/>
        <item x="296"/>
        <item x="65"/>
        <item m="1" x="344"/>
        <item x="256"/>
        <item x="117"/>
        <item x="297"/>
        <item x="174"/>
        <item x="175"/>
        <item x="66"/>
        <item x="137"/>
        <item x="138"/>
        <item x="298"/>
        <item x="139"/>
        <item x="1"/>
        <item x="118"/>
        <item x="257"/>
        <item x="299"/>
        <item x="221"/>
        <item x="67"/>
        <item x="300"/>
        <item x="68"/>
        <item x="222"/>
        <item x="223"/>
        <item x="258"/>
        <item m="1" x="327"/>
        <item x="259"/>
        <item x="69"/>
        <item x="25"/>
        <item x="2"/>
        <item m="1" x="340"/>
        <item x="70"/>
        <item x="119"/>
        <item x="176"/>
        <item m="1" x="329"/>
        <item x="177"/>
        <item x="178"/>
        <item x="120"/>
        <item x="179"/>
        <item x="260"/>
        <item x="261"/>
        <item m="1" x="352"/>
        <item x="180"/>
        <item x="301"/>
        <item x="121"/>
        <item x="302"/>
        <item x="3"/>
        <item x="122"/>
        <item x="224"/>
        <item x="71"/>
        <item x="181"/>
        <item x="263"/>
        <item x="72"/>
        <item x="4"/>
        <item x="73"/>
        <item x="123"/>
        <item x="26"/>
        <item x="182"/>
        <item x="74"/>
        <item x="75"/>
        <item m="1" x="341"/>
        <item x="27"/>
        <item x="265"/>
        <item x="5"/>
        <item x="124"/>
        <item m="1" x="350"/>
        <item x="6"/>
        <item x="76"/>
        <item x="28"/>
        <item m="1" x="345"/>
        <item x="266"/>
        <item m="1" x="346"/>
        <item x="183"/>
        <item x="304"/>
        <item m="1" x="328"/>
        <item x="30"/>
        <item x="305"/>
        <item x="267"/>
        <item x="225"/>
        <item m="1" x="338"/>
        <item x="226"/>
        <item x="184"/>
        <item x="31"/>
        <item x="80"/>
        <item x="268"/>
        <item x="185"/>
        <item x="78"/>
        <item x="32"/>
        <item m="1" x="335"/>
        <item x="81"/>
        <item x="269"/>
        <item x="82"/>
        <item x="186"/>
        <item x="270"/>
        <item x="83"/>
        <item x="271"/>
        <item m="1" x="349"/>
        <item x="34"/>
        <item x="227"/>
        <item x="144"/>
        <item x="228"/>
        <item x="143"/>
        <item x="7"/>
        <item x="84"/>
        <item x="85"/>
        <item x="35"/>
        <item x="272"/>
        <item x="86"/>
        <item x="187"/>
        <item x="188"/>
        <item x="145"/>
        <item x="87"/>
        <item x="146"/>
        <item x="88"/>
        <item x="89"/>
        <item x="189"/>
        <item x="306"/>
        <item x="307"/>
        <item x="229"/>
        <item x="190"/>
        <item x="90"/>
        <item x="273"/>
        <item x="36"/>
        <item x="230"/>
        <item x="231"/>
        <item x="274"/>
        <item x="275"/>
        <item x="147"/>
        <item x="148"/>
        <item x="276"/>
        <item x="149"/>
        <item x="125"/>
        <item x="37"/>
        <item x="191"/>
        <item x="192"/>
        <item x="38"/>
        <item m="1" x="334"/>
        <item x="126"/>
        <item x="9"/>
        <item x="233"/>
        <item x="150"/>
        <item x="91"/>
        <item x="193"/>
        <item x="92"/>
        <item x="308"/>
        <item x="194"/>
        <item x="8"/>
        <item x="152"/>
        <item x="151"/>
        <item x="277"/>
        <item x="234"/>
        <item x="93"/>
        <item x="153"/>
        <item x="309"/>
        <item x="278"/>
        <item x="310"/>
        <item x="311"/>
        <item x="279"/>
        <item x="312"/>
        <item x="154"/>
        <item x="280"/>
        <item x="127"/>
        <item x="94"/>
        <item x="195"/>
        <item x="10"/>
        <item x="313"/>
        <item x="39"/>
        <item x="196"/>
        <item m="1" x="331"/>
        <item m="1" x="330"/>
        <item x="155"/>
        <item m="1" x="347"/>
        <item x="96"/>
        <item x="40"/>
        <item x="156"/>
        <item x="314"/>
        <item x="197"/>
        <item x="128"/>
        <item x="97"/>
        <item m="1" x="336"/>
        <item m="1" x="353"/>
        <item x="129"/>
        <item m="1" x="348"/>
        <item x="98"/>
        <item x="198"/>
        <item m="1" x="337"/>
        <item x="12"/>
        <item x="199"/>
        <item x="42"/>
        <item x="157"/>
        <item x="282"/>
        <item x="99"/>
        <item x="315"/>
        <item x="316"/>
        <item x="201"/>
        <item x="43"/>
        <item x="200"/>
        <item x="317"/>
        <item x="202"/>
        <item x="203"/>
        <item x="130"/>
        <item x="204"/>
        <item x="44"/>
        <item x="13"/>
        <item x="45"/>
        <item x="283"/>
        <item x="236"/>
        <item x="14"/>
        <item x="237"/>
        <item x="284"/>
        <item x="238"/>
        <item x="205"/>
        <item x="100"/>
        <item x="46"/>
        <item x="206"/>
        <item x="47"/>
        <item x="239"/>
        <item x="240"/>
        <item x="318"/>
        <item x="241"/>
        <item x="285"/>
        <item x="242"/>
        <item x="286"/>
        <item x="319"/>
        <item x="243"/>
        <item x="48"/>
        <item x="244"/>
        <item x="158"/>
        <item x="49"/>
        <item x="50"/>
        <item x="245"/>
        <item x="287"/>
        <item x="101"/>
        <item x="15"/>
        <item x="207"/>
        <item x="208"/>
        <item x="51"/>
        <item x="52"/>
        <item x="53"/>
        <item x="159"/>
        <item x="102"/>
        <item x="288"/>
        <item x="16"/>
        <item x="54"/>
        <item x="55"/>
        <item x="103"/>
        <item x="160"/>
        <item x="289"/>
        <item x="290"/>
        <item x="320"/>
        <item x="104"/>
        <item x="17"/>
        <item x="209"/>
        <item x="56"/>
        <item x="291"/>
        <item x="105"/>
        <item x="210"/>
        <item x="211"/>
        <item m="1" x="354"/>
        <item m="1" x="343"/>
        <item x="212"/>
        <item x="292"/>
        <item x="161"/>
        <item x="322"/>
        <item x="323"/>
        <item x="106"/>
        <item x="162"/>
        <item x="107"/>
        <item x="213"/>
        <item x="108"/>
        <item x="324"/>
        <item x="57"/>
        <item x="58"/>
        <item x="163"/>
        <item x="325"/>
        <item x="18"/>
        <item x="214"/>
        <item x="19"/>
        <item x="215"/>
        <item x="109"/>
        <item x="110"/>
        <item x="293"/>
        <item x="131"/>
        <item x="246"/>
        <item x="111"/>
        <item x="247"/>
        <item x="248"/>
        <item x="20"/>
        <item x="249"/>
        <item x="250"/>
        <item x="164"/>
        <item x="132"/>
        <item x="326"/>
        <item x="216"/>
        <item x="294"/>
        <item x="251"/>
        <item x="217"/>
        <item x="11"/>
        <item x="22"/>
        <item x="23"/>
        <item x="24"/>
        <item x="29"/>
        <item x="33"/>
        <item x="41"/>
        <item x="77"/>
        <item x="79"/>
        <item x="95"/>
        <item x="116"/>
        <item x="140"/>
        <item x="141"/>
        <item x="142"/>
        <item x="232"/>
        <item x="235"/>
        <item x="252"/>
        <item x="262"/>
        <item x="264"/>
        <item x="281"/>
        <item x="303"/>
        <item x="321"/>
      </items>
    </pivotField>
    <pivotField dataField="1" compact="0" numFmtId="4" outline="0" showAll="0" defaultSubtotal="0"/>
    <pivotField dataField="1" compact="0" numFmtId="164" outline="0" showAll="0" defaultSubtotal="0"/>
    <pivotField dataField="1" compact="0" numFmtId="4" outline="0" showAll="0" defaultSubtotal="0"/>
    <pivotField dataField="1" compact="0" numFmtId="4" outline="0" showAll="0" defaultSubtotal="0"/>
    <pivotField dataField="1" compact="0" numFmtId="3" outline="0" showAll="0" defaultSubtotal="0"/>
    <pivotField dataField="1" compact="0" numFmtId="164" outline="0" showAll="0" defaultSubtotal="0"/>
    <pivotField dataField="1" compact="0" numFmtId="3"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s>
  <rowFields count="2">
    <field x="2"/>
    <field x="3"/>
  </rowFields>
  <rowItems count="54">
    <i>
      <x/>
      <x v="2"/>
    </i>
    <i>
      <x v="7"/>
      <x v="8"/>
    </i>
    <i>
      <x v="10"/>
      <x v="342"/>
    </i>
    <i>
      <x v="16"/>
      <x v="16"/>
    </i>
    <i>
      <x v="26"/>
      <x v="24"/>
    </i>
    <i>
      <x v="30"/>
      <x v="28"/>
    </i>
    <i>
      <x v="38"/>
      <x v="316"/>
    </i>
    <i>
      <x v="39"/>
      <x v="36"/>
    </i>
    <i>
      <x v="40"/>
      <x v="208"/>
    </i>
    <i>
      <x v="43"/>
      <x v="38"/>
    </i>
    <i>
      <x v="49"/>
      <x v="45"/>
    </i>
    <i>
      <x v="60"/>
      <x v="57"/>
    </i>
    <i>
      <x v="66"/>
      <x v="63"/>
    </i>
    <i>
      <x v="69"/>
      <x v="67"/>
    </i>
    <i>
      <x v="87"/>
      <x v="85"/>
    </i>
    <i>
      <x v="90"/>
      <x v="88"/>
    </i>
    <i>
      <x v="92"/>
      <x v="90"/>
    </i>
    <i>
      <x v="95"/>
      <x v="291"/>
    </i>
    <i>
      <x v="98"/>
      <x v="94"/>
    </i>
    <i>
      <x v="104"/>
      <x v="103"/>
    </i>
    <i>
      <x v="111"/>
      <x v="340"/>
    </i>
    <i>
      <x v="116"/>
      <x v="341"/>
    </i>
    <i>
      <x v="120"/>
      <x v="119"/>
    </i>
    <i>
      <x v="125"/>
      <x v="122"/>
    </i>
    <i>
      <x v="126"/>
      <x v="125"/>
    </i>
    <i>
      <x v="128"/>
      <x v="127"/>
    </i>
    <i>
      <x v="133"/>
      <x v="130"/>
    </i>
    <i>
      <x v="141"/>
      <x v="139"/>
    </i>
    <i>
      <x v="142"/>
      <x v="140"/>
    </i>
    <i>
      <x v="144"/>
      <x v="143"/>
    </i>
    <i>
      <x v="148"/>
      <x v="147"/>
    </i>
    <i>
      <x v="151"/>
      <x v="149"/>
    </i>
    <i>
      <x v="153"/>
      <x v="150"/>
    </i>
    <i>
      <x v="159"/>
      <x v="156"/>
    </i>
    <i>
      <x v="163"/>
      <x v="95"/>
    </i>
    <i>
      <x v="183"/>
      <x v="177"/>
    </i>
    <i>
      <x v="185"/>
      <x v="179"/>
    </i>
    <i>
      <x v="193"/>
      <x v="187"/>
    </i>
    <i>
      <x v="204"/>
      <x v="198"/>
    </i>
    <i>
      <x v="210"/>
      <x v="55"/>
    </i>
    <i>
      <x v="219"/>
      <x v="214"/>
    </i>
    <i>
      <x v="221"/>
      <x v="219"/>
    </i>
    <i>
      <x v="230"/>
      <x v="227"/>
    </i>
    <i>
      <x v="250"/>
      <x v="248"/>
    </i>
    <i>
      <x v="252"/>
      <x v="276"/>
    </i>
    <i>
      <x v="258"/>
      <x v="315"/>
    </i>
    <i>
      <x v="273"/>
      <x v="268"/>
    </i>
    <i>
      <x v="284"/>
      <x v="281"/>
    </i>
    <i>
      <x v="289"/>
      <x v="286"/>
    </i>
    <i>
      <x v="304"/>
      <x v="301"/>
    </i>
    <i>
      <x v="306"/>
      <x v="303"/>
    </i>
    <i>
      <x v="308"/>
      <x v="305"/>
    </i>
    <i>
      <x v="321"/>
      <x v="320"/>
    </i>
    <i t="grand">
      <x/>
    </i>
  </rowItems>
  <colFields count="1">
    <field x="-2"/>
  </colFields>
  <colItems count="20">
    <i>
      <x/>
    </i>
    <i i="1">
      <x v="1"/>
    </i>
    <i i="2">
      <x v="2"/>
    </i>
    <i i="3">
      <x v="3"/>
    </i>
    <i i="4">
      <x v="4"/>
    </i>
    <i i="5">
      <x v="5"/>
    </i>
    <i i="6">
      <x v="6"/>
    </i>
    <i i="7">
      <x v="7"/>
    </i>
    <i i="8">
      <x v="8"/>
    </i>
    <i i="9">
      <x v="9"/>
    </i>
    <i i="10">
      <x v="10"/>
    </i>
    <i i="11">
      <x v="11"/>
    </i>
    <i i="12">
      <x v="12"/>
    </i>
    <i i="13">
      <x v="13"/>
    </i>
    <i i="14">
      <x v="14"/>
    </i>
    <i i="15">
      <x v="15"/>
    </i>
    <i i="16">
      <x v="16"/>
    </i>
    <i i="17">
      <x v="17"/>
    </i>
    <i i="18">
      <x v="18"/>
    </i>
    <i i="19">
      <x v="19"/>
    </i>
  </colItems>
  <dataFields count="20">
    <dataField name="Total Special Ed Weighting" fld="4" baseField="3" baseItem="1" numFmtId="4"/>
    <dataField name="Budget Enrollment " fld="5" baseField="3" baseItem="0" numFmtId="164"/>
    <dataField name="AEA Weighted Enrollment " fld="6" baseField="3" baseItem="0" numFmtId="4"/>
    <dataField name="AEA Supplementary Weight for Sharing " fld="7" baseField="3" baseItem="0" numFmtId="4"/>
    <dataField name="Resident Accredited Nonpublic Students " fld="8" baseField="3" baseItem="0" numFmtId="3"/>
    <dataField name="Shared-Time Nonpublic Pupils" fld="9" baseField="3" baseItem="0" numFmtId="164"/>
    <dataField name="Total Enrollment Served - AEA Media and Ed Services " fld="10" baseField="3" baseItem="130" numFmtId="3"/>
    <dataField name="AEA Special Ed Support District Cost without Adjustment " fld="16" baseField="3" baseItem="130" numFmtId="3"/>
    <dataField name="AEA Special Ed Support Adjustment " fld="17" baseField="3" baseItem="130" numFmtId="3"/>
    <dataField name="Special Education Total Cost " fld="18" baseField="3" baseItem="130" numFmtId="3"/>
    <dataField name="AEA Media Services District Cost " fld="19" baseField="3" baseItem="130" numFmtId="3"/>
    <dataField name="AEA Ed Services District Cost " fld="20" baseField="3" baseItem="130" numFmtId="3"/>
    <dataField name="AEA Sharing District Cost " fld="21" baseField="3" baseItem="130" numFmtId="3"/>
    <dataField name="AEA Teacher Salary Supplement District Cost " fld="22" baseField="3" baseItem="130" numFmtId="3"/>
    <dataField name="AEA Professional Development Supplement District Cost " fld="23" baseField="3" baseItem="130" numFmtId="3"/>
    <dataField name="Subtotal Budget " fld="24" baseField="3" baseItem="130" numFmtId="3"/>
    <dataField name="AEA State Aid Reduction" fld="25" baseField="3" baseItem="130" numFmtId="3"/>
    <dataField name="Total Budget " fld="26" baseField="3" baseItem="130" numFmtId="3"/>
    <dataField name="State Aid Portion " fld="27" baseField="3" baseItem="130" numFmtId="3"/>
    <dataField name="Property Tax Portion " fld="28" baseField="3" baseItem="130" numFmtId="3"/>
  </dataFields>
  <formats count="29">
    <format dxfId="28">
      <pivotArea field="2" type="button" dataOnly="0" labelOnly="1" outline="0" axis="axisRow" fieldPosition="0"/>
    </format>
    <format dxfId="27">
      <pivotArea field="3" type="button" dataOnly="0" labelOnly="1" outline="0" axis="axisRow" fieldPosition="1"/>
    </format>
    <format dxfId="26">
      <pivotArea dataOnly="0" labelOnly="1" outline="0" fieldPosition="0">
        <references count="1">
          <reference field="4294967294" count="20">
            <x v="0"/>
            <x v="1"/>
            <x v="2"/>
            <x v="3"/>
            <x v="4"/>
            <x v="5"/>
            <x v="6"/>
            <x v="7"/>
            <x v="8"/>
            <x v="9"/>
            <x v="10"/>
            <x v="11"/>
            <x v="12"/>
            <x v="13"/>
            <x v="14"/>
            <x v="15"/>
            <x v="16"/>
            <x v="17"/>
            <x v="18"/>
            <x v="19"/>
          </reference>
        </references>
      </pivotArea>
    </format>
    <format dxfId="25">
      <pivotArea type="all" dataOnly="0" outline="0" fieldPosition="0"/>
    </format>
    <format dxfId="24">
      <pivotArea field="2" type="button" dataOnly="0" labelOnly="1" outline="0" axis="axisRow" fieldPosition="0"/>
    </format>
    <format dxfId="23">
      <pivotArea field="3" type="button" dataOnly="0" labelOnly="1" outline="0" axis="axisRow" fieldPosition="1"/>
    </format>
    <format dxfId="22">
      <pivotArea dataOnly="0" labelOnly="1" outline="0" fieldPosition="0">
        <references count="1">
          <reference field="4294967294" count="20">
            <x v="0"/>
            <x v="1"/>
            <x v="2"/>
            <x v="3"/>
            <x v="4"/>
            <x v="5"/>
            <x v="6"/>
            <x v="7"/>
            <x v="8"/>
            <x v="9"/>
            <x v="10"/>
            <x v="11"/>
            <x v="12"/>
            <x v="13"/>
            <x v="14"/>
            <x v="15"/>
            <x v="16"/>
            <x v="17"/>
            <x v="18"/>
            <x v="19"/>
          </reference>
        </references>
      </pivotArea>
    </format>
    <format dxfId="21">
      <pivotArea grandRow="1" outline="0" collapsedLevelsAreSubtotals="1" fieldPosition="0"/>
    </format>
    <format dxfId="20">
      <pivotArea dataOnly="0" labelOnly="1" grandRow="1" outline="0" fieldPosition="0"/>
    </format>
    <format dxfId="19">
      <pivotArea outline="0" fieldPosition="0">
        <references count="1">
          <reference field="4294967294" count="1">
            <x v="0"/>
          </reference>
        </references>
      </pivotArea>
    </format>
    <format dxfId="18">
      <pivotArea outline="0" fieldPosition="0">
        <references count="1">
          <reference field="4294967294" count="1">
            <x v="1"/>
          </reference>
        </references>
      </pivotArea>
    </format>
    <format dxfId="17">
      <pivotArea outline="0" fieldPosition="0">
        <references count="1">
          <reference field="4294967294" count="1">
            <x v="2"/>
          </reference>
        </references>
      </pivotArea>
    </format>
    <format dxfId="16">
      <pivotArea outline="0" fieldPosition="0">
        <references count="1">
          <reference field="4294967294" count="1">
            <x v="3"/>
          </reference>
        </references>
      </pivotArea>
    </format>
    <format dxfId="15">
      <pivotArea outline="0" fieldPosition="0">
        <references count="1">
          <reference field="4294967294" count="1">
            <x v="4"/>
          </reference>
        </references>
      </pivotArea>
    </format>
    <format dxfId="14">
      <pivotArea outline="0" fieldPosition="0">
        <references count="1">
          <reference field="4294967294" count="1">
            <x v="5"/>
          </reference>
        </references>
      </pivotArea>
    </format>
    <format dxfId="13">
      <pivotArea outline="0" fieldPosition="0">
        <references count="1">
          <reference field="4294967294" count="1">
            <x v="6"/>
          </reference>
        </references>
      </pivotArea>
    </format>
    <format dxfId="12">
      <pivotArea outline="0" fieldPosition="0">
        <references count="1">
          <reference field="4294967294" count="1">
            <x v="7"/>
          </reference>
        </references>
      </pivotArea>
    </format>
    <format dxfId="11">
      <pivotArea outline="0" fieldPosition="0">
        <references count="1">
          <reference field="4294967294" count="1">
            <x v="8"/>
          </reference>
        </references>
      </pivotArea>
    </format>
    <format dxfId="10">
      <pivotArea outline="0" fieldPosition="0">
        <references count="1">
          <reference field="4294967294" count="1">
            <x v="9"/>
          </reference>
        </references>
      </pivotArea>
    </format>
    <format dxfId="9">
      <pivotArea outline="0" fieldPosition="0">
        <references count="1">
          <reference field="4294967294" count="1">
            <x v="10"/>
          </reference>
        </references>
      </pivotArea>
    </format>
    <format dxfId="8">
      <pivotArea outline="0" fieldPosition="0">
        <references count="1">
          <reference field="4294967294" count="1">
            <x v="11"/>
          </reference>
        </references>
      </pivotArea>
    </format>
    <format dxfId="7">
      <pivotArea outline="0" fieldPosition="0">
        <references count="1">
          <reference field="4294967294" count="1">
            <x v="12"/>
          </reference>
        </references>
      </pivotArea>
    </format>
    <format dxfId="6">
      <pivotArea outline="0" fieldPosition="0">
        <references count="1">
          <reference field="4294967294" count="1">
            <x v="13"/>
          </reference>
        </references>
      </pivotArea>
    </format>
    <format dxfId="5">
      <pivotArea outline="0" fieldPosition="0">
        <references count="1">
          <reference field="4294967294" count="1">
            <x v="14"/>
          </reference>
        </references>
      </pivotArea>
    </format>
    <format dxfId="4">
      <pivotArea outline="0" fieldPosition="0">
        <references count="1">
          <reference field="4294967294" count="1">
            <x v="15"/>
          </reference>
        </references>
      </pivotArea>
    </format>
    <format dxfId="3">
      <pivotArea outline="0" fieldPosition="0">
        <references count="1">
          <reference field="4294967294" count="1">
            <x v="16"/>
          </reference>
        </references>
      </pivotArea>
    </format>
    <format dxfId="2">
      <pivotArea outline="0" fieldPosition="0">
        <references count="1">
          <reference field="4294967294" count="1">
            <x v="17"/>
          </reference>
        </references>
      </pivotArea>
    </format>
    <format dxfId="1">
      <pivotArea outline="0" fieldPosition="0">
        <references count="1">
          <reference field="4294967294" count="1">
            <x v="18"/>
          </reference>
        </references>
      </pivotArea>
    </format>
    <format dxfId="0">
      <pivotArea outline="0" fieldPosition="0">
        <references count="1">
          <reference field="4294967294" count="1">
            <x v="19"/>
          </reference>
        </references>
      </pivotArea>
    </format>
  </formats>
  <pivotTableStyleInfo name="PivotTable Style 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EA_Name" xr10:uid="{00000000-0013-0000-FFFF-FFFF01000000}" sourceName="AEA Name">
  <pivotTables>
    <pivotTable tabId="4" name="PivotTable1"/>
  </pivotTables>
  <data>
    <tabular pivotCacheId="1">
      <items count="9">
        <i x="2" s="1"/>
        <i x="4"/>
        <i x="8"/>
        <i x="7"/>
        <i x="5"/>
        <i x="0"/>
        <i x="3"/>
        <i x="6"/>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EA Name" xr10:uid="{00000000-0014-0000-FFFF-FFFF01000000}" cache="Slicer_AEA_Name" caption="AEA 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tail" displayName="Detail" ref="A2:AC329" totalsRowShown="0" headerRowDxfId="59" headerRowBorderDxfId="58">
  <tableColumns count="29">
    <tableColumn id="1" xr3:uid="{00000000-0010-0000-0000-000001000000}" name="AEA" dataDxfId="57"/>
    <tableColumn id="2" xr3:uid="{00000000-0010-0000-0000-000002000000}" name="AEA Name" dataDxfId="56"/>
    <tableColumn id="3" xr3:uid="{00000000-0010-0000-0000-000003000000}" name="Dist" dataDxfId="55"/>
    <tableColumn id="4" xr3:uid="{00000000-0010-0000-0000-000004000000}" name="District" dataDxfId="54"/>
    <tableColumn id="5" xr3:uid="{00000000-0010-0000-0000-000005000000}" name="Total Special Ed Weighting in Addition to 1.0" dataDxfId="53"/>
    <tableColumn id="6" xr3:uid="{00000000-0010-0000-0000-000006000000}" name="Budget Enrollment" dataDxfId="52"/>
    <tableColumn id="7" xr3:uid="{00000000-0010-0000-0000-000007000000}" name="AEA Weighted Enrollment" dataDxfId="51"/>
    <tableColumn id="8" xr3:uid="{00000000-0010-0000-0000-000008000000}" name="AEA Supplementary Weight for Sharing" dataDxfId="50"/>
    <tableColumn id="9" xr3:uid="{00000000-0010-0000-0000-000009000000}" name="Resident Accredited Nonpublic Students" dataDxfId="49"/>
    <tableColumn id="10" xr3:uid="{00000000-0010-0000-0000-00000A000000}" name="Shared-Time Nonpublic Pupils Counted in Line 1.1" dataDxfId="48"/>
    <tableColumn id="11" xr3:uid="{00000000-0010-0000-0000-00000B000000}" name="Total Enrollment Served - AEA Media and Ed Services" dataDxfId="47"/>
    <tableColumn id="12" xr3:uid="{00000000-0010-0000-0000-00000C000000}" name="AEA Special Ed Support Cost Per Pupil" dataDxfId="46"/>
    <tableColumn id="13" xr3:uid="{00000000-0010-0000-0000-00000D000000}" name="AEA Media Cost Per Pupil" dataDxfId="45"/>
    <tableColumn id="14" xr3:uid="{00000000-0010-0000-0000-00000E000000}" name="AEA Ed Services Cost Per Pupil" dataDxfId="44"/>
    <tableColumn id="15" xr3:uid="{00000000-0010-0000-0000-00000F000000}" name="AEA Teacher Salary Supplement District Cost Per Pupil" dataDxfId="43"/>
    <tableColumn id="16" xr3:uid="{00000000-0010-0000-0000-000010000000}" name="Professional Development Supplement District Cost Per Pupil" dataDxfId="42"/>
    <tableColumn id="17" xr3:uid="{00000000-0010-0000-0000-000011000000}" name="AEA Special Ed Support District Cost without Adjustment" dataDxfId="41"/>
    <tableColumn id="18" xr3:uid="{00000000-0010-0000-0000-000012000000}" name="AEA Special Ed Support Adjustment" dataDxfId="40"/>
    <tableColumn id="19" xr3:uid="{00000000-0010-0000-0000-000013000000}" name="Special Education Total Cost" dataDxfId="39"/>
    <tableColumn id="20" xr3:uid="{00000000-0010-0000-0000-000014000000}" name="AEA Media Services District Cost" dataDxfId="38"/>
    <tableColumn id="21" xr3:uid="{00000000-0010-0000-0000-000015000000}" name="AEA Ed Services District Cost" dataDxfId="37"/>
    <tableColumn id="22" xr3:uid="{00000000-0010-0000-0000-000016000000}" name="AEA Sharing District Cost" dataDxfId="36"/>
    <tableColumn id="23" xr3:uid="{00000000-0010-0000-0000-000017000000}" name="AEA Teacher Salary Supplement District Cost" dataDxfId="35"/>
    <tableColumn id="24" xr3:uid="{00000000-0010-0000-0000-000018000000}" name="AEA Professional Development Supplement District Cost" dataDxfId="34"/>
    <tableColumn id="25" xr3:uid="{00000000-0010-0000-0000-000019000000}" name="Subtotal Budget" dataDxfId="33"/>
    <tableColumn id="26" xr3:uid="{00000000-0010-0000-0000-00001A000000}" name="AEA Statewide State Aid Reduction" dataDxfId="32"/>
    <tableColumn id="27" xr3:uid="{00000000-0010-0000-0000-00001B000000}" name="Total Budget" dataDxfId="31"/>
    <tableColumn id="28" xr3:uid="{00000000-0010-0000-0000-00001C000000}" name="State Aid Portion" dataDxfId="30"/>
    <tableColumn id="29" xr3:uid="{00000000-0010-0000-0000-00001D000000}" name="Property Tax Portion" dataDxfId="29"/>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legis.iowa.gov/legislation/BillBook?ga=89&amp;ba=HF%202589&amp;v=e"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1"/>
  <sheetViews>
    <sheetView tabSelected="1" topLeftCell="A2" workbookViewId="0">
      <selection activeCell="D28" sqref="D28"/>
    </sheetView>
  </sheetViews>
  <sheetFormatPr defaultRowHeight="15" x14ac:dyDescent="0.25"/>
  <cols>
    <col min="1" max="1" width="7" customWidth="1"/>
    <col min="2" max="2" width="22.42578125" bestFit="1" customWidth="1"/>
    <col min="3" max="3" width="11.85546875" bestFit="1" customWidth="1"/>
    <col min="4" max="4" width="14.140625" customWidth="1"/>
    <col min="5" max="5" width="13.85546875" customWidth="1"/>
    <col min="6" max="6" width="11.42578125" bestFit="1" customWidth="1"/>
    <col min="7" max="8" width="12.28515625" bestFit="1" customWidth="1"/>
    <col min="9" max="9" width="11.42578125" customWidth="1"/>
    <col min="10" max="10" width="10.7109375" customWidth="1"/>
    <col min="11" max="11" width="8.28515625" bestFit="1" customWidth="1"/>
    <col min="12" max="12" width="37.7109375" customWidth="1"/>
    <col min="13" max="13" width="72.85546875" customWidth="1"/>
  </cols>
  <sheetData>
    <row r="1" spans="1:11" s="10" customFormat="1" ht="87" hidden="1" customHeight="1" x14ac:dyDescent="0.25">
      <c r="A1" s="13"/>
      <c r="B1" s="13"/>
      <c r="C1" s="13" t="str">
        <f>Detail[[#Headers],[Total Special Ed Weighting in Addition to 1.0]]</f>
        <v>Total Special Ed Weighting in Addition to 1.0</v>
      </c>
      <c r="D1" s="13" t="str">
        <f>Detail[[#Headers],[Budget Enrollment]]</f>
        <v>Budget Enrollment</v>
      </c>
      <c r="E1" s="13" t="str">
        <f>Detail[[#Headers],[AEA Weighted Enrollment]]</f>
        <v>AEA Weighted Enrollment</v>
      </c>
      <c r="F1" s="13" t="str">
        <f>Detail[[#Headers],[Resident Accredited Nonpublic Students]]</f>
        <v>Resident Accredited Nonpublic Students</v>
      </c>
      <c r="G1" s="13" t="str">
        <f>Detail[[#Headers],[Shared-Time Nonpublic Pupils Counted in Line 1.1]]</f>
        <v>Shared-Time Nonpublic Pupils Counted in Line 1.1</v>
      </c>
      <c r="H1" s="13" t="str">
        <f>Detail[[#Headers],[Total Enrollment Served - AEA Media and Ed Services]]</f>
        <v>Total Enrollment Served - AEA Media and Ed Services</v>
      </c>
      <c r="I1" s="13" t="str">
        <f>Detail[[#Headers],[AEA Special Ed Support Cost Per Pupil]]</f>
        <v>AEA Special Ed Support Cost Per Pupil</v>
      </c>
      <c r="J1" s="13" t="str">
        <f>Detail[[#Headers],[AEA Media Cost Per Pupil]]</f>
        <v>AEA Media Cost Per Pupil</v>
      </c>
      <c r="K1" s="13" t="str">
        <f>Detail[[#Headers],[AEA Ed Services Cost Per Pupil]]</f>
        <v>AEA Ed Services Cost Per Pupil</v>
      </c>
    </row>
    <row r="2" spans="1:11" s="10" customFormat="1" ht="31.5" customHeight="1" x14ac:dyDescent="0.25">
      <c r="A2" s="7" t="s">
        <v>365</v>
      </c>
      <c r="B2" s="7" t="s">
        <v>366</v>
      </c>
      <c r="C2" s="8" t="s">
        <v>370</v>
      </c>
      <c r="D2" s="8" t="s">
        <v>344</v>
      </c>
      <c r="E2" s="8" t="s">
        <v>371</v>
      </c>
      <c r="F2" s="8" t="s">
        <v>372</v>
      </c>
      <c r="G2" s="8" t="s">
        <v>373</v>
      </c>
      <c r="H2" s="8" t="s">
        <v>374</v>
      </c>
      <c r="I2" s="8" t="s">
        <v>375</v>
      </c>
      <c r="J2" s="8" t="s">
        <v>376</v>
      </c>
      <c r="K2" s="8" t="s">
        <v>377</v>
      </c>
    </row>
    <row r="3" spans="1:11" x14ac:dyDescent="0.25">
      <c r="A3" s="1" t="str">
        <f t="array" ref="A3">IFERROR(INDEX(Detail[AEA], MATCH(0,COUNTIF(Summary!$A$2:'Summary'!A2, Detail[AEA]), 0)),"")</f>
        <v>01</v>
      </c>
      <c r="B3" t="str">
        <f>INDEX(Detail[],MATCH(Summary!$A3,Detail[AEA],0),2)</f>
        <v>Keystone AEA 1</v>
      </c>
      <c r="C3" s="2">
        <f>SUMIFS(INDEX(Detail[],0,MATCH(C$1,Detail[#Headers],0)),Detail[AEA],$A3)</f>
        <v>4386.0499999999993</v>
      </c>
      <c r="D3" s="3">
        <f>SUMIFS(INDEX(Detail[],0,MATCH(D$1,Detail[#Headers],0)),Detail[AEA],$A3)</f>
        <v>27800.699999999997</v>
      </c>
      <c r="E3" s="2">
        <f>SUMIFS(INDEX(Detail[],0,MATCH(E$1,Detail[#Headers],0)),Detail[AEA],$A3)</f>
        <v>32186.750000000004</v>
      </c>
      <c r="F3" s="4">
        <f>SUMIFS(INDEX(Detail[],0,MATCH(F$1,Detail[#Headers],0)),Detail[AEA],$A3)</f>
        <v>3829</v>
      </c>
      <c r="G3" s="3">
        <f>SUMIFS(INDEX(Detail[],0,MATCH(G$1,Detail[#Headers],0)),Detail[AEA],$A3)</f>
        <v>14.8</v>
      </c>
      <c r="H3" s="4">
        <f>SUMIFS(INDEX(Detail[],0,MATCH(H$1,Detail[#Headers],0)),Detail[AEA],$A3)</f>
        <v>31617</v>
      </c>
      <c r="I3" s="2">
        <f>INDEX(Detail[],MATCH($A3,Detail[AEA],0),MATCH(I$1,Detail[#Headers],0))</f>
        <v>338.42</v>
      </c>
      <c r="J3" s="2">
        <f>INDEX(Detail[],MATCH($A3,Detail[AEA],0),MATCH(J$1,Detail[#Headers],0))</f>
        <v>60.63</v>
      </c>
      <c r="K3" s="2">
        <f>INDEX(Detail[],MATCH($A3,Detail[AEA],0),MATCH(K$1,Detail[#Headers],0))</f>
        <v>67.56</v>
      </c>
    </row>
    <row r="4" spans="1:11" x14ac:dyDescent="0.25">
      <c r="A4" s="1" t="str">
        <f t="array" ref="A4">IFERROR(INDEX(Detail[AEA], MATCH(0,COUNTIF(Summary!$A$2:'Summary'!A3, Detail[AEA]), 0)),"")</f>
        <v>05</v>
      </c>
      <c r="B4" t="str">
        <f>INDEX(Detail[],MATCH(Summary!$A4,Detail[AEA],0),2)</f>
        <v>Prairie Lakes AEA 8</v>
      </c>
      <c r="C4" s="2">
        <f>SUMIFS(INDEX(Detail[],0,MATCH(C$1,Detail[#Headers],0)),Detail[AEA],$A4)</f>
        <v>4040.9399999999996</v>
      </c>
      <c r="D4" s="3">
        <f>SUMIFS(INDEX(Detail[],0,MATCH(D$1,Detail[#Headers],0)),Detail[AEA],$A4)</f>
        <v>30029.599999999999</v>
      </c>
      <c r="E4" s="2">
        <f>SUMIFS(INDEX(Detail[],0,MATCH(E$1,Detail[#Headers],0)),Detail[AEA],$A4)</f>
        <v>34070.539999999994</v>
      </c>
      <c r="F4" s="4">
        <f>SUMIFS(INDEX(Detail[],0,MATCH(F$1,Detail[#Headers],0)),Detail[AEA],$A4)</f>
        <v>1995</v>
      </c>
      <c r="G4" s="3">
        <f>SUMIFS(INDEX(Detail[],0,MATCH(G$1,Detail[#Headers],0)),Detail[AEA],$A4)</f>
        <v>27.8</v>
      </c>
      <c r="H4" s="4">
        <f>SUMIFS(INDEX(Detail[],0,MATCH(H$1,Detail[#Headers],0)),Detail[AEA],$A4)</f>
        <v>31995</v>
      </c>
      <c r="I4" s="2">
        <f>INDEX(Detail[],MATCH($A4,Detail[AEA],0),MATCH(I$1,Detail[#Headers],0))</f>
        <v>334.17</v>
      </c>
      <c r="J4" s="2">
        <f>INDEX(Detail[],MATCH($A4,Detail[AEA],0),MATCH(J$1,Detail[#Headers],0))</f>
        <v>60.71</v>
      </c>
      <c r="K4" s="2">
        <f>INDEX(Detail[],MATCH($A4,Detail[AEA],0),MATCH(K$1,Detail[#Headers],0))</f>
        <v>68.03</v>
      </c>
    </row>
    <row r="5" spans="1:11" x14ac:dyDescent="0.25">
      <c r="A5" s="1" t="str">
        <f t="array" ref="A5">IFERROR(INDEX(Detail[AEA], MATCH(0,COUNTIF(Summary!$A$2:'Summary'!A4, Detail[AEA]), 0)),"")</f>
        <v>07</v>
      </c>
      <c r="B5" t="str">
        <f>INDEX(Detail[],MATCH(Summary!$A5,Detail[AEA],0),2)</f>
        <v>Central Rivers</v>
      </c>
      <c r="C5" s="2">
        <f>SUMIFS(INDEX(Detail[],0,MATCH(C$1,Detail[#Headers],0)),Detail[AEA],$A5)</f>
        <v>9290.2800000000025</v>
      </c>
      <c r="D5" s="3">
        <f>SUMIFS(INDEX(Detail[],0,MATCH(D$1,Detail[#Headers],0)),Detail[AEA],$A5)</f>
        <v>61360</v>
      </c>
      <c r="E5" s="2">
        <f>SUMIFS(INDEX(Detail[],0,MATCH(E$1,Detail[#Headers],0)),Detail[AEA],$A5)</f>
        <v>70650.279999999984</v>
      </c>
      <c r="F5" s="4">
        <f>SUMIFS(INDEX(Detail[],0,MATCH(F$1,Detail[#Headers],0)),Detail[AEA],$A5)</f>
        <v>3233</v>
      </c>
      <c r="G5" s="3">
        <f>SUMIFS(INDEX(Detail[],0,MATCH(G$1,Detail[#Headers],0)),Detail[AEA],$A5)</f>
        <v>35.5</v>
      </c>
      <c r="H5" s="4">
        <f>SUMIFS(INDEX(Detail[],0,MATCH(H$1,Detail[#Headers],0)),Detail[AEA],$A5)</f>
        <v>64559</v>
      </c>
      <c r="I5" s="2">
        <f>INDEX(Detail[],MATCH($A5,Detail[AEA],0),MATCH(I$1,Detail[#Headers],0))</f>
        <v>327.54000000000002</v>
      </c>
      <c r="J5" s="2">
        <f>INDEX(Detail[],MATCH($A5,Detail[AEA],0),MATCH(J$1,Detail[#Headers],0))</f>
        <v>60.66</v>
      </c>
      <c r="K5" s="2">
        <f>INDEX(Detail[],MATCH($A5,Detail[AEA],0),MATCH(K$1,Detail[#Headers],0))</f>
        <v>67.650000000000006</v>
      </c>
    </row>
    <row r="6" spans="1:11" x14ac:dyDescent="0.25">
      <c r="A6" s="1" t="str">
        <f t="array" ref="A6">IFERROR(INDEX(Detail[AEA], MATCH(0,COUNTIF(Summary!$A$2:'Summary'!A5, Detail[AEA]), 0)),"")</f>
        <v>09</v>
      </c>
      <c r="B6" t="str">
        <f>INDEX(Detail[],MATCH(Summary!$A6,Detail[AEA],0),2)</f>
        <v>Mississippi Bend AEA 9</v>
      </c>
      <c r="C6" s="2">
        <f>SUMIFS(INDEX(Detail[],0,MATCH(C$1,Detail[#Headers],0)),Detail[AEA],$A6)</f>
        <v>6561.12</v>
      </c>
      <c r="D6" s="3">
        <f>SUMIFS(INDEX(Detail[],0,MATCH(D$1,Detail[#Headers],0)),Detail[AEA],$A6)</f>
        <v>45498.3</v>
      </c>
      <c r="E6" s="2">
        <f>SUMIFS(INDEX(Detail[],0,MATCH(E$1,Detail[#Headers],0)),Detail[AEA],$A6)</f>
        <v>52059.420000000006</v>
      </c>
      <c r="F6" s="4">
        <f>SUMIFS(INDEX(Detail[],0,MATCH(F$1,Detail[#Headers],0)),Detail[AEA],$A6)</f>
        <v>3060</v>
      </c>
      <c r="G6" s="3">
        <f>SUMIFS(INDEX(Detail[],0,MATCH(G$1,Detail[#Headers],0)),Detail[AEA],$A6)</f>
        <v>2.7</v>
      </c>
      <c r="H6" s="4">
        <f>SUMIFS(INDEX(Detail[],0,MATCH(H$1,Detail[#Headers],0)),Detail[AEA],$A6)</f>
        <v>48556</v>
      </c>
      <c r="I6" s="2">
        <f>INDEX(Detail[],MATCH($A6,Detail[AEA],0),MATCH(I$1,Detail[#Headers],0))</f>
        <v>325.18</v>
      </c>
      <c r="J6" s="2">
        <f>INDEX(Detail[],MATCH($A6,Detail[AEA],0),MATCH(J$1,Detail[#Headers],0))</f>
        <v>60.17</v>
      </c>
      <c r="K6" s="2">
        <f>INDEX(Detail[],MATCH($A6,Detail[AEA],0),MATCH(K$1,Detail[#Headers],0))</f>
        <v>65.73</v>
      </c>
    </row>
    <row r="7" spans="1:11" x14ac:dyDescent="0.25">
      <c r="A7" s="1" t="str">
        <f t="array" ref="A7">IFERROR(INDEX(Detail[AEA], MATCH(0,COUNTIF(Summary!$A$2:'Summary'!A6, Detail[AEA]), 0)),"")</f>
        <v>10</v>
      </c>
      <c r="B7" t="str">
        <f>INDEX(Detail[],MATCH(Summary!$A7,Detail[AEA],0),2)</f>
        <v>Grant Wood AEA 10</v>
      </c>
      <c r="C7" s="2">
        <f>SUMIFS(INDEX(Detail[],0,MATCH(C$1,Detail[#Headers],0)),Detail[AEA],$A7)</f>
        <v>8310.6500000000015</v>
      </c>
      <c r="D7" s="3">
        <f>SUMIFS(INDEX(Detail[],0,MATCH(D$1,Detail[#Headers],0)),Detail[AEA],$A7)</f>
        <v>69378.5</v>
      </c>
      <c r="E7" s="2">
        <f>SUMIFS(INDEX(Detail[],0,MATCH(E$1,Detail[#Headers],0)),Detail[AEA],$A7)</f>
        <v>77689.150000000009</v>
      </c>
      <c r="F7" s="4">
        <f>SUMIFS(INDEX(Detail[],0,MATCH(F$1,Detail[#Headers],0)),Detail[AEA],$A7)</f>
        <v>4283</v>
      </c>
      <c r="G7" s="3">
        <f>SUMIFS(INDEX(Detail[],0,MATCH(G$1,Detail[#Headers],0)),Detail[AEA],$A7)</f>
        <v>12.200000000000001</v>
      </c>
      <c r="H7" s="4">
        <f>SUMIFS(INDEX(Detail[],0,MATCH(H$1,Detail[#Headers],0)),Detail[AEA],$A7)</f>
        <v>73649</v>
      </c>
      <c r="I7" s="2">
        <f>INDEX(Detail[],MATCH($A7,Detail[AEA],0),MATCH(I$1,Detail[#Headers],0))</f>
        <v>323.26</v>
      </c>
      <c r="J7" s="2">
        <f>INDEX(Detail[],MATCH($A7,Detail[AEA],0),MATCH(J$1,Detail[#Headers],0))</f>
        <v>60.35</v>
      </c>
      <c r="K7" s="2">
        <f>INDEX(Detail[],MATCH($A7,Detail[AEA],0),MATCH(K$1,Detail[#Headers],0))</f>
        <v>66.33</v>
      </c>
    </row>
    <row r="8" spans="1:11" x14ac:dyDescent="0.25">
      <c r="A8" s="1" t="str">
        <f t="array" ref="A8">IFERROR(INDEX(Detail[AEA], MATCH(0,COUNTIF(Summary!$A$2:'Summary'!A7, Detail[AEA]), 0)),"")</f>
        <v>11</v>
      </c>
      <c r="B8" t="str">
        <f>INDEX(Detail[],MATCH(Summary!$A8,Detail[AEA],0),2)</f>
        <v>Heartland AEA 11</v>
      </c>
      <c r="C8" s="2">
        <f>SUMIFS(INDEX(Detail[],0,MATCH(C$1,Detail[#Headers],0)),Detail[AEA],$A8)</f>
        <v>18534.050000000003</v>
      </c>
      <c r="D8" s="3">
        <f>SUMIFS(INDEX(Detail[],0,MATCH(D$1,Detail[#Headers],0)),Detail[AEA],$A8)</f>
        <v>141056.69999999998</v>
      </c>
      <c r="E8" s="2">
        <f>SUMIFS(INDEX(Detail[],0,MATCH(E$1,Detail[#Headers],0)),Detail[AEA],$A8)</f>
        <v>159590.75000000003</v>
      </c>
      <c r="F8" s="4">
        <f>SUMIFS(INDEX(Detail[],0,MATCH(F$1,Detail[#Headers],0)),Detail[AEA],$A8)</f>
        <v>9710</v>
      </c>
      <c r="G8" s="3">
        <f>SUMIFS(INDEX(Detail[],0,MATCH(G$1,Detail[#Headers],0)),Detail[AEA],$A8)</f>
        <v>52.4</v>
      </c>
      <c r="H8" s="4">
        <f>SUMIFS(INDEX(Detail[],0,MATCH(H$1,Detail[#Headers],0)),Detail[AEA],$A8)</f>
        <v>150716</v>
      </c>
      <c r="I8" s="2">
        <f>INDEX(Detail[],MATCH($A8,Detail[AEA],0),MATCH(I$1,Detail[#Headers],0))</f>
        <v>316.16000000000003</v>
      </c>
      <c r="J8" s="2">
        <f>INDEX(Detail[],MATCH($A8,Detail[AEA],0),MATCH(J$1,Detail[#Headers],0))</f>
        <v>60.23</v>
      </c>
      <c r="K8" s="2">
        <f>INDEX(Detail[],MATCH($A8,Detail[AEA],0),MATCH(K$1,Detail[#Headers],0))</f>
        <v>66.150000000000006</v>
      </c>
    </row>
    <row r="9" spans="1:11" x14ac:dyDescent="0.25">
      <c r="A9" s="1" t="str">
        <f t="array" ref="A9">IFERROR(INDEX(Detail[AEA], MATCH(0,COUNTIF(Summary!$A$2:'Summary'!A8, Detail[AEA]), 0)),"")</f>
        <v>12</v>
      </c>
      <c r="B9" t="str">
        <f>INDEX(Detail[],MATCH(Summary!$A9,Detail[AEA],0),2)</f>
        <v>Northwest AEA</v>
      </c>
      <c r="C9" s="2">
        <f>SUMIFS(INDEX(Detail[],0,MATCH(C$1,Detail[#Headers],0)),Detail[AEA],$A9)</f>
        <v>5813.8200000000006</v>
      </c>
      <c r="D9" s="3">
        <f>SUMIFS(INDEX(Detail[],0,MATCH(D$1,Detail[#Headers],0)),Detail[AEA],$A9)</f>
        <v>39999.700000000012</v>
      </c>
      <c r="E9" s="2">
        <f>SUMIFS(INDEX(Detail[],0,MATCH(E$1,Detail[#Headers],0)),Detail[AEA],$A9)</f>
        <v>45813.520000000004</v>
      </c>
      <c r="F9" s="4">
        <f>SUMIFS(INDEX(Detail[],0,MATCH(F$1,Detail[#Headers],0)),Detail[AEA],$A9)</f>
        <v>5265</v>
      </c>
      <c r="G9" s="3">
        <f>SUMIFS(INDEX(Detail[],0,MATCH(G$1,Detail[#Headers],0)),Detail[AEA],$A9)</f>
        <v>37.299999999999997</v>
      </c>
      <c r="H9" s="4">
        <f>SUMIFS(INDEX(Detail[],0,MATCH(H$1,Detail[#Headers],0)),Detail[AEA],$A9)</f>
        <v>45231</v>
      </c>
      <c r="I9" s="2">
        <f>INDEX(Detail[],MATCH($A9,Detail[AEA],0),MATCH(I$1,Detail[#Headers],0))</f>
        <v>330.8</v>
      </c>
      <c r="J9" s="2">
        <f>INDEX(Detail[],MATCH($A9,Detail[AEA],0),MATCH(J$1,Detail[#Headers],0))</f>
        <v>60.64</v>
      </c>
      <c r="K9" s="2">
        <f>INDEX(Detail[],MATCH($A9,Detail[AEA],0),MATCH(K$1,Detail[#Headers],0))</f>
        <v>67.930000000000007</v>
      </c>
    </row>
    <row r="10" spans="1:11" x14ac:dyDescent="0.25">
      <c r="A10" s="1" t="str">
        <f t="array" ref="A10">IFERROR(INDEX(Detail[AEA], MATCH(0,COUNTIF(Summary!$A$2:'Summary'!A9, Detail[AEA]), 0)),"")</f>
        <v>13</v>
      </c>
      <c r="B10" t="str">
        <f>INDEX(Detail[],MATCH(Summary!$A10,Detail[AEA],0),2)</f>
        <v>Green Hills AEA 13</v>
      </c>
      <c r="C10" s="2">
        <f>SUMIFS(INDEX(Detail[],0,MATCH(C$1,Detail[#Headers],0)),Detail[AEA],$A10)</f>
        <v>5815.97</v>
      </c>
      <c r="D10" s="3">
        <f>SUMIFS(INDEX(Detail[],0,MATCH(D$1,Detail[#Headers],0)),Detail[AEA],$A10)</f>
        <v>36676.999999999993</v>
      </c>
      <c r="E10" s="2">
        <f>SUMIFS(INDEX(Detail[],0,MATCH(E$1,Detail[#Headers],0)),Detail[AEA],$A10)</f>
        <v>42492.97</v>
      </c>
      <c r="F10" s="4">
        <f>SUMIFS(INDEX(Detail[],0,MATCH(F$1,Detail[#Headers],0)),Detail[AEA],$A10)</f>
        <v>1011</v>
      </c>
      <c r="G10" s="3">
        <f>SUMIFS(INDEX(Detail[],0,MATCH(G$1,Detail[#Headers],0)),Detail[AEA],$A10)</f>
        <v>3</v>
      </c>
      <c r="H10" s="4">
        <f>SUMIFS(INDEX(Detail[],0,MATCH(H$1,Detail[#Headers],0)),Detail[AEA],$A10)</f>
        <v>37686</v>
      </c>
      <c r="I10" s="2">
        <f>INDEX(Detail[],MATCH($A10,Detail[AEA],0),MATCH(I$1,Detail[#Headers],0))</f>
        <v>324.22000000000003</v>
      </c>
      <c r="J10" s="2">
        <f>INDEX(Detail[],MATCH($A10,Detail[AEA],0),MATCH(J$1,Detail[#Headers],0))</f>
        <v>60.36</v>
      </c>
      <c r="K10" s="2">
        <f>INDEX(Detail[],MATCH($A10,Detail[AEA],0),MATCH(K$1,Detail[#Headers],0))</f>
        <v>66.73</v>
      </c>
    </row>
    <row r="11" spans="1:11" x14ac:dyDescent="0.25">
      <c r="A11" s="1" t="str">
        <f t="array" ref="A11">IFERROR(INDEX(Detail[AEA], MATCH(0,COUNTIF(Summary!$A$2:'Summary'!A10, Detail[AEA]), 0)),"")</f>
        <v>15</v>
      </c>
      <c r="B11" t="str">
        <f>INDEX(Detail[],MATCH(Summary!$A11,Detail[AEA],0),2)</f>
        <v>Great Prairie AEA 15</v>
      </c>
      <c r="C11" s="2">
        <f>SUMIFS(INDEX(Detail[],0,MATCH(C$1,Detail[#Headers],0)),Detail[AEA],$A11)</f>
        <v>4726.1600000000017</v>
      </c>
      <c r="D11" s="3">
        <f>SUMIFS(INDEX(Detail[],0,MATCH(D$1,Detail[#Headers],0)),Detail[AEA],$A11)</f>
        <v>33829.899999999994</v>
      </c>
      <c r="E11" s="2">
        <f>SUMIFS(INDEX(Detail[],0,MATCH(E$1,Detail[#Headers],0)),Detail[AEA],$A11)</f>
        <v>38556.05999999999</v>
      </c>
      <c r="F11" s="4">
        <f>SUMIFS(INDEX(Detail[],0,MATCH(F$1,Detail[#Headers],0)),Detail[AEA],$A11)</f>
        <v>1211</v>
      </c>
      <c r="G11" s="3">
        <f>SUMIFS(INDEX(Detail[],0,MATCH(G$1,Detail[#Headers],0)),Detail[AEA],$A11)</f>
        <v>6.6999999999999993</v>
      </c>
      <c r="H11" s="4">
        <f>SUMIFS(INDEX(Detail[],0,MATCH(H$1,Detail[#Headers],0)),Detail[AEA],$A11)</f>
        <v>35034</v>
      </c>
      <c r="I11" s="2">
        <f>INDEX(Detail[],MATCH($A11,Detail[AEA],0),MATCH(I$1,Detail[#Headers],0))</f>
        <v>321.58</v>
      </c>
      <c r="J11" s="2">
        <f>INDEX(Detail[],MATCH($A11,Detail[AEA],0),MATCH(J$1,Detail[#Headers],0))</f>
        <v>60.33</v>
      </c>
      <c r="K11" s="2">
        <f>INDEX(Detail[],MATCH($A11,Detail[AEA],0),MATCH(K$1,Detail[#Headers],0))</f>
        <v>66.3</v>
      </c>
    </row>
    <row r="12" spans="1:11" ht="15.75" thickBot="1" x14ac:dyDescent="0.3">
      <c r="C12" s="9">
        <f t="shared" ref="C12:H12" si="0">SUM(C3:C11)</f>
        <v>67479.040000000008</v>
      </c>
      <c r="D12" s="19">
        <f t="shared" si="0"/>
        <v>485630.39999999991</v>
      </c>
      <c r="E12" s="9">
        <f t="shared" si="0"/>
        <v>553109.43999999994</v>
      </c>
      <c r="F12" s="12">
        <f t="shared" si="0"/>
        <v>33597</v>
      </c>
      <c r="G12" s="19">
        <f t="shared" si="0"/>
        <v>192.39999999999998</v>
      </c>
      <c r="H12" s="12">
        <f t="shared" si="0"/>
        <v>519043</v>
      </c>
    </row>
    <row r="13" spans="1:11" ht="7.5" customHeight="1" thickTop="1" x14ac:dyDescent="0.25"/>
    <row r="14" spans="1:11" ht="93" hidden="1" customHeight="1" x14ac:dyDescent="0.25">
      <c r="A14" s="14"/>
      <c r="B14" s="14"/>
      <c r="C14" s="13" t="str">
        <f>Detail[[#Headers],[AEA Teacher Salary Supplement District Cost Per Pupil]]</f>
        <v>AEA Teacher Salary Supplement District Cost Per Pupil</v>
      </c>
      <c r="D14" s="13" t="str">
        <f>Detail[[#Headers],[Professional Development Supplement District Cost Per Pupil]]</f>
        <v>Professional Development Supplement District Cost Per Pupil</v>
      </c>
      <c r="E14" s="13" t="str">
        <f>Detail[[#Headers],[AEA Special Ed Support District Cost without Adjustment]]</f>
        <v>AEA Special Ed Support District Cost without Adjustment</v>
      </c>
      <c r="F14" s="13" t="str">
        <f>Detail[[#Headers],[AEA Special Ed Support Adjustment]]</f>
        <v>AEA Special Ed Support Adjustment</v>
      </c>
      <c r="G14" s="13" t="str">
        <f>Detail[[#Headers],[Special Education Total Cost]]</f>
        <v>Special Education Total Cost</v>
      </c>
      <c r="H14" s="13" t="str">
        <f>Detail[[#Headers],[AEA Media Services District Cost]]</f>
        <v>AEA Media Services District Cost</v>
      </c>
      <c r="I14" s="13" t="str">
        <f>Detail[[#Headers],[AEA Ed Services District Cost]]</f>
        <v>AEA Ed Services District Cost</v>
      </c>
      <c r="J14" s="13" t="str">
        <f>Detail[[#Headers],[AEA Sharing District Cost]]</f>
        <v>AEA Sharing District Cost</v>
      </c>
      <c r="K14" s="14"/>
    </row>
    <row r="15" spans="1:11" ht="31.5" customHeight="1" x14ac:dyDescent="0.25">
      <c r="A15" s="6" t="str">
        <f>A2</f>
        <v>AEA</v>
      </c>
      <c r="B15" s="6" t="str">
        <f>B2</f>
        <v>AEA Name</v>
      </c>
      <c r="C15" s="8" t="s">
        <v>378</v>
      </c>
      <c r="D15" s="8" t="s">
        <v>379</v>
      </c>
      <c r="E15" s="8" t="s">
        <v>380</v>
      </c>
      <c r="F15" s="8" t="s">
        <v>381</v>
      </c>
      <c r="G15" s="8" t="s">
        <v>382</v>
      </c>
      <c r="H15" s="8" t="s">
        <v>383</v>
      </c>
      <c r="I15" s="8" t="s">
        <v>384</v>
      </c>
      <c r="J15" s="8" t="s">
        <v>385</v>
      </c>
      <c r="K15" s="11"/>
    </row>
    <row r="16" spans="1:11" x14ac:dyDescent="0.25">
      <c r="A16" t="str">
        <f t="shared" ref="A16:B16" si="1">A3</f>
        <v>01</v>
      </c>
      <c r="B16" t="str">
        <f t="shared" si="1"/>
        <v>Keystone AEA 1</v>
      </c>
      <c r="C16" s="2">
        <f>INDEX(Detail[],MATCH($A16,Detail[AEA],0),MATCH(C$14,Detail[#Headers],0))</f>
        <v>33.47</v>
      </c>
      <c r="D16" s="2">
        <f>INDEX(Detail[],MATCH($A16,Detail[AEA],0),MATCH(D$14,Detail[#Headers],0))</f>
        <v>3.62</v>
      </c>
      <c r="E16" s="4">
        <f>SUMIFS(INDEX(Detail[],0,MATCH(E$14,Detail[#Headers],0)),Detail[AEA],$A16)</f>
        <v>10892639</v>
      </c>
      <c r="F16" s="4">
        <f>SUMIFS(INDEX(Detail[],0,MATCH(F$14,Detail[#Headers],0)),Detail[AEA],$A16)</f>
        <v>32188</v>
      </c>
      <c r="G16" s="4">
        <f>SUMIFS(INDEX(Detail[],0,MATCH(G$14,Detail[#Headers],0)),Detail[AEA],$A16)</f>
        <v>10924827</v>
      </c>
      <c r="H16" s="4">
        <f>SUMIFS(INDEX(Detail[],0,MATCH(H$14,Detail[#Headers],0)),Detail[AEA],$A16)</f>
        <v>1916940</v>
      </c>
      <c r="I16" s="4">
        <f>SUMIFS(INDEX(Detail[],0,MATCH(I$14,Detail[#Headers],0)),Detail[AEA],$A16)</f>
        <v>2136044</v>
      </c>
      <c r="J16" s="4">
        <f>SUMIFS(INDEX(Detail[],0,MATCH(J$14,Detail[#Headers],0)),Detail[AEA],$A16)</f>
        <v>30002</v>
      </c>
    </row>
    <row r="17" spans="1:16" x14ac:dyDescent="0.25">
      <c r="A17" t="str">
        <f t="shared" ref="A17:B17" si="2">A4</f>
        <v>05</v>
      </c>
      <c r="B17" t="str">
        <f t="shared" si="2"/>
        <v>Prairie Lakes AEA 8</v>
      </c>
      <c r="C17" s="2">
        <f>INDEX(Detail[],MATCH($A17,Detail[AEA],0),MATCH(C$14,Detail[#Headers],0))</f>
        <v>35.43</v>
      </c>
      <c r="D17" s="2">
        <f>INDEX(Detail[],MATCH($A17,Detail[AEA],0),MATCH(D$14,Detail[#Headers],0))</f>
        <v>4.21</v>
      </c>
      <c r="E17" s="4">
        <f>SUMIFS(INDEX(Detail[],0,MATCH(E$14,Detail[#Headers],0)),Detail[AEA],$A17)</f>
        <v>11385351</v>
      </c>
      <c r="F17" s="4">
        <f>SUMIFS(INDEX(Detail[],0,MATCH(F$14,Detail[#Headers],0)),Detail[AEA],$A17)</f>
        <v>119140</v>
      </c>
      <c r="G17" s="4">
        <f>SUMIFS(INDEX(Detail[],0,MATCH(G$14,Detail[#Headers],0)),Detail[AEA],$A17)</f>
        <v>11504491</v>
      </c>
      <c r="H17" s="4">
        <f>SUMIFS(INDEX(Detail[],0,MATCH(H$14,Detail[#Headers],0)),Detail[AEA],$A17)</f>
        <v>1942415</v>
      </c>
      <c r="I17" s="4">
        <f>SUMIFS(INDEX(Detail[],0,MATCH(I$14,Detail[#Headers],0)),Detail[AEA],$A17)</f>
        <v>2176620</v>
      </c>
      <c r="J17" s="4">
        <f>SUMIFS(INDEX(Detail[],0,MATCH(J$14,Detail[#Headers],0)),Detail[AEA],$A17)</f>
        <v>0</v>
      </c>
    </row>
    <row r="18" spans="1:16" x14ac:dyDescent="0.25">
      <c r="A18" t="str">
        <f t="shared" ref="A18:B18" si="3">A5</f>
        <v>07</v>
      </c>
      <c r="B18" t="str">
        <f t="shared" si="3"/>
        <v>Central Rivers</v>
      </c>
      <c r="C18" s="2">
        <f>INDEX(Detail[],MATCH($A18,Detail[AEA],0),MATCH(C$14,Detail[#Headers],0))</f>
        <v>40.700000000000003</v>
      </c>
      <c r="D18" s="2">
        <f>INDEX(Detail[],MATCH($A18,Detail[AEA],0),MATCH(D$14,Detail[#Headers],0))</f>
        <v>4.68</v>
      </c>
      <c r="E18" s="4">
        <f>SUMIFS(INDEX(Detail[],0,MATCH(E$14,Detail[#Headers],0)),Detail[AEA],$A18)</f>
        <v>23140792</v>
      </c>
      <c r="F18" s="4">
        <f>SUMIFS(INDEX(Detail[],0,MATCH(F$14,Detail[#Headers],0)),Detail[AEA],$A18)</f>
        <v>228348</v>
      </c>
      <c r="G18" s="4">
        <f>SUMIFS(INDEX(Detail[],0,MATCH(G$14,Detail[#Headers],0)),Detail[AEA],$A18)</f>
        <v>23369140</v>
      </c>
      <c r="H18" s="4">
        <f>SUMIFS(INDEX(Detail[],0,MATCH(H$14,Detail[#Headers],0)),Detail[AEA],$A18)</f>
        <v>3916147</v>
      </c>
      <c r="I18" s="4">
        <f>SUMIFS(INDEX(Detail[],0,MATCH(I$14,Detail[#Headers],0)),Detail[AEA],$A18)</f>
        <v>4367412</v>
      </c>
      <c r="J18" s="4">
        <f>SUMIFS(INDEX(Detail[],0,MATCH(J$14,Detail[#Headers],0)),Detail[AEA],$A18)</f>
        <v>30001</v>
      </c>
    </row>
    <row r="19" spans="1:16" x14ac:dyDescent="0.25">
      <c r="A19" t="str">
        <f t="shared" ref="A19:B19" si="4">A6</f>
        <v>09</v>
      </c>
      <c r="B19" t="str">
        <f t="shared" si="4"/>
        <v>Mississippi Bend AEA 9</v>
      </c>
      <c r="C19" s="2">
        <f>INDEX(Detail[],MATCH($A19,Detail[AEA],0),MATCH(C$14,Detail[#Headers],0))</f>
        <v>29.77</v>
      </c>
      <c r="D19" s="2">
        <f>INDEX(Detail[],MATCH($A19,Detail[AEA],0),MATCH(D$14,Detail[#Headers],0))</f>
        <v>3.49</v>
      </c>
      <c r="E19" s="4">
        <f>SUMIFS(INDEX(Detail[],0,MATCH(E$14,Detail[#Headers],0)),Detail[AEA],$A19)</f>
        <v>16928684</v>
      </c>
      <c r="F19" s="4">
        <f>SUMIFS(INDEX(Detail[],0,MATCH(F$14,Detail[#Headers],0)),Detail[AEA],$A19)</f>
        <v>184554</v>
      </c>
      <c r="G19" s="4">
        <f>SUMIFS(INDEX(Detail[],0,MATCH(G$14,Detail[#Headers],0)),Detail[AEA],$A19)</f>
        <v>17113238</v>
      </c>
      <c r="H19" s="4">
        <f>SUMIFS(INDEX(Detail[],0,MATCH(H$14,Detail[#Headers],0)),Detail[AEA],$A19)</f>
        <v>2921615</v>
      </c>
      <c r="I19" s="4">
        <f>SUMIFS(INDEX(Detail[],0,MATCH(I$14,Detail[#Headers],0)),Detail[AEA],$A19)</f>
        <v>3191586</v>
      </c>
      <c r="J19" s="4">
        <f>SUMIFS(INDEX(Detail[],0,MATCH(J$14,Detail[#Headers],0)),Detail[AEA],$A19)</f>
        <v>30001</v>
      </c>
    </row>
    <row r="20" spans="1:16" x14ac:dyDescent="0.25">
      <c r="A20" t="str">
        <f t="shared" ref="A20:B20" si="5">A7</f>
        <v>10</v>
      </c>
      <c r="B20" t="str">
        <f t="shared" si="5"/>
        <v>Grant Wood AEA 10</v>
      </c>
      <c r="C20" s="2">
        <f>INDEX(Detail[],MATCH($A20,Detail[AEA],0),MATCH(C$14,Detail[#Headers],0))</f>
        <v>30.52</v>
      </c>
      <c r="D20" s="2">
        <f>INDEX(Detail[],MATCH($A20,Detail[AEA],0),MATCH(D$14,Detail[#Headers],0))</f>
        <v>3.55</v>
      </c>
      <c r="E20" s="4">
        <f>SUMIFS(INDEX(Detail[],0,MATCH(E$14,Detail[#Headers],0)),Detail[AEA],$A20)</f>
        <v>25113798</v>
      </c>
      <c r="F20" s="4">
        <f>SUMIFS(INDEX(Detail[],0,MATCH(F$14,Detail[#Headers],0)),Detail[AEA],$A20)</f>
        <v>100491</v>
      </c>
      <c r="G20" s="4">
        <f>SUMIFS(INDEX(Detail[],0,MATCH(G$14,Detail[#Headers],0)),Detail[AEA],$A20)</f>
        <v>25214289</v>
      </c>
      <c r="H20" s="4">
        <f>SUMIFS(INDEX(Detail[],0,MATCH(H$14,Detail[#Headers],0)),Detail[AEA],$A20)</f>
        <v>4444716</v>
      </c>
      <c r="I20" s="4">
        <f>SUMIFS(INDEX(Detail[],0,MATCH(I$14,Detail[#Headers],0)),Detail[AEA],$A20)</f>
        <v>4885140</v>
      </c>
      <c r="J20" s="4">
        <f>SUMIFS(INDEX(Detail[],0,MATCH(J$14,Detail[#Headers],0)),Detail[AEA],$A20)</f>
        <v>30000</v>
      </c>
    </row>
    <row r="21" spans="1:16" x14ac:dyDescent="0.25">
      <c r="A21" t="str">
        <f t="shared" ref="A21:B21" si="6">A8</f>
        <v>11</v>
      </c>
      <c r="B21" t="str">
        <f t="shared" si="6"/>
        <v>Heartland AEA 11</v>
      </c>
      <c r="C21" s="2">
        <f>INDEX(Detail[],MATCH($A21,Detail[AEA],0),MATCH(C$14,Detail[#Headers],0))</f>
        <v>26.75</v>
      </c>
      <c r="D21" s="2">
        <f>INDEX(Detail[],MATCH($A21,Detail[AEA],0),MATCH(D$14,Detail[#Headers],0))</f>
        <v>3.36</v>
      </c>
      <c r="E21" s="4">
        <f>SUMIFS(INDEX(Detail[],0,MATCH(E$14,Detail[#Headers],0)),Detail[AEA],$A21)</f>
        <v>50456211</v>
      </c>
      <c r="F21" s="4">
        <f>SUMIFS(INDEX(Detail[],0,MATCH(F$14,Detail[#Headers],0)),Detail[AEA],$A21)</f>
        <v>67805</v>
      </c>
      <c r="G21" s="4">
        <f>SUMIFS(INDEX(Detail[],0,MATCH(G$14,Detail[#Headers],0)),Detail[AEA],$A21)</f>
        <v>50524016</v>
      </c>
      <c r="H21" s="4">
        <f>SUMIFS(INDEX(Detail[],0,MATCH(H$14,Detail[#Headers],0)),Detail[AEA],$A21)</f>
        <v>9077623</v>
      </c>
      <c r="I21" s="4">
        <f>SUMIFS(INDEX(Detail[],0,MATCH(I$14,Detail[#Headers],0)),Detail[AEA],$A21)</f>
        <v>9969861</v>
      </c>
      <c r="J21" s="4">
        <f>SUMIFS(INDEX(Detail[],0,MATCH(J$14,Detail[#Headers],0)),Detail[AEA],$A21)</f>
        <v>0</v>
      </c>
    </row>
    <row r="22" spans="1:16" x14ac:dyDescent="0.25">
      <c r="A22" t="str">
        <f t="shared" ref="A22:B22" si="7">A9</f>
        <v>12</v>
      </c>
      <c r="B22" t="str">
        <f t="shared" si="7"/>
        <v>Northwest AEA</v>
      </c>
      <c r="C22" s="2">
        <f>INDEX(Detail[],MATCH($A22,Detail[AEA],0),MATCH(C$14,Detail[#Headers],0))</f>
        <v>33.31</v>
      </c>
      <c r="D22" s="2">
        <f>INDEX(Detail[],MATCH($A22,Detail[AEA],0),MATCH(D$14,Detail[#Headers],0))</f>
        <v>3.97</v>
      </c>
      <c r="E22" s="4">
        <f>SUMIFS(INDEX(Detail[],0,MATCH(E$14,Detail[#Headers],0)),Detail[AEA],$A22)</f>
        <v>15155113</v>
      </c>
      <c r="F22" s="4">
        <f>SUMIFS(INDEX(Detail[],0,MATCH(F$14,Detail[#Headers],0)),Detail[AEA],$A22)</f>
        <v>59137</v>
      </c>
      <c r="G22" s="4">
        <f>SUMIFS(INDEX(Detail[],0,MATCH(G$14,Detail[#Headers],0)),Detail[AEA],$A22)</f>
        <v>15214250</v>
      </c>
      <c r="H22" s="4">
        <f>SUMIFS(INDEX(Detail[],0,MATCH(H$14,Detail[#Headers],0)),Detail[AEA],$A22)</f>
        <v>2742807</v>
      </c>
      <c r="I22" s="4">
        <f>SUMIFS(INDEX(Detail[],0,MATCH(I$14,Detail[#Headers],0)),Detail[AEA],$A22)</f>
        <v>3072541</v>
      </c>
      <c r="J22" s="4">
        <f>SUMIFS(INDEX(Detail[],0,MATCH(J$14,Detail[#Headers],0)),Detail[AEA],$A22)</f>
        <v>30001</v>
      </c>
    </row>
    <row r="23" spans="1:16" x14ac:dyDescent="0.25">
      <c r="A23" t="str">
        <f t="shared" ref="A23:B23" si="8">A10</f>
        <v>13</v>
      </c>
      <c r="B23" t="str">
        <f t="shared" si="8"/>
        <v>Green Hills AEA 13</v>
      </c>
      <c r="C23" s="2">
        <f>INDEX(Detail[],MATCH($A23,Detail[AEA],0),MATCH(C$14,Detail[#Headers],0))</f>
        <v>33.29</v>
      </c>
      <c r="D23" s="2">
        <f>INDEX(Detail[],MATCH($A23,Detail[AEA],0),MATCH(D$14,Detail[#Headers],0))</f>
        <v>3.58</v>
      </c>
      <c r="E23" s="4">
        <f>SUMIFS(INDEX(Detail[],0,MATCH(E$14,Detail[#Headers],0)),Detail[AEA],$A23)</f>
        <v>13777070</v>
      </c>
      <c r="F23" s="4">
        <f>SUMIFS(INDEX(Detail[],0,MATCH(F$14,Detail[#Headers],0)),Detail[AEA],$A23)</f>
        <v>83363</v>
      </c>
      <c r="G23" s="4">
        <f>SUMIFS(INDEX(Detail[],0,MATCH(G$14,Detail[#Headers],0)),Detail[AEA],$A23)</f>
        <v>13860433</v>
      </c>
      <c r="H23" s="4">
        <f>SUMIFS(INDEX(Detail[],0,MATCH(H$14,Detail[#Headers],0)),Detail[AEA],$A23)</f>
        <v>2274728</v>
      </c>
      <c r="I23" s="4">
        <f>SUMIFS(INDEX(Detail[],0,MATCH(I$14,Detail[#Headers],0)),Detail[AEA],$A23)</f>
        <v>2514787</v>
      </c>
      <c r="J23" s="4">
        <f>SUMIFS(INDEX(Detail[],0,MATCH(J$14,Detail[#Headers],0)),Detail[AEA],$A23)</f>
        <v>30001</v>
      </c>
    </row>
    <row r="24" spans="1:16" x14ac:dyDescent="0.25">
      <c r="A24" t="str">
        <f t="shared" ref="A24:B24" si="9">A11</f>
        <v>15</v>
      </c>
      <c r="B24" t="str">
        <f t="shared" si="9"/>
        <v>Great Prairie AEA 15</v>
      </c>
      <c r="C24" s="2">
        <f>INDEX(Detail[],MATCH($A24,Detail[AEA],0),MATCH(C$14,Detail[#Headers],0))</f>
        <v>32.299999999999997</v>
      </c>
      <c r="D24" s="2">
        <f>INDEX(Detail[],MATCH($A24,Detail[AEA],0),MATCH(D$14,Detail[#Headers],0))</f>
        <v>3.53</v>
      </c>
      <c r="E24" s="4">
        <f>SUMIFS(INDEX(Detail[],0,MATCH(E$14,Detail[#Headers],0)),Detail[AEA],$A24)</f>
        <v>12398858</v>
      </c>
      <c r="F24" s="4">
        <f>SUMIFS(INDEX(Detail[],0,MATCH(F$14,Detail[#Headers],0)),Detail[AEA],$A24)</f>
        <v>86612</v>
      </c>
      <c r="G24" s="4">
        <f>SUMIFS(INDEX(Detail[],0,MATCH(G$14,Detail[#Headers],0)),Detail[AEA],$A24)</f>
        <v>12485470</v>
      </c>
      <c r="H24" s="4">
        <f>SUMIFS(INDEX(Detail[],0,MATCH(H$14,Detail[#Headers],0)),Detail[AEA],$A24)</f>
        <v>2113603</v>
      </c>
      <c r="I24" s="4">
        <f>SUMIFS(INDEX(Detail[],0,MATCH(I$14,Detail[#Headers],0)),Detail[AEA],$A24)</f>
        <v>2322760</v>
      </c>
      <c r="J24" s="4">
        <f>SUMIFS(INDEX(Detail[],0,MATCH(J$14,Detail[#Headers],0)),Detail[AEA],$A24)</f>
        <v>30001</v>
      </c>
    </row>
    <row r="25" spans="1:16" ht="15.75" thickBot="1" x14ac:dyDescent="0.3">
      <c r="E25" s="12">
        <f t="shared" ref="E25:J25" si="10">SUM(E16:E24)</f>
        <v>179248516</v>
      </c>
      <c r="F25" s="12">
        <f t="shared" si="10"/>
        <v>961638</v>
      </c>
      <c r="G25" s="12">
        <f t="shared" si="10"/>
        <v>180210154</v>
      </c>
      <c r="H25" s="12">
        <f t="shared" si="10"/>
        <v>31350594</v>
      </c>
      <c r="I25" s="12">
        <f t="shared" si="10"/>
        <v>34636751</v>
      </c>
      <c r="J25" s="12">
        <f t="shared" si="10"/>
        <v>210007</v>
      </c>
    </row>
    <row r="26" spans="1:16" ht="7.5" customHeight="1" thickTop="1" x14ac:dyDescent="0.25">
      <c r="F26" s="4"/>
      <c r="G26" s="4"/>
      <c r="H26" s="4"/>
      <c r="I26" s="4"/>
      <c r="J26" s="4"/>
    </row>
    <row r="27" spans="1:16" ht="81.75" hidden="1" customHeight="1" x14ac:dyDescent="0.25">
      <c r="A27" s="14"/>
      <c r="B27" s="14"/>
      <c r="C27" s="13" t="str">
        <f>Detail[[#Headers],[AEA Teacher Salary Supplement District Cost]]</f>
        <v>AEA Teacher Salary Supplement District Cost</v>
      </c>
      <c r="D27" s="13" t="str">
        <f>Detail[[#Headers],[AEA Professional Development Supplement District Cost]]</f>
        <v>AEA Professional Development Supplement District Cost</v>
      </c>
      <c r="E27" s="13" t="str">
        <f>Detail[[#Headers],[Subtotal Budget]]</f>
        <v>Subtotal Budget</v>
      </c>
      <c r="F27" s="13" t="str">
        <f>Detail[[#Headers],[AEA Statewide State Aid Reduction]]</f>
        <v>AEA Statewide State Aid Reduction</v>
      </c>
      <c r="G27" s="13" t="str">
        <f>Detail[[#Headers],[Total Budget]]</f>
        <v>Total Budget</v>
      </c>
      <c r="H27" s="13" t="str">
        <f>Detail[[#Headers],[State Aid Portion]]</f>
        <v>State Aid Portion</v>
      </c>
      <c r="I27" s="13" t="str">
        <f>Detail[[#Headers],[Property Tax Portion]]</f>
        <v>Property Tax Portion</v>
      </c>
      <c r="J27" s="17"/>
    </row>
    <row r="28" spans="1:16" ht="45" x14ac:dyDescent="0.25">
      <c r="A28" s="6" t="str">
        <f>A15</f>
        <v>AEA</v>
      </c>
      <c r="B28" s="6" t="str">
        <f>B15</f>
        <v>AEA Name</v>
      </c>
      <c r="C28" s="8" t="s">
        <v>386</v>
      </c>
      <c r="D28" s="8" t="s">
        <v>391</v>
      </c>
      <c r="E28" s="8" t="s">
        <v>360</v>
      </c>
      <c r="F28" s="8" t="s">
        <v>387</v>
      </c>
      <c r="G28" s="8" t="s">
        <v>362</v>
      </c>
      <c r="H28" s="8" t="s">
        <v>388</v>
      </c>
      <c r="I28" s="15" t="s">
        <v>389</v>
      </c>
      <c r="J28" s="16"/>
      <c r="L28" s="16" t="s">
        <v>745</v>
      </c>
      <c r="M28" s="35" t="s">
        <v>746</v>
      </c>
    </row>
    <row r="29" spans="1:16" x14ac:dyDescent="0.25">
      <c r="A29" t="str">
        <f t="shared" ref="A29:B29" si="11">A16</f>
        <v>01</v>
      </c>
      <c r="B29" t="str">
        <f t="shared" si="11"/>
        <v>Keystone AEA 1</v>
      </c>
      <c r="C29" s="4">
        <f>SUMIFS(INDEX(Detail[],0,MATCH(C$27,Detail[#Headers],0)),Detail[AEA],$A29)</f>
        <v>1078327</v>
      </c>
      <c r="D29" s="4">
        <f>SUMIFS(INDEX(Detail[],0,MATCH(D$27,Detail[#Headers],0)),Detail[AEA],$A29)</f>
        <v>116624</v>
      </c>
      <c r="E29" s="4">
        <f>SUMIFS(INDEX(Detail[],0,MATCH(E$27,Detail[#Headers],0)),Detail[AEA],$A29)</f>
        <v>16202764</v>
      </c>
      <c r="F29" s="4">
        <f>SUMIFS(INDEX(Detail[],0,MATCH(F$27,Detail[#Headers],0)),Detail[AEA],$A29)</f>
        <v>1713114</v>
      </c>
      <c r="G29" s="4">
        <f>SUMIFS(INDEX(Detail[],0,MATCH(G$27,Detail[#Headers],0)),Detail[AEA],$A29)</f>
        <v>14489650</v>
      </c>
      <c r="H29" s="4">
        <f>SUMIFS(INDEX(Detail[],0,MATCH(H$27,Detail[#Headers],0)),Detail[AEA],$A29)</f>
        <v>7744340</v>
      </c>
      <c r="I29" s="4">
        <f>SUMIFS(INDEX(Detail[],0,MATCH(I$27,Detail[#Headers],0)),Detail[AEA],$A29)</f>
        <v>6745310</v>
      </c>
      <c r="J29" s="18"/>
      <c r="L29" s="36" t="s">
        <v>744</v>
      </c>
      <c r="M29" s="36"/>
    </row>
    <row r="30" spans="1:16" x14ac:dyDescent="0.25">
      <c r="A30" t="str">
        <f t="shared" ref="A30:B30" si="12">A17</f>
        <v>05</v>
      </c>
      <c r="B30" t="str">
        <f t="shared" si="12"/>
        <v>Prairie Lakes AEA 8</v>
      </c>
      <c r="C30" s="4">
        <f>SUMIFS(INDEX(Detail[],0,MATCH(C$27,Detail[#Headers],0)),Detail[AEA],$A30)</f>
        <v>1211494</v>
      </c>
      <c r="D30" s="4">
        <f>SUMIFS(INDEX(Detail[],0,MATCH(D$27,Detail[#Headers],0)),Detail[AEA],$A30)</f>
        <v>143978</v>
      </c>
      <c r="E30" s="4">
        <f>SUMIFS(INDEX(Detail[],0,MATCH(E$27,Detail[#Headers],0)),Detail[AEA],$A30)</f>
        <v>16978998</v>
      </c>
      <c r="F30" s="4">
        <f>SUMIFS(INDEX(Detail[],0,MATCH(F$27,Detail[#Headers],0)),Detail[AEA],$A30)</f>
        <v>1841660</v>
      </c>
      <c r="G30" s="4">
        <f>SUMIFS(INDEX(Detail[],0,MATCH(G$27,Detail[#Headers],0)),Detail[AEA],$A30)</f>
        <v>15137338</v>
      </c>
      <c r="H30" s="4">
        <f>SUMIFS(INDEX(Detail[],0,MATCH(H$27,Detail[#Headers],0)),Detail[AEA],$A30)</f>
        <v>8235873</v>
      </c>
      <c r="I30" s="4">
        <f>SUMIFS(INDEX(Detail[],0,MATCH(I$27,Detail[#Headers],0)),Detail[AEA],$A30)</f>
        <v>6901465</v>
      </c>
      <c r="J30" s="18"/>
      <c r="L30" s="36"/>
      <c r="M30" s="36"/>
    </row>
    <row r="31" spans="1:16" x14ac:dyDescent="0.25">
      <c r="A31" t="str">
        <f t="shared" ref="A31:B31" si="13">A18</f>
        <v>07</v>
      </c>
      <c r="B31" t="str">
        <f t="shared" si="13"/>
        <v>Central Rivers</v>
      </c>
      <c r="C31" s="4">
        <f>SUMIFS(INDEX(Detail[],0,MATCH(C$27,Detail[#Headers],0)),Detail[AEA],$A31)</f>
        <v>2880300</v>
      </c>
      <c r="D31" s="4">
        <f>SUMIFS(INDEX(Detail[],0,MATCH(D$27,Detail[#Headers],0)),Detail[AEA],$A31)</f>
        <v>331234</v>
      </c>
      <c r="E31" s="4">
        <f>SUMIFS(INDEX(Detail[],0,MATCH(E$27,Detail[#Headers],0)),Detail[AEA],$A31)</f>
        <v>34894234</v>
      </c>
      <c r="F31" s="4">
        <f>SUMIFS(INDEX(Detail[],0,MATCH(F$27,Detail[#Headers],0)),Detail[AEA],$A31)</f>
        <v>3478978</v>
      </c>
      <c r="G31" s="4">
        <f>SUMIFS(INDEX(Detail[],0,MATCH(G$27,Detail[#Headers],0)),Detail[AEA],$A31)</f>
        <v>31415256</v>
      </c>
      <c r="H31" s="4">
        <f>SUMIFS(INDEX(Detail[],0,MATCH(H$27,Detail[#Headers],0)),Detail[AEA],$A31)</f>
        <v>17842475</v>
      </c>
      <c r="I31" s="4">
        <f>SUMIFS(INDEX(Detail[],0,MATCH(I$27,Detail[#Headers],0)),Detail[AEA],$A31)</f>
        <v>13572781</v>
      </c>
      <c r="J31" s="18"/>
      <c r="L31" s="36"/>
      <c r="M31" s="36"/>
      <c r="O31" s="4"/>
      <c r="P31" s="4"/>
    </row>
    <row r="32" spans="1:16" x14ac:dyDescent="0.25">
      <c r="A32" t="str">
        <f t="shared" ref="A32:B32" si="14">A19</f>
        <v>09</v>
      </c>
      <c r="B32" t="str">
        <f t="shared" si="14"/>
        <v>Mississippi Bend AEA 9</v>
      </c>
      <c r="C32" s="4">
        <f>SUMIFS(INDEX(Detail[],0,MATCH(C$27,Detail[#Headers],0)),Detail[AEA],$A32)</f>
        <v>1551088</v>
      </c>
      <c r="D32" s="4">
        <f>SUMIFS(INDEX(Detail[],0,MATCH(D$27,Detail[#Headers],0)),Detail[AEA],$A32)</f>
        <v>181851</v>
      </c>
      <c r="E32" s="4">
        <f>SUMIFS(INDEX(Detail[],0,MATCH(E$27,Detail[#Headers],0)),Detail[AEA],$A32)</f>
        <v>24989379</v>
      </c>
      <c r="F32" s="4">
        <f>SUMIFS(INDEX(Detail[],0,MATCH(F$27,Detail[#Headers],0)),Detail[AEA],$A32)</f>
        <v>2473263</v>
      </c>
      <c r="G32" s="4">
        <f>SUMIFS(INDEX(Detail[],0,MATCH(G$27,Detail[#Headers],0)),Detail[AEA],$A32)</f>
        <v>22516116</v>
      </c>
      <c r="H32" s="4">
        <f>SUMIFS(INDEX(Detail[],0,MATCH(H$27,Detail[#Headers],0)),Detail[AEA],$A32)</f>
        <v>12610507</v>
      </c>
      <c r="I32" s="4">
        <f>SUMIFS(INDEX(Detail[],0,MATCH(I$27,Detail[#Headers],0)),Detail[AEA],$A32)</f>
        <v>9905609</v>
      </c>
      <c r="J32" s="18"/>
      <c r="L32" s="36"/>
      <c r="M32" s="36"/>
    </row>
    <row r="33" spans="1:13" x14ac:dyDescent="0.25">
      <c r="A33" t="str">
        <f t="shared" ref="A33:B33" si="15">A20</f>
        <v>10</v>
      </c>
      <c r="B33" t="str">
        <f t="shared" si="15"/>
        <v>Grant Wood AEA 10</v>
      </c>
      <c r="C33" s="4">
        <f>SUMIFS(INDEX(Detail[],0,MATCH(C$27,Detail[#Headers],0)),Detail[AEA],$A33)</f>
        <v>2373182</v>
      </c>
      <c r="D33" s="4">
        <f>SUMIFS(INDEX(Detail[],0,MATCH(D$27,Detail[#Headers],0)),Detail[AEA],$A33)</f>
        <v>276066</v>
      </c>
      <c r="E33" s="4">
        <f>SUMIFS(INDEX(Detail[],0,MATCH(E$27,Detail[#Headers],0)),Detail[AEA],$A33)</f>
        <v>37223393</v>
      </c>
      <c r="F33" s="4">
        <f>SUMIFS(INDEX(Detail[],0,MATCH(F$27,Detail[#Headers],0)),Detail[AEA],$A33)</f>
        <v>3182392</v>
      </c>
      <c r="G33" s="4">
        <f>SUMIFS(INDEX(Detail[],0,MATCH(G$27,Detail[#Headers],0)),Detail[AEA],$A33)</f>
        <v>34041001</v>
      </c>
      <c r="H33" s="4">
        <f>SUMIFS(INDEX(Detail[],0,MATCH(H$27,Detail[#Headers],0)),Detail[AEA],$A33)</f>
        <v>19379037</v>
      </c>
      <c r="I33" s="4">
        <f>SUMIFS(INDEX(Detail[],0,MATCH(I$27,Detail[#Headers],0)),Detail[AEA],$A33)</f>
        <v>14661964</v>
      </c>
      <c r="J33" s="18"/>
      <c r="L33" s="36"/>
      <c r="M33" s="36"/>
    </row>
    <row r="34" spans="1:13" x14ac:dyDescent="0.25">
      <c r="A34" t="str">
        <f t="shared" ref="A34:B34" si="16">A21</f>
        <v>11</v>
      </c>
      <c r="B34" t="str">
        <f t="shared" si="16"/>
        <v>Heartland AEA 11</v>
      </c>
      <c r="C34" s="4">
        <f>SUMIFS(INDEX(Detail[],0,MATCH(C$27,Detail[#Headers],0)),Detail[AEA],$A34)</f>
        <v>4270230</v>
      </c>
      <c r="D34" s="4">
        <f>SUMIFS(INDEX(Detail[],0,MATCH(D$27,Detail[#Headers],0)),Detail[AEA],$A34)</f>
        <v>536419</v>
      </c>
      <c r="E34" s="4">
        <f>SUMIFS(INDEX(Detail[],0,MATCH(E$27,Detail[#Headers],0)),Detail[AEA],$A34)</f>
        <v>74378149</v>
      </c>
      <c r="F34" s="4">
        <f>SUMIFS(INDEX(Detail[],0,MATCH(F$27,Detail[#Headers],0)),Detail[AEA],$A34)</f>
        <v>5681091</v>
      </c>
      <c r="G34" s="4">
        <f>SUMIFS(INDEX(Detail[],0,MATCH(G$27,Detail[#Headers],0)),Detail[AEA],$A34)</f>
        <v>68697058</v>
      </c>
      <c r="H34" s="4">
        <f>SUMIFS(INDEX(Detail[],0,MATCH(H$27,Detail[#Headers],0)),Detail[AEA],$A34)</f>
        <v>39980789</v>
      </c>
      <c r="I34" s="4">
        <f>SUMIFS(INDEX(Detail[],0,MATCH(I$27,Detail[#Headers],0)),Detail[AEA],$A34)</f>
        <v>28716269</v>
      </c>
      <c r="J34" s="18"/>
      <c r="L34" s="36"/>
      <c r="M34" s="36"/>
    </row>
    <row r="35" spans="1:13" x14ac:dyDescent="0.25">
      <c r="A35" t="str">
        <f t="shared" ref="A35:B35" si="17">A22</f>
        <v>12</v>
      </c>
      <c r="B35" t="str">
        <f t="shared" si="17"/>
        <v>Northwest AEA</v>
      </c>
      <c r="C35" s="4">
        <f>SUMIFS(INDEX(Detail[],0,MATCH(C$27,Detail[#Headers],0)),Detail[AEA],$A35)</f>
        <v>1529140</v>
      </c>
      <c r="D35" s="4">
        <f>SUMIFS(INDEX(Detail[],0,MATCH(D$27,Detail[#Headers],0)),Detail[AEA],$A35)</f>
        <v>182276</v>
      </c>
      <c r="E35" s="4">
        <f>SUMIFS(INDEX(Detail[],0,MATCH(E$27,Detail[#Headers],0)),Detail[AEA],$A35)</f>
        <v>22771015</v>
      </c>
      <c r="F35" s="4">
        <f>SUMIFS(INDEX(Detail[],0,MATCH(F$27,Detail[#Headers],0)),Detail[AEA],$A35)</f>
        <v>2111383</v>
      </c>
      <c r="G35" s="4">
        <f>SUMIFS(INDEX(Detail[],0,MATCH(G$27,Detail[#Headers],0)),Detail[AEA],$A35)</f>
        <v>20659632</v>
      </c>
      <c r="H35" s="4">
        <f>SUMIFS(INDEX(Detail[],0,MATCH(H$27,Detail[#Headers],0)),Detail[AEA],$A35)</f>
        <v>11351511</v>
      </c>
      <c r="I35" s="4">
        <f>SUMIFS(INDEX(Detail[],0,MATCH(I$27,Detail[#Headers],0)),Detail[AEA],$A35)</f>
        <v>9308121</v>
      </c>
      <c r="J35" s="18"/>
      <c r="L35" s="36"/>
      <c r="M35" s="36"/>
    </row>
    <row r="36" spans="1:13" x14ac:dyDescent="0.25">
      <c r="A36" t="str">
        <f t="shared" ref="A36:B36" si="18">A23</f>
        <v>13</v>
      </c>
      <c r="B36" t="str">
        <f t="shared" si="18"/>
        <v>Green Hills AEA 13</v>
      </c>
      <c r="C36" s="4">
        <f>SUMIFS(INDEX(Detail[],0,MATCH(C$27,Detail[#Headers],0)),Detail[AEA],$A36)</f>
        <v>1417195</v>
      </c>
      <c r="D36" s="4">
        <f>SUMIFS(INDEX(Detail[],0,MATCH(D$27,Detail[#Headers],0)),Detail[AEA],$A36)</f>
        <v>152387</v>
      </c>
      <c r="E36" s="4">
        <f>SUMIFS(INDEX(Detail[],0,MATCH(E$27,Detail[#Headers],0)),Detail[AEA],$A36)</f>
        <v>20249531</v>
      </c>
      <c r="F36" s="4">
        <f>SUMIFS(INDEX(Detail[],0,MATCH(F$27,Detail[#Headers],0)),Detail[AEA],$A36)</f>
        <v>2111676</v>
      </c>
      <c r="G36" s="4">
        <f>SUMIFS(INDEX(Detail[],0,MATCH(G$27,Detail[#Headers],0)),Detail[AEA],$A36)</f>
        <v>18137855</v>
      </c>
      <c r="H36" s="4">
        <f>SUMIFS(INDEX(Detail[],0,MATCH(H$27,Detail[#Headers],0)),Detail[AEA],$A36)</f>
        <v>10359793</v>
      </c>
      <c r="I36" s="4">
        <f>SUMIFS(INDEX(Detail[],0,MATCH(I$27,Detail[#Headers],0)),Detail[AEA],$A36)</f>
        <v>7778062</v>
      </c>
      <c r="J36" s="18"/>
      <c r="L36" s="36"/>
      <c r="M36" s="36"/>
    </row>
    <row r="37" spans="1:13" x14ac:dyDescent="0.25">
      <c r="A37" t="str">
        <f t="shared" ref="A37:B37" si="19">A24</f>
        <v>15</v>
      </c>
      <c r="B37" t="str">
        <f t="shared" si="19"/>
        <v>Great Prairie AEA 15</v>
      </c>
      <c r="C37" s="4">
        <f>SUMIFS(INDEX(Detail[],0,MATCH(C$27,Detail[#Headers],0)),Detail[AEA],$A37)</f>
        <v>1247183</v>
      </c>
      <c r="D37" s="4">
        <f>SUMIFS(INDEX(Detail[],0,MATCH(D$27,Detail[#Headers],0)),Detail[AEA],$A37)</f>
        <v>136296</v>
      </c>
      <c r="E37" s="4">
        <f>SUMIFS(INDEX(Detail[],0,MATCH(E$27,Detail[#Headers],0)),Detail[AEA],$A37)</f>
        <v>18335313</v>
      </c>
      <c r="F37" s="4">
        <f>SUMIFS(INDEX(Detail[],0,MATCH(F$27,Detail[#Headers],0)),Detail[AEA],$A37)</f>
        <v>1963574</v>
      </c>
      <c r="G37" s="4">
        <f>SUMIFS(INDEX(Detail[],0,MATCH(G$27,Detail[#Headers],0)),Detail[AEA],$A37)</f>
        <v>16371739</v>
      </c>
      <c r="H37" s="4">
        <f>SUMIFS(INDEX(Detail[],0,MATCH(H$27,Detail[#Headers],0)),Detail[AEA],$A37)</f>
        <v>9314137</v>
      </c>
      <c r="I37" s="4">
        <f>SUMIFS(INDEX(Detail[],0,MATCH(I$27,Detail[#Headers],0)),Detail[AEA],$A37)</f>
        <v>7057602</v>
      </c>
      <c r="J37" s="18"/>
      <c r="L37" s="36"/>
      <c r="M37" s="36"/>
    </row>
    <row r="38" spans="1:13" ht="15.75" thickBot="1" x14ac:dyDescent="0.3">
      <c r="C38" s="12">
        <f t="shared" ref="C38:I38" si="20">SUM(C29:C37)</f>
        <v>17558139</v>
      </c>
      <c r="D38" s="12">
        <f t="shared" si="20"/>
        <v>2057131</v>
      </c>
      <c r="E38" s="12">
        <f t="shared" si="20"/>
        <v>266022776</v>
      </c>
      <c r="F38" s="12">
        <f t="shared" si="20"/>
        <v>24557131</v>
      </c>
      <c r="G38" s="12">
        <f t="shared" si="20"/>
        <v>241465645</v>
      </c>
      <c r="H38" s="12">
        <f t="shared" si="20"/>
        <v>136818462</v>
      </c>
      <c r="I38" s="12">
        <f t="shared" si="20"/>
        <v>104647183</v>
      </c>
      <c r="J38" s="18"/>
      <c r="L38" s="36"/>
      <c r="M38" s="36"/>
    </row>
    <row r="39" spans="1:13" ht="15.75" thickTop="1" x14ac:dyDescent="0.25"/>
    <row r="41" spans="1:13" x14ac:dyDescent="0.25">
      <c r="H41" s="4"/>
    </row>
  </sheetData>
  <sheetProtection sheet="1" objects="1" scenarios="1"/>
  <mergeCells count="1">
    <mergeCell ref="L29:M38"/>
  </mergeCells>
  <hyperlinks>
    <hyperlink ref="M28" r:id="rId1" xr:uid="{0AFEFBAE-22B2-4A8F-A670-CA116E226567}"/>
  </hyperlinks>
  <pageMargins left="0.25" right="0.25" top="0.75" bottom="0.75" header="0.3" footer="0.3"/>
  <pageSetup scale="90" fitToWidth="0" orientation="landscape" r:id="rId2"/>
  <headerFooter>
    <oddHeader xml:space="preserve">&amp;C&amp;"-,Bold"&amp;14FY 2023 AEA Enrollments and Cost - Final - 2.5% of Growth - $24.5 million Reduction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C329"/>
  <sheetViews>
    <sheetView workbookViewId="0">
      <pane xSplit="4" ySplit="2" topLeftCell="E3" activePane="bottomRight" state="frozen"/>
      <selection pane="topRight" activeCell="E1" sqref="E1"/>
      <selection pane="bottomLeft" activeCell="A3" sqref="A3"/>
      <selection pane="bottomRight"/>
    </sheetView>
  </sheetViews>
  <sheetFormatPr defaultRowHeight="15" x14ac:dyDescent="0.25"/>
  <cols>
    <col min="1" max="1" width="6.7109375" customWidth="1"/>
    <col min="2" max="2" width="22.42578125" bestFit="1" customWidth="1"/>
    <col min="3" max="3" width="6.42578125" customWidth="1"/>
    <col min="4" max="4" width="30.42578125" bestFit="1" customWidth="1"/>
    <col min="5" max="5" width="14.85546875" bestFit="1" customWidth="1"/>
    <col min="6" max="6" width="10.85546875" bestFit="1" customWidth="1"/>
    <col min="7" max="7" width="14" bestFit="1" customWidth="1"/>
    <col min="8" max="8" width="17.85546875" bestFit="1" customWidth="1"/>
    <col min="9" max="9" width="13.85546875" customWidth="1"/>
    <col min="10" max="10" width="14.5703125" bestFit="1" customWidth="1"/>
    <col min="11" max="11" width="15.42578125" customWidth="1"/>
    <col min="12" max="13" width="13.28515625" customWidth="1"/>
    <col min="14" max="14" width="15" bestFit="1" customWidth="1"/>
    <col min="15" max="15" width="18.5703125" customWidth="1"/>
    <col min="16" max="16" width="18.85546875" bestFit="1" customWidth="1"/>
    <col min="17" max="17" width="19" customWidth="1"/>
    <col min="18" max="18" width="14" bestFit="1" customWidth="1"/>
    <col min="19" max="19" width="10.140625" bestFit="1" customWidth="1"/>
    <col min="20" max="20" width="12.28515625" customWidth="1"/>
    <col min="21" max="22" width="11.5703125" bestFit="1" customWidth="1"/>
    <col min="23" max="23" width="12" bestFit="1" customWidth="1"/>
    <col min="24" max="24" width="13.28515625" bestFit="1" customWidth="1"/>
    <col min="25" max="25" width="18" bestFit="1" customWidth="1"/>
    <col min="26" max="26" width="10.140625" bestFit="1" customWidth="1"/>
    <col min="27" max="27" width="19.28515625" bestFit="1" customWidth="1"/>
    <col min="28" max="28" width="10.140625" bestFit="1" customWidth="1"/>
    <col min="29" max="29" width="9.140625" bestFit="1" customWidth="1"/>
  </cols>
  <sheetData>
    <row r="1" spans="1:29" x14ac:dyDescent="0.25">
      <c r="A1" s="5" t="s">
        <v>743</v>
      </c>
    </row>
    <row r="2" spans="1:29" s="7" customFormat="1" ht="89.25" customHeight="1" x14ac:dyDescent="0.25">
      <c r="A2" s="7" t="s">
        <v>365</v>
      </c>
      <c r="B2" s="7" t="s">
        <v>366</v>
      </c>
      <c r="C2" s="7" t="s">
        <v>732</v>
      </c>
      <c r="D2" s="7" t="s">
        <v>367</v>
      </c>
      <c r="E2" s="8" t="s">
        <v>343</v>
      </c>
      <c r="F2" s="8" t="s">
        <v>344</v>
      </c>
      <c r="G2" s="8" t="s">
        <v>345</v>
      </c>
      <c r="H2" s="8" t="s">
        <v>346</v>
      </c>
      <c r="I2" s="8" t="s">
        <v>347</v>
      </c>
      <c r="J2" s="8" t="s">
        <v>348</v>
      </c>
      <c r="K2" s="8" t="s">
        <v>349</v>
      </c>
      <c r="L2" s="8" t="s">
        <v>350</v>
      </c>
      <c r="M2" s="8" t="s">
        <v>368</v>
      </c>
      <c r="N2" s="8" t="s">
        <v>351</v>
      </c>
      <c r="O2" s="8" t="s">
        <v>352</v>
      </c>
      <c r="P2" s="8" t="s">
        <v>353</v>
      </c>
      <c r="Q2" s="8" t="s">
        <v>354</v>
      </c>
      <c r="R2" s="8" t="s">
        <v>369</v>
      </c>
      <c r="S2" s="8" t="s">
        <v>355</v>
      </c>
      <c r="T2" s="8" t="s">
        <v>356</v>
      </c>
      <c r="U2" s="8" t="s">
        <v>357</v>
      </c>
      <c r="V2" s="8" t="s">
        <v>358</v>
      </c>
      <c r="W2" s="8" t="s">
        <v>359</v>
      </c>
      <c r="X2" s="8" t="s">
        <v>390</v>
      </c>
      <c r="Y2" s="8" t="s">
        <v>360</v>
      </c>
      <c r="Z2" s="8" t="s">
        <v>361</v>
      </c>
      <c r="AA2" s="8" t="s">
        <v>362</v>
      </c>
      <c r="AB2" s="8" t="s">
        <v>363</v>
      </c>
      <c r="AC2" s="8" t="s">
        <v>364</v>
      </c>
    </row>
    <row r="3" spans="1:29" x14ac:dyDescent="0.25">
      <c r="A3" s="31" t="s">
        <v>0</v>
      </c>
      <c r="B3" s="31" t="s">
        <v>733</v>
      </c>
      <c r="C3" s="31" t="s">
        <v>1</v>
      </c>
      <c r="D3" s="31" t="s">
        <v>413</v>
      </c>
      <c r="E3" s="32">
        <v>145.88</v>
      </c>
      <c r="F3" s="33">
        <v>1048.7</v>
      </c>
      <c r="G3" s="32">
        <v>1194.58</v>
      </c>
      <c r="H3" s="32">
        <v>3.29</v>
      </c>
      <c r="I3" s="34">
        <v>164</v>
      </c>
      <c r="J3" s="33">
        <v>1.2</v>
      </c>
      <c r="K3" s="34">
        <v>1212</v>
      </c>
      <c r="L3" s="32">
        <v>338.42</v>
      </c>
      <c r="M3" s="32">
        <v>60.63</v>
      </c>
      <c r="N3" s="32">
        <v>67.56</v>
      </c>
      <c r="O3" s="32">
        <v>33.47</v>
      </c>
      <c r="P3" s="32">
        <v>3.62</v>
      </c>
      <c r="Q3" s="34">
        <v>404270</v>
      </c>
      <c r="R3" s="34">
        <v>0</v>
      </c>
      <c r="S3" s="34">
        <v>404270</v>
      </c>
      <c r="T3" s="34">
        <v>73484</v>
      </c>
      <c r="U3" s="34">
        <v>81883</v>
      </c>
      <c r="V3" s="34">
        <v>1113</v>
      </c>
      <c r="W3" s="34">
        <v>39983</v>
      </c>
      <c r="X3" s="34">
        <v>4324</v>
      </c>
      <c r="Y3" s="34">
        <v>605057</v>
      </c>
      <c r="Z3" s="34">
        <v>77856</v>
      </c>
      <c r="AA3" s="34">
        <v>527201</v>
      </c>
      <c r="AB3" s="34">
        <v>273106</v>
      </c>
      <c r="AC3" s="34">
        <v>254095</v>
      </c>
    </row>
    <row r="4" spans="1:29" x14ac:dyDescent="0.25">
      <c r="A4" s="31" t="s">
        <v>0</v>
      </c>
      <c r="B4" s="31" t="s">
        <v>733</v>
      </c>
      <c r="C4" s="31" t="s">
        <v>2</v>
      </c>
      <c r="D4" s="31" t="s">
        <v>414</v>
      </c>
      <c r="E4" s="32">
        <v>53.44</v>
      </c>
      <c r="F4" s="33">
        <v>437.3</v>
      </c>
      <c r="G4" s="32">
        <v>490.74</v>
      </c>
      <c r="H4" s="32">
        <v>1.35</v>
      </c>
      <c r="I4" s="34">
        <v>1</v>
      </c>
      <c r="J4" s="33">
        <v>0</v>
      </c>
      <c r="K4" s="34">
        <v>438</v>
      </c>
      <c r="L4" s="32">
        <v>338.42</v>
      </c>
      <c r="M4" s="32">
        <v>60.63</v>
      </c>
      <c r="N4" s="32">
        <v>67.56</v>
      </c>
      <c r="O4" s="32">
        <v>33.47</v>
      </c>
      <c r="P4" s="32">
        <v>3.62</v>
      </c>
      <c r="Q4" s="34">
        <v>166076</v>
      </c>
      <c r="R4" s="34">
        <v>2920</v>
      </c>
      <c r="S4" s="34">
        <v>168996</v>
      </c>
      <c r="T4" s="34">
        <v>26556</v>
      </c>
      <c r="U4" s="34">
        <v>29591</v>
      </c>
      <c r="V4" s="34">
        <v>457</v>
      </c>
      <c r="W4" s="34">
        <v>16425</v>
      </c>
      <c r="X4" s="34">
        <v>1776</v>
      </c>
      <c r="Y4" s="34">
        <v>243801</v>
      </c>
      <c r="Z4" s="34">
        <v>31764</v>
      </c>
      <c r="AA4" s="34">
        <v>212037</v>
      </c>
      <c r="AB4" s="34">
        <v>112412</v>
      </c>
      <c r="AC4" s="34">
        <v>99625</v>
      </c>
    </row>
    <row r="5" spans="1:29" x14ac:dyDescent="0.25">
      <c r="A5" s="31" t="s">
        <v>0</v>
      </c>
      <c r="B5" s="31" t="s">
        <v>733</v>
      </c>
      <c r="C5" s="31" t="s">
        <v>3</v>
      </c>
      <c r="D5" s="31" t="s">
        <v>415</v>
      </c>
      <c r="E5" s="32">
        <v>71.34</v>
      </c>
      <c r="F5" s="33">
        <v>601.79999999999995</v>
      </c>
      <c r="G5" s="32">
        <v>673.14</v>
      </c>
      <c r="H5" s="32">
        <v>1.85</v>
      </c>
      <c r="I5" s="34">
        <v>64</v>
      </c>
      <c r="J5" s="33">
        <v>3</v>
      </c>
      <c r="K5" s="34">
        <v>663</v>
      </c>
      <c r="L5" s="32">
        <v>338.42</v>
      </c>
      <c r="M5" s="32">
        <v>60.63</v>
      </c>
      <c r="N5" s="32">
        <v>67.56</v>
      </c>
      <c r="O5" s="32">
        <v>33.47</v>
      </c>
      <c r="P5" s="32">
        <v>3.62</v>
      </c>
      <c r="Q5" s="34">
        <v>227804</v>
      </c>
      <c r="R5" s="34">
        <v>0</v>
      </c>
      <c r="S5" s="34">
        <v>227804</v>
      </c>
      <c r="T5" s="34">
        <v>40198</v>
      </c>
      <c r="U5" s="34">
        <v>44792</v>
      </c>
      <c r="V5" s="34">
        <v>626</v>
      </c>
      <c r="W5" s="34">
        <v>22530</v>
      </c>
      <c r="X5" s="34">
        <v>2437</v>
      </c>
      <c r="Y5" s="34">
        <v>338387</v>
      </c>
      <c r="Z5" s="34">
        <v>41812</v>
      </c>
      <c r="AA5" s="34">
        <v>296575</v>
      </c>
      <c r="AB5" s="34">
        <v>155952</v>
      </c>
      <c r="AC5" s="34">
        <v>140623</v>
      </c>
    </row>
    <row r="6" spans="1:29" x14ac:dyDescent="0.25">
      <c r="A6" s="31" t="s">
        <v>0</v>
      </c>
      <c r="B6" s="31" t="s">
        <v>733</v>
      </c>
      <c r="C6" s="31" t="s">
        <v>4</v>
      </c>
      <c r="D6" s="31" t="s">
        <v>416</v>
      </c>
      <c r="E6" s="32">
        <v>188.78</v>
      </c>
      <c r="F6" s="33">
        <v>1530.5</v>
      </c>
      <c r="G6" s="32">
        <v>1719.28</v>
      </c>
      <c r="H6" s="32">
        <v>4.7300000000000004</v>
      </c>
      <c r="I6" s="34">
        <v>135</v>
      </c>
      <c r="J6" s="33">
        <v>0</v>
      </c>
      <c r="K6" s="34">
        <v>1666</v>
      </c>
      <c r="L6" s="32">
        <v>338.42</v>
      </c>
      <c r="M6" s="32">
        <v>60.63</v>
      </c>
      <c r="N6" s="32">
        <v>67.56</v>
      </c>
      <c r="O6" s="32">
        <v>33.47</v>
      </c>
      <c r="P6" s="32">
        <v>3.62</v>
      </c>
      <c r="Q6" s="34">
        <v>581839</v>
      </c>
      <c r="R6" s="34">
        <v>0</v>
      </c>
      <c r="S6" s="34">
        <v>581839</v>
      </c>
      <c r="T6" s="34">
        <v>101010</v>
      </c>
      <c r="U6" s="34">
        <v>112555</v>
      </c>
      <c r="V6" s="34">
        <v>1601</v>
      </c>
      <c r="W6" s="34">
        <v>57544</v>
      </c>
      <c r="X6" s="34">
        <v>6224</v>
      </c>
      <c r="Y6" s="34">
        <v>860773</v>
      </c>
      <c r="Z6" s="34">
        <v>99232</v>
      </c>
      <c r="AA6" s="34">
        <v>761541</v>
      </c>
      <c r="AB6" s="34">
        <v>405883</v>
      </c>
      <c r="AC6" s="34">
        <v>355658</v>
      </c>
    </row>
    <row r="7" spans="1:29" x14ac:dyDescent="0.25">
      <c r="A7" s="31" t="s">
        <v>0</v>
      </c>
      <c r="B7" s="31" t="s">
        <v>733</v>
      </c>
      <c r="C7" s="31" t="s">
        <v>5</v>
      </c>
      <c r="D7" s="31" t="s">
        <v>417</v>
      </c>
      <c r="E7" s="32">
        <v>1960.66</v>
      </c>
      <c r="F7" s="33">
        <v>10120.299999999999</v>
      </c>
      <c r="G7" s="32">
        <v>12080.96</v>
      </c>
      <c r="H7" s="32">
        <v>33.270000000000003</v>
      </c>
      <c r="I7" s="34">
        <v>1662</v>
      </c>
      <c r="J7" s="33">
        <v>1.7</v>
      </c>
      <c r="K7" s="34">
        <v>11781</v>
      </c>
      <c r="L7" s="32">
        <v>338.42</v>
      </c>
      <c r="M7" s="32">
        <v>60.63</v>
      </c>
      <c r="N7" s="32">
        <v>67.56</v>
      </c>
      <c r="O7" s="32">
        <v>33.47</v>
      </c>
      <c r="P7" s="32">
        <v>3.62</v>
      </c>
      <c r="Q7" s="34">
        <v>4088438</v>
      </c>
      <c r="R7" s="34">
        <v>0</v>
      </c>
      <c r="S7" s="34">
        <v>4088438</v>
      </c>
      <c r="T7" s="34">
        <v>714282</v>
      </c>
      <c r="U7" s="34">
        <v>795924</v>
      </c>
      <c r="V7" s="34">
        <v>11259</v>
      </c>
      <c r="W7" s="34">
        <v>404350</v>
      </c>
      <c r="X7" s="34">
        <v>43733</v>
      </c>
      <c r="Y7" s="34">
        <v>6057986</v>
      </c>
      <c r="Z7" s="34">
        <v>557910</v>
      </c>
      <c r="AA7" s="34">
        <v>5500076</v>
      </c>
      <c r="AB7" s="34">
        <v>2991416</v>
      </c>
      <c r="AC7" s="34">
        <v>2508660</v>
      </c>
    </row>
    <row r="8" spans="1:29" x14ac:dyDescent="0.25">
      <c r="A8" s="31" t="s">
        <v>0</v>
      </c>
      <c r="B8" s="31" t="s">
        <v>733</v>
      </c>
      <c r="C8" s="31" t="s">
        <v>6</v>
      </c>
      <c r="D8" s="31" t="s">
        <v>418</v>
      </c>
      <c r="E8" s="32">
        <v>45.86</v>
      </c>
      <c r="F8" s="33">
        <v>330.3</v>
      </c>
      <c r="G8" s="32">
        <v>376.16</v>
      </c>
      <c r="H8" s="32">
        <v>1.04</v>
      </c>
      <c r="I8" s="34">
        <v>6</v>
      </c>
      <c r="J8" s="33">
        <v>0</v>
      </c>
      <c r="K8" s="34">
        <v>336</v>
      </c>
      <c r="L8" s="32">
        <v>338.42</v>
      </c>
      <c r="M8" s="32">
        <v>60.63</v>
      </c>
      <c r="N8" s="32">
        <v>67.56</v>
      </c>
      <c r="O8" s="32">
        <v>33.47</v>
      </c>
      <c r="P8" s="32">
        <v>3.62</v>
      </c>
      <c r="Q8" s="34">
        <v>127300</v>
      </c>
      <c r="R8" s="34">
        <v>927</v>
      </c>
      <c r="S8" s="34">
        <v>128227</v>
      </c>
      <c r="T8" s="34">
        <v>20372</v>
      </c>
      <c r="U8" s="34">
        <v>22700</v>
      </c>
      <c r="V8" s="34">
        <v>352</v>
      </c>
      <c r="W8" s="34">
        <v>12590</v>
      </c>
      <c r="X8" s="34">
        <v>1362</v>
      </c>
      <c r="Y8" s="34">
        <v>185603</v>
      </c>
      <c r="Z8" s="34">
        <v>25111</v>
      </c>
      <c r="AA8" s="34">
        <v>160492</v>
      </c>
      <c r="AB8" s="34">
        <v>85404</v>
      </c>
      <c r="AC8" s="34">
        <v>75088</v>
      </c>
    </row>
    <row r="9" spans="1:29" x14ac:dyDescent="0.25">
      <c r="A9" s="31" t="s">
        <v>0</v>
      </c>
      <c r="B9" s="31" t="s">
        <v>733</v>
      </c>
      <c r="C9" s="31" t="s">
        <v>7</v>
      </c>
      <c r="D9" s="31" t="s">
        <v>419</v>
      </c>
      <c r="E9" s="32">
        <v>31.35</v>
      </c>
      <c r="F9" s="33">
        <v>399</v>
      </c>
      <c r="G9" s="32">
        <v>430.35</v>
      </c>
      <c r="H9" s="32">
        <v>1.18</v>
      </c>
      <c r="I9" s="34">
        <v>30</v>
      </c>
      <c r="J9" s="33">
        <v>0</v>
      </c>
      <c r="K9" s="34">
        <v>429</v>
      </c>
      <c r="L9" s="32">
        <v>338.42</v>
      </c>
      <c r="M9" s="32">
        <v>60.63</v>
      </c>
      <c r="N9" s="32">
        <v>67.56</v>
      </c>
      <c r="O9" s="32">
        <v>33.47</v>
      </c>
      <c r="P9" s="32">
        <v>3.62</v>
      </c>
      <c r="Q9" s="34">
        <v>145639</v>
      </c>
      <c r="R9" s="34">
        <v>704</v>
      </c>
      <c r="S9" s="34">
        <v>146343</v>
      </c>
      <c r="T9" s="34">
        <v>26010</v>
      </c>
      <c r="U9" s="34">
        <v>28983</v>
      </c>
      <c r="V9" s="34">
        <v>399</v>
      </c>
      <c r="W9" s="34">
        <v>14426</v>
      </c>
      <c r="X9" s="34">
        <v>1559</v>
      </c>
      <c r="Y9" s="34">
        <v>217720</v>
      </c>
      <c r="Z9" s="34">
        <v>28666</v>
      </c>
      <c r="AA9" s="34">
        <v>189054</v>
      </c>
      <c r="AB9" s="34">
        <v>97791</v>
      </c>
      <c r="AC9" s="34">
        <v>91263</v>
      </c>
    </row>
    <row r="10" spans="1:29" x14ac:dyDescent="0.25">
      <c r="A10" s="31" t="s">
        <v>0</v>
      </c>
      <c r="B10" s="31" t="s">
        <v>733</v>
      </c>
      <c r="C10" s="31" t="s">
        <v>8</v>
      </c>
      <c r="D10" s="31" t="s">
        <v>420</v>
      </c>
      <c r="E10" s="32">
        <v>169.95</v>
      </c>
      <c r="F10" s="33">
        <v>1155</v>
      </c>
      <c r="G10" s="32">
        <v>1324.95</v>
      </c>
      <c r="H10" s="32">
        <v>3.65</v>
      </c>
      <c r="I10" s="34">
        <v>165</v>
      </c>
      <c r="J10" s="33">
        <v>0.8</v>
      </c>
      <c r="K10" s="34">
        <v>1319</v>
      </c>
      <c r="L10" s="32">
        <v>338.42</v>
      </c>
      <c r="M10" s="32">
        <v>60.63</v>
      </c>
      <c r="N10" s="32">
        <v>67.56</v>
      </c>
      <c r="O10" s="32">
        <v>33.47</v>
      </c>
      <c r="P10" s="32">
        <v>3.62</v>
      </c>
      <c r="Q10" s="34">
        <v>448390</v>
      </c>
      <c r="R10" s="34">
        <v>0</v>
      </c>
      <c r="S10" s="34">
        <v>448390</v>
      </c>
      <c r="T10" s="34">
        <v>79971</v>
      </c>
      <c r="U10" s="34">
        <v>89112</v>
      </c>
      <c r="V10" s="34">
        <v>1235</v>
      </c>
      <c r="W10" s="34">
        <v>44346</v>
      </c>
      <c r="X10" s="34">
        <v>4796</v>
      </c>
      <c r="Y10" s="34">
        <v>667850</v>
      </c>
      <c r="Z10" s="34">
        <v>79761</v>
      </c>
      <c r="AA10" s="34">
        <v>588089</v>
      </c>
      <c r="AB10" s="34">
        <v>309503</v>
      </c>
      <c r="AC10" s="34">
        <v>278586</v>
      </c>
    </row>
    <row r="11" spans="1:29" x14ac:dyDescent="0.25">
      <c r="A11" s="31" t="s">
        <v>0</v>
      </c>
      <c r="B11" s="31" t="s">
        <v>733</v>
      </c>
      <c r="C11" s="31" t="s">
        <v>10</v>
      </c>
      <c r="D11" s="31" t="s">
        <v>422</v>
      </c>
      <c r="E11" s="32">
        <v>89.19</v>
      </c>
      <c r="F11" s="33">
        <v>802.8</v>
      </c>
      <c r="G11" s="32">
        <v>891.99</v>
      </c>
      <c r="H11" s="32">
        <v>2.46</v>
      </c>
      <c r="I11" s="34">
        <v>2</v>
      </c>
      <c r="J11" s="33">
        <v>0</v>
      </c>
      <c r="K11" s="34">
        <v>805</v>
      </c>
      <c r="L11" s="32">
        <v>338.42</v>
      </c>
      <c r="M11" s="32">
        <v>60.63</v>
      </c>
      <c r="N11" s="32">
        <v>67.56</v>
      </c>
      <c r="O11" s="32">
        <v>33.47</v>
      </c>
      <c r="P11" s="32">
        <v>3.62</v>
      </c>
      <c r="Q11" s="34">
        <v>301867</v>
      </c>
      <c r="R11" s="34">
        <v>0</v>
      </c>
      <c r="S11" s="34">
        <v>301867</v>
      </c>
      <c r="T11" s="34">
        <v>48807</v>
      </c>
      <c r="U11" s="34">
        <v>54386</v>
      </c>
      <c r="V11" s="34">
        <v>833</v>
      </c>
      <c r="W11" s="34">
        <v>29855</v>
      </c>
      <c r="X11" s="34">
        <v>3229</v>
      </c>
      <c r="Y11" s="34">
        <v>438977</v>
      </c>
      <c r="Z11" s="34">
        <v>52250</v>
      </c>
      <c r="AA11" s="34">
        <v>386727</v>
      </c>
      <c r="AB11" s="34">
        <v>209813</v>
      </c>
      <c r="AC11" s="34">
        <v>176914</v>
      </c>
    </row>
    <row r="12" spans="1:29" x14ac:dyDescent="0.25">
      <c r="A12" s="31" t="s">
        <v>0</v>
      </c>
      <c r="B12" s="31" t="s">
        <v>733</v>
      </c>
      <c r="C12" s="31" t="s">
        <v>9</v>
      </c>
      <c r="D12" s="31" t="s">
        <v>421</v>
      </c>
      <c r="E12" s="32">
        <v>63.18</v>
      </c>
      <c r="F12" s="33">
        <v>677.6</v>
      </c>
      <c r="G12" s="32">
        <v>740.78</v>
      </c>
      <c r="H12" s="32">
        <v>2.04</v>
      </c>
      <c r="I12" s="34">
        <v>31</v>
      </c>
      <c r="J12" s="33">
        <v>0</v>
      </c>
      <c r="K12" s="34">
        <v>709</v>
      </c>
      <c r="L12" s="32">
        <v>338.42</v>
      </c>
      <c r="M12" s="32">
        <v>60.63</v>
      </c>
      <c r="N12" s="32">
        <v>67.56</v>
      </c>
      <c r="O12" s="32">
        <v>33.47</v>
      </c>
      <c r="P12" s="32">
        <v>3.62</v>
      </c>
      <c r="Q12" s="34">
        <v>250695</v>
      </c>
      <c r="R12" s="34">
        <v>0</v>
      </c>
      <c r="S12" s="34">
        <v>250695</v>
      </c>
      <c r="T12" s="34">
        <v>42987</v>
      </c>
      <c r="U12" s="34">
        <v>47900</v>
      </c>
      <c r="V12" s="34">
        <v>690</v>
      </c>
      <c r="W12" s="34">
        <v>24794</v>
      </c>
      <c r="X12" s="34">
        <v>2682</v>
      </c>
      <c r="Y12" s="34">
        <v>369748</v>
      </c>
      <c r="Z12" s="34">
        <v>47897</v>
      </c>
      <c r="AA12" s="34">
        <v>321851</v>
      </c>
      <c r="AB12" s="34">
        <v>169741</v>
      </c>
      <c r="AC12" s="34">
        <v>152110</v>
      </c>
    </row>
    <row r="13" spans="1:29" x14ac:dyDescent="0.25">
      <c r="A13" s="31" t="s">
        <v>0</v>
      </c>
      <c r="B13" s="31" t="s">
        <v>733</v>
      </c>
      <c r="C13" s="31" t="s">
        <v>11</v>
      </c>
      <c r="D13" s="31" t="s">
        <v>423</v>
      </c>
      <c r="E13" s="32">
        <v>101.38</v>
      </c>
      <c r="F13" s="33">
        <v>922.2</v>
      </c>
      <c r="G13" s="32">
        <v>1023.58</v>
      </c>
      <c r="H13" s="32">
        <v>2.82</v>
      </c>
      <c r="I13" s="34">
        <v>91</v>
      </c>
      <c r="J13" s="33">
        <v>0.9</v>
      </c>
      <c r="K13" s="34">
        <v>1012</v>
      </c>
      <c r="L13" s="32">
        <v>338.42</v>
      </c>
      <c r="M13" s="32">
        <v>60.63</v>
      </c>
      <c r="N13" s="32">
        <v>67.56</v>
      </c>
      <c r="O13" s="32">
        <v>33.47</v>
      </c>
      <c r="P13" s="32">
        <v>3.62</v>
      </c>
      <c r="Q13" s="34">
        <v>346400</v>
      </c>
      <c r="R13" s="34">
        <v>0</v>
      </c>
      <c r="S13" s="34">
        <v>346400</v>
      </c>
      <c r="T13" s="34">
        <v>61358</v>
      </c>
      <c r="U13" s="34">
        <v>68371</v>
      </c>
      <c r="V13" s="34">
        <v>954</v>
      </c>
      <c r="W13" s="34">
        <v>34259</v>
      </c>
      <c r="X13" s="34">
        <v>3705</v>
      </c>
      <c r="Y13" s="34">
        <v>515047</v>
      </c>
      <c r="Z13" s="34">
        <v>61727</v>
      </c>
      <c r="AA13" s="34">
        <v>453320</v>
      </c>
      <c r="AB13" s="34">
        <v>238995</v>
      </c>
      <c r="AC13" s="34">
        <v>214325</v>
      </c>
    </row>
    <row r="14" spans="1:29" x14ac:dyDescent="0.25">
      <c r="A14" s="31" t="s">
        <v>0</v>
      </c>
      <c r="B14" s="31" t="s">
        <v>733</v>
      </c>
      <c r="C14" s="31" t="s">
        <v>12</v>
      </c>
      <c r="D14" s="31" t="s">
        <v>424</v>
      </c>
      <c r="E14" s="32">
        <v>190.48</v>
      </c>
      <c r="F14" s="33">
        <v>1113.2</v>
      </c>
      <c r="G14" s="32">
        <v>1303.68</v>
      </c>
      <c r="H14" s="32">
        <v>3.59</v>
      </c>
      <c r="I14" s="34">
        <v>3</v>
      </c>
      <c r="J14" s="33">
        <v>0</v>
      </c>
      <c r="K14" s="34">
        <v>1116</v>
      </c>
      <c r="L14" s="32">
        <v>338.42</v>
      </c>
      <c r="M14" s="32">
        <v>60.63</v>
      </c>
      <c r="N14" s="32">
        <v>67.56</v>
      </c>
      <c r="O14" s="32">
        <v>33.47</v>
      </c>
      <c r="P14" s="32">
        <v>3.62</v>
      </c>
      <c r="Q14" s="34">
        <v>441191</v>
      </c>
      <c r="R14" s="34">
        <v>0</v>
      </c>
      <c r="S14" s="34">
        <v>441191</v>
      </c>
      <c r="T14" s="34">
        <v>67663</v>
      </c>
      <c r="U14" s="34">
        <v>75397</v>
      </c>
      <c r="V14" s="34">
        <v>1215</v>
      </c>
      <c r="W14" s="34">
        <v>43634</v>
      </c>
      <c r="X14" s="34">
        <v>4719</v>
      </c>
      <c r="Y14" s="34">
        <v>633819</v>
      </c>
      <c r="Z14" s="34">
        <v>85617</v>
      </c>
      <c r="AA14" s="34">
        <v>548202</v>
      </c>
      <c r="AB14" s="34">
        <v>297397</v>
      </c>
      <c r="AC14" s="34">
        <v>250805</v>
      </c>
    </row>
    <row r="15" spans="1:29" x14ac:dyDescent="0.25">
      <c r="A15" s="31" t="s">
        <v>0</v>
      </c>
      <c r="B15" s="31" t="s">
        <v>733</v>
      </c>
      <c r="C15" s="31" t="s">
        <v>13</v>
      </c>
      <c r="D15" s="31" t="s">
        <v>425</v>
      </c>
      <c r="E15" s="32">
        <v>269.77999999999997</v>
      </c>
      <c r="F15" s="33">
        <v>1340.2</v>
      </c>
      <c r="G15" s="32">
        <v>1609.98</v>
      </c>
      <c r="H15" s="32">
        <v>4.4400000000000004</v>
      </c>
      <c r="I15" s="34">
        <v>5</v>
      </c>
      <c r="J15" s="33">
        <v>0</v>
      </c>
      <c r="K15" s="34">
        <v>1345</v>
      </c>
      <c r="L15" s="32">
        <v>338.42</v>
      </c>
      <c r="M15" s="32">
        <v>60.63</v>
      </c>
      <c r="N15" s="32">
        <v>67.56</v>
      </c>
      <c r="O15" s="32">
        <v>33.47</v>
      </c>
      <c r="P15" s="32">
        <v>3.62</v>
      </c>
      <c r="Q15" s="34">
        <v>544849</v>
      </c>
      <c r="R15" s="34">
        <v>0</v>
      </c>
      <c r="S15" s="34">
        <v>544849</v>
      </c>
      <c r="T15" s="34">
        <v>81547</v>
      </c>
      <c r="U15" s="34">
        <v>90868</v>
      </c>
      <c r="V15" s="34">
        <v>1503</v>
      </c>
      <c r="W15" s="34">
        <v>53886</v>
      </c>
      <c r="X15" s="34">
        <v>5828</v>
      </c>
      <c r="Y15" s="34">
        <v>778481</v>
      </c>
      <c r="Z15" s="34">
        <v>84247</v>
      </c>
      <c r="AA15" s="34">
        <v>694234</v>
      </c>
      <c r="AB15" s="34">
        <v>388759</v>
      </c>
      <c r="AC15" s="34">
        <v>305475</v>
      </c>
    </row>
    <row r="16" spans="1:29" x14ac:dyDescent="0.25">
      <c r="A16" s="31" t="s">
        <v>0</v>
      </c>
      <c r="B16" s="31" t="s">
        <v>733</v>
      </c>
      <c r="C16" s="31" t="s">
        <v>14</v>
      </c>
      <c r="D16" s="31" t="s">
        <v>426</v>
      </c>
      <c r="E16" s="32">
        <v>85.7</v>
      </c>
      <c r="F16" s="33">
        <v>675.6</v>
      </c>
      <c r="G16" s="32">
        <v>761.3</v>
      </c>
      <c r="H16" s="32">
        <v>2.1</v>
      </c>
      <c r="I16" s="34">
        <v>4</v>
      </c>
      <c r="J16" s="33">
        <v>0</v>
      </c>
      <c r="K16" s="34">
        <v>680</v>
      </c>
      <c r="L16" s="32">
        <v>338.42</v>
      </c>
      <c r="M16" s="32">
        <v>60.63</v>
      </c>
      <c r="N16" s="32">
        <v>67.56</v>
      </c>
      <c r="O16" s="32">
        <v>33.47</v>
      </c>
      <c r="P16" s="32">
        <v>3.62</v>
      </c>
      <c r="Q16" s="34">
        <v>257639</v>
      </c>
      <c r="R16" s="34">
        <v>17783</v>
      </c>
      <c r="S16" s="34">
        <v>275422</v>
      </c>
      <c r="T16" s="34">
        <v>41228</v>
      </c>
      <c r="U16" s="34">
        <v>45941</v>
      </c>
      <c r="V16" s="34">
        <v>711</v>
      </c>
      <c r="W16" s="34">
        <v>26494</v>
      </c>
      <c r="X16" s="34">
        <v>2864</v>
      </c>
      <c r="Y16" s="34">
        <v>392660</v>
      </c>
      <c r="Z16" s="34">
        <v>33550</v>
      </c>
      <c r="AA16" s="34">
        <v>359110</v>
      </c>
      <c r="AB16" s="34">
        <v>191238</v>
      </c>
      <c r="AC16" s="34">
        <v>167872</v>
      </c>
    </row>
    <row r="17" spans="1:29" x14ac:dyDescent="0.25">
      <c r="A17" s="31" t="s">
        <v>0</v>
      </c>
      <c r="B17" s="31" t="s">
        <v>733</v>
      </c>
      <c r="C17" s="31" t="s">
        <v>15</v>
      </c>
      <c r="D17" s="31" t="s">
        <v>427</v>
      </c>
      <c r="E17" s="32">
        <v>34.97</v>
      </c>
      <c r="F17" s="33">
        <v>332.5</v>
      </c>
      <c r="G17" s="32">
        <v>367.47</v>
      </c>
      <c r="H17" s="32">
        <v>1.03</v>
      </c>
      <c r="I17" s="34">
        <v>0</v>
      </c>
      <c r="J17" s="33">
        <v>0</v>
      </c>
      <c r="K17" s="34">
        <v>333</v>
      </c>
      <c r="L17" s="32">
        <v>338.42</v>
      </c>
      <c r="M17" s="32">
        <v>60.63</v>
      </c>
      <c r="N17" s="32">
        <v>67.56</v>
      </c>
      <c r="O17" s="32">
        <v>33.47</v>
      </c>
      <c r="P17" s="32">
        <v>3.62</v>
      </c>
      <c r="Q17" s="34">
        <v>124359</v>
      </c>
      <c r="R17" s="34">
        <v>0</v>
      </c>
      <c r="S17" s="34">
        <v>124359</v>
      </c>
      <c r="T17" s="34">
        <v>20190</v>
      </c>
      <c r="U17" s="34">
        <v>22497</v>
      </c>
      <c r="V17" s="34">
        <v>349</v>
      </c>
      <c r="W17" s="34">
        <v>12299</v>
      </c>
      <c r="X17" s="34">
        <v>1330</v>
      </c>
      <c r="Y17" s="34">
        <v>181024</v>
      </c>
      <c r="Z17" s="34">
        <v>22662</v>
      </c>
      <c r="AA17" s="34">
        <v>158362</v>
      </c>
      <c r="AB17" s="34">
        <v>85303</v>
      </c>
      <c r="AC17" s="34">
        <v>73059</v>
      </c>
    </row>
    <row r="18" spans="1:29" x14ac:dyDescent="0.25">
      <c r="A18" s="31" t="s">
        <v>0</v>
      </c>
      <c r="B18" s="31" t="s">
        <v>733</v>
      </c>
      <c r="C18" s="31" t="s">
        <v>16</v>
      </c>
      <c r="D18" s="31" t="s">
        <v>428</v>
      </c>
      <c r="E18" s="32">
        <v>104.2</v>
      </c>
      <c r="F18" s="33">
        <v>507.2</v>
      </c>
      <c r="G18" s="32">
        <v>611.4</v>
      </c>
      <c r="H18" s="32">
        <v>1.68</v>
      </c>
      <c r="I18" s="34">
        <v>175</v>
      </c>
      <c r="J18" s="33">
        <v>3.2</v>
      </c>
      <c r="K18" s="34">
        <v>679</v>
      </c>
      <c r="L18" s="32">
        <v>338.42</v>
      </c>
      <c r="M18" s="32">
        <v>60.63</v>
      </c>
      <c r="N18" s="32">
        <v>67.56</v>
      </c>
      <c r="O18" s="32">
        <v>33.47</v>
      </c>
      <c r="P18" s="32">
        <v>3.62</v>
      </c>
      <c r="Q18" s="34">
        <v>206910</v>
      </c>
      <c r="R18" s="34">
        <v>0</v>
      </c>
      <c r="S18" s="34">
        <v>206910</v>
      </c>
      <c r="T18" s="34">
        <v>41168</v>
      </c>
      <c r="U18" s="34">
        <v>45873</v>
      </c>
      <c r="V18" s="34">
        <v>569</v>
      </c>
      <c r="W18" s="34">
        <v>20464</v>
      </c>
      <c r="X18" s="34">
        <v>2213</v>
      </c>
      <c r="Y18" s="34">
        <v>317197</v>
      </c>
      <c r="Z18" s="34">
        <v>39906</v>
      </c>
      <c r="AA18" s="34">
        <v>277291</v>
      </c>
      <c r="AB18" s="34">
        <v>139719</v>
      </c>
      <c r="AC18" s="34">
        <v>137572</v>
      </c>
    </row>
    <row r="19" spans="1:29" x14ac:dyDescent="0.25">
      <c r="A19" s="31" t="s">
        <v>0</v>
      </c>
      <c r="B19" s="31" t="s">
        <v>733</v>
      </c>
      <c r="C19" s="31" t="s">
        <v>17</v>
      </c>
      <c r="D19" s="31" t="s">
        <v>429</v>
      </c>
      <c r="E19" s="32">
        <v>108.24</v>
      </c>
      <c r="F19" s="33">
        <v>604.6</v>
      </c>
      <c r="G19" s="32">
        <v>712.84</v>
      </c>
      <c r="H19" s="32">
        <v>1.96</v>
      </c>
      <c r="I19" s="34">
        <v>0</v>
      </c>
      <c r="J19" s="33">
        <v>0</v>
      </c>
      <c r="K19" s="34">
        <v>605</v>
      </c>
      <c r="L19" s="32">
        <v>338.42</v>
      </c>
      <c r="M19" s="32">
        <v>60.63</v>
      </c>
      <c r="N19" s="32">
        <v>67.56</v>
      </c>
      <c r="O19" s="32">
        <v>33.47</v>
      </c>
      <c r="P19" s="32">
        <v>3.62</v>
      </c>
      <c r="Q19" s="34">
        <v>241239</v>
      </c>
      <c r="R19" s="34">
        <v>0</v>
      </c>
      <c r="S19" s="34">
        <v>241239</v>
      </c>
      <c r="T19" s="34">
        <v>36681</v>
      </c>
      <c r="U19" s="34">
        <v>40874</v>
      </c>
      <c r="V19" s="34">
        <v>663</v>
      </c>
      <c r="W19" s="34">
        <v>23859</v>
      </c>
      <c r="X19" s="34">
        <v>2580</v>
      </c>
      <c r="Y19" s="34">
        <v>345896</v>
      </c>
      <c r="Z19" s="34">
        <v>44326</v>
      </c>
      <c r="AA19" s="34">
        <v>301570</v>
      </c>
      <c r="AB19" s="34">
        <v>165102</v>
      </c>
      <c r="AC19" s="34">
        <v>136468</v>
      </c>
    </row>
    <row r="20" spans="1:29" x14ac:dyDescent="0.25">
      <c r="A20" s="31" t="s">
        <v>0</v>
      </c>
      <c r="B20" s="31" t="s">
        <v>733</v>
      </c>
      <c r="C20" s="31" t="s">
        <v>18</v>
      </c>
      <c r="D20" s="31" t="s">
        <v>430</v>
      </c>
      <c r="E20" s="32">
        <v>48.35</v>
      </c>
      <c r="F20" s="33">
        <v>356.2</v>
      </c>
      <c r="G20" s="32">
        <v>404.55</v>
      </c>
      <c r="H20" s="32">
        <v>1.1100000000000001</v>
      </c>
      <c r="I20" s="34">
        <v>47</v>
      </c>
      <c r="J20" s="33">
        <v>0.5</v>
      </c>
      <c r="K20" s="34">
        <v>403</v>
      </c>
      <c r="L20" s="32">
        <v>338.42</v>
      </c>
      <c r="M20" s="32">
        <v>60.63</v>
      </c>
      <c r="N20" s="32">
        <v>67.56</v>
      </c>
      <c r="O20" s="32">
        <v>33.47</v>
      </c>
      <c r="P20" s="32">
        <v>3.62</v>
      </c>
      <c r="Q20" s="34">
        <v>136908</v>
      </c>
      <c r="R20" s="34">
        <v>9846</v>
      </c>
      <c r="S20" s="34">
        <v>146754</v>
      </c>
      <c r="T20" s="34">
        <v>24434</v>
      </c>
      <c r="U20" s="34">
        <v>27227</v>
      </c>
      <c r="V20" s="34">
        <v>376</v>
      </c>
      <c r="W20" s="34">
        <v>13540</v>
      </c>
      <c r="X20" s="34">
        <v>1464</v>
      </c>
      <c r="Y20" s="34">
        <v>213795</v>
      </c>
      <c r="Z20" s="34">
        <v>31047</v>
      </c>
      <c r="AA20" s="34">
        <v>182748</v>
      </c>
      <c r="AB20" s="34">
        <v>87806</v>
      </c>
      <c r="AC20" s="34">
        <v>94942</v>
      </c>
    </row>
    <row r="21" spans="1:29" x14ac:dyDescent="0.25">
      <c r="A21" s="31" t="s">
        <v>0</v>
      </c>
      <c r="B21" s="31" t="s">
        <v>733</v>
      </c>
      <c r="C21" s="31" t="s">
        <v>19</v>
      </c>
      <c r="D21" s="31" t="s">
        <v>431</v>
      </c>
      <c r="E21" s="32">
        <v>36.69</v>
      </c>
      <c r="F21" s="33">
        <v>255.2</v>
      </c>
      <c r="G21" s="32">
        <v>291.89</v>
      </c>
      <c r="H21" s="32">
        <v>0.8</v>
      </c>
      <c r="I21" s="34">
        <v>0</v>
      </c>
      <c r="J21" s="33">
        <v>0</v>
      </c>
      <c r="K21" s="34">
        <v>255</v>
      </c>
      <c r="L21" s="32">
        <v>338.42</v>
      </c>
      <c r="M21" s="32">
        <v>60.63</v>
      </c>
      <c r="N21" s="32">
        <v>67.56</v>
      </c>
      <c r="O21" s="32">
        <v>33.47</v>
      </c>
      <c r="P21" s="32">
        <v>3.62</v>
      </c>
      <c r="Q21" s="34">
        <v>98781</v>
      </c>
      <c r="R21" s="34">
        <v>8</v>
      </c>
      <c r="S21" s="34">
        <v>98789</v>
      </c>
      <c r="T21" s="34">
        <v>15461</v>
      </c>
      <c r="U21" s="34">
        <v>17228</v>
      </c>
      <c r="V21" s="34">
        <v>271</v>
      </c>
      <c r="W21" s="34">
        <v>9770</v>
      </c>
      <c r="X21" s="34">
        <v>1057</v>
      </c>
      <c r="Y21" s="34">
        <v>142576</v>
      </c>
      <c r="Z21" s="34">
        <v>17920</v>
      </c>
      <c r="AA21" s="34">
        <v>124656</v>
      </c>
      <c r="AB21" s="34">
        <v>67836</v>
      </c>
      <c r="AC21" s="34">
        <v>56820</v>
      </c>
    </row>
    <row r="22" spans="1:29" x14ac:dyDescent="0.25">
      <c r="A22" s="31" t="s">
        <v>0</v>
      </c>
      <c r="B22" s="31" t="s">
        <v>733</v>
      </c>
      <c r="C22" s="31" t="s">
        <v>20</v>
      </c>
      <c r="D22" s="31" t="s">
        <v>432</v>
      </c>
      <c r="E22" s="32">
        <v>184.36</v>
      </c>
      <c r="F22" s="33">
        <v>1394</v>
      </c>
      <c r="G22" s="32">
        <v>1578.36</v>
      </c>
      <c r="H22" s="32">
        <v>4.3499999999999996</v>
      </c>
      <c r="I22" s="34">
        <v>193</v>
      </c>
      <c r="J22" s="33">
        <v>0.8</v>
      </c>
      <c r="K22" s="34">
        <v>1586</v>
      </c>
      <c r="L22" s="32">
        <v>338.42</v>
      </c>
      <c r="M22" s="32">
        <v>60.63</v>
      </c>
      <c r="N22" s="32">
        <v>67.56</v>
      </c>
      <c r="O22" s="32">
        <v>33.47</v>
      </c>
      <c r="P22" s="32">
        <v>3.62</v>
      </c>
      <c r="Q22" s="34">
        <v>534149</v>
      </c>
      <c r="R22" s="34">
        <v>0</v>
      </c>
      <c r="S22" s="34">
        <v>534149</v>
      </c>
      <c r="T22" s="34">
        <v>96159</v>
      </c>
      <c r="U22" s="34">
        <v>107150</v>
      </c>
      <c r="V22" s="34">
        <v>1472</v>
      </c>
      <c r="W22" s="34">
        <v>52828</v>
      </c>
      <c r="X22" s="34">
        <v>5714</v>
      </c>
      <c r="Y22" s="34">
        <v>797472</v>
      </c>
      <c r="Z22" s="34">
        <v>96231</v>
      </c>
      <c r="AA22" s="34">
        <v>701241</v>
      </c>
      <c r="AB22" s="34">
        <v>367485</v>
      </c>
      <c r="AC22" s="34">
        <v>333756</v>
      </c>
    </row>
    <row r="23" spans="1:29" x14ac:dyDescent="0.25">
      <c r="A23" s="31" t="s">
        <v>0</v>
      </c>
      <c r="B23" s="31" t="s">
        <v>733</v>
      </c>
      <c r="C23" s="31" t="s">
        <v>21</v>
      </c>
      <c r="D23" s="31" t="s">
        <v>433</v>
      </c>
      <c r="E23" s="32">
        <v>402.27</v>
      </c>
      <c r="F23" s="33">
        <v>3196.5</v>
      </c>
      <c r="G23" s="32">
        <v>3598.77</v>
      </c>
      <c r="H23" s="32">
        <v>9.91</v>
      </c>
      <c r="I23" s="34">
        <v>1051</v>
      </c>
      <c r="J23" s="33">
        <v>2.7</v>
      </c>
      <c r="K23" s="34">
        <v>4245</v>
      </c>
      <c r="L23" s="32">
        <v>338.42</v>
      </c>
      <c r="M23" s="32">
        <v>60.63</v>
      </c>
      <c r="N23" s="32">
        <v>67.56</v>
      </c>
      <c r="O23" s="32">
        <v>33.47</v>
      </c>
      <c r="P23" s="32">
        <v>3.62</v>
      </c>
      <c r="Q23" s="34">
        <v>1217896</v>
      </c>
      <c r="R23" s="34">
        <v>0</v>
      </c>
      <c r="S23" s="34">
        <v>1217896</v>
      </c>
      <c r="T23" s="34">
        <v>257374</v>
      </c>
      <c r="U23" s="34">
        <v>286792</v>
      </c>
      <c r="V23" s="34">
        <v>3354</v>
      </c>
      <c r="W23" s="34">
        <v>120451</v>
      </c>
      <c r="X23" s="34">
        <v>13028</v>
      </c>
      <c r="Y23" s="34">
        <v>1898895</v>
      </c>
      <c r="Z23" s="34">
        <v>153622</v>
      </c>
      <c r="AA23" s="34">
        <v>1745273</v>
      </c>
      <c r="AB23" s="34">
        <v>903679</v>
      </c>
      <c r="AC23" s="34">
        <v>841594</v>
      </c>
    </row>
    <row r="24" spans="1:29" x14ac:dyDescent="0.25">
      <c r="A24" s="31" t="s">
        <v>22</v>
      </c>
      <c r="B24" s="31" t="s">
        <v>734</v>
      </c>
      <c r="C24" s="31" t="s">
        <v>23</v>
      </c>
      <c r="D24" s="31" t="s">
        <v>434</v>
      </c>
      <c r="E24" s="32">
        <v>28.12</v>
      </c>
      <c r="F24" s="33">
        <v>195.3</v>
      </c>
      <c r="G24" s="32">
        <v>223.42</v>
      </c>
      <c r="H24" s="32">
        <v>0</v>
      </c>
      <c r="I24" s="34">
        <v>2</v>
      </c>
      <c r="J24" s="33">
        <v>0</v>
      </c>
      <c r="K24" s="34">
        <v>197</v>
      </c>
      <c r="L24" s="32">
        <v>334.17</v>
      </c>
      <c r="M24" s="32">
        <v>60.71</v>
      </c>
      <c r="N24" s="32">
        <v>68.03</v>
      </c>
      <c r="O24" s="32">
        <v>35.43</v>
      </c>
      <c r="P24" s="32">
        <v>4.21</v>
      </c>
      <c r="Q24" s="34">
        <v>74660</v>
      </c>
      <c r="R24" s="34">
        <v>6193</v>
      </c>
      <c r="S24" s="34">
        <v>80853</v>
      </c>
      <c r="T24" s="34">
        <v>11960</v>
      </c>
      <c r="U24" s="34">
        <v>13402</v>
      </c>
      <c r="V24" s="34">
        <v>0</v>
      </c>
      <c r="W24" s="34">
        <v>8510</v>
      </c>
      <c r="X24" s="34">
        <v>1013</v>
      </c>
      <c r="Y24" s="34">
        <v>115738</v>
      </c>
      <c r="Z24" s="34">
        <v>15122</v>
      </c>
      <c r="AA24" s="34">
        <v>100616</v>
      </c>
      <c r="AB24" s="34">
        <v>51597</v>
      </c>
      <c r="AC24" s="34">
        <v>49019</v>
      </c>
    </row>
    <row r="25" spans="1:29" x14ac:dyDescent="0.25">
      <c r="A25" s="31" t="s">
        <v>22</v>
      </c>
      <c r="B25" s="31" t="s">
        <v>734</v>
      </c>
      <c r="C25" s="31" t="s">
        <v>24</v>
      </c>
      <c r="D25" s="31" t="s">
        <v>435</v>
      </c>
      <c r="E25" s="32">
        <v>197.35</v>
      </c>
      <c r="F25" s="33">
        <v>1299.5</v>
      </c>
      <c r="G25" s="32">
        <v>1496.85</v>
      </c>
      <c r="H25" s="32">
        <v>0</v>
      </c>
      <c r="I25" s="34">
        <v>272</v>
      </c>
      <c r="J25" s="33">
        <v>6.2</v>
      </c>
      <c r="K25" s="34">
        <v>1565</v>
      </c>
      <c r="L25" s="32">
        <v>334.17</v>
      </c>
      <c r="M25" s="32">
        <v>60.71</v>
      </c>
      <c r="N25" s="32">
        <v>68.03</v>
      </c>
      <c r="O25" s="32">
        <v>35.43</v>
      </c>
      <c r="P25" s="32">
        <v>4.21</v>
      </c>
      <c r="Q25" s="34">
        <v>500202</v>
      </c>
      <c r="R25" s="34">
        <v>0</v>
      </c>
      <c r="S25" s="34">
        <v>500202</v>
      </c>
      <c r="T25" s="34">
        <v>95011</v>
      </c>
      <c r="U25" s="34">
        <v>106467</v>
      </c>
      <c r="V25" s="34">
        <v>0</v>
      </c>
      <c r="W25" s="34">
        <v>53033</v>
      </c>
      <c r="X25" s="34">
        <v>6302</v>
      </c>
      <c r="Y25" s="34">
        <v>761015</v>
      </c>
      <c r="Z25" s="34">
        <v>90082</v>
      </c>
      <c r="AA25" s="34">
        <v>670933</v>
      </c>
      <c r="AB25" s="34">
        <v>352447</v>
      </c>
      <c r="AC25" s="34">
        <v>318486</v>
      </c>
    </row>
    <row r="26" spans="1:29" x14ac:dyDescent="0.25">
      <c r="A26" s="31" t="s">
        <v>22</v>
      </c>
      <c r="B26" s="31" t="s">
        <v>734</v>
      </c>
      <c r="C26" s="31" t="s">
        <v>25</v>
      </c>
      <c r="D26" s="31" t="s">
        <v>436</v>
      </c>
      <c r="E26" s="32">
        <v>75.680000000000007</v>
      </c>
      <c r="F26" s="33">
        <v>856.1</v>
      </c>
      <c r="G26" s="32">
        <v>931.78</v>
      </c>
      <c r="H26" s="32">
        <v>0</v>
      </c>
      <c r="I26" s="34">
        <v>14</v>
      </c>
      <c r="J26" s="33">
        <v>0</v>
      </c>
      <c r="K26" s="34">
        <v>870</v>
      </c>
      <c r="L26" s="32">
        <v>334.17</v>
      </c>
      <c r="M26" s="32">
        <v>60.71</v>
      </c>
      <c r="N26" s="32">
        <v>68.03</v>
      </c>
      <c r="O26" s="32">
        <v>35.43</v>
      </c>
      <c r="P26" s="32">
        <v>4.21</v>
      </c>
      <c r="Q26" s="34">
        <v>311373</v>
      </c>
      <c r="R26" s="34">
        <v>0</v>
      </c>
      <c r="S26" s="34">
        <v>311373</v>
      </c>
      <c r="T26" s="34">
        <v>52818</v>
      </c>
      <c r="U26" s="34">
        <v>59186</v>
      </c>
      <c r="V26" s="34">
        <v>0</v>
      </c>
      <c r="W26" s="34">
        <v>33013</v>
      </c>
      <c r="X26" s="34">
        <v>3923</v>
      </c>
      <c r="Y26" s="34">
        <v>460313</v>
      </c>
      <c r="Z26" s="34">
        <v>48608</v>
      </c>
      <c r="AA26" s="34">
        <v>411705</v>
      </c>
      <c r="AB26" s="34">
        <v>226864</v>
      </c>
      <c r="AC26" s="34">
        <v>184841</v>
      </c>
    </row>
    <row r="27" spans="1:29" x14ac:dyDescent="0.25">
      <c r="A27" s="31" t="s">
        <v>22</v>
      </c>
      <c r="B27" s="31" t="s">
        <v>734</v>
      </c>
      <c r="C27" s="31" t="s">
        <v>26</v>
      </c>
      <c r="D27" s="31" t="s">
        <v>437</v>
      </c>
      <c r="E27" s="32">
        <v>125.77</v>
      </c>
      <c r="F27" s="33">
        <v>985</v>
      </c>
      <c r="G27" s="32">
        <v>1110.77</v>
      </c>
      <c r="H27" s="32">
        <v>0</v>
      </c>
      <c r="I27" s="34">
        <v>4</v>
      </c>
      <c r="J27" s="33">
        <v>0</v>
      </c>
      <c r="K27" s="34">
        <v>989</v>
      </c>
      <c r="L27" s="32">
        <v>334.17</v>
      </c>
      <c r="M27" s="32">
        <v>60.71</v>
      </c>
      <c r="N27" s="32">
        <v>68.03</v>
      </c>
      <c r="O27" s="32">
        <v>35.43</v>
      </c>
      <c r="P27" s="32">
        <v>4.21</v>
      </c>
      <c r="Q27" s="34">
        <v>371186</v>
      </c>
      <c r="R27" s="34">
        <v>0</v>
      </c>
      <c r="S27" s="34">
        <v>371186</v>
      </c>
      <c r="T27" s="34">
        <v>60042</v>
      </c>
      <c r="U27" s="34">
        <v>67282</v>
      </c>
      <c r="V27" s="34">
        <v>0</v>
      </c>
      <c r="W27" s="34">
        <v>39355</v>
      </c>
      <c r="X27" s="34">
        <v>4676</v>
      </c>
      <c r="Y27" s="34">
        <v>542541</v>
      </c>
      <c r="Z27" s="34">
        <v>56696</v>
      </c>
      <c r="AA27" s="34">
        <v>485845</v>
      </c>
      <c r="AB27" s="34">
        <v>271692</v>
      </c>
      <c r="AC27" s="34">
        <v>214153</v>
      </c>
    </row>
    <row r="28" spans="1:29" x14ac:dyDescent="0.25">
      <c r="A28" s="31" t="s">
        <v>22</v>
      </c>
      <c r="B28" s="31" t="s">
        <v>734</v>
      </c>
      <c r="C28" s="31" t="s">
        <v>27</v>
      </c>
      <c r="D28" s="31" t="s">
        <v>438</v>
      </c>
      <c r="E28" s="32">
        <v>40.75</v>
      </c>
      <c r="F28" s="33">
        <v>294</v>
      </c>
      <c r="G28" s="32">
        <v>334.75</v>
      </c>
      <c r="H28" s="32">
        <v>0</v>
      </c>
      <c r="I28" s="34">
        <v>25</v>
      </c>
      <c r="J28" s="33">
        <v>0</v>
      </c>
      <c r="K28" s="34">
        <v>319</v>
      </c>
      <c r="L28" s="32">
        <v>334.17</v>
      </c>
      <c r="M28" s="32">
        <v>60.71</v>
      </c>
      <c r="N28" s="32">
        <v>68.03</v>
      </c>
      <c r="O28" s="32">
        <v>35.43</v>
      </c>
      <c r="P28" s="32">
        <v>4.21</v>
      </c>
      <c r="Q28" s="34">
        <v>111863</v>
      </c>
      <c r="R28" s="34">
        <v>13170</v>
      </c>
      <c r="S28" s="34">
        <v>125033</v>
      </c>
      <c r="T28" s="34">
        <v>19366</v>
      </c>
      <c r="U28" s="34">
        <v>21702</v>
      </c>
      <c r="V28" s="34">
        <v>0</v>
      </c>
      <c r="W28" s="34">
        <v>12323</v>
      </c>
      <c r="X28" s="34">
        <v>1467</v>
      </c>
      <c r="Y28" s="34">
        <v>179891</v>
      </c>
      <c r="Z28" s="34">
        <v>24763</v>
      </c>
      <c r="AA28" s="34">
        <v>155128</v>
      </c>
      <c r="AB28" s="34">
        <v>74723</v>
      </c>
      <c r="AC28" s="34">
        <v>80405</v>
      </c>
    </row>
    <row r="29" spans="1:29" x14ac:dyDescent="0.25">
      <c r="A29" s="31" t="s">
        <v>22</v>
      </c>
      <c r="B29" s="31" t="s">
        <v>734</v>
      </c>
      <c r="C29" s="31" t="s">
        <v>28</v>
      </c>
      <c r="D29" s="31" t="s">
        <v>439</v>
      </c>
      <c r="E29" s="32">
        <v>138.12</v>
      </c>
      <c r="F29" s="33">
        <v>972</v>
      </c>
      <c r="G29" s="32">
        <v>1110.1199999999999</v>
      </c>
      <c r="H29" s="32">
        <v>0</v>
      </c>
      <c r="I29" s="34">
        <v>0</v>
      </c>
      <c r="J29" s="33">
        <v>0</v>
      </c>
      <c r="K29" s="34">
        <v>972</v>
      </c>
      <c r="L29" s="32">
        <v>334.17</v>
      </c>
      <c r="M29" s="32">
        <v>60.71</v>
      </c>
      <c r="N29" s="32">
        <v>68.03</v>
      </c>
      <c r="O29" s="32">
        <v>35.43</v>
      </c>
      <c r="P29" s="32">
        <v>4.21</v>
      </c>
      <c r="Q29" s="34">
        <v>370969</v>
      </c>
      <c r="R29" s="34">
        <v>0</v>
      </c>
      <c r="S29" s="34">
        <v>370969</v>
      </c>
      <c r="T29" s="34">
        <v>59010</v>
      </c>
      <c r="U29" s="34">
        <v>66125</v>
      </c>
      <c r="V29" s="34">
        <v>0</v>
      </c>
      <c r="W29" s="34">
        <v>39332</v>
      </c>
      <c r="X29" s="34">
        <v>4674</v>
      </c>
      <c r="Y29" s="34">
        <v>540110</v>
      </c>
      <c r="Z29" s="34">
        <v>49774</v>
      </c>
      <c r="AA29" s="34">
        <v>490336</v>
      </c>
      <c r="AB29" s="34">
        <v>278423</v>
      </c>
      <c r="AC29" s="34">
        <v>211913</v>
      </c>
    </row>
    <row r="30" spans="1:29" x14ac:dyDescent="0.25">
      <c r="A30" s="31" t="s">
        <v>22</v>
      </c>
      <c r="B30" s="31" t="s">
        <v>734</v>
      </c>
      <c r="C30" s="31" t="s">
        <v>29</v>
      </c>
      <c r="D30" s="31" t="s">
        <v>440</v>
      </c>
      <c r="E30" s="32">
        <v>96.35</v>
      </c>
      <c r="F30" s="33">
        <v>809.4</v>
      </c>
      <c r="G30" s="32">
        <v>905.75</v>
      </c>
      <c r="H30" s="32">
        <v>0</v>
      </c>
      <c r="I30" s="34">
        <v>45</v>
      </c>
      <c r="J30" s="33">
        <v>0</v>
      </c>
      <c r="K30" s="34">
        <v>854</v>
      </c>
      <c r="L30" s="32">
        <v>334.17</v>
      </c>
      <c r="M30" s="32">
        <v>60.71</v>
      </c>
      <c r="N30" s="32">
        <v>68.03</v>
      </c>
      <c r="O30" s="32">
        <v>35.43</v>
      </c>
      <c r="P30" s="32">
        <v>4.21</v>
      </c>
      <c r="Q30" s="34">
        <v>302674</v>
      </c>
      <c r="R30" s="34">
        <v>0</v>
      </c>
      <c r="S30" s="34">
        <v>302674</v>
      </c>
      <c r="T30" s="34">
        <v>51846</v>
      </c>
      <c r="U30" s="34">
        <v>58098</v>
      </c>
      <c r="V30" s="34">
        <v>0</v>
      </c>
      <c r="W30" s="34">
        <v>32091</v>
      </c>
      <c r="X30" s="34">
        <v>3813</v>
      </c>
      <c r="Y30" s="34">
        <v>448522</v>
      </c>
      <c r="Z30" s="34">
        <v>55610</v>
      </c>
      <c r="AA30" s="34">
        <v>392912</v>
      </c>
      <c r="AB30" s="34">
        <v>212166</v>
      </c>
      <c r="AC30" s="34">
        <v>180746</v>
      </c>
    </row>
    <row r="31" spans="1:29" x14ac:dyDescent="0.25">
      <c r="A31" s="31" t="s">
        <v>22</v>
      </c>
      <c r="B31" s="31" t="s">
        <v>734</v>
      </c>
      <c r="C31" s="31" t="s">
        <v>30</v>
      </c>
      <c r="D31" s="31" t="s">
        <v>441</v>
      </c>
      <c r="E31" s="32">
        <v>113.69</v>
      </c>
      <c r="F31" s="33">
        <v>649.4</v>
      </c>
      <c r="G31" s="32">
        <v>763.09</v>
      </c>
      <c r="H31" s="32">
        <v>0</v>
      </c>
      <c r="I31" s="34">
        <v>85</v>
      </c>
      <c r="J31" s="33">
        <v>2.4</v>
      </c>
      <c r="K31" s="34">
        <v>732</v>
      </c>
      <c r="L31" s="32">
        <v>334.17</v>
      </c>
      <c r="M31" s="32">
        <v>60.71</v>
      </c>
      <c r="N31" s="32">
        <v>68.03</v>
      </c>
      <c r="O31" s="32">
        <v>35.43</v>
      </c>
      <c r="P31" s="32">
        <v>4.21</v>
      </c>
      <c r="Q31" s="34">
        <v>255002</v>
      </c>
      <c r="R31" s="34">
        <v>33</v>
      </c>
      <c r="S31" s="34">
        <v>255035</v>
      </c>
      <c r="T31" s="34">
        <v>44440</v>
      </c>
      <c r="U31" s="34">
        <v>49798</v>
      </c>
      <c r="V31" s="34">
        <v>0</v>
      </c>
      <c r="W31" s="34">
        <v>27036</v>
      </c>
      <c r="X31" s="34">
        <v>3213</v>
      </c>
      <c r="Y31" s="34">
        <v>379522</v>
      </c>
      <c r="Z31" s="34">
        <v>42329</v>
      </c>
      <c r="AA31" s="34">
        <v>337193</v>
      </c>
      <c r="AB31" s="34">
        <v>183271</v>
      </c>
      <c r="AC31" s="34">
        <v>153922</v>
      </c>
    </row>
    <row r="32" spans="1:29" x14ac:dyDescent="0.25">
      <c r="A32" s="31" t="s">
        <v>22</v>
      </c>
      <c r="B32" s="31" t="s">
        <v>734</v>
      </c>
      <c r="C32" s="31" t="s">
        <v>31</v>
      </c>
      <c r="D32" s="31" t="s">
        <v>442</v>
      </c>
      <c r="E32" s="32">
        <v>139.77000000000001</v>
      </c>
      <c r="F32" s="33">
        <v>1222.0999999999999</v>
      </c>
      <c r="G32" s="32">
        <v>1361.87</v>
      </c>
      <c r="H32" s="32">
        <v>0</v>
      </c>
      <c r="I32" s="34">
        <v>1</v>
      </c>
      <c r="J32" s="33">
        <v>0</v>
      </c>
      <c r="K32" s="34">
        <v>1223</v>
      </c>
      <c r="L32" s="32">
        <v>334.17</v>
      </c>
      <c r="M32" s="32">
        <v>60.71</v>
      </c>
      <c r="N32" s="32">
        <v>68.03</v>
      </c>
      <c r="O32" s="32">
        <v>35.43</v>
      </c>
      <c r="P32" s="32">
        <v>4.21</v>
      </c>
      <c r="Q32" s="34">
        <v>455096</v>
      </c>
      <c r="R32" s="34">
        <v>11918</v>
      </c>
      <c r="S32" s="34">
        <v>467014</v>
      </c>
      <c r="T32" s="34">
        <v>74248</v>
      </c>
      <c r="U32" s="34">
        <v>83201</v>
      </c>
      <c r="V32" s="34">
        <v>0</v>
      </c>
      <c r="W32" s="34">
        <v>48251</v>
      </c>
      <c r="X32" s="34">
        <v>5733</v>
      </c>
      <c r="Y32" s="34">
        <v>678447</v>
      </c>
      <c r="Z32" s="34">
        <v>76130</v>
      </c>
      <c r="AA32" s="34">
        <v>602317</v>
      </c>
      <c r="AB32" s="34">
        <v>326493</v>
      </c>
      <c r="AC32" s="34">
        <v>275824</v>
      </c>
    </row>
    <row r="33" spans="1:29" x14ac:dyDescent="0.25">
      <c r="A33" s="31" t="s">
        <v>22</v>
      </c>
      <c r="B33" s="31" t="s">
        <v>734</v>
      </c>
      <c r="C33" s="31" t="s">
        <v>32</v>
      </c>
      <c r="D33" s="31" t="s">
        <v>443</v>
      </c>
      <c r="E33" s="32">
        <v>610</v>
      </c>
      <c r="F33" s="33">
        <v>3655.8</v>
      </c>
      <c r="G33" s="32">
        <v>4265.8</v>
      </c>
      <c r="H33" s="32">
        <v>0</v>
      </c>
      <c r="I33" s="34">
        <v>608</v>
      </c>
      <c r="J33" s="33">
        <v>6.9</v>
      </c>
      <c r="K33" s="34">
        <v>4257</v>
      </c>
      <c r="L33" s="32">
        <v>334.17</v>
      </c>
      <c r="M33" s="32">
        <v>60.71</v>
      </c>
      <c r="N33" s="32">
        <v>68.03</v>
      </c>
      <c r="O33" s="32">
        <v>35.43</v>
      </c>
      <c r="P33" s="32">
        <v>4.21</v>
      </c>
      <c r="Q33" s="34">
        <v>1425502</v>
      </c>
      <c r="R33" s="34">
        <v>0</v>
      </c>
      <c r="S33" s="34">
        <v>1425502</v>
      </c>
      <c r="T33" s="34">
        <v>258442</v>
      </c>
      <c r="U33" s="34">
        <v>289604</v>
      </c>
      <c r="V33" s="34">
        <v>0</v>
      </c>
      <c r="W33" s="34">
        <v>151137</v>
      </c>
      <c r="X33" s="34">
        <v>17959</v>
      </c>
      <c r="Y33" s="34">
        <v>2142644</v>
      </c>
      <c r="Z33" s="34">
        <v>230724</v>
      </c>
      <c r="AA33" s="34">
        <v>1911920</v>
      </c>
      <c r="AB33" s="34">
        <v>1030417</v>
      </c>
      <c r="AC33" s="34">
        <v>881503</v>
      </c>
    </row>
    <row r="34" spans="1:29" x14ac:dyDescent="0.25">
      <c r="A34" s="31" t="s">
        <v>22</v>
      </c>
      <c r="B34" s="31" t="s">
        <v>734</v>
      </c>
      <c r="C34" s="31" t="s">
        <v>33</v>
      </c>
      <c r="D34" s="31" t="s">
        <v>444</v>
      </c>
      <c r="E34" s="32">
        <v>31.39</v>
      </c>
      <c r="F34" s="33">
        <v>164</v>
      </c>
      <c r="G34" s="32">
        <v>195.39</v>
      </c>
      <c r="H34" s="32">
        <v>0</v>
      </c>
      <c r="I34" s="34">
        <v>4</v>
      </c>
      <c r="J34" s="33">
        <v>0</v>
      </c>
      <c r="K34" s="34">
        <v>168</v>
      </c>
      <c r="L34" s="32">
        <v>334.17</v>
      </c>
      <c r="M34" s="32">
        <v>60.71</v>
      </c>
      <c r="N34" s="32">
        <v>68.03</v>
      </c>
      <c r="O34" s="32">
        <v>35.43</v>
      </c>
      <c r="P34" s="32">
        <v>4.21</v>
      </c>
      <c r="Q34" s="34">
        <v>65293</v>
      </c>
      <c r="R34" s="34">
        <v>529</v>
      </c>
      <c r="S34" s="34">
        <v>65822</v>
      </c>
      <c r="T34" s="34">
        <v>10199</v>
      </c>
      <c r="U34" s="34">
        <v>11429</v>
      </c>
      <c r="V34" s="34">
        <v>0</v>
      </c>
      <c r="W34" s="34">
        <v>6984</v>
      </c>
      <c r="X34" s="34">
        <v>831</v>
      </c>
      <c r="Y34" s="34">
        <v>95265</v>
      </c>
      <c r="Z34" s="34">
        <v>11676</v>
      </c>
      <c r="AA34" s="34">
        <v>83589</v>
      </c>
      <c r="AB34" s="34">
        <v>46159</v>
      </c>
      <c r="AC34" s="34">
        <v>37430</v>
      </c>
    </row>
    <row r="35" spans="1:29" x14ac:dyDescent="0.25">
      <c r="A35" s="31" t="s">
        <v>22</v>
      </c>
      <c r="B35" s="31" t="s">
        <v>734</v>
      </c>
      <c r="C35" s="31" t="s">
        <v>34</v>
      </c>
      <c r="D35" s="31" t="s">
        <v>445</v>
      </c>
      <c r="E35" s="32">
        <v>42.09</v>
      </c>
      <c r="F35" s="33">
        <v>385.2</v>
      </c>
      <c r="G35" s="32">
        <v>427.29</v>
      </c>
      <c r="H35" s="32">
        <v>0</v>
      </c>
      <c r="I35" s="34">
        <v>4</v>
      </c>
      <c r="J35" s="33">
        <v>0</v>
      </c>
      <c r="K35" s="34">
        <v>389</v>
      </c>
      <c r="L35" s="32">
        <v>334.17</v>
      </c>
      <c r="M35" s="32">
        <v>60.71</v>
      </c>
      <c r="N35" s="32">
        <v>68.03</v>
      </c>
      <c r="O35" s="32">
        <v>35.43</v>
      </c>
      <c r="P35" s="32">
        <v>4.21</v>
      </c>
      <c r="Q35" s="34">
        <v>142787</v>
      </c>
      <c r="R35" s="34">
        <v>0</v>
      </c>
      <c r="S35" s="34">
        <v>142787</v>
      </c>
      <c r="T35" s="34">
        <v>23616</v>
      </c>
      <c r="U35" s="34">
        <v>26464</v>
      </c>
      <c r="V35" s="34">
        <v>0</v>
      </c>
      <c r="W35" s="34">
        <v>15139</v>
      </c>
      <c r="X35" s="34">
        <v>1799</v>
      </c>
      <c r="Y35" s="34">
        <v>209805</v>
      </c>
      <c r="Z35" s="34">
        <v>25225</v>
      </c>
      <c r="AA35" s="34">
        <v>184580</v>
      </c>
      <c r="AB35" s="34">
        <v>101099</v>
      </c>
      <c r="AC35" s="34">
        <v>83481</v>
      </c>
    </row>
    <row r="36" spans="1:29" x14ac:dyDescent="0.25">
      <c r="A36" s="31" t="s">
        <v>22</v>
      </c>
      <c r="B36" s="31" t="s">
        <v>734</v>
      </c>
      <c r="C36" s="31" t="s">
        <v>35</v>
      </c>
      <c r="D36" s="31" t="s">
        <v>446</v>
      </c>
      <c r="E36" s="32">
        <v>176.71</v>
      </c>
      <c r="F36" s="33">
        <v>1187.4000000000001</v>
      </c>
      <c r="G36" s="32">
        <v>1364.11</v>
      </c>
      <c r="H36" s="32">
        <v>0</v>
      </c>
      <c r="I36" s="34">
        <v>1</v>
      </c>
      <c r="J36" s="33">
        <v>0</v>
      </c>
      <c r="K36" s="34">
        <v>1188</v>
      </c>
      <c r="L36" s="32">
        <v>334.17</v>
      </c>
      <c r="M36" s="32">
        <v>60.71</v>
      </c>
      <c r="N36" s="32">
        <v>68.03</v>
      </c>
      <c r="O36" s="32">
        <v>35.43</v>
      </c>
      <c r="P36" s="32">
        <v>4.21</v>
      </c>
      <c r="Q36" s="34">
        <v>455845</v>
      </c>
      <c r="R36" s="34">
        <v>0</v>
      </c>
      <c r="S36" s="34">
        <v>455845</v>
      </c>
      <c r="T36" s="34">
        <v>72123</v>
      </c>
      <c r="U36" s="34">
        <v>80820</v>
      </c>
      <c r="V36" s="34">
        <v>0</v>
      </c>
      <c r="W36" s="34">
        <v>48330</v>
      </c>
      <c r="X36" s="34">
        <v>5743</v>
      </c>
      <c r="Y36" s="34">
        <v>662861</v>
      </c>
      <c r="Z36" s="34">
        <v>85102</v>
      </c>
      <c r="AA36" s="34">
        <v>577759</v>
      </c>
      <c r="AB36" s="34">
        <v>318183</v>
      </c>
      <c r="AC36" s="34">
        <v>259576</v>
      </c>
    </row>
    <row r="37" spans="1:29" x14ac:dyDescent="0.25">
      <c r="A37" s="31" t="s">
        <v>22</v>
      </c>
      <c r="B37" s="31" t="s">
        <v>734</v>
      </c>
      <c r="C37" s="31" t="s">
        <v>36</v>
      </c>
      <c r="D37" s="31" t="s">
        <v>447</v>
      </c>
      <c r="E37" s="32">
        <v>32.96</v>
      </c>
      <c r="F37" s="33">
        <v>293</v>
      </c>
      <c r="G37" s="32">
        <v>325.95999999999998</v>
      </c>
      <c r="H37" s="32">
        <v>0</v>
      </c>
      <c r="I37" s="34">
        <v>0</v>
      </c>
      <c r="J37" s="33">
        <v>0</v>
      </c>
      <c r="K37" s="34">
        <v>293</v>
      </c>
      <c r="L37" s="32">
        <v>334.17</v>
      </c>
      <c r="M37" s="32">
        <v>60.71</v>
      </c>
      <c r="N37" s="32">
        <v>68.03</v>
      </c>
      <c r="O37" s="32">
        <v>35.43</v>
      </c>
      <c r="P37" s="32">
        <v>4.21</v>
      </c>
      <c r="Q37" s="34">
        <v>108926</v>
      </c>
      <c r="R37" s="34">
        <v>0</v>
      </c>
      <c r="S37" s="34">
        <v>108926</v>
      </c>
      <c r="T37" s="34">
        <v>17788</v>
      </c>
      <c r="U37" s="34">
        <v>19933</v>
      </c>
      <c r="V37" s="34">
        <v>0</v>
      </c>
      <c r="W37" s="34">
        <v>11549</v>
      </c>
      <c r="X37" s="34">
        <v>1372</v>
      </c>
      <c r="Y37" s="34">
        <v>159568</v>
      </c>
      <c r="Z37" s="34">
        <v>16891</v>
      </c>
      <c r="AA37" s="34">
        <v>142677</v>
      </c>
      <c r="AB37" s="34">
        <v>79476</v>
      </c>
      <c r="AC37" s="34">
        <v>63201</v>
      </c>
    </row>
    <row r="38" spans="1:29" x14ac:dyDescent="0.25">
      <c r="A38" s="31" t="s">
        <v>22</v>
      </c>
      <c r="B38" s="31" t="s">
        <v>734</v>
      </c>
      <c r="C38" s="31" t="s">
        <v>37</v>
      </c>
      <c r="D38" s="31" t="s">
        <v>448</v>
      </c>
      <c r="E38" s="32">
        <v>140.1</v>
      </c>
      <c r="F38" s="33">
        <v>1236.4000000000001</v>
      </c>
      <c r="G38" s="32">
        <v>1376.5</v>
      </c>
      <c r="H38" s="32">
        <v>0</v>
      </c>
      <c r="I38" s="34">
        <v>114</v>
      </c>
      <c r="J38" s="33">
        <v>1.2</v>
      </c>
      <c r="K38" s="34">
        <v>1349</v>
      </c>
      <c r="L38" s="32">
        <v>334.17</v>
      </c>
      <c r="M38" s="32">
        <v>60.71</v>
      </c>
      <c r="N38" s="32">
        <v>68.03</v>
      </c>
      <c r="O38" s="32">
        <v>35.43</v>
      </c>
      <c r="P38" s="32">
        <v>4.21</v>
      </c>
      <c r="Q38" s="34">
        <v>459985</v>
      </c>
      <c r="R38" s="34">
        <v>0</v>
      </c>
      <c r="S38" s="34">
        <v>459985</v>
      </c>
      <c r="T38" s="34">
        <v>81898</v>
      </c>
      <c r="U38" s="34">
        <v>91772</v>
      </c>
      <c r="V38" s="34">
        <v>0</v>
      </c>
      <c r="W38" s="34">
        <v>48769</v>
      </c>
      <c r="X38" s="34">
        <v>5795</v>
      </c>
      <c r="Y38" s="34">
        <v>688219</v>
      </c>
      <c r="Z38" s="34">
        <v>67783</v>
      </c>
      <c r="AA38" s="34">
        <v>620436</v>
      </c>
      <c r="AB38" s="34">
        <v>339165</v>
      </c>
      <c r="AC38" s="34">
        <v>281271</v>
      </c>
    </row>
    <row r="39" spans="1:29" x14ac:dyDescent="0.25">
      <c r="A39" s="31" t="s">
        <v>22</v>
      </c>
      <c r="B39" s="31" t="s">
        <v>734</v>
      </c>
      <c r="C39" s="31" t="s">
        <v>38</v>
      </c>
      <c r="D39" s="31" t="s">
        <v>449</v>
      </c>
      <c r="E39" s="32">
        <v>54.59</v>
      </c>
      <c r="F39" s="33">
        <v>277.8</v>
      </c>
      <c r="G39" s="32">
        <v>332.39</v>
      </c>
      <c r="H39" s="32">
        <v>0</v>
      </c>
      <c r="I39" s="34">
        <v>1</v>
      </c>
      <c r="J39" s="33">
        <v>0</v>
      </c>
      <c r="K39" s="34">
        <v>279</v>
      </c>
      <c r="L39" s="32">
        <v>334.17</v>
      </c>
      <c r="M39" s="32">
        <v>60.71</v>
      </c>
      <c r="N39" s="32">
        <v>68.03</v>
      </c>
      <c r="O39" s="32">
        <v>35.43</v>
      </c>
      <c r="P39" s="32">
        <v>4.21</v>
      </c>
      <c r="Q39" s="34">
        <v>111075</v>
      </c>
      <c r="R39" s="34">
        <v>1190</v>
      </c>
      <c r="S39" s="34">
        <v>112265</v>
      </c>
      <c r="T39" s="34">
        <v>16938</v>
      </c>
      <c r="U39" s="34">
        <v>18980</v>
      </c>
      <c r="V39" s="34">
        <v>0</v>
      </c>
      <c r="W39" s="34">
        <v>11777</v>
      </c>
      <c r="X39" s="34">
        <v>1399</v>
      </c>
      <c r="Y39" s="34">
        <v>161359</v>
      </c>
      <c r="Z39" s="34">
        <v>23208</v>
      </c>
      <c r="AA39" s="34">
        <v>138151</v>
      </c>
      <c r="AB39" s="34">
        <v>75060</v>
      </c>
      <c r="AC39" s="34">
        <v>63091</v>
      </c>
    </row>
    <row r="40" spans="1:29" x14ac:dyDescent="0.25">
      <c r="A40" s="31" t="s">
        <v>22</v>
      </c>
      <c r="B40" s="31" t="s">
        <v>734</v>
      </c>
      <c r="C40" s="31" t="s">
        <v>39</v>
      </c>
      <c r="D40" s="31" t="s">
        <v>450</v>
      </c>
      <c r="E40" s="32">
        <v>24.49</v>
      </c>
      <c r="F40" s="33">
        <v>150</v>
      </c>
      <c r="G40" s="32">
        <v>174.49</v>
      </c>
      <c r="H40" s="32">
        <v>0</v>
      </c>
      <c r="I40" s="34">
        <v>19</v>
      </c>
      <c r="J40" s="33">
        <v>0</v>
      </c>
      <c r="K40" s="34">
        <v>169</v>
      </c>
      <c r="L40" s="32">
        <v>334.17</v>
      </c>
      <c r="M40" s="32">
        <v>60.71</v>
      </c>
      <c r="N40" s="32">
        <v>68.03</v>
      </c>
      <c r="O40" s="32">
        <v>35.43</v>
      </c>
      <c r="P40" s="32">
        <v>4.21</v>
      </c>
      <c r="Q40" s="34">
        <v>58309</v>
      </c>
      <c r="R40" s="34">
        <v>1147</v>
      </c>
      <c r="S40" s="34">
        <v>59456</v>
      </c>
      <c r="T40" s="34">
        <v>10260</v>
      </c>
      <c r="U40" s="34">
        <v>11497</v>
      </c>
      <c r="V40" s="34">
        <v>0</v>
      </c>
      <c r="W40" s="34">
        <v>6309</v>
      </c>
      <c r="X40" s="34">
        <v>751</v>
      </c>
      <c r="Y40" s="34">
        <v>88273</v>
      </c>
      <c r="Z40" s="34">
        <v>16887</v>
      </c>
      <c r="AA40" s="34">
        <v>71386</v>
      </c>
      <c r="AB40" s="34">
        <v>34842</v>
      </c>
      <c r="AC40" s="34">
        <v>36544</v>
      </c>
    </row>
    <row r="41" spans="1:29" x14ac:dyDescent="0.25">
      <c r="A41" s="31" t="s">
        <v>22</v>
      </c>
      <c r="B41" s="31" t="s">
        <v>734</v>
      </c>
      <c r="C41" s="31" t="s">
        <v>40</v>
      </c>
      <c r="D41" s="31" t="s">
        <v>451</v>
      </c>
      <c r="E41" s="32">
        <v>61.41</v>
      </c>
      <c r="F41" s="33">
        <v>650.4</v>
      </c>
      <c r="G41" s="32">
        <v>711.81</v>
      </c>
      <c r="H41" s="32">
        <v>0</v>
      </c>
      <c r="I41" s="34">
        <v>47</v>
      </c>
      <c r="J41" s="33">
        <v>0</v>
      </c>
      <c r="K41" s="34">
        <v>697</v>
      </c>
      <c r="L41" s="32">
        <v>334.17</v>
      </c>
      <c r="M41" s="32">
        <v>60.71</v>
      </c>
      <c r="N41" s="32">
        <v>68.03</v>
      </c>
      <c r="O41" s="32">
        <v>35.43</v>
      </c>
      <c r="P41" s="32">
        <v>4.21</v>
      </c>
      <c r="Q41" s="34">
        <v>237866</v>
      </c>
      <c r="R41" s="34">
        <v>0</v>
      </c>
      <c r="S41" s="34">
        <v>237866</v>
      </c>
      <c r="T41" s="34">
        <v>42315</v>
      </c>
      <c r="U41" s="34">
        <v>47417</v>
      </c>
      <c r="V41" s="34">
        <v>0</v>
      </c>
      <c r="W41" s="34">
        <v>25219</v>
      </c>
      <c r="X41" s="34">
        <v>2997</v>
      </c>
      <c r="Y41" s="34">
        <v>355814</v>
      </c>
      <c r="Z41" s="34">
        <v>41006</v>
      </c>
      <c r="AA41" s="34">
        <v>314808</v>
      </c>
      <c r="AB41" s="34">
        <v>169433</v>
      </c>
      <c r="AC41" s="34">
        <v>145375</v>
      </c>
    </row>
    <row r="42" spans="1:29" x14ac:dyDescent="0.25">
      <c r="A42" s="31" t="s">
        <v>22</v>
      </c>
      <c r="B42" s="31" t="s">
        <v>734</v>
      </c>
      <c r="C42" s="31" t="s">
        <v>41</v>
      </c>
      <c r="D42" s="31" t="s">
        <v>452</v>
      </c>
      <c r="E42" s="32">
        <v>39.67</v>
      </c>
      <c r="F42" s="33">
        <v>476.2</v>
      </c>
      <c r="G42" s="32">
        <v>515.87</v>
      </c>
      <c r="H42" s="32">
        <v>0</v>
      </c>
      <c r="I42" s="34">
        <v>6</v>
      </c>
      <c r="J42" s="33">
        <v>0</v>
      </c>
      <c r="K42" s="34">
        <v>482</v>
      </c>
      <c r="L42" s="32">
        <v>334.17</v>
      </c>
      <c r="M42" s="32">
        <v>60.71</v>
      </c>
      <c r="N42" s="32">
        <v>68.03</v>
      </c>
      <c r="O42" s="32">
        <v>35.43</v>
      </c>
      <c r="P42" s="32">
        <v>4.21</v>
      </c>
      <c r="Q42" s="34">
        <v>172388</v>
      </c>
      <c r="R42" s="34">
        <v>0</v>
      </c>
      <c r="S42" s="34">
        <v>172388</v>
      </c>
      <c r="T42" s="34">
        <v>29262</v>
      </c>
      <c r="U42" s="34">
        <v>32790</v>
      </c>
      <c r="V42" s="34">
        <v>0</v>
      </c>
      <c r="W42" s="34">
        <v>18277</v>
      </c>
      <c r="X42" s="34">
        <v>2172</v>
      </c>
      <c r="Y42" s="34">
        <v>254889</v>
      </c>
      <c r="Z42" s="34">
        <v>24926</v>
      </c>
      <c r="AA42" s="34">
        <v>229963</v>
      </c>
      <c r="AB42" s="34">
        <v>127586</v>
      </c>
      <c r="AC42" s="34">
        <v>102377</v>
      </c>
    </row>
    <row r="43" spans="1:29" x14ac:dyDescent="0.25">
      <c r="A43" s="31" t="s">
        <v>22</v>
      </c>
      <c r="B43" s="31" t="s">
        <v>734</v>
      </c>
      <c r="C43" s="31" t="s">
        <v>42</v>
      </c>
      <c r="D43" s="31" t="s">
        <v>453</v>
      </c>
      <c r="E43" s="32">
        <v>50.95</v>
      </c>
      <c r="F43" s="33">
        <v>255.8</v>
      </c>
      <c r="G43" s="32">
        <v>306.75</v>
      </c>
      <c r="H43" s="32">
        <v>0</v>
      </c>
      <c r="I43" s="34">
        <v>34</v>
      </c>
      <c r="J43" s="33">
        <v>0</v>
      </c>
      <c r="K43" s="34">
        <v>290</v>
      </c>
      <c r="L43" s="32">
        <v>334.17</v>
      </c>
      <c r="M43" s="32">
        <v>60.71</v>
      </c>
      <c r="N43" s="32">
        <v>68.03</v>
      </c>
      <c r="O43" s="32">
        <v>35.43</v>
      </c>
      <c r="P43" s="32">
        <v>4.21</v>
      </c>
      <c r="Q43" s="34">
        <v>102507</v>
      </c>
      <c r="R43" s="34">
        <v>6514</v>
      </c>
      <c r="S43" s="34">
        <v>109021</v>
      </c>
      <c r="T43" s="34">
        <v>17606</v>
      </c>
      <c r="U43" s="34">
        <v>19729</v>
      </c>
      <c r="V43" s="34">
        <v>0</v>
      </c>
      <c r="W43" s="34">
        <v>10868</v>
      </c>
      <c r="X43" s="34">
        <v>1291</v>
      </c>
      <c r="Y43" s="34">
        <v>158515</v>
      </c>
      <c r="Z43" s="34">
        <v>22615</v>
      </c>
      <c r="AA43" s="34">
        <v>135900</v>
      </c>
      <c r="AB43" s="34">
        <v>68072</v>
      </c>
      <c r="AC43" s="34">
        <v>67828</v>
      </c>
    </row>
    <row r="44" spans="1:29" x14ac:dyDescent="0.25">
      <c r="A44" s="31" t="s">
        <v>22</v>
      </c>
      <c r="B44" s="31" t="s">
        <v>734</v>
      </c>
      <c r="C44" s="31" t="s">
        <v>43</v>
      </c>
      <c r="D44" s="31" t="s">
        <v>454</v>
      </c>
      <c r="E44" s="32">
        <v>48.28</v>
      </c>
      <c r="F44" s="33">
        <v>402</v>
      </c>
      <c r="G44" s="32">
        <v>450.28</v>
      </c>
      <c r="H44" s="32">
        <v>0</v>
      </c>
      <c r="I44" s="34">
        <v>14</v>
      </c>
      <c r="J44" s="33">
        <v>0</v>
      </c>
      <c r="K44" s="34">
        <v>416</v>
      </c>
      <c r="L44" s="32">
        <v>334.17</v>
      </c>
      <c r="M44" s="32">
        <v>60.71</v>
      </c>
      <c r="N44" s="32">
        <v>68.03</v>
      </c>
      <c r="O44" s="32">
        <v>35.43</v>
      </c>
      <c r="P44" s="32">
        <v>4.21</v>
      </c>
      <c r="Q44" s="34">
        <v>150470</v>
      </c>
      <c r="R44" s="34">
        <v>19765</v>
      </c>
      <c r="S44" s="34">
        <v>170235</v>
      </c>
      <c r="T44" s="34">
        <v>25255</v>
      </c>
      <c r="U44" s="34">
        <v>28300</v>
      </c>
      <c r="V44" s="34">
        <v>0</v>
      </c>
      <c r="W44" s="34">
        <v>16160</v>
      </c>
      <c r="X44" s="34">
        <v>1923</v>
      </c>
      <c r="Y44" s="34">
        <v>241873</v>
      </c>
      <c r="Z44" s="34">
        <v>33312</v>
      </c>
      <c r="AA44" s="34">
        <v>208561</v>
      </c>
      <c r="AB44" s="34">
        <v>100043</v>
      </c>
      <c r="AC44" s="34">
        <v>108518</v>
      </c>
    </row>
    <row r="45" spans="1:29" x14ac:dyDescent="0.25">
      <c r="A45" s="31" t="s">
        <v>22</v>
      </c>
      <c r="B45" s="31" t="s">
        <v>734</v>
      </c>
      <c r="C45" s="31" t="s">
        <v>45</v>
      </c>
      <c r="D45" s="31" t="s">
        <v>455</v>
      </c>
      <c r="E45" s="32">
        <v>119.84</v>
      </c>
      <c r="F45" s="33">
        <v>1043.2</v>
      </c>
      <c r="G45" s="32">
        <v>1163.04</v>
      </c>
      <c r="H45" s="32">
        <v>0</v>
      </c>
      <c r="I45" s="34">
        <v>5</v>
      </c>
      <c r="J45" s="33">
        <v>0</v>
      </c>
      <c r="K45" s="34">
        <v>1048</v>
      </c>
      <c r="L45" s="32">
        <v>334.17</v>
      </c>
      <c r="M45" s="32">
        <v>60.71</v>
      </c>
      <c r="N45" s="32">
        <v>68.03</v>
      </c>
      <c r="O45" s="32">
        <v>35.43</v>
      </c>
      <c r="P45" s="32">
        <v>4.21</v>
      </c>
      <c r="Q45" s="34">
        <v>388653</v>
      </c>
      <c r="R45" s="34">
        <v>0</v>
      </c>
      <c r="S45" s="34">
        <v>388653</v>
      </c>
      <c r="T45" s="34">
        <v>63624</v>
      </c>
      <c r="U45" s="34">
        <v>71295</v>
      </c>
      <c r="V45" s="34">
        <v>0</v>
      </c>
      <c r="W45" s="34">
        <v>41207</v>
      </c>
      <c r="X45" s="34">
        <v>4896</v>
      </c>
      <c r="Y45" s="34">
        <v>569675</v>
      </c>
      <c r="Z45" s="34">
        <v>51208</v>
      </c>
      <c r="AA45" s="34">
        <v>518467</v>
      </c>
      <c r="AB45" s="34">
        <v>292633</v>
      </c>
      <c r="AC45" s="34">
        <v>225834</v>
      </c>
    </row>
    <row r="46" spans="1:29" x14ac:dyDescent="0.25">
      <c r="A46" s="31" t="s">
        <v>22</v>
      </c>
      <c r="B46" s="31" t="s">
        <v>734</v>
      </c>
      <c r="C46" s="31" t="s">
        <v>46</v>
      </c>
      <c r="D46" s="31" t="s">
        <v>456</v>
      </c>
      <c r="E46" s="32">
        <v>13.6</v>
      </c>
      <c r="F46" s="33">
        <v>183</v>
      </c>
      <c r="G46" s="32">
        <v>196.6</v>
      </c>
      <c r="H46" s="32">
        <v>0</v>
      </c>
      <c r="I46" s="34">
        <v>4</v>
      </c>
      <c r="J46" s="33">
        <v>0</v>
      </c>
      <c r="K46" s="34">
        <v>187</v>
      </c>
      <c r="L46" s="32">
        <v>334.17</v>
      </c>
      <c r="M46" s="32">
        <v>60.71</v>
      </c>
      <c r="N46" s="32">
        <v>68.03</v>
      </c>
      <c r="O46" s="32">
        <v>35.43</v>
      </c>
      <c r="P46" s="32">
        <v>4.21</v>
      </c>
      <c r="Q46" s="34">
        <v>65698</v>
      </c>
      <c r="R46" s="34">
        <v>6417</v>
      </c>
      <c r="S46" s="34">
        <v>72115</v>
      </c>
      <c r="T46" s="34">
        <v>11353</v>
      </c>
      <c r="U46" s="34">
        <v>12722</v>
      </c>
      <c r="V46" s="34">
        <v>0</v>
      </c>
      <c r="W46" s="34">
        <v>7652</v>
      </c>
      <c r="X46" s="34">
        <v>911</v>
      </c>
      <c r="Y46" s="34">
        <v>104753</v>
      </c>
      <c r="Z46" s="34">
        <v>11288</v>
      </c>
      <c r="AA46" s="34">
        <v>93465</v>
      </c>
      <c r="AB46" s="34">
        <v>47605</v>
      </c>
      <c r="AC46" s="34">
        <v>45860</v>
      </c>
    </row>
    <row r="47" spans="1:29" x14ac:dyDescent="0.25">
      <c r="A47" s="31" t="s">
        <v>22</v>
      </c>
      <c r="B47" s="31" t="s">
        <v>734</v>
      </c>
      <c r="C47" s="31" t="s">
        <v>47</v>
      </c>
      <c r="D47" s="31" t="s">
        <v>457</v>
      </c>
      <c r="E47" s="32">
        <v>108.76</v>
      </c>
      <c r="F47" s="33">
        <v>671.6</v>
      </c>
      <c r="G47" s="32">
        <v>780.36</v>
      </c>
      <c r="H47" s="32">
        <v>0</v>
      </c>
      <c r="I47" s="34">
        <v>82</v>
      </c>
      <c r="J47" s="33">
        <v>5.9</v>
      </c>
      <c r="K47" s="34">
        <v>748</v>
      </c>
      <c r="L47" s="32">
        <v>334.17</v>
      </c>
      <c r="M47" s="32">
        <v>60.71</v>
      </c>
      <c r="N47" s="32">
        <v>68.03</v>
      </c>
      <c r="O47" s="32">
        <v>35.43</v>
      </c>
      <c r="P47" s="32">
        <v>4.21</v>
      </c>
      <c r="Q47" s="34">
        <v>260773</v>
      </c>
      <c r="R47" s="34">
        <v>5274</v>
      </c>
      <c r="S47" s="34">
        <v>266047</v>
      </c>
      <c r="T47" s="34">
        <v>45411</v>
      </c>
      <c r="U47" s="34">
        <v>50886</v>
      </c>
      <c r="V47" s="34">
        <v>0</v>
      </c>
      <c r="W47" s="34">
        <v>27648</v>
      </c>
      <c r="X47" s="34">
        <v>3285</v>
      </c>
      <c r="Y47" s="34">
        <v>393277</v>
      </c>
      <c r="Z47" s="34">
        <v>55507</v>
      </c>
      <c r="AA47" s="34">
        <v>337770</v>
      </c>
      <c r="AB47" s="34">
        <v>175198</v>
      </c>
      <c r="AC47" s="34">
        <v>162572</v>
      </c>
    </row>
    <row r="48" spans="1:29" x14ac:dyDescent="0.25">
      <c r="A48" s="31" t="s">
        <v>22</v>
      </c>
      <c r="B48" s="31" t="s">
        <v>734</v>
      </c>
      <c r="C48" s="31" t="s">
        <v>48</v>
      </c>
      <c r="D48" s="31" t="s">
        <v>458</v>
      </c>
      <c r="E48" s="32">
        <v>73.92</v>
      </c>
      <c r="F48" s="33">
        <v>573.6</v>
      </c>
      <c r="G48" s="32">
        <v>647.52</v>
      </c>
      <c r="H48" s="32">
        <v>0</v>
      </c>
      <c r="I48" s="34">
        <v>13</v>
      </c>
      <c r="J48" s="33">
        <v>0</v>
      </c>
      <c r="K48" s="34">
        <v>587</v>
      </c>
      <c r="L48" s="32">
        <v>334.17</v>
      </c>
      <c r="M48" s="32">
        <v>60.71</v>
      </c>
      <c r="N48" s="32">
        <v>68.03</v>
      </c>
      <c r="O48" s="32">
        <v>35.43</v>
      </c>
      <c r="P48" s="32">
        <v>4.21</v>
      </c>
      <c r="Q48" s="34">
        <v>216382</v>
      </c>
      <c r="R48" s="34">
        <v>0</v>
      </c>
      <c r="S48" s="34">
        <v>216382</v>
      </c>
      <c r="T48" s="34">
        <v>35637</v>
      </c>
      <c r="U48" s="34">
        <v>39934</v>
      </c>
      <c r="V48" s="34">
        <v>0</v>
      </c>
      <c r="W48" s="34">
        <v>22942</v>
      </c>
      <c r="X48" s="34">
        <v>2726</v>
      </c>
      <c r="Y48" s="34">
        <v>317621</v>
      </c>
      <c r="Z48" s="34">
        <v>41613</v>
      </c>
      <c r="AA48" s="34">
        <v>276008</v>
      </c>
      <c r="AB48" s="34">
        <v>149820</v>
      </c>
      <c r="AC48" s="34">
        <v>126188</v>
      </c>
    </row>
    <row r="49" spans="1:29" x14ac:dyDescent="0.25">
      <c r="A49" s="31" t="s">
        <v>22</v>
      </c>
      <c r="B49" s="31" t="s">
        <v>734</v>
      </c>
      <c r="C49" s="31" t="s">
        <v>49</v>
      </c>
      <c r="D49" s="31" t="s">
        <v>459</v>
      </c>
      <c r="E49" s="32">
        <v>35.159999999999997</v>
      </c>
      <c r="F49" s="33">
        <v>200</v>
      </c>
      <c r="G49" s="32">
        <v>235.16</v>
      </c>
      <c r="H49" s="32">
        <v>0</v>
      </c>
      <c r="I49" s="34">
        <v>14</v>
      </c>
      <c r="J49" s="33">
        <v>0</v>
      </c>
      <c r="K49" s="34">
        <v>214</v>
      </c>
      <c r="L49" s="32">
        <v>334.17</v>
      </c>
      <c r="M49" s="32">
        <v>60.71</v>
      </c>
      <c r="N49" s="32">
        <v>68.03</v>
      </c>
      <c r="O49" s="32">
        <v>35.43</v>
      </c>
      <c r="P49" s="32">
        <v>4.21</v>
      </c>
      <c r="Q49" s="34">
        <v>78583</v>
      </c>
      <c r="R49" s="34">
        <v>7892</v>
      </c>
      <c r="S49" s="34">
        <v>86475</v>
      </c>
      <c r="T49" s="34">
        <v>12992</v>
      </c>
      <c r="U49" s="34">
        <v>14558</v>
      </c>
      <c r="V49" s="34">
        <v>0</v>
      </c>
      <c r="W49" s="34">
        <v>9176</v>
      </c>
      <c r="X49" s="34">
        <v>1092</v>
      </c>
      <c r="Y49" s="34">
        <v>124293</v>
      </c>
      <c r="Z49" s="34">
        <v>14236</v>
      </c>
      <c r="AA49" s="34">
        <v>110057</v>
      </c>
      <c r="AB49" s="34">
        <v>56233</v>
      </c>
      <c r="AC49" s="34">
        <v>53824</v>
      </c>
    </row>
    <row r="50" spans="1:29" x14ac:dyDescent="0.25">
      <c r="A50" s="31" t="s">
        <v>22</v>
      </c>
      <c r="B50" s="31" t="s">
        <v>734</v>
      </c>
      <c r="C50" s="31" t="s">
        <v>50</v>
      </c>
      <c r="D50" s="31" t="s">
        <v>460</v>
      </c>
      <c r="E50" s="32">
        <v>53.21</v>
      </c>
      <c r="F50" s="33">
        <v>372</v>
      </c>
      <c r="G50" s="32">
        <v>425.21</v>
      </c>
      <c r="H50" s="32">
        <v>0</v>
      </c>
      <c r="I50" s="34">
        <v>15</v>
      </c>
      <c r="J50" s="33">
        <v>0</v>
      </c>
      <c r="K50" s="34">
        <v>387</v>
      </c>
      <c r="L50" s="32">
        <v>334.17</v>
      </c>
      <c r="M50" s="32">
        <v>60.71</v>
      </c>
      <c r="N50" s="32">
        <v>68.03</v>
      </c>
      <c r="O50" s="32">
        <v>35.43</v>
      </c>
      <c r="P50" s="32">
        <v>4.21</v>
      </c>
      <c r="Q50" s="34">
        <v>142092</v>
      </c>
      <c r="R50" s="34">
        <v>0</v>
      </c>
      <c r="S50" s="34">
        <v>142092</v>
      </c>
      <c r="T50" s="34">
        <v>23495</v>
      </c>
      <c r="U50" s="34">
        <v>26328</v>
      </c>
      <c r="V50" s="34">
        <v>0</v>
      </c>
      <c r="W50" s="34">
        <v>15065</v>
      </c>
      <c r="X50" s="34">
        <v>1790</v>
      </c>
      <c r="Y50" s="34">
        <v>208770</v>
      </c>
      <c r="Z50" s="34">
        <v>25578</v>
      </c>
      <c r="AA50" s="34">
        <v>183192</v>
      </c>
      <c r="AB50" s="34">
        <v>100131</v>
      </c>
      <c r="AC50" s="34">
        <v>83061</v>
      </c>
    </row>
    <row r="51" spans="1:29" x14ac:dyDescent="0.25">
      <c r="A51" s="31" t="s">
        <v>22</v>
      </c>
      <c r="B51" s="31" t="s">
        <v>734</v>
      </c>
      <c r="C51" s="31" t="s">
        <v>51</v>
      </c>
      <c r="D51" s="31" t="s">
        <v>461</v>
      </c>
      <c r="E51" s="32">
        <v>63.67</v>
      </c>
      <c r="F51" s="33">
        <v>430</v>
      </c>
      <c r="G51" s="32">
        <v>493.67</v>
      </c>
      <c r="H51" s="32">
        <v>0</v>
      </c>
      <c r="I51" s="34">
        <v>7</v>
      </c>
      <c r="J51" s="33">
        <v>0</v>
      </c>
      <c r="K51" s="34">
        <v>437</v>
      </c>
      <c r="L51" s="32">
        <v>334.17</v>
      </c>
      <c r="M51" s="32">
        <v>60.71</v>
      </c>
      <c r="N51" s="32">
        <v>68.03</v>
      </c>
      <c r="O51" s="32">
        <v>35.43</v>
      </c>
      <c r="P51" s="32">
        <v>4.21</v>
      </c>
      <c r="Q51" s="34">
        <v>164970</v>
      </c>
      <c r="R51" s="34">
        <v>9415</v>
      </c>
      <c r="S51" s="34">
        <v>174385</v>
      </c>
      <c r="T51" s="34">
        <v>26530</v>
      </c>
      <c r="U51" s="34">
        <v>29729</v>
      </c>
      <c r="V51" s="34">
        <v>0</v>
      </c>
      <c r="W51" s="34">
        <v>18004</v>
      </c>
      <c r="X51" s="34">
        <v>2143</v>
      </c>
      <c r="Y51" s="34">
        <v>250791</v>
      </c>
      <c r="Z51" s="34">
        <v>31351</v>
      </c>
      <c r="AA51" s="34">
        <v>219440</v>
      </c>
      <c r="AB51" s="34">
        <v>115176</v>
      </c>
      <c r="AC51" s="34">
        <v>104264</v>
      </c>
    </row>
    <row r="52" spans="1:29" x14ac:dyDescent="0.25">
      <c r="A52" s="31" t="s">
        <v>22</v>
      </c>
      <c r="B52" s="31" t="s">
        <v>734</v>
      </c>
      <c r="C52" s="31" t="s">
        <v>52</v>
      </c>
      <c r="D52" s="31" t="s">
        <v>462</v>
      </c>
      <c r="E52" s="32">
        <v>100.68</v>
      </c>
      <c r="F52" s="33">
        <v>895.6</v>
      </c>
      <c r="G52" s="32">
        <v>996.28</v>
      </c>
      <c r="H52" s="32">
        <v>0</v>
      </c>
      <c r="I52" s="34">
        <v>31</v>
      </c>
      <c r="J52" s="33">
        <v>0</v>
      </c>
      <c r="K52" s="34">
        <v>927</v>
      </c>
      <c r="L52" s="32">
        <v>334.17</v>
      </c>
      <c r="M52" s="32">
        <v>60.71</v>
      </c>
      <c r="N52" s="32">
        <v>68.03</v>
      </c>
      <c r="O52" s="32">
        <v>35.43</v>
      </c>
      <c r="P52" s="32">
        <v>4.21</v>
      </c>
      <c r="Q52" s="34">
        <v>332927</v>
      </c>
      <c r="R52" s="34">
        <v>8012</v>
      </c>
      <c r="S52" s="34">
        <v>340939</v>
      </c>
      <c r="T52" s="34">
        <v>56278</v>
      </c>
      <c r="U52" s="34">
        <v>63064</v>
      </c>
      <c r="V52" s="34">
        <v>0</v>
      </c>
      <c r="W52" s="34">
        <v>36177</v>
      </c>
      <c r="X52" s="34">
        <v>4305</v>
      </c>
      <c r="Y52" s="34">
        <v>500763</v>
      </c>
      <c r="Z52" s="34">
        <v>59495</v>
      </c>
      <c r="AA52" s="34">
        <v>441268</v>
      </c>
      <c r="AB52" s="34">
        <v>236035</v>
      </c>
      <c r="AC52" s="34">
        <v>205233</v>
      </c>
    </row>
    <row r="53" spans="1:29" x14ac:dyDescent="0.25">
      <c r="A53" s="31" t="s">
        <v>22</v>
      </c>
      <c r="B53" s="31" t="s">
        <v>734</v>
      </c>
      <c r="C53" s="31" t="s">
        <v>53</v>
      </c>
      <c r="D53" s="31" t="s">
        <v>463</v>
      </c>
      <c r="E53" s="32">
        <v>53.84</v>
      </c>
      <c r="F53" s="33">
        <v>631.29999999999995</v>
      </c>
      <c r="G53" s="32">
        <v>685.14</v>
      </c>
      <c r="H53" s="32">
        <v>0</v>
      </c>
      <c r="I53" s="34">
        <v>0</v>
      </c>
      <c r="J53" s="33">
        <v>0</v>
      </c>
      <c r="K53" s="34">
        <v>631</v>
      </c>
      <c r="L53" s="32">
        <v>334.17</v>
      </c>
      <c r="M53" s="32">
        <v>60.71</v>
      </c>
      <c r="N53" s="32">
        <v>68.03</v>
      </c>
      <c r="O53" s="32">
        <v>35.43</v>
      </c>
      <c r="P53" s="32">
        <v>4.21</v>
      </c>
      <c r="Q53" s="34">
        <v>228953</v>
      </c>
      <c r="R53" s="34">
        <v>0</v>
      </c>
      <c r="S53" s="34">
        <v>228953</v>
      </c>
      <c r="T53" s="34">
        <v>38308</v>
      </c>
      <c r="U53" s="34">
        <v>42927</v>
      </c>
      <c r="V53" s="34">
        <v>0</v>
      </c>
      <c r="W53" s="34">
        <v>24275</v>
      </c>
      <c r="X53" s="34">
        <v>2884</v>
      </c>
      <c r="Y53" s="34">
        <v>337347</v>
      </c>
      <c r="Z53" s="34">
        <v>38030</v>
      </c>
      <c r="AA53" s="34">
        <v>299317</v>
      </c>
      <c r="AB53" s="34">
        <v>164525</v>
      </c>
      <c r="AC53" s="34">
        <v>134792</v>
      </c>
    </row>
    <row r="54" spans="1:29" x14ac:dyDescent="0.25">
      <c r="A54" s="31" t="s">
        <v>22</v>
      </c>
      <c r="B54" s="31" t="s">
        <v>734</v>
      </c>
      <c r="C54" s="31" t="s">
        <v>54</v>
      </c>
      <c r="D54" s="31" t="s">
        <v>464</v>
      </c>
      <c r="E54" s="32">
        <v>62.92</v>
      </c>
      <c r="F54" s="33">
        <v>525.20000000000005</v>
      </c>
      <c r="G54" s="32">
        <v>588.12</v>
      </c>
      <c r="H54" s="32">
        <v>0</v>
      </c>
      <c r="I54" s="34">
        <v>4</v>
      </c>
      <c r="J54" s="33">
        <v>0</v>
      </c>
      <c r="K54" s="34">
        <v>529</v>
      </c>
      <c r="L54" s="32">
        <v>334.17</v>
      </c>
      <c r="M54" s="32">
        <v>60.71</v>
      </c>
      <c r="N54" s="32">
        <v>68.03</v>
      </c>
      <c r="O54" s="32">
        <v>35.43</v>
      </c>
      <c r="P54" s="32">
        <v>4.21</v>
      </c>
      <c r="Q54" s="34">
        <v>196532</v>
      </c>
      <c r="R54" s="34">
        <v>7567</v>
      </c>
      <c r="S54" s="34">
        <v>204099</v>
      </c>
      <c r="T54" s="34">
        <v>32116</v>
      </c>
      <c r="U54" s="34">
        <v>35988</v>
      </c>
      <c r="V54" s="34">
        <v>0</v>
      </c>
      <c r="W54" s="34">
        <v>20837</v>
      </c>
      <c r="X54" s="34">
        <v>2476</v>
      </c>
      <c r="Y54" s="34">
        <v>295516</v>
      </c>
      <c r="Z54" s="34">
        <v>34950</v>
      </c>
      <c r="AA54" s="34">
        <v>260566</v>
      </c>
      <c r="AB54" s="34">
        <v>138922</v>
      </c>
      <c r="AC54" s="34">
        <v>121644</v>
      </c>
    </row>
    <row r="55" spans="1:29" x14ac:dyDescent="0.25">
      <c r="A55" s="31" t="s">
        <v>22</v>
      </c>
      <c r="B55" s="31" t="s">
        <v>734</v>
      </c>
      <c r="C55" s="31" t="s">
        <v>55</v>
      </c>
      <c r="D55" s="31" t="s">
        <v>465</v>
      </c>
      <c r="E55" s="32">
        <v>370.43</v>
      </c>
      <c r="F55" s="33">
        <v>2002.4</v>
      </c>
      <c r="G55" s="32">
        <v>2372.83</v>
      </c>
      <c r="H55" s="32">
        <v>0</v>
      </c>
      <c r="I55" s="34">
        <v>191</v>
      </c>
      <c r="J55" s="33">
        <v>0.5</v>
      </c>
      <c r="K55" s="34">
        <v>2193</v>
      </c>
      <c r="L55" s="32">
        <v>334.17</v>
      </c>
      <c r="M55" s="32">
        <v>60.71</v>
      </c>
      <c r="N55" s="32">
        <v>68.03</v>
      </c>
      <c r="O55" s="32">
        <v>35.43</v>
      </c>
      <c r="P55" s="32">
        <v>4.21</v>
      </c>
      <c r="Q55" s="34">
        <v>792929</v>
      </c>
      <c r="R55" s="34">
        <v>0</v>
      </c>
      <c r="S55" s="34">
        <v>792929</v>
      </c>
      <c r="T55" s="34">
        <v>133137</v>
      </c>
      <c r="U55" s="34">
        <v>149190</v>
      </c>
      <c r="V55" s="34">
        <v>0</v>
      </c>
      <c r="W55" s="34">
        <v>84069</v>
      </c>
      <c r="X55" s="34">
        <v>9990</v>
      </c>
      <c r="Y55" s="34">
        <v>1169315</v>
      </c>
      <c r="Z55" s="34">
        <v>111056</v>
      </c>
      <c r="AA55" s="34">
        <v>1058259</v>
      </c>
      <c r="AB55" s="34">
        <v>590447</v>
      </c>
      <c r="AC55" s="34">
        <v>467812</v>
      </c>
    </row>
    <row r="56" spans="1:29" x14ac:dyDescent="0.25">
      <c r="A56" s="31" t="s">
        <v>22</v>
      </c>
      <c r="B56" s="31" t="s">
        <v>734</v>
      </c>
      <c r="C56" s="31" t="s">
        <v>56</v>
      </c>
      <c r="D56" s="31" t="s">
        <v>466</v>
      </c>
      <c r="E56" s="32">
        <v>118.1</v>
      </c>
      <c r="F56" s="33">
        <v>1145.9000000000001</v>
      </c>
      <c r="G56" s="32">
        <v>1264</v>
      </c>
      <c r="H56" s="32">
        <v>0</v>
      </c>
      <c r="I56" s="34">
        <v>0</v>
      </c>
      <c r="J56" s="33">
        <v>0</v>
      </c>
      <c r="K56" s="34">
        <v>1146</v>
      </c>
      <c r="L56" s="32">
        <v>334.17</v>
      </c>
      <c r="M56" s="32">
        <v>60.71</v>
      </c>
      <c r="N56" s="32">
        <v>68.03</v>
      </c>
      <c r="O56" s="32">
        <v>35.43</v>
      </c>
      <c r="P56" s="32">
        <v>4.21</v>
      </c>
      <c r="Q56" s="34">
        <v>422391</v>
      </c>
      <c r="R56" s="34">
        <v>0</v>
      </c>
      <c r="S56" s="34">
        <v>422391</v>
      </c>
      <c r="T56" s="34">
        <v>69574</v>
      </c>
      <c r="U56" s="34">
        <v>77962</v>
      </c>
      <c r="V56" s="34">
        <v>0</v>
      </c>
      <c r="W56" s="34">
        <v>44784</v>
      </c>
      <c r="X56" s="34">
        <v>5321</v>
      </c>
      <c r="Y56" s="34">
        <v>620032</v>
      </c>
      <c r="Z56" s="34">
        <v>61353</v>
      </c>
      <c r="AA56" s="34">
        <v>558679</v>
      </c>
      <c r="AB56" s="34">
        <v>312336</v>
      </c>
      <c r="AC56" s="34">
        <v>246343</v>
      </c>
    </row>
    <row r="57" spans="1:29" x14ac:dyDescent="0.25">
      <c r="A57" s="31" t="s">
        <v>22</v>
      </c>
      <c r="B57" s="31" t="s">
        <v>734</v>
      </c>
      <c r="C57" s="31" t="s">
        <v>57</v>
      </c>
      <c r="D57" s="31" t="s">
        <v>467</v>
      </c>
      <c r="E57" s="32">
        <v>329.35</v>
      </c>
      <c r="F57" s="33">
        <v>2570.1999999999998</v>
      </c>
      <c r="G57" s="32">
        <v>2899.55</v>
      </c>
      <c r="H57" s="32">
        <v>0</v>
      </c>
      <c r="I57" s="34">
        <v>202</v>
      </c>
      <c r="J57" s="33">
        <v>3.3</v>
      </c>
      <c r="K57" s="34">
        <v>2769</v>
      </c>
      <c r="L57" s="32">
        <v>334.17</v>
      </c>
      <c r="M57" s="32">
        <v>60.71</v>
      </c>
      <c r="N57" s="32">
        <v>68.03</v>
      </c>
      <c r="O57" s="32">
        <v>35.43</v>
      </c>
      <c r="P57" s="32">
        <v>4.21</v>
      </c>
      <c r="Q57" s="34">
        <v>968943</v>
      </c>
      <c r="R57" s="34">
        <v>0</v>
      </c>
      <c r="S57" s="34">
        <v>968943</v>
      </c>
      <c r="T57" s="34">
        <v>168106</v>
      </c>
      <c r="U57" s="34">
        <v>188375</v>
      </c>
      <c r="V57" s="34">
        <v>0</v>
      </c>
      <c r="W57" s="34">
        <v>102731</v>
      </c>
      <c r="X57" s="34">
        <v>12207</v>
      </c>
      <c r="Y57" s="34">
        <v>1440362</v>
      </c>
      <c r="Z57" s="34">
        <v>101214</v>
      </c>
      <c r="AA57" s="34">
        <v>1339148</v>
      </c>
      <c r="AB57" s="34">
        <v>756009</v>
      </c>
      <c r="AC57" s="34">
        <v>583139</v>
      </c>
    </row>
    <row r="58" spans="1:29" x14ac:dyDescent="0.25">
      <c r="A58" s="31" t="s">
        <v>22</v>
      </c>
      <c r="B58" s="31" t="s">
        <v>734</v>
      </c>
      <c r="C58" s="31" t="s">
        <v>58</v>
      </c>
      <c r="D58" s="31" t="s">
        <v>468</v>
      </c>
      <c r="E58" s="32">
        <v>21.45</v>
      </c>
      <c r="F58" s="33">
        <v>126.4</v>
      </c>
      <c r="G58" s="32">
        <v>147.85</v>
      </c>
      <c r="H58" s="32">
        <v>0</v>
      </c>
      <c r="I58" s="34">
        <v>4</v>
      </c>
      <c r="J58" s="33">
        <v>0</v>
      </c>
      <c r="K58" s="34">
        <v>130</v>
      </c>
      <c r="L58" s="32">
        <v>334.17</v>
      </c>
      <c r="M58" s="32">
        <v>60.71</v>
      </c>
      <c r="N58" s="32">
        <v>68.03</v>
      </c>
      <c r="O58" s="32">
        <v>35.43</v>
      </c>
      <c r="P58" s="32">
        <v>4.21</v>
      </c>
      <c r="Q58" s="34">
        <v>49407</v>
      </c>
      <c r="R58" s="34">
        <v>14104</v>
      </c>
      <c r="S58" s="34">
        <v>63511</v>
      </c>
      <c r="T58" s="34">
        <v>7892</v>
      </c>
      <c r="U58" s="34">
        <v>8844</v>
      </c>
      <c r="V58" s="34">
        <v>0</v>
      </c>
      <c r="W58" s="34">
        <v>5238</v>
      </c>
      <c r="X58" s="34">
        <v>622</v>
      </c>
      <c r="Y58" s="34">
        <v>86107</v>
      </c>
      <c r="Z58" s="34">
        <v>10639</v>
      </c>
      <c r="AA58" s="34">
        <v>75468</v>
      </c>
      <c r="AB58" s="34">
        <v>33071</v>
      </c>
      <c r="AC58" s="34">
        <v>42397</v>
      </c>
    </row>
    <row r="59" spans="1:29" x14ac:dyDescent="0.25">
      <c r="A59" s="31" t="s">
        <v>22</v>
      </c>
      <c r="B59" s="31" t="s">
        <v>734</v>
      </c>
      <c r="C59" s="31" t="s">
        <v>59</v>
      </c>
      <c r="D59" s="31" t="s">
        <v>469</v>
      </c>
      <c r="E59" s="32">
        <v>22.68</v>
      </c>
      <c r="F59" s="33">
        <v>161</v>
      </c>
      <c r="G59" s="32">
        <v>183.68</v>
      </c>
      <c r="H59" s="32">
        <v>0</v>
      </c>
      <c r="I59" s="34">
        <v>14</v>
      </c>
      <c r="J59" s="33">
        <v>0</v>
      </c>
      <c r="K59" s="34">
        <v>175</v>
      </c>
      <c r="L59" s="32">
        <v>334.17</v>
      </c>
      <c r="M59" s="32">
        <v>60.71</v>
      </c>
      <c r="N59" s="32">
        <v>68.03</v>
      </c>
      <c r="O59" s="32">
        <v>35.43</v>
      </c>
      <c r="P59" s="32">
        <v>4.21</v>
      </c>
      <c r="Q59" s="34">
        <v>61380</v>
      </c>
      <c r="R59" s="34">
        <v>0</v>
      </c>
      <c r="S59" s="34">
        <v>61380</v>
      </c>
      <c r="T59" s="34">
        <v>10624</v>
      </c>
      <c r="U59" s="34">
        <v>11905</v>
      </c>
      <c r="V59" s="34">
        <v>0</v>
      </c>
      <c r="W59" s="34">
        <v>6508</v>
      </c>
      <c r="X59" s="34">
        <v>773</v>
      </c>
      <c r="Y59" s="34">
        <v>91190</v>
      </c>
      <c r="Z59" s="34">
        <v>12338</v>
      </c>
      <c r="AA59" s="34">
        <v>78852</v>
      </c>
      <c r="AB59" s="34">
        <v>41965</v>
      </c>
      <c r="AC59" s="34">
        <v>36887</v>
      </c>
    </row>
    <row r="60" spans="1:29" x14ac:dyDescent="0.25">
      <c r="A60" s="31" t="s">
        <v>22</v>
      </c>
      <c r="B60" s="31" t="s">
        <v>734</v>
      </c>
      <c r="C60" s="31" t="s">
        <v>60</v>
      </c>
      <c r="D60" s="31" t="s">
        <v>470</v>
      </c>
      <c r="E60" s="32">
        <v>192.59</v>
      </c>
      <c r="F60" s="33">
        <v>1763.4</v>
      </c>
      <c r="G60" s="32">
        <v>1955.99</v>
      </c>
      <c r="H60" s="32">
        <v>0</v>
      </c>
      <c r="I60" s="34">
        <v>84</v>
      </c>
      <c r="J60" s="33">
        <v>1.4</v>
      </c>
      <c r="K60" s="34">
        <v>1846</v>
      </c>
      <c r="L60" s="32">
        <v>334.17</v>
      </c>
      <c r="M60" s="32">
        <v>60.71</v>
      </c>
      <c r="N60" s="32">
        <v>68.03</v>
      </c>
      <c r="O60" s="32">
        <v>35.43</v>
      </c>
      <c r="P60" s="32">
        <v>4.21</v>
      </c>
      <c r="Q60" s="34">
        <v>653633</v>
      </c>
      <c r="R60" s="34">
        <v>0</v>
      </c>
      <c r="S60" s="34">
        <v>653633</v>
      </c>
      <c r="T60" s="34">
        <v>112071</v>
      </c>
      <c r="U60" s="34">
        <v>125583</v>
      </c>
      <c r="V60" s="34">
        <v>0</v>
      </c>
      <c r="W60" s="34">
        <v>69301</v>
      </c>
      <c r="X60" s="34">
        <v>8235</v>
      </c>
      <c r="Y60" s="34">
        <v>968823</v>
      </c>
      <c r="Z60" s="34">
        <v>102240</v>
      </c>
      <c r="AA60" s="34">
        <v>866583</v>
      </c>
      <c r="AB60" s="34">
        <v>476029</v>
      </c>
      <c r="AC60" s="34">
        <v>390554</v>
      </c>
    </row>
    <row r="61" spans="1:29" x14ac:dyDescent="0.25">
      <c r="A61" s="31" t="s">
        <v>22</v>
      </c>
      <c r="B61" s="31" t="s">
        <v>734</v>
      </c>
      <c r="C61" s="31" t="s">
        <v>61</v>
      </c>
      <c r="D61" s="31" t="s">
        <v>471</v>
      </c>
      <c r="E61" s="32">
        <v>32.5</v>
      </c>
      <c r="F61" s="33">
        <v>318</v>
      </c>
      <c r="G61" s="32">
        <v>350.5</v>
      </c>
      <c r="H61" s="32">
        <v>0</v>
      </c>
      <c r="I61" s="34">
        <v>25</v>
      </c>
      <c r="J61" s="33">
        <v>0</v>
      </c>
      <c r="K61" s="34">
        <v>343</v>
      </c>
      <c r="L61" s="32">
        <v>334.17</v>
      </c>
      <c r="M61" s="32">
        <v>60.71</v>
      </c>
      <c r="N61" s="32">
        <v>68.03</v>
      </c>
      <c r="O61" s="32">
        <v>35.43</v>
      </c>
      <c r="P61" s="32">
        <v>4.21</v>
      </c>
      <c r="Q61" s="34">
        <v>117127</v>
      </c>
      <c r="R61" s="34">
        <v>0</v>
      </c>
      <c r="S61" s="34">
        <v>117127</v>
      </c>
      <c r="T61" s="34">
        <v>20824</v>
      </c>
      <c r="U61" s="34">
        <v>23334</v>
      </c>
      <c r="V61" s="34">
        <v>0</v>
      </c>
      <c r="W61" s="34">
        <v>12418</v>
      </c>
      <c r="X61" s="34">
        <v>1476</v>
      </c>
      <c r="Y61" s="34">
        <v>175179</v>
      </c>
      <c r="Z61" s="34">
        <v>21095</v>
      </c>
      <c r="AA61" s="34">
        <v>154084</v>
      </c>
      <c r="AB61" s="34">
        <v>82527</v>
      </c>
      <c r="AC61" s="34">
        <v>71557</v>
      </c>
    </row>
    <row r="62" spans="1:29" x14ac:dyDescent="0.25">
      <c r="A62" s="31" t="s">
        <v>62</v>
      </c>
      <c r="B62" s="31" t="s">
        <v>735</v>
      </c>
      <c r="C62" s="31" t="s">
        <v>63</v>
      </c>
      <c r="D62" s="31" t="s">
        <v>64</v>
      </c>
      <c r="E62" s="32">
        <v>104.66</v>
      </c>
      <c r="F62" s="33">
        <v>680.1</v>
      </c>
      <c r="G62" s="32">
        <v>784.76</v>
      </c>
      <c r="H62" s="32">
        <v>1.02</v>
      </c>
      <c r="I62" s="34">
        <v>22</v>
      </c>
      <c r="J62" s="33">
        <v>0.1</v>
      </c>
      <c r="K62" s="34">
        <v>702</v>
      </c>
      <c r="L62" s="32">
        <v>327.54000000000002</v>
      </c>
      <c r="M62" s="32">
        <v>60.66</v>
      </c>
      <c r="N62" s="32">
        <v>67.650000000000006</v>
      </c>
      <c r="O62" s="32">
        <v>40.700000000000003</v>
      </c>
      <c r="P62" s="32">
        <v>4.68</v>
      </c>
      <c r="Q62" s="34">
        <v>257040</v>
      </c>
      <c r="R62" s="34">
        <v>0</v>
      </c>
      <c r="S62" s="34">
        <v>257040</v>
      </c>
      <c r="T62" s="34">
        <v>42583</v>
      </c>
      <c r="U62" s="34">
        <v>47490</v>
      </c>
      <c r="V62" s="34">
        <v>334</v>
      </c>
      <c r="W62" s="34">
        <v>31940</v>
      </c>
      <c r="X62" s="34">
        <v>3673</v>
      </c>
      <c r="Y62" s="34">
        <v>383060</v>
      </c>
      <c r="Z62" s="34">
        <v>44962</v>
      </c>
      <c r="AA62" s="34">
        <v>338098</v>
      </c>
      <c r="AB62" s="34">
        <v>191811</v>
      </c>
      <c r="AC62" s="34">
        <v>146287</v>
      </c>
    </row>
    <row r="63" spans="1:29" x14ac:dyDescent="0.25">
      <c r="A63" s="31" t="s">
        <v>62</v>
      </c>
      <c r="B63" s="31" t="s">
        <v>735</v>
      </c>
      <c r="C63" s="31" t="s">
        <v>65</v>
      </c>
      <c r="D63" s="31" t="s">
        <v>472</v>
      </c>
      <c r="E63" s="32">
        <v>24.37</v>
      </c>
      <c r="F63" s="33">
        <v>280.8</v>
      </c>
      <c r="G63" s="32">
        <v>305.17</v>
      </c>
      <c r="H63" s="32">
        <v>0.4</v>
      </c>
      <c r="I63" s="34">
        <v>0</v>
      </c>
      <c r="J63" s="33">
        <v>0</v>
      </c>
      <c r="K63" s="34">
        <v>281</v>
      </c>
      <c r="L63" s="32">
        <v>327.54000000000002</v>
      </c>
      <c r="M63" s="32">
        <v>60.66</v>
      </c>
      <c r="N63" s="32">
        <v>67.650000000000006</v>
      </c>
      <c r="O63" s="32">
        <v>40.700000000000003</v>
      </c>
      <c r="P63" s="32">
        <v>4.68</v>
      </c>
      <c r="Q63" s="34">
        <v>99955</v>
      </c>
      <c r="R63" s="34">
        <v>0</v>
      </c>
      <c r="S63" s="34">
        <v>99955</v>
      </c>
      <c r="T63" s="34">
        <v>17045</v>
      </c>
      <c r="U63" s="34">
        <v>19010</v>
      </c>
      <c r="V63" s="34">
        <v>131</v>
      </c>
      <c r="W63" s="34">
        <v>12420</v>
      </c>
      <c r="X63" s="34">
        <v>1428</v>
      </c>
      <c r="Y63" s="34">
        <v>149989</v>
      </c>
      <c r="Z63" s="34">
        <v>16385</v>
      </c>
      <c r="AA63" s="34">
        <v>133604</v>
      </c>
      <c r="AB63" s="34">
        <v>75689</v>
      </c>
      <c r="AC63" s="34">
        <v>57915</v>
      </c>
    </row>
    <row r="64" spans="1:29" x14ac:dyDescent="0.25">
      <c r="A64" s="31" t="s">
        <v>62</v>
      </c>
      <c r="B64" s="31" t="s">
        <v>735</v>
      </c>
      <c r="C64" s="31" t="s">
        <v>66</v>
      </c>
      <c r="D64" s="31" t="s">
        <v>473</v>
      </c>
      <c r="E64" s="32">
        <v>120.04</v>
      </c>
      <c r="F64" s="33">
        <v>814.8</v>
      </c>
      <c r="G64" s="32">
        <v>934.84</v>
      </c>
      <c r="H64" s="32">
        <v>1.21</v>
      </c>
      <c r="I64" s="34">
        <v>18</v>
      </c>
      <c r="J64" s="33">
        <v>0</v>
      </c>
      <c r="K64" s="34">
        <v>833</v>
      </c>
      <c r="L64" s="32">
        <v>327.54000000000002</v>
      </c>
      <c r="M64" s="32">
        <v>60.66</v>
      </c>
      <c r="N64" s="32">
        <v>67.650000000000006</v>
      </c>
      <c r="O64" s="32">
        <v>40.700000000000003</v>
      </c>
      <c r="P64" s="32">
        <v>4.68</v>
      </c>
      <c r="Q64" s="34">
        <v>306197</v>
      </c>
      <c r="R64" s="34">
        <v>0</v>
      </c>
      <c r="S64" s="34">
        <v>306197</v>
      </c>
      <c r="T64" s="34">
        <v>50530</v>
      </c>
      <c r="U64" s="34">
        <v>56352</v>
      </c>
      <c r="V64" s="34">
        <v>396</v>
      </c>
      <c r="W64" s="34">
        <v>38048</v>
      </c>
      <c r="X64" s="34">
        <v>4375</v>
      </c>
      <c r="Y64" s="34">
        <v>455898</v>
      </c>
      <c r="Z64" s="34">
        <v>43475</v>
      </c>
      <c r="AA64" s="34">
        <v>412423</v>
      </c>
      <c r="AB64" s="34">
        <v>238577</v>
      </c>
      <c r="AC64" s="34">
        <v>173846</v>
      </c>
    </row>
    <row r="65" spans="1:29" x14ac:dyDescent="0.25">
      <c r="A65" s="31" t="s">
        <v>62</v>
      </c>
      <c r="B65" s="31" t="s">
        <v>735</v>
      </c>
      <c r="C65" s="31" t="s">
        <v>67</v>
      </c>
      <c r="D65" s="31" t="s">
        <v>68</v>
      </c>
      <c r="E65" s="32">
        <v>72.459999999999994</v>
      </c>
      <c r="F65" s="33">
        <v>486.9</v>
      </c>
      <c r="G65" s="32">
        <v>559.36</v>
      </c>
      <c r="H65" s="32">
        <v>0.73</v>
      </c>
      <c r="I65" s="34">
        <v>6</v>
      </c>
      <c r="J65" s="33">
        <v>0</v>
      </c>
      <c r="K65" s="34">
        <v>493</v>
      </c>
      <c r="L65" s="32">
        <v>327.54000000000002</v>
      </c>
      <c r="M65" s="32">
        <v>60.66</v>
      </c>
      <c r="N65" s="32">
        <v>67.650000000000006</v>
      </c>
      <c r="O65" s="32">
        <v>40.700000000000003</v>
      </c>
      <c r="P65" s="32">
        <v>4.68</v>
      </c>
      <c r="Q65" s="34">
        <v>183213</v>
      </c>
      <c r="R65" s="34">
        <v>3299</v>
      </c>
      <c r="S65" s="34">
        <v>186512</v>
      </c>
      <c r="T65" s="34">
        <v>29905</v>
      </c>
      <c r="U65" s="34">
        <v>33351</v>
      </c>
      <c r="V65" s="34">
        <v>239</v>
      </c>
      <c r="W65" s="34">
        <v>22766</v>
      </c>
      <c r="X65" s="34">
        <v>2618</v>
      </c>
      <c r="Y65" s="34">
        <v>275391</v>
      </c>
      <c r="Z65" s="34">
        <v>32401</v>
      </c>
      <c r="AA65" s="34">
        <v>242990</v>
      </c>
      <c r="AB65" s="34">
        <v>136366</v>
      </c>
      <c r="AC65" s="34">
        <v>106624</v>
      </c>
    </row>
    <row r="66" spans="1:29" x14ac:dyDescent="0.25">
      <c r="A66" s="31" t="s">
        <v>62</v>
      </c>
      <c r="B66" s="31" t="s">
        <v>735</v>
      </c>
      <c r="C66" s="31" t="s">
        <v>69</v>
      </c>
      <c r="D66" s="31" t="s">
        <v>474</v>
      </c>
      <c r="E66" s="32">
        <v>93.41</v>
      </c>
      <c r="F66" s="33">
        <v>756</v>
      </c>
      <c r="G66" s="32">
        <v>849.41</v>
      </c>
      <c r="H66" s="32">
        <v>1.1000000000000001</v>
      </c>
      <c r="I66" s="34">
        <v>0</v>
      </c>
      <c r="J66" s="33">
        <v>0</v>
      </c>
      <c r="K66" s="34">
        <v>756</v>
      </c>
      <c r="L66" s="32">
        <v>327.54000000000002</v>
      </c>
      <c r="M66" s="32">
        <v>60.66</v>
      </c>
      <c r="N66" s="32">
        <v>67.650000000000006</v>
      </c>
      <c r="O66" s="32">
        <v>40.700000000000003</v>
      </c>
      <c r="P66" s="32">
        <v>4.68</v>
      </c>
      <c r="Q66" s="34">
        <v>278216</v>
      </c>
      <c r="R66" s="34">
        <v>0</v>
      </c>
      <c r="S66" s="34">
        <v>278216</v>
      </c>
      <c r="T66" s="34">
        <v>45859</v>
      </c>
      <c r="U66" s="34">
        <v>51143</v>
      </c>
      <c r="V66" s="34">
        <v>360</v>
      </c>
      <c r="W66" s="34">
        <v>34571</v>
      </c>
      <c r="X66" s="34">
        <v>3977</v>
      </c>
      <c r="Y66" s="34">
        <v>414126</v>
      </c>
      <c r="Z66" s="34">
        <v>43483</v>
      </c>
      <c r="AA66" s="34">
        <v>370643</v>
      </c>
      <c r="AB66" s="34">
        <v>212796</v>
      </c>
      <c r="AC66" s="34">
        <v>157847</v>
      </c>
    </row>
    <row r="67" spans="1:29" x14ac:dyDescent="0.25">
      <c r="A67" s="31" t="s">
        <v>62</v>
      </c>
      <c r="B67" s="31" t="s">
        <v>735</v>
      </c>
      <c r="C67" s="31" t="s">
        <v>70</v>
      </c>
      <c r="D67" s="31" t="s">
        <v>475</v>
      </c>
      <c r="E67" s="32">
        <v>66.56</v>
      </c>
      <c r="F67" s="33">
        <v>531.79999999999995</v>
      </c>
      <c r="G67" s="32">
        <v>598.36</v>
      </c>
      <c r="H67" s="32">
        <v>0.78</v>
      </c>
      <c r="I67" s="34">
        <v>1</v>
      </c>
      <c r="J67" s="33">
        <v>0</v>
      </c>
      <c r="K67" s="34">
        <v>533</v>
      </c>
      <c r="L67" s="32">
        <v>327.54000000000002</v>
      </c>
      <c r="M67" s="32">
        <v>60.66</v>
      </c>
      <c r="N67" s="32">
        <v>67.650000000000006</v>
      </c>
      <c r="O67" s="32">
        <v>40.700000000000003</v>
      </c>
      <c r="P67" s="32">
        <v>4.68</v>
      </c>
      <c r="Q67" s="34">
        <v>195987</v>
      </c>
      <c r="R67" s="34">
        <v>0</v>
      </c>
      <c r="S67" s="34">
        <v>195987</v>
      </c>
      <c r="T67" s="34">
        <v>32332</v>
      </c>
      <c r="U67" s="34">
        <v>36057</v>
      </c>
      <c r="V67" s="34">
        <v>255</v>
      </c>
      <c r="W67" s="34">
        <v>24353</v>
      </c>
      <c r="X67" s="34">
        <v>2800</v>
      </c>
      <c r="Y67" s="34">
        <v>291784</v>
      </c>
      <c r="Z67" s="34">
        <v>32169</v>
      </c>
      <c r="AA67" s="34">
        <v>259615</v>
      </c>
      <c r="AB67" s="34">
        <v>148364</v>
      </c>
      <c r="AC67" s="34">
        <v>111251</v>
      </c>
    </row>
    <row r="68" spans="1:29" x14ac:dyDescent="0.25">
      <c r="A68" s="31" t="s">
        <v>62</v>
      </c>
      <c r="B68" s="31" t="s">
        <v>735</v>
      </c>
      <c r="C68" s="31" t="s">
        <v>71</v>
      </c>
      <c r="D68" s="31" t="s">
        <v>72</v>
      </c>
      <c r="E68" s="32">
        <v>30.9</v>
      </c>
      <c r="F68" s="33">
        <v>269.60000000000002</v>
      </c>
      <c r="G68" s="32">
        <v>300.5</v>
      </c>
      <c r="H68" s="32">
        <v>0.39</v>
      </c>
      <c r="I68" s="34">
        <v>15</v>
      </c>
      <c r="J68" s="33">
        <v>0.3</v>
      </c>
      <c r="K68" s="34">
        <v>284</v>
      </c>
      <c r="L68" s="32">
        <v>327.54000000000002</v>
      </c>
      <c r="M68" s="32">
        <v>60.66</v>
      </c>
      <c r="N68" s="32">
        <v>67.650000000000006</v>
      </c>
      <c r="O68" s="32">
        <v>40.700000000000003</v>
      </c>
      <c r="P68" s="32">
        <v>4.68</v>
      </c>
      <c r="Q68" s="34">
        <v>98426</v>
      </c>
      <c r="R68" s="34">
        <v>0</v>
      </c>
      <c r="S68" s="34">
        <v>98426</v>
      </c>
      <c r="T68" s="34">
        <v>17227</v>
      </c>
      <c r="U68" s="34">
        <v>19213</v>
      </c>
      <c r="V68" s="34">
        <v>128</v>
      </c>
      <c r="W68" s="34">
        <v>12230</v>
      </c>
      <c r="X68" s="34">
        <v>1406</v>
      </c>
      <c r="Y68" s="34">
        <v>148630</v>
      </c>
      <c r="Z68" s="34">
        <v>15546</v>
      </c>
      <c r="AA68" s="34">
        <v>133084</v>
      </c>
      <c r="AB68" s="34">
        <v>75118</v>
      </c>
      <c r="AC68" s="34">
        <v>57966</v>
      </c>
    </row>
    <row r="69" spans="1:29" x14ac:dyDescent="0.25">
      <c r="A69" s="31" t="s">
        <v>62</v>
      </c>
      <c r="B69" s="31" t="s">
        <v>735</v>
      </c>
      <c r="C69" s="31" t="s">
        <v>73</v>
      </c>
      <c r="D69" s="31" t="s">
        <v>476</v>
      </c>
      <c r="E69" s="32">
        <v>813.81</v>
      </c>
      <c r="F69" s="33">
        <v>5565.8</v>
      </c>
      <c r="G69" s="32">
        <v>6379.61</v>
      </c>
      <c r="H69" s="32">
        <v>8.27</v>
      </c>
      <c r="I69" s="34">
        <v>286</v>
      </c>
      <c r="J69" s="33">
        <v>2.5</v>
      </c>
      <c r="K69" s="34">
        <v>5849</v>
      </c>
      <c r="L69" s="32">
        <v>327.54000000000002</v>
      </c>
      <c r="M69" s="32">
        <v>60.66</v>
      </c>
      <c r="N69" s="32">
        <v>67.650000000000006</v>
      </c>
      <c r="O69" s="32">
        <v>40.700000000000003</v>
      </c>
      <c r="P69" s="32">
        <v>4.68</v>
      </c>
      <c r="Q69" s="34">
        <v>2089577</v>
      </c>
      <c r="R69" s="34">
        <v>0</v>
      </c>
      <c r="S69" s="34">
        <v>2089577</v>
      </c>
      <c r="T69" s="34">
        <v>354800</v>
      </c>
      <c r="U69" s="34">
        <v>395685</v>
      </c>
      <c r="V69" s="34">
        <v>2709</v>
      </c>
      <c r="W69" s="34">
        <v>259650</v>
      </c>
      <c r="X69" s="34">
        <v>29857</v>
      </c>
      <c r="Y69" s="34">
        <v>3132278</v>
      </c>
      <c r="Z69" s="34">
        <v>228020</v>
      </c>
      <c r="AA69" s="34">
        <v>2904258</v>
      </c>
      <c r="AB69" s="34">
        <v>1696784</v>
      </c>
      <c r="AC69" s="34">
        <v>1207474</v>
      </c>
    </row>
    <row r="70" spans="1:29" x14ac:dyDescent="0.25">
      <c r="A70" s="31" t="s">
        <v>62</v>
      </c>
      <c r="B70" s="31" t="s">
        <v>735</v>
      </c>
      <c r="C70" s="31" t="s">
        <v>74</v>
      </c>
      <c r="D70" s="31" t="s">
        <v>477</v>
      </c>
      <c r="E70" s="32">
        <v>102.9</v>
      </c>
      <c r="F70" s="33">
        <v>797.8</v>
      </c>
      <c r="G70" s="32">
        <v>900.7</v>
      </c>
      <c r="H70" s="32">
        <v>1.17</v>
      </c>
      <c r="I70" s="34">
        <v>31</v>
      </c>
      <c r="J70" s="33">
        <v>0</v>
      </c>
      <c r="K70" s="34">
        <v>829</v>
      </c>
      <c r="L70" s="32">
        <v>327.54000000000002</v>
      </c>
      <c r="M70" s="32">
        <v>60.66</v>
      </c>
      <c r="N70" s="32">
        <v>67.650000000000006</v>
      </c>
      <c r="O70" s="32">
        <v>40.700000000000003</v>
      </c>
      <c r="P70" s="32">
        <v>4.68</v>
      </c>
      <c r="Q70" s="34">
        <v>295015</v>
      </c>
      <c r="R70" s="34">
        <v>0</v>
      </c>
      <c r="S70" s="34">
        <v>295015</v>
      </c>
      <c r="T70" s="34">
        <v>50287</v>
      </c>
      <c r="U70" s="34">
        <v>56082</v>
      </c>
      <c r="V70" s="34">
        <v>383</v>
      </c>
      <c r="W70" s="34">
        <v>36658</v>
      </c>
      <c r="X70" s="34">
        <v>4215</v>
      </c>
      <c r="Y70" s="34">
        <v>442640</v>
      </c>
      <c r="Z70" s="34">
        <v>50672</v>
      </c>
      <c r="AA70" s="34">
        <v>391968</v>
      </c>
      <c r="AB70" s="34">
        <v>221080</v>
      </c>
      <c r="AC70" s="34">
        <v>170888</v>
      </c>
    </row>
    <row r="71" spans="1:29" x14ac:dyDescent="0.25">
      <c r="A71" s="31" t="s">
        <v>62</v>
      </c>
      <c r="B71" s="31" t="s">
        <v>735</v>
      </c>
      <c r="C71" s="31" t="s">
        <v>75</v>
      </c>
      <c r="D71" s="31" t="s">
        <v>478</v>
      </c>
      <c r="E71" s="32">
        <v>283.74</v>
      </c>
      <c r="F71" s="33">
        <v>1554.5</v>
      </c>
      <c r="G71" s="32">
        <v>1838.24</v>
      </c>
      <c r="H71" s="32">
        <v>2.38</v>
      </c>
      <c r="I71" s="34">
        <v>154</v>
      </c>
      <c r="J71" s="33">
        <v>5.8</v>
      </c>
      <c r="K71" s="34">
        <v>1703</v>
      </c>
      <c r="L71" s="32">
        <v>327.54000000000002</v>
      </c>
      <c r="M71" s="32">
        <v>60.66</v>
      </c>
      <c r="N71" s="32">
        <v>67.650000000000006</v>
      </c>
      <c r="O71" s="32">
        <v>40.700000000000003</v>
      </c>
      <c r="P71" s="32">
        <v>4.68</v>
      </c>
      <c r="Q71" s="34">
        <v>602097</v>
      </c>
      <c r="R71" s="34">
        <v>0</v>
      </c>
      <c r="S71" s="34">
        <v>602097</v>
      </c>
      <c r="T71" s="34">
        <v>103304</v>
      </c>
      <c r="U71" s="34">
        <v>115208</v>
      </c>
      <c r="V71" s="34">
        <v>780</v>
      </c>
      <c r="W71" s="34">
        <v>74816</v>
      </c>
      <c r="X71" s="34">
        <v>8603</v>
      </c>
      <c r="Y71" s="34">
        <v>904808</v>
      </c>
      <c r="Z71" s="34">
        <v>91585</v>
      </c>
      <c r="AA71" s="34">
        <v>813223</v>
      </c>
      <c r="AB71" s="34">
        <v>463033</v>
      </c>
      <c r="AC71" s="34">
        <v>350190</v>
      </c>
    </row>
    <row r="72" spans="1:29" x14ac:dyDescent="0.25">
      <c r="A72" s="31" t="s">
        <v>62</v>
      </c>
      <c r="B72" s="31" t="s">
        <v>735</v>
      </c>
      <c r="C72" s="31" t="s">
        <v>76</v>
      </c>
      <c r="D72" s="31" t="s">
        <v>479</v>
      </c>
      <c r="E72" s="32">
        <v>43.77</v>
      </c>
      <c r="F72" s="33">
        <v>286.2</v>
      </c>
      <c r="G72" s="32">
        <v>329.97</v>
      </c>
      <c r="H72" s="32">
        <v>0.43</v>
      </c>
      <c r="I72" s="34">
        <v>2</v>
      </c>
      <c r="J72" s="33">
        <v>0</v>
      </c>
      <c r="K72" s="34">
        <v>288</v>
      </c>
      <c r="L72" s="32">
        <v>327.54000000000002</v>
      </c>
      <c r="M72" s="32">
        <v>60.66</v>
      </c>
      <c r="N72" s="32">
        <v>67.650000000000006</v>
      </c>
      <c r="O72" s="32">
        <v>40.700000000000003</v>
      </c>
      <c r="P72" s="32">
        <v>4.68</v>
      </c>
      <c r="Q72" s="34">
        <v>108078</v>
      </c>
      <c r="R72" s="34">
        <v>9716</v>
      </c>
      <c r="S72" s="34">
        <v>117794</v>
      </c>
      <c r="T72" s="34">
        <v>17470</v>
      </c>
      <c r="U72" s="34">
        <v>19483</v>
      </c>
      <c r="V72" s="34">
        <v>141</v>
      </c>
      <c r="W72" s="34">
        <v>13430</v>
      </c>
      <c r="X72" s="34">
        <v>1544</v>
      </c>
      <c r="Y72" s="34">
        <v>169862</v>
      </c>
      <c r="Z72" s="34">
        <v>20089</v>
      </c>
      <c r="AA72" s="34">
        <v>149773</v>
      </c>
      <c r="AB72" s="34">
        <v>79467</v>
      </c>
      <c r="AC72" s="34">
        <v>70306</v>
      </c>
    </row>
    <row r="73" spans="1:29" x14ac:dyDescent="0.25">
      <c r="A73" s="31" t="s">
        <v>62</v>
      </c>
      <c r="B73" s="31" t="s">
        <v>735</v>
      </c>
      <c r="C73" s="31" t="s">
        <v>77</v>
      </c>
      <c r="D73" s="31" t="s">
        <v>480</v>
      </c>
      <c r="E73" s="32">
        <v>158.33000000000001</v>
      </c>
      <c r="F73" s="33">
        <v>1187.0999999999999</v>
      </c>
      <c r="G73" s="32">
        <v>1345.43</v>
      </c>
      <c r="H73" s="32">
        <v>1.74</v>
      </c>
      <c r="I73" s="34">
        <v>68</v>
      </c>
      <c r="J73" s="33">
        <v>0</v>
      </c>
      <c r="K73" s="34">
        <v>1255</v>
      </c>
      <c r="L73" s="32">
        <v>327.54000000000002</v>
      </c>
      <c r="M73" s="32">
        <v>60.66</v>
      </c>
      <c r="N73" s="32">
        <v>67.650000000000006</v>
      </c>
      <c r="O73" s="32">
        <v>40.700000000000003</v>
      </c>
      <c r="P73" s="32">
        <v>4.68</v>
      </c>
      <c r="Q73" s="34">
        <v>440682</v>
      </c>
      <c r="R73" s="34">
        <v>14743</v>
      </c>
      <c r="S73" s="34">
        <v>455425</v>
      </c>
      <c r="T73" s="34">
        <v>76128</v>
      </c>
      <c r="U73" s="34">
        <v>84901</v>
      </c>
      <c r="V73" s="34">
        <v>570</v>
      </c>
      <c r="W73" s="34">
        <v>55820</v>
      </c>
      <c r="X73" s="34">
        <v>6423</v>
      </c>
      <c r="Y73" s="34">
        <v>679267</v>
      </c>
      <c r="Z73" s="34">
        <v>76251</v>
      </c>
      <c r="AA73" s="34">
        <v>603016</v>
      </c>
      <c r="AB73" s="34">
        <v>330868</v>
      </c>
      <c r="AC73" s="34">
        <v>272148</v>
      </c>
    </row>
    <row r="74" spans="1:29" x14ac:dyDescent="0.25">
      <c r="A74" s="31" t="s">
        <v>62</v>
      </c>
      <c r="B74" s="31" t="s">
        <v>735</v>
      </c>
      <c r="C74" s="31" t="s">
        <v>78</v>
      </c>
      <c r="D74" s="31" t="s">
        <v>481</v>
      </c>
      <c r="E74" s="32">
        <v>86.75</v>
      </c>
      <c r="F74" s="33">
        <v>863.6</v>
      </c>
      <c r="G74" s="32">
        <v>950.35</v>
      </c>
      <c r="H74" s="32">
        <v>1.23</v>
      </c>
      <c r="I74" s="34">
        <v>9</v>
      </c>
      <c r="J74" s="33">
        <v>0</v>
      </c>
      <c r="K74" s="34">
        <v>873</v>
      </c>
      <c r="L74" s="32">
        <v>327.54000000000002</v>
      </c>
      <c r="M74" s="32">
        <v>60.66</v>
      </c>
      <c r="N74" s="32">
        <v>67.650000000000006</v>
      </c>
      <c r="O74" s="32">
        <v>40.700000000000003</v>
      </c>
      <c r="P74" s="32">
        <v>4.68</v>
      </c>
      <c r="Q74" s="34">
        <v>311278</v>
      </c>
      <c r="R74" s="34">
        <v>0</v>
      </c>
      <c r="S74" s="34">
        <v>311278</v>
      </c>
      <c r="T74" s="34">
        <v>52956</v>
      </c>
      <c r="U74" s="34">
        <v>59058</v>
      </c>
      <c r="V74" s="34">
        <v>403</v>
      </c>
      <c r="W74" s="34">
        <v>38679</v>
      </c>
      <c r="X74" s="34">
        <v>4448</v>
      </c>
      <c r="Y74" s="34">
        <v>466822</v>
      </c>
      <c r="Z74" s="34">
        <v>37290</v>
      </c>
      <c r="AA74" s="34">
        <v>429532</v>
      </c>
      <c r="AB74" s="34">
        <v>249441</v>
      </c>
      <c r="AC74" s="34">
        <v>180091</v>
      </c>
    </row>
    <row r="75" spans="1:29" x14ac:dyDescent="0.25">
      <c r="A75" s="31" t="s">
        <v>62</v>
      </c>
      <c r="B75" s="31" t="s">
        <v>735</v>
      </c>
      <c r="C75" s="31" t="s">
        <v>79</v>
      </c>
      <c r="D75" s="31" t="s">
        <v>482</v>
      </c>
      <c r="E75" s="32">
        <v>112.05</v>
      </c>
      <c r="F75" s="33">
        <v>875.7</v>
      </c>
      <c r="G75" s="32">
        <v>987.75</v>
      </c>
      <c r="H75" s="32">
        <v>1.28</v>
      </c>
      <c r="I75" s="34">
        <v>12</v>
      </c>
      <c r="J75" s="33">
        <v>0</v>
      </c>
      <c r="K75" s="34">
        <v>888</v>
      </c>
      <c r="L75" s="32">
        <v>327.54000000000002</v>
      </c>
      <c r="M75" s="32">
        <v>60.66</v>
      </c>
      <c r="N75" s="32">
        <v>67.650000000000006</v>
      </c>
      <c r="O75" s="32">
        <v>40.700000000000003</v>
      </c>
      <c r="P75" s="32">
        <v>4.68</v>
      </c>
      <c r="Q75" s="34">
        <v>323528</v>
      </c>
      <c r="R75" s="34">
        <v>0</v>
      </c>
      <c r="S75" s="34">
        <v>323528</v>
      </c>
      <c r="T75" s="34">
        <v>53866</v>
      </c>
      <c r="U75" s="34">
        <v>60073</v>
      </c>
      <c r="V75" s="34">
        <v>419</v>
      </c>
      <c r="W75" s="34">
        <v>40201</v>
      </c>
      <c r="X75" s="34">
        <v>4623</v>
      </c>
      <c r="Y75" s="34">
        <v>482710</v>
      </c>
      <c r="Z75" s="34">
        <v>40927</v>
      </c>
      <c r="AA75" s="34">
        <v>441783</v>
      </c>
      <c r="AB75" s="34">
        <v>257089</v>
      </c>
      <c r="AC75" s="34">
        <v>184694</v>
      </c>
    </row>
    <row r="76" spans="1:29" x14ac:dyDescent="0.25">
      <c r="A76" s="31" t="s">
        <v>62</v>
      </c>
      <c r="B76" s="31" t="s">
        <v>735</v>
      </c>
      <c r="C76" s="31" t="s">
        <v>80</v>
      </c>
      <c r="D76" s="31" t="s">
        <v>483</v>
      </c>
      <c r="E76" s="32">
        <v>43.82</v>
      </c>
      <c r="F76" s="33">
        <v>381.1</v>
      </c>
      <c r="G76" s="32">
        <v>424.92</v>
      </c>
      <c r="H76" s="32">
        <v>0.55000000000000004</v>
      </c>
      <c r="I76" s="34">
        <v>16</v>
      </c>
      <c r="J76" s="33">
        <v>0</v>
      </c>
      <c r="K76" s="34">
        <v>397</v>
      </c>
      <c r="L76" s="32">
        <v>327.54000000000002</v>
      </c>
      <c r="M76" s="32">
        <v>60.66</v>
      </c>
      <c r="N76" s="32">
        <v>67.650000000000006</v>
      </c>
      <c r="O76" s="32">
        <v>40.700000000000003</v>
      </c>
      <c r="P76" s="32">
        <v>4.68</v>
      </c>
      <c r="Q76" s="34">
        <v>139178</v>
      </c>
      <c r="R76" s="34">
        <v>14504</v>
      </c>
      <c r="S76" s="34">
        <v>153682</v>
      </c>
      <c r="T76" s="34">
        <v>24082</v>
      </c>
      <c r="U76" s="34">
        <v>26857</v>
      </c>
      <c r="V76" s="34">
        <v>180</v>
      </c>
      <c r="W76" s="34">
        <v>17294</v>
      </c>
      <c r="X76" s="34">
        <v>1989</v>
      </c>
      <c r="Y76" s="34">
        <v>224084</v>
      </c>
      <c r="Z76" s="34">
        <v>24962</v>
      </c>
      <c r="AA76" s="34">
        <v>199122</v>
      </c>
      <c r="AB76" s="34">
        <v>103241</v>
      </c>
      <c r="AC76" s="34">
        <v>95881</v>
      </c>
    </row>
    <row r="77" spans="1:29" x14ac:dyDescent="0.25">
      <c r="A77" s="31" t="s">
        <v>62</v>
      </c>
      <c r="B77" s="31" t="s">
        <v>735</v>
      </c>
      <c r="C77" s="31" t="s">
        <v>81</v>
      </c>
      <c r="D77" s="31" t="s">
        <v>484</v>
      </c>
      <c r="E77" s="32">
        <v>92.23</v>
      </c>
      <c r="F77" s="33">
        <v>552.5</v>
      </c>
      <c r="G77" s="32">
        <v>644.73</v>
      </c>
      <c r="H77" s="32">
        <v>0.84</v>
      </c>
      <c r="I77" s="34">
        <v>5</v>
      </c>
      <c r="J77" s="33">
        <v>0</v>
      </c>
      <c r="K77" s="34">
        <v>558</v>
      </c>
      <c r="L77" s="32">
        <v>327.54000000000002</v>
      </c>
      <c r="M77" s="32">
        <v>60.66</v>
      </c>
      <c r="N77" s="32">
        <v>67.650000000000006</v>
      </c>
      <c r="O77" s="32">
        <v>40.700000000000003</v>
      </c>
      <c r="P77" s="32">
        <v>4.68</v>
      </c>
      <c r="Q77" s="34">
        <v>211175</v>
      </c>
      <c r="R77" s="34">
        <v>0</v>
      </c>
      <c r="S77" s="34">
        <v>211175</v>
      </c>
      <c r="T77" s="34">
        <v>33848</v>
      </c>
      <c r="U77" s="34">
        <v>37749</v>
      </c>
      <c r="V77" s="34">
        <v>275</v>
      </c>
      <c r="W77" s="34">
        <v>26241</v>
      </c>
      <c r="X77" s="34">
        <v>3017</v>
      </c>
      <c r="Y77" s="34">
        <v>312305</v>
      </c>
      <c r="Z77" s="34">
        <v>31866</v>
      </c>
      <c r="AA77" s="34">
        <v>280439</v>
      </c>
      <c r="AB77" s="34">
        <v>162658</v>
      </c>
      <c r="AC77" s="34">
        <v>117781</v>
      </c>
    </row>
    <row r="78" spans="1:29" x14ac:dyDescent="0.25">
      <c r="A78" s="31" t="s">
        <v>62</v>
      </c>
      <c r="B78" s="31" t="s">
        <v>735</v>
      </c>
      <c r="C78" s="31" t="s">
        <v>82</v>
      </c>
      <c r="D78" s="31" t="s">
        <v>485</v>
      </c>
      <c r="E78" s="32">
        <v>62.15</v>
      </c>
      <c r="F78" s="33">
        <v>567.20000000000005</v>
      </c>
      <c r="G78" s="32">
        <v>629.35</v>
      </c>
      <c r="H78" s="32">
        <v>0.82</v>
      </c>
      <c r="I78" s="34">
        <v>7</v>
      </c>
      <c r="J78" s="33">
        <v>0</v>
      </c>
      <c r="K78" s="34">
        <v>574</v>
      </c>
      <c r="L78" s="32">
        <v>327.54000000000002</v>
      </c>
      <c r="M78" s="32">
        <v>60.66</v>
      </c>
      <c r="N78" s="32">
        <v>67.650000000000006</v>
      </c>
      <c r="O78" s="32">
        <v>40.700000000000003</v>
      </c>
      <c r="P78" s="32">
        <v>4.68</v>
      </c>
      <c r="Q78" s="34">
        <v>206137</v>
      </c>
      <c r="R78" s="34">
        <v>9466</v>
      </c>
      <c r="S78" s="34">
        <v>215603</v>
      </c>
      <c r="T78" s="34">
        <v>34819</v>
      </c>
      <c r="U78" s="34">
        <v>38831</v>
      </c>
      <c r="V78" s="34">
        <v>269</v>
      </c>
      <c r="W78" s="34">
        <v>25615</v>
      </c>
      <c r="X78" s="34">
        <v>2945</v>
      </c>
      <c r="Y78" s="34">
        <v>318082</v>
      </c>
      <c r="Z78" s="34">
        <v>39636</v>
      </c>
      <c r="AA78" s="34">
        <v>278446</v>
      </c>
      <c r="AB78" s="34">
        <v>150248</v>
      </c>
      <c r="AC78" s="34">
        <v>128198</v>
      </c>
    </row>
    <row r="79" spans="1:29" x14ac:dyDescent="0.25">
      <c r="A79" s="31" t="s">
        <v>62</v>
      </c>
      <c r="B79" s="31" t="s">
        <v>735</v>
      </c>
      <c r="C79" s="31" t="s">
        <v>83</v>
      </c>
      <c r="D79" s="31" t="s">
        <v>486</v>
      </c>
      <c r="E79" s="32">
        <v>114.76</v>
      </c>
      <c r="F79" s="33">
        <v>532.1</v>
      </c>
      <c r="G79" s="32">
        <v>646.86</v>
      </c>
      <c r="H79" s="32">
        <v>0.84</v>
      </c>
      <c r="I79" s="34">
        <v>3</v>
      </c>
      <c r="J79" s="33">
        <v>0</v>
      </c>
      <c r="K79" s="34">
        <v>535</v>
      </c>
      <c r="L79" s="32">
        <v>327.54000000000002</v>
      </c>
      <c r="M79" s="32">
        <v>60.66</v>
      </c>
      <c r="N79" s="32">
        <v>67.650000000000006</v>
      </c>
      <c r="O79" s="32">
        <v>40.700000000000003</v>
      </c>
      <c r="P79" s="32">
        <v>4.68</v>
      </c>
      <c r="Q79" s="34">
        <v>211873</v>
      </c>
      <c r="R79" s="34">
        <v>23628</v>
      </c>
      <c r="S79" s="34">
        <v>235501</v>
      </c>
      <c r="T79" s="34">
        <v>32453</v>
      </c>
      <c r="U79" s="34">
        <v>36193</v>
      </c>
      <c r="V79" s="34">
        <v>275</v>
      </c>
      <c r="W79" s="34">
        <v>27252</v>
      </c>
      <c r="X79" s="34">
        <v>3136</v>
      </c>
      <c r="Y79" s="34">
        <v>334810</v>
      </c>
      <c r="Z79" s="34">
        <v>34389</v>
      </c>
      <c r="AA79" s="34">
        <v>300421</v>
      </c>
      <c r="AB79" s="34">
        <v>161810</v>
      </c>
      <c r="AC79" s="34">
        <v>138611</v>
      </c>
    </row>
    <row r="80" spans="1:29" x14ac:dyDescent="0.25">
      <c r="A80" s="31" t="s">
        <v>62</v>
      </c>
      <c r="B80" s="31" t="s">
        <v>735</v>
      </c>
      <c r="C80" s="31" t="s">
        <v>84</v>
      </c>
      <c r="D80" s="31" t="s">
        <v>487</v>
      </c>
      <c r="E80" s="32">
        <v>138.44</v>
      </c>
      <c r="F80" s="33">
        <v>1058</v>
      </c>
      <c r="G80" s="32">
        <v>1196.44</v>
      </c>
      <c r="H80" s="32">
        <v>1.55</v>
      </c>
      <c r="I80" s="34">
        <v>24</v>
      </c>
      <c r="J80" s="33">
        <v>0</v>
      </c>
      <c r="K80" s="34">
        <v>1082</v>
      </c>
      <c r="L80" s="32">
        <v>327.54000000000002</v>
      </c>
      <c r="M80" s="32">
        <v>60.66</v>
      </c>
      <c r="N80" s="32">
        <v>67.650000000000006</v>
      </c>
      <c r="O80" s="32">
        <v>40.700000000000003</v>
      </c>
      <c r="P80" s="32">
        <v>4.68</v>
      </c>
      <c r="Q80" s="34">
        <v>391882</v>
      </c>
      <c r="R80" s="34">
        <v>28887</v>
      </c>
      <c r="S80" s="34">
        <v>420769</v>
      </c>
      <c r="T80" s="34">
        <v>65634</v>
      </c>
      <c r="U80" s="34">
        <v>73197</v>
      </c>
      <c r="V80" s="34">
        <v>508</v>
      </c>
      <c r="W80" s="34">
        <v>48695</v>
      </c>
      <c r="X80" s="34">
        <v>5599</v>
      </c>
      <c r="Y80" s="34">
        <v>614402</v>
      </c>
      <c r="Z80" s="34">
        <v>79118</v>
      </c>
      <c r="AA80" s="34">
        <v>535284</v>
      </c>
      <c r="AB80" s="34">
        <v>281861</v>
      </c>
      <c r="AC80" s="34">
        <v>253423</v>
      </c>
    </row>
    <row r="81" spans="1:29" x14ac:dyDescent="0.25">
      <c r="A81" s="31" t="s">
        <v>62</v>
      </c>
      <c r="B81" s="31" t="s">
        <v>735</v>
      </c>
      <c r="C81" s="31" t="s">
        <v>87</v>
      </c>
      <c r="D81" s="31" t="s">
        <v>88</v>
      </c>
      <c r="E81" s="32">
        <v>23.71</v>
      </c>
      <c r="F81" s="33">
        <v>255.2</v>
      </c>
      <c r="G81" s="32">
        <v>278.91000000000003</v>
      </c>
      <c r="H81" s="32">
        <v>0.36</v>
      </c>
      <c r="I81" s="34">
        <v>4</v>
      </c>
      <c r="J81" s="33">
        <v>0</v>
      </c>
      <c r="K81" s="34">
        <v>259</v>
      </c>
      <c r="L81" s="32">
        <v>327.54000000000002</v>
      </c>
      <c r="M81" s="32">
        <v>60.66</v>
      </c>
      <c r="N81" s="32">
        <v>67.650000000000006</v>
      </c>
      <c r="O81" s="32">
        <v>40.700000000000003</v>
      </c>
      <c r="P81" s="32">
        <v>4.68</v>
      </c>
      <c r="Q81" s="34">
        <v>91354</v>
      </c>
      <c r="R81" s="34">
        <v>14021</v>
      </c>
      <c r="S81" s="34">
        <v>105375</v>
      </c>
      <c r="T81" s="34">
        <v>15711</v>
      </c>
      <c r="U81" s="34">
        <v>17521</v>
      </c>
      <c r="V81" s="34">
        <v>118</v>
      </c>
      <c r="W81" s="34">
        <v>11352</v>
      </c>
      <c r="X81" s="34">
        <v>1305</v>
      </c>
      <c r="Y81" s="34">
        <v>151382</v>
      </c>
      <c r="Z81" s="34">
        <v>18671</v>
      </c>
      <c r="AA81" s="34">
        <v>132711</v>
      </c>
      <c r="AB81" s="34">
        <v>65479</v>
      </c>
      <c r="AC81" s="34">
        <v>67232</v>
      </c>
    </row>
    <row r="82" spans="1:29" x14ac:dyDescent="0.25">
      <c r="A82" s="31" t="s">
        <v>62</v>
      </c>
      <c r="B82" s="31" t="s">
        <v>735</v>
      </c>
      <c r="C82" s="31" t="s">
        <v>85</v>
      </c>
      <c r="D82" s="31" t="s">
        <v>488</v>
      </c>
      <c r="E82" s="32">
        <v>82.82</v>
      </c>
      <c r="F82" s="33">
        <v>836.4</v>
      </c>
      <c r="G82" s="32">
        <v>919.22</v>
      </c>
      <c r="H82" s="32">
        <v>1.19</v>
      </c>
      <c r="I82" s="34">
        <v>27</v>
      </c>
      <c r="J82" s="33">
        <v>0</v>
      </c>
      <c r="K82" s="34">
        <v>863</v>
      </c>
      <c r="L82" s="32">
        <v>327.54000000000002</v>
      </c>
      <c r="M82" s="32">
        <v>60.66</v>
      </c>
      <c r="N82" s="32">
        <v>67.650000000000006</v>
      </c>
      <c r="O82" s="32">
        <v>40.700000000000003</v>
      </c>
      <c r="P82" s="32">
        <v>4.68</v>
      </c>
      <c r="Q82" s="34">
        <v>301081</v>
      </c>
      <c r="R82" s="34">
        <v>35069</v>
      </c>
      <c r="S82" s="34">
        <v>336150</v>
      </c>
      <c r="T82" s="34">
        <v>52350</v>
      </c>
      <c r="U82" s="34">
        <v>58382</v>
      </c>
      <c r="V82" s="34">
        <v>390</v>
      </c>
      <c r="W82" s="34">
        <v>37412</v>
      </c>
      <c r="X82" s="34">
        <v>4302</v>
      </c>
      <c r="Y82" s="34">
        <v>488986</v>
      </c>
      <c r="Z82" s="34">
        <v>54057</v>
      </c>
      <c r="AA82" s="34">
        <v>434929</v>
      </c>
      <c r="AB82" s="34">
        <v>223282</v>
      </c>
      <c r="AC82" s="34">
        <v>211647</v>
      </c>
    </row>
    <row r="83" spans="1:29" x14ac:dyDescent="0.25">
      <c r="A83" s="31" t="s">
        <v>62</v>
      </c>
      <c r="B83" s="31" t="s">
        <v>735</v>
      </c>
      <c r="C83" s="31" t="s">
        <v>86</v>
      </c>
      <c r="D83" s="31" t="s">
        <v>489</v>
      </c>
      <c r="E83" s="32">
        <v>94.37</v>
      </c>
      <c r="F83" s="33">
        <v>616.79999999999995</v>
      </c>
      <c r="G83" s="32">
        <v>711.17</v>
      </c>
      <c r="H83" s="32">
        <v>0.92</v>
      </c>
      <c r="I83" s="34">
        <v>2</v>
      </c>
      <c r="J83" s="33">
        <v>0</v>
      </c>
      <c r="K83" s="34">
        <v>619</v>
      </c>
      <c r="L83" s="32">
        <v>327.54000000000002</v>
      </c>
      <c r="M83" s="32">
        <v>60.66</v>
      </c>
      <c r="N83" s="32">
        <v>67.650000000000006</v>
      </c>
      <c r="O83" s="32">
        <v>40.700000000000003</v>
      </c>
      <c r="P83" s="32">
        <v>4.68</v>
      </c>
      <c r="Q83" s="34">
        <v>232937</v>
      </c>
      <c r="R83" s="34">
        <v>0</v>
      </c>
      <c r="S83" s="34">
        <v>232937</v>
      </c>
      <c r="T83" s="34">
        <v>37549</v>
      </c>
      <c r="U83" s="34">
        <v>41875</v>
      </c>
      <c r="V83" s="34">
        <v>301</v>
      </c>
      <c r="W83" s="34">
        <v>28945</v>
      </c>
      <c r="X83" s="34">
        <v>3328</v>
      </c>
      <c r="Y83" s="34">
        <v>344935</v>
      </c>
      <c r="Z83" s="34">
        <v>41522</v>
      </c>
      <c r="AA83" s="34">
        <v>303413</v>
      </c>
      <c r="AB83" s="34">
        <v>173046</v>
      </c>
      <c r="AC83" s="34">
        <v>130367</v>
      </c>
    </row>
    <row r="84" spans="1:29" x14ac:dyDescent="0.25">
      <c r="A84" s="31" t="s">
        <v>62</v>
      </c>
      <c r="B84" s="31" t="s">
        <v>735</v>
      </c>
      <c r="C84" s="31" t="s">
        <v>89</v>
      </c>
      <c r="D84" s="31" t="s">
        <v>490</v>
      </c>
      <c r="E84" s="32">
        <v>246.58</v>
      </c>
      <c r="F84" s="33">
        <v>1521.9</v>
      </c>
      <c r="G84" s="32">
        <v>1768.48</v>
      </c>
      <c r="H84" s="32">
        <v>2.29</v>
      </c>
      <c r="I84" s="34">
        <v>54</v>
      </c>
      <c r="J84" s="33">
        <v>0.2</v>
      </c>
      <c r="K84" s="34">
        <v>1576</v>
      </c>
      <c r="L84" s="32">
        <v>327.54000000000002</v>
      </c>
      <c r="M84" s="32">
        <v>60.66</v>
      </c>
      <c r="N84" s="32">
        <v>67.650000000000006</v>
      </c>
      <c r="O84" s="32">
        <v>40.700000000000003</v>
      </c>
      <c r="P84" s="32">
        <v>4.68</v>
      </c>
      <c r="Q84" s="34">
        <v>579248</v>
      </c>
      <c r="R84" s="34">
        <v>1889</v>
      </c>
      <c r="S84" s="34">
        <v>581137</v>
      </c>
      <c r="T84" s="34">
        <v>95600</v>
      </c>
      <c r="U84" s="34">
        <v>106616</v>
      </c>
      <c r="V84" s="34">
        <v>750</v>
      </c>
      <c r="W84" s="34">
        <v>72524</v>
      </c>
      <c r="X84" s="34">
        <v>8345</v>
      </c>
      <c r="Y84" s="34">
        <v>864972</v>
      </c>
      <c r="Z84" s="34">
        <v>90307</v>
      </c>
      <c r="AA84" s="34">
        <v>774665</v>
      </c>
      <c r="AB84" s="34">
        <v>443879</v>
      </c>
      <c r="AC84" s="34">
        <v>330786</v>
      </c>
    </row>
    <row r="85" spans="1:29" x14ac:dyDescent="0.25">
      <c r="A85" s="31" t="s">
        <v>62</v>
      </c>
      <c r="B85" s="31" t="s">
        <v>735</v>
      </c>
      <c r="C85" s="31" t="s">
        <v>90</v>
      </c>
      <c r="D85" s="31" t="s">
        <v>491</v>
      </c>
      <c r="E85" s="32">
        <v>85.84</v>
      </c>
      <c r="F85" s="33">
        <v>668.2</v>
      </c>
      <c r="G85" s="32">
        <v>754.04</v>
      </c>
      <c r="H85" s="32">
        <v>0.98</v>
      </c>
      <c r="I85" s="34">
        <v>11</v>
      </c>
      <c r="J85" s="33">
        <v>0</v>
      </c>
      <c r="K85" s="34">
        <v>679</v>
      </c>
      <c r="L85" s="32">
        <v>327.54000000000002</v>
      </c>
      <c r="M85" s="32">
        <v>60.66</v>
      </c>
      <c r="N85" s="32">
        <v>67.650000000000006</v>
      </c>
      <c r="O85" s="32">
        <v>40.700000000000003</v>
      </c>
      <c r="P85" s="32">
        <v>4.68</v>
      </c>
      <c r="Q85" s="34">
        <v>246978</v>
      </c>
      <c r="R85" s="34">
        <v>0</v>
      </c>
      <c r="S85" s="34">
        <v>246978</v>
      </c>
      <c r="T85" s="34">
        <v>41188</v>
      </c>
      <c r="U85" s="34">
        <v>45934</v>
      </c>
      <c r="V85" s="34">
        <v>321</v>
      </c>
      <c r="W85" s="34">
        <v>30689</v>
      </c>
      <c r="X85" s="34">
        <v>3529</v>
      </c>
      <c r="Y85" s="34">
        <v>368639</v>
      </c>
      <c r="Z85" s="34">
        <v>33049</v>
      </c>
      <c r="AA85" s="34">
        <v>335590</v>
      </c>
      <c r="AB85" s="34">
        <v>194454</v>
      </c>
      <c r="AC85" s="34">
        <v>141136</v>
      </c>
    </row>
    <row r="86" spans="1:29" x14ac:dyDescent="0.25">
      <c r="A86" s="31" t="s">
        <v>62</v>
      </c>
      <c r="B86" s="31" t="s">
        <v>735</v>
      </c>
      <c r="C86" s="31" t="s">
        <v>91</v>
      </c>
      <c r="D86" s="31" t="s">
        <v>492</v>
      </c>
      <c r="E86" s="32">
        <v>152.85</v>
      </c>
      <c r="F86" s="33">
        <v>1108.3</v>
      </c>
      <c r="G86" s="32">
        <v>1261.1500000000001</v>
      </c>
      <c r="H86" s="32">
        <v>1.64</v>
      </c>
      <c r="I86" s="34">
        <v>11</v>
      </c>
      <c r="J86" s="33">
        <v>0.4</v>
      </c>
      <c r="K86" s="34">
        <v>1119</v>
      </c>
      <c r="L86" s="32">
        <v>327.54000000000002</v>
      </c>
      <c r="M86" s="32">
        <v>60.66</v>
      </c>
      <c r="N86" s="32">
        <v>67.650000000000006</v>
      </c>
      <c r="O86" s="32">
        <v>40.700000000000003</v>
      </c>
      <c r="P86" s="32">
        <v>4.68</v>
      </c>
      <c r="Q86" s="34">
        <v>413077</v>
      </c>
      <c r="R86" s="34">
        <v>6370</v>
      </c>
      <c r="S86" s="34">
        <v>419447</v>
      </c>
      <c r="T86" s="34">
        <v>67879</v>
      </c>
      <c r="U86" s="34">
        <v>75700</v>
      </c>
      <c r="V86" s="34">
        <v>537</v>
      </c>
      <c r="W86" s="34">
        <v>51329</v>
      </c>
      <c r="X86" s="34">
        <v>5902</v>
      </c>
      <c r="Y86" s="34">
        <v>620794</v>
      </c>
      <c r="Z86" s="34">
        <v>62028</v>
      </c>
      <c r="AA86" s="34">
        <v>558766</v>
      </c>
      <c r="AB86" s="34">
        <v>318477</v>
      </c>
      <c r="AC86" s="34">
        <v>240289</v>
      </c>
    </row>
    <row r="87" spans="1:29" x14ac:dyDescent="0.25">
      <c r="A87" s="31" t="s">
        <v>62</v>
      </c>
      <c r="B87" s="31" t="s">
        <v>735</v>
      </c>
      <c r="C87" s="31" t="s">
        <v>92</v>
      </c>
      <c r="D87" s="31" t="s">
        <v>493</v>
      </c>
      <c r="E87" s="32">
        <v>44.24</v>
      </c>
      <c r="F87" s="33">
        <v>409.1</v>
      </c>
      <c r="G87" s="32">
        <v>453.34</v>
      </c>
      <c r="H87" s="32">
        <v>0.59</v>
      </c>
      <c r="I87" s="34">
        <v>0</v>
      </c>
      <c r="J87" s="33">
        <v>0</v>
      </c>
      <c r="K87" s="34">
        <v>409</v>
      </c>
      <c r="L87" s="32">
        <v>327.54000000000002</v>
      </c>
      <c r="M87" s="32">
        <v>60.66</v>
      </c>
      <c r="N87" s="32">
        <v>67.650000000000006</v>
      </c>
      <c r="O87" s="32">
        <v>40.700000000000003</v>
      </c>
      <c r="P87" s="32">
        <v>4.68</v>
      </c>
      <c r="Q87" s="34">
        <v>148487</v>
      </c>
      <c r="R87" s="34">
        <v>4667</v>
      </c>
      <c r="S87" s="34">
        <v>153154</v>
      </c>
      <c r="T87" s="34">
        <v>24810</v>
      </c>
      <c r="U87" s="34">
        <v>27669</v>
      </c>
      <c r="V87" s="34">
        <v>193</v>
      </c>
      <c r="W87" s="34">
        <v>18451</v>
      </c>
      <c r="X87" s="34">
        <v>2122</v>
      </c>
      <c r="Y87" s="34">
        <v>226399</v>
      </c>
      <c r="Z87" s="34">
        <v>26042</v>
      </c>
      <c r="AA87" s="34">
        <v>200357</v>
      </c>
      <c r="AB87" s="34">
        <v>110737</v>
      </c>
      <c r="AC87" s="34">
        <v>89620</v>
      </c>
    </row>
    <row r="88" spans="1:29" x14ac:dyDescent="0.25">
      <c r="A88" s="31" t="s">
        <v>62</v>
      </c>
      <c r="B88" s="31" t="s">
        <v>735</v>
      </c>
      <c r="C88" s="31" t="s">
        <v>93</v>
      </c>
      <c r="D88" s="31" t="s">
        <v>494</v>
      </c>
      <c r="E88" s="32">
        <v>76.09</v>
      </c>
      <c r="F88" s="33">
        <v>678.2</v>
      </c>
      <c r="G88" s="32">
        <v>754.29</v>
      </c>
      <c r="H88" s="32">
        <v>0.98</v>
      </c>
      <c r="I88" s="34">
        <v>19</v>
      </c>
      <c r="J88" s="33">
        <v>0</v>
      </c>
      <c r="K88" s="34">
        <v>697</v>
      </c>
      <c r="L88" s="32">
        <v>327.54000000000002</v>
      </c>
      <c r="M88" s="32">
        <v>60.66</v>
      </c>
      <c r="N88" s="32">
        <v>67.650000000000006</v>
      </c>
      <c r="O88" s="32">
        <v>40.700000000000003</v>
      </c>
      <c r="P88" s="32">
        <v>4.68</v>
      </c>
      <c r="Q88" s="34">
        <v>247060</v>
      </c>
      <c r="R88" s="34">
        <v>0</v>
      </c>
      <c r="S88" s="34">
        <v>247060</v>
      </c>
      <c r="T88" s="34">
        <v>42280</v>
      </c>
      <c r="U88" s="34">
        <v>47152</v>
      </c>
      <c r="V88" s="34">
        <v>321</v>
      </c>
      <c r="W88" s="34">
        <v>30700</v>
      </c>
      <c r="X88" s="34">
        <v>3530</v>
      </c>
      <c r="Y88" s="34">
        <v>371043</v>
      </c>
      <c r="Z88" s="34">
        <v>38062</v>
      </c>
      <c r="AA88" s="34">
        <v>332981</v>
      </c>
      <c r="AB88" s="34">
        <v>189517</v>
      </c>
      <c r="AC88" s="34">
        <v>143464</v>
      </c>
    </row>
    <row r="89" spans="1:29" x14ac:dyDescent="0.25">
      <c r="A89" s="31" t="s">
        <v>62</v>
      </c>
      <c r="B89" s="31" t="s">
        <v>735</v>
      </c>
      <c r="C89" s="31" t="s">
        <v>94</v>
      </c>
      <c r="D89" s="31" t="s">
        <v>495</v>
      </c>
      <c r="E89" s="32">
        <v>183.33</v>
      </c>
      <c r="F89" s="33">
        <v>1406.7</v>
      </c>
      <c r="G89" s="32">
        <v>1590.03</v>
      </c>
      <c r="H89" s="32">
        <v>2.06</v>
      </c>
      <c r="I89" s="34">
        <v>130</v>
      </c>
      <c r="J89" s="33">
        <v>3.8</v>
      </c>
      <c r="K89" s="34">
        <v>1533</v>
      </c>
      <c r="L89" s="32">
        <v>327.54000000000002</v>
      </c>
      <c r="M89" s="32">
        <v>60.66</v>
      </c>
      <c r="N89" s="32">
        <v>67.650000000000006</v>
      </c>
      <c r="O89" s="32">
        <v>40.700000000000003</v>
      </c>
      <c r="P89" s="32">
        <v>4.68</v>
      </c>
      <c r="Q89" s="34">
        <v>520798</v>
      </c>
      <c r="R89" s="34">
        <v>0</v>
      </c>
      <c r="S89" s="34">
        <v>520798</v>
      </c>
      <c r="T89" s="34">
        <v>92992</v>
      </c>
      <c r="U89" s="34">
        <v>103707</v>
      </c>
      <c r="V89" s="34">
        <v>675</v>
      </c>
      <c r="W89" s="34">
        <v>64714</v>
      </c>
      <c r="X89" s="34">
        <v>7441</v>
      </c>
      <c r="Y89" s="34">
        <v>790327</v>
      </c>
      <c r="Z89" s="34">
        <v>81418</v>
      </c>
      <c r="AA89" s="34">
        <v>708909</v>
      </c>
      <c r="AB89" s="34">
        <v>398312</v>
      </c>
      <c r="AC89" s="34">
        <v>310597</v>
      </c>
    </row>
    <row r="90" spans="1:29" x14ac:dyDescent="0.25">
      <c r="A90" s="31" t="s">
        <v>62</v>
      </c>
      <c r="B90" s="31" t="s">
        <v>735</v>
      </c>
      <c r="C90" s="31" t="s">
        <v>95</v>
      </c>
      <c r="D90" s="31" t="s">
        <v>496</v>
      </c>
      <c r="E90" s="32">
        <v>133.29</v>
      </c>
      <c r="F90" s="33">
        <v>1015.1</v>
      </c>
      <c r="G90" s="32">
        <v>1148.3900000000001</v>
      </c>
      <c r="H90" s="32">
        <v>1.49</v>
      </c>
      <c r="I90" s="34">
        <v>2</v>
      </c>
      <c r="J90" s="33">
        <v>0</v>
      </c>
      <c r="K90" s="34">
        <v>1017</v>
      </c>
      <c r="L90" s="32">
        <v>327.54000000000002</v>
      </c>
      <c r="M90" s="32">
        <v>60.66</v>
      </c>
      <c r="N90" s="32">
        <v>67.650000000000006</v>
      </c>
      <c r="O90" s="32">
        <v>40.700000000000003</v>
      </c>
      <c r="P90" s="32">
        <v>4.68</v>
      </c>
      <c r="Q90" s="34">
        <v>376144</v>
      </c>
      <c r="R90" s="34">
        <v>0</v>
      </c>
      <c r="S90" s="34">
        <v>376144</v>
      </c>
      <c r="T90" s="34">
        <v>61691</v>
      </c>
      <c r="U90" s="34">
        <v>68800</v>
      </c>
      <c r="V90" s="34">
        <v>488</v>
      </c>
      <c r="W90" s="34">
        <v>46739</v>
      </c>
      <c r="X90" s="34">
        <v>5374</v>
      </c>
      <c r="Y90" s="34">
        <v>559236</v>
      </c>
      <c r="Z90" s="34">
        <v>55085</v>
      </c>
      <c r="AA90" s="34">
        <v>504151</v>
      </c>
      <c r="AB90" s="34">
        <v>291397</v>
      </c>
      <c r="AC90" s="34">
        <v>212754</v>
      </c>
    </row>
    <row r="91" spans="1:29" x14ac:dyDescent="0.25">
      <c r="A91" s="31" t="s">
        <v>62</v>
      </c>
      <c r="B91" s="31" t="s">
        <v>735</v>
      </c>
      <c r="C91" s="31" t="s">
        <v>96</v>
      </c>
      <c r="D91" s="31" t="s">
        <v>497</v>
      </c>
      <c r="E91" s="32">
        <v>56.47</v>
      </c>
      <c r="F91" s="33">
        <v>437.9</v>
      </c>
      <c r="G91" s="32">
        <v>494.37</v>
      </c>
      <c r="H91" s="32">
        <v>0.64</v>
      </c>
      <c r="I91" s="34">
        <v>14</v>
      </c>
      <c r="J91" s="33">
        <v>0</v>
      </c>
      <c r="K91" s="34">
        <v>452</v>
      </c>
      <c r="L91" s="32">
        <v>327.54000000000002</v>
      </c>
      <c r="M91" s="32">
        <v>60.66</v>
      </c>
      <c r="N91" s="32">
        <v>67.650000000000006</v>
      </c>
      <c r="O91" s="32">
        <v>40.700000000000003</v>
      </c>
      <c r="P91" s="32">
        <v>4.68</v>
      </c>
      <c r="Q91" s="34">
        <v>161926</v>
      </c>
      <c r="R91" s="34">
        <v>0</v>
      </c>
      <c r="S91" s="34">
        <v>161926</v>
      </c>
      <c r="T91" s="34">
        <v>27418</v>
      </c>
      <c r="U91" s="34">
        <v>30578</v>
      </c>
      <c r="V91" s="34">
        <v>210</v>
      </c>
      <c r="W91" s="34">
        <v>20121</v>
      </c>
      <c r="X91" s="34">
        <v>2314</v>
      </c>
      <c r="Y91" s="34">
        <v>242567</v>
      </c>
      <c r="Z91" s="34">
        <v>18265</v>
      </c>
      <c r="AA91" s="34">
        <v>224302</v>
      </c>
      <c r="AB91" s="34">
        <v>130893</v>
      </c>
      <c r="AC91" s="34">
        <v>93409</v>
      </c>
    </row>
    <row r="92" spans="1:29" x14ac:dyDescent="0.25">
      <c r="A92" s="31" t="s">
        <v>62</v>
      </c>
      <c r="B92" s="31" t="s">
        <v>735</v>
      </c>
      <c r="C92" s="31" t="s">
        <v>97</v>
      </c>
      <c r="D92" s="31" t="s">
        <v>498</v>
      </c>
      <c r="E92" s="32">
        <v>119.36</v>
      </c>
      <c r="F92" s="33">
        <v>913.3</v>
      </c>
      <c r="G92" s="32">
        <v>1032.6600000000001</v>
      </c>
      <c r="H92" s="32">
        <v>1.34</v>
      </c>
      <c r="I92" s="34">
        <v>113</v>
      </c>
      <c r="J92" s="33">
        <v>0.1</v>
      </c>
      <c r="K92" s="34">
        <v>1026</v>
      </c>
      <c r="L92" s="32">
        <v>327.54000000000002</v>
      </c>
      <c r="M92" s="32">
        <v>60.66</v>
      </c>
      <c r="N92" s="32">
        <v>67.650000000000006</v>
      </c>
      <c r="O92" s="32">
        <v>40.700000000000003</v>
      </c>
      <c r="P92" s="32">
        <v>4.68</v>
      </c>
      <c r="Q92" s="34">
        <v>338237</v>
      </c>
      <c r="R92" s="34">
        <v>0</v>
      </c>
      <c r="S92" s="34">
        <v>338237</v>
      </c>
      <c r="T92" s="34">
        <v>62237</v>
      </c>
      <c r="U92" s="34">
        <v>69409</v>
      </c>
      <c r="V92" s="34">
        <v>439</v>
      </c>
      <c r="W92" s="34">
        <v>42029</v>
      </c>
      <c r="X92" s="34">
        <v>4833</v>
      </c>
      <c r="Y92" s="34">
        <v>517184</v>
      </c>
      <c r="Z92" s="34">
        <v>45912</v>
      </c>
      <c r="AA92" s="34">
        <v>471272</v>
      </c>
      <c r="AB92" s="34">
        <v>265654</v>
      </c>
      <c r="AC92" s="34">
        <v>205618</v>
      </c>
    </row>
    <row r="93" spans="1:29" x14ac:dyDescent="0.25">
      <c r="A93" s="31" t="s">
        <v>62</v>
      </c>
      <c r="B93" s="31" t="s">
        <v>735</v>
      </c>
      <c r="C93" s="31" t="s">
        <v>98</v>
      </c>
      <c r="D93" s="31" t="s">
        <v>499</v>
      </c>
      <c r="E93" s="32">
        <v>74.53</v>
      </c>
      <c r="F93" s="33">
        <v>574.29999999999995</v>
      </c>
      <c r="G93" s="32">
        <v>648.83000000000004</v>
      </c>
      <c r="H93" s="32">
        <v>0.84</v>
      </c>
      <c r="I93" s="34">
        <v>0</v>
      </c>
      <c r="J93" s="33">
        <v>0</v>
      </c>
      <c r="K93" s="34">
        <v>574</v>
      </c>
      <c r="L93" s="32">
        <v>327.54000000000002</v>
      </c>
      <c r="M93" s="32">
        <v>60.66</v>
      </c>
      <c r="N93" s="32">
        <v>67.650000000000006</v>
      </c>
      <c r="O93" s="32">
        <v>40.700000000000003</v>
      </c>
      <c r="P93" s="32">
        <v>4.68</v>
      </c>
      <c r="Q93" s="34">
        <v>212518</v>
      </c>
      <c r="R93" s="34">
        <v>0</v>
      </c>
      <c r="S93" s="34">
        <v>212518</v>
      </c>
      <c r="T93" s="34">
        <v>34819</v>
      </c>
      <c r="U93" s="34">
        <v>38831</v>
      </c>
      <c r="V93" s="34">
        <v>275</v>
      </c>
      <c r="W93" s="34">
        <v>26407</v>
      </c>
      <c r="X93" s="34">
        <v>3037</v>
      </c>
      <c r="Y93" s="34">
        <v>315887</v>
      </c>
      <c r="Z93" s="34">
        <v>35971</v>
      </c>
      <c r="AA93" s="34">
        <v>279916</v>
      </c>
      <c r="AB93" s="34">
        <v>159789</v>
      </c>
      <c r="AC93" s="34">
        <v>120127</v>
      </c>
    </row>
    <row r="94" spans="1:29" x14ac:dyDescent="0.25">
      <c r="A94" s="31" t="s">
        <v>62</v>
      </c>
      <c r="B94" s="31" t="s">
        <v>735</v>
      </c>
      <c r="C94" s="31" t="s">
        <v>99</v>
      </c>
      <c r="D94" s="31" t="s">
        <v>500</v>
      </c>
      <c r="E94" s="32">
        <v>729.26</v>
      </c>
      <c r="F94" s="33">
        <v>5287.4</v>
      </c>
      <c r="G94" s="32">
        <v>6016.66</v>
      </c>
      <c r="H94" s="32">
        <v>7.79</v>
      </c>
      <c r="I94" s="34">
        <v>220</v>
      </c>
      <c r="J94" s="33">
        <v>2</v>
      </c>
      <c r="K94" s="34">
        <v>5505</v>
      </c>
      <c r="L94" s="32">
        <v>327.54000000000002</v>
      </c>
      <c r="M94" s="32">
        <v>60.66</v>
      </c>
      <c r="N94" s="32">
        <v>67.650000000000006</v>
      </c>
      <c r="O94" s="32">
        <v>40.700000000000003</v>
      </c>
      <c r="P94" s="32">
        <v>4.68</v>
      </c>
      <c r="Q94" s="34">
        <v>1970697</v>
      </c>
      <c r="R94" s="34">
        <v>0</v>
      </c>
      <c r="S94" s="34">
        <v>1970697</v>
      </c>
      <c r="T94" s="34">
        <v>333933</v>
      </c>
      <c r="U94" s="34">
        <v>372413</v>
      </c>
      <c r="V94" s="34">
        <v>2552</v>
      </c>
      <c r="W94" s="34">
        <v>244878</v>
      </c>
      <c r="X94" s="34">
        <v>28158</v>
      </c>
      <c r="Y94" s="34">
        <v>2952631</v>
      </c>
      <c r="Z94" s="34">
        <v>260973</v>
      </c>
      <c r="AA94" s="34">
        <v>2691658</v>
      </c>
      <c r="AB94" s="34">
        <v>1554322</v>
      </c>
      <c r="AC94" s="34">
        <v>1137336</v>
      </c>
    </row>
    <row r="95" spans="1:29" x14ac:dyDescent="0.25">
      <c r="A95" s="31" t="s">
        <v>62</v>
      </c>
      <c r="B95" s="31" t="s">
        <v>735</v>
      </c>
      <c r="C95" s="31" t="s">
        <v>100</v>
      </c>
      <c r="D95" s="31" t="s">
        <v>501</v>
      </c>
      <c r="E95" s="32">
        <v>620.41999999999996</v>
      </c>
      <c r="F95" s="33">
        <v>3403.8</v>
      </c>
      <c r="G95" s="32">
        <v>4024.22</v>
      </c>
      <c r="H95" s="32">
        <v>5.22</v>
      </c>
      <c r="I95" s="34">
        <v>534</v>
      </c>
      <c r="J95" s="33">
        <v>4.9000000000000004</v>
      </c>
      <c r="K95" s="34">
        <v>3933</v>
      </c>
      <c r="L95" s="32">
        <v>327.54000000000002</v>
      </c>
      <c r="M95" s="32">
        <v>60.66</v>
      </c>
      <c r="N95" s="32">
        <v>67.650000000000006</v>
      </c>
      <c r="O95" s="32">
        <v>40.700000000000003</v>
      </c>
      <c r="P95" s="32">
        <v>4.68</v>
      </c>
      <c r="Q95" s="34">
        <v>1318093</v>
      </c>
      <c r="R95" s="34">
        <v>30194</v>
      </c>
      <c r="S95" s="34">
        <v>1348287</v>
      </c>
      <c r="T95" s="34">
        <v>238576</v>
      </c>
      <c r="U95" s="34">
        <v>266067</v>
      </c>
      <c r="V95" s="34">
        <v>1710</v>
      </c>
      <c r="W95" s="34">
        <v>165363</v>
      </c>
      <c r="X95" s="34">
        <v>19028</v>
      </c>
      <c r="Y95" s="34">
        <v>2039031</v>
      </c>
      <c r="Z95" s="34">
        <v>237752</v>
      </c>
      <c r="AA95" s="34">
        <v>1801279</v>
      </c>
      <c r="AB95" s="34">
        <v>978176</v>
      </c>
      <c r="AC95" s="34">
        <v>823103</v>
      </c>
    </row>
    <row r="96" spans="1:29" x14ac:dyDescent="0.25">
      <c r="A96" s="31" t="s">
        <v>62</v>
      </c>
      <c r="B96" s="31" t="s">
        <v>735</v>
      </c>
      <c r="C96" s="31" t="s">
        <v>101</v>
      </c>
      <c r="D96" s="31" t="s">
        <v>502</v>
      </c>
      <c r="E96" s="32">
        <v>60.26</v>
      </c>
      <c r="F96" s="33">
        <v>493.5</v>
      </c>
      <c r="G96" s="32">
        <v>553.76</v>
      </c>
      <c r="H96" s="32">
        <v>0.72</v>
      </c>
      <c r="I96" s="34">
        <v>6</v>
      </c>
      <c r="J96" s="33">
        <v>0</v>
      </c>
      <c r="K96" s="34">
        <v>500</v>
      </c>
      <c r="L96" s="32">
        <v>327.54000000000002</v>
      </c>
      <c r="M96" s="32">
        <v>60.66</v>
      </c>
      <c r="N96" s="32">
        <v>67.650000000000006</v>
      </c>
      <c r="O96" s="32">
        <v>40.700000000000003</v>
      </c>
      <c r="P96" s="32">
        <v>4.68</v>
      </c>
      <c r="Q96" s="34">
        <v>181379</v>
      </c>
      <c r="R96" s="34">
        <v>0</v>
      </c>
      <c r="S96" s="34">
        <v>181379</v>
      </c>
      <c r="T96" s="34">
        <v>30330</v>
      </c>
      <c r="U96" s="34">
        <v>33825</v>
      </c>
      <c r="V96" s="34">
        <v>236</v>
      </c>
      <c r="W96" s="34">
        <v>22538</v>
      </c>
      <c r="X96" s="34">
        <v>2592</v>
      </c>
      <c r="Y96" s="34">
        <v>270900</v>
      </c>
      <c r="Z96" s="34">
        <v>27330</v>
      </c>
      <c r="AA96" s="34">
        <v>243570</v>
      </c>
      <c r="AB96" s="34">
        <v>139747</v>
      </c>
      <c r="AC96" s="34">
        <v>103823</v>
      </c>
    </row>
    <row r="97" spans="1:29" x14ac:dyDescent="0.25">
      <c r="A97" s="31" t="s">
        <v>62</v>
      </c>
      <c r="B97" s="31" t="s">
        <v>735</v>
      </c>
      <c r="C97" s="31" t="s">
        <v>102</v>
      </c>
      <c r="D97" s="31" t="s">
        <v>503</v>
      </c>
      <c r="E97" s="32">
        <v>74.680000000000007</v>
      </c>
      <c r="F97" s="33">
        <v>595.70000000000005</v>
      </c>
      <c r="G97" s="32">
        <v>670.38</v>
      </c>
      <c r="H97" s="32">
        <v>0.87</v>
      </c>
      <c r="I97" s="34">
        <v>2</v>
      </c>
      <c r="J97" s="33">
        <v>0</v>
      </c>
      <c r="K97" s="34">
        <v>598</v>
      </c>
      <c r="L97" s="32">
        <v>327.54000000000002</v>
      </c>
      <c r="M97" s="32">
        <v>60.66</v>
      </c>
      <c r="N97" s="32">
        <v>67.650000000000006</v>
      </c>
      <c r="O97" s="32">
        <v>40.700000000000003</v>
      </c>
      <c r="P97" s="32">
        <v>4.68</v>
      </c>
      <c r="Q97" s="34">
        <v>219576</v>
      </c>
      <c r="R97" s="34">
        <v>0</v>
      </c>
      <c r="S97" s="34">
        <v>219576</v>
      </c>
      <c r="T97" s="34">
        <v>36275</v>
      </c>
      <c r="U97" s="34">
        <v>40455</v>
      </c>
      <c r="V97" s="34">
        <v>285</v>
      </c>
      <c r="W97" s="34">
        <v>27284</v>
      </c>
      <c r="X97" s="34">
        <v>3137</v>
      </c>
      <c r="Y97" s="34">
        <v>327012</v>
      </c>
      <c r="Z97" s="34">
        <v>40146</v>
      </c>
      <c r="AA97" s="34">
        <v>286866</v>
      </c>
      <c r="AB97" s="34">
        <v>162115</v>
      </c>
      <c r="AC97" s="34">
        <v>124751</v>
      </c>
    </row>
    <row r="98" spans="1:29" x14ac:dyDescent="0.25">
      <c r="A98" s="31" t="s">
        <v>62</v>
      </c>
      <c r="B98" s="31" t="s">
        <v>735</v>
      </c>
      <c r="C98" s="31" t="s">
        <v>103</v>
      </c>
      <c r="D98" s="31" t="s">
        <v>504</v>
      </c>
      <c r="E98" s="32">
        <v>70.14</v>
      </c>
      <c r="F98" s="33">
        <v>568.6</v>
      </c>
      <c r="G98" s="32">
        <v>638.74</v>
      </c>
      <c r="H98" s="32">
        <v>0.83</v>
      </c>
      <c r="I98" s="34">
        <v>2</v>
      </c>
      <c r="J98" s="33">
        <v>0</v>
      </c>
      <c r="K98" s="34">
        <v>571</v>
      </c>
      <c r="L98" s="32">
        <v>327.54000000000002</v>
      </c>
      <c r="M98" s="32">
        <v>60.66</v>
      </c>
      <c r="N98" s="32">
        <v>67.650000000000006</v>
      </c>
      <c r="O98" s="32">
        <v>40.700000000000003</v>
      </c>
      <c r="P98" s="32">
        <v>4.68</v>
      </c>
      <c r="Q98" s="34">
        <v>209213</v>
      </c>
      <c r="R98" s="34">
        <v>0</v>
      </c>
      <c r="S98" s="34">
        <v>209213</v>
      </c>
      <c r="T98" s="34">
        <v>34637</v>
      </c>
      <c r="U98" s="34">
        <v>38628</v>
      </c>
      <c r="V98" s="34">
        <v>272</v>
      </c>
      <c r="W98" s="34">
        <v>25997</v>
      </c>
      <c r="X98" s="34">
        <v>2989</v>
      </c>
      <c r="Y98" s="34">
        <v>311736</v>
      </c>
      <c r="Z98" s="34">
        <v>35758</v>
      </c>
      <c r="AA98" s="34">
        <v>275978</v>
      </c>
      <c r="AB98" s="34">
        <v>156958</v>
      </c>
      <c r="AC98" s="34">
        <v>119020</v>
      </c>
    </row>
    <row r="99" spans="1:29" x14ac:dyDescent="0.25">
      <c r="A99" s="31" t="s">
        <v>62</v>
      </c>
      <c r="B99" s="31" t="s">
        <v>735</v>
      </c>
      <c r="C99" s="31" t="s">
        <v>104</v>
      </c>
      <c r="D99" s="31" t="s">
        <v>505</v>
      </c>
      <c r="E99" s="32">
        <v>49.73</v>
      </c>
      <c r="F99" s="33">
        <v>443.8</v>
      </c>
      <c r="G99" s="32">
        <v>493.53</v>
      </c>
      <c r="H99" s="32">
        <v>0.64</v>
      </c>
      <c r="I99" s="34">
        <v>2</v>
      </c>
      <c r="J99" s="33">
        <v>0</v>
      </c>
      <c r="K99" s="34">
        <v>446</v>
      </c>
      <c r="L99" s="32">
        <v>327.54000000000002</v>
      </c>
      <c r="M99" s="32">
        <v>60.66</v>
      </c>
      <c r="N99" s="32">
        <v>67.650000000000006</v>
      </c>
      <c r="O99" s="32">
        <v>40.700000000000003</v>
      </c>
      <c r="P99" s="32">
        <v>4.68</v>
      </c>
      <c r="Q99" s="34">
        <v>161651</v>
      </c>
      <c r="R99" s="34">
        <v>0</v>
      </c>
      <c r="S99" s="34">
        <v>161651</v>
      </c>
      <c r="T99" s="34">
        <v>27054</v>
      </c>
      <c r="U99" s="34">
        <v>30172</v>
      </c>
      <c r="V99" s="34">
        <v>210</v>
      </c>
      <c r="W99" s="34">
        <v>20087</v>
      </c>
      <c r="X99" s="34">
        <v>2310</v>
      </c>
      <c r="Y99" s="34">
        <v>241484</v>
      </c>
      <c r="Z99" s="34">
        <v>31881</v>
      </c>
      <c r="AA99" s="34">
        <v>209603</v>
      </c>
      <c r="AB99" s="34">
        <v>117024</v>
      </c>
      <c r="AC99" s="34">
        <v>92579</v>
      </c>
    </row>
    <row r="100" spans="1:29" x14ac:dyDescent="0.25">
      <c r="A100" s="31" t="s">
        <v>62</v>
      </c>
      <c r="B100" s="31" t="s">
        <v>735</v>
      </c>
      <c r="C100" s="31" t="s">
        <v>105</v>
      </c>
      <c r="D100" s="31" t="s">
        <v>506</v>
      </c>
      <c r="E100" s="32">
        <v>64.91</v>
      </c>
      <c r="F100" s="33">
        <v>455</v>
      </c>
      <c r="G100" s="32">
        <v>519.91</v>
      </c>
      <c r="H100" s="32">
        <v>0.67</v>
      </c>
      <c r="I100" s="34">
        <v>1</v>
      </c>
      <c r="J100" s="33">
        <v>0</v>
      </c>
      <c r="K100" s="34">
        <v>456</v>
      </c>
      <c r="L100" s="32">
        <v>327.54000000000002</v>
      </c>
      <c r="M100" s="32">
        <v>60.66</v>
      </c>
      <c r="N100" s="32">
        <v>67.650000000000006</v>
      </c>
      <c r="O100" s="32">
        <v>40.700000000000003</v>
      </c>
      <c r="P100" s="32">
        <v>4.68</v>
      </c>
      <c r="Q100" s="34">
        <v>170291</v>
      </c>
      <c r="R100" s="34">
        <v>0</v>
      </c>
      <c r="S100" s="34">
        <v>170291</v>
      </c>
      <c r="T100" s="34">
        <v>27661</v>
      </c>
      <c r="U100" s="34">
        <v>30848</v>
      </c>
      <c r="V100" s="34">
        <v>219</v>
      </c>
      <c r="W100" s="34">
        <v>21160</v>
      </c>
      <c r="X100" s="34">
        <v>2433</v>
      </c>
      <c r="Y100" s="34">
        <v>252612</v>
      </c>
      <c r="Z100" s="34">
        <v>26248</v>
      </c>
      <c r="AA100" s="34">
        <v>226364</v>
      </c>
      <c r="AB100" s="34">
        <v>130613</v>
      </c>
      <c r="AC100" s="34">
        <v>95751</v>
      </c>
    </row>
    <row r="101" spans="1:29" x14ac:dyDescent="0.25">
      <c r="A101" s="31" t="s">
        <v>62</v>
      </c>
      <c r="B101" s="31" t="s">
        <v>735</v>
      </c>
      <c r="C101" s="31" t="s">
        <v>106</v>
      </c>
      <c r="D101" s="31" t="s">
        <v>507</v>
      </c>
      <c r="E101" s="32">
        <v>56.08</v>
      </c>
      <c r="F101" s="33">
        <v>503</v>
      </c>
      <c r="G101" s="32">
        <v>559.08000000000004</v>
      </c>
      <c r="H101" s="32">
        <v>0.72</v>
      </c>
      <c r="I101" s="34">
        <v>0</v>
      </c>
      <c r="J101" s="33">
        <v>0</v>
      </c>
      <c r="K101" s="34">
        <v>503</v>
      </c>
      <c r="L101" s="32">
        <v>327.54000000000002</v>
      </c>
      <c r="M101" s="32">
        <v>60.66</v>
      </c>
      <c r="N101" s="32">
        <v>67.650000000000006</v>
      </c>
      <c r="O101" s="32">
        <v>40.700000000000003</v>
      </c>
      <c r="P101" s="32">
        <v>4.68</v>
      </c>
      <c r="Q101" s="34">
        <v>183121</v>
      </c>
      <c r="R101" s="34">
        <v>0</v>
      </c>
      <c r="S101" s="34">
        <v>183121</v>
      </c>
      <c r="T101" s="34">
        <v>30512</v>
      </c>
      <c r="U101" s="34">
        <v>34028</v>
      </c>
      <c r="V101" s="34">
        <v>236</v>
      </c>
      <c r="W101" s="34">
        <v>22755</v>
      </c>
      <c r="X101" s="34">
        <v>2616</v>
      </c>
      <c r="Y101" s="34">
        <v>273268</v>
      </c>
      <c r="Z101" s="34">
        <v>27732</v>
      </c>
      <c r="AA101" s="34">
        <v>245536</v>
      </c>
      <c r="AB101" s="34">
        <v>140948</v>
      </c>
      <c r="AC101" s="34">
        <v>104588</v>
      </c>
    </row>
    <row r="102" spans="1:29" x14ac:dyDescent="0.25">
      <c r="A102" s="31" t="s">
        <v>62</v>
      </c>
      <c r="B102" s="31" t="s">
        <v>735</v>
      </c>
      <c r="C102" s="31" t="s">
        <v>107</v>
      </c>
      <c r="D102" s="31" t="s">
        <v>508</v>
      </c>
      <c r="E102" s="32">
        <v>84.68</v>
      </c>
      <c r="F102" s="33">
        <v>902.2</v>
      </c>
      <c r="G102" s="32">
        <v>986.88</v>
      </c>
      <c r="H102" s="32">
        <v>1.28</v>
      </c>
      <c r="I102" s="34">
        <v>2</v>
      </c>
      <c r="J102" s="33">
        <v>0</v>
      </c>
      <c r="K102" s="34">
        <v>904</v>
      </c>
      <c r="L102" s="32">
        <v>327.54000000000002</v>
      </c>
      <c r="M102" s="32">
        <v>60.66</v>
      </c>
      <c r="N102" s="32">
        <v>67.650000000000006</v>
      </c>
      <c r="O102" s="32">
        <v>40.700000000000003</v>
      </c>
      <c r="P102" s="32">
        <v>4.68</v>
      </c>
      <c r="Q102" s="34">
        <v>323243</v>
      </c>
      <c r="R102" s="34">
        <v>0</v>
      </c>
      <c r="S102" s="34">
        <v>323243</v>
      </c>
      <c r="T102" s="34">
        <v>54837</v>
      </c>
      <c r="U102" s="34">
        <v>61156</v>
      </c>
      <c r="V102" s="34">
        <v>419</v>
      </c>
      <c r="W102" s="34">
        <v>40166</v>
      </c>
      <c r="X102" s="34">
        <v>4619</v>
      </c>
      <c r="Y102" s="34">
        <v>484440</v>
      </c>
      <c r="Z102" s="34">
        <v>52192</v>
      </c>
      <c r="AA102" s="34">
        <v>432248</v>
      </c>
      <c r="AB102" s="34">
        <v>245562</v>
      </c>
      <c r="AC102" s="34">
        <v>186686</v>
      </c>
    </row>
    <row r="103" spans="1:29" x14ac:dyDescent="0.25">
      <c r="A103" s="31" t="s">
        <v>62</v>
      </c>
      <c r="B103" s="31" t="s">
        <v>735</v>
      </c>
      <c r="C103" s="31" t="s">
        <v>108</v>
      </c>
      <c r="D103" s="31" t="s">
        <v>509</v>
      </c>
      <c r="E103" s="32">
        <v>66.959999999999994</v>
      </c>
      <c r="F103" s="33">
        <v>394</v>
      </c>
      <c r="G103" s="32">
        <v>460.96</v>
      </c>
      <c r="H103" s="32">
        <v>0.6</v>
      </c>
      <c r="I103" s="34">
        <v>8</v>
      </c>
      <c r="J103" s="33">
        <v>0</v>
      </c>
      <c r="K103" s="34">
        <v>402</v>
      </c>
      <c r="L103" s="32">
        <v>327.54000000000002</v>
      </c>
      <c r="M103" s="32">
        <v>60.66</v>
      </c>
      <c r="N103" s="32">
        <v>67.650000000000006</v>
      </c>
      <c r="O103" s="32">
        <v>40.700000000000003</v>
      </c>
      <c r="P103" s="32">
        <v>4.68</v>
      </c>
      <c r="Q103" s="34">
        <v>150983</v>
      </c>
      <c r="R103" s="34">
        <v>7040</v>
      </c>
      <c r="S103" s="34">
        <v>158023</v>
      </c>
      <c r="T103" s="34">
        <v>24385</v>
      </c>
      <c r="U103" s="34">
        <v>27195</v>
      </c>
      <c r="V103" s="34">
        <v>197</v>
      </c>
      <c r="W103" s="34">
        <v>18761</v>
      </c>
      <c r="X103" s="34">
        <v>2157</v>
      </c>
      <c r="Y103" s="34">
        <v>230718</v>
      </c>
      <c r="Z103" s="34">
        <v>31611</v>
      </c>
      <c r="AA103" s="34">
        <v>199107</v>
      </c>
      <c r="AB103" s="34">
        <v>107466</v>
      </c>
      <c r="AC103" s="34">
        <v>91641</v>
      </c>
    </row>
    <row r="104" spans="1:29" x14ac:dyDescent="0.25">
      <c r="A104" s="31" t="s">
        <v>62</v>
      </c>
      <c r="B104" s="31" t="s">
        <v>735</v>
      </c>
      <c r="C104" s="31" t="s">
        <v>109</v>
      </c>
      <c r="D104" s="31" t="s">
        <v>510</v>
      </c>
      <c r="E104" s="32">
        <v>261</v>
      </c>
      <c r="F104" s="33">
        <v>1453.4</v>
      </c>
      <c r="G104" s="32">
        <v>1714.4</v>
      </c>
      <c r="H104" s="32">
        <v>2.2200000000000002</v>
      </c>
      <c r="I104" s="34">
        <v>1</v>
      </c>
      <c r="J104" s="33">
        <v>0</v>
      </c>
      <c r="K104" s="34">
        <v>1454</v>
      </c>
      <c r="L104" s="32">
        <v>327.54000000000002</v>
      </c>
      <c r="M104" s="32">
        <v>60.66</v>
      </c>
      <c r="N104" s="32">
        <v>67.650000000000006</v>
      </c>
      <c r="O104" s="32">
        <v>40.700000000000003</v>
      </c>
      <c r="P104" s="32">
        <v>4.68</v>
      </c>
      <c r="Q104" s="34">
        <v>561535</v>
      </c>
      <c r="R104" s="34">
        <v>0</v>
      </c>
      <c r="S104" s="34">
        <v>561535</v>
      </c>
      <c r="T104" s="34">
        <v>88200</v>
      </c>
      <c r="U104" s="34">
        <v>98363</v>
      </c>
      <c r="V104" s="34">
        <v>727</v>
      </c>
      <c r="W104" s="34">
        <v>70036</v>
      </c>
      <c r="X104" s="34">
        <v>8059</v>
      </c>
      <c r="Y104" s="34">
        <v>826920</v>
      </c>
      <c r="Z104" s="34">
        <v>83608</v>
      </c>
      <c r="AA104" s="34">
        <v>743312</v>
      </c>
      <c r="AB104" s="34">
        <v>433942</v>
      </c>
      <c r="AC104" s="34">
        <v>309370</v>
      </c>
    </row>
    <row r="105" spans="1:29" x14ac:dyDescent="0.25">
      <c r="A105" s="31" t="s">
        <v>62</v>
      </c>
      <c r="B105" s="31" t="s">
        <v>735</v>
      </c>
      <c r="C105" s="31" t="s">
        <v>110</v>
      </c>
      <c r="D105" s="31" t="s">
        <v>511</v>
      </c>
      <c r="E105" s="32">
        <v>55.55</v>
      </c>
      <c r="F105" s="33">
        <v>561.1</v>
      </c>
      <c r="G105" s="32">
        <v>616.65</v>
      </c>
      <c r="H105" s="32">
        <v>0.8</v>
      </c>
      <c r="I105" s="34">
        <v>0</v>
      </c>
      <c r="J105" s="33">
        <v>0</v>
      </c>
      <c r="K105" s="34">
        <v>561</v>
      </c>
      <c r="L105" s="32">
        <v>327.54000000000002</v>
      </c>
      <c r="M105" s="32">
        <v>60.66</v>
      </c>
      <c r="N105" s="32">
        <v>67.650000000000006</v>
      </c>
      <c r="O105" s="32">
        <v>40.700000000000003</v>
      </c>
      <c r="P105" s="32">
        <v>4.68</v>
      </c>
      <c r="Q105" s="34">
        <v>201978</v>
      </c>
      <c r="R105" s="34">
        <v>2847</v>
      </c>
      <c r="S105" s="34">
        <v>204825</v>
      </c>
      <c r="T105" s="34">
        <v>34030</v>
      </c>
      <c r="U105" s="34">
        <v>37952</v>
      </c>
      <c r="V105" s="34">
        <v>262</v>
      </c>
      <c r="W105" s="34">
        <v>25562</v>
      </c>
      <c r="X105" s="34">
        <v>2941</v>
      </c>
      <c r="Y105" s="34">
        <v>305572</v>
      </c>
      <c r="Z105" s="34">
        <v>37905</v>
      </c>
      <c r="AA105" s="34">
        <v>267667</v>
      </c>
      <c r="AB105" s="34">
        <v>148665</v>
      </c>
      <c r="AC105" s="34">
        <v>119002</v>
      </c>
    </row>
    <row r="106" spans="1:29" x14ac:dyDescent="0.25">
      <c r="A106" s="31" t="s">
        <v>62</v>
      </c>
      <c r="B106" s="31" t="s">
        <v>735</v>
      </c>
      <c r="C106" s="31" t="s">
        <v>111</v>
      </c>
      <c r="D106" s="31" t="s">
        <v>512</v>
      </c>
      <c r="E106" s="32">
        <v>118.11</v>
      </c>
      <c r="F106" s="33">
        <v>790.9</v>
      </c>
      <c r="G106" s="32">
        <v>909.01</v>
      </c>
      <c r="H106" s="32">
        <v>1.18</v>
      </c>
      <c r="I106" s="34">
        <v>3</v>
      </c>
      <c r="J106" s="33">
        <v>0</v>
      </c>
      <c r="K106" s="34">
        <v>794</v>
      </c>
      <c r="L106" s="32">
        <v>327.54000000000002</v>
      </c>
      <c r="M106" s="32">
        <v>60.66</v>
      </c>
      <c r="N106" s="32">
        <v>67.650000000000006</v>
      </c>
      <c r="O106" s="32">
        <v>40.700000000000003</v>
      </c>
      <c r="P106" s="32">
        <v>4.68</v>
      </c>
      <c r="Q106" s="34">
        <v>297737</v>
      </c>
      <c r="R106" s="34">
        <v>0</v>
      </c>
      <c r="S106" s="34">
        <v>297737</v>
      </c>
      <c r="T106" s="34">
        <v>48164</v>
      </c>
      <c r="U106" s="34">
        <v>53714</v>
      </c>
      <c r="V106" s="34">
        <v>386</v>
      </c>
      <c r="W106" s="34">
        <v>36997</v>
      </c>
      <c r="X106" s="34">
        <v>4254</v>
      </c>
      <c r="Y106" s="34">
        <v>441252</v>
      </c>
      <c r="Z106" s="34">
        <v>52418</v>
      </c>
      <c r="AA106" s="34">
        <v>388834</v>
      </c>
      <c r="AB106" s="34">
        <v>221842</v>
      </c>
      <c r="AC106" s="34">
        <v>166992</v>
      </c>
    </row>
    <row r="107" spans="1:29" x14ac:dyDescent="0.25">
      <c r="A107" s="31" t="s">
        <v>62</v>
      </c>
      <c r="B107" s="31" t="s">
        <v>735</v>
      </c>
      <c r="C107" s="31" t="s">
        <v>112</v>
      </c>
      <c r="D107" s="31" t="s">
        <v>513</v>
      </c>
      <c r="E107" s="32">
        <v>67.42</v>
      </c>
      <c r="F107" s="33">
        <v>382.4</v>
      </c>
      <c r="G107" s="32">
        <v>449.82</v>
      </c>
      <c r="H107" s="32">
        <v>0.57999999999999996</v>
      </c>
      <c r="I107" s="34">
        <v>0</v>
      </c>
      <c r="J107" s="33">
        <v>0</v>
      </c>
      <c r="K107" s="34">
        <v>382</v>
      </c>
      <c r="L107" s="32">
        <v>327.54000000000002</v>
      </c>
      <c r="M107" s="32">
        <v>60.66</v>
      </c>
      <c r="N107" s="32">
        <v>67.650000000000006</v>
      </c>
      <c r="O107" s="32">
        <v>40.700000000000003</v>
      </c>
      <c r="P107" s="32">
        <v>4.68</v>
      </c>
      <c r="Q107" s="34">
        <v>147334</v>
      </c>
      <c r="R107" s="34">
        <v>4990</v>
      </c>
      <c r="S107" s="34">
        <v>152324</v>
      </c>
      <c r="T107" s="34">
        <v>23172</v>
      </c>
      <c r="U107" s="34">
        <v>25842</v>
      </c>
      <c r="V107" s="34">
        <v>190</v>
      </c>
      <c r="W107" s="34">
        <v>18308</v>
      </c>
      <c r="X107" s="34">
        <v>2105</v>
      </c>
      <c r="Y107" s="34">
        <v>221941</v>
      </c>
      <c r="Z107" s="34">
        <v>24780</v>
      </c>
      <c r="AA107" s="34">
        <v>197161</v>
      </c>
      <c r="AB107" s="34">
        <v>110935</v>
      </c>
      <c r="AC107" s="34">
        <v>86226</v>
      </c>
    </row>
    <row r="108" spans="1:29" x14ac:dyDescent="0.25">
      <c r="A108" s="31" t="s">
        <v>62</v>
      </c>
      <c r="B108" s="31" t="s">
        <v>735</v>
      </c>
      <c r="C108" s="31" t="s">
        <v>113</v>
      </c>
      <c r="D108" s="31" t="s">
        <v>514</v>
      </c>
      <c r="E108" s="32">
        <v>149.66999999999999</v>
      </c>
      <c r="F108" s="33">
        <v>993.4</v>
      </c>
      <c r="G108" s="32">
        <v>1143.07</v>
      </c>
      <c r="H108" s="32">
        <v>1.48</v>
      </c>
      <c r="I108" s="34">
        <v>24</v>
      </c>
      <c r="J108" s="33">
        <v>0</v>
      </c>
      <c r="K108" s="34">
        <v>1017</v>
      </c>
      <c r="L108" s="32">
        <v>327.54000000000002</v>
      </c>
      <c r="M108" s="32">
        <v>60.66</v>
      </c>
      <c r="N108" s="32">
        <v>67.650000000000006</v>
      </c>
      <c r="O108" s="32">
        <v>40.700000000000003</v>
      </c>
      <c r="P108" s="32">
        <v>4.68</v>
      </c>
      <c r="Q108" s="34">
        <v>374401</v>
      </c>
      <c r="R108" s="34">
        <v>15469</v>
      </c>
      <c r="S108" s="34">
        <v>389870</v>
      </c>
      <c r="T108" s="34">
        <v>61691</v>
      </c>
      <c r="U108" s="34">
        <v>68800</v>
      </c>
      <c r="V108" s="34">
        <v>485</v>
      </c>
      <c r="W108" s="34">
        <v>46523</v>
      </c>
      <c r="X108" s="34">
        <v>5350</v>
      </c>
      <c r="Y108" s="34">
        <v>572719</v>
      </c>
      <c r="Z108" s="34">
        <v>59690</v>
      </c>
      <c r="AA108" s="34">
        <v>513029</v>
      </c>
      <c r="AB108" s="34">
        <v>285188</v>
      </c>
      <c r="AC108" s="34">
        <v>227841</v>
      </c>
    </row>
    <row r="109" spans="1:29" x14ac:dyDescent="0.25">
      <c r="A109" s="31" t="s">
        <v>62</v>
      </c>
      <c r="B109" s="31" t="s">
        <v>735</v>
      </c>
      <c r="C109" s="31" t="s">
        <v>114</v>
      </c>
      <c r="D109" s="31" t="s">
        <v>515</v>
      </c>
      <c r="E109" s="32">
        <v>79.099999999999994</v>
      </c>
      <c r="F109" s="33">
        <v>673.6</v>
      </c>
      <c r="G109" s="32">
        <v>752.7</v>
      </c>
      <c r="H109" s="32">
        <v>0.98</v>
      </c>
      <c r="I109" s="34">
        <v>24</v>
      </c>
      <c r="J109" s="33">
        <v>0</v>
      </c>
      <c r="K109" s="34">
        <v>698</v>
      </c>
      <c r="L109" s="32">
        <v>327.54000000000002</v>
      </c>
      <c r="M109" s="32">
        <v>60.66</v>
      </c>
      <c r="N109" s="32">
        <v>67.650000000000006</v>
      </c>
      <c r="O109" s="32">
        <v>40.700000000000003</v>
      </c>
      <c r="P109" s="32">
        <v>4.68</v>
      </c>
      <c r="Q109" s="34">
        <v>246539</v>
      </c>
      <c r="R109" s="34">
        <v>0</v>
      </c>
      <c r="S109" s="34">
        <v>246539</v>
      </c>
      <c r="T109" s="34">
        <v>42341</v>
      </c>
      <c r="U109" s="34">
        <v>47220</v>
      </c>
      <c r="V109" s="34">
        <v>321</v>
      </c>
      <c r="W109" s="34">
        <v>30635</v>
      </c>
      <c r="X109" s="34">
        <v>3523</v>
      </c>
      <c r="Y109" s="34">
        <v>370579</v>
      </c>
      <c r="Z109" s="34">
        <v>37019</v>
      </c>
      <c r="AA109" s="34">
        <v>333560</v>
      </c>
      <c r="AB109" s="34">
        <v>190081</v>
      </c>
      <c r="AC109" s="34">
        <v>143479</v>
      </c>
    </row>
    <row r="110" spans="1:29" x14ac:dyDescent="0.25">
      <c r="A110" s="31" t="s">
        <v>62</v>
      </c>
      <c r="B110" s="31" t="s">
        <v>735</v>
      </c>
      <c r="C110" s="31" t="s">
        <v>115</v>
      </c>
      <c r="D110" s="31" t="s">
        <v>516</v>
      </c>
      <c r="E110" s="32">
        <v>2250.4699999999998</v>
      </c>
      <c r="F110" s="33">
        <v>10679.9</v>
      </c>
      <c r="G110" s="32">
        <v>12930.37</v>
      </c>
      <c r="H110" s="32">
        <v>16.760000000000002</v>
      </c>
      <c r="I110" s="34">
        <v>1155</v>
      </c>
      <c r="J110" s="33">
        <v>14.9</v>
      </c>
      <c r="K110" s="34">
        <v>11820</v>
      </c>
      <c r="L110" s="32">
        <v>327.54000000000002</v>
      </c>
      <c r="M110" s="32">
        <v>60.66</v>
      </c>
      <c r="N110" s="32">
        <v>67.650000000000006</v>
      </c>
      <c r="O110" s="32">
        <v>40.700000000000003</v>
      </c>
      <c r="P110" s="32">
        <v>4.68</v>
      </c>
      <c r="Q110" s="34">
        <v>4235213</v>
      </c>
      <c r="R110" s="34">
        <v>0</v>
      </c>
      <c r="S110" s="34">
        <v>4235213</v>
      </c>
      <c r="T110" s="34">
        <v>717001</v>
      </c>
      <c r="U110" s="34">
        <v>799623</v>
      </c>
      <c r="V110" s="34">
        <v>5490</v>
      </c>
      <c r="W110" s="34">
        <v>526266</v>
      </c>
      <c r="X110" s="34">
        <v>60514</v>
      </c>
      <c r="Y110" s="34">
        <v>6344107</v>
      </c>
      <c r="Z110" s="34">
        <v>602136</v>
      </c>
      <c r="AA110" s="34">
        <v>5741971</v>
      </c>
      <c r="AB110" s="34">
        <v>3299109</v>
      </c>
      <c r="AC110" s="34">
        <v>2442862</v>
      </c>
    </row>
    <row r="111" spans="1:29" x14ac:dyDescent="0.25">
      <c r="A111" s="31" t="s">
        <v>62</v>
      </c>
      <c r="B111" s="31" t="s">
        <v>735</v>
      </c>
      <c r="C111" s="31" t="s">
        <v>116</v>
      </c>
      <c r="D111" s="31" t="s">
        <v>517</v>
      </c>
      <c r="E111" s="32">
        <v>260.83</v>
      </c>
      <c r="F111" s="33">
        <v>2168.1999999999998</v>
      </c>
      <c r="G111" s="32">
        <v>2429.0300000000002</v>
      </c>
      <c r="H111" s="32">
        <v>3.15</v>
      </c>
      <c r="I111" s="34">
        <v>114</v>
      </c>
      <c r="J111" s="33">
        <v>0.5</v>
      </c>
      <c r="K111" s="34">
        <v>2282</v>
      </c>
      <c r="L111" s="32">
        <v>327.54000000000002</v>
      </c>
      <c r="M111" s="32">
        <v>60.66</v>
      </c>
      <c r="N111" s="32">
        <v>67.650000000000006</v>
      </c>
      <c r="O111" s="32">
        <v>40.700000000000003</v>
      </c>
      <c r="P111" s="32">
        <v>4.68</v>
      </c>
      <c r="Q111" s="34">
        <v>795604</v>
      </c>
      <c r="R111" s="34">
        <v>0</v>
      </c>
      <c r="S111" s="34">
        <v>795604</v>
      </c>
      <c r="T111" s="34">
        <v>138426</v>
      </c>
      <c r="U111" s="34">
        <v>154377</v>
      </c>
      <c r="V111" s="34">
        <v>1032</v>
      </c>
      <c r="W111" s="34">
        <v>98862</v>
      </c>
      <c r="X111" s="34">
        <v>11368</v>
      </c>
      <c r="Y111" s="34">
        <v>1199669</v>
      </c>
      <c r="Z111" s="34">
        <v>99938</v>
      </c>
      <c r="AA111" s="34">
        <v>1099731</v>
      </c>
      <c r="AB111" s="34">
        <v>632930</v>
      </c>
      <c r="AC111" s="34">
        <v>466801</v>
      </c>
    </row>
    <row r="112" spans="1:29" x14ac:dyDescent="0.25">
      <c r="A112" s="31" t="s">
        <v>62</v>
      </c>
      <c r="B112" s="31" t="s">
        <v>735</v>
      </c>
      <c r="C112" s="31" t="s">
        <v>117</v>
      </c>
      <c r="D112" s="31" t="s">
        <v>518</v>
      </c>
      <c r="E112" s="32">
        <v>109.78</v>
      </c>
      <c r="F112" s="33">
        <v>749.9</v>
      </c>
      <c r="G112" s="32">
        <v>859.68</v>
      </c>
      <c r="H112" s="32">
        <v>1.1100000000000001</v>
      </c>
      <c r="I112" s="34">
        <v>58</v>
      </c>
      <c r="J112" s="33">
        <v>0</v>
      </c>
      <c r="K112" s="34">
        <v>808</v>
      </c>
      <c r="L112" s="32">
        <v>327.54000000000002</v>
      </c>
      <c r="M112" s="32">
        <v>60.66</v>
      </c>
      <c r="N112" s="32">
        <v>67.650000000000006</v>
      </c>
      <c r="O112" s="32">
        <v>40.700000000000003</v>
      </c>
      <c r="P112" s="32">
        <v>4.68</v>
      </c>
      <c r="Q112" s="34">
        <v>281580</v>
      </c>
      <c r="R112" s="34">
        <v>0</v>
      </c>
      <c r="S112" s="34">
        <v>281580</v>
      </c>
      <c r="T112" s="34">
        <v>49013</v>
      </c>
      <c r="U112" s="34">
        <v>54661</v>
      </c>
      <c r="V112" s="34">
        <v>364</v>
      </c>
      <c r="W112" s="34">
        <v>34989</v>
      </c>
      <c r="X112" s="34">
        <v>4023</v>
      </c>
      <c r="Y112" s="34">
        <v>424630</v>
      </c>
      <c r="Z112" s="34">
        <v>48238</v>
      </c>
      <c r="AA112" s="34">
        <v>376392</v>
      </c>
      <c r="AB112" s="34">
        <v>211136</v>
      </c>
      <c r="AC112" s="34">
        <v>165256</v>
      </c>
    </row>
    <row r="113" spans="1:29" x14ac:dyDescent="0.25">
      <c r="A113" s="31" t="s">
        <v>62</v>
      </c>
      <c r="B113" s="31" t="s">
        <v>735</v>
      </c>
      <c r="C113" s="31" t="s">
        <v>118</v>
      </c>
      <c r="D113" s="31" t="s">
        <v>519</v>
      </c>
      <c r="E113" s="32">
        <v>41</v>
      </c>
      <c r="F113" s="33">
        <v>563.6</v>
      </c>
      <c r="G113" s="32">
        <v>604.6</v>
      </c>
      <c r="H113" s="32">
        <v>0.78</v>
      </c>
      <c r="I113" s="34">
        <v>8</v>
      </c>
      <c r="J113" s="33">
        <v>0</v>
      </c>
      <c r="K113" s="34">
        <v>572</v>
      </c>
      <c r="L113" s="32">
        <v>327.54000000000002</v>
      </c>
      <c r="M113" s="32">
        <v>60.66</v>
      </c>
      <c r="N113" s="32">
        <v>67.650000000000006</v>
      </c>
      <c r="O113" s="32">
        <v>40.700000000000003</v>
      </c>
      <c r="P113" s="32">
        <v>4.68</v>
      </c>
      <c r="Q113" s="34">
        <v>198031</v>
      </c>
      <c r="R113" s="34">
        <v>0</v>
      </c>
      <c r="S113" s="34">
        <v>198031</v>
      </c>
      <c r="T113" s="34">
        <v>34698</v>
      </c>
      <c r="U113" s="34">
        <v>38696</v>
      </c>
      <c r="V113" s="34">
        <v>255</v>
      </c>
      <c r="W113" s="34">
        <v>24607</v>
      </c>
      <c r="X113" s="34">
        <v>2830</v>
      </c>
      <c r="Y113" s="34">
        <v>299117</v>
      </c>
      <c r="Z113" s="34">
        <v>34886</v>
      </c>
      <c r="AA113" s="34">
        <v>264231</v>
      </c>
      <c r="AB113" s="34">
        <v>147528</v>
      </c>
      <c r="AC113" s="34">
        <v>116703</v>
      </c>
    </row>
    <row r="114" spans="1:29" x14ac:dyDescent="0.25">
      <c r="A114" s="31" t="s">
        <v>62</v>
      </c>
      <c r="B114" s="31" t="s">
        <v>735</v>
      </c>
      <c r="C114" s="31" t="s">
        <v>119</v>
      </c>
      <c r="D114" s="31" t="s">
        <v>520</v>
      </c>
      <c r="E114" s="32">
        <v>81.599999999999994</v>
      </c>
      <c r="F114" s="33">
        <v>813.6</v>
      </c>
      <c r="G114" s="32">
        <v>895.2</v>
      </c>
      <c r="H114" s="32">
        <v>1.1599999999999999</v>
      </c>
      <c r="I114" s="34">
        <v>3</v>
      </c>
      <c r="J114" s="33">
        <v>0</v>
      </c>
      <c r="K114" s="34">
        <v>817</v>
      </c>
      <c r="L114" s="32">
        <v>327.54000000000002</v>
      </c>
      <c r="M114" s="32">
        <v>60.66</v>
      </c>
      <c r="N114" s="32">
        <v>67.650000000000006</v>
      </c>
      <c r="O114" s="32">
        <v>40.700000000000003</v>
      </c>
      <c r="P114" s="32">
        <v>4.68</v>
      </c>
      <c r="Q114" s="34">
        <v>293214</v>
      </c>
      <c r="R114" s="34">
        <v>1549</v>
      </c>
      <c r="S114" s="34">
        <v>294763</v>
      </c>
      <c r="T114" s="34">
        <v>49559</v>
      </c>
      <c r="U114" s="34">
        <v>55270</v>
      </c>
      <c r="V114" s="34">
        <v>380</v>
      </c>
      <c r="W114" s="34">
        <v>36435</v>
      </c>
      <c r="X114" s="34">
        <v>4190</v>
      </c>
      <c r="Y114" s="34">
        <v>440597</v>
      </c>
      <c r="Z114" s="34">
        <v>43122</v>
      </c>
      <c r="AA114" s="34">
        <v>397475</v>
      </c>
      <c r="AB114" s="34">
        <v>226971</v>
      </c>
      <c r="AC114" s="34">
        <v>170504</v>
      </c>
    </row>
    <row r="115" spans="1:29" x14ac:dyDescent="0.25">
      <c r="A115" s="31" t="s">
        <v>120</v>
      </c>
      <c r="B115" s="31" t="s">
        <v>736</v>
      </c>
      <c r="C115" s="31" t="s">
        <v>121</v>
      </c>
      <c r="D115" s="31" t="s">
        <v>521</v>
      </c>
      <c r="E115" s="32">
        <v>36.15</v>
      </c>
      <c r="F115" s="33">
        <v>223</v>
      </c>
      <c r="G115" s="32">
        <v>259.14999999999998</v>
      </c>
      <c r="H115" s="32">
        <v>0.46</v>
      </c>
      <c r="I115" s="34">
        <v>18</v>
      </c>
      <c r="J115" s="33">
        <v>0</v>
      </c>
      <c r="K115" s="34">
        <v>241</v>
      </c>
      <c r="L115" s="32">
        <v>325.18</v>
      </c>
      <c r="M115" s="32">
        <v>60.17</v>
      </c>
      <c r="N115" s="32">
        <v>65.73</v>
      </c>
      <c r="O115" s="32">
        <v>29.77</v>
      </c>
      <c r="P115" s="32">
        <v>3.49</v>
      </c>
      <c r="Q115" s="34">
        <v>84270</v>
      </c>
      <c r="R115" s="34">
        <v>9061</v>
      </c>
      <c r="S115" s="34">
        <v>93331</v>
      </c>
      <c r="T115" s="34">
        <v>14501</v>
      </c>
      <c r="U115" s="34">
        <v>15841</v>
      </c>
      <c r="V115" s="34">
        <v>150</v>
      </c>
      <c r="W115" s="34">
        <v>7715</v>
      </c>
      <c r="X115" s="34">
        <v>904</v>
      </c>
      <c r="Y115" s="34">
        <v>132442</v>
      </c>
      <c r="Z115" s="34">
        <v>17297</v>
      </c>
      <c r="AA115" s="34">
        <v>115145</v>
      </c>
      <c r="AB115" s="34">
        <v>57782</v>
      </c>
      <c r="AC115" s="34">
        <v>57363</v>
      </c>
    </row>
    <row r="116" spans="1:29" x14ac:dyDescent="0.25">
      <c r="A116" s="31" t="s">
        <v>120</v>
      </c>
      <c r="B116" s="31" t="s">
        <v>736</v>
      </c>
      <c r="C116" s="31" t="s">
        <v>122</v>
      </c>
      <c r="D116" s="31" t="s">
        <v>522</v>
      </c>
      <c r="E116" s="32">
        <v>59.36</v>
      </c>
      <c r="F116" s="33">
        <v>623.1</v>
      </c>
      <c r="G116" s="32">
        <v>682.46</v>
      </c>
      <c r="H116" s="32">
        <v>1.21</v>
      </c>
      <c r="I116" s="34">
        <v>172</v>
      </c>
      <c r="J116" s="33">
        <v>0</v>
      </c>
      <c r="K116" s="34">
        <v>795</v>
      </c>
      <c r="L116" s="32">
        <v>325.18</v>
      </c>
      <c r="M116" s="32">
        <v>60.17</v>
      </c>
      <c r="N116" s="32">
        <v>65.73</v>
      </c>
      <c r="O116" s="32">
        <v>29.77</v>
      </c>
      <c r="P116" s="32">
        <v>3.49</v>
      </c>
      <c r="Q116" s="34">
        <v>221922</v>
      </c>
      <c r="R116" s="34">
        <v>0</v>
      </c>
      <c r="S116" s="34">
        <v>221922</v>
      </c>
      <c r="T116" s="34">
        <v>47835</v>
      </c>
      <c r="U116" s="34">
        <v>52255</v>
      </c>
      <c r="V116" s="34">
        <v>393</v>
      </c>
      <c r="W116" s="34">
        <v>20317</v>
      </c>
      <c r="X116" s="34">
        <v>2382</v>
      </c>
      <c r="Y116" s="34">
        <v>345104</v>
      </c>
      <c r="Z116" s="34">
        <v>35612</v>
      </c>
      <c r="AA116" s="34">
        <v>309492</v>
      </c>
      <c r="AB116" s="34">
        <v>162107</v>
      </c>
      <c r="AC116" s="34">
        <v>147385</v>
      </c>
    </row>
    <row r="117" spans="1:29" x14ac:dyDescent="0.25">
      <c r="A117" s="31" t="s">
        <v>120</v>
      </c>
      <c r="B117" s="31" t="s">
        <v>736</v>
      </c>
      <c r="C117" s="31" t="s">
        <v>123</v>
      </c>
      <c r="D117" s="31" t="s">
        <v>523</v>
      </c>
      <c r="E117" s="32">
        <v>23.54</v>
      </c>
      <c r="F117" s="33">
        <v>185.1</v>
      </c>
      <c r="G117" s="32">
        <v>208.64</v>
      </c>
      <c r="H117" s="32">
        <v>0.37</v>
      </c>
      <c r="I117" s="34">
        <v>0</v>
      </c>
      <c r="J117" s="33">
        <v>0</v>
      </c>
      <c r="K117" s="34">
        <v>185</v>
      </c>
      <c r="L117" s="32">
        <v>325.18</v>
      </c>
      <c r="M117" s="32">
        <v>60.17</v>
      </c>
      <c r="N117" s="32">
        <v>65.73</v>
      </c>
      <c r="O117" s="32">
        <v>29.77</v>
      </c>
      <c r="P117" s="32">
        <v>3.49</v>
      </c>
      <c r="Q117" s="34">
        <v>67846</v>
      </c>
      <c r="R117" s="34">
        <v>4941</v>
      </c>
      <c r="S117" s="34">
        <v>72787</v>
      </c>
      <c r="T117" s="34">
        <v>11131</v>
      </c>
      <c r="U117" s="34">
        <v>12160</v>
      </c>
      <c r="V117" s="34">
        <v>120</v>
      </c>
      <c r="W117" s="34">
        <v>6644</v>
      </c>
      <c r="X117" s="34">
        <v>780</v>
      </c>
      <c r="Y117" s="34">
        <v>103622</v>
      </c>
      <c r="Z117" s="34">
        <v>12347</v>
      </c>
      <c r="AA117" s="34">
        <v>91275</v>
      </c>
      <c r="AB117" s="34">
        <v>48584</v>
      </c>
      <c r="AC117" s="34">
        <v>42691</v>
      </c>
    </row>
    <row r="118" spans="1:29" x14ac:dyDescent="0.25">
      <c r="A118" s="31" t="s">
        <v>120</v>
      </c>
      <c r="B118" s="31" t="s">
        <v>736</v>
      </c>
      <c r="C118" s="31" t="s">
        <v>124</v>
      </c>
      <c r="D118" s="31" t="s">
        <v>524</v>
      </c>
      <c r="E118" s="32">
        <v>478.51</v>
      </c>
      <c r="F118" s="33">
        <v>4044.3</v>
      </c>
      <c r="G118" s="32">
        <v>4522.8100000000004</v>
      </c>
      <c r="H118" s="32">
        <v>8.01</v>
      </c>
      <c r="I118" s="34">
        <v>256</v>
      </c>
      <c r="J118" s="33">
        <v>0</v>
      </c>
      <c r="K118" s="34">
        <v>4300</v>
      </c>
      <c r="L118" s="32">
        <v>325.18</v>
      </c>
      <c r="M118" s="32">
        <v>60.17</v>
      </c>
      <c r="N118" s="32">
        <v>65.73</v>
      </c>
      <c r="O118" s="32">
        <v>29.77</v>
      </c>
      <c r="P118" s="32">
        <v>3.49</v>
      </c>
      <c r="Q118" s="34">
        <v>1470727</v>
      </c>
      <c r="R118" s="34">
        <v>0</v>
      </c>
      <c r="S118" s="34">
        <v>1470727</v>
      </c>
      <c r="T118" s="34">
        <v>258731</v>
      </c>
      <c r="U118" s="34">
        <v>282639</v>
      </c>
      <c r="V118" s="34">
        <v>2605</v>
      </c>
      <c r="W118" s="34">
        <v>134644</v>
      </c>
      <c r="X118" s="34">
        <v>15785</v>
      </c>
      <c r="Y118" s="34">
        <v>2165131</v>
      </c>
      <c r="Z118" s="34">
        <v>201731</v>
      </c>
      <c r="AA118" s="34">
        <v>1963400</v>
      </c>
      <c r="AB118" s="34">
        <v>1108588</v>
      </c>
      <c r="AC118" s="34">
        <v>854812</v>
      </c>
    </row>
    <row r="119" spans="1:29" x14ac:dyDescent="0.25">
      <c r="A119" s="31" t="s">
        <v>120</v>
      </c>
      <c r="B119" s="31" t="s">
        <v>736</v>
      </c>
      <c r="C119" s="31" t="s">
        <v>125</v>
      </c>
      <c r="D119" s="31" t="s">
        <v>525</v>
      </c>
      <c r="E119" s="32">
        <v>51.94</v>
      </c>
      <c r="F119" s="33">
        <v>384.3</v>
      </c>
      <c r="G119" s="32">
        <v>436.24</v>
      </c>
      <c r="H119" s="32">
        <v>0.77</v>
      </c>
      <c r="I119" s="34">
        <v>3</v>
      </c>
      <c r="J119" s="33">
        <v>0</v>
      </c>
      <c r="K119" s="34">
        <v>387</v>
      </c>
      <c r="L119" s="32">
        <v>325.18</v>
      </c>
      <c r="M119" s="32">
        <v>60.17</v>
      </c>
      <c r="N119" s="32">
        <v>65.73</v>
      </c>
      <c r="O119" s="32">
        <v>29.77</v>
      </c>
      <c r="P119" s="32">
        <v>3.49</v>
      </c>
      <c r="Q119" s="34">
        <v>141857</v>
      </c>
      <c r="R119" s="34">
        <v>13862</v>
      </c>
      <c r="S119" s="34">
        <v>155719</v>
      </c>
      <c r="T119" s="34">
        <v>23286</v>
      </c>
      <c r="U119" s="34">
        <v>25438</v>
      </c>
      <c r="V119" s="34">
        <v>250</v>
      </c>
      <c r="W119" s="34">
        <v>12987</v>
      </c>
      <c r="X119" s="34">
        <v>1522</v>
      </c>
      <c r="Y119" s="34">
        <v>219202</v>
      </c>
      <c r="Z119" s="34">
        <v>25864</v>
      </c>
      <c r="AA119" s="34">
        <v>193338</v>
      </c>
      <c r="AB119" s="34">
        <v>100520</v>
      </c>
      <c r="AC119" s="34">
        <v>92818</v>
      </c>
    </row>
    <row r="120" spans="1:29" x14ac:dyDescent="0.25">
      <c r="A120" s="31" t="s">
        <v>120</v>
      </c>
      <c r="B120" s="31" t="s">
        <v>736</v>
      </c>
      <c r="C120" s="31" t="s">
        <v>126</v>
      </c>
      <c r="D120" s="31" t="s">
        <v>526</v>
      </c>
      <c r="E120" s="32">
        <v>92.97</v>
      </c>
      <c r="F120" s="33">
        <v>845.1</v>
      </c>
      <c r="G120" s="32">
        <v>938.07</v>
      </c>
      <c r="H120" s="32">
        <v>1.66</v>
      </c>
      <c r="I120" s="34">
        <v>17</v>
      </c>
      <c r="J120" s="33">
        <v>0</v>
      </c>
      <c r="K120" s="34">
        <v>862</v>
      </c>
      <c r="L120" s="32">
        <v>325.18</v>
      </c>
      <c r="M120" s="32">
        <v>60.17</v>
      </c>
      <c r="N120" s="32">
        <v>65.73</v>
      </c>
      <c r="O120" s="32">
        <v>29.77</v>
      </c>
      <c r="P120" s="32">
        <v>3.49</v>
      </c>
      <c r="Q120" s="34">
        <v>305042</v>
      </c>
      <c r="R120" s="34">
        <v>0</v>
      </c>
      <c r="S120" s="34">
        <v>305042</v>
      </c>
      <c r="T120" s="34">
        <v>51867</v>
      </c>
      <c r="U120" s="34">
        <v>56659</v>
      </c>
      <c r="V120" s="34">
        <v>540</v>
      </c>
      <c r="W120" s="34">
        <v>27926</v>
      </c>
      <c r="X120" s="34">
        <v>3274</v>
      </c>
      <c r="Y120" s="34">
        <v>445308</v>
      </c>
      <c r="Z120" s="34">
        <v>44509</v>
      </c>
      <c r="AA120" s="34">
        <v>400799</v>
      </c>
      <c r="AB120" s="34">
        <v>227262</v>
      </c>
      <c r="AC120" s="34">
        <v>173537</v>
      </c>
    </row>
    <row r="121" spans="1:29" x14ac:dyDescent="0.25">
      <c r="A121" s="31" t="s">
        <v>120</v>
      </c>
      <c r="B121" s="31" t="s">
        <v>736</v>
      </c>
      <c r="C121" s="31" t="s">
        <v>127</v>
      </c>
      <c r="D121" s="31" t="s">
        <v>527</v>
      </c>
      <c r="E121" s="32">
        <v>190.72</v>
      </c>
      <c r="F121" s="33">
        <v>1460.6</v>
      </c>
      <c r="G121" s="32">
        <v>1651.32</v>
      </c>
      <c r="H121" s="32">
        <v>2.93</v>
      </c>
      <c r="I121" s="34">
        <v>144</v>
      </c>
      <c r="J121" s="33">
        <v>0</v>
      </c>
      <c r="K121" s="34">
        <v>1605</v>
      </c>
      <c r="L121" s="32">
        <v>325.18</v>
      </c>
      <c r="M121" s="32">
        <v>60.17</v>
      </c>
      <c r="N121" s="32">
        <v>65.73</v>
      </c>
      <c r="O121" s="32">
        <v>29.77</v>
      </c>
      <c r="P121" s="32">
        <v>3.49</v>
      </c>
      <c r="Q121" s="34">
        <v>536976</v>
      </c>
      <c r="R121" s="34">
        <v>0</v>
      </c>
      <c r="S121" s="34">
        <v>536976</v>
      </c>
      <c r="T121" s="34">
        <v>96573</v>
      </c>
      <c r="U121" s="34">
        <v>105497</v>
      </c>
      <c r="V121" s="34">
        <v>953</v>
      </c>
      <c r="W121" s="34">
        <v>49160</v>
      </c>
      <c r="X121" s="34">
        <v>5763</v>
      </c>
      <c r="Y121" s="34">
        <v>794922</v>
      </c>
      <c r="Z121" s="34">
        <v>83133</v>
      </c>
      <c r="AA121" s="34">
        <v>711789</v>
      </c>
      <c r="AB121" s="34">
        <v>395278</v>
      </c>
      <c r="AC121" s="34">
        <v>316511</v>
      </c>
    </row>
    <row r="122" spans="1:29" x14ac:dyDescent="0.25">
      <c r="A122" s="31" t="s">
        <v>120</v>
      </c>
      <c r="B122" s="31" t="s">
        <v>736</v>
      </c>
      <c r="C122" s="31" t="s">
        <v>128</v>
      </c>
      <c r="D122" s="31" t="s">
        <v>528</v>
      </c>
      <c r="E122" s="32">
        <v>785.66</v>
      </c>
      <c r="F122" s="33">
        <v>3612.4</v>
      </c>
      <c r="G122" s="32">
        <v>4398.0600000000004</v>
      </c>
      <c r="H122" s="32">
        <v>7.77</v>
      </c>
      <c r="I122" s="34">
        <v>160</v>
      </c>
      <c r="J122" s="33">
        <v>0</v>
      </c>
      <c r="K122" s="34">
        <v>3772</v>
      </c>
      <c r="L122" s="32">
        <v>325.18</v>
      </c>
      <c r="M122" s="32">
        <v>60.17</v>
      </c>
      <c r="N122" s="32">
        <v>65.73</v>
      </c>
      <c r="O122" s="32">
        <v>29.77</v>
      </c>
      <c r="P122" s="32">
        <v>3.49</v>
      </c>
      <c r="Q122" s="34">
        <v>1430161</v>
      </c>
      <c r="R122" s="34">
        <v>0</v>
      </c>
      <c r="S122" s="34">
        <v>1430161</v>
      </c>
      <c r="T122" s="34">
        <v>226961</v>
      </c>
      <c r="U122" s="34">
        <v>247934</v>
      </c>
      <c r="V122" s="34">
        <v>2527</v>
      </c>
      <c r="W122" s="34">
        <v>130930</v>
      </c>
      <c r="X122" s="34">
        <v>15349</v>
      </c>
      <c r="Y122" s="34">
        <v>2053862</v>
      </c>
      <c r="Z122" s="34">
        <v>234769</v>
      </c>
      <c r="AA122" s="34">
        <v>1819093</v>
      </c>
      <c r="AB122" s="34">
        <v>1039402</v>
      </c>
      <c r="AC122" s="34">
        <v>779691</v>
      </c>
    </row>
    <row r="123" spans="1:29" x14ac:dyDescent="0.25">
      <c r="A123" s="31" t="s">
        <v>120</v>
      </c>
      <c r="B123" s="31" t="s">
        <v>736</v>
      </c>
      <c r="C123" s="31" t="s">
        <v>129</v>
      </c>
      <c r="D123" s="31" t="s">
        <v>529</v>
      </c>
      <c r="E123" s="32">
        <v>119.07</v>
      </c>
      <c r="F123" s="33">
        <v>756.8</v>
      </c>
      <c r="G123" s="32">
        <v>875.87</v>
      </c>
      <c r="H123" s="32">
        <v>1.55</v>
      </c>
      <c r="I123" s="34">
        <v>0</v>
      </c>
      <c r="J123" s="33">
        <v>0</v>
      </c>
      <c r="K123" s="34">
        <v>757</v>
      </c>
      <c r="L123" s="32">
        <v>325.18</v>
      </c>
      <c r="M123" s="32">
        <v>60.17</v>
      </c>
      <c r="N123" s="32">
        <v>65.73</v>
      </c>
      <c r="O123" s="32">
        <v>29.77</v>
      </c>
      <c r="P123" s="32">
        <v>3.49</v>
      </c>
      <c r="Q123" s="34">
        <v>284815</v>
      </c>
      <c r="R123" s="34">
        <v>14258</v>
      </c>
      <c r="S123" s="34">
        <v>299073</v>
      </c>
      <c r="T123" s="34">
        <v>45549</v>
      </c>
      <c r="U123" s="34">
        <v>49758</v>
      </c>
      <c r="V123" s="34">
        <v>504</v>
      </c>
      <c r="W123" s="34">
        <v>26075</v>
      </c>
      <c r="X123" s="34">
        <v>3057</v>
      </c>
      <c r="Y123" s="34">
        <v>424016</v>
      </c>
      <c r="Z123" s="34">
        <v>51365</v>
      </c>
      <c r="AA123" s="34">
        <v>372651</v>
      </c>
      <c r="AB123" s="34">
        <v>202387</v>
      </c>
      <c r="AC123" s="34">
        <v>170264</v>
      </c>
    </row>
    <row r="124" spans="1:29" x14ac:dyDescent="0.25">
      <c r="A124" s="31" t="s">
        <v>120</v>
      </c>
      <c r="B124" s="31" t="s">
        <v>736</v>
      </c>
      <c r="C124" s="31" t="s">
        <v>130</v>
      </c>
      <c r="D124" s="31" t="s">
        <v>530</v>
      </c>
      <c r="E124" s="32">
        <v>2503.35</v>
      </c>
      <c r="F124" s="33">
        <v>14412.6</v>
      </c>
      <c r="G124" s="32">
        <v>16915.95</v>
      </c>
      <c r="H124" s="32">
        <v>29.98</v>
      </c>
      <c r="I124" s="34">
        <v>1758</v>
      </c>
      <c r="J124" s="33">
        <v>2.7</v>
      </c>
      <c r="K124" s="34">
        <v>16168</v>
      </c>
      <c r="L124" s="32">
        <v>325.18</v>
      </c>
      <c r="M124" s="32">
        <v>60.17</v>
      </c>
      <c r="N124" s="32">
        <v>65.73</v>
      </c>
      <c r="O124" s="32">
        <v>29.77</v>
      </c>
      <c r="P124" s="32">
        <v>3.49</v>
      </c>
      <c r="Q124" s="34">
        <v>5500729</v>
      </c>
      <c r="R124" s="34">
        <v>102279</v>
      </c>
      <c r="S124" s="34">
        <v>5603008</v>
      </c>
      <c r="T124" s="34">
        <v>972829</v>
      </c>
      <c r="U124" s="34">
        <v>1062723</v>
      </c>
      <c r="V124" s="34">
        <v>9749</v>
      </c>
      <c r="W124" s="34">
        <v>503588</v>
      </c>
      <c r="X124" s="34">
        <v>59037</v>
      </c>
      <c r="Y124" s="34">
        <v>8210934</v>
      </c>
      <c r="Z124" s="34">
        <v>859407</v>
      </c>
      <c r="AA124" s="34">
        <v>7351527</v>
      </c>
      <c r="AB124" s="34">
        <v>4041376</v>
      </c>
      <c r="AC124" s="34">
        <v>3310151</v>
      </c>
    </row>
    <row r="125" spans="1:29" x14ac:dyDescent="0.25">
      <c r="A125" s="31" t="s">
        <v>120</v>
      </c>
      <c r="B125" s="31" t="s">
        <v>736</v>
      </c>
      <c r="C125" s="31" t="s">
        <v>131</v>
      </c>
      <c r="D125" s="31" t="s">
        <v>531</v>
      </c>
      <c r="E125" s="32">
        <v>21.87</v>
      </c>
      <c r="F125" s="33">
        <v>190</v>
      </c>
      <c r="G125" s="32">
        <v>211.87</v>
      </c>
      <c r="H125" s="32">
        <v>0.38</v>
      </c>
      <c r="I125" s="34">
        <v>1</v>
      </c>
      <c r="J125" s="33">
        <v>0</v>
      </c>
      <c r="K125" s="34">
        <v>191</v>
      </c>
      <c r="L125" s="32">
        <v>325.18</v>
      </c>
      <c r="M125" s="32">
        <v>60.17</v>
      </c>
      <c r="N125" s="32">
        <v>65.73</v>
      </c>
      <c r="O125" s="32">
        <v>29.77</v>
      </c>
      <c r="P125" s="32">
        <v>3.49</v>
      </c>
      <c r="Q125" s="34">
        <v>68896</v>
      </c>
      <c r="R125" s="34">
        <v>6893</v>
      </c>
      <c r="S125" s="34">
        <v>75789</v>
      </c>
      <c r="T125" s="34">
        <v>11492</v>
      </c>
      <c r="U125" s="34">
        <v>12554</v>
      </c>
      <c r="V125" s="34">
        <v>124</v>
      </c>
      <c r="W125" s="34">
        <v>6918</v>
      </c>
      <c r="X125" s="34">
        <v>812</v>
      </c>
      <c r="Y125" s="34">
        <v>107689</v>
      </c>
      <c r="Z125" s="34">
        <v>13962</v>
      </c>
      <c r="AA125" s="34">
        <v>93727</v>
      </c>
      <c r="AB125" s="34">
        <v>48104</v>
      </c>
      <c r="AC125" s="34">
        <v>45623</v>
      </c>
    </row>
    <row r="126" spans="1:29" x14ac:dyDescent="0.25">
      <c r="A126" s="31" t="s">
        <v>120</v>
      </c>
      <c r="B126" s="31" t="s">
        <v>736</v>
      </c>
      <c r="C126" s="31" t="s">
        <v>132</v>
      </c>
      <c r="D126" s="31" t="s">
        <v>532</v>
      </c>
      <c r="E126" s="32">
        <v>58.38</v>
      </c>
      <c r="F126" s="33">
        <v>531</v>
      </c>
      <c r="G126" s="32">
        <v>589.38</v>
      </c>
      <c r="H126" s="32">
        <v>1.05</v>
      </c>
      <c r="I126" s="34">
        <v>3</v>
      </c>
      <c r="J126" s="33">
        <v>0</v>
      </c>
      <c r="K126" s="34">
        <v>534</v>
      </c>
      <c r="L126" s="32">
        <v>325.18</v>
      </c>
      <c r="M126" s="32">
        <v>60.17</v>
      </c>
      <c r="N126" s="32">
        <v>65.73</v>
      </c>
      <c r="O126" s="32">
        <v>29.77</v>
      </c>
      <c r="P126" s="32">
        <v>3.49</v>
      </c>
      <c r="Q126" s="34">
        <v>191655</v>
      </c>
      <c r="R126" s="34">
        <v>1385</v>
      </c>
      <c r="S126" s="34">
        <v>193040</v>
      </c>
      <c r="T126" s="34">
        <v>32131</v>
      </c>
      <c r="U126" s="34">
        <v>35100</v>
      </c>
      <c r="V126" s="34">
        <v>341</v>
      </c>
      <c r="W126" s="34">
        <v>17546</v>
      </c>
      <c r="X126" s="34">
        <v>2057</v>
      </c>
      <c r="Y126" s="34">
        <v>280215</v>
      </c>
      <c r="Z126" s="34">
        <v>29685</v>
      </c>
      <c r="AA126" s="34">
        <v>250530</v>
      </c>
      <c r="AB126" s="34">
        <v>141068</v>
      </c>
      <c r="AC126" s="34">
        <v>109462</v>
      </c>
    </row>
    <row r="127" spans="1:29" x14ac:dyDescent="0.25">
      <c r="A127" s="31" t="s">
        <v>120</v>
      </c>
      <c r="B127" s="31" t="s">
        <v>736</v>
      </c>
      <c r="C127" s="31" t="s">
        <v>133</v>
      </c>
      <c r="D127" s="31" t="s">
        <v>533</v>
      </c>
      <c r="E127" s="32">
        <v>98.28</v>
      </c>
      <c r="F127" s="33">
        <v>558.9</v>
      </c>
      <c r="G127" s="32">
        <v>657.18</v>
      </c>
      <c r="H127" s="32">
        <v>1.17</v>
      </c>
      <c r="I127" s="34">
        <v>8</v>
      </c>
      <c r="J127" s="33">
        <v>0</v>
      </c>
      <c r="K127" s="34">
        <v>567</v>
      </c>
      <c r="L127" s="32">
        <v>325.18</v>
      </c>
      <c r="M127" s="32">
        <v>60.17</v>
      </c>
      <c r="N127" s="32">
        <v>65.73</v>
      </c>
      <c r="O127" s="32">
        <v>29.77</v>
      </c>
      <c r="P127" s="32">
        <v>3.49</v>
      </c>
      <c r="Q127" s="34">
        <v>213702</v>
      </c>
      <c r="R127" s="34">
        <v>5575</v>
      </c>
      <c r="S127" s="34">
        <v>219277</v>
      </c>
      <c r="T127" s="34">
        <v>34116</v>
      </c>
      <c r="U127" s="34">
        <v>37269</v>
      </c>
      <c r="V127" s="34">
        <v>380</v>
      </c>
      <c r="W127" s="34">
        <v>19564</v>
      </c>
      <c r="X127" s="34">
        <v>2294</v>
      </c>
      <c r="Y127" s="34">
        <v>312900</v>
      </c>
      <c r="Z127" s="34">
        <v>38005</v>
      </c>
      <c r="AA127" s="34">
        <v>274895</v>
      </c>
      <c r="AB127" s="34">
        <v>152391</v>
      </c>
      <c r="AC127" s="34">
        <v>122504</v>
      </c>
    </row>
    <row r="128" spans="1:29" x14ac:dyDescent="0.25">
      <c r="A128" s="31" t="s">
        <v>120</v>
      </c>
      <c r="B128" s="31" t="s">
        <v>736</v>
      </c>
      <c r="C128" s="31" t="s">
        <v>134</v>
      </c>
      <c r="D128" s="31" t="s">
        <v>534</v>
      </c>
      <c r="E128" s="32">
        <v>89.62</v>
      </c>
      <c r="F128" s="33">
        <v>692.5</v>
      </c>
      <c r="G128" s="32">
        <v>782.12</v>
      </c>
      <c r="H128" s="32">
        <v>1.39</v>
      </c>
      <c r="I128" s="34">
        <v>0</v>
      </c>
      <c r="J128" s="33">
        <v>0</v>
      </c>
      <c r="K128" s="34">
        <v>693</v>
      </c>
      <c r="L128" s="32">
        <v>325.18</v>
      </c>
      <c r="M128" s="32">
        <v>60.17</v>
      </c>
      <c r="N128" s="32">
        <v>65.73</v>
      </c>
      <c r="O128" s="32">
        <v>29.77</v>
      </c>
      <c r="P128" s="32">
        <v>3.49</v>
      </c>
      <c r="Q128" s="34">
        <v>254330</v>
      </c>
      <c r="R128" s="34">
        <v>741</v>
      </c>
      <c r="S128" s="34">
        <v>255071</v>
      </c>
      <c r="T128" s="34">
        <v>41698</v>
      </c>
      <c r="U128" s="34">
        <v>45551</v>
      </c>
      <c r="V128" s="34">
        <v>452</v>
      </c>
      <c r="W128" s="34">
        <v>23284</v>
      </c>
      <c r="X128" s="34">
        <v>2733</v>
      </c>
      <c r="Y128" s="34">
        <v>368789</v>
      </c>
      <c r="Z128" s="34">
        <v>42041</v>
      </c>
      <c r="AA128" s="34">
        <v>326748</v>
      </c>
      <c r="AB128" s="34">
        <v>184555</v>
      </c>
      <c r="AC128" s="34">
        <v>142193</v>
      </c>
    </row>
    <row r="129" spans="1:29" x14ac:dyDescent="0.25">
      <c r="A129" s="31" t="s">
        <v>120</v>
      </c>
      <c r="B129" s="31" t="s">
        <v>736</v>
      </c>
      <c r="C129" s="31" t="s">
        <v>135</v>
      </c>
      <c r="D129" s="31" t="s">
        <v>535</v>
      </c>
      <c r="E129" s="32">
        <v>284.08999999999997</v>
      </c>
      <c r="F129" s="33">
        <v>1245.2</v>
      </c>
      <c r="G129" s="32">
        <v>1529.29</v>
      </c>
      <c r="H129" s="32">
        <v>2.71</v>
      </c>
      <c r="I129" s="34">
        <v>124</v>
      </c>
      <c r="J129" s="33">
        <v>0</v>
      </c>
      <c r="K129" s="34">
        <v>1369</v>
      </c>
      <c r="L129" s="32">
        <v>325.18</v>
      </c>
      <c r="M129" s="32">
        <v>60.17</v>
      </c>
      <c r="N129" s="32">
        <v>65.73</v>
      </c>
      <c r="O129" s="32">
        <v>29.77</v>
      </c>
      <c r="P129" s="32">
        <v>3.49</v>
      </c>
      <c r="Q129" s="34">
        <v>497295</v>
      </c>
      <c r="R129" s="34">
        <v>4071</v>
      </c>
      <c r="S129" s="34">
        <v>501366</v>
      </c>
      <c r="T129" s="34">
        <v>82373</v>
      </c>
      <c r="U129" s="34">
        <v>89984</v>
      </c>
      <c r="V129" s="34">
        <v>881</v>
      </c>
      <c r="W129" s="34">
        <v>45763</v>
      </c>
      <c r="X129" s="34">
        <v>5373</v>
      </c>
      <c r="Y129" s="34">
        <v>725740</v>
      </c>
      <c r="Z129" s="34">
        <v>79567</v>
      </c>
      <c r="AA129" s="34">
        <v>646173</v>
      </c>
      <c r="AB129" s="34">
        <v>363761</v>
      </c>
      <c r="AC129" s="34">
        <v>282412</v>
      </c>
    </row>
    <row r="130" spans="1:29" x14ac:dyDescent="0.25">
      <c r="A130" s="31" t="s">
        <v>120</v>
      </c>
      <c r="B130" s="31" t="s">
        <v>736</v>
      </c>
      <c r="C130" s="31" t="s">
        <v>136</v>
      </c>
      <c r="D130" s="31" t="s">
        <v>536</v>
      </c>
      <c r="E130" s="32">
        <v>658.34</v>
      </c>
      <c r="F130" s="33">
        <v>4604.5</v>
      </c>
      <c r="G130" s="32">
        <v>5262.84</v>
      </c>
      <c r="H130" s="32">
        <v>9.33</v>
      </c>
      <c r="I130" s="34">
        <v>205</v>
      </c>
      <c r="J130" s="33">
        <v>0</v>
      </c>
      <c r="K130" s="34">
        <v>4810</v>
      </c>
      <c r="L130" s="32">
        <v>325.18</v>
      </c>
      <c r="M130" s="32">
        <v>60.17</v>
      </c>
      <c r="N130" s="32">
        <v>65.73</v>
      </c>
      <c r="O130" s="32">
        <v>29.77</v>
      </c>
      <c r="P130" s="32">
        <v>3.49</v>
      </c>
      <c r="Q130" s="34">
        <v>1711370</v>
      </c>
      <c r="R130" s="34">
        <v>11650</v>
      </c>
      <c r="S130" s="34">
        <v>1723020</v>
      </c>
      <c r="T130" s="34">
        <v>289418</v>
      </c>
      <c r="U130" s="34">
        <v>316161</v>
      </c>
      <c r="V130" s="34">
        <v>3034</v>
      </c>
      <c r="W130" s="34">
        <v>156675</v>
      </c>
      <c r="X130" s="34">
        <v>18367</v>
      </c>
      <c r="Y130" s="34">
        <v>2506675</v>
      </c>
      <c r="Z130" s="34">
        <v>272036</v>
      </c>
      <c r="AA130" s="34">
        <v>2234639</v>
      </c>
      <c r="AB130" s="34">
        <v>1252682</v>
      </c>
      <c r="AC130" s="34">
        <v>981957</v>
      </c>
    </row>
    <row r="131" spans="1:29" x14ac:dyDescent="0.25">
      <c r="A131" s="31" t="s">
        <v>120</v>
      </c>
      <c r="B131" s="31" t="s">
        <v>736</v>
      </c>
      <c r="C131" s="31" t="s">
        <v>137</v>
      </c>
      <c r="D131" s="31" t="s">
        <v>537</v>
      </c>
      <c r="E131" s="32">
        <v>308.37</v>
      </c>
      <c r="F131" s="33">
        <v>3112.5</v>
      </c>
      <c r="G131" s="32">
        <v>3420.87</v>
      </c>
      <c r="H131" s="32">
        <v>6.06</v>
      </c>
      <c r="I131" s="34">
        <v>45</v>
      </c>
      <c r="J131" s="33">
        <v>0</v>
      </c>
      <c r="K131" s="34">
        <v>3158</v>
      </c>
      <c r="L131" s="32">
        <v>325.18</v>
      </c>
      <c r="M131" s="32">
        <v>60.17</v>
      </c>
      <c r="N131" s="32">
        <v>65.73</v>
      </c>
      <c r="O131" s="32">
        <v>29.77</v>
      </c>
      <c r="P131" s="32">
        <v>3.49</v>
      </c>
      <c r="Q131" s="34">
        <v>1112399</v>
      </c>
      <c r="R131" s="34">
        <v>0</v>
      </c>
      <c r="S131" s="34">
        <v>1112399</v>
      </c>
      <c r="T131" s="34">
        <v>190017</v>
      </c>
      <c r="U131" s="34">
        <v>207575</v>
      </c>
      <c r="V131" s="34">
        <v>1971</v>
      </c>
      <c r="W131" s="34">
        <v>101839</v>
      </c>
      <c r="X131" s="34">
        <v>11939</v>
      </c>
      <c r="Y131" s="34">
        <v>1625740</v>
      </c>
      <c r="Z131" s="34">
        <v>142652</v>
      </c>
      <c r="AA131" s="34">
        <v>1483088</v>
      </c>
      <c r="AB131" s="34">
        <v>848420</v>
      </c>
      <c r="AC131" s="34">
        <v>634668</v>
      </c>
    </row>
    <row r="132" spans="1:29" x14ac:dyDescent="0.25">
      <c r="A132" s="31" t="s">
        <v>120</v>
      </c>
      <c r="B132" s="31" t="s">
        <v>736</v>
      </c>
      <c r="C132" s="31" t="s">
        <v>138</v>
      </c>
      <c r="D132" s="31" t="s">
        <v>538</v>
      </c>
      <c r="E132" s="32">
        <v>64.38</v>
      </c>
      <c r="F132" s="33">
        <v>514.4</v>
      </c>
      <c r="G132" s="32">
        <v>578.78</v>
      </c>
      <c r="H132" s="32">
        <v>1.03</v>
      </c>
      <c r="I132" s="34">
        <v>1</v>
      </c>
      <c r="J132" s="33">
        <v>0</v>
      </c>
      <c r="K132" s="34">
        <v>515</v>
      </c>
      <c r="L132" s="32">
        <v>325.18</v>
      </c>
      <c r="M132" s="32">
        <v>60.17</v>
      </c>
      <c r="N132" s="32">
        <v>65.73</v>
      </c>
      <c r="O132" s="32">
        <v>29.77</v>
      </c>
      <c r="P132" s="32">
        <v>3.49</v>
      </c>
      <c r="Q132" s="34">
        <v>188208</v>
      </c>
      <c r="R132" s="34">
        <v>0</v>
      </c>
      <c r="S132" s="34">
        <v>188208</v>
      </c>
      <c r="T132" s="34">
        <v>30988</v>
      </c>
      <c r="U132" s="34">
        <v>33851</v>
      </c>
      <c r="V132" s="34">
        <v>335</v>
      </c>
      <c r="W132" s="34">
        <v>17230</v>
      </c>
      <c r="X132" s="34">
        <v>2020</v>
      </c>
      <c r="Y132" s="34">
        <v>272632</v>
      </c>
      <c r="Z132" s="34">
        <v>32827</v>
      </c>
      <c r="AA132" s="34">
        <v>239805</v>
      </c>
      <c r="AB132" s="34">
        <v>134854</v>
      </c>
      <c r="AC132" s="34">
        <v>104951</v>
      </c>
    </row>
    <row r="133" spans="1:29" x14ac:dyDescent="0.25">
      <c r="A133" s="31" t="s">
        <v>120</v>
      </c>
      <c r="B133" s="31" t="s">
        <v>736</v>
      </c>
      <c r="C133" s="31" t="s">
        <v>139</v>
      </c>
      <c r="D133" s="31" t="s">
        <v>539</v>
      </c>
      <c r="E133" s="32">
        <v>425.59</v>
      </c>
      <c r="F133" s="33">
        <v>5423.6</v>
      </c>
      <c r="G133" s="32">
        <v>5849.19</v>
      </c>
      <c r="H133" s="32">
        <v>10.37</v>
      </c>
      <c r="I133" s="34">
        <v>142</v>
      </c>
      <c r="J133" s="33">
        <v>0</v>
      </c>
      <c r="K133" s="34">
        <v>5566</v>
      </c>
      <c r="L133" s="32">
        <v>325.18</v>
      </c>
      <c r="M133" s="32">
        <v>60.17</v>
      </c>
      <c r="N133" s="32">
        <v>65.73</v>
      </c>
      <c r="O133" s="32">
        <v>29.77</v>
      </c>
      <c r="P133" s="32">
        <v>3.49</v>
      </c>
      <c r="Q133" s="34">
        <v>1902040</v>
      </c>
      <c r="R133" s="34">
        <v>0</v>
      </c>
      <c r="S133" s="34">
        <v>1902040</v>
      </c>
      <c r="T133" s="34">
        <v>334906</v>
      </c>
      <c r="U133" s="34">
        <v>365853</v>
      </c>
      <c r="V133" s="34">
        <v>3372</v>
      </c>
      <c r="W133" s="34">
        <v>174130</v>
      </c>
      <c r="X133" s="34">
        <v>20414</v>
      </c>
      <c r="Y133" s="34">
        <v>2800715</v>
      </c>
      <c r="Z133" s="34">
        <v>156265</v>
      </c>
      <c r="AA133" s="34">
        <v>2644450</v>
      </c>
      <c r="AB133" s="34">
        <v>1538326</v>
      </c>
      <c r="AC133" s="34">
        <v>1106124</v>
      </c>
    </row>
    <row r="134" spans="1:29" x14ac:dyDescent="0.25">
      <c r="A134" s="31" t="s">
        <v>120</v>
      </c>
      <c r="B134" s="31" t="s">
        <v>736</v>
      </c>
      <c r="C134" s="31" t="s">
        <v>140</v>
      </c>
      <c r="D134" s="31" t="s">
        <v>540</v>
      </c>
      <c r="E134" s="32">
        <v>130.31</v>
      </c>
      <c r="F134" s="33">
        <v>1235.0999999999999</v>
      </c>
      <c r="G134" s="32">
        <v>1365.41</v>
      </c>
      <c r="H134" s="32">
        <v>2.42</v>
      </c>
      <c r="I134" s="34">
        <v>3</v>
      </c>
      <c r="J134" s="33">
        <v>0</v>
      </c>
      <c r="K134" s="34">
        <v>1238</v>
      </c>
      <c r="L134" s="32">
        <v>325.18</v>
      </c>
      <c r="M134" s="32">
        <v>60.17</v>
      </c>
      <c r="N134" s="32">
        <v>65.73</v>
      </c>
      <c r="O134" s="32">
        <v>29.77</v>
      </c>
      <c r="P134" s="32">
        <v>3.49</v>
      </c>
      <c r="Q134" s="34">
        <v>444004</v>
      </c>
      <c r="R134" s="34">
        <v>9838</v>
      </c>
      <c r="S134" s="34">
        <v>453842</v>
      </c>
      <c r="T134" s="34">
        <v>74490</v>
      </c>
      <c r="U134" s="34">
        <v>81374</v>
      </c>
      <c r="V134" s="34">
        <v>787</v>
      </c>
      <c r="W134" s="34">
        <v>40648</v>
      </c>
      <c r="X134" s="34">
        <v>4765</v>
      </c>
      <c r="Y134" s="34">
        <v>655906</v>
      </c>
      <c r="Z134" s="34">
        <v>56397</v>
      </c>
      <c r="AA134" s="34">
        <v>599509</v>
      </c>
      <c r="AB134" s="34">
        <v>339180</v>
      </c>
      <c r="AC134" s="34">
        <v>260329</v>
      </c>
    </row>
    <row r="135" spans="1:29" x14ac:dyDescent="0.25">
      <c r="A135" s="31" t="s">
        <v>120</v>
      </c>
      <c r="B135" s="31" t="s">
        <v>736</v>
      </c>
      <c r="C135" s="31" t="s">
        <v>141</v>
      </c>
      <c r="D135" s="31" t="s">
        <v>541</v>
      </c>
      <c r="E135" s="32">
        <v>80.62</v>
      </c>
      <c r="F135" s="33">
        <v>843.3</v>
      </c>
      <c r="G135" s="32">
        <v>923.92</v>
      </c>
      <c r="H135" s="32">
        <v>1.64</v>
      </c>
      <c r="I135" s="34">
        <v>0</v>
      </c>
      <c r="J135" s="33">
        <v>0</v>
      </c>
      <c r="K135" s="34">
        <v>843</v>
      </c>
      <c r="L135" s="32">
        <v>325.18</v>
      </c>
      <c r="M135" s="32">
        <v>60.17</v>
      </c>
      <c r="N135" s="32">
        <v>65.73</v>
      </c>
      <c r="O135" s="32">
        <v>29.77</v>
      </c>
      <c r="P135" s="32">
        <v>3.49</v>
      </c>
      <c r="Q135" s="34">
        <v>300440</v>
      </c>
      <c r="R135" s="34">
        <v>0</v>
      </c>
      <c r="S135" s="34">
        <v>300440</v>
      </c>
      <c r="T135" s="34">
        <v>50723</v>
      </c>
      <c r="U135" s="34">
        <v>55410</v>
      </c>
      <c r="V135" s="34">
        <v>533</v>
      </c>
      <c r="W135" s="34">
        <v>27505</v>
      </c>
      <c r="X135" s="34">
        <v>3224</v>
      </c>
      <c r="Y135" s="34">
        <v>437835</v>
      </c>
      <c r="Z135" s="34">
        <v>43792</v>
      </c>
      <c r="AA135" s="34">
        <v>394043</v>
      </c>
      <c r="AB135" s="34">
        <v>223880</v>
      </c>
      <c r="AC135" s="34">
        <v>170163</v>
      </c>
    </row>
    <row r="136" spans="1:29" x14ac:dyDescent="0.25">
      <c r="A136" s="31" t="s">
        <v>142</v>
      </c>
      <c r="B136" s="31" t="s">
        <v>737</v>
      </c>
      <c r="C136" s="31" t="s">
        <v>143</v>
      </c>
      <c r="D136" s="31" t="s">
        <v>542</v>
      </c>
      <c r="E136" s="32">
        <v>31.87</v>
      </c>
      <c r="F136" s="33">
        <v>518.79999999999995</v>
      </c>
      <c r="G136" s="32">
        <v>550.66999999999996</v>
      </c>
      <c r="H136" s="32">
        <v>0.66</v>
      </c>
      <c r="I136" s="34">
        <v>23</v>
      </c>
      <c r="J136" s="33">
        <v>0</v>
      </c>
      <c r="K136" s="34">
        <v>542</v>
      </c>
      <c r="L136" s="32">
        <v>323.26</v>
      </c>
      <c r="M136" s="32">
        <v>60.35</v>
      </c>
      <c r="N136" s="32">
        <v>66.33</v>
      </c>
      <c r="O136" s="32">
        <v>30.52</v>
      </c>
      <c r="P136" s="32">
        <v>3.55</v>
      </c>
      <c r="Q136" s="34">
        <v>178010</v>
      </c>
      <c r="R136" s="34">
        <v>0</v>
      </c>
      <c r="S136" s="34">
        <v>178010</v>
      </c>
      <c r="T136" s="34">
        <v>32710</v>
      </c>
      <c r="U136" s="34">
        <v>35951</v>
      </c>
      <c r="V136" s="34">
        <v>213</v>
      </c>
      <c r="W136" s="34">
        <v>16806</v>
      </c>
      <c r="X136" s="34">
        <v>1955</v>
      </c>
      <c r="Y136" s="34">
        <v>265645</v>
      </c>
      <c r="Z136" s="34">
        <v>30215</v>
      </c>
      <c r="AA136" s="34">
        <v>235430</v>
      </c>
      <c r="AB136" s="34">
        <v>129686</v>
      </c>
      <c r="AC136" s="34">
        <v>105744</v>
      </c>
    </row>
    <row r="137" spans="1:29" x14ac:dyDescent="0.25">
      <c r="A137" s="31" t="s">
        <v>142</v>
      </c>
      <c r="B137" s="31" t="s">
        <v>737</v>
      </c>
      <c r="C137" s="31" t="s">
        <v>144</v>
      </c>
      <c r="D137" s="31" t="s">
        <v>543</v>
      </c>
      <c r="E137" s="32">
        <v>142.08000000000001</v>
      </c>
      <c r="F137" s="33">
        <v>1268.4000000000001</v>
      </c>
      <c r="G137" s="32">
        <v>1410.48</v>
      </c>
      <c r="H137" s="32">
        <v>1.69</v>
      </c>
      <c r="I137" s="34">
        <v>47</v>
      </c>
      <c r="J137" s="33">
        <v>0</v>
      </c>
      <c r="K137" s="34">
        <v>1315</v>
      </c>
      <c r="L137" s="32">
        <v>323.26</v>
      </c>
      <c r="M137" s="32">
        <v>60.35</v>
      </c>
      <c r="N137" s="32">
        <v>66.33</v>
      </c>
      <c r="O137" s="32">
        <v>30.52</v>
      </c>
      <c r="P137" s="32">
        <v>3.55</v>
      </c>
      <c r="Q137" s="34">
        <v>455952</v>
      </c>
      <c r="R137" s="34">
        <v>0</v>
      </c>
      <c r="S137" s="34">
        <v>455952</v>
      </c>
      <c r="T137" s="34">
        <v>79360</v>
      </c>
      <c r="U137" s="34">
        <v>87224</v>
      </c>
      <c r="V137" s="34">
        <v>546</v>
      </c>
      <c r="W137" s="34">
        <v>43048</v>
      </c>
      <c r="X137" s="34">
        <v>5007</v>
      </c>
      <c r="Y137" s="34">
        <v>671137</v>
      </c>
      <c r="Z137" s="34">
        <v>65230</v>
      </c>
      <c r="AA137" s="34">
        <v>605907</v>
      </c>
      <c r="AB137" s="34">
        <v>344341</v>
      </c>
      <c r="AC137" s="34">
        <v>261566</v>
      </c>
    </row>
    <row r="138" spans="1:29" x14ac:dyDescent="0.25">
      <c r="A138" s="31" t="s">
        <v>142</v>
      </c>
      <c r="B138" s="31" t="s">
        <v>737</v>
      </c>
      <c r="C138" s="31" t="s">
        <v>145</v>
      </c>
      <c r="D138" s="31" t="s">
        <v>544</v>
      </c>
      <c r="E138" s="32">
        <v>36.85</v>
      </c>
      <c r="F138" s="33">
        <v>471.3</v>
      </c>
      <c r="G138" s="32">
        <v>508.15</v>
      </c>
      <c r="H138" s="32">
        <v>0.61</v>
      </c>
      <c r="I138" s="34">
        <v>4</v>
      </c>
      <c r="J138" s="33">
        <v>0</v>
      </c>
      <c r="K138" s="34">
        <v>475</v>
      </c>
      <c r="L138" s="32">
        <v>323.26</v>
      </c>
      <c r="M138" s="32">
        <v>60.35</v>
      </c>
      <c r="N138" s="32">
        <v>66.33</v>
      </c>
      <c r="O138" s="32">
        <v>30.52</v>
      </c>
      <c r="P138" s="32">
        <v>3.55</v>
      </c>
      <c r="Q138" s="34">
        <v>164265</v>
      </c>
      <c r="R138" s="34">
        <v>10063</v>
      </c>
      <c r="S138" s="34">
        <v>174328</v>
      </c>
      <c r="T138" s="34">
        <v>28666</v>
      </c>
      <c r="U138" s="34">
        <v>31507</v>
      </c>
      <c r="V138" s="34">
        <v>197</v>
      </c>
      <c r="W138" s="34">
        <v>15509</v>
      </c>
      <c r="X138" s="34">
        <v>1804</v>
      </c>
      <c r="Y138" s="34">
        <v>252011</v>
      </c>
      <c r="Z138" s="34">
        <v>35942</v>
      </c>
      <c r="AA138" s="34">
        <v>216069</v>
      </c>
      <c r="AB138" s="34">
        <v>111614</v>
      </c>
      <c r="AC138" s="34">
        <v>104455</v>
      </c>
    </row>
    <row r="139" spans="1:29" x14ac:dyDescent="0.25">
      <c r="A139" s="31" t="s">
        <v>142</v>
      </c>
      <c r="B139" s="31" t="s">
        <v>737</v>
      </c>
      <c r="C139" s="31" t="s">
        <v>146</v>
      </c>
      <c r="D139" s="31" t="s">
        <v>545</v>
      </c>
      <c r="E139" s="32">
        <v>148.94999999999999</v>
      </c>
      <c r="F139" s="33">
        <v>1510.7</v>
      </c>
      <c r="G139" s="32">
        <v>1659.65</v>
      </c>
      <c r="H139" s="32">
        <v>1.98</v>
      </c>
      <c r="I139" s="34">
        <v>122</v>
      </c>
      <c r="J139" s="33">
        <v>0</v>
      </c>
      <c r="K139" s="34">
        <v>1633</v>
      </c>
      <c r="L139" s="32">
        <v>323.26</v>
      </c>
      <c r="M139" s="32">
        <v>60.35</v>
      </c>
      <c r="N139" s="32">
        <v>66.33</v>
      </c>
      <c r="O139" s="32">
        <v>30.52</v>
      </c>
      <c r="P139" s="32">
        <v>3.55</v>
      </c>
      <c r="Q139" s="34">
        <v>536498</v>
      </c>
      <c r="R139" s="34">
        <v>0</v>
      </c>
      <c r="S139" s="34">
        <v>536498</v>
      </c>
      <c r="T139" s="34">
        <v>98552</v>
      </c>
      <c r="U139" s="34">
        <v>108317</v>
      </c>
      <c r="V139" s="34">
        <v>640</v>
      </c>
      <c r="W139" s="34">
        <v>50653</v>
      </c>
      <c r="X139" s="34">
        <v>5892</v>
      </c>
      <c r="Y139" s="34">
        <v>800552</v>
      </c>
      <c r="Z139" s="34">
        <v>85478</v>
      </c>
      <c r="AA139" s="34">
        <v>715074</v>
      </c>
      <c r="AB139" s="34">
        <v>396444</v>
      </c>
      <c r="AC139" s="34">
        <v>318630</v>
      </c>
    </row>
    <row r="140" spans="1:29" x14ac:dyDescent="0.25">
      <c r="A140" s="31" t="s">
        <v>142</v>
      </c>
      <c r="B140" s="31" t="s">
        <v>737</v>
      </c>
      <c r="C140" s="31" t="s">
        <v>147</v>
      </c>
      <c r="D140" s="31" t="s">
        <v>546</v>
      </c>
      <c r="E140" s="32">
        <v>2428.79</v>
      </c>
      <c r="F140" s="33">
        <v>16086.2</v>
      </c>
      <c r="G140" s="32">
        <v>18514.990000000002</v>
      </c>
      <c r="H140" s="32">
        <v>22.12</v>
      </c>
      <c r="I140" s="34">
        <v>1877</v>
      </c>
      <c r="J140" s="33">
        <v>7.9</v>
      </c>
      <c r="K140" s="34">
        <v>17955</v>
      </c>
      <c r="L140" s="32">
        <v>323.26</v>
      </c>
      <c r="M140" s="32">
        <v>60.35</v>
      </c>
      <c r="N140" s="32">
        <v>66.33</v>
      </c>
      <c r="O140" s="32">
        <v>30.52</v>
      </c>
      <c r="P140" s="32">
        <v>3.55</v>
      </c>
      <c r="Q140" s="34">
        <v>5985156</v>
      </c>
      <c r="R140" s="34">
        <v>0</v>
      </c>
      <c r="S140" s="34">
        <v>5985156</v>
      </c>
      <c r="T140" s="34">
        <v>1083584</v>
      </c>
      <c r="U140" s="34">
        <v>1190955</v>
      </c>
      <c r="V140" s="34">
        <v>7151</v>
      </c>
      <c r="W140" s="34">
        <v>565077</v>
      </c>
      <c r="X140" s="34">
        <v>65728</v>
      </c>
      <c r="Y140" s="34">
        <v>8897651</v>
      </c>
      <c r="Z140" s="34">
        <v>912045</v>
      </c>
      <c r="AA140" s="34">
        <v>7985606</v>
      </c>
      <c r="AB140" s="34">
        <v>4464260</v>
      </c>
      <c r="AC140" s="34">
        <v>3521346</v>
      </c>
    </row>
    <row r="141" spans="1:29" x14ac:dyDescent="0.25">
      <c r="A141" s="31" t="s">
        <v>142</v>
      </c>
      <c r="B141" s="31" t="s">
        <v>737</v>
      </c>
      <c r="C141" s="31" t="s">
        <v>148</v>
      </c>
      <c r="D141" s="31" t="s">
        <v>547</v>
      </c>
      <c r="E141" s="32">
        <v>118.64</v>
      </c>
      <c r="F141" s="33">
        <v>1254.9000000000001</v>
      </c>
      <c r="G141" s="32">
        <v>1373.54</v>
      </c>
      <c r="H141" s="32">
        <v>1.64</v>
      </c>
      <c r="I141" s="34">
        <v>7</v>
      </c>
      <c r="J141" s="33">
        <v>0</v>
      </c>
      <c r="K141" s="34">
        <v>1262</v>
      </c>
      <c r="L141" s="32">
        <v>323.26</v>
      </c>
      <c r="M141" s="32">
        <v>60.35</v>
      </c>
      <c r="N141" s="32">
        <v>66.33</v>
      </c>
      <c r="O141" s="32">
        <v>30.52</v>
      </c>
      <c r="P141" s="32">
        <v>3.55</v>
      </c>
      <c r="Q141" s="34">
        <v>444011</v>
      </c>
      <c r="R141" s="34">
        <v>17782</v>
      </c>
      <c r="S141" s="34">
        <v>461793</v>
      </c>
      <c r="T141" s="34">
        <v>76162</v>
      </c>
      <c r="U141" s="34">
        <v>83708</v>
      </c>
      <c r="V141" s="34">
        <v>530</v>
      </c>
      <c r="W141" s="34">
        <v>42175</v>
      </c>
      <c r="X141" s="34">
        <v>4912</v>
      </c>
      <c r="Y141" s="34">
        <v>669280</v>
      </c>
      <c r="Z141" s="34">
        <v>51506</v>
      </c>
      <c r="AA141" s="34">
        <v>617774</v>
      </c>
      <c r="AB141" s="34">
        <v>347627</v>
      </c>
      <c r="AC141" s="34">
        <v>270147</v>
      </c>
    </row>
    <row r="142" spans="1:29" x14ac:dyDescent="0.25">
      <c r="A142" s="31" t="s">
        <v>142</v>
      </c>
      <c r="B142" s="31" t="s">
        <v>737</v>
      </c>
      <c r="C142" s="31" t="s">
        <v>149</v>
      </c>
      <c r="D142" s="31" t="s">
        <v>548</v>
      </c>
      <c r="E142" s="32">
        <v>39.909999999999997</v>
      </c>
      <c r="F142" s="33">
        <v>464.6</v>
      </c>
      <c r="G142" s="32">
        <v>504.51</v>
      </c>
      <c r="H142" s="32">
        <v>0.6</v>
      </c>
      <c r="I142" s="34">
        <v>3</v>
      </c>
      <c r="J142" s="33">
        <v>0</v>
      </c>
      <c r="K142" s="34">
        <v>468</v>
      </c>
      <c r="L142" s="32">
        <v>323.26</v>
      </c>
      <c r="M142" s="32">
        <v>60.35</v>
      </c>
      <c r="N142" s="32">
        <v>66.33</v>
      </c>
      <c r="O142" s="32">
        <v>30.52</v>
      </c>
      <c r="P142" s="32">
        <v>3.55</v>
      </c>
      <c r="Q142" s="34">
        <v>163088</v>
      </c>
      <c r="R142" s="34">
        <v>1820</v>
      </c>
      <c r="S142" s="34">
        <v>164908</v>
      </c>
      <c r="T142" s="34">
        <v>28244</v>
      </c>
      <c r="U142" s="34">
        <v>31042</v>
      </c>
      <c r="V142" s="34">
        <v>194</v>
      </c>
      <c r="W142" s="34">
        <v>15536</v>
      </c>
      <c r="X142" s="34">
        <v>1809</v>
      </c>
      <c r="Y142" s="34">
        <v>241733</v>
      </c>
      <c r="Z142" s="34">
        <v>25584</v>
      </c>
      <c r="AA142" s="34">
        <v>216149</v>
      </c>
      <c r="AB142" s="34">
        <v>121069</v>
      </c>
      <c r="AC142" s="34">
        <v>95080</v>
      </c>
    </row>
    <row r="143" spans="1:29" x14ac:dyDescent="0.25">
      <c r="A143" s="31" t="s">
        <v>142</v>
      </c>
      <c r="B143" s="31" t="s">
        <v>737</v>
      </c>
      <c r="C143" s="31" t="s">
        <v>150</v>
      </c>
      <c r="D143" s="31" t="s">
        <v>549</v>
      </c>
      <c r="E143" s="32">
        <v>332.44</v>
      </c>
      <c r="F143" s="33">
        <v>2797.8</v>
      </c>
      <c r="G143" s="32">
        <v>3130.24</v>
      </c>
      <c r="H143" s="32">
        <v>3.74</v>
      </c>
      <c r="I143" s="34">
        <v>19</v>
      </c>
      <c r="J143" s="33">
        <v>0</v>
      </c>
      <c r="K143" s="34">
        <v>2817</v>
      </c>
      <c r="L143" s="32">
        <v>323.26</v>
      </c>
      <c r="M143" s="32">
        <v>60.35</v>
      </c>
      <c r="N143" s="32">
        <v>66.33</v>
      </c>
      <c r="O143" s="32">
        <v>30.52</v>
      </c>
      <c r="P143" s="32">
        <v>3.55</v>
      </c>
      <c r="Q143" s="34">
        <v>1011881</v>
      </c>
      <c r="R143" s="34">
        <v>0</v>
      </c>
      <c r="S143" s="34">
        <v>1011881</v>
      </c>
      <c r="T143" s="34">
        <v>170006</v>
      </c>
      <c r="U143" s="34">
        <v>186852</v>
      </c>
      <c r="V143" s="34">
        <v>1209</v>
      </c>
      <c r="W143" s="34">
        <v>95535</v>
      </c>
      <c r="X143" s="34">
        <v>11112</v>
      </c>
      <c r="Y143" s="34">
        <v>1476595</v>
      </c>
      <c r="Z143" s="34">
        <v>65643</v>
      </c>
      <c r="AA143" s="34">
        <v>1410952</v>
      </c>
      <c r="AB143" s="34">
        <v>843303</v>
      </c>
      <c r="AC143" s="34">
        <v>567649</v>
      </c>
    </row>
    <row r="144" spans="1:29" x14ac:dyDescent="0.25">
      <c r="A144" s="31" t="s">
        <v>142</v>
      </c>
      <c r="B144" s="31" t="s">
        <v>737</v>
      </c>
      <c r="C144" s="31" t="s">
        <v>151</v>
      </c>
      <c r="D144" s="31" t="s">
        <v>550</v>
      </c>
      <c r="E144" s="32">
        <v>637.80999999999995</v>
      </c>
      <c r="F144" s="33">
        <v>5130.8999999999996</v>
      </c>
      <c r="G144" s="32">
        <v>5768.71</v>
      </c>
      <c r="H144" s="32">
        <v>6.89</v>
      </c>
      <c r="I144" s="34">
        <v>131</v>
      </c>
      <c r="J144" s="33">
        <v>0</v>
      </c>
      <c r="K144" s="34">
        <v>5262</v>
      </c>
      <c r="L144" s="32">
        <v>323.26</v>
      </c>
      <c r="M144" s="32">
        <v>60.35</v>
      </c>
      <c r="N144" s="32">
        <v>66.33</v>
      </c>
      <c r="O144" s="32">
        <v>30.52</v>
      </c>
      <c r="P144" s="32">
        <v>3.55</v>
      </c>
      <c r="Q144" s="34">
        <v>1864793</v>
      </c>
      <c r="R144" s="34">
        <v>0</v>
      </c>
      <c r="S144" s="34">
        <v>1864793</v>
      </c>
      <c r="T144" s="34">
        <v>317562</v>
      </c>
      <c r="U144" s="34">
        <v>349028</v>
      </c>
      <c r="V144" s="34">
        <v>2227</v>
      </c>
      <c r="W144" s="34">
        <v>176061</v>
      </c>
      <c r="X144" s="34">
        <v>20479</v>
      </c>
      <c r="Y144" s="34">
        <v>2730150</v>
      </c>
      <c r="Z144" s="34">
        <v>162545</v>
      </c>
      <c r="AA144" s="34">
        <v>2567605</v>
      </c>
      <c r="AB144" s="34">
        <v>1512549</v>
      </c>
      <c r="AC144" s="34">
        <v>1055056</v>
      </c>
    </row>
    <row r="145" spans="1:29" x14ac:dyDescent="0.25">
      <c r="A145" s="31" t="s">
        <v>142</v>
      </c>
      <c r="B145" s="31" t="s">
        <v>737</v>
      </c>
      <c r="C145" s="31" t="s">
        <v>152</v>
      </c>
      <c r="D145" s="31" t="s">
        <v>551</v>
      </c>
      <c r="E145" s="32">
        <v>57.28</v>
      </c>
      <c r="F145" s="33">
        <v>481.4</v>
      </c>
      <c r="G145" s="32">
        <v>538.67999999999995</v>
      </c>
      <c r="H145" s="32">
        <v>0.64</v>
      </c>
      <c r="I145" s="34">
        <v>6</v>
      </c>
      <c r="J145" s="33">
        <v>0</v>
      </c>
      <c r="K145" s="34">
        <v>487</v>
      </c>
      <c r="L145" s="32">
        <v>323.26</v>
      </c>
      <c r="M145" s="32">
        <v>60.35</v>
      </c>
      <c r="N145" s="32">
        <v>66.33</v>
      </c>
      <c r="O145" s="32">
        <v>30.52</v>
      </c>
      <c r="P145" s="32">
        <v>3.55</v>
      </c>
      <c r="Q145" s="34">
        <v>174134</v>
      </c>
      <c r="R145" s="34">
        <v>1052</v>
      </c>
      <c r="S145" s="34">
        <v>175186</v>
      </c>
      <c r="T145" s="34">
        <v>29390</v>
      </c>
      <c r="U145" s="34">
        <v>32303</v>
      </c>
      <c r="V145" s="34">
        <v>207</v>
      </c>
      <c r="W145" s="34">
        <v>16441</v>
      </c>
      <c r="X145" s="34">
        <v>1912</v>
      </c>
      <c r="Y145" s="34">
        <v>255439</v>
      </c>
      <c r="Z145" s="34">
        <v>33362</v>
      </c>
      <c r="AA145" s="34">
        <v>222077</v>
      </c>
      <c r="AB145" s="34">
        <v>123057</v>
      </c>
      <c r="AC145" s="34">
        <v>99020</v>
      </c>
    </row>
    <row r="146" spans="1:29" x14ac:dyDescent="0.25">
      <c r="A146" s="31" t="s">
        <v>142</v>
      </c>
      <c r="B146" s="31" t="s">
        <v>737</v>
      </c>
      <c r="C146" s="31" t="s">
        <v>154</v>
      </c>
      <c r="D146" s="31" t="s">
        <v>155</v>
      </c>
      <c r="E146" s="32">
        <v>41.3</v>
      </c>
      <c r="F146" s="33">
        <v>326.39999999999998</v>
      </c>
      <c r="G146" s="32">
        <v>367.7</v>
      </c>
      <c r="H146" s="32">
        <v>0.44</v>
      </c>
      <c r="I146" s="34">
        <v>8</v>
      </c>
      <c r="J146" s="33">
        <v>0</v>
      </c>
      <c r="K146" s="34">
        <v>334</v>
      </c>
      <c r="L146" s="32">
        <v>323.26</v>
      </c>
      <c r="M146" s="32">
        <v>60.35</v>
      </c>
      <c r="N146" s="32">
        <v>66.33</v>
      </c>
      <c r="O146" s="32">
        <v>30.52</v>
      </c>
      <c r="P146" s="32">
        <v>3.55</v>
      </c>
      <c r="Q146" s="34">
        <v>118863</v>
      </c>
      <c r="R146" s="34">
        <v>1833</v>
      </c>
      <c r="S146" s="34">
        <v>120696</v>
      </c>
      <c r="T146" s="34">
        <v>20157</v>
      </c>
      <c r="U146" s="34">
        <v>22154</v>
      </c>
      <c r="V146" s="34">
        <v>142</v>
      </c>
      <c r="W146" s="34">
        <v>11222</v>
      </c>
      <c r="X146" s="34">
        <v>1305</v>
      </c>
      <c r="Y146" s="34">
        <v>175676</v>
      </c>
      <c r="Z146" s="34">
        <v>21105</v>
      </c>
      <c r="AA146" s="34">
        <v>154571</v>
      </c>
      <c r="AB146" s="34">
        <v>85666</v>
      </c>
      <c r="AC146" s="34">
        <v>68905</v>
      </c>
    </row>
    <row r="147" spans="1:29" x14ac:dyDescent="0.25">
      <c r="A147" s="31" t="s">
        <v>142</v>
      </c>
      <c r="B147" s="31" t="s">
        <v>737</v>
      </c>
      <c r="C147" s="31" t="s">
        <v>153</v>
      </c>
      <c r="D147" s="31" t="s">
        <v>552</v>
      </c>
      <c r="E147" s="32">
        <v>64.28</v>
      </c>
      <c r="F147" s="33">
        <v>588.1</v>
      </c>
      <c r="G147" s="32">
        <v>652.38</v>
      </c>
      <c r="H147" s="32">
        <v>0.78</v>
      </c>
      <c r="I147" s="34">
        <v>10</v>
      </c>
      <c r="J147" s="33">
        <v>0</v>
      </c>
      <c r="K147" s="34">
        <v>598</v>
      </c>
      <c r="L147" s="32">
        <v>323.26</v>
      </c>
      <c r="M147" s="32">
        <v>60.35</v>
      </c>
      <c r="N147" s="32">
        <v>66.33</v>
      </c>
      <c r="O147" s="32">
        <v>30.52</v>
      </c>
      <c r="P147" s="32">
        <v>3.55</v>
      </c>
      <c r="Q147" s="34">
        <v>210888</v>
      </c>
      <c r="R147" s="34">
        <v>2940</v>
      </c>
      <c r="S147" s="34">
        <v>213828</v>
      </c>
      <c r="T147" s="34">
        <v>36089</v>
      </c>
      <c r="U147" s="34">
        <v>39665</v>
      </c>
      <c r="V147" s="34">
        <v>252</v>
      </c>
      <c r="W147" s="34">
        <v>20042</v>
      </c>
      <c r="X147" s="34">
        <v>2334</v>
      </c>
      <c r="Y147" s="34">
        <v>312210</v>
      </c>
      <c r="Z147" s="34">
        <v>31103</v>
      </c>
      <c r="AA147" s="34">
        <v>281107</v>
      </c>
      <c r="AB147" s="34">
        <v>158482</v>
      </c>
      <c r="AC147" s="34">
        <v>122625</v>
      </c>
    </row>
    <row r="148" spans="1:29" x14ac:dyDescent="0.25">
      <c r="A148" s="31" t="s">
        <v>142</v>
      </c>
      <c r="B148" s="31" t="s">
        <v>737</v>
      </c>
      <c r="C148" s="31" t="s">
        <v>156</v>
      </c>
      <c r="D148" s="31" t="s">
        <v>553</v>
      </c>
      <c r="E148" s="32">
        <v>1512.75</v>
      </c>
      <c r="F148" s="33">
        <v>14395</v>
      </c>
      <c r="G148" s="32">
        <v>15907.75</v>
      </c>
      <c r="H148" s="32">
        <v>19</v>
      </c>
      <c r="I148" s="34">
        <v>1157</v>
      </c>
      <c r="J148" s="33">
        <v>0.8</v>
      </c>
      <c r="K148" s="34">
        <v>15551</v>
      </c>
      <c r="L148" s="32">
        <v>323.26</v>
      </c>
      <c r="M148" s="32">
        <v>60.35</v>
      </c>
      <c r="N148" s="32">
        <v>66.33</v>
      </c>
      <c r="O148" s="32">
        <v>30.52</v>
      </c>
      <c r="P148" s="32">
        <v>3.55</v>
      </c>
      <c r="Q148" s="34">
        <v>5142339</v>
      </c>
      <c r="R148" s="34">
        <v>0</v>
      </c>
      <c r="S148" s="34">
        <v>5142339</v>
      </c>
      <c r="T148" s="34">
        <v>938503</v>
      </c>
      <c r="U148" s="34">
        <v>1031498</v>
      </c>
      <c r="V148" s="34">
        <v>6142</v>
      </c>
      <c r="W148" s="34">
        <v>485505</v>
      </c>
      <c r="X148" s="34">
        <v>56473</v>
      </c>
      <c r="Y148" s="34">
        <v>7660460</v>
      </c>
      <c r="Z148" s="34">
        <v>541573</v>
      </c>
      <c r="AA148" s="34">
        <v>7118887</v>
      </c>
      <c r="AB148" s="34">
        <v>4077653</v>
      </c>
      <c r="AC148" s="34">
        <v>3041234</v>
      </c>
    </row>
    <row r="149" spans="1:29" x14ac:dyDescent="0.25">
      <c r="A149" s="31" t="s">
        <v>142</v>
      </c>
      <c r="B149" s="31" t="s">
        <v>737</v>
      </c>
      <c r="C149" s="31" t="s">
        <v>157</v>
      </c>
      <c r="D149" s="31" t="s">
        <v>554</v>
      </c>
      <c r="E149" s="32">
        <v>62.52</v>
      </c>
      <c r="F149" s="33">
        <v>496</v>
      </c>
      <c r="G149" s="32">
        <v>558.52</v>
      </c>
      <c r="H149" s="32">
        <v>0.67</v>
      </c>
      <c r="I149" s="34">
        <v>1</v>
      </c>
      <c r="J149" s="33">
        <v>0</v>
      </c>
      <c r="K149" s="34">
        <v>497</v>
      </c>
      <c r="L149" s="32">
        <v>323.26</v>
      </c>
      <c r="M149" s="32">
        <v>60.35</v>
      </c>
      <c r="N149" s="32">
        <v>66.33</v>
      </c>
      <c r="O149" s="32">
        <v>30.52</v>
      </c>
      <c r="P149" s="32">
        <v>3.55</v>
      </c>
      <c r="Q149" s="34">
        <v>180547</v>
      </c>
      <c r="R149" s="34">
        <v>7061</v>
      </c>
      <c r="S149" s="34">
        <v>187608</v>
      </c>
      <c r="T149" s="34">
        <v>29994</v>
      </c>
      <c r="U149" s="34">
        <v>32966</v>
      </c>
      <c r="V149" s="34">
        <v>217</v>
      </c>
      <c r="W149" s="34">
        <v>17046</v>
      </c>
      <c r="X149" s="34">
        <v>1983</v>
      </c>
      <c r="Y149" s="34">
        <v>269814</v>
      </c>
      <c r="Z149" s="34">
        <v>32906</v>
      </c>
      <c r="AA149" s="34">
        <v>236908</v>
      </c>
      <c r="AB149" s="34">
        <v>129276</v>
      </c>
      <c r="AC149" s="34">
        <v>107632</v>
      </c>
    </row>
    <row r="150" spans="1:29" x14ac:dyDescent="0.25">
      <c r="A150" s="31" t="s">
        <v>142</v>
      </c>
      <c r="B150" s="31" t="s">
        <v>737</v>
      </c>
      <c r="C150" s="31" t="s">
        <v>158</v>
      </c>
      <c r="D150" s="31" t="s">
        <v>555</v>
      </c>
      <c r="E150" s="32">
        <v>799.76</v>
      </c>
      <c r="F150" s="33">
        <v>7579.3</v>
      </c>
      <c r="G150" s="32">
        <v>8379.06</v>
      </c>
      <c r="H150" s="32">
        <v>10.01</v>
      </c>
      <c r="I150" s="34">
        <v>434</v>
      </c>
      <c r="J150" s="33">
        <v>0</v>
      </c>
      <c r="K150" s="34">
        <v>8013</v>
      </c>
      <c r="L150" s="32">
        <v>323.26</v>
      </c>
      <c r="M150" s="32">
        <v>60.35</v>
      </c>
      <c r="N150" s="32">
        <v>66.33</v>
      </c>
      <c r="O150" s="32">
        <v>30.52</v>
      </c>
      <c r="P150" s="32">
        <v>3.55</v>
      </c>
      <c r="Q150" s="34">
        <v>2708615</v>
      </c>
      <c r="R150" s="34">
        <v>0</v>
      </c>
      <c r="S150" s="34">
        <v>2708615</v>
      </c>
      <c r="T150" s="34">
        <v>483585</v>
      </c>
      <c r="U150" s="34">
        <v>531502</v>
      </c>
      <c r="V150" s="34">
        <v>3236</v>
      </c>
      <c r="W150" s="34">
        <v>255729</v>
      </c>
      <c r="X150" s="34">
        <v>29746</v>
      </c>
      <c r="Y150" s="34">
        <v>4012413</v>
      </c>
      <c r="Z150" s="34">
        <v>255558</v>
      </c>
      <c r="AA150" s="34">
        <v>3756855</v>
      </c>
      <c r="AB150" s="34">
        <v>2177519</v>
      </c>
      <c r="AC150" s="34">
        <v>1579336</v>
      </c>
    </row>
    <row r="151" spans="1:29" x14ac:dyDescent="0.25">
      <c r="A151" s="31" t="s">
        <v>142</v>
      </c>
      <c r="B151" s="31" t="s">
        <v>737</v>
      </c>
      <c r="C151" s="31" t="s">
        <v>159</v>
      </c>
      <c r="D151" s="31" t="s">
        <v>556</v>
      </c>
      <c r="E151" s="32">
        <v>53.77</v>
      </c>
      <c r="F151" s="33">
        <v>658.7</v>
      </c>
      <c r="G151" s="32">
        <v>712.47</v>
      </c>
      <c r="H151" s="32">
        <v>0.85</v>
      </c>
      <c r="I151" s="34">
        <v>5</v>
      </c>
      <c r="J151" s="33">
        <v>0</v>
      </c>
      <c r="K151" s="34">
        <v>664</v>
      </c>
      <c r="L151" s="32">
        <v>323.26</v>
      </c>
      <c r="M151" s="32">
        <v>60.35</v>
      </c>
      <c r="N151" s="32">
        <v>66.33</v>
      </c>
      <c r="O151" s="32">
        <v>30.52</v>
      </c>
      <c r="P151" s="32">
        <v>3.55</v>
      </c>
      <c r="Q151" s="34">
        <v>230313</v>
      </c>
      <c r="R151" s="34">
        <v>0</v>
      </c>
      <c r="S151" s="34">
        <v>230313</v>
      </c>
      <c r="T151" s="34">
        <v>40072</v>
      </c>
      <c r="U151" s="34">
        <v>44043</v>
      </c>
      <c r="V151" s="34">
        <v>275</v>
      </c>
      <c r="W151" s="34">
        <v>21745</v>
      </c>
      <c r="X151" s="34">
        <v>2529</v>
      </c>
      <c r="Y151" s="34">
        <v>338977</v>
      </c>
      <c r="Z151" s="34">
        <v>30079</v>
      </c>
      <c r="AA151" s="34">
        <v>308898</v>
      </c>
      <c r="AB151" s="34">
        <v>176805</v>
      </c>
      <c r="AC151" s="34">
        <v>132093</v>
      </c>
    </row>
    <row r="152" spans="1:29" x14ac:dyDescent="0.25">
      <c r="A152" s="31" t="s">
        <v>142</v>
      </c>
      <c r="B152" s="31" t="s">
        <v>737</v>
      </c>
      <c r="C152" s="31" t="s">
        <v>160</v>
      </c>
      <c r="D152" s="31" t="s">
        <v>557</v>
      </c>
      <c r="E152" s="32">
        <v>33.29</v>
      </c>
      <c r="F152" s="33">
        <v>335.4</v>
      </c>
      <c r="G152" s="32">
        <v>368.69</v>
      </c>
      <c r="H152" s="32">
        <v>0.44</v>
      </c>
      <c r="I152" s="34">
        <v>3</v>
      </c>
      <c r="J152" s="33">
        <v>0</v>
      </c>
      <c r="K152" s="34">
        <v>338</v>
      </c>
      <c r="L152" s="32">
        <v>323.26</v>
      </c>
      <c r="M152" s="32">
        <v>60.35</v>
      </c>
      <c r="N152" s="32">
        <v>66.33</v>
      </c>
      <c r="O152" s="32">
        <v>30.52</v>
      </c>
      <c r="P152" s="32">
        <v>3.55</v>
      </c>
      <c r="Q152" s="34">
        <v>119183</v>
      </c>
      <c r="R152" s="34">
        <v>9415</v>
      </c>
      <c r="S152" s="34">
        <v>128598</v>
      </c>
      <c r="T152" s="34">
        <v>20398</v>
      </c>
      <c r="U152" s="34">
        <v>22420</v>
      </c>
      <c r="V152" s="34">
        <v>142</v>
      </c>
      <c r="W152" s="34">
        <v>11891</v>
      </c>
      <c r="X152" s="34">
        <v>1385</v>
      </c>
      <c r="Y152" s="34">
        <v>184834</v>
      </c>
      <c r="Z152" s="34">
        <v>19944</v>
      </c>
      <c r="AA152" s="34">
        <v>164890</v>
      </c>
      <c r="AB152" s="34">
        <v>87829</v>
      </c>
      <c r="AC152" s="34">
        <v>77061</v>
      </c>
    </row>
    <row r="153" spans="1:29" x14ac:dyDescent="0.25">
      <c r="A153" s="31" t="s">
        <v>142</v>
      </c>
      <c r="B153" s="31" t="s">
        <v>737</v>
      </c>
      <c r="C153" s="31" t="s">
        <v>161</v>
      </c>
      <c r="D153" s="31" t="s">
        <v>558</v>
      </c>
      <c r="E153" s="32">
        <v>263.99</v>
      </c>
      <c r="F153" s="33">
        <v>1867.4</v>
      </c>
      <c r="G153" s="32">
        <v>2131.39</v>
      </c>
      <c r="H153" s="32">
        <v>2.5499999999999998</v>
      </c>
      <c r="I153" s="34">
        <v>85</v>
      </c>
      <c r="J153" s="33">
        <v>0.1</v>
      </c>
      <c r="K153" s="34">
        <v>1952</v>
      </c>
      <c r="L153" s="32">
        <v>323.26</v>
      </c>
      <c r="M153" s="32">
        <v>60.35</v>
      </c>
      <c r="N153" s="32">
        <v>66.33</v>
      </c>
      <c r="O153" s="32">
        <v>30.52</v>
      </c>
      <c r="P153" s="32">
        <v>3.55</v>
      </c>
      <c r="Q153" s="34">
        <v>688993</v>
      </c>
      <c r="R153" s="34">
        <v>0</v>
      </c>
      <c r="S153" s="34">
        <v>688993</v>
      </c>
      <c r="T153" s="34">
        <v>117803</v>
      </c>
      <c r="U153" s="34">
        <v>129476</v>
      </c>
      <c r="V153" s="34">
        <v>824</v>
      </c>
      <c r="W153" s="34">
        <v>65050</v>
      </c>
      <c r="X153" s="34">
        <v>7566</v>
      </c>
      <c r="Y153" s="34">
        <v>1009712</v>
      </c>
      <c r="Z153" s="34">
        <v>87697</v>
      </c>
      <c r="AA153" s="34">
        <v>922015</v>
      </c>
      <c r="AB153" s="34">
        <v>531208</v>
      </c>
      <c r="AC153" s="34">
        <v>390807</v>
      </c>
    </row>
    <row r="154" spans="1:29" x14ac:dyDescent="0.25">
      <c r="A154" s="31" t="s">
        <v>142</v>
      </c>
      <c r="B154" s="31" t="s">
        <v>737</v>
      </c>
      <c r="C154" s="31" t="s">
        <v>162</v>
      </c>
      <c r="D154" s="31" t="s">
        <v>559</v>
      </c>
      <c r="E154" s="32">
        <v>148.56</v>
      </c>
      <c r="F154" s="33">
        <v>1258.5</v>
      </c>
      <c r="G154" s="32">
        <v>1407.06</v>
      </c>
      <c r="H154" s="32">
        <v>1.68</v>
      </c>
      <c r="I154" s="34">
        <v>36</v>
      </c>
      <c r="J154" s="33">
        <v>0.4</v>
      </c>
      <c r="K154" s="34">
        <v>1294</v>
      </c>
      <c r="L154" s="32">
        <v>323.26</v>
      </c>
      <c r="M154" s="32">
        <v>60.35</v>
      </c>
      <c r="N154" s="32">
        <v>66.33</v>
      </c>
      <c r="O154" s="32">
        <v>30.52</v>
      </c>
      <c r="P154" s="32">
        <v>3.55</v>
      </c>
      <c r="Q154" s="34">
        <v>454846</v>
      </c>
      <c r="R154" s="34">
        <v>0</v>
      </c>
      <c r="S154" s="34">
        <v>454846</v>
      </c>
      <c r="T154" s="34">
        <v>78093</v>
      </c>
      <c r="U154" s="34">
        <v>85831</v>
      </c>
      <c r="V154" s="34">
        <v>543</v>
      </c>
      <c r="W154" s="34">
        <v>42943</v>
      </c>
      <c r="X154" s="34">
        <v>4995</v>
      </c>
      <c r="Y154" s="34">
        <v>667251</v>
      </c>
      <c r="Z154" s="34">
        <v>60116</v>
      </c>
      <c r="AA154" s="34">
        <v>607135</v>
      </c>
      <c r="AB154" s="34">
        <v>348459</v>
      </c>
      <c r="AC154" s="34">
        <v>258676</v>
      </c>
    </row>
    <row r="155" spans="1:29" x14ac:dyDescent="0.25">
      <c r="A155" s="31" t="s">
        <v>142</v>
      </c>
      <c r="B155" s="31" t="s">
        <v>737</v>
      </c>
      <c r="C155" s="31" t="s">
        <v>163</v>
      </c>
      <c r="D155" s="31" t="s">
        <v>560</v>
      </c>
      <c r="E155" s="32">
        <v>83.46</v>
      </c>
      <c r="F155" s="33">
        <v>514.5</v>
      </c>
      <c r="G155" s="32">
        <v>597.96</v>
      </c>
      <c r="H155" s="32">
        <v>0.71</v>
      </c>
      <c r="I155" s="34">
        <v>5</v>
      </c>
      <c r="J155" s="33">
        <v>0</v>
      </c>
      <c r="K155" s="34">
        <v>520</v>
      </c>
      <c r="L155" s="32">
        <v>323.26</v>
      </c>
      <c r="M155" s="32">
        <v>60.35</v>
      </c>
      <c r="N155" s="32">
        <v>66.33</v>
      </c>
      <c r="O155" s="32">
        <v>30.52</v>
      </c>
      <c r="P155" s="32">
        <v>3.55</v>
      </c>
      <c r="Q155" s="34">
        <v>193297</v>
      </c>
      <c r="R155" s="34">
        <v>0</v>
      </c>
      <c r="S155" s="34">
        <v>193297</v>
      </c>
      <c r="T155" s="34">
        <v>31382</v>
      </c>
      <c r="U155" s="34">
        <v>34492</v>
      </c>
      <c r="V155" s="34">
        <v>230</v>
      </c>
      <c r="W155" s="34">
        <v>18250</v>
      </c>
      <c r="X155" s="34">
        <v>2123</v>
      </c>
      <c r="Y155" s="34">
        <v>279774</v>
      </c>
      <c r="Z155" s="34">
        <v>37450</v>
      </c>
      <c r="AA155" s="34">
        <v>242324</v>
      </c>
      <c r="AB155" s="34">
        <v>136183</v>
      </c>
      <c r="AC155" s="34">
        <v>106141</v>
      </c>
    </row>
    <row r="156" spans="1:29" x14ac:dyDescent="0.25">
      <c r="A156" s="31" t="s">
        <v>142</v>
      </c>
      <c r="B156" s="31" t="s">
        <v>737</v>
      </c>
      <c r="C156" s="31" t="s">
        <v>164</v>
      </c>
      <c r="D156" s="31" t="s">
        <v>561</v>
      </c>
      <c r="E156" s="32">
        <v>118.18</v>
      </c>
      <c r="F156" s="33">
        <v>957.6</v>
      </c>
      <c r="G156" s="32">
        <v>1075.78</v>
      </c>
      <c r="H156" s="32">
        <v>1.28</v>
      </c>
      <c r="I156" s="34">
        <v>70</v>
      </c>
      <c r="J156" s="33">
        <v>1.5</v>
      </c>
      <c r="K156" s="34">
        <v>1026</v>
      </c>
      <c r="L156" s="32">
        <v>323.26</v>
      </c>
      <c r="M156" s="32">
        <v>60.35</v>
      </c>
      <c r="N156" s="32">
        <v>66.33</v>
      </c>
      <c r="O156" s="32">
        <v>30.52</v>
      </c>
      <c r="P156" s="32">
        <v>3.55</v>
      </c>
      <c r="Q156" s="34">
        <v>347757</v>
      </c>
      <c r="R156" s="34">
        <v>0</v>
      </c>
      <c r="S156" s="34">
        <v>347757</v>
      </c>
      <c r="T156" s="34">
        <v>61919</v>
      </c>
      <c r="U156" s="34">
        <v>68055</v>
      </c>
      <c r="V156" s="34">
        <v>414</v>
      </c>
      <c r="W156" s="34">
        <v>32833</v>
      </c>
      <c r="X156" s="34">
        <v>3819</v>
      </c>
      <c r="Y156" s="34">
        <v>514797</v>
      </c>
      <c r="Z156" s="34">
        <v>51971</v>
      </c>
      <c r="AA156" s="34">
        <v>462826</v>
      </c>
      <c r="AB156" s="34">
        <v>260408</v>
      </c>
      <c r="AC156" s="34">
        <v>202418</v>
      </c>
    </row>
    <row r="157" spans="1:29" x14ac:dyDescent="0.25">
      <c r="A157" s="31" t="s">
        <v>142</v>
      </c>
      <c r="B157" s="31" t="s">
        <v>737</v>
      </c>
      <c r="C157" s="31" t="s">
        <v>165</v>
      </c>
      <c r="D157" s="31" t="s">
        <v>562</v>
      </c>
      <c r="E157" s="32">
        <v>93.6</v>
      </c>
      <c r="F157" s="33">
        <v>1119.5</v>
      </c>
      <c r="G157" s="32">
        <v>1213.0999999999999</v>
      </c>
      <c r="H157" s="32">
        <v>1.45</v>
      </c>
      <c r="I157" s="34">
        <v>24</v>
      </c>
      <c r="J157" s="33">
        <v>0</v>
      </c>
      <c r="K157" s="34">
        <v>1144</v>
      </c>
      <c r="L157" s="32">
        <v>323.26</v>
      </c>
      <c r="M157" s="32">
        <v>60.35</v>
      </c>
      <c r="N157" s="32">
        <v>66.33</v>
      </c>
      <c r="O157" s="32">
        <v>30.52</v>
      </c>
      <c r="P157" s="32">
        <v>3.55</v>
      </c>
      <c r="Q157" s="34">
        <v>392147</v>
      </c>
      <c r="R157" s="34">
        <v>0</v>
      </c>
      <c r="S157" s="34">
        <v>392147</v>
      </c>
      <c r="T157" s="34">
        <v>69040</v>
      </c>
      <c r="U157" s="34">
        <v>75882</v>
      </c>
      <c r="V157" s="34">
        <v>469</v>
      </c>
      <c r="W157" s="34">
        <v>37024</v>
      </c>
      <c r="X157" s="34">
        <v>4307</v>
      </c>
      <c r="Y157" s="34">
        <v>578869</v>
      </c>
      <c r="Z157" s="34">
        <v>50258</v>
      </c>
      <c r="AA157" s="34">
        <v>528611</v>
      </c>
      <c r="AB157" s="34">
        <v>301998</v>
      </c>
      <c r="AC157" s="34">
        <v>226613</v>
      </c>
    </row>
    <row r="158" spans="1:29" x14ac:dyDescent="0.25">
      <c r="A158" s="31" t="s">
        <v>142</v>
      </c>
      <c r="B158" s="31" t="s">
        <v>737</v>
      </c>
      <c r="C158" s="31" t="s">
        <v>166</v>
      </c>
      <c r="D158" s="31" t="s">
        <v>563</v>
      </c>
      <c r="E158" s="32">
        <v>118.83</v>
      </c>
      <c r="F158" s="33">
        <v>718</v>
      </c>
      <c r="G158" s="32">
        <v>836.83</v>
      </c>
      <c r="H158" s="32">
        <v>1</v>
      </c>
      <c r="I158" s="34">
        <v>0</v>
      </c>
      <c r="J158" s="33">
        <v>0</v>
      </c>
      <c r="K158" s="34">
        <v>718</v>
      </c>
      <c r="L158" s="32">
        <v>323.26</v>
      </c>
      <c r="M158" s="32">
        <v>60.35</v>
      </c>
      <c r="N158" s="32">
        <v>66.33</v>
      </c>
      <c r="O158" s="32">
        <v>30.52</v>
      </c>
      <c r="P158" s="32">
        <v>3.55</v>
      </c>
      <c r="Q158" s="34">
        <v>270514</v>
      </c>
      <c r="R158" s="34">
        <v>10510</v>
      </c>
      <c r="S158" s="34">
        <v>281024</v>
      </c>
      <c r="T158" s="34">
        <v>43331</v>
      </c>
      <c r="U158" s="34">
        <v>47625</v>
      </c>
      <c r="V158" s="34">
        <v>323</v>
      </c>
      <c r="W158" s="34">
        <v>25611</v>
      </c>
      <c r="X158" s="34">
        <v>2983</v>
      </c>
      <c r="Y158" s="34">
        <v>400897</v>
      </c>
      <c r="Z158" s="34">
        <v>47454</v>
      </c>
      <c r="AA158" s="34">
        <v>353443</v>
      </c>
      <c r="AB158" s="34">
        <v>195624</v>
      </c>
      <c r="AC158" s="34">
        <v>157819</v>
      </c>
    </row>
    <row r="159" spans="1:29" x14ac:dyDescent="0.25">
      <c r="A159" s="31" t="s">
        <v>142</v>
      </c>
      <c r="B159" s="31" t="s">
        <v>737</v>
      </c>
      <c r="C159" s="31" t="s">
        <v>167</v>
      </c>
      <c r="D159" s="31" t="s">
        <v>564</v>
      </c>
      <c r="E159" s="32">
        <v>42.79</v>
      </c>
      <c r="F159" s="33">
        <v>548.6</v>
      </c>
      <c r="G159" s="32">
        <v>591.39</v>
      </c>
      <c r="H159" s="32">
        <v>0.71</v>
      </c>
      <c r="I159" s="34">
        <v>5</v>
      </c>
      <c r="J159" s="33">
        <v>0</v>
      </c>
      <c r="K159" s="34">
        <v>554</v>
      </c>
      <c r="L159" s="32">
        <v>323.26</v>
      </c>
      <c r="M159" s="32">
        <v>60.35</v>
      </c>
      <c r="N159" s="32">
        <v>66.33</v>
      </c>
      <c r="O159" s="32">
        <v>30.52</v>
      </c>
      <c r="P159" s="32">
        <v>3.55</v>
      </c>
      <c r="Q159" s="34">
        <v>191173</v>
      </c>
      <c r="R159" s="34">
        <v>24596</v>
      </c>
      <c r="S159" s="34">
        <v>215769</v>
      </c>
      <c r="T159" s="34">
        <v>33434</v>
      </c>
      <c r="U159" s="34">
        <v>36747</v>
      </c>
      <c r="V159" s="34">
        <v>230</v>
      </c>
      <c r="W159" s="34">
        <v>18731</v>
      </c>
      <c r="X159" s="34">
        <v>2181</v>
      </c>
      <c r="Y159" s="34">
        <v>307092</v>
      </c>
      <c r="Z159" s="34">
        <v>36932</v>
      </c>
      <c r="AA159" s="34">
        <v>270160</v>
      </c>
      <c r="AB159" s="34">
        <v>135558</v>
      </c>
      <c r="AC159" s="34">
        <v>134602</v>
      </c>
    </row>
    <row r="160" spans="1:29" x14ac:dyDescent="0.25">
      <c r="A160" s="31" t="s">
        <v>142</v>
      </c>
      <c r="B160" s="31" t="s">
        <v>737</v>
      </c>
      <c r="C160" s="31" t="s">
        <v>168</v>
      </c>
      <c r="D160" s="31" t="s">
        <v>565</v>
      </c>
      <c r="E160" s="32">
        <v>24.63</v>
      </c>
      <c r="F160" s="33">
        <v>214</v>
      </c>
      <c r="G160" s="32">
        <v>238.63</v>
      </c>
      <c r="H160" s="32">
        <v>0.28000000000000003</v>
      </c>
      <c r="I160" s="34">
        <v>4</v>
      </c>
      <c r="J160" s="33">
        <v>0</v>
      </c>
      <c r="K160" s="34">
        <v>218</v>
      </c>
      <c r="L160" s="32">
        <v>323.26</v>
      </c>
      <c r="M160" s="32">
        <v>60.35</v>
      </c>
      <c r="N160" s="32">
        <v>66.33</v>
      </c>
      <c r="O160" s="32">
        <v>30.52</v>
      </c>
      <c r="P160" s="32">
        <v>3.55</v>
      </c>
      <c r="Q160" s="34">
        <v>77140</v>
      </c>
      <c r="R160" s="34">
        <v>1362</v>
      </c>
      <c r="S160" s="34">
        <v>78502</v>
      </c>
      <c r="T160" s="34">
        <v>13156</v>
      </c>
      <c r="U160" s="34">
        <v>14460</v>
      </c>
      <c r="V160" s="34">
        <v>91</v>
      </c>
      <c r="W160" s="34">
        <v>7335</v>
      </c>
      <c r="X160" s="34">
        <v>854</v>
      </c>
      <c r="Y160" s="34">
        <v>114398</v>
      </c>
      <c r="Z160" s="34">
        <v>15450</v>
      </c>
      <c r="AA160" s="34">
        <v>98948</v>
      </c>
      <c r="AB160" s="34">
        <v>53900</v>
      </c>
      <c r="AC160" s="34">
        <v>45048</v>
      </c>
    </row>
    <row r="161" spans="1:29" x14ac:dyDescent="0.25">
      <c r="A161" s="31" t="s">
        <v>142</v>
      </c>
      <c r="B161" s="31" t="s">
        <v>737</v>
      </c>
      <c r="C161" s="31" t="s">
        <v>169</v>
      </c>
      <c r="D161" s="31" t="s">
        <v>566</v>
      </c>
      <c r="E161" s="32">
        <v>99.54</v>
      </c>
      <c r="F161" s="33">
        <v>1429.8</v>
      </c>
      <c r="G161" s="32">
        <v>1529.34</v>
      </c>
      <c r="H161" s="32">
        <v>1.83</v>
      </c>
      <c r="I161" s="34">
        <v>21</v>
      </c>
      <c r="J161" s="33">
        <v>0</v>
      </c>
      <c r="K161" s="34">
        <v>1451</v>
      </c>
      <c r="L161" s="32">
        <v>323.26</v>
      </c>
      <c r="M161" s="32">
        <v>60.35</v>
      </c>
      <c r="N161" s="32">
        <v>66.33</v>
      </c>
      <c r="O161" s="32">
        <v>30.52</v>
      </c>
      <c r="P161" s="32">
        <v>3.55</v>
      </c>
      <c r="Q161" s="34">
        <v>494374</v>
      </c>
      <c r="R161" s="34">
        <v>0</v>
      </c>
      <c r="S161" s="34">
        <v>494374</v>
      </c>
      <c r="T161" s="34">
        <v>87568</v>
      </c>
      <c r="U161" s="34">
        <v>96245</v>
      </c>
      <c r="V161" s="34">
        <v>592</v>
      </c>
      <c r="W161" s="34">
        <v>46675</v>
      </c>
      <c r="X161" s="34">
        <v>5429</v>
      </c>
      <c r="Y161" s="34">
        <v>730883</v>
      </c>
      <c r="Z161" s="34">
        <v>54380</v>
      </c>
      <c r="AA161" s="34">
        <v>676503</v>
      </c>
      <c r="AB161" s="34">
        <v>389704</v>
      </c>
      <c r="AC161" s="34">
        <v>286799</v>
      </c>
    </row>
    <row r="162" spans="1:29" x14ac:dyDescent="0.25">
      <c r="A162" s="31" t="s">
        <v>142</v>
      </c>
      <c r="B162" s="31" t="s">
        <v>737</v>
      </c>
      <c r="C162" s="31" t="s">
        <v>170</v>
      </c>
      <c r="D162" s="31" t="s">
        <v>567</v>
      </c>
      <c r="E162" s="32">
        <v>35.86</v>
      </c>
      <c r="F162" s="33">
        <v>401.1</v>
      </c>
      <c r="G162" s="32">
        <v>436.96</v>
      </c>
      <c r="H162" s="32">
        <v>0.52</v>
      </c>
      <c r="I162" s="34">
        <v>8</v>
      </c>
      <c r="J162" s="33">
        <v>0</v>
      </c>
      <c r="K162" s="34">
        <v>409</v>
      </c>
      <c r="L162" s="32">
        <v>323.26</v>
      </c>
      <c r="M162" s="32">
        <v>60.35</v>
      </c>
      <c r="N162" s="32">
        <v>66.33</v>
      </c>
      <c r="O162" s="32">
        <v>30.52</v>
      </c>
      <c r="P162" s="32">
        <v>3.55</v>
      </c>
      <c r="Q162" s="34">
        <v>141252</v>
      </c>
      <c r="R162" s="34">
        <v>0</v>
      </c>
      <c r="S162" s="34">
        <v>141252</v>
      </c>
      <c r="T162" s="34">
        <v>24683</v>
      </c>
      <c r="U162" s="34">
        <v>27129</v>
      </c>
      <c r="V162" s="34">
        <v>168</v>
      </c>
      <c r="W162" s="34">
        <v>13336</v>
      </c>
      <c r="X162" s="34">
        <v>1551</v>
      </c>
      <c r="Y162" s="34">
        <v>208119</v>
      </c>
      <c r="Z162" s="34">
        <v>23404</v>
      </c>
      <c r="AA162" s="34">
        <v>184715</v>
      </c>
      <c r="AB162" s="34">
        <v>103478</v>
      </c>
      <c r="AC162" s="34">
        <v>81237</v>
      </c>
    </row>
    <row r="163" spans="1:29" x14ac:dyDescent="0.25">
      <c r="A163" s="31" t="s">
        <v>142</v>
      </c>
      <c r="B163" s="31" t="s">
        <v>737</v>
      </c>
      <c r="C163" s="31" t="s">
        <v>171</v>
      </c>
      <c r="D163" s="31" t="s">
        <v>568</v>
      </c>
      <c r="E163" s="32">
        <v>119.48</v>
      </c>
      <c r="F163" s="33">
        <v>848.5</v>
      </c>
      <c r="G163" s="32">
        <v>967.98</v>
      </c>
      <c r="H163" s="32">
        <v>1.1599999999999999</v>
      </c>
      <c r="I163" s="34">
        <v>5</v>
      </c>
      <c r="J163" s="33">
        <v>0</v>
      </c>
      <c r="K163" s="34">
        <v>854</v>
      </c>
      <c r="L163" s="32">
        <v>323.26</v>
      </c>
      <c r="M163" s="32">
        <v>60.35</v>
      </c>
      <c r="N163" s="32">
        <v>66.33</v>
      </c>
      <c r="O163" s="32">
        <v>30.52</v>
      </c>
      <c r="P163" s="32">
        <v>3.55</v>
      </c>
      <c r="Q163" s="34">
        <v>312909</v>
      </c>
      <c r="R163" s="34">
        <v>2180</v>
      </c>
      <c r="S163" s="34">
        <v>315089</v>
      </c>
      <c r="T163" s="34">
        <v>51539</v>
      </c>
      <c r="U163" s="34">
        <v>56646</v>
      </c>
      <c r="V163" s="34">
        <v>375</v>
      </c>
      <c r="W163" s="34">
        <v>29684</v>
      </c>
      <c r="X163" s="34">
        <v>3457</v>
      </c>
      <c r="Y163" s="34">
        <v>456790</v>
      </c>
      <c r="Z163" s="34">
        <v>41981</v>
      </c>
      <c r="AA163" s="34">
        <v>414809</v>
      </c>
      <c r="AB163" s="34">
        <v>239260</v>
      </c>
      <c r="AC163" s="34">
        <v>175549</v>
      </c>
    </row>
    <row r="164" spans="1:29" x14ac:dyDescent="0.25">
      <c r="A164" s="31" t="s">
        <v>142</v>
      </c>
      <c r="B164" s="31" t="s">
        <v>737</v>
      </c>
      <c r="C164" s="31" t="s">
        <v>172</v>
      </c>
      <c r="D164" s="31" t="s">
        <v>569</v>
      </c>
      <c r="E164" s="32">
        <v>219.24</v>
      </c>
      <c r="F164" s="33">
        <v>1617.2</v>
      </c>
      <c r="G164" s="32">
        <v>1836.44</v>
      </c>
      <c r="H164" s="32">
        <v>2.19</v>
      </c>
      <c r="I164" s="34">
        <v>10</v>
      </c>
      <c r="J164" s="33">
        <v>0</v>
      </c>
      <c r="K164" s="34">
        <v>1627</v>
      </c>
      <c r="L164" s="32">
        <v>323.26</v>
      </c>
      <c r="M164" s="32">
        <v>60.35</v>
      </c>
      <c r="N164" s="32">
        <v>66.33</v>
      </c>
      <c r="O164" s="32">
        <v>30.52</v>
      </c>
      <c r="P164" s="32">
        <v>3.55</v>
      </c>
      <c r="Q164" s="34">
        <v>593648</v>
      </c>
      <c r="R164" s="34">
        <v>0</v>
      </c>
      <c r="S164" s="34">
        <v>593648</v>
      </c>
      <c r="T164" s="34">
        <v>98189</v>
      </c>
      <c r="U164" s="34">
        <v>107919</v>
      </c>
      <c r="V164" s="34">
        <v>708</v>
      </c>
      <c r="W164" s="34">
        <v>56048</v>
      </c>
      <c r="X164" s="34">
        <v>6519</v>
      </c>
      <c r="Y164" s="34">
        <v>863031</v>
      </c>
      <c r="Z164" s="34">
        <v>94902</v>
      </c>
      <c r="AA164" s="34">
        <v>768129</v>
      </c>
      <c r="AB164" s="34">
        <v>438354</v>
      </c>
      <c r="AC164" s="34">
        <v>329775</v>
      </c>
    </row>
    <row r="165" spans="1:29" x14ac:dyDescent="0.25">
      <c r="A165" s="31" t="s">
        <v>142</v>
      </c>
      <c r="B165" s="31" t="s">
        <v>737</v>
      </c>
      <c r="C165" s="31" t="s">
        <v>173</v>
      </c>
      <c r="D165" s="31" t="s">
        <v>570</v>
      </c>
      <c r="E165" s="32">
        <v>210.69</v>
      </c>
      <c r="F165" s="33">
        <v>1617.2</v>
      </c>
      <c r="G165" s="32">
        <v>1827.89</v>
      </c>
      <c r="H165" s="32">
        <v>2.1800000000000002</v>
      </c>
      <c r="I165" s="34">
        <v>76</v>
      </c>
      <c r="J165" s="33">
        <v>0.4</v>
      </c>
      <c r="K165" s="34">
        <v>1693</v>
      </c>
      <c r="L165" s="32">
        <v>323.26</v>
      </c>
      <c r="M165" s="32">
        <v>60.35</v>
      </c>
      <c r="N165" s="32">
        <v>66.33</v>
      </c>
      <c r="O165" s="32">
        <v>30.52</v>
      </c>
      <c r="P165" s="32">
        <v>3.55</v>
      </c>
      <c r="Q165" s="34">
        <v>590884</v>
      </c>
      <c r="R165" s="34">
        <v>9877</v>
      </c>
      <c r="S165" s="34">
        <v>600761</v>
      </c>
      <c r="T165" s="34">
        <v>102173</v>
      </c>
      <c r="U165" s="34">
        <v>112297</v>
      </c>
      <c r="V165" s="34">
        <v>705</v>
      </c>
      <c r="W165" s="34">
        <v>55787</v>
      </c>
      <c r="X165" s="34">
        <v>6489</v>
      </c>
      <c r="Y165" s="34">
        <v>878212</v>
      </c>
      <c r="Z165" s="34">
        <v>86992</v>
      </c>
      <c r="AA165" s="34">
        <v>791220</v>
      </c>
      <c r="AB165" s="34">
        <v>443782</v>
      </c>
      <c r="AC165" s="34">
        <v>347438</v>
      </c>
    </row>
    <row r="166" spans="1:29" x14ac:dyDescent="0.25">
      <c r="A166" s="31" t="s">
        <v>142</v>
      </c>
      <c r="B166" s="31" t="s">
        <v>737</v>
      </c>
      <c r="C166" s="31" t="s">
        <v>174</v>
      </c>
      <c r="D166" s="31" t="s">
        <v>571</v>
      </c>
      <c r="E166" s="32">
        <v>89.12</v>
      </c>
      <c r="F166" s="33">
        <v>769.4</v>
      </c>
      <c r="G166" s="32">
        <v>858.52</v>
      </c>
      <c r="H166" s="32">
        <v>1.03</v>
      </c>
      <c r="I166" s="34">
        <v>12</v>
      </c>
      <c r="J166" s="33">
        <v>0</v>
      </c>
      <c r="K166" s="34">
        <v>781</v>
      </c>
      <c r="L166" s="32">
        <v>323.26</v>
      </c>
      <c r="M166" s="32">
        <v>60.35</v>
      </c>
      <c r="N166" s="32">
        <v>66.33</v>
      </c>
      <c r="O166" s="32">
        <v>30.52</v>
      </c>
      <c r="P166" s="32">
        <v>3.55</v>
      </c>
      <c r="Q166" s="34">
        <v>277525</v>
      </c>
      <c r="R166" s="34">
        <v>0</v>
      </c>
      <c r="S166" s="34">
        <v>277525</v>
      </c>
      <c r="T166" s="34">
        <v>47133</v>
      </c>
      <c r="U166" s="34">
        <v>51804</v>
      </c>
      <c r="V166" s="34">
        <v>333</v>
      </c>
      <c r="W166" s="34">
        <v>26202</v>
      </c>
      <c r="X166" s="34">
        <v>3048</v>
      </c>
      <c r="Y166" s="34">
        <v>406045</v>
      </c>
      <c r="Z166" s="34">
        <v>38084</v>
      </c>
      <c r="AA166" s="34">
        <v>367961</v>
      </c>
      <c r="AB166" s="34">
        <v>211211</v>
      </c>
      <c r="AC166" s="34">
        <v>156750</v>
      </c>
    </row>
    <row r="167" spans="1:29" x14ac:dyDescent="0.25">
      <c r="A167" s="31" t="s">
        <v>142</v>
      </c>
      <c r="B167" s="31" t="s">
        <v>737</v>
      </c>
      <c r="C167" s="31" t="s">
        <v>175</v>
      </c>
      <c r="D167" s="31" t="s">
        <v>572</v>
      </c>
      <c r="E167" s="32">
        <v>100.39</v>
      </c>
      <c r="F167" s="33">
        <v>1133.3</v>
      </c>
      <c r="G167" s="32">
        <v>1233.69</v>
      </c>
      <c r="H167" s="32">
        <v>1.47</v>
      </c>
      <c r="I167" s="34">
        <v>65</v>
      </c>
      <c r="J167" s="33">
        <v>1.1000000000000001</v>
      </c>
      <c r="K167" s="34">
        <v>1197</v>
      </c>
      <c r="L167" s="32">
        <v>323.26</v>
      </c>
      <c r="M167" s="32">
        <v>60.35</v>
      </c>
      <c r="N167" s="32">
        <v>66.33</v>
      </c>
      <c r="O167" s="32">
        <v>30.52</v>
      </c>
      <c r="P167" s="32">
        <v>3.55</v>
      </c>
      <c r="Q167" s="34">
        <v>398803</v>
      </c>
      <c r="R167" s="34">
        <v>0</v>
      </c>
      <c r="S167" s="34">
        <v>398803</v>
      </c>
      <c r="T167" s="34">
        <v>72239</v>
      </c>
      <c r="U167" s="34">
        <v>79397</v>
      </c>
      <c r="V167" s="34">
        <v>475</v>
      </c>
      <c r="W167" s="34">
        <v>37652</v>
      </c>
      <c r="X167" s="34">
        <v>4380</v>
      </c>
      <c r="Y167" s="34">
        <v>592946</v>
      </c>
      <c r="Z167" s="34">
        <v>55503</v>
      </c>
      <c r="AA167" s="34">
        <v>537443</v>
      </c>
      <c r="AB167" s="34">
        <v>302730</v>
      </c>
      <c r="AC167" s="34">
        <v>234713</v>
      </c>
    </row>
    <row r="168" spans="1:29" x14ac:dyDescent="0.25">
      <c r="A168" s="31" t="s">
        <v>176</v>
      </c>
      <c r="B168" s="31" t="s">
        <v>738</v>
      </c>
      <c r="C168" s="31" t="s">
        <v>177</v>
      </c>
      <c r="D168" s="31" t="s">
        <v>573</v>
      </c>
      <c r="E168" s="32">
        <v>40.6</v>
      </c>
      <c r="F168" s="33">
        <v>309.89999999999998</v>
      </c>
      <c r="G168" s="32">
        <v>350.5</v>
      </c>
      <c r="H168" s="32">
        <v>0</v>
      </c>
      <c r="I168" s="34">
        <v>0</v>
      </c>
      <c r="J168" s="33">
        <v>0</v>
      </c>
      <c r="K168" s="34">
        <v>310</v>
      </c>
      <c r="L168" s="32">
        <v>316.16000000000003</v>
      </c>
      <c r="M168" s="32">
        <v>60.23</v>
      </c>
      <c r="N168" s="32">
        <v>66.150000000000006</v>
      </c>
      <c r="O168" s="32">
        <v>26.75</v>
      </c>
      <c r="P168" s="32">
        <v>3.36</v>
      </c>
      <c r="Q168" s="34">
        <v>110814</v>
      </c>
      <c r="R168" s="34">
        <v>0</v>
      </c>
      <c r="S168" s="34">
        <v>110814</v>
      </c>
      <c r="T168" s="34">
        <v>18671</v>
      </c>
      <c r="U168" s="34">
        <v>20507</v>
      </c>
      <c r="V168" s="34">
        <v>0</v>
      </c>
      <c r="W168" s="34">
        <v>9376</v>
      </c>
      <c r="X168" s="34">
        <v>1178</v>
      </c>
      <c r="Y168" s="34">
        <v>160546</v>
      </c>
      <c r="Z168" s="34">
        <v>18105</v>
      </c>
      <c r="AA168" s="34">
        <v>142441</v>
      </c>
      <c r="AB168" s="34">
        <v>82177</v>
      </c>
      <c r="AC168" s="34">
        <v>60264</v>
      </c>
    </row>
    <row r="169" spans="1:29" x14ac:dyDescent="0.25">
      <c r="A169" s="31" t="s">
        <v>176</v>
      </c>
      <c r="B169" s="31" t="s">
        <v>738</v>
      </c>
      <c r="C169" s="31" t="s">
        <v>178</v>
      </c>
      <c r="D169" s="31" t="s">
        <v>574</v>
      </c>
      <c r="E169" s="32">
        <v>225.79</v>
      </c>
      <c r="F169" s="33">
        <v>2054.8000000000002</v>
      </c>
      <c r="G169" s="32">
        <v>2280.59</v>
      </c>
      <c r="H169" s="32">
        <v>0</v>
      </c>
      <c r="I169" s="34">
        <v>28</v>
      </c>
      <c r="J169" s="33">
        <v>0</v>
      </c>
      <c r="K169" s="34">
        <v>2083</v>
      </c>
      <c r="L169" s="32">
        <v>316.16000000000003</v>
      </c>
      <c r="M169" s="32">
        <v>60.23</v>
      </c>
      <c r="N169" s="32">
        <v>66.150000000000006</v>
      </c>
      <c r="O169" s="32">
        <v>26.75</v>
      </c>
      <c r="P169" s="32">
        <v>3.36</v>
      </c>
      <c r="Q169" s="34">
        <v>721031</v>
      </c>
      <c r="R169" s="34">
        <v>0</v>
      </c>
      <c r="S169" s="34">
        <v>721031</v>
      </c>
      <c r="T169" s="34">
        <v>125459</v>
      </c>
      <c r="U169" s="34">
        <v>137790</v>
      </c>
      <c r="V169" s="34">
        <v>0</v>
      </c>
      <c r="W169" s="34">
        <v>61006</v>
      </c>
      <c r="X169" s="34">
        <v>7663</v>
      </c>
      <c r="Y169" s="34">
        <v>1052949</v>
      </c>
      <c r="Z169" s="34">
        <v>70448</v>
      </c>
      <c r="AA169" s="34">
        <v>982501</v>
      </c>
      <c r="AB169" s="34">
        <v>582052</v>
      </c>
      <c r="AC169" s="34">
        <v>400449</v>
      </c>
    </row>
    <row r="170" spans="1:29" x14ac:dyDescent="0.25">
      <c r="A170" s="31" t="s">
        <v>176</v>
      </c>
      <c r="B170" s="31" t="s">
        <v>738</v>
      </c>
      <c r="C170" s="31" t="s">
        <v>179</v>
      </c>
      <c r="D170" s="31" t="s">
        <v>575</v>
      </c>
      <c r="E170" s="32">
        <v>546.6</v>
      </c>
      <c r="F170" s="33">
        <v>4484.3999999999996</v>
      </c>
      <c r="G170" s="32">
        <v>5031</v>
      </c>
      <c r="H170" s="32">
        <v>0</v>
      </c>
      <c r="I170" s="34">
        <v>143</v>
      </c>
      <c r="J170" s="33">
        <v>0</v>
      </c>
      <c r="K170" s="34">
        <v>4627</v>
      </c>
      <c r="L170" s="32">
        <v>316.16000000000003</v>
      </c>
      <c r="M170" s="32">
        <v>60.23</v>
      </c>
      <c r="N170" s="32">
        <v>66.150000000000006</v>
      </c>
      <c r="O170" s="32">
        <v>26.75</v>
      </c>
      <c r="P170" s="32">
        <v>3.36</v>
      </c>
      <c r="Q170" s="34">
        <v>1590601</v>
      </c>
      <c r="R170" s="34">
        <v>0</v>
      </c>
      <c r="S170" s="34">
        <v>1590601</v>
      </c>
      <c r="T170" s="34">
        <v>278684</v>
      </c>
      <c r="U170" s="34">
        <v>306076</v>
      </c>
      <c r="V170" s="34">
        <v>0</v>
      </c>
      <c r="W170" s="34">
        <v>134579</v>
      </c>
      <c r="X170" s="34">
        <v>16904</v>
      </c>
      <c r="Y170" s="34">
        <v>2326844</v>
      </c>
      <c r="Z170" s="34">
        <v>220009</v>
      </c>
      <c r="AA170" s="34">
        <v>2106835</v>
      </c>
      <c r="AB170" s="34">
        <v>1219410</v>
      </c>
      <c r="AC170" s="34">
        <v>887425</v>
      </c>
    </row>
    <row r="171" spans="1:29" x14ac:dyDescent="0.25">
      <c r="A171" s="31" t="s">
        <v>176</v>
      </c>
      <c r="B171" s="31" t="s">
        <v>738</v>
      </c>
      <c r="C171" s="31" t="s">
        <v>180</v>
      </c>
      <c r="D171" s="31" t="s">
        <v>576</v>
      </c>
      <c r="E171" s="32">
        <v>1347.95</v>
      </c>
      <c r="F171" s="33">
        <v>12512.2</v>
      </c>
      <c r="G171" s="32">
        <v>13860.15</v>
      </c>
      <c r="H171" s="32">
        <v>0</v>
      </c>
      <c r="I171" s="34">
        <v>831</v>
      </c>
      <c r="J171" s="33">
        <v>2.7</v>
      </c>
      <c r="K171" s="34">
        <v>13341</v>
      </c>
      <c r="L171" s="32">
        <v>316.16000000000003</v>
      </c>
      <c r="M171" s="32">
        <v>60.23</v>
      </c>
      <c r="N171" s="32">
        <v>66.150000000000006</v>
      </c>
      <c r="O171" s="32">
        <v>26.75</v>
      </c>
      <c r="P171" s="32">
        <v>3.36</v>
      </c>
      <c r="Q171" s="34">
        <v>4382025</v>
      </c>
      <c r="R171" s="34">
        <v>0</v>
      </c>
      <c r="S171" s="34">
        <v>4382025</v>
      </c>
      <c r="T171" s="34">
        <v>803528</v>
      </c>
      <c r="U171" s="34">
        <v>882507</v>
      </c>
      <c r="V171" s="34">
        <v>0</v>
      </c>
      <c r="W171" s="34">
        <v>370759</v>
      </c>
      <c r="X171" s="34">
        <v>46570</v>
      </c>
      <c r="Y171" s="34">
        <v>6485389</v>
      </c>
      <c r="Z171" s="34">
        <v>299964</v>
      </c>
      <c r="AA171" s="34">
        <v>6185425</v>
      </c>
      <c r="AB171" s="34">
        <v>3665563</v>
      </c>
      <c r="AC171" s="34">
        <v>2519862</v>
      </c>
    </row>
    <row r="172" spans="1:29" x14ac:dyDescent="0.25">
      <c r="A172" s="31" t="s">
        <v>176</v>
      </c>
      <c r="B172" s="31" t="s">
        <v>738</v>
      </c>
      <c r="C172" s="31" t="s">
        <v>181</v>
      </c>
      <c r="D172" s="31" t="s">
        <v>577</v>
      </c>
      <c r="E172" s="32">
        <v>82.71</v>
      </c>
      <c r="F172" s="33">
        <v>523.79999999999995</v>
      </c>
      <c r="G172" s="32">
        <v>606.51</v>
      </c>
      <c r="H172" s="32">
        <v>0</v>
      </c>
      <c r="I172" s="34">
        <v>5</v>
      </c>
      <c r="J172" s="33">
        <v>0</v>
      </c>
      <c r="K172" s="34">
        <v>529</v>
      </c>
      <c r="L172" s="32">
        <v>316.16000000000003</v>
      </c>
      <c r="M172" s="32">
        <v>60.23</v>
      </c>
      <c r="N172" s="32">
        <v>66.150000000000006</v>
      </c>
      <c r="O172" s="32">
        <v>26.75</v>
      </c>
      <c r="P172" s="32">
        <v>3.36</v>
      </c>
      <c r="Q172" s="34">
        <v>191754</v>
      </c>
      <c r="R172" s="34">
        <v>0</v>
      </c>
      <c r="S172" s="34">
        <v>191754</v>
      </c>
      <c r="T172" s="34">
        <v>31862</v>
      </c>
      <c r="U172" s="34">
        <v>34993</v>
      </c>
      <c r="V172" s="34">
        <v>0</v>
      </c>
      <c r="W172" s="34">
        <v>16224</v>
      </c>
      <c r="X172" s="34">
        <v>2038</v>
      </c>
      <c r="Y172" s="34">
        <v>276871</v>
      </c>
      <c r="Z172" s="34">
        <v>33659</v>
      </c>
      <c r="AA172" s="34">
        <v>243212</v>
      </c>
      <c r="AB172" s="34">
        <v>139870</v>
      </c>
      <c r="AC172" s="34">
        <v>103342</v>
      </c>
    </row>
    <row r="173" spans="1:29" x14ac:dyDescent="0.25">
      <c r="A173" s="31" t="s">
        <v>176</v>
      </c>
      <c r="B173" s="31" t="s">
        <v>738</v>
      </c>
      <c r="C173" s="31" t="s">
        <v>182</v>
      </c>
      <c r="D173" s="31" t="s">
        <v>578</v>
      </c>
      <c r="E173" s="32">
        <v>161.55000000000001</v>
      </c>
      <c r="F173" s="33">
        <v>1700</v>
      </c>
      <c r="G173" s="32">
        <v>1861.55</v>
      </c>
      <c r="H173" s="32">
        <v>0</v>
      </c>
      <c r="I173" s="34">
        <v>23</v>
      </c>
      <c r="J173" s="33">
        <v>0</v>
      </c>
      <c r="K173" s="34">
        <v>1723</v>
      </c>
      <c r="L173" s="32">
        <v>316.16000000000003</v>
      </c>
      <c r="M173" s="32">
        <v>60.23</v>
      </c>
      <c r="N173" s="32">
        <v>66.150000000000006</v>
      </c>
      <c r="O173" s="32">
        <v>26.75</v>
      </c>
      <c r="P173" s="32">
        <v>3.36</v>
      </c>
      <c r="Q173" s="34">
        <v>588548</v>
      </c>
      <c r="R173" s="34">
        <v>0</v>
      </c>
      <c r="S173" s="34">
        <v>588548</v>
      </c>
      <c r="T173" s="34">
        <v>103776</v>
      </c>
      <c r="U173" s="34">
        <v>113976</v>
      </c>
      <c r="V173" s="34">
        <v>0</v>
      </c>
      <c r="W173" s="34">
        <v>49796</v>
      </c>
      <c r="X173" s="34">
        <v>6255</v>
      </c>
      <c r="Y173" s="34">
        <v>862351</v>
      </c>
      <c r="Z173" s="34">
        <v>59974</v>
      </c>
      <c r="AA173" s="34">
        <v>802377</v>
      </c>
      <c r="AB173" s="34">
        <v>472634</v>
      </c>
      <c r="AC173" s="34">
        <v>329743</v>
      </c>
    </row>
    <row r="174" spans="1:29" x14ac:dyDescent="0.25">
      <c r="A174" s="31" t="s">
        <v>176</v>
      </c>
      <c r="B174" s="31" t="s">
        <v>738</v>
      </c>
      <c r="C174" s="31" t="s">
        <v>183</v>
      </c>
      <c r="D174" s="31" t="s">
        <v>579</v>
      </c>
      <c r="E174" s="32">
        <v>41.43</v>
      </c>
      <c r="F174" s="33">
        <v>359.2</v>
      </c>
      <c r="G174" s="32">
        <v>400.63</v>
      </c>
      <c r="H174" s="32">
        <v>0</v>
      </c>
      <c r="I174" s="34">
        <v>4</v>
      </c>
      <c r="J174" s="33">
        <v>0</v>
      </c>
      <c r="K174" s="34">
        <v>363</v>
      </c>
      <c r="L174" s="32">
        <v>316.16000000000003</v>
      </c>
      <c r="M174" s="32">
        <v>60.23</v>
      </c>
      <c r="N174" s="32">
        <v>66.150000000000006</v>
      </c>
      <c r="O174" s="32">
        <v>26.75</v>
      </c>
      <c r="P174" s="32">
        <v>3.36</v>
      </c>
      <c r="Q174" s="34">
        <v>126663</v>
      </c>
      <c r="R174" s="34">
        <v>0</v>
      </c>
      <c r="S174" s="34">
        <v>126663</v>
      </c>
      <c r="T174" s="34">
        <v>21863</v>
      </c>
      <c r="U174" s="34">
        <v>24012</v>
      </c>
      <c r="V174" s="34">
        <v>0</v>
      </c>
      <c r="W174" s="34">
        <v>10717</v>
      </c>
      <c r="X174" s="34">
        <v>1346</v>
      </c>
      <c r="Y174" s="34">
        <v>184601</v>
      </c>
      <c r="Z174" s="34">
        <v>16069</v>
      </c>
      <c r="AA174" s="34">
        <v>168532</v>
      </c>
      <c r="AB174" s="34">
        <v>98555</v>
      </c>
      <c r="AC174" s="34">
        <v>69977</v>
      </c>
    </row>
    <row r="175" spans="1:29" x14ac:dyDescent="0.25">
      <c r="A175" s="31" t="s">
        <v>176</v>
      </c>
      <c r="B175" s="31" t="s">
        <v>738</v>
      </c>
      <c r="C175" s="31" t="s">
        <v>184</v>
      </c>
      <c r="D175" s="31" t="s">
        <v>580</v>
      </c>
      <c r="E175" s="32">
        <v>259.36</v>
      </c>
      <c r="F175" s="33">
        <v>2423.6999999999998</v>
      </c>
      <c r="G175" s="32">
        <v>2683.06</v>
      </c>
      <c r="H175" s="32">
        <v>0</v>
      </c>
      <c r="I175" s="34">
        <v>38</v>
      </c>
      <c r="J175" s="33">
        <v>0</v>
      </c>
      <c r="K175" s="34">
        <v>2462</v>
      </c>
      <c r="L175" s="32">
        <v>316.16000000000003</v>
      </c>
      <c r="M175" s="32">
        <v>60.23</v>
      </c>
      <c r="N175" s="32">
        <v>66.150000000000006</v>
      </c>
      <c r="O175" s="32">
        <v>26.75</v>
      </c>
      <c r="P175" s="32">
        <v>3.36</v>
      </c>
      <c r="Q175" s="34">
        <v>848276</v>
      </c>
      <c r="R175" s="34">
        <v>0</v>
      </c>
      <c r="S175" s="34">
        <v>848276</v>
      </c>
      <c r="T175" s="34">
        <v>148286</v>
      </c>
      <c r="U175" s="34">
        <v>162861</v>
      </c>
      <c r="V175" s="34">
        <v>0</v>
      </c>
      <c r="W175" s="34">
        <v>71772</v>
      </c>
      <c r="X175" s="34">
        <v>9015</v>
      </c>
      <c r="Y175" s="34">
        <v>1240210</v>
      </c>
      <c r="Z175" s="34">
        <v>48369</v>
      </c>
      <c r="AA175" s="34">
        <v>1191841</v>
      </c>
      <c r="AB175" s="34">
        <v>719281</v>
      </c>
      <c r="AC175" s="34">
        <v>472560</v>
      </c>
    </row>
    <row r="176" spans="1:29" x14ac:dyDescent="0.25">
      <c r="A176" s="31" t="s">
        <v>176</v>
      </c>
      <c r="B176" s="31" t="s">
        <v>738</v>
      </c>
      <c r="C176" s="31" t="s">
        <v>185</v>
      </c>
      <c r="D176" s="31" t="s">
        <v>581</v>
      </c>
      <c r="E176" s="32">
        <v>362.92</v>
      </c>
      <c r="F176" s="33">
        <v>2020.2</v>
      </c>
      <c r="G176" s="32">
        <v>2383.12</v>
      </c>
      <c r="H176" s="32">
        <v>0</v>
      </c>
      <c r="I176" s="34">
        <v>149</v>
      </c>
      <c r="J176" s="33">
        <v>3</v>
      </c>
      <c r="K176" s="34">
        <v>2166</v>
      </c>
      <c r="L176" s="32">
        <v>316.16000000000003</v>
      </c>
      <c r="M176" s="32">
        <v>60.23</v>
      </c>
      <c r="N176" s="32">
        <v>66.150000000000006</v>
      </c>
      <c r="O176" s="32">
        <v>26.75</v>
      </c>
      <c r="P176" s="32">
        <v>3.36</v>
      </c>
      <c r="Q176" s="34">
        <v>753447</v>
      </c>
      <c r="R176" s="34">
        <v>0</v>
      </c>
      <c r="S176" s="34">
        <v>753447</v>
      </c>
      <c r="T176" s="34">
        <v>130458</v>
      </c>
      <c r="U176" s="34">
        <v>143281</v>
      </c>
      <c r="V176" s="34">
        <v>0</v>
      </c>
      <c r="W176" s="34">
        <v>63748</v>
      </c>
      <c r="X176" s="34">
        <v>8007</v>
      </c>
      <c r="Y176" s="34">
        <v>1098941</v>
      </c>
      <c r="Z176" s="34">
        <v>113626</v>
      </c>
      <c r="AA176" s="34">
        <v>985315</v>
      </c>
      <c r="AB176" s="34">
        <v>568208</v>
      </c>
      <c r="AC176" s="34">
        <v>417107</v>
      </c>
    </row>
    <row r="177" spans="1:29" x14ac:dyDescent="0.25">
      <c r="A177" s="31" t="s">
        <v>176</v>
      </c>
      <c r="B177" s="31" t="s">
        <v>738</v>
      </c>
      <c r="C177" s="31" t="s">
        <v>186</v>
      </c>
      <c r="D177" s="31" t="s">
        <v>582</v>
      </c>
      <c r="E177" s="32">
        <v>205.71</v>
      </c>
      <c r="F177" s="33">
        <v>1978.2</v>
      </c>
      <c r="G177" s="32">
        <v>2183.91</v>
      </c>
      <c r="H177" s="32">
        <v>0</v>
      </c>
      <c r="I177" s="34">
        <v>33</v>
      </c>
      <c r="J177" s="33">
        <v>0</v>
      </c>
      <c r="K177" s="34">
        <v>2011</v>
      </c>
      <c r="L177" s="32">
        <v>316.16000000000003</v>
      </c>
      <c r="M177" s="32">
        <v>60.23</v>
      </c>
      <c r="N177" s="32">
        <v>66.150000000000006</v>
      </c>
      <c r="O177" s="32">
        <v>26.75</v>
      </c>
      <c r="P177" s="32">
        <v>3.36</v>
      </c>
      <c r="Q177" s="34">
        <v>690465</v>
      </c>
      <c r="R177" s="34">
        <v>0</v>
      </c>
      <c r="S177" s="34">
        <v>690465</v>
      </c>
      <c r="T177" s="34">
        <v>121123</v>
      </c>
      <c r="U177" s="34">
        <v>133028</v>
      </c>
      <c r="V177" s="34">
        <v>0</v>
      </c>
      <c r="W177" s="34">
        <v>58420</v>
      </c>
      <c r="X177" s="34">
        <v>7338</v>
      </c>
      <c r="Y177" s="34">
        <v>1010374</v>
      </c>
      <c r="Z177" s="34">
        <v>66150</v>
      </c>
      <c r="AA177" s="34">
        <v>944224</v>
      </c>
      <c r="AB177" s="34">
        <v>558689</v>
      </c>
      <c r="AC177" s="34">
        <v>385535</v>
      </c>
    </row>
    <row r="178" spans="1:29" x14ac:dyDescent="0.25">
      <c r="A178" s="31" t="s">
        <v>176</v>
      </c>
      <c r="B178" s="31" t="s">
        <v>738</v>
      </c>
      <c r="C178" s="31" t="s">
        <v>187</v>
      </c>
      <c r="D178" s="31" t="s">
        <v>583</v>
      </c>
      <c r="E178" s="32">
        <v>276.66000000000003</v>
      </c>
      <c r="F178" s="33">
        <v>1670.6</v>
      </c>
      <c r="G178" s="32">
        <v>1947.26</v>
      </c>
      <c r="H178" s="32">
        <v>0</v>
      </c>
      <c r="I178" s="34">
        <v>905</v>
      </c>
      <c r="J178" s="33">
        <v>22.3</v>
      </c>
      <c r="K178" s="34">
        <v>2553</v>
      </c>
      <c r="L178" s="32">
        <v>316.16000000000003</v>
      </c>
      <c r="M178" s="32">
        <v>60.23</v>
      </c>
      <c r="N178" s="32">
        <v>66.150000000000006</v>
      </c>
      <c r="O178" s="32">
        <v>26.75</v>
      </c>
      <c r="P178" s="32">
        <v>3.36</v>
      </c>
      <c r="Q178" s="34">
        <v>615646</v>
      </c>
      <c r="R178" s="34">
        <v>0</v>
      </c>
      <c r="S178" s="34">
        <v>615646</v>
      </c>
      <c r="T178" s="34">
        <v>153767</v>
      </c>
      <c r="U178" s="34">
        <v>168881</v>
      </c>
      <c r="V178" s="34">
        <v>0</v>
      </c>
      <c r="W178" s="34">
        <v>52089</v>
      </c>
      <c r="X178" s="34">
        <v>6543</v>
      </c>
      <c r="Y178" s="34">
        <v>996926</v>
      </c>
      <c r="Z178" s="34">
        <v>99427</v>
      </c>
      <c r="AA178" s="34">
        <v>897499</v>
      </c>
      <c r="AB178" s="34">
        <v>457704</v>
      </c>
      <c r="AC178" s="34">
        <v>439795</v>
      </c>
    </row>
    <row r="179" spans="1:29" x14ac:dyDescent="0.25">
      <c r="A179" s="31" t="s">
        <v>176</v>
      </c>
      <c r="B179" s="31" t="s">
        <v>738</v>
      </c>
      <c r="C179" s="31" t="s">
        <v>188</v>
      </c>
      <c r="D179" s="31" t="s">
        <v>584</v>
      </c>
      <c r="E179" s="32">
        <v>95.46</v>
      </c>
      <c r="F179" s="33">
        <v>726.5</v>
      </c>
      <c r="G179" s="32">
        <v>821.96</v>
      </c>
      <c r="H179" s="32">
        <v>0</v>
      </c>
      <c r="I179" s="34">
        <v>9</v>
      </c>
      <c r="J179" s="33">
        <v>0</v>
      </c>
      <c r="K179" s="34">
        <v>736</v>
      </c>
      <c r="L179" s="32">
        <v>316.16000000000003</v>
      </c>
      <c r="M179" s="32">
        <v>60.23</v>
      </c>
      <c r="N179" s="32">
        <v>66.150000000000006</v>
      </c>
      <c r="O179" s="32">
        <v>26.75</v>
      </c>
      <c r="P179" s="32">
        <v>3.36</v>
      </c>
      <c r="Q179" s="34">
        <v>259871</v>
      </c>
      <c r="R179" s="34">
        <v>2181</v>
      </c>
      <c r="S179" s="34">
        <v>262052</v>
      </c>
      <c r="T179" s="34">
        <v>44329</v>
      </c>
      <c r="U179" s="34">
        <v>48686</v>
      </c>
      <c r="V179" s="34">
        <v>0</v>
      </c>
      <c r="W179" s="34">
        <v>21987</v>
      </c>
      <c r="X179" s="34">
        <v>2762</v>
      </c>
      <c r="Y179" s="34">
        <v>379816</v>
      </c>
      <c r="Z179" s="34">
        <v>43941</v>
      </c>
      <c r="AA179" s="34">
        <v>335875</v>
      </c>
      <c r="AB179" s="34">
        <v>191230</v>
      </c>
      <c r="AC179" s="34">
        <v>144645</v>
      </c>
    </row>
    <row r="180" spans="1:29" x14ac:dyDescent="0.25">
      <c r="A180" s="31" t="s">
        <v>176</v>
      </c>
      <c r="B180" s="31" t="s">
        <v>738</v>
      </c>
      <c r="C180" s="31" t="s">
        <v>189</v>
      </c>
      <c r="D180" s="31" t="s">
        <v>585</v>
      </c>
      <c r="E180" s="32">
        <v>65.88</v>
      </c>
      <c r="F180" s="33">
        <v>466</v>
      </c>
      <c r="G180" s="32">
        <v>531.88</v>
      </c>
      <c r="H180" s="32">
        <v>0</v>
      </c>
      <c r="I180" s="34">
        <v>9</v>
      </c>
      <c r="J180" s="33">
        <v>0</v>
      </c>
      <c r="K180" s="34">
        <v>475</v>
      </c>
      <c r="L180" s="32">
        <v>316.16000000000003</v>
      </c>
      <c r="M180" s="32">
        <v>60.23</v>
      </c>
      <c r="N180" s="32">
        <v>66.150000000000006</v>
      </c>
      <c r="O180" s="32">
        <v>26.75</v>
      </c>
      <c r="P180" s="32">
        <v>3.36</v>
      </c>
      <c r="Q180" s="34">
        <v>168159</v>
      </c>
      <c r="R180" s="34">
        <v>0</v>
      </c>
      <c r="S180" s="34">
        <v>168159</v>
      </c>
      <c r="T180" s="34">
        <v>28609</v>
      </c>
      <c r="U180" s="34">
        <v>31421</v>
      </c>
      <c r="V180" s="34">
        <v>0</v>
      </c>
      <c r="W180" s="34">
        <v>14228</v>
      </c>
      <c r="X180" s="34">
        <v>1787</v>
      </c>
      <c r="Y180" s="34">
        <v>244204</v>
      </c>
      <c r="Z180" s="34">
        <v>25749</v>
      </c>
      <c r="AA180" s="34">
        <v>218455</v>
      </c>
      <c r="AB180" s="34">
        <v>126427</v>
      </c>
      <c r="AC180" s="34">
        <v>92028</v>
      </c>
    </row>
    <row r="181" spans="1:29" x14ac:dyDescent="0.25">
      <c r="A181" s="31" t="s">
        <v>176</v>
      </c>
      <c r="B181" s="31" t="s">
        <v>738</v>
      </c>
      <c r="C181" s="31" t="s">
        <v>190</v>
      </c>
      <c r="D181" s="31" t="s">
        <v>586</v>
      </c>
      <c r="E181" s="32">
        <v>41.72</v>
      </c>
      <c r="F181" s="33">
        <v>482</v>
      </c>
      <c r="G181" s="32">
        <v>523.72</v>
      </c>
      <c r="H181" s="32">
        <v>0</v>
      </c>
      <c r="I181" s="34">
        <v>0</v>
      </c>
      <c r="J181" s="33">
        <v>0</v>
      </c>
      <c r="K181" s="34">
        <v>482</v>
      </c>
      <c r="L181" s="32">
        <v>316.16000000000003</v>
      </c>
      <c r="M181" s="32">
        <v>60.23</v>
      </c>
      <c r="N181" s="32">
        <v>66.150000000000006</v>
      </c>
      <c r="O181" s="32">
        <v>26.75</v>
      </c>
      <c r="P181" s="32">
        <v>3.36</v>
      </c>
      <c r="Q181" s="34">
        <v>165579</v>
      </c>
      <c r="R181" s="34">
        <v>1146</v>
      </c>
      <c r="S181" s="34">
        <v>166725</v>
      </c>
      <c r="T181" s="34">
        <v>29031</v>
      </c>
      <c r="U181" s="34">
        <v>31884</v>
      </c>
      <c r="V181" s="34">
        <v>0</v>
      </c>
      <c r="W181" s="34">
        <v>14010</v>
      </c>
      <c r="X181" s="34">
        <v>1760</v>
      </c>
      <c r="Y181" s="34">
        <v>243410</v>
      </c>
      <c r="Z181" s="34">
        <v>28415</v>
      </c>
      <c r="AA181" s="34">
        <v>214995</v>
      </c>
      <c r="AB181" s="34">
        <v>121427</v>
      </c>
      <c r="AC181" s="34">
        <v>93568</v>
      </c>
    </row>
    <row r="182" spans="1:29" x14ac:dyDescent="0.25">
      <c r="A182" s="31" t="s">
        <v>176</v>
      </c>
      <c r="B182" s="31" t="s">
        <v>738</v>
      </c>
      <c r="C182" s="31" t="s">
        <v>191</v>
      </c>
      <c r="D182" s="31" t="s">
        <v>587</v>
      </c>
      <c r="E182" s="32">
        <v>68.849999999999994</v>
      </c>
      <c r="F182" s="33">
        <v>427</v>
      </c>
      <c r="G182" s="32">
        <v>495.85</v>
      </c>
      <c r="H182" s="32">
        <v>0</v>
      </c>
      <c r="I182" s="34">
        <v>1</v>
      </c>
      <c r="J182" s="33">
        <v>0</v>
      </c>
      <c r="K182" s="34">
        <v>428</v>
      </c>
      <c r="L182" s="32">
        <v>316.16000000000003</v>
      </c>
      <c r="M182" s="32">
        <v>60.23</v>
      </c>
      <c r="N182" s="32">
        <v>66.150000000000006</v>
      </c>
      <c r="O182" s="32">
        <v>26.75</v>
      </c>
      <c r="P182" s="32">
        <v>3.36</v>
      </c>
      <c r="Q182" s="34">
        <v>156768</v>
      </c>
      <c r="R182" s="34">
        <v>0</v>
      </c>
      <c r="S182" s="34">
        <v>156768</v>
      </c>
      <c r="T182" s="34">
        <v>25778</v>
      </c>
      <c r="U182" s="34">
        <v>28312</v>
      </c>
      <c r="V182" s="34">
        <v>0</v>
      </c>
      <c r="W182" s="34">
        <v>13264</v>
      </c>
      <c r="X182" s="34">
        <v>1666</v>
      </c>
      <c r="Y182" s="34">
        <v>225788</v>
      </c>
      <c r="Z182" s="34">
        <v>25949</v>
      </c>
      <c r="AA182" s="34">
        <v>199839</v>
      </c>
      <c r="AB182" s="34">
        <v>115919</v>
      </c>
      <c r="AC182" s="34">
        <v>83920</v>
      </c>
    </row>
    <row r="183" spans="1:29" x14ac:dyDescent="0.25">
      <c r="A183" s="31" t="s">
        <v>176</v>
      </c>
      <c r="B183" s="31" t="s">
        <v>738</v>
      </c>
      <c r="C183" s="31" t="s">
        <v>192</v>
      </c>
      <c r="D183" s="31" t="s">
        <v>588</v>
      </c>
      <c r="E183" s="32">
        <v>352.65</v>
      </c>
      <c r="F183" s="33">
        <v>3394.1</v>
      </c>
      <c r="G183" s="32">
        <v>3746.75</v>
      </c>
      <c r="H183" s="32">
        <v>0</v>
      </c>
      <c r="I183" s="34">
        <v>79</v>
      </c>
      <c r="J183" s="33">
        <v>0</v>
      </c>
      <c r="K183" s="34">
        <v>3473</v>
      </c>
      <c r="L183" s="32">
        <v>316.16000000000003</v>
      </c>
      <c r="M183" s="32">
        <v>60.23</v>
      </c>
      <c r="N183" s="32">
        <v>66.150000000000006</v>
      </c>
      <c r="O183" s="32">
        <v>26.75</v>
      </c>
      <c r="P183" s="32">
        <v>3.36</v>
      </c>
      <c r="Q183" s="34">
        <v>1184572</v>
      </c>
      <c r="R183" s="34">
        <v>0</v>
      </c>
      <c r="S183" s="34">
        <v>1184572</v>
      </c>
      <c r="T183" s="34">
        <v>209179</v>
      </c>
      <c r="U183" s="34">
        <v>229739</v>
      </c>
      <c r="V183" s="34">
        <v>0</v>
      </c>
      <c r="W183" s="34">
        <v>100226</v>
      </c>
      <c r="X183" s="34">
        <v>12589</v>
      </c>
      <c r="Y183" s="34">
        <v>1736305</v>
      </c>
      <c r="Z183" s="34">
        <v>77104</v>
      </c>
      <c r="AA183" s="34">
        <v>1659201</v>
      </c>
      <c r="AB183" s="34">
        <v>994879</v>
      </c>
      <c r="AC183" s="34">
        <v>664322</v>
      </c>
    </row>
    <row r="184" spans="1:29" x14ac:dyDescent="0.25">
      <c r="A184" s="31" t="s">
        <v>176</v>
      </c>
      <c r="B184" s="31" t="s">
        <v>738</v>
      </c>
      <c r="C184" s="31" t="s">
        <v>193</v>
      </c>
      <c r="D184" s="31" t="s">
        <v>589</v>
      </c>
      <c r="E184" s="32">
        <v>5686.22</v>
      </c>
      <c r="F184" s="33">
        <v>31023.8</v>
      </c>
      <c r="G184" s="32">
        <v>36710.019999999997</v>
      </c>
      <c r="H184" s="32">
        <v>0</v>
      </c>
      <c r="I184" s="34">
        <v>2604</v>
      </c>
      <c r="J184" s="33">
        <v>4.5</v>
      </c>
      <c r="K184" s="34">
        <v>33623</v>
      </c>
      <c r="L184" s="32">
        <v>316.16000000000003</v>
      </c>
      <c r="M184" s="32">
        <v>60.23</v>
      </c>
      <c r="N184" s="32">
        <v>66.150000000000006</v>
      </c>
      <c r="O184" s="32">
        <v>26.75</v>
      </c>
      <c r="P184" s="32">
        <v>3.36</v>
      </c>
      <c r="Q184" s="34">
        <v>11606240</v>
      </c>
      <c r="R184" s="34">
        <v>15650</v>
      </c>
      <c r="S184" s="34">
        <v>11621890</v>
      </c>
      <c r="T184" s="34">
        <v>2025113</v>
      </c>
      <c r="U184" s="34">
        <v>2224161</v>
      </c>
      <c r="V184" s="34">
        <v>0</v>
      </c>
      <c r="W184" s="34">
        <v>981993</v>
      </c>
      <c r="X184" s="34">
        <v>123346</v>
      </c>
      <c r="Y184" s="34">
        <v>16976503</v>
      </c>
      <c r="Z184" s="34">
        <v>1626330</v>
      </c>
      <c r="AA184" s="34">
        <v>15350173</v>
      </c>
      <c r="AB184" s="34">
        <v>8876774</v>
      </c>
      <c r="AC184" s="34">
        <v>6473399</v>
      </c>
    </row>
    <row r="185" spans="1:29" x14ac:dyDescent="0.25">
      <c r="A185" s="31" t="s">
        <v>176</v>
      </c>
      <c r="B185" s="31" t="s">
        <v>738</v>
      </c>
      <c r="C185" s="31" t="s">
        <v>194</v>
      </c>
      <c r="D185" s="31" t="s">
        <v>590</v>
      </c>
      <c r="E185" s="32">
        <v>41.29</v>
      </c>
      <c r="F185" s="33">
        <v>580.79999999999995</v>
      </c>
      <c r="G185" s="32">
        <v>622.09</v>
      </c>
      <c r="H185" s="32">
        <v>0</v>
      </c>
      <c r="I185" s="34">
        <v>6</v>
      </c>
      <c r="J185" s="33">
        <v>0</v>
      </c>
      <c r="K185" s="34">
        <v>587</v>
      </c>
      <c r="L185" s="32">
        <v>316.16000000000003</v>
      </c>
      <c r="M185" s="32">
        <v>60.23</v>
      </c>
      <c r="N185" s="32">
        <v>66.150000000000006</v>
      </c>
      <c r="O185" s="32">
        <v>26.75</v>
      </c>
      <c r="P185" s="32">
        <v>3.36</v>
      </c>
      <c r="Q185" s="34">
        <v>196680</v>
      </c>
      <c r="R185" s="34">
        <v>0</v>
      </c>
      <c r="S185" s="34">
        <v>196680</v>
      </c>
      <c r="T185" s="34">
        <v>35355</v>
      </c>
      <c r="U185" s="34">
        <v>38830</v>
      </c>
      <c r="V185" s="34">
        <v>0</v>
      </c>
      <c r="W185" s="34">
        <v>16641</v>
      </c>
      <c r="X185" s="34">
        <v>2090</v>
      </c>
      <c r="Y185" s="34">
        <v>289596</v>
      </c>
      <c r="Z185" s="34">
        <v>24923</v>
      </c>
      <c r="AA185" s="34">
        <v>264673</v>
      </c>
      <c r="AB185" s="34">
        <v>153063</v>
      </c>
      <c r="AC185" s="34">
        <v>111610</v>
      </c>
    </row>
    <row r="186" spans="1:29" x14ac:dyDescent="0.25">
      <c r="A186" s="31" t="s">
        <v>176</v>
      </c>
      <c r="B186" s="31" t="s">
        <v>738</v>
      </c>
      <c r="C186" s="31" t="s">
        <v>195</v>
      </c>
      <c r="D186" s="31" t="s">
        <v>591</v>
      </c>
      <c r="E186" s="32">
        <v>52.83</v>
      </c>
      <c r="F186" s="33">
        <v>407</v>
      </c>
      <c r="G186" s="32">
        <v>459.83</v>
      </c>
      <c r="H186" s="32">
        <v>0</v>
      </c>
      <c r="I186" s="34">
        <v>0</v>
      </c>
      <c r="J186" s="33">
        <v>0</v>
      </c>
      <c r="K186" s="34">
        <v>407</v>
      </c>
      <c r="L186" s="32">
        <v>316.16000000000003</v>
      </c>
      <c r="M186" s="32">
        <v>60.23</v>
      </c>
      <c r="N186" s="32">
        <v>66.150000000000006</v>
      </c>
      <c r="O186" s="32">
        <v>26.75</v>
      </c>
      <c r="P186" s="32">
        <v>3.36</v>
      </c>
      <c r="Q186" s="34">
        <v>145380</v>
      </c>
      <c r="R186" s="34">
        <v>10151</v>
      </c>
      <c r="S186" s="34">
        <v>155531</v>
      </c>
      <c r="T186" s="34">
        <v>24514</v>
      </c>
      <c r="U186" s="34">
        <v>26923</v>
      </c>
      <c r="V186" s="34">
        <v>0</v>
      </c>
      <c r="W186" s="34">
        <v>12300</v>
      </c>
      <c r="X186" s="34">
        <v>1545</v>
      </c>
      <c r="Y186" s="34">
        <v>220813</v>
      </c>
      <c r="Z186" s="34">
        <v>31232</v>
      </c>
      <c r="AA186" s="34">
        <v>189581</v>
      </c>
      <c r="AB186" s="34">
        <v>100329</v>
      </c>
      <c r="AC186" s="34">
        <v>89252</v>
      </c>
    </row>
    <row r="187" spans="1:29" x14ac:dyDescent="0.25">
      <c r="A187" s="31" t="s">
        <v>176</v>
      </c>
      <c r="B187" s="31" t="s">
        <v>738</v>
      </c>
      <c r="C187" s="31" t="s">
        <v>196</v>
      </c>
      <c r="D187" s="31" t="s">
        <v>592</v>
      </c>
      <c r="E187" s="32">
        <v>113.66</v>
      </c>
      <c r="F187" s="33">
        <v>1562.7</v>
      </c>
      <c r="G187" s="32">
        <v>1676.36</v>
      </c>
      <c r="H187" s="32">
        <v>0</v>
      </c>
      <c r="I187" s="34">
        <v>36</v>
      </c>
      <c r="J187" s="33">
        <v>0</v>
      </c>
      <c r="K187" s="34">
        <v>1599</v>
      </c>
      <c r="L187" s="32">
        <v>316.16000000000003</v>
      </c>
      <c r="M187" s="32">
        <v>60.23</v>
      </c>
      <c r="N187" s="32">
        <v>66.150000000000006</v>
      </c>
      <c r="O187" s="32">
        <v>26.75</v>
      </c>
      <c r="P187" s="32">
        <v>3.36</v>
      </c>
      <c r="Q187" s="34">
        <v>529998</v>
      </c>
      <c r="R187" s="34">
        <v>0</v>
      </c>
      <c r="S187" s="34">
        <v>529998</v>
      </c>
      <c r="T187" s="34">
        <v>96308</v>
      </c>
      <c r="U187" s="34">
        <v>105774</v>
      </c>
      <c r="V187" s="34">
        <v>0</v>
      </c>
      <c r="W187" s="34">
        <v>44843</v>
      </c>
      <c r="X187" s="34">
        <v>5633</v>
      </c>
      <c r="Y187" s="34">
        <v>782556</v>
      </c>
      <c r="Z187" s="34">
        <v>44566</v>
      </c>
      <c r="AA187" s="34">
        <v>737990</v>
      </c>
      <c r="AB187" s="34">
        <v>435058</v>
      </c>
      <c r="AC187" s="34">
        <v>302932</v>
      </c>
    </row>
    <row r="188" spans="1:29" x14ac:dyDescent="0.25">
      <c r="A188" s="31" t="s">
        <v>176</v>
      </c>
      <c r="B188" s="31" t="s">
        <v>738</v>
      </c>
      <c r="C188" s="31" t="s">
        <v>197</v>
      </c>
      <c r="D188" s="31" t="s">
        <v>593</v>
      </c>
      <c r="E188" s="32">
        <v>29.44</v>
      </c>
      <c r="F188" s="33">
        <v>279</v>
      </c>
      <c r="G188" s="32">
        <v>308.44</v>
      </c>
      <c r="H188" s="32">
        <v>0</v>
      </c>
      <c r="I188" s="34">
        <v>15</v>
      </c>
      <c r="J188" s="33">
        <v>0</v>
      </c>
      <c r="K188" s="34">
        <v>294</v>
      </c>
      <c r="L188" s="32">
        <v>316.16000000000003</v>
      </c>
      <c r="M188" s="32">
        <v>60.23</v>
      </c>
      <c r="N188" s="32">
        <v>66.150000000000006</v>
      </c>
      <c r="O188" s="32">
        <v>26.75</v>
      </c>
      <c r="P188" s="32">
        <v>3.36</v>
      </c>
      <c r="Q188" s="34">
        <v>97516</v>
      </c>
      <c r="R188" s="34">
        <v>514</v>
      </c>
      <c r="S188" s="34">
        <v>98030</v>
      </c>
      <c r="T188" s="34">
        <v>17708</v>
      </c>
      <c r="U188" s="34">
        <v>19448</v>
      </c>
      <c r="V188" s="34">
        <v>0</v>
      </c>
      <c r="W188" s="34">
        <v>8251</v>
      </c>
      <c r="X188" s="34">
        <v>1036</v>
      </c>
      <c r="Y188" s="34">
        <v>144473</v>
      </c>
      <c r="Z188" s="34">
        <v>18455</v>
      </c>
      <c r="AA188" s="34">
        <v>126018</v>
      </c>
      <c r="AB188" s="34">
        <v>69793</v>
      </c>
      <c r="AC188" s="34">
        <v>56225</v>
      </c>
    </row>
    <row r="189" spans="1:29" x14ac:dyDescent="0.25">
      <c r="A189" s="31" t="s">
        <v>176</v>
      </c>
      <c r="B189" s="31" t="s">
        <v>738</v>
      </c>
      <c r="C189" s="31" t="s">
        <v>198</v>
      </c>
      <c r="D189" s="31" t="s">
        <v>594</v>
      </c>
      <c r="E189" s="32">
        <v>39.01</v>
      </c>
      <c r="F189" s="33">
        <v>396.2</v>
      </c>
      <c r="G189" s="32">
        <v>435.21</v>
      </c>
      <c r="H189" s="32">
        <v>0</v>
      </c>
      <c r="I189" s="34">
        <v>0</v>
      </c>
      <c r="J189" s="33">
        <v>0</v>
      </c>
      <c r="K189" s="34">
        <v>396</v>
      </c>
      <c r="L189" s="32">
        <v>316.16000000000003</v>
      </c>
      <c r="M189" s="32">
        <v>60.23</v>
      </c>
      <c r="N189" s="32">
        <v>66.150000000000006</v>
      </c>
      <c r="O189" s="32">
        <v>26.75</v>
      </c>
      <c r="P189" s="32">
        <v>3.36</v>
      </c>
      <c r="Q189" s="34">
        <v>137596</v>
      </c>
      <c r="R189" s="34">
        <v>12284</v>
      </c>
      <c r="S189" s="34">
        <v>149880</v>
      </c>
      <c r="T189" s="34">
        <v>23851</v>
      </c>
      <c r="U189" s="34">
        <v>26195</v>
      </c>
      <c r="V189" s="34">
        <v>0</v>
      </c>
      <c r="W189" s="34">
        <v>11642</v>
      </c>
      <c r="X189" s="34">
        <v>1467</v>
      </c>
      <c r="Y189" s="34">
        <v>213035</v>
      </c>
      <c r="Z189" s="34">
        <v>23124</v>
      </c>
      <c r="AA189" s="34">
        <v>189911</v>
      </c>
      <c r="AB189" s="34">
        <v>101399</v>
      </c>
      <c r="AC189" s="34">
        <v>88512</v>
      </c>
    </row>
    <row r="190" spans="1:29" x14ac:dyDescent="0.25">
      <c r="A190" s="31" t="s">
        <v>176</v>
      </c>
      <c r="B190" s="31" t="s">
        <v>738</v>
      </c>
      <c r="C190" s="31" t="s">
        <v>199</v>
      </c>
      <c r="D190" s="31" t="s">
        <v>595</v>
      </c>
      <c r="E190" s="32">
        <v>466.11</v>
      </c>
      <c r="F190" s="33">
        <v>3474.5</v>
      </c>
      <c r="G190" s="32">
        <v>3940.61</v>
      </c>
      <c r="H190" s="32">
        <v>0</v>
      </c>
      <c r="I190" s="34">
        <v>10</v>
      </c>
      <c r="J190" s="33">
        <v>0</v>
      </c>
      <c r="K190" s="34">
        <v>3485</v>
      </c>
      <c r="L190" s="32">
        <v>316.16000000000003</v>
      </c>
      <c r="M190" s="32">
        <v>60.23</v>
      </c>
      <c r="N190" s="32">
        <v>66.150000000000006</v>
      </c>
      <c r="O190" s="32">
        <v>26.75</v>
      </c>
      <c r="P190" s="32">
        <v>3.36</v>
      </c>
      <c r="Q190" s="34">
        <v>1245863</v>
      </c>
      <c r="R190" s="34">
        <v>0</v>
      </c>
      <c r="S190" s="34">
        <v>1245863</v>
      </c>
      <c r="T190" s="34">
        <v>209902</v>
      </c>
      <c r="U190" s="34">
        <v>230533</v>
      </c>
      <c r="V190" s="34">
        <v>0</v>
      </c>
      <c r="W190" s="34">
        <v>105411</v>
      </c>
      <c r="X190" s="34">
        <v>13240</v>
      </c>
      <c r="Y190" s="34">
        <v>1804949</v>
      </c>
      <c r="Z190" s="34">
        <v>152411</v>
      </c>
      <c r="AA190" s="34">
        <v>1652538</v>
      </c>
      <c r="AB190" s="34">
        <v>975036</v>
      </c>
      <c r="AC190" s="34">
        <v>677502</v>
      </c>
    </row>
    <row r="191" spans="1:29" x14ac:dyDescent="0.25">
      <c r="A191" s="31" t="s">
        <v>176</v>
      </c>
      <c r="B191" s="31" t="s">
        <v>738</v>
      </c>
      <c r="C191" s="31" t="s">
        <v>200</v>
      </c>
      <c r="D191" s="31" t="s">
        <v>596</v>
      </c>
      <c r="E191" s="32">
        <v>85.09</v>
      </c>
      <c r="F191" s="33">
        <v>847.3</v>
      </c>
      <c r="G191" s="32">
        <v>932.39</v>
      </c>
      <c r="H191" s="32">
        <v>0</v>
      </c>
      <c r="I191" s="34">
        <v>6</v>
      </c>
      <c r="J191" s="33">
        <v>0</v>
      </c>
      <c r="K191" s="34">
        <v>853</v>
      </c>
      <c r="L191" s="32">
        <v>316.16000000000003</v>
      </c>
      <c r="M191" s="32">
        <v>60.23</v>
      </c>
      <c r="N191" s="32">
        <v>66.150000000000006</v>
      </c>
      <c r="O191" s="32">
        <v>26.75</v>
      </c>
      <c r="P191" s="32">
        <v>3.36</v>
      </c>
      <c r="Q191" s="34">
        <v>294784</v>
      </c>
      <c r="R191" s="34">
        <v>0</v>
      </c>
      <c r="S191" s="34">
        <v>294784</v>
      </c>
      <c r="T191" s="34">
        <v>51376</v>
      </c>
      <c r="U191" s="34">
        <v>56426</v>
      </c>
      <c r="V191" s="34">
        <v>0</v>
      </c>
      <c r="W191" s="34">
        <v>24941</v>
      </c>
      <c r="X191" s="34">
        <v>3133</v>
      </c>
      <c r="Y191" s="34">
        <v>430660</v>
      </c>
      <c r="Z191" s="34">
        <v>36644</v>
      </c>
      <c r="AA191" s="34">
        <v>394016</v>
      </c>
      <c r="AB191" s="34">
        <v>230122</v>
      </c>
      <c r="AC191" s="34">
        <v>163894</v>
      </c>
    </row>
    <row r="192" spans="1:29" x14ac:dyDescent="0.25">
      <c r="A192" s="31" t="s">
        <v>176</v>
      </c>
      <c r="B192" s="31" t="s">
        <v>738</v>
      </c>
      <c r="C192" s="31" t="s">
        <v>201</v>
      </c>
      <c r="D192" s="31" t="s">
        <v>597</v>
      </c>
      <c r="E192" s="32">
        <v>792.89</v>
      </c>
      <c r="F192" s="33">
        <v>6986.9</v>
      </c>
      <c r="G192" s="32">
        <v>7779.79</v>
      </c>
      <c r="H192" s="32">
        <v>0</v>
      </c>
      <c r="I192" s="34">
        <v>405</v>
      </c>
      <c r="J192" s="33">
        <v>0</v>
      </c>
      <c r="K192" s="34">
        <v>7392</v>
      </c>
      <c r="L192" s="32">
        <v>316.16000000000003</v>
      </c>
      <c r="M192" s="32">
        <v>60.23</v>
      </c>
      <c r="N192" s="32">
        <v>66.150000000000006</v>
      </c>
      <c r="O192" s="32">
        <v>26.75</v>
      </c>
      <c r="P192" s="32">
        <v>3.36</v>
      </c>
      <c r="Q192" s="34">
        <v>2459658</v>
      </c>
      <c r="R192" s="34">
        <v>0</v>
      </c>
      <c r="S192" s="34">
        <v>2459658</v>
      </c>
      <c r="T192" s="34">
        <v>445220</v>
      </c>
      <c r="U192" s="34">
        <v>488981</v>
      </c>
      <c r="V192" s="34">
        <v>0</v>
      </c>
      <c r="W192" s="34">
        <v>208109</v>
      </c>
      <c r="X192" s="34">
        <v>26140</v>
      </c>
      <c r="Y192" s="34">
        <v>3628108</v>
      </c>
      <c r="Z192" s="34">
        <v>205325</v>
      </c>
      <c r="AA192" s="34">
        <v>3422783</v>
      </c>
      <c r="AB192" s="34">
        <v>2020550</v>
      </c>
      <c r="AC192" s="34">
        <v>1402233</v>
      </c>
    </row>
    <row r="193" spans="1:29" x14ac:dyDescent="0.25">
      <c r="A193" s="31" t="s">
        <v>176</v>
      </c>
      <c r="B193" s="31" t="s">
        <v>738</v>
      </c>
      <c r="C193" s="31" t="s">
        <v>202</v>
      </c>
      <c r="D193" s="31" t="s">
        <v>598</v>
      </c>
      <c r="E193" s="32">
        <v>227.92</v>
      </c>
      <c r="F193" s="33">
        <v>1754.1</v>
      </c>
      <c r="G193" s="32">
        <v>1982.02</v>
      </c>
      <c r="H193" s="32">
        <v>0</v>
      </c>
      <c r="I193" s="34">
        <v>16</v>
      </c>
      <c r="J193" s="33">
        <v>0</v>
      </c>
      <c r="K193" s="34">
        <v>1770</v>
      </c>
      <c r="L193" s="32">
        <v>316.16000000000003</v>
      </c>
      <c r="M193" s="32">
        <v>60.23</v>
      </c>
      <c r="N193" s="32">
        <v>66.150000000000006</v>
      </c>
      <c r="O193" s="32">
        <v>26.75</v>
      </c>
      <c r="P193" s="32">
        <v>3.36</v>
      </c>
      <c r="Q193" s="34">
        <v>626635</v>
      </c>
      <c r="R193" s="34">
        <v>0</v>
      </c>
      <c r="S193" s="34">
        <v>626635</v>
      </c>
      <c r="T193" s="34">
        <v>106607</v>
      </c>
      <c r="U193" s="34">
        <v>117086</v>
      </c>
      <c r="V193" s="34">
        <v>0</v>
      </c>
      <c r="W193" s="34">
        <v>53019</v>
      </c>
      <c r="X193" s="34">
        <v>6660</v>
      </c>
      <c r="Y193" s="34">
        <v>910007</v>
      </c>
      <c r="Z193" s="34">
        <v>96310</v>
      </c>
      <c r="AA193" s="34">
        <v>813697</v>
      </c>
      <c r="AB193" s="34">
        <v>470766</v>
      </c>
      <c r="AC193" s="34">
        <v>342931</v>
      </c>
    </row>
    <row r="194" spans="1:29" x14ac:dyDescent="0.25">
      <c r="A194" s="31" t="s">
        <v>176</v>
      </c>
      <c r="B194" s="31" t="s">
        <v>738</v>
      </c>
      <c r="C194" s="31" t="s">
        <v>203</v>
      </c>
      <c r="D194" s="31" t="s">
        <v>599</v>
      </c>
      <c r="E194" s="32">
        <v>52.52</v>
      </c>
      <c r="F194" s="33">
        <v>450.8</v>
      </c>
      <c r="G194" s="32">
        <v>503.32</v>
      </c>
      <c r="H194" s="32">
        <v>0</v>
      </c>
      <c r="I194" s="34">
        <v>61</v>
      </c>
      <c r="J194" s="33">
        <v>0</v>
      </c>
      <c r="K194" s="34">
        <v>512</v>
      </c>
      <c r="L194" s="32">
        <v>316.16000000000003</v>
      </c>
      <c r="M194" s="32">
        <v>60.23</v>
      </c>
      <c r="N194" s="32">
        <v>66.150000000000006</v>
      </c>
      <c r="O194" s="32">
        <v>26.75</v>
      </c>
      <c r="P194" s="32">
        <v>3.36</v>
      </c>
      <c r="Q194" s="34">
        <v>159130</v>
      </c>
      <c r="R194" s="34">
        <v>0</v>
      </c>
      <c r="S194" s="34">
        <v>159130</v>
      </c>
      <c r="T194" s="34">
        <v>30838</v>
      </c>
      <c r="U194" s="34">
        <v>33869</v>
      </c>
      <c r="V194" s="34">
        <v>0</v>
      </c>
      <c r="W194" s="34">
        <v>13464</v>
      </c>
      <c r="X194" s="34">
        <v>1691</v>
      </c>
      <c r="Y194" s="34">
        <v>238992</v>
      </c>
      <c r="Z194" s="34">
        <v>24923</v>
      </c>
      <c r="AA194" s="34">
        <v>214069</v>
      </c>
      <c r="AB194" s="34">
        <v>119082</v>
      </c>
      <c r="AC194" s="34">
        <v>94987</v>
      </c>
    </row>
    <row r="195" spans="1:29" x14ac:dyDescent="0.25">
      <c r="A195" s="31" t="s">
        <v>176</v>
      </c>
      <c r="B195" s="31" t="s">
        <v>738</v>
      </c>
      <c r="C195" s="31" t="s">
        <v>204</v>
      </c>
      <c r="D195" s="31" t="s">
        <v>600</v>
      </c>
      <c r="E195" s="32">
        <v>76.180000000000007</v>
      </c>
      <c r="F195" s="33">
        <v>652.9</v>
      </c>
      <c r="G195" s="32">
        <v>729.08</v>
      </c>
      <c r="H195" s="32">
        <v>0</v>
      </c>
      <c r="I195" s="34">
        <v>5</v>
      </c>
      <c r="J195" s="33">
        <v>0</v>
      </c>
      <c r="K195" s="34">
        <v>658</v>
      </c>
      <c r="L195" s="32">
        <v>316.16000000000003</v>
      </c>
      <c r="M195" s="32">
        <v>60.23</v>
      </c>
      <c r="N195" s="32">
        <v>66.150000000000006</v>
      </c>
      <c r="O195" s="32">
        <v>26.75</v>
      </c>
      <c r="P195" s="32">
        <v>3.36</v>
      </c>
      <c r="Q195" s="34">
        <v>230506</v>
      </c>
      <c r="R195" s="34">
        <v>3075</v>
      </c>
      <c r="S195" s="34">
        <v>233581</v>
      </c>
      <c r="T195" s="34">
        <v>39631</v>
      </c>
      <c r="U195" s="34">
        <v>43527</v>
      </c>
      <c r="V195" s="34">
        <v>0</v>
      </c>
      <c r="W195" s="34">
        <v>19656</v>
      </c>
      <c r="X195" s="34">
        <v>2478</v>
      </c>
      <c r="Y195" s="34">
        <v>338873</v>
      </c>
      <c r="Z195" s="34">
        <v>28294</v>
      </c>
      <c r="AA195" s="34">
        <v>310579</v>
      </c>
      <c r="AB195" s="34">
        <v>180484</v>
      </c>
      <c r="AC195" s="34">
        <v>130095</v>
      </c>
    </row>
    <row r="196" spans="1:29" x14ac:dyDescent="0.25">
      <c r="A196" s="31" t="s">
        <v>176</v>
      </c>
      <c r="B196" s="31" t="s">
        <v>738</v>
      </c>
      <c r="C196" s="31" t="s">
        <v>205</v>
      </c>
      <c r="D196" s="31" t="s">
        <v>601</v>
      </c>
      <c r="E196" s="32">
        <v>34.31</v>
      </c>
      <c r="F196" s="33">
        <v>507</v>
      </c>
      <c r="G196" s="32">
        <v>541.30999999999995</v>
      </c>
      <c r="H196" s="32">
        <v>0</v>
      </c>
      <c r="I196" s="34">
        <v>28</v>
      </c>
      <c r="J196" s="33">
        <v>0</v>
      </c>
      <c r="K196" s="34">
        <v>535</v>
      </c>
      <c r="L196" s="32">
        <v>316.16000000000003</v>
      </c>
      <c r="M196" s="32">
        <v>60.23</v>
      </c>
      <c r="N196" s="32">
        <v>66.150000000000006</v>
      </c>
      <c r="O196" s="32">
        <v>26.75</v>
      </c>
      <c r="P196" s="32">
        <v>3.36</v>
      </c>
      <c r="Q196" s="34">
        <v>171141</v>
      </c>
      <c r="R196" s="34">
        <v>2067</v>
      </c>
      <c r="S196" s="34">
        <v>173208</v>
      </c>
      <c r="T196" s="34">
        <v>32223</v>
      </c>
      <c r="U196" s="34">
        <v>35390</v>
      </c>
      <c r="V196" s="34">
        <v>0</v>
      </c>
      <c r="W196" s="34">
        <v>14575</v>
      </c>
      <c r="X196" s="34">
        <v>1837</v>
      </c>
      <c r="Y196" s="34">
        <v>257233</v>
      </c>
      <c r="Z196" s="34">
        <v>24760</v>
      </c>
      <c r="AA196" s="34">
        <v>232473</v>
      </c>
      <c r="AB196" s="34">
        <v>130227</v>
      </c>
      <c r="AC196" s="34">
        <v>102246</v>
      </c>
    </row>
    <row r="197" spans="1:29" x14ac:dyDescent="0.25">
      <c r="A197" s="31" t="s">
        <v>176</v>
      </c>
      <c r="B197" s="31" t="s">
        <v>738</v>
      </c>
      <c r="C197" s="31" t="s">
        <v>206</v>
      </c>
      <c r="D197" s="31" t="s">
        <v>602</v>
      </c>
      <c r="E197" s="32">
        <v>34.74</v>
      </c>
      <c r="F197" s="33">
        <v>320</v>
      </c>
      <c r="G197" s="32">
        <v>354.74</v>
      </c>
      <c r="H197" s="32">
        <v>0</v>
      </c>
      <c r="I197" s="34">
        <v>0</v>
      </c>
      <c r="J197" s="33">
        <v>0</v>
      </c>
      <c r="K197" s="34">
        <v>320</v>
      </c>
      <c r="L197" s="32">
        <v>316.16000000000003</v>
      </c>
      <c r="M197" s="32">
        <v>60.23</v>
      </c>
      <c r="N197" s="32">
        <v>66.150000000000006</v>
      </c>
      <c r="O197" s="32">
        <v>26.75</v>
      </c>
      <c r="P197" s="32">
        <v>3.36</v>
      </c>
      <c r="Q197" s="34">
        <v>112155</v>
      </c>
      <c r="R197" s="34">
        <v>4750</v>
      </c>
      <c r="S197" s="34">
        <v>116905</v>
      </c>
      <c r="T197" s="34">
        <v>19274</v>
      </c>
      <c r="U197" s="34">
        <v>21168</v>
      </c>
      <c r="V197" s="34">
        <v>0</v>
      </c>
      <c r="W197" s="34">
        <v>9837</v>
      </c>
      <c r="X197" s="34">
        <v>1240</v>
      </c>
      <c r="Y197" s="34">
        <v>168424</v>
      </c>
      <c r="Z197" s="34">
        <v>22056</v>
      </c>
      <c r="AA197" s="34">
        <v>146368</v>
      </c>
      <c r="AB197" s="34">
        <v>79834</v>
      </c>
      <c r="AC197" s="34">
        <v>66534</v>
      </c>
    </row>
    <row r="198" spans="1:29" x14ac:dyDescent="0.25">
      <c r="A198" s="31" t="s">
        <v>176</v>
      </c>
      <c r="B198" s="31" t="s">
        <v>738</v>
      </c>
      <c r="C198" s="31" t="s">
        <v>207</v>
      </c>
      <c r="D198" s="31" t="s">
        <v>603</v>
      </c>
      <c r="E198" s="32">
        <v>165.55</v>
      </c>
      <c r="F198" s="33">
        <v>1404.3</v>
      </c>
      <c r="G198" s="32">
        <v>1569.85</v>
      </c>
      <c r="H198" s="32">
        <v>0</v>
      </c>
      <c r="I198" s="34">
        <v>7</v>
      </c>
      <c r="J198" s="33">
        <v>0</v>
      </c>
      <c r="K198" s="34">
        <v>1411</v>
      </c>
      <c r="L198" s="32">
        <v>316.16000000000003</v>
      </c>
      <c r="M198" s="32">
        <v>60.23</v>
      </c>
      <c r="N198" s="32">
        <v>66.150000000000006</v>
      </c>
      <c r="O198" s="32">
        <v>26.75</v>
      </c>
      <c r="P198" s="32">
        <v>3.36</v>
      </c>
      <c r="Q198" s="34">
        <v>496324</v>
      </c>
      <c r="R198" s="34">
        <v>9598</v>
      </c>
      <c r="S198" s="34">
        <v>505922</v>
      </c>
      <c r="T198" s="34">
        <v>84985</v>
      </c>
      <c r="U198" s="34">
        <v>93338</v>
      </c>
      <c r="V198" s="34">
        <v>0</v>
      </c>
      <c r="W198" s="34">
        <v>42573</v>
      </c>
      <c r="X198" s="34">
        <v>5367</v>
      </c>
      <c r="Y198" s="34">
        <v>732185</v>
      </c>
      <c r="Z198" s="34">
        <v>74481</v>
      </c>
      <c r="AA198" s="34">
        <v>657704</v>
      </c>
      <c r="AB198" s="34">
        <v>375341</v>
      </c>
      <c r="AC198" s="34">
        <v>282363</v>
      </c>
    </row>
    <row r="199" spans="1:29" x14ac:dyDescent="0.25">
      <c r="A199" s="31" t="s">
        <v>176</v>
      </c>
      <c r="B199" s="31" t="s">
        <v>738</v>
      </c>
      <c r="C199" s="31" t="s">
        <v>208</v>
      </c>
      <c r="D199" s="31" t="s">
        <v>604</v>
      </c>
      <c r="E199" s="32">
        <v>490.42</v>
      </c>
      <c r="F199" s="33">
        <v>2939.9</v>
      </c>
      <c r="G199" s="32">
        <v>3430.32</v>
      </c>
      <c r="H199" s="32">
        <v>0</v>
      </c>
      <c r="I199" s="34">
        <v>91</v>
      </c>
      <c r="J199" s="33">
        <v>0</v>
      </c>
      <c r="K199" s="34">
        <v>3031</v>
      </c>
      <c r="L199" s="32">
        <v>316.16000000000003</v>
      </c>
      <c r="M199" s="32">
        <v>60.23</v>
      </c>
      <c r="N199" s="32">
        <v>66.150000000000006</v>
      </c>
      <c r="O199" s="32">
        <v>26.75</v>
      </c>
      <c r="P199" s="32">
        <v>3.36</v>
      </c>
      <c r="Q199" s="34">
        <v>1084530</v>
      </c>
      <c r="R199" s="34">
        <v>0</v>
      </c>
      <c r="S199" s="34">
        <v>1084530</v>
      </c>
      <c r="T199" s="34">
        <v>182557</v>
      </c>
      <c r="U199" s="34">
        <v>200501</v>
      </c>
      <c r="V199" s="34">
        <v>0</v>
      </c>
      <c r="W199" s="34">
        <v>91761</v>
      </c>
      <c r="X199" s="34">
        <v>11526</v>
      </c>
      <c r="Y199" s="34">
        <v>1570875</v>
      </c>
      <c r="Z199" s="34">
        <v>166415</v>
      </c>
      <c r="AA199" s="34">
        <v>1404460</v>
      </c>
      <c r="AB199" s="34">
        <v>815034</v>
      </c>
      <c r="AC199" s="34">
        <v>589426</v>
      </c>
    </row>
    <row r="200" spans="1:29" x14ac:dyDescent="0.25">
      <c r="A200" s="31" t="s">
        <v>176</v>
      </c>
      <c r="B200" s="31" t="s">
        <v>738</v>
      </c>
      <c r="C200" s="31" t="s">
        <v>209</v>
      </c>
      <c r="D200" s="31" t="s">
        <v>605</v>
      </c>
      <c r="E200" s="32">
        <v>138.01</v>
      </c>
      <c r="F200" s="33">
        <v>1946</v>
      </c>
      <c r="G200" s="32">
        <v>2084.0100000000002</v>
      </c>
      <c r="H200" s="32">
        <v>0</v>
      </c>
      <c r="I200" s="34">
        <v>49</v>
      </c>
      <c r="J200" s="33">
        <v>0</v>
      </c>
      <c r="K200" s="34">
        <v>1995</v>
      </c>
      <c r="L200" s="32">
        <v>316.16000000000003</v>
      </c>
      <c r="M200" s="32">
        <v>60.23</v>
      </c>
      <c r="N200" s="32">
        <v>66.150000000000006</v>
      </c>
      <c r="O200" s="32">
        <v>26.75</v>
      </c>
      <c r="P200" s="32">
        <v>3.36</v>
      </c>
      <c r="Q200" s="34">
        <v>658881</v>
      </c>
      <c r="R200" s="34">
        <v>0</v>
      </c>
      <c r="S200" s="34">
        <v>658881</v>
      </c>
      <c r="T200" s="34">
        <v>120159</v>
      </c>
      <c r="U200" s="34">
        <v>131969</v>
      </c>
      <c r="V200" s="34">
        <v>0</v>
      </c>
      <c r="W200" s="34">
        <v>55747</v>
      </c>
      <c r="X200" s="34">
        <v>7002</v>
      </c>
      <c r="Y200" s="34">
        <v>973758</v>
      </c>
      <c r="Z200" s="34">
        <v>46906</v>
      </c>
      <c r="AA200" s="34">
        <v>926852</v>
      </c>
      <c r="AB200" s="34">
        <v>549350</v>
      </c>
      <c r="AC200" s="34">
        <v>377502</v>
      </c>
    </row>
    <row r="201" spans="1:29" x14ac:dyDescent="0.25">
      <c r="A201" s="31" t="s">
        <v>176</v>
      </c>
      <c r="B201" s="31" t="s">
        <v>738</v>
      </c>
      <c r="C201" s="31" t="s">
        <v>210</v>
      </c>
      <c r="D201" s="31" t="s">
        <v>606</v>
      </c>
      <c r="E201" s="32">
        <v>390.14</v>
      </c>
      <c r="F201" s="33">
        <v>3350.5</v>
      </c>
      <c r="G201" s="32">
        <v>3740.64</v>
      </c>
      <c r="H201" s="32">
        <v>0</v>
      </c>
      <c r="I201" s="34">
        <v>78</v>
      </c>
      <c r="J201" s="33">
        <v>0</v>
      </c>
      <c r="K201" s="34">
        <v>3429</v>
      </c>
      <c r="L201" s="32">
        <v>316.16000000000003</v>
      </c>
      <c r="M201" s="32">
        <v>60.23</v>
      </c>
      <c r="N201" s="32">
        <v>66.150000000000006</v>
      </c>
      <c r="O201" s="32">
        <v>26.75</v>
      </c>
      <c r="P201" s="32">
        <v>3.36</v>
      </c>
      <c r="Q201" s="34">
        <v>1182641</v>
      </c>
      <c r="R201" s="34">
        <v>0</v>
      </c>
      <c r="S201" s="34">
        <v>1182641</v>
      </c>
      <c r="T201" s="34">
        <v>206529</v>
      </c>
      <c r="U201" s="34">
        <v>226828</v>
      </c>
      <c r="V201" s="34">
        <v>0</v>
      </c>
      <c r="W201" s="34">
        <v>100062</v>
      </c>
      <c r="X201" s="34">
        <v>12569</v>
      </c>
      <c r="Y201" s="34">
        <v>1728629</v>
      </c>
      <c r="Z201" s="34">
        <v>107803</v>
      </c>
      <c r="AA201" s="34">
        <v>1620826</v>
      </c>
      <c r="AB201" s="34">
        <v>962432</v>
      </c>
      <c r="AC201" s="34">
        <v>658394</v>
      </c>
    </row>
    <row r="202" spans="1:29" x14ac:dyDescent="0.25">
      <c r="A202" s="31" t="s">
        <v>176</v>
      </c>
      <c r="B202" s="31" t="s">
        <v>738</v>
      </c>
      <c r="C202" s="31" t="s">
        <v>211</v>
      </c>
      <c r="D202" s="31" t="s">
        <v>607</v>
      </c>
      <c r="E202" s="32">
        <v>46.65</v>
      </c>
      <c r="F202" s="33">
        <v>601.9</v>
      </c>
      <c r="G202" s="32">
        <v>648.54999999999995</v>
      </c>
      <c r="H202" s="32">
        <v>0</v>
      </c>
      <c r="I202" s="34">
        <v>14</v>
      </c>
      <c r="J202" s="33">
        <v>0</v>
      </c>
      <c r="K202" s="34">
        <v>616</v>
      </c>
      <c r="L202" s="32">
        <v>316.16000000000003</v>
      </c>
      <c r="M202" s="32">
        <v>60.23</v>
      </c>
      <c r="N202" s="32">
        <v>66.150000000000006</v>
      </c>
      <c r="O202" s="32">
        <v>26.75</v>
      </c>
      <c r="P202" s="32">
        <v>3.36</v>
      </c>
      <c r="Q202" s="34">
        <v>205046</v>
      </c>
      <c r="R202" s="34">
        <v>0</v>
      </c>
      <c r="S202" s="34">
        <v>205046</v>
      </c>
      <c r="T202" s="34">
        <v>37102</v>
      </c>
      <c r="U202" s="34">
        <v>40748</v>
      </c>
      <c r="V202" s="34">
        <v>0</v>
      </c>
      <c r="W202" s="34">
        <v>17349</v>
      </c>
      <c r="X202" s="34">
        <v>2179</v>
      </c>
      <c r="Y202" s="34">
        <v>302424</v>
      </c>
      <c r="Z202" s="34">
        <v>33736</v>
      </c>
      <c r="AA202" s="34">
        <v>268688</v>
      </c>
      <c r="AB202" s="34">
        <v>151821</v>
      </c>
      <c r="AC202" s="34">
        <v>116867</v>
      </c>
    </row>
    <row r="203" spans="1:29" x14ac:dyDescent="0.25">
      <c r="A203" s="31" t="s">
        <v>176</v>
      </c>
      <c r="B203" s="31" t="s">
        <v>738</v>
      </c>
      <c r="C203" s="31" t="s">
        <v>213</v>
      </c>
      <c r="D203" s="31" t="s">
        <v>214</v>
      </c>
      <c r="E203" s="32">
        <v>113.61</v>
      </c>
      <c r="F203" s="33">
        <v>1022.9</v>
      </c>
      <c r="G203" s="32">
        <v>1136.51</v>
      </c>
      <c r="H203" s="32">
        <v>0</v>
      </c>
      <c r="I203" s="34">
        <v>18</v>
      </c>
      <c r="J203" s="33">
        <v>0</v>
      </c>
      <c r="K203" s="34">
        <v>1041</v>
      </c>
      <c r="L203" s="32">
        <v>316.16000000000003</v>
      </c>
      <c r="M203" s="32">
        <v>60.23</v>
      </c>
      <c r="N203" s="32">
        <v>66.150000000000006</v>
      </c>
      <c r="O203" s="32">
        <v>26.75</v>
      </c>
      <c r="P203" s="32">
        <v>3.36</v>
      </c>
      <c r="Q203" s="34">
        <v>359319</v>
      </c>
      <c r="R203" s="34">
        <v>0</v>
      </c>
      <c r="S203" s="34">
        <v>359319</v>
      </c>
      <c r="T203" s="34">
        <v>62699</v>
      </c>
      <c r="U203" s="34">
        <v>68862</v>
      </c>
      <c r="V203" s="34">
        <v>0</v>
      </c>
      <c r="W203" s="34">
        <v>30402</v>
      </c>
      <c r="X203" s="34">
        <v>3819</v>
      </c>
      <c r="Y203" s="34">
        <v>525101</v>
      </c>
      <c r="Z203" s="34">
        <v>48391</v>
      </c>
      <c r="AA203" s="34">
        <v>476710</v>
      </c>
      <c r="AB203" s="34">
        <v>276777</v>
      </c>
      <c r="AC203" s="34">
        <v>199933</v>
      </c>
    </row>
    <row r="204" spans="1:29" x14ac:dyDescent="0.25">
      <c r="A204" s="31" t="s">
        <v>176</v>
      </c>
      <c r="B204" s="31" t="s">
        <v>738</v>
      </c>
      <c r="C204" s="31" t="s">
        <v>212</v>
      </c>
      <c r="D204" s="31" t="s">
        <v>608</v>
      </c>
      <c r="E204" s="32">
        <v>91.52</v>
      </c>
      <c r="F204" s="33">
        <v>686.6</v>
      </c>
      <c r="G204" s="32">
        <v>778.12</v>
      </c>
      <c r="H204" s="32">
        <v>0</v>
      </c>
      <c r="I204" s="34">
        <v>2</v>
      </c>
      <c r="J204" s="33">
        <v>0</v>
      </c>
      <c r="K204" s="34">
        <v>689</v>
      </c>
      <c r="L204" s="32">
        <v>316.16000000000003</v>
      </c>
      <c r="M204" s="32">
        <v>60.23</v>
      </c>
      <c r="N204" s="32">
        <v>66.150000000000006</v>
      </c>
      <c r="O204" s="32">
        <v>26.75</v>
      </c>
      <c r="P204" s="32">
        <v>3.36</v>
      </c>
      <c r="Q204" s="34">
        <v>246010</v>
      </c>
      <c r="R204" s="34">
        <v>0</v>
      </c>
      <c r="S204" s="34">
        <v>246010</v>
      </c>
      <c r="T204" s="34">
        <v>41498</v>
      </c>
      <c r="U204" s="34">
        <v>45577</v>
      </c>
      <c r="V204" s="34">
        <v>0</v>
      </c>
      <c r="W204" s="34">
        <v>20815</v>
      </c>
      <c r="X204" s="34">
        <v>2614</v>
      </c>
      <c r="Y204" s="34">
        <v>356514</v>
      </c>
      <c r="Z204" s="34">
        <v>35283</v>
      </c>
      <c r="AA204" s="34">
        <v>321231</v>
      </c>
      <c r="AB204" s="34">
        <v>187345</v>
      </c>
      <c r="AC204" s="34">
        <v>133886</v>
      </c>
    </row>
    <row r="205" spans="1:29" x14ac:dyDescent="0.25">
      <c r="A205" s="31" t="s">
        <v>176</v>
      </c>
      <c r="B205" s="31" t="s">
        <v>738</v>
      </c>
      <c r="C205" s="31" t="s">
        <v>215</v>
      </c>
      <c r="D205" s="31" t="s">
        <v>609</v>
      </c>
      <c r="E205" s="32">
        <v>225.16</v>
      </c>
      <c r="F205" s="33">
        <v>2174.1999999999998</v>
      </c>
      <c r="G205" s="32">
        <v>2399.36</v>
      </c>
      <c r="H205" s="32">
        <v>0</v>
      </c>
      <c r="I205" s="34">
        <v>570</v>
      </c>
      <c r="J205" s="33">
        <v>2.4</v>
      </c>
      <c r="K205" s="34">
        <v>2742</v>
      </c>
      <c r="L205" s="32">
        <v>316.16000000000003</v>
      </c>
      <c r="M205" s="32">
        <v>60.23</v>
      </c>
      <c r="N205" s="32">
        <v>66.150000000000006</v>
      </c>
      <c r="O205" s="32">
        <v>26.75</v>
      </c>
      <c r="P205" s="32">
        <v>3.36</v>
      </c>
      <c r="Q205" s="34">
        <v>758582</v>
      </c>
      <c r="R205" s="34">
        <v>0</v>
      </c>
      <c r="S205" s="34">
        <v>758582</v>
      </c>
      <c r="T205" s="34">
        <v>165151</v>
      </c>
      <c r="U205" s="34">
        <v>181383</v>
      </c>
      <c r="V205" s="34">
        <v>0</v>
      </c>
      <c r="W205" s="34">
        <v>64183</v>
      </c>
      <c r="X205" s="34">
        <v>8062</v>
      </c>
      <c r="Y205" s="34">
        <v>1177361</v>
      </c>
      <c r="Z205" s="34">
        <v>102986</v>
      </c>
      <c r="AA205" s="34">
        <v>1074375</v>
      </c>
      <c r="AB205" s="34">
        <v>583495</v>
      </c>
      <c r="AC205" s="34">
        <v>490880</v>
      </c>
    </row>
    <row r="206" spans="1:29" x14ac:dyDescent="0.25">
      <c r="A206" s="31" t="s">
        <v>176</v>
      </c>
      <c r="B206" s="31" t="s">
        <v>738</v>
      </c>
      <c r="C206" s="31" t="s">
        <v>216</v>
      </c>
      <c r="D206" s="31" t="s">
        <v>610</v>
      </c>
      <c r="E206" s="32">
        <v>253.5</v>
      </c>
      <c r="F206" s="33">
        <v>1830.9</v>
      </c>
      <c r="G206" s="32">
        <v>2084.4</v>
      </c>
      <c r="H206" s="32">
        <v>0</v>
      </c>
      <c r="I206" s="34">
        <v>78</v>
      </c>
      <c r="J206" s="33">
        <v>8.6999999999999993</v>
      </c>
      <c r="K206" s="34">
        <v>1900</v>
      </c>
      <c r="L206" s="32">
        <v>316.16000000000003</v>
      </c>
      <c r="M206" s="32">
        <v>60.23</v>
      </c>
      <c r="N206" s="32">
        <v>66.150000000000006</v>
      </c>
      <c r="O206" s="32">
        <v>26.75</v>
      </c>
      <c r="P206" s="32">
        <v>3.36</v>
      </c>
      <c r="Q206" s="34">
        <v>659004</v>
      </c>
      <c r="R206" s="34">
        <v>0</v>
      </c>
      <c r="S206" s="34">
        <v>659004</v>
      </c>
      <c r="T206" s="34">
        <v>114437</v>
      </c>
      <c r="U206" s="34">
        <v>125685</v>
      </c>
      <c r="V206" s="34">
        <v>0</v>
      </c>
      <c r="W206" s="34">
        <v>55758</v>
      </c>
      <c r="X206" s="34">
        <v>7004</v>
      </c>
      <c r="Y206" s="34">
        <v>961888</v>
      </c>
      <c r="Z206" s="34">
        <v>87429</v>
      </c>
      <c r="AA206" s="34">
        <v>874459</v>
      </c>
      <c r="AB206" s="34">
        <v>508939</v>
      </c>
      <c r="AC206" s="34">
        <v>365520</v>
      </c>
    </row>
    <row r="207" spans="1:29" x14ac:dyDescent="0.25">
      <c r="A207" s="31" t="s">
        <v>176</v>
      </c>
      <c r="B207" s="31" t="s">
        <v>738</v>
      </c>
      <c r="C207" s="31" t="s">
        <v>217</v>
      </c>
      <c r="D207" s="31" t="s">
        <v>611</v>
      </c>
      <c r="E207" s="32">
        <v>86.96</v>
      </c>
      <c r="F207" s="33">
        <v>675.4</v>
      </c>
      <c r="G207" s="32">
        <v>762.36</v>
      </c>
      <c r="H207" s="32">
        <v>0</v>
      </c>
      <c r="I207" s="34">
        <v>2</v>
      </c>
      <c r="J207" s="33">
        <v>0</v>
      </c>
      <c r="K207" s="34">
        <v>677</v>
      </c>
      <c r="L207" s="32">
        <v>316.16000000000003</v>
      </c>
      <c r="M207" s="32">
        <v>60.23</v>
      </c>
      <c r="N207" s="32">
        <v>66.150000000000006</v>
      </c>
      <c r="O207" s="32">
        <v>26.75</v>
      </c>
      <c r="P207" s="32">
        <v>3.36</v>
      </c>
      <c r="Q207" s="34">
        <v>241028</v>
      </c>
      <c r="R207" s="34">
        <v>0</v>
      </c>
      <c r="S207" s="34">
        <v>241028</v>
      </c>
      <c r="T207" s="34">
        <v>40776</v>
      </c>
      <c r="U207" s="34">
        <v>44784</v>
      </c>
      <c r="V207" s="34">
        <v>0</v>
      </c>
      <c r="W207" s="34">
        <v>20393</v>
      </c>
      <c r="X207" s="34">
        <v>2562</v>
      </c>
      <c r="Y207" s="34">
        <v>349543</v>
      </c>
      <c r="Z207" s="34">
        <v>33026</v>
      </c>
      <c r="AA207" s="34">
        <v>316517</v>
      </c>
      <c r="AB207" s="34">
        <v>185093</v>
      </c>
      <c r="AC207" s="34">
        <v>131424</v>
      </c>
    </row>
    <row r="208" spans="1:29" x14ac:dyDescent="0.25">
      <c r="A208" s="31" t="s">
        <v>176</v>
      </c>
      <c r="B208" s="31" t="s">
        <v>738</v>
      </c>
      <c r="C208" s="31" t="s">
        <v>218</v>
      </c>
      <c r="D208" s="31" t="s">
        <v>612</v>
      </c>
      <c r="E208" s="32">
        <v>86.62</v>
      </c>
      <c r="F208" s="33">
        <v>986.9</v>
      </c>
      <c r="G208" s="32">
        <v>1073.52</v>
      </c>
      <c r="H208" s="32">
        <v>0</v>
      </c>
      <c r="I208" s="34">
        <v>7</v>
      </c>
      <c r="J208" s="33">
        <v>0</v>
      </c>
      <c r="K208" s="34">
        <v>994</v>
      </c>
      <c r="L208" s="32">
        <v>316.16000000000003</v>
      </c>
      <c r="M208" s="32">
        <v>60.23</v>
      </c>
      <c r="N208" s="32">
        <v>66.150000000000006</v>
      </c>
      <c r="O208" s="32">
        <v>26.75</v>
      </c>
      <c r="P208" s="32">
        <v>3.36</v>
      </c>
      <c r="Q208" s="34">
        <v>339404</v>
      </c>
      <c r="R208" s="34">
        <v>0</v>
      </c>
      <c r="S208" s="34">
        <v>339404</v>
      </c>
      <c r="T208" s="34">
        <v>59869</v>
      </c>
      <c r="U208" s="34">
        <v>65753</v>
      </c>
      <c r="V208" s="34">
        <v>0</v>
      </c>
      <c r="W208" s="34">
        <v>28717</v>
      </c>
      <c r="X208" s="34">
        <v>3607</v>
      </c>
      <c r="Y208" s="34">
        <v>497350</v>
      </c>
      <c r="Z208" s="34">
        <v>50890</v>
      </c>
      <c r="AA208" s="34">
        <v>446460</v>
      </c>
      <c r="AB208" s="34">
        <v>256255</v>
      </c>
      <c r="AC208" s="34">
        <v>190205</v>
      </c>
    </row>
    <row r="209" spans="1:29" x14ac:dyDescent="0.25">
      <c r="A209" s="31" t="s">
        <v>176</v>
      </c>
      <c r="B209" s="31" t="s">
        <v>738</v>
      </c>
      <c r="C209" s="31" t="s">
        <v>219</v>
      </c>
      <c r="D209" s="31" t="s">
        <v>613</v>
      </c>
      <c r="E209" s="32">
        <v>146.29</v>
      </c>
      <c r="F209" s="33">
        <v>1067.3</v>
      </c>
      <c r="G209" s="32">
        <v>1213.5899999999999</v>
      </c>
      <c r="H209" s="32">
        <v>0</v>
      </c>
      <c r="I209" s="34">
        <v>40</v>
      </c>
      <c r="J209" s="33">
        <v>0.2</v>
      </c>
      <c r="K209" s="34">
        <v>1107</v>
      </c>
      <c r="L209" s="32">
        <v>316.16000000000003</v>
      </c>
      <c r="M209" s="32">
        <v>60.23</v>
      </c>
      <c r="N209" s="32">
        <v>66.150000000000006</v>
      </c>
      <c r="O209" s="32">
        <v>26.75</v>
      </c>
      <c r="P209" s="32">
        <v>3.36</v>
      </c>
      <c r="Q209" s="34">
        <v>383689</v>
      </c>
      <c r="R209" s="34">
        <v>2190</v>
      </c>
      <c r="S209" s="34">
        <v>385879</v>
      </c>
      <c r="T209" s="34">
        <v>66675</v>
      </c>
      <c r="U209" s="34">
        <v>73228</v>
      </c>
      <c r="V209" s="34">
        <v>0</v>
      </c>
      <c r="W209" s="34">
        <v>32464</v>
      </c>
      <c r="X209" s="34">
        <v>4078</v>
      </c>
      <c r="Y209" s="34">
        <v>562324</v>
      </c>
      <c r="Z209" s="34">
        <v>70214</v>
      </c>
      <c r="AA209" s="34">
        <v>492110</v>
      </c>
      <c r="AB209" s="34">
        <v>277007</v>
      </c>
      <c r="AC209" s="34">
        <v>215103</v>
      </c>
    </row>
    <row r="210" spans="1:29" x14ac:dyDescent="0.25">
      <c r="A210" s="31" t="s">
        <v>176</v>
      </c>
      <c r="B210" s="31" t="s">
        <v>738</v>
      </c>
      <c r="C210" s="31" t="s">
        <v>220</v>
      </c>
      <c r="D210" s="31" t="s">
        <v>614</v>
      </c>
      <c r="E210" s="32">
        <v>991.12</v>
      </c>
      <c r="F210" s="33">
        <v>7024.1</v>
      </c>
      <c r="G210" s="32">
        <v>8015.22</v>
      </c>
      <c r="H210" s="32">
        <v>0</v>
      </c>
      <c r="I210" s="34">
        <v>339</v>
      </c>
      <c r="J210" s="33">
        <v>0</v>
      </c>
      <c r="K210" s="34">
        <v>7363</v>
      </c>
      <c r="L210" s="32">
        <v>316.16000000000003</v>
      </c>
      <c r="M210" s="32">
        <v>60.23</v>
      </c>
      <c r="N210" s="32">
        <v>66.150000000000006</v>
      </c>
      <c r="O210" s="32">
        <v>26.75</v>
      </c>
      <c r="P210" s="32">
        <v>3.36</v>
      </c>
      <c r="Q210" s="34">
        <v>2534092</v>
      </c>
      <c r="R210" s="34">
        <v>0</v>
      </c>
      <c r="S210" s="34">
        <v>2534092</v>
      </c>
      <c r="T210" s="34">
        <v>443473</v>
      </c>
      <c r="U210" s="34">
        <v>487062</v>
      </c>
      <c r="V210" s="34">
        <v>0</v>
      </c>
      <c r="W210" s="34">
        <v>214407</v>
      </c>
      <c r="X210" s="34">
        <v>26931</v>
      </c>
      <c r="Y210" s="34">
        <v>3705965</v>
      </c>
      <c r="Z210" s="34">
        <v>225412</v>
      </c>
      <c r="AA210" s="34">
        <v>3480553</v>
      </c>
      <c r="AB210" s="34">
        <v>2067822</v>
      </c>
      <c r="AC210" s="34">
        <v>1412731</v>
      </c>
    </row>
    <row r="211" spans="1:29" x14ac:dyDescent="0.25">
      <c r="A211" s="31" t="s">
        <v>176</v>
      </c>
      <c r="B211" s="31" t="s">
        <v>738</v>
      </c>
      <c r="C211" s="31" t="s">
        <v>221</v>
      </c>
      <c r="D211" s="31" t="s">
        <v>615</v>
      </c>
      <c r="E211" s="32">
        <v>71.22</v>
      </c>
      <c r="F211" s="33">
        <v>531.5</v>
      </c>
      <c r="G211" s="32">
        <v>602.72</v>
      </c>
      <c r="H211" s="32">
        <v>0</v>
      </c>
      <c r="I211" s="34">
        <v>0</v>
      </c>
      <c r="J211" s="33">
        <v>0</v>
      </c>
      <c r="K211" s="34">
        <v>532</v>
      </c>
      <c r="L211" s="32">
        <v>316.16000000000003</v>
      </c>
      <c r="M211" s="32">
        <v>60.23</v>
      </c>
      <c r="N211" s="32">
        <v>66.150000000000006</v>
      </c>
      <c r="O211" s="32">
        <v>26.75</v>
      </c>
      <c r="P211" s="32">
        <v>3.36</v>
      </c>
      <c r="Q211" s="34">
        <v>190556</v>
      </c>
      <c r="R211" s="34">
        <v>0</v>
      </c>
      <c r="S211" s="34">
        <v>190556</v>
      </c>
      <c r="T211" s="34">
        <v>32042</v>
      </c>
      <c r="U211" s="34">
        <v>35192</v>
      </c>
      <c r="V211" s="34">
        <v>0</v>
      </c>
      <c r="W211" s="34">
        <v>16123</v>
      </c>
      <c r="X211" s="34">
        <v>2025</v>
      </c>
      <c r="Y211" s="34">
        <v>275938</v>
      </c>
      <c r="Z211" s="34">
        <v>28668</v>
      </c>
      <c r="AA211" s="34">
        <v>247270</v>
      </c>
      <c r="AB211" s="34">
        <v>143776</v>
      </c>
      <c r="AC211" s="34">
        <v>103494</v>
      </c>
    </row>
    <row r="212" spans="1:29" x14ac:dyDescent="0.25">
      <c r="A212" s="31" t="s">
        <v>176</v>
      </c>
      <c r="B212" s="31" t="s">
        <v>738</v>
      </c>
      <c r="C212" s="31" t="s">
        <v>222</v>
      </c>
      <c r="D212" s="31" t="s">
        <v>616</v>
      </c>
      <c r="E212" s="32">
        <v>69.05</v>
      </c>
      <c r="F212" s="33">
        <v>317.8</v>
      </c>
      <c r="G212" s="32">
        <v>386.85</v>
      </c>
      <c r="H212" s="32">
        <v>0</v>
      </c>
      <c r="I212" s="34">
        <v>13</v>
      </c>
      <c r="J212" s="33">
        <v>0</v>
      </c>
      <c r="K212" s="34">
        <v>331</v>
      </c>
      <c r="L212" s="32">
        <v>316.16000000000003</v>
      </c>
      <c r="M212" s="32">
        <v>60.23</v>
      </c>
      <c r="N212" s="32">
        <v>66.150000000000006</v>
      </c>
      <c r="O212" s="32">
        <v>26.75</v>
      </c>
      <c r="P212" s="32">
        <v>3.36</v>
      </c>
      <c r="Q212" s="34">
        <v>122306</v>
      </c>
      <c r="R212" s="34">
        <v>0</v>
      </c>
      <c r="S212" s="34">
        <v>122306</v>
      </c>
      <c r="T212" s="34">
        <v>19936</v>
      </c>
      <c r="U212" s="34">
        <v>21896</v>
      </c>
      <c r="V212" s="34">
        <v>0</v>
      </c>
      <c r="W212" s="34">
        <v>10348</v>
      </c>
      <c r="X212" s="34">
        <v>1300</v>
      </c>
      <c r="Y212" s="34">
        <v>175786</v>
      </c>
      <c r="Z212" s="34">
        <v>22220</v>
      </c>
      <c r="AA212" s="34">
        <v>153566</v>
      </c>
      <c r="AB212" s="34">
        <v>88462</v>
      </c>
      <c r="AC212" s="34">
        <v>65104</v>
      </c>
    </row>
    <row r="213" spans="1:29" x14ac:dyDescent="0.25">
      <c r="A213" s="31" t="s">
        <v>176</v>
      </c>
      <c r="B213" s="31" t="s">
        <v>738</v>
      </c>
      <c r="C213" s="31" t="s">
        <v>223</v>
      </c>
      <c r="D213" s="31" t="s">
        <v>617</v>
      </c>
      <c r="E213" s="32">
        <v>43.17</v>
      </c>
      <c r="F213" s="33">
        <v>373.3</v>
      </c>
      <c r="G213" s="32">
        <v>416.47</v>
      </c>
      <c r="H213" s="32">
        <v>0</v>
      </c>
      <c r="I213" s="34">
        <v>10</v>
      </c>
      <c r="J213" s="33">
        <v>0</v>
      </c>
      <c r="K213" s="34">
        <v>383</v>
      </c>
      <c r="L213" s="32">
        <v>316.16000000000003</v>
      </c>
      <c r="M213" s="32">
        <v>60.23</v>
      </c>
      <c r="N213" s="32">
        <v>66.150000000000006</v>
      </c>
      <c r="O213" s="32">
        <v>26.75</v>
      </c>
      <c r="P213" s="32">
        <v>3.36</v>
      </c>
      <c r="Q213" s="34">
        <v>131671</v>
      </c>
      <c r="R213" s="34">
        <v>4199</v>
      </c>
      <c r="S213" s="34">
        <v>135870</v>
      </c>
      <c r="T213" s="34">
        <v>23068</v>
      </c>
      <c r="U213" s="34">
        <v>25335</v>
      </c>
      <c r="V213" s="34">
        <v>0</v>
      </c>
      <c r="W213" s="34">
        <v>11141</v>
      </c>
      <c r="X213" s="34">
        <v>1399</v>
      </c>
      <c r="Y213" s="34">
        <v>196813</v>
      </c>
      <c r="Z213" s="34">
        <v>21129</v>
      </c>
      <c r="AA213" s="34">
        <v>175684</v>
      </c>
      <c r="AB213" s="34">
        <v>98027</v>
      </c>
      <c r="AC213" s="34">
        <v>77657</v>
      </c>
    </row>
    <row r="214" spans="1:29" x14ac:dyDescent="0.25">
      <c r="A214" s="31" t="s">
        <v>176</v>
      </c>
      <c r="B214" s="31" t="s">
        <v>738</v>
      </c>
      <c r="C214" s="31" t="s">
        <v>224</v>
      </c>
      <c r="D214" s="31" t="s">
        <v>618</v>
      </c>
      <c r="E214" s="32">
        <v>419.26</v>
      </c>
      <c r="F214" s="33">
        <v>3424.5</v>
      </c>
      <c r="G214" s="32">
        <v>3843.76</v>
      </c>
      <c r="H214" s="32">
        <v>0</v>
      </c>
      <c r="I214" s="34">
        <v>455</v>
      </c>
      <c r="J214" s="33">
        <v>2.5</v>
      </c>
      <c r="K214" s="34">
        <v>3877</v>
      </c>
      <c r="L214" s="32">
        <v>316.16000000000003</v>
      </c>
      <c r="M214" s="32">
        <v>60.23</v>
      </c>
      <c r="N214" s="32">
        <v>66.150000000000006</v>
      </c>
      <c r="O214" s="32">
        <v>26.75</v>
      </c>
      <c r="P214" s="32">
        <v>3.36</v>
      </c>
      <c r="Q214" s="34">
        <v>1215243</v>
      </c>
      <c r="R214" s="34">
        <v>0</v>
      </c>
      <c r="S214" s="34">
        <v>1215243</v>
      </c>
      <c r="T214" s="34">
        <v>233512</v>
      </c>
      <c r="U214" s="34">
        <v>256464</v>
      </c>
      <c r="V214" s="34">
        <v>0</v>
      </c>
      <c r="W214" s="34">
        <v>102821</v>
      </c>
      <c r="X214" s="34">
        <v>12915</v>
      </c>
      <c r="Y214" s="34">
        <v>1820955</v>
      </c>
      <c r="Z214" s="34">
        <v>151295</v>
      </c>
      <c r="AA214" s="34">
        <v>1669660</v>
      </c>
      <c r="AB214" s="34">
        <v>948444</v>
      </c>
      <c r="AC214" s="34">
        <v>721216</v>
      </c>
    </row>
    <row r="215" spans="1:29" x14ac:dyDescent="0.25">
      <c r="A215" s="31" t="s">
        <v>176</v>
      </c>
      <c r="B215" s="31" t="s">
        <v>738</v>
      </c>
      <c r="C215" s="31" t="s">
        <v>225</v>
      </c>
      <c r="D215" s="31" t="s">
        <v>619</v>
      </c>
      <c r="E215" s="32">
        <v>51.34</v>
      </c>
      <c r="F215" s="33">
        <v>858.5</v>
      </c>
      <c r="G215" s="32">
        <v>909.84</v>
      </c>
      <c r="H215" s="32">
        <v>0</v>
      </c>
      <c r="I215" s="34">
        <v>34</v>
      </c>
      <c r="J215" s="33">
        <v>0</v>
      </c>
      <c r="K215" s="34">
        <v>893</v>
      </c>
      <c r="L215" s="32">
        <v>316.16000000000003</v>
      </c>
      <c r="M215" s="32">
        <v>60.23</v>
      </c>
      <c r="N215" s="32">
        <v>66.150000000000006</v>
      </c>
      <c r="O215" s="32">
        <v>26.75</v>
      </c>
      <c r="P215" s="32">
        <v>3.36</v>
      </c>
      <c r="Q215" s="34">
        <v>287655</v>
      </c>
      <c r="R215" s="34">
        <v>0</v>
      </c>
      <c r="S215" s="34">
        <v>287655</v>
      </c>
      <c r="T215" s="34">
        <v>53785</v>
      </c>
      <c r="U215" s="34">
        <v>59072</v>
      </c>
      <c r="V215" s="34">
        <v>0</v>
      </c>
      <c r="W215" s="34">
        <v>24338</v>
      </c>
      <c r="X215" s="34">
        <v>3057</v>
      </c>
      <c r="Y215" s="34">
        <v>427907</v>
      </c>
      <c r="Z215" s="34">
        <v>25284</v>
      </c>
      <c r="AA215" s="34">
        <v>402623</v>
      </c>
      <c r="AB215" s="34">
        <v>235030</v>
      </c>
      <c r="AC215" s="34">
        <v>167593</v>
      </c>
    </row>
    <row r="216" spans="1:29" x14ac:dyDescent="0.25">
      <c r="A216" s="31" t="s">
        <v>176</v>
      </c>
      <c r="B216" s="31" t="s">
        <v>738</v>
      </c>
      <c r="C216" s="31" t="s">
        <v>226</v>
      </c>
      <c r="D216" s="31" t="s">
        <v>620</v>
      </c>
      <c r="E216" s="32">
        <v>1223.3399999999999</v>
      </c>
      <c r="F216" s="33">
        <v>12615.8</v>
      </c>
      <c r="G216" s="32">
        <v>13839.14</v>
      </c>
      <c r="H216" s="32">
        <v>0</v>
      </c>
      <c r="I216" s="34">
        <v>1188</v>
      </c>
      <c r="J216" s="33">
        <v>0.7</v>
      </c>
      <c r="K216" s="34">
        <v>13803</v>
      </c>
      <c r="L216" s="32">
        <v>316.16000000000003</v>
      </c>
      <c r="M216" s="32">
        <v>60.23</v>
      </c>
      <c r="N216" s="32">
        <v>66.150000000000006</v>
      </c>
      <c r="O216" s="32">
        <v>26.75</v>
      </c>
      <c r="P216" s="32">
        <v>3.36</v>
      </c>
      <c r="Q216" s="34">
        <v>4375383</v>
      </c>
      <c r="R216" s="34">
        <v>0</v>
      </c>
      <c r="S216" s="34">
        <v>4375383</v>
      </c>
      <c r="T216" s="34">
        <v>831355</v>
      </c>
      <c r="U216" s="34">
        <v>913068</v>
      </c>
      <c r="V216" s="34">
        <v>0</v>
      </c>
      <c r="W216" s="34">
        <v>370197</v>
      </c>
      <c r="X216" s="34">
        <v>46500</v>
      </c>
      <c r="Y216" s="34">
        <v>6536503</v>
      </c>
      <c r="Z216" s="34">
        <v>161705</v>
      </c>
      <c r="AA216" s="34">
        <v>6374798</v>
      </c>
      <c r="AB216" s="34">
        <v>3797812</v>
      </c>
      <c r="AC216" s="34">
        <v>2576986</v>
      </c>
    </row>
    <row r="217" spans="1:29" x14ac:dyDescent="0.25">
      <c r="A217" s="31" t="s">
        <v>176</v>
      </c>
      <c r="B217" s="31" t="s">
        <v>738</v>
      </c>
      <c r="C217" s="31" t="s">
        <v>227</v>
      </c>
      <c r="D217" s="31" t="s">
        <v>621</v>
      </c>
      <c r="E217" s="32">
        <v>150.34</v>
      </c>
      <c r="F217" s="33">
        <v>934.7</v>
      </c>
      <c r="G217" s="32">
        <v>1085.04</v>
      </c>
      <c r="H217" s="32">
        <v>0</v>
      </c>
      <c r="I217" s="34">
        <v>6</v>
      </c>
      <c r="J217" s="33">
        <v>0</v>
      </c>
      <c r="K217" s="34">
        <v>941</v>
      </c>
      <c r="L217" s="32">
        <v>316.16000000000003</v>
      </c>
      <c r="M217" s="32">
        <v>60.23</v>
      </c>
      <c r="N217" s="32">
        <v>66.150000000000006</v>
      </c>
      <c r="O217" s="32">
        <v>26.75</v>
      </c>
      <c r="P217" s="32">
        <v>3.36</v>
      </c>
      <c r="Q217" s="34">
        <v>343046</v>
      </c>
      <c r="R217" s="34">
        <v>0</v>
      </c>
      <c r="S217" s="34">
        <v>343046</v>
      </c>
      <c r="T217" s="34">
        <v>56676</v>
      </c>
      <c r="U217" s="34">
        <v>62247</v>
      </c>
      <c r="V217" s="34">
        <v>0</v>
      </c>
      <c r="W217" s="34">
        <v>29025</v>
      </c>
      <c r="X217" s="34">
        <v>3646</v>
      </c>
      <c r="Y217" s="34">
        <v>494640</v>
      </c>
      <c r="Z217" s="34">
        <v>47611</v>
      </c>
      <c r="AA217" s="34">
        <v>447029</v>
      </c>
      <c r="AB217" s="34">
        <v>262830</v>
      </c>
      <c r="AC217" s="34">
        <v>184199</v>
      </c>
    </row>
    <row r="218" spans="1:29" x14ac:dyDescent="0.25">
      <c r="A218" s="31" t="s">
        <v>176</v>
      </c>
      <c r="B218" s="31" t="s">
        <v>738</v>
      </c>
      <c r="C218" s="31" t="s">
        <v>228</v>
      </c>
      <c r="D218" s="31" t="s">
        <v>622</v>
      </c>
      <c r="E218" s="32">
        <v>1081.31</v>
      </c>
      <c r="F218" s="33">
        <v>8774.5</v>
      </c>
      <c r="G218" s="32">
        <v>9855.81</v>
      </c>
      <c r="H218" s="32">
        <v>0</v>
      </c>
      <c r="I218" s="34">
        <v>1209</v>
      </c>
      <c r="J218" s="33">
        <v>5.4</v>
      </c>
      <c r="K218" s="34">
        <v>9978</v>
      </c>
      <c r="L218" s="32">
        <v>316.16000000000003</v>
      </c>
      <c r="M218" s="32">
        <v>60.23</v>
      </c>
      <c r="N218" s="32">
        <v>66.150000000000006</v>
      </c>
      <c r="O218" s="32">
        <v>26.75</v>
      </c>
      <c r="P218" s="32">
        <v>3.36</v>
      </c>
      <c r="Q218" s="34">
        <v>3116013</v>
      </c>
      <c r="R218" s="34">
        <v>0</v>
      </c>
      <c r="S218" s="34">
        <v>3116013</v>
      </c>
      <c r="T218" s="34">
        <v>600975</v>
      </c>
      <c r="U218" s="34">
        <v>660045</v>
      </c>
      <c r="V218" s="34">
        <v>0</v>
      </c>
      <c r="W218" s="34">
        <v>263643</v>
      </c>
      <c r="X218" s="34">
        <v>33116</v>
      </c>
      <c r="Y218" s="34">
        <v>4673792</v>
      </c>
      <c r="Z218" s="34">
        <v>423313</v>
      </c>
      <c r="AA218" s="34">
        <v>4250479</v>
      </c>
      <c r="AB218" s="34">
        <v>2396533</v>
      </c>
      <c r="AC218" s="34">
        <v>1853946</v>
      </c>
    </row>
    <row r="219" spans="1:29" x14ac:dyDescent="0.25">
      <c r="A219" s="31" t="s">
        <v>176</v>
      </c>
      <c r="B219" s="31" t="s">
        <v>738</v>
      </c>
      <c r="C219" s="31" t="s">
        <v>229</v>
      </c>
      <c r="D219" s="31" t="s">
        <v>623</v>
      </c>
      <c r="E219" s="32">
        <v>192.3</v>
      </c>
      <c r="F219" s="33">
        <v>1702.4</v>
      </c>
      <c r="G219" s="32">
        <v>1894.7</v>
      </c>
      <c r="H219" s="32">
        <v>0</v>
      </c>
      <c r="I219" s="34">
        <v>17</v>
      </c>
      <c r="J219" s="33">
        <v>0</v>
      </c>
      <c r="K219" s="34">
        <v>1719</v>
      </c>
      <c r="L219" s="32">
        <v>316.16000000000003</v>
      </c>
      <c r="M219" s="32">
        <v>60.23</v>
      </c>
      <c r="N219" s="32">
        <v>66.150000000000006</v>
      </c>
      <c r="O219" s="32">
        <v>26.75</v>
      </c>
      <c r="P219" s="32">
        <v>3.36</v>
      </c>
      <c r="Q219" s="34">
        <v>599028</v>
      </c>
      <c r="R219" s="34">
        <v>0</v>
      </c>
      <c r="S219" s="34">
        <v>599028</v>
      </c>
      <c r="T219" s="34">
        <v>103535</v>
      </c>
      <c r="U219" s="34">
        <v>113712</v>
      </c>
      <c r="V219" s="34">
        <v>0</v>
      </c>
      <c r="W219" s="34">
        <v>50683</v>
      </c>
      <c r="X219" s="34">
        <v>6366</v>
      </c>
      <c r="Y219" s="34">
        <v>873324</v>
      </c>
      <c r="Z219" s="34">
        <v>76698</v>
      </c>
      <c r="AA219" s="34">
        <v>796626</v>
      </c>
      <c r="AB219" s="34">
        <v>465394</v>
      </c>
      <c r="AC219" s="34">
        <v>331232</v>
      </c>
    </row>
    <row r="220" spans="1:29" x14ac:dyDescent="0.25">
      <c r="A220" s="31" t="s">
        <v>176</v>
      </c>
      <c r="B220" s="31" t="s">
        <v>738</v>
      </c>
      <c r="C220" s="31" t="s">
        <v>230</v>
      </c>
      <c r="D220" s="31" t="s">
        <v>624</v>
      </c>
      <c r="E220" s="32">
        <v>99.12</v>
      </c>
      <c r="F220" s="33">
        <v>1037.2</v>
      </c>
      <c r="G220" s="32">
        <v>1136.32</v>
      </c>
      <c r="H220" s="32">
        <v>0</v>
      </c>
      <c r="I220" s="34">
        <v>34</v>
      </c>
      <c r="J220" s="33">
        <v>0</v>
      </c>
      <c r="K220" s="34">
        <v>1071</v>
      </c>
      <c r="L220" s="32">
        <v>316.16000000000003</v>
      </c>
      <c r="M220" s="32">
        <v>60.23</v>
      </c>
      <c r="N220" s="32">
        <v>66.150000000000006</v>
      </c>
      <c r="O220" s="32">
        <v>26.75</v>
      </c>
      <c r="P220" s="32">
        <v>3.36</v>
      </c>
      <c r="Q220" s="34">
        <v>359259</v>
      </c>
      <c r="R220" s="34">
        <v>0</v>
      </c>
      <c r="S220" s="34">
        <v>359259</v>
      </c>
      <c r="T220" s="34">
        <v>64506</v>
      </c>
      <c r="U220" s="34">
        <v>70847</v>
      </c>
      <c r="V220" s="34">
        <v>0</v>
      </c>
      <c r="W220" s="34">
        <v>30397</v>
      </c>
      <c r="X220" s="34">
        <v>3818</v>
      </c>
      <c r="Y220" s="34">
        <v>528827</v>
      </c>
      <c r="Z220" s="34">
        <v>33885</v>
      </c>
      <c r="AA220" s="34">
        <v>494942</v>
      </c>
      <c r="AB220" s="34">
        <v>291228</v>
      </c>
      <c r="AC220" s="34">
        <v>203714</v>
      </c>
    </row>
    <row r="221" spans="1:29" x14ac:dyDescent="0.25">
      <c r="A221" s="31" t="s">
        <v>231</v>
      </c>
      <c r="B221" s="31" t="s">
        <v>739</v>
      </c>
      <c r="C221" s="31" t="s">
        <v>232</v>
      </c>
      <c r="D221" s="31" t="s">
        <v>625</v>
      </c>
      <c r="E221" s="32">
        <v>74.09</v>
      </c>
      <c r="F221" s="33">
        <v>556</v>
      </c>
      <c r="G221" s="32">
        <v>630.09</v>
      </c>
      <c r="H221" s="32">
        <v>1.25</v>
      </c>
      <c r="I221" s="34">
        <v>11</v>
      </c>
      <c r="J221" s="33">
        <v>0</v>
      </c>
      <c r="K221" s="34">
        <v>567</v>
      </c>
      <c r="L221" s="32">
        <v>330.8</v>
      </c>
      <c r="M221" s="32">
        <v>60.64</v>
      </c>
      <c r="N221" s="32">
        <v>67.930000000000007</v>
      </c>
      <c r="O221" s="32">
        <v>33.31</v>
      </c>
      <c r="P221" s="32">
        <v>3.97</v>
      </c>
      <c r="Q221" s="34">
        <v>208434</v>
      </c>
      <c r="R221" s="34">
        <v>0</v>
      </c>
      <c r="S221" s="34">
        <v>208434</v>
      </c>
      <c r="T221" s="34">
        <v>34383</v>
      </c>
      <c r="U221" s="34">
        <v>38516</v>
      </c>
      <c r="V221" s="34">
        <v>414</v>
      </c>
      <c r="W221" s="34">
        <v>20988</v>
      </c>
      <c r="X221" s="34">
        <v>2501</v>
      </c>
      <c r="Y221" s="34">
        <v>305236</v>
      </c>
      <c r="Z221" s="34">
        <v>29426</v>
      </c>
      <c r="AA221" s="34">
        <v>275810</v>
      </c>
      <c r="AB221" s="34">
        <v>155686</v>
      </c>
      <c r="AC221" s="34">
        <v>120124</v>
      </c>
    </row>
    <row r="222" spans="1:29" x14ac:dyDescent="0.25">
      <c r="A222" s="31" t="s">
        <v>231</v>
      </c>
      <c r="B222" s="31" t="s">
        <v>739</v>
      </c>
      <c r="C222" s="31" t="s">
        <v>233</v>
      </c>
      <c r="D222" s="31" t="s">
        <v>626</v>
      </c>
      <c r="E222" s="32">
        <v>38.99</v>
      </c>
      <c r="F222" s="33">
        <v>279.2</v>
      </c>
      <c r="G222" s="32">
        <v>318.19</v>
      </c>
      <c r="H222" s="32">
        <v>0.63</v>
      </c>
      <c r="I222" s="34">
        <v>62</v>
      </c>
      <c r="J222" s="33">
        <v>0</v>
      </c>
      <c r="K222" s="34">
        <v>341</v>
      </c>
      <c r="L222" s="32">
        <v>330.8</v>
      </c>
      <c r="M222" s="32">
        <v>60.64</v>
      </c>
      <c r="N222" s="32">
        <v>67.930000000000007</v>
      </c>
      <c r="O222" s="32">
        <v>33.31</v>
      </c>
      <c r="P222" s="32">
        <v>3.97</v>
      </c>
      <c r="Q222" s="34">
        <v>105257</v>
      </c>
      <c r="R222" s="34">
        <v>70</v>
      </c>
      <c r="S222" s="34">
        <v>105327</v>
      </c>
      <c r="T222" s="34">
        <v>20678</v>
      </c>
      <c r="U222" s="34">
        <v>23164</v>
      </c>
      <c r="V222" s="34">
        <v>208</v>
      </c>
      <c r="W222" s="34">
        <v>10599</v>
      </c>
      <c r="X222" s="34">
        <v>1263</v>
      </c>
      <c r="Y222" s="34">
        <v>161239</v>
      </c>
      <c r="Z222" s="34">
        <v>21944</v>
      </c>
      <c r="AA222" s="34">
        <v>139295</v>
      </c>
      <c r="AB222" s="34">
        <v>71536</v>
      </c>
      <c r="AC222" s="34">
        <v>67759</v>
      </c>
    </row>
    <row r="223" spans="1:29" x14ac:dyDescent="0.25">
      <c r="A223" s="31" t="s">
        <v>231</v>
      </c>
      <c r="B223" s="31" t="s">
        <v>739</v>
      </c>
      <c r="C223" s="31" t="s">
        <v>234</v>
      </c>
      <c r="D223" s="31" t="s">
        <v>627</v>
      </c>
      <c r="E223" s="32">
        <v>83.08</v>
      </c>
      <c r="F223" s="33">
        <v>572.20000000000005</v>
      </c>
      <c r="G223" s="32">
        <v>655.28</v>
      </c>
      <c r="H223" s="32">
        <v>1.3</v>
      </c>
      <c r="I223" s="34">
        <v>370</v>
      </c>
      <c r="J223" s="33">
        <v>3.6</v>
      </c>
      <c r="K223" s="34">
        <v>939</v>
      </c>
      <c r="L223" s="32">
        <v>330.8</v>
      </c>
      <c r="M223" s="32">
        <v>60.64</v>
      </c>
      <c r="N223" s="32">
        <v>67.930000000000007</v>
      </c>
      <c r="O223" s="32">
        <v>33.31</v>
      </c>
      <c r="P223" s="32">
        <v>3.97</v>
      </c>
      <c r="Q223" s="34">
        <v>216767</v>
      </c>
      <c r="R223" s="34">
        <v>645</v>
      </c>
      <c r="S223" s="34">
        <v>217412</v>
      </c>
      <c r="T223" s="34">
        <v>56941</v>
      </c>
      <c r="U223" s="34">
        <v>63786</v>
      </c>
      <c r="V223" s="34">
        <v>430</v>
      </c>
      <c r="W223" s="34">
        <v>21883</v>
      </c>
      <c r="X223" s="34">
        <v>2612</v>
      </c>
      <c r="Y223" s="34">
        <v>363064</v>
      </c>
      <c r="Z223" s="34">
        <v>33671</v>
      </c>
      <c r="AA223" s="34">
        <v>329393</v>
      </c>
      <c r="AB223" s="34">
        <v>158908</v>
      </c>
      <c r="AC223" s="34">
        <v>170485</v>
      </c>
    </row>
    <row r="224" spans="1:29" x14ac:dyDescent="0.25">
      <c r="A224" s="31" t="s">
        <v>231</v>
      </c>
      <c r="B224" s="31" t="s">
        <v>739</v>
      </c>
      <c r="C224" s="31" t="s">
        <v>235</v>
      </c>
      <c r="D224" s="31" t="s">
        <v>628</v>
      </c>
      <c r="E224" s="32">
        <v>96.75</v>
      </c>
      <c r="F224" s="33">
        <v>759.6</v>
      </c>
      <c r="G224" s="32">
        <v>856.35</v>
      </c>
      <c r="H224" s="32">
        <v>1.7</v>
      </c>
      <c r="I224" s="34">
        <v>126</v>
      </c>
      <c r="J224" s="33">
        <v>0</v>
      </c>
      <c r="K224" s="34">
        <v>886</v>
      </c>
      <c r="L224" s="32">
        <v>330.8</v>
      </c>
      <c r="M224" s="32">
        <v>60.64</v>
      </c>
      <c r="N224" s="32">
        <v>67.930000000000007</v>
      </c>
      <c r="O224" s="32">
        <v>33.31</v>
      </c>
      <c r="P224" s="32">
        <v>3.97</v>
      </c>
      <c r="Q224" s="34">
        <v>283281</v>
      </c>
      <c r="R224" s="34">
        <v>0</v>
      </c>
      <c r="S224" s="34">
        <v>283281</v>
      </c>
      <c r="T224" s="34">
        <v>53727</v>
      </c>
      <c r="U224" s="34">
        <v>60186</v>
      </c>
      <c r="V224" s="34">
        <v>562</v>
      </c>
      <c r="W224" s="34">
        <v>28525</v>
      </c>
      <c r="X224" s="34">
        <v>3400</v>
      </c>
      <c r="Y224" s="34">
        <v>429681</v>
      </c>
      <c r="Z224" s="34">
        <v>38243</v>
      </c>
      <c r="AA224" s="34">
        <v>391438</v>
      </c>
      <c r="AB224" s="34">
        <v>213343</v>
      </c>
      <c r="AC224" s="34">
        <v>178095</v>
      </c>
    </row>
    <row r="225" spans="1:29" x14ac:dyDescent="0.25">
      <c r="A225" s="31" t="s">
        <v>231</v>
      </c>
      <c r="B225" s="31" t="s">
        <v>739</v>
      </c>
      <c r="C225" s="31" t="s">
        <v>236</v>
      </c>
      <c r="D225" s="31" t="s">
        <v>629</v>
      </c>
      <c r="E225" s="32">
        <v>47.33</v>
      </c>
      <c r="F225" s="33">
        <v>275.8</v>
      </c>
      <c r="G225" s="32">
        <v>323.13</v>
      </c>
      <c r="H225" s="32">
        <v>0.64</v>
      </c>
      <c r="I225" s="34">
        <v>0</v>
      </c>
      <c r="J225" s="33">
        <v>0</v>
      </c>
      <c r="K225" s="34">
        <v>276</v>
      </c>
      <c r="L225" s="32">
        <v>330.8</v>
      </c>
      <c r="M225" s="32">
        <v>60.64</v>
      </c>
      <c r="N225" s="32">
        <v>67.930000000000007</v>
      </c>
      <c r="O225" s="32">
        <v>33.31</v>
      </c>
      <c r="P225" s="32">
        <v>3.97</v>
      </c>
      <c r="Q225" s="34">
        <v>106891</v>
      </c>
      <c r="R225" s="34">
        <v>0</v>
      </c>
      <c r="S225" s="34">
        <v>106891</v>
      </c>
      <c r="T225" s="34">
        <v>16737</v>
      </c>
      <c r="U225" s="34">
        <v>18749</v>
      </c>
      <c r="V225" s="34">
        <v>212</v>
      </c>
      <c r="W225" s="34">
        <v>10763</v>
      </c>
      <c r="X225" s="34">
        <v>1283</v>
      </c>
      <c r="Y225" s="34">
        <v>154635</v>
      </c>
      <c r="Z225" s="34">
        <v>19030</v>
      </c>
      <c r="AA225" s="34">
        <v>135605</v>
      </c>
      <c r="AB225" s="34">
        <v>75901</v>
      </c>
      <c r="AC225" s="34">
        <v>59704</v>
      </c>
    </row>
    <row r="226" spans="1:29" x14ac:dyDescent="0.25">
      <c r="A226" s="31" t="s">
        <v>231</v>
      </c>
      <c r="B226" s="31" t="s">
        <v>739</v>
      </c>
      <c r="C226" s="31" t="s">
        <v>237</v>
      </c>
      <c r="D226" s="31" t="s">
        <v>630</v>
      </c>
      <c r="E226" s="32">
        <v>142.65</v>
      </c>
      <c r="F226" s="33">
        <v>1037.0999999999999</v>
      </c>
      <c r="G226" s="32">
        <v>1179.75</v>
      </c>
      <c r="H226" s="32">
        <v>2.34</v>
      </c>
      <c r="I226" s="34">
        <v>16</v>
      </c>
      <c r="J226" s="33">
        <v>0</v>
      </c>
      <c r="K226" s="34">
        <v>1053</v>
      </c>
      <c r="L226" s="32">
        <v>330.8</v>
      </c>
      <c r="M226" s="32">
        <v>60.64</v>
      </c>
      <c r="N226" s="32">
        <v>67.930000000000007</v>
      </c>
      <c r="O226" s="32">
        <v>33.31</v>
      </c>
      <c r="P226" s="32">
        <v>3.97</v>
      </c>
      <c r="Q226" s="34">
        <v>390261</v>
      </c>
      <c r="R226" s="34">
        <v>0</v>
      </c>
      <c r="S226" s="34">
        <v>390261</v>
      </c>
      <c r="T226" s="34">
        <v>63854</v>
      </c>
      <c r="U226" s="34">
        <v>71530</v>
      </c>
      <c r="V226" s="34">
        <v>774</v>
      </c>
      <c r="W226" s="34">
        <v>39297</v>
      </c>
      <c r="X226" s="34">
        <v>4684</v>
      </c>
      <c r="Y226" s="34">
        <v>570400</v>
      </c>
      <c r="Z226" s="34">
        <v>57983</v>
      </c>
      <c r="AA226" s="34">
        <v>512417</v>
      </c>
      <c r="AB226" s="34">
        <v>288613</v>
      </c>
      <c r="AC226" s="34">
        <v>223804</v>
      </c>
    </row>
    <row r="227" spans="1:29" x14ac:dyDescent="0.25">
      <c r="A227" s="31" t="s">
        <v>231</v>
      </c>
      <c r="B227" s="31" t="s">
        <v>739</v>
      </c>
      <c r="C227" s="31" t="s">
        <v>238</v>
      </c>
      <c r="D227" s="31" t="s">
        <v>631</v>
      </c>
      <c r="E227" s="32">
        <v>293.08</v>
      </c>
      <c r="F227" s="33">
        <v>2044.8</v>
      </c>
      <c r="G227" s="32">
        <v>2337.88</v>
      </c>
      <c r="H227" s="32">
        <v>4.63</v>
      </c>
      <c r="I227" s="34">
        <v>150</v>
      </c>
      <c r="J227" s="33">
        <v>0</v>
      </c>
      <c r="K227" s="34">
        <v>2195</v>
      </c>
      <c r="L227" s="32">
        <v>330.8</v>
      </c>
      <c r="M227" s="32">
        <v>60.64</v>
      </c>
      <c r="N227" s="32">
        <v>67.930000000000007</v>
      </c>
      <c r="O227" s="32">
        <v>33.31</v>
      </c>
      <c r="P227" s="32">
        <v>3.97</v>
      </c>
      <c r="Q227" s="34">
        <v>773371</v>
      </c>
      <c r="R227" s="34">
        <v>0</v>
      </c>
      <c r="S227" s="34">
        <v>773371</v>
      </c>
      <c r="T227" s="34">
        <v>133105</v>
      </c>
      <c r="U227" s="34">
        <v>149106</v>
      </c>
      <c r="V227" s="34">
        <v>1532</v>
      </c>
      <c r="W227" s="34">
        <v>77875</v>
      </c>
      <c r="X227" s="34">
        <v>9281</v>
      </c>
      <c r="Y227" s="34">
        <v>1144270</v>
      </c>
      <c r="Z227" s="34">
        <v>87019</v>
      </c>
      <c r="AA227" s="34">
        <v>1057251</v>
      </c>
      <c r="AB227" s="34">
        <v>599820</v>
      </c>
      <c r="AC227" s="34">
        <v>457431</v>
      </c>
    </row>
    <row r="228" spans="1:29" x14ac:dyDescent="0.25">
      <c r="A228" s="31" t="s">
        <v>231</v>
      </c>
      <c r="B228" s="31" t="s">
        <v>739</v>
      </c>
      <c r="C228" s="31" t="s">
        <v>239</v>
      </c>
      <c r="D228" s="31" t="s">
        <v>632</v>
      </c>
      <c r="E228" s="32">
        <v>42.03</v>
      </c>
      <c r="F228" s="33">
        <v>472</v>
      </c>
      <c r="G228" s="32">
        <v>514.03</v>
      </c>
      <c r="H228" s="32">
        <v>1.02</v>
      </c>
      <c r="I228" s="34">
        <v>0</v>
      </c>
      <c r="J228" s="33">
        <v>0</v>
      </c>
      <c r="K228" s="34">
        <v>472</v>
      </c>
      <c r="L228" s="32">
        <v>330.8</v>
      </c>
      <c r="M228" s="32">
        <v>60.64</v>
      </c>
      <c r="N228" s="32">
        <v>67.930000000000007</v>
      </c>
      <c r="O228" s="32">
        <v>33.31</v>
      </c>
      <c r="P228" s="32">
        <v>3.97</v>
      </c>
      <c r="Q228" s="34">
        <v>170041</v>
      </c>
      <c r="R228" s="34">
        <v>0</v>
      </c>
      <c r="S228" s="34">
        <v>170041</v>
      </c>
      <c r="T228" s="34">
        <v>28622</v>
      </c>
      <c r="U228" s="34">
        <v>32063</v>
      </c>
      <c r="V228" s="34">
        <v>337</v>
      </c>
      <c r="W228" s="34">
        <v>17122</v>
      </c>
      <c r="X228" s="34">
        <v>2041</v>
      </c>
      <c r="Y228" s="34">
        <v>250226</v>
      </c>
      <c r="Z228" s="34">
        <v>27862</v>
      </c>
      <c r="AA228" s="34">
        <v>222364</v>
      </c>
      <c r="AB228" s="34">
        <v>123154</v>
      </c>
      <c r="AC228" s="34">
        <v>99210</v>
      </c>
    </row>
    <row r="229" spans="1:29" x14ac:dyDescent="0.25">
      <c r="A229" s="31" t="s">
        <v>231</v>
      </c>
      <c r="B229" s="31" t="s">
        <v>739</v>
      </c>
      <c r="C229" s="31" t="s">
        <v>240</v>
      </c>
      <c r="D229" s="31" t="s">
        <v>633</v>
      </c>
      <c r="E229" s="32">
        <v>57</v>
      </c>
      <c r="F229" s="33">
        <v>455.7</v>
      </c>
      <c r="G229" s="32">
        <v>512.70000000000005</v>
      </c>
      <c r="H229" s="32">
        <v>1.02</v>
      </c>
      <c r="I229" s="34">
        <v>11</v>
      </c>
      <c r="J229" s="33">
        <v>0</v>
      </c>
      <c r="K229" s="34">
        <v>467</v>
      </c>
      <c r="L229" s="32">
        <v>330.8</v>
      </c>
      <c r="M229" s="32">
        <v>60.64</v>
      </c>
      <c r="N229" s="32">
        <v>67.930000000000007</v>
      </c>
      <c r="O229" s="32">
        <v>33.31</v>
      </c>
      <c r="P229" s="32">
        <v>3.97</v>
      </c>
      <c r="Q229" s="34">
        <v>169601</v>
      </c>
      <c r="R229" s="34">
        <v>0</v>
      </c>
      <c r="S229" s="34">
        <v>169601</v>
      </c>
      <c r="T229" s="34">
        <v>28319</v>
      </c>
      <c r="U229" s="34">
        <v>31723</v>
      </c>
      <c r="V229" s="34">
        <v>337</v>
      </c>
      <c r="W229" s="34">
        <v>17078</v>
      </c>
      <c r="X229" s="34">
        <v>2035</v>
      </c>
      <c r="Y229" s="34">
        <v>249093</v>
      </c>
      <c r="Z229" s="34">
        <v>26086</v>
      </c>
      <c r="AA229" s="34">
        <v>223007</v>
      </c>
      <c r="AB229" s="34">
        <v>124539</v>
      </c>
      <c r="AC229" s="34">
        <v>98468</v>
      </c>
    </row>
    <row r="230" spans="1:29" x14ac:dyDescent="0.25">
      <c r="A230" s="31" t="s">
        <v>231</v>
      </c>
      <c r="B230" s="31" t="s">
        <v>739</v>
      </c>
      <c r="C230" s="31" t="s">
        <v>241</v>
      </c>
      <c r="D230" s="31" t="s">
        <v>634</v>
      </c>
      <c r="E230" s="32">
        <v>123.64</v>
      </c>
      <c r="F230" s="33">
        <v>642.79999999999995</v>
      </c>
      <c r="G230" s="32">
        <v>766.44</v>
      </c>
      <c r="H230" s="32">
        <v>1.52</v>
      </c>
      <c r="I230" s="34">
        <v>129</v>
      </c>
      <c r="J230" s="33">
        <v>0</v>
      </c>
      <c r="K230" s="34">
        <v>772</v>
      </c>
      <c r="L230" s="32">
        <v>330.8</v>
      </c>
      <c r="M230" s="32">
        <v>60.64</v>
      </c>
      <c r="N230" s="32">
        <v>67.930000000000007</v>
      </c>
      <c r="O230" s="32">
        <v>33.31</v>
      </c>
      <c r="P230" s="32">
        <v>3.97</v>
      </c>
      <c r="Q230" s="34">
        <v>253538</v>
      </c>
      <c r="R230" s="34">
        <v>0</v>
      </c>
      <c r="S230" s="34">
        <v>253538</v>
      </c>
      <c r="T230" s="34">
        <v>46814</v>
      </c>
      <c r="U230" s="34">
        <v>52442</v>
      </c>
      <c r="V230" s="34">
        <v>503</v>
      </c>
      <c r="W230" s="34">
        <v>25530</v>
      </c>
      <c r="X230" s="34">
        <v>3043</v>
      </c>
      <c r="Y230" s="34">
        <v>381870</v>
      </c>
      <c r="Z230" s="34">
        <v>44939</v>
      </c>
      <c r="AA230" s="34">
        <v>336931</v>
      </c>
      <c r="AB230" s="34">
        <v>180232</v>
      </c>
      <c r="AC230" s="34">
        <v>156699</v>
      </c>
    </row>
    <row r="231" spans="1:29" x14ac:dyDescent="0.25">
      <c r="A231" s="31" t="s">
        <v>231</v>
      </c>
      <c r="B231" s="31" t="s">
        <v>739</v>
      </c>
      <c r="C231" s="31" t="s">
        <v>242</v>
      </c>
      <c r="D231" s="31" t="s">
        <v>635</v>
      </c>
      <c r="E231" s="32">
        <v>48.03</v>
      </c>
      <c r="F231" s="33">
        <v>557.20000000000005</v>
      </c>
      <c r="G231" s="32">
        <v>605.23</v>
      </c>
      <c r="H231" s="32">
        <v>1.2</v>
      </c>
      <c r="I231" s="34">
        <v>17</v>
      </c>
      <c r="J231" s="33">
        <v>0</v>
      </c>
      <c r="K231" s="34">
        <v>574</v>
      </c>
      <c r="L231" s="32">
        <v>330.8</v>
      </c>
      <c r="M231" s="32">
        <v>60.64</v>
      </c>
      <c r="N231" s="32">
        <v>67.930000000000007</v>
      </c>
      <c r="O231" s="32">
        <v>33.31</v>
      </c>
      <c r="P231" s="32">
        <v>3.97</v>
      </c>
      <c r="Q231" s="34">
        <v>200210</v>
      </c>
      <c r="R231" s="34">
        <v>0</v>
      </c>
      <c r="S231" s="34">
        <v>200210</v>
      </c>
      <c r="T231" s="34">
        <v>34807</v>
      </c>
      <c r="U231" s="34">
        <v>38992</v>
      </c>
      <c r="V231" s="34">
        <v>397</v>
      </c>
      <c r="W231" s="34">
        <v>20160</v>
      </c>
      <c r="X231" s="34">
        <v>2403</v>
      </c>
      <c r="Y231" s="34">
        <v>296969</v>
      </c>
      <c r="Z231" s="34">
        <v>28389</v>
      </c>
      <c r="AA231" s="34">
        <v>268580</v>
      </c>
      <c r="AB231" s="34">
        <v>149420</v>
      </c>
      <c r="AC231" s="34">
        <v>119160</v>
      </c>
    </row>
    <row r="232" spans="1:29" x14ac:dyDescent="0.25">
      <c r="A232" s="31" t="s">
        <v>231</v>
      </c>
      <c r="B232" s="31" t="s">
        <v>739</v>
      </c>
      <c r="C232" s="31" t="s">
        <v>243</v>
      </c>
      <c r="D232" s="31" t="s">
        <v>636</v>
      </c>
      <c r="E232" s="32">
        <v>67.930000000000007</v>
      </c>
      <c r="F232" s="33">
        <v>463.5</v>
      </c>
      <c r="G232" s="32">
        <v>531.42999999999995</v>
      </c>
      <c r="H232" s="32">
        <v>1.05</v>
      </c>
      <c r="I232" s="34">
        <v>5</v>
      </c>
      <c r="J232" s="33">
        <v>0</v>
      </c>
      <c r="K232" s="34">
        <v>469</v>
      </c>
      <c r="L232" s="32">
        <v>330.8</v>
      </c>
      <c r="M232" s="32">
        <v>60.64</v>
      </c>
      <c r="N232" s="32">
        <v>67.930000000000007</v>
      </c>
      <c r="O232" s="32">
        <v>33.31</v>
      </c>
      <c r="P232" s="32">
        <v>3.97</v>
      </c>
      <c r="Q232" s="34">
        <v>175797</v>
      </c>
      <c r="R232" s="34">
        <v>0</v>
      </c>
      <c r="S232" s="34">
        <v>175797</v>
      </c>
      <c r="T232" s="34">
        <v>28440</v>
      </c>
      <c r="U232" s="34">
        <v>31859</v>
      </c>
      <c r="V232" s="34">
        <v>347</v>
      </c>
      <c r="W232" s="34">
        <v>17702</v>
      </c>
      <c r="X232" s="34">
        <v>2110</v>
      </c>
      <c r="Y232" s="34">
        <v>256255</v>
      </c>
      <c r="Z232" s="34">
        <v>23874</v>
      </c>
      <c r="AA232" s="34">
        <v>232381</v>
      </c>
      <c r="AB232" s="34">
        <v>132253</v>
      </c>
      <c r="AC232" s="34">
        <v>100128</v>
      </c>
    </row>
    <row r="233" spans="1:29" x14ac:dyDescent="0.25">
      <c r="A233" s="31" t="s">
        <v>231</v>
      </c>
      <c r="B233" s="31" t="s">
        <v>739</v>
      </c>
      <c r="C233" s="31" t="s">
        <v>244</v>
      </c>
      <c r="D233" s="31" t="s">
        <v>637</v>
      </c>
      <c r="E233" s="32">
        <v>51.32</v>
      </c>
      <c r="F233" s="33">
        <v>616.1</v>
      </c>
      <c r="G233" s="32">
        <v>667.42</v>
      </c>
      <c r="H233" s="32">
        <v>1.32</v>
      </c>
      <c r="I233" s="34">
        <v>25</v>
      </c>
      <c r="J233" s="33">
        <v>0</v>
      </c>
      <c r="K233" s="34">
        <v>641</v>
      </c>
      <c r="L233" s="32">
        <v>330.8</v>
      </c>
      <c r="M233" s="32">
        <v>60.64</v>
      </c>
      <c r="N233" s="32">
        <v>67.930000000000007</v>
      </c>
      <c r="O233" s="32">
        <v>33.31</v>
      </c>
      <c r="P233" s="32">
        <v>3.97</v>
      </c>
      <c r="Q233" s="34">
        <v>220783</v>
      </c>
      <c r="R233" s="34">
        <v>0</v>
      </c>
      <c r="S233" s="34">
        <v>220783</v>
      </c>
      <c r="T233" s="34">
        <v>38870</v>
      </c>
      <c r="U233" s="34">
        <v>43543</v>
      </c>
      <c r="V233" s="34">
        <v>437</v>
      </c>
      <c r="W233" s="34">
        <v>22232</v>
      </c>
      <c r="X233" s="34">
        <v>2650</v>
      </c>
      <c r="Y233" s="34">
        <v>328515</v>
      </c>
      <c r="Z233" s="34">
        <v>30878</v>
      </c>
      <c r="AA233" s="34">
        <v>297637</v>
      </c>
      <c r="AB233" s="34">
        <v>165201</v>
      </c>
      <c r="AC233" s="34">
        <v>132436</v>
      </c>
    </row>
    <row r="234" spans="1:29" x14ac:dyDescent="0.25">
      <c r="A234" s="31" t="s">
        <v>231</v>
      </c>
      <c r="B234" s="31" t="s">
        <v>739</v>
      </c>
      <c r="C234" s="31" t="s">
        <v>245</v>
      </c>
      <c r="D234" s="31" t="s">
        <v>638</v>
      </c>
      <c r="E234" s="32">
        <v>337.01</v>
      </c>
      <c r="F234" s="33">
        <v>2235.8000000000002</v>
      </c>
      <c r="G234" s="32">
        <v>2572.81</v>
      </c>
      <c r="H234" s="32">
        <v>5.09</v>
      </c>
      <c r="I234" s="34">
        <v>438</v>
      </c>
      <c r="J234" s="33">
        <v>2.5</v>
      </c>
      <c r="K234" s="34">
        <v>2671</v>
      </c>
      <c r="L234" s="32">
        <v>330.8</v>
      </c>
      <c r="M234" s="32">
        <v>60.64</v>
      </c>
      <c r="N234" s="32">
        <v>67.930000000000007</v>
      </c>
      <c r="O234" s="32">
        <v>33.31</v>
      </c>
      <c r="P234" s="32">
        <v>3.97</v>
      </c>
      <c r="Q234" s="34">
        <v>851086</v>
      </c>
      <c r="R234" s="34">
        <v>0</v>
      </c>
      <c r="S234" s="34">
        <v>851086</v>
      </c>
      <c r="T234" s="34">
        <v>161969</v>
      </c>
      <c r="U234" s="34">
        <v>181441</v>
      </c>
      <c r="V234" s="34">
        <v>1684</v>
      </c>
      <c r="W234" s="34">
        <v>85700</v>
      </c>
      <c r="X234" s="34">
        <v>10214</v>
      </c>
      <c r="Y234" s="34">
        <v>1292094</v>
      </c>
      <c r="Z234" s="34">
        <v>115347</v>
      </c>
      <c r="AA234" s="34">
        <v>1176747</v>
      </c>
      <c r="AB234" s="34">
        <v>640509</v>
      </c>
      <c r="AC234" s="34">
        <v>536238</v>
      </c>
    </row>
    <row r="235" spans="1:29" x14ac:dyDescent="0.25">
      <c r="A235" s="31" t="s">
        <v>231</v>
      </c>
      <c r="B235" s="31" t="s">
        <v>739</v>
      </c>
      <c r="C235" s="31" t="s">
        <v>246</v>
      </c>
      <c r="D235" s="31" t="s">
        <v>639</v>
      </c>
      <c r="E235" s="32">
        <v>81.48</v>
      </c>
      <c r="F235" s="33">
        <v>611.70000000000005</v>
      </c>
      <c r="G235" s="32">
        <v>693.18</v>
      </c>
      <c r="H235" s="32">
        <v>1.37</v>
      </c>
      <c r="I235" s="34">
        <v>28</v>
      </c>
      <c r="J235" s="33">
        <v>0.1</v>
      </c>
      <c r="K235" s="34">
        <v>640</v>
      </c>
      <c r="L235" s="32">
        <v>330.8</v>
      </c>
      <c r="M235" s="32">
        <v>60.64</v>
      </c>
      <c r="N235" s="32">
        <v>67.930000000000007</v>
      </c>
      <c r="O235" s="32">
        <v>33.31</v>
      </c>
      <c r="P235" s="32">
        <v>3.97</v>
      </c>
      <c r="Q235" s="34">
        <v>229304</v>
      </c>
      <c r="R235" s="34">
        <v>6073</v>
      </c>
      <c r="S235" s="34">
        <v>235377</v>
      </c>
      <c r="T235" s="34">
        <v>38810</v>
      </c>
      <c r="U235" s="34">
        <v>43475</v>
      </c>
      <c r="V235" s="34">
        <v>453</v>
      </c>
      <c r="W235" s="34">
        <v>23090</v>
      </c>
      <c r="X235" s="34">
        <v>2752</v>
      </c>
      <c r="Y235" s="34">
        <v>343957</v>
      </c>
      <c r="Z235" s="34">
        <v>45341</v>
      </c>
      <c r="AA235" s="34">
        <v>298616</v>
      </c>
      <c r="AB235" s="34">
        <v>158306</v>
      </c>
      <c r="AC235" s="34">
        <v>140310</v>
      </c>
    </row>
    <row r="236" spans="1:29" x14ac:dyDescent="0.25">
      <c r="A236" s="31" t="s">
        <v>231</v>
      </c>
      <c r="B236" s="31" t="s">
        <v>739</v>
      </c>
      <c r="C236" s="31" t="s">
        <v>247</v>
      </c>
      <c r="D236" s="31" t="s">
        <v>640</v>
      </c>
      <c r="E236" s="32">
        <v>45.19</v>
      </c>
      <c r="F236" s="33">
        <v>452.2</v>
      </c>
      <c r="G236" s="32">
        <v>497.39</v>
      </c>
      <c r="H236" s="32">
        <v>0.99</v>
      </c>
      <c r="I236" s="34">
        <v>10</v>
      </c>
      <c r="J236" s="33">
        <v>0</v>
      </c>
      <c r="K236" s="34">
        <v>462</v>
      </c>
      <c r="L236" s="32">
        <v>330.8</v>
      </c>
      <c r="M236" s="32">
        <v>60.64</v>
      </c>
      <c r="N236" s="32">
        <v>67.930000000000007</v>
      </c>
      <c r="O236" s="32">
        <v>33.31</v>
      </c>
      <c r="P236" s="32">
        <v>3.97</v>
      </c>
      <c r="Q236" s="34">
        <v>164537</v>
      </c>
      <c r="R236" s="34">
        <v>0</v>
      </c>
      <c r="S236" s="34">
        <v>164537</v>
      </c>
      <c r="T236" s="34">
        <v>28016</v>
      </c>
      <c r="U236" s="34">
        <v>31384</v>
      </c>
      <c r="V236" s="34">
        <v>327</v>
      </c>
      <c r="W236" s="34">
        <v>16568</v>
      </c>
      <c r="X236" s="34">
        <v>1975</v>
      </c>
      <c r="Y236" s="34">
        <v>242807</v>
      </c>
      <c r="Z236" s="34">
        <v>30020</v>
      </c>
      <c r="AA236" s="34">
        <v>212787</v>
      </c>
      <c r="AB236" s="34">
        <v>116108</v>
      </c>
      <c r="AC236" s="34">
        <v>96679</v>
      </c>
    </row>
    <row r="237" spans="1:29" x14ac:dyDescent="0.25">
      <c r="A237" s="31" t="s">
        <v>231</v>
      </c>
      <c r="B237" s="31" t="s">
        <v>739</v>
      </c>
      <c r="C237" s="31" t="s">
        <v>248</v>
      </c>
      <c r="D237" s="31" t="s">
        <v>641</v>
      </c>
      <c r="E237" s="32">
        <v>196.05</v>
      </c>
      <c r="F237" s="33">
        <v>1534.8</v>
      </c>
      <c r="G237" s="32">
        <v>1730.85</v>
      </c>
      <c r="H237" s="32">
        <v>3.43</v>
      </c>
      <c r="I237" s="34">
        <v>549</v>
      </c>
      <c r="J237" s="33">
        <v>11.6</v>
      </c>
      <c r="K237" s="34">
        <v>2072</v>
      </c>
      <c r="L237" s="32">
        <v>330.8</v>
      </c>
      <c r="M237" s="32">
        <v>60.64</v>
      </c>
      <c r="N237" s="32">
        <v>67.930000000000007</v>
      </c>
      <c r="O237" s="32">
        <v>33.31</v>
      </c>
      <c r="P237" s="32">
        <v>3.97</v>
      </c>
      <c r="Q237" s="34">
        <v>572565</v>
      </c>
      <c r="R237" s="34">
        <v>0</v>
      </c>
      <c r="S237" s="34">
        <v>572565</v>
      </c>
      <c r="T237" s="34">
        <v>125646</v>
      </c>
      <c r="U237" s="34">
        <v>140751</v>
      </c>
      <c r="V237" s="34">
        <v>1135</v>
      </c>
      <c r="W237" s="34">
        <v>57655</v>
      </c>
      <c r="X237" s="34">
        <v>6871</v>
      </c>
      <c r="Y237" s="34">
        <v>904623</v>
      </c>
      <c r="Z237" s="34">
        <v>78206</v>
      </c>
      <c r="AA237" s="34">
        <v>826417</v>
      </c>
      <c r="AB237" s="34">
        <v>430296</v>
      </c>
      <c r="AC237" s="34">
        <v>396121</v>
      </c>
    </row>
    <row r="238" spans="1:29" x14ac:dyDescent="0.25">
      <c r="A238" s="31" t="s">
        <v>231</v>
      </c>
      <c r="B238" s="31" t="s">
        <v>739</v>
      </c>
      <c r="C238" s="31" t="s">
        <v>44</v>
      </c>
      <c r="D238" s="31" t="s">
        <v>642</v>
      </c>
      <c r="E238" s="32">
        <v>111.68</v>
      </c>
      <c r="F238" s="33">
        <v>924.9</v>
      </c>
      <c r="G238" s="32">
        <v>1036.58</v>
      </c>
      <c r="H238" s="32">
        <v>2.0499999999999998</v>
      </c>
      <c r="I238" s="34">
        <v>14</v>
      </c>
      <c r="J238" s="33">
        <v>0</v>
      </c>
      <c r="K238" s="34">
        <v>939</v>
      </c>
      <c r="L238" s="32">
        <v>330.8</v>
      </c>
      <c r="M238" s="32">
        <v>60.64</v>
      </c>
      <c r="N238" s="32">
        <v>67.930000000000007</v>
      </c>
      <c r="O238" s="32">
        <v>33.31</v>
      </c>
      <c r="P238" s="32">
        <v>3.97</v>
      </c>
      <c r="Q238" s="34">
        <v>342901</v>
      </c>
      <c r="R238" s="34">
        <v>6483</v>
      </c>
      <c r="S238" s="34">
        <v>349384</v>
      </c>
      <c r="T238" s="34">
        <v>56941</v>
      </c>
      <c r="U238" s="34">
        <v>63786</v>
      </c>
      <c r="V238" s="34">
        <v>678</v>
      </c>
      <c r="W238" s="34">
        <v>35166</v>
      </c>
      <c r="X238" s="34">
        <v>4198</v>
      </c>
      <c r="Y238" s="34">
        <v>510153</v>
      </c>
      <c r="Z238" s="34">
        <v>62222</v>
      </c>
      <c r="AA238" s="34">
        <v>447931</v>
      </c>
      <c r="AB238" s="34">
        <v>243031</v>
      </c>
      <c r="AC238" s="34">
        <v>204900</v>
      </c>
    </row>
    <row r="239" spans="1:29" x14ac:dyDescent="0.25">
      <c r="A239" s="31" t="s">
        <v>231</v>
      </c>
      <c r="B239" s="31" t="s">
        <v>739</v>
      </c>
      <c r="C239" s="31" t="s">
        <v>249</v>
      </c>
      <c r="D239" s="31" t="s">
        <v>643</v>
      </c>
      <c r="E239" s="32">
        <v>56.54</v>
      </c>
      <c r="F239" s="33">
        <v>330</v>
      </c>
      <c r="G239" s="32">
        <v>386.54</v>
      </c>
      <c r="H239" s="32">
        <v>0.76</v>
      </c>
      <c r="I239" s="34">
        <v>182</v>
      </c>
      <c r="J239" s="33">
        <v>3</v>
      </c>
      <c r="K239" s="34">
        <v>509</v>
      </c>
      <c r="L239" s="32">
        <v>330.8</v>
      </c>
      <c r="M239" s="32">
        <v>60.64</v>
      </c>
      <c r="N239" s="32">
        <v>67.930000000000007</v>
      </c>
      <c r="O239" s="32">
        <v>33.31</v>
      </c>
      <c r="P239" s="32">
        <v>3.97</v>
      </c>
      <c r="Q239" s="34">
        <v>127867</v>
      </c>
      <c r="R239" s="34">
        <v>4131</v>
      </c>
      <c r="S239" s="34">
        <v>131998</v>
      </c>
      <c r="T239" s="34">
        <v>30866</v>
      </c>
      <c r="U239" s="34">
        <v>34576</v>
      </c>
      <c r="V239" s="34">
        <v>251</v>
      </c>
      <c r="W239" s="34">
        <v>12876</v>
      </c>
      <c r="X239" s="34">
        <v>1535</v>
      </c>
      <c r="Y239" s="34">
        <v>212102</v>
      </c>
      <c r="Z239" s="34">
        <v>25925</v>
      </c>
      <c r="AA239" s="34">
        <v>186177</v>
      </c>
      <c r="AB239" s="34">
        <v>87635</v>
      </c>
      <c r="AC239" s="34">
        <v>98542</v>
      </c>
    </row>
    <row r="240" spans="1:29" x14ac:dyDescent="0.25">
      <c r="A240" s="31" t="s">
        <v>231</v>
      </c>
      <c r="B240" s="31" t="s">
        <v>739</v>
      </c>
      <c r="C240" s="31" t="s">
        <v>250</v>
      </c>
      <c r="D240" s="31" t="s">
        <v>644</v>
      </c>
      <c r="E240" s="32">
        <v>51.64</v>
      </c>
      <c r="F240" s="33">
        <v>371.2</v>
      </c>
      <c r="G240" s="32">
        <v>422.84</v>
      </c>
      <c r="H240" s="32">
        <v>0.84</v>
      </c>
      <c r="I240" s="34">
        <v>0</v>
      </c>
      <c r="J240" s="33">
        <v>0</v>
      </c>
      <c r="K240" s="34">
        <v>371</v>
      </c>
      <c r="L240" s="32">
        <v>330.8</v>
      </c>
      <c r="M240" s="32">
        <v>60.64</v>
      </c>
      <c r="N240" s="32">
        <v>67.930000000000007</v>
      </c>
      <c r="O240" s="32">
        <v>33.31</v>
      </c>
      <c r="P240" s="32">
        <v>3.97</v>
      </c>
      <c r="Q240" s="34">
        <v>139875</v>
      </c>
      <c r="R240" s="34">
        <v>9415</v>
      </c>
      <c r="S240" s="34">
        <v>149290</v>
      </c>
      <c r="T240" s="34">
        <v>22497</v>
      </c>
      <c r="U240" s="34">
        <v>25202</v>
      </c>
      <c r="V240" s="34">
        <v>278</v>
      </c>
      <c r="W240" s="34">
        <v>15026</v>
      </c>
      <c r="X240" s="34">
        <v>1794</v>
      </c>
      <c r="Y240" s="34">
        <v>214087</v>
      </c>
      <c r="Z240" s="34">
        <v>26670</v>
      </c>
      <c r="AA240" s="34">
        <v>187417</v>
      </c>
      <c r="AB240" s="34">
        <v>98612</v>
      </c>
      <c r="AC240" s="34">
        <v>88805</v>
      </c>
    </row>
    <row r="241" spans="1:29" x14ac:dyDescent="0.25">
      <c r="A241" s="31" t="s">
        <v>231</v>
      </c>
      <c r="B241" s="31" t="s">
        <v>739</v>
      </c>
      <c r="C241" s="31" t="s">
        <v>251</v>
      </c>
      <c r="D241" s="31" t="s">
        <v>645</v>
      </c>
      <c r="E241" s="32">
        <v>93.15</v>
      </c>
      <c r="F241" s="33">
        <v>853.9</v>
      </c>
      <c r="G241" s="32">
        <v>947.05</v>
      </c>
      <c r="H241" s="32">
        <v>1.87</v>
      </c>
      <c r="I241" s="34">
        <v>460</v>
      </c>
      <c r="J241" s="33">
        <v>0.9</v>
      </c>
      <c r="K241" s="34">
        <v>1313</v>
      </c>
      <c r="L241" s="32">
        <v>330.8</v>
      </c>
      <c r="M241" s="32">
        <v>60.64</v>
      </c>
      <c r="N241" s="32">
        <v>67.930000000000007</v>
      </c>
      <c r="O241" s="32">
        <v>33.31</v>
      </c>
      <c r="P241" s="32">
        <v>3.97</v>
      </c>
      <c r="Q241" s="34">
        <v>313284</v>
      </c>
      <c r="R241" s="34">
        <v>0</v>
      </c>
      <c r="S241" s="34">
        <v>313284</v>
      </c>
      <c r="T241" s="34">
        <v>79620</v>
      </c>
      <c r="U241" s="34">
        <v>89192</v>
      </c>
      <c r="V241" s="34">
        <v>619</v>
      </c>
      <c r="W241" s="34">
        <v>31546</v>
      </c>
      <c r="X241" s="34">
        <v>3760</v>
      </c>
      <c r="Y241" s="34">
        <v>518021</v>
      </c>
      <c r="Z241" s="34">
        <v>32477</v>
      </c>
      <c r="AA241" s="34">
        <v>485544</v>
      </c>
      <c r="AB241" s="34">
        <v>245753</v>
      </c>
      <c r="AC241" s="34">
        <v>239791</v>
      </c>
    </row>
    <row r="242" spans="1:29" x14ac:dyDescent="0.25">
      <c r="A242" s="31" t="s">
        <v>231</v>
      </c>
      <c r="B242" s="31" t="s">
        <v>739</v>
      </c>
      <c r="C242" s="31" t="s">
        <v>252</v>
      </c>
      <c r="D242" s="31" t="s">
        <v>646</v>
      </c>
      <c r="E242" s="32">
        <v>37.840000000000003</v>
      </c>
      <c r="F242" s="33">
        <v>226</v>
      </c>
      <c r="G242" s="32">
        <v>263.83999999999997</v>
      </c>
      <c r="H242" s="32">
        <v>0.52</v>
      </c>
      <c r="I242" s="34">
        <v>6</v>
      </c>
      <c r="J242" s="33">
        <v>0</v>
      </c>
      <c r="K242" s="34">
        <v>232</v>
      </c>
      <c r="L242" s="32">
        <v>330.8</v>
      </c>
      <c r="M242" s="32">
        <v>60.64</v>
      </c>
      <c r="N242" s="32">
        <v>67.930000000000007</v>
      </c>
      <c r="O242" s="32">
        <v>33.31</v>
      </c>
      <c r="P242" s="32">
        <v>3.97</v>
      </c>
      <c r="Q242" s="34">
        <v>87278</v>
      </c>
      <c r="R242" s="34">
        <v>17681</v>
      </c>
      <c r="S242" s="34">
        <v>104959</v>
      </c>
      <c r="T242" s="34">
        <v>14068</v>
      </c>
      <c r="U242" s="34">
        <v>15760</v>
      </c>
      <c r="V242" s="34">
        <v>172</v>
      </c>
      <c r="W242" s="34">
        <v>9446</v>
      </c>
      <c r="X242" s="34">
        <v>1128</v>
      </c>
      <c r="Y242" s="34">
        <v>145533</v>
      </c>
      <c r="Z242" s="34">
        <v>15105</v>
      </c>
      <c r="AA242" s="34">
        <v>130428</v>
      </c>
      <c r="AB242" s="34">
        <v>63145</v>
      </c>
      <c r="AC242" s="34">
        <v>67283</v>
      </c>
    </row>
    <row r="243" spans="1:29" x14ac:dyDescent="0.25">
      <c r="A243" s="31" t="s">
        <v>231</v>
      </c>
      <c r="B243" s="31" t="s">
        <v>739</v>
      </c>
      <c r="C243" s="31" t="s">
        <v>253</v>
      </c>
      <c r="D243" s="31" t="s">
        <v>647</v>
      </c>
      <c r="E243" s="32">
        <v>209.96</v>
      </c>
      <c r="F243" s="33">
        <v>1407.7</v>
      </c>
      <c r="G243" s="32">
        <v>1617.66</v>
      </c>
      <c r="H243" s="32">
        <v>3.2</v>
      </c>
      <c r="I243" s="34">
        <v>30</v>
      </c>
      <c r="J243" s="33">
        <v>0</v>
      </c>
      <c r="K243" s="34">
        <v>1438</v>
      </c>
      <c r="L243" s="32">
        <v>330.8</v>
      </c>
      <c r="M243" s="32">
        <v>60.64</v>
      </c>
      <c r="N243" s="32">
        <v>67.930000000000007</v>
      </c>
      <c r="O243" s="32">
        <v>33.31</v>
      </c>
      <c r="P243" s="32">
        <v>3.97</v>
      </c>
      <c r="Q243" s="34">
        <v>535122</v>
      </c>
      <c r="R243" s="34">
        <v>0</v>
      </c>
      <c r="S243" s="34">
        <v>535122</v>
      </c>
      <c r="T243" s="34">
        <v>87200</v>
      </c>
      <c r="U243" s="34">
        <v>97683</v>
      </c>
      <c r="V243" s="34">
        <v>1059</v>
      </c>
      <c r="W243" s="34">
        <v>53884</v>
      </c>
      <c r="X243" s="34">
        <v>6422</v>
      </c>
      <c r="Y243" s="34">
        <v>781370</v>
      </c>
      <c r="Z243" s="34">
        <v>62893</v>
      </c>
      <c r="AA243" s="34">
        <v>718477</v>
      </c>
      <c r="AB243" s="34">
        <v>412353</v>
      </c>
      <c r="AC243" s="34">
        <v>306124</v>
      </c>
    </row>
    <row r="244" spans="1:29" x14ac:dyDescent="0.25">
      <c r="A244" s="31" t="s">
        <v>231</v>
      </c>
      <c r="B244" s="31" t="s">
        <v>739</v>
      </c>
      <c r="C244" s="31" t="s">
        <v>254</v>
      </c>
      <c r="D244" s="31" t="s">
        <v>648</v>
      </c>
      <c r="E244" s="32">
        <v>147.02000000000001</v>
      </c>
      <c r="F244" s="33">
        <v>1116.4000000000001</v>
      </c>
      <c r="G244" s="32">
        <v>1263.42</v>
      </c>
      <c r="H244" s="32">
        <v>2.5</v>
      </c>
      <c r="I244" s="34">
        <v>175</v>
      </c>
      <c r="J244" s="33">
        <v>2.9</v>
      </c>
      <c r="K244" s="34">
        <v>1289</v>
      </c>
      <c r="L244" s="32">
        <v>330.8</v>
      </c>
      <c r="M244" s="32">
        <v>60.64</v>
      </c>
      <c r="N244" s="32">
        <v>67.930000000000007</v>
      </c>
      <c r="O244" s="32">
        <v>33.31</v>
      </c>
      <c r="P244" s="32">
        <v>3.97</v>
      </c>
      <c r="Q244" s="34">
        <v>417939</v>
      </c>
      <c r="R244" s="34">
        <v>0</v>
      </c>
      <c r="S244" s="34">
        <v>417939</v>
      </c>
      <c r="T244" s="34">
        <v>78165</v>
      </c>
      <c r="U244" s="34">
        <v>87562</v>
      </c>
      <c r="V244" s="34">
        <v>827</v>
      </c>
      <c r="W244" s="34">
        <v>42085</v>
      </c>
      <c r="X244" s="34">
        <v>5016</v>
      </c>
      <c r="Y244" s="34">
        <v>631594</v>
      </c>
      <c r="Z244" s="34">
        <v>58273</v>
      </c>
      <c r="AA244" s="34">
        <v>573321</v>
      </c>
      <c r="AB244" s="34">
        <v>312904</v>
      </c>
      <c r="AC244" s="34">
        <v>260417</v>
      </c>
    </row>
    <row r="245" spans="1:29" x14ac:dyDescent="0.25">
      <c r="A245" s="31" t="s">
        <v>231</v>
      </c>
      <c r="B245" s="31" t="s">
        <v>739</v>
      </c>
      <c r="C245" s="31" t="s">
        <v>255</v>
      </c>
      <c r="D245" s="31" t="s">
        <v>649</v>
      </c>
      <c r="E245" s="32">
        <v>71.52</v>
      </c>
      <c r="F245" s="33">
        <v>710</v>
      </c>
      <c r="G245" s="32">
        <v>781.52</v>
      </c>
      <c r="H245" s="32">
        <v>1.55</v>
      </c>
      <c r="I245" s="34">
        <v>16</v>
      </c>
      <c r="J245" s="33">
        <v>0</v>
      </c>
      <c r="K245" s="34">
        <v>726</v>
      </c>
      <c r="L245" s="32">
        <v>330.8</v>
      </c>
      <c r="M245" s="32">
        <v>60.64</v>
      </c>
      <c r="N245" s="32">
        <v>67.930000000000007</v>
      </c>
      <c r="O245" s="32">
        <v>33.31</v>
      </c>
      <c r="P245" s="32">
        <v>3.97</v>
      </c>
      <c r="Q245" s="34">
        <v>258527</v>
      </c>
      <c r="R245" s="34">
        <v>0</v>
      </c>
      <c r="S245" s="34">
        <v>258527</v>
      </c>
      <c r="T245" s="34">
        <v>44025</v>
      </c>
      <c r="U245" s="34">
        <v>49317</v>
      </c>
      <c r="V245" s="34">
        <v>513</v>
      </c>
      <c r="W245" s="34">
        <v>26032</v>
      </c>
      <c r="X245" s="34">
        <v>3103</v>
      </c>
      <c r="Y245" s="34">
        <v>381517</v>
      </c>
      <c r="Z245" s="34">
        <v>47074</v>
      </c>
      <c r="AA245" s="34">
        <v>334443</v>
      </c>
      <c r="AB245" s="34">
        <v>182527</v>
      </c>
      <c r="AC245" s="34">
        <v>151916</v>
      </c>
    </row>
    <row r="246" spans="1:29" x14ac:dyDescent="0.25">
      <c r="A246" s="31" t="s">
        <v>231</v>
      </c>
      <c r="B246" s="31" t="s">
        <v>739</v>
      </c>
      <c r="C246" s="31" t="s">
        <v>256</v>
      </c>
      <c r="D246" s="31" t="s">
        <v>650</v>
      </c>
      <c r="E246" s="32">
        <v>179.91</v>
      </c>
      <c r="F246" s="33">
        <v>1478.5</v>
      </c>
      <c r="G246" s="32">
        <v>1658.41</v>
      </c>
      <c r="H246" s="32">
        <v>3.28</v>
      </c>
      <c r="I246" s="34">
        <v>724</v>
      </c>
      <c r="J246" s="33">
        <v>0</v>
      </c>
      <c r="K246" s="34">
        <v>2203</v>
      </c>
      <c r="L246" s="32">
        <v>330.8</v>
      </c>
      <c r="M246" s="32">
        <v>60.64</v>
      </c>
      <c r="N246" s="32">
        <v>67.930000000000007</v>
      </c>
      <c r="O246" s="32">
        <v>33.31</v>
      </c>
      <c r="P246" s="32">
        <v>3.97</v>
      </c>
      <c r="Q246" s="34">
        <v>548602</v>
      </c>
      <c r="R246" s="34">
        <v>0</v>
      </c>
      <c r="S246" s="34">
        <v>548602</v>
      </c>
      <c r="T246" s="34">
        <v>133590</v>
      </c>
      <c r="U246" s="34">
        <v>149650</v>
      </c>
      <c r="V246" s="34">
        <v>1085</v>
      </c>
      <c r="W246" s="34">
        <v>55242</v>
      </c>
      <c r="X246" s="34">
        <v>6584</v>
      </c>
      <c r="Y246" s="34">
        <v>894753</v>
      </c>
      <c r="Z246" s="34">
        <v>54912</v>
      </c>
      <c r="AA246" s="34">
        <v>839841</v>
      </c>
      <c r="AB246" s="34">
        <v>432307</v>
      </c>
      <c r="AC246" s="34">
        <v>407534</v>
      </c>
    </row>
    <row r="247" spans="1:29" x14ac:dyDescent="0.25">
      <c r="A247" s="31" t="s">
        <v>231</v>
      </c>
      <c r="B247" s="31" t="s">
        <v>739</v>
      </c>
      <c r="C247" s="31" t="s">
        <v>257</v>
      </c>
      <c r="D247" s="31" t="s">
        <v>651</v>
      </c>
      <c r="E247" s="32">
        <v>2398.0300000000002</v>
      </c>
      <c r="F247" s="33">
        <v>14868.6</v>
      </c>
      <c r="G247" s="32">
        <v>17266.63</v>
      </c>
      <c r="H247" s="32">
        <v>34.17</v>
      </c>
      <c r="I247" s="34">
        <v>1405</v>
      </c>
      <c r="J247" s="33">
        <v>11.4</v>
      </c>
      <c r="K247" s="34">
        <v>16262</v>
      </c>
      <c r="L247" s="32">
        <v>330.8</v>
      </c>
      <c r="M247" s="32">
        <v>60.64</v>
      </c>
      <c r="N247" s="32">
        <v>67.930000000000007</v>
      </c>
      <c r="O247" s="32">
        <v>33.31</v>
      </c>
      <c r="P247" s="32">
        <v>3.97</v>
      </c>
      <c r="Q247" s="34">
        <v>5711801</v>
      </c>
      <c r="R247" s="34">
        <v>0</v>
      </c>
      <c r="S247" s="34">
        <v>5711801</v>
      </c>
      <c r="T247" s="34">
        <v>986128</v>
      </c>
      <c r="U247" s="34">
        <v>1104678</v>
      </c>
      <c r="V247" s="34">
        <v>11303</v>
      </c>
      <c r="W247" s="34">
        <v>575151</v>
      </c>
      <c r="X247" s="34">
        <v>68549</v>
      </c>
      <c r="Y247" s="34">
        <v>8457610</v>
      </c>
      <c r="Z247" s="34">
        <v>748549</v>
      </c>
      <c r="AA247" s="34">
        <v>7709061</v>
      </c>
      <c r="AB247" s="34">
        <v>4324156</v>
      </c>
      <c r="AC247" s="34">
        <v>3384905</v>
      </c>
    </row>
    <row r="248" spans="1:29" x14ac:dyDescent="0.25">
      <c r="A248" s="31" t="s">
        <v>231</v>
      </c>
      <c r="B248" s="31" t="s">
        <v>739</v>
      </c>
      <c r="C248" s="31" t="s">
        <v>258</v>
      </c>
      <c r="D248" s="31" t="s">
        <v>652</v>
      </c>
      <c r="E248" s="32">
        <v>118.4</v>
      </c>
      <c r="F248" s="33">
        <v>546.9</v>
      </c>
      <c r="G248" s="32">
        <v>665.3</v>
      </c>
      <c r="H248" s="32">
        <v>1.32</v>
      </c>
      <c r="I248" s="34">
        <v>59</v>
      </c>
      <c r="J248" s="33">
        <v>1.2</v>
      </c>
      <c r="K248" s="34">
        <v>605</v>
      </c>
      <c r="L248" s="32">
        <v>330.8</v>
      </c>
      <c r="M248" s="32">
        <v>60.64</v>
      </c>
      <c r="N248" s="32">
        <v>67.930000000000007</v>
      </c>
      <c r="O248" s="32">
        <v>33.31</v>
      </c>
      <c r="P248" s="32">
        <v>3.97</v>
      </c>
      <c r="Q248" s="34">
        <v>220081</v>
      </c>
      <c r="R248" s="34">
        <v>3979</v>
      </c>
      <c r="S248" s="34">
        <v>224060</v>
      </c>
      <c r="T248" s="34">
        <v>36687</v>
      </c>
      <c r="U248" s="34">
        <v>41098</v>
      </c>
      <c r="V248" s="34">
        <v>437</v>
      </c>
      <c r="W248" s="34">
        <v>22552</v>
      </c>
      <c r="X248" s="34">
        <v>2692</v>
      </c>
      <c r="Y248" s="34">
        <v>327526</v>
      </c>
      <c r="Z248" s="34">
        <v>42350</v>
      </c>
      <c r="AA248" s="34">
        <v>285176</v>
      </c>
      <c r="AB248" s="34">
        <v>153549</v>
      </c>
      <c r="AC248" s="34">
        <v>131627</v>
      </c>
    </row>
    <row r="249" spans="1:29" x14ac:dyDescent="0.25">
      <c r="A249" s="31" t="s">
        <v>231</v>
      </c>
      <c r="B249" s="31" t="s">
        <v>739</v>
      </c>
      <c r="C249" s="31" t="s">
        <v>259</v>
      </c>
      <c r="D249" s="31" t="s">
        <v>653</v>
      </c>
      <c r="E249" s="32">
        <v>82.47</v>
      </c>
      <c r="F249" s="33">
        <v>934.4</v>
      </c>
      <c r="G249" s="32">
        <v>1016.87</v>
      </c>
      <c r="H249" s="32">
        <v>2.0099999999999998</v>
      </c>
      <c r="I249" s="34">
        <v>133</v>
      </c>
      <c r="J249" s="33">
        <v>0</v>
      </c>
      <c r="K249" s="34">
        <v>1067</v>
      </c>
      <c r="L249" s="32">
        <v>330.8</v>
      </c>
      <c r="M249" s="32">
        <v>60.64</v>
      </c>
      <c r="N249" s="32">
        <v>67.930000000000007</v>
      </c>
      <c r="O249" s="32">
        <v>33.31</v>
      </c>
      <c r="P249" s="32">
        <v>3.97</v>
      </c>
      <c r="Q249" s="34">
        <v>336381</v>
      </c>
      <c r="R249" s="34">
        <v>0</v>
      </c>
      <c r="S249" s="34">
        <v>336381</v>
      </c>
      <c r="T249" s="34">
        <v>64703</v>
      </c>
      <c r="U249" s="34">
        <v>72481</v>
      </c>
      <c r="V249" s="34">
        <v>665</v>
      </c>
      <c r="W249" s="34">
        <v>33872</v>
      </c>
      <c r="X249" s="34">
        <v>4037</v>
      </c>
      <c r="Y249" s="34">
        <v>512139</v>
      </c>
      <c r="Z249" s="34">
        <v>43068</v>
      </c>
      <c r="AA249" s="34">
        <v>469071</v>
      </c>
      <c r="AB249" s="34">
        <v>255674</v>
      </c>
      <c r="AC249" s="34">
        <v>213397</v>
      </c>
    </row>
    <row r="250" spans="1:29" x14ac:dyDescent="0.25">
      <c r="A250" s="31" t="s">
        <v>231</v>
      </c>
      <c r="B250" s="31" t="s">
        <v>739</v>
      </c>
      <c r="C250" s="31" t="s">
        <v>260</v>
      </c>
      <c r="D250" s="31" t="s">
        <v>654</v>
      </c>
      <c r="E250" s="32">
        <v>116.49</v>
      </c>
      <c r="F250" s="33">
        <v>614.79999999999995</v>
      </c>
      <c r="G250" s="32">
        <v>731.29</v>
      </c>
      <c r="H250" s="32">
        <v>1.45</v>
      </c>
      <c r="I250" s="34">
        <v>4</v>
      </c>
      <c r="J250" s="33">
        <v>0</v>
      </c>
      <c r="K250" s="34">
        <v>619</v>
      </c>
      <c r="L250" s="32">
        <v>330.8</v>
      </c>
      <c r="M250" s="32">
        <v>60.64</v>
      </c>
      <c r="N250" s="32">
        <v>67.930000000000007</v>
      </c>
      <c r="O250" s="32">
        <v>33.31</v>
      </c>
      <c r="P250" s="32">
        <v>3.97</v>
      </c>
      <c r="Q250" s="34">
        <v>241911</v>
      </c>
      <c r="R250" s="34">
        <v>0</v>
      </c>
      <c r="S250" s="34">
        <v>241911</v>
      </c>
      <c r="T250" s="34">
        <v>37536</v>
      </c>
      <c r="U250" s="34">
        <v>42049</v>
      </c>
      <c r="V250" s="34">
        <v>480</v>
      </c>
      <c r="W250" s="34">
        <v>24359</v>
      </c>
      <c r="X250" s="34">
        <v>2903</v>
      </c>
      <c r="Y250" s="34">
        <v>349238</v>
      </c>
      <c r="Z250" s="34">
        <v>36486</v>
      </c>
      <c r="AA250" s="34">
        <v>312752</v>
      </c>
      <c r="AB250" s="34">
        <v>178357</v>
      </c>
      <c r="AC250" s="34">
        <v>134395</v>
      </c>
    </row>
    <row r="251" spans="1:29" x14ac:dyDescent="0.25">
      <c r="A251" s="31" t="s">
        <v>231</v>
      </c>
      <c r="B251" s="31" t="s">
        <v>739</v>
      </c>
      <c r="C251" s="31" t="s">
        <v>261</v>
      </c>
      <c r="D251" s="31" t="s">
        <v>655</v>
      </c>
      <c r="E251" s="32">
        <v>136.26</v>
      </c>
      <c r="F251" s="33">
        <v>809.8</v>
      </c>
      <c r="G251" s="32">
        <v>946.06</v>
      </c>
      <c r="H251" s="32">
        <v>1.87</v>
      </c>
      <c r="I251" s="34">
        <v>92</v>
      </c>
      <c r="J251" s="33">
        <v>0.1</v>
      </c>
      <c r="K251" s="34">
        <v>902</v>
      </c>
      <c r="L251" s="32">
        <v>330.8</v>
      </c>
      <c r="M251" s="32">
        <v>60.64</v>
      </c>
      <c r="N251" s="32">
        <v>67.930000000000007</v>
      </c>
      <c r="O251" s="32">
        <v>33.31</v>
      </c>
      <c r="P251" s="32">
        <v>3.97</v>
      </c>
      <c r="Q251" s="34">
        <v>312957</v>
      </c>
      <c r="R251" s="34">
        <v>2476</v>
      </c>
      <c r="S251" s="34">
        <v>315433</v>
      </c>
      <c r="T251" s="34">
        <v>54697</v>
      </c>
      <c r="U251" s="34">
        <v>61273</v>
      </c>
      <c r="V251" s="34">
        <v>619</v>
      </c>
      <c r="W251" s="34">
        <v>31513</v>
      </c>
      <c r="X251" s="34">
        <v>3756</v>
      </c>
      <c r="Y251" s="34">
        <v>467291</v>
      </c>
      <c r="Z251" s="34">
        <v>40904</v>
      </c>
      <c r="AA251" s="34">
        <v>426387</v>
      </c>
      <c r="AB251" s="34">
        <v>237035</v>
      </c>
      <c r="AC251" s="34">
        <v>189352</v>
      </c>
    </row>
    <row r="252" spans="1:29" x14ac:dyDescent="0.25">
      <c r="A252" s="31" t="s">
        <v>231</v>
      </c>
      <c r="B252" s="31" t="s">
        <v>739</v>
      </c>
      <c r="C252" s="31" t="s">
        <v>262</v>
      </c>
      <c r="D252" s="31" t="s">
        <v>656</v>
      </c>
      <c r="E252" s="32">
        <v>69.849999999999994</v>
      </c>
      <c r="F252" s="33">
        <v>521.5</v>
      </c>
      <c r="G252" s="32">
        <v>591.35</v>
      </c>
      <c r="H252" s="32">
        <v>1.17</v>
      </c>
      <c r="I252" s="34">
        <v>9</v>
      </c>
      <c r="J252" s="33">
        <v>0</v>
      </c>
      <c r="K252" s="34">
        <v>531</v>
      </c>
      <c r="L252" s="32">
        <v>330.8</v>
      </c>
      <c r="M252" s="32">
        <v>60.64</v>
      </c>
      <c r="N252" s="32">
        <v>67.930000000000007</v>
      </c>
      <c r="O252" s="32">
        <v>33.31</v>
      </c>
      <c r="P252" s="32">
        <v>3.97</v>
      </c>
      <c r="Q252" s="34">
        <v>195619</v>
      </c>
      <c r="R252" s="34">
        <v>4175</v>
      </c>
      <c r="S252" s="34">
        <v>199794</v>
      </c>
      <c r="T252" s="34">
        <v>32200</v>
      </c>
      <c r="U252" s="34">
        <v>36071</v>
      </c>
      <c r="V252" s="34">
        <v>387</v>
      </c>
      <c r="W252" s="34">
        <v>20109</v>
      </c>
      <c r="X252" s="34">
        <v>2401</v>
      </c>
      <c r="Y252" s="34">
        <v>290962</v>
      </c>
      <c r="Z252" s="34">
        <v>34388</v>
      </c>
      <c r="AA252" s="34">
        <v>256574</v>
      </c>
      <c r="AB252" s="34">
        <v>139807</v>
      </c>
      <c r="AC252" s="34">
        <v>116767</v>
      </c>
    </row>
    <row r="253" spans="1:29" x14ac:dyDescent="0.25">
      <c r="A253" s="31" t="s">
        <v>231</v>
      </c>
      <c r="B253" s="31" t="s">
        <v>739</v>
      </c>
      <c r="C253" s="31" t="s">
        <v>263</v>
      </c>
      <c r="D253" s="31" t="s">
        <v>657</v>
      </c>
      <c r="E253" s="32">
        <v>25.82</v>
      </c>
      <c r="F253" s="33">
        <v>193</v>
      </c>
      <c r="G253" s="32">
        <v>218.82</v>
      </c>
      <c r="H253" s="32">
        <v>0.43</v>
      </c>
      <c r="I253" s="34">
        <v>0</v>
      </c>
      <c r="J253" s="33">
        <v>0</v>
      </c>
      <c r="K253" s="34">
        <v>193</v>
      </c>
      <c r="L253" s="32">
        <v>330.8</v>
      </c>
      <c r="M253" s="32">
        <v>60.64</v>
      </c>
      <c r="N253" s="32">
        <v>67.930000000000007</v>
      </c>
      <c r="O253" s="32">
        <v>33.31</v>
      </c>
      <c r="P253" s="32">
        <v>3.97</v>
      </c>
      <c r="Q253" s="34">
        <v>72386</v>
      </c>
      <c r="R253" s="34">
        <v>546</v>
      </c>
      <c r="S253" s="34">
        <v>72932</v>
      </c>
      <c r="T253" s="34">
        <v>11704</v>
      </c>
      <c r="U253" s="34">
        <v>13110</v>
      </c>
      <c r="V253" s="34">
        <v>142</v>
      </c>
      <c r="W253" s="34">
        <v>7289</v>
      </c>
      <c r="X253" s="34">
        <v>869</v>
      </c>
      <c r="Y253" s="34">
        <v>106046</v>
      </c>
      <c r="Z253" s="34">
        <v>11884</v>
      </c>
      <c r="AA253" s="34">
        <v>94162</v>
      </c>
      <c r="AB253" s="34">
        <v>52402</v>
      </c>
      <c r="AC253" s="34">
        <v>41760</v>
      </c>
    </row>
    <row r="254" spans="1:29" x14ac:dyDescent="0.25">
      <c r="A254" s="31" t="s">
        <v>231</v>
      </c>
      <c r="B254" s="31" t="s">
        <v>739</v>
      </c>
      <c r="C254" s="31" t="s">
        <v>264</v>
      </c>
      <c r="D254" s="31" t="s">
        <v>658</v>
      </c>
      <c r="E254" s="32">
        <v>81.59</v>
      </c>
      <c r="F254" s="33">
        <v>525.6</v>
      </c>
      <c r="G254" s="32">
        <v>607.19000000000005</v>
      </c>
      <c r="H254" s="32">
        <v>1.2</v>
      </c>
      <c r="I254" s="34">
        <v>9</v>
      </c>
      <c r="J254" s="33">
        <v>0</v>
      </c>
      <c r="K254" s="34">
        <v>535</v>
      </c>
      <c r="L254" s="32">
        <v>330.8</v>
      </c>
      <c r="M254" s="32">
        <v>60.64</v>
      </c>
      <c r="N254" s="32">
        <v>67.930000000000007</v>
      </c>
      <c r="O254" s="32">
        <v>33.31</v>
      </c>
      <c r="P254" s="32">
        <v>3.97</v>
      </c>
      <c r="Q254" s="34">
        <v>200858</v>
      </c>
      <c r="R254" s="34">
        <v>3463</v>
      </c>
      <c r="S254" s="34">
        <v>204321</v>
      </c>
      <c r="T254" s="34">
        <v>32442</v>
      </c>
      <c r="U254" s="34">
        <v>36343</v>
      </c>
      <c r="V254" s="34">
        <v>397</v>
      </c>
      <c r="W254" s="34">
        <v>20225</v>
      </c>
      <c r="X254" s="34">
        <v>2411</v>
      </c>
      <c r="Y254" s="34">
        <v>296139</v>
      </c>
      <c r="Z254" s="34">
        <v>29945</v>
      </c>
      <c r="AA254" s="34">
        <v>266194</v>
      </c>
      <c r="AB254" s="34">
        <v>148439</v>
      </c>
      <c r="AC254" s="34">
        <v>117755</v>
      </c>
    </row>
    <row r="255" spans="1:29" x14ac:dyDescent="0.25">
      <c r="A255" s="31" t="s">
        <v>265</v>
      </c>
      <c r="B255" s="31" t="s">
        <v>740</v>
      </c>
      <c r="C255" s="31" t="s">
        <v>266</v>
      </c>
      <c r="D255" s="31" t="s">
        <v>659</v>
      </c>
      <c r="E255" s="32">
        <v>103.14</v>
      </c>
      <c r="F255" s="33">
        <v>765.3</v>
      </c>
      <c r="G255" s="32">
        <v>868.44</v>
      </c>
      <c r="H255" s="32">
        <v>1.89</v>
      </c>
      <c r="I255" s="34">
        <v>6</v>
      </c>
      <c r="J255" s="33">
        <v>0</v>
      </c>
      <c r="K255" s="34">
        <v>771</v>
      </c>
      <c r="L255" s="32">
        <v>324.22000000000003</v>
      </c>
      <c r="M255" s="32">
        <v>60.36</v>
      </c>
      <c r="N255" s="32">
        <v>66.73</v>
      </c>
      <c r="O255" s="32">
        <v>33.29</v>
      </c>
      <c r="P255" s="32">
        <v>3.58</v>
      </c>
      <c r="Q255" s="34">
        <v>281566</v>
      </c>
      <c r="R255" s="34">
        <v>0</v>
      </c>
      <c r="S255" s="34">
        <v>281566</v>
      </c>
      <c r="T255" s="34">
        <v>46538</v>
      </c>
      <c r="U255" s="34">
        <v>51449</v>
      </c>
      <c r="V255" s="34">
        <v>613</v>
      </c>
      <c r="W255" s="34">
        <v>28910</v>
      </c>
      <c r="X255" s="34">
        <v>3109</v>
      </c>
      <c r="Y255" s="34">
        <v>412185</v>
      </c>
      <c r="Z255" s="34">
        <v>45348</v>
      </c>
      <c r="AA255" s="34">
        <v>366837</v>
      </c>
      <c r="AB255" s="34">
        <v>209475</v>
      </c>
      <c r="AC255" s="34">
        <v>157362</v>
      </c>
    </row>
    <row r="256" spans="1:29" x14ac:dyDescent="0.25">
      <c r="A256" s="31" t="s">
        <v>265</v>
      </c>
      <c r="B256" s="31" t="s">
        <v>740</v>
      </c>
      <c r="C256" s="31" t="s">
        <v>267</v>
      </c>
      <c r="D256" s="31" t="s">
        <v>660</v>
      </c>
      <c r="E256" s="32">
        <v>241.29</v>
      </c>
      <c r="F256" s="33">
        <v>1375.2</v>
      </c>
      <c r="G256" s="32">
        <v>1616.49</v>
      </c>
      <c r="H256" s="32">
        <v>3.52</v>
      </c>
      <c r="I256" s="34">
        <v>0</v>
      </c>
      <c r="J256" s="33">
        <v>0</v>
      </c>
      <c r="K256" s="34">
        <v>1375</v>
      </c>
      <c r="L256" s="32">
        <v>324.22000000000003</v>
      </c>
      <c r="M256" s="32">
        <v>60.36</v>
      </c>
      <c r="N256" s="32">
        <v>66.73</v>
      </c>
      <c r="O256" s="32">
        <v>33.29</v>
      </c>
      <c r="P256" s="32">
        <v>3.58</v>
      </c>
      <c r="Q256" s="34">
        <v>524098</v>
      </c>
      <c r="R256" s="34">
        <v>0</v>
      </c>
      <c r="S256" s="34">
        <v>524098</v>
      </c>
      <c r="T256" s="34">
        <v>82995</v>
      </c>
      <c r="U256" s="34">
        <v>91754</v>
      </c>
      <c r="V256" s="34">
        <v>1141</v>
      </c>
      <c r="W256" s="34">
        <v>53813</v>
      </c>
      <c r="X256" s="34">
        <v>5787</v>
      </c>
      <c r="Y256" s="34">
        <v>759588</v>
      </c>
      <c r="Z256" s="34">
        <v>74584</v>
      </c>
      <c r="AA256" s="34">
        <v>685004</v>
      </c>
      <c r="AB256" s="34">
        <v>399739</v>
      </c>
      <c r="AC256" s="34">
        <v>285265</v>
      </c>
    </row>
    <row r="257" spans="1:29" x14ac:dyDescent="0.25">
      <c r="A257" s="31" t="s">
        <v>265</v>
      </c>
      <c r="B257" s="31" t="s">
        <v>740</v>
      </c>
      <c r="C257" s="31" t="s">
        <v>268</v>
      </c>
      <c r="D257" s="31" t="s">
        <v>661</v>
      </c>
      <c r="E257" s="32">
        <v>56.62</v>
      </c>
      <c r="F257" s="33">
        <v>486.7</v>
      </c>
      <c r="G257" s="32">
        <v>543.32000000000005</v>
      </c>
      <c r="H257" s="32">
        <v>1.18</v>
      </c>
      <c r="I257" s="34">
        <v>6</v>
      </c>
      <c r="J257" s="33">
        <v>0</v>
      </c>
      <c r="K257" s="34">
        <v>493</v>
      </c>
      <c r="L257" s="32">
        <v>324.22000000000003</v>
      </c>
      <c r="M257" s="32">
        <v>60.36</v>
      </c>
      <c r="N257" s="32">
        <v>66.73</v>
      </c>
      <c r="O257" s="32">
        <v>33.29</v>
      </c>
      <c r="P257" s="32">
        <v>3.58</v>
      </c>
      <c r="Q257" s="34">
        <v>176155</v>
      </c>
      <c r="R257" s="34">
        <v>0</v>
      </c>
      <c r="S257" s="34">
        <v>176155</v>
      </c>
      <c r="T257" s="34">
        <v>29757</v>
      </c>
      <c r="U257" s="34">
        <v>32898</v>
      </c>
      <c r="V257" s="34">
        <v>383</v>
      </c>
      <c r="W257" s="34">
        <v>18087</v>
      </c>
      <c r="X257" s="34">
        <v>1945</v>
      </c>
      <c r="Y257" s="34">
        <v>259225</v>
      </c>
      <c r="Z257" s="34">
        <v>31784</v>
      </c>
      <c r="AA257" s="34">
        <v>227441</v>
      </c>
      <c r="AB257" s="34">
        <v>127640</v>
      </c>
      <c r="AC257" s="34">
        <v>99801</v>
      </c>
    </row>
    <row r="258" spans="1:29" x14ac:dyDescent="0.25">
      <c r="A258" s="31" t="s">
        <v>265</v>
      </c>
      <c r="B258" s="31" t="s">
        <v>740</v>
      </c>
      <c r="C258" s="31" t="s">
        <v>269</v>
      </c>
      <c r="D258" s="31" t="s">
        <v>662</v>
      </c>
      <c r="E258" s="32">
        <v>44.72</v>
      </c>
      <c r="F258" s="33">
        <v>396.7</v>
      </c>
      <c r="G258" s="32">
        <v>441.42</v>
      </c>
      <c r="H258" s="32">
        <v>0.96</v>
      </c>
      <c r="I258" s="34">
        <v>5</v>
      </c>
      <c r="J258" s="33">
        <v>0</v>
      </c>
      <c r="K258" s="34">
        <v>402</v>
      </c>
      <c r="L258" s="32">
        <v>324.22000000000003</v>
      </c>
      <c r="M258" s="32">
        <v>60.36</v>
      </c>
      <c r="N258" s="32">
        <v>66.73</v>
      </c>
      <c r="O258" s="32">
        <v>33.29</v>
      </c>
      <c r="P258" s="32">
        <v>3.58</v>
      </c>
      <c r="Q258" s="34">
        <v>143117</v>
      </c>
      <c r="R258" s="34">
        <v>214</v>
      </c>
      <c r="S258" s="34">
        <v>143331</v>
      </c>
      <c r="T258" s="34">
        <v>24265</v>
      </c>
      <c r="U258" s="34">
        <v>26825</v>
      </c>
      <c r="V258" s="34">
        <v>311</v>
      </c>
      <c r="W258" s="34">
        <v>14695</v>
      </c>
      <c r="X258" s="34">
        <v>1580</v>
      </c>
      <c r="Y258" s="34">
        <v>211007</v>
      </c>
      <c r="Z258" s="34">
        <v>27281</v>
      </c>
      <c r="AA258" s="34">
        <v>183726</v>
      </c>
      <c r="AB258" s="34">
        <v>102243</v>
      </c>
      <c r="AC258" s="34">
        <v>81483</v>
      </c>
    </row>
    <row r="259" spans="1:29" x14ac:dyDescent="0.25">
      <c r="A259" s="31" t="s">
        <v>265</v>
      </c>
      <c r="B259" s="31" t="s">
        <v>740</v>
      </c>
      <c r="C259" s="31" t="s">
        <v>270</v>
      </c>
      <c r="D259" s="31" t="s">
        <v>271</v>
      </c>
      <c r="E259" s="32">
        <v>45.8</v>
      </c>
      <c r="F259" s="33">
        <v>466.3</v>
      </c>
      <c r="G259" s="32">
        <v>512.1</v>
      </c>
      <c r="H259" s="32">
        <v>1.1200000000000001</v>
      </c>
      <c r="I259" s="34">
        <v>0</v>
      </c>
      <c r="J259" s="33">
        <v>0</v>
      </c>
      <c r="K259" s="34">
        <v>466</v>
      </c>
      <c r="L259" s="32">
        <v>324.22000000000003</v>
      </c>
      <c r="M259" s="32">
        <v>60.36</v>
      </c>
      <c r="N259" s="32">
        <v>66.73</v>
      </c>
      <c r="O259" s="32">
        <v>33.29</v>
      </c>
      <c r="P259" s="32">
        <v>3.58</v>
      </c>
      <c r="Q259" s="34">
        <v>166033</v>
      </c>
      <c r="R259" s="34">
        <v>5622</v>
      </c>
      <c r="S259" s="34">
        <v>171655</v>
      </c>
      <c r="T259" s="34">
        <v>28128</v>
      </c>
      <c r="U259" s="34">
        <v>31096</v>
      </c>
      <c r="V259" s="34">
        <v>363</v>
      </c>
      <c r="W259" s="34">
        <v>17623</v>
      </c>
      <c r="X259" s="34">
        <v>1894</v>
      </c>
      <c r="Y259" s="34">
        <v>250759</v>
      </c>
      <c r="Z259" s="34">
        <v>27766</v>
      </c>
      <c r="AA259" s="34">
        <v>222993</v>
      </c>
      <c r="AB259" s="34">
        <v>123135</v>
      </c>
      <c r="AC259" s="34">
        <v>99858</v>
      </c>
    </row>
    <row r="260" spans="1:29" x14ac:dyDescent="0.25">
      <c r="A260" s="31" t="s">
        <v>265</v>
      </c>
      <c r="B260" s="31" t="s">
        <v>740</v>
      </c>
      <c r="C260" s="31" t="s">
        <v>272</v>
      </c>
      <c r="D260" s="31" t="s">
        <v>663</v>
      </c>
      <c r="E260" s="32">
        <v>102.4</v>
      </c>
      <c r="F260" s="33">
        <v>643.79999999999995</v>
      </c>
      <c r="G260" s="32">
        <v>746.2</v>
      </c>
      <c r="H260" s="32">
        <v>1.62</v>
      </c>
      <c r="I260" s="34">
        <v>0</v>
      </c>
      <c r="J260" s="33">
        <v>0</v>
      </c>
      <c r="K260" s="34">
        <v>644</v>
      </c>
      <c r="L260" s="32">
        <v>324.22000000000003</v>
      </c>
      <c r="M260" s="32">
        <v>60.36</v>
      </c>
      <c r="N260" s="32">
        <v>66.73</v>
      </c>
      <c r="O260" s="32">
        <v>33.29</v>
      </c>
      <c r="P260" s="32">
        <v>3.58</v>
      </c>
      <c r="Q260" s="34">
        <v>241933</v>
      </c>
      <c r="R260" s="34">
        <v>0</v>
      </c>
      <c r="S260" s="34">
        <v>241933</v>
      </c>
      <c r="T260" s="34">
        <v>38872</v>
      </c>
      <c r="U260" s="34">
        <v>42974</v>
      </c>
      <c r="V260" s="34">
        <v>525</v>
      </c>
      <c r="W260" s="34">
        <v>24841</v>
      </c>
      <c r="X260" s="34">
        <v>2671</v>
      </c>
      <c r="Y260" s="34">
        <v>351816</v>
      </c>
      <c r="Z260" s="34">
        <v>38216</v>
      </c>
      <c r="AA260" s="34">
        <v>313600</v>
      </c>
      <c r="AB260" s="34">
        <v>180738</v>
      </c>
      <c r="AC260" s="34">
        <v>132862</v>
      </c>
    </row>
    <row r="261" spans="1:29" x14ac:dyDescent="0.25">
      <c r="A261" s="31" t="s">
        <v>265</v>
      </c>
      <c r="B261" s="31" t="s">
        <v>740</v>
      </c>
      <c r="C261" s="31" t="s">
        <v>273</v>
      </c>
      <c r="D261" s="31" t="s">
        <v>664</v>
      </c>
      <c r="E261" s="32">
        <v>126.79</v>
      </c>
      <c r="F261" s="33">
        <v>968.2</v>
      </c>
      <c r="G261" s="32">
        <v>1094.99</v>
      </c>
      <c r="H261" s="32">
        <v>2.38</v>
      </c>
      <c r="I261" s="34">
        <v>61</v>
      </c>
      <c r="J261" s="33">
        <v>0.9</v>
      </c>
      <c r="K261" s="34">
        <v>1028</v>
      </c>
      <c r="L261" s="32">
        <v>324.22000000000003</v>
      </c>
      <c r="M261" s="32">
        <v>60.36</v>
      </c>
      <c r="N261" s="32">
        <v>66.73</v>
      </c>
      <c r="O261" s="32">
        <v>33.29</v>
      </c>
      <c r="P261" s="32">
        <v>3.58</v>
      </c>
      <c r="Q261" s="34">
        <v>355018</v>
      </c>
      <c r="R261" s="34">
        <v>0</v>
      </c>
      <c r="S261" s="34">
        <v>355018</v>
      </c>
      <c r="T261" s="34">
        <v>62050</v>
      </c>
      <c r="U261" s="34">
        <v>68598</v>
      </c>
      <c r="V261" s="34">
        <v>772</v>
      </c>
      <c r="W261" s="34">
        <v>36452</v>
      </c>
      <c r="X261" s="34">
        <v>3920</v>
      </c>
      <c r="Y261" s="34">
        <v>526810</v>
      </c>
      <c r="Z261" s="34">
        <v>54102</v>
      </c>
      <c r="AA261" s="34">
        <v>472708</v>
      </c>
      <c r="AB261" s="34">
        <v>267197</v>
      </c>
      <c r="AC261" s="34">
        <v>205511</v>
      </c>
    </row>
    <row r="262" spans="1:29" x14ac:dyDescent="0.25">
      <c r="A262" s="31" t="s">
        <v>265</v>
      </c>
      <c r="B262" s="31" t="s">
        <v>740</v>
      </c>
      <c r="C262" s="31" t="s">
        <v>274</v>
      </c>
      <c r="D262" s="31" t="s">
        <v>665</v>
      </c>
      <c r="E262" s="32">
        <v>185.62</v>
      </c>
      <c r="F262" s="33">
        <v>1407.5</v>
      </c>
      <c r="G262" s="32">
        <v>1593.12</v>
      </c>
      <c r="H262" s="32">
        <v>3.47</v>
      </c>
      <c r="I262" s="34">
        <v>4</v>
      </c>
      <c r="J262" s="33">
        <v>0</v>
      </c>
      <c r="K262" s="34">
        <v>1412</v>
      </c>
      <c r="L262" s="32">
        <v>324.22000000000003</v>
      </c>
      <c r="M262" s="32">
        <v>60.36</v>
      </c>
      <c r="N262" s="32">
        <v>66.73</v>
      </c>
      <c r="O262" s="32">
        <v>33.29</v>
      </c>
      <c r="P262" s="32">
        <v>3.58</v>
      </c>
      <c r="Q262" s="34">
        <v>516521</v>
      </c>
      <c r="R262" s="34">
        <v>0</v>
      </c>
      <c r="S262" s="34">
        <v>516521</v>
      </c>
      <c r="T262" s="34">
        <v>85228</v>
      </c>
      <c r="U262" s="34">
        <v>94223</v>
      </c>
      <c r="V262" s="34">
        <v>1125</v>
      </c>
      <c r="W262" s="34">
        <v>53035</v>
      </c>
      <c r="X262" s="34">
        <v>5703</v>
      </c>
      <c r="Y262" s="34">
        <v>755835</v>
      </c>
      <c r="Z262" s="34">
        <v>72226</v>
      </c>
      <c r="AA262" s="34">
        <v>683609</v>
      </c>
      <c r="AB262" s="34">
        <v>395239</v>
      </c>
      <c r="AC262" s="34">
        <v>288370</v>
      </c>
    </row>
    <row r="263" spans="1:29" x14ac:dyDescent="0.25">
      <c r="A263" s="31" t="s">
        <v>265</v>
      </c>
      <c r="B263" s="31" t="s">
        <v>740</v>
      </c>
      <c r="C263" s="31" t="s">
        <v>275</v>
      </c>
      <c r="D263" s="31" t="s">
        <v>666</v>
      </c>
      <c r="E263" s="32">
        <v>48.84</v>
      </c>
      <c r="F263" s="33">
        <v>412.4</v>
      </c>
      <c r="G263" s="32">
        <v>461.24</v>
      </c>
      <c r="H263" s="32">
        <v>1.01</v>
      </c>
      <c r="I263" s="34">
        <v>1</v>
      </c>
      <c r="J263" s="33">
        <v>0</v>
      </c>
      <c r="K263" s="34">
        <v>413</v>
      </c>
      <c r="L263" s="32">
        <v>324.22000000000003</v>
      </c>
      <c r="M263" s="32">
        <v>60.36</v>
      </c>
      <c r="N263" s="32">
        <v>66.73</v>
      </c>
      <c r="O263" s="32">
        <v>33.29</v>
      </c>
      <c r="P263" s="32">
        <v>3.58</v>
      </c>
      <c r="Q263" s="34">
        <v>149543</v>
      </c>
      <c r="R263" s="34">
        <v>2007</v>
      </c>
      <c r="S263" s="34">
        <v>151550</v>
      </c>
      <c r="T263" s="34">
        <v>24929</v>
      </c>
      <c r="U263" s="34">
        <v>27559</v>
      </c>
      <c r="V263" s="34">
        <v>327</v>
      </c>
      <c r="W263" s="34">
        <v>15355</v>
      </c>
      <c r="X263" s="34">
        <v>1651</v>
      </c>
      <c r="Y263" s="34">
        <v>221371</v>
      </c>
      <c r="Z263" s="34">
        <v>30584</v>
      </c>
      <c r="AA263" s="34">
        <v>190787</v>
      </c>
      <c r="AB263" s="34">
        <v>104758</v>
      </c>
      <c r="AC263" s="34">
        <v>86029</v>
      </c>
    </row>
    <row r="264" spans="1:29" x14ac:dyDescent="0.25">
      <c r="A264" s="31" t="s">
        <v>265</v>
      </c>
      <c r="B264" s="31" t="s">
        <v>740</v>
      </c>
      <c r="C264" s="31" t="s">
        <v>276</v>
      </c>
      <c r="D264" s="31" t="s">
        <v>667</v>
      </c>
      <c r="E264" s="32">
        <v>2095.9299999999998</v>
      </c>
      <c r="F264" s="33">
        <v>8688.1</v>
      </c>
      <c r="G264" s="32">
        <v>10784.03</v>
      </c>
      <c r="H264" s="32">
        <v>23.48</v>
      </c>
      <c r="I264" s="34">
        <v>395</v>
      </c>
      <c r="J264" s="33">
        <v>0.5</v>
      </c>
      <c r="K264" s="34">
        <v>9083</v>
      </c>
      <c r="L264" s="32">
        <v>324.22000000000003</v>
      </c>
      <c r="M264" s="32">
        <v>60.36</v>
      </c>
      <c r="N264" s="32">
        <v>66.73</v>
      </c>
      <c r="O264" s="32">
        <v>33.29</v>
      </c>
      <c r="P264" s="32">
        <v>3.58</v>
      </c>
      <c r="Q264" s="34">
        <v>3496398</v>
      </c>
      <c r="R264" s="34">
        <v>0</v>
      </c>
      <c r="S264" s="34">
        <v>3496398</v>
      </c>
      <c r="T264" s="34">
        <v>548250</v>
      </c>
      <c r="U264" s="34">
        <v>606109</v>
      </c>
      <c r="V264" s="34">
        <v>7613</v>
      </c>
      <c r="W264" s="34">
        <v>359000</v>
      </c>
      <c r="X264" s="34">
        <v>38607</v>
      </c>
      <c r="Y264" s="34">
        <v>5055977</v>
      </c>
      <c r="Z264" s="34">
        <v>489257</v>
      </c>
      <c r="AA264" s="34">
        <v>4566720</v>
      </c>
      <c r="AB264" s="34">
        <v>2675073</v>
      </c>
      <c r="AC264" s="34">
        <v>1891647</v>
      </c>
    </row>
    <row r="265" spans="1:29" x14ac:dyDescent="0.25">
      <c r="A265" s="31" t="s">
        <v>265</v>
      </c>
      <c r="B265" s="31" t="s">
        <v>740</v>
      </c>
      <c r="C265" s="31" t="s">
        <v>277</v>
      </c>
      <c r="D265" s="31" t="s">
        <v>668</v>
      </c>
      <c r="E265" s="32">
        <v>189.78</v>
      </c>
      <c r="F265" s="33">
        <v>1402</v>
      </c>
      <c r="G265" s="32">
        <v>1591.78</v>
      </c>
      <c r="H265" s="32">
        <v>3.47</v>
      </c>
      <c r="I265" s="34">
        <v>110</v>
      </c>
      <c r="J265" s="33">
        <v>0.5</v>
      </c>
      <c r="K265" s="34">
        <v>1512</v>
      </c>
      <c r="L265" s="32">
        <v>324.22000000000003</v>
      </c>
      <c r="M265" s="32">
        <v>60.36</v>
      </c>
      <c r="N265" s="32">
        <v>66.73</v>
      </c>
      <c r="O265" s="32">
        <v>33.29</v>
      </c>
      <c r="P265" s="32">
        <v>3.58</v>
      </c>
      <c r="Q265" s="34">
        <v>516087</v>
      </c>
      <c r="R265" s="34">
        <v>9526</v>
      </c>
      <c r="S265" s="34">
        <v>525613</v>
      </c>
      <c r="T265" s="34">
        <v>91264</v>
      </c>
      <c r="U265" s="34">
        <v>100896</v>
      </c>
      <c r="V265" s="34">
        <v>1125</v>
      </c>
      <c r="W265" s="34">
        <v>53970</v>
      </c>
      <c r="X265" s="34">
        <v>5799</v>
      </c>
      <c r="Y265" s="34">
        <v>778667</v>
      </c>
      <c r="Z265" s="34">
        <v>79654</v>
      </c>
      <c r="AA265" s="34">
        <v>699013</v>
      </c>
      <c r="AB265" s="34">
        <v>388499</v>
      </c>
      <c r="AC265" s="34">
        <v>310514</v>
      </c>
    </row>
    <row r="266" spans="1:29" x14ac:dyDescent="0.25">
      <c r="A266" s="31" t="s">
        <v>265</v>
      </c>
      <c r="B266" s="31" t="s">
        <v>740</v>
      </c>
      <c r="C266" s="31" t="s">
        <v>278</v>
      </c>
      <c r="D266" s="31" t="s">
        <v>669</v>
      </c>
      <c r="E266" s="32">
        <v>14.06</v>
      </c>
      <c r="F266" s="33">
        <v>109</v>
      </c>
      <c r="G266" s="32">
        <v>123.06</v>
      </c>
      <c r="H266" s="32">
        <v>0.27</v>
      </c>
      <c r="I266" s="34">
        <v>0</v>
      </c>
      <c r="J266" s="33">
        <v>0</v>
      </c>
      <c r="K266" s="34">
        <v>109</v>
      </c>
      <c r="L266" s="32">
        <v>324.22000000000003</v>
      </c>
      <c r="M266" s="32">
        <v>60.36</v>
      </c>
      <c r="N266" s="32">
        <v>66.73</v>
      </c>
      <c r="O266" s="32">
        <v>33.29</v>
      </c>
      <c r="P266" s="32">
        <v>3.58</v>
      </c>
      <c r="Q266" s="34">
        <v>39899</v>
      </c>
      <c r="R266" s="34">
        <v>0</v>
      </c>
      <c r="S266" s="34">
        <v>39899</v>
      </c>
      <c r="T266" s="34">
        <v>6579</v>
      </c>
      <c r="U266" s="34">
        <v>7274</v>
      </c>
      <c r="V266" s="34">
        <v>88</v>
      </c>
      <c r="W266" s="34">
        <v>4097</v>
      </c>
      <c r="X266" s="34">
        <v>441</v>
      </c>
      <c r="Y266" s="34">
        <v>58378</v>
      </c>
      <c r="Z266" s="34">
        <v>6902</v>
      </c>
      <c r="AA266" s="34">
        <v>51476</v>
      </c>
      <c r="AB266" s="34">
        <v>29208</v>
      </c>
      <c r="AC266" s="34">
        <v>22268</v>
      </c>
    </row>
    <row r="267" spans="1:29" x14ac:dyDescent="0.25">
      <c r="A267" s="31" t="s">
        <v>265</v>
      </c>
      <c r="B267" s="31" t="s">
        <v>740</v>
      </c>
      <c r="C267" s="31" t="s">
        <v>279</v>
      </c>
      <c r="D267" s="31" t="s">
        <v>670</v>
      </c>
      <c r="E267" s="32">
        <v>84.88</v>
      </c>
      <c r="F267" s="33">
        <v>527.1</v>
      </c>
      <c r="G267" s="32">
        <v>611.98</v>
      </c>
      <c r="H267" s="32">
        <v>1.33</v>
      </c>
      <c r="I267" s="34">
        <v>0</v>
      </c>
      <c r="J267" s="33">
        <v>0</v>
      </c>
      <c r="K267" s="34">
        <v>527</v>
      </c>
      <c r="L267" s="32">
        <v>324.22000000000003</v>
      </c>
      <c r="M267" s="32">
        <v>60.36</v>
      </c>
      <c r="N267" s="32">
        <v>66.73</v>
      </c>
      <c r="O267" s="32">
        <v>33.29</v>
      </c>
      <c r="P267" s="32">
        <v>3.58</v>
      </c>
      <c r="Q267" s="34">
        <v>198416</v>
      </c>
      <c r="R267" s="34">
        <v>5019</v>
      </c>
      <c r="S267" s="34">
        <v>203435</v>
      </c>
      <c r="T267" s="34">
        <v>31810</v>
      </c>
      <c r="U267" s="34">
        <v>35167</v>
      </c>
      <c r="V267" s="34">
        <v>431</v>
      </c>
      <c r="W267" s="34">
        <v>20889</v>
      </c>
      <c r="X267" s="34">
        <v>2245</v>
      </c>
      <c r="Y267" s="34">
        <v>293977</v>
      </c>
      <c r="Z267" s="34">
        <v>33618</v>
      </c>
      <c r="AA267" s="34">
        <v>260359</v>
      </c>
      <c r="AB267" s="34">
        <v>146523</v>
      </c>
      <c r="AC267" s="34">
        <v>113836</v>
      </c>
    </row>
    <row r="268" spans="1:29" x14ac:dyDescent="0.25">
      <c r="A268" s="31" t="s">
        <v>265</v>
      </c>
      <c r="B268" s="31" t="s">
        <v>740</v>
      </c>
      <c r="C268" s="31" t="s">
        <v>280</v>
      </c>
      <c r="D268" s="31" t="s">
        <v>671</v>
      </c>
      <c r="E268" s="32">
        <v>63.15</v>
      </c>
      <c r="F268" s="33">
        <v>482</v>
      </c>
      <c r="G268" s="32">
        <v>545.15</v>
      </c>
      <c r="H268" s="32">
        <v>1.19</v>
      </c>
      <c r="I268" s="34">
        <v>3</v>
      </c>
      <c r="J268" s="33">
        <v>0</v>
      </c>
      <c r="K268" s="34">
        <v>485</v>
      </c>
      <c r="L268" s="32">
        <v>324.22000000000003</v>
      </c>
      <c r="M268" s="32">
        <v>60.36</v>
      </c>
      <c r="N268" s="32">
        <v>66.73</v>
      </c>
      <c r="O268" s="32">
        <v>33.29</v>
      </c>
      <c r="P268" s="32">
        <v>3.58</v>
      </c>
      <c r="Q268" s="34">
        <v>176749</v>
      </c>
      <c r="R268" s="34">
        <v>852</v>
      </c>
      <c r="S268" s="34">
        <v>177601</v>
      </c>
      <c r="T268" s="34">
        <v>29275</v>
      </c>
      <c r="U268" s="34">
        <v>32364</v>
      </c>
      <c r="V268" s="34">
        <v>386</v>
      </c>
      <c r="W268" s="34">
        <v>18236</v>
      </c>
      <c r="X268" s="34">
        <v>1959</v>
      </c>
      <c r="Y268" s="34">
        <v>259821</v>
      </c>
      <c r="Z268" s="34">
        <v>27725</v>
      </c>
      <c r="AA268" s="34">
        <v>232096</v>
      </c>
      <c r="AB268" s="34">
        <v>132333</v>
      </c>
      <c r="AC268" s="34">
        <v>99763</v>
      </c>
    </row>
    <row r="269" spans="1:29" x14ac:dyDescent="0.25">
      <c r="A269" s="31" t="s">
        <v>265</v>
      </c>
      <c r="B269" s="31" t="s">
        <v>740</v>
      </c>
      <c r="C269" s="31" t="s">
        <v>281</v>
      </c>
      <c r="D269" s="31" t="s">
        <v>672</v>
      </c>
      <c r="E269" s="32">
        <v>25.61</v>
      </c>
      <c r="F269" s="33">
        <v>183.4</v>
      </c>
      <c r="G269" s="32">
        <v>209.01</v>
      </c>
      <c r="H269" s="32">
        <v>0.46</v>
      </c>
      <c r="I269" s="34">
        <v>3</v>
      </c>
      <c r="J269" s="33">
        <v>0</v>
      </c>
      <c r="K269" s="34">
        <v>186</v>
      </c>
      <c r="L269" s="32">
        <v>324.22000000000003</v>
      </c>
      <c r="M269" s="32">
        <v>60.36</v>
      </c>
      <c r="N269" s="32">
        <v>66.73</v>
      </c>
      <c r="O269" s="32">
        <v>33.29</v>
      </c>
      <c r="P269" s="32">
        <v>3.58</v>
      </c>
      <c r="Q269" s="34">
        <v>67765</v>
      </c>
      <c r="R269" s="34">
        <v>5380</v>
      </c>
      <c r="S269" s="34">
        <v>73145</v>
      </c>
      <c r="T269" s="34">
        <v>11227</v>
      </c>
      <c r="U269" s="34">
        <v>12412</v>
      </c>
      <c r="V269" s="34">
        <v>149</v>
      </c>
      <c r="W269" s="34">
        <v>7038</v>
      </c>
      <c r="X269" s="34">
        <v>756</v>
      </c>
      <c r="Y269" s="34">
        <v>104727</v>
      </c>
      <c r="Z269" s="34">
        <v>12756</v>
      </c>
      <c r="AA269" s="34">
        <v>91971</v>
      </c>
      <c r="AB269" s="34">
        <v>48662</v>
      </c>
      <c r="AC269" s="34">
        <v>43309</v>
      </c>
    </row>
    <row r="270" spans="1:29" x14ac:dyDescent="0.25">
      <c r="A270" s="31" t="s">
        <v>265</v>
      </c>
      <c r="B270" s="31" t="s">
        <v>740</v>
      </c>
      <c r="C270" s="31" t="s">
        <v>282</v>
      </c>
      <c r="D270" s="31" t="s">
        <v>673</v>
      </c>
      <c r="E270" s="32">
        <v>71.400000000000006</v>
      </c>
      <c r="F270" s="33">
        <v>436</v>
      </c>
      <c r="G270" s="32">
        <v>507.4</v>
      </c>
      <c r="H270" s="32">
        <v>1.1000000000000001</v>
      </c>
      <c r="I270" s="34">
        <v>0</v>
      </c>
      <c r="J270" s="33">
        <v>0</v>
      </c>
      <c r="K270" s="34">
        <v>436</v>
      </c>
      <c r="L270" s="32">
        <v>324.22000000000003</v>
      </c>
      <c r="M270" s="32">
        <v>60.36</v>
      </c>
      <c r="N270" s="32">
        <v>66.73</v>
      </c>
      <c r="O270" s="32">
        <v>33.29</v>
      </c>
      <c r="P270" s="32">
        <v>3.58</v>
      </c>
      <c r="Q270" s="34">
        <v>164509</v>
      </c>
      <c r="R270" s="34">
        <v>0</v>
      </c>
      <c r="S270" s="34">
        <v>164509</v>
      </c>
      <c r="T270" s="34">
        <v>26317</v>
      </c>
      <c r="U270" s="34">
        <v>29094</v>
      </c>
      <c r="V270" s="34">
        <v>357</v>
      </c>
      <c r="W270" s="34">
        <v>16891</v>
      </c>
      <c r="X270" s="34">
        <v>1816</v>
      </c>
      <c r="Y270" s="34">
        <v>238984</v>
      </c>
      <c r="Z270" s="34">
        <v>22814</v>
      </c>
      <c r="AA270" s="34">
        <v>216170</v>
      </c>
      <c r="AB270" s="34">
        <v>126069</v>
      </c>
      <c r="AC270" s="34">
        <v>90101</v>
      </c>
    </row>
    <row r="271" spans="1:29" x14ac:dyDescent="0.25">
      <c r="A271" s="31" t="s">
        <v>265</v>
      </c>
      <c r="B271" s="31" t="s">
        <v>740</v>
      </c>
      <c r="C271" s="31" t="s">
        <v>283</v>
      </c>
      <c r="D271" s="31" t="s">
        <v>674</v>
      </c>
      <c r="E271" s="32">
        <v>212.94</v>
      </c>
      <c r="F271" s="33">
        <v>1933.5</v>
      </c>
      <c r="G271" s="32">
        <v>2146.44</v>
      </c>
      <c r="H271" s="32">
        <v>4.67</v>
      </c>
      <c r="I271" s="34">
        <v>12</v>
      </c>
      <c r="J271" s="33">
        <v>0</v>
      </c>
      <c r="K271" s="34">
        <v>1946</v>
      </c>
      <c r="L271" s="32">
        <v>324.22000000000003</v>
      </c>
      <c r="M271" s="32">
        <v>60.36</v>
      </c>
      <c r="N271" s="32">
        <v>66.73</v>
      </c>
      <c r="O271" s="32">
        <v>33.29</v>
      </c>
      <c r="P271" s="32">
        <v>3.58</v>
      </c>
      <c r="Q271" s="34">
        <v>695919</v>
      </c>
      <c r="R271" s="34">
        <v>0</v>
      </c>
      <c r="S271" s="34">
        <v>695919</v>
      </c>
      <c r="T271" s="34">
        <v>117461</v>
      </c>
      <c r="U271" s="34">
        <v>129857</v>
      </c>
      <c r="V271" s="34">
        <v>1514</v>
      </c>
      <c r="W271" s="34">
        <v>71455</v>
      </c>
      <c r="X271" s="34">
        <v>7684</v>
      </c>
      <c r="Y271" s="34">
        <v>1023890</v>
      </c>
      <c r="Z271" s="34">
        <v>96802</v>
      </c>
      <c r="AA271" s="34">
        <v>927088</v>
      </c>
      <c r="AB271" s="34">
        <v>533021</v>
      </c>
      <c r="AC271" s="34">
        <v>394067</v>
      </c>
    </row>
    <row r="272" spans="1:29" x14ac:dyDescent="0.25">
      <c r="A272" s="31" t="s">
        <v>265</v>
      </c>
      <c r="B272" s="31" t="s">
        <v>740</v>
      </c>
      <c r="C272" s="31" t="s">
        <v>284</v>
      </c>
      <c r="D272" s="31" t="s">
        <v>675</v>
      </c>
      <c r="E272" s="32">
        <v>89.9</v>
      </c>
      <c r="F272" s="33">
        <v>456.7</v>
      </c>
      <c r="G272" s="32">
        <v>546.6</v>
      </c>
      <c r="H272" s="32">
        <v>1.19</v>
      </c>
      <c r="I272" s="34">
        <v>0</v>
      </c>
      <c r="J272" s="33">
        <v>0</v>
      </c>
      <c r="K272" s="34">
        <v>457</v>
      </c>
      <c r="L272" s="32">
        <v>324.22000000000003</v>
      </c>
      <c r="M272" s="32">
        <v>60.36</v>
      </c>
      <c r="N272" s="32">
        <v>66.73</v>
      </c>
      <c r="O272" s="32">
        <v>33.29</v>
      </c>
      <c r="P272" s="32">
        <v>3.58</v>
      </c>
      <c r="Q272" s="34">
        <v>177219</v>
      </c>
      <c r="R272" s="34">
        <v>4928</v>
      </c>
      <c r="S272" s="34">
        <v>182147</v>
      </c>
      <c r="T272" s="34">
        <v>27585</v>
      </c>
      <c r="U272" s="34">
        <v>30496</v>
      </c>
      <c r="V272" s="34">
        <v>386</v>
      </c>
      <c r="W272" s="34">
        <v>18196</v>
      </c>
      <c r="X272" s="34">
        <v>1957</v>
      </c>
      <c r="Y272" s="34">
        <v>260767</v>
      </c>
      <c r="Z272" s="34">
        <v>33048</v>
      </c>
      <c r="AA272" s="34">
        <v>227719</v>
      </c>
      <c r="AB272" s="34">
        <v>127339</v>
      </c>
      <c r="AC272" s="34">
        <v>100380</v>
      </c>
    </row>
    <row r="273" spans="1:29" x14ac:dyDescent="0.25">
      <c r="A273" s="31" t="s">
        <v>265</v>
      </c>
      <c r="B273" s="31" t="s">
        <v>740</v>
      </c>
      <c r="C273" s="31" t="s">
        <v>285</v>
      </c>
      <c r="D273" s="31" t="s">
        <v>676</v>
      </c>
      <c r="E273" s="32">
        <v>34.6</v>
      </c>
      <c r="F273" s="33">
        <v>227</v>
      </c>
      <c r="G273" s="32">
        <v>261.60000000000002</v>
      </c>
      <c r="H273" s="32">
        <v>0.56999999999999995</v>
      </c>
      <c r="I273" s="34">
        <v>0</v>
      </c>
      <c r="J273" s="33">
        <v>0</v>
      </c>
      <c r="K273" s="34">
        <v>227</v>
      </c>
      <c r="L273" s="32">
        <v>324.22000000000003</v>
      </c>
      <c r="M273" s="32">
        <v>60.36</v>
      </c>
      <c r="N273" s="32">
        <v>66.73</v>
      </c>
      <c r="O273" s="32">
        <v>33.29</v>
      </c>
      <c r="P273" s="32">
        <v>3.58</v>
      </c>
      <c r="Q273" s="34">
        <v>84816</v>
      </c>
      <c r="R273" s="34">
        <v>0</v>
      </c>
      <c r="S273" s="34">
        <v>84816</v>
      </c>
      <c r="T273" s="34">
        <v>13702</v>
      </c>
      <c r="U273" s="34">
        <v>15148</v>
      </c>
      <c r="V273" s="34">
        <v>185</v>
      </c>
      <c r="W273" s="34">
        <v>8709</v>
      </c>
      <c r="X273" s="34">
        <v>937</v>
      </c>
      <c r="Y273" s="34">
        <v>123497</v>
      </c>
      <c r="Z273" s="34">
        <v>15898</v>
      </c>
      <c r="AA273" s="34">
        <v>107599</v>
      </c>
      <c r="AB273" s="34">
        <v>60864</v>
      </c>
      <c r="AC273" s="34">
        <v>46735</v>
      </c>
    </row>
    <row r="274" spans="1:29" x14ac:dyDescent="0.25">
      <c r="A274" s="31" t="s">
        <v>265</v>
      </c>
      <c r="B274" s="31" t="s">
        <v>740</v>
      </c>
      <c r="C274" s="31" t="s">
        <v>286</v>
      </c>
      <c r="D274" s="31" t="s">
        <v>677</v>
      </c>
      <c r="E274" s="32">
        <v>165.7</v>
      </c>
      <c r="F274" s="33">
        <v>1351.6</v>
      </c>
      <c r="G274" s="32">
        <v>1517.3</v>
      </c>
      <c r="H274" s="32">
        <v>3.3</v>
      </c>
      <c r="I274" s="34">
        <v>71</v>
      </c>
      <c r="J274" s="33">
        <v>0.8</v>
      </c>
      <c r="K274" s="34">
        <v>1422</v>
      </c>
      <c r="L274" s="32">
        <v>324.22000000000003</v>
      </c>
      <c r="M274" s="32">
        <v>60.36</v>
      </c>
      <c r="N274" s="32">
        <v>66.73</v>
      </c>
      <c r="O274" s="32">
        <v>33.29</v>
      </c>
      <c r="P274" s="32">
        <v>3.58</v>
      </c>
      <c r="Q274" s="34">
        <v>491939</v>
      </c>
      <c r="R274" s="34">
        <v>0</v>
      </c>
      <c r="S274" s="34">
        <v>491939</v>
      </c>
      <c r="T274" s="34">
        <v>85832</v>
      </c>
      <c r="U274" s="34">
        <v>94890</v>
      </c>
      <c r="V274" s="34">
        <v>1070</v>
      </c>
      <c r="W274" s="34">
        <v>50511</v>
      </c>
      <c r="X274" s="34">
        <v>5432</v>
      </c>
      <c r="Y274" s="34">
        <v>729674</v>
      </c>
      <c r="Z274" s="34">
        <v>80993</v>
      </c>
      <c r="AA274" s="34">
        <v>648681</v>
      </c>
      <c r="AB274" s="34">
        <v>364224</v>
      </c>
      <c r="AC274" s="34">
        <v>284457</v>
      </c>
    </row>
    <row r="275" spans="1:29" x14ac:dyDescent="0.25">
      <c r="A275" s="31" t="s">
        <v>265</v>
      </c>
      <c r="B275" s="31" t="s">
        <v>740</v>
      </c>
      <c r="C275" s="31" t="s">
        <v>287</v>
      </c>
      <c r="D275" s="31" t="s">
        <v>678</v>
      </c>
      <c r="E275" s="32">
        <v>87.04</v>
      </c>
      <c r="F275" s="33">
        <v>682</v>
      </c>
      <c r="G275" s="32">
        <v>769.04</v>
      </c>
      <c r="H275" s="32">
        <v>1.67</v>
      </c>
      <c r="I275" s="34">
        <v>10</v>
      </c>
      <c r="J275" s="33">
        <v>0</v>
      </c>
      <c r="K275" s="34">
        <v>692</v>
      </c>
      <c r="L275" s="32">
        <v>324.22000000000003</v>
      </c>
      <c r="M275" s="32">
        <v>60.36</v>
      </c>
      <c r="N275" s="32">
        <v>66.73</v>
      </c>
      <c r="O275" s="32">
        <v>33.29</v>
      </c>
      <c r="P275" s="32">
        <v>3.58</v>
      </c>
      <c r="Q275" s="34">
        <v>249338</v>
      </c>
      <c r="R275" s="34">
        <v>0</v>
      </c>
      <c r="S275" s="34">
        <v>249338</v>
      </c>
      <c r="T275" s="34">
        <v>41769</v>
      </c>
      <c r="U275" s="34">
        <v>46177</v>
      </c>
      <c r="V275" s="34">
        <v>541</v>
      </c>
      <c r="W275" s="34">
        <v>25601</v>
      </c>
      <c r="X275" s="34">
        <v>2753</v>
      </c>
      <c r="Y275" s="34">
        <v>366179</v>
      </c>
      <c r="Z275" s="34">
        <v>47833</v>
      </c>
      <c r="AA275" s="34">
        <v>318346</v>
      </c>
      <c r="AB275" s="34">
        <v>177823</v>
      </c>
      <c r="AC275" s="34">
        <v>140523</v>
      </c>
    </row>
    <row r="276" spans="1:29" x14ac:dyDescent="0.25">
      <c r="A276" s="31" t="s">
        <v>265</v>
      </c>
      <c r="B276" s="31" t="s">
        <v>740</v>
      </c>
      <c r="C276" s="31" t="s">
        <v>288</v>
      </c>
      <c r="D276" s="31" t="s">
        <v>679</v>
      </c>
      <c r="E276" s="32">
        <v>53.86</v>
      </c>
      <c r="F276" s="33">
        <v>313.39999999999998</v>
      </c>
      <c r="G276" s="32">
        <v>367.26</v>
      </c>
      <c r="H276" s="32">
        <v>0.8</v>
      </c>
      <c r="I276" s="34">
        <v>0</v>
      </c>
      <c r="J276" s="33">
        <v>0</v>
      </c>
      <c r="K276" s="34">
        <v>313</v>
      </c>
      <c r="L276" s="32">
        <v>324.22000000000003</v>
      </c>
      <c r="M276" s="32">
        <v>60.36</v>
      </c>
      <c r="N276" s="32">
        <v>66.73</v>
      </c>
      <c r="O276" s="32">
        <v>33.29</v>
      </c>
      <c r="P276" s="32">
        <v>3.58</v>
      </c>
      <c r="Q276" s="34">
        <v>119073</v>
      </c>
      <c r="R276" s="34">
        <v>0</v>
      </c>
      <c r="S276" s="34">
        <v>119073</v>
      </c>
      <c r="T276" s="34">
        <v>18893</v>
      </c>
      <c r="U276" s="34">
        <v>20886</v>
      </c>
      <c r="V276" s="34">
        <v>259</v>
      </c>
      <c r="W276" s="34">
        <v>12226</v>
      </c>
      <c r="X276" s="34">
        <v>1315</v>
      </c>
      <c r="Y276" s="34">
        <v>172652</v>
      </c>
      <c r="Z276" s="34">
        <v>18219</v>
      </c>
      <c r="AA276" s="34">
        <v>154433</v>
      </c>
      <c r="AB276" s="34">
        <v>89545</v>
      </c>
      <c r="AC276" s="34">
        <v>64888</v>
      </c>
    </row>
    <row r="277" spans="1:29" x14ac:dyDescent="0.25">
      <c r="A277" s="31" t="s">
        <v>265</v>
      </c>
      <c r="B277" s="31" t="s">
        <v>740</v>
      </c>
      <c r="C277" s="31" t="s">
        <v>289</v>
      </c>
      <c r="D277" s="31" t="s">
        <v>680</v>
      </c>
      <c r="E277" s="32">
        <v>42.43</v>
      </c>
      <c r="F277" s="33">
        <v>450.3</v>
      </c>
      <c r="G277" s="32">
        <v>492.73</v>
      </c>
      <c r="H277" s="32">
        <v>1.07</v>
      </c>
      <c r="I277" s="34">
        <v>1</v>
      </c>
      <c r="J277" s="33">
        <v>0</v>
      </c>
      <c r="K277" s="34">
        <v>451</v>
      </c>
      <c r="L277" s="32">
        <v>324.22000000000003</v>
      </c>
      <c r="M277" s="32">
        <v>60.36</v>
      </c>
      <c r="N277" s="32">
        <v>66.73</v>
      </c>
      <c r="O277" s="32">
        <v>33.29</v>
      </c>
      <c r="P277" s="32">
        <v>3.58</v>
      </c>
      <c r="Q277" s="34">
        <v>159753</v>
      </c>
      <c r="R277" s="34">
        <v>0</v>
      </c>
      <c r="S277" s="34">
        <v>159753</v>
      </c>
      <c r="T277" s="34">
        <v>27222</v>
      </c>
      <c r="U277" s="34">
        <v>30095</v>
      </c>
      <c r="V277" s="34">
        <v>347</v>
      </c>
      <c r="W277" s="34">
        <v>16403</v>
      </c>
      <c r="X277" s="34">
        <v>1764</v>
      </c>
      <c r="Y277" s="34">
        <v>235584</v>
      </c>
      <c r="Z277" s="34">
        <v>23604</v>
      </c>
      <c r="AA277" s="34">
        <v>211980</v>
      </c>
      <c r="AB277" s="34">
        <v>120976</v>
      </c>
      <c r="AC277" s="34">
        <v>91004</v>
      </c>
    </row>
    <row r="278" spans="1:29" x14ac:dyDescent="0.25">
      <c r="A278" s="31" t="s">
        <v>265</v>
      </c>
      <c r="B278" s="31" t="s">
        <v>740</v>
      </c>
      <c r="C278" s="31" t="s">
        <v>290</v>
      </c>
      <c r="D278" s="31" t="s">
        <v>681</v>
      </c>
      <c r="E278" s="32">
        <v>381.26</v>
      </c>
      <c r="F278" s="33">
        <v>2627.1</v>
      </c>
      <c r="G278" s="32">
        <v>3008.36</v>
      </c>
      <c r="H278" s="32">
        <v>6.55</v>
      </c>
      <c r="I278" s="34">
        <v>207</v>
      </c>
      <c r="J278" s="33">
        <v>0.3</v>
      </c>
      <c r="K278" s="34">
        <v>2834</v>
      </c>
      <c r="L278" s="32">
        <v>324.22000000000003</v>
      </c>
      <c r="M278" s="32">
        <v>60.36</v>
      </c>
      <c r="N278" s="32">
        <v>66.73</v>
      </c>
      <c r="O278" s="32">
        <v>33.29</v>
      </c>
      <c r="P278" s="32">
        <v>3.58</v>
      </c>
      <c r="Q278" s="34">
        <v>975370</v>
      </c>
      <c r="R278" s="34">
        <v>0</v>
      </c>
      <c r="S278" s="34">
        <v>975370</v>
      </c>
      <c r="T278" s="34">
        <v>171060</v>
      </c>
      <c r="U278" s="34">
        <v>189113</v>
      </c>
      <c r="V278" s="34">
        <v>2124</v>
      </c>
      <c r="W278" s="34">
        <v>100148</v>
      </c>
      <c r="X278" s="34">
        <v>10770</v>
      </c>
      <c r="Y278" s="34">
        <v>1448585</v>
      </c>
      <c r="Z278" s="34">
        <v>123595</v>
      </c>
      <c r="AA278" s="34">
        <v>1324990</v>
      </c>
      <c r="AB278" s="34">
        <v>759140</v>
      </c>
      <c r="AC278" s="34">
        <v>565850</v>
      </c>
    </row>
    <row r="279" spans="1:29" x14ac:dyDescent="0.25">
      <c r="A279" s="31" t="s">
        <v>265</v>
      </c>
      <c r="B279" s="31" t="s">
        <v>740</v>
      </c>
      <c r="C279" s="31" t="s">
        <v>291</v>
      </c>
      <c r="D279" s="31" t="s">
        <v>682</v>
      </c>
      <c r="E279" s="32">
        <v>46.93</v>
      </c>
      <c r="F279" s="33">
        <v>574.70000000000005</v>
      </c>
      <c r="G279" s="32">
        <v>621.63</v>
      </c>
      <c r="H279" s="32">
        <v>1.35</v>
      </c>
      <c r="I279" s="34">
        <v>0</v>
      </c>
      <c r="J279" s="33">
        <v>0</v>
      </c>
      <c r="K279" s="34">
        <v>575</v>
      </c>
      <c r="L279" s="32">
        <v>324.22000000000003</v>
      </c>
      <c r="M279" s="32">
        <v>60.36</v>
      </c>
      <c r="N279" s="32">
        <v>66.73</v>
      </c>
      <c r="O279" s="32">
        <v>33.29</v>
      </c>
      <c r="P279" s="32">
        <v>3.58</v>
      </c>
      <c r="Q279" s="34">
        <v>201545</v>
      </c>
      <c r="R279" s="34">
        <v>0</v>
      </c>
      <c r="S279" s="34">
        <v>201545</v>
      </c>
      <c r="T279" s="34">
        <v>34707</v>
      </c>
      <c r="U279" s="34">
        <v>38370</v>
      </c>
      <c r="V279" s="34">
        <v>438</v>
      </c>
      <c r="W279" s="34">
        <v>20694</v>
      </c>
      <c r="X279" s="34">
        <v>2225</v>
      </c>
      <c r="Y279" s="34">
        <v>297979</v>
      </c>
      <c r="Z279" s="34">
        <v>30684</v>
      </c>
      <c r="AA279" s="34">
        <v>267295</v>
      </c>
      <c r="AB279" s="34">
        <v>151718</v>
      </c>
      <c r="AC279" s="34">
        <v>115577</v>
      </c>
    </row>
    <row r="280" spans="1:29" x14ac:dyDescent="0.25">
      <c r="A280" s="31" t="s">
        <v>265</v>
      </c>
      <c r="B280" s="31" t="s">
        <v>740</v>
      </c>
      <c r="C280" s="31" t="s">
        <v>292</v>
      </c>
      <c r="D280" s="31" t="s">
        <v>683</v>
      </c>
      <c r="E280" s="32">
        <v>113.46</v>
      </c>
      <c r="F280" s="33">
        <v>772.3</v>
      </c>
      <c r="G280" s="32">
        <v>885.76</v>
      </c>
      <c r="H280" s="32">
        <v>1.93</v>
      </c>
      <c r="I280" s="34">
        <v>7</v>
      </c>
      <c r="J280" s="33">
        <v>0</v>
      </c>
      <c r="K280" s="34">
        <v>779</v>
      </c>
      <c r="L280" s="32">
        <v>324.22000000000003</v>
      </c>
      <c r="M280" s="32">
        <v>60.36</v>
      </c>
      <c r="N280" s="32">
        <v>66.73</v>
      </c>
      <c r="O280" s="32">
        <v>33.29</v>
      </c>
      <c r="P280" s="32">
        <v>3.58</v>
      </c>
      <c r="Q280" s="34">
        <v>287181</v>
      </c>
      <c r="R280" s="34">
        <v>965</v>
      </c>
      <c r="S280" s="34">
        <v>288146</v>
      </c>
      <c r="T280" s="34">
        <v>47020</v>
      </c>
      <c r="U280" s="34">
        <v>51983</v>
      </c>
      <c r="V280" s="34">
        <v>626</v>
      </c>
      <c r="W280" s="34">
        <v>29487</v>
      </c>
      <c r="X280" s="34">
        <v>3171</v>
      </c>
      <c r="Y280" s="34">
        <v>420433</v>
      </c>
      <c r="Z280" s="34">
        <v>48009</v>
      </c>
      <c r="AA280" s="34">
        <v>372424</v>
      </c>
      <c r="AB280" s="34">
        <v>211898</v>
      </c>
      <c r="AC280" s="34">
        <v>160526</v>
      </c>
    </row>
    <row r="281" spans="1:29" x14ac:dyDescent="0.25">
      <c r="A281" s="31" t="s">
        <v>265</v>
      </c>
      <c r="B281" s="31" t="s">
        <v>740</v>
      </c>
      <c r="C281" s="31" t="s">
        <v>293</v>
      </c>
      <c r="D281" s="31" t="s">
        <v>684</v>
      </c>
      <c r="E281" s="32">
        <v>49.7</v>
      </c>
      <c r="F281" s="33">
        <v>219.3</v>
      </c>
      <c r="G281" s="32">
        <v>269</v>
      </c>
      <c r="H281" s="32">
        <v>0.59</v>
      </c>
      <c r="I281" s="34">
        <v>0</v>
      </c>
      <c r="J281" s="33">
        <v>0</v>
      </c>
      <c r="K281" s="34">
        <v>219</v>
      </c>
      <c r="L281" s="32">
        <v>324.22000000000003</v>
      </c>
      <c r="M281" s="32">
        <v>60.36</v>
      </c>
      <c r="N281" s="32">
        <v>66.73</v>
      </c>
      <c r="O281" s="32">
        <v>33.29</v>
      </c>
      <c r="P281" s="32">
        <v>3.58</v>
      </c>
      <c r="Q281" s="34">
        <v>87215</v>
      </c>
      <c r="R281" s="34">
        <v>5653</v>
      </c>
      <c r="S281" s="34">
        <v>92868</v>
      </c>
      <c r="T281" s="34">
        <v>13219</v>
      </c>
      <c r="U281" s="34">
        <v>14614</v>
      </c>
      <c r="V281" s="34">
        <v>191</v>
      </c>
      <c r="W281" s="34">
        <v>8962</v>
      </c>
      <c r="X281" s="34">
        <v>963</v>
      </c>
      <c r="Y281" s="34">
        <v>130817</v>
      </c>
      <c r="Z281" s="34">
        <v>15705</v>
      </c>
      <c r="AA281" s="34">
        <v>115112</v>
      </c>
      <c r="AB281" s="34">
        <v>63235</v>
      </c>
      <c r="AC281" s="34">
        <v>51877</v>
      </c>
    </row>
    <row r="282" spans="1:29" x14ac:dyDescent="0.25">
      <c r="A282" s="31" t="s">
        <v>265</v>
      </c>
      <c r="B282" s="31" t="s">
        <v>740</v>
      </c>
      <c r="C282" s="31" t="s">
        <v>294</v>
      </c>
      <c r="D282" s="31" t="s">
        <v>685</v>
      </c>
      <c r="E282" s="32">
        <v>86.73</v>
      </c>
      <c r="F282" s="33">
        <v>595.79999999999995</v>
      </c>
      <c r="G282" s="32">
        <v>682.53</v>
      </c>
      <c r="H282" s="32">
        <v>1.49</v>
      </c>
      <c r="I282" s="34">
        <v>0</v>
      </c>
      <c r="J282" s="33">
        <v>0</v>
      </c>
      <c r="K282" s="34">
        <v>596</v>
      </c>
      <c r="L282" s="32">
        <v>324.22000000000003</v>
      </c>
      <c r="M282" s="32">
        <v>60.36</v>
      </c>
      <c r="N282" s="32">
        <v>66.73</v>
      </c>
      <c r="O282" s="32">
        <v>33.29</v>
      </c>
      <c r="P282" s="32">
        <v>3.58</v>
      </c>
      <c r="Q282" s="34">
        <v>221290</v>
      </c>
      <c r="R282" s="34">
        <v>0</v>
      </c>
      <c r="S282" s="34">
        <v>221290</v>
      </c>
      <c r="T282" s="34">
        <v>35975</v>
      </c>
      <c r="U282" s="34">
        <v>39771</v>
      </c>
      <c r="V282" s="34">
        <v>483</v>
      </c>
      <c r="W282" s="34">
        <v>22721</v>
      </c>
      <c r="X282" s="34">
        <v>2443</v>
      </c>
      <c r="Y282" s="34">
        <v>322683</v>
      </c>
      <c r="Z282" s="34">
        <v>41679</v>
      </c>
      <c r="AA282" s="34">
        <v>281004</v>
      </c>
      <c r="AB282" s="34">
        <v>158594</v>
      </c>
      <c r="AC282" s="34">
        <v>122410</v>
      </c>
    </row>
    <row r="283" spans="1:29" x14ac:dyDescent="0.25">
      <c r="A283" s="31" t="s">
        <v>265</v>
      </c>
      <c r="B283" s="31" t="s">
        <v>740</v>
      </c>
      <c r="C283" s="31" t="s">
        <v>295</v>
      </c>
      <c r="D283" s="31" t="s">
        <v>686</v>
      </c>
      <c r="E283" s="32">
        <v>25.47</v>
      </c>
      <c r="F283" s="33">
        <v>224.9</v>
      </c>
      <c r="G283" s="32">
        <v>250.37</v>
      </c>
      <c r="H283" s="32">
        <v>0.55000000000000004</v>
      </c>
      <c r="I283" s="34">
        <v>0</v>
      </c>
      <c r="J283" s="33">
        <v>0</v>
      </c>
      <c r="K283" s="34">
        <v>225</v>
      </c>
      <c r="L283" s="32">
        <v>324.22000000000003</v>
      </c>
      <c r="M283" s="32">
        <v>60.36</v>
      </c>
      <c r="N283" s="32">
        <v>66.73</v>
      </c>
      <c r="O283" s="32">
        <v>33.29</v>
      </c>
      <c r="P283" s="32">
        <v>3.58</v>
      </c>
      <c r="Q283" s="34">
        <v>81175</v>
      </c>
      <c r="R283" s="34">
        <v>6918</v>
      </c>
      <c r="S283" s="34">
        <v>88093</v>
      </c>
      <c r="T283" s="34">
        <v>13581</v>
      </c>
      <c r="U283" s="34">
        <v>15014</v>
      </c>
      <c r="V283" s="34">
        <v>178</v>
      </c>
      <c r="W283" s="34">
        <v>8380</v>
      </c>
      <c r="X283" s="34">
        <v>900</v>
      </c>
      <c r="Y283" s="34">
        <v>126146</v>
      </c>
      <c r="Z283" s="34">
        <v>15948</v>
      </c>
      <c r="AA283" s="34">
        <v>110198</v>
      </c>
      <c r="AB283" s="34">
        <v>57568</v>
      </c>
      <c r="AC283" s="34">
        <v>52630</v>
      </c>
    </row>
    <row r="284" spans="1:29" x14ac:dyDescent="0.25">
      <c r="A284" s="31" t="s">
        <v>265</v>
      </c>
      <c r="B284" s="31" t="s">
        <v>740</v>
      </c>
      <c r="C284" s="31" t="s">
        <v>296</v>
      </c>
      <c r="D284" s="31" t="s">
        <v>687</v>
      </c>
      <c r="E284" s="32">
        <v>68.75</v>
      </c>
      <c r="F284" s="33">
        <v>615.5</v>
      </c>
      <c r="G284" s="32">
        <v>684.25</v>
      </c>
      <c r="H284" s="32">
        <v>1.49</v>
      </c>
      <c r="I284" s="34">
        <v>16</v>
      </c>
      <c r="J284" s="33">
        <v>0</v>
      </c>
      <c r="K284" s="34">
        <v>632</v>
      </c>
      <c r="L284" s="32">
        <v>324.22000000000003</v>
      </c>
      <c r="M284" s="32">
        <v>60.36</v>
      </c>
      <c r="N284" s="32">
        <v>66.73</v>
      </c>
      <c r="O284" s="32">
        <v>33.29</v>
      </c>
      <c r="P284" s="32">
        <v>3.58</v>
      </c>
      <c r="Q284" s="34">
        <v>221848</v>
      </c>
      <c r="R284" s="34">
        <v>781</v>
      </c>
      <c r="S284" s="34">
        <v>222629</v>
      </c>
      <c r="T284" s="34">
        <v>38148</v>
      </c>
      <c r="U284" s="34">
        <v>42173</v>
      </c>
      <c r="V284" s="34">
        <v>483</v>
      </c>
      <c r="W284" s="34">
        <v>22860</v>
      </c>
      <c r="X284" s="34">
        <v>2456</v>
      </c>
      <c r="Y284" s="34">
        <v>328749</v>
      </c>
      <c r="Z284" s="34">
        <v>42066</v>
      </c>
      <c r="AA284" s="34">
        <v>286683</v>
      </c>
      <c r="AB284" s="34">
        <v>158799</v>
      </c>
      <c r="AC284" s="34">
        <v>127884</v>
      </c>
    </row>
    <row r="285" spans="1:29" x14ac:dyDescent="0.25">
      <c r="A285" s="31" t="s">
        <v>265</v>
      </c>
      <c r="B285" s="31" t="s">
        <v>740</v>
      </c>
      <c r="C285" s="31" t="s">
        <v>297</v>
      </c>
      <c r="D285" s="31" t="s">
        <v>688</v>
      </c>
      <c r="E285" s="32">
        <v>32.94</v>
      </c>
      <c r="F285" s="33">
        <v>176.9</v>
      </c>
      <c r="G285" s="32">
        <v>209.84</v>
      </c>
      <c r="H285" s="32">
        <v>0.46</v>
      </c>
      <c r="I285" s="34">
        <v>4</v>
      </c>
      <c r="J285" s="33">
        <v>0</v>
      </c>
      <c r="K285" s="34">
        <v>181</v>
      </c>
      <c r="L285" s="32">
        <v>324.22000000000003</v>
      </c>
      <c r="M285" s="32">
        <v>60.36</v>
      </c>
      <c r="N285" s="32">
        <v>66.73</v>
      </c>
      <c r="O285" s="32">
        <v>33.29</v>
      </c>
      <c r="P285" s="32">
        <v>3.58</v>
      </c>
      <c r="Q285" s="34">
        <v>68034</v>
      </c>
      <c r="R285" s="34">
        <v>4732</v>
      </c>
      <c r="S285" s="34">
        <v>72766</v>
      </c>
      <c r="T285" s="34">
        <v>10925</v>
      </c>
      <c r="U285" s="34">
        <v>12078</v>
      </c>
      <c r="V285" s="34">
        <v>149</v>
      </c>
      <c r="W285" s="34">
        <v>6986</v>
      </c>
      <c r="X285" s="34">
        <v>751</v>
      </c>
      <c r="Y285" s="34">
        <v>103655</v>
      </c>
      <c r="Z285" s="34">
        <v>14938</v>
      </c>
      <c r="AA285" s="34">
        <v>88717</v>
      </c>
      <c r="AB285" s="34">
        <v>46636</v>
      </c>
      <c r="AC285" s="34">
        <v>42081</v>
      </c>
    </row>
    <row r="286" spans="1:29" x14ac:dyDescent="0.25">
      <c r="A286" s="31" t="s">
        <v>265</v>
      </c>
      <c r="B286" s="31" t="s">
        <v>740</v>
      </c>
      <c r="C286" s="31" t="s">
        <v>298</v>
      </c>
      <c r="D286" s="31" t="s">
        <v>689</v>
      </c>
      <c r="E286" s="32">
        <v>143.81</v>
      </c>
      <c r="F286" s="33">
        <v>1073.0999999999999</v>
      </c>
      <c r="G286" s="32">
        <v>1216.9100000000001</v>
      </c>
      <c r="H286" s="32">
        <v>2.65</v>
      </c>
      <c r="I286" s="34">
        <v>0</v>
      </c>
      <c r="J286" s="33">
        <v>0</v>
      </c>
      <c r="K286" s="34">
        <v>1073</v>
      </c>
      <c r="L286" s="32">
        <v>324.22000000000003</v>
      </c>
      <c r="M286" s="32">
        <v>60.36</v>
      </c>
      <c r="N286" s="32">
        <v>66.73</v>
      </c>
      <c r="O286" s="32">
        <v>33.29</v>
      </c>
      <c r="P286" s="32">
        <v>3.58</v>
      </c>
      <c r="Q286" s="34">
        <v>394547</v>
      </c>
      <c r="R286" s="34">
        <v>0</v>
      </c>
      <c r="S286" s="34">
        <v>394547</v>
      </c>
      <c r="T286" s="34">
        <v>64766</v>
      </c>
      <c r="U286" s="34">
        <v>71601</v>
      </c>
      <c r="V286" s="34">
        <v>859</v>
      </c>
      <c r="W286" s="34">
        <v>40511</v>
      </c>
      <c r="X286" s="34">
        <v>4357</v>
      </c>
      <c r="Y286" s="34">
        <v>576641</v>
      </c>
      <c r="Z286" s="34">
        <v>66508</v>
      </c>
      <c r="AA286" s="34">
        <v>510133</v>
      </c>
      <c r="AB286" s="34">
        <v>290567</v>
      </c>
      <c r="AC286" s="34">
        <v>219566</v>
      </c>
    </row>
    <row r="287" spans="1:29" x14ac:dyDescent="0.25">
      <c r="A287" s="31" t="s">
        <v>265</v>
      </c>
      <c r="B287" s="31" t="s">
        <v>740</v>
      </c>
      <c r="C287" s="31" t="s">
        <v>299</v>
      </c>
      <c r="D287" s="31" t="s">
        <v>690</v>
      </c>
      <c r="E287" s="32">
        <v>96.07</v>
      </c>
      <c r="F287" s="33">
        <v>694.2</v>
      </c>
      <c r="G287" s="32">
        <v>790.27</v>
      </c>
      <c r="H287" s="32">
        <v>1.72</v>
      </c>
      <c r="I287" s="34">
        <v>4</v>
      </c>
      <c r="J287" s="33">
        <v>0</v>
      </c>
      <c r="K287" s="34">
        <v>698</v>
      </c>
      <c r="L287" s="32">
        <v>324.22000000000003</v>
      </c>
      <c r="M287" s="32">
        <v>60.36</v>
      </c>
      <c r="N287" s="32">
        <v>66.73</v>
      </c>
      <c r="O287" s="32">
        <v>33.29</v>
      </c>
      <c r="P287" s="32">
        <v>3.58</v>
      </c>
      <c r="Q287" s="34">
        <v>256221</v>
      </c>
      <c r="R287" s="34">
        <v>0</v>
      </c>
      <c r="S287" s="34">
        <v>256221</v>
      </c>
      <c r="T287" s="34">
        <v>42131</v>
      </c>
      <c r="U287" s="34">
        <v>46578</v>
      </c>
      <c r="V287" s="34">
        <v>558</v>
      </c>
      <c r="W287" s="34">
        <v>26308</v>
      </c>
      <c r="X287" s="34">
        <v>2829</v>
      </c>
      <c r="Y287" s="34">
        <v>374625</v>
      </c>
      <c r="Z287" s="34">
        <v>36017</v>
      </c>
      <c r="AA287" s="34">
        <v>338608</v>
      </c>
      <c r="AB287" s="34">
        <v>195869</v>
      </c>
      <c r="AC287" s="34">
        <v>142739</v>
      </c>
    </row>
    <row r="288" spans="1:29" x14ac:dyDescent="0.25">
      <c r="A288" s="31" t="s">
        <v>265</v>
      </c>
      <c r="B288" s="31" t="s">
        <v>740</v>
      </c>
      <c r="C288" s="31" t="s">
        <v>300</v>
      </c>
      <c r="D288" s="31" t="s">
        <v>691</v>
      </c>
      <c r="E288" s="32">
        <v>137.02000000000001</v>
      </c>
      <c r="F288" s="33">
        <v>1037.0999999999999</v>
      </c>
      <c r="G288" s="32">
        <v>1174.1199999999999</v>
      </c>
      <c r="H288" s="32">
        <v>2.56</v>
      </c>
      <c r="I288" s="34">
        <v>5</v>
      </c>
      <c r="J288" s="33">
        <v>0</v>
      </c>
      <c r="K288" s="34">
        <v>1042</v>
      </c>
      <c r="L288" s="32">
        <v>324.22000000000003</v>
      </c>
      <c r="M288" s="32">
        <v>60.36</v>
      </c>
      <c r="N288" s="32">
        <v>66.73</v>
      </c>
      <c r="O288" s="32">
        <v>33.29</v>
      </c>
      <c r="P288" s="32">
        <v>3.58</v>
      </c>
      <c r="Q288" s="34">
        <v>380673</v>
      </c>
      <c r="R288" s="34">
        <v>0</v>
      </c>
      <c r="S288" s="34">
        <v>380673</v>
      </c>
      <c r="T288" s="34">
        <v>62895</v>
      </c>
      <c r="U288" s="34">
        <v>69533</v>
      </c>
      <c r="V288" s="34">
        <v>830</v>
      </c>
      <c r="W288" s="34">
        <v>39086</v>
      </c>
      <c r="X288" s="34">
        <v>4203</v>
      </c>
      <c r="Y288" s="34">
        <v>557220</v>
      </c>
      <c r="Z288" s="34">
        <v>61588</v>
      </c>
      <c r="AA288" s="34">
        <v>495632</v>
      </c>
      <c r="AB288" s="34">
        <v>282931</v>
      </c>
      <c r="AC288" s="34">
        <v>212701</v>
      </c>
    </row>
    <row r="289" spans="1:29" x14ac:dyDescent="0.25">
      <c r="A289" s="31" t="s">
        <v>265</v>
      </c>
      <c r="B289" s="31" t="s">
        <v>740</v>
      </c>
      <c r="C289" s="31" t="s">
        <v>301</v>
      </c>
      <c r="D289" s="31" t="s">
        <v>692</v>
      </c>
      <c r="E289" s="32">
        <v>51.63</v>
      </c>
      <c r="F289" s="33">
        <v>370.8</v>
      </c>
      <c r="G289" s="32">
        <v>422.43</v>
      </c>
      <c r="H289" s="32">
        <v>0.92</v>
      </c>
      <c r="I289" s="34">
        <v>0</v>
      </c>
      <c r="J289" s="33">
        <v>0</v>
      </c>
      <c r="K289" s="34">
        <v>371</v>
      </c>
      <c r="L289" s="32">
        <v>324.22000000000003</v>
      </c>
      <c r="M289" s="32">
        <v>60.36</v>
      </c>
      <c r="N289" s="32">
        <v>66.73</v>
      </c>
      <c r="O289" s="32">
        <v>33.29</v>
      </c>
      <c r="P289" s="32">
        <v>3.58</v>
      </c>
      <c r="Q289" s="34">
        <v>136960</v>
      </c>
      <c r="R289" s="34">
        <v>766</v>
      </c>
      <c r="S289" s="34">
        <v>137726</v>
      </c>
      <c r="T289" s="34">
        <v>22394</v>
      </c>
      <c r="U289" s="34">
        <v>24757</v>
      </c>
      <c r="V289" s="34">
        <v>298</v>
      </c>
      <c r="W289" s="34">
        <v>14063</v>
      </c>
      <c r="X289" s="34">
        <v>1512</v>
      </c>
      <c r="Y289" s="34">
        <v>200750</v>
      </c>
      <c r="Z289" s="34">
        <v>23986</v>
      </c>
      <c r="AA289" s="34">
        <v>176764</v>
      </c>
      <c r="AB289" s="34">
        <v>99967</v>
      </c>
      <c r="AC289" s="34">
        <v>76797</v>
      </c>
    </row>
    <row r="290" spans="1:29" x14ac:dyDescent="0.25">
      <c r="A290" s="31" t="s">
        <v>265</v>
      </c>
      <c r="B290" s="31" t="s">
        <v>740</v>
      </c>
      <c r="C290" s="31" t="s">
        <v>302</v>
      </c>
      <c r="D290" s="31" t="s">
        <v>693</v>
      </c>
      <c r="E290" s="32">
        <v>35.94</v>
      </c>
      <c r="F290" s="33">
        <v>203.1</v>
      </c>
      <c r="G290" s="32">
        <v>239.04</v>
      </c>
      <c r="H290" s="32">
        <v>0.52</v>
      </c>
      <c r="I290" s="34">
        <v>0</v>
      </c>
      <c r="J290" s="33">
        <v>0</v>
      </c>
      <c r="K290" s="34">
        <v>203</v>
      </c>
      <c r="L290" s="32">
        <v>324.22000000000003</v>
      </c>
      <c r="M290" s="32">
        <v>60.36</v>
      </c>
      <c r="N290" s="32">
        <v>66.73</v>
      </c>
      <c r="O290" s="32">
        <v>33.29</v>
      </c>
      <c r="P290" s="32">
        <v>3.58</v>
      </c>
      <c r="Q290" s="34">
        <v>77502</v>
      </c>
      <c r="R290" s="34">
        <v>2274</v>
      </c>
      <c r="S290" s="34">
        <v>79776</v>
      </c>
      <c r="T290" s="34">
        <v>12253</v>
      </c>
      <c r="U290" s="34">
        <v>13546</v>
      </c>
      <c r="V290" s="34">
        <v>169</v>
      </c>
      <c r="W290" s="34">
        <v>8191</v>
      </c>
      <c r="X290" s="34">
        <v>880</v>
      </c>
      <c r="Y290" s="34">
        <v>114815</v>
      </c>
      <c r="Z290" s="34">
        <v>16538</v>
      </c>
      <c r="AA290" s="34">
        <v>98277</v>
      </c>
      <c r="AB290" s="34">
        <v>53860</v>
      </c>
      <c r="AC290" s="34">
        <v>44417</v>
      </c>
    </row>
    <row r="291" spans="1:29" x14ac:dyDescent="0.25">
      <c r="A291" s="31" t="s">
        <v>265</v>
      </c>
      <c r="B291" s="31" t="s">
        <v>740</v>
      </c>
      <c r="C291" s="31" t="s">
        <v>303</v>
      </c>
      <c r="D291" s="31" t="s">
        <v>694</v>
      </c>
      <c r="E291" s="32">
        <v>25.93</v>
      </c>
      <c r="F291" s="33">
        <v>194.5</v>
      </c>
      <c r="G291" s="32">
        <v>220.43</v>
      </c>
      <c r="H291" s="32">
        <v>0.48</v>
      </c>
      <c r="I291" s="34">
        <v>0</v>
      </c>
      <c r="J291" s="33">
        <v>0</v>
      </c>
      <c r="K291" s="34">
        <v>195</v>
      </c>
      <c r="L291" s="32">
        <v>324.22000000000003</v>
      </c>
      <c r="M291" s="32">
        <v>60.36</v>
      </c>
      <c r="N291" s="32">
        <v>66.73</v>
      </c>
      <c r="O291" s="32">
        <v>33.29</v>
      </c>
      <c r="P291" s="32">
        <v>3.58</v>
      </c>
      <c r="Q291" s="34">
        <v>71468</v>
      </c>
      <c r="R291" s="34">
        <v>0</v>
      </c>
      <c r="S291" s="34">
        <v>71468</v>
      </c>
      <c r="T291" s="34">
        <v>11770</v>
      </c>
      <c r="U291" s="34">
        <v>13012</v>
      </c>
      <c r="V291" s="34">
        <v>156</v>
      </c>
      <c r="W291" s="34">
        <v>7338</v>
      </c>
      <c r="X291" s="34">
        <v>789</v>
      </c>
      <c r="Y291" s="34">
        <v>104533</v>
      </c>
      <c r="Z291" s="34">
        <v>12855</v>
      </c>
      <c r="AA291" s="34">
        <v>91678</v>
      </c>
      <c r="AB291" s="34">
        <v>51825</v>
      </c>
      <c r="AC291" s="34">
        <v>39853</v>
      </c>
    </row>
    <row r="292" spans="1:29" x14ac:dyDescent="0.25">
      <c r="A292" s="31" t="s">
        <v>265</v>
      </c>
      <c r="B292" s="31" t="s">
        <v>740</v>
      </c>
      <c r="C292" s="31" t="s">
        <v>304</v>
      </c>
      <c r="D292" s="31" t="s">
        <v>695</v>
      </c>
      <c r="E292" s="32">
        <v>42.59</v>
      </c>
      <c r="F292" s="33">
        <v>591.20000000000005</v>
      </c>
      <c r="G292" s="32">
        <v>633.79</v>
      </c>
      <c r="H292" s="32">
        <v>1.38</v>
      </c>
      <c r="I292" s="34">
        <v>51</v>
      </c>
      <c r="J292" s="33">
        <v>0</v>
      </c>
      <c r="K292" s="34">
        <v>642</v>
      </c>
      <c r="L292" s="32">
        <v>324.22000000000003</v>
      </c>
      <c r="M292" s="32">
        <v>60.36</v>
      </c>
      <c r="N292" s="32">
        <v>66.73</v>
      </c>
      <c r="O292" s="32">
        <v>33.29</v>
      </c>
      <c r="P292" s="32">
        <v>3.58</v>
      </c>
      <c r="Q292" s="34">
        <v>205487</v>
      </c>
      <c r="R292" s="34">
        <v>284</v>
      </c>
      <c r="S292" s="34">
        <v>205771</v>
      </c>
      <c r="T292" s="34">
        <v>38751</v>
      </c>
      <c r="U292" s="34">
        <v>42841</v>
      </c>
      <c r="V292" s="34">
        <v>447</v>
      </c>
      <c r="W292" s="34">
        <v>21099</v>
      </c>
      <c r="X292" s="34">
        <v>2269</v>
      </c>
      <c r="Y292" s="34">
        <v>311178</v>
      </c>
      <c r="Z292" s="34">
        <v>24898</v>
      </c>
      <c r="AA292" s="34">
        <v>286280</v>
      </c>
      <c r="AB292" s="34">
        <v>161074</v>
      </c>
      <c r="AC292" s="34">
        <v>125206</v>
      </c>
    </row>
    <row r="293" spans="1:29" x14ac:dyDescent="0.25">
      <c r="A293" s="31" t="s">
        <v>265</v>
      </c>
      <c r="B293" s="31" t="s">
        <v>740</v>
      </c>
      <c r="C293" s="31" t="s">
        <v>305</v>
      </c>
      <c r="D293" s="31" t="s">
        <v>696</v>
      </c>
      <c r="E293" s="32">
        <v>72.84</v>
      </c>
      <c r="F293" s="33">
        <v>667.1</v>
      </c>
      <c r="G293" s="32">
        <v>739.94</v>
      </c>
      <c r="H293" s="32">
        <v>1.61</v>
      </c>
      <c r="I293" s="34">
        <v>3</v>
      </c>
      <c r="J293" s="33">
        <v>0</v>
      </c>
      <c r="K293" s="34">
        <v>670</v>
      </c>
      <c r="L293" s="32">
        <v>324.22000000000003</v>
      </c>
      <c r="M293" s="32">
        <v>60.36</v>
      </c>
      <c r="N293" s="32">
        <v>66.73</v>
      </c>
      <c r="O293" s="32">
        <v>33.29</v>
      </c>
      <c r="P293" s="32">
        <v>3.58</v>
      </c>
      <c r="Q293" s="34">
        <v>239903</v>
      </c>
      <c r="R293" s="34">
        <v>0</v>
      </c>
      <c r="S293" s="34">
        <v>239903</v>
      </c>
      <c r="T293" s="34">
        <v>40441</v>
      </c>
      <c r="U293" s="34">
        <v>44709</v>
      </c>
      <c r="V293" s="34">
        <v>522</v>
      </c>
      <c r="W293" s="34">
        <v>24633</v>
      </c>
      <c r="X293" s="34">
        <v>2649</v>
      </c>
      <c r="Y293" s="34">
        <v>352857</v>
      </c>
      <c r="Z293" s="34">
        <v>35936</v>
      </c>
      <c r="AA293" s="34">
        <v>316921</v>
      </c>
      <c r="AB293" s="34">
        <v>181183</v>
      </c>
      <c r="AC293" s="34">
        <v>135738</v>
      </c>
    </row>
    <row r="294" spans="1:29" x14ac:dyDescent="0.25">
      <c r="A294" s="31" t="s">
        <v>265</v>
      </c>
      <c r="B294" s="31" t="s">
        <v>740</v>
      </c>
      <c r="C294" s="31" t="s">
        <v>306</v>
      </c>
      <c r="D294" s="31" t="s">
        <v>697</v>
      </c>
      <c r="E294" s="32">
        <v>79.27</v>
      </c>
      <c r="F294" s="33">
        <v>765.2</v>
      </c>
      <c r="G294" s="32">
        <v>844.47</v>
      </c>
      <c r="H294" s="32">
        <v>1.84</v>
      </c>
      <c r="I294" s="34">
        <v>23</v>
      </c>
      <c r="J294" s="33">
        <v>0</v>
      </c>
      <c r="K294" s="34">
        <v>788</v>
      </c>
      <c r="L294" s="32">
        <v>324.22000000000003</v>
      </c>
      <c r="M294" s="32">
        <v>60.36</v>
      </c>
      <c r="N294" s="32">
        <v>66.73</v>
      </c>
      <c r="O294" s="32">
        <v>33.29</v>
      </c>
      <c r="P294" s="32">
        <v>3.58</v>
      </c>
      <c r="Q294" s="34">
        <v>273794</v>
      </c>
      <c r="R294" s="34">
        <v>0</v>
      </c>
      <c r="S294" s="34">
        <v>273794</v>
      </c>
      <c r="T294" s="34">
        <v>47564</v>
      </c>
      <c r="U294" s="34">
        <v>52583</v>
      </c>
      <c r="V294" s="34">
        <v>597</v>
      </c>
      <c r="W294" s="34">
        <v>28112</v>
      </c>
      <c r="X294" s="34">
        <v>3023</v>
      </c>
      <c r="Y294" s="34">
        <v>405673</v>
      </c>
      <c r="Z294" s="34">
        <v>33822</v>
      </c>
      <c r="AA294" s="34">
        <v>371851</v>
      </c>
      <c r="AB294" s="34">
        <v>213968</v>
      </c>
      <c r="AC294" s="34">
        <v>157883</v>
      </c>
    </row>
    <row r="295" spans="1:29" x14ac:dyDescent="0.25">
      <c r="A295" s="31" t="s">
        <v>265</v>
      </c>
      <c r="B295" s="31" t="s">
        <v>740</v>
      </c>
      <c r="C295" s="31" t="s">
        <v>307</v>
      </c>
      <c r="D295" s="31" t="s">
        <v>698</v>
      </c>
      <c r="E295" s="32">
        <v>32.15</v>
      </c>
      <c r="F295" s="33">
        <v>281</v>
      </c>
      <c r="G295" s="32">
        <v>313.14999999999998</v>
      </c>
      <c r="H295" s="32">
        <v>0.68</v>
      </c>
      <c r="I295" s="34">
        <v>0</v>
      </c>
      <c r="J295" s="33">
        <v>0</v>
      </c>
      <c r="K295" s="34">
        <v>281</v>
      </c>
      <c r="L295" s="32">
        <v>324.22000000000003</v>
      </c>
      <c r="M295" s="32">
        <v>60.36</v>
      </c>
      <c r="N295" s="32">
        <v>66.73</v>
      </c>
      <c r="O295" s="32">
        <v>33.29</v>
      </c>
      <c r="P295" s="32">
        <v>3.58</v>
      </c>
      <c r="Q295" s="34">
        <v>101529</v>
      </c>
      <c r="R295" s="34">
        <v>11307</v>
      </c>
      <c r="S295" s="34">
        <v>112836</v>
      </c>
      <c r="T295" s="34">
        <v>16961</v>
      </c>
      <c r="U295" s="34">
        <v>18751</v>
      </c>
      <c r="V295" s="34">
        <v>220</v>
      </c>
      <c r="W295" s="34">
        <v>10425</v>
      </c>
      <c r="X295" s="34">
        <v>1121</v>
      </c>
      <c r="Y295" s="34">
        <v>160314</v>
      </c>
      <c r="Z295" s="34">
        <v>21764</v>
      </c>
      <c r="AA295" s="34">
        <v>138550</v>
      </c>
      <c r="AB295" s="34">
        <v>70122</v>
      </c>
      <c r="AC295" s="34">
        <v>68428</v>
      </c>
    </row>
    <row r="296" spans="1:29" x14ac:dyDescent="0.25">
      <c r="A296" s="31" t="s">
        <v>265</v>
      </c>
      <c r="B296" s="31" t="s">
        <v>740</v>
      </c>
      <c r="C296" s="31" t="s">
        <v>308</v>
      </c>
      <c r="D296" s="31" t="s">
        <v>699</v>
      </c>
      <c r="E296" s="32">
        <v>55.99</v>
      </c>
      <c r="F296" s="33">
        <v>350.6</v>
      </c>
      <c r="G296" s="32">
        <v>406.59</v>
      </c>
      <c r="H296" s="32">
        <v>0.89</v>
      </c>
      <c r="I296" s="34">
        <v>0</v>
      </c>
      <c r="J296" s="33">
        <v>0</v>
      </c>
      <c r="K296" s="34">
        <v>351</v>
      </c>
      <c r="L296" s="32">
        <v>324.22000000000003</v>
      </c>
      <c r="M296" s="32">
        <v>60.36</v>
      </c>
      <c r="N296" s="32">
        <v>66.73</v>
      </c>
      <c r="O296" s="32">
        <v>33.29</v>
      </c>
      <c r="P296" s="32">
        <v>3.58</v>
      </c>
      <c r="Q296" s="34">
        <v>131825</v>
      </c>
      <c r="R296" s="34">
        <v>16135</v>
      </c>
      <c r="S296" s="34">
        <v>147960</v>
      </c>
      <c r="T296" s="34">
        <v>21186</v>
      </c>
      <c r="U296" s="34">
        <v>23422</v>
      </c>
      <c r="V296" s="34">
        <v>289</v>
      </c>
      <c r="W296" s="34">
        <v>13535</v>
      </c>
      <c r="X296" s="34">
        <v>1456</v>
      </c>
      <c r="Y296" s="34">
        <v>207848</v>
      </c>
      <c r="Z296" s="34">
        <v>26803</v>
      </c>
      <c r="AA296" s="34">
        <v>181045</v>
      </c>
      <c r="AB296" s="34">
        <v>92503</v>
      </c>
      <c r="AC296" s="34">
        <v>88542</v>
      </c>
    </row>
    <row r="297" spans="1:29" x14ac:dyDescent="0.25">
      <c r="A297" s="31" t="s">
        <v>265</v>
      </c>
      <c r="B297" s="31" t="s">
        <v>740</v>
      </c>
      <c r="C297" s="31" t="s">
        <v>309</v>
      </c>
      <c r="D297" s="31" t="s">
        <v>700</v>
      </c>
      <c r="E297" s="32">
        <v>50.99</v>
      </c>
      <c r="F297" s="33">
        <v>478.4</v>
      </c>
      <c r="G297" s="32">
        <v>529.39</v>
      </c>
      <c r="H297" s="32">
        <v>1.1499999999999999</v>
      </c>
      <c r="I297" s="34">
        <v>3</v>
      </c>
      <c r="J297" s="33">
        <v>0</v>
      </c>
      <c r="K297" s="34">
        <v>481</v>
      </c>
      <c r="L297" s="32">
        <v>324.22000000000003</v>
      </c>
      <c r="M297" s="32">
        <v>60.36</v>
      </c>
      <c r="N297" s="32">
        <v>66.73</v>
      </c>
      <c r="O297" s="32">
        <v>33.29</v>
      </c>
      <c r="P297" s="32">
        <v>3.58</v>
      </c>
      <c r="Q297" s="34">
        <v>171639</v>
      </c>
      <c r="R297" s="34">
        <v>0</v>
      </c>
      <c r="S297" s="34">
        <v>171639</v>
      </c>
      <c r="T297" s="34">
        <v>29033</v>
      </c>
      <c r="U297" s="34">
        <v>32097</v>
      </c>
      <c r="V297" s="34">
        <v>373</v>
      </c>
      <c r="W297" s="34">
        <v>17623</v>
      </c>
      <c r="X297" s="34">
        <v>1895</v>
      </c>
      <c r="Y297" s="34">
        <v>252660</v>
      </c>
      <c r="Z297" s="34">
        <v>27323</v>
      </c>
      <c r="AA297" s="34">
        <v>225337</v>
      </c>
      <c r="AB297" s="34">
        <v>128013</v>
      </c>
      <c r="AC297" s="34">
        <v>97324</v>
      </c>
    </row>
    <row r="298" spans="1:29" x14ac:dyDescent="0.25">
      <c r="A298" s="31" t="s">
        <v>310</v>
      </c>
      <c r="B298" s="31" t="s">
        <v>741</v>
      </c>
      <c r="C298" s="31" t="s">
        <v>311</v>
      </c>
      <c r="D298" s="31" t="s">
        <v>701</v>
      </c>
      <c r="E298" s="32">
        <v>132.18</v>
      </c>
      <c r="F298" s="33">
        <v>1142.7</v>
      </c>
      <c r="G298" s="32">
        <v>1274.8800000000001</v>
      </c>
      <c r="H298" s="32">
        <v>3.08</v>
      </c>
      <c r="I298" s="34">
        <v>2</v>
      </c>
      <c r="J298" s="33">
        <v>0</v>
      </c>
      <c r="K298" s="34">
        <v>1145</v>
      </c>
      <c r="L298" s="32">
        <v>321.58</v>
      </c>
      <c r="M298" s="32">
        <v>60.33</v>
      </c>
      <c r="N298" s="32">
        <v>66.3</v>
      </c>
      <c r="O298" s="32">
        <v>32.299999999999997</v>
      </c>
      <c r="P298" s="32">
        <v>3.53</v>
      </c>
      <c r="Q298" s="34">
        <v>409976</v>
      </c>
      <c r="R298" s="34">
        <v>0</v>
      </c>
      <c r="S298" s="34">
        <v>409976</v>
      </c>
      <c r="T298" s="34">
        <v>69078</v>
      </c>
      <c r="U298" s="34">
        <v>75914</v>
      </c>
      <c r="V298" s="34">
        <v>990</v>
      </c>
      <c r="W298" s="34">
        <v>41179</v>
      </c>
      <c r="X298" s="34">
        <v>4500</v>
      </c>
      <c r="Y298" s="34">
        <v>601637</v>
      </c>
      <c r="Z298" s="34">
        <v>62455</v>
      </c>
      <c r="AA298" s="34">
        <v>539182</v>
      </c>
      <c r="AB298" s="34">
        <v>310382</v>
      </c>
      <c r="AC298" s="34">
        <v>228800</v>
      </c>
    </row>
    <row r="299" spans="1:29" x14ac:dyDescent="0.25">
      <c r="A299" s="31" t="s">
        <v>310</v>
      </c>
      <c r="B299" s="31" t="s">
        <v>741</v>
      </c>
      <c r="C299" s="31" t="s">
        <v>312</v>
      </c>
      <c r="D299" s="31" t="s">
        <v>702</v>
      </c>
      <c r="E299" s="32">
        <v>771.99</v>
      </c>
      <c r="F299" s="33">
        <v>3916.8</v>
      </c>
      <c r="G299" s="32">
        <v>4688.79</v>
      </c>
      <c r="H299" s="32">
        <v>11.34</v>
      </c>
      <c r="I299" s="34">
        <v>330</v>
      </c>
      <c r="J299" s="33">
        <v>1.9</v>
      </c>
      <c r="K299" s="34">
        <v>4245</v>
      </c>
      <c r="L299" s="32">
        <v>321.58</v>
      </c>
      <c r="M299" s="32">
        <v>60.33</v>
      </c>
      <c r="N299" s="32">
        <v>66.3</v>
      </c>
      <c r="O299" s="32">
        <v>32.299999999999997</v>
      </c>
      <c r="P299" s="32">
        <v>3.53</v>
      </c>
      <c r="Q299" s="34">
        <v>1507821</v>
      </c>
      <c r="R299" s="34">
        <v>14645</v>
      </c>
      <c r="S299" s="34">
        <v>1522466</v>
      </c>
      <c r="T299" s="34">
        <v>256101</v>
      </c>
      <c r="U299" s="34">
        <v>281444</v>
      </c>
      <c r="V299" s="34">
        <v>3647</v>
      </c>
      <c r="W299" s="34">
        <v>151448</v>
      </c>
      <c r="X299" s="34">
        <v>16551</v>
      </c>
      <c r="Y299" s="34">
        <v>2231657</v>
      </c>
      <c r="Z299" s="34">
        <v>247559</v>
      </c>
      <c r="AA299" s="34">
        <v>1984098</v>
      </c>
      <c r="AB299" s="34">
        <v>1123673</v>
      </c>
      <c r="AC299" s="34">
        <v>860425</v>
      </c>
    </row>
    <row r="300" spans="1:29" x14ac:dyDescent="0.25">
      <c r="A300" s="31" t="s">
        <v>310</v>
      </c>
      <c r="B300" s="31" t="s">
        <v>741</v>
      </c>
      <c r="C300" s="31" t="s">
        <v>313</v>
      </c>
      <c r="D300" s="31" t="s">
        <v>703</v>
      </c>
      <c r="E300" s="32">
        <v>98.71</v>
      </c>
      <c r="F300" s="33">
        <v>581.1</v>
      </c>
      <c r="G300" s="32">
        <v>679.81</v>
      </c>
      <c r="H300" s="32">
        <v>1.65</v>
      </c>
      <c r="I300" s="34">
        <v>0</v>
      </c>
      <c r="J300" s="33">
        <v>0</v>
      </c>
      <c r="K300" s="34">
        <v>581</v>
      </c>
      <c r="L300" s="32">
        <v>321.58</v>
      </c>
      <c r="M300" s="32">
        <v>60.33</v>
      </c>
      <c r="N300" s="32">
        <v>66.3</v>
      </c>
      <c r="O300" s="32">
        <v>32.299999999999997</v>
      </c>
      <c r="P300" s="32">
        <v>3.53</v>
      </c>
      <c r="Q300" s="34">
        <v>218613</v>
      </c>
      <c r="R300" s="34">
        <v>0</v>
      </c>
      <c r="S300" s="34">
        <v>218613</v>
      </c>
      <c r="T300" s="34">
        <v>35052</v>
      </c>
      <c r="U300" s="34">
        <v>38520</v>
      </c>
      <c r="V300" s="34">
        <v>531</v>
      </c>
      <c r="W300" s="34">
        <v>21958</v>
      </c>
      <c r="X300" s="34">
        <v>2400</v>
      </c>
      <c r="Y300" s="34">
        <v>317074</v>
      </c>
      <c r="Z300" s="34">
        <v>32208</v>
      </c>
      <c r="AA300" s="34">
        <v>284866</v>
      </c>
      <c r="AB300" s="34">
        <v>166604</v>
      </c>
      <c r="AC300" s="34">
        <v>118262</v>
      </c>
    </row>
    <row r="301" spans="1:29" x14ac:dyDescent="0.25">
      <c r="A301" s="31" t="s">
        <v>310</v>
      </c>
      <c r="B301" s="31" t="s">
        <v>741</v>
      </c>
      <c r="C301" s="31" t="s">
        <v>314</v>
      </c>
      <c r="D301" s="31" t="s">
        <v>704</v>
      </c>
      <c r="E301" s="32">
        <v>163.18</v>
      </c>
      <c r="F301" s="33">
        <v>1325.4</v>
      </c>
      <c r="G301" s="32">
        <v>1488.58</v>
      </c>
      <c r="H301" s="32">
        <v>3.6</v>
      </c>
      <c r="I301" s="34">
        <v>0</v>
      </c>
      <c r="J301" s="33">
        <v>0</v>
      </c>
      <c r="K301" s="34">
        <v>1325</v>
      </c>
      <c r="L301" s="32">
        <v>321.58</v>
      </c>
      <c r="M301" s="32">
        <v>60.33</v>
      </c>
      <c r="N301" s="32">
        <v>66.3</v>
      </c>
      <c r="O301" s="32">
        <v>32.299999999999997</v>
      </c>
      <c r="P301" s="32">
        <v>3.53</v>
      </c>
      <c r="Q301" s="34">
        <v>478698</v>
      </c>
      <c r="R301" s="34">
        <v>0</v>
      </c>
      <c r="S301" s="34">
        <v>478698</v>
      </c>
      <c r="T301" s="34">
        <v>79937</v>
      </c>
      <c r="U301" s="34">
        <v>87848</v>
      </c>
      <c r="V301" s="34">
        <v>1158</v>
      </c>
      <c r="W301" s="34">
        <v>48081</v>
      </c>
      <c r="X301" s="34">
        <v>5255</v>
      </c>
      <c r="Y301" s="34">
        <v>700977</v>
      </c>
      <c r="Z301" s="34">
        <v>82094</v>
      </c>
      <c r="AA301" s="34">
        <v>618883</v>
      </c>
      <c r="AB301" s="34">
        <v>353240</v>
      </c>
      <c r="AC301" s="34">
        <v>265643</v>
      </c>
    </row>
    <row r="302" spans="1:29" x14ac:dyDescent="0.25">
      <c r="A302" s="31" t="s">
        <v>310</v>
      </c>
      <c r="B302" s="31" t="s">
        <v>741</v>
      </c>
      <c r="C302" s="31" t="s">
        <v>315</v>
      </c>
      <c r="D302" s="31" t="s">
        <v>705</v>
      </c>
      <c r="E302" s="32">
        <v>95.71</v>
      </c>
      <c r="F302" s="33">
        <v>777.9</v>
      </c>
      <c r="G302" s="32">
        <v>873.61</v>
      </c>
      <c r="H302" s="32">
        <v>2.11</v>
      </c>
      <c r="I302" s="34">
        <v>16</v>
      </c>
      <c r="J302" s="33">
        <v>0</v>
      </c>
      <c r="K302" s="34">
        <v>794</v>
      </c>
      <c r="L302" s="32">
        <v>321.58</v>
      </c>
      <c r="M302" s="32">
        <v>60.33</v>
      </c>
      <c r="N302" s="32">
        <v>66.3</v>
      </c>
      <c r="O302" s="32">
        <v>32.299999999999997</v>
      </c>
      <c r="P302" s="32">
        <v>3.53</v>
      </c>
      <c r="Q302" s="34">
        <v>280936</v>
      </c>
      <c r="R302" s="34">
        <v>0</v>
      </c>
      <c r="S302" s="34">
        <v>280936</v>
      </c>
      <c r="T302" s="34">
        <v>47902</v>
      </c>
      <c r="U302" s="34">
        <v>52642</v>
      </c>
      <c r="V302" s="34">
        <v>679</v>
      </c>
      <c r="W302" s="34">
        <v>28218</v>
      </c>
      <c r="X302" s="34">
        <v>3084</v>
      </c>
      <c r="Y302" s="34">
        <v>413461</v>
      </c>
      <c r="Z302" s="34">
        <v>49779</v>
      </c>
      <c r="AA302" s="34">
        <v>363682</v>
      </c>
      <c r="AB302" s="34">
        <v>205707</v>
      </c>
      <c r="AC302" s="34">
        <v>157975</v>
      </c>
    </row>
    <row r="303" spans="1:29" x14ac:dyDescent="0.25">
      <c r="A303" s="31" t="s">
        <v>310</v>
      </c>
      <c r="B303" s="31" t="s">
        <v>741</v>
      </c>
      <c r="C303" s="31" t="s">
        <v>316</v>
      </c>
      <c r="D303" s="31" t="s">
        <v>706</v>
      </c>
      <c r="E303" s="32">
        <v>145.28</v>
      </c>
      <c r="F303" s="33">
        <v>1252.3</v>
      </c>
      <c r="G303" s="32">
        <v>1397.58</v>
      </c>
      <c r="H303" s="32">
        <v>3.38</v>
      </c>
      <c r="I303" s="34">
        <v>4</v>
      </c>
      <c r="J303" s="33">
        <v>0</v>
      </c>
      <c r="K303" s="34">
        <v>1256</v>
      </c>
      <c r="L303" s="32">
        <v>321.58</v>
      </c>
      <c r="M303" s="32">
        <v>60.33</v>
      </c>
      <c r="N303" s="32">
        <v>66.3</v>
      </c>
      <c r="O303" s="32">
        <v>32.299999999999997</v>
      </c>
      <c r="P303" s="32">
        <v>3.53</v>
      </c>
      <c r="Q303" s="34">
        <v>449434</v>
      </c>
      <c r="R303" s="34">
        <v>0</v>
      </c>
      <c r="S303" s="34">
        <v>449434</v>
      </c>
      <c r="T303" s="34">
        <v>75774</v>
      </c>
      <c r="U303" s="34">
        <v>83273</v>
      </c>
      <c r="V303" s="34">
        <v>1087</v>
      </c>
      <c r="W303" s="34">
        <v>45142</v>
      </c>
      <c r="X303" s="34">
        <v>4933</v>
      </c>
      <c r="Y303" s="34">
        <v>659643</v>
      </c>
      <c r="Z303" s="34">
        <v>74497</v>
      </c>
      <c r="AA303" s="34">
        <v>585146</v>
      </c>
      <c r="AB303" s="34">
        <v>334224</v>
      </c>
      <c r="AC303" s="34">
        <v>250922</v>
      </c>
    </row>
    <row r="304" spans="1:29" x14ac:dyDescent="0.25">
      <c r="A304" s="31" t="s">
        <v>310</v>
      </c>
      <c r="B304" s="31" t="s">
        <v>741</v>
      </c>
      <c r="C304" s="31" t="s">
        <v>317</v>
      </c>
      <c r="D304" s="31" t="s">
        <v>707</v>
      </c>
      <c r="E304" s="32">
        <v>48.9</v>
      </c>
      <c r="F304" s="33">
        <v>468.9</v>
      </c>
      <c r="G304" s="32">
        <v>517.79999999999995</v>
      </c>
      <c r="H304" s="32">
        <v>1.25</v>
      </c>
      <c r="I304" s="34">
        <v>5</v>
      </c>
      <c r="J304" s="33">
        <v>0</v>
      </c>
      <c r="K304" s="34">
        <v>474</v>
      </c>
      <c r="L304" s="32">
        <v>321.58</v>
      </c>
      <c r="M304" s="32">
        <v>60.33</v>
      </c>
      <c r="N304" s="32">
        <v>66.3</v>
      </c>
      <c r="O304" s="32">
        <v>32.299999999999997</v>
      </c>
      <c r="P304" s="32">
        <v>3.53</v>
      </c>
      <c r="Q304" s="34">
        <v>166514</v>
      </c>
      <c r="R304" s="34">
        <v>6596</v>
      </c>
      <c r="S304" s="34">
        <v>173110</v>
      </c>
      <c r="T304" s="34">
        <v>28596</v>
      </c>
      <c r="U304" s="34">
        <v>31426</v>
      </c>
      <c r="V304" s="34">
        <v>402</v>
      </c>
      <c r="W304" s="34">
        <v>16764</v>
      </c>
      <c r="X304" s="34">
        <v>1831</v>
      </c>
      <c r="Y304" s="34">
        <v>252129</v>
      </c>
      <c r="Z304" s="34">
        <v>22623</v>
      </c>
      <c r="AA304" s="34">
        <v>229506</v>
      </c>
      <c r="AB304" s="34">
        <v>128849</v>
      </c>
      <c r="AC304" s="34">
        <v>100657</v>
      </c>
    </row>
    <row r="305" spans="1:29" x14ac:dyDescent="0.25">
      <c r="A305" s="31" t="s">
        <v>310</v>
      </c>
      <c r="B305" s="31" t="s">
        <v>741</v>
      </c>
      <c r="C305" s="31" t="s">
        <v>318</v>
      </c>
      <c r="D305" s="31" t="s">
        <v>708</v>
      </c>
      <c r="E305" s="32">
        <v>103.86</v>
      </c>
      <c r="F305" s="33">
        <v>1182.5</v>
      </c>
      <c r="G305" s="32">
        <v>1286.3599999999999</v>
      </c>
      <c r="H305" s="32">
        <v>3.11</v>
      </c>
      <c r="I305" s="34">
        <v>3</v>
      </c>
      <c r="J305" s="33">
        <v>0</v>
      </c>
      <c r="K305" s="34">
        <v>1186</v>
      </c>
      <c r="L305" s="32">
        <v>321.58</v>
      </c>
      <c r="M305" s="32">
        <v>60.33</v>
      </c>
      <c r="N305" s="32">
        <v>66.3</v>
      </c>
      <c r="O305" s="32">
        <v>32.299999999999997</v>
      </c>
      <c r="P305" s="32">
        <v>3.53</v>
      </c>
      <c r="Q305" s="34">
        <v>413668</v>
      </c>
      <c r="R305" s="34">
        <v>0</v>
      </c>
      <c r="S305" s="34">
        <v>413668</v>
      </c>
      <c r="T305" s="34">
        <v>71551</v>
      </c>
      <c r="U305" s="34">
        <v>78632</v>
      </c>
      <c r="V305" s="34">
        <v>1000</v>
      </c>
      <c r="W305" s="34">
        <v>41549</v>
      </c>
      <c r="X305" s="34">
        <v>4541</v>
      </c>
      <c r="Y305" s="34">
        <v>610941</v>
      </c>
      <c r="Z305" s="34">
        <v>60960</v>
      </c>
      <c r="AA305" s="34">
        <v>549981</v>
      </c>
      <c r="AB305" s="34">
        <v>315234</v>
      </c>
      <c r="AC305" s="34">
        <v>234747</v>
      </c>
    </row>
    <row r="306" spans="1:29" x14ac:dyDescent="0.25">
      <c r="A306" s="31" t="s">
        <v>310</v>
      </c>
      <c r="B306" s="31" t="s">
        <v>741</v>
      </c>
      <c r="C306" s="31" t="s">
        <v>319</v>
      </c>
      <c r="D306" s="31" t="s">
        <v>709</v>
      </c>
      <c r="E306" s="32">
        <v>91.77</v>
      </c>
      <c r="F306" s="33">
        <v>864.7</v>
      </c>
      <c r="G306" s="32">
        <v>956.47</v>
      </c>
      <c r="H306" s="32">
        <v>2.35</v>
      </c>
      <c r="I306" s="34">
        <v>17</v>
      </c>
      <c r="J306" s="33">
        <v>0</v>
      </c>
      <c r="K306" s="34">
        <v>882</v>
      </c>
      <c r="L306" s="32">
        <v>321.58</v>
      </c>
      <c r="M306" s="32">
        <v>60.33</v>
      </c>
      <c r="N306" s="32">
        <v>66.3</v>
      </c>
      <c r="O306" s="32">
        <v>32.299999999999997</v>
      </c>
      <c r="P306" s="32">
        <v>3.53</v>
      </c>
      <c r="Q306" s="34">
        <v>307582</v>
      </c>
      <c r="R306" s="34">
        <v>0</v>
      </c>
      <c r="S306" s="34">
        <v>307582</v>
      </c>
      <c r="T306" s="34">
        <v>53211</v>
      </c>
      <c r="U306" s="34">
        <v>58477</v>
      </c>
      <c r="V306" s="34">
        <v>756</v>
      </c>
      <c r="W306" s="34">
        <v>30894</v>
      </c>
      <c r="X306" s="34">
        <v>3376</v>
      </c>
      <c r="Y306" s="34">
        <v>454296</v>
      </c>
      <c r="Z306" s="34">
        <v>48283</v>
      </c>
      <c r="AA306" s="34">
        <v>406013</v>
      </c>
      <c r="AB306" s="34">
        <v>231445</v>
      </c>
      <c r="AC306" s="34">
        <v>174568</v>
      </c>
    </row>
    <row r="307" spans="1:29" x14ac:dyDescent="0.25">
      <c r="A307" s="31" t="s">
        <v>310</v>
      </c>
      <c r="B307" s="31" t="s">
        <v>741</v>
      </c>
      <c r="C307" s="31" t="s">
        <v>320</v>
      </c>
      <c r="D307" s="31" t="s">
        <v>710</v>
      </c>
      <c r="E307" s="32">
        <v>278.14999999999998</v>
      </c>
      <c r="F307" s="33">
        <v>1607.4</v>
      </c>
      <c r="G307" s="32">
        <v>1885.55</v>
      </c>
      <c r="H307" s="32">
        <v>4.5599999999999996</v>
      </c>
      <c r="I307" s="34">
        <v>113</v>
      </c>
      <c r="J307" s="33">
        <v>0</v>
      </c>
      <c r="K307" s="34">
        <v>1720</v>
      </c>
      <c r="L307" s="32">
        <v>321.58</v>
      </c>
      <c r="M307" s="32">
        <v>60.33</v>
      </c>
      <c r="N307" s="32">
        <v>66.3</v>
      </c>
      <c r="O307" s="32">
        <v>32.299999999999997</v>
      </c>
      <c r="P307" s="32">
        <v>3.53</v>
      </c>
      <c r="Q307" s="34">
        <v>606355</v>
      </c>
      <c r="R307" s="34">
        <v>0</v>
      </c>
      <c r="S307" s="34">
        <v>606355</v>
      </c>
      <c r="T307" s="34">
        <v>103768</v>
      </c>
      <c r="U307" s="34">
        <v>114036</v>
      </c>
      <c r="V307" s="34">
        <v>1466</v>
      </c>
      <c r="W307" s="34">
        <v>60903</v>
      </c>
      <c r="X307" s="34">
        <v>6656</v>
      </c>
      <c r="Y307" s="34">
        <v>893184</v>
      </c>
      <c r="Z307" s="34">
        <v>98537</v>
      </c>
      <c r="AA307" s="34">
        <v>794647</v>
      </c>
      <c r="AB307" s="34">
        <v>452890</v>
      </c>
      <c r="AC307" s="34">
        <v>341757</v>
      </c>
    </row>
    <row r="308" spans="1:29" x14ac:dyDescent="0.25">
      <c r="A308" s="31" t="s">
        <v>310</v>
      </c>
      <c r="B308" s="31" t="s">
        <v>741</v>
      </c>
      <c r="C308" s="31" t="s">
        <v>321</v>
      </c>
      <c r="D308" s="31" t="s">
        <v>711</v>
      </c>
      <c r="E308" s="32">
        <v>356.17</v>
      </c>
      <c r="F308" s="33">
        <v>2046.4</v>
      </c>
      <c r="G308" s="32">
        <v>2402.5700000000002</v>
      </c>
      <c r="H308" s="32">
        <v>5.81</v>
      </c>
      <c r="I308" s="34">
        <v>270</v>
      </c>
      <c r="J308" s="33">
        <v>3.9</v>
      </c>
      <c r="K308" s="34">
        <v>2313</v>
      </c>
      <c r="L308" s="32">
        <v>321.58</v>
      </c>
      <c r="M308" s="32">
        <v>60.33</v>
      </c>
      <c r="N308" s="32">
        <v>66.3</v>
      </c>
      <c r="O308" s="32">
        <v>32.299999999999997</v>
      </c>
      <c r="P308" s="32">
        <v>3.53</v>
      </c>
      <c r="Q308" s="34">
        <v>772618</v>
      </c>
      <c r="R308" s="34">
        <v>0</v>
      </c>
      <c r="S308" s="34">
        <v>772618</v>
      </c>
      <c r="T308" s="34">
        <v>139543</v>
      </c>
      <c r="U308" s="34">
        <v>153352</v>
      </c>
      <c r="V308" s="34">
        <v>1868</v>
      </c>
      <c r="W308" s="34">
        <v>77603</v>
      </c>
      <c r="X308" s="34">
        <v>8481</v>
      </c>
      <c r="Y308" s="34">
        <v>1153465</v>
      </c>
      <c r="Z308" s="34">
        <v>133370</v>
      </c>
      <c r="AA308" s="34">
        <v>1020095</v>
      </c>
      <c r="AB308" s="34">
        <v>569259</v>
      </c>
      <c r="AC308" s="34">
        <v>450836</v>
      </c>
    </row>
    <row r="309" spans="1:29" x14ac:dyDescent="0.25">
      <c r="A309" s="31" t="s">
        <v>310</v>
      </c>
      <c r="B309" s="31" t="s">
        <v>741</v>
      </c>
      <c r="C309" s="31" t="s">
        <v>322</v>
      </c>
      <c r="D309" s="31" t="s">
        <v>712</v>
      </c>
      <c r="E309" s="32">
        <v>358.88</v>
      </c>
      <c r="F309" s="33">
        <v>1877.4</v>
      </c>
      <c r="G309" s="32">
        <v>2236.2800000000002</v>
      </c>
      <c r="H309" s="32">
        <v>5.41</v>
      </c>
      <c r="I309" s="34">
        <v>74</v>
      </c>
      <c r="J309" s="33">
        <v>0</v>
      </c>
      <c r="K309" s="34">
        <v>1951</v>
      </c>
      <c r="L309" s="32">
        <v>321.58</v>
      </c>
      <c r="M309" s="32">
        <v>60.33</v>
      </c>
      <c r="N309" s="32">
        <v>66.3</v>
      </c>
      <c r="O309" s="32">
        <v>32.299999999999997</v>
      </c>
      <c r="P309" s="32">
        <v>3.53</v>
      </c>
      <c r="Q309" s="34">
        <v>719143</v>
      </c>
      <c r="R309" s="34">
        <v>0</v>
      </c>
      <c r="S309" s="34">
        <v>719143</v>
      </c>
      <c r="T309" s="34">
        <v>117704</v>
      </c>
      <c r="U309" s="34">
        <v>129351</v>
      </c>
      <c r="V309" s="34">
        <v>1740</v>
      </c>
      <c r="W309" s="34">
        <v>72232</v>
      </c>
      <c r="X309" s="34">
        <v>7894</v>
      </c>
      <c r="Y309" s="34">
        <v>1048064</v>
      </c>
      <c r="Z309" s="34">
        <v>112350</v>
      </c>
      <c r="AA309" s="34">
        <v>935714</v>
      </c>
      <c r="AB309" s="34">
        <v>541649</v>
      </c>
      <c r="AC309" s="34">
        <v>394065</v>
      </c>
    </row>
    <row r="310" spans="1:29" x14ac:dyDescent="0.25">
      <c r="A310" s="31" t="s">
        <v>310</v>
      </c>
      <c r="B310" s="31" t="s">
        <v>741</v>
      </c>
      <c r="C310" s="31" t="s">
        <v>323</v>
      </c>
      <c r="D310" s="31" t="s">
        <v>713</v>
      </c>
      <c r="E310" s="32">
        <v>51.31</v>
      </c>
      <c r="F310" s="33">
        <v>346.7</v>
      </c>
      <c r="G310" s="32">
        <v>398.01</v>
      </c>
      <c r="H310" s="32">
        <v>0.96</v>
      </c>
      <c r="I310" s="34">
        <v>3</v>
      </c>
      <c r="J310" s="33">
        <v>0</v>
      </c>
      <c r="K310" s="34">
        <v>350</v>
      </c>
      <c r="L310" s="32">
        <v>321.58</v>
      </c>
      <c r="M310" s="32">
        <v>60.33</v>
      </c>
      <c r="N310" s="32">
        <v>66.3</v>
      </c>
      <c r="O310" s="32">
        <v>32.299999999999997</v>
      </c>
      <c r="P310" s="32">
        <v>3.53</v>
      </c>
      <c r="Q310" s="34">
        <v>127992</v>
      </c>
      <c r="R310" s="34">
        <v>0</v>
      </c>
      <c r="S310" s="34">
        <v>127992</v>
      </c>
      <c r="T310" s="34">
        <v>21116</v>
      </c>
      <c r="U310" s="34">
        <v>23205</v>
      </c>
      <c r="V310" s="34">
        <v>309</v>
      </c>
      <c r="W310" s="34">
        <v>12856</v>
      </c>
      <c r="X310" s="34">
        <v>1405</v>
      </c>
      <c r="Y310" s="34">
        <v>186883</v>
      </c>
      <c r="Z310" s="34">
        <v>19198</v>
      </c>
      <c r="AA310" s="34">
        <v>167685</v>
      </c>
      <c r="AB310" s="34">
        <v>97199</v>
      </c>
      <c r="AC310" s="34">
        <v>70486</v>
      </c>
    </row>
    <row r="311" spans="1:29" x14ac:dyDescent="0.25">
      <c r="A311" s="31" t="s">
        <v>310</v>
      </c>
      <c r="B311" s="31" t="s">
        <v>741</v>
      </c>
      <c r="C311" s="31" t="s">
        <v>324</v>
      </c>
      <c r="D311" s="31" t="s">
        <v>714</v>
      </c>
      <c r="E311" s="32">
        <v>86.07</v>
      </c>
      <c r="F311" s="33">
        <v>856.6</v>
      </c>
      <c r="G311" s="32">
        <v>942.67</v>
      </c>
      <c r="H311" s="32">
        <v>2.2799999999999998</v>
      </c>
      <c r="I311" s="34">
        <v>0</v>
      </c>
      <c r="J311" s="33">
        <v>0</v>
      </c>
      <c r="K311" s="34">
        <v>857</v>
      </c>
      <c r="L311" s="32">
        <v>321.58</v>
      </c>
      <c r="M311" s="32">
        <v>60.33</v>
      </c>
      <c r="N311" s="32">
        <v>66.3</v>
      </c>
      <c r="O311" s="32">
        <v>32.299999999999997</v>
      </c>
      <c r="P311" s="32">
        <v>3.53</v>
      </c>
      <c r="Q311" s="34">
        <v>303144</v>
      </c>
      <c r="R311" s="34">
        <v>0</v>
      </c>
      <c r="S311" s="34">
        <v>303144</v>
      </c>
      <c r="T311" s="34">
        <v>51703</v>
      </c>
      <c r="U311" s="34">
        <v>56819</v>
      </c>
      <c r="V311" s="34">
        <v>733</v>
      </c>
      <c r="W311" s="34">
        <v>30448</v>
      </c>
      <c r="X311" s="34">
        <v>3328</v>
      </c>
      <c r="Y311" s="34">
        <v>446175</v>
      </c>
      <c r="Z311" s="34">
        <v>44924</v>
      </c>
      <c r="AA311" s="34">
        <v>401251</v>
      </c>
      <c r="AB311" s="34">
        <v>230759</v>
      </c>
      <c r="AC311" s="34">
        <v>170492</v>
      </c>
    </row>
    <row r="312" spans="1:29" x14ac:dyDescent="0.25">
      <c r="A312" s="31" t="s">
        <v>310</v>
      </c>
      <c r="B312" s="31" t="s">
        <v>741</v>
      </c>
      <c r="C312" s="31" t="s">
        <v>325</v>
      </c>
      <c r="D312" s="31" t="s">
        <v>715</v>
      </c>
      <c r="E312" s="32">
        <v>40.799999999999997</v>
      </c>
      <c r="F312" s="33">
        <v>338.4</v>
      </c>
      <c r="G312" s="32">
        <v>379.2</v>
      </c>
      <c r="H312" s="32">
        <v>0.92</v>
      </c>
      <c r="I312" s="34">
        <v>0</v>
      </c>
      <c r="J312" s="33">
        <v>0</v>
      </c>
      <c r="K312" s="34">
        <v>338</v>
      </c>
      <c r="L312" s="32">
        <v>321.58</v>
      </c>
      <c r="M312" s="32">
        <v>60.33</v>
      </c>
      <c r="N312" s="32">
        <v>66.3</v>
      </c>
      <c r="O312" s="32">
        <v>32.299999999999997</v>
      </c>
      <c r="P312" s="32">
        <v>3.53</v>
      </c>
      <c r="Q312" s="34">
        <v>121943</v>
      </c>
      <c r="R312" s="34">
        <v>493</v>
      </c>
      <c r="S312" s="34">
        <v>122436</v>
      </c>
      <c r="T312" s="34">
        <v>20392</v>
      </c>
      <c r="U312" s="34">
        <v>22409</v>
      </c>
      <c r="V312" s="34">
        <v>296</v>
      </c>
      <c r="W312" s="34">
        <v>12291</v>
      </c>
      <c r="X312" s="34">
        <v>1343</v>
      </c>
      <c r="Y312" s="34">
        <v>179167</v>
      </c>
      <c r="Z312" s="34">
        <v>16064</v>
      </c>
      <c r="AA312" s="34">
        <v>163103</v>
      </c>
      <c r="AB312" s="34">
        <v>94881</v>
      </c>
      <c r="AC312" s="34">
        <v>68222</v>
      </c>
    </row>
    <row r="313" spans="1:29" x14ac:dyDescent="0.25">
      <c r="A313" s="31" t="s">
        <v>310</v>
      </c>
      <c r="B313" s="31" t="s">
        <v>741</v>
      </c>
      <c r="C313" s="31" t="s">
        <v>326</v>
      </c>
      <c r="D313" s="31" t="s">
        <v>716</v>
      </c>
      <c r="E313" s="32">
        <v>23.46</v>
      </c>
      <c r="F313" s="33">
        <v>179.2</v>
      </c>
      <c r="G313" s="32">
        <v>202.66</v>
      </c>
      <c r="H313" s="32">
        <v>0.49</v>
      </c>
      <c r="I313" s="34">
        <v>0</v>
      </c>
      <c r="J313" s="33">
        <v>0</v>
      </c>
      <c r="K313" s="34">
        <v>179</v>
      </c>
      <c r="L313" s="32">
        <v>321.58</v>
      </c>
      <c r="M313" s="32">
        <v>60.33</v>
      </c>
      <c r="N313" s="32">
        <v>66.3</v>
      </c>
      <c r="O313" s="32">
        <v>32.299999999999997</v>
      </c>
      <c r="P313" s="32">
        <v>3.53</v>
      </c>
      <c r="Q313" s="34">
        <v>65171</v>
      </c>
      <c r="R313" s="34">
        <v>4451</v>
      </c>
      <c r="S313" s="34">
        <v>69622</v>
      </c>
      <c r="T313" s="34">
        <v>10799</v>
      </c>
      <c r="U313" s="34">
        <v>11868</v>
      </c>
      <c r="V313" s="34">
        <v>158</v>
      </c>
      <c r="W313" s="34">
        <v>6546</v>
      </c>
      <c r="X313" s="34">
        <v>715</v>
      </c>
      <c r="Y313" s="34">
        <v>99708</v>
      </c>
      <c r="Z313" s="34">
        <v>11664</v>
      </c>
      <c r="AA313" s="34">
        <v>88044</v>
      </c>
      <c r="AB313" s="34">
        <v>47603</v>
      </c>
      <c r="AC313" s="34">
        <v>40441</v>
      </c>
    </row>
    <row r="314" spans="1:29" x14ac:dyDescent="0.25">
      <c r="A314" s="31" t="s">
        <v>310</v>
      </c>
      <c r="B314" s="31" t="s">
        <v>741</v>
      </c>
      <c r="C314" s="31" t="s">
        <v>327</v>
      </c>
      <c r="D314" s="31" t="s">
        <v>717</v>
      </c>
      <c r="E314" s="32">
        <v>16.8</v>
      </c>
      <c r="F314" s="33">
        <v>185.3</v>
      </c>
      <c r="G314" s="32">
        <v>202.1</v>
      </c>
      <c r="H314" s="32">
        <v>0.49</v>
      </c>
      <c r="I314" s="34">
        <v>0</v>
      </c>
      <c r="J314" s="33">
        <v>0</v>
      </c>
      <c r="K314" s="34">
        <v>185</v>
      </c>
      <c r="L314" s="32">
        <v>321.58</v>
      </c>
      <c r="M314" s="32">
        <v>60.33</v>
      </c>
      <c r="N314" s="32">
        <v>66.3</v>
      </c>
      <c r="O314" s="32">
        <v>32.299999999999997</v>
      </c>
      <c r="P314" s="32">
        <v>3.53</v>
      </c>
      <c r="Q314" s="34">
        <v>64991</v>
      </c>
      <c r="R314" s="34">
        <v>9156</v>
      </c>
      <c r="S314" s="34">
        <v>74147</v>
      </c>
      <c r="T314" s="34">
        <v>11161</v>
      </c>
      <c r="U314" s="34">
        <v>12266</v>
      </c>
      <c r="V314" s="34">
        <v>158</v>
      </c>
      <c r="W314" s="34">
        <v>7199</v>
      </c>
      <c r="X314" s="34">
        <v>786</v>
      </c>
      <c r="Y314" s="34">
        <v>105717</v>
      </c>
      <c r="Z314" s="34">
        <v>13725</v>
      </c>
      <c r="AA314" s="34">
        <v>91992</v>
      </c>
      <c r="AB314" s="34">
        <v>46123</v>
      </c>
      <c r="AC314" s="34">
        <v>45869</v>
      </c>
    </row>
    <row r="315" spans="1:29" x14ac:dyDescent="0.25">
      <c r="A315" s="31" t="s">
        <v>310</v>
      </c>
      <c r="B315" s="31" t="s">
        <v>741</v>
      </c>
      <c r="C315" s="31" t="s">
        <v>328</v>
      </c>
      <c r="D315" s="31" t="s">
        <v>718</v>
      </c>
      <c r="E315" s="32">
        <v>241.81</v>
      </c>
      <c r="F315" s="33">
        <v>1830</v>
      </c>
      <c r="G315" s="32">
        <v>2071.81</v>
      </c>
      <c r="H315" s="32">
        <v>5.01</v>
      </c>
      <c r="I315" s="34">
        <v>6</v>
      </c>
      <c r="J315" s="33">
        <v>0</v>
      </c>
      <c r="K315" s="34">
        <v>1836</v>
      </c>
      <c r="L315" s="32">
        <v>321.58</v>
      </c>
      <c r="M315" s="32">
        <v>60.33</v>
      </c>
      <c r="N315" s="32">
        <v>66.3</v>
      </c>
      <c r="O315" s="32">
        <v>32.299999999999997</v>
      </c>
      <c r="P315" s="32">
        <v>3.53</v>
      </c>
      <c r="Q315" s="34">
        <v>666253</v>
      </c>
      <c r="R315" s="34">
        <v>0</v>
      </c>
      <c r="S315" s="34">
        <v>666253</v>
      </c>
      <c r="T315" s="34">
        <v>110766</v>
      </c>
      <c r="U315" s="34">
        <v>121727</v>
      </c>
      <c r="V315" s="34">
        <v>1611</v>
      </c>
      <c r="W315" s="34">
        <v>66919</v>
      </c>
      <c r="X315" s="34">
        <v>7313</v>
      </c>
      <c r="Y315" s="34">
        <v>974589</v>
      </c>
      <c r="Z315" s="34">
        <v>100646</v>
      </c>
      <c r="AA315" s="34">
        <v>873943</v>
      </c>
      <c r="AB315" s="34">
        <v>505252</v>
      </c>
      <c r="AC315" s="34">
        <v>368691</v>
      </c>
    </row>
    <row r="316" spans="1:29" x14ac:dyDescent="0.25">
      <c r="A316" s="31" t="s">
        <v>310</v>
      </c>
      <c r="B316" s="31" t="s">
        <v>741</v>
      </c>
      <c r="C316" s="31" t="s">
        <v>329</v>
      </c>
      <c r="D316" s="31" t="s">
        <v>719</v>
      </c>
      <c r="E316" s="32">
        <v>66.349999999999994</v>
      </c>
      <c r="F316" s="33">
        <v>533</v>
      </c>
      <c r="G316" s="32">
        <v>599.35</v>
      </c>
      <c r="H316" s="32">
        <v>1.45</v>
      </c>
      <c r="I316" s="34">
        <v>3</v>
      </c>
      <c r="J316" s="33">
        <v>0</v>
      </c>
      <c r="K316" s="34">
        <v>536</v>
      </c>
      <c r="L316" s="32">
        <v>321.58</v>
      </c>
      <c r="M316" s="32">
        <v>60.33</v>
      </c>
      <c r="N316" s="32">
        <v>66.3</v>
      </c>
      <c r="O316" s="32">
        <v>32.299999999999997</v>
      </c>
      <c r="P316" s="32">
        <v>3.53</v>
      </c>
      <c r="Q316" s="34">
        <v>192739</v>
      </c>
      <c r="R316" s="34">
        <v>0</v>
      </c>
      <c r="S316" s="34">
        <v>192739</v>
      </c>
      <c r="T316" s="34">
        <v>32337</v>
      </c>
      <c r="U316" s="34">
        <v>35537</v>
      </c>
      <c r="V316" s="34">
        <v>466</v>
      </c>
      <c r="W316" s="34">
        <v>19359</v>
      </c>
      <c r="X316" s="34">
        <v>2116</v>
      </c>
      <c r="Y316" s="34">
        <v>282554</v>
      </c>
      <c r="Z316" s="34">
        <v>27125</v>
      </c>
      <c r="AA316" s="34">
        <v>255429</v>
      </c>
      <c r="AB316" s="34">
        <v>148155</v>
      </c>
      <c r="AC316" s="34">
        <v>107274</v>
      </c>
    </row>
    <row r="317" spans="1:29" x14ac:dyDescent="0.25">
      <c r="A317" s="31" t="s">
        <v>310</v>
      </c>
      <c r="B317" s="31" t="s">
        <v>741</v>
      </c>
      <c r="C317" s="31" t="s">
        <v>330</v>
      </c>
      <c r="D317" s="31" t="s">
        <v>720</v>
      </c>
      <c r="E317" s="32">
        <v>73.16</v>
      </c>
      <c r="F317" s="33">
        <v>498.2</v>
      </c>
      <c r="G317" s="32">
        <v>571.36</v>
      </c>
      <c r="H317" s="32">
        <v>1.38</v>
      </c>
      <c r="I317" s="34">
        <v>28</v>
      </c>
      <c r="J317" s="33">
        <v>0</v>
      </c>
      <c r="K317" s="34">
        <v>526</v>
      </c>
      <c r="L317" s="32">
        <v>321.58</v>
      </c>
      <c r="M317" s="32">
        <v>60.33</v>
      </c>
      <c r="N317" s="32">
        <v>66.3</v>
      </c>
      <c r="O317" s="32">
        <v>32.299999999999997</v>
      </c>
      <c r="P317" s="32">
        <v>3.53</v>
      </c>
      <c r="Q317" s="34">
        <v>183738</v>
      </c>
      <c r="R317" s="34">
        <v>0</v>
      </c>
      <c r="S317" s="34">
        <v>183738</v>
      </c>
      <c r="T317" s="34">
        <v>31734</v>
      </c>
      <c r="U317" s="34">
        <v>34874</v>
      </c>
      <c r="V317" s="34">
        <v>444</v>
      </c>
      <c r="W317" s="34">
        <v>18455</v>
      </c>
      <c r="X317" s="34">
        <v>2017</v>
      </c>
      <c r="Y317" s="34">
        <v>271262</v>
      </c>
      <c r="Z317" s="34">
        <v>27372</v>
      </c>
      <c r="AA317" s="34">
        <v>243890</v>
      </c>
      <c r="AB317" s="34">
        <v>139721</v>
      </c>
      <c r="AC317" s="34">
        <v>104169</v>
      </c>
    </row>
    <row r="318" spans="1:29" x14ac:dyDescent="0.25">
      <c r="A318" s="31" t="s">
        <v>310</v>
      </c>
      <c r="B318" s="31" t="s">
        <v>741</v>
      </c>
      <c r="C318" s="31" t="s">
        <v>331</v>
      </c>
      <c r="D318" s="31" t="s">
        <v>721</v>
      </c>
      <c r="E318" s="32">
        <v>269.3</v>
      </c>
      <c r="F318" s="33">
        <v>2208.6</v>
      </c>
      <c r="G318" s="32">
        <v>2477.9</v>
      </c>
      <c r="H318" s="32">
        <v>6</v>
      </c>
      <c r="I318" s="34">
        <v>190</v>
      </c>
      <c r="J318" s="33">
        <v>0.1</v>
      </c>
      <c r="K318" s="34">
        <v>2399</v>
      </c>
      <c r="L318" s="32">
        <v>321.58</v>
      </c>
      <c r="M318" s="32">
        <v>60.33</v>
      </c>
      <c r="N318" s="32">
        <v>66.3</v>
      </c>
      <c r="O318" s="32">
        <v>32.299999999999997</v>
      </c>
      <c r="P318" s="32">
        <v>3.53</v>
      </c>
      <c r="Q318" s="34">
        <v>796843</v>
      </c>
      <c r="R318" s="34">
        <v>0</v>
      </c>
      <c r="S318" s="34">
        <v>796843</v>
      </c>
      <c r="T318" s="34">
        <v>144732</v>
      </c>
      <c r="U318" s="34">
        <v>159054</v>
      </c>
      <c r="V318" s="34">
        <v>1929</v>
      </c>
      <c r="W318" s="34">
        <v>80036</v>
      </c>
      <c r="X318" s="34">
        <v>8747</v>
      </c>
      <c r="Y318" s="34">
        <v>1191341</v>
      </c>
      <c r="Z318" s="34">
        <v>123963</v>
      </c>
      <c r="AA318" s="34">
        <v>1067378</v>
      </c>
      <c r="AB318" s="34">
        <v>600698</v>
      </c>
      <c r="AC318" s="34">
        <v>466680</v>
      </c>
    </row>
    <row r="319" spans="1:29" x14ac:dyDescent="0.25">
      <c r="A319" s="31" t="s">
        <v>310</v>
      </c>
      <c r="B319" s="31" t="s">
        <v>741</v>
      </c>
      <c r="C319" s="31" t="s">
        <v>332</v>
      </c>
      <c r="D319" s="31" t="s">
        <v>722</v>
      </c>
      <c r="E319" s="32">
        <v>606.51</v>
      </c>
      <c r="F319" s="33">
        <v>4871.8</v>
      </c>
      <c r="G319" s="32">
        <v>5478.31</v>
      </c>
      <c r="H319" s="32">
        <v>13.26</v>
      </c>
      <c r="I319" s="34">
        <v>129</v>
      </c>
      <c r="J319" s="33">
        <v>0.8</v>
      </c>
      <c r="K319" s="34">
        <v>5000</v>
      </c>
      <c r="L319" s="32">
        <v>321.58</v>
      </c>
      <c r="M319" s="32">
        <v>60.33</v>
      </c>
      <c r="N319" s="32">
        <v>66.3</v>
      </c>
      <c r="O319" s="32">
        <v>32.299999999999997</v>
      </c>
      <c r="P319" s="32">
        <v>3.53</v>
      </c>
      <c r="Q319" s="34">
        <v>1761715</v>
      </c>
      <c r="R319" s="34">
        <v>0</v>
      </c>
      <c r="S319" s="34">
        <v>1761715</v>
      </c>
      <c r="T319" s="34">
        <v>301650</v>
      </c>
      <c r="U319" s="34">
        <v>331500</v>
      </c>
      <c r="V319" s="34">
        <v>4264</v>
      </c>
      <c r="W319" s="34">
        <v>176949</v>
      </c>
      <c r="X319" s="34">
        <v>19338</v>
      </c>
      <c r="Y319" s="34">
        <v>2595416</v>
      </c>
      <c r="Z319" s="34">
        <v>236724</v>
      </c>
      <c r="AA319" s="34">
        <v>2358692</v>
      </c>
      <c r="AB319" s="34">
        <v>1365405</v>
      </c>
      <c r="AC319" s="34">
        <v>993287</v>
      </c>
    </row>
    <row r="320" spans="1:29" x14ac:dyDescent="0.25">
      <c r="A320" s="31" t="s">
        <v>310</v>
      </c>
      <c r="B320" s="31" t="s">
        <v>741</v>
      </c>
      <c r="C320" s="31" t="s">
        <v>333</v>
      </c>
      <c r="D320" s="31" t="s">
        <v>723</v>
      </c>
      <c r="E320" s="32">
        <v>63.91</v>
      </c>
      <c r="F320" s="33">
        <v>575.29999999999995</v>
      </c>
      <c r="G320" s="32">
        <v>639.21</v>
      </c>
      <c r="H320" s="32">
        <v>1.55</v>
      </c>
      <c r="I320" s="34">
        <v>0</v>
      </c>
      <c r="J320" s="33">
        <v>0</v>
      </c>
      <c r="K320" s="34">
        <v>575</v>
      </c>
      <c r="L320" s="32">
        <v>321.58</v>
      </c>
      <c r="M320" s="32">
        <v>60.33</v>
      </c>
      <c r="N320" s="32">
        <v>66.3</v>
      </c>
      <c r="O320" s="32">
        <v>32.299999999999997</v>
      </c>
      <c r="P320" s="32">
        <v>3.53</v>
      </c>
      <c r="Q320" s="34">
        <v>205557</v>
      </c>
      <c r="R320" s="34">
        <v>4173</v>
      </c>
      <c r="S320" s="34">
        <v>209730</v>
      </c>
      <c r="T320" s="34">
        <v>34690</v>
      </c>
      <c r="U320" s="34">
        <v>38123</v>
      </c>
      <c r="V320" s="34">
        <v>498</v>
      </c>
      <c r="W320" s="34">
        <v>21055</v>
      </c>
      <c r="X320" s="34">
        <v>2300</v>
      </c>
      <c r="Y320" s="34">
        <v>306396</v>
      </c>
      <c r="Z320" s="34">
        <v>35480</v>
      </c>
      <c r="AA320" s="34">
        <v>270916</v>
      </c>
      <c r="AB320" s="34">
        <v>151910</v>
      </c>
      <c r="AC320" s="34">
        <v>119006</v>
      </c>
    </row>
    <row r="321" spans="1:29" x14ac:dyDescent="0.25">
      <c r="A321" s="31" t="s">
        <v>310</v>
      </c>
      <c r="B321" s="31" t="s">
        <v>741</v>
      </c>
      <c r="C321" s="31" t="s">
        <v>334</v>
      </c>
      <c r="D321" s="31" t="s">
        <v>724</v>
      </c>
      <c r="E321" s="32">
        <v>24.31</v>
      </c>
      <c r="F321" s="33">
        <v>254.6</v>
      </c>
      <c r="G321" s="32">
        <v>278.91000000000003</v>
      </c>
      <c r="H321" s="32">
        <v>0.67</v>
      </c>
      <c r="I321" s="34">
        <v>0</v>
      </c>
      <c r="J321" s="33">
        <v>0</v>
      </c>
      <c r="K321" s="34">
        <v>255</v>
      </c>
      <c r="L321" s="32">
        <v>321.58</v>
      </c>
      <c r="M321" s="32">
        <v>60.33</v>
      </c>
      <c r="N321" s="32">
        <v>66.3</v>
      </c>
      <c r="O321" s="32">
        <v>32.299999999999997</v>
      </c>
      <c r="P321" s="32">
        <v>3.53</v>
      </c>
      <c r="Q321" s="34">
        <v>89692</v>
      </c>
      <c r="R321" s="34">
        <v>3207</v>
      </c>
      <c r="S321" s="34">
        <v>92899</v>
      </c>
      <c r="T321" s="34">
        <v>15384</v>
      </c>
      <c r="U321" s="34">
        <v>16907</v>
      </c>
      <c r="V321" s="34">
        <v>215</v>
      </c>
      <c r="W321" s="34">
        <v>9009</v>
      </c>
      <c r="X321" s="34">
        <v>985</v>
      </c>
      <c r="Y321" s="34">
        <v>135399</v>
      </c>
      <c r="Z321" s="34">
        <v>17427</v>
      </c>
      <c r="AA321" s="34">
        <v>117972</v>
      </c>
      <c r="AB321" s="34">
        <v>64139</v>
      </c>
      <c r="AC321" s="34">
        <v>53833</v>
      </c>
    </row>
    <row r="322" spans="1:29" x14ac:dyDescent="0.25">
      <c r="A322" s="31" t="s">
        <v>310</v>
      </c>
      <c r="B322" s="31" t="s">
        <v>741</v>
      </c>
      <c r="C322" s="31" t="s">
        <v>335</v>
      </c>
      <c r="D322" s="31" t="s">
        <v>725</v>
      </c>
      <c r="E322" s="32">
        <v>52.65</v>
      </c>
      <c r="F322" s="33">
        <v>538.6</v>
      </c>
      <c r="G322" s="32">
        <v>591.25</v>
      </c>
      <c r="H322" s="32">
        <v>1.43</v>
      </c>
      <c r="I322" s="34">
        <v>0</v>
      </c>
      <c r="J322" s="33">
        <v>0</v>
      </c>
      <c r="K322" s="34">
        <v>539</v>
      </c>
      <c r="L322" s="32">
        <v>321.58</v>
      </c>
      <c r="M322" s="32">
        <v>60.33</v>
      </c>
      <c r="N322" s="32">
        <v>66.3</v>
      </c>
      <c r="O322" s="32">
        <v>32.299999999999997</v>
      </c>
      <c r="P322" s="32">
        <v>3.53</v>
      </c>
      <c r="Q322" s="34">
        <v>190134</v>
      </c>
      <c r="R322" s="34">
        <v>0</v>
      </c>
      <c r="S322" s="34">
        <v>190134</v>
      </c>
      <c r="T322" s="34">
        <v>32518</v>
      </c>
      <c r="U322" s="34">
        <v>35736</v>
      </c>
      <c r="V322" s="34">
        <v>460</v>
      </c>
      <c r="W322" s="34">
        <v>19097</v>
      </c>
      <c r="X322" s="34">
        <v>2087</v>
      </c>
      <c r="Y322" s="34">
        <v>280032</v>
      </c>
      <c r="Z322" s="34">
        <v>34790</v>
      </c>
      <c r="AA322" s="34">
        <v>245242</v>
      </c>
      <c r="AB322" s="34">
        <v>138120</v>
      </c>
      <c r="AC322" s="34">
        <v>107122</v>
      </c>
    </row>
    <row r="323" spans="1:29" x14ac:dyDescent="0.25">
      <c r="A323" s="31" t="s">
        <v>310</v>
      </c>
      <c r="B323" s="31" t="s">
        <v>741</v>
      </c>
      <c r="C323" s="31" t="s">
        <v>336</v>
      </c>
      <c r="D323" s="31" t="s">
        <v>726</v>
      </c>
      <c r="E323" s="32">
        <v>34.770000000000003</v>
      </c>
      <c r="F323" s="33">
        <v>268.39999999999998</v>
      </c>
      <c r="G323" s="32">
        <v>303.17</v>
      </c>
      <c r="H323" s="32">
        <v>0.73</v>
      </c>
      <c r="I323" s="34">
        <v>7</v>
      </c>
      <c r="J323" s="33">
        <v>0</v>
      </c>
      <c r="K323" s="34">
        <v>275</v>
      </c>
      <c r="L323" s="32">
        <v>321.58</v>
      </c>
      <c r="M323" s="32">
        <v>60.33</v>
      </c>
      <c r="N323" s="32">
        <v>66.3</v>
      </c>
      <c r="O323" s="32">
        <v>32.299999999999997</v>
      </c>
      <c r="P323" s="32">
        <v>3.53</v>
      </c>
      <c r="Q323" s="34">
        <v>97493</v>
      </c>
      <c r="R323" s="34">
        <v>1034</v>
      </c>
      <c r="S323" s="34">
        <v>98527</v>
      </c>
      <c r="T323" s="34">
        <v>16591</v>
      </c>
      <c r="U323" s="34">
        <v>18233</v>
      </c>
      <c r="V323" s="34">
        <v>235</v>
      </c>
      <c r="W323" s="34">
        <v>9792</v>
      </c>
      <c r="X323" s="34">
        <v>1070</v>
      </c>
      <c r="Y323" s="34">
        <v>144448</v>
      </c>
      <c r="Z323" s="34">
        <v>18302</v>
      </c>
      <c r="AA323" s="34">
        <v>126146</v>
      </c>
      <c r="AB323" s="34">
        <v>70358</v>
      </c>
      <c r="AC323" s="34">
        <v>55788</v>
      </c>
    </row>
    <row r="324" spans="1:29" x14ac:dyDescent="0.25">
      <c r="A324" s="31" t="s">
        <v>310</v>
      </c>
      <c r="B324" s="31" t="s">
        <v>741</v>
      </c>
      <c r="C324" s="31" t="s">
        <v>337</v>
      </c>
      <c r="D324" s="31" t="s">
        <v>742</v>
      </c>
      <c r="E324" s="32">
        <v>135.59</v>
      </c>
      <c r="F324" s="33">
        <v>963.1</v>
      </c>
      <c r="G324" s="32">
        <v>1098.69</v>
      </c>
      <c r="H324" s="32">
        <v>2.66</v>
      </c>
      <c r="I324" s="34">
        <v>0</v>
      </c>
      <c r="J324" s="33">
        <v>0</v>
      </c>
      <c r="K324" s="34">
        <v>963</v>
      </c>
      <c r="L324" s="32">
        <v>321.58</v>
      </c>
      <c r="M324" s="32">
        <v>60.33</v>
      </c>
      <c r="N324" s="32">
        <v>66.3</v>
      </c>
      <c r="O324" s="32">
        <v>32.299999999999997</v>
      </c>
      <c r="P324" s="32">
        <v>3.53</v>
      </c>
      <c r="Q324" s="34">
        <v>353317</v>
      </c>
      <c r="R324" s="34">
        <v>0</v>
      </c>
      <c r="S324" s="34">
        <v>353317</v>
      </c>
      <c r="T324" s="34">
        <v>58098</v>
      </c>
      <c r="U324" s="34">
        <v>63847</v>
      </c>
      <c r="V324" s="34">
        <v>855</v>
      </c>
      <c r="W324" s="34">
        <v>35488</v>
      </c>
      <c r="X324" s="34">
        <v>3878</v>
      </c>
      <c r="Y324" s="34">
        <v>515483</v>
      </c>
      <c r="Z324" s="34">
        <v>65372</v>
      </c>
      <c r="AA324" s="34">
        <v>450111</v>
      </c>
      <c r="AB324" s="34">
        <v>255940</v>
      </c>
      <c r="AC324" s="34">
        <v>194171</v>
      </c>
    </row>
    <row r="325" spans="1:29" x14ac:dyDescent="0.25">
      <c r="A325" s="31" t="s">
        <v>310</v>
      </c>
      <c r="B325" s="31" t="s">
        <v>741</v>
      </c>
      <c r="C325" s="31" t="s">
        <v>338</v>
      </c>
      <c r="D325" s="31" t="s">
        <v>727</v>
      </c>
      <c r="E325" s="32">
        <v>72.540000000000006</v>
      </c>
      <c r="F325" s="33">
        <v>477</v>
      </c>
      <c r="G325" s="32">
        <v>549.54</v>
      </c>
      <c r="H325" s="32">
        <v>1.33</v>
      </c>
      <c r="I325" s="34">
        <v>0</v>
      </c>
      <c r="J325" s="33">
        <v>0</v>
      </c>
      <c r="K325" s="34">
        <v>477</v>
      </c>
      <c r="L325" s="32">
        <v>321.58</v>
      </c>
      <c r="M325" s="32">
        <v>60.33</v>
      </c>
      <c r="N325" s="32">
        <v>66.3</v>
      </c>
      <c r="O325" s="32">
        <v>32.299999999999997</v>
      </c>
      <c r="P325" s="32">
        <v>3.53</v>
      </c>
      <c r="Q325" s="34">
        <v>176721</v>
      </c>
      <c r="R325" s="34">
        <v>0</v>
      </c>
      <c r="S325" s="34">
        <v>176721</v>
      </c>
      <c r="T325" s="34">
        <v>28777</v>
      </c>
      <c r="U325" s="34">
        <v>31625</v>
      </c>
      <c r="V325" s="34">
        <v>428</v>
      </c>
      <c r="W325" s="34">
        <v>17750</v>
      </c>
      <c r="X325" s="34">
        <v>1940</v>
      </c>
      <c r="Y325" s="34">
        <v>257241</v>
      </c>
      <c r="Z325" s="34">
        <v>28485</v>
      </c>
      <c r="AA325" s="34">
        <v>228756</v>
      </c>
      <c r="AB325" s="34">
        <v>132228</v>
      </c>
      <c r="AC325" s="34">
        <v>96528</v>
      </c>
    </row>
    <row r="326" spans="1:29" x14ac:dyDescent="0.25">
      <c r="A326" s="31" t="s">
        <v>310</v>
      </c>
      <c r="B326" s="31" t="s">
        <v>741</v>
      </c>
      <c r="C326" s="31" t="s">
        <v>339</v>
      </c>
      <c r="D326" s="31" t="s">
        <v>728</v>
      </c>
      <c r="E326" s="32">
        <v>66.67</v>
      </c>
      <c r="F326" s="33">
        <v>544.1</v>
      </c>
      <c r="G326" s="32">
        <v>610.77</v>
      </c>
      <c r="H326" s="32">
        <v>1.48</v>
      </c>
      <c r="I326" s="34">
        <v>1</v>
      </c>
      <c r="J326" s="33">
        <v>0</v>
      </c>
      <c r="K326" s="34">
        <v>545</v>
      </c>
      <c r="L326" s="32">
        <v>321.58</v>
      </c>
      <c r="M326" s="32">
        <v>60.33</v>
      </c>
      <c r="N326" s="32">
        <v>66.3</v>
      </c>
      <c r="O326" s="32">
        <v>32.299999999999997</v>
      </c>
      <c r="P326" s="32">
        <v>3.53</v>
      </c>
      <c r="Q326" s="34">
        <v>196411</v>
      </c>
      <c r="R326" s="34">
        <v>32595</v>
      </c>
      <c r="S326" s="34">
        <v>229006</v>
      </c>
      <c r="T326" s="34">
        <v>32880</v>
      </c>
      <c r="U326" s="34">
        <v>36134</v>
      </c>
      <c r="V326" s="34">
        <v>476</v>
      </c>
      <c r="W326" s="34">
        <v>19970</v>
      </c>
      <c r="X326" s="34">
        <v>2182</v>
      </c>
      <c r="Y326" s="34">
        <v>320648</v>
      </c>
      <c r="Z326" s="34">
        <v>37074</v>
      </c>
      <c r="AA326" s="34">
        <v>283574</v>
      </c>
      <c r="AB326" s="34">
        <v>141814</v>
      </c>
      <c r="AC326" s="34">
        <v>141760</v>
      </c>
    </row>
    <row r="327" spans="1:29" x14ac:dyDescent="0.25">
      <c r="A327" s="31" t="s">
        <v>310</v>
      </c>
      <c r="B327" s="31" t="s">
        <v>741</v>
      </c>
      <c r="C327" s="31" t="s">
        <v>340</v>
      </c>
      <c r="D327" s="31" t="s">
        <v>729</v>
      </c>
      <c r="E327" s="32">
        <v>74.459999999999994</v>
      </c>
      <c r="F327" s="33">
        <v>576.4</v>
      </c>
      <c r="G327" s="32">
        <v>650.86</v>
      </c>
      <c r="H327" s="32">
        <v>1.57</v>
      </c>
      <c r="I327" s="34">
        <v>0</v>
      </c>
      <c r="J327" s="33">
        <v>0</v>
      </c>
      <c r="K327" s="34">
        <v>576</v>
      </c>
      <c r="L327" s="32">
        <v>321.58</v>
      </c>
      <c r="M327" s="32">
        <v>60.33</v>
      </c>
      <c r="N327" s="32">
        <v>66.3</v>
      </c>
      <c r="O327" s="32">
        <v>32.299999999999997</v>
      </c>
      <c r="P327" s="32">
        <v>3.53</v>
      </c>
      <c r="Q327" s="34">
        <v>209304</v>
      </c>
      <c r="R327" s="34">
        <v>0</v>
      </c>
      <c r="S327" s="34">
        <v>209304</v>
      </c>
      <c r="T327" s="34">
        <v>34750</v>
      </c>
      <c r="U327" s="34">
        <v>38189</v>
      </c>
      <c r="V327" s="34">
        <v>505</v>
      </c>
      <c r="W327" s="34">
        <v>21023</v>
      </c>
      <c r="X327" s="34">
        <v>2298</v>
      </c>
      <c r="Y327" s="34">
        <v>306069</v>
      </c>
      <c r="Z327" s="34">
        <v>37350</v>
      </c>
      <c r="AA327" s="34">
        <v>268719</v>
      </c>
      <c r="AB327" s="34">
        <v>152993</v>
      </c>
      <c r="AC327" s="34">
        <v>115726</v>
      </c>
    </row>
    <row r="328" spans="1:29" x14ac:dyDescent="0.25">
      <c r="A328" s="31" t="s">
        <v>310</v>
      </c>
      <c r="B328" s="31" t="s">
        <v>741</v>
      </c>
      <c r="C328" s="31" t="s">
        <v>341</v>
      </c>
      <c r="D328" s="31" t="s">
        <v>730</v>
      </c>
      <c r="E328" s="32">
        <v>54.81</v>
      </c>
      <c r="F328" s="33">
        <v>426</v>
      </c>
      <c r="G328" s="32">
        <v>480.81</v>
      </c>
      <c r="H328" s="32">
        <v>1.1599999999999999</v>
      </c>
      <c r="I328" s="34">
        <v>10</v>
      </c>
      <c r="J328" s="33">
        <v>0</v>
      </c>
      <c r="K328" s="34">
        <v>436</v>
      </c>
      <c r="L328" s="32">
        <v>321.58</v>
      </c>
      <c r="M328" s="32">
        <v>60.33</v>
      </c>
      <c r="N328" s="32">
        <v>66.3</v>
      </c>
      <c r="O328" s="32">
        <v>32.299999999999997</v>
      </c>
      <c r="P328" s="32">
        <v>3.53</v>
      </c>
      <c r="Q328" s="34">
        <v>154619</v>
      </c>
      <c r="R328" s="34">
        <v>4257</v>
      </c>
      <c r="S328" s="34">
        <v>158876</v>
      </c>
      <c r="T328" s="34">
        <v>26304</v>
      </c>
      <c r="U328" s="34">
        <v>28907</v>
      </c>
      <c r="V328" s="34">
        <v>373</v>
      </c>
      <c r="W328" s="34">
        <v>15949</v>
      </c>
      <c r="X328" s="34">
        <v>1742</v>
      </c>
      <c r="Y328" s="34">
        <v>232151</v>
      </c>
      <c r="Z328" s="34">
        <v>23709</v>
      </c>
      <c r="AA328" s="34">
        <v>208442</v>
      </c>
      <c r="AB328" s="34">
        <v>117366</v>
      </c>
      <c r="AC328" s="34">
        <v>91076</v>
      </c>
    </row>
    <row r="329" spans="1:29" x14ac:dyDescent="0.25">
      <c r="A329" s="31" t="s">
        <v>310</v>
      </c>
      <c r="B329" s="31" t="s">
        <v>741</v>
      </c>
      <c r="C329" s="31" t="s">
        <v>342</v>
      </c>
      <c r="D329" s="31" t="s">
        <v>731</v>
      </c>
      <c r="E329" s="32">
        <v>26.1</v>
      </c>
      <c r="F329" s="33">
        <v>315.10000000000002</v>
      </c>
      <c r="G329" s="32">
        <v>341.2</v>
      </c>
      <c r="H329" s="32">
        <v>0.82</v>
      </c>
      <c r="I329" s="34">
        <v>0</v>
      </c>
      <c r="J329" s="33">
        <v>0</v>
      </c>
      <c r="K329" s="34">
        <v>315</v>
      </c>
      <c r="L329" s="32">
        <v>321.58</v>
      </c>
      <c r="M329" s="32">
        <v>60.33</v>
      </c>
      <c r="N329" s="32">
        <v>66.3</v>
      </c>
      <c r="O329" s="32">
        <v>32.299999999999997</v>
      </c>
      <c r="P329" s="32">
        <v>3.53</v>
      </c>
      <c r="Q329" s="34">
        <v>109723</v>
      </c>
      <c r="R329" s="34">
        <v>6005</v>
      </c>
      <c r="S329" s="34">
        <v>115728</v>
      </c>
      <c r="T329" s="34">
        <v>19004</v>
      </c>
      <c r="U329" s="34">
        <v>20885</v>
      </c>
      <c r="V329" s="34">
        <v>264</v>
      </c>
      <c r="W329" s="34">
        <v>11021</v>
      </c>
      <c r="X329" s="34">
        <v>1204</v>
      </c>
      <c r="Y329" s="34">
        <v>168106</v>
      </c>
      <c r="Z329" s="34">
        <v>19465</v>
      </c>
      <c r="AA329" s="34">
        <v>148641</v>
      </c>
      <c r="AB329" s="34">
        <v>80317</v>
      </c>
      <c r="AC329" s="34">
        <v>68324</v>
      </c>
    </row>
  </sheetData>
  <sheetProtection sheet="1" objects="1" scenarios="1"/>
  <pageMargins left="0.7" right="0.7" top="0.75" bottom="0.75" header="0.3" footer="0.3"/>
  <pageSetup paperSize="5" scale="38" fitToHeight="0"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V338"/>
  <sheetViews>
    <sheetView workbookViewId="0">
      <selection activeCell="C14" sqref="C14"/>
    </sheetView>
  </sheetViews>
  <sheetFormatPr defaultRowHeight="12.75" x14ac:dyDescent="0.2"/>
  <cols>
    <col min="1" max="1" width="8.42578125" style="20" bestFit="1" customWidth="1"/>
    <col min="2" max="2" width="23.42578125" style="20" bestFit="1" customWidth="1"/>
    <col min="3" max="3" width="11.28515625" style="20" customWidth="1"/>
    <col min="4" max="5" width="9.7109375" style="20" bestFit="1" customWidth="1"/>
    <col min="6" max="6" width="13.140625" style="20" bestFit="1" customWidth="1"/>
    <col min="7" max="7" width="9.42578125" style="20" bestFit="1" customWidth="1"/>
    <col min="8" max="8" width="10.85546875" style="20" customWidth="1"/>
    <col min="9" max="9" width="11.42578125" style="20" bestFit="1" customWidth="1"/>
    <col min="10" max="10" width="10.42578125" style="20" bestFit="1" customWidth="1"/>
    <col min="11" max="11" width="10.28515625" style="20" bestFit="1" customWidth="1"/>
    <col min="12" max="12" width="9.85546875" style="20" bestFit="1" customWidth="1"/>
    <col min="13" max="13" width="9.42578125" style="20" bestFit="1" customWidth="1"/>
    <col min="14" max="14" width="8.85546875" style="20" bestFit="1" customWidth="1"/>
    <col min="15" max="15" width="6.7109375" style="20" bestFit="1" customWidth="1"/>
    <col min="16" max="16" width="10.5703125" style="20" bestFit="1" customWidth="1"/>
    <col min="17" max="17" width="11.7109375" style="20" bestFit="1" customWidth="1"/>
    <col min="18" max="18" width="9.85546875" style="20" bestFit="1" customWidth="1"/>
    <col min="19" max="19" width="8.85546875" style="20" bestFit="1" customWidth="1"/>
    <col min="20" max="20" width="10.85546875" style="20" bestFit="1" customWidth="1"/>
    <col min="21" max="21" width="9.85546875" style="20" bestFit="1" customWidth="1"/>
    <col min="22" max="22" width="11" style="20" bestFit="1" customWidth="1"/>
    <col min="23" max="333" width="16.28515625" style="20" bestFit="1" customWidth="1"/>
    <col min="334" max="334" width="11.28515625" style="20" bestFit="1" customWidth="1"/>
    <col min="335" max="16384" width="9.140625" style="20"/>
  </cols>
  <sheetData>
    <row r="1" spans="1:22" ht="15.75" customHeight="1" x14ac:dyDescent="0.2">
      <c r="B1" s="37" t="str">
        <f>CONCATENATE(INDEX(Detail[],MATCH(A5,Detail[Dist],0),2)," Detail by School District")</f>
        <v>Central Rivers Detail by School District</v>
      </c>
    </row>
    <row r="2" spans="1:22" ht="15.75" customHeight="1" x14ac:dyDescent="0.2">
      <c r="B2" s="37"/>
    </row>
    <row r="3" spans="1:22" ht="16.5" customHeight="1" x14ac:dyDescent="0.2">
      <c r="B3" s="37"/>
    </row>
    <row r="4" spans="1:22" s="21" customFormat="1" ht="63.75" x14ac:dyDescent="0.2">
      <c r="A4" s="22" t="s">
        <v>732</v>
      </c>
      <c r="B4" s="22" t="s">
        <v>367</v>
      </c>
      <c r="C4" s="23" t="s">
        <v>392</v>
      </c>
      <c r="D4" s="23" t="s">
        <v>393</v>
      </c>
      <c r="E4" s="23" t="s">
        <v>394</v>
      </c>
      <c r="F4" s="23" t="s">
        <v>395</v>
      </c>
      <c r="G4" s="23" t="s">
        <v>396</v>
      </c>
      <c r="H4" s="23" t="s">
        <v>397</v>
      </c>
      <c r="I4" s="23" t="s">
        <v>399</v>
      </c>
      <c r="J4" s="23" t="s">
        <v>400</v>
      </c>
      <c r="K4" s="23" t="s">
        <v>401</v>
      </c>
      <c r="L4" s="23" t="s">
        <v>402</v>
      </c>
      <c r="M4" s="23" t="s">
        <v>403</v>
      </c>
      <c r="N4" s="23" t="s">
        <v>404</v>
      </c>
      <c r="O4" s="23" t="s">
        <v>405</v>
      </c>
      <c r="P4" s="23" t="s">
        <v>406</v>
      </c>
      <c r="Q4" s="23" t="s">
        <v>407</v>
      </c>
      <c r="R4" s="23" t="s">
        <v>408</v>
      </c>
      <c r="S4" s="23" t="s">
        <v>409</v>
      </c>
      <c r="T4" s="23" t="s">
        <v>410</v>
      </c>
      <c r="U4" s="23" t="s">
        <v>411</v>
      </c>
      <c r="V4" s="23" t="s">
        <v>412</v>
      </c>
    </row>
    <row r="5" spans="1:22" x14ac:dyDescent="0.2">
      <c r="A5" s="20" t="s">
        <v>63</v>
      </c>
      <c r="B5" s="20" t="s">
        <v>64</v>
      </c>
      <c r="C5" s="25">
        <v>104.66</v>
      </c>
      <c r="D5" s="27">
        <v>680.1</v>
      </c>
      <c r="E5" s="25">
        <v>784.76</v>
      </c>
      <c r="F5" s="25">
        <v>1.02</v>
      </c>
      <c r="G5" s="29">
        <v>22</v>
      </c>
      <c r="H5" s="27">
        <v>0.1</v>
      </c>
      <c r="I5" s="29">
        <v>702</v>
      </c>
      <c r="J5" s="29">
        <v>257040</v>
      </c>
      <c r="K5" s="29">
        <v>0</v>
      </c>
      <c r="L5" s="29">
        <v>257040</v>
      </c>
      <c r="M5" s="29">
        <v>42583</v>
      </c>
      <c r="N5" s="29">
        <v>47490</v>
      </c>
      <c r="O5" s="29">
        <v>334</v>
      </c>
      <c r="P5" s="29">
        <v>31940</v>
      </c>
      <c r="Q5" s="29">
        <v>3673</v>
      </c>
      <c r="R5" s="29">
        <v>383060</v>
      </c>
      <c r="S5" s="29">
        <v>44962</v>
      </c>
      <c r="T5" s="29">
        <v>338098</v>
      </c>
      <c r="U5" s="29">
        <v>191811</v>
      </c>
      <c r="V5" s="29">
        <v>146287</v>
      </c>
    </row>
    <row r="6" spans="1:22" x14ac:dyDescent="0.2">
      <c r="A6" s="20" t="s">
        <v>65</v>
      </c>
      <c r="B6" s="20" t="s">
        <v>472</v>
      </c>
      <c r="C6" s="25">
        <v>24.37</v>
      </c>
      <c r="D6" s="27">
        <v>280.8</v>
      </c>
      <c r="E6" s="25">
        <v>305.17</v>
      </c>
      <c r="F6" s="25">
        <v>0.4</v>
      </c>
      <c r="G6" s="29">
        <v>0</v>
      </c>
      <c r="H6" s="27">
        <v>0</v>
      </c>
      <c r="I6" s="29">
        <v>281</v>
      </c>
      <c r="J6" s="29">
        <v>99955</v>
      </c>
      <c r="K6" s="29">
        <v>0</v>
      </c>
      <c r="L6" s="29">
        <v>99955</v>
      </c>
      <c r="M6" s="29">
        <v>17045</v>
      </c>
      <c r="N6" s="29">
        <v>19010</v>
      </c>
      <c r="O6" s="29">
        <v>131</v>
      </c>
      <c r="P6" s="29">
        <v>12420</v>
      </c>
      <c r="Q6" s="29">
        <v>1428</v>
      </c>
      <c r="R6" s="29">
        <v>149989</v>
      </c>
      <c r="S6" s="29">
        <v>16385</v>
      </c>
      <c r="T6" s="29">
        <v>133604</v>
      </c>
      <c r="U6" s="29">
        <v>75689</v>
      </c>
      <c r="V6" s="29">
        <v>57915</v>
      </c>
    </row>
    <row r="7" spans="1:22" x14ac:dyDescent="0.2">
      <c r="A7" s="20" t="s">
        <v>103</v>
      </c>
      <c r="B7" s="20" t="s">
        <v>504</v>
      </c>
      <c r="C7" s="25">
        <v>70.14</v>
      </c>
      <c r="D7" s="27">
        <v>568.6</v>
      </c>
      <c r="E7" s="25">
        <v>638.74</v>
      </c>
      <c r="F7" s="25">
        <v>0.83</v>
      </c>
      <c r="G7" s="29">
        <v>2</v>
      </c>
      <c r="H7" s="27">
        <v>0</v>
      </c>
      <c r="I7" s="29">
        <v>571</v>
      </c>
      <c r="J7" s="29">
        <v>209213</v>
      </c>
      <c r="K7" s="29">
        <v>0</v>
      </c>
      <c r="L7" s="29">
        <v>209213</v>
      </c>
      <c r="M7" s="29">
        <v>34637</v>
      </c>
      <c r="N7" s="29">
        <v>38628</v>
      </c>
      <c r="O7" s="29">
        <v>272</v>
      </c>
      <c r="P7" s="29">
        <v>25997</v>
      </c>
      <c r="Q7" s="29">
        <v>2989</v>
      </c>
      <c r="R7" s="29">
        <v>311736</v>
      </c>
      <c r="S7" s="29">
        <v>35758</v>
      </c>
      <c r="T7" s="29">
        <v>275978</v>
      </c>
      <c r="U7" s="29">
        <v>156958</v>
      </c>
      <c r="V7" s="29">
        <v>119020</v>
      </c>
    </row>
    <row r="8" spans="1:22" x14ac:dyDescent="0.2">
      <c r="A8" s="20" t="s">
        <v>66</v>
      </c>
      <c r="B8" s="20" t="s">
        <v>473</v>
      </c>
      <c r="C8" s="25">
        <v>120.04</v>
      </c>
      <c r="D8" s="27">
        <v>814.8</v>
      </c>
      <c r="E8" s="25">
        <v>934.84</v>
      </c>
      <c r="F8" s="25">
        <v>1.21</v>
      </c>
      <c r="G8" s="29">
        <v>18</v>
      </c>
      <c r="H8" s="27">
        <v>0</v>
      </c>
      <c r="I8" s="29">
        <v>833</v>
      </c>
      <c r="J8" s="29">
        <v>306197</v>
      </c>
      <c r="K8" s="29">
        <v>0</v>
      </c>
      <c r="L8" s="29">
        <v>306197</v>
      </c>
      <c r="M8" s="29">
        <v>50530</v>
      </c>
      <c r="N8" s="29">
        <v>56352</v>
      </c>
      <c r="O8" s="29">
        <v>396</v>
      </c>
      <c r="P8" s="29">
        <v>38048</v>
      </c>
      <c r="Q8" s="29">
        <v>4375</v>
      </c>
      <c r="R8" s="29">
        <v>455898</v>
      </c>
      <c r="S8" s="29">
        <v>43475</v>
      </c>
      <c r="T8" s="29">
        <v>412423</v>
      </c>
      <c r="U8" s="29">
        <v>238577</v>
      </c>
      <c r="V8" s="29">
        <v>173846</v>
      </c>
    </row>
    <row r="9" spans="1:22" x14ac:dyDescent="0.2">
      <c r="A9" s="20" t="s">
        <v>67</v>
      </c>
      <c r="B9" s="20" t="s">
        <v>68</v>
      </c>
      <c r="C9" s="25">
        <v>72.459999999999994</v>
      </c>
      <c r="D9" s="27">
        <v>486.9</v>
      </c>
      <c r="E9" s="25">
        <v>559.36</v>
      </c>
      <c r="F9" s="25">
        <v>0.73</v>
      </c>
      <c r="G9" s="29">
        <v>6</v>
      </c>
      <c r="H9" s="27">
        <v>0</v>
      </c>
      <c r="I9" s="29">
        <v>493</v>
      </c>
      <c r="J9" s="29">
        <v>183213</v>
      </c>
      <c r="K9" s="29">
        <v>3299</v>
      </c>
      <c r="L9" s="29">
        <v>186512</v>
      </c>
      <c r="M9" s="29">
        <v>29905</v>
      </c>
      <c r="N9" s="29">
        <v>33351</v>
      </c>
      <c r="O9" s="29">
        <v>239</v>
      </c>
      <c r="P9" s="29">
        <v>22766</v>
      </c>
      <c r="Q9" s="29">
        <v>2618</v>
      </c>
      <c r="R9" s="29">
        <v>275391</v>
      </c>
      <c r="S9" s="29">
        <v>32401</v>
      </c>
      <c r="T9" s="29">
        <v>242990</v>
      </c>
      <c r="U9" s="29">
        <v>136366</v>
      </c>
      <c r="V9" s="29">
        <v>106624</v>
      </c>
    </row>
    <row r="10" spans="1:22" x14ac:dyDescent="0.2">
      <c r="A10" s="20" t="s">
        <v>69</v>
      </c>
      <c r="B10" s="20" t="s">
        <v>474</v>
      </c>
      <c r="C10" s="25">
        <v>93.41</v>
      </c>
      <c r="D10" s="27">
        <v>756</v>
      </c>
      <c r="E10" s="25">
        <v>849.41</v>
      </c>
      <c r="F10" s="25">
        <v>1.1000000000000001</v>
      </c>
      <c r="G10" s="29">
        <v>0</v>
      </c>
      <c r="H10" s="27">
        <v>0</v>
      </c>
      <c r="I10" s="29">
        <v>756</v>
      </c>
      <c r="J10" s="29">
        <v>278216</v>
      </c>
      <c r="K10" s="29">
        <v>0</v>
      </c>
      <c r="L10" s="29">
        <v>278216</v>
      </c>
      <c r="M10" s="29">
        <v>45859</v>
      </c>
      <c r="N10" s="29">
        <v>51143</v>
      </c>
      <c r="O10" s="29">
        <v>360</v>
      </c>
      <c r="P10" s="29">
        <v>34571</v>
      </c>
      <c r="Q10" s="29">
        <v>3977</v>
      </c>
      <c r="R10" s="29">
        <v>414126</v>
      </c>
      <c r="S10" s="29">
        <v>43483</v>
      </c>
      <c r="T10" s="29">
        <v>370643</v>
      </c>
      <c r="U10" s="29">
        <v>212796</v>
      </c>
      <c r="V10" s="29">
        <v>157847</v>
      </c>
    </row>
    <row r="11" spans="1:22" x14ac:dyDescent="0.2">
      <c r="A11" s="20" t="s">
        <v>118</v>
      </c>
      <c r="B11" s="20" t="s">
        <v>519</v>
      </c>
      <c r="C11" s="25">
        <v>41</v>
      </c>
      <c r="D11" s="27">
        <v>563.6</v>
      </c>
      <c r="E11" s="25">
        <v>604.6</v>
      </c>
      <c r="F11" s="25">
        <v>0.78</v>
      </c>
      <c r="G11" s="29">
        <v>8</v>
      </c>
      <c r="H11" s="27">
        <v>0</v>
      </c>
      <c r="I11" s="29">
        <v>572</v>
      </c>
      <c r="J11" s="29">
        <v>198031</v>
      </c>
      <c r="K11" s="29">
        <v>0</v>
      </c>
      <c r="L11" s="29">
        <v>198031</v>
      </c>
      <c r="M11" s="29">
        <v>34698</v>
      </c>
      <c r="N11" s="29">
        <v>38696</v>
      </c>
      <c r="O11" s="29">
        <v>255</v>
      </c>
      <c r="P11" s="29">
        <v>24607</v>
      </c>
      <c r="Q11" s="29">
        <v>2830</v>
      </c>
      <c r="R11" s="29">
        <v>299117</v>
      </c>
      <c r="S11" s="29">
        <v>34886</v>
      </c>
      <c r="T11" s="29">
        <v>264231</v>
      </c>
      <c r="U11" s="29">
        <v>147528</v>
      </c>
      <c r="V11" s="29">
        <v>116703</v>
      </c>
    </row>
    <row r="12" spans="1:22" x14ac:dyDescent="0.2">
      <c r="A12" s="20" t="s">
        <v>70</v>
      </c>
      <c r="B12" s="20" t="s">
        <v>475</v>
      </c>
      <c r="C12" s="25">
        <v>66.56</v>
      </c>
      <c r="D12" s="27">
        <v>531.79999999999995</v>
      </c>
      <c r="E12" s="25">
        <v>598.36</v>
      </c>
      <c r="F12" s="25">
        <v>0.78</v>
      </c>
      <c r="G12" s="29">
        <v>1</v>
      </c>
      <c r="H12" s="27">
        <v>0</v>
      </c>
      <c r="I12" s="29">
        <v>533</v>
      </c>
      <c r="J12" s="29">
        <v>195987</v>
      </c>
      <c r="K12" s="29">
        <v>0</v>
      </c>
      <c r="L12" s="29">
        <v>195987</v>
      </c>
      <c r="M12" s="29">
        <v>32332</v>
      </c>
      <c r="N12" s="29">
        <v>36057</v>
      </c>
      <c r="O12" s="29">
        <v>255</v>
      </c>
      <c r="P12" s="29">
        <v>24353</v>
      </c>
      <c r="Q12" s="29">
        <v>2800</v>
      </c>
      <c r="R12" s="29">
        <v>291784</v>
      </c>
      <c r="S12" s="29">
        <v>32169</v>
      </c>
      <c r="T12" s="29">
        <v>259615</v>
      </c>
      <c r="U12" s="29">
        <v>148364</v>
      </c>
      <c r="V12" s="29">
        <v>111251</v>
      </c>
    </row>
    <row r="13" spans="1:22" x14ac:dyDescent="0.2">
      <c r="A13" s="20" t="s">
        <v>104</v>
      </c>
      <c r="B13" s="20" t="s">
        <v>505</v>
      </c>
      <c r="C13" s="25">
        <v>49.73</v>
      </c>
      <c r="D13" s="27">
        <v>443.8</v>
      </c>
      <c r="E13" s="25">
        <v>493.53</v>
      </c>
      <c r="F13" s="25">
        <v>0.64</v>
      </c>
      <c r="G13" s="29">
        <v>2</v>
      </c>
      <c r="H13" s="27">
        <v>0</v>
      </c>
      <c r="I13" s="29">
        <v>446</v>
      </c>
      <c r="J13" s="29">
        <v>161651</v>
      </c>
      <c r="K13" s="29">
        <v>0</v>
      </c>
      <c r="L13" s="29">
        <v>161651</v>
      </c>
      <c r="M13" s="29">
        <v>27054</v>
      </c>
      <c r="N13" s="29">
        <v>30172</v>
      </c>
      <c r="O13" s="29">
        <v>210</v>
      </c>
      <c r="P13" s="29">
        <v>20087</v>
      </c>
      <c r="Q13" s="29">
        <v>2310</v>
      </c>
      <c r="R13" s="29">
        <v>241484</v>
      </c>
      <c r="S13" s="29">
        <v>31881</v>
      </c>
      <c r="T13" s="29">
        <v>209603</v>
      </c>
      <c r="U13" s="29">
        <v>117024</v>
      </c>
      <c r="V13" s="29">
        <v>92579</v>
      </c>
    </row>
    <row r="14" spans="1:22" x14ac:dyDescent="0.2">
      <c r="A14" s="20" t="s">
        <v>71</v>
      </c>
      <c r="B14" s="20" t="s">
        <v>72</v>
      </c>
      <c r="C14" s="25">
        <v>30.9</v>
      </c>
      <c r="D14" s="27">
        <v>269.60000000000002</v>
      </c>
      <c r="E14" s="25">
        <v>300.5</v>
      </c>
      <c r="F14" s="25">
        <v>0.39</v>
      </c>
      <c r="G14" s="29">
        <v>15</v>
      </c>
      <c r="H14" s="27">
        <v>0.3</v>
      </c>
      <c r="I14" s="29">
        <v>284</v>
      </c>
      <c r="J14" s="29">
        <v>98426</v>
      </c>
      <c r="K14" s="29">
        <v>0</v>
      </c>
      <c r="L14" s="29">
        <v>98426</v>
      </c>
      <c r="M14" s="29">
        <v>17227</v>
      </c>
      <c r="N14" s="29">
        <v>19213</v>
      </c>
      <c r="O14" s="29">
        <v>128</v>
      </c>
      <c r="P14" s="29">
        <v>12230</v>
      </c>
      <c r="Q14" s="29">
        <v>1406</v>
      </c>
      <c r="R14" s="29">
        <v>148630</v>
      </c>
      <c r="S14" s="29">
        <v>15546</v>
      </c>
      <c r="T14" s="29">
        <v>133084</v>
      </c>
      <c r="U14" s="29">
        <v>75118</v>
      </c>
      <c r="V14" s="29">
        <v>57966</v>
      </c>
    </row>
    <row r="15" spans="1:22" x14ac:dyDescent="0.2">
      <c r="A15" s="20" t="s">
        <v>73</v>
      </c>
      <c r="B15" s="20" t="s">
        <v>476</v>
      </c>
      <c r="C15" s="25">
        <v>813.81</v>
      </c>
      <c r="D15" s="27">
        <v>5565.8</v>
      </c>
      <c r="E15" s="25">
        <v>6379.61</v>
      </c>
      <c r="F15" s="25">
        <v>8.27</v>
      </c>
      <c r="G15" s="29">
        <v>286</v>
      </c>
      <c r="H15" s="27">
        <v>2.5</v>
      </c>
      <c r="I15" s="29">
        <v>5849</v>
      </c>
      <c r="J15" s="29">
        <v>2089577</v>
      </c>
      <c r="K15" s="29">
        <v>0</v>
      </c>
      <c r="L15" s="29">
        <v>2089577</v>
      </c>
      <c r="M15" s="29">
        <v>354800</v>
      </c>
      <c r="N15" s="29">
        <v>395685</v>
      </c>
      <c r="O15" s="29">
        <v>2709</v>
      </c>
      <c r="P15" s="29">
        <v>259650</v>
      </c>
      <c r="Q15" s="29">
        <v>29857</v>
      </c>
      <c r="R15" s="29">
        <v>3132278</v>
      </c>
      <c r="S15" s="29">
        <v>228020</v>
      </c>
      <c r="T15" s="29">
        <v>2904258</v>
      </c>
      <c r="U15" s="29">
        <v>1696784</v>
      </c>
      <c r="V15" s="29">
        <v>1207474</v>
      </c>
    </row>
    <row r="16" spans="1:22" x14ac:dyDescent="0.2">
      <c r="A16" s="20" t="s">
        <v>75</v>
      </c>
      <c r="B16" s="20" t="s">
        <v>478</v>
      </c>
      <c r="C16" s="25">
        <v>283.74</v>
      </c>
      <c r="D16" s="27">
        <v>1554.5</v>
      </c>
      <c r="E16" s="25">
        <v>1838.24</v>
      </c>
      <c r="F16" s="25">
        <v>2.38</v>
      </c>
      <c r="G16" s="29">
        <v>154</v>
      </c>
      <c r="H16" s="27">
        <v>5.8</v>
      </c>
      <c r="I16" s="29">
        <v>1703</v>
      </c>
      <c r="J16" s="29">
        <v>602097</v>
      </c>
      <c r="K16" s="29">
        <v>0</v>
      </c>
      <c r="L16" s="29">
        <v>602097</v>
      </c>
      <c r="M16" s="29">
        <v>103304</v>
      </c>
      <c r="N16" s="29">
        <v>115208</v>
      </c>
      <c r="O16" s="29">
        <v>780</v>
      </c>
      <c r="P16" s="29">
        <v>74816</v>
      </c>
      <c r="Q16" s="29">
        <v>8603</v>
      </c>
      <c r="R16" s="29">
        <v>904808</v>
      </c>
      <c r="S16" s="29">
        <v>91585</v>
      </c>
      <c r="T16" s="29">
        <v>813223</v>
      </c>
      <c r="U16" s="29">
        <v>463033</v>
      </c>
      <c r="V16" s="29">
        <v>350190</v>
      </c>
    </row>
    <row r="17" spans="1:22" x14ac:dyDescent="0.2">
      <c r="A17" s="20" t="s">
        <v>76</v>
      </c>
      <c r="B17" s="20" t="s">
        <v>479</v>
      </c>
      <c r="C17" s="25">
        <v>43.77</v>
      </c>
      <c r="D17" s="27">
        <v>286.2</v>
      </c>
      <c r="E17" s="25">
        <v>329.97</v>
      </c>
      <c r="F17" s="25">
        <v>0.43</v>
      </c>
      <c r="G17" s="29">
        <v>2</v>
      </c>
      <c r="H17" s="27">
        <v>0</v>
      </c>
      <c r="I17" s="29">
        <v>288</v>
      </c>
      <c r="J17" s="29">
        <v>108078</v>
      </c>
      <c r="K17" s="29">
        <v>9716</v>
      </c>
      <c r="L17" s="29">
        <v>117794</v>
      </c>
      <c r="M17" s="29">
        <v>17470</v>
      </c>
      <c r="N17" s="29">
        <v>19483</v>
      </c>
      <c r="O17" s="29">
        <v>141</v>
      </c>
      <c r="P17" s="29">
        <v>13430</v>
      </c>
      <c r="Q17" s="29">
        <v>1544</v>
      </c>
      <c r="R17" s="29">
        <v>169862</v>
      </c>
      <c r="S17" s="29">
        <v>20089</v>
      </c>
      <c r="T17" s="29">
        <v>149773</v>
      </c>
      <c r="U17" s="29">
        <v>79467</v>
      </c>
      <c r="V17" s="29">
        <v>70306</v>
      </c>
    </row>
    <row r="18" spans="1:22" x14ac:dyDescent="0.2">
      <c r="A18" s="20" t="s">
        <v>77</v>
      </c>
      <c r="B18" s="20" t="s">
        <v>480</v>
      </c>
      <c r="C18" s="25">
        <v>158.33000000000001</v>
      </c>
      <c r="D18" s="27">
        <v>1187.0999999999999</v>
      </c>
      <c r="E18" s="25">
        <v>1345.43</v>
      </c>
      <c r="F18" s="25">
        <v>1.74</v>
      </c>
      <c r="G18" s="29">
        <v>68</v>
      </c>
      <c r="H18" s="27">
        <v>0</v>
      </c>
      <c r="I18" s="29">
        <v>1255</v>
      </c>
      <c r="J18" s="29">
        <v>440682</v>
      </c>
      <c r="K18" s="29">
        <v>14743</v>
      </c>
      <c r="L18" s="29">
        <v>455425</v>
      </c>
      <c r="M18" s="29">
        <v>76128</v>
      </c>
      <c r="N18" s="29">
        <v>84901</v>
      </c>
      <c r="O18" s="29">
        <v>570</v>
      </c>
      <c r="P18" s="29">
        <v>55820</v>
      </c>
      <c r="Q18" s="29">
        <v>6423</v>
      </c>
      <c r="R18" s="29">
        <v>679267</v>
      </c>
      <c r="S18" s="29">
        <v>76251</v>
      </c>
      <c r="T18" s="29">
        <v>603016</v>
      </c>
      <c r="U18" s="29">
        <v>330868</v>
      </c>
      <c r="V18" s="29">
        <v>272148</v>
      </c>
    </row>
    <row r="19" spans="1:22" x14ac:dyDescent="0.2">
      <c r="A19" s="20" t="s">
        <v>78</v>
      </c>
      <c r="B19" s="20" t="s">
        <v>481</v>
      </c>
      <c r="C19" s="25">
        <v>86.75</v>
      </c>
      <c r="D19" s="27">
        <v>863.6</v>
      </c>
      <c r="E19" s="25">
        <v>950.35</v>
      </c>
      <c r="F19" s="25">
        <v>1.23</v>
      </c>
      <c r="G19" s="29">
        <v>9</v>
      </c>
      <c r="H19" s="27">
        <v>0</v>
      </c>
      <c r="I19" s="29">
        <v>873</v>
      </c>
      <c r="J19" s="29">
        <v>311278</v>
      </c>
      <c r="K19" s="29">
        <v>0</v>
      </c>
      <c r="L19" s="29">
        <v>311278</v>
      </c>
      <c r="M19" s="29">
        <v>52956</v>
      </c>
      <c r="N19" s="29">
        <v>59058</v>
      </c>
      <c r="O19" s="29">
        <v>403</v>
      </c>
      <c r="P19" s="29">
        <v>38679</v>
      </c>
      <c r="Q19" s="29">
        <v>4448</v>
      </c>
      <c r="R19" s="29">
        <v>466822</v>
      </c>
      <c r="S19" s="29">
        <v>37290</v>
      </c>
      <c r="T19" s="29">
        <v>429532</v>
      </c>
      <c r="U19" s="29">
        <v>249441</v>
      </c>
      <c r="V19" s="29">
        <v>180091</v>
      </c>
    </row>
    <row r="20" spans="1:22" x14ac:dyDescent="0.2">
      <c r="A20" s="20" t="s">
        <v>79</v>
      </c>
      <c r="B20" s="20" t="s">
        <v>482</v>
      </c>
      <c r="C20" s="25">
        <v>112.05</v>
      </c>
      <c r="D20" s="27">
        <v>875.7</v>
      </c>
      <c r="E20" s="25">
        <v>987.75</v>
      </c>
      <c r="F20" s="25">
        <v>1.28</v>
      </c>
      <c r="G20" s="29">
        <v>12</v>
      </c>
      <c r="H20" s="27">
        <v>0</v>
      </c>
      <c r="I20" s="29">
        <v>888</v>
      </c>
      <c r="J20" s="29">
        <v>323528</v>
      </c>
      <c r="K20" s="29">
        <v>0</v>
      </c>
      <c r="L20" s="29">
        <v>323528</v>
      </c>
      <c r="M20" s="29">
        <v>53866</v>
      </c>
      <c r="N20" s="29">
        <v>60073</v>
      </c>
      <c r="O20" s="29">
        <v>419</v>
      </c>
      <c r="P20" s="29">
        <v>40201</v>
      </c>
      <c r="Q20" s="29">
        <v>4623</v>
      </c>
      <c r="R20" s="29">
        <v>482710</v>
      </c>
      <c r="S20" s="29">
        <v>40927</v>
      </c>
      <c r="T20" s="29">
        <v>441783</v>
      </c>
      <c r="U20" s="29">
        <v>257089</v>
      </c>
      <c r="V20" s="29">
        <v>184694</v>
      </c>
    </row>
    <row r="21" spans="1:22" x14ac:dyDescent="0.2">
      <c r="A21" s="20" t="s">
        <v>80</v>
      </c>
      <c r="B21" s="20" t="s">
        <v>483</v>
      </c>
      <c r="C21" s="25">
        <v>43.82</v>
      </c>
      <c r="D21" s="27">
        <v>381.1</v>
      </c>
      <c r="E21" s="25">
        <v>424.92</v>
      </c>
      <c r="F21" s="25">
        <v>0.55000000000000004</v>
      </c>
      <c r="G21" s="29">
        <v>16</v>
      </c>
      <c r="H21" s="27">
        <v>0</v>
      </c>
      <c r="I21" s="29">
        <v>397</v>
      </c>
      <c r="J21" s="29">
        <v>139178</v>
      </c>
      <c r="K21" s="29">
        <v>14504</v>
      </c>
      <c r="L21" s="29">
        <v>153682</v>
      </c>
      <c r="M21" s="29">
        <v>24082</v>
      </c>
      <c r="N21" s="29">
        <v>26857</v>
      </c>
      <c r="O21" s="29">
        <v>180</v>
      </c>
      <c r="P21" s="29">
        <v>17294</v>
      </c>
      <c r="Q21" s="29">
        <v>1989</v>
      </c>
      <c r="R21" s="29">
        <v>224084</v>
      </c>
      <c r="S21" s="29">
        <v>24962</v>
      </c>
      <c r="T21" s="29">
        <v>199122</v>
      </c>
      <c r="U21" s="29">
        <v>103241</v>
      </c>
      <c r="V21" s="29">
        <v>95881</v>
      </c>
    </row>
    <row r="22" spans="1:22" x14ac:dyDescent="0.2">
      <c r="A22" s="20" t="s">
        <v>113</v>
      </c>
      <c r="B22" s="20" t="s">
        <v>514</v>
      </c>
      <c r="C22" s="25">
        <v>149.66999999999999</v>
      </c>
      <c r="D22" s="27">
        <v>993.4</v>
      </c>
      <c r="E22" s="25">
        <v>1143.07</v>
      </c>
      <c r="F22" s="25">
        <v>1.48</v>
      </c>
      <c r="G22" s="29">
        <v>24</v>
      </c>
      <c r="H22" s="27">
        <v>0</v>
      </c>
      <c r="I22" s="29">
        <v>1017</v>
      </c>
      <c r="J22" s="29">
        <v>374401</v>
      </c>
      <c r="K22" s="29">
        <v>15469</v>
      </c>
      <c r="L22" s="29">
        <v>389870</v>
      </c>
      <c r="M22" s="29">
        <v>61691</v>
      </c>
      <c r="N22" s="29">
        <v>68800</v>
      </c>
      <c r="O22" s="29">
        <v>485</v>
      </c>
      <c r="P22" s="29">
        <v>46523</v>
      </c>
      <c r="Q22" s="29">
        <v>5350</v>
      </c>
      <c r="R22" s="29">
        <v>572719</v>
      </c>
      <c r="S22" s="29">
        <v>59690</v>
      </c>
      <c r="T22" s="29">
        <v>513029</v>
      </c>
      <c r="U22" s="29">
        <v>285188</v>
      </c>
      <c r="V22" s="29">
        <v>227841</v>
      </c>
    </row>
    <row r="23" spans="1:22" x14ac:dyDescent="0.2">
      <c r="A23" s="20" t="s">
        <v>81</v>
      </c>
      <c r="B23" s="20" t="s">
        <v>484</v>
      </c>
      <c r="C23" s="25">
        <v>92.23</v>
      </c>
      <c r="D23" s="27">
        <v>552.5</v>
      </c>
      <c r="E23" s="25">
        <v>644.73</v>
      </c>
      <c r="F23" s="25">
        <v>0.84</v>
      </c>
      <c r="G23" s="29">
        <v>5</v>
      </c>
      <c r="H23" s="27">
        <v>0</v>
      </c>
      <c r="I23" s="29">
        <v>558</v>
      </c>
      <c r="J23" s="29">
        <v>211175</v>
      </c>
      <c r="K23" s="29">
        <v>0</v>
      </c>
      <c r="L23" s="29">
        <v>211175</v>
      </c>
      <c r="M23" s="29">
        <v>33848</v>
      </c>
      <c r="N23" s="29">
        <v>37749</v>
      </c>
      <c r="O23" s="29">
        <v>275</v>
      </c>
      <c r="P23" s="29">
        <v>26241</v>
      </c>
      <c r="Q23" s="29">
        <v>3017</v>
      </c>
      <c r="R23" s="29">
        <v>312305</v>
      </c>
      <c r="S23" s="29">
        <v>31866</v>
      </c>
      <c r="T23" s="29">
        <v>280439</v>
      </c>
      <c r="U23" s="29">
        <v>162658</v>
      </c>
      <c r="V23" s="29">
        <v>117781</v>
      </c>
    </row>
    <row r="24" spans="1:22" x14ac:dyDescent="0.2">
      <c r="A24" s="20" t="s">
        <v>83</v>
      </c>
      <c r="B24" s="20" t="s">
        <v>486</v>
      </c>
      <c r="C24" s="25">
        <v>114.76</v>
      </c>
      <c r="D24" s="27">
        <v>532.1</v>
      </c>
      <c r="E24" s="25">
        <v>646.86</v>
      </c>
      <c r="F24" s="25">
        <v>0.84</v>
      </c>
      <c r="G24" s="29">
        <v>3</v>
      </c>
      <c r="H24" s="27">
        <v>0</v>
      </c>
      <c r="I24" s="29">
        <v>535</v>
      </c>
      <c r="J24" s="29">
        <v>211873</v>
      </c>
      <c r="K24" s="29">
        <v>23628</v>
      </c>
      <c r="L24" s="29">
        <v>235501</v>
      </c>
      <c r="M24" s="29">
        <v>32453</v>
      </c>
      <c r="N24" s="29">
        <v>36193</v>
      </c>
      <c r="O24" s="29">
        <v>275</v>
      </c>
      <c r="P24" s="29">
        <v>27252</v>
      </c>
      <c r="Q24" s="29">
        <v>3136</v>
      </c>
      <c r="R24" s="29">
        <v>334810</v>
      </c>
      <c r="S24" s="29">
        <v>34389</v>
      </c>
      <c r="T24" s="29">
        <v>300421</v>
      </c>
      <c r="U24" s="29">
        <v>161810</v>
      </c>
      <c r="V24" s="29">
        <v>138611</v>
      </c>
    </row>
    <row r="25" spans="1:22" x14ac:dyDescent="0.2">
      <c r="A25" s="20" t="s">
        <v>84</v>
      </c>
      <c r="B25" s="20" t="s">
        <v>487</v>
      </c>
      <c r="C25" s="25">
        <v>138.44</v>
      </c>
      <c r="D25" s="27">
        <v>1058</v>
      </c>
      <c r="E25" s="25">
        <v>1196.44</v>
      </c>
      <c r="F25" s="25">
        <v>1.55</v>
      </c>
      <c r="G25" s="29">
        <v>24</v>
      </c>
      <c r="H25" s="27">
        <v>0</v>
      </c>
      <c r="I25" s="29">
        <v>1082</v>
      </c>
      <c r="J25" s="29">
        <v>391882</v>
      </c>
      <c r="K25" s="29">
        <v>28887</v>
      </c>
      <c r="L25" s="29">
        <v>420769</v>
      </c>
      <c r="M25" s="29">
        <v>65634</v>
      </c>
      <c r="N25" s="29">
        <v>73197</v>
      </c>
      <c r="O25" s="29">
        <v>508</v>
      </c>
      <c r="P25" s="29">
        <v>48695</v>
      </c>
      <c r="Q25" s="29">
        <v>5599</v>
      </c>
      <c r="R25" s="29">
        <v>614402</v>
      </c>
      <c r="S25" s="29">
        <v>79118</v>
      </c>
      <c r="T25" s="29">
        <v>535284</v>
      </c>
      <c r="U25" s="29">
        <v>281861</v>
      </c>
      <c r="V25" s="29">
        <v>253423</v>
      </c>
    </row>
    <row r="26" spans="1:22" x14ac:dyDescent="0.2">
      <c r="A26" s="20" t="s">
        <v>85</v>
      </c>
      <c r="B26" s="20" t="s">
        <v>488</v>
      </c>
      <c r="C26" s="25">
        <v>82.82</v>
      </c>
      <c r="D26" s="27">
        <v>836.4</v>
      </c>
      <c r="E26" s="25">
        <v>919.22</v>
      </c>
      <c r="F26" s="25">
        <v>1.19</v>
      </c>
      <c r="G26" s="29">
        <v>27</v>
      </c>
      <c r="H26" s="27">
        <v>0</v>
      </c>
      <c r="I26" s="29">
        <v>863</v>
      </c>
      <c r="J26" s="29">
        <v>301081</v>
      </c>
      <c r="K26" s="29">
        <v>35069</v>
      </c>
      <c r="L26" s="29">
        <v>336150</v>
      </c>
      <c r="M26" s="29">
        <v>52350</v>
      </c>
      <c r="N26" s="29">
        <v>58382</v>
      </c>
      <c r="O26" s="29">
        <v>390</v>
      </c>
      <c r="P26" s="29">
        <v>37412</v>
      </c>
      <c r="Q26" s="29">
        <v>4302</v>
      </c>
      <c r="R26" s="29">
        <v>488986</v>
      </c>
      <c r="S26" s="29">
        <v>54057</v>
      </c>
      <c r="T26" s="29">
        <v>434929</v>
      </c>
      <c r="U26" s="29">
        <v>223282</v>
      </c>
      <c r="V26" s="29">
        <v>211647</v>
      </c>
    </row>
    <row r="27" spans="1:22" x14ac:dyDescent="0.2">
      <c r="A27" s="20" t="s">
        <v>86</v>
      </c>
      <c r="B27" s="20" t="s">
        <v>489</v>
      </c>
      <c r="C27" s="25">
        <v>94.37</v>
      </c>
      <c r="D27" s="27">
        <v>616.79999999999995</v>
      </c>
      <c r="E27" s="25">
        <v>711.17</v>
      </c>
      <c r="F27" s="25">
        <v>0.92</v>
      </c>
      <c r="G27" s="29">
        <v>2</v>
      </c>
      <c r="H27" s="27">
        <v>0</v>
      </c>
      <c r="I27" s="29">
        <v>619</v>
      </c>
      <c r="J27" s="29">
        <v>232937</v>
      </c>
      <c r="K27" s="29">
        <v>0</v>
      </c>
      <c r="L27" s="29">
        <v>232937</v>
      </c>
      <c r="M27" s="29">
        <v>37549</v>
      </c>
      <c r="N27" s="29">
        <v>41875</v>
      </c>
      <c r="O27" s="29">
        <v>301</v>
      </c>
      <c r="P27" s="29">
        <v>28945</v>
      </c>
      <c r="Q27" s="29">
        <v>3328</v>
      </c>
      <c r="R27" s="29">
        <v>344935</v>
      </c>
      <c r="S27" s="29">
        <v>41522</v>
      </c>
      <c r="T27" s="29">
        <v>303413</v>
      </c>
      <c r="U27" s="29">
        <v>173046</v>
      </c>
      <c r="V27" s="29">
        <v>130367</v>
      </c>
    </row>
    <row r="28" spans="1:22" x14ac:dyDescent="0.2">
      <c r="A28" s="20" t="s">
        <v>87</v>
      </c>
      <c r="B28" s="20" t="s">
        <v>88</v>
      </c>
      <c r="C28" s="25">
        <v>23.71</v>
      </c>
      <c r="D28" s="27">
        <v>255.2</v>
      </c>
      <c r="E28" s="25">
        <v>278.91000000000003</v>
      </c>
      <c r="F28" s="25">
        <v>0.36</v>
      </c>
      <c r="G28" s="29">
        <v>4</v>
      </c>
      <c r="H28" s="27">
        <v>0</v>
      </c>
      <c r="I28" s="29">
        <v>259</v>
      </c>
      <c r="J28" s="29">
        <v>91354</v>
      </c>
      <c r="K28" s="29">
        <v>14021</v>
      </c>
      <c r="L28" s="29">
        <v>105375</v>
      </c>
      <c r="M28" s="29">
        <v>15711</v>
      </c>
      <c r="N28" s="29">
        <v>17521</v>
      </c>
      <c r="O28" s="29">
        <v>118</v>
      </c>
      <c r="P28" s="29">
        <v>11352</v>
      </c>
      <c r="Q28" s="29">
        <v>1305</v>
      </c>
      <c r="R28" s="29">
        <v>151382</v>
      </c>
      <c r="S28" s="29">
        <v>18671</v>
      </c>
      <c r="T28" s="29">
        <v>132711</v>
      </c>
      <c r="U28" s="29">
        <v>65479</v>
      </c>
      <c r="V28" s="29">
        <v>67232</v>
      </c>
    </row>
    <row r="29" spans="1:22" x14ac:dyDescent="0.2">
      <c r="A29" s="20" t="s">
        <v>89</v>
      </c>
      <c r="B29" s="20" t="s">
        <v>490</v>
      </c>
      <c r="C29" s="25">
        <v>246.58</v>
      </c>
      <c r="D29" s="27">
        <v>1521.9</v>
      </c>
      <c r="E29" s="25">
        <v>1768.48</v>
      </c>
      <c r="F29" s="25">
        <v>2.29</v>
      </c>
      <c r="G29" s="29">
        <v>54</v>
      </c>
      <c r="H29" s="27">
        <v>0.2</v>
      </c>
      <c r="I29" s="29">
        <v>1576</v>
      </c>
      <c r="J29" s="29">
        <v>579248</v>
      </c>
      <c r="K29" s="29">
        <v>1889</v>
      </c>
      <c r="L29" s="29">
        <v>581137</v>
      </c>
      <c r="M29" s="29">
        <v>95600</v>
      </c>
      <c r="N29" s="29">
        <v>106616</v>
      </c>
      <c r="O29" s="29">
        <v>750</v>
      </c>
      <c r="P29" s="29">
        <v>72524</v>
      </c>
      <c r="Q29" s="29">
        <v>8345</v>
      </c>
      <c r="R29" s="29">
        <v>864972</v>
      </c>
      <c r="S29" s="29">
        <v>90307</v>
      </c>
      <c r="T29" s="29">
        <v>774665</v>
      </c>
      <c r="U29" s="29">
        <v>443879</v>
      </c>
      <c r="V29" s="29">
        <v>330786</v>
      </c>
    </row>
    <row r="30" spans="1:22" x14ac:dyDescent="0.2">
      <c r="A30" s="20" t="s">
        <v>90</v>
      </c>
      <c r="B30" s="20" t="s">
        <v>491</v>
      </c>
      <c r="C30" s="25">
        <v>85.84</v>
      </c>
      <c r="D30" s="27">
        <v>668.2</v>
      </c>
      <c r="E30" s="25">
        <v>754.04</v>
      </c>
      <c r="F30" s="25">
        <v>0.98</v>
      </c>
      <c r="G30" s="29">
        <v>11</v>
      </c>
      <c r="H30" s="27">
        <v>0</v>
      </c>
      <c r="I30" s="29">
        <v>679</v>
      </c>
      <c r="J30" s="29">
        <v>246978</v>
      </c>
      <c r="K30" s="29">
        <v>0</v>
      </c>
      <c r="L30" s="29">
        <v>246978</v>
      </c>
      <c r="M30" s="29">
        <v>41188</v>
      </c>
      <c r="N30" s="29">
        <v>45934</v>
      </c>
      <c r="O30" s="29">
        <v>321</v>
      </c>
      <c r="P30" s="29">
        <v>30689</v>
      </c>
      <c r="Q30" s="29">
        <v>3529</v>
      </c>
      <c r="R30" s="29">
        <v>368639</v>
      </c>
      <c r="S30" s="29">
        <v>33049</v>
      </c>
      <c r="T30" s="29">
        <v>335590</v>
      </c>
      <c r="U30" s="29">
        <v>194454</v>
      </c>
      <c r="V30" s="29">
        <v>141136</v>
      </c>
    </row>
    <row r="31" spans="1:22" x14ac:dyDescent="0.2">
      <c r="A31" s="20" t="s">
        <v>91</v>
      </c>
      <c r="B31" s="20" t="s">
        <v>492</v>
      </c>
      <c r="C31" s="25">
        <v>152.85</v>
      </c>
      <c r="D31" s="27">
        <v>1108.3</v>
      </c>
      <c r="E31" s="25">
        <v>1261.1500000000001</v>
      </c>
      <c r="F31" s="25">
        <v>1.64</v>
      </c>
      <c r="G31" s="29">
        <v>11</v>
      </c>
      <c r="H31" s="27">
        <v>0.4</v>
      </c>
      <c r="I31" s="29">
        <v>1119</v>
      </c>
      <c r="J31" s="29">
        <v>413077</v>
      </c>
      <c r="K31" s="29">
        <v>6370</v>
      </c>
      <c r="L31" s="29">
        <v>419447</v>
      </c>
      <c r="M31" s="29">
        <v>67879</v>
      </c>
      <c r="N31" s="29">
        <v>75700</v>
      </c>
      <c r="O31" s="29">
        <v>537</v>
      </c>
      <c r="P31" s="29">
        <v>51329</v>
      </c>
      <c r="Q31" s="29">
        <v>5902</v>
      </c>
      <c r="R31" s="29">
        <v>620794</v>
      </c>
      <c r="S31" s="29">
        <v>62028</v>
      </c>
      <c r="T31" s="29">
        <v>558766</v>
      </c>
      <c r="U31" s="29">
        <v>318477</v>
      </c>
      <c r="V31" s="29">
        <v>240289</v>
      </c>
    </row>
    <row r="32" spans="1:22" x14ac:dyDescent="0.2">
      <c r="A32" s="20" t="s">
        <v>92</v>
      </c>
      <c r="B32" s="20" t="s">
        <v>493</v>
      </c>
      <c r="C32" s="25">
        <v>44.24</v>
      </c>
      <c r="D32" s="27">
        <v>409.1</v>
      </c>
      <c r="E32" s="25">
        <v>453.34</v>
      </c>
      <c r="F32" s="25">
        <v>0.59</v>
      </c>
      <c r="G32" s="29">
        <v>0</v>
      </c>
      <c r="H32" s="27">
        <v>0</v>
      </c>
      <c r="I32" s="29">
        <v>409</v>
      </c>
      <c r="J32" s="29">
        <v>148487</v>
      </c>
      <c r="K32" s="29">
        <v>4667</v>
      </c>
      <c r="L32" s="29">
        <v>153154</v>
      </c>
      <c r="M32" s="29">
        <v>24810</v>
      </c>
      <c r="N32" s="29">
        <v>27669</v>
      </c>
      <c r="O32" s="29">
        <v>193</v>
      </c>
      <c r="P32" s="29">
        <v>18451</v>
      </c>
      <c r="Q32" s="29">
        <v>2122</v>
      </c>
      <c r="R32" s="29">
        <v>226399</v>
      </c>
      <c r="S32" s="29">
        <v>26042</v>
      </c>
      <c r="T32" s="29">
        <v>200357</v>
      </c>
      <c r="U32" s="29">
        <v>110737</v>
      </c>
      <c r="V32" s="29">
        <v>89620</v>
      </c>
    </row>
    <row r="33" spans="1:22" x14ac:dyDescent="0.2">
      <c r="A33" s="20" t="s">
        <v>93</v>
      </c>
      <c r="B33" s="20" t="s">
        <v>494</v>
      </c>
      <c r="C33" s="25">
        <v>76.09</v>
      </c>
      <c r="D33" s="27">
        <v>678.2</v>
      </c>
      <c r="E33" s="25">
        <v>754.29</v>
      </c>
      <c r="F33" s="25">
        <v>0.98</v>
      </c>
      <c r="G33" s="29">
        <v>19</v>
      </c>
      <c r="H33" s="27">
        <v>0</v>
      </c>
      <c r="I33" s="29">
        <v>697</v>
      </c>
      <c r="J33" s="29">
        <v>247060</v>
      </c>
      <c r="K33" s="29">
        <v>0</v>
      </c>
      <c r="L33" s="29">
        <v>247060</v>
      </c>
      <c r="M33" s="29">
        <v>42280</v>
      </c>
      <c r="N33" s="29">
        <v>47152</v>
      </c>
      <c r="O33" s="29">
        <v>321</v>
      </c>
      <c r="P33" s="29">
        <v>30700</v>
      </c>
      <c r="Q33" s="29">
        <v>3530</v>
      </c>
      <c r="R33" s="29">
        <v>371043</v>
      </c>
      <c r="S33" s="29">
        <v>38062</v>
      </c>
      <c r="T33" s="29">
        <v>332981</v>
      </c>
      <c r="U33" s="29">
        <v>189517</v>
      </c>
      <c r="V33" s="29">
        <v>143464</v>
      </c>
    </row>
    <row r="34" spans="1:22" x14ac:dyDescent="0.2">
      <c r="A34" s="20" t="s">
        <v>94</v>
      </c>
      <c r="B34" s="20" t="s">
        <v>495</v>
      </c>
      <c r="C34" s="25">
        <v>183.33</v>
      </c>
      <c r="D34" s="27">
        <v>1406.7</v>
      </c>
      <c r="E34" s="25">
        <v>1590.03</v>
      </c>
      <c r="F34" s="25">
        <v>2.06</v>
      </c>
      <c r="G34" s="29">
        <v>130</v>
      </c>
      <c r="H34" s="27">
        <v>3.8</v>
      </c>
      <c r="I34" s="29">
        <v>1533</v>
      </c>
      <c r="J34" s="29">
        <v>520798</v>
      </c>
      <c r="K34" s="29">
        <v>0</v>
      </c>
      <c r="L34" s="29">
        <v>520798</v>
      </c>
      <c r="M34" s="29">
        <v>92992</v>
      </c>
      <c r="N34" s="29">
        <v>103707</v>
      </c>
      <c r="O34" s="29">
        <v>675</v>
      </c>
      <c r="P34" s="29">
        <v>64714</v>
      </c>
      <c r="Q34" s="29">
        <v>7441</v>
      </c>
      <c r="R34" s="29">
        <v>790327</v>
      </c>
      <c r="S34" s="29">
        <v>81418</v>
      </c>
      <c r="T34" s="29">
        <v>708909</v>
      </c>
      <c r="U34" s="29">
        <v>398312</v>
      </c>
      <c r="V34" s="29">
        <v>310597</v>
      </c>
    </row>
    <row r="35" spans="1:22" x14ac:dyDescent="0.2">
      <c r="A35" s="20" t="s">
        <v>95</v>
      </c>
      <c r="B35" s="20" t="s">
        <v>496</v>
      </c>
      <c r="C35" s="25">
        <v>133.29</v>
      </c>
      <c r="D35" s="27">
        <v>1015.1</v>
      </c>
      <c r="E35" s="25">
        <v>1148.3900000000001</v>
      </c>
      <c r="F35" s="25">
        <v>1.49</v>
      </c>
      <c r="G35" s="29">
        <v>2</v>
      </c>
      <c r="H35" s="27">
        <v>0</v>
      </c>
      <c r="I35" s="29">
        <v>1017</v>
      </c>
      <c r="J35" s="29">
        <v>376144</v>
      </c>
      <c r="K35" s="29">
        <v>0</v>
      </c>
      <c r="L35" s="29">
        <v>376144</v>
      </c>
      <c r="M35" s="29">
        <v>61691</v>
      </c>
      <c r="N35" s="29">
        <v>68800</v>
      </c>
      <c r="O35" s="29">
        <v>488</v>
      </c>
      <c r="P35" s="29">
        <v>46739</v>
      </c>
      <c r="Q35" s="29">
        <v>5374</v>
      </c>
      <c r="R35" s="29">
        <v>559236</v>
      </c>
      <c r="S35" s="29">
        <v>55085</v>
      </c>
      <c r="T35" s="29">
        <v>504151</v>
      </c>
      <c r="U35" s="29">
        <v>291397</v>
      </c>
      <c r="V35" s="29">
        <v>212754</v>
      </c>
    </row>
    <row r="36" spans="1:22" x14ac:dyDescent="0.2">
      <c r="A36" s="20" t="s">
        <v>96</v>
      </c>
      <c r="B36" s="20" t="s">
        <v>497</v>
      </c>
      <c r="C36" s="25">
        <v>56.47</v>
      </c>
      <c r="D36" s="27">
        <v>437.9</v>
      </c>
      <c r="E36" s="25">
        <v>494.37</v>
      </c>
      <c r="F36" s="25">
        <v>0.64</v>
      </c>
      <c r="G36" s="29">
        <v>14</v>
      </c>
      <c r="H36" s="27">
        <v>0</v>
      </c>
      <c r="I36" s="29">
        <v>452</v>
      </c>
      <c r="J36" s="29">
        <v>161926</v>
      </c>
      <c r="K36" s="29">
        <v>0</v>
      </c>
      <c r="L36" s="29">
        <v>161926</v>
      </c>
      <c r="M36" s="29">
        <v>27418</v>
      </c>
      <c r="N36" s="29">
        <v>30578</v>
      </c>
      <c r="O36" s="29">
        <v>210</v>
      </c>
      <c r="P36" s="29">
        <v>20121</v>
      </c>
      <c r="Q36" s="29">
        <v>2314</v>
      </c>
      <c r="R36" s="29">
        <v>242567</v>
      </c>
      <c r="S36" s="29">
        <v>18265</v>
      </c>
      <c r="T36" s="29">
        <v>224302</v>
      </c>
      <c r="U36" s="29">
        <v>130893</v>
      </c>
      <c r="V36" s="29">
        <v>93409</v>
      </c>
    </row>
    <row r="37" spans="1:22" x14ac:dyDescent="0.2">
      <c r="A37" s="20" t="s">
        <v>97</v>
      </c>
      <c r="B37" s="20" t="s">
        <v>498</v>
      </c>
      <c r="C37" s="25">
        <v>119.36</v>
      </c>
      <c r="D37" s="27">
        <v>913.3</v>
      </c>
      <c r="E37" s="25">
        <v>1032.6600000000001</v>
      </c>
      <c r="F37" s="25">
        <v>1.34</v>
      </c>
      <c r="G37" s="29">
        <v>113</v>
      </c>
      <c r="H37" s="27">
        <v>0.1</v>
      </c>
      <c r="I37" s="29">
        <v>1026</v>
      </c>
      <c r="J37" s="29">
        <v>338237</v>
      </c>
      <c r="K37" s="29">
        <v>0</v>
      </c>
      <c r="L37" s="29">
        <v>338237</v>
      </c>
      <c r="M37" s="29">
        <v>62237</v>
      </c>
      <c r="N37" s="29">
        <v>69409</v>
      </c>
      <c r="O37" s="29">
        <v>439</v>
      </c>
      <c r="P37" s="29">
        <v>42029</v>
      </c>
      <c r="Q37" s="29">
        <v>4833</v>
      </c>
      <c r="R37" s="29">
        <v>517184</v>
      </c>
      <c r="S37" s="29">
        <v>45912</v>
      </c>
      <c r="T37" s="29">
        <v>471272</v>
      </c>
      <c r="U37" s="29">
        <v>265654</v>
      </c>
      <c r="V37" s="29">
        <v>205618</v>
      </c>
    </row>
    <row r="38" spans="1:22" x14ac:dyDescent="0.2">
      <c r="A38" s="20" t="s">
        <v>98</v>
      </c>
      <c r="B38" s="20" t="s">
        <v>499</v>
      </c>
      <c r="C38" s="25">
        <v>74.53</v>
      </c>
      <c r="D38" s="27">
        <v>574.29999999999995</v>
      </c>
      <c r="E38" s="25">
        <v>648.83000000000004</v>
      </c>
      <c r="F38" s="25">
        <v>0.84</v>
      </c>
      <c r="G38" s="29">
        <v>0</v>
      </c>
      <c r="H38" s="27">
        <v>0</v>
      </c>
      <c r="I38" s="29">
        <v>574</v>
      </c>
      <c r="J38" s="29">
        <v>212518</v>
      </c>
      <c r="K38" s="29">
        <v>0</v>
      </c>
      <c r="L38" s="29">
        <v>212518</v>
      </c>
      <c r="M38" s="29">
        <v>34819</v>
      </c>
      <c r="N38" s="29">
        <v>38831</v>
      </c>
      <c r="O38" s="29">
        <v>275</v>
      </c>
      <c r="P38" s="29">
        <v>26407</v>
      </c>
      <c r="Q38" s="29">
        <v>3037</v>
      </c>
      <c r="R38" s="29">
        <v>315887</v>
      </c>
      <c r="S38" s="29">
        <v>35971</v>
      </c>
      <c r="T38" s="29">
        <v>279916</v>
      </c>
      <c r="U38" s="29">
        <v>159789</v>
      </c>
      <c r="V38" s="29">
        <v>120127</v>
      </c>
    </row>
    <row r="39" spans="1:22" x14ac:dyDescent="0.2">
      <c r="A39" s="20" t="s">
        <v>82</v>
      </c>
      <c r="B39" s="20" t="s">
        <v>485</v>
      </c>
      <c r="C39" s="25">
        <v>62.15</v>
      </c>
      <c r="D39" s="27">
        <v>567.20000000000005</v>
      </c>
      <c r="E39" s="25">
        <v>629.35</v>
      </c>
      <c r="F39" s="25">
        <v>0.82</v>
      </c>
      <c r="G39" s="29">
        <v>7</v>
      </c>
      <c r="H39" s="27">
        <v>0</v>
      </c>
      <c r="I39" s="29">
        <v>574</v>
      </c>
      <c r="J39" s="29">
        <v>206137</v>
      </c>
      <c r="K39" s="29">
        <v>9466</v>
      </c>
      <c r="L39" s="29">
        <v>215603</v>
      </c>
      <c r="M39" s="29">
        <v>34819</v>
      </c>
      <c r="N39" s="29">
        <v>38831</v>
      </c>
      <c r="O39" s="29">
        <v>269</v>
      </c>
      <c r="P39" s="29">
        <v>25615</v>
      </c>
      <c r="Q39" s="29">
        <v>2945</v>
      </c>
      <c r="R39" s="29">
        <v>318082</v>
      </c>
      <c r="S39" s="29">
        <v>39636</v>
      </c>
      <c r="T39" s="29">
        <v>278446</v>
      </c>
      <c r="U39" s="29">
        <v>150248</v>
      </c>
      <c r="V39" s="29">
        <v>128198</v>
      </c>
    </row>
    <row r="40" spans="1:22" x14ac:dyDescent="0.2">
      <c r="A40" s="20" t="s">
        <v>99</v>
      </c>
      <c r="B40" s="20" t="s">
        <v>500</v>
      </c>
      <c r="C40" s="25">
        <v>729.26</v>
      </c>
      <c r="D40" s="27">
        <v>5287.4</v>
      </c>
      <c r="E40" s="25">
        <v>6016.66</v>
      </c>
      <c r="F40" s="25">
        <v>7.79</v>
      </c>
      <c r="G40" s="29">
        <v>220</v>
      </c>
      <c r="H40" s="27">
        <v>2</v>
      </c>
      <c r="I40" s="29">
        <v>5505</v>
      </c>
      <c r="J40" s="29">
        <v>1970697</v>
      </c>
      <c r="K40" s="29">
        <v>0</v>
      </c>
      <c r="L40" s="29">
        <v>1970697</v>
      </c>
      <c r="M40" s="29">
        <v>333933</v>
      </c>
      <c r="N40" s="29">
        <v>372413</v>
      </c>
      <c r="O40" s="29">
        <v>2552</v>
      </c>
      <c r="P40" s="29">
        <v>244878</v>
      </c>
      <c r="Q40" s="29">
        <v>28158</v>
      </c>
      <c r="R40" s="29">
        <v>2952631</v>
      </c>
      <c r="S40" s="29">
        <v>260973</v>
      </c>
      <c r="T40" s="29">
        <v>2691658</v>
      </c>
      <c r="U40" s="29">
        <v>1554322</v>
      </c>
      <c r="V40" s="29">
        <v>1137336</v>
      </c>
    </row>
    <row r="41" spans="1:22" x14ac:dyDescent="0.2">
      <c r="A41" s="20" t="s">
        <v>100</v>
      </c>
      <c r="B41" s="20" t="s">
        <v>501</v>
      </c>
      <c r="C41" s="25">
        <v>620.41999999999996</v>
      </c>
      <c r="D41" s="27">
        <v>3403.8</v>
      </c>
      <c r="E41" s="25">
        <v>4024.22</v>
      </c>
      <c r="F41" s="25">
        <v>5.22</v>
      </c>
      <c r="G41" s="29">
        <v>534</v>
      </c>
      <c r="H41" s="27">
        <v>4.9000000000000004</v>
      </c>
      <c r="I41" s="29">
        <v>3933</v>
      </c>
      <c r="J41" s="29">
        <v>1318093</v>
      </c>
      <c r="K41" s="29">
        <v>30194</v>
      </c>
      <c r="L41" s="29">
        <v>1348287</v>
      </c>
      <c r="M41" s="29">
        <v>238576</v>
      </c>
      <c r="N41" s="29">
        <v>266067</v>
      </c>
      <c r="O41" s="29">
        <v>1710</v>
      </c>
      <c r="P41" s="29">
        <v>165363</v>
      </c>
      <c r="Q41" s="29">
        <v>19028</v>
      </c>
      <c r="R41" s="29">
        <v>2039031</v>
      </c>
      <c r="S41" s="29">
        <v>237752</v>
      </c>
      <c r="T41" s="29">
        <v>1801279</v>
      </c>
      <c r="U41" s="29">
        <v>978176</v>
      </c>
      <c r="V41" s="29">
        <v>823103</v>
      </c>
    </row>
    <row r="42" spans="1:22" x14ac:dyDescent="0.2">
      <c r="A42" s="20" t="s">
        <v>101</v>
      </c>
      <c r="B42" s="20" t="s">
        <v>502</v>
      </c>
      <c r="C42" s="25">
        <v>60.26</v>
      </c>
      <c r="D42" s="27">
        <v>493.5</v>
      </c>
      <c r="E42" s="25">
        <v>553.76</v>
      </c>
      <c r="F42" s="25">
        <v>0.72</v>
      </c>
      <c r="G42" s="29">
        <v>6</v>
      </c>
      <c r="H42" s="27">
        <v>0</v>
      </c>
      <c r="I42" s="29">
        <v>500</v>
      </c>
      <c r="J42" s="29">
        <v>181379</v>
      </c>
      <c r="K42" s="29">
        <v>0</v>
      </c>
      <c r="L42" s="29">
        <v>181379</v>
      </c>
      <c r="M42" s="29">
        <v>30330</v>
      </c>
      <c r="N42" s="29">
        <v>33825</v>
      </c>
      <c r="O42" s="29">
        <v>236</v>
      </c>
      <c r="P42" s="29">
        <v>22538</v>
      </c>
      <c r="Q42" s="29">
        <v>2592</v>
      </c>
      <c r="R42" s="29">
        <v>270900</v>
      </c>
      <c r="S42" s="29">
        <v>27330</v>
      </c>
      <c r="T42" s="29">
        <v>243570</v>
      </c>
      <c r="U42" s="29">
        <v>139747</v>
      </c>
      <c r="V42" s="29">
        <v>103823</v>
      </c>
    </row>
    <row r="43" spans="1:22" x14ac:dyDescent="0.2">
      <c r="A43" s="20" t="s">
        <v>102</v>
      </c>
      <c r="B43" s="20" t="s">
        <v>503</v>
      </c>
      <c r="C43" s="25">
        <v>74.680000000000007</v>
      </c>
      <c r="D43" s="27">
        <v>595.70000000000005</v>
      </c>
      <c r="E43" s="25">
        <v>670.38</v>
      </c>
      <c r="F43" s="25">
        <v>0.87</v>
      </c>
      <c r="G43" s="29">
        <v>2</v>
      </c>
      <c r="H43" s="27">
        <v>0</v>
      </c>
      <c r="I43" s="29">
        <v>598</v>
      </c>
      <c r="J43" s="29">
        <v>219576</v>
      </c>
      <c r="K43" s="29">
        <v>0</v>
      </c>
      <c r="L43" s="29">
        <v>219576</v>
      </c>
      <c r="M43" s="29">
        <v>36275</v>
      </c>
      <c r="N43" s="29">
        <v>40455</v>
      </c>
      <c r="O43" s="29">
        <v>285</v>
      </c>
      <c r="P43" s="29">
        <v>27284</v>
      </c>
      <c r="Q43" s="29">
        <v>3137</v>
      </c>
      <c r="R43" s="29">
        <v>327012</v>
      </c>
      <c r="S43" s="29">
        <v>40146</v>
      </c>
      <c r="T43" s="29">
        <v>286866</v>
      </c>
      <c r="U43" s="29">
        <v>162115</v>
      </c>
      <c r="V43" s="29">
        <v>124751</v>
      </c>
    </row>
    <row r="44" spans="1:22" x14ac:dyDescent="0.2">
      <c r="A44" s="20" t="s">
        <v>74</v>
      </c>
      <c r="B44" s="20" t="s">
        <v>477</v>
      </c>
      <c r="C44" s="25">
        <v>102.9</v>
      </c>
      <c r="D44" s="27">
        <v>797.8</v>
      </c>
      <c r="E44" s="25">
        <v>900.7</v>
      </c>
      <c r="F44" s="25">
        <v>1.17</v>
      </c>
      <c r="G44" s="29">
        <v>31</v>
      </c>
      <c r="H44" s="27">
        <v>0</v>
      </c>
      <c r="I44" s="29">
        <v>829</v>
      </c>
      <c r="J44" s="29">
        <v>295015</v>
      </c>
      <c r="K44" s="29">
        <v>0</v>
      </c>
      <c r="L44" s="29">
        <v>295015</v>
      </c>
      <c r="M44" s="29">
        <v>50287</v>
      </c>
      <c r="N44" s="29">
        <v>56082</v>
      </c>
      <c r="O44" s="29">
        <v>383</v>
      </c>
      <c r="P44" s="29">
        <v>36658</v>
      </c>
      <c r="Q44" s="29">
        <v>4215</v>
      </c>
      <c r="R44" s="29">
        <v>442640</v>
      </c>
      <c r="S44" s="29">
        <v>50672</v>
      </c>
      <c r="T44" s="29">
        <v>391968</v>
      </c>
      <c r="U44" s="29">
        <v>221080</v>
      </c>
      <c r="V44" s="29">
        <v>170888</v>
      </c>
    </row>
    <row r="45" spans="1:22" x14ac:dyDescent="0.2">
      <c r="A45" s="20" t="s">
        <v>105</v>
      </c>
      <c r="B45" s="20" t="s">
        <v>506</v>
      </c>
      <c r="C45" s="25">
        <v>64.91</v>
      </c>
      <c r="D45" s="27">
        <v>455</v>
      </c>
      <c r="E45" s="25">
        <v>519.91</v>
      </c>
      <c r="F45" s="25">
        <v>0.67</v>
      </c>
      <c r="G45" s="29">
        <v>1</v>
      </c>
      <c r="H45" s="27">
        <v>0</v>
      </c>
      <c r="I45" s="29">
        <v>456</v>
      </c>
      <c r="J45" s="29">
        <v>170291</v>
      </c>
      <c r="K45" s="29">
        <v>0</v>
      </c>
      <c r="L45" s="29">
        <v>170291</v>
      </c>
      <c r="M45" s="29">
        <v>27661</v>
      </c>
      <c r="N45" s="29">
        <v>30848</v>
      </c>
      <c r="O45" s="29">
        <v>219</v>
      </c>
      <c r="P45" s="29">
        <v>21160</v>
      </c>
      <c r="Q45" s="29">
        <v>2433</v>
      </c>
      <c r="R45" s="29">
        <v>252612</v>
      </c>
      <c r="S45" s="29">
        <v>26248</v>
      </c>
      <c r="T45" s="29">
        <v>226364</v>
      </c>
      <c r="U45" s="29">
        <v>130613</v>
      </c>
      <c r="V45" s="29">
        <v>95751</v>
      </c>
    </row>
    <row r="46" spans="1:22" x14ac:dyDescent="0.2">
      <c r="A46" s="20" t="s">
        <v>106</v>
      </c>
      <c r="B46" s="20" t="s">
        <v>507</v>
      </c>
      <c r="C46" s="25">
        <v>56.08</v>
      </c>
      <c r="D46" s="27">
        <v>503</v>
      </c>
      <c r="E46" s="25">
        <v>559.08000000000004</v>
      </c>
      <c r="F46" s="25">
        <v>0.72</v>
      </c>
      <c r="G46" s="29">
        <v>0</v>
      </c>
      <c r="H46" s="27">
        <v>0</v>
      </c>
      <c r="I46" s="29">
        <v>503</v>
      </c>
      <c r="J46" s="29">
        <v>183121</v>
      </c>
      <c r="K46" s="29">
        <v>0</v>
      </c>
      <c r="L46" s="29">
        <v>183121</v>
      </c>
      <c r="M46" s="29">
        <v>30512</v>
      </c>
      <c r="N46" s="29">
        <v>34028</v>
      </c>
      <c r="O46" s="29">
        <v>236</v>
      </c>
      <c r="P46" s="29">
        <v>22755</v>
      </c>
      <c r="Q46" s="29">
        <v>2616</v>
      </c>
      <c r="R46" s="29">
        <v>273268</v>
      </c>
      <c r="S46" s="29">
        <v>27732</v>
      </c>
      <c r="T46" s="29">
        <v>245536</v>
      </c>
      <c r="U46" s="29">
        <v>140948</v>
      </c>
      <c r="V46" s="29">
        <v>104588</v>
      </c>
    </row>
    <row r="47" spans="1:22" x14ac:dyDescent="0.2">
      <c r="A47" s="20" t="s">
        <v>107</v>
      </c>
      <c r="B47" s="20" t="s">
        <v>508</v>
      </c>
      <c r="C47" s="25">
        <v>84.68</v>
      </c>
      <c r="D47" s="27">
        <v>902.2</v>
      </c>
      <c r="E47" s="25">
        <v>986.88</v>
      </c>
      <c r="F47" s="25">
        <v>1.28</v>
      </c>
      <c r="G47" s="29">
        <v>2</v>
      </c>
      <c r="H47" s="27">
        <v>0</v>
      </c>
      <c r="I47" s="29">
        <v>904</v>
      </c>
      <c r="J47" s="29">
        <v>323243</v>
      </c>
      <c r="K47" s="29">
        <v>0</v>
      </c>
      <c r="L47" s="29">
        <v>323243</v>
      </c>
      <c r="M47" s="29">
        <v>54837</v>
      </c>
      <c r="N47" s="29">
        <v>61156</v>
      </c>
      <c r="O47" s="29">
        <v>419</v>
      </c>
      <c r="P47" s="29">
        <v>40166</v>
      </c>
      <c r="Q47" s="29">
        <v>4619</v>
      </c>
      <c r="R47" s="29">
        <v>484440</v>
      </c>
      <c r="S47" s="29">
        <v>52192</v>
      </c>
      <c r="T47" s="29">
        <v>432248</v>
      </c>
      <c r="U47" s="29">
        <v>245562</v>
      </c>
      <c r="V47" s="29">
        <v>186686</v>
      </c>
    </row>
    <row r="48" spans="1:22" x14ac:dyDescent="0.2">
      <c r="A48" s="20" t="s">
        <v>108</v>
      </c>
      <c r="B48" s="20" t="s">
        <v>509</v>
      </c>
      <c r="C48" s="25">
        <v>66.959999999999994</v>
      </c>
      <c r="D48" s="27">
        <v>394</v>
      </c>
      <c r="E48" s="25">
        <v>460.96</v>
      </c>
      <c r="F48" s="25">
        <v>0.6</v>
      </c>
      <c r="G48" s="29">
        <v>8</v>
      </c>
      <c r="H48" s="27">
        <v>0</v>
      </c>
      <c r="I48" s="29">
        <v>402</v>
      </c>
      <c r="J48" s="29">
        <v>150983</v>
      </c>
      <c r="K48" s="29">
        <v>7040</v>
      </c>
      <c r="L48" s="29">
        <v>158023</v>
      </c>
      <c r="M48" s="29">
        <v>24385</v>
      </c>
      <c r="N48" s="29">
        <v>27195</v>
      </c>
      <c r="O48" s="29">
        <v>197</v>
      </c>
      <c r="P48" s="29">
        <v>18761</v>
      </c>
      <c r="Q48" s="29">
        <v>2157</v>
      </c>
      <c r="R48" s="29">
        <v>230718</v>
      </c>
      <c r="S48" s="29">
        <v>31611</v>
      </c>
      <c r="T48" s="29">
        <v>199107</v>
      </c>
      <c r="U48" s="29">
        <v>107466</v>
      </c>
      <c r="V48" s="29">
        <v>91641</v>
      </c>
    </row>
    <row r="49" spans="1:22" x14ac:dyDescent="0.2">
      <c r="A49" s="20" t="s">
        <v>110</v>
      </c>
      <c r="B49" s="20" t="s">
        <v>511</v>
      </c>
      <c r="C49" s="25">
        <v>55.55</v>
      </c>
      <c r="D49" s="27">
        <v>561.1</v>
      </c>
      <c r="E49" s="25">
        <v>616.65</v>
      </c>
      <c r="F49" s="25">
        <v>0.8</v>
      </c>
      <c r="G49" s="29">
        <v>0</v>
      </c>
      <c r="H49" s="27">
        <v>0</v>
      </c>
      <c r="I49" s="29">
        <v>561</v>
      </c>
      <c r="J49" s="29">
        <v>201978</v>
      </c>
      <c r="K49" s="29">
        <v>2847</v>
      </c>
      <c r="L49" s="29">
        <v>204825</v>
      </c>
      <c r="M49" s="29">
        <v>34030</v>
      </c>
      <c r="N49" s="29">
        <v>37952</v>
      </c>
      <c r="O49" s="29">
        <v>262</v>
      </c>
      <c r="P49" s="29">
        <v>25562</v>
      </c>
      <c r="Q49" s="29">
        <v>2941</v>
      </c>
      <c r="R49" s="29">
        <v>305572</v>
      </c>
      <c r="S49" s="29">
        <v>37905</v>
      </c>
      <c r="T49" s="29">
        <v>267667</v>
      </c>
      <c r="U49" s="29">
        <v>148665</v>
      </c>
      <c r="V49" s="29">
        <v>119002</v>
      </c>
    </row>
    <row r="50" spans="1:22" x14ac:dyDescent="0.2">
      <c r="A50" s="20" t="s">
        <v>117</v>
      </c>
      <c r="B50" s="20" t="s">
        <v>518</v>
      </c>
      <c r="C50" s="25">
        <v>109.78</v>
      </c>
      <c r="D50" s="27">
        <v>749.9</v>
      </c>
      <c r="E50" s="25">
        <v>859.68</v>
      </c>
      <c r="F50" s="25">
        <v>1.1100000000000001</v>
      </c>
      <c r="G50" s="29">
        <v>58</v>
      </c>
      <c r="H50" s="27">
        <v>0</v>
      </c>
      <c r="I50" s="29">
        <v>808</v>
      </c>
      <c r="J50" s="29">
        <v>281580</v>
      </c>
      <c r="K50" s="29">
        <v>0</v>
      </c>
      <c r="L50" s="29">
        <v>281580</v>
      </c>
      <c r="M50" s="29">
        <v>49013</v>
      </c>
      <c r="N50" s="29">
        <v>54661</v>
      </c>
      <c r="O50" s="29">
        <v>364</v>
      </c>
      <c r="P50" s="29">
        <v>34989</v>
      </c>
      <c r="Q50" s="29">
        <v>4023</v>
      </c>
      <c r="R50" s="29">
        <v>424630</v>
      </c>
      <c r="S50" s="29">
        <v>48238</v>
      </c>
      <c r="T50" s="29">
        <v>376392</v>
      </c>
      <c r="U50" s="29">
        <v>211136</v>
      </c>
      <c r="V50" s="29">
        <v>165256</v>
      </c>
    </row>
    <row r="51" spans="1:22" x14ac:dyDescent="0.2">
      <c r="A51" s="20" t="s">
        <v>109</v>
      </c>
      <c r="B51" s="20" t="s">
        <v>510</v>
      </c>
      <c r="C51" s="25">
        <v>261</v>
      </c>
      <c r="D51" s="27">
        <v>1453.4</v>
      </c>
      <c r="E51" s="25">
        <v>1714.4</v>
      </c>
      <c r="F51" s="25">
        <v>2.2200000000000002</v>
      </c>
      <c r="G51" s="29">
        <v>1</v>
      </c>
      <c r="H51" s="27">
        <v>0</v>
      </c>
      <c r="I51" s="29">
        <v>1454</v>
      </c>
      <c r="J51" s="29">
        <v>561535</v>
      </c>
      <c r="K51" s="29">
        <v>0</v>
      </c>
      <c r="L51" s="29">
        <v>561535</v>
      </c>
      <c r="M51" s="29">
        <v>88200</v>
      </c>
      <c r="N51" s="29">
        <v>98363</v>
      </c>
      <c r="O51" s="29">
        <v>727</v>
      </c>
      <c r="P51" s="29">
        <v>70036</v>
      </c>
      <c r="Q51" s="29">
        <v>8059</v>
      </c>
      <c r="R51" s="29">
        <v>826920</v>
      </c>
      <c r="S51" s="29">
        <v>83608</v>
      </c>
      <c r="T51" s="29">
        <v>743312</v>
      </c>
      <c r="U51" s="29">
        <v>433942</v>
      </c>
      <c r="V51" s="29">
        <v>309370</v>
      </c>
    </row>
    <row r="52" spans="1:22" x14ac:dyDescent="0.2">
      <c r="A52" s="20" t="s">
        <v>111</v>
      </c>
      <c r="B52" s="20" t="s">
        <v>512</v>
      </c>
      <c r="C52" s="25">
        <v>118.11</v>
      </c>
      <c r="D52" s="27">
        <v>790.9</v>
      </c>
      <c r="E52" s="25">
        <v>909.01</v>
      </c>
      <c r="F52" s="25">
        <v>1.18</v>
      </c>
      <c r="G52" s="29">
        <v>3</v>
      </c>
      <c r="H52" s="27">
        <v>0</v>
      </c>
      <c r="I52" s="29">
        <v>794</v>
      </c>
      <c r="J52" s="29">
        <v>297737</v>
      </c>
      <c r="K52" s="29">
        <v>0</v>
      </c>
      <c r="L52" s="29">
        <v>297737</v>
      </c>
      <c r="M52" s="29">
        <v>48164</v>
      </c>
      <c r="N52" s="29">
        <v>53714</v>
      </c>
      <c r="O52" s="29">
        <v>386</v>
      </c>
      <c r="P52" s="29">
        <v>36997</v>
      </c>
      <c r="Q52" s="29">
        <v>4254</v>
      </c>
      <c r="R52" s="29">
        <v>441252</v>
      </c>
      <c r="S52" s="29">
        <v>52418</v>
      </c>
      <c r="T52" s="29">
        <v>388834</v>
      </c>
      <c r="U52" s="29">
        <v>221842</v>
      </c>
      <c r="V52" s="29">
        <v>166992</v>
      </c>
    </row>
    <row r="53" spans="1:22" x14ac:dyDescent="0.2">
      <c r="A53" s="20" t="s">
        <v>112</v>
      </c>
      <c r="B53" s="20" t="s">
        <v>513</v>
      </c>
      <c r="C53" s="25">
        <v>67.42</v>
      </c>
      <c r="D53" s="27">
        <v>382.4</v>
      </c>
      <c r="E53" s="25">
        <v>449.82</v>
      </c>
      <c r="F53" s="25">
        <v>0.57999999999999996</v>
      </c>
      <c r="G53" s="29">
        <v>0</v>
      </c>
      <c r="H53" s="27">
        <v>0</v>
      </c>
      <c r="I53" s="29">
        <v>382</v>
      </c>
      <c r="J53" s="29">
        <v>147334</v>
      </c>
      <c r="K53" s="29">
        <v>4990</v>
      </c>
      <c r="L53" s="29">
        <v>152324</v>
      </c>
      <c r="M53" s="29">
        <v>23172</v>
      </c>
      <c r="N53" s="29">
        <v>25842</v>
      </c>
      <c r="O53" s="29">
        <v>190</v>
      </c>
      <c r="P53" s="29">
        <v>18308</v>
      </c>
      <c r="Q53" s="29">
        <v>2105</v>
      </c>
      <c r="R53" s="29">
        <v>221941</v>
      </c>
      <c r="S53" s="29">
        <v>24780</v>
      </c>
      <c r="T53" s="29">
        <v>197161</v>
      </c>
      <c r="U53" s="29">
        <v>110935</v>
      </c>
      <c r="V53" s="29">
        <v>86226</v>
      </c>
    </row>
    <row r="54" spans="1:22" x14ac:dyDescent="0.2">
      <c r="A54" s="20" t="s">
        <v>114</v>
      </c>
      <c r="B54" s="20" t="s">
        <v>515</v>
      </c>
      <c r="C54" s="25">
        <v>79.099999999999994</v>
      </c>
      <c r="D54" s="27">
        <v>673.6</v>
      </c>
      <c r="E54" s="25">
        <v>752.7</v>
      </c>
      <c r="F54" s="25">
        <v>0.98</v>
      </c>
      <c r="G54" s="29">
        <v>24</v>
      </c>
      <c r="H54" s="27">
        <v>0</v>
      </c>
      <c r="I54" s="29">
        <v>698</v>
      </c>
      <c r="J54" s="29">
        <v>246539</v>
      </c>
      <c r="K54" s="29">
        <v>0</v>
      </c>
      <c r="L54" s="29">
        <v>246539</v>
      </c>
      <c r="M54" s="29">
        <v>42341</v>
      </c>
      <c r="N54" s="29">
        <v>47220</v>
      </c>
      <c r="O54" s="29">
        <v>321</v>
      </c>
      <c r="P54" s="29">
        <v>30635</v>
      </c>
      <c r="Q54" s="29">
        <v>3523</v>
      </c>
      <c r="R54" s="29">
        <v>370579</v>
      </c>
      <c r="S54" s="29">
        <v>37019</v>
      </c>
      <c r="T54" s="29">
        <v>333560</v>
      </c>
      <c r="U54" s="29">
        <v>190081</v>
      </c>
      <c r="V54" s="29">
        <v>143479</v>
      </c>
    </row>
    <row r="55" spans="1:22" x14ac:dyDescent="0.2">
      <c r="A55" s="20" t="s">
        <v>115</v>
      </c>
      <c r="B55" s="20" t="s">
        <v>516</v>
      </c>
      <c r="C55" s="25">
        <v>2250.4699999999998</v>
      </c>
      <c r="D55" s="27">
        <v>10679.9</v>
      </c>
      <c r="E55" s="25">
        <v>12930.37</v>
      </c>
      <c r="F55" s="25">
        <v>16.760000000000002</v>
      </c>
      <c r="G55" s="29">
        <v>1155</v>
      </c>
      <c r="H55" s="27">
        <v>14.9</v>
      </c>
      <c r="I55" s="29">
        <v>11820</v>
      </c>
      <c r="J55" s="29">
        <v>4235213</v>
      </c>
      <c r="K55" s="29">
        <v>0</v>
      </c>
      <c r="L55" s="29">
        <v>4235213</v>
      </c>
      <c r="M55" s="29">
        <v>717001</v>
      </c>
      <c r="N55" s="29">
        <v>799623</v>
      </c>
      <c r="O55" s="29">
        <v>5490</v>
      </c>
      <c r="P55" s="29">
        <v>526266</v>
      </c>
      <c r="Q55" s="29">
        <v>60514</v>
      </c>
      <c r="R55" s="29">
        <v>6344107</v>
      </c>
      <c r="S55" s="29">
        <v>602136</v>
      </c>
      <c r="T55" s="29">
        <v>5741971</v>
      </c>
      <c r="U55" s="29">
        <v>3299109</v>
      </c>
      <c r="V55" s="29">
        <v>2442862</v>
      </c>
    </row>
    <row r="56" spans="1:22" x14ac:dyDescent="0.2">
      <c r="A56" s="20" t="s">
        <v>116</v>
      </c>
      <c r="B56" s="20" t="s">
        <v>517</v>
      </c>
      <c r="C56" s="25">
        <v>260.83</v>
      </c>
      <c r="D56" s="27">
        <v>2168.1999999999998</v>
      </c>
      <c r="E56" s="25">
        <v>2429.0300000000002</v>
      </c>
      <c r="F56" s="25">
        <v>3.15</v>
      </c>
      <c r="G56" s="29">
        <v>114</v>
      </c>
      <c r="H56" s="27">
        <v>0.5</v>
      </c>
      <c r="I56" s="29">
        <v>2282</v>
      </c>
      <c r="J56" s="29">
        <v>795604</v>
      </c>
      <c r="K56" s="29">
        <v>0</v>
      </c>
      <c r="L56" s="29">
        <v>795604</v>
      </c>
      <c r="M56" s="29">
        <v>138426</v>
      </c>
      <c r="N56" s="29">
        <v>154377</v>
      </c>
      <c r="O56" s="29">
        <v>1032</v>
      </c>
      <c r="P56" s="29">
        <v>98862</v>
      </c>
      <c r="Q56" s="29">
        <v>11368</v>
      </c>
      <c r="R56" s="29">
        <v>1199669</v>
      </c>
      <c r="S56" s="29">
        <v>99938</v>
      </c>
      <c r="T56" s="29">
        <v>1099731</v>
      </c>
      <c r="U56" s="29">
        <v>632930</v>
      </c>
      <c r="V56" s="29">
        <v>466801</v>
      </c>
    </row>
    <row r="57" spans="1:22" x14ac:dyDescent="0.2">
      <c r="A57" s="20" t="s">
        <v>119</v>
      </c>
      <c r="B57" s="20" t="s">
        <v>520</v>
      </c>
      <c r="C57" s="25">
        <v>81.599999999999994</v>
      </c>
      <c r="D57" s="27">
        <v>813.6</v>
      </c>
      <c r="E57" s="25">
        <v>895.2</v>
      </c>
      <c r="F57" s="25">
        <v>1.1599999999999999</v>
      </c>
      <c r="G57" s="29">
        <v>3</v>
      </c>
      <c r="H57" s="27">
        <v>0</v>
      </c>
      <c r="I57" s="29">
        <v>817</v>
      </c>
      <c r="J57" s="29">
        <v>293214</v>
      </c>
      <c r="K57" s="29">
        <v>1549</v>
      </c>
      <c r="L57" s="29">
        <v>294763</v>
      </c>
      <c r="M57" s="29">
        <v>49559</v>
      </c>
      <c r="N57" s="29">
        <v>55270</v>
      </c>
      <c r="O57" s="29">
        <v>380</v>
      </c>
      <c r="P57" s="29">
        <v>36435</v>
      </c>
      <c r="Q57" s="29">
        <v>4190</v>
      </c>
      <c r="R57" s="29">
        <v>440597</v>
      </c>
      <c r="S57" s="29">
        <v>43122</v>
      </c>
      <c r="T57" s="29">
        <v>397475</v>
      </c>
      <c r="U57" s="29">
        <v>226971</v>
      </c>
      <c r="V57" s="29">
        <v>170504</v>
      </c>
    </row>
    <row r="58" spans="1:22" x14ac:dyDescent="0.2">
      <c r="A58" s="24" t="s">
        <v>398</v>
      </c>
      <c r="B58" s="24"/>
      <c r="C58" s="26">
        <v>9290.2800000000007</v>
      </c>
      <c r="D58" s="28">
        <v>61360.000000000007</v>
      </c>
      <c r="E58" s="26">
        <v>70650.28</v>
      </c>
      <c r="F58" s="26">
        <v>91.590000000000032</v>
      </c>
      <c r="G58" s="30">
        <v>3233</v>
      </c>
      <c r="H58" s="28">
        <v>35.5</v>
      </c>
      <c r="I58" s="30">
        <v>64559</v>
      </c>
      <c r="J58" s="30">
        <v>23140792</v>
      </c>
      <c r="K58" s="30">
        <v>228348</v>
      </c>
      <c r="L58" s="30">
        <v>23369140</v>
      </c>
      <c r="M58" s="30">
        <v>3916147</v>
      </c>
      <c r="N58" s="30">
        <v>4367412</v>
      </c>
      <c r="O58" s="30">
        <v>30001</v>
      </c>
      <c r="P58" s="30">
        <v>2880300</v>
      </c>
      <c r="Q58" s="30">
        <v>331234</v>
      </c>
      <c r="R58" s="30">
        <v>34894234</v>
      </c>
      <c r="S58" s="30">
        <v>3478978</v>
      </c>
      <c r="T58" s="30">
        <v>31415256</v>
      </c>
      <c r="U58" s="30">
        <v>17842475</v>
      </c>
      <c r="V58" s="30">
        <v>13572781</v>
      </c>
    </row>
    <row r="59" spans="1:22" ht="15" x14ac:dyDescent="0.25">
      <c r="A59"/>
      <c r="B59"/>
      <c r="C59"/>
      <c r="D59"/>
      <c r="E59"/>
      <c r="F59"/>
      <c r="G59"/>
      <c r="H59"/>
      <c r="I59"/>
      <c r="J59"/>
      <c r="K59"/>
      <c r="L59"/>
      <c r="M59"/>
      <c r="N59"/>
      <c r="O59"/>
      <c r="P59"/>
      <c r="Q59"/>
      <c r="R59"/>
      <c r="S59"/>
      <c r="T59"/>
      <c r="U59"/>
      <c r="V59"/>
    </row>
    <row r="60" spans="1:22" ht="15" x14ac:dyDescent="0.25">
      <c r="A60"/>
      <c r="B60"/>
      <c r="C60"/>
      <c r="D60"/>
      <c r="E60"/>
      <c r="F60"/>
      <c r="G60"/>
      <c r="H60"/>
      <c r="I60"/>
      <c r="J60"/>
      <c r="K60"/>
      <c r="L60"/>
      <c r="M60"/>
      <c r="N60"/>
      <c r="O60"/>
      <c r="P60"/>
      <c r="Q60"/>
      <c r="R60"/>
      <c r="S60"/>
      <c r="T60"/>
      <c r="U60"/>
      <c r="V60"/>
    </row>
    <row r="61" spans="1:22" ht="15" x14ac:dyDescent="0.25">
      <c r="A61"/>
      <c r="B61"/>
      <c r="C61"/>
      <c r="D61"/>
      <c r="E61"/>
      <c r="F61"/>
      <c r="G61"/>
      <c r="H61"/>
      <c r="I61"/>
      <c r="J61"/>
      <c r="K61"/>
      <c r="L61"/>
      <c r="M61"/>
      <c r="N61"/>
      <c r="O61"/>
      <c r="P61"/>
      <c r="Q61"/>
      <c r="R61"/>
      <c r="S61"/>
      <c r="T61"/>
      <c r="U61"/>
      <c r="V61"/>
    </row>
    <row r="62" spans="1:22" ht="15" x14ac:dyDescent="0.25">
      <c r="A62"/>
      <c r="B62"/>
      <c r="C62"/>
      <c r="D62"/>
      <c r="E62"/>
      <c r="F62"/>
      <c r="G62"/>
      <c r="H62"/>
      <c r="I62"/>
      <c r="J62"/>
      <c r="K62"/>
      <c r="L62"/>
      <c r="M62"/>
      <c r="N62"/>
      <c r="O62"/>
      <c r="P62"/>
      <c r="Q62"/>
      <c r="R62"/>
      <c r="S62"/>
      <c r="T62"/>
      <c r="U62"/>
      <c r="V62"/>
    </row>
    <row r="63" spans="1:22" ht="15" x14ac:dyDescent="0.25">
      <c r="A63"/>
      <c r="B63"/>
      <c r="C63"/>
      <c r="D63"/>
      <c r="E63"/>
      <c r="F63"/>
      <c r="G63"/>
      <c r="H63"/>
      <c r="I63"/>
      <c r="J63"/>
      <c r="K63"/>
      <c r="L63"/>
      <c r="M63"/>
      <c r="N63"/>
      <c r="O63"/>
      <c r="P63"/>
      <c r="Q63"/>
      <c r="R63"/>
      <c r="S63"/>
      <c r="T63"/>
      <c r="U63"/>
      <c r="V63"/>
    </row>
    <row r="64" spans="1:22" ht="15" x14ac:dyDescent="0.25">
      <c r="A64"/>
      <c r="B64"/>
      <c r="C64"/>
      <c r="D64"/>
      <c r="E64"/>
      <c r="F64"/>
      <c r="G64"/>
      <c r="H64"/>
      <c r="I64"/>
      <c r="J64"/>
      <c r="K64"/>
      <c r="L64"/>
      <c r="M64"/>
      <c r="N64"/>
      <c r="O64"/>
      <c r="P64"/>
      <c r="Q64"/>
      <c r="R64"/>
      <c r="S64"/>
      <c r="T64"/>
      <c r="U64"/>
      <c r="V64"/>
    </row>
    <row r="65" spans="1:22" ht="15" x14ac:dyDescent="0.25">
      <c r="A65"/>
      <c r="B65"/>
      <c r="C65"/>
      <c r="D65"/>
      <c r="E65"/>
      <c r="F65"/>
      <c r="G65"/>
      <c r="H65"/>
      <c r="I65"/>
      <c r="J65"/>
      <c r="K65"/>
      <c r="L65"/>
      <c r="M65"/>
      <c r="N65"/>
      <c r="O65"/>
      <c r="P65"/>
      <c r="Q65"/>
      <c r="R65"/>
      <c r="S65"/>
      <c r="T65"/>
      <c r="U65"/>
      <c r="V65"/>
    </row>
    <row r="66" spans="1:22" ht="15" x14ac:dyDescent="0.25">
      <c r="A66"/>
      <c r="B66"/>
      <c r="C66"/>
      <c r="D66"/>
      <c r="E66"/>
      <c r="F66"/>
      <c r="G66"/>
      <c r="H66"/>
      <c r="I66"/>
      <c r="J66"/>
      <c r="K66"/>
      <c r="L66"/>
      <c r="M66"/>
      <c r="N66"/>
      <c r="O66"/>
      <c r="P66"/>
      <c r="Q66"/>
      <c r="R66"/>
      <c r="S66"/>
      <c r="T66"/>
      <c r="U66"/>
      <c r="V66"/>
    </row>
    <row r="67" spans="1:22" ht="15" x14ac:dyDescent="0.25">
      <c r="A67"/>
      <c r="B67"/>
      <c r="C67"/>
      <c r="D67"/>
      <c r="E67"/>
      <c r="F67"/>
      <c r="G67"/>
      <c r="H67"/>
      <c r="I67"/>
      <c r="J67"/>
      <c r="K67"/>
      <c r="L67"/>
      <c r="M67"/>
      <c r="N67"/>
      <c r="O67"/>
      <c r="P67"/>
      <c r="Q67"/>
      <c r="R67"/>
      <c r="S67"/>
      <c r="T67"/>
      <c r="U67"/>
      <c r="V67"/>
    </row>
    <row r="68" spans="1:22" ht="15" x14ac:dyDescent="0.25">
      <c r="A68"/>
      <c r="B68"/>
      <c r="C68"/>
      <c r="D68"/>
      <c r="E68"/>
      <c r="F68"/>
      <c r="G68"/>
      <c r="H68"/>
      <c r="I68"/>
      <c r="J68"/>
      <c r="K68"/>
      <c r="L68"/>
      <c r="M68"/>
      <c r="N68"/>
      <c r="O68"/>
      <c r="P68"/>
      <c r="Q68"/>
      <c r="R68"/>
      <c r="S68"/>
      <c r="T68"/>
      <c r="U68"/>
      <c r="V68"/>
    </row>
    <row r="69" spans="1:22" ht="15" x14ac:dyDescent="0.25">
      <c r="A69"/>
      <c r="B69"/>
      <c r="C69"/>
      <c r="D69"/>
      <c r="E69"/>
      <c r="F69"/>
      <c r="G69"/>
      <c r="H69"/>
      <c r="I69"/>
      <c r="J69"/>
      <c r="K69"/>
      <c r="L69"/>
      <c r="M69"/>
      <c r="N69"/>
      <c r="O69"/>
      <c r="P69"/>
      <c r="Q69"/>
      <c r="R69"/>
      <c r="S69"/>
      <c r="T69"/>
      <c r="U69"/>
      <c r="V69"/>
    </row>
    <row r="70" spans="1:22" ht="15" x14ac:dyDescent="0.25">
      <c r="A70"/>
      <c r="B70"/>
      <c r="C70"/>
      <c r="D70"/>
      <c r="E70"/>
      <c r="F70"/>
      <c r="G70"/>
      <c r="H70"/>
      <c r="I70"/>
      <c r="J70"/>
      <c r="K70"/>
      <c r="L70"/>
      <c r="M70"/>
      <c r="N70"/>
      <c r="O70"/>
      <c r="P70"/>
      <c r="Q70"/>
      <c r="R70"/>
      <c r="S70"/>
      <c r="T70"/>
      <c r="U70"/>
      <c r="V70"/>
    </row>
    <row r="71" spans="1:22" ht="15" x14ac:dyDescent="0.25">
      <c r="A71"/>
      <c r="B71"/>
      <c r="C71"/>
      <c r="D71"/>
      <c r="E71"/>
      <c r="F71"/>
      <c r="G71"/>
      <c r="H71"/>
      <c r="I71"/>
      <c r="J71"/>
      <c r="K71"/>
      <c r="L71"/>
      <c r="M71"/>
      <c r="N71"/>
      <c r="O71"/>
      <c r="P71"/>
      <c r="Q71"/>
      <c r="R71"/>
      <c r="S71"/>
      <c r="T71"/>
      <c r="U71"/>
      <c r="V71"/>
    </row>
    <row r="72" spans="1:22" ht="15" x14ac:dyDescent="0.25">
      <c r="A72"/>
      <c r="B72"/>
      <c r="C72"/>
      <c r="D72"/>
      <c r="E72"/>
      <c r="F72"/>
      <c r="G72"/>
      <c r="H72"/>
      <c r="I72"/>
      <c r="J72"/>
      <c r="K72"/>
      <c r="L72"/>
      <c r="M72"/>
      <c r="N72"/>
      <c r="O72"/>
      <c r="P72"/>
      <c r="Q72"/>
      <c r="R72"/>
      <c r="S72"/>
      <c r="T72"/>
      <c r="U72"/>
      <c r="V72"/>
    </row>
    <row r="73" spans="1:22" ht="15" x14ac:dyDescent="0.25">
      <c r="A73"/>
      <c r="B73"/>
      <c r="C73"/>
      <c r="D73"/>
      <c r="E73"/>
      <c r="F73"/>
      <c r="G73"/>
      <c r="H73"/>
      <c r="I73"/>
      <c r="J73"/>
      <c r="K73"/>
      <c r="L73"/>
      <c r="M73"/>
      <c r="N73"/>
      <c r="O73"/>
      <c r="P73"/>
      <c r="Q73"/>
      <c r="R73"/>
      <c r="S73"/>
      <c r="T73"/>
      <c r="U73"/>
      <c r="V73"/>
    </row>
    <row r="74" spans="1:22" ht="15" x14ac:dyDescent="0.25">
      <c r="A74"/>
      <c r="B74"/>
      <c r="C74"/>
      <c r="D74"/>
      <c r="E74"/>
      <c r="F74"/>
      <c r="G74"/>
      <c r="H74"/>
      <c r="I74"/>
      <c r="J74"/>
      <c r="K74"/>
      <c r="L74"/>
      <c r="M74"/>
      <c r="N74"/>
      <c r="O74"/>
      <c r="P74"/>
      <c r="Q74"/>
      <c r="R74"/>
      <c r="S74"/>
      <c r="T74"/>
      <c r="U74"/>
      <c r="V74"/>
    </row>
    <row r="75" spans="1:22" ht="15" x14ac:dyDescent="0.25">
      <c r="A75"/>
      <c r="B75"/>
      <c r="C75"/>
      <c r="D75"/>
      <c r="E75"/>
      <c r="F75"/>
      <c r="G75"/>
      <c r="H75"/>
      <c r="I75"/>
      <c r="J75"/>
      <c r="K75"/>
      <c r="L75"/>
      <c r="M75"/>
      <c r="N75"/>
      <c r="O75"/>
      <c r="P75"/>
      <c r="Q75"/>
      <c r="R75"/>
      <c r="S75"/>
      <c r="T75"/>
      <c r="U75"/>
      <c r="V75"/>
    </row>
    <row r="76" spans="1:22" ht="15" x14ac:dyDescent="0.25">
      <c r="A76"/>
      <c r="B76"/>
      <c r="C76"/>
      <c r="D76"/>
      <c r="E76"/>
      <c r="F76"/>
      <c r="G76"/>
      <c r="H76"/>
      <c r="I76"/>
      <c r="J76"/>
      <c r="K76"/>
      <c r="L76"/>
      <c r="M76"/>
      <c r="N76"/>
      <c r="O76"/>
      <c r="P76"/>
      <c r="Q76"/>
      <c r="R76"/>
      <c r="S76"/>
      <c r="T76"/>
      <c r="U76"/>
      <c r="V76"/>
    </row>
    <row r="77" spans="1:22" ht="15" x14ac:dyDescent="0.25">
      <c r="A77"/>
      <c r="B77"/>
      <c r="C77"/>
      <c r="D77"/>
      <c r="E77"/>
      <c r="F77"/>
      <c r="G77"/>
      <c r="H77"/>
      <c r="I77"/>
      <c r="J77"/>
      <c r="K77"/>
      <c r="L77"/>
      <c r="M77"/>
      <c r="N77"/>
      <c r="O77"/>
      <c r="P77"/>
      <c r="Q77"/>
      <c r="R77"/>
      <c r="S77"/>
      <c r="T77"/>
      <c r="U77"/>
      <c r="V77"/>
    </row>
    <row r="78" spans="1:22" ht="15" x14ac:dyDescent="0.25">
      <c r="A78"/>
      <c r="B78"/>
      <c r="C78"/>
      <c r="D78"/>
      <c r="E78"/>
      <c r="F78"/>
      <c r="G78"/>
      <c r="H78"/>
      <c r="I78"/>
      <c r="J78"/>
      <c r="K78"/>
      <c r="L78"/>
      <c r="M78"/>
      <c r="N78"/>
      <c r="O78"/>
      <c r="P78"/>
      <c r="Q78"/>
      <c r="R78"/>
      <c r="S78"/>
      <c r="T78"/>
      <c r="U78"/>
      <c r="V78"/>
    </row>
    <row r="79" spans="1:22" ht="15" x14ac:dyDescent="0.25">
      <c r="A79"/>
      <c r="B79"/>
      <c r="C79"/>
      <c r="D79"/>
      <c r="E79"/>
      <c r="F79"/>
      <c r="G79"/>
      <c r="H79"/>
      <c r="I79"/>
      <c r="J79"/>
      <c r="K79"/>
      <c r="L79"/>
      <c r="M79"/>
      <c r="N79"/>
      <c r="O79"/>
      <c r="P79"/>
      <c r="Q79"/>
      <c r="R79"/>
      <c r="S79"/>
      <c r="T79"/>
      <c r="U79"/>
      <c r="V79"/>
    </row>
    <row r="80" spans="1:22" ht="15" x14ac:dyDescent="0.25">
      <c r="A80"/>
      <c r="B80"/>
      <c r="C80"/>
      <c r="D80"/>
      <c r="E80"/>
      <c r="F80"/>
      <c r="G80"/>
      <c r="H80"/>
      <c r="I80"/>
      <c r="J80"/>
      <c r="K80"/>
      <c r="L80"/>
      <c r="M80"/>
      <c r="N80"/>
      <c r="O80"/>
      <c r="P80"/>
      <c r="Q80"/>
      <c r="R80"/>
      <c r="S80"/>
      <c r="T80"/>
      <c r="U80"/>
      <c r="V80"/>
    </row>
    <row r="81" spans="1:22" ht="15" x14ac:dyDescent="0.25">
      <c r="A81"/>
      <c r="B81"/>
      <c r="C81"/>
      <c r="D81"/>
      <c r="E81"/>
      <c r="F81"/>
      <c r="G81"/>
      <c r="H81"/>
      <c r="I81"/>
      <c r="J81"/>
      <c r="K81"/>
      <c r="L81"/>
      <c r="M81"/>
      <c r="N81"/>
      <c r="O81"/>
      <c r="P81"/>
      <c r="Q81"/>
      <c r="R81"/>
      <c r="S81"/>
      <c r="T81"/>
      <c r="U81"/>
      <c r="V81"/>
    </row>
    <row r="82" spans="1:22" ht="15" x14ac:dyDescent="0.25">
      <c r="A82"/>
      <c r="B82"/>
      <c r="C82"/>
      <c r="D82"/>
      <c r="E82"/>
      <c r="F82"/>
      <c r="G82"/>
      <c r="H82"/>
      <c r="I82"/>
      <c r="J82"/>
      <c r="K82"/>
      <c r="L82"/>
      <c r="M82"/>
      <c r="N82"/>
      <c r="O82"/>
      <c r="P82"/>
      <c r="Q82"/>
      <c r="R82"/>
      <c r="S82"/>
      <c r="T82"/>
      <c r="U82"/>
      <c r="V82"/>
    </row>
    <row r="83" spans="1:22" ht="15" x14ac:dyDescent="0.25">
      <c r="A83"/>
      <c r="B83"/>
      <c r="C83"/>
      <c r="D83"/>
      <c r="E83"/>
      <c r="F83"/>
      <c r="G83"/>
      <c r="H83"/>
      <c r="I83"/>
      <c r="J83"/>
      <c r="K83"/>
      <c r="L83"/>
      <c r="M83"/>
      <c r="N83"/>
      <c r="O83"/>
      <c r="P83"/>
      <c r="Q83"/>
      <c r="R83"/>
      <c r="S83"/>
      <c r="T83"/>
      <c r="U83"/>
      <c r="V83"/>
    </row>
    <row r="84" spans="1:22" ht="15" x14ac:dyDescent="0.25">
      <c r="A84"/>
      <c r="B84"/>
      <c r="C84"/>
      <c r="D84"/>
      <c r="E84"/>
      <c r="F84"/>
      <c r="G84"/>
      <c r="H84"/>
      <c r="I84"/>
      <c r="J84"/>
      <c r="K84"/>
      <c r="L84"/>
      <c r="M84"/>
      <c r="N84"/>
      <c r="O84"/>
      <c r="P84"/>
      <c r="Q84"/>
      <c r="R84"/>
      <c r="S84"/>
      <c r="T84"/>
      <c r="U84"/>
      <c r="V84"/>
    </row>
    <row r="85" spans="1:22" ht="15" x14ac:dyDescent="0.25">
      <c r="A85"/>
      <c r="B85"/>
      <c r="C85"/>
      <c r="D85"/>
      <c r="E85"/>
      <c r="F85"/>
      <c r="G85"/>
      <c r="H85"/>
      <c r="I85"/>
      <c r="J85"/>
      <c r="K85"/>
      <c r="L85"/>
      <c r="M85"/>
      <c r="N85"/>
      <c r="O85"/>
      <c r="P85"/>
      <c r="Q85"/>
      <c r="R85"/>
      <c r="S85"/>
      <c r="T85"/>
      <c r="U85"/>
      <c r="V85"/>
    </row>
    <row r="86" spans="1:22" ht="15" x14ac:dyDescent="0.25">
      <c r="A86"/>
      <c r="B86"/>
      <c r="C86"/>
      <c r="D86"/>
      <c r="E86"/>
      <c r="F86"/>
      <c r="G86"/>
      <c r="H86"/>
      <c r="I86"/>
      <c r="J86"/>
      <c r="K86"/>
      <c r="L86"/>
      <c r="M86"/>
      <c r="N86"/>
      <c r="O86"/>
      <c r="P86"/>
      <c r="Q86"/>
      <c r="R86"/>
      <c r="S86"/>
      <c r="T86"/>
      <c r="U86"/>
      <c r="V86"/>
    </row>
    <row r="87" spans="1:22" ht="15" x14ac:dyDescent="0.25">
      <c r="A87"/>
      <c r="B87"/>
      <c r="C87"/>
      <c r="D87"/>
      <c r="E87"/>
      <c r="F87"/>
      <c r="G87"/>
      <c r="H87"/>
      <c r="I87"/>
      <c r="J87"/>
      <c r="K87"/>
      <c r="L87"/>
      <c r="M87"/>
      <c r="N87"/>
      <c r="O87"/>
      <c r="P87"/>
      <c r="Q87"/>
      <c r="R87"/>
      <c r="S87"/>
      <c r="T87"/>
      <c r="U87"/>
      <c r="V87"/>
    </row>
    <row r="88" spans="1:22" ht="15" x14ac:dyDescent="0.25">
      <c r="A88"/>
      <c r="B88"/>
      <c r="C88"/>
      <c r="D88"/>
      <c r="E88"/>
      <c r="F88"/>
      <c r="G88"/>
      <c r="H88"/>
      <c r="I88"/>
      <c r="J88"/>
      <c r="K88"/>
      <c r="L88"/>
      <c r="M88"/>
      <c r="N88"/>
      <c r="O88"/>
      <c r="P88"/>
      <c r="Q88"/>
      <c r="R88"/>
      <c r="S88"/>
      <c r="T88"/>
      <c r="U88"/>
      <c r="V88"/>
    </row>
    <row r="89" spans="1:22" ht="15" x14ac:dyDescent="0.25">
      <c r="A89"/>
      <c r="B89"/>
      <c r="C89"/>
      <c r="D89"/>
      <c r="E89"/>
      <c r="F89"/>
      <c r="G89"/>
      <c r="H89"/>
      <c r="I89"/>
      <c r="J89"/>
      <c r="K89"/>
      <c r="L89"/>
      <c r="M89"/>
      <c r="N89"/>
      <c r="O89"/>
      <c r="P89"/>
      <c r="Q89"/>
      <c r="R89"/>
      <c r="S89"/>
      <c r="T89"/>
      <c r="U89"/>
      <c r="V89"/>
    </row>
    <row r="90" spans="1:22" ht="15" x14ac:dyDescent="0.25">
      <c r="A90"/>
      <c r="B90"/>
      <c r="C90"/>
      <c r="D90"/>
      <c r="E90"/>
      <c r="F90"/>
      <c r="G90"/>
      <c r="H90"/>
      <c r="I90"/>
      <c r="J90"/>
      <c r="K90"/>
      <c r="L90"/>
      <c r="M90"/>
      <c r="N90"/>
      <c r="O90"/>
      <c r="P90"/>
      <c r="Q90"/>
      <c r="R90"/>
      <c r="S90"/>
      <c r="T90"/>
      <c r="U90"/>
      <c r="V90"/>
    </row>
    <row r="91" spans="1:22" ht="15" x14ac:dyDescent="0.25">
      <c r="A91"/>
      <c r="B91"/>
      <c r="C91"/>
      <c r="D91"/>
      <c r="E91"/>
      <c r="F91"/>
      <c r="G91"/>
      <c r="H91"/>
      <c r="I91"/>
      <c r="J91"/>
      <c r="K91"/>
      <c r="L91"/>
      <c r="M91"/>
      <c r="N91"/>
      <c r="O91"/>
      <c r="P91"/>
      <c r="Q91"/>
      <c r="R91"/>
      <c r="S91"/>
      <c r="T91"/>
      <c r="U91"/>
      <c r="V91"/>
    </row>
    <row r="92" spans="1:22" ht="15" x14ac:dyDescent="0.25">
      <c r="A92"/>
      <c r="B92"/>
      <c r="C92"/>
      <c r="D92"/>
      <c r="E92"/>
      <c r="F92"/>
      <c r="G92"/>
      <c r="H92"/>
      <c r="I92"/>
      <c r="J92"/>
      <c r="K92"/>
      <c r="L92"/>
      <c r="M92"/>
      <c r="N92"/>
      <c r="O92"/>
      <c r="P92"/>
      <c r="Q92"/>
      <c r="R92"/>
      <c r="S92"/>
      <c r="T92"/>
      <c r="U92"/>
      <c r="V92"/>
    </row>
    <row r="93" spans="1:22" ht="15" x14ac:dyDescent="0.25">
      <c r="A93"/>
      <c r="B93"/>
      <c r="C93"/>
      <c r="D93"/>
      <c r="E93"/>
      <c r="F93"/>
      <c r="G93"/>
      <c r="H93"/>
      <c r="I93"/>
      <c r="J93"/>
      <c r="K93"/>
      <c r="L93"/>
      <c r="M93"/>
      <c r="N93"/>
      <c r="O93"/>
      <c r="P93"/>
      <c r="Q93"/>
      <c r="R93"/>
      <c r="S93"/>
      <c r="T93"/>
      <c r="U93"/>
      <c r="V93"/>
    </row>
    <row r="94" spans="1:22" ht="15" x14ac:dyDescent="0.25">
      <c r="A94"/>
      <c r="B94"/>
      <c r="C94"/>
      <c r="D94"/>
      <c r="E94"/>
      <c r="F94"/>
      <c r="G94"/>
      <c r="H94"/>
      <c r="I94"/>
      <c r="J94"/>
      <c r="K94"/>
      <c r="L94"/>
      <c r="M94"/>
      <c r="N94"/>
      <c r="O94"/>
      <c r="P94"/>
      <c r="Q94"/>
      <c r="R94"/>
      <c r="S94"/>
      <c r="T94"/>
      <c r="U94"/>
      <c r="V94"/>
    </row>
    <row r="95" spans="1:22" ht="15" x14ac:dyDescent="0.25">
      <c r="A95"/>
      <c r="B95"/>
      <c r="C95"/>
      <c r="D95"/>
      <c r="E95"/>
      <c r="F95"/>
      <c r="G95"/>
      <c r="H95"/>
      <c r="I95"/>
      <c r="J95"/>
      <c r="K95"/>
      <c r="L95"/>
      <c r="M95"/>
      <c r="N95"/>
      <c r="O95"/>
      <c r="P95"/>
      <c r="Q95"/>
      <c r="R95"/>
      <c r="S95"/>
      <c r="T95"/>
      <c r="U95"/>
      <c r="V95"/>
    </row>
    <row r="96" spans="1:22" ht="15" x14ac:dyDescent="0.25">
      <c r="A96"/>
      <c r="B96"/>
      <c r="C96"/>
      <c r="D96"/>
      <c r="E96"/>
      <c r="F96"/>
      <c r="G96"/>
      <c r="H96"/>
      <c r="I96"/>
      <c r="J96"/>
      <c r="K96"/>
      <c r="L96"/>
      <c r="M96"/>
      <c r="N96"/>
      <c r="O96"/>
      <c r="P96"/>
      <c r="Q96"/>
      <c r="R96"/>
      <c r="S96"/>
      <c r="T96"/>
      <c r="U96"/>
      <c r="V96"/>
    </row>
    <row r="97" spans="1:22" ht="15" x14ac:dyDescent="0.25">
      <c r="A97"/>
      <c r="B97"/>
      <c r="C97"/>
      <c r="D97"/>
      <c r="E97"/>
      <c r="F97"/>
      <c r="G97"/>
      <c r="H97"/>
      <c r="I97"/>
      <c r="J97"/>
      <c r="K97"/>
      <c r="L97"/>
      <c r="M97"/>
      <c r="N97"/>
      <c r="O97"/>
      <c r="P97"/>
      <c r="Q97"/>
      <c r="R97"/>
      <c r="S97"/>
      <c r="T97"/>
      <c r="U97"/>
      <c r="V97"/>
    </row>
    <row r="98" spans="1:22" ht="15" x14ac:dyDescent="0.25">
      <c r="A98"/>
      <c r="B98"/>
      <c r="C98"/>
      <c r="D98"/>
      <c r="E98"/>
      <c r="F98"/>
      <c r="G98"/>
      <c r="H98"/>
      <c r="I98"/>
      <c r="J98"/>
      <c r="K98"/>
      <c r="L98"/>
      <c r="M98"/>
      <c r="N98"/>
      <c r="O98"/>
      <c r="P98"/>
      <c r="Q98"/>
      <c r="R98"/>
      <c r="S98"/>
      <c r="T98"/>
      <c r="U98"/>
      <c r="V98"/>
    </row>
    <row r="99" spans="1:22" ht="15" x14ac:dyDescent="0.25">
      <c r="A99"/>
      <c r="B99"/>
      <c r="C99"/>
      <c r="D99"/>
      <c r="E99"/>
      <c r="F99"/>
      <c r="G99"/>
      <c r="H99"/>
      <c r="I99"/>
      <c r="J99"/>
      <c r="K99"/>
      <c r="L99"/>
      <c r="M99"/>
      <c r="N99"/>
      <c r="O99"/>
      <c r="P99"/>
      <c r="Q99"/>
      <c r="R99"/>
      <c r="S99"/>
      <c r="T99"/>
      <c r="U99"/>
      <c r="V99"/>
    </row>
    <row r="100" spans="1:22" ht="15" x14ac:dyDescent="0.25">
      <c r="A100"/>
      <c r="B100"/>
      <c r="C100"/>
      <c r="D100"/>
      <c r="E100"/>
      <c r="F100"/>
      <c r="G100"/>
      <c r="H100"/>
      <c r="I100"/>
      <c r="J100"/>
      <c r="K100"/>
      <c r="L100"/>
      <c r="M100"/>
      <c r="N100"/>
      <c r="O100"/>
      <c r="P100"/>
      <c r="Q100"/>
      <c r="R100"/>
      <c r="S100"/>
      <c r="T100"/>
      <c r="U100"/>
      <c r="V100"/>
    </row>
    <row r="101" spans="1:22" ht="15" x14ac:dyDescent="0.25">
      <c r="A101"/>
      <c r="B101"/>
      <c r="C101"/>
      <c r="D101"/>
      <c r="E101"/>
      <c r="F101"/>
      <c r="G101"/>
      <c r="H101"/>
      <c r="I101"/>
      <c r="J101"/>
      <c r="K101"/>
      <c r="L101"/>
      <c r="M101"/>
      <c r="N101"/>
      <c r="O101"/>
      <c r="P101"/>
      <c r="Q101"/>
      <c r="R101"/>
      <c r="S101"/>
      <c r="T101"/>
      <c r="U101"/>
      <c r="V101"/>
    </row>
    <row r="102" spans="1:22" ht="15" x14ac:dyDescent="0.25">
      <c r="A102"/>
      <c r="B102"/>
      <c r="C102"/>
      <c r="D102"/>
      <c r="E102"/>
      <c r="F102"/>
      <c r="G102"/>
      <c r="H102"/>
      <c r="I102"/>
      <c r="J102"/>
      <c r="K102"/>
      <c r="L102"/>
      <c r="M102"/>
      <c r="N102"/>
      <c r="O102"/>
      <c r="P102"/>
      <c r="Q102"/>
      <c r="R102"/>
      <c r="S102"/>
      <c r="T102"/>
      <c r="U102"/>
      <c r="V102"/>
    </row>
    <row r="103" spans="1:22" ht="15" x14ac:dyDescent="0.25">
      <c r="A103"/>
      <c r="B103"/>
      <c r="C103"/>
      <c r="D103"/>
      <c r="E103"/>
      <c r="F103"/>
      <c r="G103"/>
      <c r="H103"/>
      <c r="I103"/>
      <c r="J103"/>
      <c r="K103"/>
      <c r="L103"/>
      <c r="M103"/>
      <c r="N103"/>
      <c r="O103"/>
      <c r="P103"/>
      <c r="Q103"/>
      <c r="R103"/>
      <c r="S103"/>
      <c r="T103"/>
      <c r="U103"/>
      <c r="V103"/>
    </row>
    <row r="104" spans="1:22" ht="15" x14ac:dyDescent="0.25">
      <c r="A104"/>
      <c r="B104"/>
      <c r="C104"/>
      <c r="D104"/>
      <c r="E104"/>
      <c r="F104"/>
      <c r="G104"/>
      <c r="H104"/>
      <c r="I104"/>
      <c r="J104"/>
      <c r="K104"/>
      <c r="L104"/>
      <c r="M104"/>
      <c r="N104"/>
      <c r="O104"/>
      <c r="P104"/>
      <c r="Q104"/>
      <c r="R104"/>
      <c r="S104"/>
      <c r="T104"/>
      <c r="U104"/>
      <c r="V104"/>
    </row>
    <row r="105" spans="1:22" ht="15" x14ac:dyDescent="0.25">
      <c r="A105"/>
      <c r="B105"/>
      <c r="C105"/>
      <c r="D105"/>
      <c r="E105"/>
      <c r="F105"/>
      <c r="G105"/>
      <c r="H105"/>
      <c r="I105"/>
      <c r="J105"/>
      <c r="K105"/>
      <c r="L105"/>
      <c r="M105"/>
      <c r="N105"/>
      <c r="O105"/>
      <c r="P105"/>
      <c r="Q105"/>
      <c r="R105"/>
      <c r="S105"/>
      <c r="T105"/>
      <c r="U105"/>
      <c r="V105"/>
    </row>
    <row r="106" spans="1:22" ht="15" x14ac:dyDescent="0.25">
      <c r="A106"/>
      <c r="B106"/>
      <c r="C106"/>
      <c r="D106"/>
      <c r="E106"/>
      <c r="F106"/>
      <c r="G106"/>
      <c r="H106"/>
      <c r="I106"/>
      <c r="J106"/>
      <c r="K106"/>
      <c r="L106"/>
      <c r="M106"/>
      <c r="N106"/>
      <c r="O106"/>
      <c r="P106"/>
      <c r="Q106"/>
      <c r="R106"/>
      <c r="S106"/>
      <c r="T106"/>
      <c r="U106"/>
      <c r="V106"/>
    </row>
    <row r="107" spans="1:22" ht="15" x14ac:dyDescent="0.25">
      <c r="A107"/>
      <c r="B107"/>
      <c r="C107"/>
      <c r="D107"/>
      <c r="E107"/>
      <c r="F107"/>
      <c r="G107"/>
      <c r="H107"/>
      <c r="I107"/>
      <c r="J107"/>
      <c r="K107"/>
      <c r="L107"/>
      <c r="M107"/>
      <c r="N107"/>
      <c r="O107"/>
      <c r="P107"/>
      <c r="Q107"/>
      <c r="R107"/>
      <c r="S107"/>
      <c r="T107"/>
      <c r="U107"/>
      <c r="V107"/>
    </row>
    <row r="108" spans="1:22" ht="15" x14ac:dyDescent="0.25">
      <c r="A108"/>
      <c r="B108"/>
      <c r="C108"/>
      <c r="D108"/>
      <c r="E108"/>
      <c r="F108"/>
      <c r="G108"/>
      <c r="H108"/>
      <c r="I108"/>
      <c r="J108"/>
      <c r="K108"/>
      <c r="L108"/>
      <c r="M108"/>
      <c r="N108"/>
      <c r="O108"/>
      <c r="P108"/>
      <c r="Q108"/>
      <c r="R108"/>
      <c r="S108"/>
      <c r="T108"/>
      <c r="U108"/>
      <c r="V108"/>
    </row>
    <row r="109" spans="1:22" ht="15" x14ac:dyDescent="0.25">
      <c r="A109"/>
      <c r="B109"/>
      <c r="C109"/>
      <c r="D109"/>
      <c r="E109"/>
      <c r="F109"/>
      <c r="G109"/>
      <c r="H109"/>
      <c r="I109"/>
      <c r="J109"/>
      <c r="K109"/>
      <c r="L109"/>
      <c r="M109"/>
      <c r="N109"/>
      <c r="O109"/>
      <c r="P109"/>
      <c r="Q109"/>
      <c r="R109"/>
      <c r="S109"/>
      <c r="T109"/>
      <c r="U109"/>
      <c r="V109"/>
    </row>
    <row r="110" spans="1:22" ht="15" x14ac:dyDescent="0.25">
      <c r="A110"/>
      <c r="B110"/>
      <c r="C110"/>
      <c r="D110"/>
      <c r="E110"/>
      <c r="F110"/>
      <c r="G110"/>
      <c r="H110"/>
      <c r="I110"/>
      <c r="J110"/>
      <c r="K110"/>
      <c r="L110"/>
      <c r="M110"/>
      <c r="N110"/>
      <c r="O110"/>
      <c r="P110"/>
      <c r="Q110"/>
      <c r="R110"/>
      <c r="S110"/>
      <c r="T110"/>
      <c r="U110"/>
      <c r="V110"/>
    </row>
    <row r="111" spans="1:22" ht="15" x14ac:dyDescent="0.25">
      <c r="A111"/>
      <c r="B111"/>
      <c r="C111"/>
      <c r="D111"/>
      <c r="E111"/>
      <c r="F111"/>
      <c r="G111"/>
      <c r="H111"/>
      <c r="I111"/>
      <c r="J111"/>
      <c r="K111"/>
      <c r="L111"/>
      <c r="M111"/>
      <c r="N111"/>
      <c r="O111"/>
      <c r="P111"/>
      <c r="Q111"/>
      <c r="R111"/>
      <c r="S111"/>
      <c r="T111"/>
      <c r="U111"/>
      <c r="V111"/>
    </row>
    <row r="112" spans="1:22" ht="15" x14ac:dyDescent="0.25">
      <c r="A112"/>
      <c r="B112"/>
      <c r="C112"/>
      <c r="D112"/>
      <c r="E112"/>
      <c r="F112"/>
      <c r="G112"/>
      <c r="H112"/>
      <c r="I112"/>
      <c r="J112"/>
      <c r="K112"/>
      <c r="L112"/>
      <c r="M112"/>
      <c r="N112"/>
      <c r="O112"/>
      <c r="P112"/>
      <c r="Q112"/>
      <c r="R112"/>
      <c r="S112"/>
      <c r="T112"/>
      <c r="U112"/>
      <c r="V112"/>
    </row>
    <row r="113" spans="1:22" ht="15" x14ac:dyDescent="0.25">
      <c r="A113"/>
      <c r="B113"/>
      <c r="C113"/>
      <c r="D113"/>
      <c r="E113"/>
      <c r="F113"/>
      <c r="G113"/>
      <c r="H113"/>
      <c r="I113"/>
      <c r="J113"/>
      <c r="K113"/>
      <c r="L113"/>
      <c r="M113"/>
      <c r="N113"/>
      <c r="O113"/>
      <c r="P113"/>
      <c r="Q113"/>
      <c r="R113"/>
      <c r="S113"/>
      <c r="T113"/>
      <c r="U113"/>
      <c r="V113"/>
    </row>
    <row r="114" spans="1:22" ht="15" x14ac:dyDescent="0.25">
      <c r="A114"/>
      <c r="B114"/>
      <c r="C114"/>
      <c r="D114"/>
      <c r="E114"/>
      <c r="F114"/>
      <c r="G114"/>
      <c r="H114"/>
      <c r="I114"/>
      <c r="J114"/>
      <c r="K114"/>
      <c r="L114"/>
      <c r="M114"/>
      <c r="N114"/>
      <c r="O114"/>
      <c r="P114"/>
      <c r="Q114"/>
      <c r="R114"/>
      <c r="S114"/>
      <c r="T114"/>
      <c r="U114"/>
      <c r="V114"/>
    </row>
    <row r="115" spans="1:22" ht="15" x14ac:dyDescent="0.25">
      <c r="A115"/>
      <c r="B115"/>
      <c r="C115"/>
      <c r="D115"/>
      <c r="E115"/>
      <c r="F115"/>
      <c r="G115"/>
      <c r="H115"/>
      <c r="I115"/>
      <c r="J115"/>
      <c r="K115"/>
      <c r="L115"/>
      <c r="M115"/>
      <c r="N115"/>
      <c r="O115"/>
      <c r="P115"/>
      <c r="Q115"/>
      <c r="R115"/>
      <c r="S115"/>
      <c r="T115"/>
      <c r="U115"/>
      <c r="V115"/>
    </row>
    <row r="116" spans="1:22" ht="15" x14ac:dyDescent="0.25">
      <c r="A116"/>
      <c r="B116"/>
      <c r="C116"/>
      <c r="D116"/>
      <c r="E116"/>
      <c r="F116"/>
      <c r="G116"/>
      <c r="H116"/>
      <c r="I116"/>
      <c r="J116"/>
      <c r="K116"/>
      <c r="L116"/>
      <c r="M116"/>
      <c r="N116"/>
      <c r="O116"/>
      <c r="P116"/>
      <c r="Q116"/>
      <c r="R116"/>
      <c r="S116"/>
      <c r="T116"/>
      <c r="U116"/>
      <c r="V116"/>
    </row>
    <row r="117" spans="1:22" ht="15" x14ac:dyDescent="0.25">
      <c r="A117"/>
      <c r="B117"/>
      <c r="C117"/>
      <c r="D117"/>
      <c r="E117"/>
      <c r="F117"/>
      <c r="G117"/>
      <c r="H117"/>
      <c r="I117"/>
      <c r="J117"/>
      <c r="K117"/>
      <c r="L117"/>
      <c r="M117"/>
      <c r="N117"/>
      <c r="O117"/>
      <c r="P117"/>
      <c r="Q117"/>
      <c r="R117"/>
      <c r="S117"/>
      <c r="T117"/>
      <c r="U117"/>
      <c r="V117"/>
    </row>
    <row r="118" spans="1:22" ht="15" x14ac:dyDescent="0.25">
      <c r="A118"/>
      <c r="B118"/>
      <c r="C118"/>
      <c r="D118"/>
      <c r="E118"/>
      <c r="F118"/>
      <c r="G118"/>
      <c r="H118"/>
      <c r="I118"/>
      <c r="J118"/>
      <c r="K118"/>
      <c r="L118"/>
      <c r="M118"/>
      <c r="N118"/>
      <c r="O118"/>
      <c r="P118"/>
      <c r="Q118"/>
      <c r="R118"/>
      <c r="S118"/>
      <c r="T118"/>
      <c r="U118"/>
      <c r="V118"/>
    </row>
    <row r="119" spans="1:22" ht="15" x14ac:dyDescent="0.25">
      <c r="A119"/>
      <c r="B119"/>
      <c r="C119"/>
      <c r="D119"/>
      <c r="E119"/>
      <c r="F119"/>
      <c r="G119"/>
      <c r="H119"/>
      <c r="I119"/>
      <c r="J119"/>
      <c r="K119"/>
      <c r="L119"/>
      <c r="M119"/>
      <c r="N119"/>
      <c r="O119"/>
      <c r="P119"/>
      <c r="Q119"/>
      <c r="R119"/>
      <c r="S119"/>
      <c r="T119"/>
      <c r="U119"/>
      <c r="V119"/>
    </row>
    <row r="120" spans="1:22" ht="15" x14ac:dyDescent="0.25">
      <c r="A120"/>
      <c r="B120"/>
      <c r="C120"/>
      <c r="D120"/>
      <c r="E120"/>
      <c r="F120"/>
      <c r="G120"/>
      <c r="H120"/>
      <c r="I120"/>
      <c r="J120"/>
      <c r="K120"/>
      <c r="L120"/>
      <c r="M120"/>
      <c r="N120"/>
      <c r="O120"/>
      <c r="P120"/>
      <c r="Q120"/>
      <c r="R120"/>
      <c r="S120"/>
      <c r="T120"/>
      <c r="U120"/>
      <c r="V120"/>
    </row>
    <row r="121" spans="1:22" ht="15" x14ac:dyDescent="0.25">
      <c r="A121"/>
      <c r="B121"/>
      <c r="C121"/>
      <c r="D121"/>
      <c r="E121"/>
      <c r="F121"/>
      <c r="G121"/>
      <c r="H121"/>
      <c r="I121"/>
      <c r="J121"/>
      <c r="K121"/>
      <c r="L121"/>
      <c r="M121"/>
      <c r="N121"/>
      <c r="O121"/>
      <c r="P121"/>
      <c r="Q121"/>
      <c r="R121"/>
      <c r="S121"/>
      <c r="T121"/>
      <c r="U121"/>
      <c r="V121"/>
    </row>
    <row r="122" spans="1:22" ht="15" x14ac:dyDescent="0.25">
      <c r="A122"/>
      <c r="B122"/>
      <c r="C122"/>
      <c r="D122"/>
      <c r="E122"/>
      <c r="F122"/>
      <c r="G122"/>
      <c r="H122"/>
      <c r="I122"/>
      <c r="J122"/>
      <c r="K122"/>
      <c r="L122"/>
      <c r="M122"/>
      <c r="N122"/>
      <c r="O122"/>
      <c r="P122"/>
      <c r="Q122"/>
      <c r="R122"/>
      <c r="S122"/>
      <c r="T122"/>
      <c r="U122"/>
      <c r="V122"/>
    </row>
    <row r="123" spans="1:22" ht="15" x14ac:dyDescent="0.25">
      <c r="A123"/>
      <c r="B123"/>
      <c r="C123"/>
      <c r="D123"/>
      <c r="E123"/>
      <c r="F123"/>
      <c r="G123"/>
      <c r="H123"/>
      <c r="I123"/>
      <c r="J123"/>
      <c r="K123"/>
      <c r="L123"/>
      <c r="M123"/>
      <c r="N123"/>
      <c r="O123"/>
      <c r="P123"/>
      <c r="Q123"/>
      <c r="R123"/>
      <c r="S123"/>
      <c r="T123"/>
      <c r="U123"/>
      <c r="V123"/>
    </row>
    <row r="124" spans="1:22" ht="15" x14ac:dyDescent="0.25">
      <c r="A124"/>
      <c r="B124"/>
      <c r="C124"/>
      <c r="D124"/>
      <c r="E124"/>
      <c r="F124"/>
      <c r="G124"/>
      <c r="H124"/>
      <c r="I124"/>
      <c r="J124"/>
      <c r="K124"/>
      <c r="L124"/>
      <c r="M124"/>
      <c r="N124"/>
      <c r="O124"/>
      <c r="P124"/>
      <c r="Q124"/>
      <c r="R124"/>
      <c r="S124"/>
      <c r="T124"/>
      <c r="U124"/>
      <c r="V124"/>
    </row>
    <row r="125" spans="1:22" ht="15" x14ac:dyDescent="0.25">
      <c r="A125"/>
      <c r="B125"/>
      <c r="C125"/>
      <c r="D125"/>
      <c r="E125"/>
      <c r="F125"/>
      <c r="G125"/>
      <c r="H125"/>
      <c r="I125"/>
      <c r="J125"/>
      <c r="K125"/>
      <c r="L125"/>
      <c r="M125"/>
      <c r="N125"/>
      <c r="O125"/>
      <c r="P125"/>
      <c r="Q125"/>
      <c r="R125"/>
      <c r="S125"/>
      <c r="T125"/>
      <c r="U125"/>
      <c r="V125"/>
    </row>
    <row r="126" spans="1:22" ht="15" x14ac:dyDescent="0.25">
      <c r="A126"/>
      <c r="B126"/>
      <c r="C126"/>
      <c r="D126"/>
      <c r="E126"/>
      <c r="F126"/>
      <c r="G126"/>
      <c r="H126"/>
      <c r="I126"/>
      <c r="J126"/>
      <c r="K126"/>
      <c r="L126"/>
      <c r="M126"/>
      <c r="N126"/>
      <c r="O126"/>
      <c r="P126"/>
      <c r="Q126"/>
      <c r="R126"/>
      <c r="S126"/>
      <c r="T126"/>
      <c r="U126"/>
      <c r="V126"/>
    </row>
    <row r="127" spans="1:22" ht="15" x14ac:dyDescent="0.25">
      <c r="A127"/>
      <c r="B127"/>
      <c r="C127"/>
      <c r="D127"/>
      <c r="E127"/>
      <c r="F127"/>
      <c r="G127"/>
      <c r="H127"/>
      <c r="I127"/>
      <c r="J127"/>
      <c r="K127"/>
      <c r="L127"/>
      <c r="M127"/>
      <c r="N127"/>
      <c r="O127"/>
      <c r="P127"/>
      <c r="Q127"/>
      <c r="R127"/>
      <c r="S127"/>
      <c r="T127"/>
      <c r="U127"/>
      <c r="V127"/>
    </row>
    <row r="128" spans="1:22" ht="15" x14ac:dyDescent="0.25">
      <c r="A128"/>
      <c r="B128"/>
      <c r="C128"/>
      <c r="D128"/>
      <c r="E128"/>
      <c r="F128"/>
      <c r="G128"/>
      <c r="H128"/>
      <c r="I128"/>
      <c r="J128"/>
      <c r="K128"/>
      <c r="L128"/>
      <c r="M128"/>
      <c r="N128"/>
      <c r="O128"/>
      <c r="P128"/>
      <c r="Q128"/>
      <c r="R128"/>
      <c r="S128"/>
      <c r="T128"/>
      <c r="U128"/>
      <c r="V128"/>
    </row>
    <row r="129" spans="1:22" ht="15" x14ac:dyDescent="0.25">
      <c r="A129"/>
      <c r="B129"/>
      <c r="C129"/>
      <c r="D129"/>
      <c r="E129"/>
      <c r="F129"/>
      <c r="G129"/>
      <c r="H129"/>
      <c r="I129"/>
      <c r="J129"/>
      <c r="K129"/>
      <c r="L129"/>
      <c r="M129"/>
      <c r="N129"/>
      <c r="O129"/>
      <c r="P129"/>
      <c r="Q129"/>
      <c r="R129"/>
      <c r="S129"/>
      <c r="T129"/>
      <c r="U129"/>
      <c r="V129"/>
    </row>
    <row r="130" spans="1:22" ht="15" x14ac:dyDescent="0.25">
      <c r="A130"/>
      <c r="B130"/>
      <c r="C130"/>
      <c r="D130"/>
      <c r="E130"/>
      <c r="F130"/>
      <c r="G130"/>
      <c r="H130"/>
      <c r="I130"/>
      <c r="J130"/>
      <c r="K130"/>
      <c r="L130"/>
      <c r="M130"/>
      <c r="N130"/>
      <c r="O130"/>
      <c r="P130"/>
      <c r="Q130"/>
      <c r="R130"/>
      <c r="S130"/>
      <c r="T130"/>
      <c r="U130"/>
      <c r="V130"/>
    </row>
    <row r="131" spans="1:22" ht="15" x14ac:dyDescent="0.25">
      <c r="A131"/>
      <c r="B131"/>
      <c r="C131"/>
      <c r="D131"/>
      <c r="E131"/>
      <c r="F131"/>
      <c r="G131"/>
      <c r="H131"/>
      <c r="I131"/>
      <c r="J131"/>
      <c r="K131"/>
      <c r="L131"/>
      <c r="M131"/>
      <c r="N131"/>
      <c r="O131"/>
      <c r="P131"/>
      <c r="Q131"/>
      <c r="R131"/>
      <c r="S131"/>
      <c r="T131"/>
      <c r="U131"/>
      <c r="V131"/>
    </row>
    <row r="132" spans="1:22" ht="15" x14ac:dyDescent="0.25">
      <c r="A132"/>
      <c r="B132"/>
      <c r="C132"/>
      <c r="D132"/>
      <c r="E132"/>
      <c r="F132"/>
      <c r="G132"/>
      <c r="H132"/>
      <c r="I132"/>
      <c r="J132"/>
      <c r="K132"/>
      <c r="L132"/>
      <c r="M132"/>
      <c r="N132"/>
      <c r="O132"/>
      <c r="P132"/>
      <c r="Q132"/>
      <c r="R132"/>
      <c r="S132"/>
      <c r="T132"/>
      <c r="U132"/>
      <c r="V132"/>
    </row>
    <row r="133" spans="1:22" ht="15" x14ac:dyDescent="0.25">
      <c r="A133"/>
      <c r="B133"/>
      <c r="C133"/>
      <c r="D133"/>
      <c r="E133"/>
      <c r="F133"/>
      <c r="G133"/>
      <c r="H133"/>
      <c r="I133"/>
      <c r="J133"/>
      <c r="K133"/>
      <c r="L133"/>
      <c r="M133"/>
      <c r="N133"/>
      <c r="O133"/>
      <c r="P133"/>
      <c r="Q133"/>
      <c r="R133"/>
      <c r="S133"/>
      <c r="T133"/>
      <c r="U133"/>
      <c r="V133"/>
    </row>
    <row r="134" spans="1:22" ht="15" x14ac:dyDescent="0.25">
      <c r="A134"/>
      <c r="B134"/>
      <c r="C134"/>
      <c r="D134"/>
      <c r="E134"/>
      <c r="F134"/>
      <c r="G134"/>
      <c r="H134"/>
      <c r="I134"/>
      <c r="J134"/>
      <c r="K134"/>
      <c r="L134"/>
      <c r="M134"/>
      <c r="N134"/>
      <c r="O134"/>
      <c r="P134"/>
      <c r="Q134"/>
      <c r="R134"/>
      <c r="S134"/>
      <c r="T134"/>
      <c r="U134"/>
      <c r="V134"/>
    </row>
    <row r="135" spans="1:22" ht="15" x14ac:dyDescent="0.25">
      <c r="A135"/>
      <c r="B135"/>
      <c r="C135"/>
      <c r="D135"/>
      <c r="E135"/>
      <c r="F135"/>
      <c r="G135"/>
      <c r="H135"/>
      <c r="I135"/>
      <c r="J135"/>
      <c r="K135"/>
      <c r="L135"/>
      <c r="M135"/>
      <c r="N135"/>
      <c r="O135"/>
      <c r="P135"/>
      <c r="Q135"/>
      <c r="R135"/>
      <c r="S135"/>
      <c r="T135"/>
      <c r="U135"/>
      <c r="V135"/>
    </row>
    <row r="136" spans="1:22" ht="15" x14ac:dyDescent="0.25">
      <c r="A136"/>
      <c r="B136"/>
      <c r="C136"/>
      <c r="D136"/>
      <c r="E136"/>
      <c r="F136"/>
      <c r="G136"/>
      <c r="H136"/>
      <c r="I136"/>
      <c r="J136"/>
      <c r="K136"/>
      <c r="L136"/>
      <c r="M136"/>
      <c r="N136"/>
      <c r="O136"/>
      <c r="P136"/>
      <c r="Q136"/>
      <c r="R136"/>
      <c r="S136"/>
      <c r="T136"/>
      <c r="U136"/>
      <c r="V136"/>
    </row>
    <row r="137" spans="1:22" ht="15" x14ac:dyDescent="0.25">
      <c r="A137"/>
      <c r="B137"/>
      <c r="C137"/>
      <c r="D137"/>
      <c r="E137"/>
      <c r="F137"/>
      <c r="G137"/>
      <c r="H137"/>
      <c r="I137"/>
      <c r="J137"/>
      <c r="K137"/>
      <c r="L137"/>
      <c r="M137"/>
      <c r="N137"/>
      <c r="O137"/>
      <c r="P137"/>
      <c r="Q137"/>
      <c r="R137"/>
      <c r="S137"/>
      <c r="T137"/>
      <c r="U137"/>
      <c r="V137"/>
    </row>
    <row r="138" spans="1:22" ht="15" x14ac:dyDescent="0.25">
      <c r="A138"/>
      <c r="B138"/>
      <c r="C138"/>
      <c r="D138"/>
      <c r="E138"/>
      <c r="F138"/>
      <c r="G138"/>
      <c r="H138"/>
      <c r="I138"/>
      <c r="J138"/>
      <c r="K138"/>
      <c r="L138"/>
      <c r="M138"/>
      <c r="N138"/>
      <c r="O138"/>
      <c r="P138"/>
      <c r="Q138"/>
      <c r="R138"/>
      <c r="S138"/>
      <c r="T138"/>
      <c r="U138"/>
      <c r="V138"/>
    </row>
    <row r="139" spans="1:22" ht="15" x14ac:dyDescent="0.25">
      <c r="A139"/>
      <c r="B139"/>
      <c r="C139"/>
      <c r="D139"/>
      <c r="E139"/>
      <c r="F139"/>
      <c r="G139"/>
      <c r="H139"/>
      <c r="I139"/>
      <c r="J139"/>
      <c r="K139"/>
      <c r="L139"/>
      <c r="M139"/>
      <c r="N139"/>
      <c r="O139"/>
      <c r="P139"/>
      <c r="Q139"/>
      <c r="R139"/>
      <c r="S139"/>
      <c r="T139"/>
      <c r="U139"/>
      <c r="V139"/>
    </row>
    <row r="140" spans="1:22" ht="15" x14ac:dyDescent="0.25">
      <c r="A140"/>
      <c r="B140"/>
      <c r="C140"/>
      <c r="D140"/>
      <c r="E140"/>
      <c r="F140"/>
      <c r="G140"/>
      <c r="H140"/>
      <c r="I140"/>
      <c r="J140"/>
      <c r="K140"/>
      <c r="L140"/>
      <c r="M140"/>
      <c r="N140"/>
      <c r="O140"/>
      <c r="P140"/>
      <c r="Q140"/>
      <c r="R140"/>
      <c r="S140"/>
      <c r="T140"/>
      <c r="U140"/>
      <c r="V140"/>
    </row>
    <row r="141" spans="1:22" ht="15" x14ac:dyDescent="0.25">
      <c r="A141"/>
      <c r="B141"/>
      <c r="C141"/>
      <c r="D141"/>
      <c r="E141"/>
      <c r="F141"/>
      <c r="G141"/>
      <c r="H141"/>
      <c r="I141"/>
      <c r="J141"/>
      <c r="K141"/>
      <c r="L141"/>
      <c r="M141"/>
      <c r="N141"/>
      <c r="O141"/>
      <c r="P141"/>
      <c r="Q141"/>
      <c r="R141"/>
      <c r="S141"/>
      <c r="T141"/>
      <c r="U141"/>
      <c r="V141"/>
    </row>
    <row r="142" spans="1:22" ht="15" x14ac:dyDescent="0.25">
      <c r="A142"/>
      <c r="B142"/>
      <c r="C142"/>
      <c r="D142"/>
      <c r="E142"/>
      <c r="F142"/>
      <c r="G142"/>
      <c r="H142"/>
      <c r="I142"/>
      <c r="J142"/>
      <c r="K142"/>
      <c r="L142"/>
      <c r="M142"/>
      <c r="N142"/>
      <c r="O142"/>
      <c r="P142"/>
      <c r="Q142"/>
      <c r="R142"/>
      <c r="S142"/>
      <c r="T142"/>
      <c r="U142"/>
      <c r="V142"/>
    </row>
    <row r="143" spans="1:22" ht="15" x14ac:dyDescent="0.25">
      <c r="A143"/>
      <c r="B143"/>
      <c r="C143"/>
      <c r="D143"/>
      <c r="E143"/>
      <c r="F143"/>
      <c r="G143"/>
      <c r="H143"/>
      <c r="I143"/>
      <c r="J143"/>
      <c r="K143"/>
      <c r="L143"/>
      <c r="M143"/>
      <c r="N143"/>
      <c r="O143"/>
      <c r="P143"/>
      <c r="Q143"/>
      <c r="R143"/>
      <c r="S143"/>
      <c r="T143"/>
      <c r="U143"/>
      <c r="V143"/>
    </row>
    <row r="144" spans="1:22" ht="15" x14ac:dyDescent="0.25">
      <c r="A144"/>
      <c r="B144"/>
      <c r="C144"/>
      <c r="D144"/>
      <c r="E144"/>
      <c r="F144"/>
      <c r="G144"/>
      <c r="H144"/>
      <c r="I144"/>
      <c r="J144"/>
      <c r="K144"/>
      <c r="L144"/>
      <c r="M144"/>
      <c r="N144"/>
      <c r="O144"/>
      <c r="P144"/>
      <c r="Q144"/>
      <c r="R144"/>
      <c r="S144"/>
      <c r="T144"/>
      <c r="U144"/>
      <c r="V144"/>
    </row>
    <row r="145" spans="1:22" ht="15" x14ac:dyDescent="0.25">
      <c r="A145"/>
      <c r="B145"/>
      <c r="C145"/>
      <c r="D145"/>
      <c r="E145"/>
      <c r="F145"/>
      <c r="G145"/>
      <c r="H145"/>
      <c r="I145"/>
      <c r="J145"/>
      <c r="K145"/>
      <c r="L145"/>
      <c r="M145"/>
      <c r="N145"/>
      <c r="O145"/>
      <c r="P145"/>
      <c r="Q145"/>
      <c r="R145"/>
      <c r="S145"/>
      <c r="T145"/>
      <c r="U145"/>
      <c r="V145"/>
    </row>
    <row r="146" spans="1:22" ht="15" x14ac:dyDescent="0.25">
      <c r="A146"/>
      <c r="B146"/>
      <c r="C146"/>
      <c r="D146"/>
      <c r="E146"/>
      <c r="F146"/>
      <c r="G146"/>
      <c r="H146"/>
      <c r="I146"/>
      <c r="J146"/>
      <c r="K146"/>
      <c r="L146"/>
      <c r="M146"/>
      <c r="N146"/>
      <c r="O146"/>
      <c r="P146"/>
      <c r="Q146"/>
      <c r="R146"/>
      <c r="S146"/>
      <c r="T146"/>
      <c r="U146"/>
      <c r="V146"/>
    </row>
    <row r="147" spans="1:22" ht="15" x14ac:dyDescent="0.25">
      <c r="A147"/>
      <c r="B147"/>
      <c r="C147"/>
      <c r="D147"/>
      <c r="E147"/>
      <c r="F147"/>
      <c r="G147"/>
      <c r="H147"/>
      <c r="I147"/>
      <c r="J147"/>
      <c r="K147"/>
      <c r="L147"/>
      <c r="M147"/>
      <c r="N147"/>
      <c r="O147"/>
      <c r="P147"/>
      <c r="Q147"/>
      <c r="R147"/>
      <c r="S147"/>
      <c r="T147"/>
      <c r="U147"/>
      <c r="V147"/>
    </row>
    <row r="148" spans="1:22" ht="15" x14ac:dyDescent="0.25">
      <c r="A148"/>
      <c r="B148"/>
      <c r="C148"/>
      <c r="D148"/>
      <c r="E148"/>
      <c r="F148"/>
      <c r="G148"/>
      <c r="H148"/>
      <c r="I148"/>
      <c r="J148"/>
      <c r="K148"/>
      <c r="L148"/>
      <c r="M148"/>
      <c r="N148"/>
      <c r="O148"/>
      <c r="P148"/>
      <c r="Q148"/>
      <c r="R148"/>
      <c r="S148"/>
      <c r="T148"/>
      <c r="U148"/>
      <c r="V148"/>
    </row>
    <row r="149" spans="1:22" ht="15" x14ac:dyDescent="0.25">
      <c r="A149"/>
      <c r="B149"/>
      <c r="C149"/>
      <c r="D149"/>
      <c r="E149"/>
      <c r="F149"/>
      <c r="G149"/>
      <c r="H149"/>
      <c r="I149"/>
      <c r="J149"/>
      <c r="K149"/>
      <c r="L149"/>
      <c r="M149"/>
      <c r="N149"/>
      <c r="O149"/>
      <c r="P149"/>
      <c r="Q149"/>
      <c r="R149"/>
      <c r="S149"/>
      <c r="T149"/>
      <c r="U149"/>
      <c r="V149"/>
    </row>
    <row r="150" spans="1:22" ht="15" x14ac:dyDescent="0.25">
      <c r="A150"/>
      <c r="B150"/>
      <c r="C150"/>
      <c r="D150"/>
      <c r="E150"/>
      <c r="F150"/>
      <c r="G150"/>
      <c r="H150"/>
      <c r="I150"/>
      <c r="J150"/>
      <c r="K150"/>
      <c r="L150"/>
      <c r="M150"/>
      <c r="N150"/>
      <c r="O150"/>
      <c r="P150"/>
      <c r="Q150"/>
      <c r="R150"/>
      <c r="S150"/>
      <c r="T150"/>
      <c r="U150"/>
      <c r="V150"/>
    </row>
    <row r="151" spans="1:22" ht="15" x14ac:dyDescent="0.25">
      <c r="A151"/>
      <c r="B151"/>
      <c r="C151"/>
      <c r="D151"/>
      <c r="E151"/>
      <c r="F151"/>
      <c r="G151"/>
      <c r="H151"/>
      <c r="I151"/>
      <c r="J151"/>
      <c r="K151"/>
      <c r="L151"/>
      <c r="M151"/>
      <c r="N151"/>
      <c r="O151"/>
      <c r="P151"/>
      <c r="Q151"/>
      <c r="R151"/>
      <c r="S151"/>
      <c r="T151"/>
      <c r="U151"/>
      <c r="V151"/>
    </row>
    <row r="152" spans="1:22" ht="15" x14ac:dyDescent="0.25">
      <c r="A152"/>
      <c r="B152"/>
      <c r="C152"/>
      <c r="D152"/>
      <c r="E152"/>
      <c r="F152"/>
      <c r="G152"/>
      <c r="H152"/>
      <c r="I152"/>
      <c r="J152"/>
      <c r="K152"/>
      <c r="L152"/>
      <c r="M152"/>
      <c r="N152"/>
      <c r="O152"/>
      <c r="P152"/>
      <c r="Q152"/>
      <c r="R152"/>
      <c r="S152"/>
      <c r="T152"/>
      <c r="U152"/>
      <c r="V152"/>
    </row>
    <row r="153" spans="1:22" ht="15" x14ac:dyDescent="0.25">
      <c r="A153"/>
      <c r="B153"/>
      <c r="C153"/>
      <c r="D153"/>
      <c r="E153"/>
      <c r="F153"/>
      <c r="G153"/>
      <c r="H153"/>
      <c r="I153"/>
      <c r="J153"/>
      <c r="K153"/>
      <c r="L153"/>
      <c r="M153"/>
      <c r="N153"/>
      <c r="O153"/>
      <c r="P153"/>
      <c r="Q153"/>
      <c r="R153"/>
      <c r="S153"/>
      <c r="T153"/>
      <c r="U153"/>
      <c r="V153"/>
    </row>
    <row r="154" spans="1:22" ht="15" x14ac:dyDescent="0.25">
      <c r="A154"/>
      <c r="B154"/>
      <c r="C154"/>
      <c r="D154"/>
      <c r="E154"/>
      <c r="F154"/>
      <c r="G154"/>
      <c r="H154"/>
      <c r="I154"/>
      <c r="J154"/>
      <c r="K154"/>
      <c r="L154"/>
      <c r="M154"/>
      <c r="N154"/>
      <c r="O154"/>
      <c r="P154"/>
      <c r="Q154"/>
      <c r="R154"/>
      <c r="S154"/>
      <c r="T154"/>
      <c r="U154"/>
      <c r="V154"/>
    </row>
    <row r="155" spans="1:22" ht="15" x14ac:dyDescent="0.25">
      <c r="A155"/>
      <c r="B155"/>
      <c r="C155"/>
      <c r="D155"/>
      <c r="E155"/>
      <c r="F155"/>
      <c r="G155"/>
      <c r="H155"/>
      <c r="I155"/>
      <c r="J155"/>
      <c r="K155"/>
      <c r="L155"/>
      <c r="M155"/>
      <c r="N155"/>
      <c r="O155"/>
      <c r="P155"/>
      <c r="Q155"/>
      <c r="R155"/>
      <c r="S155"/>
      <c r="T155"/>
      <c r="U155"/>
      <c r="V155"/>
    </row>
    <row r="156" spans="1:22" ht="15" x14ac:dyDescent="0.25">
      <c r="A156"/>
      <c r="B156"/>
      <c r="C156"/>
      <c r="D156"/>
      <c r="E156"/>
      <c r="F156"/>
      <c r="G156"/>
      <c r="H156"/>
      <c r="I156"/>
      <c r="J156"/>
      <c r="K156"/>
      <c r="L156"/>
      <c r="M156"/>
      <c r="N156"/>
      <c r="O156"/>
      <c r="P156"/>
      <c r="Q156"/>
      <c r="R156"/>
      <c r="S156"/>
      <c r="T156"/>
      <c r="U156"/>
      <c r="V156"/>
    </row>
    <row r="157" spans="1:22" ht="15" x14ac:dyDescent="0.25">
      <c r="A157"/>
      <c r="B157"/>
      <c r="C157"/>
      <c r="D157"/>
      <c r="E157"/>
      <c r="F157"/>
      <c r="G157"/>
      <c r="H157"/>
      <c r="I157"/>
      <c r="J157"/>
      <c r="K157"/>
      <c r="L157"/>
      <c r="M157"/>
      <c r="N157"/>
      <c r="O157"/>
      <c r="P157"/>
      <c r="Q157"/>
      <c r="R157"/>
      <c r="S157"/>
      <c r="T157"/>
      <c r="U157"/>
      <c r="V157"/>
    </row>
    <row r="158" spans="1:22" ht="15" x14ac:dyDescent="0.25">
      <c r="A158"/>
      <c r="B158"/>
      <c r="C158"/>
      <c r="D158"/>
      <c r="E158"/>
      <c r="F158"/>
      <c r="G158"/>
      <c r="H158"/>
      <c r="I158"/>
      <c r="J158"/>
      <c r="K158"/>
      <c r="L158"/>
      <c r="M158"/>
      <c r="N158"/>
      <c r="O158"/>
      <c r="P158"/>
      <c r="Q158"/>
      <c r="R158"/>
      <c r="S158"/>
      <c r="T158"/>
      <c r="U158"/>
      <c r="V158"/>
    </row>
    <row r="159" spans="1:22" ht="15" x14ac:dyDescent="0.25">
      <c r="A159"/>
      <c r="B159"/>
      <c r="C159"/>
      <c r="D159"/>
      <c r="E159"/>
      <c r="F159"/>
      <c r="G159"/>
      <c r="H159"/>
      <c r="I159"/>
      <c r="J159"/>
      <c r="K159"/>
      <c r="L159"/>
      <c r="M159"/>
      <c r="N159"/>
      <c r="O159"/>
      <c r="P159"/>
      <c r="Q159"/>
      <c r="R159"/>
      <c r="S159"/>
      <c r="T159"/>
      <c r="U159"/>
      <c r="V159"/>
    </row>
    <row r="160" spans="1:22" ht="15" x14ac:dyDescent="0.25">
      <c r="A160"/>
      <c r="B160"/>
      <c r="C160"/>
      <c r="D160"/>
      <c r="E160"/>
      <c r="F160"/>
      <c r="G160"/>
      <c r="H160"/>
      <c r="I160"/>
      <c r="J160"/>
      <c r="K160"/>
      <c r="L160"/>
      <c r="M160"/>
      <c r="N160"/>
      <c r="O160"/>
      <c r="P160"/>
      <c r="Q160"/>
      <c r="R160"/>
      <c r="S160"/>
      <c r="T160"/>
      <c r="U160"/>
      <c r="V160"/>
    </row>
    <row r="161" spans="1:22" ht="15" x14ac:dyDescent="0.25">
      <c r="A161"/>
      <c r="B161"/>
      <c r="C161"/>
      <c r="D161"/>
      <c r="E161"/>
      <c r="F161"/>
      <c r="G161"/>
      <c r="H161"/>
      <c r="I161"/>
      <c r="J161"/>
      <c r="K161"/>
      <c r="L161"/>
      <c r="M161"/>
      <c r="N161"/>
      <c r="O161"/>
      <c r="P161"/>
      <c r="Q161"/>
      <c r="R161"/>
      <c r="S161"/>
      <c r="T161"/>
      <c r="U161"/>
      <c r="V161"/>
    </row>
    <row r="162" spans="1:22" ht="15" x14ac:dyDescent="0.25">
      <c r="A162"/>
      <c r="B162"/>
      <c r="C162"/>
      <c r="D162"/>
      <c r="E162"/>
      <c r="F162"/>
      <c r="G162"/>
      <c r="H162"/>
      <c r="I162"/>
      <c r="J162"/>
      <c r="K162"/>
      <c r="L162"/>
      <c r="M162"/>
      <c r="N162"/>
      <c r="O162"/>
      <c r="P162"/>
      <c r="Q162"/>
      <c r="R162"/>
      <c r="S162"/>
      <c r="T162"/>
      <c r="U162"/>
      <c r="V162"/>
    </row>
    <row r="163" spans="1:22" ht="15" x14ac:dyDescent="0.25">
      <c r="A163"/>
      <c r="B163"/>
      <c r="C163"/>
      <c r="D163"/>
      <c r="E163"/>
      <c r="F163"/>
      <c r="G163"/>
      <c r="H163"/>
      <c r="I163"/>
      <c r="J163"/>
      <c r="K163"/>
      <c r="L163"/>
      <c r="M163"/>
      <c r="N163"/>
      <c r="O163"/>
      <c r="P163"/>
      <c r="Q163"/>
      <c r="R163"/>
      <c r="S163"/>
      <c r="T163"/>
      <c r="U163"/>
      <c r="V163"/>
    </row>
    <row r="164" spans="1:22" ht="15" x14ac:dyDescent="0.25">
      <c r="A164"/>
      <c r="B164"/>
      <c r="C164"/>
      <c r="D164"/>
      <c r="E164"/>
      <c r="F164"/>
      <c r="G164"/>
      <c r="H164"/>
      <c r="I164"/>
      <c r="J164"/>
      <c r="K164"/>
      <c r="L164"/>
      <c r="M164"/>
      <c r="N164"/>
      <c r="O164"/>
      <c r="P164"/>
      <c r="Q164"/>
      <c r="R164"/>
      <c r="S164"/>
      <c r="T164"/>
      <c r="U164"/>
      <c r="V164"/>
    </row>
    <row r="165" spans="1:22" ht="15" x14ac:dyDescent="0.25">
      <c r="A165"/>
      <c r="B165"/>
      <c r="C165"/>
      <c r="D165"/>
      <c r="E165"/>
      <c r="F165"/>
      <c r="G165"/>
      <c r="H165"/>
      <c r="I165"/>
      <c r="J165"/>
      <c r="K165"/>
      <c r="L165"/>
      <c r="M165"/>
      <c r="N165"/>
      <c r="O165"/>
      <c r="P165"/>
      <c r="Q165"/>
      <c r="R165"/>
      <c r="S165"/>
      <c r="T165"/>
      <c r="U165"/>
      <c r="V165"/>
    </row>
    <row r="166" spans="1:22" ht="15" x14ac:dyDescent="0.25">
      <c r="A166"/>
      <c r="B166"/>
      <c r="C166"/>
      <c r="D166"/>
      <c r="E166"/>
      <c r="F166"/>
      <c r="G166"/>
      <c r="H166"/>
      <c r="I166"/>
      <c r="J166"/>
      <c r="K166"/>
      <c r="L166"/>
      <c r="M166"/>
      <c r="N166"/>
      <c r="O166"/>
      <c r="P166"/>
      <c r="Q166"/>
      <c r="R166"/>
      <c r="S166"/>
      <c r="T166"/>
      <c r="U166"/>
      <c r="V166"/>
    </row>
    <row r="167" spans="1:22" ht="15" x14ac:dyDescent="0.25">
      <c r="A167"/>
      <c r="B167"/>
      <c r="C167"/>
      <c r="D167"/>
      <c r="E167"/>
      <c r="F167"/>
      <c r="G167"/>
      <c r="H167"/>
      <c r="I167"/>
      <c r="J167"/>
      <c r="K167"/>
      <c r="L167"/>
      <c r="M167"/>
      <c r="N167"/>
      <c r="O167"/>
      <c r="P167"/>
      <c r="Q167"/>
      <c r="R167"/>
      <c r="S167"/>
      <c r="T167"/>
      <c r="U167"/>
      <c r="V167"/>
    </row>
    <row r="168" spans="1:22" ht="15" x14ac:dyDescent="0.25">
      <c r="A168"/>
      <c r="B168"/>
      <c r="C168"/>
      <c r="D168"/>
      <c r="E168"/>
      <c r="F168"/>
      <c r="G168"/>
      <c r="H168"/>
      <c r="I168"/>
      <c r="J168"/>
      <c r="K168"/>
      <c r="L168"/>
      <c r="M168"/>
      <c r="N168"/>
      <c r="O168"/>
      <c r="P168"/>
      <c r="Q168"/>
      <c r="R168"/>
      <c r="S168"/>
      <c r="T168"/>
      <c r="U168"/>
      <c r="V168"/>
    </row>
    <row r="169" spans="1:22" ht="15" x14ac:dyDescent="0.25">
      <c r="A169"/>
      <c r="B169"/>
      <c r="C169"/>
      <c r="D169"/>
      <c r="E169"/>
      <c r="F169"/>
      <c r="G169"/>
      <c r="H169"/>
      <c r="I169"/>
      <c r="J169"/>
      <c r="K169"/>
      <c r="L169"/>
      <c r="M169"/>
      <c r="N169"/>
      <c r="O169"/>
      <c r="P169"/>
      <c r="Q169"/>
      <c r="R169"/>
      <c r="S169"/>
      <c r="T169"/>
      <c r="U169"/>
      <c r="V169"/>
    </row>
    <row r="170" spans="1:22" ht="15" x14ac:dyDescent="0.25">
      <c r="A170"/>
      <c r="B170"/>
      <c r="C170"/>
      <c r="D170"/>
      <c r="E170"/>
      <c r="F170"/>
      <c r="G170"/>
      <c r="H170"/>
      <c r="I170"/>
      <c r="J170"/>
      <c r="K170"/>
      <c r="L170"/>
      <c r="M170"/>
      <c r="N170"/>
      <c r="O170"/>
      <c r="P170"/>
      <c r="Q170"/>
      <c r="R170"/>
      <c r="S170"/>
      <c r="T170"/>
      <c r="U170"/>
      <c r="V170"/>
    </row>
    <row r="171" spans="1:22" ht="15" x14ac:dyDescent="0.25">
      <c r="A171"/>
      <c r="B171"/>
      <c r="C171"/>
      <c r="D171"/>
      <c r="E171"/>
      <c r="F171"/>
      <c r="G171"/>
      <c r="H171"/>
      <c r="I171"/>
      <c r="J171"/>
      <c r="K171"/>
      <c r="L171"/>
      <c r="M171"/>
      <c r="N171"/>
      <c r="O171"/>
      <c r="P171"/>
      <c r="Q171"/>
      <c r="R171"/>
      <c r="S171"/>
      <c r="T171"/>
      <c r="U171"/>
      <c r="V171"/>
    </row>
    <row r="172" spans="1:22" ht="15" x14ac:dyDescent="0.25">
      <c r="A172"/>
      <c r="B172"/>
      <c r="C172"/>
      <c r="D172"/>
      <c r="E172"/>
      <c r="F172"/>
      <c r="G172"/>
      <c r="H172"/>
      <c r="I172"/>
      <c r="J172"/>
      <c r="K172"/>
      <c r="L172"/>
      <c r="M172"/>
      <c r="N172"/>
      <c r="O172"/>
      <c r="P172"/>
      <c r="Q172"/>
      <c r="R172"/>
      <c r="S172"/>
      <c r="T172"/>
      <c r="U172"/>
      <c r="V172"/>
    </row>
    <row r="173" spans="1:22" ht="15" x14ac:dyDescent="0.25">
      <c r="A173"/>
      <c r="B173"/>
      <c r="C173"/>
      <c r="D173"/>
      <c r="E173"/>
      <c r="F173"/>
      <c r="G173"/>
      <c r="H173"/>
      <c r="I173"/>
      <c r="J173"/>
      <c r="K173"/>
      <c r="L173"/>
      <c r="M173"/>
      <c r="N173"/>
      <c r="O173"/>
      <c r="P173"/>
      <c r="Q173"/>
      <c r="R173"/>
      <c r="S173"/>
      <c r="T173"/>
      <c r="U173"/>
      <c r="V173"/>
    </row>
    <row r="174" spans="1:22" ht="15" x14ac:dyDescent="0.25">
      <c r="A174"/>
      <c r="B174"/>
      <c r="C174"/>
      <c r="D174"/>
      <c r="E174"/>
      <c r="F174"/>
      <c r="G174"/>
      <c r="H174"/>
      <c r="I174"/>
      <c r="J174"/>
      <c r="K174"/>
      <c r="L174"/>
      <c r="M174"/>
      <c r="N174"/>
      <c r="O174"/>
      <c r="P174"/>
      <c r="Q174"/>
      <c r="R174"/>
      <c r="S174"/>
      <c r="T174"/>
      <c r="U174"/>
      <c r="V174"/>
    </row>
    <row r="175" spans="1:22" ht="15" x14ac:dyDescent="0.25">
      <c r="A175"/>
      <c r="B175"/>
      <c r="C175"/>
      <c r="D175"/>
      <c r="E175"/>
      <c r="F175"/>
      <c r="G175"/>
      <c r="H175"/>
      <c r="I175"/>
      <c r="J175"/>
      <c r="K175"/>
      <c r="L175"/>
      <c r="M175"/>
      <c r="N175"/>
      <c r="O175"/>
      <c r="P175"/>
      <c r="Q175"/>
      <c r="R175"/>
      <c r="S175"/>
      <c r="T175"/>
      <c r="U175"/>
      <c r="V175"/>
    </row>
    <row r="176" spans="1:22" ht="15" x14ac:dyDescent="0.25">
      <c r="A176"/>
      <c r="B176"/>
      <c r="C176"/>
      <c r="D176"/>
      <c r="E176"/>
      <c r="F176"/>
      <c r="G176"/>
      <c r="H176"/>
      <c r="I176"/>
      <c r="J176"/>
      <c r="K176"/>
      <c r="L176"/>
      <c r="M176"/>
      <c r="N176"/>
      <c r="O176"/>
      <c r="P176"/>
      <c r="Q176"/>
      <c r="R176"/>
      <c r="S176"/>
      <c r="T176"/>
      <c r="U176"/>
      <c r="V176"/>
    </row>
    <row r="177" spans="1:22" ht="15" x14ac:dyDescent="0.25">
      <c r="A177"/>
      <c r="B177"/>
      <c r="C177"/>
      <c r="D177"/>
      <c r="E177"/>
      <c r="F177"/>
      <c r="G177"/>
      <c r="H177"/>
      <c r="I177"/>
      <c r="J177"/>
      <c r="K177"/>
      <c r="L177"/>
      <c r="M177"/>
      <c r="N177"/>
      <c r="O177"/>
      <c r="P177"/>
      <c r="Q177"/>
      <c r="R177"/>
      <c r="S177"/>
      <c r="T177"/>
      <c r="U177"/>
      <c r="V177"/>
    </row>
    <row r="178" spans="1:22" ht="15" x14ac:dyDescent="0.25">
      <c r="A178"/>
      <c r="B178"/>
      <c r="C178"/>
      <c r="D178"/>
      <c r="E178"/>
      <c r="F178"/>
      <c r="G178"/>
      <c r="H178"/>
      <c r="I178"/>
      <c r="J178"/>
      <c r="K178"/>
      <c r="L178"/>
      <c r="M178"/>
      <c r="N178"/>
      <c r="O178"/>
      <c r="P178"/>
      <c r="Q178"/>
      <c r="R178"/>
      <c r="S178"/>
      <c r="T178"/>
      <c r="U178"/>
      <c r="V178"/>
    </row>
    <row r="179" spans="1:22" ht="15" x14ac:dyDescent="0.25">
      <c r="A179"/>
      <c r="B179"/>
      <c r="C179"/>
      <c r="D179"/>
      <c r="E179"/>
      <c r="F179"/>
      <c r="G179"/>
      <c r="H179"/>
      <c r="I179"/>
      <c r="J179"/>
      <c r="K179"/>
      <c r="L179"/>
      <c r="M179"/>
      <c r="N179"/>
      <c r="O179"/>
      <c r="P179"/>
      <c r="Q179"/>
      <c r="R179"/>
      <c r="S179"/>
      <c r="T179"/>
      <c r="U179"/>
      <c r="V179"/>
    </row>
    <row r="180" spans="1:22" ht="15" x14ac:dyDescent="0.25">
      <c r="A180"/>
      <c r="B180"/>
      <c r="C180"/>
      <c r="D180"/>
      <c r="E180"/>
      <c r="F180"/>
      <c r="G180"/>
      <c r="H180"/>
      <c r="I180"/>
      <c r="J180"/>
      <c r="K180"/>
      <c r="L180"/>
      <c r="M180"/>
      <c r="N180"/>
      <c r="O180"/>
      <c r="P180"/>
      <c r="Q180"/>
      <c r="R180"/>
      <c r="S180"/>
      <c r="T180"/>
      <c r="U180"/>
      <c r="V180"/>
    </row>
    <row r="181" spans="1:22" ht="15" x14ac:dyDescent="0.25">
      <c r="A181"/>
      <c r="B181"/>
      <c r="C181"/>
      <c r="D181"/>
      <c r="E181"/>
      <c r="F181"/>
      <c r="G181"/>
      <c r="H181"/>
      <c r="I181"/>
      <c r="J181"/>
      <c r="K181"/>
      <c r="L181"/>
      <c r="M181"/>
      <c r="N181"/>
      <c r="O181"/>
      <c r="P181"/>
      <c r="Q181"/>
      <c r="R181"/>
      <c r="S181"/>
      <c r="T181"/>
      <c r="U181"/>
      <c r="V181"/>
    </row>
    <row r="182" spans="1:22" ht="15" x14ac:dyDescent="0.25">
      <c r="A182"/>
      <c r="B182"/>
      <c r="C182"/>
      <c r="D182"/>
      <c r="E182"/>
      <c r="F182"/>
      <c r="G182"/>
      <c r="H182"/>
      <c r="I182"/>
      <c r="J182"/>
      <c r="K182"/>
      <c r="L182"/>
      <c r="M182"/>
      <c r="N182"/>
      <c r="O182"/>
      <c r="P182"/>
      <c r="Q182"/>
      <c r="R182"/>
      <c r="S182"/>
      <c r="T182"/>
      <c r="U182"/>
      <c r="V182"/>
    </row>
    <row r="183" spans="1:22" ht="15" x14ac:dyDescent="0.25">
      <c r="A183"/>
      <c r="B183"/>
      <c r="C183"/>
      <c r="D183"/>
      <c r="E183"/>
      <c r="F183"/>
      <c r="G183"/>
      <c r="H183"/>
      <c r="I183"/>
      <c r="J183"/>
      <c r="K183"/>
      <c r="L183"/>
      <c r="M183"/>
      <c r="N183"/>
      <c r="O183"/>
      <c r="P183"/>
      <c r="Q183"/>
      <c r="R183"/>
      <c r="S183"/>
      <c r="T183"/>
      <c r="U183"/>
      <c r="V183"/>
    </row>
    <row r="184" spans="1:22" ht="15" x14ac:dyDescent="0.25">
      <c r="A184"/>
      <c r="B184"/>
      <c r="C184"/>
      <c r="D184"/>
      <c r="E184"/>
      <c r="F184"/>
      <c r="G184"/>
      <c r="H184"/>
      <c r="I184"/>
      <c r="J184"/>
      <c r="K184"/>
      <c r="L184"/>
      <c r="M184"/>
      <c r="N184"/>
      <c r="O184"/>
      <c r="P184"/>
      <c r="Q184"/>
      <c r="R184"/>
      <c r="S184"/>
      <c r="T184"/>
      <c r="U184"/>
      <c r="V184"/>
    </row>
    <row r="185" spans="1:22" ht="15" x14ac:dyDescent="0.25">
      <c r="A185"/>
      <c r="B185"/>
      <c r="C185"/>
      <c r="D185"/>
      <c r="E185"/>
      <c r="F185"/>
      <c r="G185"/>
      <c r="H185"/>
      <c r="I185"/>
      <c r="J185"/>
      <c r="K185"/>
      <c r="L185"/>
      <c r="M185"/>
      <c r="N185"/>
      <c r="O185"/>
      <c r="P185"/>
      <c r="Q185"/>
      <c r="R185"/>
      <c r="S185"/>
      <c r="T185"/>
      <c r="U185"/>
      <c r="V185"/>
    </row>
    <row r="186" spans="1:22" ht="15" x14ac:dyDescent="0.25">
      <c r="A186"/>
      <c r="B186"/>
      <c r="C186"/>
      <c r="D186"/>
      <c r="E186"/>
      <c r="F186"/>
      <c r="G186"/>
      <c r="H186"/>
      <c r="I186"/>
      <c r="J186"/>
      <c r="K186"/>
      <c r="L186"/>
      <c r="M186"/>
      <c r="N186"/>
      <c r="O186"/>
      <c r="P186"/>
      <c r="Q186"/>
      <c r="R186"/>
      <c r="S186"/>
      <c r="T186"/>
      <c r="U186"/>
      <c r="V186"/>
    </row>
    <row r="187" spans="1:22" ht="15" x14ac:dyDescent="0.25">
      <c r="A187"/>
      <c r="B187"/>
      <c r="C187"/>
      <c r="D187"/>
      <c r="E187"/>
      <c r="F187"/>
      <c r="G187"/>
      <c r="H187"/>
      <c r="I187"/>
      <c r="J187"/>
      <c r="K187"/>
      <c r="L187"/>
      <c r="M187"/>
      <c r="N187"/>
      <c r="O187"/>
      <c r="P187"/>
      <c r="Q187"/>
      <c r="R187"/>
      <c r="S187"/>
      <c r="T187"/>
      <c r="U187"/>
      <c r="V187"/>
    </row>
    <row r="188" spans="1:22" ht="15" x14ac:dyDescent="0.25">
      <c r="A188"/>
      <c r="B188"/>
      <c r="C188"/>
      <c r="D188"/>
      <c r="E188"/>
      <c r="F188"/>
      <c r="G188"/>
      <c r="H188"/>
      <c r="I188"/>
      <c r="J188"/>
      <c r="K188"/>
      <c r="L188"/>
      <c r="M188"/>
      <c r="N188"/>
      <c r="O188"/>
      <c r="P188"/>
      <c r="Q188"/>
      <c r="R188"/>
      <c r="S188"/>
      <c r="T188"/>
      <c r="U188"/>
      <c r="V188"/>
    </row>
    <row r="189" spans="1:22" ht="15" x14ac:dyDescent="0.25">
      <c r="A189"/>
      <c r="B189"/>
      <c r="C189"/>
      <c r="D189"/>
      <c r="E189"/>
      <c r="F189"/>
      <c r="G189"/>
      <c r="H189"/>
      <c r="I189"/>
      <c r="J189"/>
      <c r="K189"/>
      <c r="L189"/>
      <c r="M189"/>
      <c r="N189"/>
      <c r="O189"/>
      <c r="P189"/>
      <c r="Q189"/>
      <c r="R189"/>
      <c r="S189"/>
      <c r="T189"/>
      <c r="U189"/>
      <c r="V189"/>
    </row>
    <row r="190" spans="1:22" ht="15" x14ac:dyDescent="0.25">
      <c r="A190"/>
      <c r="B190"/>
      <c r="C190"/>
      <c r="D190"/>
      <c r="E190"/>
      <c r="F190"/>
      <c r="G190"/>
      <c r="H190"/>
      <c r="I190"/>
      <c r="J190"/>
      <c r="K190"/>
      <c r="L190"/>
      <c r="M190"/>
      <c r="N190"/>
      <c r="O190"/>
      <c r="P190"/>
      <c r="Q190"/>
      <c r="R190"/>
      <c r="S190"/>
      <c r="T190"/>
      <c r="U190"/>
      <c r="V190"/>
    </row>
    <row r="191" spans="1:22" ht="15" x14ac:dyDescent="0.25">
      <c r="A191"/>
      <c r="B191"/>
      <c r="C191"/>
      <c r="D191"/>
      <c r="E191"/>
      <c r="F191"/>
      <c r="G191"/>
      <c r="H191"/>
      <c r="I191"/>
      <c r="J191"/>
      <c r="K191"/>
      <c r="L191"/>
      <c r="M191"/>
      <c r="N191"/>
      <c r="O191"/>
      <c r="P191"/>
      <c r="Q191"/>
      <c r="R191"/>
      <c r="S191"/>
      <c r="T191"/>
      <c r="U191"/>
      <c r="V191"/>
    </row>
    <row r="192" spans="1:22" ht="15" x14ac:dyDescent="0.25">
      <c r="A192"/>
      <c r="B192"/>
      <c r="C192"/>
      <c r="D192"/>
      <c r="E192"/>
      <c r="F192"/>
      <c r="G192"/>
      <c r="H192"/>
      <c r="I192"/>
      <c r="J192"/>
      <c r="K192"/>
      <c r="L192"/>
      <c r="M192"/>
      <c r="N192"/>
      <c r="O192"/>
      <c r="P192"/>
      <c r="Q192"/>
      <c r="R192"/>
      <c r="S192"/>
      <c r="T192"/>
      <c r="U192"/>
      <c r="V192"/>
    </row>
    <row r="193" spans="1:22" ht="15" x14ac:dyDescent="0.25">
      <c r="A193"/>
      <c r="B193"/>
      <c r="C193"/>
      <c r="D193"/>
      <c r="E193"/>
      <c r="F193"/>
      <c r="G193"/>
      <c r="H193"/>
      <c r="I193"/>
      <c r="J193"/>
      <c r="K193"/>
      <c r="L193"/>
      <c r="M193"/>
      <c r="N193"/>
      <c r="O193"/>
      <c r="P193"/>
      <c r="Q193"/>
      <c r="R193"/>
      <c r="S193"/>
      <c r="T193"/>
      <c r="U193"/>
      <c r="V193"/>
    </row>
    <row r="194" spans="1:22" ht="15" x14ac:dyDescent="0.25">
      <c r="A194"/>
      <c r="B194"/>
      <c r="C194"/>
      <c r="D194"/>
      <c r="E194"/>
      <c r="F194"/>
      <c r="G194"/>
      <c r="H194"/>
      <c r="I194"/>
      <c r="J194"/>
      <c r="K194"/>
      <c r="L194"/>
      <c r="M194"/>
      <c r="N194"/>
      <c r="O194"/>
      <c r="P194"/>
      <c r="Q194"/>
      <c r="R194"/>
      <c r="S194"/>
      <c r="T194"/>
      <c r="U194"/>
      <c r="V194"/>
    </row>
    <row r="195" spans="1:22" ht="15" x14ac:dyDescent="0.25">
      <c r="A195"/>
      <c r="B195"/>
      <c r="C195"/>
      <c r="D195"/>
      <c r="E195"/>
      <c r="F195"/>
      <c r="G195"/>
      <c r="H195"/>
      <c r="I195"/>
      <c r="J195"/>
      <c r="K195"/>
      <c r="L195"/>
      <c r="M195"/>
      <c r="N195"/>
      <c r="O195"/>
      <c r="P195"/>
      <c r="Q195"/>
      <c r="R195"/>
      <c r="S195"/>
      <c r="T195"/>
      <c r="U195"/>
      <c r="V195"/>
    </row>
    <row r="196" spans="1:22" ht="15" x14ac:dyDescent="0.25">
      <c r="A196"/>
      <c r="B196"/>
      <c r="C196"/>
      <c r="D196"/>
      <c r="E196"/>
      <c r="F196"/>
      <c r="G196"/>
      <c r="H196"/>
      <c r="I196"/>
      <c r="J196"/>
      <c r="K196"/>
      <c r="L196"/>
      <c r="M196"/>
      <c r="N196"/>
      <c r="O196"/>
      <c r="P196"/>
      <c r="Q196"/>
      <c r="R196"/>
      <c r="S196"/>
      <c r="T196"/>
      <c r="U196"/>
      <c r="V196"/>
    </row>
    <row r="197" spans="1:22" ht="15" x14ac:dyDescent="0.25">
      <c r="A197"/>
      <c r="B197"/>
      <c r="C197"/>
      <c r="D197"/>
      <c r="E197"/>
      <c r="F197"/>
      <c r="G197"/>
      <c r="H197"/>
      <c r="I197"/>
      <c r="J197"/>
      <c r="K197"/>
      <c r="L197"/>
      <c r="M197"/>
      <c r="N197"/>
      <c r="O197"/>
      <c r="P197"/>
      <c r="Q197"/>
      <c r="R197"/>
      <c r="S197"/>
      <c r="T197"/>
      <c r="U197"/>
      <c r="V197"/>
    </row>
    <row r="198" spans="1:22" ht="15" x14ac:dyDescent="0.25">
      <c r="A198"/>
      <c r="B198"/>
      <c r="C198"/>
      <c r="D198"/>
      <c r="E198"/>
      <c r="F198"/>
      <c r="G198"/>
      <c r="H198"/>
      <c r="I198"/>
      <c r="J198"/>
      <c r="K198"/>
      <c r="L198"/>
      <c r="M198"/>
      <c r="N198"/>
      <c r="O198"/>
      <c r="P198"/>
      <c r="Q198"/>
      <c r="R198"/>
      <c r="S198"/>
      <c r="T198"/>
      <c r="U198"/>
      <c r="V198"/>
    </row>
    <row r="199" spans="1:22" ht="15" x14ac:dyDescent="0.25">
      <c r="A199"/>
      <c r="B199"/>
      <c r="C199"/>
      <c r="D199"/>
      <c r="E199"/>
      <c r="F199"/>
      <c r="G199"/>
      <c r="H199"/>
      <c r="I199"/>
      <c r="J199"/>
      <c r="K199"/>
      <c r="L199"/>
      <c r="M199"/>
      <c r="N199"/>
      <c r="O199"/>
      <c r="P199"/>
      <c r="Q199"/>
      <c r="R199"/>
      <c r="S199"/>
      <c r="T199"/>
      <c r="U199"/>
      <c r="V199"/>
    </row>
    <row r="200" spans="1:22" ht="15" x14ac:dyDescent="0.25">
      <c r="A200"/>
      <c r="B200"/>
      <c r="C200"/>
      <c r="D200"/>
      <c r="E200"/>
      <c r="F200"/>
      <c r="G200"/>
      <c r="H200"/>
      <c r="I200"/>
      <c r="J200"/>
      <c r="K200"/>
      <c r="L200"/>
      <c r="M200"/>
      <c r="N200"/>
      <c r="O200"/>
      <c r="P200"/>
      <c r="Q200"/>
      <c r="R200"/>
      <c r="S200"/>
      <c r="T200"/>
      <c r="U200"/>
      <c r="V200"/>
    </row>
    <row r="201" spans="1:22" ht="15" x14ac:dyDescent="0.25">
      <c r="A201"/>
      <c r="B201"/>
      <c r="C201"/>
      <c r="D201"/>
      <c r="E201"/>
      <c r="F201"/>
      <c r="G201"/>
      <c r="H201"/>
      <c r="I201"/>
      <c r="J201"/>
      <c r="K201"/>
      <c r="L201"/>
      <c r="M201"/>
      <c r="N201"/>
      <c r="O201"/>
      <c r="P201"/>
      <c r="Q201"/>
      <c r="R201"/>
      <c r="S201"/>
      <c r="T201"/>
      <c r="U201"/>
      <c r="V201"/>
    </row>
    <row r="202" spans="1:22" ht="15" x14ac:dyDescent="0.25">
      <c r="A202"/>
      <c r="B202"/>
      <c r="C202"/>
      <c r="D202"/>
      <c r="E202"/>
      <c r="F202"/>
      <c r="G202"/>
      <c r="H202"/>
      <c r="I202"/>
      <c r="J202"/>
      <c r="K202"/>
      <c r="L202"/>
      <c r="M202"/>
      <c r="N202"/>
      <c r="O202"/>
      <c r="P202"/>
      <c r="Q202"/>
      <c r="R202"/>
      <c r="S202"/>
      <c r="T202"/>
      <c r="U202"/>
      <c r="V202"/>
    </row>
    <row r="203" spans="1:22" ht="15" x14ac:dyDescent="0.25">
      <c r="A203"/>
      <c r="B203"/>
      <c r="C203"/>
      <c r="D203"/>
      <c r="E203"/>
      <c r="F203"/>
      <c r="G203"/>
      <c r="H203"/>
      <c r="I203"/>
      <c r="J203"/>
      <c r="K203"/>
      <c r="L203"/>
      <c r="M203"/>
      <c r="N203"/>
      <c r="O203"/>
      <c r="P203"/>
      <c r="Q203"/>
      <c r="R203"/>
      <c r="S203"/>
      <c r="T203"/>
      <c r="U203"/>
      <c r="V203"/>
    </row>
    <row r="204" spans="1:22" ht="15" x14ac:dyDescent="0.25">
      <c r="A204"/>
      <c r="B204"/>
      <c r="C204"/>
      <c r="D204"/>
      <c r="E204"/>
      <c r="F204"/>
      <c r="G204"/>
      <c r="H204"/>
      <c r="I204"/>
      <c r="J204"/>
      <c r="K204"/>
      <c r="L204"/>
      <c r="M204"/>
      <c r="N204"/>
      <c r="O204"/>
      <c r="P204"/>
      <c r="Q204"/>
      <c r="R204"/>
      <c r="S204"/>
      <c r="T204"/>
      <c r="U204"/>
      <c r="V204"/>
    </row>
    <row r="205" spans="1:22" ht="15" x14ac:dyDescent="0.25">
      <c r="A205"/>
      <c r="B205"/>
      <c r="C205"/>
      <c r="D205"/>
      <c r="E205"/>
      <c r="F205"/>
      <c r="G205"/>
      <c r="H205"/>
      <c r="I205"/>
      <c r="J205"/>
      <c r="K205"/>
      <c r="L205"/>
      <c r="M205"/>
      <c r="N205"/>
      <c r="O205"/>
      <c r="P205"/>
      <c r="Q205"/>
      <c r="R205"/>
      <c r="S205"/>
      <c r="T205"/>
      <c r="U205"/>
      <c r="V205"/>
    </row>
    <row r="206" spans="1:22" ht="15" x14ac:dyDescent="0.25">
      <c r="A206"/>
      <c r="B206"/>
      <c r="C206"/>
      <c r="D206"/>
      <c r="E206"/>
      <c r="F206"/>
      <c r="G206"/>
      <c r="H206"/>
      <c r="I206"/>
      <c r="J206"/>
      <c r="K206"/>
      <c r="L206"/>
      <c r="M206"/>
      <c r="N206"/>
      <c r="O206"/>
      <c r="P206"/>
      <c r="Q206"/>
      <c r="R206"/>
      <c r="S206"/>
      <c r="T206"/>
      <c r="U206"/>
      <c r="V206"/>
    </row>
    <row r="207" spans="1:22" ht="15" x14ac:dyDescent="0.25">
      <c r="A207"/>
      <c r="B207"/>
      <c r="C207"/>
      <c r="D207"/>
      <c r="E207"/>
      <c r="F207"/>
      <c r="G207"/>
      <c r="H207"/>
      <c r="I207"/>
      <c r="J207"/>
      <c r="K207"/>
      <c r="L207"/>
      <c r="M207"/>
      <c r="N207"/>
      <c r="O207"/>
      <c r="P207"/>
      <c r="Q207"/>
      <c r="R207"/>
      <c r="S207"/>
      <c r="T207"/>
      <c r="U207"/>
      <c r="V207"/>
    </row>
    <row r="208" spans="1:22" ht="15" x14ac:dyDescent="0.25">
      <c r="A208"/>
      <c r="B208"/>
      <c r="C208"/>
      <c r="D208"/>
      <c r="E208"/>
      <c r="F208"/>
      <c r="G208"/>
      <c r="H208"/>
      <c r="I208"/>
      <c r="J208"/>
      <c r="K208"/>
      <c r="L208"/>
      <c r="M208"/>
      <c r="N208"/>
      <c r="O208"/>
      <c r="P208"/>
      <c r="Q208"/>
      <c r="R208"/>
      <c r="S208"/>
      <c r="T208"/>
      <c r="U208"/>
      <c r="V208"/>
    </row>
    <row r="209" spans="1:22" ht="15" x14ac:dyDescent="0.25">
      <c r="A209"/>
      <c r="B209"/>
      <c r="C209"/>
      <c r="D209"/>
      <c r="E209"/>
      <c r="F209"/>
      <c r="G209"/>
      <c r="H209"/>
      <c r="I209"/>
      <c r="J209"/>
      <c r="K209"/>
      <c r="L209"/>
      <c r="M209"/>
      <c r="N209"/>
      <c r="O209"/>
      <c r="P209"/>
      <c r="Q209"/>
      <c r="R209"/>
      <c r="S209"/>
      <c r="T209"/>
      <c r="U209"/>
      <c r="V209"/>
    </row>
    <row r="210" spans="1:22" ht="15" x14ac:dyDescent="0.25">
      <c r="A210"/>
      <c r="B210"/>
      <c r="C210"/>
      <c r="D210"/>
      <c r="E210"/>
      <c r="F210"/>
      <c r="G210"/>
      <c r="H210"/>
      <c r="I210"/>
      <c r="J210"/>
      <c r="K210"/>
      <c r="L210"/>
      <c r="M210"/>
      <c r="N210"/>
      <c r="O210"/>
      <c r="P210"/>
      <c r="Q210"/>
      <c r="R210"/>
      <c r="S210"/>
      <c r="T210"/>
      <c r="U210"/>
      <c r="V210"/>
    </row>
    <row r="211" spans="1:22" ht="15" x14ac:dyDescent="0.25">
      <c r="A211"/>
      <c r="B211"/>
      <c r="C211"/>
      <c r="D211"/>
      <c r="E211"/>
      <c r="F211"/>
      <c r="G211"/>
      <c r="H211"/>
      <c r="I211"/>
      <c r="J211"/>
      <c r="K211"/>
      <c r="L211"/>
      <c r="M211"/>
      <c r="N211"/>
      <c r="O211"/>
      <c r="P211"/>
      <c r="Q211"/>
      <c r="R211"/>
      <c r="S211"/>
      <c r="T211"/>
      <c r="U211"/>
      <c r="V211"/>
    </row>
    <row r="212" spans="1:22" ht="15" x14ac:dyDescent="0.25">
      <c r="A212"/>
      <c r="B212"/>
      <c r="C212"/>
      <c r="D212"/>
      <c r="E212"/>
      <c r="F212"/>
      <c r="G212"/>
      <c r="H212"/>
      <c r="I212"/>
      <c r="J212"/>
      <c r="K212"/>
      <c r="L212"/>
      <c r="M212"/>
      <c r="N212"/>
      <c r="O212"/>
      <c r="P212"/>
      <c r="Q212"/>
      <c r="R212"/>
      <c r="S212"/>
      <c r="T212"/>
      <c r="U212"/>
      <c r="V212"/>
    </row>
    <row r="213" spans="1:22" ht="15" x14ac:dyDescent="0.25">
      <c r="A213"/>
      <c r="B213"/>
      <c r="C213"/>
      <c r="D213"/>
      <c r="E213"/>
      <c r="F213"/>
      <c r="G213"/>
      <c r="H213"/>
      <c r="I213"/>
      <c r="J213"/>
      <c r="K213"/>
      <c r="L213"/>
      <c r="M213"/>
      <c r="N213"/>
      <c r="O213"/>
      <c r="P213"/>
      <c r="Q213"/>
      <c r="R213"/>
      <c r="S213"/>
      <c r="T213"/>
      <c r="U213"/>
      <c r="V213"/>
    </row>
    <row r="214" spans="1:22" ht="15" x14ac:dyDescent="0.25">
      <c r="A214"/>
      <c r="B214"/>
      <c r="C214"/>
      <c r="D214"/>
      <c r="E214"/>
      <c r="F214"/>
      <c r="G214"/>
      <c r="H214"/>
      <c r="I214"/>
      <c r="J214"/>
      <c r="K214"/>
      <c r="L214"/>
      <c r="M214"/>
      <c r="N214"/>
      <c r="O214"/>
      <c r="P214"/>
      <c r="Q214"/>
      <c r="R214"/>
      <c r="S214"/>
      <c r="T214"/>
      <c r="U214"/>
      <c r="V214"/>
    </row>
    <row r="215" spans="1:22" ht="15" x14ac:dyDescent="0.25">
      <c r="A215"/>
      <c r="B215"/>
      <c r="C215"/>
      <c r="D215"/>
      <c r="E215"/>
      <c r="F215"/>
      <c r="G215"/>
      <c r="H215"/>
      <c r="I215"/>
      <c r="J215"/>
      <c r="K215"/>
      <c r="L215"/>
      <c r="M215"/>
      <c r="N215"/>
      <c r="O215"/>
      <c r="P215"/>
      <c r="Q215"/>
      <c r="R215"/>
      <c r="S215"/>
      <c r="T215"/>
      <c r="U215"/>
      <c r="V215"/>
    </row>
    <row r="216" spans="1:22" ht="15" x14ac:dyDescent="0.25">
      <c r="A216"/>
      <c r="B216"/>
      <c r="C216"/>
      <c r="D216"/>
      <c r="E216"/>
      <c r="F216"/>
      <c r="G216"/>
      <c r="H216"/>
      <c r="I216"/>
      <c r="J216"/>
      <c r="K216"/>
      <c r="L216"/>
      <c r="M216"/>
      <c r="N216"/>
      <c r="O216"/>
      <c r="P216"/>
      <c r="Q216"/>
      <c r="R216"/>
      <c r="S216"/>
      <c r="T216"/>
      <c r="U216"/>
      <c r="V216"/>
    </row>
    <row r="217" spans="1:22" ht="15" x14ac:dyDescent="0.25">
      <c r="A217"/>
      <c r="B217"/>
      <c r="C217"/>
      <c r="D217"/>
      <c r="E217"/>
      <c r="F217"/>
      <c r="G217"/>
      <c r="H217"/>
      <c r="I217"/>
      <c r="J217"/>
      <c r="K217"/>
      <c r="L217"/>
      <c r="M217"/>
      <c r="N217"/>
      <c r="O217"/>
      <c r="P217"/>
      <c r="Q217"/>
      <c r="R217"/>
      <c r="S217"/>
      <c r="T217"/>
      <c r="U217"/>
      <c r="V217"/>
    </row>
    <row r="218" spans="1:22" ht="15" x14ac:dyDescent="0.25">
      <c r="A218"/>
      <c r="B218"/>
      <c r="C218"/>
      <c r="D218"/>
      <c r="E218"/>
      <c r="F218"/>
      <c r="G218"/>
      <c r="H218"/>
      <c r="I218"/>
      <c r="J218"/>
      <c r="K218"/>
      <c r="L218"/>
      <c r="M218"/>
      <c r="N218"/>
      <c r="O218"/>
      <c r="P218"/>
      <c r="Q218"/>
      <c r="R218"/>
      <c r="S218"/>
      <c r="T218"/>
      <c r="U218"/>
      <c r="V218"/>
    </row>
    <row r="219" spans="1:22" ht="15" x14ac:dyDescent="0.25">
      <c r="A219"/>
      <c r="B219"/>
      <c r="C219"/>
      <c r="D219"/>
      <c r="E219"/>
      <c r="F219"/>
      <c r="G219"/>
      <c r="H219"/>
      <c r="I219"/>
      <c r="J219"/>
      <c r="K219"/>
      <c r="L219"/>
      <c r="M219"/>
      <c r="N219"/>
      <c r="O219"/>
      <c r="P219"/>
      <c r="Q219"/>
      <c r="R219"/>
      <c r="S219"/>
      <c r="T219"/>
      <c r="U219"/>
      <c r="V219"/>
    </row>
    <row r="220" spans="1:22" ht="15" x14ac:dyDescent="0.25">
      <c r="A220"/>
      <c r="B220"/>
      <c r="C220"/>
      <c r="D220"/>
      <c r="E220"/>
      <c r="F220"/>
      <c r="G220"/>
      <c r="H220"/>
      <c r="I220"/>
      <c r="J220"/>
      <c r="K220"/>
      <c r="L220"/>
      <c r="M220"/>
      <c r="N220"/>
      <c r="O220"/>
      <c r="P220"/>
      <c r="Q220"/>
      <c r="R220"/>
      <c r="S220"/>
      <c r="T220"/>
      <c r="U220"/>
      <c r="V220"/>
    </row>
    <row r="221" spans="1:22" ht="15" x14ac:dyDescent="0.25">
      <c r="A221"/>
      <c r="B221"/>
      <c r="C221"/>
      <c r="D221"/>
      <c r="E221"/>
      <c r="F221"/>
      <c r="G221"/>
      <c r="H221"/>
      <c r="I221"/>
      <c r="J221"/>
      <c r="K221"/>
      <c r="L221"/>
      <c r="M221"/>
      <c r="N221"/>
      <c r="O221"/>
      <c r="P221"/>
      <c r="Q221"/>
      <c r="R221"/>
      <c r="S221"/>
      <c r="T221"/>
      <c r="U221"/>
      <c r="V221"/>
    </row>
    <row r="222" spans="1:22" ht="15" x14ac:dyDescent="0.25">
      <c r="A222"/>
      <c r="B222"/>
      <c r="C222"/>
      <c r="D222"/>
      <c r="E222"/>
      <c r="F222"/>
      <c r="G222"/>
      <c r="H222"/>
      <c r="I222"/>
      <c r="J222"/>
      <c r="K222"/>
      <c r="L222"/>
      <c r="M222"/>
      <c r="N222"/>
      <c r="O222"/>
      <c r="P222"/>
      <c r="Q222"/>
      <c r="R222"/>
      <c r="S222"/>
      <c r="T222"/>
      <c r="U222"/>
      <c r="V222"/>
    </row>
    <row r="223" spans="1:22" ht="15" x14ac:dyDescent="0.25">
      <c r="A223"/>
      <c r="B223"/>
      <c r="C223"/>
      <c r="D223"/>
      <c r="E223"/>
      <c r="F223"/>
      <c r="G223"/>
      <c r="H223"/>
      <c r="I223"/>
      <c r="J223"/>
      <c r="K223"/>
      <c r="L223"/>
      <c r="M223"/>
      <c r="N223"/>
      <c r="O223"/>
      <c r="P223"/>
      <c r="Q223"/>
      <c r="R223"/>
      <c r="S223"/>
      <c r="T223"/>
      <c r="U223"/>
      <c r="V223"/>
    </row>
    <row r="224" spans="1:22" ht="15" x14ac:dyDescent="0.25">
      <c r="A224"/>
      <c r="B224"/>
      <c r="C224"/>
      <c r="D224"/>
      <c r="E224"/>
      <c r="F224"/>
      <c r="G224"/>
      <c r="H224"/>
      <c r="I224"/>
      <c r="J224"/>
      <c r="K224"/>
      <c r="L224"/>
      <c r="M224"/>
      <c r="N224"/>
      <c r="O224"/>
      <c r="P224"/>
      <c r="Q224"/>
      <c r="R224"/>
      <c r="S224"/>
      <c r="T224"/>
      <c r="U224"/>
      <c r="V224"/>
    </row>
    <row r="225" spans="1:22" ht="15" x14ac:dyDescent="0.25">
      <c r="A225"/>
      <c r="B225"/>
      <c r="C225"/>
      <c r="D225"/>
      <c r="E225"/>
      <c r="F225"/>
      <c r="G225"/>
      <c r="H225"/>
      <c r="I225"/>
      <c r="J225"/>
      <c r="K225"/>
      <c r="L225"/>
      <c r="M225"/>
      <c r="N225"/>
      <c r="O225"/>
      <c r="P225"/>
      <c r="Q225"/>
      <c r="R225"/>
      <c r="S225"/>
      <c r="T225"/>
      <c r="U225"/>
      <c r="V225"/>
    </row>
    <row r="226" spans="1:22" ht="15" x14ac:dyDescent="0.25">
      <c r="A226"/>
      <c r="B226"/>
      <c r="C226"/>
      <c r="D226"/>
      <c r="E226"/>
      <c r="F226"/>
      <c r="G226"/>
      <c r="H226"/>
      <c r="I226"/>
      <c r="J226"/>
      <c r="K226"/>
      <c r="L226"/>
      <c r="M226"/>
      <c r="N226"/>
      <c r="O226"/>
      <c r="P226"/>
      <c r="Q226"/>
      <c r="R226"/>
      <c r="S226"/>
      <c r="T226"/>
      <c r="U226"/>
      <c r="V226"/>
    </row>
    <row r="227" spans="1:22" ht="15" x14ac:dyDescent="0.25">
      <c r="A227"/>
      <c r="B227"/>
      <c r="C227"/>
      <c r="D227"/>
      <c r="E227"/>
      <c r="F227"/>
      <c r="G227"/>
      <c r="H227"/>
      <c r="I227"/>
      <c r="J227"/>
      <c r="K227"/>
      <c r="L227"/>
      <c r="M227"/>
      <c r="N227"/>
      <c r="O227"/>
      <c r="P227"/>
      <c r="Q227"/>
      <c r="R227"/>
      <c r="S227"/>
      <c r="T227"/>
      <c r="U227"/>
      <c r="V227"/>
    </row>
    <row r="228" spans="1:22" ht="15" x14ac:dyDescent="0.25">
      <c r="A228"/>
      <c r="B228"/>
      <c r="C228"/>
      <c r="D228"/>
      <c r="E228"/>
      <c r="F228"/>
      <c r="G228"/>
      <c r="H228"/>
      <c r="I228"/>
      <c r="J228"/>
      <c r="K228"/>
      <c r="L228"/>
      <c r="M228"/>
      <c r="N228"/>
      <c r="O228"/>
      <c r="P228"/>
      <c r="Q228"/>
      <c r="R228"/>
      <c r="S228"/>
      <c r="T228"/>
      <c r="U228"/>
      <c r="V228"/>
    </row>
    <row r="229" spans="1:22" ht="15" x14ac:dyDescent="0.25">
      <c r="A229"/>
      <c r="B229"/>
      <c r="C229"/>
      <c r="D229"/>
      <c r="E229"/>
      <c r="F229"/>
      <c r="G229"/>
      <c r="H229"/>
      <c r="I229"/>
      <c r="J229"/>
      <c r="K229"/>
      <c r="L229"/>
      <c r="M229"/>
      <c r="N229"/>
      <c r="O229"/>
      <c r="P229"/>
      <c r="Q229"/>
      <c r="R229"/>
      <c r="S229"/>
      <c r="T229"/>
      <c r="U229"/>
      <c r="V229"/>
    </row>
    <row r="230" spans="1:22" ht="15" x14ac:dyDescent="0.25">
      <c r="A230"/>
      <c r="B230"/>
      <c r="C230"/>
      <c r="D230"/>
      <c r="E230"/>
      <c r="F230"/>
      <c r="G230"/>
      <c r="H230"/>
      <c r="I230"/>
      <c r="J230"/>
      <c r="K230"/>
      <c r="L230"/>
      <c r="M230"/>
      <c r="N230"/>
      <c r="O230"/>
      <c r="P230"/>
      <c r="Q230"/>
      <c r="R230"/>
      <c r="S230"/>
      <c r="T230"/>
      <c r="U230"/>
      <c r="V230"/>
    </row>
    <row r="231" spans="1:22" ht="15" x14ac:dyDescent="0.25">
      <c r="A231"/>
      <c r="B231"/>
      <c r="C231"/>
      <c r="D231"/>
      <c r="E231"/>
      <c r="F231"/>
      <c r="G231"/>
      <c r="H231"/>
      <c r="I231"/>
      <c r="J231"/>
      <c r="K231"/>
      <c r="L231"/>
      <c r="M231"/>
      <c r="N231"/>
      <c r="O231"/>
      <c r="P231"/>
      <c r="Q231"/>
      <c r="R231"/>
      <c r="S231"/>
      <c r="T231"/>
      <c r="U231"/>
      <c r="V231"/>
    </row>
    <row r="232" spans="1:22" ht="15" x14ac:dyDescent="0.25">
      <c r="A232"/>
      <c r="B232"/>
      <c r="C232"/>
      <c r="D232"/>
      <c r="E232"/>
      <c r="F232"/>
      <c r="G232"/>
      <c r="H232"/>
      <c r="I232"/>
      <c r="J232"/>
      <c r="K232"/>
      <c r="L232"/>
      <c r="M232"/>
      <c r="N232"/>
      <c r="O232"/>
      <c r="P232"/>
      <c r="Q232"/>
      <c r="R232"/>
      <c r="S232"/>
      <c r="T232"/>
      <c r="U232"/>
      <c r="V232"/>
    </row>
    <row r="233" spans="1:22" ht="15" x14ac:dyDescent="0.25">
      <c r="A233"/>
      <c r="B233"/>
      <c r="C233"/>
      <c r="D233"/>
      <c r="E233"/>
      <c r="F233"/>
      <c r="G233"/>
      <c r="H233"/>
      <c r="I233"/>
      <c r="J233"/>
      <c r="K233"/>
      <c r="L233"/>
      <c r="M233"/>
      <c r="N233"/>
      <c r="O233"/>
      <c r="P233"/>
      <c r="Q233"/>
      <c r="R233"/>
      <c r="S233"/>
      <c r="T233"/>
      <c r="U233"/>
      <c r="V233"/>
    </row>
    <row r="234" spans="1:22" ht="15" x14ac:dyDescent="0.25">
      <c r="A234"/>
      <c r="B234"/>
      <c r="C234"/>
      <c r="D234"/>
      <c r="E234"/>
      <c r="F234"/>
      <c r="G234"/>
      <c r="H234"/>
      <c r="I234"/>
      <c r="J234"/>
      <c r="K234"/>
      <c r="L234"/>
      <c r="M234"/>
      <c r="N234"/>
      <c r="O234"/>
      <c r="P234"/>
      <c r="Q234"/>
      <c r="R234"/>
      <c r="S234"/>
      <c r="T234"/>
      <c r="U234"/>
      <c r="V234"/>
    </row>
    <row r="235" spans="1:22" ht="15" x14ac:dyDescent="0.25">
      <c r="A235"/>
      <c r="B235"/>
      <c r="C235"/>
      <c r="D235"/>
      <c r="E235"/>
      <c r="F235"/>
      <c r="G235"/>
      <c r="H235"/>
      <c r="I235"/>
      <c r="J235"/>
      <c r="K235"/>
      <c r="L235"/>
      <c r="M235"/>
      <c r="N235"/>
      <c r="O235"/>
      <c r="P235"/>
      <c r="Q235"/>
      <c r="R235"/>
      <c r="S235"/>
      <c r="T235"/>
      <c r="U235"/>
      <c r="V235"/>
    </row>
    <row r="236" spans="1:22" ht="15" x14ac:dyDescent="0.25">
      <c r="A236"/>
      <c r="B236"/>
      <c r="C236"/>
      <c r="D236"/>
      <c r="E236"/>
      <c r="F236"/>
      <c r="G236"/>
      <c r="H236"/>
      <c r="I236"/>
      <c r="J236"/>
      <c r="K236"/>
      <c r="L236"/>
      <c r="M236"/>
      <c r="N236"/>
      <c r="O236"/>
      <c r="P236"/>
      <c r="Q236"/>
      <c r="R236"/>
      <c r="S236"/>
      <c r="T236"/>
      <c r="U236"/>
      <c r="V236"/>
    </row>
    <row r="237" spans="1:22" ht="15" x14ac:dyDescent="0.25">
      <c r="A237"/>
      <c r="B237"/>
      <c r="C237"/>
      <c r="D237"/>
      <c r="E237"/>
      <c r="F237"/>
      <c r="G237"/>
      <c r="H237"/>
      <c r="I237"/>
      <c r="J237"/>
      <c r="K237"/>
      <c r="L237"/>
      <c r="M237"/>
      <c r="N237"/>
      <c r="O237"/>
      <c r="P237"/>
      <c r="Q237"/>
      <c r="R237"/>
      <c r="S237"/>
      <c r="T237"/>
      <c r="U237"/>
      <c r="V237"/>
    </row>
    <row r="238" spans="1:22" ht="15" x14ac:dyDescent="0.25">
      <c r="A238"/>
      <c r="B238"/>
      <c r="C238"/>
      <c r="D238"/>
      <c r="E238"/>
      <c r="F238"/>
      <c r="G238"/>
      <c r="H238"/>
      <c r="I238"/>
      <c r="J238"/>
      <c r="K238"/>
      <c r="L238"/>
      <c r="M238"/>
      <c r="N238"/>
      <c r="O238"/>
      <c r="P238"/>
      <c r="Q238"/>
      <c r="R238"/>
      <c r="S238"/>
      <c r="T238"/>
      <c r="U238"/>
      <c r="V238"/>
    </row>
    <row r="239" spans="1:22" ht="15" x14ac:dyDescent="0.25">
      <c r="A239"/>
      <c r="B239"/>
      <c r="C239"/>
      <c r="D239"/>
      <c r="E239"/>
      <c r="F239"/>
      <c r="G239"/>
      <c r="H239"/>
      <c r="I239"/>
      <c r="J239"/>
      <c r="K239"/>
      <c r="L239"/>
      <c r="M239"/>
      <c r="N239"/>
      <c r="O239"/>
      <c r="P239"/>
      <c r="Q239"/>
      <c r="R239"/>
      <c r="S239"/>
      <c r="T239"/>
      <c r="U239"/>
      <c r="V239"/>
    </row>
    <row r="240" spans="1:22" ht="15" x14ac:dyDescent="0.25">
      <c r="A240"/>
      <c r="B240"/>
      <c r="C240"/>
      <c r="D240"/>
      <c r="E240"/>
      <c r="F240"/>
      <c r="G240"/>
      <c r="H240"/>
      <c r="I240"/>
      <c r="J240"/>
      <c r="K240"/>
      <c r="L240"/>
      <c r="M240"/>
      <c r="N240"/>
      <c r="O240"/>
      <c r="P240"/>
      <c r="Q240"/>
      <c r="R240"/>
      <c r="S240"/>
      <c r="T240"/>
      <c r="U240"/>
      <c r="V240"/>
    </row>
    <row r="241" spans="1:22" ht="15" x14ac:dyDescent="0.25">
      <c r="A241"/>
      <c r="B241"/>
      <c r="C241"/>
      <c r="D241"/>
      <c r="E241"/>
      <c r="F241"/>
      <c r="G241"/>
      <c r="H241"/>
      <c r="I241"/>
      <c r="J241"/>
      <c r="K241"/>
      <c r="L241"/>
      <c r="M241"/>
      <c r="N241"/>
      <c r="O241"/>
      <c r="P241"/>
      <c r="Q241"/>
      <c r="R241"/>
      <c r="S241"/>
      <c r="T241"/>
      <c r="U241"/>
      <c r="V241"/>
    </row>
    <row r="242" spans="1:22" ht="15" x14ac:dyDescent="0.25">
      <c r="A242"/>
      <c r="B242"/>
      <c r="C242"/>
      <c r="D242"/>
      <c r="E242"/>
      <c r="F242"/>
      <c r="G242"/>
      <c r="H242"/>
      <c r="I242"/>
      <c r="J242"/>
      <c r="K242"/>
      <c r="L242"/>
      <c r="M242"/>
      <c r="N242"/>
      <c r="O242"/>
      <c r="P242"/>
      <c r="Q242"/>
      <c r="R242"/>
      <c r="S242"/>
      <c r="T242"/>
      <c r="U242"/>
      <c r="V242"/>
    </row>
    <row r="243" spans="1:22" ht="15" x14ac:dyDescent="0.25">
      <c r="A243"/>
      <c r="B243"/>
      <c r="C243"/>
      <c r="D243"/>
      <c r="E243"/>
      <c r="F243"/>
      <c r="G243"/>
      <c r="H243"/>
      <c r="I243"/>
      <c r="J243"/>
      <c r="K243"/>
      <c r="L243"/>
      <c r="M243"/>
      <c r="N243"/>
      <c r="O243"/>
      <c r="P243"/>
      <c r="Q243"/>
      <c r="R243"/>
      <c r="S243"/>
      <c r="T243"/>
      <c r="U243"/>
      <c r="V243"/>
    </row>
    <row r="244" spans="1:22" ht="15" x14ac:dyDescent="0.25">
      <c r="A244"/>
      <c r="B244"/>
      <c r="C244"/>
      <c r="D244"/>
      <c r="E244"/>
      <c r="F244"/>
      <c r="G244"/>
      <c r="H244"/>
      <c r="I244"/>
      <c r="J244"/>
      <c r="K244"/>
      <c r="L244"/>
      <c r="M244"/>
      <c r="N244"/>
      <c r="O244"/>
      <c r="P244"/>
      <c r="Q244"/>
      <c r="R244"/>
      <c r="S244"/>
      <c r="T244"/>
      <c r="U244"/>
      <c r="V244"/>
    </row>
    <row r="245" spans="1:22" ht="15" x14ac:dyDescent="0.25">
      <c r="A245"/>
      <c r="B245"/>
      <c r="C245"/>
      <c r="D245"/>
      <c r="E245"/>
      <c r="F245"/>
      <c r="G245"/>
      <c r="H245"/>
      <c r="I245"/>
      <c r="J245"/>
      <c r="K245"/>
      <c r="L245"/>
      <c r="M245"/>
      <c r="N245"/>
      <c r="O245"/>
      <c r="P245"/>
      <c r="Q245"/>
      <c r="R245"/>
      <c r="S245"/>
      <c r="T245"/>
      <c r="U245"/>
      <c r="V245"/>
    </row>
    <row r="246" spans="1:22" ht="15" x14ac:dyDescent="0.25">
      <c r="A246"/>
      <c r="B246"/>
      <c r="C246"/>
      <c r="D246"/>
      <c r="E246"/>
      <c r="F246"/>
      <c r="G246"/>
      <c r="H246"/>
      <c r="I246"/>
      <c r="J246"/>
      <c r="K246"/>
      <c r="L246"/>
      <c r="M246"/>
      <c r="N246"/>
      <c r="O246"/>
      <c r="P246"/>
      <c r="Q246"/>
      <c r="R246"/>
      <c r="S246"/>
      <c r="T246"/>
      <c r="U246"/>
      <c r="V246"/>
    </row>
    <row r="247" spans="1:22" ht="15" x14ac:dyDescent="0.25">
      <c r="A247"/>
      <c r="B247"/>
      <c r="C247"/>
      <c r="D247"/>
      <c r="E247"/>
      <c r="F247"/>
      <c r="G247"/>
      <c r="H247"/>
      <c r="I247"/>
      <c r="J247"/>
      <c r="K247"/>
      <c r="L247"/>
      <c r="M247"/>
      <c r="N247"/>
      <c r="O247"/>
      <c r="P247"/>
      <c r="Q247"/>
      <c r="R247"/>
      <c r="S247"/>
      <c r="T247"/>
      <c r="U247"/>
      <c r="V247"/>
    </row>
    <row r="248" spans="1:22" ht="15" x14ac:dyDescent="0.25">
      <c r="A248"/>
      <c r="B248"/>
      <c r="C248"/>
      <c r="D248"/>
      <c r="E248"/>
      <c r="F248"/>
      <c r="G248"/>
      <c r="H248"/>
      <c r="I248"/>
      <c r="J248"/>
      <c r="K248"/>
      <c r="L248"/>
      <c r="M248"/>
      <c r="N248"/>
      <c r="O248"/>
      <c r="P248"/>
      <c r="Q248"/>
      <c r="R248"/>
      <c r="S248"/>
      <c r="T248"/>
      <c r="U248"/>
      <c r="V248"/>
    </row>
    <row r="249" spans="1:22" ht="15" x14ac:dyDescent="0.25">
      <c r="A249"/>
      <c r="B249"/>
      <c r="C249"/>
      <c r="D249"/>
      <c r="E249"/>
      <c r="F249"/>
      <c r="G249"/>
      <c r="H249"/>
      <c r="I249"/>
      <c r="J249"/>
      <c r="K249"/>
      <c r="L249"/>
      <c r="M249"/>
      <c r="N249"/>
      <c r="O249"/>
      <c r="P249"/>
      <c r="Q249"/>
      <c r="R249"/>
      <c r="S249"/>
      <c r="T249"/>
      <c r="U249"/>
      <c r="V249"/>
    </row>
    <row r="250" spans="1:22" ht="15" x14ac:dyDescent="0.25">
      <c r="A250"/>
      <c r="B250"/>
      <c r="C250"/>
      <c r="D250"/>
      <c r="E250"/>
      <c r="F250"/>
      <c r="G250"/>
      <c r="H250"/>
      <c r="I250"/>
      <c r="J250"/>
      <c r="K250"/>
      <c r="L250"/>
      <c r="M250"/>
      <c r="N250"/>
      <c r="O250"/>
      <c r="P250"/>
      <c r="Q250"/>
      <c r="R250"/>
      <c r="S250"/>
      <c r="T250"/>
      <c r="U250"/>
      <c r="V250"/>
    </row>
    <row r="251" spans="1:22" ht="15" x14ac:dyDescent="0.25">
      <c r="A251"/>
      <c r="B251"/>
      <c r="C251"/>
      <c r="D251"/>
      <c r="E251"/>
      <c r="F251"/>
      <c r="G251"/>
      <c r="H251"/>
      <c r="I251"/>
      <c r="J251"/>
      <c r="K251"/>
      <c r="L251"/>
      <c r="M251"/>
      <c r="N251"/>
      <c r="O251"/>
      <c r="P251"/>
      <c r="Q251"/>
      <c r="R251"/>
      <c r="S251"/>
      <c r="T251"/>
      <c r="U251"/>
      <c r="V251"/>
    </row>
    <row r="252" spans="1:22" ht="15" x14ac:dyDescent="0.25">
      <c r="A252"/>
      <c r="B252"/>
      <c r="C252"/>
      <c r="D252"/>
      <c r="E252"/>
      <c r="F252"/>
      <c r="G252"/>
      <c r="H252"/>
      <c r="I252"/>
      <c r="J252"/>
      <c r="K252"/>
      <c r="L252"/>
      <c r="M252"/>
      <c r="N252"/>
      <c r="O252"/>
      <c r="P252"/>
      <c r="Q252"/>
      <c r="R252"/>
      <c r="S252"/>
      <c r="T252"/>
      <c r="U252"/>
      <c r="V252"/>
    </row>
    <row r="253" spans="1:22" ht="15" x14ac:dyDescent="0.25">
      <c r="A253"/>
      <c r="B253"/>
      <c r="C253"/>
      <c r="D253"/>
      <c r="E253"/>
      <c r="F253"/>
      <c r="G253"/>
      <c r="H253"/>
      <c r="I253"/>
      <c r="J253"/>
      <c r="K253"/>
      <c r="L253"/>
      <c r="M253"/>
      <c r="N253"/>
      <c r="O253"/>
      <c r="P253"/>
      <c r="Q253"/>
      <c r="R253"/>
      <c r="S253"/>
      <c r="T253"/>
      <c r="U253"/>
      <c r="V253"/>
    </row>
    <row r="254" spans="1:22" ht="15" x14ac:dyDescent="0.25">
      <c r="A254"/>
      <c r="B254"/>
      <c r="C254"/>
      <c r="D254"/>
      <c r="E254"/>
      <c r="F254"/>
      <c r="G254"/>
      <c r="H254"/>
      <c r="I254"/>
      <c r="J254"/>
      <c r="K254"/>
      <c r="L254"/>
      <c r="M254"/>
      <c r="N254"/>
      <c r="O254"/>
      <c r="P254"/>
      <c r="Q254"/>
      <c r="R254"/>
      <c r="S254"/>
      <c r="T254"/>
      <c r="U254"/>
      <c r="V254"/>
    </row>
    <row r="255" spans="1:22" ht="15" x14ac:dyDescent="0.25">
      <c r="A255"/>
      <c r="B255"/>
      <c r="C255"/>
      <c r="D255"/>
      <c r="E255"/>
      <c r="F255"/>
      <c r="G255"/>
      <c r="H255"/>
      <c r="I255"/>
      <c r="J255"/>
      <c r="K255"/>
      <c r="L255"/>
      <c r="M255"/>
      <c r="N255"/>
      <c r="O255"/>
      <c r="P255"/>
      <c r="Q255"/>
      <c r="R255"/>
      <c r="S255"/>
      <c r="T255"/>
      <c r="U255"/>
      <c r="V255"/>
    </row>
    <row r="256" spans="1:22" ht="15" x14ac:dyDescent="0.25">
      <c r="A256"/>
      <c r="B256"/>
      <c r="C256"/>
      <c r="D256"/>
      <c r="E256"/>
      <c r="F256"/>
      <c r="G256"/>
      <c r="H256"/>
      <c r="I256"/>
      <c r="J256"/>
      <c r="K256"/>
      <c r="L256"/>
      <c r="M256"/>
      <c r="N256"/>
      <c r="O256"/>
      <c r="P256"/>
      <c r="Q256"/>
      <c r="R256"/>
      <c r="S256"/>
      <c r="T256"/>
      <c r="U256"/>
      <c r="V256"/>
    </row>
    <row r="257" spans="1:22" ht="15" x14ac:dyDescent="0.25">
      <c r="A257"/>
      <c r="B257"/>
      <c r="C257"/>
      <c r="D257"/>
      <c r="E257"/>
      <c r="F257"/>
      <c r="G257"/>
      <c r="H257"/>
      <c r="I257"/>
      <c r="J257"/>
      <c r="K257"/>
      <c r="L257"/>
      <c r="M257"/>
      <c r="N257"/>
      <c r="O257"/>
      <c r="P257"/>
      <c r="Q257"/>
      <c r="R257"/>
      <c r="S257"/>
      <c r="T257"/>
      <c r="U257"/>
      <c r="V257"/>
    </row>
    <row r="258" spans="1:22" ht="15" x14ac:dyDescent="0.25">
      <c r="A258"/>
      <c r="B258"/>
      <c r="C258"/>
      <c r="D258"/>
      <c r="E258"/>
      <c r="F258"/>
      <c r="G258"/>
      <c r="H258"/>
      <c r="I258"/>
      <c r="J258"/>
      <c r="K258"/>
      <c r="L258"/>
      <c r="M258"/>
      <c r="N258"/>
      <c r="O258"/>
      <c r="P258"/>
      <c r="Q258"/>
      <c r="R258"/>
      <c r="S258"/>
      <c r="T258"/>
      <c r="U258"/>
      <c r="V258"/>
    </row>
    <row r="259" spans="1:22" ht="15" x14ac:dyDescent="0.25">
      <c r="A259"/>
      <c r="B259"/>
      <c r="C259"/>
      <c r="D259"/>
      <c r="E259"/>
      <c r="F259"/>
      <c r="G259"/>
      <c r="H259"/>
      <c r="I259"/>
      <c r="J259"/>
      <c r="K259"/>
      <c r="L259"/>
      <c r="M259"/>
      <c r="N259"/>
      <c r="O259"/>
      <c r="P259"/>
      <c r="Q259"/>
      <c r="R259"/>
      <c r="S259"/>
      <c r="T259"/>
      <c r="U259"/>
      <c r="V259"/>
    </row>
    <row r="260" spans="1:22" ht="15" x14ac:dyDescent="0.25">
      <c r="A260"/>
      <c r="B260"/>
      <c r="C260"/>
      <c r="D260"/>
      <c r="E260"/>
      <c r="F260"/>
      <c r="G260"/>
      <c r="H260"/>
      <c r="I260"/>
      <c r="J260"/>
      <c r="K260"/>
      <c r="L260"/>
      <c r="M260"/>
      <c r="N260"/>
      <c r="O260"/>
      <c r="P260"/>
      <c r="Q260"/>
      <c r="R260"/>
      <c r="S260"/>
      <c r="T260"/>
      <c r="U260"/>
      <c r="V260"/>
    </row>
    <row r="261" spans="1:22" ht="15" x14ac:dyDescent="0.25">
      <c r="A261"/>
      <c r="B261"/>
      <c r="C261"/>
      <c r="D261"/>
      <c r="E261"/>
      <c r="F261"/>
      <c r="G261"/>
      <c r="H261"/>
      <c r="I261"/>
      <c r="J261"/>
      <c r="K261"/>
      <c r="L261"/>
      <c r="M261"/>
      <c r="N261"/>
      <c r="O261"/>
      <c r="P261"/>
      <c r="Q261"/>
      <c r="R261"/>
      <c r="S261"/>
      <c r="T261"/>
      <c r="U261"/>
      <c r="V261"/>
    </row>
    <row r="262" spans="1:22" ht="15" x14ac:dyDescent="0.25">
      <c r="A262"/>
      <c r="B262"/>
      <c r="C262"/>
      <c r="D262"/>
      <c r="E262"/>
      <c r="F262"/>
      <c r="G262"/>
      <c r="H262"/>
      <c r="I262"/>
      <c r="J262"/>
      <c r="K262"/>
      <c r="L262"/>
      <c r="M262"/>
      <c r="N262"/>
      <c r="O262"/>
      <c r="P262"/>
      <c r="Q262"/>
      <c r="R262"/>
      <c r="S262"/>
      <c r="T262"/>
      <c r="U262"/>
      <c r="V262"/>
    </row>
    <row r="263" spans="1:22" ht="15" x14ac:dyDescent="0.25">
      <c r="A263"/>
      <c r="B263"/>
      <c r="C263"/>
      <c r="D263"/>
      <c r="E263"/>
      <c r="F263"/>
      <c r="G263"/>
      <c r="H263"/>
      <c r="I263"/>
      <c r="J263"/>
      <c r="K263"/>
      <c r="L263"/>
      <c r="M263"/>
      <c r="N263"/>
      <c r="O263"/>
      <c r="P263"/>
      <c r="Q263"/>
      <c r="R263"/>
      <c r="S263"/>
      <c r="T263"/>
      <c r="U263"/>
      <c r="V263"/>
    </row>
    <row r="264" spans="1:22" ht="15" x14ac:dyDescent="0.25">
      <c r="A264"/>
      <c r="B264"/>
      <c r="C264"/>
      <c r="D264"/>
      <c r="E264"/>
      <c r="F264"/>
      <c r="G264"/>
      <c r="H264"/>
      <c r="I264"/>
      <c r="J264"/>
      <c r="K264"/>
      <c r="L264"/>
      <c r="M264"/>
      <c r="N264"/>
      <c r="O264"/>
      <c r="P264"/>
      <c r="Q264"/>
      <c r="R264"/>
      <c r="S264"/>
      <c r="T264"/>
      <c r="U264"/>
      <c r="V264"/>
    </row>
    <row r="265" spans="1:22" ht="15" x14ac:dyDescent="0.25">
      <c r="A265"/>
      <c r="B265"/>
      <c r="C265"/>
      <c r="D265"/>
      <c r="E265"/>
      <c r="F265"/>
      <c r="G265"/>
      <c r="H265"/>
      <c r="I265"/>
      <c r="J265"/>
      <c r="K265"/>
      <c r="L265"/>
      <c r="M265"/>
      <c r="N265"/>
      <c r="O265"/>
      <c r="P265"/>
      <c r="Q265"/>
      <c r="R265"/>
      <c r="S265"/>
      <c r="T265"/>
      <c r="U265"/>
      <c r="V265"/>
    </row>
    <row r="266" spans="1:22" ht="15" x14ac:dyDescent="0.25">
      <c r="A266"/>
      <c r="B266"/>
      <c r="C266"/>
      <c r="D266"/>
      <c r="E266"/>
      <c r="F266"/>
      <c r="G266"/>
      <c r="H266"/>
      <c r="I266"/>
      <c r="J266"/>
      <c r="K266"/>
      <c r="L266"/>
      <c r="M266"/>
      <c r="N266"/>
      <c r="O266"/>
      <c r="P266"/>
      <c r="Q266"/>
      <c r="R266"/>
      <c r="S266"/>
      <c r="T266"/>
      <c r="U266"/>
      <c r="V266"/>
    </row>
    <row r="267" spans="1:22" ht="15" x14ac:dyDescent="0.25">
      <c r="A267"/>
      <c r="B267"/>
      <c r="C267"/>
      <c r="D267"/>
      <c r="E267"/>
      <c r="F267"/>
      <c r="G267"/>
      <c r="H267"/>
      <c r="I267"/>
      <c r="J267"/>
      <c r="K267"/>
      <c r="L267"/>
      <c r="M267"/>
      <c r="N267"/>
      <c r="O267"/>
      <c r="P267"/>
      <c r="Q267"/>
      <c r="R267"/>
      <c r="S267"/>
      <c r="T267"/>
      <c r="U267"/>
      <c r="V267"/>
    </row>
    <row r="268" spans="1:22" ht="15" x14ac:dyDescent="0.25">
      <c r="A268"/>
      <c r="B268"/>
      <c r="C268"/>
      <c r="D268"/>
      <c r="E268"/>
      <c r="F268"/>
      <c r="G268"/>
      <c r="H268"/>
      <c r="I268"/>
      <c r="J268"/>
      <c r="K268"/>
      <c r="L268"/>
      <c r="M268"/>
      <c r="N268"/>
      <c r="O268"/>
      <c r="P268"/>
      <c r="Q268"/>
      <c r="R268"/>
      <c r="S268"/>
      <c r="T268"/>
      <c r="U268"/>
      <c r="V268"/>
    </row>
    <row r="269" spans="1:22" ht="15" x14ac:dyDescent="0.25">
      <c r="A269"/>
      <c r="B269"/>
      <c r="C269"/>
      <c r="D269"/>
      <c r="E269"/>
      <c r="F269"/>
      <c r="G269"/>
      <c r="H269"/>
      <c r="I269"/>
      <c r="J269"/>
      <c r="K269"/>
      <c r="L269"/>
      <c r="M269"/>
      <c r="N269"/>
      <c r="O269"/>
      <c r="P269"/>
      <c r="Q269"/>
      <c r="R269"/>
      <c r="S269"/>
      <c r="T269"/>
      <c r="U269"/>
      <c r="V269"/>
    </row>
    <row r="270" spans="1:22" ht="15" x14ac:dyDescent="0.25">
      <c r="A270"/>
      <c r="B270"/>
      <c r="C270"/>
      <c r="D270"/>
      <c r="E270"/>
      <c r="F270"/>
      <c r="G270"/>
      <c r="H270"/>
      <c r="I270"/>
      <c r="J270"/>
      <c r="K270"/>
      <c r="L270"/>
      <c r="M270"/>
      <c r="N270"/>
      <c r="O270"/>
      <c r="P270"/>
      <c r="Q270"/>
      <c r="R270"/>
      <c r="S270"/>
      <c r="T270"/>
      <c r="U270"/>
      <c r="V270"/>
    </row>
    <row r="271" spans="1:22" ht="15" x14ac:dyDescent="0.25">
      <c r="A271"/>
      <c r="B271"/>
      <c r="C271"/>
      <c r="D271"/>
      <c r="E271"/>
      <c r="F271"/>
      <c r="G271"/>
      <c r="H271"/>
      <c r="I271"/>
      <c r="J271"/>
      <c r="K271"/>
      <c r="L271"/>
      <c r="M271"/>
      <c r="N271"/>
      <c r="O271"/>
      <c r="P271"/>
      <c r="Q271"/>
      <c r="R271"/>
      <c r="S271"/>
      <c r="T271"/>
      <c r="U271"/>
      <c r="V271"/>
    </row>
    <row r="272" spans="1:22" ht="15" x14ac:dyDescent="0.25">
      <c r="A272"/>
      <c r="B272"/>
      <c r="C272"/>
      <c r="D272"/>
      <c r="E272"/>
      <c r="F272"/>
      <c r="G272"/>
      <c r="H272"/>
      <c r="I272"/>
      <c r="J272"/>
      <c r="K272"/>
      <c r="L272"/>
      <c r="M272"/>
      <c r="N272"/>
      <c r="O272"/>
      <c r="P272"/>
      <c r="Q272"/>
      <c r="R272"/>
      <c r="S272"/>
      <c r="T272"/>
      <c r="U272"/>
      <c r="V272"/>
    </row>
    <row r="273" spans="1:22" ht="15" x14ac:dyDescent="0.25">
      <c r="A273"/>
      <c r="B273"/>
      <c r="C273"/>
      <c r="D273"/>
      <c r="E273"/>
      <c r="F273"/>
      <c r="G273"/>
      <c r="H273"/>
      <c r="I273"/>
      <c r="J273"/>
      <c r="K273"/>
      <c r="L273"/>
      <c r="M273"/>
      <c r="N273"/>
      <c r="O273"/>
      <c r="P273"/>
      <c r="Q273"/>
      <c r="R273"/>
      <c r="S273"/>
      <c r="T273"/>
      <c r="U273"/>
      <c r="V273"/>
    </row>
    <row r="274" spans="1:22" ht="15" x14ac:dyDescent="0.25">
      <c r="A274"/>
      <c r="B274"/>
      <c r="C274"/>
      <c r="D274"/>
      <c r="E274"/>
      <c r="F274"/>
      <c r="G274"/>
      <c r="H274"/>
      <c r="I274"/>
      <c r="J274"/>
      <c r="K274"/>
      <c r="L274"/>
      <c r="M274"/>
      <c r="N274"/>
      <c r="O274"/>
      <c r="P274"/>
      <c r="Q274"/>
      <c r="R274"/>
      <c r="S274"/>
      <c r="T274"/>
      <c r="U274"/>
      <c r="V274"/>
    </row>
    <row r="275" spans="1:22" ht="15" x14ac:dyDescent="0.25">
      <c r="A275"/>
      <c r="B275"/>
      <c r="C275"/>
      <c r="D275"/>
      <c r="E275"/>
      <c r="F275"/>
      <c r="G275"/>
      <c r="H275"/>
      <c r="I275"/>
      <c r="J275"/>
      <c r="K275"/>
      <c r="L275"/>
      <c r="M275"/>
      <c r="N275"/>
      <c r="O275"/>
      <c r="P275"/>
      <c r="Q275"/>
      <c r="R275"/>
      <c r="S275"/>
      <c r="T275"/>
      <c r="U275"/>
      <c r="V275"/>
    </row>
    <row r="276" spans="1:22" ht="15" x14ac:dyDescent="0.25">
      <c r="A276"/>
      <c r="B276"/>
      <c r="C276"/>
      <c r="D276"/>
      <c r="E276"/>
      <c r="F276"/>
      <c r="G276"/>
      <c r="H276"/>
      <c r="I276"/>
      <c r="J276"/>
      <c r="K276"/>
      <c r="L276"/>
      <c r="M276"/>
      <c r="N276"/>
      <c r="O276"/>
      <c r="P276"/>
      <c r="Q276"/>
      <c r="R276"/>
      <c r="S276"/>
      <c r="T276"/>
      <c r="U276"/>
      <c r="V276"/>
    </row>
    <row r="277" spans="1:22" ht="15" x14ac:dyDescent="0.25">
      <c r="A277"/>
      <c r="B277"/>
      <c r="C277"/>
      <c r="D277"/>
      <c r="E277"/>
      <c r="F277"/>
      <c r="G277"/>
      <c r="H277"/>
      <c r="I277"/>
      <c r="J277"/>
      <c r="K277"/>
      <c r="L277"/>
      <c r="M277"/>
      <c r="N277"/>
      <c r="O277"/>
      <c r="P277"/>
      <c r="Q277"/>
      <c r="R277"/>
      <c r="S277"/>
      <c r="T277"/>
      <c r="U277"/>
      <c r="V277"/>
    </row>
    <row r="278" spans="1:22" ht="15" x14ac:dyDescent="0.25">
      <c r="A278"/>
      <c r="B278"/>
      <c r="C278"/>
      <c r="D278"/>
      <c r="E278"/>
      <c r="F278"/>
      <c r="G278"/>
      <c r="H278"/>
      <c r="I278"/>
      <c r="J278"/>
      <c r="K278"/>
      <c r="L278"/>
      <c r="M278"/>
      <c r="N278"/>
      <c r="O278"/>
      <c r="P278"/>
      <c r="Q278"/>
      <c r="R278"/>
      <c r="S278"/>
      <c r="T278"/>
      <c r="U278"/>
      <c r="V278"/>
    </row>
    <row r="279" spans="1:22" ht="15" x14ac:dyDescent="0.25">
      <c r="A279"/>
      <c r="B279"/>
      <c r="C279"/>
      <c r="D279"/>
      <c r="E279"/>
      <c r="F279"/>
      <c r="G279"/>
      <c r="H279"/>
      <c r="I279"/>
      <c r="J279"/>
      <c r="K279"/>
      <c r="L279"/>
      <c r="M279"/>
      <c r="N279"/>
      <c r="O279"/>
      <c r="P279"/>
      <c r="Q279"/>
      <c r="R279"/>
      <c r="S279"/>
      <c r="T279"/>
      <c r="U279"/>
      <c r="V279"/>
    </row>
    <row r="280" spans="1:22" ht="15" x14ac:dyDescent="0.25">
      <c r="A280"/>
      <c r="B280"/>
      <c r="C280"/>
      <c r="D280"/>
      <c r="E280"/>
      <c r="F280"/>
      <c r="G280"/>
      <c r="H280"/>
      <c r="I280"/>
      <c r="J280"/>
      <c r="K280"/>
      <c r="L280"/>
      <c r="M280"/>
      <c r="N280"/>
      <c r="O280"/>
      <c r="P280"/>
      <c r="Q280"/>
      <c r="R280"/>
      <c r="S280"/>
      <c r="T280"/>
      <c r="U280"/>
      <c r="V280"/>
    </row>
    <row r="281" spans="1:22" ht="15" x14ac:dyDescent="0.25">
      <c r="A281"/>
      <c r="B281"/>
      <c r="C281"/>
      <c r="D281"/>
      <c r="E281"/>
      <c r="F281"/>
      <c r="G281"/>
      <c r="H281"/>
      <c r="I281"/>
      <c r="J281"/>
      <c r="K281"/>
      <c r="L281"/>
      <c r="M281"/>
      <c r="N281"/>
      <c r="O281"/>
      <c r="P281"/>
      <c r="Q281"/>
      <c r="R281"/>
      <c r="S281"/>
      <c r="T281"/>
      <c r="U281"/>
      <c r="V281"/>
    </row>
    <row r="282" spans="1:22" ht="15" x14ac:dyDescent="0.25">
      <c r="A282"/>
      <c r="B282"/>
      <c r="C282"/>
      <c r="D282"/>
      <c r="E282"/>
      <c r="F282"/>
      <c r="G282"/>
      <c r="H282"/>
      <c r="I282"/>
      <c r="J282"/>
      <c r="K282"/>
      <c r="L282"/>
      <c r="M282"/>
      <c r="N282"/>
      <c r="O282"/>
      <c r="P282"/>
      <c r="Q282"/>
      <c r="R282"/>
      <c r="S282"/>
      <c r="T282"/>
      <c r="U282"/>
      <c r="V282"/>
    </row>
    <row r="283" spans="1:22" ht="15" x14ac:dyDescent="0.25">
      <c r="A283"/>
      <c r="B283"/>
      <c r="C283"/>
      <c r="D283"/>
      <c r="E283"/>
      <c r="F283"/>
      <c r="G283"/>
      <c r="H283"/>
      <c r="I283"/>
      <c r="J283"/>
      <c r="K283"/>
      <c r="L283"/>
      <c r="M283"/>
      <c r="N283"/>
      <c r="O283"/>
      <c r="P283"/>
      <c r="Q283"/>
      <c r="R283"/>
      <c r="S283"/>
      <c r="T283"/>
      <c r="U283"/>
      <c r="V283"/>
    </row>
    <row r="284" spans="1:22" ht="15" x14ac:dyDescent="0.25">
      <c r="A284"/>
      <c r="B284"/>
      <c r="C284"/>
      <c r="D284"/>
      <c r="E284"/>
      <c r="F284"/>
      <c r="G284"/>
      <c r="H284"/>
      <c r="I284"/>
      <c r="J284"/>
      <c r="K284"/>
      <c r="L284"/>
      <c r="M284"/>
      <c r="N284"/>
      <c r="O284"/>
      <c r="P284"/>
      <c r="Q284"/>
      <c r="R284"/>
      <c r="S284"/>
      <c r="T284"/>
      <c r="U284"/>
      <c r="V284"/>
    </row>
    <row r="285" spans="1:22" ht="15" x14ac:dyDescent="0.25">
      <c r="A285"/>
      <c r="B285"/>
      <c r="C285"/>
      <c r="D285"/>
      <c r="E285"/>
      <c r="F285"/>
      <c r="G285"/>
      <c r="H285"/>
      <c r="I285"/>
      <c r="J285"/>
      <c r="K285"/>
      <c r="L285"/>
      <c r="M285"/>
      <c r="N285"/>
      <c r="O285"/>
      <c r="P285"/>
      <c r="Q285"/>
      <c r="R285"/>
      <c r="S285"/>
      <c r="T285"/>
      <c r="U285"/>
      <c r="V285"/>
    </row>
    <row r="286" spans="1:22" ht="15" x14ac:dyDescent="0.25">
      <c r="A286"/>
      <c r="B286"/>
      <c r="C286"/>
      <c r="D286"/>
      <c r="E286"/>
      <c r="F286"/>
      <c r="G286"/>
      <c r="H286"/>
      <c r="I286"/>
      <c r="J286"/>
      <c r="K286"/>
      <c r="L286"/>
      <c r="M286"/>
      <c r="N286"/>
      <c r="O286"/>
      <c r="P286"/>
      <c r="Q286"/>
      <c r="R286"/>
      <c r="S286"/>
      <c r="T286"/>
      <c r="U286"/>
      <c r="V286"/>
    </row>
    <row r="287" spans="1:22" ht="15" x14ac:dyDescent="0.25">
      <c r="A287"/>
      <c r="B287"/>
      <c r="C287"/>
      <c r="D287"/>
      <c r="E287"/>
      <c r="F287"/>
      <c r="G287"/>
      <c r="H287"/>
      <c r="I287"/>
      <c r="J287"/>
      <c r="K287"/>
      <c r="L287"/>
      <c r="M287"/>
      <c r="N287"/>
      <c r="O287"/>
      <c r="P287"/>
      <c r="Q287"/>
      <c r="R287"/>
      <c r="S287"/>
      <c r="T287"/>
      <c r="U287"/>
      <c r="V287"/>
    </row>
    <row r="288" spans="1:22" ht="15" x14ac:dyDescent="0.25">
      <c r="A288"/>
      <c r="B288"/>
      <c r="C288"/>
      <c r="D288"/>
      <c r="E288"/>
      <c r="F288"/>
      <c r="G288"/>
      <c r="H288"/>
      <c r="I288"/>
      <c r="J288"/>
      <c r="K288"/>
      <c r="L288"/>
      <c r="M288"/>
      <c r="N288"/>
      <c r="O288"/>
      <c r="P288"/>
      <c r="Q288"/>
      <c r="R288"/>
      <c r="S288"/>
      <c r="T288"/>
      <c r="U288"/>
      <c r="V288"/>
    </row>
    <row r="289" spans="1:22" ht="15" x14ac:dyDescent="0.25">
      <c r="A289"/>
      <c r="B289"/>
      <c r="C289"/>
      <c r="D289"/>
      <c r="E289"/>
      <c r="F289"/>
      <c r="G289"/>
      <c r="H289"/>
      <c r="I289"/>
      <c r="J289"/>
      <c r="K289"/>
      <c r="L289"/>
      <c r="M289"/>
      <c r="N289"/>
      <c r="O289"/>
      <c r="P289"/>
      <c r="Q289"/>
      <c r="R289"/>
      <c r="S289"/>
      <c r="T289"/>
      <c r="U289"/>
      <c r="V289"/>
    </row>
    <row r="290" spans="1:22" ht="15" x14ac:dyDescent="0.25">
      <c r="A290"/>
      <c r="B290"/>
      <c r="C290"/>
      <c r="D290"/>
      <c r="E290"/>
      <c r="F290"/>
      <c r="G290"/>
      <c r="H290"/>
      <c r="I290"/>
      <c r="J290"/>
      <c r="K290"/>
      <c r="L290"/>
      <c r="M290"/>
      <c r="N290"/>
      <c r="O290"/>
      <c r="P290"/>
      <c r="Q290"/>
      <c r="R290"/>
      <c r="S290"/>
      <c r="T290"/>
      <c r="U290"/>
      <c r="V290"/>
    </row>
    <row r="291" spans="1:22" ht="15" x14ac:dyDescent="0.25">
      <c r="A291"/>
      <c r="B291"/>
      <c r="C291"/>
      <c r="D291"/>
      <c r="E291"/>
      <c r="F291"/>
      <c r="G291"/>
      <c r="H291"/>
      <c r="I291"/>
      <c r="J291"/>
      <c r="K291"/>
      <c r="L291"/>
      <c r="M291"/>
      <c r="N291"/>
      <c r="O291"/>
      <c r="P291"/>
      <c r="Q291"/>
      <c r="R291"/>
      <c r="S291"/>
      <c r="T291"/>
      <c r="U291"/>
      <c r="V291"/>
    </row>
    <row r="292" spans="1:22" ht="15" x14ac:dyDescent="0.25">
      <c r="A292"/>
      <c r="B292"/>
      <c r="C292"/>
      <c r="D292"/>
      <c r="E292"/>
      <c r="F292"/>
      <c r="G292"/>
      <c r="H292"/>
      <c r="I292"/>
      <c r="J292"/>
      <c r="K292"/>
      <c r="L292"/>
      <c r="M292"/>
      <c r="N292"/>
      <c r="O292"/>
      <c r="P292"/>
      <c r="Q292"/>
      <c r="R292"/>
      <c r="S292"/>
      <c r="T292"/>
      <c r="U292"/>
      <c r="V292"/>
    </row>
    <row r="293" spans="1:22" ht="15" x14ac:dyDescent="0.25">
      <c r="A293"/>
      <c r="B293"/>
      <c r="C293"/>
      <c r="D293"/>
      <c r="E293"/>
      <c r="F293"/>
      <c r="G293"/>
      <c r="H293"/>
      <c r="I293"/>
      <c r="J293"/>
      <c r="K293"/>
      <c r="L293"/>
      <c r="M293"/>
      <c r="N293"/>
      <c r="O293"/>
      <c r="P293"/>
      <c r="Q293"/>
      <c r="R293"/>
      <c r="S293"/>
      <c r="T293"/>
      <c r="U293"/>
      <c r="V293"/>
    </row>
    <row r="294" spans="1:22" ht="15" x14ac:dyDescent="0.25">
      <c r="A294"/>
      <c r="B294"/>
      <c r="C294"/>
      <c r="D294"/>
      <c r="E294"/>
      <c r="F294"/>
      <c r="G294"/>
      <c r="H294"/>
      <c r="I294"/>
      <c r="J294"/>
      <c r="K294"/>
      <c r="L294"/>
      <c r="M294"/>
      <c r="N294"/>
      <c r="O294"/>
      <c r="P294"/>
      <c r="Q294"/>
      <c r="R294"/>
      <c r="S294"/>
      <c r="T294"/>
      <c r="U294"/>
      <c r="V294"/>
    </row>
    <row r="295" spans="1:22" ht="15" x14ac:dyDescent="0.25">
      <c r="A295"/>
      <c r="B295"/>
      <c r="C295"/>
      <c r="D295"/>
      <c r="E295"/>
      <c r="F295"/>
      <c r="G295"/>
      <c r="H295"/>
      <c r="I295"/>
      <c r="J295"/>
      <c r="K295"/>
      <c r="L295"/>
      <c r="M295"/>
      <c r="N295"/>
      <c r="O295"/>
      <c r="P295"/>
      <c r="Q295"/>
      <c r="R295"/>
      <c r="S295"/>
      <c r="T295"/>
      <c r="U295"/>
      <c r="V295"/>
    </row>
    <row r="296" spans="1:22" ht="15" x14ac:dyDescent="0.25">
      <c r="A296"/>
      <c r="B296"/>
      <c r="C296"/>
      <c r="D296"/>
      <c r="E296"/>
      <c r="F296"/>
      <c r="G296"/>
      <c r="H296"/>
      <c r="I296"/>
      <c r="J296"/>
      <c r="K296"/>
      <c r="L296"/>
      <c r="M296"/>
      <c r="N296"/>
      <c r="O296"/>
      <c r="P296"/>
      <c r="Q296"/>
      <c r="R296"/>
      <c r="S296"/>
      <c r="T296"/>
      <c r="U296"/>
      <c r="V296"/>
    </row>
    <row r="297" spans="1:22" ht="15" x14ac:dyDescent="0.25">
      <c r="A297"/>
      <c r="B297"/>
      <c r="C297"/>
      <c r="D297"/>
      <c r="E297"/>
      <c r="F297"/>
      <c r="G297"/>
      <c r="H297"/>
      <c r="I297"/>
      <c r="J297"/>
      <c r="K297"/>
      <c r="L297"/>
      <c r="M297"/>
      <c r="N297"/>
      <c r="O297"/>
      <c r="P297"/>
      <c r="Q297"/>
      <c r="R297"/>
      <c r="S297"/>
      <c r="T297"/>
      <c r="U297"/>
      <c r="V297"/>
    </row>
    <row r="298" spans="1:22" ht="15" x14ac:dyDescent="0.25">
      <c r="A298"/>
      <c r="B298"/>
      <c r="C298"/>
      <c r="D298"/>
      <c r="E298"/>
      <c r="F298"/>
      <c r="G298"/>
      <c r="H298"/>
      <c r="I298"/>
      <c r="J298"/>
      <c r="K298"/>
      <c r="L298"/>
      <c r="M298"/>
      <c r="N298"/>
      <c r="O298"/>
      <c r="P298"/>
      <c r="Q298"/>
      <c r="R298"/>
      <c r="S298"/>
      <c r="T298"/>
      <c r="U298"/>
      <c r="V298"/>
    </row>
    <row r="299" spans="1:22" ht="15" x14ac:dyDescent="0.25">
      <c r="A299"/>
      <c r="B299"/>
      <c r="C299"/>
      <c r="D299"/>
      <c r="E299"/>
      <c r="F299"/>
      <c r="G299"/>
      <c r="H299"/>
      <c r="I299"/>
      <c r="J299"/>
      <c r="K299"/>
      <c r="L299"/>
      <c r="M299"/>
      <c r="N299"/>
      <c r="O299"/>
      <c r="P299"/>
      <c r="Q299"/>
      <c r="R299"/>
      <c r="S299"/>
      <c r="T299"/>
      <c r="U299"/>
      <c r="V299"/>
    </row>
    <row r="300" spans="1:22" ht="15" x14ac:dyDescent="0.25">
      <c r="A300"/>
      <c r="B300"/>
      <c r="C300"/>
      <c r="D300"/>
      <c r="E300"/>
      <c r="F300"/>
      <c r="G300"/>
      <c r="H300"/>
      <c r="I300"/>
      <c r="J300"/>
      <c r="K300"/>
      <c r="L300"/>
      <c r="M300"/>
      <c r="N300"/>
      <c r="O300"/>
      <c r="P300"/>
      <c r="Q300"/>
      <c r="R300"/>
      <c r="S300"/>
      <c r="T300"/>
      <c r="U300"/>
      <c r="V300"/>
    </row>
    <row r="301" spans="1:22" ht="15" x14ac:dyDescent="0.25">
      <c r="A301"/>
      <c r="B301"/>
      <c r="C301"/>
      <c r="D301"/>
      <c r="E301"/>
      <c r="F301"/>
      <c r="G301"/>
      <c r="H301"/>
      <c r="I301"/>
      <c r="J301"/>
      <c r="K301"/>
      <c r="L301"/>
      <c r="M301"/>
      <c r="N301"/>
      <c r="O301"/>
      <c r="P301"/>
      <c r="Q301"/>
      <c r="R301"/>
      <c r="S301"/>
      <c r="T301"/>
      <c r="U301"/>
      <c r="V301"/>
    </row>
    <row r="302" spans="1:22" ht="15" x14ac:dyDescent="0.25">
      <c r="A302"/>
      <c r="B302"/>
      <c r="C302"/>
      <c r="D302"/>
      <c r="E302"/>
      <c r="F302"/>
      <c r="G302"/>
      <c r="H302"/>
      <c r="I302"/>
      <c r="J302"/>
      <c r="K302"/>
      <c r="L302"/>
      <c r="M302"/>
      <c r="N302"/>
      <c r="O302"/>
      <c r="P302"/>
      <c r="Q302"/>
      <c r="R302"/>
      <c r="S302"/>
      <c r="T302"/>
      <c r="U302"/>
      <c r="V302"/>
    </row>
    <row r="303" spans="1:22" ht="15" x14ac:dyDescent="0.25">
      <c r="A303"/>
      <c r="B303"/>
      <c r="C303"/>
      <c r="D303"/>
      <c r="E303"/>
      <c r="F303"/>
      <c r="G303"/>
      <c r="H303"/>
      <c r="I303"/>
      <c r="J303"/>
      <c r="K303"/>
      <c r="L303"/>
      <c r="M303"/>
      <c r="N303"/>
      <c r="O303"/>
      <c r="P303"/>
      <c r="Q303"/>
      <c r="R303"/>
      <c r="S303"/>
      <c r="T303"/>
      <c r="U303"/>
      <c r="V303"/>
    </row>
    <row r="304" spans="1:22" ht="15" x14ac:dyDescent="0.25">
      <c r="A304"/>
      <c r="B304"/>
      <c r="C304"/>
      <c r="D304"/>
      <c r="E304"/>
      <c r="F304"/>
      <c r="G304"/>
      <c r="H304"/>
      <c r="I304"/>
      <c r="J304"/>
      <c r="K304"/>
      <c r="L304"/>
      <c r="M304"/>
      <c r="N304"/>
      <c r="O304"/>
      <c r="P304"/>
      <c r="Q304"/>
      <c r="R304"/>
      <c r="S304"/>
      <c r="T304"/>
      <c r="U304"/>
      <c r="V304"/>
    </row>
    <row r="305" spans="1:22" ht="15" x14ac:dyDescent="0.25">
      <c r="A305"/>
      <c r="B305"/>
      <c r="C305"/>
      <c r="D305"/>
      <c r="E305"/>
      <c r="F305"/>
      <c r="G305"/>
      <c r="H305"/>
      <c r="I305"/>
      <c r="J305"/>
      <c r="K305"/>
      <c r="L305"/>
      <c r="M305"/>
      <c r="N305"/>
      <c r="O305"/>
      <c r="P305"/>
      <c r="Q305"/>
      <c r="R305"/>
      <c r="S305"/>
      <c r="T305"/>
      <c r="U305"/>
      <c r="V305"/>
    </row>
    <row r="306" spans="1:22" ht="15" x14ac:dyDescent="0.25">
      <c r="A306"/>
      <c r="B306"/>
      <c r="C306"/>
      <c r="D306"/>
      <c r="E306"/>
      <c r="F306"/>
      <c r="G306"/>
      <c r="H306"/>
      <c r="I306"/>
      <c r="J306"/>
      <c r="K306"/>
      <c r="L306"/>
      <c r="M306"/>
      <c r="N306"/>
      <c r="O306"/>
      <c r="P306"/>
      <c r="Q306"/>
      <c r="R306"/>
      <c r="S306"/>
      <c r="T306"/>
      <c r="U306"/>
      <c r="V306"/>
    </row>
    <row r="307" spans="1:22" ht="15" x14ac:dyDescent="0.25">
      <c r="A307"/>
      <c r="B307"/>
      <c r="C307"/>
      <c r="D307"/>
      <c r="E307"/>
      <c r="F307"/>
      <c r="G307"/>
      <c r="H307"/>
      <c r="I307"/>
      <c r="J307"/>
      <c r="K307"/>
      <c r="L307"/>
      <c r="M307"/>
      <c r="N307"/>
      <c r="O307"/>
      <c r="P307"/>
      <c r="Q307"/>
      <c r="R307"/>
      <c r="S307"/>
      <c r="T307"/>
      <c r="U307"/>
      <c r="V307"/>
    </row>
    <row r="308" spans="1:22" ht="15" x14ac:dyDescent="0.25">
      <c r="A308"/>
      <c r="B308"/>
      <c r="C308"/>
      <c r="D308"/>
      <c r="E308"/>
      <c r="F308"/>
      <c r="G308"/>
      <c r="H308"/>
      <c r="I308"/>
      <c r="J308"/>
      <c r="K308"/>
      <c r="L308"/>
      <c r="M308"/>
      <c r="N308"/>
      <c r="O308"/>
      <c r="P308"/>
      <c r="Q308"/>
      <c r="R308"/>
      <c r="S308"/>
      <c r="T308"/>
      <c r="U308"/>
      <c r="V308"/>
    </row>
    <row r="309" spans="1:22" ht="15" x14ac:dyDescent="0.25">
      <c r="A309"/>
      <c r="B309"/>
      <c r="C309"/>
      <c r="D309"/>
      <c r="E309"/>
      <c r="F309"/>
      <c r="G309"/>
      <c r="H309"/>
      <c r="I309"/>
      <c r="J309"/>
      <c r="K309"/>
      <c r="L309"/>
      <c r="M309"/>
      <c r="N309"/>
      <c r="O309"/>
      <c r="P309"/>
      <c r="Q309"/>
      <c r="R309"/>
      <c r="S309"/>
      <c r="T309"/>
      <c r="U309"/>
      <c r="V309"/>
    </row>
    <row r="310" spans="1:22" ht="15" x14ac:dyDescent="0.25">
      <c r="A310"/>
      <c r="B310"/>
      <c r="C310"/>
      <c r="D310"/>
      <c r="E310"/>
      <c r="F310"/>
      <c r="G310"/>
      <c r="H310"/>
      <c r="I310"/>
      <c r="J310"/>
      <c r="K310"/>
      <c r="L310"/>
      <c r="M310"/>
      <c r="N310"/>
      <c r="O310"/>
      <c r="P310"/>
      <c r="Q310"/>
      <c r="R310"/>
      <c r="S310"/>
      <c r="T310"/>
      <c r="U310"/>
      <c r="V310"/>
    </row>
    <row r="311" spans="1:22" ht="15" x14ac:dyDescent="0.25">
      <c r="A311"/>
      <c r="B311"/>
      <c r="C311"/>
      <c r="D311"/>
      <c r="E311"/>
      <c r="F311"/>
      <c r="G311"/>
      <c r="H311"/>
      <c r="I311"/>
      <c r="J311"/>
      <c r="K311"/>
      <c r="L311"/>
      <c r="M311"/>
      <c r="N311"/>
      <c r="O311"/>
      <c r="P311"/>
      <c r="Q311"/>
      <c r="R311"/>
      <c r="S311"/>
      <c r="T311"/>
      <c r="U311"/>
      <c r="V311"/>
    </row>
    <row r="312" spans="1:22" ht="15" x14ac:dyDescent="0.25">
      <c r="A312"/>
      <c r="B312"/>
      <c r="C312"/>
      <c r="D312"/>
      <c r="E312"/>
      <c r="F312"/>
      <c r="G312"/>
      <c r="H312"/>
      <c r="I312"/>
      <c r="J312"/>
      <c r="K312"/>
      <c r="L312"/>
      <c r="M312"/>
      <c r="N312"/>
      <c r="O312"/>
      <c r="P312"/>
      <c r="Q312"/>
      <c r="R312"/>
      <c r="S312"/>
      <c r="T312"/>
      <c r="U312"/>
      <c r="V312"/>
    </row>
    <row r="313" spans="1:22" ht="15" x14ac:dyDescent="0.25">
      <c r="A313"/>
      <c r="B313"/>
      <c r="C313"/>
      <c r="D313"/>
      <c r="E313"/>
      <c r="F313"/>
      <c r="G313"/>
      <c r="H313"/>
      <c r="I313"/>
      <c r="J313"/>
      <c r="K313"/>
      <c r="L313"/>
      <c r="M313"/>
      <c r="N313"/>
      <c r="O313"/>
      <c r="P313"/>
      <c r="Q313"/>
      <c r="R313"/>
      <c r="S313"/>
      <c r="T313"/>
      <c r="U313"/>
      <c r="V313"/>
    </row>
    <row r="314" spans="1:22" ht="15" x14ac:dyDescent="0.25">
      <c r="A314"/>
      <c r="B314"/>
      <c r="C314"/>
      <c r="D314"/>
      <c r="E314"/>
      <c r="F314"/>
      <c r="G314"/>
      <c r="H314"/>
      <c r="I314"/>
      <c r="J314"/>
      <c r="K314"/>
      <c r="L314"/>
      <c r="M314"/>
      <c r="N314"/>
      <c r="O314"/>
      <c r="P314"/>
      <c r="Q314"/>
      <c r="R314"/>
      <c r="S314"/>
      <c r="T314"/>
      <c r="U314"/>
      <c r="V314"/>
    </row>
    <row r="315" spans="1:22" ht="15" x14ac:dyDescent="0.25">
      <c r="A315"/>
      <c r="B315"/>
      <c r="C315"/>
      <c r="D315"/>
      <c r="E315"/>
      <c r="F315"/>
      <c r="G315"/>
      <c r="H315"/>
      <c r="I315"/>
      <c r="J315"/>
      <c r="K315"/>
      <c r="L315"/>
      <c r="M315"/>
      <c r="N315"/>
      <c r="O315"/>
      <c r="P315"/>
      <c r="Q315"/>
      <c r="R315"/>
      <c r="S315"/>
      <c r="T315"/>
      <c r="U315"/>
      <c r="V315"/>
    </row>
    <row r="316" spans="1:22" ht="15" x14ac:dyDescent="0.25">
      <c r="A316"/>
      <c r="B316"/>
      <c r="C316"/>
      <c r="D316"/>
      <c r="E316"/>
      <c r="F316"/>
      <c r="G316"/>
      <c r="H316"/>
      <c r="I316"/>
      <c r="J316"/>
      <c r="K316"/>
      <c r="L316"/>
      <c r="M316"/>
      <c r="N316"/>
      <c r="O316"/>
      <c r="P316"/>
      <c r="Q316"/>
      <c r="R316"/>
      <c r="S316"/>
      <c r="T316"/>
      <c r="U316"/>
      <c r="V316"/>
    </row>
    <row r="317" spans="1:22" ht="15" x14ac:dyDescent="0.25">
      <c r="A317"/>
      <c r="B317"/>
      <c r="C317"/>
      <c r="D317"/>
      <c r="E317"/>
      <c r="F317"/>
      <c r="G317"/>
      <c r="H317"/>
      <c r="I317"/>
      <c r="J317"/>
      <c r="K317"/>
      <c r="L317"/>
      <c r="M317"/>
      <c r="N317"/>
      <c r="O317"/>
      <c r="P317"/>
      <c r="Q317"/>
      <c r="R317"/>
      <c r="S317"/>
      <c r="T317"/>
      <c r="U317"/>
      <c r="V317"/>
    </row>
    <row r="318" spans="1:22" ht="15" x14ac:dyDescent="0.25">
      <c r="A318"/>
      <c r="B318"/>
      <c r="C318"/>
      <c r="D318"/>
      <c r="E318"/>
      <c r="F318"/>
      <c r="G318"/>
      <c r="H318"/>
      <c r="I318"/>
      <c r="J318"/>
      <c r="K318"/>
      <c r="L318"/>
      <c r="M318"/>
      <c r="N318"/>
      <c r="O318"/>
      <c r="P318"/>
      <c r="Q318"/>
      <c r="R318"/>
      <c r="S318"/>
      <c r="T318"/>
      <c r="U318"/>
      <c r="V318"/>
    </row>
    <row r="319" spans="1:22" ht="15" x14ac:dyDescent="0.25">
      <c r="A319"/>
      <c r="B319"/>
      <c r="C319"/>
      <c r="D319"/>
      <c r="E319"/>
      <c r="F319"/>
      <c r="G319"/>
      <c r="H319"/>
      <c r="I319"/>
      <c r="J319"/>
      <c r="K319"/>
      <c r="L319"/>
      <c r="M319"/>
      <c r="N319"/>
      <c r="O319"/>
      <c r="P319"/>
      <c r="Q319"/>
      <c r="R319"/>
      <c r="S319"/>
      <c r="T319"/>
      <c r="U319"/>
      <c r="V319"/>
    </row>
    <row r="320" spans="1:22" ht="15" x14ac:dyDescent="0.25">
      <c r="A320"/>
      <c r="B320"/>
      <c r="C320"/>
      <c r="D320"/>
      <c r="E320"/>
      <c r="F320"/>
      <c r="G320"/>
      <c r="H320"/>
      <c r="I320"/>
      <c r="J320"/>
      <c r="K320"/>
      <c r="L320"/>
      <c r="M320"/>
      <c r="N320"/>
      <c r="O320"/>
      <c r="P320"/>
      <c r="Q320"/>
      <c r="R320"/>
      <c r="S320"/>
      <c r="T320"/>
      <c r="U320"/>
      <c r="V320"/>
    </row>
    <row r="321" spans="1:22" ht="15" x14ac:dyDescent="0.25">
      <c r="A321"/>
      <c r="B321"/>
      <c r="C321"/>
      <c r="D321"/>
      <c r="E321"/>
      <c r="F321"/>
      <c r="G321"/>
      <c r="H321"/>
      <c r="I321"/>
      <c r="J321"/>
      <c r="K321"/>
      <c r="L321"/>
      <c r="M321"/>
      <c r="N321"/>
      <c r="O321"/>
      <c r="P321"/>
      <c r="Q321"/>
      <c r="R321"/>
      <c r="S321"/>
      <c r="T321"/>
      <c r="U321"/>
      <c r="V321"/>
    </row>
    <row r="322" spans="1:22" ht="15" x14ac:dyDescent="0.25">
      <c r="A322"/>
      <c r="B322"/>
      <c r="C322"/>
      <c r="D322"/>
      <c r="E322"/>
      <c r="F322"/>
      <c r="G322"/>
      <c r="H322"/>
      <c r="I322"/>
      <c r="J322"/>
      <c r="K322"/>
      <c r="L322"/>
      <c r="M322"/>
      <c r="N322"/>
      <c r="O322"/>
      <c r="P322"/>
      <c r="Q322"/>
      <c r="R322"/>
      <c r="S322"/>
      <c r="T322"/>
      <c r="U322"/>
      <c r="V322"/>
    </row>
    <row r="323" spans="1:22" ht="15" x14ac:dyDescent="0.25">
      <c r="A323"/>
      <c r="B323"/>
      <c r="C323"/>
      <c r="D323"/>
      <c r="E323"/>
      <c r="F323"/>
      <c r="G323"/>
      <c r="H323"/>
      <c r="I323"/>
      <c r="J323"/>
      <c r="K323"/>
      <c r="L323"/>
      <c r="M323"/>
      <c r="N323"/>
      <c r="O323"/>
      <c r="P323"/>
      <c r="Q323"/>
      <c r="R323"/>
      <c r="S323"/>
      <c r="T323"/>
      <c r="U323"/>
      <c r="V323"/>
    </row>
    <row r="324" spans="1:22" ht="15" x14ac:dyDescent="0.25">
      <c r="A324"/>
      <c r="B324"/>
      <c r="C324"/>
      <c r="D324"/>
      <c r="E324"/>
      <c r="F324"/>
      <c r="G324"/>
      <c r="H324"/>
      <c r="I324"/>
      <c r="J324"/>
      <c r="K324"/>
      <c r="L324"/>
      <c r="M324"/>
      <c r="N324"/>
      <c r="O324"/>
      <c r="P324"/>
      <c r="Q324"/>
      <c r="R324"/>
      <c r="S324"/>
      <c r="T324"/>
      <c r="U324"/>
      <c r="V324"/>
    </row>
    <row r="325" spans="1:22" ht="15" x14ac:dyDescent="0.25">
      <c r="A325"/>
      <c r="B325"/>
      <c r="C325"/>
      <c r="D325"/>
      <c r="E325"/>
      <c r="F325"/>
      <c r="G325"/>
      <c r="H325"/>
      <c r="I325"/>
      <c r="J325"/>
      <c r="K325"/>
      <c r="L325"/>
      <c r="M325"/>
      <c r="N325"/>
      <c r="O325"/>
      <c r="P325"/>
      <c r="Q325"/>
      <c r="R325"/>
      <c r="S325"/>
      <c r="T325"/>
      <c r="U325"/>
      <c r="V325"/>
    </row>
    <row r="326" spans="1:22" ht="15" x14ac:dyDescent="0.25">
      <c r="A326"/>
      <c r="B326"/>
      <c r="C326"/>
      <c r="D326"/>
      <c r="E326"/>
      <c r="F326"/>
      <c r="G326"/>
      <c r="H326"/>
      <c r="I326"/>
      <c r="J326"/>
      <c r="K326"/>
      <c r="L326"/>
      <c r="M326"/>
      <c r="N326"/>
      <c r="O326"/>
      <c r="P326"/>
      <c r="Q326"/>
      <c r="R326"/>
      <c r="S326"/>
      <c r="T326"/>
      <c r="U326"/>
      <c r="V326"/>
    </row>
    <row r="327" spans="1:22" ht="15" x14ac:dyDescent="0.25">
      <c r="A327"/>
      <c r="B327"/>
      <c r="C327"/>
      <c r="D327"/>
      <c r="E327"/>
      <c r="F327"/>
      <c r="G327"/>
      <c r="H327"/>
      <c r="I327"/>
      <c r="J327"/>
      <c r="K327"/>
      <c r="L327"/>
      <c r="M327"/>
      <c r="N327"/>
      <c r="O327"/>
      <c r="P327"/>
      <c r="Q327"/>
      <c r="R327"/>
      <c r="S327"/>
      <c r="T327"/>
      <c r="U327"/>
      <c r="V327"/>
    </row>
    <row r="328" spans="1:22" ht="15" x14ac:dyDescent="0.25">
      <c r="A328"/>
      <c r="B328"/>
      <c r="C328"/>
      <c r="D328"/>
      <c r="E328"/>
      <c r="F328"/>
      <c r="G328"/>
      <c r="H328"/>
      <c r="I328"/>
      <c r="J328"/>
      <c r="K328"/>
      <c r="L328"/>
      <c r="M328"/>
      <c r="N328"/>
      <c r="O328"/>
      <c r="P328"/>
      <c r="Q328"/>
      <c r="R328"/>
      <c r="S328"/>
      <c r="T328"/>
      <c r="U328"/>
      <c r="V328"/>
    </row>
    <row r="329" spans="1:22" ht="15" x14ac:dyDescent="0.25">
      <c r="A329"/>
      <c r="B329"/>
      <c r="C329"/>
      <c r="D329"/>
      <c r="E329"/>
      <c r="F329"/>
      <c r="G329"/>
      <c r="H329"/>
      <c r="I329"/>
      <c r="J329"/>
      <c r="K329"/>
      <c r="L329"/>
      <c r="M329"/>
      <c r="N329"/>
      <c r="O329"/>
      <c r="P329"/>
      <c r="Q329"/>
      <c r="R329"/>
      <c r="S329"/>
      <c r="T329"/>
      <c r="U329"/>
      <c r="V329"/>
    </row>
    <row r="330" spans="1:22" ht="15" x14ac:dyDescent="0.25">
      <c r="A330"/>
      <c r="B330"/>
      <c r="C330"/>
      <c r="D330"/>
      <c r="E330"/>
      <c r="F330"/>
      <c r="G330"/>
      <c r="H330"/>
      <c r="I330"/>
      <c r="J330"/>
      <c r="K330"/>
      <c r="L330"/>
      <c r="M330"/>
      <c r="N330"/>
      <c r="O330"/>
      <c r="P330"/>
      <c r="Q330"/>
      <c r="R330"/>
      <c r="S330"/>
      <c r="T330"/>
      <c r="U330"/>
      <c r="V330"/>
    </row>
    <row r="331" spans="1:22" ht="15" x14ac:dyDescent="0.25">
      <c r="A331"/>
      <c r="B331"/>
      <c r="C331"/>
      <c r="D331"/>
      <c r="E331"/>
      <c r="F331"/>
      <c r="G331"/>
      <c r="H331"/>
      <c r="I331"/>
      <c r="J331"/>
      <c r="K331"/>
      <c r="L331"/>
      <c r="M331"/>
      <c r="N331"/>
      <c r="O331"/>
      <c r="P331"/>
      <c r="Q331"/>
      <c r="R331"/>
      <c r="S331"/>
      <c r="T331"/>
      <c r="U331"/>
      <c r="V331"/>
    </row>
    <row r="332" spans="1:22" ht="15" x14ac:dyDescent="0.25">
      <c r="A332"/>
      <c r="B332"/>
      <c r="C332"/>
      <c r="D332"/>
      <c r="E332"/>
      <c r="F332"/>
      <c r="G332"/>
      <c r="H332"/>
      <c r="I332"/>
      <c r="J332"/>
      <c r="K332"/>
      <c r="L332"/>
      <c r="M332"/>
      <c r="N332"/>
      <c r="O332"/>
      <c r="P332"/>
      <c r="Q332"/>
      <c r="R332"/>
      <c r="S332"/>
      <c r="T332"/>
      <c r="U332"/>
      <c r="V332"/>
    </row>
    <row r="333" spans="1:22" ht="15" x14ac:dyDescent="0.25">
      <c r="A333"/>
      <c r="B333"/>
      <c r="C333"/>
      <c r="D333"/>
      <c r="E333"/>
      <c r="F333"/>
      <c r="G333"/>
      <c r="H333"/>
      <c r="I333"/>
      <c r="J333"/>
      <c r="K333"/>
      <c r="L333"/>
      <c r="M333"/>
      <c r="N333"/>
      <c r="O333"/>
      <c r="P333"/>
      <c r="Q333"/>
      <c r="R333"/>
      <c r="S333"/>
      <c r="T333"/>
      <c r="U333"/>
      <c r="V333"/>
    </row>
    <row r="334" spans="1:22" ht="15" x14ac:dyDescent="0.25">
      <c r="A334"/>
      <c r="B334"/>
      <c r="C334"/>
      <c r="D334"/>
      <c r="E334"/>
      <c r="F334"/>
      <c r="G334"/>
      <c r="H334"/>
      <c r="I334"/>
      <c r="J334"/>
      <c r="K334"/>
      <c r="L334"/>
      <c r="M334"/>
      <c r="N334"/>
      <c r="O334"/>
      <c r="P334"/>
      <c r="Q334"/>
      <c r="R334"/>
      <c r="S334"/>
      <c r="T334"/>
      <c r="U334"/>
      <c r="V334"/>
    </row>
    <row r="335" spans="1:22" ht="15" x14ac:dyDescent="0.25">
      <c r="A335"/>
      <c r="B335"/>
      <c r="C335"/>
      <c r="D335"/>
      <c r="E335"/>
      <c r="F335"/>
      <c r="G335"/>
      <c r="H335"/>
      <c r="I335"/>
      <c r="J335"/>
      <c r="K335"/>
      <c r="L335"/>
      <c r="M335"/>
      <c r="N335"/>
      <c r="O335"/>
      <c r="P335"/>
      <c r="Q335"/>
      <c r="R335"/>
      <c r="S335"/>
      <c r="T335"/>
      <c r="U335"/>
      <c r="V335"/>
    </row>
    <row r="336" spans="1:22" ht="15" x14ac:dyDescent="0.25">
      <c r="A336"/>
      <c r="B336"/>
      <c r="C336"/>
      <c r="D336"/>
      <c r="E336"/>
      <c r="F336"/>
      <c r="G336"/>
      <c r="H336"/>
      <c r="I336"/>
      <c r="J336"/>
      <c r="K336"/>
      <c r="L336"/>
      <c r="M336"/>
      <c r="N336"/>
      <c r="O336"/>
      <c r="P336"/>
      <c r="Q336"/>
      <c r="R336"/>
      <c r="S336"/>
      <c r="T336"/>
      <c r="U336"/>
      <c r="V336"/>
    </row>
    <row r="337" spans="1:22" ht="15" x14ac:dyDescent="0.25">
      <c r="A337"/>
      <c r="B337"/>
      <c r="C337"/>
      <c r="D337"/>
      <c r="E337"/>
      <c r="F337"/>
      <c r="G337"/>
      <c r="H337"/>
      <c r="I337"/>
      <c r="J337"/>
      <c r="K337"/>
      <c r="L337"/>
      <c r="M337"/>
      <c r="N337"/>
      <c r="O337"/>
      <c r="P337"/>
      <c r="Q337"/>
      <c r="R337"/>
      <c r="S337"/>
      <c r="T337"/>
      <c r="U337"/>
      <c r="V337"/>
    </row>
    <row r="338" spans="1:22" ht="15" x14ac:dyDescent="0.25">
      <c r="A338"/>
      <c r="B338"/>
      <c r="C338"/>
      <c r="D338"/>
      <c r="E338"/>
      <c r="F338"/>
      <c r="G338"/>
      <c r="H338"/>
      <c r="I338"/>
      <c r="J338"/>
      <c r="K338"/>
      <c r="L338"/>
      <c r="M338"/>
      <c r="N338"/>
      <c r="O338"/>
      <c r="P338"/>
      <c r="Q338"/>
      <c r="R338"/>
      <c r="S338"/>
      <c r="T338"/>
      <c r="U338"/>
      <c r="V338"/>
    </row>
  </sheetData>
  <mergeCells count="1">
    <mergeCell ref="B1:B3"/>
  </mergeCells>
  <pageMargins left="0.25" right="0.25" top="0.75" bottom="0.75" header="0.3" footer="0.3"/>
  <pageSetup scale="46" fitToHeight="0" orientation="landscape"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Summary</vt:lpstr>
      <vt:lpstr>Detail</vt:lpstr>
      <vt:lpstr>Detail By AEA</vt:lpstr>
      <vt:lpstr>Detail!Print_Area</vt:lpstr>
      <vt:lpstr>Summary!Print_Area</vt:lpstr>
      <vt:lpstr>Detail!Print_Titles</vt:lpstr>
      <vt:lpstr>'Detail By AEA'!Print_Titles</vt:lpstr>
    </vt:vector>
  </TitlesOfParts>
  <Company>State of Iowa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Department of Management</dc:creator>
  <cp:lastModifiedBy>Parker, John [IDOM]</cp:lastModifiedBy>
  <cp:lastPrinted>2022-06-22T13:35:33Z</cp:lastPrinted>
  <dcterms:created xsi:type="dcterms:W3CDTF">2017-04-24T18:31:54Z</dcterms:created>
  <dcterms:modified xsi:type="dcterms:W3CDTF">2022-06-22T13:36:05Z</dcterms:modified>
</cp:coreProperties>
</file>