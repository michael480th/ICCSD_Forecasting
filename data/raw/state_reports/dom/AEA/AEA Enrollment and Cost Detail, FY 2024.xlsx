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hidePivotFieldList="1" defaultThemeVersion="124226"/>
  <mc:AlternateContent xmlns:mc="http://schemas.openxmlformats.org/markup-compatibility/2006">
    <mc:Choice Requires="x15">
      <x15ac:absPath xmlns:x15ac="http://schemas.microsoft.com/office/spreadsheetml/2010/11/ac" url="H:\My Drive\AEA\FY2024\"/>
    </mc:Choice>
  </mc:AlternateContent>
  <xr:revisionPtr revIDLastSave="0" documentId="13_ncr:1_{3FCE82E6-86AC-4861-A32D-F5E6DC83CA4B}" xr6:coauthVersionLast="36" xr6:coauthVersionMax="36" xr10:uidLastSave="{00000000-0000-0000-0000-000000000000}"/>
  <bookViews>
    <workbookView xWindow="0" yWindow="60" windowWidth="16275" windowHeight="13605" xr2:uid="{00000000-000D-0000-FFFF-FFFF00000000}"/>
  </bookViews>
  <sheets>
    <sheet name="Summary" sheetId="2" r:id="rId1"/>
    <sheet name="StateAidVsPropertyTax" sheetId="5" r:id="rId2"/>
    <sheet name="Breakdown" sheetId="6" state="hidden" r:id="rId3"/>
    <sheet name="Detail" sheetId="1" r:id="rId4"/>
    <sheet name="Detail By AEA" sheetId="4" r:id="rId5"/>
  </sheets>
  <definedNames>
    <definedName name="AEA_Name" localSheetId="1">#REF!</definedName>
    <definedName name="AEA_Name">#REF!</definedName>
    <definedName name="_xlnm.Print_Area" localSheetId="3">Detail!$A$1:$AC$327</definedName>
    <definedName name="_xlnm.Print_Area" localSheetId="1">StateAidVsPropertyTax!$A$1:$I$35</definedName>
    <definedName name="_xlnm.Print_Area" localSheetId="0">Summary!$A$1:$K$38</definedName>
    <definedName name="_xlnm.Print_Titles" localSheetId="3">Detail!$1:$2</definedName>
    <definedName name="_xlnm.Print_Titles" localSheetId="4">'Detail By AEA'!$A:$B,'Detail By AEA'!$4:$4</definedName>
    <definedName name="Slicer_AEA_Name">#N/A</definedName>
  </definedNames>
  <calcPr calcId="191029" iterateDelta="0"/>
  <pivotCaches>
    <pivotCache cacheId="2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5" l="1"/>
  <c r="D13" i="5"/>
  <c r="E13" i="5"/>
  <c r="F13" i="5"/>
  <c r="G13" i="5"/>
  <c r="C13" i="5"/>
  <c r="I1" i="5"/>
  <c r="C25" i="5" l="1"/>
  <c r="D25" i="5"/>
  <c r="E25" i="5"/>
  <c r="F25" i="5"/>
  <c r="G25" i="5"/>
  <c r="B13" i="5"/>
  <c r="B25" i="5" s="1"/>
  <c r="A13" i="5"/>
  <c r="A25" i="5" s="1"/>
  <c r="D1" i="5"/>
  <c r="E1" i="5"/>
  <c r="F1" i="5"/>
  <c r="G1" i="5"/>
  <c r="H1" i="5"/>
  <c r="A2" i="5" a="1"/>
  <c r="A2" i="5" s="1"/>
  <c r="I2" i="5" s="1"/>
  <c r="C1" i="5"/>
  <c r="H2" i="5" l="1"/>
  <c r="A3" i="5" a="1"/>
  <c r="A3" i="5" s="1"/>
  <c r="I3" i="5" s="1"/>
  <c r="B2" i="5"/>
  <c r="E2" i="5"/>
  <c r="C2" i="5"/>
  <c r="D2" i="5"/>
  <c r="F2" i="5"/>
  <c r="G2" i="5"/>
  <c r="A14" i="5"/>
  <c r="E14" i="5" s="1"/>
  <c r="B14" i="5"/>
  <c r="B26" i="5" s="1"/>
  <c r="B1" i="4"/>
  <c r="F14" i="5" l="1"/>
  <c r="G14" i="5"/>
  <c r="D14" i="5"/>
  <c r="C14" i="5"/>
  <c r="A4" i="5" a="1"/>
  <c r="A4" i="5" s="1"/>
  <c r="H3" i="5"/>
  <c r="C3" i="5"/>
  <c r="D3" i="5"/>
  <c r="F3" i="5"/>
  <c r="E3" i="5"/>
  <c r="G3" i="5"/>
  <c r="A15" i="5"/>
  <c r="B3" i="5"/>
  <c r="B15" i="5" s="1"/>
  <c r="B27" i="5" s="1"/>
  <c r="A26" i="5"/>
  <c r="I27" i="2"/>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H4" i="5" l="1"/>
  <c r="I4" i="5"/>
  <c r="J3" i="2"/>
  <c r="C15" i="5"/>
  <c r="D15" i="5"/>
  <c r="F15" i="5"/>
  <c r="E15" i="5"/>
  <c r="G15" i="5"/>
  <c r="G26" i="5"/>
  <c r="D26" i="5"/>
  <c r="F26" i="5"/>
  <c r="C26" i="5"/>
  <c r="E26" i="5"/>
  <c r="A5" i="5" a="1"/>
  <c r="A5" i="5" s="1"/>
  <c r="I5" i="5" s="1"/>
  <c r="D4" i="5"/>
  <c r="C4" i="5"/>
  <c r="E4" i="5"/>
  <c r="F4" i="5"/>
  <c r="G4" i="5"/>
  <c r="A27" i="5"/>
  <c r="B4" i="5"/>
  <c r="B16" i="5" s="1"/>
  <c r="B28" i="5" s="1"/>
  <c r="A16" i="5"/>
  <c r="A4" i="2" a="1"/>
  <c r="A4" i="2" s="1"/>
  <c r="D4" i="2" s="1"/>
  <c r="E3" i="2"/>
  <c r="G3" i="2"/>
  <c r="I3" i="2"/>
  <c r="K3" i="2"/>
  <c r="A16" i="2"/>
  <c r="C16" i="2" s="1"/>
  <c r="D3" i="2"/>
  <c r="F3" i="2"/>
  <c r="H3" i="2"/>
  <c r="C3" i="2"/>
  <c r="B3" i="2"/>
  <c r="B16" i="2" s="1"/>
  <c r="B29" i="2" s="1"/>
  <c r="A5" i="2" l="1" a="1"/>
  <c r="A5" i="2" s="1"/>
  <c r="B5" i="2" s="1"/>
  <c r="B18" i="2" s="1"/>
  <c r="B31" i="2" s="1"/>
  <c r="G27" i="5"/>
  <c r="F27" i="5"/>
  <c r="C27" i="5"/>
  <c r="E27" i="5"/>
  <c r="D27" i="5"/>
  <c r="C16" i="5"/>
  <c r="D16" i="5"/>
  <c r="G16" i="5"/>
  <c r="E16" i="5"/>
  <c r="F16" i="5"/>
  <c r="A6" i="5" a="1"/>
  <c r="A6" i="5" s="1"/>
  <c r="H5" i="5"/>
  <c r="D5" i="5"/>
  <c r="E5" i="5"/>
  <c r="F5" i="5"/>
  <c r="G5" i="5"/>
  <c r="C5" i="5"/>
  <c r="A17" i="5"/>
  <c r="B5" i="5"/>
  <c r="B17" i="5" s="1"/>
  <c r="B29" i="5" s="1"/>
  <c r="A28" i="5"/>
  <c r="D16" i="2"/>
  <c r="A29" i="2"/>
  <c r="D29" i="2" s="1"/>
  <c r="G16" i="2"/>
  <c r="J16" i="2"/>
  <c r="F16" i="2"/>
  <c r="I16" i="2"/>
  <c r="E16" i="2"/>
  <c r="H16" i="2"/>
  <c r="G4" i="2"/>
  <c r="J4" i="2"/>
  <c r="H4" i="2"/>
  <c r="C4" i="2"/>
  <c r="A17" i="2"/>
  <c r="F4" i="2"/>
  <c r="K4" i="2"/>
  <c r="I4" i="2"/>
  <c r="B4" i="2"/>
  <c r="B17" i="2" s="1"/>
  <c r="B30" i="2" s="1"/>
  <c r="E4" i="2"/>
  <c r="H6" i="5" l="1"/>
  <c r="I6" i="5"/>
  <c r="F28" i="5"/>
  <c r="D28" i="5"/>
  <c r="E28" i="5"/>
  <c r="C28" i="5"/>
  <c r="G28" i="5"/>
  <c r="C17" i="5"/>
  <c r="D17" i="5"/>
  <c r="F17" i="5"/>
  <c r="E17" i="5"/>
  <c r="G17" i="5"/>
  <c r="A7" i="5" a="1"/>
  <c r="A7" i="5" s="1"/>
  <c r="I7" i="5" s="1"/>
  <c r="D6" i="5"/>
  <c r="E6" i="5"/>
  <c r="F6" i="5"/>
  <c r="C6" i="5"/>
  <c r="G6" i="5"/>
  <c r="A18" i="5"/>
  <c r="B6" i="5"/>
  <c r="B18" i="5" s="1"/>
  <c r="B30" i="5" s="1"/>
  <c r="A29" i="5"/>
  <c r="I29" i="2"/>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E29" i="5" l="1"/>
  <c r="G29" i="5"/>
  <c r="C29" i="5"/>
  <c r="F29" i="5"/>
  <c r="D29" i="5"/>
  <c r="C18" i="5"/>
  <c r="D18" i="5"/>
  <c r="F18" i="5"/>
  <c r="E18" i="5"/>
  <c r="G18" i="5"/>
  <c r="A8" i="5" a="1"/>
  <c r="A8" i="5" s="1"/>
  <c r="I8" i="5" s="1"/>
  <c r="H7" i="5"/>
  <c r="F7" i="5"/>
  <c r="D7" i="5"/>
  <c r="C7" i="5"/>
  <c r="G7" i="5"/>
  <c r="E7" i="5"/>
  <c r="A19" i="5"/>
  <c r="B7" i="5"/>
  <c r="B19" i="5" s="1"/>
  <c r="B31" i="5" s="1"/>
  <c r="A30" i="5"/>
  <c r="I30" i="2"/>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C19" i="5" l="1"/>
  <c r="D19" i="5"/>
  <c r="E19" i="5"/>
  <c r="G19" i="5"/>
  <c r="F19" i="5"/>
  <c r="D30" i="5"/>
  <c r="C30" i="5"/>
  <c r="F30" i="5"/>
  <c r="E30" i="5"/>
  <c r="G30" i="5"/>
  <c r="A9" i="5" a="1"/>
  <c r="A9" i="5" s="1"/>
  <c r="H8" i="5"/>
  <c r="D8" i="5"/>
  <c r="E8" i="5"/>
  <c r="C8" i="5"/>
  <c r="G8" i="5"/>
  <c r="F8" i="5"/>
  <c r="B8" i="5"/>
  <c r="B20" i="5" s="1"/>
  <c r="B32" i="5" s="1"/>
  <c r="A20" i="5"/>
  <c r="A31" i="5"/>
  <c r="I31" i="2"/>
  <c r="C19" i="2"/>
  <c r="A32" i="2"/>
  <c r="D19" i="2"/>
  <c r="G19" i="2"/>
  <c r="H19" i="2"/>
  <c r="F19" i="2"/>
  <c r="J19" i="2"/>
  <c r="E19" i="2"/>
  <c r="I19" i="2"/>
  <c r="F31" i="2"/>
  <c r="C31" i="2"/>
  <c r="G31" i="2"/>
  <c r="D31" i="2"/>
  <c r="H31" i="2"/>
  <c r="E31" i="2"/>
  <c r="A8" i="2" a="1"/>
  <c r="A8" i="2" s="1"/>
  <c r="A20" i="2"/>
  <c r="J7" i="2"/>
  <c r="D7" i="2"/>
  <c r="H7" i="2"/>
  <c r="I7" i="2"/>
  <c r="K7" i="2"/>
  <c r="C7" i="2"/>
  <c r="E7" i="2"/>
  <c r="G7" i="2"/>
  <c r="F7" i="2"/>
  <c r="H9" i="5" l="1"/>
  <c r="I9" i="5"/>
  <c r="C31" i="5"/>
  <c r="D31" i="5"/>
  <c r="F31" i="5"/>
  <c r="E31" i="5"/>
  <c r="G31" i="5"/>
  <c r="C20" i="5"/>
  <c r="D20" i="5"/>
  <c r="F20" i="5"/>
  <c r="E20" i="5"/>
  <c r="G20" i="5"/>
  <c r="A10" i="5" a="1"/>
  <c r="A10" i="5" s="1"/>
  <c r="D9" i="5"/>
  <c r="F9" i="5"/>
  <c r="C9" i="5"/>
  <c r="E9" i="5"/>
  <c r="G9" i="5"/>
  <c r="A32" i="5"/>
  <c r="A21" i="5"/>
  <c r="B9" i="5"/>
  <c r="B21" i="5" s="1"/>
  <c r="B33" i="5" s="1"/>
  <c r="I32" i="2"/>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H10" i="5" l="1"/>
  <c r="H11" i="5" s="1"/>
  <c r="I10" i="5"/>
  <c r="I11" i="5" s="1"/>
  <c r="C21" i="5"/>
  <c r="D21" i="5"/>
  <c r="E21" i="5"/>
  <c r="G21" i="5"/>
  <c r="F21" i="5"/>
  <c r="C32" i="5"/>
  <c r="E32" i="5"/>
  <c r="G32" i="5"/>
  <c r="D32" i="5"/>
  <c r="F32" i="5"/>
  <c r="E10" i="5"/>
  <c r="E11" i="5" s="1"/>
  <c r="D10" i="5"/>
  <c r="D11" i="5" s="1"/>
  <c r="F10" i="5"/>
  <c r="F11" i="5" s="1"/>
  <c r="G10" i="5"/>
  <c r="G11" i="5" s="1"/>
  <c r="C10" i="5"/>
  <c r="C11" i="5" s="1"/>
  <c r="A22" i="5"/>
  <c r="B10" i="5"/>
  <c r="B22" i="5" s="1"/>
  <c r="B34" i="5" s="1"/>
  <c r="A33" i="5"/>
  <c r="I33" i="2"/>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C22" i="5" l="1"/>
  <c r="C23" i="5" s="1"/>
  <c r="D22" i="5"/>
  <c r="D23" i="5" s="1"/>
  <c r="G22" i="5"/>
  <c r="G23" i="5" s="1"/>
  <c r="F22" i="5"/>
  <c r="F23" i="5" s="1"/>
  <c r="E22" i="5"/>
  <c r="E23" i="5" s="1"/>
  <c r="D33" i="5"/>
  <c r="F33" i="5"/>
  <c r="C33" i="5"/>
  <c r="E33" i="5"/>
  <c r="G33" i="5"/>
  <c r="A34" i="5"/>
  <c r="I34" i="2"/>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C34" i="5" l="1"/>
  <c r="C35" i="5" s="1"/>
  <c r="P2" i="5" s="1"/>
  <c r="E34" i="5"/>
  <c r="E35" i="5" s="1"/>
  <c r="G34" i="5"/>
  <c r="G35" i="5" s="1"/>
  <c r="D34" i="5"/>
  <c r="D35" i="5" s="1"/>
  <c r="F34" i="5"/>
  <c r="F35" i="5" s="1"/>
  <c r="I35" i="2"/>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D38" i="2" s="1"/>
  <c r="C37" i="2"/>
  <c r="C38" i="2" s="1"/>
  <c r="G37" i="2"/>
  <c r="G38" i="2" s="1"/>
  <c r="E37" i="2"/>
  <c r="E38" i="2" s="1"/>
  <c r="F37" i="2"/>
  <c r="F38" i="2" s="1"/>
</calcChain>
</file>

<file path=xl/sharedStrings.xml><?xml version="1.0" encoding="utf-8"?>
<sst xmlns="http://schemas.openxmlformats.org/spreadsheetml/2006/main" count="3354" uniqueCount="749">
  <si>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</si>
  <si>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</si>
  <si>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</si>
  <si>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</si>
  <si>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</si>
  <si>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</si>
  <si>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</si>
  <si>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</si>
  <si>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</si>
  <si>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</si>
  <si>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</si>
  <si>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</si>
  <si>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</si>
  <si>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</si>
  <si>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</si>
  <si>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</si>
  <si>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</si>
  <si>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</si>
  <si>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</si>
  <si>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</si>
  <si>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</si>
  <si>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</si>
  <si>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</si>
  <si>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</si>
  <si>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</si>
  <si>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</si>
  <si>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</si>
  <si>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</si>
  <si>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</si>
  <si>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</si>
  <si>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</si>
  <si>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</si>
  <si>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</si>
  <si>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</si>
  <si>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</si>
  <si>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</si>
  <si>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</si>
  <si>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</si>
  <si>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</si>
  <si>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4023</t>
  </si>
  <si>
    <t>4644</t>
  </si>
  <si>
    <t>4778</t>
  </si>
  <si>
    <t>0333</t>
  </si>
  <si>
    <t>4860</t>
  </si>
  <si>
    <t>4890</t>
  </si>
  <si>
    <t>5139</t>
  </si>
  <si>
    <t>5283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</si>
  <si>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</si>
  <si>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</si>
  <si>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</si>
  <si>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</si>
  <si>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</si>
  <si>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</si>
  <si>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</si>
  <si>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</si>
  <si>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</si>
  <si>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</si>
  <si>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</si>
  <si>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</si>
  <si>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</si>
  <si>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</si>
  <si>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</si>
  <si>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</si>
  <si>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</si>
  <si>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</si>
  <si>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</si>
  <si>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</si>
  <si>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</si>
  <si>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</si>
  <si>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</si>
  <si>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</si>
  <si>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</si>
  <si>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</si>
  <si>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</si>
  <si>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</si>
  <si>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</si>
  <si>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</si>
  <si>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</si>
  <si>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</si>
  <si>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</si>
  <si>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</si>
  <si>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</si>
  <si>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</si>
  <si>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</si>
  <si>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</si>
  <si>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</si>
  <si>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</si>
  <si>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</si>
  <si>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</si>
  <si>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</si>
  <si>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</si>
  <si>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</si>
  <si>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</si>
  <si>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</si>
  <si>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</si>
  <si>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</si>
  <si>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</si>
  <si>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</si>
  <si>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</si>
  <si>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</si>
  <si>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</si>
  <si>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</si>
  <si>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</si>
  <si>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</si>
  <si>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</si>
  <si>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</si>
  <si>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</si>
  <si>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</si>
  <si>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</si>
  <si>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</si>
  <si>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</si>
  <si>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</si>
  <si>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</si>
  <si>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</si>
  <si>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</si>
  <si>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</si>
  <si>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</si>
  <si>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</si>
  <si>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</si>
  <si>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</si>
  <si>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</si>
  <si>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</si>
  <si>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</si>
  <si>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</si>
  <si>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</si>
  <si>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</si>
  <si>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</si>
  <si>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</si>
  <si>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</si>
  <si>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</si>
  <si>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</si>
  <si>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</si>
  <si>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</si>
  <si>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</si>
  <si>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</si>
  <si>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</si>
  <si>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</si>
  <si>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</si>
  <si>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</si>
  <si>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</si>
  <si>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</si>
  <si>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</si>
  <si>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</si>
  <si>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</si>
  <si>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</si>
  <si>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</si>
  <si>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</si>
  <si>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</si>
  <si>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</si>
  <si>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</si>
  <si>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</si>
  <si>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</si>
  <si>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</si>
  <si>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</si>
  <si>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</si>
  <si>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</si>
  <si>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</si>
  <si>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</si>
  <si>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</si>
  <si>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</si>
  <si>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</si>
  <si>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</si>
  <si>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</si>
  <si>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</si>
  <si>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</si>
  <si>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</si>
  <si>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</si>
  <si>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</si>
  <si>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</si>
  <si>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</si>
  <si>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</si>
  <si>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</si>
  <si>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</si>
  <si>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</si>
  <si>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</si>
  <si>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</si>
  <si>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</si>
  <si>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</si>
  <si>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</si>
  <si>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</si>
  <si>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</si>
  <si>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</si>
  <si>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</si>
  <si>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</si>
  <si>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</si>
  <si>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</si>
  <si>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</si>
  <si>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</si>
  <si>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</si>
  <si>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</si>
  <si>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</si>
  <si>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</si>
  <si>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</si>
  <si>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</si>
  <si>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</si>
  <si>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</si>
  <si>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</si>
  <si>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</si>
  <si>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</si>
  <si>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</si>
  <si>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</si>
  <si>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</si>
  <si>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</si>
  <si>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</si>
  <si>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</si>
  <si>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</si>
  <si>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</si>
  <si>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</si>
  <si>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</si>
  <si>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</si>
  <si>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</si>
  <si>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</si>
  <si>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</si>
  <si>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</si>
  <si>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</si>
  <si>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</si>
  <si>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</si>
  <si>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</si>
  <si>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</si>
  <si>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</si>
  <si>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</si>
  <si>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</si>
  <si>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</si>
  <si>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</si>
  <si>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</si>
  <si>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</si>
  <si>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</si>
  <si>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</si>
  <si>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</si>
  <si>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</si>
  <si>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</si>
  <si>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</si>
  <si>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</si>
  <si>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</si>
  <si>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</si>
  <si>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</si>
  <si>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</si>
  <si>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</si>
  <si>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</si>
  <si>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</si>
  <si>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</si>
  <si>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</si>
  <si>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</si>
  <si>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</si>
  <si>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</si>
  <si>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</si>
  <si>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</si>
  <si>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</si>
  <si>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</si>
  <si>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</si>
  <si>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</si>
  <si>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</si>
  <si>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</si>
  <si>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</si>
  <si>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</si>
  <si>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</si>
  <si>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</si>
  <si>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</si>
  <si>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</si>
  <si>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</si>
  <si>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</si>
  <si>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</si>
  <si>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</si>
  <si>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</si>
  <si>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</si>
  <si>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</si>
  <si>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</si>
  <si>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</si>
  <si>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</si>
  <si>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</si>
  <si>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</si>
  <si>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</si>
  <si>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</si>
  <si>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</si>
  <si>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</si>
  <si>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</si>
  <si>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</si>
  <si>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</si>
  <si>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</si>
  <si>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</si>
  <si>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</si>
  <si>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</si>
  <si>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</si>
  <si>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</si>
  <si>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</si>
  <si>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</si>
  <si>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</si>
  <si>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</si>
  <si>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</si>
  <si>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</si>
  <si>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</si>
  <si>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</si>
  <si>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</si>
  <si>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</si>
  <si>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</si>
  <si>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</si>
  <si>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</si>
  <si>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</si>
  <si>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</si>
  <si>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</si>
  <si>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</si>
  <si>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</si>
  <si>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</si>
  <si>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</si>
  <si>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</si>
  <si>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</si>
  <si>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</si>
  <si>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</si>
  <si>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</si>
  <si>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</si>
  <si>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</si>
  <si>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</si>
  <si>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</si>
  <si>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</si>
  <si>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</si>
  <si>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</si>
  <si>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</si>
  <si>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</si>
  <si>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</si>
  <si>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</si>
  <si>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</si>
  <si>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</si>
  <si>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</si>
  <si>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</si>
  <si>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</si>
  <si>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</si>
  <si>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</si>
  <si>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</si>
  <si>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</si>
  <si>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</si>
  <si>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</si>
  <si>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</si>
  <si>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</si>
  <si>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</si>
  <si>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</si>
  <si>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</si>
  <si>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</si>
  <si>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</si>
  <si>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</si>
  <si>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</si>
  <si>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</si>
  <si>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</si>
  <si>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</si>
  <si>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</si>
  <si>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</si>
  <si>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</si>
  <si>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</si>
  <si>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</si>
  <si>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</si>
  <si>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</si>
  <si>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</si>
  <si>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</si>
  <si>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</si>
  <si>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</si>
  <si>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</si>
  <si>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</si>
  <si>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</si>
  <si>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</si>
  <si>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</si>
  <si>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</si>
  <si>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</si>
  <si>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</si>
  <si>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</si>
  <si>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</si>
  <si>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</si>
  <si>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</si>
  <si>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</si>
  <si>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</si>
  <si>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</si>
  <si>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</si>
  <si>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</si>
  <si>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</si>
  <si>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</si>
  <si>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</si>
  <si>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</si>
  <si>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</si>
  <si>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</si>
  <si>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</si>
  <si>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</si>
  <si>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</si>
  <si>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</si>
  <si>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</si>
  <si>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</si>
  <si>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</si>
  <si>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</si>
  <si>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</si>
  <si>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</si>
  <si>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</si>
  <si>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</si>
  <si>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</si>
  <si>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</si>
  <si>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</si>
  <si>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</si>
  <si>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</si>
  <si>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</si>
  <si>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</si>
  <si>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</si>
  <si>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</si>
  <si>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</si>
  <si>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</si>
  <si>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</si>
  <si>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</si>
  <si>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</si>
  <si>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</si>
  <si>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</si>
  <si>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</si>
  <si>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</si>
  <si>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</si>
  <si>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</si>
  <si>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</si>
  <si>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</si>
  <si>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</si>
  <si>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</si>
  <si>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</si>
  <si>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</si>
  <si>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</si>
  <si>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</si>
  <si>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</si>
  <si>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</si>
  <si>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</si>
  <si>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</si>
  <si>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</si>
  <si>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</si>
  <si>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</si>
  <si>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</si>
  <si>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</si>
  <si>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</si>
  <si>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</si>
  <si>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</si>
  <si>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</si>
  <si>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</si>
  <si>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</si>
  <si>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</si>
  <si>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</si>
  <si>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</si>
  <si>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</si>
  <si>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</si>
  <si>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</si>
  <si>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</si>
  <si>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</si>
  <si>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</si>
  <si>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</si>
  <si>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</si>
  <si>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</si>
  <si>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</si>
  <si>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</si>
  <si>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</si>
  <si>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</si>
  <si>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Manson-Northwest Webster</t>
  </si>
  <si>
    <t>Newell-Fonda</t>
  </si>
  <si>
    <t>North Kossuth</t>
  </si>
  <si>
    <t>North Union</t>
  </si>
  <si>
    <t>Okoboji</t>
  </si>
  <si>
    <t>Paton-Churdan</t>
  </si>
  <si>
    <t>Pocahontas Area</t>
  </si>
  <si>
    <t>Ruthven-Ayrshire</t>
  </si>
  <si>
    <t>Schaller-Crestland</t>
  </si>
  <si>
    <t>Sioux Central</t>
  </si>
  <si>
    <t>South Central Calhoun</t>
  </si>
  <si>
    <t>South Hamilton</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</si>
  <si>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</si>
  <si>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</si>
  <si>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</si>
  <si>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</si>
  <si>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</si>
  <si>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</si>
  <si>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</si>
  <si>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</si>
  <si>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</si>
  <si>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</si>
  <si>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</si>
  <si>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</si>
  <si>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</si>
  <si>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</si>
  <si>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</si>
  <si>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</si>
  <si>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</si>
  <si>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</si>
  <si>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</si>
  <si>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</si>
  <si>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</si>
  <si>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</si>
  <si>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</si>
  <si>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</si>
  <si>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</si>
  <si>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</si>
  <si>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</si>
  <si>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</si>
  <si>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</si>
  <si>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</si>
  <si>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</si>
  <si>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</si>
  <si>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</si>
  <si>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</si>
  <si>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</si>
  <si>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</si>
  <si>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</si>
  <si>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</si>
  <si>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</si>
  <si>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</si>
  <si>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</si>
  <si>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</si>
  <si>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</si>
  <si>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</si>
  <si>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</si>
  <si>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</si>
  <si>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</si>
  <si>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</si>
  <si>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</si>
  <si>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</si>
  <si>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</si>
  <si>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</si>
  <si>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</si>
  <si>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</si>
  <si>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</si>
  <si>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</si>
  <si>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</si>
  <si>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</si>
  <si>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</si>
  <si>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</si>
  <si>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</si>
  <si>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</si>
  <si>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</si>
  <si>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</si>
  <si>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</si>
  <si>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</si>
  <si>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</si>
  <si>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</si>
  <si>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</si>
  <si>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</si>
  <si>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</si>
  <si>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</si>
  <si>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</si>
  <si>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</si>
  <si>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</si>
  <si>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</si>
  <si>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</si>
  <si>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</si>
  <si>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</si>
  <si>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</si>
  <si>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</si>
  <si>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</si>
  <si>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</si>
  <si>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</si>
  <si>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</si>
  <si>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</si>
  <si>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</si>
  <si>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</si>
  <si>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</si>
  <si>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</si>
  <si>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</si>
  <si>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</si>
  <si>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</si>
  <si>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</si>
  <si>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</si>
  <si>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</si>
  <si>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</si>
  <si>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</si>
  <si>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</si>
  <si>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</si>
  <si>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</si>
  <si>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</si>
  <si>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</si>
  <si>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</si>
  <si>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</si>
  <si>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</si>
  <si>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</si>
  <si>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</si>
  <si>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</si>
  <si>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</si>
  <si>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</si>
  <si>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</si>
  <si>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</si>
  <si>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</si>
  <si>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</si>
  <si>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</si>
  <si>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</si>
  <si>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</si>
  <si>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</si>
  <si>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</si>
  <si>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</si>
  <si>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</si>
  <si>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</si>
  <si>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</si>
  <si>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</si>
  <si>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</si>
  <si>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</si>
  <si>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</si>
  <si>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</si>
  <si>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</si>
  <si>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</si>
  <si>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</si>
  <si>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</si>
  <si>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</si>
  <si>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</si>
  <si>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</si>
  <si>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</si>
  <si>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</si>
  <si>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</si>
  <si>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</si>
  <si>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</si>
  <si>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</si>
  <si>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</si>
  <si>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</si>
  <si>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</si>
  <si>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</si>
  <si>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</si>
  <si>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</si>
  <si>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</si>
  <si>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</si>
  <si>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</si>
  <si>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</si>
  <si>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</si>
  <si>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</si>
  <si>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</si>
  <si>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</si>
  <si>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</si>
  <si>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</si>
  <si>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</si>
  <si>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</si>
  <si>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</si>
  <si>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</si>
  <si>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</si>
  <si>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</si>
  <si>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</si>
  <si>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</si>
  <si>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</si>
  <si>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</si>
  <si>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</si>
  <si>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</si>
  <si>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</si>
  <si>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</si>
  <si>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</si>
  <si>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</si>
  <si>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</si>
  <si>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</si>
  <si>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</si>
  <si>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</si>
  <si>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</si>
  <si>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</si>
  <si>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</si>
  <si>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</si>
  <si>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</si>
  <si>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</si>
  <si>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</si>
  <si>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</si>
  <si>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</si>
  <si>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</si>
  <si>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</si>
  <si>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</si>
  <si>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</si>
  <si>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</si>
  <si>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</si>
  <si>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</si>
  <si>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</si>
  <si>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</si>
  <si>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</si>
  <si>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</si>
  <si>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</si>
  <si>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</si>
  <si>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</si>
  <si>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</si>
  <si>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</si>
  <si>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</si>
  <si>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</si>
  <si>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</si>
  <si>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</si>
  <si>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</si>
  <si>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</si>
  <si>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</si>
  <si>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</si>
  <si>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</si>
  <si>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</si>
  <si>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</si>
  <si>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</si>
  <si>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</si>
  <si>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</si>
  <si>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</si>
  <si>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</si>
  <si>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</si>
  <si>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</si>
  <si>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</si>
  <si>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</si>
  <si>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</si>
  <si>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</si>
  <si>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</si>
  <si>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</si>
  <si>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</si>
  <si>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</si>
  <si>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</si>
  <si>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</si>
  <si>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</si>
  <si>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</si>
  <si>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</si>
  <si>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</si>
  <si>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</si>
  <si>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</si>
  <si>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</si>
  <si>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</si>
  <si>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</si>
  <si>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</si>
  <si>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</si>
  <si>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</si>
  <si>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</si>
  <si>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</si>
  <si>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</si>
  <si>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</si>
  <si>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</si>
  <si>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</si>
  <si>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</si>
  <si>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</si>
  <si>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</si>
  <si>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</si>
  <si>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</si>
  <si>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</si>
  <si>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</si>
  <si>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</si>
  <si>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</si>
  <si>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</si>
  <si>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</si>
  <si>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</si>
  <si>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</si>
  <si>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</si>
  <si>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</si>
  <si>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</si>
  <si>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</si>
  <si>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</si>
  <si>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</si>
  <si>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</si>
  <si>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</si>
  <si>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</si>
  <si>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</si>
  <si>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</si>
  <si>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</si>
  <si>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</si>
  <si>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</si>
  <si>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</si>
  <si>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</si>
  <si>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FY 2024 AEA Weights and Costs Detail</t>
  </si>
  <si>
    <t>Southeast Valley</t>
  </si>
  <si>
    <t>State Aid Portion Special Ed</t>
  </si>
  <si>
    <t>State Aid Special Ed Minus Reduction</t>
  </si>
  <si>
    <t>Special Education Property Tax Portion</t>
  </si>
  <si>
    <t>State Aid Portion Sharing Operations</t>
  </si>
  <si>
    <t>AEA Special Ed Support District Cost Formula Generated</t>
  </si>
  <si>
    <t>Sharing Operations Property Tax</t>
  </si>
  <si>
    <t>Propery Tax Portion</t>
  </si>
  <si>
    <t>Total AEA Sharing Operations</t>
  </si>
  <si>
    <t>Total Special Ed Funding Removing Reduction Including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</si>
</sst>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indexed="64"/>
      </patternFill>
    </fill>
    <fill>
      <patternFill patternType="solid">
        <fgColor theme="9" tint="0.39997558519241921"/>
        <bgColor indexed="64"/>
      </patternFill>
    </fill>
  </fills>
  <borders count="5">
    <border>
      <left/>
      <right/>
      <top/>
      <bottom/>
      <diagonal/>
    </border>
    <border>
      <left/>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right/>
      <top/>
      <bottom style="double">
        <color indexed="64"/>
      </bottom>
      <diagonal/>
    </border>
  </borders>
  <cellStyleXfs count="1">
    <xf numFmtId="0" fontId="0" fillId="0" borderId="0"/>
  </cellStyleXfs>
  <cellXfs count="59">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49" fontId="0" fillId="0" borderId="3" xfId="0" applyNumberFormat="1" applyBorder="1"/>
    <xf numFmtId="4" fontId="0" fillId="0" borderId="3" xfId="0" applyNumberFormat="1" applyBorder="1"/>
    <xf numFmtId="164" fontId="0" fillId="0" borderId="3" xfId="0" applyNumberFormat="1" applyBorder="1"/>
    <xf numFmtId="3" fontId="0" fillId="0" borderId="3" xfId="0" applyNumberFormat="1" applyBorder="1"/>
    <xf numFmtId="0" fontId="0" fillId="0" borderId="0" xfId="0" applyNumberFormat="1"/>
    <xf numFmtId="3" fontId="0" fillId="0" borderId="4" xfId="0" applyNumberFormat="1" applyBorder="1"/>
    <xf numFmtId="0" fontId="0" fillId="0" borderId="3" xfId="0" applyNumberFormat="1" applyBorder="1"/>
    <xf numFmtId="0" fontId="0" fillId="0" borderId="3" xfId="0" applyBorder="1"/>
    <xf numFmtId="0" fontId="0" fillId="0" borderId="0" xfId="0" applyFill="1"/>
    <xf numFmtId="0" fontId="0" fillId="0" borderId="3" xfId="0" applyFill="1" applyBorder="1"/>
    <xf numFmtId="3" fontId="0" fillId="3" borderId="3" xfId="0" applyNumberFormat="1" applyFill="1" applyBorder="1"/>
    <xf numFmtId="3" fontId="0" fillId="3" borderId="4" xfId="0" applyNumberFormat="1" applyFill="1" applyBorder="1"/>
    <xf numFmtId="3" fontId="0" fillId="4" borderId="3" xfId="0" applyNumberFormat="1" applyFill="1" applyBorder="1"/>
    <xf numFmtId="3" fontId="0" fillId="4" borderId="4" xfId="0" applyNumberFormat="1" applyFill="1" applyBorder="1"/>
    <xf numFmtId="0" fontId="4" fillId="0" borderId="0" xfId="0" applyFont="1" applyAlignment="1">
      <alignment horizontal="center" wrapText="1"/>
    </xf>
    <xf numFmtId="3" fontId="1" fillId="0" borderId="3" xfId="0" applyNumberFormat="1" applyFont="1" applyBorder="1"/>
    <xf numFmtId="3" fontId="1" fillId="0" borderId="4" xfId="0" applyNumberFormat="1" applyFont="1" applyBorder="1"/>
    <xf numFmtId="3" fontId="1" fillId="0" borderId="3" xfId="0" applyNumberFormat="1" applyFont="1" applyFill="1" applyBorder="1"/>
    <xf numFmtId="3" fontId="1" fillId="0" borderId="4" xfId="0" applyNumberFormat="1" applyFont="1" applyFill="1" applyBorder="1"/>
    <xf numFmtId="0" fontId="1" fillId="0" borderId="3" xfId="0" applyFont="1" applyBorder="1" applyAlignment="1">
      <alignment wrapText="1"/>
    </xf>
    <xf numFmtId="0" fontId="1" fillId="0" borderId="3" xfId="0" applyFont="1" applyFill="1" applyBorder="1" applyAlignment="1">
      <alignment horizontal="center" wrapText="1"/>
    </xf>
    <xf numFmtId="0" fontId="1" fillId="3" borderId="3" xfId="0" applyFont="1" applyFill="1" applyBorder="1" applyAlignment="1">
      <alignment horizontal="center" wrapText="1"/>
    </xf>
    <xf numFmtId="0" fontId="1" fillId="4" borderId="3" xfId="0" applyFont="1" applyFill="1" applyBorder="1" applyAlignment="1">
      <alignment horizontal="center" wrapText="1"/>
    </xf>
    <xf numFmtId="0" fontId="1" fillId="0" borderId="3" xfId="0" applyFont="1" applyFill="1" applyBorder="1"/>
    <xf numFmtId="0" fontId="1" fillId="3" borderId="3" xfId="0" applyFont="1" applyFill="1" applyBorder="1" applyAlignment="1">
      <alignment horizontal="center" vertical="center"/>
    </xf>
    <xf numFmtId="0" fontId="1" fillId="4" borderId="3" xfId="0" applyFont="1" applyFill="1" applyBorder="1" applyAlignment="1">
      <alignment horizontal="center" vertical="center"/>
    </xf>
    <xf numFmtId="3" fontId="0" fillId="4" borderId="3" xfId="0" applyNumberFormat="1" applyFont="1" applyFill="1" applyBorder="1"/>
    <xf numFmtId="3" fontId="0" fillId="4" borderId="4" xfId="0" applyNumberFormat="1" applyFont="1" applyFill="1" applyBorder="1"/>
  </cellXfs>
  <cellStyles count="1">
    <cellStyle name="Normal" xfId="0" builtinId="0"/>
  </cellStyles>
  <dxfs count="251">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0" formatCode="@"/>
    </dxf>
    <dxf>
      <numFmt numFmtId="30" formatCode="@"/>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xr9:uid="{00000000-0011-0000-FFFF-FFFF00000000}">
      <tableStyleElement type="wholeTable" dxfId="2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0</xdr:rowOff>
    </xdr:from>
    <xdr:to>
      <xdr:col>7</xdr:col>
      <xdr:colOff>400051</xdr:colOff>
      <xdr:row>13</xdr:row>
      <xdr:rowOff>123825</xdr:rowOff>
    </xdr:to>
    <mc:AlternateContent xmlns:mc="http://schemas.openxmlformats.org/markup-compatibility/2006" xmlns:a14="http://schemas.microsoft.com/office/drawing/2010/main">
      <mc:Choice Requires="a14">
        <xdr:graphicFrame macro="">
          <xdr:nvGraphicFramePr>
            <xdr:cNvPr id="2" name="AEA Nam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4591050" y="0"/>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John [IDOM]" refreshedDate="45089.593067361115" createdVersion="4" refreshedVersion="6" minRefreshableVersion="3" recordCount="325" xr:uid="{00000000-000A-0000-FFFF-FFFF0500000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4023"/>
        <s v="4644"/>
        <s v="4778"/>
        <s v="0333"/>
        <s v="4890"/>
        <s v="5139"/>
        <s v="528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4775" u="1"/>
        <s v="0504" u="1"/>
        <s v="6591" u="1"/>
        <s v="5323" u="1"/>
        <s v="2834" u="1"/>
        <s v="0423" u="1"/>
        <s v="4787" u="1"/>
        <s v="3897" u="1"/>
      </sharedItems>
    </cacheField>
    <cacheField name="District" numFmtId="49">
      <sharedItems count="356">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Manson-Northwest Webster"/>
        <s v="Newell-Fonda"/>
        <s v="North Kossuth"/>
        <s v="North Union"/>
        <s v="Okoboji"/>
        <s v="Paton-Churdan"/>
        <s v="Pocahontas Area"/>
        <s v="Ruthven-Ayrshire"/>
        <s v="Schaller-Crestland"/>
        <s v="Sioux Central"/>
        <s v="South Central Calhoun"/>
        <s v="South Hamilton"/>
        <s v="Southeast Valley"/>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VALLEY" u="1"/>
        <s v="Prairie Valley" u="1"/>
        <s v="CALAMUS/WHEATLAND" u="1"/>
        <s v="ALTA" u="1"/>
        <s v="ALGONA (ALGONA)" u="1"/>
        <s v="Harmony" u="1"/>
        <s v="Southeast Webster-Grand" u="1"/>
        <s v="Northeast Hamilton" u="1"/>
        <s v="EAST MILLS (MALVERN)" u="1"/>
        <s v="ENGLISH VALLEYS (ENGLISH" u="1"/>
        <s v="ODEBOLT-ARTHUR" u="1"/>
        <s v="AURELIA" u="1"/>
        <s v="EDDYVILLE-BLAKESBURG-FREM" u="1"/>
        <s v="NODAWAY VALLEY (GREENFIEL" u="1"/>
        <s v="COLLEGE" u="1"/>
        <s v="ESTHERVILLE-LINCOLN CENTR" u="1"/>
        <s v="NORTH FAYETTE" u="1"/>
        <s v="FOREST CITY(FOREST CITY)" u="1"/>
        <s v="GREENE COUNTY (JEFFERSON-" u="1"/>
        <s v="Lu Verne" u="1"/>
        <s v="AHSTW (AHST)" u="1"/>
        <s v="CLARION-GOLDFIELD-DOWS (C" u="1"/>
        <s v="MAPLE VALLEY-ANTHON OTO (" u="1"/>
        <s v="NORTH BUTLER (ALLISON BRI" u="1"/>
        <s v="North Winneshiek" u="1"/>
        <s v="CRESTON (CRESTON)" u="1"/>
        <s v="Van Buren" u="1"/>
        <s v="NORTH UNION (ARMSTRONG-RI" u="1"/>
        <s v="GARNER-HAYFIELD-VENTURA (" u="1"/>
        <s v="CLEAR CREEK-AMANA (CLEAR" u="1"/>
        <s v="BATTLE CREEK-IDA GROVE" u="1"/>
      </sharedItems>
    </cacheField>
    <cacheField name="Total Special Ed Weighting in Addition to 1.0" numFmtId="4">
      <sharedItems containsSemiMixedTypes="0" containsString="0" containsNumber="1" minValue="13.83" maxValue="5621.51"/>
    </cacheField>
    <cacheField name="Budget Enrollment" numFmtId="164">
      <sharedItems containsSemiMixedTypes="0" containsString="0" containsNumber="1" minValue="112" maxValue="30773.9"/>
    </cacheField>
    <cacheField name="AEA Weighted Enrollment" numFmtId="4">
      <sharedItems containsSemiMixedTypes="0" containsString="0" containsNumber="1" minValue="125.83" maxValue="36395.410000000003"/>
    </cacheField>
    <cacheField name="AEA Supplementary Weight for Sharing" numFmtId="4">
      <sharedItems containsSemiMixedTypes="0" containsString="0" containsNumber="1" minValue="0" maxValue="33.21"/>
    </cacheField>
    <cacheField name="Resident Accredited Nonpublic Students" numFmtId="3">
      <sharedItems containsSemiMixedTypes="0" containsString="0" containsNumber="1" containsInteger="1" minValue="0" maxValue="2593"/>
    </cacheField>
    <cacheField name="Shared-Time Nonpublic Pupils Counted in Line 1.1" numFmtId="164">
      <sharedItems containsSemiMixedTypes="0" containsString="0" containsNumber="1" minValue="0" maxValue="46"/>
    </cacheField>
    <cacheField name="Total Enrollment Served - AEA Media and Ed Services" numFmtId="3">
      <sharedItems containsSemiMixedTypes="0" containsString="0" containsNumber="1" containsInteger="1" minValue="112" maxValue="33321"/>
    </cacheField>
    <cacheField name="AEA Special Ed Support Cost Per Pupil" numFmtId="4">
      <sharedItems containsSemiMixedTypes="0" containsString="0" containsNumber="1" minValue="325.88" maxValue="348.14"/>
    </cacheField>
    <cacheField name="AEA Media Cost Per Pupil" numFmtId="4">
      <sharedItems containsSemiMixedTypes="0" containsString="0" containsNumber="1" minValue="61.98" maxValue="62.52"/>
    </cacheField>
    <cacheField name="AEA Ed Services Cost Per Pupil" numFmtId="4">
      <sharedItems containsSemiMixedTypes="0" containsString="0" containsNumber="1" minValue="67.73" maxValue="70.03"/>
    </cacheField>
    <cacheField name="AEA Teacher Salary Supplement District Cost Per Pupil" numFmtId="4">
      <sharedItems containsSemiMixedTypes="0" containsString="0" containsNumber="1" minValue="27.75" maxValue="41.7"/>
    </cacheField>
    <cacheField name="Professional Development Supplement District Cost Per Pupil" numFmtId="4">
      <sharedItems containsSemiMixedTypes="0" containsString="0" containsNumber="1" minValue="3.48" maxValue="4.8"/>
    </cacheField>
    <cacheField name="AEA Special Ed Support District Cost without Adjustment" numFmtId="3">
      <sharedItems containsSemiMixedTypes="0" containsString="0" containsNumber="1" containsInteger="1" minValue="42020" maxValue="11860536"/>
    </cacheField>
    <cacheField name="AEA Special Ed Support Adjustment" numFmtId="3">
      <sharedItems containsSemiMixedTypes="0" containsString="0" containsNumber="1" containsInteger="1" minValue="0" maxValue="51920"/>
    </cacheField>
    <cacheField name="Special Education Total Cost" numFmtId="3">
      <sharedItems containsSemiMixedTypes="0" containsString="0" containsNumber="1" containsInteger="1" minValue="42020" maxValue="11860536"/>
    </cacheField>
    <cacheField name="AEA Media Services District Cost" numFmtId="3">
      <sharedItems containsSemiMixedTypes="0" containsString="0" containsNumber="1" containsInteger="1" minValue="6963" maxValue="2067235"/>
    </cacheField>
    <cacheField name="AEA Ed Services District Cost" numFmtId="3">
      <sharedItems containsSemiMixedTypes="0" containsString="0" containsNumber="1" containsInteger="1" minValue="7698" maxValue="2270826"/>
    </cacheField>
    <cacheField name="AEA Sharing District Cost" numFmtId="3">
      <sharedItems containsSemiMixedTypes="0" containsString="0" containsNumber="1" containsInteger="1" minValue="0" maxValue="11309"/>
    </cacheField>
    <cacheField name="AEA Teacher Salary Supplement District Cost" numFmtId="3">
      <sharedItems containsSemiMixedTypes="0" containsString="0" containsNumber="1" containsInteger="1" minValue="4315" maxValue="1009973"/>
    </cacheField>
    <cacheField name="AEA Professional Development Supplement District Cost" numFmtId="3">
      <sharedItems containsSemiMixedTypes="0" containsString="0" containsNumber="1" containsInteger="1" minValue="466" maxValue="126656"/>
    </cacheField>
    <cacheField name="Subtotal Budget" numFmtId="3">
      <sharedItems containsSemiMixedTypes="0" containsString="0" containsNumber="1" containsInteger="1" minValue="61549" maxValue="17335226"/>
    </cacheField>
    <cacheField name="AEA Statewide State Aid Reduction" numFmtId="3">
      <sharedItems containsSemiMixedTypes="0" containsString="0" containsNumber="1" containsInteger="1" minValue="8451" maxValue="1977056"/>
    </cacheField>
    <cacheField name="Total Budget" numFmtId="3">
      <sharedItems containsSemiMixedTypes="0" containsString="0" containsNumber="1" containsInteger="1" minValue="53098" maxValue="15358170"/>
    </cacheField>
    <cacheField name="State Aid Portion" numFmtId="3">
      <sharedItems containsSemiMixedTypes="0" containsString="0" containsNumber="1" containsInteger="1" minValue="29618" maxValue="8767961"/>
    </cacheField>
    <cacheField name="Property Tax Portion" numFmtId="3">
      <sharedItems containsSemiMixedTypes="0" containsString="0" containsNumber="1" containsInteger="1" minValue="23480" maxValue="659020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5">
  <r>
    <s v="01"/>
    <x v="0"/>
    <x v="0"/>
    <x v="0"/>
    <n v="160.86000000000001"/>
    <n v="1087.4000000000001"/>
    <n v="1248.26"/>
    <n v="3.34"/>
    <n v="154"/>
    <n v="1.3"/>
    <n v="1240"/>
    <n v="348.14"/>
    <n v="62.44"/>
    <n v="69.56"/>
    <n v="34.47"/>
    <n v="3.74"/>
    <n v="434569"/>
    <n v="0"/>
    <n v="434569"/>
    <n v="77426"/>
    <n v="86254"/>
    <n v="1163"/>
    <n v="43028"/>
    <n v="4668"/>
    <n v="647108"/>
    <n v="96613"/>
    <n v="550495"/>
    <n v="281505"/>
    <n v="268990"/>
  </r>
  <r>
    <s v="01"/>
    <x v="0"/>
    <x v="1"/>
    <x v="1"/>
    <n v="62.56"/>
    <n v="451.7"/>
    <n v="514.26"/>
    <n v="1.38"/>
    <n v="0"/>
    <n v="0"/>
    <n v="452"/>
    <n v="348.14"/>
    <n v="62.44"/>
    <n v="69.56"/>
    <n v="34.47"/>
    <n v="3.74"/>
    <n v="179034"/>
    <n v="0"/>
    <n v="179034"/>
    <n v="28223"/>
    <n v="31441"/>
    <n v="480"/>
    <n v="17727"/>
    <n v="1923"/>
    <n v="258828"/>
    <n v="39301"/>
    <n v="219527"/>
    <n v="116478"/>
    <n v="103049"/>
  </r>
  <r>
    <s v="01"/>
    <x v="0"/>
    <x v="2"/>
    <x v="2"/>
    <n v="74.41"/>
    <n v="641.9"/>
    <n v="716.31"/>
    <n v="1.92"/>
    <n v="10"/>
    <n v="0"/>
    <n v="652"/>
    <n v="348.14"/>
    <n v="62.44"/>
    <n v="69.56"/>
    <n v="34.47"/>
    <n v="3.74"/>
    <n v="249376"/>
    <n v="0"/>
    <n v="249376"/>
    <n v="40711"/>
    <n v="45353"/>
    <n v="668"/>
    <n v="24691"/>
    <n v="2679"/>
    <n v="363478"/>
    <n v="51624"/>
    <n v="311854"/>
    <n v="165359"/>
    <n v="146495"/>
  </r>
  <r>
    <s v="01"/>
    <x v="0"/>
    <x v="3"/>
    <x v="3"/>
    <n v="176.01"/>
    <n v="1522.6"/>
    <n v="1698.61"/>
    <n v="4.54"/>
    <n v="132"/>
    <n v="0.2"/>
    <n v="1654"/>
    <n v="348.14"/>
    <n v="62.44"/>
    <n v="69.56"/>
    <n v="34.47"/>
    <n v="3.74"/>
    <n v="591354"/>
    <n v="0"/>
    <n v="591354"/>
    <n v="103276"/>
    <n v="115052"/>
    <n v="1581"/>
    <n v="58551"/>
    <n v="6353"/>
    <n v="876167"/>
    <n v="121901"/>
    <n v="754266"/>
    <n v="392635"/>
    <n v="361631"/>
  </r>
  <r>
    <s v="01"/>
    <x v="0"/>
    <x v="4"/>
    <x v="4"/>
    <n v="1945.01"/>
    <n v="10064.1"/>
    <n v="12009.11"/>
    <n v="32.119999999999997"/>
    <n v="1680"/>
    <n v="4.2"/>
    <n v="11740"/>
    <n v="348.14"/>
    <n v="62.44"/>
    <n v="69.56"/>
    <n v="34.47"/>
    <n v="3.74"/>
    <n v="4180852"/>
    <n v="0"/>
    <n v="4180852"/>
    <n v="733046"/>
    <n v="816634"/>
    <n v="11182"/>
    <n v="413954"/>
    <n v="44914"/>
    <n v="6200582"/>
    <n v="675758"/>
    <n v="5524824"/>
    <n v="2961995"/>
    <n v="2562829"/>
  </r>
  <r>
    <s v="01"/>
    <x v="0"/>
    <x v="5"/>
    <x v="5"/>
    <n v="45.91"/>
    <n v="331.3"/>
    <n v="377.21"/>
    <n v="1.01"/>
    <n v="6"/>
    <n v="0"/>
    <n v="337"/>
    <n v="348.14"/>
    <n v="62.44"/>
    <n v="69.56"/>
    <n v="34.47"/>
    <n v="3.74"/>
    <n v="131322"/>
    <n v="0"/>
    <n v="131322"/>
    <n v="21042"/>
    <n v="23442"/>
    <n v="352"/>
    <n v="13002"/>
    <n v="1411"/>
    <n v="190571"/>
    <n v="31180"/>
    <n v="159391"/>
    <n v="83083"/>
    <n v="76308"/>
  </r>
  <r>
    <s v="01"/>
    <x v="0"/>
    <x v="6"/>
    <x v="6"/>
    <n v="26.51"/>
    <n v="401"/>
    <n v="427.51"/>
    <n v="1.1399999999999999"/>
    <n v="22"/>
    <n v="0"/>
    <n v="423"/>
    <n v="348.14"/>
    <n v="62.44"/>
    <n v="69.56"/>
    <n v="34.47"/>
    <n v="3.74"/>
    <n v="148833"/>
    <n v="0"/>
    <n v="148833"/>
    <n v="26412"/>
    <n v="29424"/>
    <n v="397"/>
    <n v="14736"/>
    <n v="1599"/>
    <n v="221401"/>
    <n v="35520"/>
    <n v="185881"/>
    <n v="93979"/>
    <n v="91902"/>
  </r>
  <r>
    <s v="01"/>
    <x v="0"/>
    <x v="7"/>
    <x v="7"/>
    <n v="159.77000000000001"/>
    <n v="1151.7"/>
    <n v="1311.47"/>
    <n v="3.51"/>
    <n v="149"/>
    <n v="0.7"/>
    <n v="1300"/>
    <n v="348.14"/>
    <n v="62.44"/>
    <n v="69.56"/>
    <n v="34.47"/>
    <n v="3.74"/>
    <n v="456575"/>
    <n v="0"/>
    <n v="456575"/>
    <n v="81172"/>
    <n v="90428"/>
    <n v="1222"/>
    <n v="45206"/>
    <n v="4905"/>
    <n v="679508"/>
    <n v="98287"/>
    <n v="581221"/>
    <n v="298979"/>
    <n v="282242"/>
  </r>
  <r>
    <s v="01"/>
    <x v="0"/>
    <x v="8"/>
    <x v="8"/>
    <n v="92.22"/>
    <n v="806.5"/>
    <n v="898.72"/>
    <n v="2.4"/>
    <n v="2"/>
    <n v="0"/>
    <n v="809"/>
    <n v="348.14"/>
    <n v="62.44"/>
    <n v="69.56"/>
    <n v="34.47"/>
    <n v="3.74"/>
    <n v="312880"/>
    <n v="0"/>
    <n v="312880"/>
    <n v="50514"/>
    <n v="56274"/>
    <n v="836"/>
    <n v="30979"/>
    <n v="3361"/>
    <n v="454844"/>
    <n v="64253"/>
    <n v="390591"/>
    <n v="207983"/>
    <n v="182608"/>
  </r>
  <r>
    <s v="01"/>
    <x v="0"/>
    <x v="9"/>
    <x v="9"/>
    <n v="82.44"/>
    <n v="663.1"/>
    <n v="745.54"/>
    <n v="1.99"/>
    <n v="34"/>
    <n v="0"/>
    <n v="697"/>
    <n v="348.14"/>
    <n v="62.44"/>
    <n v="69.56"/>
    <n v="34.47"/>
    <n v="3.74"/>
    <n v="259552"/>
    <n v="0"/>
    <n v="259552"/>
    <n v="43521"/>
    <n v="48483"/>
    <n v="693"/>
    <n v="25699"/>
    <n v="2788"/>
    <n v="380736"/>
    <n v="59234"/>
    <n v="321502"/>
    <n v="166601"/>
    <n v="154901"/>
  </r>
  <r>
    <s v="01"/>
    <x v="0"/>
    <x v="10"/>
    <x v="10"/>
    <n v="109.54"/>
    <n v="930"/>
    <n v="1039.54"/>
    <n v="2.78"/>
    <n v="85"/>
    <n v="0.3"/>
    <n v="1015"/>
    <n v="348.14"/>
    <n v="62.44"/>
    <n v="69.56"/>
    <n v="34.47"/>
    <n v="3.74"/>
    <n v="361905"/>
    <n v="0"/>
    <n v="361905"/>
    <n v="63377"/>
    <n v="70603"/>
    <n v="968"/>
    <n v="35833"/>
    <n v="3888"/>
    <n v="536574"/>
    <n v="76047"/>
    <n v="460527"/>
    <n v="238846"/>
    <n v="221681"/>
  </r>
  <r>
    <s v="01"/>
    <x v="0"/>
    <x v="11"/>
    <x v="11"/>
    <n v="204.23"/>
    <n v="1138"/>
    <n v="1342.23"/>
    <n v="3.59"/>
    <n v="3"/>
    <n v="0"/>
    <n v="1141"/>
    <n v="348.14"/>
    <n v="62.44"/>
    <n v="69.56"/>
    <n v="34.47"/>
    <n v="3.74"/>
    <n v="467284"/>
    <n v="0"/>
    <n v="467284"/>
    <n v="71244"/>
    <n v="79368"/>
    <n v="1250"/>
    <n v="46267"/>
    <n v="5020"/>
    <n v="670433"/>
    <n v="105989"/>
    <n v="564444"/>
    <n v="300594"/>
    <n v="263850"/>
  </r>
  <r>
    <s v="01"/>
    <x v="0"/>
    <x v="12"/>
    <x v="12"/>
    <n v="266.77999999999997"/>
    <n v="1326"/>
    <n v="1592.78"/>
    <n v="4.26"/>
    <n v="7"/>
    <n v="0"/>
    <n v="1333"/>
    <n v="348.14"/>
    <n v="62.44"/>
    <n v="69.56"/>
    <n v="34.47"/>
    <n v="3.74"/>
    <n v="554510"/>
    <n v="0"/>
    <n v="554510"/>
    <n v="83233"/>
    <n v="92723"/>
    <n v="1483"/>
    <n v="54903"/>
    <n v="5957"/>
    <n v="792809"/>
    <n v="102876"/>
    <n v="689933"/>
    <n v="379603"/>
    <n v="310330"/>
  </r>
  <r>
    <s v="01"/>
    <x v="0"/>
    <x v="13"/>
    <x v="13"/>
    <n v="87.42"/>
    <n v="693.1"/>
    <n v="780.52"/>
    <n v="2.09"/>
    <n v="3"/>
    <n v="0"/>
    <n v="696"/>
    <n v="348.14"/>
    <n v="62.44"/>
    <n v="69.56"/>
    <n v="34.47"/>
    <n v="3.74"/>
    <n v="271730"/>
    <n v="3692"/>
    <n v="275422"/>
    <n v="43458"/>
    <n v="48414"/>
    <n v="728"/>
    <n v="26905"/>
    <n v="2919"/>
    <n v="397846"/>
    <n v="40336"/>
    <n v="357510"/>
    <n v="196097"/>
    <n v="161413"/>
  </r>
  <r>
    <s v="01"/>
    <x v="0"/>
    <x v="14"/>
    <x v="14"/>
    <n v="37.74"/>
    <n v="331.5"/>
    <n v="369.24"/>
    <n v="0.99"/>
    <n v="0"/>
    <n v="0"/>
    <n v="332"/>
    <n v="348.14"/>
    <n v="62.44"/>
    <n v="69.56"/>
    <n v="34.47"/>
    <n v="3.74"/>
    <n v="128547"/>
    <n v="0"/>
    <n v="128547"/>
    <n v="20730"/>
    <n v="23094"/>
    <n v="345"/>
    <n v="12728"/>
    <n v="1381"/>
    <n v="186825"/>
    <n v="27973"/>
    <n v="158852"/>
    <n v="83877"/>
    <n v="74975"/>
  </r>
  <r>
    <s v="01"/>
    <x v="0"/>
    <x v="15"/>
    <x v="15"/>
    <n v="86.96"/>
    <n v="516.70000000000005"/>
    <n v="603.66"/>
    <n v="1.61"/>
    <n v="172"/>
    <n v="4.8"/>
    <n v="684"/>
    <n v="348.14"/>
    <n v="62.44"/>
    <n v="69.56"/>
    <n v="34.47"/>
    <n v="3.74"/>
    <n v="210158"/>
    <n v="0"/>
    <n v="210158"/>
    <n v="42709"/>
    <n v="47579"/>
    <n v="561"/>
    <n v="20808"/>
    <n v="2258"/>
    <n v="324073"/>
    <n v="49402"/>
    <n v="274671"/>
    <n v="133455"/>
    <n v="141216"/>
  </r>
  <r>
    <s v="01"/>
    <x v="0"/>
    <x v="16"/>
    <x v="16"/>
    <n v="106.62"/>
    <n v="584.6"/>
    <n v="691.22"/>
    <n v="1.85"/>
    <n v="2"/>
    <n v="0"/>
    <n v="587"/>
    <n v="348.14"/>
    <n v="62.44"/>
    <n v="69.56"/>
    <n v="34.47"/>
    <n v="3.74"/>
    <n v="240641"/>
    <n v="598"/>
    <n v="241239"/>
    <n v="36652"/>
    <n v="40832"/>
    <n v="644"/>
    <n v="23859"/>
    <n v="2585"/>
    <n v="345811"/>
    <n v="54715"/>
    <n v="291096"/>
    <n v="154699"/>
    <n v="136397"/>
  </r>
  <r>
    <s v="01"/>
    <x v="0"/>
    <x v="17"/>
    <x v="17"/>
    <n v="48.75"/>
    <n v="354.8"/>
    <n v="403.55"/>
    <n v="1.08"/>
    <n v="51"/>
    <n v="0.4"/>
    <n v="405"/>
    <n v="348.14"/>
    <n v="62.44"/>
    <n v="69.56"/>
    <n v="34.47"/>
    <n v="3.74"/>
    <n v="140492"/>
    <n v="6262"/>
    <n v="146754"/>
    <n v="25288"/>
    <n v="28172"/>
    <n v="376"/>
    <n v="13910"/>
    <n v="1509"/>
    <n v="216009"/>
    <n v="38770"/>
    <n v="177239"/>
    <n v="83471"/>
    <n v="93768"/>
  </r>
  <r>
    <s v="01"/>
    <x v="0"/>
    <x v="18"/>
    <x v="18"/>
    <n v="33.36"/>
    <n v="268.2"/>
    <n v="301.56"/>
    <n v="0.81"/>
    <n v="3"/>
    <n v="0"/>
    <n v="271"/>
    <n v="348.14"/>
    <n v="62.44"/>
    <n v="69.56"/>
    <n v="34.47"/>
    <n v="3.74"/>
    <n v="104985"/>
    <n v="0"/>
    <n v="104985"/>
    <n v="16921"/>
    <n v="18851"/>
    <n v="282"/>
    <n v="10395"/>
    <n v="1128"/>
    <n v="152562"/>
    <n v="22130"/>
    <n v="130432"/>
    <n v="69219"/>
    <n v="61213"/>
  </r>
  <r>
    <s v="01"/>
    <x v="0"/>
    <x v="19"/>
    <x v="19"/>
    <n v="185"/>
    <n v="1363.5"/>
    <n v="1548.5"/>
    <n v="4.1399999999999997"/>
    <n v="192"/>
    <n v="0.7"/>
    <n v="1555"/>
    <n v="348.14"/>
    <n v="62.44"/>
    <n v="69.56"/>
    <n v="34.47"/>
    <n v="3.74"/>
    <n v="539095"/>
    <n v="0"/>
    <n v="539095"/>
    <n v="97094"/>
    <n v="108166"/>
    <n v="1441"/>
    <n v="53377"/>
    <n v="5791"/>
    <n v="804964"/>
    <n v="118627"/>
    <n v="686337"/>
    <n v="350438"/>
    <n v="335899"/>
  </r>
  <r>
    <s v="01"/>
    <x v="0"/>
    <x v="20"/>
    <x v="20"/>
    <n v="397.51"/>
    <n v="3200.2"/>
    <n v="3597.71"/>
    <n v="9.6199999999999992"/>
    <n v="1020"/>
    <n v="3.1"/>
    <n v="4217"/>
    <n v="348.14"/>
    <n v="62.44"/>
    <n v="69.56"/>
    <n v="34.47"/>
    <n v="3.74"/>
    <n v="1252507"/>
    <n v="0"/>
    <n v="1252507"/>
    <n v="263309"/>
    <n v="293335"/>
    <n v="3349"/>
    <n v="124013"/>
    <n v="13455"/>
    <n v="1949968"/>
    <n v="184387"/>
    <n v="1765581"/>
    <n v="905416"/>
    <n v="860165"/>
  </r>
  <r>
    <s v="05"/>
    <x v="1"/>
    <x v="21"/>
    <x v="21"/>
    <n v="26.19"/>
    <n v="209.6"/>
    <n v="235.79"/>
    <n v="0"/>
    <n v="0"/>
    <n v="0"/>
    <n v="210"/>
    <n v="343.89"/>
    <n v="62.52"/>
    <n v="70.03"/>
    <n v="36.43"/>
    <n v="4.33"/>
    <n v="81086"/>
    <n v="0"/>
    <n v="81086"/>
    <n v="13129"/>
    <n v="14706"/>
    <n v="0"/>
    <n v="8590"/>
    <n v="1021"/>
    <n v="118532"/>
    <n v="18549"/>
    <n v="99983"/>
    <n v="53311"/>
    <n v="46672"/>
  </r>
  <r>
    <s v="05"/>
    <x v="1"/>
    <x v="22"/>
    <x v="22"/>
    <n v="228.9"/>
    <n v="1446.4"/>
    <n v="1675.3"/>
    <n v="0"/>
    <n v="296"/>
    <n v="3.6"/>
    <n v="1739"/>
    <n v="343.89"/>
    <n v="62.52"/>
    <n v="70.03"/>
    <n v="36.43"/>
    <n v="4.33"/>
    <n v="576119"/>
    <n v="0"/>
    <n v="576119"/>
    <n v="108722"/>
    <n v="121782"/>
    <n v="0"/>
    <n v="61031"/>
    <n v="7254"/>
    <n v="874908"/>
    <n v="131089"/>
    <n v="743819"/>
    <n v="379475"/>
    <n v="364344"/>
  </r>
  <r>
    <s v="05"/>
    <x v="1"/>
    <x v="23"/>
    <x v="23"/>
    <n v="81.25"/>
    <n v="872.8"/>
    <n v="954.05"/>
    <n v="0"/>
    <n v="14"/>
    <n v="0"/>
    <n v="887"/>
    <n v="343.89"/>
    <n v="62.52"/>
    <n v="70.03"/>
    <n v="36.43"/>
    <n v="4.33"/>
    <n v="328088"/>
    <n v="0"/>
    <n v="328088"/>
    <n v="55455"/>
    <n v="62117"/>
    <n v="0"/>
    <n v="34756"/>
    <n v="4131"/>
    <n v="484547"/>
    <n v="58587"/>
    <n v="425960"/>
    <n v="232169"/>
    <n v="193791"/>
  </r>
  <r>
    <s v="05"/>
    <x v="1"/>
    <x v="24"/>
    <x v="24"/>
    <n v="123.84"/>
    <n v="1011.1"/>
    <n v="1134.94"/>
    <n v="0"/>
    <n v="3"/>
    <n v="0"/>
    <n v="1014"/>
    <n v="343.89"/>
    <n v="62.52"/>
    <n v="70.03"/>
    <n v="36.43"/>
    <n v="4.33"/>
    <n v="390295"/>
    <n v="0"/>
    <n v="390295"/>
    <n v="63395"/>
    <n v="71010"/>
    <n v="0"/>
    <n v="41346"/>
    <n v="4914"/>
    <n v="570960"/>
    <n v="68312"/>
    <n v="502648"/>
    <n v="277572"/>
    <n v="225076"/>
  </r>
  <r>
    <s v="05"/>
    <x v="1"/>
    <x v="25"/>
    <x v="25"/>
    <n v="35.299999999999997"/>
    <n v="290.10000000000002"/>
    <n v="325.39999999999998"/>
    <n v="0"/>
    <n v="24"/>
    <n v="0"/>
    <n v="314"/>
    <n v="343.89"/>
    <n v="62.52"/>
    <n v="70.03"/>
    <n v="36.43"/>
    <n v="4.33"/>
    <n v="111902"/>
    <n v="13131"/>
    <n v="125033"/>
    <n v="19631"/>
    <n v="21989"/>
    <n v="0"/>
    <n v="11860"/>
    <n v="1409"/>
    <n v="179922"/>
    <n v="30547"/>
    <n v="149375"/>
    <n v="68628"/>
    <n v="80747"/>
  </r>
  <r>
    <s v="05"/>
    <x v="1"/>
    <x v="26"/>
    <x v="26"/>
    <n v="124.14"/>
    <n v="952"/>
    <n v="1076.1400000000001"/>
    <n v="0"/>
    <n v="4"/>
    <n v="0"/>
    <n v="956"/>
    <n v="343.89"/>
    <n v="62.52"/>
    <n v="70.03"/>
    <n v="36.43"/>
    <n v="4.33"/>
    <n v="370074"/>
    <n v="895"/>
    <n v="370969"/>
    <n v="59769"/>
    <n v="66949"/>
    <n v="0"/>
    <n v="39332"/>
    <n v="4674"/>
    <n v="541693"/>
    <n v="59231"/>
    <n v="482462"/>
    <n v="268876"/>
    <n v="213586"/>
  </r>
  <r>
    <s v="05"/>
    <x v="1"/>
    <x v="27"/>
    <x v="27"/>
    <n v="116.41"/>
    <n v="835.5"/>
    <n v="951.91"/>
    <n v="0"/>
    <n v="44"/>
    <n v="0"/>
    <n v="880"/>
    <n v="343.89"/>
    <n v="62.52"/>
    <n v="70.03"/>
    <n v="36.43"/>
    <n v="4.33"/>
    <n v="327352"/>
    <n v="0"/>
    <n v="327352"/>
    <n v="55018"/>
    <n v="61626"/>
    <n v="0"/>
    <n v="34678"/>
    <n v="4122"/>
    <n v="482796"/>
    <n v="67954"/>
    <n v="414842"/>
    <n v="222150"/>
    <n v="192692"/>
  </r>
  <r>
    <s v="05"/>
    <x v="1"/>
    <x v="28"/>
    <x v="28"/>
    <n v="106.17"/>
    <n v="665.2"/>
    <n v="771.37"/>
    <n v="0"/>
    <n v="75"/>
    <n v="2"/>
    <n v="738"/>
    <n v="343.89"/>
    <n v="62.52"/>
    <n v="70.03"/>
    <n v="36.43"/>
    <n v="4.33"/>
    <n v="265266"/>
    <n v="0"/>
    <n v="265266"/>
    <n v="46140"/>
    <n v="51682"/>
    <n v="0"/>
    <n v="28101"/>
    <n v="3340"/>
    <n v="394529"/>
    <n v="51253"/>
    <n v="343276"/>
    <n v="183830"/>
    <n v="159446"/>
  </r>
  <r>
    <s v="05"/>
    <x v="1"/>
    <x v="29"/>
    <x v="29"/>
    <n v="144.34"/>
    <n v="1202"/>
    <n v="1346.34"/>
    <n v="0"/>
    <n v="0"/>
    <n v="0"/>
    <n v="1202"/>
    <n v="343.89"/>
    <n v="62.52"/>
    <n v="70.03"/>
    <n v="36.43"/>
    <n v="4.33"/>
    <n v="462993"/>
    <n v="4021"/>
    <n v="467014"/>
    <n v="75149"/>
    <n v="84176"/>
    <n v="0"/>
    <n v="49047"/>
    <n v="5830"/>
    <n v="681216"/>
    <n v="92306"/>
    <n v="588910"/>
    <n v="318005"/>
    <n v="270905"/>
  </r>
  <r>
    <s v="05"/>
    <x v="1"/>
    <x v="30"/>
    <x v="30"/>
    <n v="587.14"/>
    <n v="3561"/>
    <n v="4148.1400000000003"/>
    <n v="0"/>
    <n v="556"/>
    <n v="3.6"/>
    <n v="4113"/>
    <n v="343.89"/>
    <n v="62.52"/>
    <n v="70.03"/>
    <n v="36.43"/>
    <n v="4.33"/>
    <n v="1426504"/>
    <n v="0"/>
    <n v="1426504"/>
    <n v="257145"/>
    <n v="288033"/>
    <n v="0"/>
    <n v="151137"/>
    <n v="17961"/>
    <n v="2140780"/>
    <n v="279279"/>
    <n v="1861501"/>
    <n v="984928"/>
    <n v="876573"/>
  </r>
  <r>
    <s v="05"/>
    <x v="1"/>
    <x v="31"/>
    <x v="31"/>
    <n v="39.229999999999997"/>
    <n v="174"/>
    <n v="213.23"/>
    <n v="0"/>
    <n v="4"/>
    <n v="0"/>
    <n v="178"/>
    <n v="343.89"/>
    <n v="62.52"/>
    <n v="70.03"/>
    <n v="36.43"/>
    <n v="4.33"/>
    <n v="73328"/>
    <n v="0"/>
    <n v="73328"/>
    <n v="11129"/>
    <n v="12465"/>
    <n v="0"/>
    <n v="7768"/>
    <n v="923"/>
    <n v="105613"/>
    <n v="14189"/>
    <n v="91424"/>
    <n v="50795"/>
    <n v="40629"/>
  </r>
  <r>
    <s v="05"/>
    <x v="1"/>
    <x v="32"/>
    <x v="32"/>
    <n v="35.520000000000003"/>
    <n v="378"/>
    <n v="413.52"/>
    <n v="0"/>
    <n v="8"/>
    <n v="0"/>
    <n v="386"/>
    <n v="343.89"/>
    <n v="62.52"/>
    <n v="70.03"/>
    <n v="36.43"/>
    <n v="4.33"/>
    <n v="142205"/>
    <n v="582"/>
    <n v="142787"/>
    <n v="24133"/>
    <n v="27032"/>
    <n v="0"/>
    <n v="15139"/>
    <n v="1799"/>
    <n v="210890"/>
    <n v="30756"/>
    <n v="180134"/>
    <n v="95351"/>
    <n v="84783"/>
  </r>
  <r>
    <s v="05"/>
    <x v="1"/>
    <x v="33"/>
    <x v="33"/>
    <n v="163.86"/>
    <n v="1185"/>
    <n v="1348.86"/>
    <n v="0"/>
    <n v="2"/>
    <n v="0"/>
    <n v="1187"/>
    <n v="343.89"/>
    <n v="62.52"/>
    <n v="70.03"/>
    <n v="36.43"/>
    <n v="4.33"/>
    <n v="463859"/>
    <n v="0"/>
    <n v="463859"/>
    <n v="74211"/>
    <n v="83126"/>
    <n v="0"/>
    <n v="49139"/>
    <n v="5841"/>
    <n v="676176"/>
    <n v="103986"/>
    <n v="572190"/>
    <n v="307093"/>
    <n v="265097"/>
  </r>
  <r>
    <s v="05"/>
    <x v="1"/>
    <x v="34"/>
    <x v="34"/>
    <n v="31.75"/>
    <n v="294"/>
    <n v="325.75"/>
    <n v="0"/>
    <n v="0"/>
    <n v="0"/>
    <n v="294"/>
    <n v="343.89"/>
    <n v="62.52"/>
    <n v="70.03"/>
    <n v="36.43"/>
    <n v="4.33"/>
    <n v="112022"/>
    <n v="0"/>
    <n v="112022"/>
    <n v="18381"/>
    <n v="20589"/>
    <n v="0"/>
    <n v="11867"/>
    <n v="1410"/>
    <n v="164269"/>
    <n v="20339"/>
    <n v="143930"/>
    <n v="78936"/>
    <n v="64994"/>
  </r>
  <r>
    <s v="05"/>
    <x v="1"/>
    <x v="35"/>
    <x v="35"/>
    <n v="141.05000000000001"/>
    <n v="1246.8"/>
    <n v="1387.85"/>
    <n v="0"/>
    <n v="106"/>
    <n v="1.4"/>
    <n v="1351"/>
    <n v="343.89"/>
    <n v="62.52"/>
    <n v="70.03"/>
    <n v="36.43"/>
    <n v="4.33"/>
    <n v="477268"/>
    <n v="0"/>
    <n v="477268"/>
    <n v="84465"/>
    <n v="94611"/>
    <n v="0"/>
    <n v="50559"/>
    <n v="6009"/>
    <n v="712912"/>
    <n v="81306"/>
    <n v="631606"/>
    <n v="341654"/>
    <n v="289952"/>
  </r>
  <r>
    <s v="05"/>
    <x v="1"/>
    <x v="36"/>
    <x v="36"/>
    <n v="56.26"/>
    <n v="299.3"/>
    <n v="355.56"/>
    <n v="0"/>
    <n v="2"/>
    <n v="0"/>
    <n v="301"/>
    <n v="343.89"/>
    <n v="62.52"/>
    <n v="70.03"/>
    <n v="36.43"/>
    <n v="4.33"/>
    <n v="122274"/>
    <n v="0"/>
    <n v="122274"/>
    <n v="18819"/>
    <n v="21079"/>
    <n v="0"/>
    <n v="12953"/>
    <n v="1540"/>
    <n v="176665"/>
    <n v="28583"/>
    <n v="148082"/>
    <n v="79778"/>
    <n v="68304"/>
  </r>
  <r>
    <s v="05"/>
    <x v="1"/>
    <x v="37"/>
    <x v="37"/>
    <n v="59.65"/>
    <n v="655.6"/>
    <n v="715.25"/>
    <n v="0"/>
    <n v="81"/>
    <n v="0"/>
    <n v="737"/>
    <n v="343.89"/>
    <n v="62.52"/>
    <n v="70.03"/>
    <n v="36.43"/>
    <n v="4.33"/>
    <n v="245967"/>
    <n v="0"/>
    <n v="245967"/>
    <n v="46077"/>
    <n v="51612"/>
    <n v="0"/>
    <n v="26057"/>
    <n v="3097"/>
    <n v="372810"/>
    <n v="49883"/>
    <n v="322927"/>
    <n v="168097"/>
    <n v="154830"/>
  </r>
  <r>
    <s v="05"/>
    <x v="1"/>
    <x v="38"/>
    <x v="38"/>
    <n v="51.2"/>
    <n v="495.9"/>
    <n v="547.1"/>
    <n v="0"/>
    <n v="7"/>
    <n v="0"/>
    <n v="503"/>
    <n v="343.89"/>
    <n v="62.52"/>
    <n v="70.03"/>
    <n v="36.43"/>
    <n v="4.33"/>
    <n v="188142"/>
    <n v="0"/>
    <n v="188142"/>
    <n v="31448"/>
    <n v="35225"/>
    <n v="0"/>
    <n v="19931"/>
    <n v="2369"/>
    <n v="277115"/>
    <n v="29831"/>
    <n v="247284"/>
    <n v="136903"/>
    <n v="110381"/>
  </r>
  <r>
    <s v="05"/>
    <x v="1"/>
    <x v="39"/>
    <x v="39"/>
    <n v="43.22"/>
    <n v="236.4"/>
    <n v="279.62"/>
    <n v="0"/>
    <n v="30"/>
    <n v="0"/>
    <n v="266"/>
    <n v="343.89"/>
    <n v="62.52"/>
    <n v="70.03"/>
    <n v="36.43"/>
    <n v="4.33"/>
    <n v="96159"/>
    <n v="12862"/>
    <n v="109021"/>
    <n v="16630"/>
    <n v="18628"/>
    <n v="0"/>
    <n v="10868"/>
    <n v="1291"/>
    <n v="156438"/>
    <n v="28015"/>
    <n v="128423"/>
    <n v="57964"/>
    <n v="70459"/>
  </r>
  <r>
    <s v="05"/>
    <x v="1"/>
    <x v="40"/>
    <x v="40"/>
    <n v="52.7"/>
    <n v="402"/>
    <n v="454.7"/>
    <n v="0"/>
    <n v="12"/>
    <n v="0"/>
    <n v="414"/>
    <n v="343.89"/>
    <n v="62.52"/>
    <n v="70.03"/>
    <n v="36.43"/>
    <n v="4.33"/>
    <n v="156367"/>
    <n v="13868"/>
    <n v="170235"/>
    <n v="25883"/>
    <n v="28992"/>
    <n v="0"/>
    <n v="16565"/>
    <n v="1969"/>
    <n v="243644"/>
    <n v="41097"/>
    <n v="202547"/>
    <n v="97478"/>
    <n v="105069"/>
  </r>
  <r>
    <s v="05"/>
    <x v="1"/>
    <x v="41"/>
    <x v="41"/>
    <n v="129.01"/>
    <n v="1065.8"/>
    <n v="1194.81"/>
    <n v="0"/>
    <n v="6"/>
    <n v="0"/>
    <n v="1072"/>
    <n v="343.89"/>
    <n v="62.52"/>
    <n v="70.03"/>
    <n v="36.43"/>
    <n v="4.33"/>
    <n v="410883"/>
    <n v="0"/>
    <n v="410883"/>
    <n v="67021"/>
    <n v="75072"/>
    <n v="0"/>
    <n v="43527"/>
    <n v="5174"/>
    <n v="601677"/>
    <n v="60802"/>
    <n v="540875"/>
    <n v="303329"/>
    <n v="237546"/>
  </r>
  <r>
    <s v="05"/>
    <x v="1"/>
    <x v="42"/>
    <x v="42"/>
    <n v="15.64"/>
    <n v="186.7"/>
    <n v="202.34"/>
    <n v="0"/>
    <n v="6"/>
    <n v="0"/>
    <n v="193"/>
    <n v="343.89"/>
    <n v="62.52"/>
    <n v="70.03"/>
    <n v="36.43"/>
    <n v="4.33"/>
    <n v="69583"/>
    <n v="2532"/>
    <n v="72115"/>
    <n v="12066"/>
    <n v="13516"/>
    <n v="0"/>
    <n v="7371"/>
    <n v="876"/>
    <n v="105944"/>
    <n v="13629"/>
    <n v="92315"/>
    <n v="48036"/>
    <n v="44279"/>
  </r>
  <r>
    <s v="05"/>
    <x v="1"/>
    <x v="43"/>
    <x v="43"/>
    <n v="95.67"/>
    <n v="669.8"/>
    <n v="765.47"/>
    <n v="0"/>
    <n v="83"/>
    <n v="6.6"/>
    <n v="746"/>
    <n v="343.89"/>
    <n v="62.52"/>
    <n v="70.03"/>
    <n v="36.43"/>
    <n v="4.33"/>
    <n v="263237"/>
    <n v="2810"/>
    <n v="266047"/>
    <n v="46640"/>
    <n v="52242"/>
    <n v="0"/>
    <n v="27886"/>
    <n v="3314"/>
    <n v="396129"/>
    <n v="68434"/>
    <n v="327695"/>
    <n v="164850"/>
    <n v="162845"/>
  </r>
  <r>
    <s v="05"/>
    <x v="1"/>
    <x v="44"/>
    <x v="44"/>
    <n v="31.7"/>
    <n v="193"/>
    <n v="224.7"/>
    <n v="0"/>
    <n v="7"/>
    <n v="0"/>
    <n v="200"/>
    <n v="343.89"/>
    <n v="62.52"/>
    <n v="70.03"/>
    <n v="36.43"/>
    <n v="4.33"/>
    <n v="77272"/>
    <n v="9203"/>
    <n v="86475"/>
    <n v="12504"/>
    <n v="14006"/>
    <n v="0"/>
    <n v="8332"/>
    <n v="990"/>
    <n v="122307"/>
    <n v="17227"/>
    <n v="105080"/>
    <n v="51416"/>
    <n v="53664"/>
  </r>
  <r>
    <s v="05"/>
    <x v="1"/>
    <x v="45"/>
    <x v="45"/>
    <n v="46.09"/>
    <n v="356"/>
    <n v="402.09"/>
    <n v="0"/>
    <n v="14"/>
    <n v="0"/>
    <n v="370"/>
    <n v="343.89"/>
    <n v="62.52"/>
    <n v="70.03"/>
    <n v="36.43"/>
    <n v="4.33"/>
    <n v="138275"/>
    <n v="3817"/>
    <n v="142092"/>
    <n v="23132"/>
    <n v="25911"/>
    <n v="0"/>
    <n v="15065"/>
    <n v="1790"/>
    <n v="207990"/>
    <n v="31176"/>
    <n v="176814"/>
    <n v="91831"/>
    <n v="84983"/>
  </r>
  <r>
    <s v="05"/>
    <x v="1"/>
    <x v="46"/>
    <x v="46"/>
    <n v="66.349999999999994"/>
    <n v="441.3"/>
    <n v="507.65"/>
    <n v="0"/>
    <n v="7"/>
    <n v="0"/>
    <n v="448"/>
    <n v="343.89"/>
    <n v="62.52"/>
    <n v="70.03"/>
    <n v="36.43"/>
    <n v="4.33"/>
    <n v="174576"/>
    <n v="0"/>
    <n v="174576"/>
    <n v="28009"/>
    <n v="31373"/>
    <n v="0"/>
    <n v="18494"/>
    <n v="2198"/>
    <n v="254650"/>
    <n v="38279"/>
    <n v="216371"/>
    <n v="116433"/>
    <n v="99938"/>
  </r>
  <r>
    <s v="05"/>
    <x v="1"/>
    <x v="47"/>
    <x v="47"/>
    <n v="107.54"/>
    <n v="928.5"/>
    <n v="1036.04"/>
    <n v="0"/>
    <n v="33"/>
    <n v="0"/>
    <n v="962"/>
    <n v="343.89"/>
    <n v="62.52"/>
    <n v="70.03"/>
    <n v="36.43"/>
    <n v="4.33"/>
    <n v="356284"/>
    <n v="0"/>
    <n v="356284"/>
    <n v="60144"/>
    <n v="67369"/>
    <n v="0"/>
    <n v="37743"/>
    <n v="4486"/>
    <n v="526026"/>
    <n v="72346"/>
    <n v="453680"/>
    <n v="243398"/>
    <n v="210282"/>
  </r>
  <r>
    <s v="05"/>
    <x v="1"/>
    <x v="48"/>
    <x v="48"/>
    <n v="62.4"/>
    <n v="626.70000000000005"/>
    <n v="689.1"/>
    <n v="0"/>
    <n v="0"/>
    <n v="0"/>
    <n v="627"/>
    <n v="343.89"/>
    <n v="62.52"/>
    <n v="70.03"/>
    <n v="36.43"/>
    <n v="4.33"/>
    <n v="236975"/>
    <n v="0"/>
    <n v="236975"/>
    <n v="39200"/>
    <n v="43909"/>
    <n v="0"/>
    <n v="25104"/>
    <n v="2984"/>
    <n v="348172"/>
    <n v="46153"/>
    <n v="302019"/>
    <n v="163857"/>
    <n v="138162"/>
  </r>
  <r>
    <s v="05"/>
    <x v="1"/>
    <x v="49"/>
    <x v="49"/>
    <n v="133.49"/>
    <n v="1093.7"/>
    <n v="1227.19"/>
    <n v="0"/>
    <n v="24"/>
    <n v="0"/>
    <n v="1118"/>
    <n v="343.89"/>
    <n v="62.52"/>
    <n v="70.03"/>
    <n v="36.43"/>
    <n v="4.33"/>
    <n v="422018"/>
    <n v="0"/>
    <n v="422018"/>
    <n v="69897"/>
    <n v="78294"/>
    <n v="0"/>
    <n v="44707"/>
    <n v="5314"/>
    <n v="620230"/>
    <n v="93556"/>
    <n v="526674"/>
    <n v="280443"/>
    <n v="246231"/>
  </r>
  <r>
    <s v="05"/>
    <x v="1"/>
    <x v="50"/>
    <x v="50"/>
    <n v="383.95"/>
    <n v="2025.3"/>
    <n v="2409.25"/>
    <n v="0"/>
    <n v="201"/>
    <n v="0.4"/>
    <n v="2226"/>
    <n v="343.89"/>
    <n v="62.52"/>
    <n v="70.03"/>
    <n v="36.43"/>
    <n v="4.33"/>
    <n v="828517"/>
    <n v="0"/>
    <n v="828517"/>
    <n v="139170"/>
    <n v="155887"/>
    <n v="0"/>
    <n v="87769"/>
    <n v="10432"/>
    <n v="1221775"/>
    <n v="132688"/>
    <n v="1089087"/>
    <n v="601555"/>
    <n v="487532"/>
  </r>
  <r>
    <s v="05"/>
    <x v="1"/>
    <x v="51"/>
    <x v="51"/>
    <n v="120.19"/>
    <n v="1167.9000000000001"/>
    <n v="1288.0899999999999"/>
    <n v="0"/>
    <n v="0"/>
    <n v="0"/>
    <n v="1168"/>
    <n v="343.89"/>
    <n v="62.52"/>
    <n v="70.03"/>
    <n v="36.43"/>
    <n v="4.33"/>
    <n v="442961"/>
    <n v="0"/>
    <n v="442961"/>
    <n v="73023"/>
    <n v="81795"/>
    <n v="0"/>
    <n v="46925"/>
    <n v="5577"/>
    <n v="650281"/>
    <n v="73552"/>
    <n v="576729"/>
    <n v="319006"/>
    <n v="257723"/>
  </r>
  <r>
    <s v="05"/>
    <x v="1"/>
    <x v="52"/>
    <x v="52"/>
    <n v="356"/>
    <n v="2531.6999999999998"/>
    <n v="2887.7"/>
    <n v="0"/>
    <n v="176"/>
    <n v="5.3"/>
    <n v="2702"/>
    <n v="343.89"/>
    <n v="62.52"/>
    <n v="70.03"/>
    <n v="36.43"/>
    <n v="4.33"/>
    <n v="993051"/>
    <n v="0"/>
    <n v="993051"/>
    <n v="168929"/>
    <n v="189221"/>
    <n v="0"/>
    <n v="105199"/>
    <n v="12504"/>
    <n v="1468904"/>
    <n v="117168"/>
    <n v="1351736"/>
    <n v="762888"/>
    <n v="588848"/>
  </r>
  <r>
    <s v="05"/>
    <x v="1"/>
    <x v="53"/>
    <x v="53"/>
    <n v="23.34"/>
    <n v="132.80000000000001"/>
    <n v="156.13999999999999"/>
    <n v="0"/>
    <n v="4"/>
    <n v="0"/>
    <n v="137"/>
    <n v="343.89"/>
    <n v="62.52"/>
    <n v="70.03"/>
    <n v="36.43"/>
    <n v="4.33"/>
    <n v="53695"/>
    <n v="9816"/>
    <n v="63511"/>
    <n v="8565"/>
    <n v="9594"/>
    <n v="0"/>
    <n v="5688"/>
    <n v="676"/>
    <n v="88034"/>
    <n v="13144"/>
    <n v="74890"/>
    <n v="34441"/>
    <n v="40449"/>
  </r>
  <r>
    <s v="05"/>
    <x v="1"/>
    <x v="54"/>
    <x v="54"/>
    <n v="32.299999999999997"/>
    <n v="160"/>
    <n v="192.3"/>
    <n v="0"/>
    <n v="16"/>
    <n v="0"/>
    <n v="176"/>
    <n v="343.89"/>
    <n v="62.52"/>
    <n v="70.03"/>
    <n v="36.43"/>
    <n v="4.33"/>
    <n v="66130"/>
    <n v="0"/>
    <n v="66130"/>
    <n v="11004"/>
    <n v="12325"/>
    <n v="0"/>
    <n v="7005"/>
    <n v="833"/>
    <n v="97297"/>
    <n v="15146"/>
    <n v="82151"/>
    <n v="43459"/>
    <n v="38692"/>
  </r>
  <r>
    <s v="05"/>
    <x v="1"/>
    <x v="55"/>
    <x v="55"/>
    <n v="189.81"/>
    <n v="1729.2"/>
    <n v="1919.01"/>
    <n v="0"/>
    <n v="90"/>
    <n v="0.7"/>
    <n v="1819"/>
    <n v="343.89"/>
    <n v="62.52"/>
    <n v="70.03"/>
    <n v="36.43"/>
    <n v="4.33"/>
    <n v="659928"/>
    <n v="0"/>
    <n v="659928"/>
    <n v="113724"/>
    <n v="127385"/>
    <n v="0"/>
    <n v="69910"/>
    <n v="8309"/>
    <n v="979256"/>
    <n v="123421"/>
    <n v="855835"/>
    <n v="461417"/>
    <n v="394418"/>
  </r>
  <r>
    <s v="05"/>
    <x v="1"/>
    <x v="56"/>
    <x v="56"/>
    <n v="29.99"/>
    <n v="328.1"/>
    <n v="358.09"/>
    <n v="0"/>
    <n v="27"/>
    <n v="0"/>
    <n v="355"/>
    <n v="343.89"/>
    <n v="62.52"/>
    <n v="70.03"/>
    <n v="36.43"/>
    <n v="4.33"/>
    <n v="123144"/>
    <n v="0"/>
    <n v="123144"/>
    <n v="22195"/>
    <n v="24861"/>
    <n v="0"/>
    <n v="13045"/>
    <n v="1551"/>
    <n v="184796"/>
    <n v="25688"/>
    <n v="159108"/>
    <n v="83444"/>
    <n v="75664"/>
  </r>
  <r>
    <s v="07"/>
    <x v="2"/>
    <x v="57"/>
    <x v="57"/>
    <n v="106.87"/>
    <n v="686.4"/>
    <n v="793.27"/>
    <n v="1"/>
    <n v="16"/>
    <n v="0"/>
    <n v="702"/>
    <n v="337.26"/>
    <n v="62.47"/>
    <n v="69.650000000000006"/>
    <n v="41.7"/>
    <n v="4.8"/>
    <n v="267538"/>
    <n v="0"/>
    <n v="267538"/>
    <n v="43854"/>
    <n v="48894"/>
    <n v="337"/>
    <n v="33079"/>
    <n v="3808"/>
    <n v="397510"/>
    <n v="54162"/>
    <n v="343348"/>
    <n v="192412"/>
    <n v="150936"/>
  </r>
  <r>
    <s v="07"/>
    <x v="2"/>
    <x v="58"/>
    <x v="58"/>
    <n v="19.329999999999998"/>
    <n v="273.7"/>
    <n v="293.02999999999997"/>
    <n v="0.37"/>
    <n v="0"/>
    <n v="0"/>
    <n v="274"/>
    <n v="337.26"/>
    <n v="62.47"/>
    <n v="69.650000000000006"/>
    <n v="41.7"/>
    <n v="4.8"/>
    <n v="98827"/>
    <n v="1128"/>
    <n v="99955"/>
    <n v="17117"/>
    <n v="19084"/>
    <n v="125"/>
    <n v="12420"/>
    <n v="1428"/>
    <n v="150129"/>
    <n v="19566"/>
    <n v="130563"/>
    <n v="71740"/>
    <n v="58823"/>
  </r>
  <r>
    <s v="07"/>
    <x v="2"/>
    <x v="59"/>
    <x v="59"/>
    <n v="115.6"/>
    <n v="813.2"/>
    <n v="928.8"/>
    <n v="1.17"/>
    <n v="17"/>
    <n v="0"/>
    <n v="830"/>
    <n v="337.26"/>
    <n v="62.47"/>
    <n v="69.650000000000006"/>
    <n v="41.7"/>
    <n v="4.8"/>
    <n v="313247"/>
    <n v="0"/>
    <n v="313247"/>
    <n v="51850"/>
    <n v="57810"/>
    <n v="395"/>
    <n v="38731"/>
    <n v="4458"/>
    <n v="466491"/>
    <n v="51322"/>
    <n v="415169"/>
    <n v="237379"/>
    <n v="177790"/>
  </r>
  <r>
    <s v="07"/>
    <x v="2"/>
    <x v="60"/>
    <x v="60"/>
    <n v="66.84"/>
    <n v="461.6"/>
    <n v="528.44000000000005"/>
    <n v="0.67"/>
    <n v="3"/>
    <n v="0"/>
    <n v="465"/>
    <n v="337.26"/>
    <n v="62.47"/>
    <n v="69.650000000000006"/>
    <n v="41.7"/>
    <n v="4.8"/>
    <n v="178222"/>
    <n v="8290"/>
    <n v="186512"/>
    <n v="29049"/>
    <n v="32387"/>
    <n v="226"/>
    <n v="22766"/>
    <n v="2618"/>
    <n v="273558"/>
    <n v="39085"/>
    <n v="234473"/>
    <n v="125984"/>
    <n v="108489"/>
  </r>
  <r>
    <s v="07"/>
    <x v="2"/>
    <x v="61"/>
    <x v="61"/>
    <n v="94.82"/>
    <n v="740.1"/>
    <n v="834.92"/>
    <n v="1.05"/>
    <n v="0"/>
    <n v="0"/>
    <n v="740"/>
    <n v="337.26"/>
    <n v="62.47"/>
    <n v="69.650000000000006"/>
    <n v="41.7"/>
    <n v="4.8"/>
    <n v="281585"/>
    <n v="0"/>
    <n v="281585"/>
    <n v="46228"/>
    <n v="51541"/>
    <n v="354"/>
    <n v="34816"/>
    <n v="4008"/>
    <n v="418532"/>
    <n v="51745"/>
    <n v="366787"/>
    <n v="207775"/>
    <n v="159012"/>
  </r>
  <r>
    <s v="07"/>
    <x v="2"/>
    <x v="62"/>
    <x v="62"/>
    <n v="72.09"/>
    <n v="514.70000000000005"/>
    <n v="586.79"/>
    <n v="0.74"/>
    <n v="0"/>
    <n v="0"/>
    <n v="515"/>
    <n v="337.26"/>
    <n v="62.47"/>
    <n v="69.650000000000006"/>
    <n v="41.7"/>
    <n v="4.8"/>
    <n v="197901"/>
    <n v="0"/>
    <n v="197901"/>
    <n v="32172"/>
    <n v="35870"/>
    <n v="250"/>
    <n v="24469"/>
    <n v="2817"/>
    <n v="293479"/>
    <n v="38612"/>
    <n v="254867"/>
    <n v="143782"/>
    <n v="111085"/>
  </r>
  <r>
    <s v="07"/>
    <x v="2"/>
    <x v="63"/>
    <x v="63"/>
    <n v="38.36"/>
    <n v="280.8"/>
    <n v="319.16000000000003"/>
    <n v="0.4"/>
    <n v="12"/>
    <n v="0.3"/>
    <n v="293"/>
    <n v="337.26"/>
    <n v="62.47"/>
    <n v="69.650000000000006"/>
    <n v="41.7"/>
    <n v="4.8"/>
    <n v="107640"/>
    <n v="0"/>
    <n v="107640"/>
    <n v="18304"/>
    <n v="20407"/>
    <n v="135"/>
    <n v="13309"/>
    <n v="1532"/>
    <n v="161327"/>
    <n v="18545"/>
    <n v="142782"/>
    <n v="80660"/>
    <n v="62122"/>
  </r>
  <r>
    <s v="07"/>
    <x v="2"/>
    <x v="64"/>
    <x v="64"/>
    <n v="762.29"/>
    <n v="5520.1"/>
    <n v="6282.39"/>
    <n v="7.91"/>
    <n v="307"/>
    <n v="2.2999999999999998"/>
    <n v="5825"/>
    <n v="337.26"/>
    <n v="62.47"/>
    <n v="69.650000000000006"/>
    <n v="41.7"/>
    <n v="4.8"/>
    <n v="2118799"/>
    <n v="0"/>
    <n v="2118799"/>
    <n v="363888"/>
    <n v="405711"/>
    <n v="2668"/>
    <n v="261976"/>
    <n v="30155"/>
    <n v="3183197"/>
    <n v="260052"/>
    <n v="2923145"/>
    <n v="1692718"/>
    <n v="1230427"/>
  </r>
  <r>
    <s v="07"/>
    <x v="2"/>
    <x v="65"/>
    <x v="65"/>
    <n v="112.79"/>
    <n v="805.3"/>
    <n v="918.09"/>
    <n v="1.1599999999999999"/>
    <n v="32"/>
    <n v="0"/>
    <n v="837"/>
    <n v="337.26"/>
    <n v="62.47"/>
    <n v="69.650000000000006"/>
    <n v="41.7"/>
    <n v="4.8"/>
    <n v="309635"/>
    <n v="0"/>
    <n v="309635"/>
    <n v="52287"/>
    <n v="58297"/>
    <n v="391"/>
    <n v="38284"/>
    <n v="4407"/>
    <n v="463301"/>
    <n v="60890"/>
    <n v="402411"/>
    <n v="224483"/>
    <n v="177928"/>
  </r>
  <r>
    <s v="07"/>
    <x v="2"/>
    <x v="66"/>
    <x v="66"/>
    <n v="310.72000000000003"/>
    <n v="1489.8"/>
    <n v="1800.52"/>
    <n v="2.27"/>
    <n v="164"/>
    <n v="6.5"/>
    <n v="1647"/>
    <n v="337.26"/>
    <n v="62.47"/>
    <n v="69.650000000000006"/>
    <n v="41.7"/>
    <n v="4.8"/>
    <n v="607243"/>
    <n v="0"/>
    <n v="607243"/>
    <n v="102888"/>
    <n v="114714"/>
    <n v="766"/>
    <n v="75082"/>
    <n v="8642"/>
    <n v="909335"/>
    <n v="108953"/>
    <n v="800382"/>
    <n v="450708"/>
    <n v="349674"/>
  </r>
  <r>
    <s v="07"/>
    <x v="2"/>
    <x v="67"/>
    <x v="67"/>
    <n v="50.75"/>
    <n v="289.39999999999998"/>
    <n v="340.15"/>
    <n v="0.43"/>
    <n v="2"/>
    <n v="0"/>
    <n v="291"/>
    <n v="337.26"/>
    <n v="62.47"/>
    <n v="69.650000000000006"/>
    <n v="41.7"/>
    <n v="4.8"/>
    <n v="114719"/>
    <n v="3075"/>
    <n v="117794"/>
    <n v="18179"/>
    <n v="20268"/>
    <n v="145"/>
    <n v="14184"/>
    <n v="1633"/>
    <n v="172203"/>
    <n v="24283"/>
    <n v="147920"/>
    <n v="81447"/>
    <n v="66473"/>
  </r>
  <r>
    <s v="07"/>
    <x v="2"/>
    <x v="68"/>
    <x v="68"/>
    <n v="145.18"/>
    <n v="1173.0999999999999"/>
    <n v="1318.28"/>
    <n v="1.66"/>
    <n v="61"/>
    <n v="0"/>
    <n v="1234"/>
    <n v="337.26"/>
    <n v="62.47"/>
    <n v="69.650000000000006"/>
    <n v="41.7"/>
    <n v="4.8"/>
    <n v="444603"/>
    <n v="10822"/>
    <n v="455425"/>
    <n v="77088"/>
    <n v="85948"/>
    <n v="560"/>
    <n v="54972"/>
    <n v="6328"/>
    <n v="680321"/>
    <n v="91771"/>
    <n v="588550"/>
    <n v="317993"/>
    <n v="270557"/>
  </r>
  <r>
    <s v="07"/>
    <x v="2"/>
    <x v="69"/>
    <x v="69"/>
    <n v="82.24"/>
    <n v="862.9"/>
    <n v="945.14"/>
    <n v="1.19"/>
    <n v="9"/>
    <n v="0"/>
    <n v="872"/>
    <n v="337.26"/>
    <n v="62.47"/>
    <n v="69.650000000000006"/>
    <n v="41.7"/>
    <n v="4.8"/>
    <n v="318758"/>
    <n v="0"/>
    <n v="318758"/>
    <n v="54474"/>
    <n v="60735"/>
    <n v="401"/>
    <n v="39412"/>
    <n v="4537"/>
    <n v="478317"/>
    <n v="43052"/>
    <n v="435265"/>
    <n v="250728"/>
    <n v="184537"/>
  </r>
  <r>
    <s v="07"/>
    <x v="2"/>
    <x v="70"/>
    <x v="70"/>
    <n v="110.58"/>
    <n v="876.2"/>
    <n v="986.78"/>
    <n v="1.24"/>
    <n v="13"/>
    <n v="0"/>
    <n v="889"/>
    <n v="337.26"/>
    <n v="62.47"/>
    <n v="69.650000000000006"/>
    <n v="41.7"/>
    <n v="4.8"/>
    <n v="332801"/>
    <n v="0"/>
    <n v="332801"/>
    <n v="55536"/>
    <n v="61919"/>
    <n v="418"/>
    <n v="41149"/>
    <n v="4737"/>
    <n v="496560"/>
    <n v="47622"/>
    <n v="448938"/>
    <n v="259101"/>
    <n v="189837"/>
  </r>
  <r>
    <s v="07"/>
    <x v="2"/>
    <x v="71"/>
    <x v="71"/>
    <n v="54.07"/>
    <n v="366.1"/>
    <n v="420.17"/>
    <n v="0.53"/>
    <n v="16"/>
    <n v="0"/>
    <n v="382"/>
    <n v="337.26"/>
    <n v="62.47"/>
    <n v="69.650000000000006"/>
    <n v="41.7"/>
    <n v="4.8"/>
    <n v="141707"/>
    <n v="11975"/>
    <n v="153682"/>
    <n v="23864"/>
    <n v="26606"/>
    <n v="179"/>
    <n v="17521"/>
    <n v="2017"/>
    <n v="223869"/>
    <n v="30148"/>
    <n v="193721"/>
    <n v="100455"/>
    <n v="93266"/>
  </r>
  <r>
    <s v="07"/>
    <x v="2"/>
    <x v="72"/>
    <x v="72"/>
    <n v="94.88"/>
    <n v="541.9"/>
    <n v="636.78"/>
    <n v="0.8"/>
    <n v="4"/>
    <n v="0"/>
    <n v="546"/>
    <n v="337.26"/>
    <n v="62.47"/>
    <n v="69.650000000000006"/>
    <n v="41.7"/>
    <n v="4.8"/>
    <n v="214760"/>
    <n v="0"/>
    <n v="214760"/>
    <n v="34109"/>
    <n v="38029"/>
    <n v="270"/>
    <n v="26554"/>
    <n v="3057"/>
    <n v="316779"/>
    <n v="37860"/>
    <n v="278919"/>
    <n v="160072"/>
    <n v="118847"/>
  </r>
  <r>
    <s v="07"/>
    <x v="2"/>
    <x v="73"/>
    <x v="73"/>
    <n v="59.76"/>
    <n v="525.20000000000005"/>
    <n v="584.96"/>
    <n v="0.74"/>
    <n v="9"/>
    <n v="0"/>
    <n v="534"/>
    <n v="337.26"/>
    <n v="62.47"/>
    <n v="69.650000000000006"/>
    <n v="41.7"/>
    <n v="4.8"/>
    <n v="197284"/>
    <n v="18319"/>
    <n v="215603"/>
    <n v="33359"/>
    <n v="37193"/>
    <n v="250"/>
    <n v="25615"/>
    <n v="2945"/>
    <n v="314965"/>
    <n v="48097"/>
    <n v="266868"/>
    <n v="135088"/>
    <n v="131780"/>
  </r>
  <r>
    <s v="07"/>
    <x v="2"/>
    <x v="74"/>
    <x v="74"/>
    <n v="126.8"/>
    <n v="560.70000000000005"/>
    <n v="687.5"/>
    <n v="0.87"/>
    <n v="3"/>
    <n v="0"/>
    <n v="564"/>
    <n v="337.26"/>
    <n v="62.47"/>
    <n v="69.650000000000006"/>
    <n v="41.7"/>
    <n v="4.8"/>
    <n v="231866"/>
    <n v="3635"/>
    <n v="235501"/>
    <n v="35233"/>
    <n v="39283"/>
    <n v="293"/>
    <n v="28669"/>
    <n v="3300"/>
    <n v="342279"/>
    <n v="41102"/>
    <n v="301177"/>
    <n v="172597"/>
    <n v="128580"/>
  </r>
  <r>
    <s v="07"/>
    <x v="2"/>
    <x v="75"/>
    <x v="75"/>
    <n v="151.97999999999999"/>
    <n v="1055.4000000000001"/>
    <n v="1207.3800000000001"/>
    <n v="1.52"/>
    <n v="31"/>
    <n v="0"/>
    <n v="1086"/>
    <n v="337.26"/>
    <n v="62.47"/>
    <n v="69.650000000000006"/>
    <n v="41.7"/>
    <n v="4.8"/>
    <n v="407201"/>
    <n v="13568"/>
    <n v="420769"/>
    <n v="67842"/>
    <n v="75640"/>
    <n v="513"/>
    <n v="50348"/>
    <n v="5795"/>
    <n v="620907"/>
    <n v="96540"/>
    <n v="524367"/>
    <n v="278753"/>
    <n v="245614"/>
  </r>
  <r>
    <s v="07"/>
    <x v="2"/>
    <x v="76"/>
    <x v="76"/>
    <n v="27.49"/>
    <n v="254.5"/>
    <n v="281.99"/>
    <n v="0.36"/>
    <n v="1"/>
    <n v="0"/>
    <n v="256"/>
    <n v="337.26"/>
    <n v="62.47"/>
    <n v="69.650000000000006"/>
    <n v="41.7"/>
    <n v="4.8"/>
    <n v="95104"/>
    <n v="10271"/>
    <n v="105375"/>
    <n v="15992"/>
    <n v="17830"/>
    <n v="121"/>
    <n v="11759"/>
    <n v="1354"/>
    <n v="152431"/>
    <n v="22863"/>
    <n v="129568"/>
    <n v="64790"/>
    <n v="64778"/>
  </r>
  <r>
    <s v="07"/>
    <x v="2"/>
    <x v="77"/>
    <x v="77"/>
    <n v="93.38"/>
    <n v="850"/>
    <n v="943.38"/>
    <n v="1.19"/>
    <n v="33"/>
    <n v="0"/>
    <n v="883"/>
    <n v="337.26"/>
    <n v="62.47"/>
    <n v="69.650000000000006"/>
    <n v="41.7"/>
    <n v="4.8"/>
    <n v="318164"/>
    <n v="17986"/>
    <n v="336150"/>
    <n v="55161"/>
    <n v="61501"/>
    <n v="401"/>
    <n v="39339"/>
    <n v="4528"/>
    <n v="497080"/>
    <n v="65277"/>
    <n v="431803"/>
    <n v="227956"/>
    <n v="203847"/>
  </r>
  <r>
    <s v="07"/>
    <x v="2"/>
    <x v="78"/>
    <x v="78"/>
    <n v="88.13"/>
    <n v="617.29999999999995"/>
    <n v="705.43"/>
    <n v="0.89"/>
    <n v="5"/>
    <n v="0"/>
    <n v="622"/>
    <n v="337.26"/>
    <n v="62.47"/>
    <n v="69.650000000000006"/>
    <n v="41.7"/>
    <n v="4.8"/>
    <n v="237913"/>
    <n v="0"/>
    <n v="237913"/>
    <n v="38856"/>
    <n v="43322"/>
    <n v="300"/>
    <n v="29416"/>
    <n v="3386"/>
    <n v="353193"/>
    <n v="50217"/>
    <n v="302976"/>
    <n v="169053"/>
    <n v="133923"/>
  </r>
  <r>
    <s v="07"/>
    <x v="2"/>
    <x v="79"/>
    <x v="79"/>
    <n v="237.5"/>
    <n v="1498.3"/>
    <n v="1735.8"/>
    <n v="2.19"/>
    <n v="56"/>
    <n v="0.1"/>
    <n v="1554"/>
    <n v="337.26"/>
    <n v="62.47"/>
    <n v="69.650000000000006"/>
    <n v="41.7"/>
    <n v="4.8"/>
    <n v="585416"/>
    <n v="0"/>
    <n v="585416"/>
    <n v="97078"/>
    <n v="108236"/>
    <n v="739"/>
    <n v="72383"/>
    <n v="8332"/>
    <n v="872184"/>
    <n v="107756"/>
    <n v="764428"/>
    <n v="431788"/>
    <n v="332640"/>
  </r>
  <r>
    <s v="07"/>
    <x v="2"/>
    <x v="80"/>
    <x v="80"/>
    <n v="88.12"/>
    <n v="679.3"/>
    <n v="767.42"/>
    <n v="0.97"/>
    <n v="8"/>
    <n v="0"/>
    <n v="687"/>
    <n v="337.26"/>
    <n v="62.47"/>
    <n v="69.650000000000006"/>
    <n v="41.7"/>
    <n v="4.8"/>
    <n v="258820"/>
    <n v="0"/>
    <n v="258820"/>
    <n v="42917"/>
    <n v="47850"/>
    <n v="327"/>
    <n v="32001"/>
    <n v="3684"/>
    <n v="385599"/>
    <n v="38721"/>
    <n v="346878"/>
    <n v="199819"/>
    <n v="147059"/>
  </r>
  <r>
    <s v="07"/>
    <x v="2"/>
    <x v="81"/>
    <x v="81"/>
    <n v="142.87"/>
    <n v="1119.5"/>
    <n v="1262.3699999999999"/>
    <n v="1.59"/>
    <n v="10"/>
    <n v="0"/>
    <n v="1130"/>
    <n v="337.26"/>
    <n v="62.47"/>
    <n v="69.650000000000006"/>
    <n v="41.7"/>
    <n v="4.8"/>
    <n v="425747"/>
    <n v="0"/>
    <n v="425747"/>
    <n v="70591"/>
    <n v="78705"/>
    <n v="536"/>
    <n v="52641"/>
    <n v="6059"/>
    <n v="634279"/>
    <n v="73880"/>
    <n v="560399"/>
    <n v="318505"/>
    <n v="241894"/>
  </r>
  <r>
    <s v="07"/>
    <x v="2"/>
    <x v="82"/>
    <x v="82"/>
    <n v="41.87"/>
    <n v="411.8"/>
    <n v="453.67"/>
    <n v="0.56999999999999995"/>
    <n v="0"/>
    <n v="0"/>
    <n v="412"/>
    <n v="337.26"/>
    <n v="62.47"/>
    <n v="69.650000000000006"/>
    <n v="41.7"/>
    <n v="4.8"/>
    <n v="153005"/>
    <n v="149"/>
    <n v="153154"/>
    <n v="25738"/>
    <n v="28696"/>
    <n v="192"/>
    <n v="18918"/>
    <n v="2178"/>
    <n v="228876"/>
    <n v="31368"/>
    <n v="197508"/>
    <n v="109647"/>
    <n v="87861"/>
  </r>
  <r>
    <s v="07"/>
    <x v="2"/>
    <x v="83"/>
    <x v="83"/>
    <n v="83.49"/>
    <n v="714.7"/>
    <n v="798.19"/>
    <n v="1.01"/>
    <n v="21"/>
    <n v="0"/>
    <n v="736"/>
    <n v="337.26"/>
    <n v="62.47"/>
    <n v="69.650000000000006"/>
    <n v="41.7"/>
    <n v="4.8"/>
    <n v="269198"/>
    <n v="0"/>
    <n v="269198"/>
    <n v="45978"/>
    <n v="51262"/>
    <n v="341"/>
    <n v="33285"/>
    <n v="3831"/>
    <n v="403895"/>
    <n v="45362"/>
    <n v="358533"/>
    <n v="202743"/>
    <n v="155790"/>
  </r>
  <r>
    <s v="07"/>
    <x v="2"/>
    <x v="84"/>
    <x v="84"/>
    <n v="187.61"/>
    <n v="1383.7"/>
    <n v="1571.31"/>
    <n v="1.98"/>
    <n v="125"/>
    <n v="3"/>
    <n v="1506"/>
    <n v="337.26"/>
    <n v="62.47"/>
    <n v="69.650000000000006"/>
    <n v="41.7"/>
    <n v="4.8"/>
    <n v="529940"/>
    <n v="0"/>
    <n v="529940"/>
    <n v="94080"/>
    <n v="104893"/>
    <n v="668"/>
    <n v="65524"/>
    <n v="7542"/>
    <n v="802647"/>
    <n v="97039"/>
    <n v="705608"/>
    <n v="391376"/>
    <n v="314232"/>
  </r>
  <r>
    <s v="07"/>
    <x v="2"/>
    <x v="85"/>
    <x v="85"/>
    <n v="125.31"/>
    <n v="1002.3"/>
    <n v="1127.6099999999999"/>
    <n v="1.42"/>
    <n v="1"/>
    <n v="0"/>
    <n v="1003"/>
    <n v="337.26"/>
    <n v="62.47"/>
    <n v="69.650000000000006"/>
    <n v="41.7"/>
    <n v="4.8"/>
    <n v="380298"/>
    <n v="0"/>
    <n v="380298"/>
    <n v="62657"/>
    <n v="69859"/>
    <n v="479"/>
    <n v="47021"/>
    <n v="5413"/>
    <n v="565727"/>
    <n v="65316"/>
    <n v="500411"/>
    <n v="285182"/>
    <n v="215229"/>
  </r>
  <r>
    <s v="07"/>
    <x v="2"/>
    <x v="86"/>
    <x v="86"/>
    <n v="56.36"/>
    <n v="440.9"/>
    <n v="497.26"/>
    <n v="0.63"/>
    <n v="10"/>
    <n v="0"/>
    <n v="451"/>
    <n v="337.26"/>
    <n v="62.47"/>
    <n v="69.650000000000006"/>
    <n v="41.7"/>
    <n v="4.8"/>
    <n v="167706"/>
    <n v="0"/>
    <n v="167706"/>
    <n v="28174"/>
    <n v="31412"/>
    <n v="212"/>
    <n v="20736"/>
    <n v="2387"/>
    <n v="250627"/>
    <n v="20933"/>
    <n v="229694"/>
    <n v="133633"/>
    <n v="96061"/>
  </r>
  <r>
    <s v="07"/>
    <x v="2"/>
    <x v="87"/>
    <x v="87"/>
    <n v="120.58"/>
    <n v="894.1"/>
    <n v="1014.68"/>
    <n v="1.28"/>
    <n v="110"/>
    <n v="0.2"/>
    <n v="1004"/>
    <n v="337.26"/>
    <n v="62.47"/>
    <n v="69.650000000000006"/>
    <n v="41.7"/>
    <n v="4.8"/>
    <n v="342211"/>
    <n v="0"/>
    <n v="342211"/>
    <n v="62720"/>
    <n v="69929"/>
    <n v="432"/>
    <n v="42312"/>
    <n v="4870"/>
    <n v="522474"/>
    <n v="53876"/>
    <n v="468598"/>
    <n v="261519"/>
    <n v="207079"/>
  </r>
  <r>
    <s v="07"/>
    <x v="2"/>
    <x v="88"/>
    <x v="88"/>
    <n v="74.650000000000006"/>
    <n v="565.1"/>
    <n v="639.75"/>
    <n v="0.81"/>
    <n v="1"/>
    <n v="0"/>
    <n v="566"/>
    <n v="337.26"/>
    <n v="62.47"/>
    <n v="69.650000000000006"/>
    <n v="41.7"/>
    <n v="4.8"/>
    <n v="215762"/>
    <n v="0"/>
    <n v="215762"/>
    <n v="35358"/>
    <n v="39422"/>
    <n v="273"/>
    <n v="26678"/>
    <n v="3071"/>
    <n v="320564"/>
    <n v="43283"/>
    <n v="277281"/>
    <n v="155574"/>
    <n v="121707"/>
  </r>
  <r>
    <s v="07"/>
    <x v="2"/>
    <x v="89"/>
    <x v="89"/>
    <n v="777.05"/>
    <n v="5374.9"/>
    <n v="6151.95"/>
    <n v="7.71"/>
    <n v="223"/>
    <n v="4.9000000000000004"/>
    <n v="5593"/>
    <n v="337.26"/>
    <n v="62.47"/>
    <n v="69.650000000000006"/>
    <n v="41.7"/>
    <n v="4.8"/>
    <n v="2074807"/>
    <n v="0"/>
    <n v="2074807"/>
    <n v="349395"/>
    <n v="389552"/>
    <n v="2600"/>
    <n v="256536"/>
    <n v="29529"/>
    <n v="3102419"/>
    <n v="306371"/>
    <n v="2796048"/>
    <n v="1605844"/>
    <n v="1190204"/>
  </r>
  <r>
    <s v="07"/>
    <x v="2"/>
    <x v="90"/>
    <x v="90"/>
    <n v="641.32000000000005"/>
    <n v="3404.6"/>
    <n v="4045.92"/>
    <n v="5.0999999999999996"/>
    <n v="537"/>
    <n v="5.5"/>
    <n v="3936"/>
    <n v="337.26"/>
    <n v="62.47"/>
    <n v="69.650000000000006"/>
    <n v="41.7"/>
    <n v="4.8"/>
    <n v="1364527"/>
    <n v="0"/>
    <n v="1364527"/>
    <n v="245882"/>
    <n v="274142"/>
    <n v="1720"/>
    <n v="168715"/>
    <n v="19420"/>
    <n v="2074406"/>
    <n v="287393"/>
    <n v="1787013"/>
    <n v="970211"/>
    <n v="816802"/>
  </r>
  <r>
    <s v="07"/>
    <x v="2"/>
    <x v="91"/>
    <x v="91"/>
    <n v="55.24"/>
    <n v="469.1"/>
    <n v="524.34"/>
    <n v="0.66"/>
    <n v="7"/>
    <n v="0"/>
    <n v="476"/>
    <n v="337.26"/>
    <n v="62.47"/>
    <n v="69.650000000000006"/>
    <n v="41.7"/>
    <n v="4.8"/>
    <n v="176839"/>
    <n v="4540"/>
    <n v="181379"/>
    <n v="29736"/>
    <n v="33153"/>
    <n v="223"/>
    <n v="22538"/>
    <n v="2592"/>
    <n v="269621"/>
    <n v="32604"/>
    <n v="237017"/>
    <n v="131126"/>
    <n v="105891"/>
  </r>
  <r>
    <s v="07"/>
    <x v="2"/>
    <x v="92"/>
    <x v="92"/>
    <n v="67.75"/>
    <n v="592.6"/>
    <n v="660.35"/>
    <n v="0.83"/>
    <n v="4"/>
    <n v="0"/>
    <n v="597"/>
    <n v="337.26"/>
    <n v="62.47"/>
    <n v="69.650000000000006"/>
    <n v="41.7"/>
    <n v="4.8"/>
    <n v="222710"/>
    <n v="0"/>
    <n v="222710"/>
    <n v="37295"/>
    <n v="41581"/>
    <n v="280"/>
    <n v="27537"/>
    <n v="3170"/>
    <n v="332573"/>
    <n v="48545"/>
    <n v="284028"/>
    <n v="156714"/>
    <n v="127314"/>
  </r>
  <r>
    <s v="07"/>
    <x v="2"/>
    <x v="93"/>
    <x v="93"/>
    <n v="81.709999999999994"/>
    <n v="536.6"/>
    <n v="618.30999999999995"/>
    <n v="0.78"/>
    <n v="3"/>
    <n v="0"/>
    <n v="540"/>
    <n v="337.26"/>
    <n v="62.47"/>
    <n v="69.650000000000006"/>
    <n v="41.7"/>
    <n v="4.8"/>
    <n v="208531"/>
    <n v="682"/>
    <n v="209213"/>
    <n v="33734"/>
    <n v="37611"/>
    <n v="263"/>
    <n v="25997"/>
    <n v="2989"/>
    <n v="309807"/>
    <n v="42965"/>
    <n v="266842"/>
    <n v="149461"/>
    <n v="117381"/>
  </r>
  <r>
    <s v="07"/>
    <x v="2"/>
    <x v="94"/>
    <x v="94"/>
    <n v="64.87"/>
    <n v="483.5"/>
    <n v="548.37"/>
    <n v="0.69"/>
    <n v="0"/>
    <n v="0"/>
    <n v="484"/>
    <n v="337.26"/>
    <n v="62.47"/>
    <n v="69.650000000000006"/>
    <n v="41.7"/>
    <n v="4.8"/>
    <n v="184943"/>
    <n v="0"/>
    <n v="184943"/>
    <n v="30235"/>
    <n v="33711"/>
    <n v="233"/>
    <n v="22867"/>
    <n v="2632"/>
    <n v="274621"/>
    <n v="38909"/>
    <n v="235712"/>
    <n v="131542"/>
    <n v="104170"/>
  </r>
  <r>
    <s v="07"/>
    <x v="2"/>
    <x v="95"/>
    <x v="95"/>
    <n v="59"/>
    <n v="453"/>
    <n v="512"/>
    <n v="0.65"/>
    <n v="1"/>
    <n v="0"/>
    <n v="454"/>
    <n v="337.26"/>
    <n v="62.47"/>
    <n v="69.650000000000006"/>
    <n v="41.7"/>
    <n v="4.8"/>
    <n v="172677"/>
    <n v="0"/>
    <n v="172677"/>
    <n v="28361"/>
    <n v="31621"/>
    <n v="219"/>
    <n v="21350"/>
    <n v="2458"/>
    <n v="256686"/>
    <n v="31289"/>
    <n v="225397"/>
    <n v="127859"/>
    <n v="97538"/>
  </r>
  <r>
    <s v="07"/>
    <x v="2"/>
    <x v="96"/>
    <x v="96"/>
    <n v="71.58"/>
    <n v="511"/>
    <n v="582.58000000000004"/>
    <n v="0.74"/>
    <n v="0"/>
    <n v="0"/>
    <n v="511"/>
    <n v="337.26"/>
    <n v="62.47"/>
    <n v="69.650000000000006"/>
    <n v="41.7"/>
    <n v="4.8"/>
    <n v="196481"/>
    <n v="0"/>
    <n v="196481"/>
    <n v="31922"/>
    <n v="35591"/>
    <n v="250"/>
    <n v="24294"/>
    <n v="2796"/>
    <n v="291334"/>
    <n v="32927"/>
    <n v="258407"/>
    <n v="148159"/>
    <n v="110248"/>
  </r>
  <r>
    <s v="07"/>
    <x v="2"/>
    <x v="97"/>
    <x v="97"/>
    <n v="82.87"/>
    <n v="892.7"/>
    <n v="975.57"/>
    <n v="1.23"/>
    <n v="2"/>
    <n v="0"/>
    <n v="895"/>
    <n v="337.26"/>
    <n v="62.47"/>
    <n v="69.650000000000006"/>
    <n v="41.7"/>
    <n v="4.8"/>
    <n v="329021"/>
    <n v="0"/>
    <n v="329021"/>
    <n v="55911"/>
    <n v="62337"/>
    <n v="415"/>
    <n v="40681"/>
    <n v="4683"/>
    <n v="493048"/>
    <n v="62418"/>
    <n v="430630"/>
    <n v="240821"/>
    <n v="189809"/>
  </r>
  <r>
    <s v="07"/>
    <x v="2"/>
    <x v="98"/>
    <x v="98"/>
    <n v="65.3"/>
    <n v="426"/>
    <n v="491.3"/>
    <n v="0.62"/>
    <n v="7"/>
    <n v="0"/>
    <n v="433"/>
    <n v="337.26"/>
    <n v="62.47"/>
    <n v="69.650000000000006"/>
    <n v="41.7"/>
    <n v="4.8"/>
    <n v="165696"/>
    <n v="0"/>
    <n v="165696"/>
    <n v="27050"/>
    <n v="30158"/>
    <n v="209"/>
    <n v="20487"/>
    <n v="2358"/>
    <n v="245958"/>
    <n v="38715"/>
    <n v="207243"/>
    <n v="113997"/>
    <n v="93246"/>
  </r>
  <r>
    <s v="07"/>
    <x v="2"/>
    <x v="99"/>
    <x v="99"/>
    <n v="231.35"/>
    <n v="1447.4"/>
    <n v="1678.75"/>
    <n v="2.11"/>
    <n v="1"/>
    <n v="0"/>
    <n v="1448"/>
    <n v="337.26"/>
    <n v="62.47"/>
    <n v="69.650000000000006"/>
    <n v="41.7"/>
    <n v="4.8"/>
    <n v="566175"/>
    <n v="0"/>
    <n v="566175"/>
    <n v="90457"/>
    <n v="100853"/>
    <n v="712"/>
    <n v="70004"/>
    <n v="8058"/>
    <n v="836259"/>
    <n v="99339"/>
    <n v="736920"/>
    <n v="422470"/>
    <n v="314450"/>
  </r>
  <r>
    <s v="07"/>
    <x v="2"/>
    <x v="100"/>
    <x v="100"/>
    <n v="59.93"/>
    <n v="570.70000000000005"/>
    <n v="630.63"/>
    <n v="0.79"/>
    <n v="0"/>
    <n v="0"/>
    <n v="571"/>
    <n v="337.26"/>
    <n v="62.47"/>
    <n v="69.650000000000006"/>
    <n v="41.7"/>
    <n v="4.8"/>
    <n v="212686"/>
    <n v="0"/>
    <n v="212686"/>
    <n v="35670"/>
    <n v="39770"/>
    <n v="266"/>
    <n v="26297"/>
    <n v="3027"/>
    <n v="317716"/>
    <n v="45825"/>
    <n v="271891"/>
    <n v="150194"/>
    <n v="121697"/>
  </r>
  <r>
    <s v="07"/>
    <x v="2"/>
    <x v="101"/>
    <x v="101"/>
    <n v="120.02"/>
    <n v="769.6"/>
    <n v="889.62"/>
    <n v="1.1200000000000001"/>
    <n v="3"/>
    <n v="0"/>
    <n v="773"/>
    <n v="337.26"/>
    <n v="62.47"/>
    <n v="69.650000000000006"/>
    <n v="41.7"/>
    <n v="4.8"/>
    <n v="300033"/>
    <n v="0"/>
    <n v="300033"/>
    <n v="48289"/>
    <n v="53839"/>
    <n v="378"/>
    <n v="37097"/>
    <n v="4270"/>
    <n v="443906"/>
    <n v="63141"/>
    <n v="380765"/>
    <n v="213381"/>
    <n v="167384"/>
  </r>
  <r>
    <s v="07"/>
    <x v="2"/>
    <x v="102"/>
    <x v="102"/>
    <n v="64.53"/>
    <n v="380.7"/>
    <n v="445.23"/>
    <n v="0.56000000000000005"/>
    <n v="1"/>
    <n v="0"/>
    <n v="382"/>
    <n v="337.26"/>
    <n v="62.47"/>
    <n v="69.650000000000006"/>
    <n v="41.7"/>
    <n v="4.8"/>
    <n v="150158"/>
    <n v="2166"/>
    <n v="152324"/>
    <n v="23864"/>
    <n v="26606"/>
    <n v="189"/>
    <n v="18566"/>
    <n v="2137"/>
    <n v="223686"/>
    <n v="29808"/>
    <n v="193878"/>
    <n v="108584"/>
    <n v="85294"/>
  </r>
  <r>
    <s v="07"/>
    <x v="2"/>
    <x v="103"/>
    <x v="103"/>
    <n v="161.37"/>
    <n v="965.5"/>
    <n v="1126.8699999999999"/>
    <n v="1.42"/>
    <n v="29"/>
    <n v="0"/>
    <n v="995"/>
    <n v="337.26"/>
    <n v="62.47"/>
    <n v="69.650000000000006"/>
    <n v="41.7"/>
    <n v="4.8"/>
    <n v="380048"/>
    <n v="9822"/>
    <n v="389870"/>
    <n v="62158"/>
    <n v="69302"/>
    <n v="479"/>
    <n v="46990"/>
    <n v="5409"/>
    <n v="574208"/>
    <n v="71518"/>
    <n v="502690"/>
    <n v="278750"/>
    <n v="223940"/>
  </r>
  <r>
    <s v="07"/>
    <x v="2"/>
    <x v="104"/>
    <x v="104"/>
    <n v="83.58"/>
    <n v="657.7"/>
    <n v="741.28"/>
    <n v="0.93"/>
    <n v="21"/>
    <n v="0"/>
    <n v="679"/>
    <n v="337.26"/>
    <n v="62.47"/>
    <n v="69.650000000000006"/>
    <n v="41.7"/>
    <n v="4.8"/>
    <n v="250004"/>
    <n v="0"/>
    <n v="250004"/>
    <n v="42417"/>
    <n v="47292"/>
    <n v="314"/>
    <n v="30911"/>
    <n v="3558"/>
    <n v="374496"/>
    <n v="44032"/>
    <n v="330464"/>
    <n v="186380"/>
    <n v="144084"/>
  </r>
  <r>
    <s v="07"/>
    <x v="2"/>
    <x v="105"/>
    <x v="105"/>
    <n v="2292.63"/>
    <n v="10672.3"/>
    <n v="12964.93"/>
    <n v="16.329999999999998"/>
    <n v="1125"/>
    <n v="12.6"/>
    <n v="11785"/>
    <n v="337.26"/>
    <n v="62.47"/>
    <n v="69.650000000000006"/>
    <n v="41.7"/>
    <n v="4.8"/>
    <n v="4372552"/>
    <n v="0"/>
    <n v="4372552"/>
    <n v="736209"/>
    <n v="820825"/>
    <n v="5507"/>
    <n v="540638"/>
    <n v="62232"/>
    <n v="6537963"/>
    <n v="711482"/>
    <n v="5826481"/>
    <n v="3318441"/>
    <n v="2508040"/>
  </r>
  <r>
    <s v="07"/>
    <x v="2"/>
    <x v="106"/>
    <x v="106"/>
    <n v="278.08999999999997"/>
    <n v="2197.8000000000002"/>
    <n v="2475.89"/>
    <n v="3.12"/>
    <n v="116"/>
    <n v="1.2"/>
    <n v="2313"/>
    <n v="337.26"/>
    <n v="62.47"/>
    <n v="69.650000000000006"/>
    <n v="41.7"/>
    <n v="4.8"/>
    <n v="835019"/>
    <n v="0"/>
    <n v="835019"/>
    <n v="144493"/>
    <n v="161100"/>
    <n v="1052"/>
    <n v="103245"/>
    <n v="11884"/>
    <n v="1256793"/>
    <n v="116224"/>
    <n v="1140569"/>
    <n v="653364"/>
    <n v="487205"/>
  </r>
  <r>
    <s v="07"/>
    <x v="2"/>
    <x v="107"/>
    <x v="107"/>
    <n v="108.15"/>
    <n v="763.8"/>
    <n v="871.95"/>
    <n v="1.1000000000000001"/>
    <n v="53"/>
    <n v="0"/>
    <n v="817"/>
    <n v="337.26"/>
    <n v="62.47"/>
    <n v="69.650000000000006"/>
    <n v="41.7"/>
    <n v="4.8"/>
    <n v="294074"/>
    <n v="0"/>
    <n v="294074"/>
    <n v="51038"/>
    <n v="56904"/>
    <n v="371"/>
    <n v="36360"/>
    <n v="4185"/>
    <n v="442932"/>
    <n v="58114"/>
    <n v="384818"/>
    <n v="212916"/>
    <n v="171902"/>
  </r>
  <r>
    <s v="07"/>
    <x v="2"/>
    <x v="108"/>
    <x v="108"/>
    <n v="41.73"/>
    <n v="559.29999999999995"/>
    <n v="601.03"/>
    <n v="0.76"/>
    <n v="8"/>
    <n v="0"/>
    <n v="567"/>
    <n v="337.26"/>
    <n v="62.47"/>
    <n v="69.650000000000006"/>
    <n v="41.7"/>
    <n v="4.8"/>
    <n v="202703"/>
    <n v="0"/>
    <n v="202703"/>
    <n v="35420"/>
    <n v="39492"/>
    <n v="256"/>
    <n v="25063"/>
    <n v="2885"/>
    <n v="305819"/>
    <n v="42031"/>
    <n v="263788"/>
    <n v="144790"/>
    <n v="118998"/>
  </r>
  <r>
    <s v="07"/>
    <x v="2"/>
    <x v="109"/>
    <x v="109"/>
    <n v="74.59"/>
    <n v="786.7"/>
    <n v="861.29"/>
    <n v="1.0900000000000001"/>
    <n v="2"/>
    <n v="0"/>
    <n v="789"/>
    <n v="337.26"/>
    <n v="62.47"/>
    <n v="69.650000000000006"/>
    <n v="41.7"/>
    <n v="4.8"/>
    <n v="290479"/>
    <n v="4284"/>
    <n v="294763"/>
    <n v="49289"/>
    <n v="54954"/>
    <n v="368"/>
    <n v="36435"/>
    <n v="4190"/>
    <n v="439999"/>
    <n v="51207"/>
    <n v="388792"/>
    <n v="217086"/>
    <n v="171706"/>
  </r>
  <r>
    <s v="09"/>
    <x v="3"/>
    <x v="110"/>
    <x v="110"/>
    <n v="26.1"/>
    <n v="233"/>
    <n v="259.10000000000002"/>
    <n v="0"/>
    <n v="22"/>
    <n v="0"/>
    <n v="255"/>
    <n v="334.9"/>
    <n v="61.98"/>
    <n v="67.73"/>
    <n v="30.77"/>
    <n v="3.61"/>
    <n v="86773"/>
    <n v="6558"/>
    <n v="93331"/>
    <n v="15805"/>
    <n v="17271"/>
    <n v="0"/>
    <n v="7973"/>
    <n v="935"/>
    <n v="135315"/>
    <n v="21507"/>
    <n v="113808"/>
    <n v="55803"/>
    <n v="58005"/>
  </r>
  <r>
    <s v="09"/>
    <x v="3"/>
    <x v="111"/>
    <x v="111"/>
    <n v="52.79"/>
    <n v="631.70000000000005"/>
    <n v="684.49"/>
    <n v="0"/>
    <n v="169"/>
    <n v="0"/>
    <n v="801"/>
    <n v="334.9"/>
    <n v="61.98"/>
    <n v="67.73"/>
    <n v="30.77"/>
    <n v="3.61"/>
    <n v="229236"/>
    <n v="0"/>
    <n v="229236"/>
    <n v="49646"/>
    <n v="54252"/>
    <n v="0"/>
    <n v="21062"/>
    <n v="2471"/>
    <n v="356667"/>
    <n v="43547"/>
    <n v="313120"/>
    <n v="160691"/>
    <n v="152429"/>
  </r>
  <r>
    <s v="09"/>
    <x v="3"/>
    <x v="112"/>
    <x v="112"/>
    <n v="22.62"/>
    <n v="175.2"/>
    <n v="197.82"/>
    <n v="0"/>
    <n v="0"/>
    <n v="0"/>
    <n v="175"/>
    <n v="334.9"/>
    <n v="61.98"/>
    <n v="67.73"/>
    <n v="30.77"/>
    <n v="3.61"/>
    <n v="66250"/>
    <n v="6537"/>
    <n v="72787"/>
    <n v="10847"/>
    <n v="11853"/>
    <n v="0"/>
    <n v="6211"/>
    <n v="728"/>
    <n v="102426"/>
    <n v="15152"/>
    <n v="87274"/>
    <n v="44011"/>
    <n v="43263"/>
  </r>
  <r>
    <s v="09"/>
    <x v="3"/>
    <x v="113"/>
    <x v="113"/>
    <n v="541.84"/>
    <n v="4017.2"/>
    <n v="4559.04"/>
    <n v="0"/>
    <n v="285"/>
    <n v="0"/>
    <n v="4302"/>
    <n v="334.9"/>
    <n v="61.98"/>
    <n v="67.73"/>
    <n v="30.77"/>
    <n v="3.61"/>
    <n v="1526822"/>
    <n v="0"/>
    <n v="1526822"/>
    <n v="266638"/>
    <n v="291374"/>
    <n v="0"/>
    <n v="140282"/>
    <n v="16458"/>
    <n v="2241574"/>
    <n v="244032"/>
    <n v="1997542"/>
    <n v="1116295"/>
    <n v="881247"/>
  </r>
  <r>
    <s v="09"/>
    <x v="3"/>
    <x v="114"/>
    <x v="114"/>
    <n v="46.84"/>
    <n v="381.3"/>
    <n v="428.14"/>
    <n v="0"/>
    <n v="3"/>
    <n v="0"/>
    <n v="384"/>
    <n v="334.9"/>
    <n v="61.98"/>
    <n v="67.73"/>
    <n v="30.77"/>
    <n v="3.61"/>
    <n v="143384"/>
    <n v="12335"/>
    <n v="155719"/>
    <n v="23800"/>
    <n v="26008"/>
    <n v="0"/>
    <n v="13174"/>
    <n v="1546"/>
    <n v="220247"/>
    <n v="31925"/>
    <n v="188322"/>
    <n v="95824"/>
    <n v="92498"/>
  </r>
  <r>
    <s v="09"/>
    <x v="3"/>
    <x v="115"/>
    <x v="115"/>
    <n v="100.49"/>
    <n v="854.3"/>
    <n v="954.79"/>
    <n v="0"/>
    <n v="15"/>
    <n v="0"/>
    <n v="869"/>
    <n v="334.9"/>
    <n v="61.98"/>
    <n v="67.73"/>
    <n v="30.77"/>
    <n v="3.61"/>
    <n v="319759"/>
    <n v="0"/>
    <n v="319759"/>
    <n v="53861"/>
    <n v="58857"/>
    <n v="0"/>
    <n v="29379"/>
    <n v="3447"/>
    <n v="465303"/>
    <n v="54161"/>
    <n v="411142"/>
    <n v="230730"/>
    <n v="180412"/>
  </r>
  <r>
    <s v="09"/>
    <x v="3"/>
    <x v="116"/>
    <x v="116"/>
    <n v="189.48"/>
    <n v="1452.9"/>
    <n v="1642.38"/>
    <n v="0"/>
    <n v="148"/>
    <n v="0.1"/>
    <n v="1601"/>
    <n v="334.9"/>
    <n v="61.98"/>
    <n v="67.73"/>
    <n v="30.77"/>
    <n v="3.61"/>
    <n v="550033"/>
    <n v="0"/>
    <n v="550033"/>
    <n v="99230"/>
    <n v="108436"/>
    <n v="0"/>
    <n v="50536"/>
    <n v="5929"/>
    <n v="814164"/>
    <n v="101527"/>
    <n v="712637"/>
    <n v="388526"/>
    <n v="324111"/>
  </r>
  <r>
    <s v="09"/>
    <x v="3"/>
    <x v="117"/>
    <x v="117"/>
    <n v="814.18"/>
    <n v="3604.2"/>
    <n v="4418.38"/>
    <n v="0"/>
    <n v="163"/>
    <n v="0"/>
    <n v="3767"/>
    <n v="334.9"/>
    <n v="61.98"/>
    <n v="67.73"/>
    <n v="30.77"/>
    <n v="3.61"/>
    <n v="1479715"/>
    <n v="0"/>
    <n v="1479715"/>
    <n v="233479"/>
    <n v="255139"/>
    <n v="0"/>
    <n v="135954"/>
    <n v="15950"/>
    <n v="2120237"/>
    <n v="287940"/>
    <n v="1832297"/>
    <n v="1030416"/>
    <n v="801881"/>
  </r>
  <r>
    <s v="09"/>
    <x v="3"/>
    <x v="118"/>
    <x v="118"/>
    <n v="105.21"/>
    <n v="741.9"/>
    <n v="847.11"/>
    <n v="0"/>
    <n v="0"/>
    <n v="0"/>
    <n v="742"/>
    <n v="334.9"/>
    <n v="61.98"/>
    <n v="67.73"/>
    <n v="30.77"/>
    <n v="3.61"/>
    <n v="283697"/>
    <n v="15376"/>
    <n v="299073"/>
    <n v="45989"/>
    <n v="50256"/>
    <n v="0"/>
    <n v="26075"/>
    <n v="3058"/>
    <n v="424451"/>
    <n v="63439"/>
    <n v="361012"/>
    <n v="189331"/>
    <n v="171681"/>
  </r>
  <r>
    <s v="09"/>
    <x v="3"/>
    <x v="119"/>
    <x v="119"/>
    <n v="2410.86"/>
    <n v="14164.5"/>
    <n v="16575.36"/>
    <n v="0"/>
    <n v="1650"/>
    <n v="2.2000000000000002"/>
    <n v="15812"/>
    <n v="334.9"/>
    <n v="61.98"/>
    <n v="67.73"/>
    <n v="30.77"/>
    <n v="3.61"/>
    <n v="5551088"/>
    <n v="51920"/>
    <n v="5603008"/>
    <n v="980028"/>
    <n v="1070947"/>
    <n v="0"/>
    <n v="510024"/>
    <n v="59837"/>
    <n v="8223844"/>
    <n v="1050693"/>
    <n v="7173151"/>
    <n v="3895063"/>
    <n v="3278088"/>
  </r>
  <r>
    <s v="09"/>
    <x v="3"/>
    <x v="120"/>
    <x v="120"/>
    <n v="26.51"/>
    <n v="200"/>
    <n v="226.51"/>
    <n v="0"/>
    <n v="0"/>
    <n v="0"/>
    <n v="200"/>
    <n v="334.9"/>
    <n v="61.98"/>
    <n v="67.73"/>
    <n v="30.77"/>
    <n v="3.61"/>
    <n v="75858"/>
    <n v="0"/>
    <n v="75858"/>
    <n v="12396"/>
    <n v="13546"/>
    <n v="0"/>
    <n v="6970"/>
    <n v="818"/>
    <n v="109588"/>
    <n v="17235"/>
    <n v="92353"/>
    <n v="50352"/>
    <n v="42001"/>
  </r>
  <r>
    <s v="09"/>
    <x v="3"/>
    <x v="121"/>
    <x v="121"/>
    <n v="54.6"/>
    <n v="503.5"/>
    <n v="558.1"/>
    <n v="0"/>
    <n v="9"/>
    <n v="0"/>
    <n v="513"/>
    <n v="334.9"/>
    <n v="61.98"/>
    <n v="67.73"/>
    <n v="30.77"/>
    <n v="3.61"/>
    <n v="186908"/>
    <n v="6132"/>
    <n v="193040"/>
    <n v="31796"/>
    <n v="34745"/>
    <n v="0"/>
    <n v="17546"/>
    <n v="2057"/>
    <n v="279184"/>
    <n v="36288"/>
    <n v="242896"/>
    <n v="130653"/>
    <n v="112243"/>
  </r>
  <r>
    <s v="09"/>
    <x v="3"/>
    <x v="122"/>
    <x v="122"/>
    <n v="113.73"/>
    <n v="549.6"/>
    <n v="663.33"/>
    <n v="0"/>
    <n v="3"/>
    <n v="2.6"/>
    <n v="550"/>
    <n v="334.9"/>
    <n v="61.98"/>
    <n v="67.73"/>
    <n v="30.77"/>
    <n v="3.61"/>
    <n v="222149"/>
    <n v="0"/>
    <n v="222149"/>
    <n v="34089"/>
    <n v="37252"/>
    <n v="0"/>
    <n v="20411"/>
    <n v="2395"/>
    <n v="316296"/>
    <n v="46849"/>
    <n v="269447"/>
    <n v="151076"/>
    <n v="118371"/>
  </r>
  <r>
    <s v="09"/>
    <x v="3"/>
    <x v="123"/>
    <x v="123"/>
    <n v="76.260000000000005"/>
    <n v="687.2"/>
    <n v="763.46"/>
    <n v="0"/>
    <n v="3"/>
    <n v="0"/>
    <n v="690"/>
    <n v="334.9"/>
    <n v="61.98"/>
    <n v="67.73"/>
    <n v="30.77"/>
    <n v="3.61"/>
    <n v="255683"/>
    <n v="0"/>
    <n v="255683"/>
    <n v="42766"/>
    <n v="46734"/>
    <n v="0"/>
    <n v="23492"/>
    <n v="2756"/>
    <n v="371431"/>
    <n v="51617"/>
    <n v="319814"/>
    <n v="176184"/>
    <n v="143630"/>
  </r>
  <r>
    <s v="09"/>
    <x v="3"/>
    <x v="124"/>
    <x v="124"/>
    <n v="282.3"/>
    <n v="1200"/>
    <n v="1482.3"/>
    <n v="0"/>
    <n v="128"/>
    <n v="0.1"/>
    <n v="1328"/>
    <n v="334.9"/>
    <n v="61.98"/>
    <n v="67.73"/>
    <n v="30.77"/>
    <n v="3.61"/>
    <n v="496422"/>
    <n v="4944"/>
    <n v="501366"/>
    <n v="82309"/>
    <n v="89945"/>
    <n v="0"/>
    <n v="45610"/>
    <n v="5351"/>
    <n v="724581"/>
    <n v="97359"/>
    <n v="627222"/>
    <n v="344929"/>
    <n v="282293"/>
  </r>
  <r>
    <s v="09"/>
    <x v="3"/>
    <x v="125"/>
    <x v="125"/>
    <n v="673.58"/>
    <n v="4574.8"/>
    <n v="5248.38"/>
    <n v="0"/>
    <n v="207"/>
    <n v="0"/>
    <n v="4782"/>
    <n v="334.9"/>
    <n v="61.98"/>
    <n v="67.73"/>
    <n v="30.77"/>
    <n v="3.61"/>
    <n v="1757682"/>
    <n v="0"/>
    <n v="1757682"/>
    <n v="296388"/>
    <n v="323885"/>
    <n v="0"/>
    <n v="161493"/>
    <n v="18947"/>
    <n v="2558395"/>
    <n v="333204"/>
    <n v="2225191"/>
    <n v="1232808"/>
    <n v="992383"/>
  </r>
  <r>
    <s v="09"/>
    <x v="3"/>
    <x v="126"/>
    <x v="126"/>
    <n v="305.64999999999998"/>
    <n v="3097.6"/>
    <n v="3403.25"/>
    <n v="0"/>
    <n v="44"/>
    <n v="0"/>
    <n v="3142"/>
    <n v="334.9"/>
    <n v="61.98"/>
    <n v="67.73"/>
    <n v="30.77"/>
    <n v="3.61"/>
    <n v="1139748"/>
    <n v="0"/>
    <n v="1139748"/>
    <n v="194741"/>
    <n v="212808"/>
    <n v="0"/>
    <n v="104718"/>
    <n v="12286"/>
    <n v="1664301"/>
    <n v="171716"/>
    <n v="1492585"/>
    <n v="843746"/>
    <n v="648839"/>
  </r>
  <r>
    <s v="09"/>
    <x v="3"/>
    <x v="127"/>
    <x v="127"/>
    <n v="64.44"/>
    <n v="527"/>
    <n v="591.44000000000005"/>
    <n v="0"/>
    <n v="3"/>
    <n v="0"/>
    <n v="530"/>
    <n v="334.9"/>
    <n v="61.98"/>
    <n v="67.73"/>
    <n v="30.77"/>
    <n v="3.61"/>
    <n v="198073"/>
    <n v="0"/>
    <n v="198073"/>
    <n v="32849"/>
    <n v="35897"/>
    <n v="0"/>
    <n v="18199"/>
    <n v="2135"/>
    <n v="287153"/>
    <n v="40448"/>
    <n v="246705"/>
    <n v="136026"/>
    <n v="110679"/>
  </r>
  <r>
    <s v="09"/>
    <x v="3"/>
    <x v="128"/>
    <x v="128"/>
    <n v="439.78"/>
    <n v="5556.8"/>
    <n v="5996.58"/>
    <n v="0"/>
    <n v="132"/>
    <n v="0"/>
    <n v="5689"/>
    <n v="334.9"/>
    <n v="61.98"/>
    <n v="67.73"/>
    <n v="30.77"/>
    <n v="3.61"/>
    <n v="2008255"/>
    <n v="0"/>
    <n v="2008255"/>
    <n v="352604"/>
    <n v="385316"/>
    <n v="0"/>
    <n v="184515"/>
    <n v="21648"/>
    <n v="2952338"/>
    <n v="178615"/>
    <n v="2773723"/>
    <n v="1610645"/>
    <n v="1163078"/>
  </r>
  <r>
    <s v="09"/>
    <x v="3"/>
    <x v="129"/>
    <x v="129"/>
    <n v="129.12"/>
    <n v="1235.0999999999999"/>
    <n v="1364.22"/>
    <n v="0"/>
    <n v="5"/>
    <n v="0"/>
    <n v="1240"/>
    <n v="334.9"/>
    <n v="61.98"/>
    <n v="67.73"/>
    <n v="30.77"/>
    <n v="3.61"/>
    <n v="456877"/>
    <n v="0"/>
    <n v="456877"/>
    <n v="76855"/>
    <n v="83985"/>
    <n v="0"/>
    <n v="41977"/>
    <n v="4925"/>
    <n v="664619"/>
    <n v="67734"/>
    <n v="596885"/>
    <n v="339322"/>
    <n v="257563"/>
  </r>
  <r>
    <s v="09"/>
    <x v="3"/>
    <x v="130"/>
    <x v="130"/>
    <n v="92.79"/>
    <n v="851.9"/>
    <n v="944.69"/>
    <n v="0"/>
    <n v="0"/>
    <n v="0"/>
    <n v="852"/>
    <n v="334.9"/>
    <n v="61.98"/>
    <n v="67.73"/>
    <n v="30.77"/>
    <n v="3.61"/>
    <n v="316377"/>
    <n v="0"/>
    <n v="316377"/>
    <n v="52807"/>
    <n v="57706"/>
    <n v="0"/>
    <n v="29068"/>
    <n v="3410"/>
    <n v="459368"/>
    <n v="53251"/>
    <n v="406117"/>
    <n v="228625"/>
    <n v="177492"/>
  </r>
  <r>
    <s v="10"/>
    <x v="4"/>
    <x v="131"/>
    <x v="131"/>
    <n v="35.619999999999997"/>
    <n v="526.5"/>
    <n v="562.12"/>
    <n v="0.65"/>
    <n v="22"/>
    <n v="0"/>
    <n v="549"/>
    <n v="332.98"/>
    <n v="62.16"/>
    <n v="68.33"/>
    <n v="31.52"/>
    <n v="3.67"/>
    <n v="187175"/>
    <n v="0"/>
    <n v="187175"/>
    <n v="34126"/>
    <n v="37513"/>
    <n v="216"/>
    <n v="17718"/>
    <n v="2063"/>
    <n v="278811"/>
    <n v="37096"/>
    <n v="241715"/>
    <n v="131256"/>
    <n v="110459"/>
  </r>
  <r>
    <s v="10"/>
    <x v="4"/>
    <x v="132"/>
    <x v="132"/>
    <n v="127.88"/>
    <n v="1256.0999999999999"/>
    <n v="1383.98"/>
    <n v="1.6"/>
    <n v="55"/>
    <n v="0"/>
    <n v="1311"/>
    <n v="332.98"/>
    <n v="62.16"/>
    <n v="68.33"/>
    <n v="31.52"/>
    <n v="3.67"/>
    <n v="460838"/>
    <n v="0"/>
    <n v="460838"/>
    <n v="81492"/>
    <n v="89581"/>
    <n v="533"/>
    <n v="43623"/>
    <n v="5079"/>
    <n v="681146"/>
    <n v="78995"/>
    <n v="602151"/>
    <n v="335500"/>
    <n v="266651"/>
  </r>
  <r>
    <s v="10"/>
    <x v="4"/>
    <x v="133"/>
    <x v="133"/>
    <n v="47.09"/>
    <n v="472.7"/>
    <n v="519.79"/>
    <n v="0.6"/>
    <n v="11"/>
    <n v="0"/>
    <n v="484"/>
    <n v="332.98"/>
    <n v="62.16"/>
    <n v="68.33"/>
    <n v="31.52"/>
    <n v="3.67"/>
    <n v="173080"/>
    <n v="1248"/>
    <n v="174328"/>
    <n v="30085"/>
    <n v="33072"/>
    <n v="200"/>
    <n v="16384"/>
    <n v="1908"/>
    <n v="255977"/>
    <n v="44734"/>
    <n v="211243"/>
    <n v="110941"/>
    <n v="100302"/>
  </r>
  <r>
    <s v="10"/>
    <x v="4"/>
    <x v="134"/>
    <x v="134"/>
    <n v="150.97"/>
    <n v="1537.7"/>
    <n v="1688.67"/>
    <n v="1.95"/>
    <n v="105"/>
    <n v="0.3"/>
    <n v="1642"/>
    <n v="332.98"/>
    <n v="62.16"/>
    <n v="68.33"/>
    <n v="31.52"/>
    <n v="3.67"/>
    <n v="562293"/>
    <n v="0"/>
    <n v="562293"/>
    <n v="102067"/>
    <n v="112198"/>
    <n v="649"/>
    <n v="53227"/>
    <n v="6197"/>
    <n v="836631"/>
    <n v="104406"/>
    <n v="732225"/>
    <n v="401342"/>
    <n v="330883"/>
  </r>
  <r>
    <s v="10"/>
    <x v="4"/>
    <x v="135"/>
    <x v="135"/>
    <n v="2434.7399999999998"/>
    <n v="15959.3"/>
    <n v="18394.04"/>
    <n v="21.28"/>
    <n v="1842"/>
    <n v="10.7"/>
    <n v="17791"/>
    <n v="332.98"/>
    <n v="62.16"/>
    <n v="68.33"/>
    <n v="31.52"/>
    <n v="3.67"/>
    <n v="6124847"/>
    <n v="0"/>
    <n v="6124847"/>
    <n v="1105889"/>
    <n v="1215659"/>
    <n v="7086"/>
    <n v="579780"/>
    <n v="67506"/>
    <n v="9100767"/>
    <n v="1111818"/>
    <n v="7988949"/>
    <n v="4397112"/>
    <n v="3591837"/>
  </r>
  <r>
    <s v="10"/>
    <x v="4"/>
    <x v="136"/>
    <x v="136"/>
    <n v="102.26"/>
    <n v="1201.9000000000001"/>
    <n v="1304.1600000000001"/>
    <n v="1.51"/>
    <n v="8"/>
    <n v="0"/>
    <n v="1210"/>
    <n v="332.98"/>
    <n v="62.16"/>
    <n v="68.33"/>
    <n v="31.52"/>
    <n v="3.67"/>
    <n v="434259"/>
    <n v="27534"/>
    <n v="461793"/>
    <n v="75214"/>
    <n v="82679"/>
    <n v="503"/>
    <n v="41920"/>
    <n v="4876"/>
    <n v="666985"/>
    <n v="61387"/>
    <n v="605598"/>
    <n v="330106"/>
    <n v="275492"/>
  </r>
  <r>
    <s v="10"/>
    <x v="4"/>
    <x v="137"/>
    <x v="137"/>
    <n v="36.35"/>
    <n v="434.4"/>
    <n v="470.75"/>
    <n v="0.54"/>
    <n v="8"/>
    <n v="0"/>
    <n v="442"/>
    <n v="332.98"/>
    <n v="62.16"/>
    <n v="68.33"/>
    <n v="31.52"/>
    <n v="3.67"/>
    <n v="156750"/>
    <n v="8158"/>
    <n v="164908"/>
    <n v="27475"/>
    <n v="30202"/>
    <n v="180"/>
    <n v="15398"/>
    <n v="1791"/>
    <n v="239954"/>
    <n v="31232"/>
    <n v="208722"/>
    <n v="110378"/>
    <n v="98344"/>
  </r>
  <r>
    <s v="10"/>
    <x v="4"/>
    <x v="138"/>
    <x v="138"/>
    <n v="360.18"/>
    <n v="2937.9"/>
    <n v="3298.08"/>
    <n v="3.81"/>
    <n v="34"/>
    <n v="0"/>
    <n v="2972"/>
    <n v="332.98"/>
    <n v="62.16"/>
    <n v="68.33"/>
    <n v="31.52"/>
    <n v="3.67"/>
    <n v="1098195"/>
    <n v="0"/>
    <n v="1098195"/>
    <n v="184740"/>
    <n v="203077"/>
    <n v="1269"/>
    <n v="103955"/>
    <n v="12104"/>
    <n v="1603340"/>
    <n v="71853"/>
    <n v="1531487"/>
    <n v="915905"/>
    <n v="615582"/>
  </r>
  <r>
    <s v="10"/>
    <x v="4"/>
    <x v="139"/>
    <x v="139"/>
    <n v="635.92999999999995"/>
    <n v="5147.8999999999996"/>
    <n v="5783.83"/>
    <n v="6.69"/>
    <n v="130"/>
    <n v="0"/>
    <n v="5278"/>
    <n v="332.98"/>
    <n v="62.16"/>
    <n v="68.33"/>
    <n v="31.52"/>
    <n v="3.67"/>
    <n v="1925900"/>
    <n v="0"/>
    <n v="1925900"/>
    <n v="328080"/>
    <n v="360646"/>
    <n v="2228"/>
    <n v="182306"/>
    <n v="21227"/>
    <n v="2820387"/>
    <n v="187174"/>
    <n v="2633213"/>
    <n v="1545056"/>
    <n v="1088157"/>
  </r>
  <r>
    <s v="10"/>
    <x v="4"/>
    <x v="140"/>
    <x v="140"/>
    <n v="50.28"/>
    <n v="462"/>
    <n v="512.28"/>
    <n v="0.59"/>
    <n v="6"/>
    <n v="0"/>
    <n v="468"/>
    <n v="332.98"/>
    <n v="62.16"/>
    <n v="68.33"/>
    <n v="31.52"/>
    <n v="3.67"/>
    <n v="170579"/>
    <n v="4607"/>
    <n v="175186"/>
    <n v="29091"/>
    <n v="31978"/>
    <n v="196"/>
    <n v="16441"/>
    <n v="1912"/>
    <n v="254804"/>
    <n v="41379"/>
    <n v="213425"/>
    <n v="112372"/>
    <n v="101053"/>
  </r>
  <r>
    <s v="10"/>
    <x v="4"/>
    <x v="141"/>
    <x v="141"/>
    <n v="39.54"/>
    <n v="313.3"/>
    <n v="352.84"/>
    <n v="0.45"/>
    <n v="7"/>
    <n v="0"/>
    <n v="320"/>
    <n v="332.98"/>
    <n v="62.16"/>
    <n v="68.33"/>
    <n v="31.52"/>
    <n v="3.67"/>
    <n v="117489"/>
    <n v="3207"/>
    <n v="120696"/>
    <n v="19891"/>
    <n v="21866"/>
    <n v="150"/>
    <n v="11222"/>
    <n v="1305"/>
    <n v="175130"/>
    <n v="26035"/>
    <n v="149095"/>
    <n v="79761"/>
    <n v="69334"/>
  </r>
  <r>
    <s v="10"/>
    <x v="4"/>
    <x v="142"/>
    <x v="142"/>
    <n v="57.16"/>
    <n v="583"/>
    <n v="640.16"/>
    <n v="0.74"/>
    <n v="13"/>
    <n v="0"/>
    <n v="596"/>
    <n v="332.98"/>
    <n v="62.16"/>
    <n v="68.33"/>
    <n v="31.52"/>
    <n v="3.67"/>
    <n v="213160"/>
    <n v="668"/>
    <n v="213828"/>
    <n v="37047"/>
    <n v="40725"/>
    <n v="246"/>
    <n v="20178"/>
    <n v="2349"/>
    <n v="314373"/>
    <n v="37800"/>
    <n v="276573"/>
    <n v="153925"/>
    <n v="122648"/>
  </r>
  <r>
    <s v="10"/>
    <x v="4"/>
    <x v="143"/>
    <x v="143"/>
    <n v="1584.14"/>
    <n v="14439.8"/>
    <n v="16023.94"/>
    <n v="18.54"/>
    <n v="1139"/>
    <n v="9.6"/>
    <n v="15569"/>
    <n v="332.98"/>
    <n v="62.16"/>
    <n v="68.33"/>
    <n v="31.52"/>
    <n v="3.67"/>
    <n v="5335652"/>
    <n v="0"/>
    <n v="5335652"/>
    <n v="967769"/>
    <n v="1063830"/>
    <n v="6173"/>
    <n v="505075"/>
    <n v="58808"/>
    <n v="7937307"/>
    <n v="637927"/>
    <n v="7299380"/>
    <n v="4161171"/>
    <n v="3138209"/>
  </r>
  <r>
    <s v="10"/>
    <x v="4"/>
    <x v="144"/>
    <x v="144"/>
    <n v="51.44"/>
    <n v="500"/>
    <n v="551.44000000000005"/>
    <n v="0.64"/>
    <n v="4"/>
    <n v="0"/>
    <n v="504"/>
    <n v="332.98"/>
    <n v="62.16"/>
    <n v="68.33"/>
    <n v="31.52"/>
    <n v="3.67"/>
    <n v="183618"/>
    <n v="3990"/>
    <n v="187608"/>
    <n v="31329"/>
    <n v="34438"/>
    <n v="213"/>
    <n v="17381"/>
    <n v="2024"/>
    <n v="272993"/>
    <n v="40646"/>
    <n v="232347"/>
    <n v="124508"/>
    <n v="107839"/>
  </r>
  <r>
    <s v="10"/>
    <x v="4"/>
    <x v="145"/>
    <x v="145"/>
    <n v="807.41"/>
    <n v="7685.5"/>
    <n v="8492.91"/>
    <n v="9.83"/>
    <n v="446"/>
    <n v="0"/>
    <n v="8132"/>
    <n v="332.98"/>
    <n v="62.16"/>
    <n v="68.33"/>
    <n v="31.52"/>
    <n v="3.67"/>
    <n v="2827969"/>
    <n v="0"/>
    <n v="2827969"/>
    <n v="505485"/>
    <n v="555660"/>
    <n v="3273"/>
    <n v="267697"/>
    <n v="31169"/>
    <n v="4191253"/>
    <n v="297570"/>
    <n v="3893683"/>
    <n v="2246019"/>
    <n v="1647664"/>
  </r>
  <r>
    <s v="10"/>
    <x v="4"/>
    <x v="146"/>
    <x v="146"/>
    <n v="63.76"/>
    <n v="671.1"/>
    <n v="734.86"/>
    <n v="0.85"/>
    <n v="10"/>
    <n v="0"/>
    <n v="681"/>
    <n v="332.98"/>
    <n v="62.16"/>
    <n v="68.33"/>
    <n v="31.52"/>
    <n v="3.67"/>
    <n v="244694"/>
    <n v="0"/>
    <n v="244694"/>
    <n v="42331"/>
    <n v="46533"/>
    <n v="283"/>
    <n v="23163"/>
    <n v="2697"/>
    <n v="359701"/>
    <n v="36156"/>
    <n v="323545"/>
    <n v="183931"/>
    <n v="139614"/>
  </r>
  <r>
    <s v="10"/>
    <x v="4"/>
    <x v="147"/>
    <x v="147"/>
    <n v="30.28"/>
    <n v="316.8"/>
    <n v="347.08"/>
    <n v="0.4"/>
    <n v="3"/>
    <n v="0"/>
    <n v="320"/>
    <n v="332.98"/>
    <n v="62.16"/>
    <n v="68.33"/>
    <n v="31.52"/>
    <n v="3.67"/>
    <n v="115571"/>
    <n v="13027"/>
    <n v="128598"/>
    <n v="19891"/>
    <n v="21866"/>
    <n v="133"/>
    <n v="11252"/>
    <n v="1309"/>
    <n v="183049"/>
    <n v="24335"/>
    <n v="158714"/>
    <n v="79961"/>
    <n v="78753"/>
  </r>
  <r>
    <s v="10"/>
    <x v="4"/>
    <x v="148"/>
    <x v="148"/>
    <n v="270.05"/>
    <n v="1797.6"/>
    <n v="2067.65"/>
    <n v="2.39"/>
    <n v="88"/>
    <n v="0.5"/>
    <n v="1885"/>
    <n v="332.98"/>
    <n v="62.16"/>
    <n v="68.33"/>
    <n v="31.52"/>
    <n v="3.67"/>
    <n v="688486"/>
    <n v="507"/>
    <n v="688993"/>
    <n v="117172"/>
    <n v="128802"/>
    <n v="796"/>
    <n v="65172"/>
    <n v="7588"/>
    <n v="1008523"/>
    <n v="105330"/>
    <n v="903193"/>
    <n v="513921"/>
    <n v="389272"/>
  </r>
  <r>
    <s v="10"/>
    <x v="4"/>
    <x v="149"/>
    <x v="149"/>
    <n v="150"/>
    <n v="1227.9000000000001"/>
    <n v="1377.9"/>
    <n v="1.59"/>
    <n v="30"/>
    <n v="0.6"/>
    <n v="1257"/>
    <n v="332.98"/>
    <n v="62.16"/>
    <n v="68.33"/>
    <n v="31.52"/>
    <n v="3.67"/>
    <n v="458813"/>
    <n v="0"/>
    <n v="458813"/>
    <n v="78135"/>
    <n v="85891"/>
    <n v="529"/>
    <n v="43431"/>
    <n v="5057"/>
    <n v="671856"/>
    <n v="72443"/>
    <n v="599413"/>
    <n v="340230"/>
    <n v="259183"/>
  </r>
  <r>
    <s v="10"/>
    <x v="4"/>
    <x v="150"/>
    <x v="150"/>
    <n v="75.94"/>
    <n v="501.8"/>
    <n v="577.74"/>
    <n v="0.67"/>
    <n v="6"/>
    <n v="0"/>
    <n v="508"/>
    <n v="332.98"/>
    <n v="62.16"/>
    <n v="68.33"/>
    <n v="31.52"/>
    <n v="3.67"/>
    <n v="192376"/>
    <n v="921"/>
    <n v="193297"/>
    <n v="31577"/>
    <n v="34712"/>
    <n v="223"/>
    <n v="18250"/>
    <n v="2123"/>
    <n v="280182"/>
    <n v="46331"/>
    <n v="233851"/>
    <n v="126742"/>
    <n v="107109"/>
  </r>
  <r>
    <s v="10"/>
    <x v="4"/>
    <x v="151"/>
    <x v="151"/>
    <n v="123.18"/>
    <n v="969.2"/>
    <n v="1092.3800000000001"/>
    <n v="1.26"/>
    <n v="75"/>
    <n v="2.1"/>
    <n v="1042"/>
    <n v="332.98"/>
    <n v="62.16"/>
    <n v="68.33"/>
    <n v="31.52"/>
    <n v="3.67"/>
    <n v="363741"/>
    <n v="0"/>
    <n v="363741"/>
    <n v="64771"/>
    <n v="71200"/>
    <n v="420"/>
    <n v="34432"/>
    <n v="4009"/>
    <n v="538573"/>
    <n v="63278"/>
    <n v="475295"/>
    <n v="263884"/>
    <n v="211411"/>
  </r>
  <r>
    <s v="10"/>
    <x v="4"/>
    <x v="152"/>
    <x v="152"/>
    <n v="94.4"/>
    <n v="1111.2"/>
    <n v="1205.5999999999999"/>
    <n v="1.39"/>
    <n v="26"/>
    <n v="0"/>
    <n v="1137"/>
    <n v="332.98"/>
    <n v="62.16"/>
    <n v="68.33"/>
    <n v="31.52"/>
    <n v="3.67"/>
    <n v="401441"/>
    <n v="0"/>
    <n v="401441"/>
    <n v="70676"/>
    <n v="77691"/>
    <n v="463"/>
    <n v="38001"/>
    <n v="4425"/>
    <n v="592697"/>
    <n v="60362"/>
    <n v="532335"/>
    <n v="300709"/>
    <n v="231626"/>
  </r>
  <r>
    <s v="10"/>
    <x v="4"/>
    <x v="153"/>
    <x v="153"/>
    <n v="116.14"/>
    <n v="725.8"/>
    <n v="841.94"/>
    <n v="0.97"/>
    <n v="1"/>
    <n v="0"/>
    <n v="727"/>
    <n v="332.98"/>
    <n v="62.16"/>
    <n v="68.33"/>
    <n v="31.52"/>
    <n v="3.67"/>
    <n v="280349"/>
    <n v="675"/>
    <n v="281024"/>
    <n v="45190"/>
    <n v="49676"/>
    <n v="323"/>
    <n v="26538"/>
    <n v="3090"/>
    <n v="405841"/>
    <n v="58463"/>
    <n v="347378"/>
    <n v="193693"/>
    <n v="153685"/>
  </r>
  <r>
    <s v="10"/>
    <x v="4"/>
    <x v="154"/>
    <x v="154"/>
    <n v="43.25"/>
    <n v="556.9"/>
    <n v="600.15"/>
    <n v="0.69"/>
    <n v="5"/>
    <n v="0"/>
    <n v="562"/>
    <n v="332.98"/>
    <n v="62.16"/>
    <n v="68.33"/>
    <n v="31.52"/>
    <n v="3.67"/>
    <n v="199838"/>
    <n v="15931"/>
    <n v="215769"/>
    <n v="34934"/>
    <n v="38401"/>
    <n v="230"/>
    <n v="18917"/>
    <n v="2203"/>
    <n v="310454"/>
    <n v="45650"/>
    <n v="264804"/>
    <n v="134092"/>
    <n v="130712"/>
  </r>
  <r>
    <s v="10"/>
    <x v="4"/>
    <x v="155"/>
    <x v="155"/>
    <n v="22.59"/>
    <n v="215.5"/>
    <n v="238.09"/>
    <n v="0.28000000000000003"/>
    <n v="5"/>
    <n v="0"/>
    <n v="221"/>
    <n v="332.98"/>
    <n v="62.16"/>
    <n v="68.33"/>
    <n v="31.52"/>
    <n v="3.67"/>
    <n v="79279"/>
    <n v="0"/>
    <n v="79279"/>
    <n v="13737"/>
    <n v="15101"/>
    <n v="93"/>
    <n v="7505"/>
    <n v="874"/>
    <n v="116589"/>
    <n v="19148"/>
    <n v="97441"/>
    <n v="52161"/>
    <n v="45280"/>
  </r>
  <r>
    <s v="10"/>
    <x v="4"/>
    <x v="156"/>
    <x v="156"/>
    <n v="107.47"/>
    <n v="1451.3"/>
    <n v="1558.77"/>
    <n v="1.8"/>
    <n v="15"/>
    <n v="0"/>
    <n v="1466"/>
    <n v="332.98"/>
    <n v="62.16"/>
    <n v="68.33"/>
    <n v="31.52"/>
    <n v="3.67"/>
    <n v="519039"/>
    <n v="0"/>
    <n v="519039"/>
    <n v="91127"/>
    <n v="100172"/>
    <n v="599"/>
    <n v="49132"/>
    <n v="5721"/>
    <n v="765790"/>
    <n v="64457"/>
    <n v="701333"/>
    <n v="402386"/>
    <n v="298947"/>
  </r>
  <r>
    <s v="10"/>
    <x v="4"/>
    <x v="157"/>
    <x v="157"/>
    <n v="37.56"/>
    <n v="406.7"/>
    <n v="444.26"/>
    <n v="0.51"/>
    <n v="11"/>
    <n v="0"/>
    <n v="418"/>
    <n v="332.98"/>
    <n v="62.16"/>
    <n v="68.33"/>
    <n v="31.52"/>
    <n v="3.67"/>
    <n v="147930"/>
    <n v="0"/>
    <n v="147930"/>
    <n v="25983"/>
    <n v="28562"/>
    <n v="170"/>
    <n v="14003"/>
    <n v="1630"/>
    <n v="218278"/>
    <n v="28692"/>
    <n v="189586"/>
    <n v="104360"/>
    <n v="85226"/>
  </r>
  <r>
    <s v="10"/>
    <x v="4"/>
    <x v="158"/>
    <x v="158"/>
    <n v="132.41999999999999"/>
    <n v="828.7"/>
    <n v="961.12"/>
    <n v="1.1100000000000001"/>
    <n v="2"/>
    <n v="0"/>
    <n v="831"/>
    <n v="332.98"/>
    <n v="62.16"/>
    <n v="68.33"/>
    <n v="31.52"/>
    <n v="3.67"/>
    <n v="320034"/>
    <n v="0"/>
    <n v="320034"/>
    <n v="51655"/>
    <n v="56782"/>
    <n v="370"/>
    <n v="30295"/>
    <n v="3527"/>
    <n v="462663"/>
    <n v="50518"/>
    <n v="412145"/>
    <n v="237333"/>
    <n v="174812"/>
  </r>
  <r>
    <s v="10"/>
    <x v="4"/>
    <x v="159"/>
    <x v="159"/>
    <n v="229.97"/>
    <n v="1621.5"/>
    <n v="1851.47"/>
    <n v="2.14"/>
    <n v="10"/>
    <n v="0"/>
    <n v="1632"/>
    <n v="332.98"/>
    <n v="62.16"/>
    <n v="68.33"/>
    <n v="31.52"/>
    <n v="3.67"/>
    <n v="616502"/>
    <n v="0"/>
    <n v="616502"/>
    <n v="101445"/>
    <n v="111515"/>
    <n v="713"/>
    <n v="58358"/>
    <n v="6795"/>
    <n v="895328"/>
    <n v="116097"/>
    <n v="779231"/>
    <n v="438409"/>
    <n v="340822"/>
  </r>
  <r>
    <s v="10"/>
    <x v="4"/>
    <x v="160"/>
    <x v="160"/>
    <n v="215.42"/>
    <n v="1626"/>
    <n v="1841.42"/>
    <n v="2.13"/>
    <n v="77"/>
    <n v="0.4"/>
    <n v="1703"/>
    <n v="332.98"/>
    <n v="62.16"/>
    <n v="68.33"/>
    <n v="31.52"/>
    <n v="3.67"/>
    <n v="613156"/>
    <n v="0"/>
    <n v="613156"/>
    <n v="105858"/>
    <n v="116366"/>
    <n v="709"/>
    <n v="58042"/>
    <n v="6758"/>
    <n v="900889"/>
    <n v="105969"/>
    <n v="794920"/>
    <n v="445528"/>
    <n v="349392"/>
  </r>
  <r>
    <s v="10"/>
    <x v="4"/>
    <x v="161"/>
    <x v="161"/>
    <n v="104.25"/>
    <n v="785.9"/>
    <n v="890.15"/>
    <n v="1.03"/>
    <n v="15"/>
    <n v="0"/>
    <n v="801"/>
    <n v="332.98"/>
    <n v="62.16"/>
    <n v="68.33"/>
    <n v="31.52"/>
    <n v="3.67"/>
    <n v="296402"/>
    <n v="0"/>
    <n v="296402"/>
    <n v="49790"/>
    <n v="54732"/>
    <n v="343"/>
    <n v="28058"/>
    <n v="3267"/>
    <n v="432592"/>
    <n v="46027"/>
    <n v="386565"/>
    <n v="220570"/>
    <n v="165995"/>
  </r>
  <r>
    <s v="10"/>
    <x v="4"/>
    <x v="162"/>
    <x v="162"/>
    <n v="109.24"/>
    <n v="1160.2"/>
    <n v="1269.44"/>
    <n v="1.47"/>
    <n v="77"/>
    <n v="1.3"/>
    <n v="1236"/>
    <n v="332.98"/>
    <n v="62.16"/>
    <n v="68.33"/>
    <n v="31.52"/>
    <n v="3.67"/>
    <n v="422698"/>
    <n v="0"/>
    <n v="422698"/>
    <n v="76830"/>
    <n v="84456"/>
    <n v="489"/>
    <n v="40013"/>
    <n v="4659"/>
    <n v="629145"/>
    <n v="67186"/>
    <n v="561959"/>
    <n v="313006"/>
    <n v="248953"/>
  </r>
  <r>
    <s v="11"/>
    <x v="5"/>
    <x v="163"/>
    <x v="163"/>
    <n v="48.64"/>
    <n v="306.3"/>
    <n v="354.94"/>
    <n v="0"/>
    <n v="0"/>
    <n v="0"/>
    <n v="306"/>
    <n v="325.88"/>
    <n v="62.04"/>
    <n v="68.150000000000006"/>
    <n v="27.75"/>
    <n v="3.48"/>
    <n v="115668"/>
    <n v="0"/>
    <n v="115668"/>
    <n v="18984"/>
    <n v="20854"/>
    <n v="0"/>
    <n v="9850"/>
    <n v="1235"/>
    <n v="166591"/>
    <n v="22203"/>
    <n v="144388"/>
    <n v="82586"/>
    <n v="61802"/>
  </r>
  <r>
    <s v="11"/>
    <x v="5"/>
    <x v="164"/>
    <x v="164"/>
    <n v="238.28"/>
    <n v="2130.9"/>
    <n v="2369.1799999999998"/>
    <n v="0"/>
    <n v="28"/>
    <n v="0"/>
    <n v="2159"/>
    <n v="325.88"/>
    <n v="62.04"/>
    <n v="68.150000000000006"/>
    <n v="27.75"/>
    <n v="3.48"/>
    <n v="772068"/>
    <n v="0"/>
    <n v="772068"/>
    <n v="133944"/>
    <n v="147136"/>
    <n v="0"/>
    <n v="65745"/>
    <n v="8245"/>
    <n v="1127138"/>
    <n v="82599"/>
    <n v="1044539"/>
    <n v="616855"/>
    <n v="427684"/>
  </r>
  <r>
    <s v="11"/>
    <x v="5"/>
    <x v="165"/>
    <x v="165"/>
    <n v="596.05999999999995"/>
    <n v="4439.6000000000004"/>
    <n v="5035.66"/>
    <n v="0"/>
    <n v="130"/>
    <n v="1.2"/>
    <n v="4568"/>
    <n v="325.88"/>
    <n v="62.04"/>
    <n v="68.150000000000006"/>
    <n v="27.75"/>
    <n v="3.48"/>
    <n v="1641021"/>
    <n v="0"/>
    <n v="1641021"/>
    <n v="283399"/>
    <n v="311309"/>
    <n v="0"/>
    <n v="139740"/>
    <n v="17524"/>
    <n v="2392993"/>
    <n v="266588"/>
    <n v="2126405"/>
    <n v="1220090"/>
    <n v="906315"/>
  </r>
  <r>
    <s v="11"/>
    <x v="5"/>
    <x v="166"/>
    <x v="166"/>
    <n v="1398"/>
    <n v="12671.4"/>
    <n v="14069.4"/>
    <n v="0"/>
    <n v="960"/>
    <n v="1.9"/>
    <n v="13630"/>
    <n v="325.88"/>
    <n v="62.04"/>
    <n v="68.150000000000006"/>
    <n v="27.75"/>
    <n v="3.48"/>
    <n v="4584936"/>
    <n v="0"/>
    <n v="4584936"/>
    <n v="845605"/>
    <n v="928885"/>
    <n v="0"/>
    <n v="390426"/>
    <n v="48962"/>
    <n v="6798814"/>
    <n v="334103"/>
    <n v="6464711"/>
    <n v="3819607"/>
    <n v="2645104"/>
  </r>
  <r>
    <s v="11"/>
    <x v="5"/>
    <x v="167"/>
    <x v="167"/>
    <n v="80.69"/>
    <n v="510.6"/>
    <n v="591.29"/>
    <n v="0"/>
    <n v="5"/>
    <n v="0"/>
    <n v="516"/>
    <n v="325.88"/>
    <n v="62.04"/>
    <n v="68.150000000000006"/>
    <n v="27.75"/>
    <n v="3.48"/>
    <n v="192690"/>
    <n v="0"/>
    <n v="192690"/>
    <n v="32013"/>
    <n v="35165"/>
    <n v="0"/>
    <n v="16408"/>
    <n v="2058"/>
    <n v="278334"/>
    <n v="41488"/>
    <n v="236846"/>
    <n v="133079"/>
    <n v="103767"/>
  </r>
  <r>
    <s v="11"/>
    <x v="5"/>
    <x v="168"/>
    <x v="168"/>
    <n v="190.73"/>
    <n v="1759.2"/>
    <n v="1949.93"/>
    <n v="0"/>
    <n v="29"/>
    <n v="0"/>
    <n v="1788"/>
    <n v="325.88"/>
    <n v="62.04"/>
    <n v="68.150000000000006"/>
    <n v="27.75"/>
    <n v="3.48"/>
    <n v="635443"/>
    <n v="0"/>
    <n v="635443"/>
    <n v="110928"/>
    <n v="121852"/>
    <n v="0"/>
    <n v="54111"/>
    <n v="6786"/>
    <n v="929120"/>
    <n v="70695"/>
    <n v="858425"/>
    <n v="504984"/>
    <n v="353441"/>
  </r>
  <r>
    <s v="11"/>
    <x v="5"/>
    <x v="169"/>
    <x v="169"/>
    <n v="36.6"/>
    <n v="360.7"/>
    <n v="397.3"/>
    <n v="0"/>
    <n v="4"/>
    <n v="0"/>
    <n v="365"/>
    <n v="325.88"/>
    <n v="62.04"/>
    <n v="68.150000000000006"/>
    <n v="27.75"/>
    <n v="3.48"/>
    <n v="129472"/>
    <n v="0"/>
    <n v="129472"/>
    <n v="22645"/>
    <n v="24875"/>
    <n v="0"/>
    <n v="11025"/>
    <n v="1383"/>
    <n v="189400"/>
    <n v="19368"/>
    <n v="170032"/>
    <n v="97927"/>
    <n v="72105"/>
  </r>
  <r>
    <s v="11"/>
    <x v="5"/>
    <x v="170"/>
    <x v="170"/>
    <n v="268.39"/>
    <n v="2514.9"/>
    <n v="2783.29"/>
    <n v="0"/>
    <n v="56"/>
    <n v="0"/>
    <n v="2571"/>
    <n v="325.88"/>
    <n v="62.04"/>
    <n v="68.150000000000006"/>
    <n v="27.75"/>
    <n v="3.48"/>
    <n v="907019"/>
    <n v="0"/>
    <n v="907019"/>
    <n v="159505"/>
    <n v="175214"/>
    <n v="0"/>
    <n v="77236"/>
    <n v="9686"/>
    <n v="1328660"/>
    <n v="51957"/>
    <n v="1276703"/>
    <n v="769754"/>
    <n v="506949"/>
  </r>
  <r>
    <s v="11"/>
    <x v="5"/>
    <x v="171"/>
    <x v="171"/>
    <n v="362.31"/>
    <n v="2037.5"/>
    <n v="2399.81"/>
    <n v="0"/>
    <n v="149"/>
    <n v="3.2"/>
    <n v="2183"/>
    <n v="325.88"/>
    <n v="62.04"/>
    <n v="68.150000000000006"/>
    <n v="27.75"/>
    <n v="3.48"/>
    <n v="782050"/>
    <n v="0"/>
    <n v="782050"/>
    <n v="135433"/>
    <n v="148771"/>
    <n v="0"/>
    <n v="66595"/>
    <n v="8351"/>
    <n v="1141200"/>
    <n v="138795"/>
    <n v="1002405"/>
    <n v="569701"/>
    <n v="432704"/>
  </r>
  <r>
    <s v="11"/>
    <x v="5"/>
    <x v="172"/>
    <x v="172"/>
    <n v="205.33"/>
    <n v="2011"/>
    <n v="2216.33"/>
    <n v="0"/>
    <n v="39"/>
    <n v="0"/>
    <n v="2050"/>
    <n v="325.88"/>
    <n v="62.04"/>
    <n v="68.150000000000006"/>
    <n v="27.75"/>
    <n v="3.48"/>
    <n v="722258"/>
    <n v="0"/>
    <n v="722258"/>
    <n v="127182"/>
    <n v="139708"/>
    <n v="0"/>
    <n v="61503"/>
    <n v="7713"/>
    <n v="1058364"/>
    <n v="77596"/>
    <n v="980768"/>
    <n v="576731"/>
    <n v="404037"/>
  </r>
  <r>
    <s v="11"/>
    <x v="5"/>
    <x v="173"/>
    <x v="173"/>
    <n v="270.29000000000002"/>
    <n v="1644.7"/>
    <n v="1914.99"/>
    <n v="0"/>
    <n v="903"/>
    <n v="15.4"/>
    <n v="2532"/>
    <n v="325.88"/>
    <n v="62.04"/>
    <n v="68.150000000000006"/>
    <n v="27.75"/>
    <n v="3.48"/>
    <n v="624057"/>
    <n v="0"/>
    <n v="624057"/>
    <n v="157085"/>
    <n v="172556"/>
    <n v="0"/>
    <n v="53141"/>
    <n v="6664"/>
    <n v="1013503"/>
    <n v="121751"/>
    <n v="891752"/>
    <n v="443611"/>
    <n v="448141"/>
  </r>
  <r>
    <s v="11"/>
    <x v="5"/>
    <x v="174"/>
    <x v="174"/>
    <n v="105.81"/>
    <n v="707.2"/>
    <n v="813.01"/>
    <n v="0"/>
    <n v="8"/>
    <n v="0"/>
    <n v="715"/>
    <n v="325.88"/>
    <n v="62.04"/>
    <n v="68.150000000000006"/>
    <n v="27.75"/>
    <n v="3.48"/>
    <n v="264944"/>
    <n v="0"/>
    <n v="264944"/>
    <n v="44359"/>
    <n v="48727"/>
    <n v="0"/>
    <n v="22561"/>
    <n v="2829"/>
    <n v="383420"/>
    <n v="54115"/>
    <n v="329305"/>
    <n v="185910"/>
    <n v="143395"/>
  </r>
  <r>
    <s v="11"/>
    <x v="5"/>
    <x v="175"/>
    <x v="175"/>
    <n v="63.48"/>
    <n v="463.9"/>
    <n v="527.38"/>
    <n v="0"/>
    <n v="5"/>
    <n v="0"/>
    <n v="469"/>
    <n v="325.88"/>
    <n v="62.04"/>
    <n v="68.150000000000006"/>
    <n v="27.75"/>
    <n v="3.48"/>
    <n v="171863"/>
    <n v="0"/>
    <n v="171863"/>
    <n v="29097"/>
    <n v="31962"/>
    <n v="0"/>
    <n v="14635"/>
    <n v="1835"/>
    <n v="249392"/>
    <n v="31489"/>
    <n v="217903"/>
    <n v="124209"/>
    <n v="93694"/>
  </r>
  <r>
    <s v="11"/>
    <x v="5"/>
    <x v="176"/>
    <x v="176"/>
    <n v="55.76"/>
    <n v="452.9"/>
    <n v="508.66"/>
    <n v="0"/>
    <n v="0"/>
    <n v="0"/>
    <n v="453"/>
    <n v="325.88"/>
    <n v="62.04"/>
    <n v="68.150000000000006"/>
    <n v="27.75"/>
    <n v="3.48"/>
    <n v="165762"/>
    <n v="963"/>
    <n v="166725"/>
    <n v="28104"/>
    <n v="30872"/>
    <n v="0"/>
    <n v="14115"/>
    <n v="1770"/>
    <n v="241586"/>
    <n v="34999"/>
    <n v="206587"/>
    <n v="115172"/>
    <n v="91415"/>
  </r>
  <r>
    <s v="11"/>
    <x v="5"/>
    <x v="177"/>
    <x v="177"/>
    <n v="74.69"/>
    <n v="425"/>
    <n v="499.69"/>
    <n v="0"/>
    <n v="1"/>
    <n v="0"/>
    <n v="426"/>
    <n v="325.88"/>
    <n v="62.04"/>
    <n v="68.150000000000006"/>
    <n v="27.75"/>
    <n v="3.48"/>
    <n v="162839"/>
    <n v="0"/>
    <n v="162839"/>
    <n v="26429"/>
    <n v="29032"/>
    <n v="0"/>
    <n v="13866"/>
    <n v="1739"/>
    <n v="233905"/>
    <n v="31819"/>
    <n v="202086"/>
    <n v="115704"/>
    <n v="86382"/>
  </r>
  <r>
    <s v="11"/>
    <x v="5"/>
    <x v="178"/>
    <x v="178"/>
    <n v="383.09"/>
    <n v="3478"/>
    <n v="3861.09"/>
    <n v="0"/>
    <n v="82"/>
    <n v="0"/>
    <n v="3560"/>
    <n v="325.88"/>
    <n v="62.04"/>
    <n v="68.150000000000006"/>
    <n v="27.75"/>
    <n v="3.48"/>
    <n v="1258252"/>
    <n v="0"/>
    <n v="1258252"/>
    <n v="220862"/>
    <n v="242614"/>
    <n v="0"/>
    <n v="107145"/>
    <n v="13437"/>
    <n v="1842310"/>
    <n v="84902"/>
    <n v="1757408"/>
    <n v="1055008"/>
    <n v="702400"/>
  </r>
  <r>
    <s v="11"/>
    <x v="5"/>
    <x v="179"/>
    <x v="179"/>
    <n v="5621.51"/>
    <n v="30773.9"/>
    <n v="36395.410000000003"/>
    <n v="0"/>
    <n v="2593"/>
    <n v="46"/>
    <n v="33321"/>
    <n v="325.88"/>
    <n v="62.04"/>
    <n v="68.150000000000006"/>
    <n v="27.75"/>
    <n v="3.48"/>
    <n v="11860536"/>
    <n v="0"/>
    <n v="11860536"/>
    <n v="2067235"/>
    <n v="2270826"/>
    <n v="0"/>
    <n v="1009973"/>
    <n v="126656"/>
    <n v="17335226"/>
    <n v="1977056"/>
    <n v="15358170"/>
    <n v="8767961"/>
    <n v="6590209"/>
  </r>
  <r>
    <s v="11"/>
    <x v="5"/>
    <x v="180"/>
    <x v="180"/>
    <n v="41.49"/>
    <n v="562.29999999999995"/>
    <n v="603.79"/>
    <n v="0"/>
    <n v="6"/>
    <n v="0"/>
    <n v="568"/>
    <n v="325.88"/>
    <n v="62.04"/>
    <n v="68.150000000000006"/>
    <n v="27.75"/>
    <n v="3.48"/>
    <n v="196763"/>
    <n v="0"/>
    <n v="196763"/>
    <n v="35239"/>
    <n v="38709"/>
    <n v="0"/>
    <n v="16755"/>
    <n v="2101"/>
    <n v="289567"/>
    <n v="30098"/>
    <n v="259469"/>
    <n v="148159"/>
    <n v="111310"/>
  </r>
  <r>
    <s v="11"/>
    <x v="5"/>
    <x v="181"/>
    <x v="181"/>
    <n v="56.76"/>
    <n v="426.5"/>
    <n v="483.26"/>
    <n v="0"/>
    <n v="0"/>
    <n v="0"/>
    <n v="427"/>
    <n v="325.88"/>
    <n v="62.04"/>
    <n v="68.150000000000006"/>
    <n v="27.75"/>
    <n v="3.48"/>
    <n v="157485"/>
    <n v="0"/>
    <n v="157485"/>
    <n v="26491"/>
    <n v="29100"/>
    <n v="0"/>
    <n v="13410"/>
    <n v="1682"/>
    <n v="228168"/>
    <n v="38965"/>
    <n v="189203"/>
    <n v="103708"/>
    <n v="85495"/>
  </r>
  <r>
    <s v="11"/>
    <x v="5"/>
    <x v="182"/>
    <x v="182"/>
    <n v="114.28"/>
    <n v="1586.7"/>
    <n v="1700.98"/>
    <n v="0"/>
    <n v="38"/>
    <n v="0"/>
    <n v="1625"/>
    <n v="325.88"/>
    <n v="62.04"/>
    <n v="68.150000000000006"/>
    <n v="27.75"/>
    <n v="3.48"/>
    <n v="554315"/>
    <n v="0"/>
    <n v="554315"/>
    <n v="100815"/>
    <n v="110744"/>
    <n v="0"/>
    <n v="47202"/>
    <n v="5919"/>
    <n v="818995"/>
    <n v="51243"/>
    <n v="767752"/>
    <n v="450937"/>
    <n v="316815"/>
  </r>
  <r>
    <s v="11"/>
    <x v="5"/>
    <x v="183"/>
    <x v="183"/>
    <n v="35.04"/>
    <n v="296"/>
    <n v="331.04"/>
    <n v="0"/>
    <n v="8"/>
    <n v="0"/>
    <n v="304"/>
    <n v="325.88"/>
    <n v="62.04"/>
    <n v="68.150000000000006"/>
    <n v="27.75"/>
    <n v="3.48"/>
    <n v="107879"/>
    <n v="0"/>
    <n v="107879"/>
    <n v="18860"/>
    <n v="20718"/>
    <n v="0"/>
    <n v="9186"/>
    <n v="1152"/>
    <n v="157795"/>
    <n v="22889"/>
    <n v="134906"/>
    <n v="74844"/>
    <n v="60062"/>
  </r>
  <r>
    <s v="11"/>
    <x v="5"/>
    <x v="184"/>
    <x v="184"/>
    <n v="37.729999999999997"/>
    <n v="400.1"/>
    <n v="437.83"/>
    <n v="0"/>
    <n v="0"/>
    <n v="0"/>
    <n v="400"/>
    <n v="325.88"/>
    <n v="62.04"/>
    <n v="68.150000000000006"/>
    <n v="27.75"/>
    <n v="3.48"/>
    <n v="142680"/>
    <n v="7200"/>
    <n v="149880"/>
    <n v="24816"/>
    <n v="27260"/>
    <n v="0"/>
    <n v="12150"/>
    <n v="1524"/>
    <n v="215630"/>
    <n v="28487"/>
    <n v="187143"/>
    <n v="100774"/>
    <n v="86369"/>
  </r>
  <r>
    <s v="11"/>
    <x v="5"/>
    <x v="185"/>
    <x v="185"/>
    <n v="480.65"/>
    <n v="3436.6"/>
    <n v="3917.25"/>
    <n v="0"/>
    <n v="7"/>
    <n v="0"/>
    <n v="3444"/>
    <n v="325.88"/>
    <n v="62.04"/>
    <n v="68.150000000000006"/>
    <n v="27.75"/>
    <n v="3.48"/>
    <n v="1276553"/>
    <n v="0"/>
    <n v="1276553"/>
    <n v="213666"/>
    <n v="234709"/>
    <n v="0"/>
    <n v="108704"/>
    <n v="13632"/>
    <n v="1847264"/>
    <n v="182723"/>
    <n v="1664541"/>
    <n v="973767"/>
    <n v="690774"/>
  </r>
  <r>
    <s v="11"/>
    <x v="5"/>
    <x v="186"/>
    <x v="186"/>
    <n v="89.97"/>
    <n v="838.8"/>
    <n v="928.77"/>
    <n v="0"/>
    <n v="8"/>
    <n v="0"/>
    <n v="847"/>
    <n v="325.88"/>
    <n v="62.04"/>
    <n v="68.150000000000006"/>
    <n v="27.75"/>
    <n v="3.48"/>
    <n v="302668"/>
    <n v="0"/>
    <n v="302668"/>
    <n v="52548"/>
    <n v="57723"/>
    <n v="0"/>
    <n v="25773"/>
    <n v="3232"/>
    <n v="441944"/>
    <n v="44215"/>
    <n v="397729"/>
    <n v="229985"/>
    <n v="167744"/>
  </r>
  <r>
    <s v="11"/>
    <x v="5"/>
    <x v="187"/>
    <x v="187"/>
    <n v="801.57"/>
    <n v="6984.8"/>
    <n v="7786.37"/>
    <n v="0"/>
    <n v="423"/>
    <n v="0"/>
    <n v="7408"/>
    <n v="325.88"/>
    <n v="62.04"/>
    <n v="68.150000000000006"/>
    <n v="27.75"/>
    <n v="3.48"/>
    <n v="2537422"/>
    <n v="0"/>
    <n v="2537422"/>
    <n v="459592"/>
    <n v="504855"/>
    <n v="0"/>
    <n v="216072"/>
    <n v="27097"/>
    <n v="3745038"/>
    <n v="236604"/>
    <n v="3508434"/>
    <n v="2062167"/>
    <n v="1446267"/>
  </r>
  <r>
    <s v="11"/>
    <x v="5"/>
    <x v="188"/>
    <x v="188"/>
    <n v="225.62"/>
    <n v="1761.2"/>
    <n v="1986.82"/>
    <n v="0"/>
    <n v="11"/>
    <n v="0"/>
    <n v="1772"/>
    <n v="325.88"/>
    <n v="62.04"/>
    <n v="68.150000000000006"/>
    <n v="27.75"/>
    <n v="3.48"/>
    <n v="647465"/>
    <n v="0"/>
    <n v="647465"/>
    <n v="109935"/>
    <n v="120762"/>
    <n v="0"/>
    <n v="55134"/>
    <n v="6914"/>
    <n v="940210"/>
    <n v="117698"/>
    <n v="822512"/>
    <n v="468870"/>
    <n v="353642"/>
  </r>
  <r>
    <s v="11"/>
    <x v="5"/>
    <x v="189"/>
    <x v="189"/>
    <n v="57.19"/>
    <n v="450"/>
    <n v="507.19"/>
    <n v="0"/>
    <n v="70"/>
    <n v="0"/>
    <n v="520"/>
    <n v="325.88"/>
    <n v="62.04"/>
    <n v="68.150000000000006"/>
    <n v="27.75"/>
    <n v="3.48"/>
    <n v="165283"/>
    <n v="0"/>
    <n v="165283"/>
    <n v="32261"/>
    <n v="35438"/>
    <n v="0"/>
    <n v="14075"/>
    <n v="1765"/>
    <n v="248822"/>
    <n v="30484"/>
    <n v="218338"/>
    <n v="119254"/>
    <n v="99084"/>
  </r>
  <r>
    <s v="11"/>
    <x v="5"/>
    <x v="190"/>
    <x v="190"/>
    <n v="84.29"/>
    <n v="670"/>
    <n v="754.29"/>
    <n v="0"/>
    <n v="0"/>
    <n v="0"/>
    <n v="670"/>
    <n v="325.88"/>
    <n v="62.04"/>
    <n v="68.150000000000006"/>
    <n v="27.75"/>
    <n v="3.48"/>
    <n v="245808"/>
    <n v="0"/>
    <n v="245808"/>
    <n v="41567"/>
    <n v="45661"/>
    <n v="0"/>
    <n v="20932"/>
    <n v="2625"/>
    <n v="356593"/>
    <n v="33847"/>
    <n v="322746"/>
    <n v="188843"/>
    <n v="133903"/>
  </r>
  <r>
    <s v="11"/>
    <x v="5"/>
    <x v="191"/>
    <x v="191"/>
    <n v="38.42"/>
    <n v="511.4"/>
    <n v="549.82000000000005"/>
    <n v="0"/>
    <n v="29"/>
    <n v="0"/>
    <n v="540"/>
    <n v="325.88"/>
    <n v="62.04"/>
    <n v="68.150000000000006"/>
    <n v="27.75"/>
    <n v="3.48"/>
    <n v="179175"/>
    <n v="0"/>
    <n v="179175"/>
    <n v="33502"/>
    <n v="36801"/>
    <n v="0"/>
    <n v="15258"/>
    <n v="1913"/>
    <n v="266649"/>
    <n v="30099"/>
    <n v="236550"/>
    <n v="132224"/>
    <n v="104326"/>
  </r>
  <r>
    <s v="11"/>
    <x v="5"/>
    <x v="192"/>
    <x v="192"/>
    <n v="33.76"/>
    <n v="307.7"/>
    <n v="341.46"/>
    <n v="0"/>
    <n v="0"/>
    <n v="0"/>
    <n v="308"/>
    <n v="325.88"/>
    <n v="62.04"/>
    <n v="68.150000000000006"/>
    <n v="27.75"/>
    <n v="3.48"/>
    <n v="111275"/>
    <n v="5630"/>
    <n v="116905"/>
    <n v="19108"/>
    <n v="20990"/>
    <n v="0"/>
    <n v="9489"/>
    <n v="1192"/>
    <n v="167684"/>
    <n v="27349"/>
    <n v="140335"/>
    <n v="73477"/>
    <n v="66858"/>
  </r>
  <r>
    <s v="11"/>
    <x v="5"/>
    <x v="193"/>
    <x v="193"/>
    <n v="158.55000000000001"/>
    <n v="1399.4"/>
    <n v="1557.95"/>
    <n v="0"/>
    <n v="4"/>
    <n v="0"/>
    <n v="1403"/>
    <n v="325.88"/>
    <n v="62.04"/>
    <n v="68.150000000000006"/>
    <n v="27.75"/>
    <n v="3.48"/>
    <n v="507705"/>
    <n v="0"/>
    <n v="507705"/>
    <n v="87042"/>
    <n v="95614"/>
    <n v="0"/>
    <n v="43233"/>
    <n v="5422"/>
    <n v="739016"/>
    <n v="90675"/>
    <n v="648341"/>
    <n v="369279"/>
    <n v="279062"/>
  </r>
  <r>
    <s v="11"/>
    <x v="5"/>
    <x v="194"/>
    <x v="194"/>
    <n v="538.4"/>
    <n v="2957.6"/>
    <n v="3496"/>
    <n v="0"/>
    <n v="92"/>
    <n v="0.2"/>
    <n v="3049"/>
    <n v="325.88"/>
    <n v="62.04"/>
    <n v="68.150000000000006"/>
    <n v="27.75"/>
    <n v="3.48"/>
    <n v="1139276"/>
    <n v="0"/>
    <n v="1139276"/>
    <n v="189160"/>
    <n v="207789"/>
    <n v="0"/>
    <n v="97014"/>
    <n v="12166"/>
    <n v="1645405"/>
    <n v="203383"/>
    <n v="1442022"/>
    <n v="828741"/>
    <n v="613281"/>
  </r>
  <r>
    <s v="11"/>
    <x v="5"/>
    <x v="195"/>
    <x v="195"/>
    <n v="156.16"/>
    <n v="2093.1"/>
    <n v="2249.2600000000002"/>
    <n v="0"/>
    <n v="29"/>
    <n v="0"/>
    <n v="2122"/>
    <n v="325.88"/>
    <n v="62.04"/>
    <n v="68.150000000000006"/>
    <n v="27.75"/>
    <n v="3.48"/>
    <n v="732989"/>
    <n v="0"/>
    <n v="732989"/>
    <n v="131649"/>
    <n v="144614"/>
    <n v="0"/>
    <n v="62417"/>
    <n v="7827"/>
    <n v="1079496"/>
    <n v="52568"/>
    <n v="1026928"/>
    <n v="611481"/>
    <n v="415447"/>
  </r>
  <r>
    <s v="11"/>
    <x v="5"/>
    <x v="196"/>
    <x v="196"/>
    <n v="405.69"/>
    <n v="3425.3"/>
    <n v="3830.99"/>
    <n v="0"/>
    <n v="87"/>
    <n v="0"/>
    <n v="3512"/>
    <n v="325.88"/>
    <n v="62.04"/>
    <n v="68.150000000000006"/>
    <n v="27.75"/>
    <n v="3.48"/>
    <n v="1248443"/>
    <n v="0"/>
    <n v="1248443"/>
    <n v="217884"/>
    <n v="239343"/>
    <n v="0"/>
    <n v="106310"/>
    <n v="13332"/>
    <n v="1825312"/>
    <n v="125386"/>
    <n v="1699926"/>
    <n v="1005637"/>
    <n v="694289"/>
  </r>
  <r>
    <s v="11"/>
    <x v="5"/>
    <x v="197"/>
    <x v="197"/>
    <n v="49.05"/>
    <n v="589.79999999999995"/>
    <n v="638.85"/>
    <n v="0"/>
    <n v="13"/>
    <n v="0"/>
    <n v="603"/>
    <n v="325.88"/>
    <n v="62.04"/>
    <n v="68.150000000000006"/>
    <n v="27.75"/>
    <n v="3.48"/>
    <n v="208188"/>
    <n v="0"/>
    <n v="208188"/>
    <n v="37410"/>
    <n v="41094"/>
    <n v="0"/>
    <n v="17728"/>
    <n v="2223"/>
    <n v="306643"/>
    <n v="41558"/>
    <n v="265085"/>
    <n v="147049"/>
    <n v="118036"/>
  </r>
  <r>
    <s v="11"/>
    <x v="5"/>
    <x v="198"/>
    <x v="198"/>
    <n v="109.68"/>
    <n v="1032.0999999999999"/>
    <n v="1141.78"/>
    <n v="0"/>
    <n v="21"/>
    <n v="0"/>
    <n v="1053"/>
    <n v="325.88"/>
    <n v="62.04"/>
    <n v="68.150000000000006"/>
    <n v="27.75"/>
    <n v="3.48"/>
    <n v="372083"/>
    <n v="0"/>
    <n v="372083"/>
    <n v="65328"/>
    <n v="71762"/>
    <n v="0"/>
    <n v="31684"/>
    <n v="3973"/>
    <n v="544830"/>
    <n v="58466"/>
    <n v="486364"/>
    <n v="278621"/>
    <n v="207743"/>
  </r>
  <r>
    <s v="11"/>
    <x v="5"/>
    <x v="199"/>
    <x v="199"/>
    <n v="101.49"/>
    <n v="642.9"/>
    <n v="744.39"/>
    <n v="0"/>
    <n v="3"/>
    <n v="0"/>
    <n v="646"/>
    <n v="325.88"/>
    <n v="62.04"/>
    <n v="68.150000000000006"/>
    <n v="27.75"/>
    <n v="3.48"/>
    <n v="242582"/>
    <n v="3428"/>
    <n v="246010"/>
    <n v="40078"/>
    <n v="44025"/>
    <n v="0"/>
    <n v="20815"/>
    <n v="2614"/>
    <n v="353542"/>
    <n v="42913"/>
    <n v="310629"/>
    <n v="177035"/>
    <n v="133594"/>
  </r>
  <r>
    <s v="11"/>
    <x v="5"/>
    <x v="200"/>
    <x v="200"/>
    <n v="217.97"/>
    <n v="2179.6999999999998"/>
    <n v="2397.67"/>
    <n v="0"/>
    <n v="562"/>
    <n v="1.9"/>
    <n v="2740"/>
    <n v="325.88"/>
    <n v="62.04"/>
    <n v="68.150000000000006"/>
    <n v="27.75"/>
    <n v="3.48"/>
    <n v="781353"/>
    <n v="0"/>
    <n v="781353"/>
    <n v="169990"/>
    <n v="186731"/>
    <n v="0"/>
    <n v="66535"/>
    <n v="8344"/>
    <n v="1212953"/>
    <n v="124773"/>
    <n v="1088180"/>
    <n v="583091"/>
    <n v="505089"/>
  </r>
  <r>
    <s v="11"/>
    <x v="5"/>
    <x v="201"/>
    <x v="201"/>
    <n v="273.77"/>
    <n v="1854.1"/>
    <n v="2127.87"/>
    <n v="0"/>
    <n v="81"/>
    <n v="7.2"/>
    <n v="1928"/>
    <n v="325.88"/>
    <n v="62.04"/>
    <n v="68.150000000000006"/>
    <n v="27.75"/>
    <n v="3.48"/>
    <n v="693430"/>
    <n v="0"/>
    <n v="693430"/>
    <n v="119613"/>
    <n v="131393"/>
    <n v="0"/>
    <n v="59048"/>
    <n v="7405"/>
    <n v="1010889"/>
    <n v="105800"/>
    <n v="905089"/>
    <n v="522411"/>
    <n v="382678"/>
  </r>
  <r>
    <s v="11"/>
    <x v="5"/>
    <x v="202"/>
    <x v="202"/>
    <n v="100.2"/>
    <n v="711.8"/>
    <n v="812"/>
    <n v="0"/>
    <n v="1"/>
    <n v="0"/>
    <n v="713"/>
    <n v="325.88"/>
    <n v="62.04"/>
    <n v="68.150000000000006"/>
    <n v="27.75"/>
    <n v="3.48"/>
    <n v="264615"/>
    <n v="0"/>
    <n v="264615"/>
    <n v="44235"/>
    <n v="48591"/>
    <n v="0"/>
    <n v="22533"/>
    <n v="2826"/>
    <n v="382800"/>
    <n v="40018"/>
    <n v="342782"/>
    <n v="199709"/>
    <n v="143073"/>
  </r>
  <r>
    <s v="11"/>
    <x v="5"/>
    <x v="203"/>
    <x v="203"/>
    <n v="87.88"/>
    <n v="1004.2"/>
    <n v="1092.08"/>
    <n v="0"/>
    <n v="3"/>
    <n v="0"/>
    <n v="1007"/>
    <n v="325.88"/>
    <n v="62.04"/>
    <n v="68.150000000000006"/>
    <n v="27.75"/>
    <n v="3.48"/>
    <n v="355887"/>
    <n v="0"/>
    <n v="355887"/>
    <n v="62474"/>
    <n v="68627"/>
    <n v="0"/>
    <n v="30305"/>
    <n v="3800"/>
    <n v="521093"/>
    <n v="62065"/>
    <n v="459028"/>
    <n v="260349"/>
    <n v="198679"/>
  </r>
  <r>
    <s v="11"/>
    <x v="5"/>
    <x v="204"/>
    <x v="204"/>
    <n v="134.26"/>
    <n v="1067"/>
    <n v="1201.26"/>
    <n v="0"/>
    <n v="60"/>
    <n v="0.2"/>
    <n v="1127"/>
    <n v="325.88"/>
    <n v="62.04"/>
    <n v="68.150000000000006"/>
    <n v="27.75"/>
    <n v="3.48"/>
    <n v="391467"/>
    <n v="0"/>
    <n v="391467"/>
    <n v="69919"/>
    <n v="76805"/>
    <n v="0"/>
    <n v="33335"/>
    <n v="4180"/>
    <n v="575706"/>
    <n v="86996"/>
    <n v="488710"/>
    <n v="267652"/>
    <n v="221058"/>
  </r>
  <r>
    <s v="11"/>
    <x v="5"/>
    <x v="205"/>
    <x v="205"/>
    <n v="1062.68"/>
    <n v="7211"/>
    <n v="8273.68"/>
    <n v="0"/>
    <n v="380"/>
    <n v="0"/>
    <n v="7591"/>
    <n v="325.88"/>
    <n v="62.04"/>
    <n v="68.150000000000006"/>
    <n v="27.75"/>
    <n v="3.48"/>
    <n v="2696227"/>
    <n v="0"/>
    <n v="2696227"/>
    <n v="470946"/>
    <n v="517327"/>
    <n v="0"/>
    <n v="229595"/>
    <n v="28792"/>
    <n v="3942887"/>
    <n v="261652"/>
    <n v="3681235"/>
    <n v="2180987"/>
    <n v="1500248"/>
  </r>
  <r>
    <s v="11"/>
    <x v="5"/>
    <x v="206"/>
    <x v="206"/>
    <n v="60.18"/>
    <n v="505.7"/>
    <n v="565.88"/>
    <n v="0"/>
    <n v="0"/>
    <n v="0"/>
    <n v="506"/>
    <n v="325.88"/>
    <n v="62.04"/>
    <n v="68.150000000000006"/>
    <n v="27.75"/>
    <n v="3.48"/>
    <n v="184409"/>
    <n v="6147"/>
    <n v="190556"/>
    <n v="31392"/>
    <n v="34484"/>
    <n v="0"/>
    <n v="16123"/>
    <n v="2025"/>
    <n v="274580"/>
    <n v="35040"/>
    <n v="239540"/>
    <n v="132500"/>
    <n v="107040"/>
  </r>
  <r>
    <s v="11"/>
    <x v="5"/>
    <x v="207"/>
    <x v="207"/>
    <n v="70.5"/>
    <n v="323"/>
    <n v="393.5"/>
    <n v="0"/>
    <n v="13"/>
    <n v="0"/>
    <n v="336"/>
    <n v="325.88"/>
    <n v="62.04"/>
    <n v="68.150000000000006"/>
    <n v="27.75"/>
    <n v="3.48"/>
    <n v="128234"/>
    <n v="0"/>
    <n v="128234"/>
    <n v="20845"/>
    <n v="22898"/>
    <n v="0"/>
    <n v="10920"/>
    <n v="1369"/>
    <n v="184266"/>
    <n v="27523"/>
    <n v="156743"/>
    <n v="88650"/>
    <n v="68093"/>
  </r>
  <r>
    <s v="11"/>
    <x v="5"/>
    <x v="208"/>
    <x v="208"/>
    <n v="38.33"/>
    <n v="385.9"/>
    <n v="424.23"/>
    <n v="0"/>
    <n v="9"/>
    <n v="0"/>
    <n v="395"/>
    <n v="325.88"/>
    <n v="62.04"/>
    <n v="68.150000000000006"/>
    <n v="27.75"/>
    <n v="3.48"/>
    <n v="138248"/>
    <n v="0"/>
    <n v="138248"/>
    <n v="24506"/>
    <n v="26919"/>
    <n v="0"/>
    <n v="11772"/>
    <n v="1476"/>
    <n v="202921"/>
    <n v="25843"/>
    <n v="177078"/>
    <n v="99402"/>
    <n v="77676"/>
  </r>
  <r>
    <s v="11"/>
    <x v="5"/>
    <x v="209"/>
    <x v="209"/>
    <n v="442.89"/>
    <n v="3448"/>
    <n v="3890.89"/>
    <n v="0"/>
    <n v="448"/>
    <n v="5.2"/>
    <n v="3891"/>
    <n v="325.88"/>
    <n v="62.04"/>
    <n v="68.150000000000006"/>
    <n v="27.75"/>
    <n v="3.48"/>
    <n v="1267963"/>
    <n v="0"/>
    <n v="1267963"/>
    <n v="241398"/>
    <n v="265172"/>
    <n v="0"/>
    <n v="107972"/>
    <n v="13540"/>
    <n v="1896045"/>
    <n v="181636"/>
    <n v="1714409"/>
    <n v="967071"/>
    <n v="747338"/>
  </r>
  <r>
    <s v="11"/>
    <x v="5"/>
    <x v="210"/>
    <x v="210"/>
    <n v="52.3"/>
    <n v="894.5"/>
    <n v="946.8"/>
    <n v="0"/>
    <n v="28"/>
    <n v="0"/>
    <n v="923"/>
    <n v="325.88"/>
    <n v="62.04"/>
    <n v="68.150000000000006"/>
    <n v="27.75"/>
    <n v="3.48"/>
    <n v="308543"/>
    <n v="0"/>
    <n v="308543"/>
    <n v="57263"/>
    <n v="62902"/>
    <n v="0"/>
    <n v="26274"/>
    <n v="3295"/>
    <n v="458277"/>
    <n v="29267"/>
    <n v="429010"/>
    <n v="250257"/>
    <n v="178753"/>
  </r>
  <r>
    <s v="11"/>
    <x v="5"/>
    <x v="211"/>
    <x v="211"/>
    <n v="1385.04"/>
    <n v="13153.9"/>
    <n v="14538.94"/>
    <n v="0"/>
    <n v="1262"/>
    <n v="0.5"/>
    <n v="14415"/>
    <n v="325.88"/>
    <n v="62.04"/>
    <n v="68.150000000000006"/>
    <n v="27.75"/>
    <n v="3.48"/>
    <n v="4737950"/>
    <n v="0"/>
    <n v="4737950"/>
    <n v="894307"/>
    <n v="982382"/>
    <n v="0"/>
    <n v="403456"/>
    <n v="50596"/>
    <n v="7068691"/>
    <n v="153289"/>
    <n v="6915402"/>
    <n v="4139043"/>
    <n v="2776359"/>
  </r>
  <r>
    <s v="11"/>
    <x v="5"/>
    <x v="212"/>
    <x v="212"/>
    <n v="146.36000000000001"/>
    <n v="947.2"/>
    <n v="1093.56"/>
    <n v="0"/>
    <n v="0"/>
    <n v="0"/>
    <n v="947"/>
    <n v="325.88"/>
    <n v="62.04"/>
    <n v="68.150000000000006"/>
    <n v="27.75"/>
    <n v="3.48"/>
    <n v="356369"/>
    <n v="0"/>
    <n v="356369"/>
    <n v="58752"/>
    <n v="64538"/>
    <n v="0"/>
    <n v="30346"/>
    <n v="3806"/>
    <n v="513811"/>
    <n v="57717"/>
    <n v="456094"/>
    <n v="265135"/>
    <n v="190959"/>
  </r>
  <r>
    <s v="11"/>
    <x v="5"/>
    <x v="213"/>
    <x v="213"/>
    <n v="1091.19"/>
    <n v="8678.6"/>
    <n v="9769.7900000000009"/>
    <n v="0"/>
    <n v="1199"/>
    <n v="2.2000000000000002"/>
    <n v="9875"/>
    <n v="325.88"/>
    <n v="62.04"/>
    <n v="68.150000000000006"/>
    <n v="27.75"/>
    <n v="3.48"/>
    <n v="3183779"/>
    <n v="0"/>
    <n v="3183779"/>
    <n v="612645"/>
    <n v="672981"/>
    <n v="0"/>
    <n v="271112"/>
    <n v="33999"/>
    <n v="4774516"/>
    <n v="513663"/>
    <n v="4260853"/>
    <n v="2370673"/>
    <n v="1890180"/>
  </r>
  <r>
    <s v="11"/>
    <x v="5"/>
    <x v="214"/>
    <x v="214"/>
    <n v="203.94"/>
    <n v="1667.3"/>
    <n v="1871.24"/>
    <n v="0"/>
    <n v="8"/>
    <n v="0"/>
    <n v="1675"/>
    <n v="325.88"/>
    <n v="62.04"/>
    <n v="68.150000000000006"/>
    <n v="27.75"/>
    <n v="3.48"/>
    <n v="609800"/>
    <n v="0"/>
    <n v="609800"/>
    <n v="103917"/>
    <n v="114151"/>
    <n v="0"/>
    <n v="51927"/>
    <n v="6512"/>
    <n v="886307"/>
    <n v="92409"/>
    <n v="793898"/>
    <n v="460037"/>
    <n v="333861"/>
  </r>
  <r>
    <s v="11"/>
    <x v="5"/>
    <x v="215"/>
    <x v="215"/>
    <n v="111.9"/>
    <n v="1062.9000000000001"/>
    <n v="1174.8"/>
    <n v="0"/>
    <n v="35"/>
    <n v="0"/>
    <n v="1098"/>
    <n v="325.88"/>
    <n v="62.04"/>
    <n v="68.150000000000006"/>
    <n v="27.75"/>
    <n v="3.48"/>
    <n v="382844"/>
    <n v="0"/>
    <n v="382844"/>
    <n v="68120"/>
    <n v="74829"/>
    <n v="0"/>
    <n v="32601"/>
    <n v="4088"/>
    <n v="562482"/>
    <n v="39473"/>
    <n v="523009"/>
    <n v="307363"/>
    <n v="215646"/>
  </r>
  <r>
    <s v="12"/>
    <x v="6"/>
    <x v="216"/>
    <x v="216"/>
    <n v="77.09"/>
    <n v="555.20000000000005"/>
    <n v="632.29"/>
    <n v="1.22"/>
    <n v="14"/>
    <n v="0"/>
    <n v="569"/>
    <n v="340.52"/>
    <n v="62.45"/>
    <n v="69.930000000000007"/>
    <n v="34.31"/>
    <n v="4.09"/>
    <n v="215307"/>
    <n v="0"/>
    <n v="215307"/>
    <n v="35534"/>
    <n v="39790"/>
    <n v="415"/>
    <n v="21694"/>
    <n v="2586"/>
    <n v="315326"/>
    <n v="35284"/>
    <n v="280042"/>
    <n v="156243"/>
    <n v="123799"/>
  </r>
  <r>
    <s v="12"/>
    <x v="6"/>
    <x v="217"/>
    <x v="217"/>
    <n v="41.07"/>
    <n v="276.2"/>
    <n v="317.27"/>
    <n v="0.61"/>
    <n v="56"/>
    <n v="0"/>
    <n v="332"/>
    <n v="340.52"/>
    <n v="62.45"/>
    <n v="69.930000000000007"/>
    <n v="34.31"/>
    <n v="4.09"/>
    <n v="108037"/>
    <n v="0"/>
    <n v="108037"/>
    <n v="20733"/>
    <n v="23217"/>
    <n v="208"/>
    <n v="10886"/>
    <n v="1298"/>
    <n v="164379"/>
    <n v="27109"/>
    <n v="137270"/>
    <n v="68995"/>
    <n v="68275"/>
  </r>
  <r>
    <s v="12"/>
    <x v="6"/>
    <x v="218"/>
    <x v="218"/>
    <n v="85.05"/>
    <n v="568.5"/>
    <n v="653.54999999999995"/>
    <n v="1.26"/>
    <n v="382"/>
    <n v="5.2"/>
    <n v="945"/>
    <n v="340.52"/>
    <n v="62.45"/>
    <n v="69.930000000000007"/>
    <n v="34.31"/>
    <n v="4.09"/>
    <n v="222547"/>
    <n v="0"/>
    <n v="222547"/>
    <n v="59015"/>
    <n v="66084"/>
    <n v="429"/>
    <n v="22423"/>
    <n v="2673"/>
    <n v="373171"/>
    <n v="40839"/>
    <n v="332332"/>
    <n v="157127"/>
    <n v="175205"/>
  </r>
  <r>
    <s v="12"/>
    <x v="6"/>
    <x v="219"/>
    <x v="219"/>
    <n v="97.17"/>
    <n v="765.1"/>
    <n v="862.27"/>
    <n v="1.66"/>
    <n v="141"/>
    <n v="0"/>
    <n v="906"/>
    <n v="340.52"/>
    <n v="62.45"/>
    <n v="69.930000000000007"/>
    <n v="34.31"/>
    <n v="4.09"/>
    <n v="293620"/>
    <n v="0"/>
    <n v="293620"/>
    <n v="56580"/>
    <n v="63357"/>
    <n v="565"/>
    <n v="29584"/>
    <n v="3527"/>
    <n v="447233"/>
    <n v="45683"/>
    <n v="401550"/>
    <n v="215506"/>
    <n v="186044"/>
  </r>
  <r>
    <s v="12"/>
    <x v="6"/>
    <x v="220"/>
    <x v="220"/>
    <n v="49.89"/>
    <n v="287.2"/>
    <n v="337.09"/>
    <n v="0.65"/>
    <n v="2"/>
    <n v="0"/>
    <n v="289"/>
    <n v="340.52"/>
    <n v="62.45"/>
    <n v="69.930000000000007"/>
    <n v="34.31"/>
    <n v="4.09"/>
    <n v="114786"/>
    <n v="0"/>
    <n v="114786"/>
    <n v="18048"/>
    <n v="20210"/>
    <n v="221"/>
    <n v="11566"/>
    <n v="1379"/>
    <n v="166210"/>
    <n v="23319"/>
    <n v="142891"/>
    <n v="78789"/>
    <n v="64102"/>
  </r>
  <r>
    <s v="12"/>
    <x v="6"/>
    <x v="221"/>
    <x v="221"/>
    <n v="144.75"/>
    <n v="1035.3"/>
    <n v="1180.05"/>
    <n v="2.27"/>
    <n v="1"/>
    <n v="0"/>
    <n v="1036"/>
    <n v="340.52"/>
    <n v="62.45"/>
    <n v="69.930000000000007"/>
    <n v="34.31"/>
    <n v="4.09"/>
    <n v="401831"/>
    <n v="0"/>
    <n v="401831"/>
    <n v="64698"/>
    <n v="72447"/>
    <n v="773"/>
    <n v="40488"/>
    <n v="4826"/>
    <n v="585063"/>
    <n v="69898"/>
    <n v="515165"/>
    <n v="287548"/>
    <n v="227617"/>
  </r>
  <r>
    <s v="12"/>
    <x v="6"/>
    <x v="222"/>
    <x v="222"/>
    <n v="286.70999999999998"/>
    <n v="2026.3"/>
    <n v="2313.0100000000002"/>
    <n v="4.45"/>
    <n v="135"/>
    <n v="0"/>
    <n v="2161"/>
    <n v="340.52"/>
    <n v="62.45"/>
    <n v="69.930000000000007"/>
    <n v="34.31"/>
    <n v="4.09"/>
    <n v="787626"/>
    <n v="0"/>
    <n v="787626"/>
    <n v="134954"/>
    <n v="151119"/>
    <n v="1515"/>
    <n v="79359"/>
    <n v="9460"/>
    <n v="1164033"/>
    <n v="102409"/>
    <n v="1061624"/>
    <n v="598219"/>
    <n v="463405"/>
  </r>
  <r>
    <s v="12"/>
    <x v="6"/>
    <x v="223"/>
    <x v="223"/>
    <n v="40.44"/>
    <n v="464"/>
    <n v="504.44"/>
    <n v="0.97"/>
    <n v="0"/>
    <n v="0"/>
    <n v="464"/>
    <n v="340.52"/>
    <n v="62.45"/>
    <n v="69.930000000000007"/>
    <n v="34.31"/>
    <n v="4.09"/>
    <n v="171772"/>
    <n v="0"/>
    <n v="171772"/>
    <n v="28977"/>
    <n v="32448"/>
    <n v="330"/>
    <n v="17307"/>
    <n v="2063"/>
    <n v="252897"/>
    <n v="33958"/>
    <n v="218939"/>
    <n v="118840"/>
    <n v="100099"/>
  </r>
  <r>
    <s v="12"/>
    <x v="6"/>
    <x v="224"/>
    <x v="224"/>
    <n v="52.34"/>
    <n v="454.7"/>
    <n v="507.04"/>
    <n v="0.97"/>
    <n v="9"/>
    <n v="0"/>
    <n v="464"/>
    <n v="340.52"/>
    <n v="62.45"/>
    <n v="69.930000000000007"/>
    <n v="34.31"/>
    <n v="4.09"/>
    <n v="172657"/>
    <n v="0"/>
    <n v="172657"/>
    <n v="28977"/>
    <n v="32448"/>
    <n v="330"/>
    <n v="17397"/>
    <n v="2074"/>
    <n v="253883"/>
    <n v="31537"/>
    <n v="222346"/>
    <n v="122049"/>
    <n v="100297"/>
  </r>
  <r>
    <s v="12"/>
    <x v="6"/>
    <x v="225"/>
    <x v="225"/>
    <n v="105.51"/>
    <n v="641.70000000000005"/>
    <n v="747.21"/>
    <n v="1.44"/>
    <n v="135"/>
    <n v="0"/>
    <n v="777"/>
    <n v="340.52"/>
    <n v="62.45"/>
    <n v="69.930000000000007"/>
    <n v="34.31"/>
    <n v="4.09"/>
    <n v="254440"/>
    <n v="0"/>
    <n v="254440"/>
    <n v="48524"/>
    <n v="54336"/>
    <n v="490"/>
    <n v="25637"/>
    <n v="3056"/>
    <n v="386483"/>
    <n v="54933"/>
    <n v="331550"/>
    <n v="171404"/>
    <n v="160146"/>
  </r>
  <r>
    <s v="12"/>
    <x v="6"/>
    <x v="226"/>
    <x v="226"/>
    <n v="50.74"/>
    <n v="557.1"/>
    <n v="607.84"/>
    <n v="1.17"/>
    <n v="8"/>
    <n v="0"/>
    <n v="565"/>
    <n v="340.52"/>
    <n v="62.45"/>
    <n v="69.930000000000007"/>
    <n v="34.31"/>
    <n v="4.09"/>
    <n v="206982"/>
    <n v="0"/>
    <n v="206982"/>
    <n v="35284"/>
    <n v="39510"/>
    <n v="398"/>
    <n v="20855"/>
    <n v="2486"/>
    <n v="305515"/>
    <n v="34075"/>
    <n v="271440"/>
    <n v="150045"/>
    <n v="121395"/>
  </r>
  <r>
    <s v="12"/>
    <x v="6"/>
    <x v="227"/>
    <x v="227"/>
    <n v="69.25"/>
    <n v="471.1"/>
    <n v="540.35"/>
    <n v="1.04"/>
    <n v="8"/>
    <n v="0"/>
    <n v="479"/>
    <n v="340.52"/>
    <n v="62.45"/>
    <n v="69.930000000000007"/>
    <n v="34.31"/>
    <n v="4.09"/>
    <n v="184000"/>
    <n v="0"/>
    <n v="184000"/>
    <n v="29914"/>
    <n v="33496"/>
    <n v="354"/>
    <n v="18539"/>
    <n v="2210"/>
    <n v="268513"/>
    <n v="28587"/>
    <n v="239926"/>
    <n v="135089"/>
    <n v="104837"/>
  </r>
  <r>
    <s v="12"/>
    <x v="6"/>
    <x v="228"/>
    <x v="228"/>
    <n v="58.84"/>
    <n v="611.5"/>
    <n v="670.34"/>
    <n v="1.29"/>
    <n v="19"/>
    <n v="0"/>
    <n v="631"/>
    <n v="340.52"/>
    <n v="62.45"/>
    <n v="69.930000000000007"/>
    <n v="34.31"/>
    <n v="4.09"/>
    <n v="228264"/>
    <n v="0"/>
    <n v="228264"/>
    <n v="39406"/>
    <n v="44126"/>
    <n v="439"/>
    <n v="22999"/>
    <n v="2742"/>
    <n v="337976"/>
    <n v="37024"/>
    <n v="300952"/>
    <n v="166027"/>
    <n v="134925"/>
  </r>
  <r>
    <s v="12"/>
    <x v="6"/>
    <x v="229"/>
    <x v="229"/>
    <n v="337.9"/>
    <n v="2235.3000000000002"/>
    <n v="2573.1999999999998"/>
    <n v="4.95"/>
    <n v="461"/>
    <n v="2.8"/>
    <n v="2694"/>
    <n v="340.52"/>
    <n v="62.45"/>
    <n v="69.930000000000007"/>
    <n v="34.31"/>
    <n v="4.09"/>
    <n v="876226"/>
    <n v="0"/>
    <n v="876226"/>
    <n v="168240"/>
    <n v="188391"/>
    <n v="1686"/>
    <n v="88286"/>
    <n v="10524"/>
    <n v="1333353"/>
    <n v="138160"/>
    <n v="1195193"/>
    <n v="641282"/>
    <n v="553911"/>
  </r>
  <r>
    <s v="12"/>
    <x v="6"/>
    <x v="230"/>
    <x v="230"/>
    <n v="79.41"/>
    <n v="593.79999999999995"/>
    <n v="673.21"/>
    <n v="1.3"/>
    <n v="29"/>
    <n v="0.1"/>
    <n v="623"/>
    <n v="340.52"/>
    <n v="62.45"/>
    <n v="69.930000000000007"/>
    <n v="34.31"/>
    <n v="4.09"/>
    <n v="229241"/>
    <n v="6136"/>
    <n v="235377"/>
    <n v="38906"/>
    <n v="43566"/>
    <n v="443"/>
    <n v="23098"/>
    <n v="2753"/>
    <n v="344143"/>
    <n v="55873"/>
    <n v="288270"/>
    <n v="148049"/>
    <n v="140221"/>
  </r>
  <r>
    <s v="12"/>
    <x v="6"/>
    <x v="231"/>
    <x v="231"/>
    <n v="46.13"/>
    <n v="465.2"/>
    <n v="511.33"/>
    <n v="0.98"/>
    <n v="12"/>
    <n v="0"/>
    <n v="477"/>
    <n v="340.52"/>
    <n v="62.45"/>
    <n v="69.930000000000007"/>
    <n v="34.31"/>
    <n v="4.09"/>
    <n v="174118"/>
    <n v="0"/>
    <n v="174118"/>
    <n v="29789"/>
    <n v="33357"/>
    <n v="334"/>
    <n v="17544"/>
    <n v="2091"/>
    <n v="257233"/>
    <n v="36788"/>
    <n v="220445"/>
    <n v="118097"/>
    <n v="102348"/>
  </r>
  <r>
    <s v="12"/>
    <x v="6"/>
    <x v="232"/>
    <x v="232"/>
    <n v="208.21"/>
    <n v="1516.1"/>
    <n v="1724.31"/>
    <n v="3.32"/>
    <n v="545"/>
    <n v="8.3000000000000007"/>
    <n v="2053"/>
    <n v="340.52"/>
    <n v="62.45"/>
    <n v="69.930000000000007"/>
    <n v="34.31"/>
    <n v="4.09"/>
    <n v="587162"/>
    <n v="0"/>
    <n v="587162"/>
    <n v="128210"/>
    <n v="143566"/>
    <n v="1131"/>
    <n v="59161"/>
    <n v="7052"/>
    <n v="926282"/>
    <n v="93463"/>
    <n v="832819"/>
    <n v="428844"/>
    <n v="403975"/>
  </r>
  <r>
    <s v="12"/>
    <x v="6"/>
    <x v="233"/>
    <x v="233"/>
    <n v="124.48"/>
    <n v="925.2"/>
    <n v="1049.68"/>
    <n v="2.02"/>
    <n v="14"/>
    <n v="0"/>
    <n v="939"/>
    <n v="340.52"/>
    <n v="62.45"/>
    <n v="69.930000000000007"/>
    <n v="34.31"/>
    <n v="4.09"/>
    <n v="357437"/>
    <n v="0"/>
    <n v="357437"/>
    <n v="58641"/>
    <n v="65664"/>
    <n v="688"/>
    <n v="36015"/>
    <n v="4293"/>
    <n v="522738"/>
    <n v="76129"/>
    <n v="446609"/>
    <n v="241828"/>
    <n v="204781"/>
  </r>
  <r>
    <s v="12"/>
    <x v="6"/>
    <x v="234"/>
    <x v="234"/>
    <n v="60.72"/>
    <n v="334"/>
    <n v="394.72"/>
    <n v="0.76"/>
    <n v="176"/>
    <n v="3"/>
    <n v="507"/>
    <n v="340.52"/>
    <n v="62.45"/>
    <n v="69.930000000000007"/>
    <n v="34.31"/>
    <n v="4.09"/>
    <n v="134410"/>
    <n v="0"/>
    <n v="134410"/>
    <n v="31662"/>
    <n v="35455"/>
    <n v="259"/>
    <n v="13543"/>
    <n v="1614"/>
    <n v="216943"/>
    <n v="31912"/>
    <n v="185031"/>
    <n v="87652"/>
    <n v="97379"/>
  </r>
  <r>
    <s v="12"/>
    <x v="6"/>
    <x v="235"/>
    <x v="235"/>
    <n v="65.8"/>
    <n v="372.4"/>
    <n v="438.2"/>
    <n v="0.84"/>
    <n v="3"/>
    <n v="0"/>
    <n v="375"/>
    <n v="340.52"/>
    <n v="62.45"/>
    <n v="69.930000000000007"/>
    <n v="34.31"/>
    <n v="4.09"/>
    <n v="149216"/>
    <n v="74"/>
    <n v="149290"/>
    <n v="23419"/>
    <n v="26224"/>
    <n v="286"/>
    <n v="15035"/>
    <n v="1792"/>
    <n v="216046"/>
    <n v="32591"/>
    <n v="183455"/>
    <n v="100143"/>
    <n v="83312"/>
  </r>
  <r>
    <s v="12"/>
    <x v="6"/>
    <x v="236"/>
    <x v="236"/>
    <n v="78.47"/>
    <n v="851.2"/>
    <n v="929.67"/>
    <n v="1.79"/>
    <n v="448"/>
    <n v="2"/>
    <n v="1297"/>
    <n v="340.52"/>
    <n v="62.45"/>
    <n v="69.930000000000007"/>
    <n v="34.31"/>
    <n v="4.09"/>
    <n v="316571"/>
    <n v="0"/>
    <n v="316571"/>
    <n v="80998"/>
    <n v="90699"/>
    <n v="610"/>
    <n v="31897"/>
    <n v="3802"/>
    <n v="524577"/>
    <n v="37632"/>
    <n v="486945"/>
    <n v="243972"/>
    <n v="242973"/>
  </r>
  <r>
    <s v="12"/>
    <x v="6"/>
    <x v="237"/>
    <x v="237"/>
    <n v="35.24"/>
    <n v="216"/>
    <n v="251.24"/>
    <n v="0.48"/>
    <n v="4"/>
    <n v="0"/>
    <n v="220"/>
    <n v="340.52"/>
    <n v="62.45"/>
    <n v="69.930000000000007"/>
    <n v="34.31"/>
    <n v="4.09"/>
    <n v="85552"/>
    <n v="19407"/>
    <n v="104959"/>
    <n v="13739"/>
    <n v="15385"/>
    <n v="163"/>
    <n v="8789"/>
    <n v="1047"/>
    <n v="144082"/>
    <n v="18327"/>
    <n v="125755"/>
    <n v="57963"/>
    <n v="67792"/>
  </r>
  <r>
    <s v="12"/>
    <x v="6"/>
    <x v="238"/>
    <x v="238"/>
    <n v="209.62"/>
    <n v="1423.6"/>
    <n v="1633.22"/>
    <n v="3.15"/>
    <n v="29"/>
    <n v="0"/>
    <n v="1453"/>
    <n v="340.52"/>
    <n v="62.45"/>
    <n v="69.930000000000007"/>
    <n v="34.31"/>
    <n v="4.09"/>
    <n v="556144"/>
    <n v="0"/>
    <n v="556144"/>
    <n v="90740"/>
    <n v="101608"/>
    <n v="1073"/>
    <n v="56036"/>
    <n v="6680"/>
    <n v="812281"/>
    <n v="74294"/>
    <n v="737987"/>
    <n v="420424"/>
    <n v="317563"/>
  </r>
  <r>
    <s v="12"/>
    <x v="6"/>
    <x v="239"/>
    <x v="239"/>
    <n v="153.68"/>
    <n v="1102.5999999999999"/>
    <n v="1256.28"/>
    <n v="2.42"/>
    <n v="178"/>
    <n v="3.7"/>
    <n v="1277"/>
    <n v="340.52"/>
    <n v="62.45"/>
    <n v="69.930000000000007"/>
    <n v="34.31"/>
    <n v="4.09"/>
    <n v="427788"/>
    <n v="0"/>
    <n v="427788"/>
    <n v="79749"/>
    <n v="89301"/>
    <n v="824"/>
    <n v="43103"/>
    <n v="5138"/>
    <n v="645903"/>
    <n v="69819"/>
    <n v="576084"/>
    <n v="310719"/>
    <n v="265365"/>
  </r>
  <r>
    <s v="12"/>
    <x v="6"/>
    <x v="240"/>
    <x v="240"/>
    <n v="76.62"/>
    <n v="689"/>
    <n v="765.62"/>
    <n v="1.47"/>
    <n v="22"/>
    <n v="0"/>
    <n v="711"/>
    <n v="340.52"/>
    <n v="62.45"/>
    <n v="69.930000000000007"/>
    <n v="34.31"/>
    <n v="4.09"/>
    <n v="260709"/>
    <n v="0"/>
    <n v="260709"/>
    <n v="44402"/>
    <n v="49720"/>
    <n v="501"/>
    <n v="26268"/>
    <n v="3131"/>
    <n v="384731"/>
    <n v="57729"/>
    <n v="327002"/>
    <n v="174182"/>
    <n v="152820"/>
  </r>
  <r>
    <s v="12"/>
    <x v="6"/>
    <x v="241"/>
    <x v="241"/>
    <n v="187.34"/>
    <n v="1500.4"/>
    <n v="1687.74"/>
    <n v="3.25"/>
    <n v="715"/>
    <n v="0"/>
    <n v="2215"/>
    <n v="340.52"/>
    <n v="62.45"/>
    <n v="69.930000000000007"/>
    <n v="34.31"/>
    <n v="4.09"/>
    <n v="574709"/>
    <n v="0"/>
    <n v="574709"/>
    <n v="138327"/>
    <n v="154895"/>
    <n v="1107"/>
    <n v="57906"/>
    <n v="6903"/>
    <n v="933847"/>
    <n v="63519"/>
    <n v="870328"/>
    <n v="447711"/>
    <n v="422617"/>
  </r>
  <r>
    <s v="12"/>
    <x v="6"/>
    <x v="242"/>
    <x v="242"/>
    <n v="2406.46"/>
    <n v="14839.5"/>
    <n v="17245.96"/>
    <n v="33.21"/>
    <n v="1538"/>
    <n v="14.5"/>
    <n v="16363"/>
    <n v="340.52"/>
    <n v="62.45"/>
    <n v="69.930000000000007"/>
    <n v="34.31"/>
    <n v="4.09"/>
    <n v="5872594"/>
    <n v="0"/>
    <n v="5872594"/>
    <n v="1021869"/>
    <n v="1144265"/>
    <n v="11309"/>
    <n v="591709"/>
    <n v="70536"/>
    <n v="8712282"/>
    <n v="892151"/>
    <n v="7820131"/>
    <n v="4331795"/>
    <n v="3488336"/>
  </r>
  <r>
    <s v="12"/>
    <x v="6"/>
    <x v="243"/>
    <x v="243"/>
    <n v="126.17"/>
    <n v="561.5"/>
    <n v="687.67"/>
    <n v="1.33"/>
    <n v="69"/>
    <n v="2.7"/>
    <n v="628"/>
    <n v="340.52"/>
    <n v="62.45"/>
    <n v="69.930000000000007"/>
    <n v="34.31"/>
    <n v="4.09"/>
    <n v="234165"/>
    <n v="0"/>
    <n v="234165"/>
    <n v="39219"/>
    <n v="43916"/>
    <n v="453"/>
    <n v="23594"/>
    <n v="2813"/>
    <n v="344160"/>
    <n v="51982"/>
    <n v="292178"/>
    <n v="156321"/>
    <n v="135857"/>
  </r>
  <r>
    <s v="12"/>
    <x v="6"/>
    <x v="244"/>
    <x v="244"/>
    <n v="86.6"/>
    <n v="938.4"/>
    <n v="1025"/>
    <n v="1.97"/>
    <n v="146"/>
    <n v="0"/>
    <n v="1084"/>
    <n v="340.52"/>
    <n v="62.45"/>
    <n v="69.930000000000007"/>
    <n v="34.31"/>
    <n v="4.09"/>
    <n v="349033"/>
    <n v="0"/>
    <n v="349033"/>
    <n v="67696"/>
    <n v="75804"/>
    <n v="671"/>
    <n v="35168"/>
    <n v="4192"/>
    <n v="532564"/>
    <n v="51172"/>
    <n v="481392"/>
    <n v="259308"/>
    <n v="222084"/>
  </r>
  <r>
    <s v="12"/>
    <x v="6"/>
    <x v="245"/>
    <x v="245"/>
    <n v="109.53"/>
    <n v="601.79999999999995"/>
    <n v="711.33"/>
    <n v="1.37"/>
    <n v="4"/>
    <n v="0"/>
    <n v="606"/>
    <n v="340.52"/>
    <n v="62.45"/>
    <n v="69.930000000000007"/>
    <n v="34.31"/>
    <n v="4.09"/>
    <n v="242222"/>
    <n v="0"/>
    <n v="242222"/>
    <n v="37845"/>
    <n v="42378"/>
    <n v="467"/>
    <n v="24406"/>
    <n v="2909"/>
    <n v="350227"/>
    <n v="44237"/>
    <n v="305990"/>
    <n v="171231"/>
    <n v="134759"/>
  </r>
  <r>
    <s v="12"/>
    <x v="6"/>
    <x v="246"/>
    <x v="246"/>
    <n v="122.76"/>
    <n v="795.1"/>
    <n v="917.86"/>
    <n v="1.77"/>
    <n v="76"/>
    <n v="0"/>
    <n v="871"/>
    <n v="340.52"/>
    <n v="62.45"/>
    <n v="69.930000000000007"/>
    <n v="34.31"/>
    <n v="4.09"/>
    <n v="312550"/>
    <n v="2883"/>
    <n v="315433"/>
    <n v="54394"/>
    <n v="60909"/>
    <n v="603"/>
    <n v="31513"/>
    <n v="3756"/>
    <n v="466608"/>
    <n v="48756"/>
    <n v="417852"/>
    <n v="229295"/>
    <n v="188557"/>
  </r>
  <r>
    <s v="12"/>
    <x v="6"/>
    <x v="247"/>
    <x v="247"/>
    <n v="73.86"/>
    <n v="531.70000000000005"/>
    <n v="605.55999999999995"/>
    <n v="1.17"/>
    <n v="7"/>
    <n v="0"/>
    <n v="539"/>
    <n v="340.52"/>
    <n v="62.45"/>
    <n v="69.930000000000007"/>
    <n v="34.31"/>
    <n v="4.09"/>
    <n v="206205"/>
    <n v="0"/>
    <n v="206205"/>
    <n v="33661"/>
    <n v="37692"/>
    <n v="398"/>
    <n v="20777"/>
    <n v="2477"/>
    <n v="301210"/>
    <n v="41952"/>
    <n v="259258"/>
    <n v="141479"/>
    <n v="117779"/>
  </r>
  <r>
    <s v="12"/>
    <x v="6"/>
    <x v="248"/>
    <x v="248"/>
    <n v="22.91"/>
    <n v="184.4"/>
    <n v="207.31"/>
    <n v="0.4"/>
    <n v="0"/>
    <n v="0"/>
    <n v="184"/>
    <n v="340.52"/>
    <n v="62.45"/>
    <n v="69.930000000000007"/>
    <n v="34.31"/>
    <n v="4.09"/>
    <n v="70593"/>
    <n v="2339"/>
    <n v="72932"/>
    <n v="11491"/>
    <n v="12867"/>
    <n v="136"/>
    <n v="7289"/>
    <n v="869"/>
    <n v="105584"/>
    <n v="14447"/>
    <n v="91137"/>
    <n v="48546"/>
    <n v="42591"/>
  </r>
  <r>
    <s v="12"/>
    <x v="6"/>
    <x v="249"/>
    <x v="249"/>
    <n v="80.12"/>
    <n v="516.5"/>
    <n v="596.62"/>
    <n v="1.1499999999999999"/>
    <n v="1"/>
    <n v="0"/>
    <n v="518"/>
    <n v="340.52"/>
    <n v="62.45"/>
    <n v="69.930000000000007"/>
    <n v="34.31"/>
    <n v="4.09"/>
    <n v="203161"/>
    <n v="1160"/>
    <n v="204321"/>
    <n v="32349"/>
    <n v="36224"/>
    <n v="392"/>
    <n v="20470"/>
    <n v="2440"/>
    <n v="296196"/>
    <n v="36101"/>
    <n v="260095"/>
    <n v="144620"/>
    <n v="115475"/>
  </r>
  <r>
    <s v="13"/>
    <x v="7"/>
    <x v="250"/>
    <x v="250"/>
    <n v="100.49"/>
    <n v="792.6"/>
    <n v="893.09"/>
    <n v="1.87"/>
    <n v="2"/>
    <n v="0"/>
    <n v="795"/>
    <n v="333.94"/>
    <n v="62.17"/>
    <n v="68.73"/>
    <n v="34.29"/>
    <n v="3.7"/>
    <n v="298238"/>
    <n v="0"/>
    <n v="298238"/>
    <n v="49425"/>
    <n v="54640"/>
    <n v="624"/>
    <n v="30624"/>
    <n v="3304"/>
    <n v="436855"/>
    <n v="55456"/>
    <n v="381399"/>
    <n v="214741"/>
    <n v="166658"/>
  </r>
  <r>
    <s v="13"/>
    <x v="7"/>
    <x v="251"/>
    <x v="251"/>
    <n v="253.9"/>
    <n v="1401.9"/>
    <n v="1655.8"/>
    <n v="3.47"/>
    <n v="1"/>
    <n v="0"/>
    <n v="1403"/>
    <n v="333.94"/>
    <n v="62.17"/>
    <n v="68.73"/>
    <n v="34.29"/>
    <n v="3.7"/>
    <n v="552938"/>
    <n v="0"/>
    <n v="552938"/>
    <n v="87225"/>
    <n v="96428"/>
    <n v="1159"/>
    <n v="56777"/>
    <n v="6126"/>
    <n v="800653"/>
    <n v="90232"/>
    <n v="710421"/>
    <n v="410718"/>
    <n v="299703"/>
  </r>
  <r>
    <s v="13"/>
    <x v="7"/>
    <x v="252"/>
    <x v="252"/>
    <n v="56.56"/>
    <n v="501.8"/>
    <n v="558.36"/>
    <n v="1.17"/>
    <n v="7"/>
    <n v="0"/>
    <n v="509"/>
    <n v="333.94"/>
    <n v="62.17"/>
    <n v="68.73"/>
    <n v="34.29"/>
    <n v="3.7"/>
    <n v="186459"/>
    <n v="0"/>
    <n v="186459"/>
    <n v="31645"/>
    <n v="34984"/>
    <n v="391"/>
    <n v="19146"/>
    <n v="2066"/>
    <n v="274691"/>
    <n v="39128"/>
    <n v="235563"/>
    <n v="129800"/>
    <n v="105763"/>
  </r>
  <r>
    <s v="13"/>
    <x v="7"/>
    <x v="253"/>
    <x v="253"/>
    <n v="38.68"/>
    <n v="379.2"/>
    <n v="417.88"/>
    <n v="0.88"/>
    <n v="3"/>
    <n v="0"/>
    <n v="382"/>
    <n v="333.94"/>
    <n v="62.17"/>
    <n v="68.73"/>
    <n v="34.29"/>
    <n v="3.7"/>
    <n v="139547"/>
    <n v="3784"/>
    <n v="143331"/>
    <n v="23749"/>
    <n v="26255"/>
    <n v="294"/>
    <n v="14695"/>
    <n v="1580"/>
    <n v="209904"/>
    <n v="33687"/>
    <n v="176217"/>
    <n v="93141"/>
    <n v="83076"/>
  </r>
  <r>
    <s v="13"/>
    <x v="7"/>
    <x v="254"/>
    <x v="254"/>
    <n v="54.37"/>
    <n v="463.9"/>
    <n v="518.27"/>
    <n v="1.0900000000000001"/>
    <n v="2"/>
    <n v="0"/>
    <n v="466"/>
    <n v="333.94"/>
    <n v="62.17"/>
    <n v="68.73"/>
    <n v="34.29"/>
    <n v="3.7"/>
    <n v="173071"/>
    <n v="0"/>
    <n v="173071"/>
    <n v="28971"/>
    <n v="32028"/>
    <n v="364"/>
    <n v="17771"/>
    <n v="1918"/>
    <n v="254123"/>
    <n v="33906"/>
    <n v="220217"/>
    <n v="122894"/>
    <n v="97323"/>
  </r>
  <r>
    <s v="13"/>
    <x v="7"/>
    <x v="255"/>
    <x v="255"/>
    <n v="101.59"/>
    <n v="642.70000000000005"/>
    <n v="744.29"/>
    <n v="1.56"/>
    <n v="0"/>
    <n v="0"/>
    <n v="643"/>
    <n v="333.94"/>
    <n v="62.17"/>
    <n v="68.73"/>
    <n v="34.29"/>
    <n v="3.7"/>
    <n v="248548"/>
    <n v="0"/>
    <n v="248548"/>
    <n v="39975"/>
    <n v="44193"/>
    <n v="521"/>
    <n v="25522"/>
    <n v="2754"/>
    <n v="361513"/>
    <n v="46870"/>
    <n v="314643"/>
    <n v="178310"/>
    <n v="136333"/>
  </r>
  <r>
    <s v="13"/>
    <x v="7"/>
    <x v="256"/>
    <x v="256"/>
    <n v="125.75"/>
    <n v="989.1"/>
    <n v="1114.8499999999999"/>
    <n v="2.34"/>
    <n v="59"/>
    <n v="1.4"/>
    <n v="1047"/>
    <n v="333.94"/>
    <n v="62.17"/>
    <n v="68.73"/>
    <n v="34.29"/>
    <n v="3.7"/>
    <n v="372293"/>
    <n v="0"/>
    <n v="372293"/>
    <n v="65092"/>
    <n v="71960"/>
    <n v="781"/>
    <n v="38228"/>
    <n v="4125"/>
    <n v="552479"/>
    <n v="65764"/>
    <n v="486715"/>
    <n v="271527"/>
    <n v="215188"/>
  </r>
  <r>
    <s v="13"/>
    <x v="7"/>
    <x v="257"/>
    <x v="257"/>
    <n v="176.77"/>
    <n v="1442.5"/>
    <n v="1619.27"/>
    <n v="3.4"/>
    <n v="0"/>
    <n v="0"/>
    <n v="1443"/>
    <n v="333.94"/>
    <n v="62.17"/>
    <n v="68.73"/>
    <n v="34.29"/>
    <n v="3.7"/>
    <n v="540739"/>
    <n v="0"/>
    <n v="540739"/>
    <n v="89711"/>
    <n v="99177"/>
    <n v="1135"/>
    <n v="55525"/>
    <n v="5991"/>
    <n v="792278"/>
    <n v="87382"/>
    <n v="704896"/>
    <n v="402519"/>
    <n v="302377"/>
  </r>
  <r>
    <s v="13"/>
    <x v="7"/>
    <x v="258"/>
    <x v="258"/>
    <n v="47.11"/>
    <n v="382.1"/>
    <n v="429.21"/>
    <n v="0.9"/>
    <n v="2"/>
    <n v="0"/>
    <n v="384"/>
    <n v="333.94"/>
    <n v="62.17"/>
    <n v="68.73"/>
    <n v="34.29"/>
    <n v="3.7"/>
    <n v="143330"/>
    <n v="8220"/>
    <n v="151550"/>
    <n v="23873"/>
    <n v="26392"/>
    <n v="301"/>
    <n v="15355"/>
    <n v="1651"/>
    <n v="219122"/>
    <n v="38021"/>
    <n v="181101"/>
    <n v="92534"/>
    <n v="88567"/>
  </r>
  <r>
    <s v="13"/>
    <x v="7"/>
    <x v="259"/>
    <x v="259"/>
    <n v="2229.31"/>
    <n v="8707.7000000000007"/>
    <n v="10937.01"/>
    <n v="22.93"/>
    <n v="436"/>
    <n v="2.2000000000000002"/>
    <n v="9142"/>
    <n v="333.94"/>
    <n v="62.17"/>
    <n v="68.73"/>
    <n v="34.29"/>
    <n v="3.7"/>
    <n v="3652305"/>
    <n v="0"/>
    <n v="3652305"/>
    <n v="568358"/>
    <n v="628330"/>
    <n v="7657"/>
    <n v="375030"/>
    <n v="40467"/>
    <n v="5272147"/>
    <n v="592105"/>
    <n v="4680042"/>
    <n v="2716816"/>
    <n v="1963226"/>
  </r>
  <r>
    <s v="13"/>
    <x v="7"/>
    <x v="260"/>
    <x v="260"/>
    <n v="190.88"/>
    <n v="1397"/>
    <n v="1587.88"/>
    <n v="3.33"/>
    <n v="107"/>
    <n v="0.1"/>
    <n v="1504"/>
    <n v="333.94"/>
    <n v="62.17"/>
    <n v="68.73"/>
    <n v="34.29"/>
    <n v="3.7"/>
    <n v="530257"/>
    <n v="0"/>
    <n v="530257"/>
    <n v="93504"/>
    <n v="103370"/>
    <n v="1112"/>
    <n v="54448"/>
    <n v="5875"/>
    <n v="788566"/>
    <n v="96962"/>
    <n v="691604"/>
    <n v="383440"/>
    <n v="308164"/>
  </r>
  <r>
    <s v="13"/>
    <x v="7"/>
    <x v="261"/>
    <x v="261"/>
    <n v="13.83"/>
    <n v="112"/>
    <n v="125.83"/>
    <n v="0.26"/>
    <n v="0"/>
    <n v="0"/>
    <n v="112"/>
    <n v="333.94"/>
    <n v="62.17"/>
    <n v="68.73"/>
    <n v="34.29"/>
    <n v="3.7"/>
    <n v="42020"/>
    <n v="0"/>
    <n v="42020"/>
    <n v="6963"/>
    <n v="7698"/>
    <n v="87"/>
    <n v="4315"/>
    <n v="466"/>
    <n v="61549"/>
    <n v="8451"/>
    <n v="53098"/>
    <n v="29618"/>
    <n v="23480"/>
  </r>
  <r>
    <s v="13"/>
    <x v="7"/>
    <x v="262"/>
    <x v="262"/>
    <n v="90.67"/>
    <n v="528.5"/>
    <n v="619.16999999999996"/>
    <n v="1.3"/>
    <n v="0"/>
    <n v="0"/>
    <n v="529"/>
    <n v="333.94"/>
    <n v="62.17"/>
    <n v="68.73"/>
    <n v="34.29"/>
    <n v="3.7"/>
    <n v="206766"/>
    <n v="0"/>
    <n v="206766"/>
    <n v="32888"/>
    <n v="36358"/>
    <n v="434"/>
    <n v="21231"/>
    <n v="2291"/>
    <n v="299968"/>
    <n v="41163"/>
    <n v="258805"/>
    <n v="146163"/>
    <n v="112642"/>
  </r>
  <r>
    <s v="13"/>
    <x v="7"/>
    <x v="263"/>
    <x v="263"/>
    <n v="69.930000000000007"/>
    <n v="472.5"/>
    <n v="542.42999999999995"/>
    <n v="1.1399999999999999"/>
    <n v="5"/>
    <n v="0"/>
    <n v="478"/>
    <n v="333.94"/>
    <n v="62.17"/>
    <n v="68.73"/>
    <n v="34.29"/>
    <n v="3.7"/>
    <n v="181139"/>
    <n v="0"/>
    <n v="181139"/>
    <n v="29717"/>
    <n v="32853"/>
    <n v="381"/>
    <n v="18600"/>
    <n v="2007"/>
    <n v="264697"/>
    <n v="33759"/>
    <n v="230938"/>
    <n v="130350"/>
    <n v="100588"/>
  </r>
  <r>
    <s v="13"/>
    <x v="7"/>
    <x v="264"/>
    <x v="264"/>
    <n v="31.37"/>
    <n v="185.5"/>
    <n v="216.87"/>
    <n v="0.46"/>
    <n v="3"/>
    <n v="0"/>
    <n v="189"/>
    <n v="333.94"/>
    <n v="62.17"/>
    <n v="68.73"/>
    <n v="34.29"/>
    <n v="3.7"/>
    <n v="72422"/>
    <n v="723"/>
    <n v="73145"/>
    <n v="11750"/>
    <n v="12990"/>
    <n v="154"/>
    <n v="7436"/>
    <n v="802"/>
    <n v="106277"/>
    <n v="15759"/>
    <n v="90518"/>
    <n v="49854"/>
    <n v="40664"/>
  </r>
  <r>
    <s v="13"/>
    <x v="7"/>
    <x v="265"/>
    <x v="265"/>
    <n v="64.63"/>
    <n v="434"/>
    <n v="498.63"/>
    <n v="1.05"/>
    <n v="1"/>
    <n v="0"/>
    <n v="435"/>
    <n v="333.94"/>
    <n v="62.17"/>
    <n v="68.73"/>
    <n v="34.29"/>
    <n v="3.7"/>
    <n v="166513"/>
    <n v="0"/>
    <n v="166513"/>
    <n v="27044"/>
    <n v="29898"/>
    <n v="351"/>
    <n v="17098"/>
    <n v="1845"/>
    <n v="242749"/>
    <n v="27555"/>
    <n v="215194"/>
    <n v="123304"/>
    <n v="91890"/>
  </r>
  <r>
    <s v="13"/>
    <x v="7"/>
    <x v="266"/>
    <x v="266"/>
    <n v="235.46"/>
    <n v="1918.9"/>
    <n v="2154.36"/>
    <n v="4.5199999999999996"/>
    <n v="12"/>
    <n v="0"/>
    <n v="1931"/>
    <n v="333.94"/>
    <n v="62.17"/>
    <n v="68.73"/>
    <n v="34.29"/>
    <n v="3.7"/>
    <n v="719427"/>
    <n v="0"/>
    <n v="719427"/>
    <n v="120050"/>
    <n v="132718"/>
    <n v="1509"/>
    <n v="73873"/>
    <n v="7971"/>
    <n v="1055548"/>
    <n v="117049"/>
    <n v="938499"/>
    <n v="534739"/>
    <n v="403760"/>
  </r>
  <r>
    <s v="13"/>
    <x v="7"/>
    <x v="267"/>
    <x v="267"/>
    <n v="88.14"/>
    <n v="447.8"/>
    <n v="535.94000000000005"/>
    <n v="1.1200000000000001"/>
    <n v="0"/>
    <n v="0"/>
    <n v="448"/>
    <n v="333.94"/>
    <n v="62.17"/>
    <n v="68.73"/>
    <n v="34.29"/>
    <n v="3.7"/>
    <n v="178972"/>
    <n v="3175"/>
    <n v="182147"/>
    <n v="27852"/>
    <n v="30791"/>
    <n v="374"/>
    <n v="18377"/>
    <n v="1983"/>
    <n v="261524"/>
    <n v="40807"/>
    <n v="220717"/>
    <n v="121337"/>
    <n v="99380"/>
  </r>
  <r>
    <s v="13"/>
    <x v="7"/>
    <x v="268"/>
    <x v="268"/>
    <n v="30.77"/>
    <n v="226"/>
    <n v="256.77"/>
    <n v="0.54"/>
    <n v="0"/>
    <n v="0"/>
    <n v="226"/>
    <n v="333.94"/>
    <n v="62.17"/>
    <n v="68.73"/>
    <n v="34.29"/>
    <n v="3.7"/>
    <n v="85746"/>
    <n v="0"/>
    <n v="85746"/>
    <n v="14050"/>
    <n v="15533"/>
    <n v="180"/>
    <n v="8805"/>
    <n v="950"/>
    <n v="125264"/>
    <n v="19715"/>
    <n v="105549"/>
    <n v="57970"/>
    <n v="47579"/>
  </r>
  <r>
    <s v="13"/>
    <x v="7"/>
    <x v="269"/>
    <x v="269"/>
    <n v="185.72"/>
    <n v="1375.3"/>
    <n v="1561.02"/>
    <n v="3.27"/>
    <n v="72"/>
    <n v="0.7"/>
    <n v="1447"/>
    <n v="333.94"/>
    <n v="62.17"/>
    <n v="68.73"/>
    <n v="34.29"/>
    <n v="3.7"/>
    <n v="521287"/>
    <n v="0"/>
    <n v="521287"/>
    <n v="89960"/>
    <n v="99452"/>
    <n v="1092"/>
    <n v="53527"/>
    <n v="5776"/>
    <n v="771094"/>
    <n v="99086"/>
    <n v="672008"/>
    <n v="373190"/>
    <n v="298818"/>
  </r>
  <r>
    <s v="13"/>
    <x v="7"/>
    <x v="270"/>
    <x v="270"/>
    <n v="89.09"/>
    <n v="666.1"/>
    <n v="755.19"/>
    <n v="1.58"/>
    <n v="12"/>
    <n v="0"/>
    <n v="678"/>
    <n v="333.94"/>
    <n v="62.17"/>
    <n v="68.73"/>
    <n v="34.29"/>
    <n v="3.7"/>
    <n v="252188"/>
    <n v="0"/>
    <n v="252188"/>
    <n v="42151"/>
    <n v="46599"/>
    <n v="528"/>
    <n v="25895"/>
    <n v="2794"/>
    <n v="370155"/>
    <n v="59154"/>
    <n v="311001"/>
    <n v="169322"/>
    <n v="141679"/>
  </r>
  <r>
    <s v="13"/>
    <x v="7"/>
    <x v="271"/>
    <x v="271"/>
    <n v="56.14"/>
    <n v="336.8"/>
    <n v="392.94"/>
    <n v="0.81"/>
    <n v="0"/>
    <n v="0"/>
    <n v="337"/>
    <n v="333.94"/>
    <n v="62.17"/>
    <n v="68.73"/>
    <n v="34.29"/>
    <n v="3.7"/>
    <n v="131218"/>
    <n v="0"/>
    <n v="131218"/>
    <n v="20951"/>
    <n v="23162"/>
    <n v="270"/>
    <n v="13474"/>
    <n v="1454"/>
    <n v="190529"/>
    <n v="22178"/>
    <n v="168351"/>
    <n v="96700"/>
    <n v="71651"/>
  </r>
  <r>
    <s v="13"/>
    <x v="7"/>
    <x v="272"/>
    <x v="272"/>
    <n v="44.38"/>
    <n v="450.4"/>
    <n v="494.78"/>
    <n v="1.04"/>
    <n v="1"/>
    <n v="0"/>
    <n v="451"/>
    <n v="333.94"/>
    <n v="62.17"/>
    <n v="68.73"/>
    <n v="34.29"/>
    <n v="3.7"/>
    <n v="165227"/>
    <n v="0"/>
    <n v="165227"/>
    <n v="28039"/>
    <n v="30997"/>
    <n v="347"/>
    <n v="16966"/>
    <n v="1831"/>
    <n v="243407"/>
    <n v="28654"/>
    <n v="214753"/>
    <n v="121039"/>
    <n v="93714"/>
  </r>
  <r>
    <s v="13"/>
    <x v="7"/>
    <x v="273"/>
    <x v="273"/>
    <n v="399.76"/>
    <n v="2655.6"/>
    <n v="3055.36"/>
    <n v="6.41"/>
    <n v="207"/>
    <n v="0.2"/>
    <n v="2862"/>
    <n v="333.94"/>
    <n v="62.17"/>
    <n v="68.73"/>
    <n v="34.29"/>
    <n v="3.7"/>
    <n v="1020307"/>
    <n v="0"/>
    <n v="1020307"/>
    <n v="177931"/>
    <n v="196705"/>
    <n v="2141"/>
    <n v="104768"/>
    <n v="11305"/>
    <n v="1513157"/>
    <n v="148030"/>
    <n v="1365127"/>
    <n v="776350"/>
    <n v="588777"/>
  </r>
  <r>
    <s v="13"/>
    <x v="7"/>
    <x v="274"/>
    <x v="274"/>
    <n v="55.56"/>
    <n v="602.9"/>
    <n v="658.46"/>
    <n v="1.38"/>
    <n v="0"/>
    <n v="0"/>
    <n v="603"/>
    <n v="333.94"/>
    <n v="62.17"/>
    <n v="68.73"/>
    <n v="34.29"/>
    <n v="3.7"/>
    <n v="219886"/>
    <n v="0"/>
    <n v="219886"/>
    <n v="37489"/>
    <n v="41444"/>
    <n v="461"/>
    <n v="22579"/>
    <n v="2436"/>
    <n v="324295"/>
    <n v="37423"/>
    <n v="286872"/>
    <n v="161790"/>
    <n v="125082"/>
  </r>
  <r>
    <s v="13"/>
    <x v="7"/>
    <x v="275"/>
    <x v="275"/>
    <n v="115.01"/>
    <n v="762.6"/>
    <n v="877.61"/>
    <n v="1.84"/>
    <n v="8"/>
    <n v="0"/>
    <n v="771"/>
    <n v="333.94"/>
    <n v="62.17"/>
    <n v="68.73"/>
    <n v="34.29"/>
    <n v="3.7"/>
    <n v="293069"/>
    <n v="0"/>
    <n v="293069"/>
    <n v="47933"/>
    <n v="52991"/>
    <n v="614"/>
    <n v="30093"/>
    <n v="3247"/>
    <n v="427947"/>
    <n v="58953"/>
    <n v="368994"/>
    <n v="206562"/>
    <n v="162432"/>
  </r>
  <r>
    <s v="13"/>
    <x v="7"/>
    <x v="276"/>
    <x v="276"/>
    <n v="45"/>
    <n v="211.6"/>
    <n v="256.60000000000002"/>
    <n v="0.54"/>
    <n v="0"/>
    <n v="0"/>
    <n v="212"/>
    <n v="333.94"/>
    <n v="62.17"/>
    <n v="68.73"/>
    <n v="34.29"/>
    <n v="3.7"/>
    <n v="85689"/>
    <n v="7179"/>
    <n v="92868"/>
    <n v="13180"/>
    <n v="14571"/>
    <n v="180"/>
    <n v="8955"/>
    <n v="963"/>
    <n v="130717"/>
    <n v="19343"/>
    <n v="111374"/>
    <n v="58460"/>
    <n v="52914"/>
  </r>
  <r>
    <s v="13"/>
    <x v="7"/>
    <x v="277"/>
    <x v="277"/>
    <n v="98.81"/>
    <n v="598.29999999999995"/>
    <n v="697.11"/>
    <n v="1.46"/>
    <n v="0"/>
    <n v="0"/>
    <n v="598"/>
    <n v="333.94"/>
    <n v="62.17"/>
    <n v="68.73"/>
    <n v="34.29"/>
    <n v="3.7"/>
    <n v="232793"/>
    <n v="0"/>
    <n v="232793"/>
    <n v="37178"/>
    <n v="41101"/>
    <n v="488"/>
    <n v="23904"/>
    <n v="2579"/>
    <n v="338043"/>
    <n v="51434"/>
    <n v="286609"/>
    <n v="159471"/>
    <n v="127138"/>
  </r>
  <r>
    <s v="13"/>
    <x v="7"/>
    <x v="278"/>
    <x v="278"/>
    <n v="26.78"/>
    <n v="221.8"/>
    <n v="248.58"/>
    <n v="0.52"/>
    <n v="3"/>
    <n v="0"/>
    <n v="225"/>
    <n v="333.94"/>
    <n v="62.17"/>
    <n v="68.73"/>
    <n v="34.29"/>
    <n v="3.7"/>
    <n v="83011"/>
    <n v="5082"/>
    <n v="88093"/>
    <n v="13988"/>
    <n v="15464"/>
    <n v="174"/>
    <n v="8524"/>
    <n v="920"/>
    <n v="127163"/>
    <n v="19736"/>
    <n v="107427"/>
    <n v="55470"/>
    <n v="51957"/>
  </r>
  <r>
    <s v="13"/>
    <x v="7"/>
    <x v="279"/>
    <x v="279"/>
    <n v="78.400000000000006"/>
    <n v="626.5"/>
    <n v="704.9"/>
    <n v="1.48"/>
    <n v="11"/>
    <n v="0"/>
    <n v="638"/>
    <n v="333.94"/>
    <n v="62.17"/>
    <n v="68.73"/>
    <n v="34.29"/>
    <n v="3.7"/>
    <n v="235394"/>
    <n v="0"/>
    <n v="235394"/>
    <n v="39664"/>
    <n v="43850"/>
    <n v="494"/>
    <n v="24171"/>
    <n v="2608"/>
    <n v="346181"/>
    <n v="51950"/>
    <n v="294231"/>
    <n v="161313"/>
    <n v="132918"/>
  </r>
  <r>
    <s v="13"/>
    <x v="7"/>
    <x v="280"/>
    <x v="280"/>
    <n v="39.229999999999997"/>
    <n v="178.1"/>
    <n v="217.33"/>
    <n v="0.46"/>
    <n v="3"/>
    <n v="0"/>
    <n v="181"/>
    <n v="333.94"/>
    <n v="62.17"/>
    <n v="68.73"/>
    <n v="34.29"/>
    <n v="3.7"/>
    <n v="72575"/>
    <n v="191"/>
    <n v="72766"/>
    <n v="11253"/>
    <n v="12440"/>
    <n v="154"/>
    <n v="7452"/>
    <n v="804"/>
    <n v="104869"/>
    <n v="18609"/>
    <n v="86260"/>
    <n v="47144"/>
    <n v="39116"/>
  </r>
  <r>
    <s v="13"/>
    <x v="7"/>
    <x v="281"/>
    <x v="281"/>
    <n v="131.41999999999999"/>
    <n v="1034.9000000000001"/>
    <n v="1166.32"/>
    <n v="2.44"/>
    <n v="0"/>
    <n v="0"/>
    <n v="1035"/>
    <n v="333.94"/>
    <n v="62.17"/>
    <n v="68.73"/>
    <n v="34.29"/>
    <n v="3.7"/>
    <n v="389481"/>
    <n v="5066"/>
    <n v="394547"/>
    <n v="64346"/>
    <n v="71136"/>
    <n v="815"/>
    <n v="40511"/>
    <n v="4357"/>
    <n v="575712"/>
    <n v="81514"/>
    <n v="494198"/>
    <n v="271907"/>
    <n v="222291"/>
  </r>
  <r>
    <s v="13"/>
    <x v="7"/>
    <x v="282"/>
    <x v="282"/>
    <n v="92.31"/>
    <n v="716.2"/>
    <n v="808.51"/>
    <n v="1.69"/>
    <n v="2"/>
    <n v="0"/>
    <n v="718"/>
    <n v="333.94"/>
    <n v="62.17"/>
    <n v="68.73"/>
    <n v="34.29"/>
    <n v="3.7"/>
    <n v="269994"/>
    <n v="0"/>
    <n v="269994"/>
    <n v="44638"/>
    <n v="49348"/>
    <n v="564"/>
    <n v="27724"/>
    <n v="2991"/>
    <n v="395259"/>
    <n v="43542"/>
    <n v="351717"/>
    <n v="201066"/>
    <n v="150651"/>
  </r>
  <r>
    <s v="13"/>
    <x v="7"/>
    <x v="283"/>
    <x v="283"/>
    <n v="129.59"/>
    <n v="1050.3"/>
    <n v="1179.8900000000001"/>
    <n v="2.4700000000000002"/>
    <n v="9"/>
    <n v="0"/>
    <n v="1059"/>
    <n v="333.94"/>
    <n v="62.17"/>
    <n v="68.73"/>
    <n v="34.29"/>
    <n v="3.7"/>
    <n v="394012"/>
    <n v="0"/>
    <n v="394012"/>
    <n v="65838"/>
    <n v="72785"/>
    <n v="825"/>
    <n v="40458"/>
    <n v="4366"/>
    <n v="578284"/>
    <n v="75256"/>
    <n v="503028"/>
    <n v="281711"/>
    <n v="221317"/>
  </r>
  <r>
    <s v="13"/>
    <x v="7"/>
    <x v="284"/>
    <x v="284"/>
    <n v="58.72"/>
    <n v="386"/>
    <n v="444.72"/>
    <n v="0.93"/>
    <n v="0"/>
    <n v="0"/>
    <n v="386"/>
    <n v="333.94"/>
    <n v="62.17"/>
    <n v="68.73"/>
    <n v="34.29"/>
    <n v="3.7"/>
    <n v="148510"/>
    <n v="0"/>
    <n v="148510"/>
    <n v="23998"/>
    <n v="26530"/>
    <n v="311"/>
    <n v="15249"/>
    <n v="1645"/>
    <n v="216243"/>
    <n v="29473"/>
    <n v="186770"/>
    <n v="105073"/>
    <n v="81697"/>
  </r>
  <r>
    <s v="13"/>
    <x v="7"/>
    <x v="285"/>
    <x v="285"/>
    <n v="32.08"/>
    <n v="193.4"/>
    <n v="225.48"/>
    <n v="0.47"/>
    <n v="2"/>
    <n v="0"/>
    <n v="195"/>
    <n v="333.94"/>
    <n v="62.17"/>
    <n v="68.73"/>
    <n v="34.29"/>
    <n v="3.7"/>
    <n v="75297"/>
    <n v="4479"/>
    <n v="79776"/>
    <n v="12123"/>
    <n v="13402"/>
    <n v="157"/>
    <n v="7958"/>
    <n v="856"/>
    <n v="114272"/>
    <n v="20519"/>
    <n v="93753"/>
    <n v="47946"/>
    <n v="45807"/>
  </r>
  <r>
    <s v="13"/>
    <x v="7"/>
    <x v="286"/>
    <x v="286"/>
    <n v="18.18"/>
    <n v="197"/>
    <n v="215.18"/>
    <n v="0.45"/>
    <n v="0"/>
    <n v="0"/>
    <n v="197"/>
    <n v="333.94"/>
    <n v="62.17"/>
    <n v="68.73"/>
    <n v="34.29"/>
    <n v="3.7"/>
    <n v="71857"/>
    <n v="0"/>
    <n v="71857"/>
    <n v="12247"/>
    <n v="13540"/>
    <n v="150"/>
    <n v="7379"/>
    <n v="796"/>
    <n v="105969"/>
    <n v="15810"/>
    <n v="90159"/>
    <n v="49291"/>
    <n v="40868"/>
  </r>
  <r>
    <s v="13"/>
    <x v="7"/>
    <x v="287"/>
    <x v="287"/>
    <n v="36.159999999999997"/>
    <n v="575.20000000000005"/>
    <n v="611.36"/>
    <n v="1.28"/>
    <n v="38"/>
    <n v="0"/>
    <n v="613"/>
    <n v="333.94"/>
    <n v="62.17"/>
    <n v="68.73"/>
    <n v="34.29"/>
    <n v="3.7"/>
    <n v="204158"/>
    <n v="1613"/>
    <n v="205771"/>
    <n v="38110"/>
    <n v="42131"/>
    <n v="427"/>
    <n v="21099"/>
    <n v="2269"/>
    <n v="309807"/>
    <n v="29815"/>
    <n v="279992"/>
    <n v="155290"/>
    <n v="124702"/>
  </r>
  <r>
    <s v="13"/>
    <x v="7"/>
    <x v="288"/>
    <x v="288"/>
    <n v="73.11"/>
    <n v="656.1"/>
    <n v="729.21"/>
    <n v="1.53"/>
    <n v="1"/>
    <n v="0"/>
    <n v="657"/>
    <n v="333.94"/>
    <n v="62.17"/>
    <n v="68.73"/>
    <n v="34.29"/>
    <n v="3.7"/>
    <n v="243512"/>
    <n v="0"/>
    <n v="243512"/>
    <n v="40846"/>
    <n v="45156"/>
    <n v="511"/>
    <n v="25005"/>
    <n v="2698"/>
    <n v="357728"/>
    <n v="43760"/>
    <n v="313968"/>
    <n v="176858"/>
    <n v="137110"/>
  </r>
  <r>
    <s v="13"/>
    <x v="7"/>
    <x v="289"/>
    <x v="289"/>
    <n v="77.48"/>
    <n v="764.7"/>
    <n v="842.18"/>
    <n v="1.77"/>
    <n v="20"/>
    <n v="0"/>
    <n v="785"/>
    <n v="333.94"/>
    <n v="62.17"/>
    <n v="68.73"/>
    <n v="34.29"/>
    <n v="3.7"/>
    <n v="281238"/>
    <n v="0"/>
    <n v="281238"/>
    <n v="48803"/>
    <n v="53953"/>
    <n v="591"/>
    <n v="28878"/>
    <n v="3116"/>
    <n v="416579"/>
    <n v="40458"/>
    <n v="376121"/>
    <n v="214339"/>
    <n v="161782"/>
  </r>
  <r>
    <s v="13"/>
    <x v="7"/>
    <x v="290"/>
    <x v="290"/>
    <n v="39.57"/>
    <n v="311.10000000000002"/>
    <n v="350.67"/>
    <n v="0.73"/>
    <n v="0"/>
    <n v="0"/>
    <n v="311"/>
    <n v="333.94"/>
    <n v="62.17"/>
    <n v="68.73"/>
    <n v="34.29"/>
    <n v="3.7"/>
    <n v="117103"/>
    <n v="0"/>
    <n v="117103"/>
    <n v="19335"/>
    <n v="21375"/>
    <n v="244"/>
    <n v="12024"/>
    <n v="1297"/>
    <n v="171378"/>
    <n v="27073"/>
    <n v="144305"/>
    <n v="79018"/>
    <n v="65287"/>
  </r>
  <r>
    <s v="13"/>
    <x v="7"/>
    <x v="291"/>
    <x v="291"/>
    <n v="56.45"/>
    <n v="356.3"/>
    <n v="412.75"/>
    <n v="0.87"/>
    <n v="0"/>
    <n v="0"/>
    <n v="356"/>
    <n v="333.94"/>
    <n v="62.17"/>
    <n v="68.73"/>
    <n v="34.29"/>
    <n v="3.7"/>
    <n v="137834"/>
    <n v="10126"/>
    <n v="147960"/>
    <n v="22133"/>
    <n v="24468"/>
    <n v="291"/>
    <n v="14153"/>
    <n v="1527"/>
    <n v="210532"/>
    <n v="33342"/>
    <n v="177190"/>
    <n v="91534"/>
    <n v="85656"/>
  </r>
  <r>
    <s v="13"/>
    <x v="7"/>
    <x v="292"/>
    <x v="292"/>
    <n v="55.55"/>
    <n v="466"/>
    <n v="521.54999999999995"/>
    <n v="1.0900000000000001"/>
    <n v="5"/>
    <n v="0"/>
    <n v="471"/>
    <n v="333.94"/>
    <n v="62.17"/>
    <n v="68.73"/>
    <n v="34.29"/>
    <n v="3.7"/>
    <n v="174166"/>
    <n v="0"/>
    <n v="174166"/>
    <n v="29282"/>
    <n v="32372"/>
    <n v="364"/>
    <n v="17884"/>
    <n v="1930"/>
    <n v="255998"/>
    <n v="33313"/>
    <n v="222685"/>
    <n v="124478"/>
    <n v="98207"/>
  </r>
  <r>
    <s v="15"/>
    <x v="8"/>
    <x v="293"/>
    <x v="293"/>
    <n v="135.1"/>
    <n v="1099.4000000000001"/>
    <n v="1234.5"/>
    <n v="2.89"/>
    <n v="3"/>
    <n v="0"/>
    <n v="1102"/>
    <n v="331.3"/>
    <n v="62.14"/>
    <n v="68.3"/>
    <n v="33.299999999999997"/>
    <n v="3.65"/>
    <n v="408990"/>
    <n v="986"/>
    <n v="409976"/>
    <n v="68478"/>
    <n v="75267"/>
    <n v="957"/>
    <n v="41179"/>
    <n v="4506"/>
    <n v="600363"/>
    <n v="76124"/>
    <n v="524239"/>
    <n v="296232"/>
    <n v="228007"/>
  </r>
  <r>
    <s v="15"/>
    <x v="8"/>
    <x v="294"/>
    <x v="294"/>
    <n v="770.55"/>
    <n v="3860.2"/>
    <n v="4630.75"/>
    <n v="10.85"/>
    <n v="274"/>
    <n v="2.7"/>
    <n v="4132"/>
    <n v="331.3"/>
    <n v="62.14"/>
    <n v="68.3"/>
    <n v="33.299999999999997"/>
    <n v="3.65"/>
    <n v="1534167"/>
    <n v="0"/>
    <n v="1534167"/>
    <n v="256762"/>
    <n v="282216"/>
    <n v="3595"/>
    <n v="154204"/>
    <n v="16902"/>
    <n v="2247846"/>
    <n v="302970"/>
    <n v="1944876"/>
    <n v="1093518"/>
    <n v="851358"/>
  </r>
  <r>
    <s v="15"/>
    <x v="8"/>
    <x v="295"/>
    <x v="295"/>
    <n v="90.46"/>
    <n v="573.5"/>
    <n v="663.96"/>
    <n v="1.56"/>
    <n v="0"/>
    <n v="0"/>
    <n v="574"/>
    <n v="331.3"/>
    <n v="62.14"/>
    <n v="68.3"/>
    <n v="33.299999999999997"/>
    <n v="3.65"/>
    <n v="219970"/>
    <n v="0"/>
    <n v="219970"/>
    <n v="35668"/>
    <n v="39204"/>
    <n v="517"/>
    <n v="22110"/>
    <n v="2423"/>
    <n v="319892"/>
    <n v="39171"/>
    <n v="280721"/>
    <n v="161059"/>
    <n v="119662"/>
  </r>
  <r>
    <s v="15"/>
    <x v="8"/>
    <x v="296"/>
    <x v="296"/>
    <n v="172.2"/>
    <n v="1331.8"/>
    <n v="1504"/>
    <n v="3.53"/>
    <n v="0"/>
    <n v="0"/>
    <n v="1332"/>
    <n v="331.3"/>
    <n v="62.14"/>
    <n v="68.3"/>
    <n v="33.299999999999997"/>
    <n v="3.65"/>
    <n v="498275"/>
    <n v="0"/>
    <n v="498275"/>
    <n v="82770"/>
    <n v="90976"/>
    <n v="1169"/>
    <n v="50083"/>
    <n v="5490"/>
    <n v="728763"/>
    <n v="100946"/>
    <n v="627817"/>
    <n v="352615"/>
    <n v="275202"/>
  </r>
  <r>
    <s v="15"/>
    <x v="8"/>
    <x v="297"/>
    <x v="297"/>
    <n v="93.57"/>
    <n v="803.1"/>
    <n v="896.67"/>
    <n v="2.1"/>
    <n v="5"/>
    <n v="0"/>
    <n v="808"/>
    <n v="331.3"/>
    <n v="62.14"/>
    <n v="68.3"/>
    <n v="33.299999999999997"/>
    <n v="3.65"/>
    <n v="297067"/>
    <n v="0"/>
    <n v="297067"/>
    <n v="50209"/>
    <n v="55186"/>
    <n v="696"/>
    <n v="29859"/>
    <n v="3273"/>
    <n v="436290"/>
    <n v="61225"/>
    <n v="375065"/>
    <n v="209182"/>
    <n v="165883"/>
  </r>
  <r>
    <s v="15"/>
    <x v="8"/>
    <x v="298"/>
    <x v="298"/>
    <n v="152.52000000000001"/>
    <n v="1271.3"/>
    <n v="1423.82"/>
    <n v="3.34"/>
    <n v="4"/>
    <n v="0"/>
    <n v="1275"/>
    <n v="331.3"/>
    <n v="62.14"/>
    <n v="68.3"/>
    <n v="33.299999999999997"/>
    <n v="3.65"/>
    <n v="471712"/>
    <n v="0"/>
    <n v="471712"/>
    <n v="79229"/>
    <n v="87083"/>
    <n v="1107"/>
    <n v="47413"/>
    <n v="5197"/>
    <n v="691741"/>
    <n v="91607"/>
    <n v="600134"/>
    <n v="337773"/>
    <n v="262361"/>
  </r>
  <r>
    <s v="15"/>
    <x v="8"/>
    <x v="299"/>
    <x v="299"/>
    <n v="44.69"/>
    <n v="432.4"/>
    <n v="477.09"/>
    <n v="1.1200000000000001"/>
    <n v="9"/>
    <n v="0"/>
    <n v="441"/>
    <n v="331.3"/>
    <n v="62.14"/>
    <n v="68.3"/>
    <n v="33.299999999999997"/>
    <n v="3.65"/>
    <n v="158060"/>
    <n v="15050"/>
    <n v="173110"/>
    <n v="27404"/>
    <n v="30120"/>
    <n v="371"/>
    <n v="16725"/>
    <n v="1828"/>
    <n v="249558"/>
    <n v="27274"/>
    <n v="222284"/>
    <n v="117526"/>
    <n v="104758"/>
  </r>
  <r>
    <s v="15"/>
    <x v="8"/>
    <x v="300"/>
    <x v="300"/>
    <n v="125.13"/>
    <n v="1148.7"/>
    <n v="1273.83"/>
    <n v="2.99"/>
    <n v="4"/>
    <n v="0"/>
    <n v="1153"/>
    <n v="331.3"/>
    <n v="62.14"/>
    <n v="68.3"/>
    <n v="33.299999999999997"/>
    <n v="3.65"/>
    <n v="422020"/>
    <n v="0"/>
    <n v="422020"/>
    <n v="71647"/>
    <n v="78750"/>
    <n v="991"/>
    <n v="42419"/>
    <n v="4649"/>
    <n v="620476"/>
    <n v="74041"/>
    <n v="546435"/>
    <n v="310107"/>
    <n v="236328"/>
  </r>
  <r>
    <s v="15"/>
    <x v="8"/>
    <x v="301"/>
    <x v="301"/>
    <n v="80.739999999999995"/>
    <n v="835.6"/>
    <n v="916.34"/>
    <n v="2.15"/>
    <n v="15"/>
    <n v="0"/>
    <n v="851"/>
    <n v="331.3"/>
    <n v="62.14"/>
    <n v="68.3"/>
    <n v="33.299999999999997"/>
    <n v="3.65"/>
    <n v="303583"/>
    <n v="3999"/>
    <n v="307582"/>
    <n v="52881"/>
    <n v="58123"/>
    <n v="712"/>
    <n v="30894"/>
    <n v="3376"/>
    <n v="453568"/>
    <n v="58907"/>
    <n v="394661"/>
    <n v="217844"/>
    <n v="176817"/>
  </r>
  <r>
    <s v="15"/>
    <x v="8"/>
    <x v="302"/>
    <x v="302"/>
    <n v="259.41000000000003"/>
    <n v="1568.3"/>
    <n v="1827.71"/>
    <n v="4.28"/>
    <n v="125"/>
    <n v="0"/>
    <n v="1693"/>
    <n v="331.3"/>
    <n v="62.14"/>
    <n v="68.3"/>
    <n v="33.299999999999997"/>
    <n v="3.65"/>
    <n v="605520"/>
    <n v="835"/>
    <n v="606355"/>
    <n v="105203"/>
    <n v="115632"/>
    <n v="1418"/>
    <n v="60903"/>
    <n v="6671"/>
    <n v="896182"/>
    <n v="120885"/>
    <n v="775297"/>
    <n v="430334"/>
    <n v="344963"/>
  </r>
  <r>
    <s v="15"/>
    <x v="8"/>
    <x v="303"/>
    <x v="303"/>
    <n v="361.38"/>
    <n v="2102.1"/>
    <n v="2463.48"/>
    <n v="5.77"/>
    <n v="296"/>
    <n v="7.6"/>
    <n v="2391"/>
    <n v="331.3"/>
    <n v="62.14"/>
    <n v="68.3"/>
    <n v="33.299999999999997"/>
    <n v="3.65"/>
    <n v="816151"/>
    <n v="0"/>
    <n v="816151"/>
    <n v="148577"/>
    <n v="163305"/>
    <n v="1912"/>
    <n v="82034"/>
    <n v="8992"/>
    <n v="1220971"/>
    <n v="163791"/>
    <n v="1057180"/>
    <n v="579117"/>
    <n v="478063"/>
  </r>
  <r>
    <s v="15"/>
    <x v="8"/>
    <x v="304"/>
    <x v="304"/>
    <n v="337.46"/>
    <n v="1850"/>
    <n v="2187.46"/>
    <n v="5.13"/>
    <n v="58"/>
    <n v="0"/>
    <n v="1908"/>
    <n v="331.3"/>
    <n v="62.14"/>
    <n v="68.3"/>
    <n v="33.299999999999997"/>
    <n v="3.65"/>
    <n v="724705"/>
    <n v="0"/>
    <n v="724705"/>
    <n v="118563"/>
    <n v="130316"/>
    <n v="1700"/>
    <n v="72842"/>
    <n v="7984"/>
    <n v="1056110"/>
    <n v="137240"/>
    <n v="918870"/>
    <n v="522430"/>
    <n v="396440"/>
  </r>
  <r>
    <s v="15"/>
    <x v="8"/>
    <x v="305"/>
    <x v="305"/>
    <n v="41.83"/>
    <n v="360.7"/>
    <n v="402.53"/>
    <n v="0.94"/>
    <n v="2"/>
    <n v="0"/>
    <n v="363"/>
    <n v="331.3"/>
    <n v="62.14"/>
    <n v="68.3"/>
    <n v="33.299999999999997"/>
    <n v="3.65"/>
    <n v="133358"/>
    <n v="0"/>
    <n v="133358"/>
    <n v="22557"/>
    <n v="24793"/>
    <n v="311"/>
    <n v="13404"/>
    <n v="1469"/>
    <n v="195892"/>
    <n v="23360"/>
    <n v="172532"/>
    <n v="98029"/>
    <n v="74503"/>
  </r>
  <r>
    <s v="15"/>
    <x v="8"/>
    <x v="306"/>
    <x v="306"/>
    <n v="88.6"/>
    <n v="875.3"/>
    <n v="963.9"/>
    <n v="2.2599999999999998"/>
    <n v="5"/>
    <n v="0"/>
    <n v="880"/>
    <n v="331.3"/>
    <n v="62.14"/>
    <n v="68.3"/>
    <n v="33.299999999999997"/>
    <n v="3.65"/>
    <n v="319340"/>
    <n v="0"/>
    <n v="319340"/>
    <n v="54683"/>
    <n v="60104"/>
    <n v="749"/>
    <n v="32098"/>
    <n v="3518"/>
    <n v="470492"/>
    <n v="54660"/>
    <n v="415832"/>
    <n v="236022"/>
    <n v="179810"/>
  </r>
  <r>
    <s v="15"/>
    <x v="8"/>
    <x v="307"/>
    <x v="307"/>
    <n v="42.56"/>
    <n v="345.5"/>
    <n v="388.06"/>
    <n v="0.91"/>
    <n v="0"/>
    <n v="0"/>
    <n v="346"/>
    <n v="331.3"/>
    <n v="62.14"/>
    <n v="68.3"/>
    <n v="33.299999999999997"/>
    <n v="3.65"/>
    <n v="128564"/>
    <n v="0"/>
    <n v="128564"/>
    <n v="21500"/>
    <n v="23632"/>
    <n v="301"/>
    <n v="12922"/>
    <n v="1416"/>
    <n v="188335"/>
    <n v="19321"/>
    <n v="169014"/>
    <n v="97705"/>
    <n v="71309"/>
  </r>
  <r>
    <s v="15"/>
    <x v="8"/>
    <x v="308"/>
    <x v="308"/>
    <n v="19.22"/>
    <n v="194"/>
    <n v="213.22"/>
    <n v="0.5"/>
    <n v="0"/>
    <n v="0"/>
    <n v="194"/>
    <n v="331.3"/>
    <n v="62.14"/>
    <n v="68.3"/>
    <n v="33.299999999999997"/>
    <n v="3.65"/>
    <n v="70640"/>
    <n v="0"/>
    <n v="70640"/>
    <n v="12055"/>
    <n v="13250"/>
    <n v="166"/>
    <n v="7100"/>
    <n v="778"/>
    <n v="103989"/>
    <n v="14356"/>
    <n v="89633"/>
    <n v="49944"/>
    <n v="39689"/>
  </r>
  <r>
    <s v="15"/>
    <x v="8"/>
    <x v="309"/>
    <x v="309"/>
    <n v="15.16"/>
    <n v="184.9"/>
    <n v="200.06"/>
    <n v="0.47"/>
    <n v="0"/>
    <n v="0"/>
    <n v="185"/>
    <n v="331.3"/>
    <n v="62.14"/>
    <n v="68.3"/>
    <n v="33.299999999999997"/>
    <n v="3.65"/>
    <n v="66280"/>
    <n v="7867"/>
    <n v="74147"/>
    <n v="11496"/>
    <n v="12636"/>
    <n v="156"/>
    <n v="6662"/>
    <n v="730"/>
    <n v="105827"/>
    <n v="16953"/>
    <n v="88874"/>
    <n v="43379"/>
    <n v="45495"/>
  </r>
  <r>
    <s v="15"/>
    <x v="8"/>
    <x v="310"/>
    <x v="310"/>
    <n v="251.94"/>
    <n v="1791.9"/>
    <n v="2043.84"/>
    <n v="4.79"/>
    <n v="1"/>
    <n v="0"/>
    <n v="1793"/>
    <n v="331.3"/>
    <n v="62.14"/>
    <n v="68.3"/>
    <n v="33.299999999999997"/>
    <n v="3.65"/>
    <n v="677124"/>
    <n v="0"/>
    <n v="677124"/>
    <n v="111417"/>
    <n v="122462"/>
    <n v="1587"/>
    <n v="68060"/>
    <n v="7460"/>
    <n v="988110"/>
    <n v="122625"/>
    <n v="865485"/>
    <n v="493733"/>
    <n v="371752"/>
  </r>
  <r>
    <s v="15"/>
    <x v="8"/>
    <x v="311"/>
    <x v="311"/>
    <n v="66.400000000000006"/>
    <n v="542"/>
    <n v="608.4"/>
    <n v="1.42"/>
    <n v="3"/>
    <n v="0"/>
    <n v="545"/>
    <n v="331.3"/>
    <n v="62.14"/>
    <n v="68.3"/>
    <n v="33.299999999999997"/>
    <n v="3.65"/>
    <n v="201563"/>
    <n v="0"/>
    <n v="201563"/>
    <n v="33866"/>
    <n v="37224"/>
    <n v="470"/>
    <n v="20260"/>
    <n v="2221"/>
    <n v="295604"/>
    <n v="32899"/>
    <n v="262705"/>
    <n v="150574"/>
    <n v="112131"/>
  </r>
  <r>
    <s v="15"/>
    <x v="8"/>
    <x v="312"/>
    <x v="312"/>
    <n v="74.900000000000006"/>
    <n v="488.5"/>
    <n v="563.4"/>
    <n v="1.32"/>
    <n v="26"/>
    <n v="0"/>
    <n v="515"/>
    <n v="331.3"/>
    <n v="62.14"/>
    <n v="68.3"/>
    <n v="33.299999999999997"/>
    <n v="3.65"/>
    <n v="186654"/>
    <n v="0"/>
    <n v="186654"/>
    <n v="32002"/>
    <n v="35175"/>
    <n v="437"/>
    <n v="18761"/>
    <n v="2056"/>
    <n v="275085"/>
    <n v="33289"/>
    <n v="241796"/>
    <n v="136614"/>
    <n v="105182"/>
  </r>
  <r>
    <s v="15"/>
    <x v="8"/>
    <x v="313"/>
    <x v="313"/>
    <n v="280.04000000000002"/>
    <n v="2254.6"/>
    <n v="2534.64"/>
    <n v="5.94"/>
    <n v="171"/>
    <n v="0"/>
    <n v="2426"/>
    <n v="331.3"/>
    <n v="62.14"/>
    <n v="68.3"/>
    <n v="33.299999999999997"/>
    <n v="3.65"/>
    <n v="839726"/>
    <n v="0"/>
    <n v="839726"/>
    <n v="150752"/>
    <n v="165696"/>
    <n v="1968"/>
    <n v="84404"/>
    <n v="9251"/>
    <n v="1251797"/>
    <n v="151250"/>
    <n v="1100547"/>
    <n v="613118"/>
    <n v="487429"/>
  </r>
  <r>
    <s v="15"/>
    <x v="8"/>
    <x v="314"/>
    <x v="314"/>
    <n v="644.57000000000005"/>
    <n v="5067.1000000000004"/>
    <n v="5711.67"/>
    <n v="13.39"/>
    <n v="108"/>
    <n v="3"/>
    <n v="5172"/>
    <n v="331.3"/>
    <n v="62.14"/>
    <n v="68.3"/>
    <n v="33.299999999999997"/>
    <n v="3.65"/>
    <n v="1892276"/>
    <n v="0"/>
    <n v="1892276"/>
    <n v="321388"/>
    <n v="353248"/>
    <n v="4436"/>
    <n v="190199"/>
    <n v="20848"/>
    <n v="2782395"/>
    <n v="285726"/>
    <n v="2496669"/>
    <n v="1436737"/>
    <n v="1059932"/>
  </r>
  <r>
    <s v="15"/>
    <x v="8"/>
    <x v="315"/>
    <x v="315"/>
    <n v="65.38"/>
    <n v="549.1"/>
    <n v="614.48"/>
    <n v="1.44"/>
    <n v="0"/>
    <n v="0"/>
    <n v="549"/>
    <n v="331.3"/>
    <n v="62.14"/>
    <n v="68.3"/>
    <n v="33.299999999999997"/>
    <n v="3.65"/>
    <n v="203577"/>
    <n v="6153"/>
    <n v="209730"/>
    <n v="34115"/>
    <n v="37497"/>
    <n v="477"/>
    <n v="20646"/>
    <n v="2256"/>
    <n v="304721"/>
    <n v="43569"/>
    <n v="261152"/>
    <n v="141936"/>
    <n v="119216"/>
  </r>
  <r>
    <s v="15"/>
    <x v="8"/>
    <x v="316"/>
    <x v="316"/>
    <n v="16.59"/>
    <n v="237"/>
    <n v="253.59"/>
    <n v="0.59"/>
    <n v="0"/>
    <n v="0"/>
    <n v="237"/>
    <n v="331.3"/>
    <n v="62.14"/>
    <n v="68.3"/>
    <n v="33.299999999999997"/>
    <n v="3.65"/>
    <n v="84014"/>
    <n v="8885"/>
    <n v="92899"/>
    <n v="14727"/>
    <n v="16187"/>
    <n v="195"/>
    <n v="9009"/>
    <n v="985"/>
    <n v="134002"/>
    <n v="21565"/>
    <n v="112437"/>
    <n v="55533"/>
    <n v="56904"/>
  </r>
  <r>
    <s v="15"/>
    <x v="8"/>
    <x v="317"/>
    <x v="317"/>
    <n v="57.27"/>
    <n v="552.29999999999995"/>
    <n v="609.57000000000005"/>
    <n v="1.43"/>
    <n v="0"/>
    <n v="0"/>
    <n v="552"/>
    <n v="331.3"/>
    <n v="62.14"/>
    <n v="68.3"/>
    <n v="33.299999999999997"/>
    <n v="3.65"/>
    <n v="201951"/>
    <n v="0"/>
    <n v="201951"/>
    <n v="34301"/>
    <n v="37702"/>
    <n v="474"/>
    <n v="20299"/>
    <n v="2225"/>
    <n v="296952"/>
    <n v="42887"/>
    <n v="254065"/>
    <n v="140941"/>
    <n v="113124"/>
  </r>
  <r>
    <s v="15"/>
    <x v="8"/>
    <x v="318"/>
    <x v="318"/>
    <n v="29.47"/>
    <n v="265.8"/>
    <n v="295.27"/>
    <n v="0.69"/>
    <n v="7"/>
    <n v="0"/>
    <n v="273"/>
    <n v="331.3"/>
    <n v="62.14"/>
    <n v="68.3"/>
    <n v="33.299999999999997"/>
    <n v="3.65"/>
    <n v="97823"/>
    <n v="704"/>
    <n v="98527"/>
    <n v="16964"/>
    <n v="18646"/>
    <n v="229"/>
    <n v="9832"/>
    <n v="1078"/>
    <n v="145276"/>
    <n v="22679"/>
    <n v="122597"/>
    <n v="66364"/>
    <n v="56233"/>
  </r>
  <r>
    <s v="15"/>
    <x v="8"/>
    <x v="319"/>
    <x v="319"/>
    <n v="145.72"/>
    <n v="967.1"/>
    <n v="1112.82"/>
    <n v="2.61"/>
    <n v="0"/>
    <n v="0"/>
    <n v="967"/>
    <n v="331.3"/>
    <n v="62.14"/>
    <n v="68.3"/>
    <n v="33.299999999999997"/>
    <n v="3.65"/>
    <n v="368677"/>
    <n v="0"/>
    <n v="368677"/>
    <n v="60089"/>
    <n v="66046"/>
    <n v="865"/>
    <n v="37057"/>
    <n v="4062"/>
    <n v="536796"/>
    <n v="80727"/>
    <n v="456069"/>
    <n v="254866"/>
    <n v="201203"/>
  </r>
  <r>
    <s v="15"/>
    <x v="8"/>
    <x v="320"/>
    <x v="320"/>
    <n v="72.22"/>
    <n v="489.4"/>
    <n v="561.62"/>
    <n v="1.32"/>
    <n v="2"/>
    <n v="0"/>
    <n v="491"/>
    <n v="331.3"/>
    <n v="62.14"/>
    <n v="68.3"/>
    <n v="33.299999999999997"/>
    <n v="3.65"/>
    <n v="186065"/>
    <n v="0"/>
    <n v="186065"/>
    <n v="30511"/>
    <n v="33535"/>
    <n v="437"/>
    <n v="18702"/>
    <n v="2050"/>
    <n v="271300"/>
    <n v="34809"/>
    <n v="236491"/>
    <n v="134559"/>
    <n v="101932"/>
  </r>
  <r>
    <s v="15"/>
    <x v="8"/>
    <x v="321"/>
    <x v="321"/>
    <n v="74.14"/>
    <n v="534.4"/>
    <n v="608.54"/>
    <n v="1.43"/>
    <n v="1"/>
    <n v="0"/>
    <n v="535"/>
    <n v="331.3"/>
    <n v="62.14"/>
    <n v="68.3"/>
    <n v="33.299999999999997"/>
    <n v="3.65"/>
    <n v="201609"/>
    <n v="27397"/>
    <n v="229006"/>
    <n v="33245"/>
    <n v="36541"/>
    <n v="474"/>
    <n v="20264"/>
    <n v="2221"/>
    <n v="321751"/>
    <n v="45941"/>
    <n v="275810"/>
    <n v="137576"/>
    <n v="138234"/>
  </r>
  <r>
    <s v="15"/>
    <x v="8"/>
    <x v="322"/>
    <x v="322"/>
    <n v="80.42"/>
    <n v="574.5"/>
    <n v="654.91999999999996"/>
    <n v="1.54"/>
    <n v="0"/>
    <n v="0"/>
    <n v="575"/>
    <n v="331.3"/>
    <n v="62.14"/>
    <n v="68.3"/>
    <n v="33.299999999999997"/>
    <n v="3.65"/>
    <n v="216975"/>
    <n v="0"/>
    <n v="216975"/>
    <n v="35731"/>
    <n v="39273"/>
    <n v="510"/>
    <n v="21809"/>
    <n v="2390"/>
    <n v="316688"/>
    <n v="45988"/>
    <n v="270700"/>
    <n v="151516"/>
    <n v="119184"/>
  </r>
  <r>
    <s v="15"/>
    <x v="8"/>
    <x v="323"/>
    <x v="323"/>
    <n v="44.08"/>
    <n v="405"/>
    <n v="449.08"/>
    <n v="1.05"/>
    <n v="35"/>
    <n v="0"/>
    <n v="440"/>
    <n v="331.3"/>
    <n v="62.14"/>
    <n v="68.3"/>
    <n v="33.299999999999997"/>
    <n v="3.65"/>
    <n v="148780"/>
    <n v="10096"/>
    <n v="158876"/>
    <n v="27342"/>
    <n v="30052"/>
    <n v="348"/>
    <n v="15530"/>
    <n v="1697"/>
    <n v="233845"/>
    <n v="28867"/>
    <n v="204978"/>
    <n v="107194"/>
    <n v="97784"/>
  </r>
  <r>
    <s v="15"/>
    <x v="8"/>
    <x v="324"/>
    <x v="324"/>
    <n v="34.4"/>
    <n v="306.2"/>
    <n v="340.6"/>
    <n v="0.8"/>
    <n v="0"/>
    <n v="0"/>
    <n v="306"/>
    <n v="331.3"/>
    <n v="62.14"/>
    <n v="68.3"/>
    <n v="33.299999999999997"/>
    <n v="3.65"/>
    <n v="112841"/>
    <n v="2887"/>
    <n v="115728"/>
    <n v="19015"/>
    <n v="20900"/>
    <n v="265"/>
    <n v="11342"/>
    <n v="1243"/>
    <n v="168493"/>
    <n v="23945"/>
    <n v="144548"/>
    <n v="78770"/>
    <n v="657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26" applyNumberFormats="0" applyBorderFormats="0" applyFontFormats="0" applyPatternFormats="0" applyAlignmentFormats="0" applyWidthHeightFormats="1" dataCaption="Values" grandTotalCaption="AEA Total" updatedVersion="6" minRefreshableVersion="3" showDrill="0" useAutoFormatting="1" itemPrintTitles="1" createdVersion="4" indent="0" compact="0" compactData="0" multipleFieldFilters="0">
  <location ref="A4:V330" firstHeaderRow="0" firstDataRow="1" firstDataCol="2"/>
  <pivotFields count="29">
    <pivotField compact="0" outline="0" showAll="0" defaultSubtotal="0"/>
    <pivotField compact="0" outline="0" showAll="0" defaultSubtotal="0">
      <items count="9">
        <item x="2"/>
        <item x="4"/>
        <item x="8"/>
        <item x="7"/>
        <item x="5"/>
        <item x="0"/>
        <item x="3"/>
        <item x="6"/>
        <item x="1"/>
      </items>
    </pivotField>
    <pivotField axis="axisRow" compact="0" outline="0" showAll="0" defaultSubtotal="0">
      <items count="333">
        <item x="57"/>
        <item x="163"/>
        <item x="164"/>
        <item x="216"/>
        <item x="21"/>
        <item x="293"/>
        <item x="131"/>
        <item x="58"/>
        <item x="22"/>
        <item x="0"/>
        <item x="93"/>
        <item x="23"/>
        <item x="165"/>
        <item x="132"/>
        <item x="110"/>
        <item x="166"/>
        <item x="59"/>
        <item x="40"/>
        <item x="217"/>
        <item x="251"/>
        <item x="167"/>
        <item m="1" x="330"/>
        <item x="250"/>
        <item x="168"/>
        <item m="1" x="326"/>
        <item x="169"/>
        <item x="60"/>
        <item x="252"/>
        <item x="133"/>
        <item x="111"/>
        <item x="61"/>
        <item x="112"/>
        <item x="134"/>
        <item x="113"/>
        <item x="301"/>
        <item x="170"/>
        <item x="171"/>
        <item x="218"/>
        <item x="108"/>
        <item x="62"/>
        <item x="94"/>
        <item x="294"/>
        <item x="254"/>
        <item x="63"/>
        <item x="114"/>
        <item x="115"/>
        <item x="295"/>
        <item x="172"/>
        <item x="173"/>
        <item x="64"/>
        <item x="135"/>
        <item x="136"/>
        <item x="296"/>
        <item x="297"/>
        <item x="1"/>
        <item x="116"/>
        <item x="137"/>
        <item x="255"/>
        <item x="219"/>
        <item x="298"/>
        <item x="66"/>
        <item x="220"/>
        <item x="221"/>
        <item x="256"/>
        <item x="24"/>
        <item x="257"/>
        <item x="67"/>
        <item x="25"/>
        <item x="138"/>
        <item x="68"/>
        <item x="117"/>
        <item x="174"/>
        <item x="139"/>
        <item x="175"/>
        <item x="176"/>
        <item x="118"/>
        <item x="177"/>
        <item x="258"/>
        <item x="259"/>
        <item x="260"/>
        <item x="178"/>
        <item x="299"/>
        <item x="119"/>
        <item x="300"/>
        <item x="3"/>
        <item x="120"/>
        <item x="222"/>
        <item x="69"/>
        <item x="179"/>
        <item x="261"/>
        <item x="70"/>
        <item x="4"/>
        <item x="71"/>
        <item x="253"/>
        <item x="121"/>
        <item x="103"/>
        <item x="26"/>
        <item x="180"/>
        <item x="72"/>
        <item x="122"/>
        <item x="263"/>
        <item x="5"/>
        <item x="235"/>
        <item x="6"/>
        <item x="74"/>
        <item x="28"/>
        <item x="140"/>
        <item x="264"/>
        <item x="29"/>
        <item x="181"/>
        <item x="302"/>
        <item x="75"/>
        <item x="30"/>
        <item x="303"/>
        <item x="265"/>
        <item x="223"/>
        <item x="77"/>
        <item x="224"/>
        <item x="182"/>
        <item x="31"/>
        <item x="78"/>
        <item x="266"/>
        <item x="183"/>
        <item x="32"/>
        <item x="279"/>
        <item x="76"/>
        <item x="79"/>
        <item x="267"/>
        <item x="80"/>
        <item x="184"/>
        <item x="2"/>
        <item x="141"/>
        <item x="268"/>
        <item x="81"/>
        <item x="269"/>
        <item m="1" x="329"/>
        <item x="34"/>
        <item x="225"/>
        <item x="142"/>
        <item x="226"/>
        <item x="7"/>
        <item x="82"/>
        <item x="83"/>
        <item x="35"/>
        <item x="84"/>
        <item x="185"/>
        <item x="186"/>
        <item x="143"/>
        <item x="85"/>
        <item x="144"/>
        <item x="270"/>
        <item x="86"/>
        <item x="33"/>
        <item x="87"/>
        <item x="187"/>
        <item x="304"/>
        <item x="305"/>
        <item x="227"/>
        <item x="188"/>
        <item x="88"/>
        <item x="271"/>
        <item x="36"/>
        <item x="228"/>
        <item x="73"/>
        <item x="229"/>
        <item x="272"/>
        <item x="273"/>
        <item x="153"/>
        <item x="145"/>
        <item x="146"/>
        <item x="274"/>
        <item x="147"/>
        <item x="123"/>
        <item m="1" x="332"/>
        <item x="189"/>
        <item x="190"/>
        <item x="262"/>
        <item x="37"/>
        <item x="230"/>
        <item x="124"/>
        <item x="9"/>
        <item x="231"/>
        <item x="148"/>
        <item x="89"/>
        <item x="191"/>
        <item x="90"/>
        <item x="232"/>
        <item x="306"/>
        <item x="192"/>
        <item x="150"/>
        <item x="149"/>
        <item x="275"/>
        <item x="8"/>
        <item x="91"/>
        <item x="151"/>
        <item x="307"/>
        <item x="276"/>
        <item x="308"/>
        <item x="309"/>
        <item x="277"/>
        <item x="310"/>
        <item x="152"/>
        <item x="278"/>
        <item x="125"/>
        <item x="92"/>
        <item x="193"/>
        <item x="38"/>
        <item x="10"/>
        <item x="311"/>
        <item x="194"/>
        <item x="65"/>
        <item x="127"/>
        <item x="11"/>
        <item m="1" x="325"/>
        <item x="312"/>
        <item x="154"/>
        <item x="39"/>
        <item x="195"/>
        <item x="126"/>
        <item x="95"/>
        <item m="1" x="331"/>
        <item x="96"/>
        <item x="196"/>
        <item x="282"/>
        <item x="233"/>
        <item x="12"/>
        <item x="197"/>
        <item x="41"/>
        <item x="155"/>
        <item x="280"/>
        <item x="97"/>
        <item x="313"/>
        <item x="314"/>
        <item x="199"/>
        <item x="42"/>
        <item x="243"/>
        <item x="315"/>
        <item x="200"/>
        <item x="201"/>
        <item x="128"/>
        <item x="202"/>
        <item x="43"/>
        <item x="13"/>
        <item x="198"/>
        <item m="1" x="328"/>
        <item x="281"/>
        <item x="234"/>
        <item x="14"/>
        <item x="236"/>
        <item x="203"/>
        <item x="98"/>
        <item x="44"/>
        <item x="100"/>
        <item x="204"/>
        <item x="45"/>
        <item x="237"/>
        <item x="238"/>
        <item x="316"/>
        <item x="107"/>
        <item x="239"/>
        <item x="283"/>
        <item x="240"/>
        <item x="284"/>
        <item x="317"/>
        <item x="241"/>
        <item x="242"/>
        <item x="46"/>
        <item x="47"/>
        <item x="156"/>
        <item x="206"/>
        <item x="48"/>
        <item x="49"/>
        <item x="285"/>
        <item x="99"/>
        <item x="15"/>
        <item x="205"/>
        <item x="50"/>
        <item x="51"/>
        <item x="157"/>
        <item x="286"/>
        <item x="16"/>
        <item x="52"/>
        <item x="53"/>
        <item x="212"/>
        <item x="101"/>
        <item x="158"/>
        <item x="287"/>
        <item x="288"/>
        <item x="318"/>
        <item x="102"/>
        <item x="17"/>
        <item x="207"/>
        <item x="54"/>
        <item x="289"/>
        <item x="208"/>
        <item x="209"/>
        <item m="1" x="327"/>
        <item x="319"/>
        <item x="210"/>
        <item x="290"/>
        <item x="159"/>
        <item x="320"/>
        <item x="27"/>
        <item x="321"/>
        <item x="104"/>
        <item x="160"/>
        <item x="105"/>
        <item x="211"/>
        <item x="106"/>
        <item x="322"/>
        <item x="55"/>
        <item x="56"/>
        <item x="161"/>
        <item x="323"/>
        <item x="18"/>
        <item x="19"/>
        <item x="213"/>
        <item x="20"/>
        <item x="291"/>
        <item x="129"/>
        <item x="244"/>
        <item x="109"/>
        <item x="245"/>
        <item x="246"/>
        <item x="247"/>
        <item x="248"/>
        <item x="162"/>
        <item x="130"/>
        <item x="324"/>
        <item x="214"/>
        <item x="292"/>
        <item x="249"/>
        <item x="215"/>
      </items>
    </pivotField>
    <pivotField axis="axisRow" compact="0" outline="0" showAll="0" defaultSubtotal="0">
      <items count="356">
        <item x="163"/>
        <item x="164"/>
        <item x="57"/>
        <item m="1" x="345"/>
        <item x="216"/>
        <item x="21"/>
        <item x="293"/>
        <item x="131"/>
        <item x="58"/>
        <item m="1" x="329"/>
        <item x="0"/>
        <item m="1" x="328"/>
        <item x="165"/>
        <item x="132"/>
        <item x="110"/>
        <item x="166"/>
        <item x="59"/>
        <item x="217"/>
        <item x="251"/>
        <item x="167"/>
        <item m="1" x="336"/>
        <item x="168"/>
        <item m="1" x="355"/>
        <item x="169"/>
        <item x="60"/>
        <item x="252"/>
        <item x="133"/>
        <item x="111"/>
        <item x="61"/>
        <item x="112"/>
        <item x="134"/>
        <item x="113"/>
        <item x="170"/>
        <item x="171"/>
        <item x="218"/>
        <item x="253"/>
        <item x="62"/>
        <item x="294"/>
        <item x="63"/>
        <item m="1" x="327"/>
        <item x="254"/>
        <item x="115"/>
        <item x="295"/>
        <item x="172"/>
        <item x="173"/>
        <item x="64"/>
        <item x="135"/>
        <item x="136"/>
        <item x="296"/>
        <item x="137"/>
        <item x="1"/>
        <item x="116"/>
        <item x="255"/>
        <item x="297"/>
        <item x="219"/>
        <item x="65"/>
        <item x="298"/>
        <item x="66"/>
        <item x="220"/>
        <item x="221"/>
        <item x="256"/>
        <item m="1" x="346"/>
        <item x="257"/>
        <item x="67"/>
        <item x="25"/>
        <item x="2"/>
        <item m="1" x="354"/>
        <item x="68"/>
        <item x="117"/>
        <item x="174"/>
        <item m="1" x="339"/>
        <item x="175"/>
        <item x="176"/>
        <item x="118"/>
        <item x="177"/>
        <item x="258"/>
        <item x="259"/>
        <item m="1" x="350"/>
        <item x="178"/>
        <item x="299"/>
        <item x="119"/>
        <item x="300"/>
        <item x="3"/>
        <item x="120"/>
        <item x="222"/>
        <item x="69"/>
        <item x="179"/>
        <item x="261"/>
        <item x="70"/>
        <item x="4"/>
        <item x="71"/>
        <item x="121"/>
        <item x="26"/>
        <item x="180"/>
        <item x="72"/>
        <item x="73"/>
        <item m="1" x="333"/>
        <item x="27"/>
        <item x="263"/>
        <item x="5"/>
        <item x="122"/>
        <item m="1" x="337"/>
        <item x="6"/>
        <item x="74"/>
        <item x="28"/>
        <item m="1" x="334"/>
        <item x="264"/>
        <item m="1" x="340"/>
        <item x="181"/>
        <item x="302"/>
        <item m="1" x="342"/>
        <item x="30"/>
        <item x="303"/>
        <item x="265"/>
        <item x="223"/>
        <item m="1" x="353"/>
        <item x="224"/>
        <item x="182"/>
        <item x="31"/>
        <item x="78"/>
        <item x="266"/>
        <item x="183"/>
        <item x="76"/>
        <item x="32"/>
        <item m="1" x="343"/>
        <item x="79"/>
        <item x="267"/>
        <item x="80"/>
        <item x="184"/>
        <item x="268"/>
        <item x="81"/>
        <item x="269"/>
        <item m="1" x="330"/>
        <item x="34"/>
        <item x="225"/>
        <item x="142"/>
        <item x="226"/>
        <item x="141"/>
        <item x="7"/>
        <item x="82"/>
        <item x="83"/>
        <item x="35"/>
        <item x="270"/>
        <item x="84"/>
        <item x="185"/>
        <item x="186"/>
        <item x="143"/>
        <item x="85"/>
        <item x="144"/>
        <item x="86"/>
        <item x="87"/>
        <item x="187"/>
        <item x="304"/>
        <item x="305"/>
        <item x="227"/>
        <item x="188"/>
        <item x="88"/>
        <item x="271"/>
        <item x="36"/>
        <item x="228"/>
        <item x="229"/>
        <item x="272"/>
        <item x="273"/>
        <item x="145"/>
        <item x="146"/>
        <item x="274"/>
        <item x="147"/>
        <item x="123"/>
        <item m="1" x="344"/>
        <item x="189"/>
        <item x="190"/>
        <item x="37"/>
        <item m="1" x="347"/>
        <item x="124"/>
        <item x="9"/>
        <item x="231"/>
        <item x="148"/>
        <item x="89"/>
        <item x="191"/>
        <item x="90"/>
        <item x="306"/>
        <item x="192"/>
        <item x="8"/>
        <item x="150"/>
        <item x="149"/>
        <item x="275"/>
        <item x="232"/>
        <item x="91"/>
        <item x="151"/>
        <item x="307"/>
        <item x="276"/>
        <item x="308"/>
        <item x="309"/>
        <item x="277"/>
        <item x="310"/>
        <item x="152"/>
        <item x="278"/>
        <item x="125"/>
        <item x="92"/>
        <item x="193"/>
        <item x="10"/>
        <item x="311"/>
        <item x="38"/>
        <item x="194"/>
        <item m="1" x="338"/>
        <item m="1" x="348"/>
        <item x="153"/>
        <item m="1" x="341"/>
        <item x="94"/>
        <item x="39"/>
        <item x="154"/>
        <item x="312"/>
        <item x="195"/>
        <item x="126"/>
        <item x="95"/>
        <item m="1" x="352"/>
        <item m="1" x="349"/>
        <item x="127"/>
        <item m="1" x="332"/>
        <item x="96"/>
        <item x="196"/>
        <item m="1" x="335"/>
        <item x="12"/>
        <item x="197"/>
        <item x="41"/>
        <item x="155"/>
        <item x="280"/>
        <item x="97"/>
        <item x="313"/>
        <item x="314"/>
        <item x="199"/>
        <item x="42"/>
        <item x="198"/>
        <item x="315"/>
        <item x="200"/>
        <item x="201"/>
        <item x="128"/>
        <item x="202"/>
        <item x="43"/>
        <item x="13"/>
        <item m="1" x="326"/>
        <item x="281"/>
        <item x="234"/>
        <item x="14"/>
        <item x="235"/>
        <item x="282"/>
        <item x="236"/>
        <item x="203"/>
        <item x="98"/>
        <item x="44"/>
        <item x="204"/>
        <item x="45"/>
        <item x="237"/>
        <item x="238"/>
        <item x="316"/>
        <item x="239"/>
        <item x="283"/>
        <item x="240"/>
        <item x="284"/>
        <item x="317"/>
        <item x="241"/>
        <item x="46"/>
        <item x="242"/>
        <item x="156"/>
        <item x="47"/>
        <item x="48"/>
        <item x="243"/>
        <item x="285"/>
        <item x="99"/>
        <item x="15"/>
        <item x="205"/>
        <item x="206"/>
        <item m="1" x="331"/>
        <item x="50"/>
        <item x="51"/>
        <item x="157"/>
        <item x="100"/>
        <item x="286"/>
        <item x="16"/>
        <item x="52"/>
        <item x="53"/>
        <item x="101"/>
        <item x="158"/>
        <item x="287"/>
        <item x="288"/>
        <item x="318"/>
        <item x="102"/>
        <item x="17"/>
        <item x="207"/>
        <item x="54"/>
        <item x="289"/>
        <item x="103"/>
        <item x="208"/>
        <item x="209"/>
        <item m="1" x="325"/>
        <item m="1" x="351"/>
        <item x="210"/>
        <item x="290"/>
        <item x="159"/>
        <item x="320"/>
        <item x="321"/>
        <item x="104"/>
        <item x="160"/>
        <item x="105"/>
        <item x="211"/>
        <item x="106"/>
        <item x="322"/>
        <item x="55"/>
        <item x="56"/>
        <item x="161"/>
        <item x="323"/>
        <item x="18"/>
        <item x="212"/>
        <item x="19"/>
        <item x="213"/>
        <item x="107"/>
        <item x="108"/>
        <item x="291"/>
        <item x="129"/>
        <item x="244"/>
        <item x="109"/>
        <item x="245"/>
        <item x="246"/>
        <item x="20"/>
        <item x="247"/>
        <item x="248"/>
        <item x="162"/>
        <item x="130"/>
        <item x="324"/>
        <item x="214"/>
        <item x="292"/>
        <item x="249"/>
        <item x="215"/>
        <item x="11"/>
        <item x="22"/>
        <item x="23"/>
        <item x="24"/>
        <item x="29"/>
        <item x="33"/>
        <item x="40"/>
        <item x="75"/>
        <item x="77"/>
        <item x="93"/>
        <item x="114"/>
        <item x="138"/>
        <item x="139"/>
        <item x="140"/>
        <item x="230"/>
        <item x="233"/>
        <item x="250"/>
        <item x="260"/>
        <item x="262"/>
        <item x="279"/>
        <item x="301"/>
        <item x="319"/>
        <item x="49"/>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326">
    <i>
      <x/>
      <x v="2"/>
    </i>
    <i>
      <x v="1"/>
      <x/>
    </i>
    <i>
      <x v="2"/>
      <x v="1"/>
    </i>
    <i>
      <x v="3"/>
      <x v="4"/>
    </i>
    <i>
      <x v="4"/>
      <x v="5"/>
    </i>
    <i>
      <x v="5"/>
      <x v="6"/>
    </i>
    <i>
      <x v="6"/>
      <x v="7"/>
    </i>
    <i>
      <x v="7"/>
      <x v="8"/>
    </i>
    <i>
      <x v="8"/>
      <x v="334"/>
    </i>
    <i>
      <x v="9"/>
      <x v="10"/>
    </i>
    <i>
      <x v="10"/>
      <x v="342"/>
    </i>
    <i>
      <x v="11"/>
      <x v="335"/>
    </i>
    <i>
      <x v="12"/>
      <x v="12"/>
    </i>
    <i>
      <x v="13"/>
      <x v="13"/>
    </i>
    <i>
      <x v="14"/>
      <x v="14"/>
    </i>
    <i>
      <x v="15"/>
      <x v="15"/>
    </i>
    <i>
      <x v="16"/>
      <x v="16"/>
    </i>
    <i>
      <x v="17"/>
      <x v="339"/>
    </i>
    <i>
      <x v="18"/>
      <x v="17"/>
    </i>
    <i>
      <x v="19"/>
      <x v="18"/>
    </i>
    <i>
      <x v="20"/>
      <x v="19"/>
    </i>
    <i>
      <x v="22"/>
      <x v="349"/>
    </i>
    <i>
      <x v="23"/>
      <x v="21"/>
    </i>
    <i>
      <x v="25"/>
      <x v="23"/>
    </i>
    <i>
      <x v="26"/>
      <x v="24"/>
    </i>
    <i>
      <x v="27"/>
      <x v="25"/>
    </i>
    <i>
      <x v="28"/>
      <x v="26"/>
    </i>
    <i>
      <x v="29"/>
      <x v="27"/>
    </i>
    <i>
      <x v="30"/>
      <x v="28"/>
    </i>
    <i>
      <x v="31"/>
      <x v="29"/>
    </i>
    <i>
      <x v="32"/>
      <x v="30"/>
    </i>
    <i>
      <x v="33"/>
      <x v="31"/>
    </i>
    <i>
      <x v="34"/>
      <x v="353"/>
    </i>
    <i>
      <x v="35"/>
      <x v="32"/>
    </i>
    <i>
      <x v="36"/>
      <x v="33"/>
    </i>
    <i>
      <x v="37"/>
      <x v="34"/>
    </i>
    <i>
      <x v="38"/>
      <x v="316"/>
    </i>
    <i>
      <x v="39"/>
      <x v="36"/>
    </i>
    <i>
      <x v="40"/>
      <x v="208"/>
    </i>
    <i>
      <x v="41"/>
      <x v="37"/>
    </i>
    <i>
      <x v="42"/>
      <x v="40"/>
    </i>
    <i>
      <x v="43"/>
      <x v="38"/>
    </i>
    <i>
      <x v="44"/>
      <x v="343"/>
    </i>
    <i>
      <x v="45"/>
      <x v="41"/>
    </i>
    <i>
      <x v="46"/>
      <x v="42"/>
    </i>
    <i>
      <x v="47"/>
      <x v="43"/>
    </i>
    <i>
      <x v="48"/>
      <x v="44"/>
    </i>
    <i>
      <x v="49"/>
      <x v="45"/>
    </i>
    <i>
      <x v="50"/>
      <x v="46"/>
    </i>
    <i>
      <x v="51"/>
      <x v="47"/>
    </i>
    <i>
      <x v="52"/>
      <x v="48"/>
    </i>
    <i>
      <x v="53"/>
      <x v="53"/>
    </i>
    <i>
      <x v="54"/>
      <x v="50"/>
    </i>
    <i>
      <x v="55"/>
      <x v="51"/>
    </i>
    <i>
      <x v="56"/>
      <x v="49"/>
    </i>
    <i>
      <x v="57"/>
      <x v="52"/>
    </i>
    <i>
      <x v="58"/>
      <x v="54"/>
    </i>
    <i>
      <x v="59"/>
      <x v="56"/>
    </i>
    <i>
      <x v="60"/>
      <x v="57"/>
    </i>
    <i>
      <x v="61"/>
      <x v="58"/>
    </i>
    <i>
      <x v="62"/>
      <x v="59"/>
    </i>
    <i>
      <x v="63"/>
      <x v="60"/>
    </i>
    <i>
      <x v="64"/>
      <x v="336"/>
    </i>
    <i>
      <x v="65"/>
      <x v="62"/>
    </i>
    <i>
      <x v="66"/>
      <x v="63"/>
    </i>
    <i>
      <x v="67"/>
      <x v="64"/>
    </i>
    <i>
      <x v="68"/>
      <x v="344"/>
    </i>
    <i>
      <x v="69"/>
      <x v="67"/>
    </i>
    <i>
      <x v="70"/>
      <x v="68"/>
    </i>
    <i>
      <x v="71"/>
      <x v="69"/>
    </i>
    <i>
      <x v="72"/>
      <x v="345"/>
    </i>
    <i>
      <x v="73"/>
      <x v="71"/>
    </i>
    <i>
      <x v="74"/>
      <x v="72"/>
    </i>
    <i>
      <x v="75"/>
      <x v="73"/>
    </i>
    <i>
      <x v="76"/>
      <x v="74"/>
    </i>
    <i>
      <x v="77"/>
      <x v="75"/>
    </i>
    <i>
      <x v="78"/>
      <x v="76"/>
    </i>
    <i>
      <x v="79"/>
      <x v="350"/>
    </i>
    <i>
      <x v="80"/>
      <x v="78"/>
    </i>
    <i>
      <x v="81"/>
      <x v="79"/>
    </i>
    <i>
      <x v="82"/>
      <x v="80"/>
    </i>
    <i>
      <x v="83"/>
      <x v="81"/>
    </i>
    <i>
      <x v="84"/>
      <x v="82"/>
    </i>
    <i>
      <x v="85"/>
      <x v="83"/>
    </i>
    <i>
      <x v="86"/>
      <x v="84"/>
    </i>
    <i>
      <x v="87"/>
      <x v="85"/>
    </i>
    <i>
      <x v="88"/>
      <x v="86"/>
    </i>
    <i>
      <x v="89"/>
      <x v="87"/>
    </i>
    <i>
      <x v="90"/>
      <x v="88"/>
    </i>
    <i>
      <x v="91"/>
      <x v="89"/>
    </i>
    <i>
      <x v="92"/>
      <x v="90"/>
    </i>
    <i>
      <x v="93"/>
      <x v="35"/>
    </i>
    <i>
      <x v="94"/>
      <x v="91"/>
    </i>
    <i>
      <x v="95"/>
      <x v="291"/>
    </i>
    <i>
      <x v="96"/>
      <x v="92"/>
    </i>
    <i>
      <x v="97"/>
      <x v="93"/>
    </i>
    <i>
      <x v="98"/>
      <x v="94"/>
    </i>
    <i>
      <x v="99"/>
      <x v="100"/>
    </i>
    <i>
      <x v="100"/>
      <x v="98"/>
    </i>
    <i>
      <x v="101"/>
      <x v="99"/>
    </i>
    <i>
      <x v="102"/>
      <x v="244"/>
    </i>
    <i>
      <x v="103"/>
      <x v="102"/>
    </i>
    <i>
      <x v="104"/>
      <x v="103"/>
    </i>
    <i>
      <x v="105"/>
      <x v="104"/>
    </i>
    <i>
      <x v="106"/>
      <x v="346"/>
    </i>
    <i>
      <x v="107"/>
      <x v="106"/>
    </i>
    <i>
      <x v="108"/>
      <x v="337"/>
    </i>
    <i>
      <x v="109"/>
      <x v="108"/>
    </i>
    <i>
      <x v="110"/>
      <x v="109"/>
    </i>
    <i>
      <x v="111"/>
      <x v="340"/>
    </i>
    <i>
      <x v="112"/>
      <x v="111"/>
    </i>
    <i>
      <x v="113"/>
      <x v="112"/>
    </i>
    <i>
      <x v="114"/>
      <x v="113"/>
    </i>
    <i>
      <x v="115"/>
      <x v="114"/>
    </i>
    <i>
      <x v="116"/>
      <x v="341"/>
    </i>
    <i>
      <x v="117"/>
      <x v="116"/>
    </i>
    <i>
      <x v="118"/>
      <x v="117"/>
    </i>
    <i>
      <x v="119"/>
      <x v="118"/>
    </i>
    <i>
      <x v="120"/>
      <x v="119"/>
    </i>
    <i>
      <x v="121"/>
      <x v="120"/>
    </i>
    <i>
      <x v="122"/>
      <x v="121"/>
    </i>
    <i>
      <x v="123"/>
      <x v="123"/>
    </i>
    <i>
      <x v="124"/>
      <x v="352"/>
    </i>
    <i>
      <x v="125"/>
      <x v="122"/>
    </i>
    <i>
      <x v="126"/>
      <x v="125"/>
    </i>
    <i>
      <x v="127"/>
      <x v="126"/>
    </i>
    <i>
      <x v="128"/>
      <x v="127"/>
    </i>
    <i>
      <x v="129"/>
      <x v="128"/>
    </i>
    <i>
      <x v="130"/>
      <x v="65"/>
    </i>
    <i>
      <x v="131"/>
      <x v="137"/>
    </i>
    <i>
      <x v="132"/>
      <x v="129"/>
    </i>
    <i>
      <x v="133"/>
      <x v="130"/>
    </i>
    <i>
      <x v="134"/>
      <x v="131"/>
    </i>
    <i>
      <x v="136"/>
      <x v="133"/>
    </i>
    <i>
      <x v="137"/>
      <x v="134"/>
    </i>
    <i>
      <x v="138"/>
      <x v="135"/>
    </i>
    <i>
      <x v="139"/>
      <x v="136"/>
    </i>
    <i>
      <x v="140"/>
      <x v="138"/>
    </i>
    <i>
      <x v="141"/>
      <x v="139"/>
    </i>
    <i>
      <x v="142"/>
      <x v="140"/>
    </i>
    <i>
      <x v="143"/>
      <x v="141"/>
    </i>
    <i>
      <x v="144"/>
      <x v="143"/>
    </i>
    <i>
      <x v="145"/>
      <x v="144"/>
    </i>
    <i>
      <x v="146"/>
      <x v="145"/>
    </i>
    <i>
      <x v="147"/>
      <x v="146"/>
    </i>
    <i>
      <x v="148"/>
      <x v="147"/>
    </i>
    <i>
      <x v="149"/>
      <x v="148"/>
    </i>
    <i>
      <x v="150"/>
      <x v="142"/>
    </i>
    <i>
      <x v="151"/>
      <x v="149"/>
    </i>
    <i>
      <x v="152"/>
      <x v="338"/>
    </i>
    <i>
      <x v="153"/>
      <x v="150"/>
    </i>
    <i>
      <x v="154"/>
      <x v="151"/>
    </i>
    <i>
      <x v="155"/>
      <x v="152"/>
    </i>
    <i>
      <x v="156"/>
      <x v="153"/>
    </i>
    <i>
      <x v="157"/>
      <x v="154"/>
    </i>
    <i>
      <x v="158"/>
      <x v="155"/>
    </i>
    <i>
      <x v="159"/>
      <x v="156"/>
    </i>
    <i>
      <x v="160"/>
      <x v="157"/>
    </i>
    <i>
      <x v="161"/>
      <x v="158"/>
    </i>
    <i>
      <x v="162"/>
      <x v="159"/>
    </i>
    <i>
      <x v="163"/>
      <x v="95"/>
    </i>
    <i>
      <x v="164"/>
      <x v="160"/>
    </i>
    <i>
      <x v="165"/>
      <x v="161"/>
    </i>
    <i>
      <x v="166"/>
      <x v="162"/>
    </i>
    <i>
      <x v="167"/>
      <x v="206"/>
    </i>
    <i>
      <x v="168"/>
      <x v="163"/>
    </i>
    <i>
      <x v="169"/>
      <x v="164"/>
    </i>
    <i>
      <x v="170"/>
      <x v="165"/>
    </i>
    <i>
      <x v="171"/>
      <x v="166"/>
    </i>
    <i>
      <x v="172"/>
      <x v="167"/>
    </i>
    <i>
      <x v="174"/>
      <x v="169"/>
    </i>
    <i>
      <x v="175"/>
      <x v="170"/>
    </i>
    <i>
      <x v="176"/>
      <x v="351"/>
    </i>
    <i>
      <x v="177"/>
      <x v="171"/>
    </i>
    <i>
      <x v="178"/>
      <x v="347"/>
    </i>
    <i>
      <x v="179"/>
      <x v="173"/>
    </i>
    <i>
      <x v="180"/>
      <x v="174"/>
    </i>
    <i>
      <x v="181"/>
      <x v="175"/>
    </i>
    <i>
      <x v="182"/>
      <x v="176"/>
    </i>
    <i>
      <x v="183"/>
      <x v="177"/>
    </i>
    <i>
      <x v="184"/>
      <x v="178"/>
    </i>
    <i>
      <x v="185"/>
      <x v="179"/>
    </i>
    <i>
      <x v="186"/>
      <x v="186"/>
    </i>
    <i>
      <x v="187"/>
      <x v="180"/>
    </i>
    <i>
      <x v="188"/>
      <x v="181"/>
    </i>
    <i>
      <x v="189"/>
      <x v="183"/>
    </i>
    <i>
      <x v="190"/>
      <x v="184"/>
    </i>
    <i>
      <x v="191"/>
      <x v="185"/>
    </i>
    <i>
      <x v="192"/>
      <x v="182"/>
    </i>
    <i>
      <x v="193"/>
      <x v="187"/>
    </i>
    <i>
      <x v="194"/>
      <x v="188"/>
    </i>
    <i>
      <x v="195"/>
      <x v="189"/>
    </i>
    <i>
      <x v="196"/>
      <x v="190"/>
    </i>
    <i>
      <x v="197"/>
      <x v="191"/>
    </i>
    <i>
      <x v="198"/>
      <x v="192"/>
    </i>
    <i>
      <x v="199"/>
      <x v="193"/>
    </i>
    <i>
      <x v="200"/>
      <x v="194"/>
    </i>
    <i>
      <x v="201"/>
      <x v="195"/>
    </i>
    <i>
      <x v="202"/>
      <x v="196"/>
    </i>
    <i>
      <x v="203"/>
      <x v="197"/>
    </i>
    <i>
      <x v="204"/>
      <x v="198"/>
    </i>
    <i>
      <x v="205"/>
      <x v="199"/>
    </i>
    <i>
      <x v="206"/>
      <x v="202"/>
    </i>
    <i>
      <x v="207"/>
      <x v="200"/>
    </i>
    <i>
      <x v="208"/>
      <x v="201"/>
    </i>
    <i>
      <x v="209"/>
      <x v="203"/>
    </i>
    <i>
      <x v="210"/>
      <x v="55"/>
    </i>
    <i>
      <x v="211"/>
      <x v="217"/>
    </i>
    <i>
      <x v="212"/>
      <x v="333"/>
    </i>
    <i>
      <x v="214"/>
      <x v="211"/>
    </i>
    <i>
      <x v="215"/>
      <x v="210"/>
    </i>
    <i>
      <x v="216"/>
      <x v="209"/>
    </i>
    <i>
      <x v="217"/>
      <x v="212"/>
    </i>
    <i>
      <x v="218"/>
      <x v="213"/>
    </i>
    <i>
      <x v="219"/>
      <x v="214"/>
    </i>
    <i>
      <x v="221"/>
      <x v="219"/>
    </i>
    <i>
      <x v="222"/>
      <x v="220"/>
    </i>
    <i>
      <x v="223"/>
      <x v="245"/>
    </i>
    <i>
      <x v="224"/>
      <x v="348"/>
    </i>
    <i>
      <x v="225"/>
      <x v="222"/>
    </i>
    <i>
      <x v="226"/>
      <x v="223"/>
    </i>
    <i>
      <x v="227"/>
      <x v="224"/>
    </i>
    <i>
      <x v="228"/>
      <x v="225"/>
    </i>
    <i>
      <x v="229"/>
      <x v="226"/>
    </i>
    <i>
      <x v="230"/>
      <x v="227"/>
    </i>
    <i>
      <x v="231"/>
      <x v="228"/>
    </i>
    <i>
      <x v="232"/>
      <x v="229"/>
    </i>
    <i>
      <x v="233"/>
      <x v="230"/>
    </i>
    <i>
      <x v="234"/>
      <x v="231"/>
    </i>
    <i>
      <x v="235"/>
      <x v="266"/>
    </i>
    <i>
      <x v="236"/>
      <x v="233"/>
    </i>
    <i>
      <x v="237"/>
      <x v="234"/>
    </i>
    <i>
      <x v="238"/>
      <x v="235"/>
    </i>
    <i>
      <x v="239"/>
      <x v="236"/>
    </i>
    <i>
      <x v="240"/>
      <x v="237"/>
    </i>
    <i>
      <x v="241"/>
      <x v="238"/>
    </i>
    <i>
      <x v="242"/>
      <x v="239"/>
    </i>
    <i>
      <x v="243"/>
      <x v="232"/>
    </i>
    <i>
      <x v="245"/>
      <x v="241"/>
    </i>
    <i>
      <x v="246"/>
      <x v="242"/>
    </i>
    <i>
      <x v="247"/>
      <x v="243"/>
    </i>
    <i>
      <x v="248"/>
      <x v="246"/>
    </i>
    <i>
      <x v="249"/>
      <x v="247"/>
    </i>
    <i>
      <x v="250"/>
      <x v="248"/>
    </i>
    <i>
      <x v="251"/>
      <x v="249"/>
    </i>
    <i>
      <x v="252"/>
      <x v="276"/>
    </i>
    <i>
      <x v="253"/>
      <x v="250"/>
    </i>
    <i>
      <x v="254"/>
      <x v="251"/>
    </i>
    <i>
      <x v="255"/>
      <x v="252"/>
    </i>
    <i>
      <x v="256"/>
      <x v="253"/>
    </i>
    <i>
      <x v="257"/>
      <x v="254"/>
    </i>
    <i>
      <x v="258"/>
      <x v="315"/>
    </i>
    <i>
      <x v="259"/>
      <x v="255"/>
    </i>
    <i>
      <x v="260"/>
      <x v="256"/>
    </i>
    <i>
      <x v="261"/>
      <x v="257"/>
    </i>
    <i>
      <x v="262"/>
      <x v="258"/>
    </i>
    <i>
      <x v="263"/>
      <x v="259"/>
    </i>
    <i>
      <x v="264"/>
      <x v="260"/>
    </i>
    <i>
      <x v="265"/>
      <x v="262"/>
    </i>
    <i>
      <x v="266"/>
      <x v="261"/>
    </i>
    <i>
      <x v="267"/>
      <x v="264"/>
    </i>
    <i>
      <x v="268"/>
      <x v="263"/>
    </i>
    <i>
      <x v="269"/>
      <x v="271"/>
    </i>
    <i>
      <x v="270"/>
      <x v="265"/>
    </i>
    <i>
      <x v="271"/>
      <x v="355"/>
    </i>
    <i>
      <x v="272"/>
      <x v="267"/>
    </i>
    <i>
      <x v="273"/>
      <x v="268"/>
    </i>
    <i>
      <x v="274"/>
      <x v="269"/>
    </i>
    <i>
      <x v="275"/>
      <x v="270"/>
    </i>
    <i>
      <x v="276"/>
      <x v="273"/>
    </i>
    <i>
      <x v="277"/>
      <x v="274"/>
    </i>
    <i>
      <x v="278"/>
      <x v="275"/>
    </i>
    <i>
      <x v="279"/>
      <x v="277"/>
    </i>
    <i>
      <x v="280"/>
      <x v="278"/>
    </i>
    <i>
      <x v="281"/>
      <x v="279"/>
    </i>
    <i>
      <x v="282"/>
      <x v="280"/>
    </i>
    <i>
      <x v="283"/>
      <x v="312"/>
    </i>
    <i>
      <x v="284"/>
      <x v="281"/>
    </i>
    <i>
      <x v="285"/>
      <x v="282"/>
    </i>
    <i>
      <x v="286"/>
      <x v="283"/>
    </i>
    <i>
      <x v="287"/>
      <x v="284"/>
    </i>
    <i>
      <x v="288"/>
      <x v="285"/>
    </i>
    <i>
      <x v="289"/>
      <x v="286"/>
    </i>
    <i>
      <x v="290"/>
      <x v="287"/>
    </i>
    <i>
      <x v="291"/>
      <x v="288"/>
    </i>
    <i>
      <x v="292"/>
      <x v="289"/>
    </i>
    <i>
      <x v="293"/>
      <x v="290"/>
    </i>
    <i>
      <x v="294"/>
      <x v="292"/>
    </i>
    <i>
      <x v="295"/>
      <x v="293"/>
    </i>
    <i>
      <x v="297"/>
      <x v="354"/>
    </i>
    <i>
      <x v="298"/>
      <x v="296"/>
    </i>
    <i>
      <x v="299"/>
      <x v="297"/>
    </i>
    <i>
      <x v="300"/>
      <x v="298"/>
    </i>
    <i>
      <x v="301"/>
      <x v="299"/>
    </i>
    <i>
      <x v="302"/>
      <x v="97"/>
    </i>
    <i>
      <x v="303"/>
      <x v="300"/>
    </i>
    <i>
      <x v="304"/>
      <x v="301"/>
    </i>
    <i>
      <x v="305"/>
      <x v="302"/>
    </i>
    <i>
      <x v="306"/>
      <x v="303"/>
    </i>
    <i>
      <x v="307"/>
      <x v="304"/>
    </i>
    <i>
      <x v="308"/>
      <x v="305"/>
    </i>
    <i>
      <x v="309"/>
      <x v="306"/>
    </i>
    <i>
      <x v="310"/>
      <x v="307"/>
    </i>
    <i>
      <x v="311"/>
      <x v="308"/>
    </i>
    <i>
      <x v="312"/>
      <x v="309"/>
    </i>
    <i>
      <x v="313"/>
      <x v="310"/>
    </i>
    <i>
      <x v="314"/>
      <x v="311"/>
    </i>
    <i>
      <x v="315"/>
      <x v="313"/>
    </i>
    <i>
      <x v="316"/>
      <x v="314"/>
    </i>
    <i>
      <x v="317"/>
      <x v="323"/>
    </i>
    <i>
      <x v="318"/>
      <x v="317"/>
    </i>
    <i>
      <x v="319"/>
      <x v="318"/>
    </i>
    <i>
      <x v="320"/>
      <x v="319"/>
    </i>
    <i>
      <x v="321"/>
      <x v="320"/>
    </i>
    <i>
      <x v="322"/>
      <x v="321"/>
    </i>
    <i>
      <x v="323"/>
      <x v="322"/>
    </i>
    <i>
      <x v="324"/>
      <x v="324"/>
    </i>
    <i>
      <x v="325"/>
      <x v="325"/>
    </i>
    <i>
      <x v="326"/>
      <x v="326"/>
    </i>
    <i>
      <x v="327"/>
      <x v="327"/>
    </i>
    <i>
      <x v="328"/>
      <x v="328"/>
    </i>
    <i>
      <x v="329"/>
      <x v="329"/>
    </i>
    <i>
      <x v="330"/>
      <x v="330"/>
    </i>
    <i>
      <x v="331"/>
      <x v="331"/>
    </i>
    <i>
      <x v="332"/>
      <x v="332"/>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202">
      <pivotArea field="2" type="button" dataOnly="0" labelOnly="1" outline="0" axis="axisRow" fieldPosition="0"/>
    </format>
    <format dxfId="201">
      <pivotArea field="3" type="button" dataOnly="0" labelOnly="1" outline="0" axis="axisRow" fieldPosition="1"/>
    </format>
    <format dxfId="200">
      <pivotArea dataOnly="0" labelOnly="1" outline="0" fieldPosition="0">
        <references count="1">
          <reference field="4294967294" count="20">
            <x v="0"/>
            <x v="1"/>
            <x v="2"/>
            <x v="3"/>
            <x v="4"/>
            <x v="5"/>
            <x v="6"/>
            <x v="7"/>
            <x v="8"/>
            <x v="9"/>
            <x v="10"/>
            <x v="11"/>
            <x v="12"/>
            <x v="13"/>
            <x v="14"/>
            <x v="15"/>
            <x v="16"/>
            <x v="17"/>
            <x v="18"/>
            <x v="19"/>
          </reference>
        </references>
      </pivotArea>
    </format>
    <format dxfId="199">
      <pivotArea type="all" dataOnly="0" outline="0" fieldPosition="0"/>
    </format>
    <format dxfId="198">
      <pivotArea field="2" type="button" dataOnly="0" labelOnly="1" outline="0" axis="axisRow" fieldPosition="0"/>
    </format>
    <format dxfId="197">
      <pivotArea field="3" type="button" dataOnly="0" labelOnly="1" outline="0" axis="axisRow" fieldPosition="1"/>
    </format>
    <format dxfId="196">
      <pivotArea dataOnly="0" labelOnly="1" outline="0" fieldPosition="0">
        <references count="1">
          <reference field="4294967294" count="20">
            <x v="0"/>
            <x v="1"/>
            <x v="2"/>
            <x v="3"/>
            <x v="4"/>
            <x v="5"/>
            <x v="6"/>
            <x v="7"/>
            <x v="8"/>
            <x v="9"/>
            <x v="10"/>
            <x v="11"/>
            <x v="12"/>
            <x v="13"/>
            <x v="14"/>
            <x v="15"/>
            <x v="16"/>
            <x v="17"/>
            <x v="18"/>
            <x v="19"/>
          </reference>
        </references>
      </pivotArea>
    </format>
    <format dxfId="195">
      <pivotArea grandRow="1" outline="0" collapsedLevelsAreSubtotals="1" fieldPosition="0"/>
    </format>
    <format dxfId="194">
      <pivotArea dataOnly="0" labelOnly="1" grandRow="1" outline="0" fieldPosition="0"/>
    </format>
    <format dxfId="193">
      <pivotArea outline="0" fieldPosition="0">
        <references count="1">
          <reference field="4294967294" count="1">
            <x v="0"/>
          </reference>
        </references>
      </pivotArea>
    </format>
    <format dxfId="192">
      <pivotArea outline="0" fieldPosition="0">
        <references count="1">
          <reference field="4294967294" count="1">
            <x v="1"/>
          </reference>
        </references>
      </pivotArea>
    </format>
    <format dxfId="191">
      <pivotArea outline="0" fieldPosition="0">
        <references count="1">
          <reference field="4294967294" count="1">
            <x v="2"/>
          </reference>
        </references>
      </pivotArea>
    </format>
    <format dxfId="190">
      <pivotArea outline="0" fieldPosition="0">
        <references count="1">
          <reference field="4294967294" count="1">
            <x v="3"/>
          </reference>
        </references>
      </pivotArea>
    </format>
    <format dxfId="189">
      <pivotArea outline="0" fieldPosition="0">
        <references count="1">
          <reference field="4294967294" count="1">
            <x v="4"/>
          </reference>
        </references>
      </pivotArea>
    </format>
    <format dxfId="188">
      <pivotArea outline="0" fieldPosition="0">
        <references count="1">
          <reference field="4294967294" count="1">
            <x v="5"/>
          </reference>
        </references>
      </pivotArea>
    </format>
    <format dxfId="187">
      <pivotArea outline="0" fieldPosition="0">
        <references count="1">
          <reference field="4294967294" count="1">
            <x v="6"/>
          </reference>
        </references>
      </pivotArea>
    </format>
    <format dxfId="186">
      <pivotArea outline="0" fieldPosition="0">
        <references count="1">
          <reference field="4294967294" count="1">
            <x v="7"/>
          </reference>
        </references>
      </pivotArea>
    </format>
    <format dxfId="185">
      <pivotArea outline="0" fieldPosition="0">
        <references count="1">
          <reference field="4294967294" count="1">
            <x v="8"/>
          </reference>
        </references>
      </pivotArea>
    </format>
    <format dxfId="184">
      <pivotArea outline="0" fieldPosition="0">
        <references count="1">
          <reference field="4294967294" count="1">
            <x v="9"/>
          </reference>
        </references>
      </pivotArea>
    </format>
    <format dxfId="183">
      <pivotArea outline="0" fieldPosition="0">
        <references count="1">
          <reference field="4294967294" count="1">
            <x v="10"/>
          </reference>
        </references>
      </pivotArea>
    </format>
    <format dxfId="182">
      <pivotArea outline="0" fieldPosition="0">
        <references count="1">
          <reference field="4294967294" count="1">
            <x v="11"/>
          </reference>
        </references>
      </pivotArea>
    </format>
    <format dxfId="181">
      <pivotArea outline="0" fieldPosition="0">
        <references count="1">
          <reference field="4294967294" count="1">
            <x v="12"/>
          </reference>
        </references>
      </pivotArea>
    </format>
    <format dxfId="180">
      <pivotArea outline="0" fieldPosition="0">
        <references count="1">
          <reference field="4294967294" count="1">
            <x v="13"/>
          </reference>
        </references>
      </pivotArea>
    </format>
    <format dxfId="179">
      <pivotArea outline="0" fieldPosition="0">
        <references count="1">
          <reference field="4294967294" count="1">
            <x v="14"/>
          </reference>
        </references>
      </pivotArea>
    </format>
    <format dxfId="178">
      <pivotArea outline="0" fieldPosition="0">
        <references count="1">
          <reference field="4294967294" count="1">
            <x v="15"/>
          </reference>
        </references>
      </pivotArea>
    </format>
    <format dxfId="177">
      <pivotArea outline="0" fieldPosition="0">
        <references count="1">
          <reference field="4294967294" count="1">
            <x v="16"/>
          </reference>
        </references>
      </pivotArea>
    </format>
    <format dxfId="176">
      <pivotArea outline="0" fieldPosition="0">
        <references count="1">
          <reference field="4294967294" count="1">
            <x v="17"/>
          </reference>
        </references>
      </pivotArea>
    </format>
    <format dxfId="175">
      <pivotArea outline="0" fieldPosition="0">
        <references count="1">
          <reference field="4294967294" count="1">
            <x v="18"/>
          </reference>
        </references>
      </pivotArea>
    </format>
    <format dxfId="174">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EA_Name" xr10:uid="{00000000-0013-0000-FFFF-FFFF01000000}" sourceName="AEA Name">
  <pivotTables>
    <pivotTable tabId="4" name="PivotTable1"/>
  </pivotTables>
  <data>
    <tabular pivotCacheId="1">
      <items count="9">
        <i x="2" s="1"/>
        <i x="4" s="1"/>
        <i x="8" s="1"/>
        <i x="7" s="1"/>
        <i x="5" s="1"/>
        <i x="0" s="1"/>
        <i x="3"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EA Name" xr10:uid="{00000000-0014-0000-FFFF-FFFF01000000}" cache="Slicer_AEA_Name" caption="AEA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0A6035-B394-4104-AF2A-7E0922E382B7}" name="Breakdown" displayName="Breakdown" ref="A1:U326" totalsRowShown="0">
  <autoFilter ref="A1:U326" xr:uid="{50AAE653-3C0E-4CE4-8115-B0AAA33589C6}"/>
  <tableColumns count="21">
    <tableColumn id="1" xr3:uid="{BB6F7C9A-5E70-4DEB-B8F2-25E8DF22276E}" name="AEA" dataDxfId="249"/>
    <tableColumn id="2" xr3:uid="{1DFFFA89-7664-4642-9554-486414639FC5}" name="AEA Name"/>
    <tableColumn id="3" xr3:uid="{27EFC537-60F3-48A5-A642-F6ED8259A88E}" name="Dist" dataDxfId="248"/>
    <tableColumn id="4" xr3:uid="{8432758F-F06C-44B1-B52D-B61E1ABB36C1}" name="District"/>
    <tableColumn id="5" xr3:uid="{6EF56C84-0321-4075-ADFE-F9C18F04725A}" name="AEA Special Ed Support District Cost Formula Generated" dataDxfId="247"/>
    <tableColumn id="6" xr3:uid="{7A87F51F-FBC3-4F3B-8F0E-02BEF3306874}" name="State Aid Portion Special Ed" dataDxfId="246"/>
    <tableColumn id="7" xr3:uid="{182A85FD-11E8-4C3F-8FA5-B29FB6F3E4C5}" name="AEA Statewide State Aid Reduction" dataDxfId="245"/>
    <tableColumn id="8" xr3:uid="{4B4DE84C-D2AF-4EA2-98B4-A038A27B3E2D}" name="State Aid Special Ed Minus Reduction" dataDxfId="244"/>
    <tableColumn id="9" xr3:uid="{8DEC4ED8-2CE5-485D-9F09-622F544ACE0F}" name="Special Education Property Tax Portion" dataDxfId="243"/>
    <tableColumn id="10" xr3:uid="{74748503-EE09-48F4-B938-DDF04ECA9474}" name="AEA Special Ed Support Adjustment"/>
    <tableColumn id="11" xr3:uid="{91E09D71-8A59-422C-95F3-B14D290A49C4}" name="Total Special Ed Funding Removing Reduction Including Adjustment"/>
    <tableColumn id="12" xr3:uid="{06EBAD71-97C8-4126-ADA8-F9160C90D5CA}" name="State Aid Portion Sharing Operations"/>
    <tableColumn id="13" xr3:uid="{06ADAC0E-85F7-466E-8566-20400F419DED}" name="Sharing Operations Property Tax" dataDxfId="242"/>
    <tableColumn id="14" xr3:uid="{997335BF-E2B5-402E-93CD-D75BA5CC1E40}" name="Total AEA Sharing Operations" dataDxfId="241"/>
    <tableColumn id="15" xr3:uid="{49EA1A3B-92B3-4A98-8DFA-6F4B52B885D7}" name="AEA Teacher Salary Supplement District Cost" dataDxfId="240"/>
    <tableColumn id="16" xr3:uid="{801D485E-3FF5-400C-9782-FA0FA7C9CBB0}" name="AEA Professional Development Supplement District Cost" dataDxfId="239"/>
    <tableColumn id="17" xr3:uid="{55310980-75BB-41A9-8CEE-4C678F8472FB}" name="AEA Media Services District Cost" dataDxfId="238"/>
    <tableColumn id="18" xr3:uid="{394E2127-117F-455F-BB9A-1BD40C1A0C9F}" name="AEA Ed Services District Cost" dataDxfId="237"/>
    <tableColumn id="19" xr3:uid="{DF47A1F0-D4BF-4940-A00F-B97C145CA762}" name="Total Budget" dataDxfId="236"/>
    <tableColumn id="20" xr3:uid="{FC3C11CD-D550-4596-8820-A66ADE1EDF74}" name="State Aid Portion" dataDxfId="235"/>
    <tableColumn id="21" xr3:uid="{99FFD5E3-611A-4B7F-B560-F1F07A60FE7C}" name="Property Tax Portion" dataDxfId="2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 displayName="Detail" ref="A2:AC327" totalsRowShown="0" headerRowDxfId="233" headerRowBorderDxfId="232">
  <tableColumns count="29">
    <tableColumn id="1" xr3:uid="{00000000-0010-0000-0000-000001000000}" name="AEA" dataDxfId="231"/>
    <tableColumn id="2" xr3:uid="{00000000-0010-0000-0000-000002000000}" name="AEA Name" dataDxfId="230"/>
    <tableColumn id="3" xr3:uid="{00000000-0010-0000-0000-000003000000}" name="Dist" dataDxfId="229"/>
    <tableColumn id="4" xr3:uid="{00000000-0010-0000-0000-000004000000}" name="District" dataDxfId="228"/>
    <tableColumn id="5" xr3:uid="{00000000-0010-0000-0000-000005000000}" name="Total Special Ed Weighting in Addition to 1.0" dataDxfId="227"/>
    <tableColumn id="6" xr3:uid="{00000000-0010-0000-0000-000006000000}" name="Budget Enrollment" dataDxfId="226"/>
    <tableColumn id="7" xr3:uid="{00000000-0010-0000-0000-000007000000}" name="AEA Weighted Enrollment" dataDxfId="225"/>
    <tableColumn id="8" xr3:uid="{00000000-0010-0000-0000-000008000000}" name="AEA Supplementary Weight for Sharing" dataDxfId="224"/>
    <tableColumn id="9" xr3:uid="{00000000-0010-0000-0000-000009000000}" name="Resident Accredited Nonpublic Students" dataDxfId="223"/>
    <tableColumn id="10" xr3:uid="{00000000-0010-0000-0000-00000A000000}" name="Shared-Time Nonpublic Pupils Counted in Line 1.1" dataDxfId="222"/>
    <tableColumn id="11" xr3:uid="{00000000-0010-0000-0000-00000B000000}" name="Total Enrollment Served - AEA Media and Ed Services" dataDxfId="221"/>
    <tableColumn id="12" xr3:uid="{00000000-0010-0000-0000-00000C000000}" name="AEA Special Ed Support Cost Per Pupil" dataDxfId="220"/>
    <tableColumn id="13" xr3:uid="{00000000-0010-0000-0000-00000D000000}" name="AEA Media Cost Per Pupil" dataDxfId="219"/>
    <tableColumn id="14" xr3:uid="{00000000-0010-0000-0000-00000E000000}" name="AEA Ed Services Cost Per Pupil" dataDxfId="218"/>
    <tableColumn id="15" xr3:uid="{00000000-0010-0000-0000-00000F000000}" name="AEA Teacher Salary Supplement District Cost Per Pupil" dataDxfId="217"/>
    <tableColumn id="16" xr3:uid="{00000000-0010-0000-0000-000010000000}" name="Professional Development Supplement District Cost Per Pupil" dataDxfId="216"/>
    <tableColumn id="17" xr3:uid="{00000000-0010-0000-0000-000011000000}" name="AEA Special Ed Support District Cost without Adjustment" dataDxfId="215"/>
    <tableColumn id="18" xr3:uid="{00000000-0010-0000-0000-000012000000}" name="AEA Special Ed Support Adjustment" dataDxfId="214"/>
    <tableColumn id="19" xr3:uid="{00000000-0010-0000-0000-000013000000}" name="Special Education Total Cost" dataDxfId="213"/>
    <tableColumn id="20" xr3:uid="{00000000-0010-0000-0000-000014000000}" name="AEA Media Services District Cost" dataDxfId="212"/>
    <tableColumn id="21" xr3:uid="{00000000-0010-0000-0000-000015000000}" name="AEA Ed Services District Cost" dataDxfId="211"/>
    <tableColumn id="22" xr3:uid="{00000000-0010-0000-0000-000016000000}" name="AEA Sharing District Cost" dataDxfId="210"/>
    <tableColumn id="23" xr3:uid="{00000000-0010-0000-0000-000017000000}" name="AEA Teacher Salary Supplement District Cost" dataDxfId="209"/>
    <tableColumn id="24" xr3:uid="{00000000-0010-0000-0000-000018000000}" name="AEA Professional Development Supplement District Cost" dataDxfId="208"/>
    <tableColumn id="25" xr3:uid="{00000000-0010-0000-0000-000019000000}" name="Subtotal Budget" dataDxfId="207"/>
    <tableColumn id="26" xr3:uid="{00000000-0010-0000-0000-00001A000000}" name="AEA Statewide State Aid Reduction" dataDxfId="206"/>
    <tableColumn id="27" xr3:uid="{00000000-0010-0000-0000-00001B000000}" name="Total Budget" dataDxfId="205"/>
    <tableColumn id="28" xr3:uid="{00000000-0010-0000-0000-00001C000000}" name="State Aid Portion" dataDxfId="204"/>
    <tableColumn id="29" xr3:uid="{00000000-0010-0000-0000-00001D000000}" name="Property Tax Portion" dataDxfId="203"/>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topLeftCell="A2" workbookViewId="0">
      <selection activeCell="A2" sqref="A2"/>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363</v>
      </c>
      <c r="B2" s="7" t="s">
        <v>364</v>
      </c>
      <c r="C2" s="8" t="s">
        <v>368</v>
      </c>
      <c r="D2" s="8" t="s">
        <v>342</v>
      </c>
      <c r="E2" s="8" t="s">
        <v>369</v>
      </c>
      <c r="F2" s="8" t="s">
        <v>370</v>
      </c>
      <c r="G2" s="8" t="s">
        <v>371</v>
      </c>
      <c r="H2" s="8" t="s">
        <v>372</v>
      </c>
      <c r="I2" s="8" t="s">
        <v>373</v>
      </c>
      <c r="J2" s="8" t="s">
        <v>374</v>
      </c>
      <c r="K2" s="8" t="s">
        <v>375</v>
      </c>
    </row>
    <row r="3" spans="1:11" x14ac:dyDescent="0.25">
      <c r="A3" s="1" t="str">
        <f t="array" ref="A3">IFERROR(INDEX(Detail[AEA], MATCH(0,COUNTIF(Summary!$A$2:'Summary'!A2, Detail[AEA]), 0)),"")</f>
        <v>01</v>
      </c>
      <c r="B3" t="str">
        <f>INDEX(Detail[],MATCH(Summary!$A3,Detail[AEA],0),2)</f>
        <v>Keystone AEA 1</v>
      </c>
      <c r="C3" s="2">
        <f>SUMIFS(INDEX(Detail[],0,MATCH(C$1,Detail[#Headers],0)),Detail[AEA],$A3)</f>
        <v>4389.6099999999997</v>
      </c>
      <c r="D3" s="3">
        <f>SUMIFS(INDEX(Detail[],0,MATCH(D$1,Detail[#Headers],0)),Detail[AEA],$A3)</f>
        <v>27827.899999999998</v>
      </c>
      <c r="E3" s="2">
        <f>SUMIFS(INDEX(Detail[],0,MATCH(E$1,Detail[#Headers],0)),Detail[AEA],$A3)</f>
        <v>32217.510000000002</v>
      </c>
      <c r="F3" s="4">
        <f>SUMIFS(INDEX(Detail[],0,MATCH(F$1,Detail[#Headers],0)),Detail[AEA],$A3)</f>
        <v>3727</v>
      </c>
      <c r="G3" s="3">
        <f>SUMIFS(INDEX(Detail[],0,MATCH(G$1,Detail[#Headers],0)),Detail[AEA],$A3)</f>
        <v>15.7</v>
      </c>
      <c r="H3" s="4">
        <f>SUMIFS(INDEX(Detail[],0,MATCH(H$1,Detail[#Headers],0)),Detail[AEA],$A3)</f>
        <v>31540</v>
      </c>
      <c r="I3" s="2">
        <f>INDEX(Detail[],MATCH($A3,Detail[AEA],0),MATCH(I$1,Detail[#Headers],0))</f>
        <v>348.14</v>
      </c>
      <c r="J3" s="2">
        <f>INDEX(Detail[],MATCH($A3,Detail[AEA],0),MATCH(J$1,Detail[#Headers],0))</f>
        <v>62.44</v>
      </c>
      <c r="K3" s="2">
        <f>INDEX(Detail[],MATCH($A3,Detail[AEA],0),MATCH(K$1,Detail[#Headers],0))</f>
        <v>69.56</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4071.5899999999992</v>
      </c>
      <c r="D4" s="3">
        <f>SUMIFS(INDEX(Detail[],0,MATCH(D$1,Detail[#Headers],0)),Detail[AEA],$A4)</f>
        <v>30049.199999999997</v>
      </c>
      <c r="E4" s="2">
        <f>SUMIFS(INDEX(Detail[],0,MATCH(E$1,Detail[#Headers],0)),Detail[AEA],$A4)</f>
        <v>34120.79</v>
      </c>
      <c r="F4" s="4">
        <f>SUMIFS(INDEX(Detail[],0,MATCH(F$1,Detail[#Headers],0)),Detail[AEA],$A4)</f>
        <v>1962</v>
      </c>
      <c r="G4" s="3">
        <f>SUMIFS(INDEX(Detail[],0,MATCH(G$1,Detail[#Headers],0)),Detail[AEA],$A4)</f>
        <v>23.599999999999998</v>
      </c>
      <c r="H4" s="4">
        <f>SUMIFS(INDEX(Detail[],0,MATCH(H$1,Detail[#Headers],0)),Detail[AEA],$A4)</f>
        <v>31989</v>
      </c>
      <c r="I4" s="2">
        <f>INDEX(Detail[],MATCH($A4,Detail[AEA],0),MATCH(I$1,Detail[#Headers],0))</f>
        <v>343.89</v>
      </c>
      <c r="J4" s="2">
        <f>INDEX(Detail[],MATCH($A4,Detail[AEA],0),MATCH(J$1,Detail[#Headers],0))</f>
        <v>62.52</v>
      </c>
      <c r="K4" s="2">
        <f>INDEX(Detail[],MATCH($A4,Detail[AEA],0),MATCH(K$1,Detail[#Headers],0))</f>
        <v>70.03</v>
      </c>
    </row>
    <row r="5" spans="1:11" x14ac:dyDescent="0.25">
      <c r="A5" s="35" t="str">
        <f t="array" ref="A5">IFERROR(INDEX(Detail[AEA], MATCH(0,COUNTIF(Summary!$A$2:'Summary'!A4, Detail[AEA]), 0)),"")</f>
        <v>07</v>
      </c>
      <c r="B5" t="str">
        <f>INDEX(Detail[],MATCH(Summary!$A5,Detail[AEA],0),2)</f>
        <v>Central Rivers</v>
      </c>
      <c r="C5" s="2">
        <f>SUMIFS(INDEX(Detail[],0,MATCH(C$1,Detail[#Headers],0)),Detail[AEA],$A5)</f>
        <v>9425.9699999999993</v>
      </c>
      <c r="D5" s="3">
        <f>SUMIFS(INDEX(Detail[],0,MATCH(D$1,Detail[#Headers],0)),Detail[AEA],$A5)</f>
        <v>61183.599999999991</v>
      </c>
      <c r="E5" s="2">
        <f>SUMIFS(INDEX(Detail[],0,MATCH(E$1,Detail[#Headers],0)),Detail[AEA],$A5)</f>
        <v>70609.569999999992</v>
      </c>
      <c r="F5" s="4">
        <f>SUMIFS(INDEX(Detail[],0,MATCH(F$1,Detail[#Headers],0)),Detail[AEA],$A5)</f>
        <v>3223</v>
      </c>
      <c r="G5" s="3">
        <f>SUMIFS(INDEX(Detail[],0,MATCH(G$1,Detail[#Headers],0)),Detail[AEA],$A5)</f>
        <v>36.6</v>
      </c>
      <c r="H5" s="4">
        <f>SUMIFS(INDEX(Detail[],0,MATCH(H$1,Detail[#Headers],0)),Detail[AEA],$A5)</f>
        <v>64374</v>
      </c>
      <c r="I5" s="2">
        <f>INDEX(Detail[],MATCH($A5,Detail[AEA],0),MATCH(I$1,Detail[#Headers],0))</f>
        <v>337.26</v>
      </c>
      <c r="J5" s="2">
        <f>INDEX(Detail[],MATCH($A5,Detail[AEA],0),MATCH(J$1,Detail[#Headers],0))</f>
        <v>62.47</v>
      </c>
      <c r="K5" s="2">
        <f>INDEX(Detail[],MATCH($A5,Detail[AEA],0),MATCH(K$1,Detail[#Headers],0))</f>
        <v>69.650000000000006</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6569.1699999999992</v>
      </c>
      <c r="D6" s="3">
        <f>SUMIFS(INDEX(Detail[],0,MATCH(D$1,Detail[#Headers],0)),Detail[AEA],$A6)</f>
        <v>45239.7</v>
      </c>
      <c r="E6" s="2">
        <f>SUMIFS(INDEX(Detail[],0,MATCH(E$1,Detail[#Headers],0)),Detail[AEA],$A6)</f>
        <v>51808.87000000001</v>
      </c>
      <c r="F6" s="4">
        <f>SUMIFS(INDEX(Detail[],0,MATCH(F$1,Detail[#Headers],0)),Detail[AEA],$A6)</f>
        <v>2989</v>
      </c>
      <c r="G6" s="3">
        <f>SUMIFS(INDEX(Detail[],0,MATCH(G$1,Detail[#Headers],0)),Detail[AEA],$A6)</f>
        <v>5</v>
      </c>
      <c r="H6" s="4">
        <f>SUMIFS(INDEX(Detail[],0,MATCH(H$1,Detail[#Headers],0)),Detail[AEA],$A6)</f>
        <v>48224</v>
      </c>
      <c r="I6" s="2">
        <f>INDEX(Detail[],MATCH($A6,Detail[AEA],0),MATCH(I$1,Detail[#Headers],0))</f>
        <v>334.9</v>
      </c>
      <c r="J6" s="2">
        <f>INDEX(Detail[],MATCH($A6,Detail[AEA],0),MATCH(J$1,Detail[#Headers],0))</f>
        <v>61.98</v>
      </c>
      <c r="K6" s="2">
        <f>INDEX(Detail[],MATCH($A6,Detail[AEA],0),MATCH(K$1,Detail[#Headers],0))</f>
        <v>67.73</v>
      </c>
    </row>
    <row r="7" spans="1:11" x14ac:dyDescent="0.25">
      <c r="A7" s="1" t="str">
        <f t="array" ref="A7">IFERROR(INDEX(Detail[AEA], MATCH(0,COUNTIF(Summary!$A$2:'Summary'!A6, Detail[AEA]), 0)),"")</f>
        <v>10</v>
      </c>
      <c r="B7" t="str">
        <f>INDEX(Detail[],MATCH(Summary!$A7,Detail[AEA],0),2)</f>
        <v>Grant Wood AEA 10</v>
      </c>
      <c r="C7" s="2">
        <f>SUMIFS(INDEX(Detail[],0,MATCH(C$1,Detail[#Headers],0)),Detail[AEA],$A7)</f>
        <v>8446.91</v>
      </c>
      <c r="D7" s="3">
        <f>SUMIFS(INDEX(Detail[],0,MATCH(D$1,Detail[#Headers],0)),Detail[AEA],$A7)</f>
        <v>69432.099999999991</v>
      </c>
      <c r="E7" s="2">
        <f>SUMIFS(INDEX(Detail[],0,MATCH(E$1,Detail[#Headers],0)),Detail[AEA],$A7)</f>
        <v>77879.009999999995</v>
      </c>
      <c r="F7" s="4">
        <f>SUMIFS(INDEX(Detail[],0,MATCH(F$1,Detail[#Headers],0)),Detail[AEA],$A7)</f>
        <v>4286</v>
      </c>
      <c r="G7" s="3">
        <f>SUMIFS(INDEX(Detail[],0,MATCH(G$1,Detail[#Headers],0)),Detail[AEA],$A7)</f>
        <v>25.500000000000004</v>
      </c>
      <c r="H7" s="4">
        <f>SUMIFS(INDEX(Detail[],0,MATCH(H$1,Detail[#Headers],0)),Detail[AEA],$A7)</f>
        <v>73695</v>
      </c>
      <c r="I7" s="2">
        <f>INDEX(Detail[],MATCH($A7,Detail[AEA],0),MATCH(I$1,Detail[#Headers],0))</f>
        <v>332.98</v>
      </c>
      <c r="J7" s="2">
        <f>INDEX(Detail[],MATCH($A7,Detail[AEA],0),MATCH(J$1,Detail[#Headers],0))</f>
        <v>62.16</v>
      </c>
      <c r="K7" s="2">
        <f>INDEX(Detail[],MATCH($A7,Detail[AEA],0),MATCH(K$1,Detail[#Headers],0))</f>
        <v>68.33</v>
      </c>
    </row>
    <row r="8" spans="1:11" x14ac:dyDescent="0.25">
      <c r="A8" s="1" t="str">
        <f t="array" ref="A8">IFERROR(INDEX(Detail[AEA], MATCH(0,COUNTIF(Summary!$A$2:'Summary'!A7, Detail[AEA]), 0)),"")</f>
        <v>11</v>
      </c>
      <c r="B8" t="str">
        <f>INDEX(Detail[],MATCH(Summary!$A8,Detail[AEA],0),2)</f>
        <v>Heartland AEA 11</v>
      </c>
      <c r="C8" s="2">
        <f>SUMIFS(INDEX(Detail[],0,MATCH(C$1,Detail[#Headers],0)),Detail[AEA],$A8)</f>
        <v>19094.84</v>
      </c>
      <c r="D8" s="3">
        <f>SUMIFS(INDEX(Detail[],0,MATCH(D$1,Detail[#Headers],0)),Detail[AEA],$A8)</f>
        <v>142154.79999999999</v>
      </c>
      <c r="E8" s="2">
        <f>SUMIFS(INDEX(Detail[],0,MATCH(E$1,Detail[#Headers],0)),Detail[AEA],$A8)</f>
        <v>161249.63999999998</v>
      </c>
      <c r="F8" s="4">
        <f>SUMIFS(INDEX(Detail[],0,MATCH(F$1,Detail[#Headers],0)),Detail[AEA],$A8)</f>
        <v>9930</v>
      </c>
      <c r="G8" s="3">
        <f>SUMIFS(INDEX(Detail[],0,MATCH(G$1,Detail[#Headers],0)),Detail[AEA],$A8)</f>
        <v>85.100000000000023</v>
      </c>
      <c r="H8" s="4">
        <f>SUMIFS(INDEX(Detail[],0,MATCH(H$1,Detail[#Headers],0)),Detail[AEA],$A8)</f>
        <v>152000</v>
      </c>
      <c r="I8" s="2">
        <f>INDEX(Detail[],MATCH($A8,Detail[AEA],0),MATCH(I$1,Detail[#Headers],0))</f>
        <v>325.88</v>
      </c>
      <c r="J8" s="2">
        <f>INDEX(Detail[],MATCH($A8,Detail[AEA],0),MATCH(J$1,Detail[#Headers],0))</f>
        <v>62.04</v>
      </c>
      <c r="K8" s="2">
        <f>INDEX(Detail[],MATCH($A8,Detail[AEA],0),MATCH(K$1,Detail[#Headers],0))</f>
        <v>68.150000000000006</v>
      </c>
    </row>
    <row r="9" spans="1:11" x14ac:dyDescent="0.25">
      <c r="A9" s="1" t="str">
        <f t="array" ref="A9">IFERROR(INDEX(Detail[AEA], MATCH(0,COUNTIF(Summary!$A$2:'Summary'!A8, Detail[AEA]), 0)),"")</f>
        <v>12</v>
      </c>
      <c r="B9" t="str">
        <f>INDEX(Detail[],MATCH(Summary!$A9,Detail[AEA],0),2)</f>
        <v>Northwest AEA</v>
      </c>
      <c r="C9" s="2">
        <f>SUMIFS(INDEX(Detail[],0,MATCH(C$1,Detail[#Headers],0)),Detail[AEA],$A9)</f>
        <v>5850.88</v>
      </c>
      <c r="D9" s="3">
        <f>SUMIFS(INDEX(Detail[],0,MATCH(D$1,Detail[#Headers],0)),Detail[AEA],$A9)</f>
        <v>39907.599999999999</v>
      </c>
      <c r="E9" s="2">
        <f>SUMIFS(INDEX(Detail[],0,MATCH(E$1,Detail[#Headers],0)),Detail[AEA],$A9)</f>
        <v>45758.48</v>
      </c>
      <c r="F9" s="4">
        <f>SUMIFS(INDEX(Detail[],0,MATCH(F$1,Detail[#Headers],0)),Detail[AEA],$A9)</f>
        <v>5387</v>
      </c>
      <c r="G9" s="3">
        <f>SUMIFS(INDEX(Detail[],0,MATCH(G$1,Detail[#Headers],0)),Detail[AEA],$A9)</f>
        <v>42.3</v>
      </c>
      <c r="H9" s="4">
        <f>SUMIFS(INDEX(Detail[],0,MATCH(H$1,Detail[#Headers],0)),Detail[AEA],$A9)</f>
        <v>45252</v>
      </c>
      <c r="I9" s="2">
        <f>INDEX(Detail[],MATCH($A9,Detail[AEA],0),MATCH(I$1,Detail[#Headers],0))</f>
        <v>340.52</v>
      </c>
      <c r="J9" s="2">
        <f>INDEX(Detail[],MATCH($A9,Detail[AEA],0),MATCH(J$1,Detail[#Headers],0))</f>
        <v>62.45</v>
      </c>
      <c r="K9" s="2">
        <f>INDEX(Detail[],MATCH($A9,Detail[AEA],0),MATCH(K$1,Detail[#Headers],0))</f>
        <v>69.930000000000007</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6034.71</v>
      </c>
      <c r="D10" s="3">
        <f>SUMIFS(INDEX(Detail[],0,MATCH(D$1,Detail[#Headers],0)),Detail[AEA],$A10)</f>
        <v>36818.899999999994</v>
      </c>
      <c r="E10" s="2">
        <f>SUMIFS(INDEX(Detail[],0,MATCH(E$1,Detail[#Headers],0)),Detail[AEA],$A10)</f>
        <v>42853.610000000008</v>
      </c>
      <c r="F10" s="4">
        <f>SUMIFS(INDEX(Detail[],0,MATCH(F$1,Detail[#Headers],0)),Detail[AEA],$A10)</f>
        <v>1034</v>
      </c>
      <c r="G10" s="3">
        <f>SUMIFS(INDEX(Detail[],0,MATCH(G$1,Detail[#Headers],0)),Detail[AEA],$A10)</f>
        <v>4.6000000000000005</v>
      </c>
      <c r="H10" s="4">
        <f>SUMIFS(INDEX(Detail[],0,MATCH(H$1,Detail[#Headers],0)),Detail[AEA],$A10)</f>
        <v>37852</v>
      </c>
      <c r="I10" s="2">
        <f>INDEX(Detail[],MATCH($A10,Detail[AEA],0),MATCH(I$1,Detail[#Headers],0))</f>
        <v>333.94</v>
      </c>
      <c r="J10" s="2">
        <f>INDEX(Detail[],MATCH($A10,Detail[AEA],0),MATCH(J$1,Detail[#Headers],0))</f>
        <v>62.17</v>
      </c>
      <c r="K10" s="2">
        <f>INDEX(Detail[],MATCH($A10,Detail[AEA],0),MATCH(K$1,Detail[#Headers],0))</f>
        <v>68.73</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4768.1200000000008</v>
      </c>
      <c r="D11" s="3">
        <f>SUMIFS(INDEX(Detail[],0,MATCH(D$1,Detail[#Headers],0)),Detail[AEA],$A11)</f>
        <v>33861.699999999997</v>
      </c>
      <c r="E11" s="2">
        <f>SUMIFS(INDEX(Detail[],0,MATCH(E$1,Detail[#Headers],0)),Detail[AEA],$A11)</f>
        <v>38629.82</v>
      </c>
      <c r="F11" s="4">
        <f>SUMIFS(INDEX(Detail[],0,MATCH(F$1,Detail[#Headers],0)),Detail[AEA],$A11)</f>
        <v>1154</v>
      </c>
      <c r="G11" s="3">
        <f>SUMIFS(INDEX(Detail[],0,MATCH(G$1,Detail[#Headers],0)),Detail[AEA],$A11)</f>
        <v>13.3</v>
      </c>
      <c r="H11" s="4">
        <f>SUMIFS(INDEX(Detail[],0,MATCH(H$1,Detail[#Headers],0)),Detail[AEA],$A11)</f>
        <v>35004</v>
      </c>
      <c r="I11" s="2">
        <f>INDEX(Detail[],MATCH($A11,Detail[AEA],0),MATCH(I$1,Detail[#Headers],0))</f>
        <v>331.3</v>
      </c>
      <c r="J11" s="2">
        <f>INDEX(Detail[],MATCH($A11,Detail[AEA],0),MATCH(J$1,Detail[#Headers],0))</f>
        <v>62.14</v>
      </c>
      <c r="K11" s="2">
        <f>INDEX(Detail[],MATCH($A11,Detail[AEA],0),MATCH(K$1,Detail[#Headers],0))</f>
        <v>68.3</v>
      </c>
    </row>
    <row r="12" spans="1:11" ht="15.75" thickBot="1" x14ac:dyDescent="0.3">
      <c r="C12" s="9">
        <f t="shared" ref="C12:H12" si="0">SUM(C3:C11)</f>
        <v>68651.799999999988</v>
      </c>
      <c r="D12" s="19">
        <f t="shared" si="0"/>
        <v>486475.49999999994</v>
      </c>
      <c r="E12" s="9">
        <f t="shared" si="0"/>
        <v>555127.29999999993</v>
      </c>
      <c r="F12" s="12">
        <f t="shared" si="0"/>
        <v>33692</v>
      </c>
      <c r="G12" s="19">
        <f t="shared" si="0"/>
        <v>251.70000000000002</v>
      </c>
      <c r="H12" s="12">
        <f t="shared" si="0"/>
        <v>519930</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376</v>
      </c>
      <c r="D15" s="8" t="s">
        <v>377</v>
      </c>
      <c r="E15" s="8" t="s">
        <v>378</v>
      </c>
      <c r="F15" s="8" t="s">
        <v>379</v>
      </c>
      <c r="G15" s="8" t="s">
        <v>380</v>
      </c>
      <c r="H15" s="8" t="s">
        <v>381</v>
      </c>
      <c r="I15" s="8" t="s">
        <v>382</v>
      </c>
      <c r="J15" s="8" t="s">
        <v>383</v>
      </c>
      <c r="K15" s="11"/>
    </row>
    <row r="16" spans="1:11" x14ac:dyDescent="0.25">
      <c r="A16" t="str">
        <f t="shared" ref="A16:B16" si="1">A3</f>
        <v>01</v>
      </c>
      <c r="B16" t="str">
        <f t="shared" si="1"/>
        <v>Keystone AEA 1</v>
      </c>
      <c r="C16" s="2">
        <f>INDEX(Detail[],MATCH($A16,Detail[AEA],0),MATCH(C$14,Detail[#Headers],0))</f>
        <v>34.47</v>
      </c>
      <c r="D16" s="2">
        <f>INDEX(Detail[],MATCH($A16,Detail[AEA],0),MATCH(D$14,Detail[#Headers],0))</f>
        <v>3.74</v>
      </c>
      <c r="E16" s="4">
        <f>SUMIFS(INDEX(Detail[],0,MATCH(E$14,Detail[#Headers],0)),Detail[AEA],$A16)</f>
        <v>11216201</v>
      </c>
      <c r="F16" s="4">
        <f>SUMIFS(INDEX(Detail[],0,MATCH(F$14,Detail[#Headers],0)),Detail[AEA],$A16)</f>
        <v>10552</v>
      </c>
      <c r="G16" s="4">
        <f>SUMIFS(INDEX(Detail[],0,MATCH(G$14,Detail[#Headers],0)),Detail[AEA],$A16)</f>
        <v>11226753</v>
      </c>
      <c r="H16" s="4">
        <f>SUMIFS(INDEX(Detail[],0,MATCH(H$14,Detail[#Headers],0)),Detail[AEA],$A16)</f>
        <v>1969358</v>
      </c>
      <c r="I16" s="4">
        <f>SUMIFS(INDEX(Detail[],0,MATCH(I$14,Detail[#Headers],0)),Detail[AEA],$A16)</f>
        <v>2193922</v>
      </c>
      <c r="J16" s="4">
        <f>SUMIFS(INDEX(Detail[],0,MATCH(J$14,Detail[#Headers],0)),Detail[AEA],$A16)</f>
        <v>30001</v>
      </c>
    </row>
    <row r="17" spans="1:16" x14ac:dyDescent="0.25">
      <c r="A17" t="str">
        <f t="shared" ref="A17:B17" si="2">A4</f>
        <v>05</v>
      </c>
      <c r="B17" t="str">
        <f t="shared" si="2"/>
        <v>Prairie Lakes AEA 8</v>
      </c>
      <c r="C17" s="2">
        <f>INDEX(Detail[],MATCH($A17,Detail[AEA],0),MATCH(C$14,Detail[#Headers],0))</f>
        <v>36.43</v>
      </c>
      <c r="D17" s="2">
        <f>INDEX(Detail[],MATCH($A17,Detail[AEA],0),MATCH(D$14,Detail[#Headers],0))</f>
        <v>4.33</v>
      </c>
      <c r="E17" s="4">
        <f>SUMIFS(INDEX(Detail[],0,MATCH(E$14,Detail[#Headers],0)),Detail[AEA],$A17)</f>
        <v>11733799</v>
      </c>
      <c r="F17" s="4">
        <f>SUMIFS(INDEX(Detail[],0,MATCH(F$14,Detail[#Headers],0)),Detail[AEA],$A17)</f>
        <v>73537</v>
      </c>
      <c r="G17" s="4">
        <f>SUMIFS(INDEX(Detail[],0,MATCH(G$14,Detail[#Headers],0)),Detail[AEA],$A17)</f>
        <v>11807336</v>
      </c>
      <c r="H17" s="4">
        <f>SUMIFS(INDEX(Detail[],0,MATCH(H$14,Detail[#Headers],0)),Detail[AEA],$A17)</f>
        <v>1999952</v>
      </c>
      <c r="I17" s="4">
        <f>SUMIFS(INDEX(Detail[],0,MATCH(I$14,Detail[#Headers],0)),Detail[AEA],$A17)</f>
        <v>2240189</v>
      </c>
      <c r="J17" s="4">
        <f>SUMIFS(INDEX(Detail[],0,MATCH(J$14,Detail[#Headers],0)),Detail[AEA],$A17)</f>
        <v>0</v>
      </c>
    </row>
    <row r="18" spans="1:16" x14ac:dyDescent="0.25">
      <c r="A18" t="str">
        <f t="shared" ref="A18:B18" si="3">A5</f>
        <v>07</v>
      </c>
      <c r="B18" t="str">
        <f t="shared" si="3"/>
        <v>Central Rivers</v>
      </c>
      <c r="C18" s="2">
        <f>INDEX(Detail[],MATCH($A18,Detail[AEA],0),MATCH(C$14,Detail[#Headers],0))</f>
        <v>41.7</v>
      </c>
      <c r="D18" s="2">
        <f>INDEX(Detail[],MATCH($A18,Detail[AEA],0),MATCH(D$14,Detail[#Headers],0))</f>
        <v>4.8</v>
      </c>
      <c r="E18" s="4">
        <f>SUMIFS(INDEX(Detail[],0,MATCH(E$14,Detail[#Headers],0)),Detail[AEA],$A18)</f>
        <v>23813783</v>
      </c>
      <c r="F18" s="4">
        <f>SUMIFS(INDEX(Detail[],0,MATCH(F$14,Detail[#Headers],0)),Detail[AEA],$A18)</f>
        <v>120712</v>
      </c>
      <c r="G18" s="4">
        <f>SUMIFS(INDEX(Detail[],0,MATCH(G$14,Detail[#Headers],0)),Detail[AEA],$A18)</f>
        <v>23934495</v>
      </c>
      <c r="H18" s="4">
        <f>SUMIFS(INDEX(Detail[],0,MATCH(H$14,Detail[#Headers],0)),Detail[AEA],$A18)</f>
        <v>4021446</v>
      </c>
      <c r="I18" s="4">
        <f>SUMIFS(INDEX(Detail[],0,MATCH(I$14,Detail[#Headers],0)),Detail[AEA],$A18)</f>
        <v>4483647</v>
      </c>
      <c r="J18" s="4">
        <f>SUMIFS(INDEX(Detail[],0,MATCH(J$14,Detail[#Headers],0)),Detail[AEA],$A18)</f>
        <v>30001</v>
      </c>
    </row>
    <row r="19" spans="1:16" x14ac:dyDescent="0.25">
      <c r="A19" t="str">
        <f t="shared" ref="A19:B19" si="4">A6</f>
        <v>09</v>
      </c>
      <c r="B19" t="str">
        <f t="shared" si="4"/>
        <v>Mississippi Bend AEA 9</v>
      </c>
      <c r="C19" s="2">
        <f>INDEX(Detail[],MATCH($A19,Detail[AEA],0),MATCH(C$14,Detail[#Headers],0))</f>
        <v>30.77</v>
      </c>
      <c r="D19" s="2">
        <f>INDEX(Detail[],MATCH($A19,Detail[AEA],0),MATCH(D$14,Detail[#Headers],0))</f>
        <v>3.61</v>
      </c>
      <c r="E19" s="4">
        <f>SUMIFS(INDEX(Detail[],0,MATCH(E$14,Detail[#Headers],0)),Detail[AEA],$A19)</f>
        <v>17350789</v>
      </c>
      <c r="F19" s="4">
        <f>SUMIFS(INDEX(Detail[],0,MATCH(F$14,Detail[#Headers],0)),Detail[AEA],$A19)</f>
        <v>103802</v>
      </c>
      <c r="G19" s="4">
        <f>SUMIFS(INDEX(Detail[],0,MATCH(G$14,Detail[#Headers],0)),Detail[AEA],$A19)</f>
        <v>17454591</v>
      </c>
      <c r="H19" s="4">
        <f>SUMIFS(INDEX(Detail[],0,MATCH(H$14,Detail[#Headers],0)),Detail[AEA],$A19)</f>
        <v>2988923</v>
      </c>
      <c r="I19" s="4">
        <f>SUMIFS(INDEX(Detail[],0,MATCH(I$14,Detail[#Headers],0)),Detail[AEA],$A19)</f>
        <v>3266212</v>
      </c>
      <c r="J19" s="4">
        <f>SUMIFS(INDEX(Detail[],0,MATCH(J$14,Detail[#Headers],0)),Detail[AEA],$A19)</f>
        <v>0</v>
      </c>
    </row>
    <row r="20" spans="1:16" x14ac:dyDescent="0.25">
      <c r="A20" t="str">
        <f t="shared" ref="A20:B20" si="5">A7</f>
        <v>10</v>
      </c>
      <c r="B20" t="str">
        <f t="shared" si="5"/>
        <v>Grant Wood AEA 10</v>
      </c>
      <c r="C20" s="2">
        <f>INDEX(Detail[],MATCH($A20,Detail[AEA],0),MATCH(C$14,Detail[#Headers],0))</f>
        <v>31.52</v>
      </c>
      <c r="D20" s="2">
        <f>INDEX(Detail[],MATCH($A20,Detail[AEA],0),MATCH(D$14,Detail[#Headers],0))</f>
        <v>3.67</v>
      </c>
      <c r="E20" s="4">
        <f>SUMIFS(INDEX(Detail[],0,MATCH(E$14,Detail[#Headers],0)),Detail[AEA],$A20)</f>
        <v>25932153</v>
      </c>
      <c r="F20" s="4">
        <f>SUMIFS(INDEX(Detail[],0,MATCH(F$14,Detail[#Headers],0)),Detail[AEA],$A20)</f>
        <v>80473</v>
      </c>
      <c r="G20" s="4">
        <f>SUMIFS(INDEX(Detail[],0,MATCH(G$14,Detail[#Headers],0)),Detail[AEA],$A20)</f>
        <v>26012626</v>
      </c>
      <c r="H20" s="4">
        <f>SUMIFS(INDEX(Detail[],0,MATCH(H$14,Detail[#Headers],0)),Detail[AEA],$A20)</f>
        <v>4580882</v>
      </c>
      <c r="I20" s="4">
        <f>SUMIFS(INDEX(Detail[],0,MATCH(I$14,Detail[#Headers],0)),Detail[AEA],$A20)</f>
        <v>5035582</v>
      </c>
      <c r="J20" s="4">
        <f>SUMIFS(INDEX(Detail[],0,MATCH(J$14,Detail[#Headers],0)),Detail[AEA],$A20)</f>
        <v>30001</v>
      </c>
    </row>
    <row r="21" spans="1:16" x14ac:dyDescent="0.25">
      <c r="A21" t="str">
        <f t="shared" ref="A21:B21" si="6">A8</f>
        <v>11</v>
      </c>
      <c r="B21" t="str">
        <f t="shared" si="6"/>
        <v>Heartland AEA 11</v>
      </c>
      <c r="C21" s="2">
        <f>INDEX(Detail[],MATCH($A21,Detail[AEA],0),MATCH(C$14,Detail[#Headers],0))</f>
        <v>27.75</v>
      </c>
      <c r="D21" s="2">
        <f>INDEX(Detail[],MATCH($A21,Detail[AEA],0),MATCH(D$14,Detail[#Headers],0))</f>
        <v>3.48</v>
      </c>
      <c r="E21" s="4">
        <f>SUMIFS(INDEX(Detail[],0,MATCH(E$14,Detail[#Headers],0)),Detail[AEA],$A21)</f>
        <v>52548033</v>
      </c>
      <c r="F21" s="4">
        <f>SUMIFS(INDEX(Detail[],0,MATCH(F$14,Detail[#Headers],0)),Detail[AEA],$A21)</f>
        <v>23368</v>
      </c>
      <c r="G21" s="4">
        <f>SUMIFS(INDEX(Detail[],0,MATCH(G$14,Detail[#Headers],0)),Detail[AEA],$A21)</f>
        <v>52571401</v>
      </c>
      <c r="H21" s="4">
        <f>SUMIFS(INDEX(Detail[],0,MATCH(H$14,Detail[#Headers],0)),Detail[AEA],$A21)</f>
        <v>9430082</v>
      </c>
      <c r="I21" s="4">
        <f>SUMIFS(INDEX(Detail[],0,MATCH(I$14,Detail[#Headers],0)),Detail[AEA],$A21)</f>
        <v>10358799</v>
      </c>
      <c r="J21" s="4">
        <f>SUMIFS(INDEX(Detail[],0,MATCH(J$14,Detail[#Headers],0)),Detail[AEA],$A21)</f>
        <v>0</v>
      </c>
    </row>
    <row r="22" spans="1:16" x14ac:dyDescent="0.25">
      <c r="A22" t="str">
        <f t="shared" ref="A22:B22" si="7">A9</f>
        <v>12</v>
      </c>
      <c r="B22" t="str">
        <f t="shared" si="7"/>
        <v>Northwest AEA</v>
      </c>
      <c r="C22" s="2">
        <f>INDEX(Detail[],MATCH($A22,Detail[AEA],0),MATCH(C$14,Detail[#Headers],0))</f>
        <v>34.31</v>
      </c>
      <c r="D22" s="2">
        <f>INDEX(Detail[],MATCH($A22,Detail[AEA],0),MATCH(D$14,Detail[#Headers],0))</f>
        <v>4.09</v>
      </c>
      <c r="E22" s="4">
        <f>SUMIFS(INDEX(Detail[],0,MATCH(E$14,Detail[#Headers],0)),Detail[AEA],$A22)</f>
        <v>15581675</v>
      </c>
      <c r="F22" s="4">
        <f>SUMIFS(INDEX(Detail[],0,MATCH(F$14,Detail[#Headers],0)),Detail[AEA],$A22)</f>
        <v>31999</v>
      </c>
      <c r="G22" s="4">
        <f>SUMIFS(INDEX(Detail[],0,MATCH(G$14,Detail[#Headers],0)),Detail[AEA],$A22)</f>
        <v>15613674</v>
      </c>
      <c r="H22" s="4">
        <f>SUMIFS(INDEX(Detail[],0,MATCH(H$14,Detail[#Headers],0)),Detail[AEA],$A22)</f>
        <v>2825990</v>
      </c>
      <c r="I22" s="4">
        <f>SUMIFS(INDEX(Detail[],0,MATCH(I$14,Detail[#Headers],0)),Detail[AEA],$A22)</f>
        <v>3164474</v>
      </c>
      <c r="J22" s="4">
        <f>SUMIFS(INDEX(Detail[],0,MATCH(J$14,Detail[#Headers],0)),Detail[AEA],$A22)</f>
        <v>30001</v>
      </c>
    </row>
    <row r="23" spans="1:16" x14ac:dyDescent="0.25">
      <c r="A23" t="str">
        <f t="shared" ref="A23:B23" si="8">A10</f>
        <v>13</v>
      </c>
      <c r="B23" t="str">
        <f t="shared" si="8"/>
        <v>Green Hills AEA 13</v>
      </c>
      <c r="C23" s="2">
        <f>INDEX(Detail[],MATCH($A23,Detail[AEA],0),MATCH(C$14,Detail[#Headers],0))</f>
        <v>34.29</v>
      </c>
      <c r="D23" s="2">
        <f>INDEX(Detail[],MATCH($A23,Detail[AEA],0),MATCH(D$14,Detail[#Headers],0))</f>
        <v>3.7</v>
      </c>
      <c r="E23" s="4">
        <f>SUMIFS(INDEX(Detail[],0,MATCH(E$14,Detail[#Headers],0)),Detail[AEA],$A23)</f>
        <v>14310536</v>
      </c>
      <c r="F23" s="4">
        <f>SUMIFS(INDEX(Detail[],0,MATCH(F$14,Detail[#Headers],0)),Detail[AEA],$A23)</f>
        <v>49638</v>
      </c>
      <c r="G23" s="4">
        <f>SUMIFS(INDEX(Detail[],0,MATCH(G$14,Detail[#Headers],0)),Detail[AEA],$A23)</f>
        <v>14360174</v>
      </c>
      <c r="H23" s="4">
        <f>SUMIFS(INDEX(Detail[],0,MATCH(H$14,Detail[#Headers],0)),Detail[AEA],$A23)</f>
        <v>2353258</v>
      </c>
      <c r="I23" s="4">
        <f>SUMIFS(INDEX(Detail[],0,MATCH(I$14,Detail[#Headers],0)),Detail[AEA],$A23)</f>
        <v>2601568</v>
      </c>
      <c r="J23" s="4">
        <f>SUMIFS(INDEX(Detail[],0,MATCH(J$14,Detail[#Headers],0)),Detail[AEA],$A23)</f>
        <v>30002</v>
      </c>
    </row>
    <row r="24" spans="1:16" x14ac:dyDescent="0.25">
      <c r="A24" t="str">
        <f t="shared" ref="A24:B24" si="9">A11</f>
        <v>15</v>
      </c>
      <c r="B24" t="str">
        <f t="shared" si="9"/>
        <v>Great Prairie AEA 15</v>
      </c>
      <c r="C24" s="2">
        <f>INDEX(Detail[],MATCH($A24,Detail[AEA],0),MATCH(C$14,Detail[#Headers],0))</f>
        <v>33.299999999999997</v>
      </c>
      <c r="D24" s="2">
        <f>INDEX(Detail[],MATCH($A24,Detail[AEA],0),MATCH(D$14,Detail[#Headers],0))</f>
        <v>3.65</v>
      </c>
      <c r="E24" s="4">
        <f>SUMIFS(INDEX(Detail[],0,MATCH(E$14,Detail[#Headers],0)),Detail[AEA],$A24)</f>
        <v>12798057</v>
      </c>
      <c r="F24" s="4">
        <f>SUMIFS(INDEX(Detail[],0,MATCH(F$14,Detail[#Headers],0)),Detail[AEA],$A24)</f>
        <v>84859</v>
      </c>
      <c r="G24" s="4">
        <f>SUMIFS(INDEX(Detail[],0,MATCH(G$14,Detail[#Headers],0)),Detail[AEA],$A24)</f>
        <v>12882916</v>
      </c>
      <c r="H24" s="4">
        <f>SUMIFS(INDEX(Detail[],0,MATCH(H$14,Detail[#Headers],0)),Detail[AEA],$A24)</f>
        <v>2175147</v>
      </c>
      <c r="I24" s="4">
        <f>SUMIFS(INDEX(Detail[],0,MATCH(I$14,Detail[#Headers],0)),Detail[AEA],$A24)</f>
        <v>2390777</v>
      </c>
      <c r="J24" s="4">
        <f>SUMIFS(INDEX(Detail[],0,MATCH(J$14,Detail[#Headers],0)),Detail[AEA],$A24)</f>
        <v>30000</v>
      </c>
    </row>
    <row r="25" spans="1:16" ht="15.75" thickBot="1" x14ac:dyDescent="0.3">
      <c r="E25" s="12">
        <f t="shared" ref="E25:J25" si="10">SUM(E16:E24)</f>
        <v>185285026</v>
      </c>
      <c r="F25" s="12">
        <f t="shared" si="10"/>
        <v>578940</v>
      </c>
      <c r="G25" s="12">
        <f t="shared" si="10"/>
        <v>185863966</v>
      </c>
      <c r="H25" s="12">
        <f t="shared" si="10"/>
        <v>32345038</v>
      </c>
      <c r="I25" s="12">
        <f t="shared" si="10"/>
        <v>35735170</v>
      </c>
      <c r="J25" s="12">
        <f t="shared" si="10"/>
        <v>180006</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384</v>
      </c>
      <c r="D28" s="8" t="s">
        <v>389</v>
      </c>
      <c r="E28" s="8" t="s">
        <v>358</v>
      </c>
      <c r="F28" s="8" t="s">
        <v>385</v>
      </c>
      <c r="G28" s="8" t="s">
        <v>360</v>
      </c>
      <c r="H28" s="8" t="s">
        <v>386</v>
      </c>
      <c r="I28" s="15" t="s">
        <v>387</v>
      </c>
      <c r="J28" s="16"/>
    </row>
    <row r="29" spans="1:16" x14ac:dyDescent="0.25">
      <c r="A29" t="str">
        <f t="shared" ref="A29:B29" si="11">A16</f>
        <v>01</v>
      </c>
      <c r="B29" t="str">
        <f t="shared" si="11"/>
        <v>Keystone AEA 1</v>
      </c>
      <c r="C29" s="4">
        <f>SUMIFS(INDEX(Detail[],0,MATCH(C$27,Detail[#Headers],0)),Detail[AEA],$A29)</f>
        <v>1110571</v>
      </c>
      <c r="D29" s="4">
        <f>SUMIFS(INDEX(Detail[],0,MATCH(D$27,Detail[#Headers],0)),Detail[AEA],$A29)</f>
        <v>120492</v>
      </c>
      <c r="E29" s="4">
        <f>SUMIFS(INDEX(Detail[],0,MATCH(E$27,Detail[#Headers],0)),Detail[AEA],$A29)</f>
        <v>16651097</v>
      </c>
      <c r="F29" s="4">
        <f>SUMIFS(INDEX(Detail[],0,MATCH(F$27,Detail[#Headers],0)),Detail[AEA],$A29)</f>
        <v>2094923</v>
      </c>
      <c r="G29" s="4">
        <f>SUMIFS(INDEX(Detail[],0,MATCH(G$27,Detail[#Headers],0)),Detail[AEA],$A29)</f>
        <v>14556174</v>
      </c>
      <c r="H29" s="4">
        <f>SUMIFS(INDEX(Detail[],0,MATCH(H$27,Detail[#Headers],0)),Detail[AEA],$A29)</f>
        <v>7664312</v>
      </c>
      <c r="I29" s="4">
        <f>SUMIFS(INDEX(Detail[],0,MATCH(I$27,Detail[#Headers],0)),Detail[AEA],$A29)</f>
        <v>6891862</v>
      </c>
      <c r="J29" s="18"/>
    </row>
    <row r="30" spans="1:16" x14ac:dyDescent="0.25">
      <c r="A30" t="str">
        <f t="shared" ref="A30:B30" si="12">A17</f>
        <v>05</v>
      </c>
      <c r="B30" t="str">
        <f t="shared" si="12"/>
        <v>Prairie Lakes AEA 8</v>
      </c>
      <c r="C30" s="4">
        <f>SUMIFS(INDEX(Detail[],0,MATCH(C$27,Detail[#Headers],0)),Detail[AEA],$A30)</f>
        <v>1244494</v>
      </c>
      <c r="D30" s="4">
        <f>SUMIFS(INDEX(Detail[],0,MATCH(D$27,Detail[#Headers],0)),Detail[AEA],$A30)</f>
        <v>147912</v>
      </c>
      <c r="E30" s="4">
        <f>SUMIFS(INDEX(Detail[],0,MATCH(E$27,Detail[#Headers],0)),Detail[AEA],$A30)</f>
        <v>17439883</v>
      </c>
      <c r="F30" s="4">
        <f>SUMIFS(INDEX(Detail[],0,MATCH(F$27,Detail[#Headers],0)),Detail[AEA],$A30)</f>
        <v>2227501</v>
      </c>
      <c r="G30" s="4">
        <f>SUMIFS(INDEX(Detail[],0,MATCH(G$27,Detail[#Headers],0)),Detail[AEA],$A30)</f>
        <v>15212382</v>
      </c>
      <c r="H30" s="4">
        <f>SUMIFS(INDEX(Detail[],0,MATCH(H$27,Detail[#Headers],0)),Detail[AEA],$A30)</f>
        <v>8172796</v>
      </c>
      <c r="I30" s="4">
        <f>SUMIFS(INDEX(Detail[],0,MATCH(I$27,Detail[#Headers],0)),Detail[AEA],$A30)</f>
        <v>7039586</v>
      </c>
      <c r="J30" s="18"/>
    </row>
    <row r="31" spans="1:16" x14ac:dyDescent="0.25">
      <c r="A31" t="str">
        <f t="shared" ref="A31:B31" si="13">A18</f>
        <v>07</v>
      </c>
      <c r="B31" t="str">
        <f t="shared" si="13"/>
        <v>Central Rivers</v>
      </c>
      <c r="C31" s="4">
        <f>SUMIFS(INDEX(Detail[],0,MATCH(C$27,Detail[#Headers],0)),Detail[AEA],$A31)</f>
        <v>2947977</v>
      </c>
      <c r="D31" s="4">
        <f>SUMIFS(INDEX(Detail[],0,MATCH(D$27,Detail[#Headers],0)),Detail[AEA],$A31)</f>
        <v>339319</v>
      </c>
      <c r="E31" s="4">
        <f>SUMIFS(INDEX(Detail[],0,MATCH(E$27,Detail[#Headers],0)),Detail[AEA],$A31)</f>
        <v>35756885</v>
      </c>
      <c r="F31" s="4">
        <f>SUMIFS(INDEX(Detail[],0,MATCH(F$27,Detail[#Headers],0)),Detail[AEA],$A31)</f>
        <v>4134155</v>
      </c>
      <c r="G31" s="4">
        <f>SUMIFS(INDEX(Detail[],0,MATCH(G$27,Detail[#Headers],0)),Detail[AEA],$A31)</f>
        <v>31622730</v>
      </c>
      <c r="H31" s="4">
        <f>SUMIFS(INDEX(Detail[],0,MATCH(H$27,Detail[#Headers],0)),Detail[AEA],$A31)</f>
        <v>17817550</v>
      </c>
      <c r="I31" s="4">
        <f>SUMIFS(INDEX(Detail[],0,MATCH(I$27,Detail[#Headers],0)),Detail[AEA],$A31)</f>
        <v>13805180</v>
      </c>
      <c r="J31" s="18"/>
      <c r="O31" s="4"/>
      <c r="P31" s="4"/>
    </row>
    <row r="32" spans="1:16" x14ac:dyDescent="0.25">
      <c r="A32" t="str">
        <f t="shared" ref="A32:B32" si="14">A19</f>
        <v>09</v>
      </c>
      <c r="B32" t="str">
        <f t="shared" si="14"/>
        <v>Mississippi Bend AEA 9</v>
      </c>
      <c r="C32" s="4">
        <f>SUMIFS(INDEX(Detail[],0,MATCH(C$27,Detail[#Headers],0)),Detail[AEA],$A32)</f>
        <v>1594669</v>
      </c>
      <c r="D32" s="4">
        <f>SUMIFS(INDEX(Detail[],0,MATCH(D$27,Detail[#Headers],0)),Detail[AEA],$A32)</f>
        <v>187087</v>
      </c>
      <c r="E32" s="4">
        <f>SUMIFS(INDEX(Detail[],0,MATCH(E$27,Detail[#Headers],0)),Detail[AEA],$A32)</f>
        <v>25491482</v>
      </c>
      <c r="F32" s="4">
        <f>SUMIFS(INDEX(Detail[],0,MATCH(F$27,Detail[#Headers],0)),Detail[AEA],$A32)</f>
        <v>3008239</v>
      </c>
      <c r="G32" s="4">
        <f>SUMIFS(INDEX(Detail[],0,MATCH(G$27,Detail[#Headers],0)),Detail[AEA],$A32)</f>
        <v>22483243</v>
      </c>
      <c r="H32" s="4">
        <f>SUMIFS(INDEX(Detail[],0,MATCH(H$27,Detail[#Headers],0)),Detail[AEA],$A32)</f>
        <v>12451056</v>
      </c>
      <c r="I32" s="4">
        <f>SUMIFS(INDEX(Detail[],0,MATCH(I$27,Detail[#Headers],0)),Detail[AEA],$A32)</f>
        <v>10032187</v>
      </c>
      <c r="J32" s="18"/>
    </row>
    <row r="33" spans="1:10" x14ac:dyDescent="0.25">
      <c r="A33" t="str">
        <f t="shared" ref="A33:B33" si="15">A20</f>
        <v>10</v>
      </c>
      <c r="B33" t="str">
        <f t="shared" si="15"/>
        <v>Grant Wood AEA 10</v>
      </c>
      <c r="C33" s="4">
        <f>SUMIFS(INDEX(Detail[],0,MATCH(C$27,Detail[#Headers],0)),Detail[AEA],$A33)</f>
        <v>2456867</v>
      </c>
      <c r="D33" s="4">
        <f>SUMIFS(INDEX(Detail[],0,MATCH(D$27,Detail[#Headers],0)),Detail[AEA],$A33)</f>
        <v>286050</v>
      </c>
      <c r="E33" s="4">
        <f>SUMIFS(INDEX(Detail[],0,MATCH(E$27,Detail[#Headers],0)),Detail[AEA],$A33)</f>
        <v>38402008</v>
      </c>
      <c r="F33" s="4">
        <f>SUMIFS(INDEX(Detail[],0,MATCH(F$27,Detail[#Headers],0)),Detail[AEA],$A33)</f>
        <v>3820494</v>
      </c>
      <c r="G33" s="4">
        <f>SUMIFS(INDEX(Detail[],0,MATCH(G$27,Detail[#Headers],0)),Detail[AEA],$A33)</f>
        <v>34581514</v>
      </c>
      <c r="H33" s="4">
        <f>SUMIFS(INDEX(Detail[],0,MATCH(H$27,Detail[#Headers],0)),Detail[AEA],$A33)</f>
        <v>19506268</v>
      </c>
      <c r="I33" s="4">
        <f>SUMIFS(INDEX(Detail[],0,MATCH(I$27,Detail[#Headers],0)),Detail[AEA],$A33)</f>
        <v>15075246</v>
      </c>
      <c r="J33" s="18"/>
    </row>
    <row r="34" spans="1:10" x14ac:dyDescent="0.25">
      <c r="A34" t="str">
        <f t="shared" ref="A34:B34" si="16">A21</f>
        <v>11</v>
      </c>
      <c r="B34" t="str">
        <f t="shared" si="16"/>
        <v>Heartland AEA 11</v>
      </c>
      <c r="C34" s="4">
        <f>SUMIFS(INDEX(Detail[],0,MATCH(C$27,Detail[#Headers],0)),Detail[AEA],$A34)</f>
        <v>4475270</v>
      </c>
      <c r="D34" s="4">
        <f>SUMIFS(INDEX(Detail[],0,MATCH(D$27,Detail[#Headers],0)),Detail[AEA],$A34)</f>
        <v>561231</v>
      </c>
      <c r="E34" s="4">
        <f>SUMIFS(INDEX(Detail[],0,MATCH(E$27,Detail[#Headers],0)),Detail[AEA],$A34)</f>
        <v>77396783</v>
      </c>
      <c r="F34" s="4">
        <f>SUMIFS(INDEX(Detail[],0,MATCH(F$27,Detail[#Headers],0)),Detail[AEA],$A34)</f>
        <v>6768337</v>
      </c>
      <c r="G34" s="4">
        <f>SUMIFS(INDEX(Detail[],0,MATCH(G$27,Detail[#Headers],0)),Detail[AEA],$A34)</f>
        <v>70628446</v>
      </c>
      <c r="H34" s="4">
        <f>SUMIFS(INDEX(Detail[],0,MATCH(H$27,Detail[#Headers],0)),Detail[AEA],$A34)</f>
        <v>40838071</v>
      </c>
      <c r="I34" s="4">
        <f>SUMIFS(INDEX(Detail[],0,MATCH(I$27,Detail[#Headers],0)),Detail[AEA],$A34)</f>
        <v>29790375</v>
      </c>
      <c r="J34" s="18"/>
    </row>
    <row r="35" spans="1:10" x14ac:dyDescent="0.25">
      <c r="A35" t="str">
        <f t="shared" ref="A35:B35" si="17">A22</f>
        <v>12</v>
      </c>
      <c r="B35" t="str">
        <f t="shared" si="17"/>
        <v>Northwest AEA</v>
      </c>
      <c r="C35" s="4">
        <f>SUMIFS(INDEX(Detail[],0,MATCH(C$27,Detail[#Headers],0)),Detail[AEA],$A35)</f>
        <v>1570341</v>
      </c>
      <c r="D35" s="4">
        <f>SUMIFS(INDEX(Detail[],0,MATCH(D$27,Detail[#Headers],0)),Detail[AEA],$A35)</f>
        <v>187192</v>
      </c>
      <c r="E35" s="4">
        <f>SUMIFS(INDEX(Detail[],0,MATCH(E$27,Detail[#Headers],0)),Detail[AEA],$A35)</f>
        <v>23391672</v>
      </c>
      <c r="F35" s="4">
        <f>SUMIFS(INDEX(Detail[],0,MATCH(F$27,Detail[#Headers],0)),Detail[AEA],$A35)</f>
        <v>2531689</v>
      </c>
      <c r="G35" s="4">
        <f>SUMIFS(INDEX(Detail[],0,MATCH(G$27,Detail[#Headers],0)),Detail[AEA],$A35)</f>
        <v>20859983</v>
      </c>
      <c r="H35" s="4">
        <f>SUMIFS(INDEX(Detail[],0,MATCH(H$27,Detail[#Headers],0)),Detail[AEA],$A35)</f>
        <v>11329342</v>
      </c>
      <c r="I35" s="4">
        <f>SUMIFS(INDEX(Detail[],0,MATCH(I$27,Detail[#Headers],0)),Detail[AEA],$A35)</f>
        <v>9530641</v>
      </c>
      <c r="J35" s="18"/>
    </row>
    <row r="36" spans="1:10" x14ac:dyDescent="0.25">
      <c r="A36" t="str">
        <f t="shared" ref="A36:B36" si="18">A23</f>
        <v>13</v>
      </c>
      <c r="B36" t="str">
        <f t="shared" si="18"/>
        <v>Green Hills AEA 13</v>
      </c>
      <c r="C36" s="4">
        <f>SUMIFS(INDEX(Detail[],0,MATCH(C$27,Detail[#Headers],0)),Detail[AEA],$A36)</f>
        <v>1471486</v>
      </c>
      <c r="D36" s="4">
        <f>SUMIFS(INDEX(Detail[],0,MATCH(D$27,Detail[#Headers],0)),Detail[AEA],$A36)</f>
        <v>158737</v>
      </c>
      <c r="E36" s="4">
        <f>SUMIFS(INDEX(Detail[],0,MATCH(E$27,Detail[#Headers],0)),Detail[AEA],$A36)</f>
        <v>20975225</v>
      </c>
      <c r="F36" s="4">
        <f>SUMIFS(INDEX(Detail[],0,MATCH(F$27,Detail[#Headers],0)),Detail[AEA],$A36)</f>
        <v>2572196</v>
      </c>
      <c r="G36" s="4">
        <f>SUMIFS(INDEX(Detail[],0,MATCH(G$27,Detail[#Headers],0)),Detail[AEA],$A36)</f>
        <v>18403029</v>
      </c>
      <c r="H36" s="4">
        <f>SUMIFS(INDEX(Detail[],0,MATCH(H$27,Detail[#Headers],0)),Detail[AEA],$A36)</f>
        <v>10395097</v>
      </c>
      <c r="I36" s="4">
        <f>SUMIFS(INDEX(Detail[],0,MATCH(I$27,Detail[#Headers],0)),Detail[AEA],$A36)</f>
        <v>8007932</v>
      </c>
      <c r="J36" s="18"/>
    </row>
    <row r="37" spans="1:10" x14ac:dyDescent="0.25">
      <c r="A37" t="str">
        <f t="shared" ref="A37:B37" si="19">A24</f>
        <v>15</v>
      </c>
      <c r="B37" t="str">
        <f t="shared" si="19"/>
        <v>Great Prairie AEA 15</v>
      </c>
      <c r="C37" s="4">
        <f>SUMIFS(INDEX(Detail[],0,MATCH(C$27,Detail[#Headers],0)),Detail[AEA],$A37)</f>
        <v>1289025</v>
      </c>
      <c r="D37" s="4">
        <f>SUMIFS(INDEX(Detail[],0,MATCH(D$27,Detail[#Headers],0)),Detail[AEA],$A37)</f>
        <v>141245</v>
      </c>
      <c r="E37" s="4">
        <f>SUMIFS(INDEX(Detail[],0,MATCH(E$27,Detail[#Headers],0)),Detail[AEA],$A37)</f>
        <v>18909110</v>
      </c>
      <c r="F37" s="4">
        <f>SUMIFS(INDEX(Detail[],0,MATCH(F$27,Detail[#Headers],0)),Detail[AEA],$A37)</f>
        <v>2399597</v>
      </c>
      <c r="G37" s="4">
        <f>SUMIFS(INDEX(Detail[],0,MATCH(G$27,Detail[#Headers],0)),Detail[AEA],$A37)</f>
        <v>16509513</v>
      </c>
      <c r="H37" s="4">
        <f>SUMIFS(INDEX(Detail[],0,MATCH(H$27,Detail[#Headers],0)),Detail[AEA],$A37)</f>
        <v>9252847</v>
      </c>
      <c r="I37" s="4">
        <f>SUMIFS(INDEX(Detail[],0,MATCH(I$27,Detail[#Headers],0)),Detail[AEA],$A37)</f>
        <v>7256666</v>
      </c>
      <c r="J37" s="18"/>
    </row>
    <row r="38" spans="1:10" ht="15.75" thickBot="1" x14ac:dyDescent="0.3">
      <c r="C38" s="12">
        <f t="shared" ref="C38:I38" si="20">SUM(C29:C37)</f>
        <v>18160700</v>
      </c>
      <c r="D38" s="12">
        <f t="shared" si="20"/>
        <v>2129265</v>
      </c>
      <c r="E38" s="12">
        <f t="shared" si="20"/>
        <v>274414145</v>
      </c>
      <c r="F38" s="12">
        <f t="shared" si="20"/>
        <v>29557131</v>
      </c>
      <c r="G38" s="12">
        <f t="shared" si="20"/>
        <v>244857014</v>
      </c>
      <c r="H38" s="12">
        <f t="shared" si="20"/>
        <v>137427339</v>
      </c>
      <c r="I38" s="12">
        <f t="shared" si="20"/>
        <v>107429675</v>
      </c>
      <c r="J38" s="18"/>
    </row>
    <row r="39" spans="1:10" ht="15.75" thickTop="1" x14ac:dyDescent="0.25"/>
    <row r="41" spans="1:10" x14ac:dyDescent="0.25">
      <c r="H41" s="4"/>
    </row>
  </sheetData>
  <sheetProtection sheet="1" objects="1" scenarios="1"/>
  <pageMargins left="0.25" right="0.25" top="0.75" bottom="0.75" header="0.3" footer="0.3"/>
  <pageSetup scale="90" fitToWidth="0" orientation="landscape" r:id="rId1"/>
  <headerFooter>
    <oddHeader xml:space="preserve">&amp;C&amp;"-,Bold"&amp;14FY 2024 AEA Enrollments and Cost - Final - 3.0% of Growth - $29.6 million Reduction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AEB-9DE9-4E46-B41E-405ABE38BB9A}">
  <sheetPr>
    <pageSetUpPr fitToPage="1"/>
  </sheetPr>
  <dimension ref="A1:P38"/>
  <sheetViews>
    <sheetView zoomScaleNormal="100" workbookViewId="0">
      <selection activeCell="C5" sqref="C5"/>
    </sheetView>
  </sheetViews>
  <sheetFormatPr defaultRowHeight="15" x14ac:dyDescent="0.25"/>
  <cols>
    <col min="1" max="1" width="7" customWidth="1"/>
    <col min="2" max="2" width="22.42578125" bestFit="1" customWidth="1"/>
    <col min="3" max="3" width="20.28515625" customWidth="1"/>
    <col min="4" max="4" width="19" customWidth="1"/>
    <col min="5" max="5" width="15.85546875" customWidth="1"/>
    <col min="6" max="6" width="18.140625" customWidth="1"/>
    <col min="7" max="7" width="23.42578125" customWidth="1"/>
    <col min="8" max="8" width="22.85546875" customWidth="1"/>
    <col min="9" max="9" width="22.7109375" customWidth="1"/>
  </cols>
  <sheetData>
    <row r="1" spans="1:16" s="10" customFormat="1" ht="45" x14ac:dyDescent="0.25">
      <c r="A1" s="50" t="s">
        <v>363</v>
      </c>
      <c r="B1" s="50" t="s">
        <v>364</v>
      </c>
      <c r="C1" s="51" t="str">
        <f>Breakdown[[#Headers],[AEA Special Ed Support District Cost Formula Generated]]</f>
        <v>AEA Special Ed Support District Cost Formula Generated</v>
      </c>
      <c r="D1" s="51" t="str">
        <f>Breakdown[[#Headers],[State Aid Portion Special Ed]]</f>
        <v>State Aid Portion Special Ed</v>
      </c>
      <c r="E1" s="51" t="str">
        <f>Breakdown[[#Headers],[AEA Statewide State Aid Reduction]]</f>
        <v>AEA Statewide State Aid Reduction</v>
      </c>
      <c r="F1" s="52" t="str">
        <f>Breakdown[[#Headers],[State Aid Special Ed Minus Reduction]]</f>
        <v>State Aid Special Ed Minus Reduction</v>
      </c>
      <c r="G1" s="53" t="str">
        <f>Breakdown[[#Headers],[Special Education Property Tax Portion]]</f>
        <v>Special Education Property Tax Portion</v>
      </c>
      <c r="H1" s="53" t="str">
        <f>Breakdown[[#Headers],[AEA Special Ed Support Adjustment]]</f>
        <v>AEA Special Ed Support Adjustment</v>
      </c>
      <c r="I1" s="51" t="str">
        <f>Breakdown[[#Headers],[Total Special Ed Funding Removing Reduction Including Adjustment]]</f>
        <v>Total Special Ed Funding Removing Reduction Including Adjustment</v>
      </c>
    </row>
    <row r="2" spans="1:16" x14ac:dyDescent="0.25">
      <c r="A2" s="37" t="str">
        <f t="array" ref="A2">IFERROR(INDEX(Detail[AEA], MATCH(0,COUNTIF(StateAidVsPropertyTax!$A$1:'StateAidVsPropertyTax'!A1, Detail[AEA]), 0)),"")</f>
        <v>01</v>
      </c>
      <c r="B2" s="38" t="str">
        <f>INDEX(Detail[],MATCH(StateAidVsPropertyTax!$A2,Detail[AEA],0),2)</f>
        <v>Keystone AEA 1</v>
      </c>
      <c r="C2" s="34">
        <f>SUMIFS(INDEX(Breakdown[],0,MATCH(C$1,Breakdown[#Headers],0)),Breakdown[AEA],$A2)</f>
        <v>11216201</v>
      </c>
      <c r="D2" s="34">
        <f>SUMIFS(INDEX(Breakdown[],0,MATCH(D$1,Breakdown[#Headers],0)),Breakdown[AEA],$A2)</f>
        <v>8505423</v>
      </c>
      <c r="E2" s="34">
        <f>SUMIFS(INDEX(Breakdown[],0,MATCH(E$1,Breakdown[#Headers],0)),Breakdown[AEA],$A2)</f>
        <v>2094923</v>
      </c>
      <c r="F2" s="41">
        <f>SUMIFS(INDEX(Breakdown[],0,MATCH(F$1,Breakdown[#Headers],0)),Breakdown[AEA],$A2)</f>
        <v>6410500</v>
      </c>
      <c r="G2" s="43">
        <f>SUMIFS(INDEX(Breakdown[],0,MATCH(G$1,Breakdown[#Headers],0)),Breakdown[AEA],$A2)</f>
        <v>2710778</v>
      </c>
      <c r="H2" s="57">
        <f>SUMIFS(INDEX(Breakdown[],0,MATCH(H$1,Breakdown[#Headers],0)),Breakdown[AEA],$A2)</f>
        <v>10552</v>
      </c>
      <c r="I2" s="46">
        <f>SUMIFS(INDEX(Breakdown[],0,MATCH(I$1,Breakdown[#Headers],0)),Breakdown[AEA],$A2)</f>
        <v>9131830</v>
      </c>
      <c r="P2" s="4">
        <f>G11+D23+H11+C35+D35-G35</f>
        <v>-15</v>
      </c>
    </row>
    <row r="3" spans="1:16" x14ac:dyDescent="0.25">
      <c r="A3" s="37" t="str">
        <f t="array" ref="A3">IFERROR(INDEX(Detail[AEA], MATCH(0,COUNTIF(StateAidVsPropertyTax!$A$1:'StateAidVsPropertyTax'!A2, Detail[AEA]), 0)),"")</f>
        <v>05</v>
      </c>
      <c r="B3" s="38" t="str">
        <f>INDEX(Detail[],MATCH(StateAidVsPropertyTax!$A3,Detail[AEA],0),2)</f>
        <v>Prairie Lakes AEA 8</v>
      </c>
      <c r="C3" s="34">
        <f>SUMIFS(INDEX(Breakdown[],0,MATCH(C$1,Breakdown[#Headers],0)),Breakdown[AEA],$A3)</f>
        <v>11733799</v>
      </c>
      <c r="D3" s="34">
        <f>SUMIFS(INDEX(Breakdown[],0,MATCH(D$1,Breakdown[#Headers],0)),Breakdown[AEA],$A3)</f>
        <v>9007891</v>
      </c>
      <c r="E3" s="34">
        <f>SUMIFS(INDEX(Breakdown[],0,MATCH(E$1,Breakdown[#Headers],0)),Breakdown[AEA],$A3)</f>
        <v>2227501</v>
      </c>
      <c r="F3" s="41">
        <f>SUMIFS(INDEX(Breakdown[],0,MATCH(F$1,Breakdown[#Headers],0)),Breakdown[AEA],$A3)</f>
        <v>6780390</v>
      </c>
      <c r="G3" s="43">
        <f>SUMIFS(INDEX(Breakdown[],0,MATCH(G$1,Breakdown[#Headers],0)),Breakdown[AEA],$A3)</f>
        <v>2725908</v>
      </c>
      <c r="H3" s="57">
        <f>SUMIFS(INDEX(Breakdown[],0,MATCH(H$1,Breakdown[#Headers],0)),Breakdown[AEA],$A3)</f>
        <v>73537</v>
      </c>
      <c r="I3" s="46">
        <f>SUMIFS(INDEX(Breakdown[],0,MATCH(I$1,Breakdown[#Headers],0)),Breakdown[AEA],$A3)</f>
        <v>9579835</v>
      </c>
      <c r="P3" s="4">
        <f>F11+C23+F23+G23-F35</f>
        <v>15</v>
      </c>
    </row>
    <row r="4" spans="1:16" x14ac:dyDescent="0.25">
      <c r="A4" s="37" t="str">
        <f t="array" ref="A4">IFERROR(INDEX(Detail[AEA], MATCH(0,COUNTIF(StateAidVsPropertyTax!$A$1:'StateAidVsPropertyTax'!A3, Detail[AEA]), 0)),"")</f>
        <v>07</v>
      </c>
      <c r="B4" s="38" t="str">
        <f>INDEX(Detail[],MATCH(StateAidVsPropertyTax!$A4,Detail[AEA],0),2)</f>
        <v>Central Rivers</v>
      </c>
      <c r="C4" s="34">
        <f>SUMIFS(INDEX(Breakdown[],0,MATCH(C$1,Breakdown[#Headers],0)),Breakdown[AEA],$A4)</f>
        <v>23813783</v>
      </c>
      <c r="D4" s="34">
        <f>SUMIFS(INDEX(Breakdown[],0,MATCH(D$1,Breakdown[#Headers],0)),Breakdown[AEA],$A4)</f>
        <v>18640929</v>
      </c>
      <c r="E4" s="34">
        <f>SUMIFS(INDEX(Breakdown[],0,MATCH(E$1,Breakdown[#Headers],0)),Breakdown[AEA],$A4)</f>
        <v>4134155</v>
      </c>
      <c r="F4" s="41">
        <f>SUMIFS(INDEX(Breakdown[],0,MATCH(F$1,Breakdown[#Headers],0)),Breakdown[AEA],$A4)</f>
        <v>14506774</v>
      </c>
      <c r="G4" s="43">
        <f>SUMIFS(INDEX(Breakdown[],0,MATCH(G$1,Breakdown[#Headers],0)),Breakdown[AEA],$A4)</f>
        <v>5172854</v>
      </c>
      <c r="H4" s="57">
        <f>SUMIFS(INDEX(Breakdown[],0,MATCH(H$1,Breakdown[#Headers],0)),Breakdown[AEA],$A4)</f>
        <v>120712</v>
      </c>
      <c r="I4" s="46">
        <f>SUMIFS(INDEX(Breakdown[],0,MATCH(I$1,Breakdown[#Headers],0)),Breakdown[AEA],$A4)</f>
        <v>19800340</v>
      </c>
    </row>
    <row r="5" spans="1:16" x14ac:dyDescent="0.25">
      <c r="A5" s="37" t="str">
        <f t="array" ref="A5">IFERROR(INDEX(Detail[AEA], MATCH(0,COUNTIF(StateAidVsPropertyTax!$A$1:'StateAidVsPropertyTax'!A4, Detail[AEA]), 0)),"")</f>
        <v>09</v>
      </c>
      <c r="B5" s="38" t="str">
        <f>INDEX(Detail[],MATCH(StateAidVsPropertyTax!$A5,Detail[AEA],0),2)</f>
        <v>Mississippi Bend AEA 9</v>
      </c>
      <c r="C5" s="34">
        <f>SUMIFS(INDEX(Breakdown[],0,MATCH(C$1,Breakdown[#Headers],0)),Breakdown[AEA],$A5)</f>
        <v>17350789</v>
      </c>
      <c r="D5" s="34">
        <f>SUMIFS(INDEX(Breakdown[],0,MATCH(D$1,Breakdown[#Headers],0)),Breakdown[AEA],$A5)</f>
        <v>13677539</v>
      </c>
      <c r="E5" s="34">
        <f>SUMIFS(INDEX(Breakdown[],0,MATCH(E$1,Breakdown[#Headers],0)),Breakdown[AEA],$A5)</f>
        <v>3008239</v>
      </c>
      <c r="F5" s="41">
        <f>SUMIFS(INDEX(Breakdown[],0,MATCH(F$1,Breakdown[#Headers],0)),Breakdown[AEA],$A5)</f>
        <v>10669300</v>
      </c>
      <c r="G5" s="43">
        <f>SUMIFS(INDEX(Breakdown[],0,MATCH(G$1,Breakdown[#Headers],0)),Breakdown[AEA],$A5)</f>
        <v>3673250</v>
      </c>
      <c r="H5" s="57">
        <f>SUMIFS(INDEX(Breakdown[],0,MATCH(H$1,Breakdown[#Headers],0)),Breakdown[AEA],$A5)</f>
        <v>103802</v>
      </c>
      <c r="I5" s="46">
        <f>SUMIFS(INDEX(Breakdown[],0,MATCH(I$1,Breakdown[#Headers],0)),Breakdown[AEA],$A5)</f>
        <v>14446352</v>
      </c>
    </row>
    <row r="6" spans="1:16" x14ac:dyDescent="0.25">
      <c r="A6" s="37" t="str">
        <f t="array" ref="A6">IFERROR(INDEX(Detail[AEA], MATCH(0,COUNTIF(StateAidVsPropertyTax!$A$1:'StateAidVsPropertyTax'!A5, Detail[AEA]), 0)),"")</f>
        <v>10</v>
      </c>
      <c r="B6" s="38" t="str">
        <f>INDEX(Detail[],MATCH(StateAidVsPropertyTax!$A6,Detail[AEA],0),2)</f>
        <v>Grant Wood AEA 10</v>
      </c>
      <c r="C6" s="34">
        <f>SUMIFS(INDEX(Breakdown[],0,MATCH(C$1,Breakdown[#Headers],0)),Breakdown[AEA],$A6)</f>
        <v>25932153</v>
      </c>
      <c r="D6" s="34">
        <f>SUMIFS(INDEX(Breakdown[],0,MATCH(D$1,Breakdown[#Headers],0)),Breakdown[AEA],$A6)</f>
        <v>20560060</v>
      </c>
      <c r="E6" s="34">
        <f>SUMIFS(INDEX(Breakdown[],0,MATCH(E$1,Breakdown[#Headers],0)),Breakdown[AEA],$A6)</f>
        <v>3820494</v>
      </c>
      <c r="F6" s="41">
        <f>SUMIFS(INDEX(Breakdown[],0,MATCH(F$1,Breakdown[#Headers],0)),Breakdown[AEA],$A6)</f>
        <v>16739566</v>
      </c>
      <c r="G6" s="43">
        <f>SUMIFS(INDEX(Breakdown[],0,MATCH(G$1,Breakdown[#Headers],0)),Breakdown[AEA],$A6)</f>
        <v>5372093</v>
      </c>
      <c r="H6" s="57">
        <f>SUMIFS(INDEX(Breakdown[],0,MATCH(H$1,Breakdown[#Headers],0)),Breakdown[AEA],$A6)</f>
        <v>80473</v>
      </c>
      <c r="I6" s="46">
        <f>SUMIFS(INDEX(Breakdown[],0,MATCH(I$1,Breakdown[#Headers],0)),Breakdown[AEA],$A6)</f>
        <v>22192132</v>
      </c>
    </row>
    <row r="7" spans="1:16" x14ac:dyDescent="0.25">
      <c r="A7" s="37" t="str">
        <f t="array" ref="A7">IFERROR(INDEX(Detail[AEA], MATCH(0,COUNTIF(StateAidVsPropertyTax!$A$1:'StateAidVsPropertyTax'!A6, Detail[AEA]), 0)),"")</f>
        <v>11</v>
      </c>
      <c r="B7" s="38" t="str">
        <f>INDEX(Detail[],MATCH(StateAidVsPropertyTax!$A7,Detail[AEA],0),2)</f>
        <v>Heartland AEA 11</v>
      </c>
      <c r="C7" s="34">
        <f>SUMIFS(INDEX(Breakdown[],0,MATCH(C$1,Breakdown[#Headers],0)),Breakdown[AEA],$A7)</f>
        <v>52548033</v>
      </c>
      <c r="D7" s="34">
        <f>SUMIFS(INDEX(Breakdown[],0,MATCH(D$1,Breakdown[#Headers],0)),Breakdown[AEA],$A7)</f>
        <v>42569907</v>
      </c>
      <c r="E7" s="34">
        <f>SUMIFS(INDEX(Breakdown[],0,MATCH(E$1,Breakdown[#Headers],0)),Breakdown[AEA],$A7)</f>
        <v>6768337</v>
      </c>
      <c r="F7" s="41">
        <f>SUMIFS(INDEX(Breakdown[],0,MATCH(F$1,Breakdown[#Headers],0)),Breakdown[AEA],$A7)</f>
        <v>35801570</v>
      </c>
      <c r="G7" s="43">
        <f>SUMIFS(INDEX(Breakdown[],0,MATCH(G$1,Breakdown[#Headers],0)),Breakdown[AEA],$A7)</f>
        <v>9978126</v>
      </c>
      <c r="H7" s="57">
        <f>SUMIFS(INDEX(Breakdown[],0,MATCH(H$1,Breakdown[#Headers],0)),Breakdown[AEA],$A7)</f>
        <v>23368</v>
      </c>
      <c r="I7" s="46">
        <f>SUMIFS(INDEX(Breakdown[],0,MATCH(I$1,Breakdown[#Headers],0)),Breakdown[AEA],$A7)</f>
        <v>45803064</v>
      </c>
    </row>
    <row r="8" spans="1:16" x14ac:dyDescent="0.25">
      <c r="A8" s="37" t="str">
        <f t="array" ref="A8">IFERROR(INDEX(Detail[AEA], MATCH(0,COUNTIF(StateAidVsPropertyTax!$A$1:'StateAidVsPropertyTax'!A7, Detail[AEA]), 0)),"")</f>
        <v>12</v>
      </c>
      <c r="B8" s="38" t="str">
        <f>INDEX(Detail[],MATCH(StateAidVsPropertyTax!$A8,Detail[AEA],0),2)</f>
        <v>Northwest AEA</v>
      </c>
      <c r="C8" s="34">
        <f>SUMIFS(INDEX(Breakdown[],0,MATCH(C$1,Breakdown[#Headers],0)),Breakdown[AEA],$A8)</f>
        <v>15581675</v>
      </c>
      <c r="D8" s="34">
        <f>SUMIFS(INDEX(Breakdown[],0,MATCH(D$1,Breakdown[#Headers],0)),Breakdown[AEA],$A8)</f>
        <v>12080239</v>
      </c>
      <c r="E8" s="34">
        <f>SUMIFS(INDEX(Breakdown[],0,MATCH(E$1,Breakdown[#Headers],0)),Breakdown[AEA],$A8)</f>
        <v>2531689</v>
      </c>
      <c r="F8" s="41">
        <f>SUMIFS(INDEX(Breakdown[],0,MATCH(F$1,Breakdown[#Headers],0)),Breakdown[AEA],$A8)</f>
        <v>9548550</v>
      </c>
      <c r="G8" s="43">
        <f>SUMIFS(INDEX(Breakdown[],0,MATCH(G$1,Breakdown[#Headers],0)),Breakdown[AEA],$A8)</f>
        <v>3501436</v>
      </c>
      <c r="H8" s="57">
        <f>SUMIFS(INDEX(Breakdown[],0,MATCH(H$1,Breakdown[#Headers],0)),Breakdown[AEA],$A8)</f>
        <v>31999</v>
      </c>
      <c r="I8" s="46">
        <f>SUMIFS(INDEX(Breakdown[],0,MATCH(I$1,Breakdown[#Headers],0)),Breakdown[AEA],$A8)</f>
        <v>13081985</v>
      </c>
    </row>
    <row r="9" spans="1:16" x14ac:dyDescent="0.25">
      <c r="A9" s="37" t="str">
        <f t="array" ref="A9">IFERROR(INDEX(Detail[AEA], MATCH(0,COUNTIF(StateAidVsPropertyTax!$A$1:'StateAidVsPropertyTax'!A8, Detail[AEA]), 0)),"")</f>
        <v>13</v>
      </c>
      <c r="B9" s="38" t="str">
        <f>INDEX(Detail[],MATCH(StateAidVsPropertyTax!$A9,Detail[AEA],0),2)</f>
        <v>Green Hills AEA 13</v>
      </c>
      <c r="C9" s="34">
        <f>SUMIFS(INDEX(Breakdown[],0,MATCH(C$1,Breakdown[#Headers],0)),Breakdown[AEA],$A9)</f>
        <v>14310536</v>
      </c>
      <c r="D9" s="34">
        <f>SUMIFS(INDEX(Breakdown[],0,MATCH(D$1,Breakdown[#Headers],0)),Breakdown[AEA],$A9)</f>
        <v>11313351</v>
      </c>
      <c r="E9" s="34">
        <f>SUMIFS(INDEX(Breakdown[],0,MATCH(E$1,Breakdown[#Headers],0)),Breakdown[AEA],$A9)</f>
        <v>2572196</v>
      </c>
      <c r="F9" s="41">
        <f>SUMIFS(INDEX(Breakdown[],0,MATCH(F$1,Breakdown[#Headers],0)),Breakdown[AEA],$A9)</f>
        <v>8741155</v>
      </c>
      <c r="G9" s="43">
        <f>SUMIFS(INDEX(Breakdown[],0,MATCH(G$1,Breakdown[#Headers],0)),Breakdown[AEA],$A9)</f>
        <v>2997185</v>
      </c>
      <c r="H9" s="57">
        <f>SUMIFS(INDEX(Breakdown[],0,MATCH(H$1,Breakdown[#Headers],0)),Breakdown[AEA],$A9)</f>
        <v>49638</v>
      </c>
      <c r="I9" s="46">
        <f>SUMIFS(INDEX(Breakdown[],0,MATCH(I$1,Breakdown[#Headers],0)),Breakdown[AEA],$A9)</f>
        <v>11787978</v>
      </c>
    </row>
    <row r="10" spans="1:16" x14ac:dyDescent="0.25">
      <c r="A10" s="37" t="str">
        <f t="array" ref="A10">IFERROR(INDEX(Detail[AEA], MATCH(0,COUNTIF(StateAidVsPropertyTax!$A$1:'StateAidVsPropertyTax'!A9, Detail[AEA]), 0)),"")</f>
        <v>15</v>
      </c>
      <c r="B10" s="38" t="str">
        <f>INDEX(Detail[],MATCH(StateAidVsPropertyTax!$A10,Detail[AEA],0),2)</f>
        <v>Great Prairie AEA 15</v>
      </c>
      <c r="C10" s="34">
        <f>SUMIFS(INDEX(Breakdown[],0,MATCH(C$1,Breakdown[#Headers],0)),Breakdown[AEA],$A10)</f>
        <v>12798057</v>
      </c>
      <c r="D10" s="34">
        <f>SUMIFS(INDEX(Breakdown[],0,MATCH(D$1,Breakdown[#Headers],0)),Breakdown[AEA],$A10)</f>
        <v>10198273</v>
      </c>
      <c r="E10" s="34">
        <f>SUMIFS(INDEX(Breakdown[],0,MATCH(E$1,Breakdown[#Headers],0)),Breakdown[AEA],$A10)</f>
        <v>2399597</v>
      </c>
      <c r="F10" s="41">
        <f>SUMIFS(INDEX(Breakdown[],0,MATCH(F$1,Breakdown[#Headers],0)),Breakdown[AEA],$A10)</f>
        <v>7798676</v>
      </c>
      <c r="G10" s="43">
        <f>SUMIFS(INDEX(Breakdown[],0,MATCH(G$1,Breakdown[#Headers],0)),Breakdown[AEA],$A10)</f>
        <v>2599784</v>
      </c>
      <c r="H10" s="57">
        <f>SUMIFS(INDEX(Breakdown[],0,MATCH(H$1,Breakdown[#Headers],0)),Breakdown[AEA],$A10)</f>
        <v>84859</v>
      </c>
      <c r="I10" s="46">
        <f>SUMIFS(INDEX(Breakdown[],0,MATCH(I$1,Breakdown[#Headers],0)),Breakdown[AEA],$A10)</f>
        <v>10483319</v>
      </c>
    </row>
    <row r="11" spans="1:16" ht="15.75" thickBot="1" x14ac:dyDescent="0.3">
      <c r="C11" s="36">
        <f>SUM(C2:C10)</f>
        <v>185285026</v>
      </c>
      <c r="D11" s="36">
        <f t="shared" ref="D11:H11" si="0">SUM(D2:D10)</f>
        <v>146553612</v>
      </c>
      <c r="E11" s="36">
        <f t="shared" si="0"/>
        <v>29557131</v>
      </c>
      <c r="F11" s="42">
        <f t="shared" si="0"/>
        <v>116996481</v>
      </c>
      <c r="G11" s="44">
        <f t="shared" si="0"/>
        <v>38731414</v>
      </c>
      <c r="H11" s="58">
        <f t="shared" si="0"/>
        <v>578940</v>
      </c>
      <c r="I11" s="47">
        <f t="shared" ref="I11" si="1">SUM(I2:I10)</f>
        <v>156306835</v>
      </c>
    </row>
    <row r="12" spans="1:16" ht="7.5" customHeight="1" thickTop="1" x14ac:dyDescent="0.25"/>
    <row r="13" spans="1:16" ht="45" x14ac:dyDescent="0.25">
      <c r="A13" s="54" t="str">
        <f t="shared" ref="A13:B22" si="2">A1</f>
        <v>AEA</v>
      </c>
      <c r="B13" s="54" t="str">
        <f t="shared" si="2"/>
        <v>AEA Name</v>
      </c>
      <c r="C13" s="52" t="str">
        <f>Breakdown[[#Headers],[State Aid Portion Sharing Operations]]</f>
        <v>State Aid Portion Sharing Operations</v>
      </c>
      <c r="D13" s="53" t="str">
        <f>Breakdown[[#Headers],[Sharing Operations Property Tax]]</f>
        <v>Sharing Operations Property Tax</v>
      </c>
      <c r="E13" s="51" t="str">
        <f>Breakdown[[#Headers],[Total AEA Sharing Operations]]</f>
        <v>Total AEA Sharing Operations</v>
      </c>
      <c r="F13" s="52" t="str">
        <f>Breakdown[[#Headers],[AEA Teacher Salary Supplement District Cost]]</f>
        <v>AEA Teacher Salary Supplement District Cost</v>
      </c>
      <c r="G13" s="52" t="str">
        <f>Breakdown[[#Headers],[AEA Professional Development Supplement District Cost]]</f>
        <v>AEA Professional Development Supplement District Cost</v>
      </c>
    </row>
    <row r="14" spans="1:16" x14ac:dyDescent="0.25">
      <c r="A14" s="40" t="str">
        <f t="shared" si="2"/>
        <v>01</v>
      </c>
      <c r="B14" s="40" t="str">
        <f t="shared" si="2"/>
        <v>Keystone AEA 1</v>
      </c>
      <c r="C14" s="41">
        <f>SUMIFS(INDEX(Breakdown[],0,MATCH(C$13,Breakdown[#Headers],0)),Breakdown[AEA],$A14)</f>
        <v>22751</v>
      </c>
      <c r="D14" s="43">
        <f>SUMIFS(INDEX(Breakdown[],0,MATCH(D$13,Breakdown[#Headers],0)),Breakdown[AEA],$A14)</f>
        <v>7250</v>
      </c>
      <c r="E14" s="48">
        <f>SUMIFS(INDEX(Breakdown[],0,MATCH(E$13,Breakdown[#Headers],0)),Breakdown[AEA],$A14)</f>
        <v>30001</v>
      </c>
      <c r="F14" s="41">
        <f>SUMIFS(INDEX(Breakdown[],0,MATCH(F$13,Breakdown[#Headers],0)),Breakdown[AEA],$A14)</f>
        <v>1110571</v>
      </c>
      <c r="G14" s="41">
        <f>SUMIFS(INDEX(Breakdown[],0,MATCH(G$13,Breakdown[#Headers],0)),Breakdown[AEA],$A14)</f>
        <v>120492</v>
      </c>
    </row>
    <row r="15" spans="1:16" x14ac:dyDescent="0.25">
      <c r="A15" s="40" t="str">
        <f t="shared" si="2"/>
        <v>05</v>
      </c>
      <c r="B15" s="40" t="str">
        <f t="shared" si="2"/>
        <v>Prairie Lakes AEA 8</v>
      </c>
      <c r="C15" s="41">
        <f>SUMIFS(INDEX(Breakdown[],0,MATCH(C$13,Breakdown[#Headers],0)),Breakdown[AEA],$A15)</f>
        <v>0</v>
      </c>
      <c r="D15" s="43">
        <f>SUMIFS(INDEX(Breakdown[],0,MATCH(D$13,Breakdown[#Headers],0)),Breakdown[AEA],$A15)</f>
        <v>0</v>
      </c>
      <c r="E15" s="48">
        <f>SUMIFS(INDEX(Breakdown[],0,MATCH(E$13,Breakdown[#Headers],0)),Breakdown[AEA],$A15)</f>
        <v>0</v>
      </c>
      <c r="F15" s="41">
        <f>SUMIFS(INDEX(Breakdown[],0,MATCH(F$13,Breakdown[#Headers],0)),Breakdown[AEA],$A15)</f>
        <v>1244494</v>
      </c>
      <c r="G15" s="41">
        <f>SUMIFS(INDEX(Breakdown[],0,MATCH(G$13,Breakdown[#Headers],0)),Breakdown[AEA],$A15)</f>
        <v>147912</v>
      </c>
      <c r="H15" s="55" t="s">
        <v>361</v>
      </c>
    </row>
    <row r="16" spans="1:16" x14ac:dyDescent="0.25">
      <c r="A16" s="40" t="str">
        <f t="shared" si="2"/>
        <v>07</v>
      </c>
      <c r="B16" s="40" t="str">
        <f t="shared" si="2"/>
        <v>Central Rivers</v>
      </c>
      <c r="C16" s="41">
        <f>SUMIFS(INDEX(Breakdown[],0,MATCH(C$13,Breakdown[#Headers],0)),Breakdown[AEA],$A16)</f>
        <v>23483</v>
      </c>
      <c r="D16" s="43">
        <f>SUMIFS(INDEX(Breakdown[],0,MATCH(D$13,Breakdown[#Headers],0)),Breakdown[AEA],$A16)</f>
        <v>6518</v>
      </c>
      <c r="E16" s="48">
        <f>SUMIFS(INDEX(Breakdown[],0,MATCH(E$13,Breakdown[#Headers],0)),Breakdown[AEA],$A16)</f>
        <v>30001</v>
      </c>
      <c r="F16" s="41">
        <f>SUMIFS(INDEX(Breakdown[],0,MATCH(F$13,Breakdown[#Headers],0)),Breakdown[AEA],$A16)</f>
        <v>2947977</v>
      </c>
      <c r="G16" s="41">
        <f>SUMIFS(INDEX(Breakdown[],0,MATCH(G$13,Breakdown[#Headers],0)),Breakdown[AEA],$A16)</f>
        <v>339319</v>
      </c>
      <c r="H16" s="55"/>
    </row>
    <row r="17" spans="1:11" x14ac:dyDescent="0.25">
      <c r="A17" s="40" t="str">
        <f t="shared" si="2"/>
        <v>09</v>
      </c>
      <c r="B17" s="40" t="str">
        <f t="shared" si="2"/>
        <v>Mississippi Bend AEA 9</v>
      </c>
      <c r="C17" s="41">
        <f>SUMIFS(INDEX(Breakdown[],0,MATCH(C$13,Breakdown[#Headers],0)),Breakdown[AEA],$A17)</f>
        <v>0</v>
      </c>
      <c r="D17" s="43">
        <f>SUMIFS(INDEX(Breakdown[],0,MATCH(D$13,Breakdown[#Headers],0)),Breakdown[AEA],$A17)</f>
        <v>0</v>
      </c>
      <c r="E17" s="48">
        <f>SUMIFS(INDEX(Breakdown[],0,MATCH(E$13,Breakdown[#Headers],0)),Breakdown[AEA],$A17)</f>
        <v>0</v>
      </c>
      <c r="F17" s="41">
        <f>SUMIFS(INDEX(Breakdown[],0,MATCH(F$13,Breakdown[#Headers],0)),Breakdown[AEA],$A17)</f>
        <v>1594669</v>
      </c>
      <c r="G17" s="41">
        <f>SUMIFS(INDEX(Breakdown[],0,MATCH(G$13,Breakdown[#Headers],0)),Breakdown[AEA],$A17)</f>
        <v>187087</v>
      </c>
      <c r="H17" s="56" t="s">
        <v>746</v>
      </c>
    </row>
    <row r="18" spans="1:11" x14ac:dyDescent="0.25">
      <c r="A18" s="40" t="str">
        <f t="shared" si="2"/>
        <v>10</v>
      </c>
      <c r="B18" s="40" t="str">
        <f t="shared" si="2"/>
        <v>Grant Wood AEA 10</v>
      </c>
      <c r="C18" s="41">
        <f>SUMIFS(INDEX(Breakdown[],0,MATCH(C$13,Breakdown[#Headers],0)),Breakdown[AEA],$A18)</f>
        <v>23788</v>
      </c>
      <c r="D18" s="43">
        <f>SUMIFS(INDEX(Breakdown[],0,MATCH(D$13,Breakdown[#Headers],0)),Breakdown[AEA],$A18)</f>
        <v>6213</v>
      </c>
      <c r="E18" s="48">
        <f>SUMIFS(INDEX(Breakdown[],0,MATCH(E$13,Breakdown[#Headers],0)),Breakdown[AEA],$A18)</f>
        <v>30001</v>
      </c>
      <c r="F18" s="41">
        <f>SUMIFS(INDEX(Breakdown[],0,MATCH(F$13,Breakdown[#Headers],0)),Breakdown[AEA],$A18)</f>
        <v>2456867</v>
      </c>
      <c r="G18" s="41">
        <f>SUMIFS(INDEX(Breakdown[],0,MATCH(G$13,Breakdown[#Headers],0)),Breakdown[AEA],$A18)</f>
        <v>286050</v>
      </c>
      <c r="H18" s="56"/>
    </row>
    <row r="19" spans="1:11" x14ac:dyDescent="0.25">
      <c r="A19" s="40" t="str">
        <f t="shared" si="2"/>
        <v>11</v>
      </c>
      <c r="B19" s="40" t="str">
        <f t="shared" si="2"/>
        <v>Heartland AEA 11</v>
      </c>
      <c r="C19" s="41">
        <f>SUMIFS(INDEX(Breakdown[],0,MATCH(C$13,Breakdown[#Headers],0)),Breakdown[AEA],$A19)</f>
        <v>0</v>
      </c>
      <c r="D19" s="43">
        <f>SUMIFS(INDEX(Breakdown[],0,MATCH(D$13,Breakdown[#Headers],0)),Breakdown[AEA],$A19)</f>
        <v>0</v>
      </c>
      <c r="E19" s="48">
        <f>SUMIFS(INDEX(Breakdown[],0,MATCH(E$13,Breakdown[#Headers],0)),Breakdown[AEA],$A19)</f>
        <v>0</v>
      </c>
      <c r="F19" s="41">
        <f>SUMIFS(INDEX(Breakdown[],0,MATCH(F$13,Breakdown[#Headers],0)),Breakdown[AEA],$A19)</f>
        <v>4475270</v>
      </c>
      <c r="G19" s="41">
        <f>SUMIFS(INDEX(Breakdown[],0,MATCH(G$13,Breakdown[#Headers],0)),Breakdown[AEA],$A19)</f>
        <v>561231</v>
      </c>
    </row>
    <row r="20" spans="1:11" x14ac:dyDescent="0.25">
      <c r="A20" s="40" t="str">
        <f t="shared" si="2"/>
        <v>12</v>
      </c>
      <c r="B20" s="40" t="str">
        <f t="shared" si="2"/>
        <v>Northwest AEA</v>
      </c>
      <c r="C20" s="41">
        <f>SUMIFS(INDEX(Breakdown[],0,MATCH(C$13,Breakdown[#Headers],0)),Breakdown[AEA],$A20)</f>
        <v>23261</v>
      </c>
      <c r="D20" s="43">
        <f>SUMIFS(INDEX(Breakdown[],0,MATCH(D$13,Breakdown[#Headers],0)),Breakdown[AEA],$A20)</f>
        <v>6740</v>
      </c>
      <c r="E20" s="48">
        <f>SUMIFS(INDEX(Breakdown[],0,MATCH(E$13,Breakdown[#Headers],0)),Breakdown[AEA],$A20)</f>
        <v>30001</v>
      </c>
      <c r="F20" s="41">
        <f>SUMIFS(INDEX(Breakdown[],0,MATCH(F$13,Breakdown[#Headers],0)),Breakdown[AEA],$A20)</f>
        <v>1570341</v>
      </c>
      <c r="G20" s="41">
        <f>SUMIFS(INDEX(Breakdown[],0,MATCH(G$13,Breakdown[#Headers],0)),Breakdown[AEA],$A20)</f>
        <v>187192</v>
      </c>
    </row>
    <row r="21" spans="1:11" x14ac:dyDescent="0.25">
      <c r="A21" s="40" t="str">
        <f t="shared" si="2"/>
        <v>13</v>
      </c>
      <c r="B21" s="40" t="str">
        <f t="shared" si="2"/>
        <v>Green Hills AEA 13</v>
      </c>
      <c r="C21" s="41">
        <f>SUMIFS(INDEX(Breakdown[],0,MATCH(C$13,Breakdown[#Headers],0)),Breakdown[AEA],$A21)</f>
        <v>23720</v>
      </c>
      <c r="D21" s="43">
        <f>SUMIFS(INDEX(Breakdown[],0,MATCH(D$13,Breakdown[#Headers],0)),Breakdown[AEA],$A21)</f>
        <v>6282</v>
      </c>
      <c r="E21" s="48">
        <f>SUMIFS(INDEX(Breakdown[],0,MATCH(E$13,Breakdown[#Headers],0)),Breakdown[AEA],$A21)</f>
        <v>30002</v>
      </c>
      <c r="F21" s="41">
        <f>SUMIFS(INDEX(Breakdown[],0,MATCH(F$13,Breakdown[#Headers],0)),Breakdown[AEA],$A21)</f>
        <v>1471486</v>
      </c>
      <c r="G21" s="41">
        <f>SUMIFS(INDEX(Breakdown[],0,MATCH(G$13,Breakdown[#Headers],0)),Breakdown[AEA],$A21)</f>
        <v>158737</v>
      </c>
    </row>
    <row r="22" spans="1:11" x14ac:dyDescent="0.25">
      <c r="A22" s="40" t="str">
        <f t="shared" si="2"/>
        <v>15</v>
      </c>
      <c r="B22" s="40" t="str">
        <f t="shared" si="2"/>
        <v>Great Prairie AEA 15</v>
      </c>
      <c r="C22" s="41">
        <f>SUMIFS(INDEX(Breakdown[],0,MATCH(C$13,Breakdown[#Headers],0)),Breakdown[AEA],$A22)</f>
        <v>23905</v>
      </c>
      <c r="D22" s="43">
        <f>SUMIFS(INDEX(Breakdown[],0,MATCH(D$13,Breakdown[#Headers],0)),Breakdown[AEA],$A22)</f>
        <v>6095</v>
      </c>
      <c r="E22" s="48">
        <f>SUMIFS(INDEX(Breakdown[],0,MATCH(E$13,Breakdown[#Headers],0)),Breakdown[AEA],$A22)</f>
        <v>30000</v>
      </c>
      <c r="F22" s="41">
        <f>SUMIFS(INDEX(Breakdown[],0,MATCH(F$13,Breakdown[#Headers],0)),Breakdown[AEA],$A22)</f>
        <v>1289025</v>
      </c>
      <c r="G22" s="41">
        <f>SUMIFS(INDEX(Breakdown[],0,MATCH(G$13,Breakdown[#Headers],0)),Breakdown[AEA],$A22)</f>
        <v>141245</v>
      </c>
    </row>
    <row r="23" spans="1:11" ht="15.75" thickBot="1" x14ac:dyDescent="0.3">
      <c r="A23" s="39"/>
      <c r="B23" s="39"/>
      <c r="C23" s="42">
        <f>SUM(C14:C22)</f>
        <v>140908</v>
      </c>
      <c r="D23" s="44">
        <f>SUM(D14:D22)</f>
        <v>39098</v>
      </c>
      <c r="E23" s="49">
        <f>SUM(E14:E22)</f>
        <v>180006</v>
      </c>
      <c r="F23" s="42">
        <f>SUM(F14:F22)</f>
        <v>18160700</v>
      </c>
      <c r="G23" s="42">
        <f>SUM(G14:G22)</f>
        <v>2129265</v>
      </c>
    </row>
    <row r="24" spans="1:11" ht="7.5" customHeight="1" thickTop="1" x14ac:dyDescent="0.25">
      <c r="A24" s="39"/>
      <c r="B24" s="39"/>
      <c r="F24" s="4"/>
      <c r="G24" s="4"/>
      <c r="H24" s="4"/>
    </row>
    <row r="25" spans="1:11" ht="30" x14ac:dyDescent="0.25">
      <c r="A25" s="54" t="str">
        <f t="shared" ref="A25:B34" si="3">A13</f>
        <v>AEA</v>
      </c>
      <c r="B25" s="54" t="str">
        <f t="shared" si="3"/>
        <v>AEA Name</v>
      </c>
      <c r="C25" s="53" t="str">
        <f>Breakdown[[#Headers],[AEA Media Services District Cost]]</f>
        <v>AEA Media Services District Cost</v>
      </c>
      <c r="D25" s="53" t="str">
        <f>Breakdown[[#Headers],[AEA Ed Services District Cost]]</f>
        <v>AEA Ed Services District Cost</v>
      </c>
      <c r="E25" s="51" t="str">
        <f>Breakdown[[#Headers],[Total Budget]]</f>
        <v>Total Budget</v>
      </c>
      <c r="F25" s="52" t="str">
        <f>Breakdown[[#Headers],[State Aid Portion]]</f>
        <v>State Aid Portion</v>
      </c>
      <c r="G25" s="53" t="str">
        <f>Breakdown[[#Headers],[Property Tax Portion]]</f>
        <v>Property Tax Portion</v>
      </c>
    </row>
    <row r="26" spans="1:11" x14ac:dyDescent="0.25">
      <c r="A26" s="38" t="str">
        <f t="shared" si="3"/>
        <v>01</v>
      </c>
      <c r="B26" s="38" t="str">
        <f t="shared" si="3"/>
        <v>Keystone AEA 1</v>
      </c>
      <c r="C26" s="43">
        <f>SUMIFS(INDEX(Breakdown[],0,MATCH(C$25,Breakdown[#Headers],0)),Breakdown[AEA],$A26)</f>
        <v>1969358</v>
      </c>
      <c r="D26" s="43">
        <f>SUMIFS(INDEX(Breakdown[],0,MATCH(D$25,Breakdown[#Headers],0)),Breakdown[AEA],$A26)</f>
        <v>2193922</v>
      </c>
      <c r="E26" s="46">
        <f>SUMIFS(INDEX(Breakdown[],0,MATCH(E$25,Breakdown[#Headers],0)),Breakdown[AEA],$A26)</f>
        <v>14556174</v>
      </c>
      <c r="F26" s="41">
        <f>SUMIFS(INDEX(Breakdown[],0,MATCH(F$25,Breakdown[#Headers],0)),Breakdown[AEA],$A26)</f>
        <v>7664312</v>
      </c>
      <c r="G26" s="43">
        <f>SUMIFS(INDEX(Breakdown[],0,MATCH(G$25,Breakdown[#Headers],0)),Breakdown[AEA],$A26)</f>
        <v>6891862</v>
      </c>
    </row>
    <row r="27" spans="1:11" x14ac:dyDescent="0.25">
      <c r="A27" s="38" t="str">
        <f t="shared" si="3"/>
        <v>05</v>
      </c>
      <c r="B27" s="38" t="str">
        <f t="shared" si="3"/>
        <v>Prairie Lakes AEA 8</v>
      </c>
      <c r="C27" s="43">
        <f>SUMIFS(INDEX(Breakdown[],0,MATCH(C$25,Breakdown[#Headers],0)),Breakdown[AEA],$A27)</f>
        <v>1999952</v>
      </c>
      <c r="D27" s="43">
        <f>SUMIFS(INDEX(Breakdown[],0,MATCH(D$25,Breakdown[#Headers],0)),Breakdown[AEA],$A27)</f>
        <v>2240189</v>
      </c>
      <c r="E27" s="46">
        <f>SUMIFS(INDEX(Breakdown[],0,MATCH(E$25,Breakdown[#Headers],0)),Breakdown[AEA],$A27)</f>
        <v>15212382</v>
      </c>
      <c r="F27" s="41">
        <f>SUMIFS(INDEX(Breakdown[],0,MATCH(F$25,Breakdown[#Headers],0)),Breakdown[AEA],$A27)</f>
        <v>8172796</v>
      </c>
      <c r="G27" s="43">
        <f>SUMIFS(INDEX(Breakdown[],0,MATCH(G$25,Breakdown[#Headers],0)),Breakdown[AEA],$A27)</f>
        <v>7039586</v>
      </c>
    </row>
    <row r="28" spans="1:11" x14ac:dyDescent="0.25">
      <c r="A28" s="38" t="str">
        <f t="shared" si="3"/>
        <v>07</v>
      </c>
      <c r="B28" s="38" t="str">
        <f t="shared" si="3"/>
        <v>Central Rivers</v>
      </c>
      <c r="C28" s="43">
        <f>SUMIFS(INDEX(Breakdown[],0,MATCH(C$25,Breakdown[#Headers],0)),Breakdown[AEA],$A28)</f>
        <v>4021446</v>
      </c>
      <c r="D28" s="43">
        <f>SUMIFS(INDEX(Breakdown[],0,MATCH(D$25,Breakdown[#Headers],0)),Breakdown[AEA],$A28)</f>
        <v>4483647</v>
      </c>
      <c r="E28" s="46">
        <f>SUMIFS(INDEX(Breakdown[],0,MATCH(E$25,Breakdown[#Headers],0)),Breakdown[AEA],$A28)</f>
        <v>31622730</v>
      </c>
      <c r="F28" s="41">
        <f>SUMIFS(INDEX(Breakdown[],0,MATCH(F$25,Breakdown[#Headers],0)),Breakdown[AEA],$A28)</f>
        <v>17817550</v>
      </c>
      <c r="G28" s="43">
        <f>SUMIFS(INDEX(Breakdown[],0,MATCH(G$25,Breakdown[#Headers],0)),Breakdown[AEA],$A28)</f>
        <v>13805180</v>
      </c>
      <c r="J28" s="4"/>
      <c r="K28" s="4"/>
    </row>
    <row r="29" spans="1:11" x14ac:dyDescent="0.25">
      <c r="A29" s="38" t="str">
        <f t="shared" si="3"/>
        <v>09</v>
      </c>
      <c r="B29" s="38" t="str">
        <f t="shared" si="3"/>
        <v>Mississippi Bend AEA 9</v>
      </c>
      <c r="C29" s="43">
        <f>SUMIFS(INDEX(Breakdown[],0,MATCH(C$25,Breakdown[#Headers],0)),Breakdown[AEA],$A29)</f>
        <v>2988923</v>
      </c>
      <c r="D29" s="43">
        <f>SUMIFS(INDEX(Breakdown[],0,MATCH(D$25,Breakdown[#Headers],0)),Breakdown[AEA],$A29)</f>
        <v>3266212</v>
      </c>
      <c r="E29" s="46">
        <f>SUMIFS(INDEX(Breakdown[],0,MATCH(E$25,Breakdown[#Headers],0)),Breakdown[AEA],$A29)</f>
        <v>22483243</v>
      </c>
      <c r="F29" s="41">
        <f>SUMIFS(INDEX(Breakdown[],0,MATCH(F$25,Breakdown[#Headers],0)),Breakdown[AEA],$A29)</f>
        <v>12451056</v>
      </c>
      <c r="G29" s="43">
        <f>SUMIFS(INDEX(Breakdown[],0,MATCH(G$25,Breakdown[#Headers],0)),Breakdown[AEA],$A29)</f>
        <v>10032187</v>
      </c>
    </row>
    <row r="30" spans="1:11" x14ac:dyDescent="0.25">
      <c r="A30" s="38" t="str">
        <f t="shared" si="3"/>
        <v>10</v>
      </c>
      <c r="B30" s="38" t="str">
        <f t="shared" si="3"/>
        <v>Grant Wood AEA 10</v>
      </c>
      <c r="C30" s="43">
        <f>SUMIFS(INDEX(Breakdown[],0,MATCH(C$25,Breakdown[#Headers],0)),Breakdown[AEA],$A30)</f>
        <v>4580882</v>
      </c>
      <c r="D30" s="43">
        <f>SUMIFS(INDEX(Breakdown[],0,MATCH(D$25,Breakdown[#Headers],0)),Breakdown[AEA],$A30)</f>
        <v>5035582</v>
      </c>
      <c r="E30" s="46">
        <f>SUMIFS(INDEX(Breakdown[],0,MATCH(E$25,Breakdown[#Headers],0)),Breakdown[AEA],$A30)</f>
        <v>34581514</v>
      </c>
      <c r="F30" s="41">
        <f>SUMIFS(INDEX(Breakdown[],0,MATCH(F$25,Breakdown[#Headers],0)),Breakdown[AEA],$A30)</f>
        <v>19506268</v>
      </c>
      <c r="G30" s="43">
        <f>SUMIFS(INDEX(Breakdown[],0,MATCH(G$25,Breakdown[#Headers],0)),Breakdown[AEA],$A30)</f>
        <v>15075246</v>
      </c>
    </row>
    <row r="31" spans="1:11" x14ac:dyDescent="0.25">
      <c r="A31" s="38" t="str">
        <f t="shared" si="3"/>
        <v>11</v>
      </c>
      <c r="B31" s="38" t="str">
        <f t="shared" si="3"/>
        <v>Heartland AEA 11</v>
      </c>
      <c r="C31" s="43">
        <f>SUMIFS(INDEX(Breakdown[],0,MATCH(C$25,Breakdown[#Headers],0)),Breakdown[AEA],$A31)</f>
        <v>9430082</v>
      </c>
      <c r="D31" s="43">
        <f>SUMIFS(INDEX(Breakdown[],0,MATCH(D$25,Breakdown[#Headers],0)),Breakdown[AEA],$A31)</f>
        <v>10358799</v>
      </c>
      <c r="E31" s="46">
        <f>SUMIFS(INDEX(Breakdown[],0,MATCH(E$25,Breakdown[#Headers],0)),Breakdown[AEA],$A31)</f>
        <v>70628446</v>
      </c>
      <c r="F31" s="41">
        <f>SUMIFS(INDEX(Breakdown[],0,MATCH(F$25,Breakdown[#Headers],0)),Breakdown[AEA],$A31)</f>
        <v>40838071</v>
      </c>
      <c r="G31" s="43">
        <f>SUMIFS(INDEX(Breakdown[],0,MATCH(G$25,Breakdown[#Headers],0)),Breakdown[AEA],$A31)</f>
        <v>29790375</v>
      </c>
    </row>
    <row r="32" spans="1:11" x14ac:dyDescent="0.25">
      <c r="A32" s="38" t="str">
        <f t="shared" si="3"/>
        <v>12</v>
      </c>
      <c r="B32" s="38" t="str">
        <f t="shared" si="3"/>
        <v>Northwest AEA</v>
      </c>
      <c r="C32" s="43">
        <f>SUMIFS(INDEX(Breakdown[],0,MATCH(C$25,Breakdown[#Headers],0)),Breakdown[AEA],$A32)</f>
        <v>2825990</v>
      </c>
      <c r="D32" s="43">
        <f>SUMIFS(INDEX(Breakdown[],0,MATCH(D$25,Breakdown[#Headers],0)),Breakdown[AEA],$A32)</f>
        <v>3164474</v>
      </c>
      <c r="E32" s="46">
        <f>SUMIFS(INDEX(Breakdown[],0,MATCH(E$25,Breakdown[#Headers],0)),Breakdown[AEA],$A32)</f>
        <v>20859983</v>
      </c>
      <c r="F32" s="41">
        <f>SUMIFS(INDEX(Breakdown[],0,MATCH(F$25,Breakdown[#Headers],0)),Breakdown[AEA],$A32)</f>
        <v>11329342</v>
      </c>
      <c r="G32" s="43">
        <f>SUMIFS(INDEX(Breakdown[],0,MATCH(G$25,Breakdown[#Headers],0)),Breakdown[AEA],$A32)</f>
        <v>9530641</v>
      </c>
    </row>
    <row r="33" spans="1:8" x14ac:dyDescent="0.25">
      <c r="A33" s="38" t="str">
        <f t="shared" si="3"/>
        <v>13</v>
      </c>
      <c r="B33" s="38" t="str">
        <f t="shared" si="3"/>
        <v>Green Hills AEA 13</v>
      </c>
      <c r="C33" s="43">
        <f>SUMIFS(INDEX(Breakdown[],0,MATCH(C$25,Breakdown[#Headers],0)),Breakdown[AEA],$A33)</f>
        <v>2353258</v>
      </c>
      <c r="D33" s="43">
        <f>SUMIFS(INDEX(Breakdown[],0,MATCH(D$25,Breakdown[#Headers],0)),Breakdown[AEA],$A33)</f>
        <v>2601568</v>
      </c>
      <c r="E33" s="46">
        <f>SUMIFS(INDEX(Breakdown[],0,MATCH(E$25,Breakdown[#Headers],0)),Breakdown[AEA],$A33)</f>
        <v>18403029</v>
      </c>
      <c r="F33" s="41">
        <f>SUMIFS(INDEX(Breakdown[],0,MATCH(F$25,Breakdown[#Headers],0)),Breakdown[AEA],$A33)</f>
        <v>10395097</v>
      </c>
      <c r="G33" s="43">
        <f>SUMIFS(INDEX(Breakdown[],0,MATCH(G$25,Breakdown[#Headers],0)),Breakdown[AEA],$A33)</f>
        <v>8007932</v>
      </c>
    </row>
    <row r="34" spans="1:8" x14ac:dyDescent="0.25">
      <c r="A34" s="38" t="str">
        <f t="shared" si="3"/>
        <v>15</v>
      </c>
      <c r="B34" s="38" t="str">
        <f t="shared" si="3"/>
        <v>Great Prairie AEA 15</v>
      </c>
      <c r="C34" s="43">
        <f>SUMIFS(INDEX(Breakdown[],0,MATCH(C$25,Breakdown[#Headers],0)),Breakdown[AEA],$A34)</f>
        <v>2175147</v>
      </c>
      <c r="D34" s="43">
        <f>SUMIFS(INDEX(Breakdown[],0,MATCH(D$25,Breakdown[#Headers],0)),Breakdown[AEA],$A34)</f>
        <v>2390777</v>
      </c>
      <c r="E34" s="46">
        <f>SUMIFS(INDEX(Breakdown[],0,MATCH(E$25,Breakdown[#Headers],0)),Breakdown[AEA],$A34)</f>
        <v>16509513</v>
      </c>
      <c r="F34" s="41">
        <f>SUMIFS(INDEX(Breakdown[],0,MATCH(F$25,Breakdown[#Headers],0)),Breakdown[AEA],$A34)</f>
        <v>9252847</v>
      </c>
      <c r="G34" s="43">
        <f>SUMIFS(INDEX(Breakdown[],0,MATCH(G$25,Breakdown[#Headers],0)),Breakdown[AEA],$A34)</f>
        <v>7256666</v>
      </c>
    </row>
    <row r="35" spans="1:8" ht="15.75" thickBot="1" x14ac:dyDescent="0.3">
      <c r="C35" s="44">
        <f t="shared" ref="C35:G35" si="4">SUM(C26:C34)</f>
        <v>32345038</v>
      </c>
      <c r="D35" s="44">
        <f t="shared" si="4"/>
        <v>35735170</v>
      </c>
      <c r="E35" s="47">
        <f t="shared" si="4"/>
        <v>244857014</v>
      </c>
      <c r="F35" s="42">
        <f t="shared" si="4"/>
        <v>137427339</v>
      </c>
      <c r="G35" s="44">
        <f t="shared" si="4"/>
        <v>107429675</v>
      </c>
    </row>
    <row r="36" spans="1:8" ht="15.75" thickTop="1" x14ac:dyDescent="0.25"/>
    <row r="38" spans="1:8" x14ac:dyDescent="0.25">
      <c r="H38" s="4"/>
    </row>
  </sheetData>
  <sheetProtection sheet="1" objects="1" scenarios="1"/>
  <mergeCells count="2">
    <mergeCell ref="H15:H16"/>
    <mergeCell ref="H17:H18"/>
  </mergeCells>
  <pageMargins left="0.25" right="0.25" top="0.75" bottom="0.75" header="0.3" footer="0.3"/>
  <pageSetup scale="77" orientation="landscape" r:id="rId1"/>
  <headerFooter>
    <oddHeader xml:space="preserve">&amp;C&amp;"-,Bold"&amp;14FY 2024 AEA Enrollments and Cost - Final - State Aid and Property Tax Breakdown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B26CD-5AB5-4E72-97C5-65916541106C}">
  <dimension ref="A1:U326"/>
  <sheetViews>
    <sheetView topLeftCell="G1" workbookViewId="0">
      <selection sqref="A1:U326"/>
    </sheetView>
  </sheetViews>
  <sheetFormatPr defaultRowHeight="15" x14ac:dyDescent="0.25"/>
  <cols>
    <col min="1" max="1" width="9.140625" style="1"/>
    <col min="2" max="2" width="12.42578125" customWidth="1"/>
    <col min="3" max="3" width="9.140625" style="1"/>
    <col min="4" max="4" width="9.42578125" customWidth="1"/>
    <col min="5" max="5" width="52.7109375" customWidth="1"/>
    <col min="6" max="6" width="27.42578125" customWidth="1"/>
    <col min="7" max="7" width="34" customWidth="1"/>
    <col min="8" max="8" width="35.85546875" customWidth="1"/>
    <col min="9" max="9" width="37.140625" customWidth="1"/>
    <col min="10" max="10" width="24.7109375" customWidth="1"/>
    <col min="11" max="11" width="35.42578125" customWidth="1"/>
    <col min="12" max="12" width="30.28515625" customWidth="1"/>
    <col min="13" max="13" width="42.140625" customWidth="1"/>
    <col min="14" max="14" width="53" customWidth="1"/>
    <col min="15" max="15" width="34.28515625" customWidth="1"/>
    <col min="16" max="16" width="31.5703125" customWidth="1"/>
    <col min="17" max="17" width="28" customWidth="1"/>
    <col min="18" max="18" width="14.28515625" customWidth="1"/>
    <col min="19" max="19" width="21.28515625" customWidth="1"/>
    <col min="20" max="20" width="18.140625" customWidth="1"/>
  </cols>
  <sheetData>
    <row r="1" spans="1:21" x14ac:dyDescent="0.25">
      <c r="A1" s="1" t="s">
        <v>363</v>
      </c>
      <c r="B1" t="s">
        <v>364</v>
      </c>
      <c r="C1" s="1" t="s">
        <v>727</v>
      </c>
      <c r="D1" t="s">
        <v>365</v>
      </c>
      <c r="E1" t="s">
        <v>744</v>
      </c>
      <c r="F1" t="s">
        <v>740</v>
      </c>
      <c r="G1" t="s">
        <v>359</v>
      </c>
      <c r="H1" t="s">
        <v>741</v>
      </c>
      <c r="I1" t="s">
        <v>742</v>
      </c>
      <c r="J1" t="s">
        <v>367</v>
      </c>
      <c r="K1" t="s">
        <v>748</v>
      </c>
      <c r="L1" t="s">
        <v>743</v>
      </c>
      <c r="M1" t="s">
        <v>745</v>
      </c>
      <c r="N1" t="s">
        <v>747</v>
      </c>
      <c r="O1" t="s">
        <v>357</v>
      </c>
      <c r="P1" t="s">
        <v>388</v>
      </c>
      <c r="Q1" t="s">
        <v>354</v>
      </c>
      <c r="R1" t="s">
        <v>355</v>
      </c>
      <c r="S1" t="s">
        <v>360</v>
      </c>
      <c r="T1" t="s">
        <v>361</v>
      </c>
      <c r="U1" t="s">
        <v>362</v>
      </c>
    </row>
    <row r="2" spans="1:21" x14ac:dyDescent="0.25">
      <c r="A2" s="1" t="s">
        <v>0</v>
      </c>
      <c r="B2" t="s">
        <v>728</v>
      </c>
      <c r="C2" s="1" t="s">
        <v>1</v>
      </c>
      <c r="D2" t="s">
        <v>411</v>
      </c>
      <c r="E2" s="4">
        <v>434569</v>
      </c>
      <c r="F2" s="4">
        <v>329541</v>
      </c>
      <c r="G2" s="4">
        <v>96613</v>
      </c>
      <c r="H2" s="4">
        <v>232928</v>
      </c>
      <c r="I2" s="4">
        <v>105028</v>
      </c>
      <c r="J2" s="4">
        <v>0</v>
      </c>
      <c r="K2" s="4">
        <v>337956</v>
      </c>
      <c r="L2">
        <v>882</v>
      </c>
      <c r="M2" s="4">
        <v>281</v>
      </c>
      <c r="N2" s="4">
        <v>1163</v>
      </c>
      <c r="O2" s="4">
        <v>43028</v>
      </c>
      <c r="P2" s="4">
        <v>4668</v>
      </c>
      <c r="Q2" s="4">
        <v>77426</v>
      </c>
      <c r="R2" s="4">
        <v>86254</v>
      </c>
      <c r="S2" s="4">
        <v>550495</v>
      </c>
      <c r="T2" s="4">
        <v>281505</v>
      </c>
      <c r="U2" s="4">
        <v>268990</v>
      </c>
    </row>
    <row r="3" spans="1:21" x14ac:dyDescent="0.25">
      <c r="A3" s="1" t="s">
        <v>0</v>
      </c>
      <c r="B3" t="s">
        <v>728</v>
      </c>
      <c r="C3" s="1" t="s">
        <v>2</v>
      </c>
      <c r="D3" t="s">
        <v>412</v>
      </c>
      <c r="E3" s="4">
        <v>179034</v>
      </c>
      <c r="F3" s="4">
        <v>135765</v>
      </c>
      <c r="G3" s="4">
        <v>39301</v>
      </c>
      <c r="H3" s="4">
        <v>96464</v>
      </c>
      <c r="I3" s="4">
        <v>43269</v>
      </c>
      <c r="J3">
        <v>0</v>
      </c>
      <c r="K3">
        <v>139733</v>
      </c>
      <c r="L3">
        <v>364</v>
      </c>
      <c r="M3" s="4">
        <v>116</v>
      </c>
      <c r="N3" s="4">
        <v>480</v>
      </c>
      <c r="O3" s="4">
        <v>17727</v>
      </c>
      <c r="P3" s="4">
        <v>1923</v>
      </c>
      <c r="Q3" s="4">
        <v>28223</v>
      </c>
      <c r="R3" s="4">
        <v>31441</v>
      </c>
      <c r="S3" s="4">
        <v>219527</v>
      </c>
      <c r="T3" s="4">
        <v>116478</v>
      </c>
      <c r="U3" s="4">
        <v>103049</v>
      </c>
    </row>
    <row r="4" spans="1:21" x14ac:dyDescent="0.25">
      <c r="A4" s="1" t="s">
        <v>0</v>
      </c>
      <c r="B4" t="s">
        <v>728</v>
      </c>
      <c r="C4" s="1" t="s">
        <v>3</v>
      </c>
      <c r="D4" t="s">
        <v>413</v>
      </c>
      <c r="E4" s="4">
        <v>249376</v>
      </c>
      <c r="F4" s="4">
        <v>189106</v>
      </c>
      <c r="G4" s="4">
        <v>51624</v>
      </c>
      <c r="H4" s="4">
        <v>137482</v>
      </c>
      <c r="I4" s="4">
        <v>60270</v>
      </c>
      <c r="J4">
        <v>0</v>
      </c>
      <c r="K4">
        <v>197752</v>
      </c>
      <c r="L4">
        <v>507</v>
      </c>
      <c r="M4" s="4">
        <v>161</v>
      </c>
      <c r="N4" s="4">
        <v>668</v>
      </c>
      <c r="O4" s="4">
        <v>24691</v>
      </c>
      <c r="P4" s="4">
        <v>2679</v>
      </c>
      <c r="Q4" s="4">
        <v>40711</v>
      </c>
      <c r="R4" s="4">
        <v>45353</v>
      </c>
      <c r="S4" s="4">
        <v>311854</v>
      </c>
      <c r="T4" s="4">
        <v>165359</v>
      </c>
      <c r="U4" s="4">
        <v>146495</v>
      </c>
    </row>
    <row r="5" spans="1:21" x14ac:dyDescent="0.25">
      <c r="A5" s="1" t="s">
        <v>0</v>
      </c>
      <c r="B5" t="s">
        <v>728</v>
      </c>
      <c r="C5" s="1" t="s">
        <v>4</v>
      </c>
      <c r="D5" t="s">
        <v>414</v>
      </c>
      <c r="E5" s="4">
        <v>591354</v>
      </c>
      <c r="F5" s="4">
        <v>448433</v>
      </c>
      <c r="G5" s="4">
        <v>121901</v>
      </c>
      <c r="H5" s="4">
        <v>326532</v>
      </c>
      <c r="I5" s="4">
        <v>142921</v>
      </c>
      <c r="J5" s="4">
        <v>0</v>
      </c>
      <c r="K5" s="4">
        <v>469453</v>
      </c>
      <c r="L5" s="4">
        <v>1199</v>
      </c>
      <c r="M5" s="4">
        <v>382</v>
      </c>
      <c r="N5" s="4">
        <v>1581</v>
      </c>
      <c r="O5" s="4">
        <v>58551</v>
      </c>
      <c r="P5" s="4">
        <v>6353</v>
      </c>
      <c r="Q5" s="4">
        <v>103276</v>
      </c>
      <c r="R5" s="4">
        <v>115052</v>
      </c>
      <c r="S5" s="4">
        <v>754266</v>
      </c>
      <c r="T5" s="4">
        <v>392635</v>
      </c>
      <c r="U5" s="4">
        <v>361631</v>
      </c>
    </row>
    <row r="6" spans="1:21" x14ac:dyDescent="0.25">
      <c r="A6" s="1" t="s">
        <v>0</v>
      </c>
      <c r="B6" t="s">
        <v>728</v>
      </c>
      <c r="C6" s="1" t="s">
        <v>5</v>
      </c>
      <c r="D6" t="s">
        <v>415</v>
      </c>
      <c r="E6" s="4">
        <v>4180852</v>
      </c>
      <c r="F6" s="4">
        <v>3170405</v>
      </c>
      <c r="G6" s="4">
        <v>675758</v>
      </c>
      <c r="H6" s="4">
        <v>2494647</v>
      </c>
      <c r="I6" s="4">
        <v>1010447</v>
      </c>
      <c r="J6" s="4">
        <v>0</v>
      </c>
      <c r="K6" s="4">
        <v>3505094</v>
      </c>
      <c r="L6" s="4">
        <v>8480</v>
      </c>
      <c r="M6" s="4">
        <v>2702</v>
      </c>
      <c r="N6" s="4">
        <v>11182</v>
      </c>
      <c r="O6" s="4">
        <v>413954</v>
      </c>
      <c r="P6" s="4">
        <v>44914</v>
      </c>
      <c r="Q6" s="4">
        <v>733046</v>
      </c>
      <c r="R6" s="4">
        <v>816634</v>
      </c>
      <c r="S6" s="4">
        <v>5524824</v>
      </c>
      <c r="T6" s="4">
        <v>2961995</v>
      </c>
      <c r="U6" s="4">
        <v>2562829</v>
      </c>
    </row>
    <row r="7" spans="1:21" x14ac:dyDescent="0.25">
      <c r="A7" s="1" t="s">
        <v>0</v>
      </c>
      <c r="B7" t="s">
        <v>728</v>
      </c>
      <c r="C7" s="1" t="s">
        <v>6</v>
      </c>
      <c r="D7" t="s">
        <v>416</v>
      </c>
      <c r="E7" s="4">
        <v>131322</v>
      </c>
      <c r="F7" s="4">
        <v>99583</v>
      </c>
      <c r="G7" s="4">
        <v>31180</v>
      </c>
      <c r="H7" s="4">
        <v>68403</v>
      </c>
      <c r="I7" s="4">
        <v>31739</v>
      </c>
      <c r="J7">
        <v>0</v>
      </c>
      <c r="K7">
        <v>100142</v>
      </c>
      <c r="L7">
        <v>267</v>
      </c>
      <c r="M7" s="4">
        <v>85</v>
      </c>
      <c r="N7" s="4">
        <v>352</v>
      </c>
      <c r="O7" s="4">
        <v>13002</v>
      </c>
      <c r="P7" s="4">
        <v>1411</v>
      </c>
      <c r="Q7" s="4">
        <v>21042</v>
      </c>
      <c r="R7" s="4">
        <v>23442</v>
      </c>
      <c r="S7" s="4">
        <v>159391</v>
      </c>
      <c r="T7" s="4">
        <v>83083</v>
      </c>
      <c r="U7" s="4">
        <v>76308</v>
      </c>
    </row>
    <row r="8" spans="1:21" x14ac:dyDescent="0.25">
      <c r="A8" s="1" t="s">
        <v>0</v>
      </c>
      <c r="B8" t="s">
        <v>728</v>
      </c>
      <c r="C8" s="1" t="s">
        <v>7</v>
      </c>
      <c r="D8" t="s">
        <v>417</v>
      </c>
      <c r="E8" s="4">
        <v>148833</v>
      </c>
      <c r="F8" s="4">
        <v>112863</v>
      </c>
      <c r="G8" s="4">
        <v>35520</v>
      </c>
      <c r="H8" s="4">
        <v>77343</v>
      </c>
      <c r="I8" s="4">
        <v>35970</v>
      </c>
      <c r="J8">
        <v>0</v>
      </c>
      <c r="K8">
        <v>113313</v>
      </c>
      <c r="L8">
        <v>301</v>
      </c>
      <c r="M8" s="4">
        <v>96</v>
      </c>
      <c r="N8" s="4">
        <v>397</v>
      </c>
      <c r="O8" s="4">
        <v>14736</v>
      </c>
      <c r="P8" s="4">
        <v>1599</v>
      </c>
      <c r="Q8" s="4">
        <v>26412</v>
      </c>
      <c r="R8" s="4">
        <v>29424</v>
      </c>
      <c r="S8" s="4">
        <v>185881</v>
      </c>
      <c r="T8" s="4">
        <v>93979</v>
      </c>
      <c r="U8" s="4">
        <v>91902</v>
      </c>
    </row>
    <row r="9" spans="1:21" x14ac:dyDescent="0.25">
      <c r="A9" s="1" t="s">
        <v>0</v>
      </c>
      <c r="B9" t="s">
        <v>728</v>
      </c>
      <c r="C9" s="1" t="s">
        <v>8</v>
      </c>
      <c r="D9" t="s">
        <v>418</v>
      </c>
      <c r="E9" s="4">
        <v>456575</v>
      </c>
      <c r="F9" s="4">
        <v>346228</v>
      </c>
      <c r="G9" s="4">
        <v>98287</v>
      </c>
      <c r="H9" s="4">
        <v>247941</v>
      </c>
      <c r="I9" s="4">
        <v>110347</v>
      </c>
      <c r="J9" s="4">
        <v>0</v>
      </c>
      <c r="K9" s="4">
        <v>358288</v>
      </c>
      <c r="L9">
        <v>927</v>
      </c>
      <c r="M9" s="4">
        <v>295</v>
      </c>
      <c r="N9" s="4">
        <v>1222</v>
      </c>
      <c r="O9" s="4">
        <v>45206</v>
      </c>
      <c r="P9" s="4">
        <v>4905</v>
      </c>
      <c r="Q9" s="4">
        <v>81172</v>
      </c>
      <c r="R9" s="4">
        <v>90428</v>
      </c>
      <c r="S9" s="4">
        <v>581221</v>
      </c>
      <c r="T9" s="4">
        <v>298979</v>
      </c>
      <c r="U9" s="4">
        <v>282242</v>
      </c>
    </row>
    <row r="10" spans="1:21" x14ac:dyDescent="0.25">
      <c r="A10" s="1" t="s">
        <v>0</v>
      </c>
      <c r="B10" t="s">
        <v>728</v>
      </c>
      <c r="C10" s="1" t="s">
        <v>10</v>
      </c>
      <c r="D10" t="s">
        <v>420</v>
      </c>
      <c r="E10" s="4">
        <v>312880</v>
      </c>
      <c r="F10" s="4">
        <v>237262</v>
      </c>
      <c r="G10" s="4">
        <v>64253</v>
      </c>
      <c r="H10" s="4">
        <v>173009</v>
      </c>
      <c r="I10" s="4">
        <v>75618</v>
      </c>
      <c r="J10">
        <v>0</v>
      </c>
      <c r="K10">
        <v>248627</v>
      </c>
      <c r="L10">
        <v>634</v>
      </c>
      <c r="M10" s="4">
        <v>202</v>
      </c>
      <c r="N10" s="4">
        <v>836</v>
      </c>
      <c r="O10" s="4">
        <v>30979</v>
      </c>
      <c r="P10" s="4">
        <v>3361</v>
      </c>
      <c r="Q10" s="4">
        <v>50514</v>
      </c>
      <c r="R10" s="4">
        <v>56274</v>
      </c>
      <c r="S10" s="4">
        <v>390591</v>
      </c>
      <c r="T10" s="4">
        <v>207983</v>
      </c>
      <c r="U10" s="4">
        <v>182608</v>
      </c>
    </row>
    <row r="11" spans="1:21" x14ac:dyDescent="0.25">
      <c r="A11" s="1" t="s">
        <v>0</v>
      </c>
      <c r="B11" t="s">
        <v>728</v>
      </c>
      <c r="C11" s="1" t="s">
        <v>9</v>
      </c>
      <c r="D11" t="s">
        <v>419</v>
      </c>
      <c r="E11" s="4">
        <v>259552</v>
      </c>
      <c r="F11" s="4">
        <v>196823</v>
      </c>
      <c r="G11" s="4">
        <v>59234</v>
      </c>
      <c r="H11" s="4">
        <v>137589</v>
      </c>
      <c r="I11" s="4">
        <v>62729</v>
      </c>
      <c r="J11">
        <v>0</v>
      </c>
      <c r="K11">
        <v>200318</v>
      </c>
      <c r="L11">
        <v>525</v>
      </c>
      <c r="M11" s="4">
        <v>168</v>
      </c>
      <c r="N11" s="4">
        <v>693</v>
      </c>
      <c r="O11" s="4">
        <v>25699</v>
      </c>
      <c r="P11" s="4">
        <v>2788</v>
      </c>
      <c r="Q11" s="4">
        <v>43521</v>
      </c>
      <c r="R11" s="4">
        <v>48483</v>
      </c>
      <c r="S11" s="4">
        <v>321502</v>
      </c>
      <c r="T11" s="4">
        <v>166601</v>
      </c>
      <c r="U11" s="4">
        <v>154901</v>
      </c>
    </row>
    <row r="12" spans="1:21" x14ac:dyDescent="0.25">
      <c r="A12" s="1" t="s">
        <v>0</v>
      </c>
      <c r="B12" t="s">
        <v>728</v>
      </c>
      <c r="C12" s="1" t="s">
        <v>11</v>
      </c>
      <c r="D12" t="s">
        <v>421</v>
      </c>
      <c r="E12" s="4">
        <v>361905</v>
      </c>
      <c r="F12" s="4">
        <v>274439</v>
      </c>
      <c r="G12" s="4">
        <v>76047</v>
      </c>
      <c r="H12" s="4">
        <v>198392</v>
      </c>
      <c r="I12" s="4">
        <v>87466</v>
      </c>
      <c r="J12">
        <v>0</v>
      </c>
      <c r="K12">
        <v>285858</v>
      </c>
      <c r="L12">
        <v>734</v>
      </c>
      <c r="M12" s="4">
        <v>234</v>
      </c>
      <c r="N12" s="4">
        <v>968</v>
      </c>
      <c r="O12" s="4">
        <v>35833</v>
      </c>
      <c r="P12" s="4">
        <v>3888</v>
      </c>
      <c r="Q12" s="4">
        <v>63377</v>
      </c>
      <c r="R12" s="4">
        <v>70603</v>
      </c>
      <c r="S12" s="4">
        <v>460527</v>
      </c>
      <c r="T12" s="4">
        <v>238846</v>
      </c>
      <c r="U12" s="4">
        <v>221681</v>
      </c>
    </row>
    <row r="13" spans="1:21" x14ac:dyDescent="0.25">
      <c r="A13" s="1" t="s">
        <v>0</v>
      </c>
      <c r="B13" t="s">
        <v>728</v>
      </c>
      <c r="C13" s="1" t="s">
        <v>12</v>
      </c>
      <c r="D13" t="s">
        <v>422</v>
      </c>
      <c r="E13" s="4">
        <v>467284</v>
      </c>
      <c r="F13" s="4">
        <v>354349</v>
      </c>
      <c r="G13" s="4">
        <v>105989</v>
      </c>
      <c r="H13" s="4">
        <v>248360</v>
      </c>
      <c r="I13" s="4">
        <v>112935</v>
      </c>
      <c r="J13" s="4">
        <v>0</v>
      </c>
      <c r="K13" s="4">
        <v>361295</v>
      </c>
      <c r="L13">
        <v>948</v>
      </c>
      <c r="M13" s="4">
        <v>302</v>
      </c>
      <c r="N13" s="4">
        <v>1250</v>
      </c>
      <c r="O13" s="4">
        <v>46267</v>
      </c>
      <c r="P13" s="4">
        <v>5020</v>
      </c>
      <c r="Q13" s="4">
        <v>71244</v>
      </c>
      <c r="R13" s="4">
        <v>79368</v>
      </c>
      <c r="S13" s="4">
        <v>564444</v>
      </c>
      <c r="T13" s="4">
        <v>300594</v>
      </c>
      <c r="U13" s="4">
        <v>263850</v>
      </c>
    </row>
    <row r="14" spans="1:21" x14ac:dyDescent="0.25">
      <c r="A14" s="1" t="s">
        <v>0</v>
      </c>
      <c r="B14" t="s">
        <v>728</v>
      </c>
      <c r="C14" s="1" t="s">
        <v>13</v>
      </c>
      <c r="D14" t="s">
        <v>423</v>
      </c>
      <c r="E14" s="4">
        <v>554510</v>
      </c>
      <c r="F14" s="4">
        <v>420494</v>
      </c>
      <c r="G14" s="4">
        <v>102876</v>
      </c>
      <c r="H14" s="4">
        <v>317618</v>
      </c>
      <c r="I14" s="4">
        <v>134016</v>
      </c>
      <c r="J14" s="4">
        <v>0</v>
      </c>
      <c r="K14" s="4">
        <v>451634</v>
      </c>
      <c r="L14" s="4">
        <v>1125</v>
      </c>
      <c r="M14" s="4">
        <v>358</v>
      </c>
      <c r="N14" s="4">
        <v>1483</v>
      </c>
      <c r="O14" s="4">
        <v>54903</v>
      </c>
      <c r="P14" s="4">
        <v>5957</v>
      </c>
      <c r="Q14" s="4">
        <v>83233</v>
      </c>
      <c r="R14" s="4">
        <v>92723</v>
      </c>
      <c r="S14" s="4">
        <v>689933</v>
      </c>
      <c r="T14" s="4">
        <v>379603</v>
      </c>
      <c r="U14" s="4">
        <v>310330</v>
      </c>
    </row>
    <row r="15" spans="1:21" x14ac:dyDescent="0.25">
      <c r="A15" s="1" t="s">
        <v>0</v>
      </c>
      <c r="B15" t="s">
        <v>728</v>
      </c>
      <c r="C15" s="1" t="s">
        <v>14</v>
      </c>
      <c r="D15" t="s">
        <v>424</v>
      </c>
      <c r="E15" s="4">
        <v>271730</v>
      </c>
      <c r="F15" s="4">
        <v>206057</v>
      </c>
      <c r="G15" s="4">
        <v>40336</v>
      </c>
      <c r="H15" s="4">
        <v>165721</v>
      </c>
      <c r="I15" s="4">
        <v>65673</v>
      </c>
      <c r="J15" s="4">
        <v>3692</v>
      </c>
      <c r="K15">
        <v>235086</v>
      </c>
      <c r="L15">
        <v>552</v>
      </c>
      <c r="M15" s="4">
        <v>176</v>
      </c>
      <c r="N15" s="4">
        <v>728</v>
      </c>
      <c r="O15" s="4">
        <v>26905</v>
      </c>
      <c r="P15" s="4">
        <v>2919</v>
      </c>
      <c r="Q15" s="4">
        <v>43458</v>
      </c>
      <c r="R15" s="4">
        <v>48414</v>
      </c>
      <c r="S15" s="4">
        <v>357510</v>
      </c>
      <c r="T15" s="4">
        <v>196097</v>
      </c>
      <c r="U15" s="4">
        <v>161413</v>
      </c>
    </row>
    <row r="16" spans="1:21" x14ac:dyDescent="0.25">
      <c r="A16" s="1" t="s">
        <v>0</v>
      </c>
      <c r="B16" t="s">
        <v>728</v>
      </c>
      <c r="C16" s="1" t="s">
        <v>15</v>
      </c>
      <c r="D16" t="s">
        <v>425</v>
      </c>
      <c r="E16" s="4">
        <v>128547</v>
      </c>
      <c r="F16" s="4">
        <v>97479</v>
      </c>
      <c r="G16" s="4">
        <v>27973</v>
      </c>
      <c r="H16" s="4">
        <v>69506</v>
      </c>
      <c r="I16" s="4">
        <v>31068</v>
      </c>
      <c r="J16">
        <v>0</v>
      </c>
      <c r="K16">
        <v>100574</v>
      </c>
      <c r="L16">
        <v>261</v>
      </c>
      <c r="M16" s="4">
        <v>84</v>
      </c>
      <c r="N16" s="4">
        <v>345</v>
      </c>
      <c r="O16" s="4">
        <v>12728</v>
      </c>
      <c r="P16" s="4">
        <v>1381</v>
      </c>
      <c r="Q16" s="4">
        <v>20730</v>
      </c>
      <c r="R16" s="4">
        <v>23094</v>
      </c>
      <c r="S16" s="4">
        <v>158852</v>
      </c>
      <c r="T16" s="4">
        <v>83877</v>
      </c>
      <c r="U16" s="4">
        <v>74975</v>
      </c>
    </row>
    <row r="17" spans="1:21" x14ac:dyDescent="0.25">
      <c r="A17" s="1" t="s">
        <v>0</v>
      </c>
      <c r="B17" t="s">
        <v>728</v>
      </c>
      <c r="C17" s="1" t="s">
        <v>16</v>
      </c>
      <c r="D17" t="s">
        <v>426</v>
      </c>
      <c r="E17" s="4">
        <v>210158</v>
      </c>
      <c r="F17" s="4">
        <v>159366</v>
      </c>
      <c r="G17" s="4">
        <v>49402</v>
      </c>
      <c r="H17" s="4">
        <v>109964</v>
      </c>
      <c r="I17" s="4">
        <v>50792</v>
      </c>
      <c r="J17">
        <v>0</v>
      </c>
      <c r="K17">
        <v>160756</v>
      </c>
      <c r="L17">
        <v>425</v>
      </c>
      <c r="M17" s="4">
        <v>136</v>
      </c>
      <c r="N17" s="4">
        <v>561</v>
      </c>
      <c r="O17" s="4">
        <v>20808</v>
      </c>
      <c r="P17" s="4">
        <v>2258</v>
      </c>
      <c r="Q17" s="4">
        <v>42709</v>
      </c>
      <c r="R17" s="4">
        <v>47579</v>
      </c>
      <c r="S17" s="4">
        <v>274671</v>
      </c>
      <c r="T17" s="4">
        <v>133455</v>
      </c>
      <c r="U17" s="4">
        <v>141216</v>
      </c>
    </row>
    <row r="18" spans="1:21" x14ac:dyDescent="0.25">
      <c r="A18" s="1" t="s">
        <v>0</v>
      </c>
      <c r="B18" t="s">
        <v>728</v>
      </c>
      <c r="C18" s="1" t="s">
        <v>17</v>
      </c>
      <c r="D18" t="s">
        <v>427</v>
      </c>
      <c r="E18" s="4">
        <v>240641</v>
      </c>
      <c r="F18" s="4">
        <v>182482</v>
      </c>
      <c r="G18" s="4">
        <v>54715</v>
      </c>
      <c r="H18" s="4">
        <v>127767</v>
      </c>
      <c r="I18" s="4">
        <v>58159</v>
      </c>
      <c r="J18">
        <v>598</v>
      </c>
      <c r="K18">
        <v>186524</v>
      </c>
      <c r="L18">
        <v>488</v>
      </c>
      <c r="M18" s="4">
        <v>156</v>
      </c>
      <c r="N18" s="4">
        <v>644</v>
      </c>
      <c r="O18" s="4">
        <v>23859</v>
      </c>
      <c r="P18" s="4">
        <v>2585</v>
      </c>
      <c r="Q18" s="4">
        <v>36652</v>
      </c>
      <c r="R18" s="4">
        <v>40832</v>
      </c>
      <c r="S18" s="4">
        <v>291096</v>
      </c>
      <c r="T18" s="4">
        <v>154699</v>
      </c>
      <c r="U18" s="4">
        <v>136397</v>
      </c>
    </row>
    <row r="19" spans="1:21" x14ac:dyDescent="0.25">
      <c r="A19" s="1" t="s">
        <v>0</v>
      </c>
      <c r="B19" t="s">
        <v>728</v>
      </c>
      <c r="C19" s="1" t="s">
        <v>18</v>
      </c>
      <c r="D19" t="s">
        <v>428</v>
      </c>
      <c r="E19" s="4">
        <v>140492</v>
      </c>
      <c r="F19" s="4">
        <v>106537</v>
      </c>
      <c r="G19" s="4">
        <v>38770</v>
      </c>
      <c r="H19" s="4">
        <v>67767</v>
      </c>
      <c r="I19" s="4">
        <v>33955</v>
      </c>
      <c r="J19" s="4">
        <v>6262</v>
      </c>
      <c r="K19">
        <v>107984</v>
      </c>
      <c r="L19">
        <v>285</v>
      </c>
      <c r="M19" s="4">
        <v>91</v>
      </c>
      <c r="N19" s="4">
        <v>376</v>
      </c>
      <c r="O19" s="4">
        <v>13910</v>
      </c>
      <c r="P19" s="4">
        <v>1509</v>
      </c>
      <c r="Q19" s="4">
        <v>25288</v>
      </c>
      <c r="R19" s="4">
        <v>28172</v>
      </c>
      <c r="S19" s="4">
        <v>177239</v>
      </c>
      <c r="T19" s="4">
        <v>83471</v>
      </c>
      <c r="U19" s="4">
        <v>93768</v>
      </c>
    </row>
    <row r="20" spans="1:21" x14ac:dyDescent="0.25">
      <c r="A20" s="1" t="s">
        <v>0</v>
      </c>
      <c r="B20" t="s">
        <v>728</v>
      </c>
      <c r="C20" s="1" t="s">
        <v>19</v>
      </c>
      <c r="D20" t="s">
        <v>429</v>
      </c>
      <c r="E20" s="4">
        <v>104985</v>
      </c>
      <c r="F20" s="4">
        <v>79612</v>
      </c>
      <c r="G20" s="4">
        <v>22130</v>
      </c>
      <c r="H20" s="4">
        <v>57482</v>
      </c>
      <c r="I20" s="4">
        <v>25373</v>
      </c>
      <c r="J20">
        <v>0</v>
      </c>
      <c r="K20">
        <v>82855</v>
      </c>
      <c r="L20">
        <v>214</v>
      </c>
      <c r="M20" s="4">
        <v>68</v>
      </c>
      <c r="N20" s="4">
        <v>282</v>
      </c>
      <c r="O20" s="4">
        <v>10395</v>
      </c>
      <c r="P20" s="4">
        <v>1128</v>
      </c>
      <c r="Q20" s="4">
        <v>16921</v>
      </c>
      <c r="R20" s="4">
        <v>18851</v>
      </c>
      <c r="S20" s="4">
        <v>130432</v>
      </c>
      <c r="T20" s="4">
        <v>69219</v>
      </c>
      <c r="U20" s="4">
        <v>61213</v>
      </c>
    </row>
    <row r="21" spans="1:21" x14ac:dyDescent="0.25">
      <c r="A21" s="1" t="s">
        <v>0</v>
      </c>
      <c r="B21" t="s">
        <v>728</v>
      </c>
      <c r="C21" s="1" t="s">
        <v>20</v>
      </c>
      <c r="D21" t="s">
        <v>430</v>
      </c>
      <c r="E21" s="4">
        <v>539095</v>
      </c>
      <c r="F21" s="4">
        <v>408804</v>
      </c>
      <c r="G21" s="4">
        <v>118627</v>
      </c>
      <c r="H21" s="4">
        <v>290177</v>
      </c>
      <c r="I21" s="4">
        <v>130291</v>
      </c>
      <c r="J21" s="4">
        <v>0</v>
      </c>
      <c r="K21" s="4">
        <v>420468</v>
      </c>
      <c r="L21" s="4">
        <v>1093</v>
      </c>
      <c r="M21" s="4">
        <v>348</v>
      </c>
      <c r="N21" s="4">
        <v>1441</v>
      </c>
      <c r="O21" s="4">
        <v>53377</v>
      </c>
      <c r="P21" s="4">
        <v>5791</v>
      </c>
      <c r="Q21" s="4">
        <v>97094</v>
      </c>
      <c r="R21" s="4">
        <v>108166</v>
      </c>
      <c r="S21" s="4">
        <v>686337</v>
      </c>
      <c r="T21" s="4">
        <v>350438</v>
      </c>
      <c r="U21" s="4">
        <v>335899</v>
      </c>
    </row>
    <row r="22" spans="1:21" x14ac:dyDescent="0.25">
      <c r="A22" s="1" t="s">
        <v>0</v>
      </c>
      <c r="B22" t="s">
        <v>728</v>
      </c>
      <c r="C22" s="1" t="s">
        <v>21</v>
      </c>
      <c r="D22" t="s">
        <v>431</v>
      </c>
      <c r="E22" s="4">
        <v>1252507</v>
      </c>
      <c r="F22" s="4">
        <v>949795</v>
      </c>
      <c r="G22" s="4">
        <v>184387</v>
      </c>
      <c r="H22" s="4">
        <v>765408</v>
      </c>
      <c r="I22" s="4">
        <v>302712</v>
      </c>
      <c r="J22" s="4">
        <v>0</v>
      </c>
      <c r="K22" s="4">
        <v>1068120</v>
      </c>
      <c r="L22" s="4">
        <v>2540</v>
      </c>
      <c r="M22" s="4">
        <v>809</v>
      </c>
      <c r="N22" s="4">
        <v>3349</v>
      </c>
      <c r="O22" s="4">
        <v>124013</v>
      </c>
      <c r="P22" s="4">
        <v>13455</v>
      </c>
      <c r="Q22" s="4">
        <v>263309</v>
      </c>
      <c r="R22" s="4">
        <v>293335</v>
      </c>
      <c r="S22" s="4">
        <v>1765581</v>
      </c>
      <c r="T22" s="4">
        <v>905416</v>
      </c>
      <c r="U22" s="4">
        <v>860165</v>
      </c>
    </row>
    <row r="23" spans="1:21" x14ac:dyDescent="0.25">
      <c r="A23" s="1" t="s">
        <v>22</v>
      </c>
      <c r="B23" t="s">
        <v>729</v>
      </c>
      <c r="C23" s="1" t="s">
        <v>23</v>
      </c>
      <c r="D23" t="s">
        <v>432</v>
      </c>
      <c r="E23" s="4">
        <v>81086</v>
      </c>
      <c r="F23" s="4">
        <v>62249</v>
      </c>
      <c r="G23" s="4">
        <v>18549</v>
      </c>
      <c r="H23" s="4">
        <v>43700</v>
      </c>
      <c r="I23" s="4">
        <v>18837</v>
      </c>
      <c r="J23">
        <v>0</v>
      </c>
      <c r="K23">
        <v>62537</v>
      </c>
      <c r="L23">
        <v>0</v>
      </c>
      <c r="M23" s="4">
        <v>0</v>
      </c>
      <c r="N23" s="4">
        <v>0</v>
      </c>
      <c r="O23" s="4">
        <v>8590</v>
      </c>
      <c r="P23" s="4">
        <v>1021</v>
      </c>
      <c r="Q23" s="4">
        <v>13129</v>
      </c>
      <c r="R23" s="4">
        <v>14706</v>
      </c>
      <c r="S23" s="4">
        <v>99983</v>
      </c>
      <c r="T23" s="4">
        <v>53311</v>
      </c>
      <c r="U23" s="4">
        <v>46672</v>
      </c>
    </row>
    <row r="24" spans="1:21" x14ac:dyDescent="0.25">
      <c r="A24" s="1" t="s">
        <v>22</v>
      </c>
      <c r="B24" t="s">
        <v>729</v>
      </c>
      <c r="C24" s="1" t="s">
        <v>24</v>
      </c>
      <c r="D24" t="s">
        <v>433</v>
      </c>
      <c r="E24" s="4">
        <v>576119</v>
      </c>
      <c r="F24" s="4">
        <v>442279</v>
      </c>
      <c r="G24" s="4">
        <v>131089</v>
      </c>
      <c r="H24" s="4">
        <v>311190</v>
      </c>
      <c r="I24" s="4">
        <v>133840</v>
      </c>
      <c r="J24">
        <v>0</v>
      </c>
      <c r="K24">
        <v>445030</v>
      </c>
      <c r="L24">
        <v>0</v>
      </c>
      <c r="M24" s="4">
        <v>0</v>
      </c>
      <c r="N24" s="4">
        <v>0</v>
      </c>
      <c r="O24" s="4">
        <v>61031</v>
      </c>
      <c r="P24" s="4">
        <v>7254</v>
      </c>
      <c r="Q24" s="4">
        <v>108722</v>
      </c>
      <c r="R24" s="4">
        <v>121782</v>
      </c>
      <c r="S24" s="4">
        <v>743819</v>
      </c>
      <c r="T24" s="4">
        <v>379475</v>
      </c>
      <c r="U24" s="4">
        <v>364344</v>
      </c>
    </row>
    <row r="25" spans="1:21" x14ac:dyDescent="0.25">
      <c r="A25" s="1" t="s">
        <v>22</v>
      </c>
      <c r="B25" t="s">
        <v>729</v>
      </c>
      <c r="C25" s="1" t="s">
        <v>25</v>
      </c>
      <c r="D25" t="s">
        <v>434</v>
      </c>
      <c r="E25" s="4">
        <v>328088</v>
      </c>
      <c r="F25" s="4">
        <v>251869</v>
      </c>
      <c r="G25" s="4">
        <v>58587</v>
      </c>
      <c r="H25" s="4">
        <v>193282</v>
      </c>
      <c r="I25" s="4">
        <v>76219</v>
      </c>
      <c r="J25">
        <v>0</v>
      </c>
      <c r="K25">
        <v>269501</v>
      </c>
      <c r="L25">
        <v>0</v>
      </c>
      <c r="M25" s="4">
        <v>0</v>
      </c>
      <c r="N25" s="4">
        <v>0</v>
      </c>
      <c r="O25" s="4">
        <v>34756</v>
      </c>
      <c r="P25" s="4">
        <v>4131</v>
      </c>
      <c r="Q25" s="4">
        <v>55455</v>
      </c>
      <c r="R25" s="4">
        <v>62117</v>
      </c>
      <c r="S25" s="4">
        <v>425960</v>
      </c>
      <c r="T25" s="4">
        <v>232169</v>
      </c>
      <c r="U25" s="4">
        <v>193791</v>
      </c>
    </row>
    <row r="26" spans="1:21" x14ac:dyDescent="0.25">
      <c r="A26" s="1" t="s">
        <v>22</v>
      </c>
      <c r="B26" t="s">
        <v>729</v>
      </c>
      <c r="C26" s="1" t="s">
        <v>26</v>
      </c>
      <c r="D26" t="s">
        <v>435</v>
      </c>
      <c r="E26" s="4">
        <v>390295</v>
      </c>
      <c r="F26" s="4">
        <v>299624</v>
      </c>
      <c r="G26" s="4">
        <v>68312</v>
      </c>
      <c r="H26" s="4">
        <v>231312</v>
      </c>
      <c r="I26" s="4">
        <v>90671</v>
      </c>
      <c r="J26">
        <v>0</v>
      </c>
      <c r="K26">
        <v>321983</v>
      </c>
      <c r="L26">
        <v>0</v>
      </c>
      <c r="M26" s="4">
        <v>0</v>
      </c>
      <c r="N26" s="4">
        <v>0</v>
      </c>
      <c r="O26" s="4">
        <v>41346</v>
      </c>
      <c r="P26" s="4">
        <v>4914</v>
      </c>
      <c r="Q26" s="4">
        <v>63395</v>
      </c>
      <c r="R26" s="4">
        <v>71010</v>
      </c>
      <c r="S26" s="4">
        <v>502648</v>
      </c>
      <c r="T26" s="4">
        <v>277572</v>
      </c>
      <c r="U26" s="4">
        <v>225076</v>
      </c>
    </row>
    <row r="27" spans="1:21" x14ac:dyDescent="0.25">
      <c r="A27" s="1" t="s">
        <v>22</v>
      </c>
      <c r="B27" t="s">
        <v>729</v>
      </c>
      <c r="C27" s="1" t="s">
        <v>27</v>
      </c>
      <c r="D27" t="s">
        <v>436</v>
      </c>
      <c r="E27" s="4">
        <v>111902</v>
      </c>
      <c r="F27" s="4">
        <v>85906</v>
      </c>
      <c r="G27" s="4">
        <v>30547</v>
      </c>
      <c r="H27" s="4">
        <v>55359</v>
      </c>
      <c r="I27" s="4">
        <v>25996</v>
      </c>
      <c r="J27" s="4">
        <v>13131</v>
      </c>
      <c r="K27">
        <v>94486</v>
      </c>
      <c r="L27">
        <v>0</v>
      </c>
      <c r="M27" s="4">
        <v>0</v>
      </c>
      <c r="N27" s="4">
        <v>0</v>
      </c>
      <c r="O27" s="4">
        <v>11860</v>
      </c>
      <c r="P27" s="4">
        <v>1409</v>
      </c>
      <c r="Q27" s="4">
        <v>19631</v>
      </c>
      <c r="R27" s="4">
        <v>21989</v>
      </c>
      <c r="S27" s="4">
        <v>149375</v>
      </c>
      <c r="T27" s="4">
        <v>68628</v>
      </c>
      <c r="U27" s="4">
        <v>80747</v>
      </c>
    </row>
    <row r="28" spans="1:21" x14ac:dyDescent="0.25">
      <c r="A28" s="1" t="s">
        <v>22</v>
      </c>
      <c r="B28" t="s">
        <v>729</v>
      </c>
      <c r="C28" s="1" t="s">
        <v>28</v>
      </c>
      <c r="D28" t="s">
        <v>437</v>
      </c>
      <c r="E28" s="4">
        <v>370074</v>
      </c>
      <c r="F28" s="4">
        <v>284101</v>
      </c>
      <c r="G28" s="4">
        <v>59231</v>
      </c>
      <c r="H28" s="4">
        <v>224870</v>
      </c>
      <c r="I28" s="4">
        <v>85973</v>
      </c>
      <c r="J28">
        <v>895</v>
      </c>
      <c r="K28">
        <v>311738</v>
      </c>
      <c r="L28">
        <v>0</v>
      </c>
      <c r="M28" s="4">
        <v>0</v>
      </c>
      <c r="N28" s="4">
        <v>0</v>
      </c>
      <c r="O28" s="4">
        <v>39332</v>
      </c>
      <c r="P28" s="4">
        <v>4674</v>
      </c>
      <c r="Q28" s="4">
        <v>59769</v>
      </c>
      <c r="R28" s="4">
        <v>66949</v>
      </c>
      <c r="S28" s="4">
        <v>482462</v>
      </c>
      <c r="T28" s="4">
        <v>268876</v>
      </c>
      <c r="U28" s="4">
        <v>213586</v>
      </c>
    </row>
    <row r="29" spans="1:21" x14ac:dyDescent="0.25">
      <c r="A29" s="1" t="s">
        <v>22</v>
      </c>
      <c r="B29" t="s">
        <v>729</v>
      </c>
      <c r="C29" s="1" t="s">
        <v>29</v>
      </c>
      <c r="D29" t="s">
        <v>438</v>
      </c>
      <c r="E29" s="4">
        <v>327352</v>
      </c>
      <c r="F29" s="4">
        <v>251304</v>
      </c>
      <c r="G29" s="4">
        <v>67954</v>
      </c>
      <c r="H29" s="4">
        <v>183350</v>
      </c>
      <c r="I29" s="4">
        <v>76048</v>
      </c>
      <c r="J29">
        <v>0</v>
      </c>
      <c r="K29">
        <v>259398</v>
      </c>
      <c r="L29">
        <v>0</v>
      </c>
      <c r="M29" s="4">
        <v>0</v>
      </c>
      <c r="N29" s="4">
        <v>0</v>
      </c>
      <c r="O29" s="4">
        <v>34678</v>
      </c>
      <c r="P29" s="4">
        <v>4122</v>
      </c>
      <c r="Q29" s="4">
        <v>55018</v>
      </c>
      <c r="R29" s="4">
        <v>61626</v>
      </c>
      <c r="S29" s="4">
        <v>414842</v>
      </c>
      <c r="T29" s="4">
        <v>222150</v>
      </c>
      <c r="U29" s="4">
        <v>192692</v>
      </c>
    </row>
    <row r="30" spans="1:21" x14ac:dyDescent="0.25">
      <c r="A30" s="1" t="s">
        <v>22</v>
      </c>
      <c r="B30" t="s">
        <v>729</v>
      </c>
      <c r="C30" s="1" t="s">
        <v>30</v>
      </c>
      <c r="D30" t="s">
        <v>439</v>
      </c>
      <c r="E30" s="4">
        <v>265266</v>
      </c>
      <c r="F30" s="4">
        <v>203642</v>
      </c>
      <c r="G30" s="4">
        <v>51253</v>
      </c>
      <c r="H30" s="4">
        <v>152389</v>
      </c>
      <c r="I30" s="4">
        <v>61624</v>
      </c>
      <c r="J30">
        <v>0</v>
      </c>
      <c r="K30">
        <v>214013</v>
      </c>
      <c r="L30">
        <v>0</v>
      </c>
      <c r="M30" s="4">
        <v>0</v>
      </c>
      <c r="N30" s="4">
        <v>0</v>
      </c>
      <c r="O30" s="4">
        <v>28101</v>
      </c>
      <c r="P30" s="4">
        <v>3340</v>
      </c>
      <c r="Q30" s="4">
        <v>46140</v>
      </c>
      <c r="R30" s="4">
        <v>51682</v>
      </c>
      <c r="S30" s="4">
        <v>343276</v>
      </c>
      <c r="T30" s="4">
        <v>183830</v>
      </c>
      <c r="U30" s="4">
        <v>159446</v>
      </c>
    </row>
    <row r="31" spans="1:21" x14ac:dyDescent="0.25">
      <c r="A31" s="1" t="s">
        <v>22</v>
      </c>
      <c r="B31" t="s">
        <v>729</v>
      </c>
      <c r="C31" s="1" t="s">
        <v>31</v>
      </c>
      <c r="D31" t="s">
        <v>440</v>
      </c>
      <c r="E31" s="4">
        <v>462993</v>
      </c>
      <c r="F31" s="4">
        <v>355434</v>
      </c>
      <c r="G31" s="4">
        <v>92306</v>
      </c>
      <c r="H31" s="4">
        <v>263128</v>
      </c>
      <c r="I31" s="4">
        <v>107559</v>
      </c>
      <c r="J31" s="4">
        <v>4021</v>
      </c>
      <c r="K31">
        <v>374708</v>
      </c>
      <c r="L31">
        <v>0</v>
      </c>
      <c r="M31" s="4">
        <v>0</v>
      </c>
      <c r="N31" s="4">
        <v>0</v>
      </c>
      <c r="O31" s="4">
        <v>49047</v>
      </c>
      <c r="P31" s="4">
        <v>5830</v>
      </c>
      <c r="Q31" s="4">
        <v>75149</v>
      </c>
      <c r="R31" s="4">
        <v>84176</v>
      </c>
      <c r="S31" s="4">
        <v>588910</v>
      </c>
      <c r="T31" s="4">
        <v>318005</v>
      </c>
      <c r="U31" s="4">
        <v>270905</v>
      </c>
    </row>
    <row r="32" spans="1:21" x14ac:dyDescent="0.25">
      <c r="A32" s="1" t="s">
        <v>22</v>
      </c>
      <c r="B32" t="s">
        <v>729</v>
      </c>
      <c r="C32" s="1" t="s">
        <v>32</v>
      </c>
      <c r="D32" t="s">
        <v>441</v>
      </c>
      <c r="E32" s="4">
        <v>1426504</v>
      </c>
      <c r="F32" s="4">
        <v>1095109</v>
      </c>
      <c r="G32" s="4">
        <v>279279</v>
      </c>
      <c r="H32" s="4">
        <v>815830</v>
      </c>
      <c r="I32" s="4">
        <v>331395</v>
      </c>
      <c r="J32">
        <v>0</v>
      </c>
      <c r="K32">
        <v>1147225</v>
      </c>
      <c r="L32">
        <v>0</v>
      </c>
      <c r="M32" s="4">
        <v>0</v>
      </c>
      <c r="N32" s="4">
        <v>0</v>
      </c>
      <c r="O32" s="4">
        <v>151137</v>
      </c>
      <c r="P32" s="4">
        <v>17961</v>
      </c>
      <c r="Q32" s="4">
        <v>257145</v>
      </c>
      <c r="R32" s="4">
        <v>288033</v>
      </c>
      <c r="S32" s="4">
        <v>1861501</v>
      </c>
      <c r="T32" s="4">
        <v>984928</v>
      </c>
      <c r="U32" s="4">
        <v>876573</v>
      </c>
    </row>
    <row r="33" spans="1:21" x14ac:dyDescent="0.25">
      <c r="A33" s="1" t="s">
        <v>22</v>
      </c>
      <c r="B33" t="s">
        <v>729</v>
      </c>
      <c r="C33" s="1" t="s">
        <v>33</v>
      </c>
      <c r="D33" t="s">
        <v>442</v>
      </c>
      <c r="E33" s="4">
        <v>73328</v>
      </c>
      <c r="F33" s="4">
        <v>56293</v>
      </c>
      <c r="G33" s="4">
        <v>14189</v>
      </c>
      <c r="H33" s="4">
        <v>42104</v>
      </c>
      <c r="I33" s="4">
        <v>17035</v>
      </c>
      <c r="J33">
        <v>0</v>
      </c>
      <c r="K33">
        <v>59139</v>
      </c>
      <c r="L33">
        <v>0</v>
      </c>
      <c r="M33" s="4">
        <v>0</v>
      </c>
      <c r="N33" s="4">
        <v>0</v>
      </c>
      <c r="O33" s="4">
        <v>7768</v>
      </c>
      <c r="P33" s="4">
        <v>923</v>
      </c>
      <c r="Q33" s="4">
        <v>11129</v>
      </c>
      <c r="R33" s="4">
        <v>12465</v>
      </c>
      <c r="S33" s="4">
        <v>91424</v>
      </c>
      <c r="T33" s="4">
        <v>50795</v>
      </c>
      <c r="U33" s="4">
        <v>40629</v>
      </c>
    </row>
    <row r="34" spans="1:21" x14ac:dyDescent="0.25">
      <c r="A34" s="1" t="s">
        <v>22</v>
      </c>
      <c r="B34" t="s">
        <v>729</v>
      </c>
      <c r="C34" s="1" t="s">
        <v>34</v>
      </c>
      <c r="D34" t="s">
        <v>443</v>
      </c>
      <c r="E34" s="4">
        <v>142205</v>
      </c>
      <c r="F34" s="4">
        <v>109169</v>
      </c>
      <c r="G34" s="4">
        <v>30756</v>
      </c>
      <c r="H34" s="4">
        <v>78413</v>
      </c>
      <c r="I34" s="4">
        <v>33036</v>
      </c>
      <c r="J34">
        <v>582</v>
      </c>
      <c r="K34">
        <v>112031</v>
      </c>
      <c r="L34">
        <v>0</v>
      </c>
      <c r="M34" s="4">
        <v>0</v>
      </c>
      <c r="N34" s="4">
        <v>0</v>
      </c>
      <c r="O34" s="4">
        <v>15139</v>
      </c>
      <c r="P34" s="4">
        <v>1799</v>
      </c>
      <c r="Q34" s="4">
        <v>24133</v>
      </c>
      <c r="R34" s="4">
        <v>27032</v>
      </c>
      <c r="S34" s="4">
        <v>180134</v>
      </c>
      <c r="T34" s="4">
        <v>95351</v>
      </c>
      <c r="U34" s="4">
        <v>84783</v>
      </c>
    </row>
    <row r="35" spans="1:21" x14ac:dyDescent="0.25">
      <c r="A35" s="1" t="s">
        <v>22</v>
      </c>
      <c r="B35" t="s">
        <v>729</v>
      </c>
      <c r="C35" s="1" t="s">
        <v>35</v>
      </c>
      <c r="D35" t="s">
        <v>444</v>
      </c>
      <c r="E35" s="4">
        <v>463859</v>
      </c>
      <c r="F35" s="4">
        <v>356099</v>
      </c>
      <c r="G35" s="4">
        <v>103986</v>
      </c>
      <c r="H35" s="4">
        <v>252113</v>
      </c>
      <c r="I35" s="4">
        <v>107760</v>
      </c>
      <c r="J35">
        <v>0</v>
      </c>
      <c r="K35">
        <v>359873</v>
      </c>
      <c r="L35">
        <v>0</v>
      </c>
      <c r="M35" s="4">
        <v>0</v>
      </c>
      <c r="N35" s="4">
        <v>0</v>
      </c>
      <c r="O35" s="4">
        <v>49139</v>
      </c>
      <c r="P35" s="4">
        <v>5841</v>
      </c>
      <c r="Q35" s="4">
        <v>74211</v>
      </c>
      <c r="R35" s="4">
        <v>83126</v>
      </c>
      <c r="S35" s="4">
        <v>572190</v>
      </c>
      <c r="T35" s="4">
        <v>307093</v>
      </c>
      <c r="U35" s="4">
        <v>265097</v>
      </c>
    </row>
    <row r="36" spans="1:21" x14ac:dyDescent="0.25">
      <c r="A36" s="1" t="s">
        <v>22</v>
      </c>
      <c r="B36" t="s">
        <v>729</v>
      </c>
      <c r="C36" s="1" t="s">
        <v>36</v>
      </c>
      <c r="D36" t="s">
        <v>445</v>
      </c>
      <c r="E36" s="4">
        <v>112022</v>
      </c>
      <c r="F36" s="4">
        <v>85998</v>
      </c>
      <c r="G36" s="4">
        <v>20339</v>
      </c>
      <c r="H36" s="4">
        <v>65659</v>
      </c>
      <c r="I36" s="4">
        <v>26024</v>
      </c>
      <c r="J36">
        <v>0</v>
      </c>
      <c r="K36">
        <v>91683</v>
      </c>
      <c r="L36">
        <v>0</v>
      </c>
      <c r="M36" s="4">
        <v>0</v>
      </c>
      <c r="N36" s="4">
        <v>0</v>
      </c>
      <c r="O36" s="4">
        <v>11867</v>
      </c>
      <c r="P36" s="4">
        <v>1410</v>
      </c>
      <c r="Q36" s="4">
        <v>18381</v>
      </c>
      <c r="R36" s="4">
        <v>20589</v>
      </c>
      <c r="S36" s="4">
        <v>143930</v>
      </c>
      <c r="T36" s="4">
        <v>78936</v>
      </c>
      <c r="U36" s="4">
        <v>64994</v>
      </c>
    </row>
    <row r="37" spans="1:21" x14ac:dyDescent="0.25">
      <c r="A37" s="1" t="s">
        <v>22</v>
      </c>
      <c r="B37" t="s">
        <v>729</v>
      </c>
      <c r="C37" s="1" t="s">
        <v>37</v>
      </c>
      <c r="D37" t="s">
        <v>446</v>
      </c>
      <c r="E37" s="4">
        <v>477268</v>
      </c>
      <c r="F37" s="4">
        <v>366392</v>
      </c>
      <c r="G37" s="4">
        <v>81306</v>
      </c>
      <c r="H37" s="4">
        <v>285086</v>
      </c>
      <c r="I37" s="4">
        <v>110876</v>
      </c>
      <c r="J37">
        <v>0</v>
      </c>
      <c r="K37">
        <v>395962</v>
      </c>
      <c r="L37">
        <v>0</v>
      </c>
      <c r="M37" s="4">
        <v>0</v>
      </c>
      <c r="N37" s="4">
        <v>0</v>
      </c>
      <c r="O37" s="4">
        <v>50559</v>
      </c>
      <c r="P37" s="4">
        <v>6009</v>
      </c>
      <c r="Q37" s="4">
        <v>84465</v>
      </c>
      <c r="R37" s="4">
        <v>94611</v>
      </c>
      <c r="S37" s="4">
        <v>631606</v>
      </c>
      <c r="T37" s="4">
        <v>341654</v>
      </c>
      <c r="U37" s="4">
        <v>289952</v>
      </c>
    </row>
    <row r="38" spans="1:21" x14ac:dyDescent="0.25">
      <c r="A38" s="1" t="s">
        <v>22</v>
      </c>
      <c r="B38" t="s">
        <v>729</v>
      </c>
      <c r="C38" s="1" t="s">
        <v>38</v>
      </c>
      <c r="D38" t="s">
        <v>447</v>
      </c>
      <c r="E38" s="4">
        <v>122274</v>
      </c>
      <c r="F38" s="4">
        <v>93868</v>
      </c>
      <c r="G38" s="4">
        <v>28583</v>
      </c>
      <c r="H38" s="4">
        <v>65285</v>
      </c>
      <c r="I38" s="4">
        <v>28406</v>
      </c>
      <c r="J38">
        <v>0</v>
      </c>
      <c r="K38">
        <v>93691</v>
      </c>
      <c r="L38">
        <v>0</v>
      </c>
      <c r="M38" s="4">
        <v>0</v>
      </c>
      <c r="N38" s="4">
        <v>0</v>
      </c>
      <c r="O38" s="4">
        <v>12953</v>
      </c>
      <c r="P38" s="4">
        <v>1540</v>
      </c>
      <c r="Q38" s="4">
        <v>18819</v>
      </c>
      <c r="R38" s="4">
        <v>21079</v>
      </c>
      <c r="S38" s="4">
        <v>148082</v>
      </c>
      <c r="T38" s="4">
        <v>79778</v>
      </c>
      <c r="U38" s="4">
        <v>68304</v>
      </c>
    </row>
    <row r="39" spans="1:21" x14ac:dyDescent="0.25">
      <c r="A39" s="1" t="s">
        <v>22</v>
      </c>
      <c r="B39" t="s">
        <v>729</v>
      </c>
      <c r="C39" s="1" t="s">
        <v>39</v>
      </c>
      <c r="D39" t="s">
        <v>448</v>
      </c>
      <c r="E39" s="4">
        <v>245967</v>
      </c>
      <c r="F39" s="4">
        <v>188826</v>
      </c>
      <c r="G39" s="4">
        <v>49883</v>
      </c>
      <c r="H39" s="4">
        <v>138943</v>
      </c>
      <c r="I39" s="4">
        <v>57141</v>
      </c>
      <c r="J39">
        <v>0</v>
      </c>
      <c r="K39">
        <v>196084</v>
      </c>
      <c r="L39">
        <v>0</v>
      </c>
      <c r="M39" s="4">
        <v>0</v>
      </c>
      <c r="N39" s="4">
        <v>0</v>
      </c>
      <c r="O39" s="4">
        <v>26057</v>
      </c>
      <c r="P39" s="4">
        <v>3097</v>
      </c>
      <c r="Q39" s="4">
        <v>46077</v>
      </c>
      <c r="R39" s="4">
        <v>51612</v>
      </c>
      <c r="S39" s="4">
        <v>322927</v>
      </c>
      <c r="T39" s="4">
        <v>168097</v>
      </c>
      <c r="U39" s="4">
        <v>154830</v>
      </c>
    </row>
    <row r="40" spans="1:21" x14ac:dyDescent="0.25">
      <c r="A40" s="1" t="s">
        <v>22</v>
      </c>
      <c r="B40" t="s">
        <v>729</v>
      </c>
      <c r="C40" s="1" t="s">
        <v>40</v>
      </c>
      <c r="D40" t="s">
        <v>449</v>
      </c>
      <c r="E40" s="4">
        <v>188142</v>
      </c>
      <c r="F40" s="4">
        <v>144434</v>
      </c>
      <c r="G40" s="4">
        <v>29831</v>
      </c>
      <c r="H40" s="4">
        <v>114603</v>
      </c>
      <c r="I40" s="4">
        <v>43708</v>
      </c>
      <c r="J40">
        <v>0</v>
      </c>
      <c r="K40">
        <v>158311</v>
      </c>
      <c r="L40">
        <v>0</v>
      </c>
      <c r="M40" s="4">
        <v>0</v>
      </c>
      <c r="N40" s="4">
        <v>0</v>
      </c>
      <c r="O40" s="4">
        <v>19931</v>
      </c>
      <c r="P40" s="4">
        <v>2369</v>
      </c>
      <c r="Q40" s="4">
        <v>31448</v>
      </c>
      <c r="R40" s="4">
        <v>35225</v>
      </c>
      <c r="S40" s="4">
        <v>247284</v>
      </c>
      <c r="T40" s="4">
        <v>136903</v>
      </c>
      <c r="U40" s="4">
        <v>110381</v>
      </c>
    </row>
    <row r="41" spans="1:21" x14ac:dyDescent="0.25">
      <c r="A41" s="1" t="s">
        <v>22</v>
      </c>
      <c r="B41" t="s">
        <v>729</v>
      </c>
      <c r="C41" s="1" t="s">
        <v>41</v>
      </c>
      <c r="D41" t="s">
        <v>450</v>
      </c>
      <c r="E41" s="4">
        <v>96159</v>
      </c>
      <c r="F41" s="4">
        <v>73820</v>
      </c>
      <c r="G41" s="4">
        <v>28015</v>
      </c>
      <c r="H41" s="4">
        <v>45805</v>
      </c>
      <c r="I41" s="4">
        <v>22339</v>
      </c>
      <c r="J41" s="4">
        <v>12862</v>
      </c>
      <c r="K41">
        <v>81006</v>
      </c>
      <c r="L41">
        <v>0</v>
      </c>
      <c r="M41" s="4">
        <v>0</v>
      </c>
      <c r="N41" s="4">
        <v>0</v>
      </c>
      <c r="O41" s="4">
        <v>10868</v>
      </c>
      <c r="P41" s="4">
        <v>1291</v>
      </c>
      <c r="Q41" s="4">
        <v>16630</v>
      </c>
      <c r="R41" s="4">
        <v>18628</v>
      </c>
      <c r="S41" s="4">
        <v>128423</v>
      </c>
      <c r="T41" s="4">
        <v>57964</v>
      </c>
      <c r="U41" s="4">
        <v>70459</v>
      </c>
    </row>
    <row r="42" spans="1:21" x14ac:dyDescent="0.25">
      <c r="A42" s="1" t="s">
        <v>22</v>
      </c>
      <c r="B42" t="s">
        <v>729</v>
      </c>
      <c r="C42" s="1" t="s">
        <v>42</v>
      </c>
      <c r="D42" t="s">
        <v>451</v>
      </c>
      <c r="E42" s="4">
        <v>156367</v>
      </c>
      <c r="F42" s="4">
        <v>120041</v>
      </c>
      <c r="G42" s="4">
        <v>41097</v>
      </c>
      <c r="H42" s="4">
        <v>78944</v>
      </c>
      <c r="I42" s="4">
        <v>36326</v>
      </c>
      <c r="J42" s="4">
        <v>13868</v>
      </c>
      <c r="K42">
        <v>129138</v>
      </c>
      <c r="L42">
        <v>0</v>
      </c>
      <c r="M42" s="4">
        <v>0</v>
      </c>
      <c r="N42" s="4">
        <v>0</v>
      </c>
      <c r="O42" s="4">
        <v>16565</v>
      </c>
      <c r="P42" s="4">
        <v>1969</v>
      </c>
      <c r="Q42" s="4">
        <v>25883</v>
      </c>
      <c r="R42" s="4">
        <v>28992</v>
      </c>
      <c r="S42" s="4">
        <v>202547</v>
      </c>
      <c r="T42" s="4">
        <v>97478</v>
      </c>
      <c r="U42" s="4">
        <v>105069</v>
      </c>
    </row>
    <row r="43" spans="1:21" x14ac:dyDescent="0.25">
      <c r="A43" s="1" t="s">
        <v>22</v>
      </c>
      <c r="B43" t="s">
        <v>729</v>
      </c>
      <c r="C43" s="1" t="s">
        <v>44</v>
      </c>
      <c r="D43" t="s">
        <v>452</v>
      </c>
      <c r="E43" s="4">
        <v>410883</v>
      </c>
      <c r="F43" s="4">
        <v>315430</v>
      </c>
      <c r="G43" s="4">
        <v>60802</v>
      </c>
      <c r="H43" s="4">
        <v>254628</v>
      </c>
      <c r="I43" s="4">
        <v>95453</v>
      </c>
      <c r="J43">
        <v>0</v>
      </c>
      <c r="K43">
        <v>350081</v>
      </c>
      <c r="L43">
        <v>0</v>
      </c>
      <c r="M43" s="4">
        <v>0</v>
      </c>
      <c r="N43" s="4">
        <v>0</v>
      </c>
      <c r="O43" s="4">
        <v>43527</v>
      </c>
      <c r="P43" s="4">
        <v>5174</v>
      </c>
      <c r="Q43" s="4">
        <v>67021</v>
      </c>
      <c r="R43" s="4">
        <v>75072</v>
      </c>
      <c r="S43" s="4">
        <v>540875</v>
      </c>
      <c r="T43" s="4">
        <v>303329</v>
      </c>
      <c r="U43" s="4">
        <v>237546</v>
      </c>
    </row>
    <row r="44" spans="1:21" x14ac:dyDescent="0.25">
      <c r="A44" s="1" t="s">
        <v>22</v>
      </c>
      <c r="B44" t="s">
        <v>729</v>
      </c>
      <c r="C44" s="1" t="s">
        <v>45</v>
      </c>
      <c r="D44" t="s">
        <v>453</v>
      </c>
      <c r="E44" s="4">
        <v>69583</v>
      </c>
      <c r="F44" s="4">
        <v>53418</v>
      </c>
      <c r="G44" s="4">
        <v>13629</v>
      </c>
      <c r="H44" s="4">
        <v>39789</v>
      </c>
      <c r="I44" s="4">
        <v>16165</v>
      </c>
      <c r="J44" s="4">
        <v>2532</v>
      </c>
      <c r="K44">
        <v>58486</v>
      </c>
      <c r="L44">
        <v>0</v>
      </c>
      <c r="M44" s="4">
        <v>0</v>
      </c>
      <c r="N44" s="4">
        <v>0</v>
      </c>
      <c r="O44" s="4">
        <v>7371</v>
      </c>
      <c r="P44" s="4">
        <v>876</v>
      </c>
      <c r="Q44" s="4">
        <v>12066</v>
      </c>
      <c r="R44" s="4">
        <v>13516</v>
      </c>
      <c r="S44" s="4">
        <v>92315</v>
      </c>
      <c r="T44" s="4">
        <v>48036</v>
      </c>
      <c r="U44" s="4">
        <v>44279</v>
      </c>
    </row>
    <row r="45" spans="1:21" x14ac:dyDescent="0.25">
      <c r="A45" s="1" t="s">
        <v>22</v>
      </c>
      <c r="B45" t="s">
        <v>729</v>
      </c>
      <c r="C45" s="1" t="s">
        <v>46</v>
      </c>
      <c r="D45" t="s">
        <v>454</v>
      </c>
      <c r="E45" s="4">
        <v>263237</v>
      </c>
      <c r="F45" s="4">
        <v>202084</v>
      </c>
      <c r="G45" s="4">
        <v>68434</v>
      </c>
      <c r="H45" s="4">
        <v>133650</v>
      </c>
      <c r="I45" s="4">
        <v>61153</v>
      </c>
      <c r="J45" s="4">
        <v>2810</v>
      </c>
      <c r="K45">
        <v>197613</v>
      </c>
      <c r="L45">
        <v>0</v>
      </c>
      <c r="M45" s="4">
        <v>0</v>
      </c>
      <c r="N45" s="4">
        <v>0</v>
      </c>
      <c r="O45" s="4">
        <v>27886</v>
      </c>
      <c r="P45" s="4">
        <v>3314</v>
      </c>
      <c r="Q45" s="4">
        <v>46640</v>
      </c>
      <c r="R45" s="4">
        <v>52242</v>
      </c>
      <c r="S45" s="4">
        <v>327695</v>
      </c>
      <c r="T45" s="4">
        <v>164850</v>
      </c>
      <c r="U45" s="4">
        <v>162845</v>
      </c>
    </row>
    <row r="46" spans="1:21" x14ac:dyDescent="0.25">
      <c r="A46" s="1" t="s">
        <v>22</v>
      </c>
      <c r="B46" t="s">
        <v>729</v>
      </c>
      <c r="C46" s="1" t="s">
        <v>47</v>
      </c>
      <c r="D46" t="s">
        <v>455</v>
      </c>
      <c r="E46" s="4">
        <v>77272</v>
      </c>
      <c r="F46" s="4">
        <v>59321</v>
      </c>
      <c r="G46" s="4">
        <v>17227</v>
      </c>
      <c r="H46" s="4">
        <v>42094</v>
      </c>
      <c r="I46" s="4">
        <v>17951</v>
      </c>
      <c r="J46" s="4">
        <v>9203</v>
      </c>
      <c r="K46">
        <v>69248</v>
      </c>
      <c r="L46">
        <v>0</v>
      </c>
      <c r="M46" s="4">
        <v>0</v>
      </c>
      <c r="N46" s="4">
        <v>0</v>
      </c>
      <c r="O46" s="4">
        <v>8332</v>
      </c>
      <c r="P46" s="4">
        <v>990</v>
      </c>
      <c r="Q46" s="4">
        <v>12504</v>
      </c>
      <c r="R46" s="4">
        <v>14006</v>
      </c>
      <c r="S46" s="4">
        <v>105080</v>
      </c>
      <c r="T46" s="4">
        <v>51416</v>
      </c>
      <c r="U46" s="4">
        <v>53664</v>
      </c>
    </row>
    <row r="47" spans="1:21" x14ac:dyDescent="0.25">
      <c r="A47" s="1" t="s">
        <v>22</v>
      </c>
      <c r="B47" t="s">
        <v>729</v>
      </c>
      <c r="C47" s="1" t="s">
        <v>48</v>
      </c>
      <c r="D47" t="s">
        <v>456</v>
      </c>
      <c r="E47" s="4">
        <v>138275</v>
      </c>
      <c r="F47" s="4">
        <v>106152</v>
      </c>
      <c r="G47" s="4">
        <v>31176</v>
      </c>
      <c r="H47" s="4">
        <v>74976</v>
      </c>
      <c r="I47" s="4">
        <v>32123</v>
      </c>
      <c r="J47" s="4">
        <v>3817</v>
      </c>
      <c r="K47">
        <v>110916</v>
      </c>
      <c r="L47">
        <v>0</v>
      </c>
      <c r="M47" s="4">
        <v>0</v>
      </c>
      <c r="N47" s="4">
        <v>0</v>
      </c>
      <c r="O47" s="4">
        <v>15065</v>
      </c>
      <c r="P47" s="4">
        <v>1790</v>
      </c>
      <c r="Q47" s="4">
        <v>23132</v>
      </c>
      <c r="R47" s="4">
        <v>25911</v>
      </c>
      <c r="S47" s="4">
        <v>176814</v>
      </c>
      <c r="T47" s="4">
        <v>91831</v>
      </c>
      <c r="U47" s="4">
        <v>84983</v>
      </c>
    </row>
    <row r="48" spans="1:21" x14ac:dyDescent="0.25">
      <c r="A48" s="1" t="s">
        <v>22</v>
      </c>
      <c r="B48" t="s">
        <v>729</v>
      </c>
      <c r="C48" s="1" t="s">
        <v>49</v>
      </c>
      <c r="D48" t="s">
        <v>457</v>
      </c>
      <c r="E48" s="4">
        <v>174576</v>
      </c>
      <c r="F48" s="4">
        <v>134020</v>
      </c>
      <c r="G48" s="4">
        <v>38279</v>
      </c>
      <c r="H48" s="4">
        <v>95741</v>
      </c>
      <c r="I48" s="4">
        <v>40556</v>
      </c>
      <c r="J48">
        <v>0</v>
      </c>
      <c r="K48">
        <v>136297</v>
      </c>
      <c r="L48">
        <v>0</v>
      </c>
      <c r="M48" s="4">
        <v>0</v>
      </c>
      <c r="N48" s="4">
        <v>0</v>
      </c>
      <c r="O48" s="4">
        <v>18494</v>
      </c>
      <c r="P48" s="4">
        <v>2198</v>
      </c>
      <c r="Q48" s="4">
        <v>28009</v>
      </c>
      <c r="R48" s="4">
        <v>31373</v>
      </c>
      <c r="S48" s="4">
        <v>216371</v>
      </c>
      <c r="T48" s="4">
        <v>116433</v>
      </c>
      <c r="U48" s="4">
        <v>99938</v>
      </c>
    </row>
    <row r="49" spans="1:21" x14ac:dyDescent="0.25">
      <c r="A49" s="1" t="s">
        <v>22</v>
      </c>
      <c r="B49" t="s">
        <v>729</v>
      </c>
      <c r="C49" s="1" t="s">
        <v>50</v>
      </c>
      <c r="D49" t="s">
        <v>458</v>
      </c>
      <c r="E49" s="4">
        <v>356284</v>
      </c>
      <c r="F49" s="4">
        <v>273515</v>
      </c>
      <c r="G49" s="4">
        <v>72346</v>
      </c>
      <c r="H49" s="4">
        <v>201169</v>
      </c>
      <c r="I49" s="4">
        <v>82769</v>
      </c>
      <c r="J49">
        <v>0</v>
      </c>
      <c r="K49">
        <v>283938</v>
      </c>
      <c r="L49">
        <v>0</v>
      </c>
      <c r="M49" s="4">
        <v>0</v>
      </c>
      <c r="N49" s="4">
        <v>0</v>
      </c>
      <c r="O49" s="4">
        <v>37743</v>
      </c>
      <c r="P49" s="4">
        <v>4486</v>
      </c>
      <c r="Q49" s="4">
        <v>60144</v>
      </c>
      <c r="R49" s="4">
        <v>67369</v>
      </c>
      <c r="S49" s="4">
        <v>453680</v>
      </c>
      <c r="T49" s="4">
        <v>243398</v>
      </c>
      <c r="U49" s="4">
        <v>210282</v>
      </c>
    </row>
    <row r="50" spans="1:21" x14ac:dyDescent="0.25">
      <c r="A50" s="1" t="s">
        <v>22</v>
      </c>
      <c r="B50" t="s">
        <v>729</v>
      </c>
      <c r="C50" s="1" t="s">
        <v>51</v>
      </c>
      <c r="D50" t="s">
        <v>459</v>
      </c>
      <c r="E50" s="4">
        <v>236975</v>
      </c>
      <c r="F50" s="4">
        <v>181922</v>
      </c>
      <c r="G50" s="4">
        <v>46153</v>
      </c>
      <c r="H50" s="4">
        <v>135769</v>
      </c>
      <c r="I50" s="4">
        <v>55053</v>
      </c>
      <c r="J50">
        <v>0</v>
      </c>
      <c r="K50">
        <v>190822</v>
      </c>
      <c r="L50">
        <v>0</v>
      </c>
      <c r="M50" s="4">
        <v>0</v>
      </c>
      <c r="N50" s="4">
        <v>0</v>
      </c>
      <c r="O50" s="4">
        <v>25104</v>
      </c>
      <c r="P50" s="4">
        <v>2984</v>
      </c>
      <c r="Q50" s="4">
        <v>39200</v>
      </c>
      <c r="R50" s="4">
        <v>43909</v>
      </c>
      <c r="S50" s="4">
        <v>302019</v>
      </c>
      <c r="T50" s="4">
        <v>163857</v>
      </c>
      <c r="U50" s="4">
        <v>138162</v>
      </c>
    </row>
    <row r="51" spans="1:21" x14ac:dyDescent="0.25">
      <c r="A51" s="1" t="s">
        <v>22</v>
      </c>
      <c r="B51" t="s">
        <v>729</v>
      </c>
      <c r="C51" s="1" t="s">
        <v>52</v>
      </c>
      <c r="D51" t="s">
        <v>739</v>
      </c>
      <c r="E51" s="4">
        <v>422018</v>
      </c>
      <c r="F51" s="4">
        <v>323978</v>
      </c>
      <c r="G51" s="4">
        <v>93556</v>
      </c>
      <c r="H51" s="4">
        <v>230422</v>
      </c>
      <c r="I51" s="4">
        <v>98040</v>
      </c>
      <c r="J51">
        <v>0</v>
      </c>
      <c r="K51">
        <v>328462</v>
      </c>
      <c r="L51">
        <v>0</v>
      </c>
      <c r="M51" s="4">
        <v>0</v>
      </c>
      <c r="N51" s="4">
        <v>0</v>
      </c>
      <c r="O51" s="4">
        <v>44707</v>
      </c>
      <c r="P51" s="4">
        <v>5314</v>
      </c>
      <c r="Q51" s="4">
        <v>69897</v>
      </c>
      <c r="R51" s="4">
        <v>78294</v>
      </c>
      <c r="S51" s="4">
        <v>526674</v>
      </c>
      <c r="T51" s="4">
        <v>280443</v>
      </c>
      <c r="U51" s="4">
        <v>246231</v>
      </c>
    </row>
    <row r="52" spans="1:21" x14ac:dyDescent="0.25">
      <c r="A52" s="1" t="s">
        <v>22</v>
      </c>
      <c r="B52" t="s">
        <v>729</v>
      </c>
      <c r="C52" s="1" t="s">
        <v>53</v>
      </c>
      <c r="D52" t="s">
        <v>460</v>
      </c>
      <c r="E52" s="4">
        <v>828517</v>
      </c>
      <c r="F52" s="4">
        <v>636042</v>
      </c>
      <c r="G52" s="4">
        <v>132688</v>
      </c>
      <c r="H52" s="4">
        <v>503354</v>
      </c>
      <c r="I52" s="4">
        <v>192475</v>
      </c>
      <c r="J52">
        <v>0</v>
      </c>
      <c r="K52">
        <v>695829</v>
      </c>
      <c r="L52">
        <v>0</v>
      </c>
      <c r="M52" s="4">
        <v>0</v>
      </c>
      <c r="N52" s="4">
        <v>0</v>
      </c>
      <c r="O52" s="4">
        <v>87769</v>
      </c>
      <c r="P52" s="4">
        <v>10432</v>
      </c>
      <c r="Q52" s="4">
        <v>139170</v>
      </c>
      <c r="R52" s="4">
        <v>155887</v>
      </c>
      <c r="S52" s="4">
        <v>1089087</v>
      </c>
      <c r="T52" s="4">
        <v>601555</v>
      </c>
      <c r="U52" s="4">
        <v>487532</v>
      </c>
    </row>
    <row r="53" spans="1:21" x14ac:dyDescent="0.25">
      <c r="A53" s="1" t="s">
        <v>22</v>
      </c>
      <c r="B53" t="s">
        <v>729</v>
      </c>
      <c r="C53" s="1" t="s">
        <v>54</v>
      </c>
      <c r="D53" t="s">
        <v>461</v>
      </c>
      <c r="E53" s="4">
        <v>442961</v>
      </c>
      <c r="F53" s="4">
        <v>340056</v>
      </c>
      <c r="G53" s="4">
        <v>73552</v>
      </c>
      <c r="H53" s="4">
        <v>266504</v>
      </c>
      <c r="I53" s="4">
        <v>102905</v>
      </c>
      <c r="J53">
        <v>0</v>
      </c>
      <c r="K53">
        <v>369409</v>
      </c>
      <c r="L53">
        <v>0</v>
      </c>
      <c r="M53" s="4">
        <v>0</v>
      </c>
      <c r="N53" s="4">
        <v>0</v>
      </c>
      <c r="O53" s="4">
        <v>46925</v>
      </c>
      <c r="P53" s="4">
        <v>5577</v>
      </c>
      <c r="Q53" s="4">
        <v>73023</v>
      </c>
      <c r="R53" s="4">
        <v>81795</v>
      </c>
      <c r="S53" s="4">
        <v>576729</v>
      </c>
      <c r="T53" s="4">
        <v>319006</v>
      </c>
      <c r="U53" s="4">
        <v>257723</v>
      </c>
    </row>
    <row r="54" spans="1:21" x14ac:dyDescent="0.25">
      <c r="A54" s="1" t="s">
        <v>22</v>
      </c>
      <c r="B54" t="s">
        <v>729</v>
      </c>
      <c r="C54" s="1" t="s">
        <v>55</v>
      </c>
      <c r="D54" t="s">
        <v>462</v>
      </c>
      <c r="E54" s="4">
        <v>993051</v>
      </c>
      <c r="F54" s="4">
        <v>762353</v>
      </c>
      <c r="G54" s="4">
        <v>117168</v>
      </c>
      <c r="H54" s="4">
        <v>645185</v>
      </c>
      <c r="I54" s="4">
        <v>230698</v>
      </c>
      <c r="J54">
        <v>0</v>
      </c>
      <c r="K54">
        <v>875883</v>
      </c>
      <c r="L54">
        <v>0</v>
      </c>
      <c r="M54" s="4">
        <v>0</v>
      </c>
      <c r="N54" s="4">
        <v>0</v>
      </c>
      <c r="O54" s="4">
        <v>105199</v>
      </c>
      <c r="P54" s="4">
        <v>12504</v>
      </c>
      <c r="Q54" s="4">
        <v>168929</v>
      </c>
      <c r="R54" s="4">
        <v>189221</v>
      </c>
      <c r="S54" s="4">
        <v>1351736</v>
      </c>
      <c r="T54" s="4">
        <v>762888</v>
      </c>
      <c r="U54" s="4">
        <v>588848</v>
      </c>
    </row>
    <row r="55" spans="1:21" x14ac:dyDescent="0.25">
      <c r="A55" s="1" t="s">
        <v>22</v>
      </c>
      <c r="B55" t="s">
        <v>729</v>
      </c>
      <c r="C55" s="1" t="s">
        <v>56</v>
      </c>
      <c r="D55" t="s">
        <v>463</v>
      </c>
      <c r="E55" s="4">
        <v>53695</v>
      </c>
      <c r="F55" s="4">
        <v>41221</v>
      </c>
      <c r="G55" s="4">
        <v>13144</v>
      </c>
      <c r="H55" s="4">
        <v>28077</v>
      </c>
      <c r="I55" s="4">
        <v>12474</v>
      </c>
      <c r="J55" s="4">
        <v>9816</v>
      </c>
      <c r="K55">
        <v>50367</v>
      </c>
      <c r="L55">
        <v>0</v>
      </c>
      <c r="M55" s="4">
        <v>0</v>
      </c>
      <c r="N55" s="4">
        <v>0</v>
      </c>
      <c r="O55" s="4">
        <v>5688</v>
      </c>
      <c r="P55" s="4">
        <v>676</v>
      </c>
      <c r="Q55" s="4">
        <v>8565</v>
      </c>
      <c r="R55" s="4">
        <v>9594</v>
      </c>
      <c r="S55" s="4">
        <v>74890</v>
      </c>
      <c r="T55" s="4">
        <v>34441</v>
      </c>
      <c r="U55" s="4">
        <v>40449</v>
      </c>
    </row>
    <row r="56" spans="1:21" x14ac:dyDescent="0.25">
      <c r="A56" s="1" t="s">
        <v>22</v>
      </c>
      <c r="B56" t="s">
        <v>729</v>
      </c>
      <c r="C56" s="1" t="s">
        <v>57</v>
      </c>
      <c r="D56" t="s">
        <v>464</v>
      </c>
      <c r="E56" s="4">
        <v>66130</v>
      </c>
      <c r="F56" s="4">
        <v>50767</v>
      </c>
      <c r="G56" s="4">
        <v>15146</v>
      </c>
      <c r="H56" s="4">
        <v>35621</v>
      </c>
      <c r="I56" s="4">
        <v>15363</v>
      </c>
      <c r="J56">
        <v>0</v>
      </c>
      <c r="K56">
        <v>50984</v>
      </c>
      <c r="L56">
        <v>0</v>
      </c>
      <c r="M56" s="4">
        <v>0</v>
      </c>
      <c r="N56" s="4">
        <v>0</v>
      </c>
      <c r="O56" s="4">
        <v>7005</v>
      </c>
      <c r="P56" s="4">
        <v>833</v>
      </c>
      <c r="Q56" s="4">
        <v>11004</v>
      </c>
      <c r="R56" s="4">
        <v>12325</v>
      </c>
      <c r="S56" s="4">
        <v>82151</v>
      </c>
      <c r="T56" s="4">
        <v>43459</v>
      </c>
      <c r="U56" s="4">
        <v>38692</v>
      </c>
    </row>
    <row r="57" spans="1:21" x14ac:dyDescent="0.25">
      <c r="A57" s="1" t="s">
        <v>22</v>
      </c>
      <c r="B57" t="s">
        <v>729</v>
      </c>
      <c r="C57" s="1" t="s">
        <v>58</v>
      </c>
      <c r="D57" t="s">
        <v>465</v>
      </c>
      <c r="E57" s="4">
        <v>659928</v>
      </c>
      <c r="F57" s="4">
        <v>506619</v>
      </c>
      <c r="G57" s="4">
        <v>123421</v>
      </c>
      <c r="H57" s="4">
        <v>383198</v>
      </c>
      <c r="I57" s="4">
        <v>153309</v>
      </c>
      <c r="J57">
        <v>0</v>
      </c>
      <c r="K57">
        <v>536507</v>
      </c>
      <c r="L57">
        <v>0</v>
      </c>
      <c r="M57" s="4">
        <v>0</v>
      </c>
      <c r="N57" s="4">
        <v>0</v>
      </c>
      <c r="O57" s="4">
        <v>69910</v>
      </c>
      <c r="P57" s="4">
        <v>8309</v>
      </c>
      <c r="Q57" s="4">
        <v>113724</v>
      </c>
      <c r="R57" s="4">
        <v>127385</v>
      </c>
      <c r="S57" s="4">
        <v>855835</v>
      </c>
      <c r="T57" s="4">
        <v>461417</v>
      </c>
      <c r="U57" s="4">
        <v>394418</v>
      </c>
    </row>
    <row r="58" spans="1:21" x14ac:dyDescent="0.25">
      <c r="A58" s="1" t="s">
        <v>22</v>
      </c>
      <c r="B58" t="s">
        <v>729</v>
      </c>
      <c r="C58" s="1" t="s">
        <v>59</v>
      </c>
      <c r="D58" t="s">
        <v>466</v>
      </c>
      <c r="E58" s="4">
        <v>123144</v>
      </c>
      <c r="F58" s="4">
        <v>94536</v>
      </c>
      <c r="G58" s="4">
        <v>25688</v>
      </c>
      <c r="H58" s="4">
        <v>68848</v>
      </c>
      <c r="I58" s="4">
        <v>28608</v>
      </c>
      <c r="J58">
        <v>0</v>
      </c>
      <c r="K58">
        <v>97456</v>
      </c>
      <c r="L58">
        <v>0</v>
      </c>
      <c r="M58" s="4">
        <v>0</v>
      </c>
      <c r="N58" s="4">
        <v>0</v>
      </c>
      <c r="O58" s="4">
        <v>13045</v>
      </c>
      <c r="P58" s="4">
        <v>1551</v>
      </c>
      <c r="Q58" s="4">
        <v>22195</v>
      </c>
      <c r="R58" s="4">
        <v>24861</v>
      </c>
      <c r="S58" s="4">
        <v>159108</v>
      </c>
      <c r="T58" s="4">
        <v>83444</v>
      </c>
      <c r="U58" s="4">
        <v>75664</v>
      </c>
    </row>
    <row r="59" spans="1:21" x14ac:dyDescent="0.25">
      <c r="A59" s="1" t="s">
        <v>60</v>
      </c>
      <c r="B59" t="s">
        <v>730</v>
      </c>
      <c r="C59" s="1" t="s">
        <v>61</v>
      </c>
      <c r="D59" t="s">
        <v>62</v>
      </c>
      <c r="E59" s="4">
        <v>267538</v>
      </c>
      <c r="F59" s="4">
        <v>209423</v>
      </c>
      <c r="G59" s="4">
        <v>54162</v>
      </c>
      <c r="H59" s="4">
        <v>155261</v>
      </c>
      <c r="I59" s="4">
        <v>58115</v>
      </c>
      <c r="J59">
        <v>0</v>
      </c>
      <c r="K59">
        <v>213376</v>
      </c>
      <c r="L59">
        <v>264</v>
      </c>
      <c r="M59" s="4">
        <v>73</v>
      </c>
      <c r="N59" s="4">
        <v>337</v>
      </c>
      <c r="O59" s="4">
        <v>33079</v>
      </c>
      <c r="P59" s="4">
        <v>3808</v>
      </c>
      <c r="Q59" s="4">
        <v>43854</v>
      </c>
      <c r="R59" s="4">
        <v>48894</v>
      </c>
      <c r="S59" s="4">
        <v>343348</v>
      </c>
      <c r="T59" s="4">
        <v>192412</v>
      </c>
      <c r="U59" s="4">
        <v>150936</v>
      </c>
    </row>
    <row r="60" spans="1:21" x14ac:dyDescent="0.25">
      <c r="A60" s="1" t="s">
        <v>60</v>
      </c>
      <c r="B60" t="s">
        <v>730</v>
      </c>
      <c r="C60" s="1" t="s">
        <v>63</v>
      </c>
      <c r="D60" t="s">
        <v>467</v>
      </c>
      <c r="E60" s="4">
        <v>98827</v>
      </c>
      <c r="F60" s="4">
        <v>77360</v>
      </c>
      <c r="G60" s="4">
        <v>19566</v>
      </c>
      <c r="H60" s="4">
        <v>57794</v>
      </c>
      <c r="I60" s="4">
        <v>21467</v>
      </c>
      <c r="J60" s="4">
        <v>1128</v>
      </c>
      <c r="K60">
        <v>80389</v>
      </c>
      <c r="L60">
        <v>98</v>
      </c>
      <c r="M60" s="4">
        <v>27</v>
      </c>
      <c r="N60" s="4">
        <v>125</v>
      </c>
      <c r="O60" s="4">
        <v>12420</v>
      </c>
      <c r="P60" s="4">
        <v>1428</v>
      </c>
      <c r="Q60" s="4">
        <v>17117</v>
      </c>
      <c r="R60" s="4">
        <v>19084</v>
      </c>
      <c r="S60" s="4">
        <v>130563</v>
      </c>
      <c r="T60" s="4">
        <v>71740</v>
      </c>
      <c r="U60" s="4">
        <v>58823</v>
      </c>
    </row>
    <row r="61" spans="1:21" x14ac:dyDescent="0.25">
      <c r="A61" s="1" t="s">
        <v>60</v>
      </c>
      <c r="B61" t="s">
        <v>730</v>
      </c>
      <c r="C61" s="1" t="s">
        <v>64</v>
      </c>
      <c r="D61" t="s">
        <v>468</v>
      </c>
      <c r="E61" s="4">
        <v>313247</v>
      </c>
      <c r="F61" s="4">
        <v>245203</v>
      </c>
      <c r="G61" s="4">
        <v>51322</v>
      </c>
      <c r="H61" s="4">
        <v>193881</v>
      </c>
      <c r="I61" s="4">
        <v>68044</v>
      </c>
      <c r="J61">
        <v>0</v>
      </c>
      <c r="K61">
        <v>261925</v>
      </c>
      <c r="L61">
        <v>309</v>
      </c>
      <c r="M61" s="4">
        <v>86</v>
      </c>
      <c r="N61" s="4">
        <v>395</v>
      </c>
      <c r="O61" s="4">
        <v>38731</v>
      </c>
      <c r="P61" s="4">
        <v>4458</v>
      </c>
      <c r="Q61" s="4">
        <v>51850</v>
      </c>
      <c r="R61" s="4">
        <v>57810</v>
      </c>
      <c r="S61" s="4">
        <v>415169</v>
      </c>
      <c r="T61" s="4">
        <v>237379</v>
      </c>
      <c r="U61" s="4">
        <v>177790</v>
      </c>
    </row>
    <row r="62" spans="1:21" x14ac:dyDescent="0.25">
      <c r="A62" s="1" t="s">
        <v>60</v>
      </c>
      <c r="B62" t="s">
        <v>730</v>
      </c>
      <c r="C62" s="1" t="s">
        <v>65</v>
      </c>
      <c r="D62" t="s">
        <v>66</v>
      </c>
      <c r="E62" s="4">
        <v>178222</v>
      </c>
      <c r="F62" s="4">
        <v>139508</v>
      </c>
      <c r="G62" s="4">
        <v>39085</v>
      </c>
      <c r="H62" s="4">
        <v>100423</v>
      </c>
      <c r="I62" s="4">
        <v>38714</v>
      </c>
      <c r="J62" s="4">
        <v>8290</v>
      </c>
      <c r="K62">
        <v>147427</v>
      </c>
      <c r="L62">
        <v>177</v>
      </c>
      <c r="M62" s="4">
        <v>49</v>
      </c>
      <c r="N62" s="4">
        <v>226</v>
      </c>
      <c r="O62" s="4">
        <v>22766</v>
      </c>
      <c r="P62" s="4">
        <v>2618</v>
      </c>
      <c r="Q62" s="4">
        <v>29049</v>
      </c>
      <c r="R62" s="4">
        <v>32387</v>
      </c>
      <c r="S62" s="4">
        <v>234473</v>
      </c>
      <c r="T62" s="4">
        <v>125984</v>
      </c>
      <c r="U62" s="4">
        <v>108489</v>
      </c>
    </row>
    <row r="63" spans="1:21" x14ac:dyDescent="0.25">
      <c r="A63" s="1" t="s">
        <v>60</v>
      </c>
      <c r="B63" t="s">
        <v>730</v>
      </c>
      <c r="C63" s="1" t="s">
        <v>67</v>
      </c>
      <c r="D63" t="s">
        <v>469</v>
      </c>
      <c r="E63" s="4">
        <v>281585</v>
      </c>
      <c r="F63" s="4">
        <v>220419</v>
      </c>
      <c r="G63" s="4">
        <v>51745</v>
      </c>
      <c r="H63" s="4">
        <v>168674</v>
      </c>
      <c r="I63" s="4">
        <v>61166</v>
      </c>
      <c r="J63">
        <v>0</v>
      </c>
      <c r="K63">
        <v>229840</v>
      </c>
      <c r="L63">
        <v>277</v>
      </c>
      <c r="M63" s="4">
        <v>77</v>
      </c>
      <c r="N63" s="4">
        <v>354</v>
      </c>
      <c r="O63" s="4">
        <v>34816</v>
      </c>
      <c r="P63" s="4">
        <v>4008</v>
      </c>
      <c r="Q63" s="4">
        <v>46228</v>
      </c>
      <c r="R63" s="4">
        <v>51541</v>
      </c>
      <c r="S63" s="4">
        <v>366787</v>
      </c>
      <c r="T63" s="4">
        <v>207775</v>
      </c>
      <c r="U63" s="4">
        <v>159012</v>
      </c>
    </row>
    <row r="64" spans="1:21" x14ac:dyDescent="0.25">
      <c r="A64" s="1" t="s">
        <v>60</v>
      </c>
      <c r="B64" t="s">
        <v>730</v>
      </c>
      <c r="C64" s="1" t="s">
        <v>68</v>
      </c>
      <c r="D64" t="s">
        <v>470</v>
      </c>
      <c r="E64" s="4">
        <v>197901</v>
      </c>
      <c r="F64" s="4">
        <v>154913</v>
      </c>
      <c r="G64" s="4">
        <v>38612</v>
      </c>
      <c r="H64" s="4">
        <v>116301</v>
      </c>
      <c r="I64" s="4">
        <v>42988</v>
      </c>
      <c r="J64">
        <v>0</v>
      </c>
      <c r="K64">
        <v>159289</v>
      </c>
      <c r="L64">
        <v>195</v>
      </c>
      <c r="M64" s="4">
        <v>55</v>
      </c>
      <c r="N64" s="4">
        <v>250</v>
      </c>
      <c r="O64" s="4">
        <v>24469</v>
      </c>
      <c r="P64" s="4">
        <v>2817</v>
      </c>
      <c r="Q64" s="4">
        <v>32172</v>
      </c>
      <c r="R64" s="4">
        <v>35870</v>
      </c>
      <c r="S64" s="4">
        <v>254867</v>
      </c>
      <c r="T64" s="4">
        <v>143782</v>
      </c>
      <c r="U64" s="4">
        <v>111085</v>
      </c>
    </row>
    <row r="65" spans="1:21" x14ac:dyDescent="0.25">
      <c r="A65" s="1" t="s">
        <v>60</v>
      </c>
      <c r="B65" t="s">
        <v>730</v>
      </c>
      <c r="C65" s="1" t="s">
        <v>69</v>
      </c>
      <c r="D65" t="s">
        <v>70</v>
      </c>
      <c r="E65" s="4">
        <v>107640</v>
      </c>
      <c r="F65" s="4">
        <v>84258</v>
      </c>
      <c r="G65" s="4">
        <v>18545</v>
      </c>
      <c r="H65" s="4">
        <v>65713</v>
      </c>
      <c r="I65" s="4">
        <v>23382</v>
      </c>
      <c r="J65">
        <v>0</v>
      </c>
      <c r="K65">
        <v>89095</v>
      </c>
      <c r="L65">
        <v>106</v>
      </c>
      <c r="M65" s="4">
        <v>29</v>
      </c>
      <c r="N65" s="4">
        <v>135</v>
      </c>
      <c r="O65" s="4">
        <v>13309</v>
      </c>
      <c r="P65" s="4">
        <v>1532</v>
      </c>
      <c r="Q65" s="4">
        <v>18304</v>
      </c>
      <c r="R65" s="4">
        <v>20407</v>
      </c>
      <c r="S65" s="4">
        <v>142782</v>
      </c>
      <c r="T65" s="4">
        <v>80660</v>
      </c>
      <c r="U65" s="4">
        <v>62122</v>
      </c>
    </row>
    <row r="66" spans="1:21" x14ac:dyDescent="0.25">
      <c r="A66" s="1" t="s">
        <v>60</v>
      </c>
      <c r="B66" t="s">
        <v>730</v>
      </c>
      <c r="C66" s="1" t="s">
        <v>71</v>
      </c>
      <c r="D66" t="s">
        <v>471</v>
      </c>
      <c r="E66" s="4">
        <v>2118799</v>
      </c>
      <c r="F66" s="4">
        <v>1658551</v>
      </c>
      <c r="G66" s="4">
        <v>260052</v>
      </c>
      <c r="H66" s="4">
        <v>1398499</v>
      </c>
      <c r="I66" s="4">
        <v>460248</v>
      </c>
      <c r="J66" s="4">
        <v>0</v>
      </c>
      <c r="K66" s="4">
        <v>1858747</v>
      </c>
      <c r="L66" s="4">
        <v>2088</v>
      </c>
      <c r="M66" s="4">
        <v>580</v>
      </c>
      <c r="N66" s="4">
        <v>2668</v>
      </c>
      <c r="O66" s="4">
        <v>261976</v>
      </c>
      <c r="P66" s="4">
        <v>30155</v>
      </c>
      <c r="Q66" s="4">
        <v>363888</v>
      </c>
      <c r="R66" s="4">
        <v>405711</v>
      </c>
      <c r="S66" s="4">
        <v>2923145</v>
      </c>
      <c r="T66" s="4">
        <v>1692718</v>
      </c>
      <c r="U66" s="4">
        <v>1230427</v>
      </c>
    </row>
    <row r="67" spans="1:21" x14ac:dyDescent="0.25">
      <c r="A67" s="1" t="s">
        <v>60</v>
      </c>
      <c r="B67" t="s">
        <v>730</v>
      </c>
      <c r="C67" s="1" t="s">
        <v>72</v>
      </c>
      <c r="D67" t="s">
        <v>472</v>
      </c>
      <c r="E67" s="4">
        <v>309635</v>
      </c>
      <c r="F67" s="4">
        <v>242376</v>
      </c>
      <c r="G67" s="4">
        <v>60890</v>
      </c>
      <c r="H67" s="4">
        <v>181486</v>
      </c>
      <c r="I67" s="4">
        <v>67259</v>
      </c>
      <c r="J67">
        <v>0</v>
      </c>
      <c r="K67">
        <v>248745</v>
      </c>
      <c r="L67">
        <v>306</v>
      </c>
      <c r="M67" s="4">
        <v>85</v>
      </c>
      <c r="N67" s="4">
        <v>391</v>
      </c>
      <c r="O67" s="4">
        <v>38284</v>
      </c>
      <c r="P67" s="4">
        <v>4407</v>
      </c>
      <c r="Q67" s="4">
        <v>52287</v>
      </c>
      <c r="R67" s="4">
        <v>58297</v>
      </c>
      <c r="S67" s="4">
        <v>402411</v>
      </c>
      <c r="T67" s="4">
        <v>224483</v>
      </c>
      <c r="U67" s="4">
        <v>177928</v>
      </c>
    </row>
    <row r="68" spans="1:21" x14ac:dyDescent="0.25">
      <c r="A68" s="1" t="s">
        <v>60</v>
      </c>
      <c r="B68" t="s">
        <v>730</v>
      </c>
      <c r="C68" s="1" t="s">
        <v>73</v>
      </c>
      <c r="D68" t="s">
        <v>473</v>
      </c>
      <c r="E68" s="4">
        <v>607243</v>
      </c>
      <c r="F68" s="4">
        <v>475337</v>
      </c>
      <c r="G68" s="4">
        <v>108953</v>
      </c>
      <c r="H68" s="4">
        <v>366384</v>
      </c>
      <c r="I68" s="4">
        <v>131906</v>
      </c>
      <c r="J68">
        <v>0</v>
      </c>
      <c r="K68">
        <v>498290</v>
      </c>
      <c r="L68">
        <v>599</v>
      </c>
      <c r="M68" s="4">
        <v>167</v>
      </c>
      <c r="N68" s="4">
        <v>766</v>
      </c>
      <c r="O68" s="4">
        <v>75082</v>
      </c>
      <c r="P68" s="4">
        <v>8642</v>
      </c>
      <c r="Q68" s="4">
        <v>102888</v>
      </c>
      <c r="R68" s="4">
        <v>114714</v>
      </c>
      <c r="S68" s="4">
        <v>800382</v>
      </c>
      <c r="T68" s="4">
        <v>450708</v>
      </c>
      <c r="U68" s="4">
        <v>349674</v>
      </c>
    </row>
    <row r="69" spans="1:21" x14ac:dyDescent="0.25">
      <c r="A69" s="1" t="s">
        <v>60</v>
      </c>
      <c r="B69" t="s">
        <v>730</v>
      </c>
      <c r="C69" s="1" t="s">
        <v>74</v>
      </c>
      <c r="D69" t="s">
        <v>474</v>
      </c>
      <c r="E69" s="4">
        <v>114719</v>
      </c>
      <c r="F69" s="4">
        <v>89800</v>
      </c>
      <c r="G69" s="4">
        <v>24283</v>
      </c>
      <c r="H69" s="4">
        <v>65517</v>
      </c>
      <c r="I69" s="4">
        <v>24919</v>
      </c>
      <c r="J69" s="4">
        <v>3075</v>
      </c>
      <c r="K69">
        <v>93511</v>
      </c>
      <c r="L69">
        <v>114</v>
      </c>
      <c r="M69" s="4">
        <v>31</v>
      </c>
      <c r="N69" s="4">
        <v>145</v>
      </c>
      <c r="O69" s="4">
        <v>14184</v>
      </c>
      <c r="P69" s="4">
        <v>1633</v>
      </c>
      <c r="Q69" s="4">
        <v>18179</v>
      </c>
      <c r="R69" s="4">
        <v>20268</v>
      </c>
      <c r="S69" s="4">
        <v>147920</v>
      </c>
      <c r="T69" s="4">
        <v>81447</v>
      </c>
      <c r="U69" s="4">
        <v>66473</v>
      </c>
    </row>
    <row r="70" spans="1:21" x14ac:dyDescent="0.25">
      <c r="A70" s="1" t="s">
        <v>60</v>
      </c>
      <c r="B70" t="s">
        <v>730</v>
      </c>
      <c r="C70" s="1" t="s">
        <v>75</v>
      </c>
      <c r="D70" t="s">
        <v>475</v>
      </c>
      <c r="E70" s="4">
        <v>444603</v>
      </c>
      <c r="F70" s="4">
        <v>348026</v>
      </c>
      <c r="G70" s="4">
        <v>91771</v>
      </c>
      <c r="H70" s="4">
        <v>256255</v>
      </c>
      <c r="I70" s="4">
        <v>96577</v>
      </c>
      <c r="J70" s="4">
        <v>10822</v>
      </c>
      <c r="K70">
        <v>363654</v>
      </c>
      <c r="L70">
        <v>438</v>
      </c>
      <c r="M70" s="4">
        <v>122</v>
      </c>
      <c r="N70" s="4">
        <v>560</v>
      </c>
      <c r="O70" s="4">
        <v>54972</v>
      </c>
      <c r="P70" s="4">
        <v>6328</v>
      </c>
      <c r="Q70" s="4">
        <v>77088</v>
      </c>
      <c r="R70" s="4">
        <v>85948</v>
      </c>
      <c r="S70" s="4">
        <v>588550</v>
      </c>
      <c r="T70" s="4">
        <v>317993</v>
      </c>
      <c r="U70" s="4">
        <v>270557</v>
      </c>
    </row>
    <row r="71" spans="1:21" x14ac:dyDescent="0.25">
      <c r="A71" s="1" t="s">
        <v>60</v>
      </c>
      <c r="B71" t="s">
        <v>730</v>
      </c>
      <c r="C71" s="1" t="s">
        <v>76</v>
      </c>
      <c r="D71" t="s">
        <v>476</v>
      </c>
      <c r="E71" s="4">
        <v>318758</v>
      </c>
      <c r="F71" s="4">
        <v>249517</v>
      </c>
      <c r="G71" s="4">
        <v>43052</v>
      </c>
      <c r="H71" s="4">
        <v>206465</v>
      </c>
      <c r="I71" s="4">
        <v>69241</v>
      </c>
      <c r="J71">
        <v>0</v>
      </c>
      <c r="K71">
        <v>275706</v>
      </c>
      <c r="L71">
        <v>314</v>
      </c>
      <c r="M71" s="4">
        <v>87</v>
      </c>
      <c r="N71" s="4">
        <v>401</v>
      </c>
      <c r="O71" s="4">
        <v>39412</v>
      </c>
      <c r="P71" s="4">
        <v>4537</v>
      </c>
      <c r="Q71" s="4">
        <v>54474</v>
      </c>
      <c r="R71" s="4">
        <v>60735</v>
      </c>
      <c r="S71" s="4">
        <v>435265</v>
      </c>
      <c r="T71" s="4">
        <v>250728</v>
      </c>
      <c r="U71" s="4">
        <v>184537</v>
      </c>
    </row>
    <row r="72" spans="1:21" x14ac:dyDescent="0.25">
      <c r="A72" s="1" t="s">
        <v>60</v>
      </c>
      <c r="B72" t="s">
        <v>730</v>
      </c>
      <c r="C72" s="1" t="s">
        <v>77</v>
      </c>
      <c r="D72" t="s">
        <v>477</v>
      </c>
      <c r="E72" s="4">
        <v>332801</v>
      </c>
      <c r="F72" s="4">
        <v>260510</v>
      </c>
      <c r="G72" s="4">
        <v>47622</v>
      </c>
      <c r="H72" s="4">
        <v>212888</v>
      </c>
      <c r="I72" s="4">
        <v>72291</v>
      </c>
      <c r="J72">
        <v>0</v>
      </c>
      <c r="K72">
        <v>285179</v>
      </c>
      <c r="L72">
        <v>327</v>
      </c>
      <c r="M72" s="4">
        <v>91</v>
      </c>
      <c r="N72" s="4">
        <v>418</v>
      </c>
      <c r="O72" s="4">
        <v>41149</v>
      </c>
      <c r="P72" s="4">
        <v>4737</v>
      </c>
      <c r="Q72" s="4">
        <v>55536</v>
      </c>
      <c r="R72" s="4">
        <v>61919</v>
      </c>
      <c r="S72" s="4">
        <v>448938</v>
      </c>
      <c r="T72" s="4">
        <v>259101</v>
      </c>
      <c r="U72" s="4">
        <v>189837</v>
      </c>
    </row>
    <row r="73" spans="1:21" x14ac:dyDescent="0.25">
      <c r="A73" s="1" t="s">
        <v>60</v>
      </c>
      <c r="B73" t="s">
        <v>730</v>
      </c>
      <c r="C73" s="1" t="s">
        <v>78</v>
      </c>
      <c r="D73" t="s">
        <v>478</v>
      </c>
      <c r="E73" s="4">
        <v>141707</v>
      </c>
      <c r="F73" s="4">
        <v>110925</v>
      </c>
      <c r="G73" s="4">
        <v>30148</v>
      </c>
      <c r="H73" s="4">
        <v>80777</v>
      </c>
      <c r="I73" s="4">
        <v>30782</v>
      </c>
      <c r="J73" s="4">
        <v>11975</v>
      </c>
      <c r="K73">
        <v>123534</v>
      </c>
      <c r="L73">
        <v>140</v>
      </c>
      <c r="M73" s="4">
        <v>39</v>
      </c>
      <c r="N73" s="4">
        <v>179</v>
      </c>
      <c r="O73" s="4">
        <v>17521</v>
      </c>
      <c r="P73" s="4">
        <v>2017</v>
      </c>
      <c r="Q73" s="4">
        <v>23864</v>
      </c>
      <c r="R73" s="4">
        <v>26606</v>
      </c>
      <c r="S73" s="4">
        <v>193721</v>
      </c>
      <c r="T73" s="4">
        <v>100455</v>
      </c>
      <c r="U73" s="4">
        <v>93266</v>
      </c>
    </row>
    <row r="74" spans="1:21" x14ac:dyDescent="0.25">
      <c r="A74" s="1" t="s">
        <v>60</v>
      </c>
      <c r="B74" t="s">
        <v>730</v>
      </c>
      <c r="C74" s="1" t="s">
        <v>79</v>
      </c>
      <c r="D74" t="s">
        <v>479</v>
      </c>
      <c r="E74" s="4">
        <v>214760</v>
      </c>
      <c r="F74" s="4">
        <v>168110</v>
      </c>
      <c r="G74" s="4">
        <v>37860</v>
      </c>
      <c r="H74" s="4">
        <v>130250</v>
      </c>
      <c r="I74" s="4">
        <v>46650</v>
      </c>
      <c r="J74">
        <v>0</v>
      </c>
      <c r="K74">
        <v>176900</v>
      </c>
      <c r="L74">
        <v>211</v>
      </c>
      <c r="M74" s="4">
        <v>59</v>
      </c>
      <c r="N74" s="4">
        <v>270</v>
      </c>
      <c r="O74" s="4">
        <v>26554</v>
      </c>
      <c r="P74" s="4">
        <v>3057</v>
      </c>
      <c r="Q74" s="4">
        <v>34109</v>
      </c>
      <c r="R74" s="4">
        <v>38029</v>
      </c>
      <c r="S74" s="4">
        <v>278919</v>
      </c>
      <c r="T74" s="4">
        <v>160072</v>
      </c>
      <c r="U74" s="4">
        <v>118847</v>
      </c>
    </row>
    <row r="75" spans="1:21" x14ac:dyDescent="0.25">
      <c r="A75" s="1" t="s">
        <v>60</v>
      </c>
      <c r="B75" t="s">
        <v>730</v>
      </c>
      <c r="C75" s="1" t="s">
        <v>80</v>
      </c>
      <c r="D75" t="s">
        <v>480</v>
      </c>
      <c r="E75" s="4">
        <v>197284</v>
      </c>
      <c r="F75" s="4">
        <v>154429</v>
      </c>
      <c r="G75" s="4">
        <v>48097</v>
      </c>
      <c r="H75" s="4">
        <v>106332</v>
      </c>
      <c r="I75" s="4">
        <v>42855</v>
      </c>
      <c r="J75" s="4">
        <v>18319</v>
      </c>
      <c r="K75">
        <v>167506</v>
      </c>
      <c r="L75">
        <v>195</v>
      </c>
      <c r="M75" s="4">
        <v>55</v>
      </c>
      <c r="N75" s="4">
        <v>250</v>
      </c>
      <c r="O75" s="4">
        <v>25615</v>
      </c>
      <c r="P75" s="4">
        <v>2945</v>
      </c>
      <c r="Q75" s="4">
        <v>33359</v>
      </c>
      <c r="R75" s="4">
        <v>37193</v>
      </c>
      <c r="S75" s="4">
        <v>266868</v>
      </c>
      <c r="T75" s="4">
        <v>135088</v>
      </c>
      <c r="U75" s="4">
        <v>131780</v>
      </c>
    </row>
    <row r="76" spans="1:21" x14ac:dyDescent="0.25">
      <c r="A76" s="1" t="s">
        <v>60</v>
      </c>
      <c r="B76" t="s">
        <v>730</v>
      </c>
      <c r="C76" s="1" t="s">
        <v>81</v>
      </c>
      <c r="D76" t="s">
        <v>481</v>
      </c>
      <c r="E76" s="4">
        <v>231866</v>
      </c>
      <c r="F76" s="4">
        <v>181500</v>
      </c>
      <c r="G76" s="4">
        <v>41102</v>
      </c>
      <c r="H76" s="4">
        <v>140398</v>
      </c>
      <c r="I76" s="4">
        <v>50366</v>
      </c>
      <c r="J76" s="4">
        <v>3635</v>
      </c>
      <c r="K76">
        <v>194399</v>
      </c>
      <c r="L76">
        <v>230</v>
      </c>
      <c r="M76" s="4">
        <v>63</v>
      </c>
      <c r="N76" s="4">
        <v>293</v>
      </c>
      <c r="O76" s="4">
        <v>28669</v>
      </c>
      <c r="P76" s="4">
        <v>3300</v>
      </c>
      <c r="Q76" s="4">
        <v>35233</v>
      </c>
      <c r="R76" s="4">
        <v>39283</v>
      </c>
      <c r="S76" s="4">
        <v>301177</v>
      </c>
      <c r="T76" s="4">
        <v>172597</v>
      </c>
      <c r="U76" s="4">
        <v>128580</v>
      </c>
    </row>
    <row r="77" spans="1:21" x14ac:dyDescent="0.25">
      <c r="A77" s="1" t="s">
        <v>60</v>
      </c>
      <c r="B77" t="s">
        <v>730</v>
      </c>
      <c r="C77" s="1" t="s">
        <v>82</v>
      </c>
      <c r="D77" t="s">
        <v>482</v>
      </c>
      <c r="E77" s="4">
        <v>407201</v>
      </c>
      <c r="F77" s="4">
        <v>318748</v>
      </c>
      <c r="G77" s="4">
        <v>96540</v>
      </c>
      <c r="H77" s="4">
        <v>222208</v>
      </c>
      <c r="I77" s="4">
        <v>88453</v>
      </c>
      <c r="J77" s="4">
        <v>13568</v>
      </c>
      <c r="K77">
        <v>324229</v>
      </c>
      <c r="L77">
        <v>401</v>
      </c>
      <c r="M77" s="4">
        <v>112</v>
      </c>
      <c r="N77" s="4">
        <v>513</v>
      </c>
      <c r="O77" s="4">
        <v>50348</v>
      </c>
      <c r="P77" s="4">
        <v>5795</v>
      </c>
      <c r="Q77" s="4">
        <v>67842</v>
      </c>
      <c r="R77" s="4">
        <v>75640</v>
      </c>
      <c r="S77" s="4">
        <v>524367</v>
      </c>
      <c r="T77" s="4">
        <v>278753</v>
      </c>
      <c r="U77" s="4">
        <v>245614</v>
      </c>
    </row>
    <row r="78" spans="1:21" x14ac:dyDescent="0.25">
      <c r="A78" s="1" t="s">
        <v>60</v>
      </c>
      <c r="B78" t="s">
        <v>730</v>
      </c>
      <c r="C78" s="1" t="s">
        <v>85</v>
      </c>
      <c r="D78" t="s">
        <v>86</v>
      </c>
      <c r="E78" s="4">
        <v>95104</v>
      </c>
      <c r="F78" s="4">
        <v>74445</v>
      </c>
      <c r="G78" s="4">
        <v>22863</v>
      </c>
      <c r="H78" s="4">
        <v>51582</v>
      </c>
      <c r="I78" s="4">
        <v>20659</v>
      </c>
      <c r="J78" s="4">
        <v>10271</v>
      </c>
      <c r="K78">
        <v>82512</v>
      </c>
      <c r="L78">
        <v>95</v>
      </c>
      <c r="M78" s="4">
        <v>26</v>
      </c>
      <c r="N78" s="4">
        <v>121</v>
      </c>
      <c r="O78" s="4">
        <v>11759</v>
      </c>
      <c r="P78" s="4">
        <v>1354</v>
      </c>
      <c r="Q78" s="4">
        <v>15992</v>
      </c>
      <c r="R78" s="4">
        <v>17830</v>
      </c>
      <c r="S78" s="4">
        <v>129568</v>
      </c>
      <c r="T78" s="4">
        <v>64790</v>
      </c>
      <c r="U78" s="4">
        <v>64778</v>
      </c>
    </row>
    <row r="79" spans="1:21" x14ac:dyDescent="0.25">
      <c r="A79" s="1" t="s">
        <v>60</v>
      </c>
      <c r="B79" t="s">
        <v>730</v>
      </c>
      <c r="C79" s="1" t="s">
        <v>83</v>
      </c>
      <c r="D79" t="s">
        <v>483</v>
      </c>
      <c r="E79" s="4">
        <v>318164</v>
      </c>
      <c r="F79" s="4">
        <v>249052</v>
      </c>
      <c r="G79" s="4">
        <v>65277</v>
      </c>
      <c r="H79" s="4">
        <v>183775</v>
      </c>
      <c r="I79" s="4">
        <v>69112</v>
      </c>
      <c r="J79" s="4">
        <v>17986</v>
      </c>
      <c r="K79">
        <v>270873</v>
      </c>
      <c r="L79">
        <v>314</v>
      </c>
      <c r="M79" s="4">
        <v>87</v>
      </c>
      <c r="N79" s="4">
        <v>401</v>
      </c>
      <c r="O79" s="4">
        <v>39339</v>
      </c>
      <c r="P79" s="4">
        <v>4528</v>
      </c>
      <c r="Q79" s="4">
        <v>55161</v>
      </c>
      <c r="R79" s="4">
        <v>61501</v>
      </c>
      <c r="S79" s="4">
        <v>431803</v>
      </c>
      <c r="T79" s="4">
        <v>227956</v>
      </c>
      <c r="U79" s="4">
        <v>203847</v>
      </c>
    </row>
    <row r="80" spans="1:21" x14ac:dyDescent="0.25">
      <c r="A80" s="1" t="s">
        <v>60</v>
      </c>
      <c r="B80" t="s">
        <v>730</v>
      </c>
      <c r="C80" s="1" t="s">
        <v>84</v>
      </c>
      <c r="D80" t="s">
        <v>484</v>
      </c>
      <c r="E80" s="4">
        <v>237913</v>
      </c>
      <c r="F80" s="4">
        <v>186234</v>
      </c>
      <c r="G80" s="4">
        <v>50217</v>
      </c>
      <c r="H80" s="4">
        <v>136017</v>
      </c>
      <c r="I80" s="4">
        <v>51679</v>
      </c>
      <c r="J80">
        <v>0</v>
      </c>
      <c r="K80">
        <v>187696</v>
      </c>
      <c r="L80">
        <v>235</v>
      </c>
      <c r="M80" s="4">
        <v>65</v>
      </c>
      <c r="N80" s="4">
        <v>300</v>
      </c>
      <c r="O80" s="4">
        <v>29416</v>
      </c>
      <c r="P80" s="4">
        <v>3386</v>
      </c>
      <c r="Q80" s="4">
        <v>38856</v>
      </c>
      <c r="R80" s="4">
        <v>43322</v>
      </c>
      <c r="S80" s="4">
        <v>302976</v>
      </c>
      <c r="T80" s="4">
        <v>169053</v>
      </c>
      <c r="U80" s="4">
        <v>133923</v>
      </c>
    </row>
    <row r="81" spans="1:21" x14ac:dyDescent="0.25">
      <c r="A81" s="1" t="s">
        <v>60</v>
      </c>
      <c r="B81" t="s">
        <v>730</v>
      </c>
      <c r="C81" s="1" t="s">
        <v>87</v>
      </c>
      <c r="D81" t="s">
        <v>485</v>
      </c>
      <c r="E81" s="4">
        <v>585416</v>
      </c>
      <c r="F81" s="4">
        <v>458251</v>
      </c>
      <c r="G81" s="4">
        <v>107756</v>
      </c>
      <c r="H81" s="4">
        <v>350495</v>
      </c>
      <c r="I81" s="4">
        <v>127165</v>
      </c>
      <c r="J81">
        <v>0</v>
      </c>
      <c r="K81">
        <v>477660</v>
      </c>
      <c r="L81">
        <v>578</v>
      </c>
      <c r="M81" s="4">
        <v>161</v>
      </c>
      <c r="N81" s="4">
        <v>739</v>
      </c>
      <c r="O81" s="4">
        <v>72383</v>
      </c>
      <c r="P81" s="4">
        <v>8332</v>
      </c>
      <c r="Q81" s="4">
        <v>97078</v>
      </c>
      <c r="R81" s="4">
        <v>108236</v>
      </c>
      <c r="S81" s="4">
        <v>764428</v>
      </c>
      <c r="T81" s="4">
        <v>431788</v>
      </c>
      <c r="U81" s="4">
        <v>332640</v>
      </c>
    </row>
    <row r="82" spans="1:21" x14ac:dyDescent="0.25">
      <c r="A82" s="1" t="s">
        <v>60</v>
      </c>
      <c r="B82" t="s">
        <v>730</v>
      </c>
      <c r="C82" s="1" t="s">
        <v>88</v>
      </c>
      <c r="D82" t="s">
        <v>486</v>
      </c>
      <c r="E82" s="4">
        <v>258820</v>
      </c>
      <c r="F82" s="4">
        <v>202599</v>
      </c>
      <c r="G82" s="4">
        <v>38721</v>
      </c>
      <c r="H82" s="4">
        <v>163878</v>
      </c>
      <c r="I82" s="4">
        <v>56221</v>
      </c>
      <c r="J82">
        <v>0</v>
      </c>
      <c r="K82">
        <v>220099</v>
      </c>
      <c r="L82">
        <v>256</v>
      </c>
      <c r="M82" s="4">
        <v>71</v>
      </c>
      <c r="N82" s="4">
        <v>327</v>
      </c>
      <c r="O82" s="4">
        <v>32001</v>
      </c>
      <c r="P82" s="4">
        <v>3684</v>
      </c>
      <c r="Q82" s="4">
        <v>42917</v>
      </c>
      <c r="R82" s="4">
        <v>47850</v>
      </c>
      <c r="S82" s="4">
        <v>346878</v>
      </c>
      <c r="T82" s="4">
        <v>199819</v>
      </c>
      <c r="U82" s="4">
        <v>147059</v>
      </c>
    </row>
    <row r="83" spans="1:21" x14ac:dyDescent="0.25">
      <c r="A83" s="1" t="s">
        <v>60</v>
      </c>
      <c r="B83" t="s">
        <v>730</v>
      </c>
      <c r="C83" s="1" t="s">
        <v>89</v>
      </c>
      <c r="D83" t="s">
        <v>487</v>
      </c>
      <c r="E83" s="4">
        <v>425747</v>
      </c>
      <c r="F83" s="4">
        <v>333266</v>
      </c>
      <c r="G83" s="4">
        <v>73880</v>
      </c>
      <c r="H83" s="4">
        <v>259386</v>
      </c>
      <c r="I83" s="4">
        <v>92481</v>
      </c>
      <c r="J83">
        <v>0</v>
      </c>
      <c r="K83">
        <v>351867</v>
      </c>
      <c r="L83">
        <v>420</v>
      </c>
      <c r="M83" s="4">
        <v>116</v>
      </c>
      <c r="N83" s="4">
        <v>536</v>
      </c>
      <c r="O83" s="4">
        <v>52641</v>
      </c>
      <c r="P83" s="4">
        <v>6059</v>
      </c>
      <c r="Q83" s="4">
        <v>70591</v>
      </c>
      <c r="R83" s="4">
        <v>78705</v>
      </c>
      <c r="S83" s="4">
        <v>560399</v>
      </c>
      <c r="T83" s="4">
        <v>318505</v>
      </c>
      <c r="U83" s="4">
        <v>241894</v>
      </c>
    </row>
    <row r="84" spans="1:21" x14ac:dyDescent="0.25">
      <c r="A84" s="1" t="s">
        <v>60</v>
      </c>
      <c r="B84" t="s">
        <v>730</v>
      </c>
      <c r="C84" s="1" t="s">
        <v>90</v>
      </c>
      <c r="D84" t="s">
        <v>488</v>
      </c>
      <c r="E84" s="4">
        <v>153005</v>
      </c>
      <c r="F84" s="4">
        <v>119769</v>
      </c>
      <c r="G84" s="4">
        <v>31368</v>
      </c>
      <c r="H84" s="4">
        <v>88401</v>
      </c>
      <c r="I84" s="4">
        <v>33236</v>
      </c>
      <c r="J84">
        <v>149</v>
      </c>
      <c r="K84">
        <v>121786</v>
      </c>
      <c r="L84">
        <v>150</v>
      </c>
      <c r="M84" s="4">
        <v>42</v>
      </c>
      <c r="N84" s="4">
        <v>192</v>
      </c>
      <c r="O84" s="4">
        <v>18918</v>
      </c>
      <c r="P84" s="4">
        <v>2178</v>
      </c>
      <c r="Q84" s="4">
        <v>25738</v>
      </c>
      <c r="R84" s="4">
        <v>28696</v>
      </c>
      <c r="S84" s="4">
        <v>197508</v>
      </c>
      <c r="T84" s="4">
        <v>109647</v>
      </c>
      <c r="U84" s="4">
        <v>87861</v>
      </c>
    </row>
    <row r="85" spans="1:21" x14ac:dyDescent="0.25">
      <c r="A85" s="1" t="s">
        <v>60</v>
      </c>
      <c r="B85" t="s">
        <v>730</v>
      </c>
      <c r="C85" s="1" t="s">
        <v>91</v>
      </c>
      <c r="D85" t="s">
        <v>489</v>
      </c>
      <c r="E85" s="4">
        <v>269198</v>
      </c>
      <c r="F85" s="4">
        <v>210722</v>
      </c>
      <c r="G85" s="4">
        <v>45362</v>
      </c>
      <c r="H85" s="4">
        <v>165360</v>
      </c>
      <c r="I85" s="4">
        <v>58476</v>
      </c>
      <c r="J85">
        <v>0</v>
      </c>
      <c r="K85">
        <v>223836</v>
      </c>
      <c r="L85">
        <v>267</v>
      </c>
      <c r="M85" s="4">
        <v>74</v>
      </c>
      <c r="N85" s="4">
        <v>341</v>
      </c>
      <c r="O85" s="4">
        <v>33285</v>
      </c>
      <c r="P85" s="4">
        <v>3831</v>
      </c>
      <c r="Q85" s="4">
        <v>45978</v>
      </c>
      <c r="R85" s="4">
        <v>51262</v>
      </c>
      <c r="S85" s="4">
        <v>358533</v>
      </c>
      <c r="T85" s="4">
        <v>202743</v>
      </c>
      <c r="U85" s="4">
        <v>155790</v>
      </c>
    </row>
    <row r="86" spans="1:21" x14ac:dyDescent="0.25">
      <c r="A86" s="1" t="s">
        <v>60</v>
      </c>
      <c r="B86" t="s">
        <v>730</v>
      </c>
      <c r="C86" s="1" t="s">
        <v>92</v>
      </c>
      <c r="D86" t="s">
        <v>490</v>
      </c>
      <c r="E86" s="4">
        <v>529940</v>
      </c>
      <c r="F86" s="4">
        <v>414826</v>
      </c>
      <c r="G86" s="4">
        <v>97039</v>
      </c>
      <c r="H86" s="4">
        <v>317787</v>
      </c>
      <c r="I86" s="4">
        <v>115114</v>
      </c>
      <c r="J86">
        <v>0</v>
      </c>
      <c r="K86">
        <v>432901</v>
      </c>
      <c r="L86">
        <v>523</v>
      </c>
      <c r="M86" s="4">
        <v>145</v>
      </c>
      <c r="N86" s="4">
        <v>668</v>
      </c>
      <c r="O86" s="4">
        <v>65524</v>
      </c>
      <c r="P86" s="4">
        <v>7542</v>
      </c>
      <c r="Q86" s="4">
        <v>94080</v>
      </c>
      <c r="R86" s="4">
        <v>104893</v>
      </c>
      <c r="S86" s="4">
        <v>705608</v>
      </c>
      <c r="T86" s="4">
        <v>391376</v>
      </c>
      <c r="U86" s="4">
        <v>314232</v>
      </c>
    </row>
    <row r="87" spans="1:21" x14ac:dyDescent="0.25">
      <c r="A87" s="1" t="s">
        <v>60</v>
      </c>
      <c r="B87" t="s">
        <v>730</v>
      </c>
      <c r="C87" s="1" t="s">
        <v>93</v>
      </c>
      <c r="D87" t="s">
        <v>491</v>
      </c>
      <c r="E87" s="4">
        <v>380298</v>
      </c>
      <c r="F87" s="4">
        <v>297689</v>
      </c>
      <c r="G87" s="4">
        <v>65316</v>
      </c>
      <c r="H87" s="4">
        <v>232373</v>
      </c>
      <c r="I87" s="4">
        <v>82609</v>
      </c>
      <c r="J87">
        <v>0</v>
      </c>
      <c r="K87">
        <v>314982</v>
      </c>
      <c r="L87">
        <v>375</v>
      </c>
      <c r="M87" s="4">
        <v>104</v>
      </c>
      <c r="N87" s="4">
        <v>479</v>
      </c>
      <c r="O87" s="4">
        <v>47021</v>
      </c>
      <c r="P87" s="4">
        <v>5413</v>
      </c>
      <c r="Q87" s="4">
        <v>62657</v>
      </c>
      <c r="R87" s="4">
        <v>69859</v>
      </c>
      <c r="S87" s="4">
        <v>500411</v>
      </c>
      <c r="T87" s="4">
        <v>285182</v>
      </c>
      <c r="U87" s="4">
        <v>215229</v>
      </c>
    </row>
    <row r="88" spans="1:21" x14ac:dyDescent="0.25">
      <c r="A88" s="1" t="s">
        <v>60</v>
      </c>
      <c r="B88" t="s">
        <v>730</v>
      </c>
      <c r="C88" s="1" t="s">
        <v>94</v>
      </c>
      <c r="D88" t="s">
        <v>492</v>
      </c>
      <c r="E88" s="4">
        <v>167706</v>
      </c>
      <c r="F88" s="4">
        <v>131277</v>
      </c>
      <c r="G88" s="4">
        <v>20933</v>
      </c>
      <c r="H88" s="4">
        <v>110344</v>
      </c>
      <c r="I88" s="4">
        <v>36429</v>
      </c>
      <c r="J88">
        <v>0</v>
      </c>
      <c r="K88">
        <v>146773</v>
      </c>
      <c r="L88">
        <v>166</v>
      </c>
      <c r="M88" s="4">
        <v>46</v>
      </c>
      <c r="N88" s="4">
        <v>212</v>
      </c>
      <c r="O88" s="4">
        <v>20736</v>
      </c>
      <c r="P88" s="4">
        <v>2387</v>
      </c>
      <c r="Q88" s="4">
        <v>28174</v>
      </c>
      <c r="R88" s="4">
        <v>31412</v>
      </c>
      <c r="S88" s="4">
        <v>229694</v>
      </c>
      <c r="T88" s="4">
        <v>133633</v>
      </c>
      <c r="U88" s="4">
        <v>96061</v>
      </c>
    </row>
    <row r="89" spans="1:21" x14ac:dyDescent="0.25">
      <c r="A89" s="1" t="s">
        <v>60</v>
      </c>
      <c r="B89" t="s">
        <v>730</v>
      </c>
      <c r="C89" s="1" t="s">
        <v>95</v>
      </c>
      <c r="D89" t="s">
        <v>493</v>
      </c>
      <c r="E89" s="4">
        <v>342211</v>
      </c>
      <c r="F89" s="4">
        <v>267876</v>
      </c>
      <c r="G89" s="4">
        <v>53876</v>
      </c>
      <c r="H89" s="4">
        <v>214000</v>
      </c>
      <c r="I89" s="4">
        <v>74335</v>
      </c>
      <c r="J89">
        <v>0</v>
      </c>
      <c r="K89">
        <v>288335</v>
      </c>
      <c r="L89">
        <v>338</v>
      </c>
      <c r="M89" s="4">
        <v>94</v>
      </c>
      <c r="N89" s="4">
        <v>432</v>
      </c>
      <c r="O89" s="4">
        <v>42312</v>
      </c>
      <c r="P89" s="4">
        <v>4870</v>
      </c>
      <c r="Q89" s="4">
        <v>62720</v>
      </c>
      <c r="R89" s="4">
        <v>69929</v>
      </c>
      <c r="S89" s="4">
        <v>468598</v>
      </c>
      <c r="T89" s="4">
        <v>261519</v>
      </c>
      <c r="U89" s="4">
        <v>207079</v>
      </c>
    </row>
    <row r="90" spans="1:21" x14ac:dyDescent="0.25">
      <c r="A90" s="1" t="s">
        <v>60</v>
      </c>
      <c r="B90" t="s">
        <v>730</v>
      </c>
      <c r="C90" s="1" t="s">
        <v>96</v>
      </c>
      <c r="D90" t="s">
        <v>494</v>
      </c>
      <c r="E90" s="4">
        <v>215762</v>
      </c>
      <c r="F90" s="4">
        <v>168894</v>
      </c>
      <c r="G90" s="4">
        <v>43283</v>
      </c>
      <c r="H90" s="4">
        <v>125611</v>
      </c>
      <c r="I90" s="4">
        <v>46868</v>
      </c>
      <c r="J90">
        <v>0</v>
      </c>
      <c r="K90">
        <v>172479</v>
      </c>
      <c r="L90">
        <v>214</v>
      </c>
      <c r="M90" s="4">
        <v>59</v>
      </c>
      <c r="N90" s="4">
        <v>273</v>
      </c>
      <c r="O90" s="4">
        <v>26678</v>
      </c>
      <c r="P90" s="4">
        <v>3071</v>
      </c>
      <c r="Q90" s="4">
        <v>35358</v>
      </c>
      <c r="R90" s="4">
        <v>39422</v>
      </c>
      <c r="S90" s="4">
        <v>277281</v>
      </c>
      <c r="T90" s="4">
        <v>155574</v>
      </c>
      <c r="U90" s="4">
        <v>121707</v>
      </c>
    </row>
    <row r="91" spans="1:21" x14ac:dyDescent="0.25">
      <c r="A91" s="1" t="s">
        <v>60</v>
      </c>
      <c r="B91" t="s">
        <v>730</v>
      </c>
      <c r="C91" s="1" t="s">
        <v>97</v>
      </c>
      <c r="D91" t="s">
        <v>495</v>
      </c>
      <c r="E91" s="4">
        <v>2074807</v>
      </c>
      <c r="F91" s="4">
        <v>1624115</v>
      </c>
      <c r="G91" s="4">
        <v>306371</v>
      </c>
      <c r="H91" s="4">
        <v>1317744</v>
      </c>
      <c r="I91" s="4">
        <v>450692</v>
      </c>
      <c r="J91" s="4">
        <v>0</v>
      </c>
      <c r="K91" s="4">
        <v>1768436</v>
      </c>
      <c r="L91" s="4">
        <v>2035</v>
      </c>
      <c r="M91" s="4">
        <v>565</v>
      </c>
      <c r="N91" s="4">
        <v>2600</v>
      </c>
      <c r="O91" s="4">
        <v>256536</v>
      </c>
      <c r="P91" s="4">
        <v>29529</v>
      </c>
      <c r="Q91" s="4">
        <v>349395</v>
      </c>
      <c r="R91" s="4">
        <v>389552</v>
      </c>
      <c r="S91" s="4">
        <v>2796048</v>
      </c>
      <c r="T91" s="4">
        <v>1605844</v>
      </c>
      <c r="U91" s="4">
        <v>1190204</v>
      </c>
    </row>
    <row r="92" spans="1:21" x14ac:dyDescent="0.25">
      <c r="A92" s="1" t="s">
        <v>60</v>
      </c>
      <c r="B92" t="s">
        <v>730</v>
      </c>
      <c r="C92" s="1" t="s">
        <v>98</v>
      </c>
      <c r="D92" t="s">
        <v>496</v>
      </c>
      <c r="E92" s="4">
        <v>1364527</v>
      </c>
      <c r="F92" s="4">
        <v>1068123</v>
      </c>
      <c r="G92" s="4">
        <v>287393</v>
      </c>
      <c r="H92" s="4">
        <v>780730</v>
      </c>
      <c r="I92" s="4">
        <v>296404</v>
      </c>
      <c r="J92" s="4">
        <v>0</v>
      </c>
      <c r="K92" s="4">
        <v>1077134</v>
      </c>
      <c r="L92" s="4">
        <v>1346</v>
      </c>
      <c r="M92" s="4">
        <v>374</v>
      </c>
      <c r="N92" s="4">
        <v>1720</v>
      </c>
      <c r="O92" s="4">
        <v>168715</v>
      </c>
      <c r="P92" s="4">
        <v>19420</v>
      </c>
      <c r="Q92" s="4">
        <v>245882</v>
      </c>
      <c r="R92" s="4">
        <v>274142</v>
      </c>
      <c r="S92" s="4">
        <v>1787013</v>
      </c>
      <c r="T92" s="4">
        <v>970211</v>
      </c>
      <c r="U92" s="4">
        <v>816802</v>
      </c>
    </row>
    <row r="93" spans="1:21" x14ac:dyDescent="0.25">
      <c r="A93" s="1" t="s">
        <v>60</v>
      </c>
      <c r="B93" t="s">
        <v>730</v>
      </c>
      <c r="C93" s="1" t="s">
        <v>99</v>
      </c>
      <c r="D93" t="s">
        <v>497</v>
      </c>
      <c r="E93" s="4">
        <v>176839</v>
      </c>
      <c r="F93" s="4">
        <v>138426</v>
      </c>
      <c r="G93" s="4">
        <v>32604</v>
      </c>
      <c r="H93" s="4">
        <v>105822</v>
      </c>
      <c r="I93" s="4">
        <v>38413</v>
      </c>
      <c r="J93" s="4">
        <v>4540</v>
      </c>
      <c r="K93">
        <v>148775</v>
      </c>
      <c r="L93">
        <v>174</v>
      </c>
      <c r="M93" s="4">
        <v>49</v>
      </c>
      <c r="N93" s="4">
        <v>223</v>
      </c>
      <c r="O93" s="4">
        <v>22538</v>
      </c>
      <c r="P93" s="4">
        <v>2592</v>
      </c>
      <c r="Q93" s="4">
        <v>29736</v>
      </c>
      <c r="R93" s="4">
        <v>33153</v>
      </c>
      <c r="S93" s="4">
        <v>237017</v>
      </c>
      <c r="T93" s="4">
        <v>131126</v>
      </c>
      <c r="U93" s="4">
        <v>105891</v>
      </c>
    </row>
    <row r="94" spans="1:21" x14ac:dyDescent="0.25">
      <c r="A94" s="1" t="s">
        <v>60</v>
      </c>
      <c r="B94" t="s">
        <v>730</v>
      </c>
      <c r="C94" s="1" t="s">
        <v>100</v>
      </c>
      <c r="D94" t="s">
        <v>498</v>
      </c>
      <c r="E94" s="4">
        <v>222710</v>
      </c>
      <c r="F94" s="4">
        <v>174332</v>
      </c>
      <c r="G94" s="4">
        <v>48545</v>
      </c>
      <c r="H94" s="4">
        <v>125787</v>
      </c>
      <c r="I94" s="4">
        <v>48378</v>
      </c>
      <c r="J94">
        <v>0</v>
      </c>
      <c r="K94">
        <v>174165</v>
      </c>
      <c r="L94">
        <v>219</v>
      </c>
      <c r="M94" s="4">
        <v>61</v>
      </c>
      <c r="N94" s="4">
        <v>280</v>
      </c>
      <c r="O94" s="4">
        <v>27537</v>
      </c>
      <c r="P94" s="4">
        <v>3170</v>
      </c>
      <c r="Q94" s="4">
        <v>37295</v>
      </c>
      <c r="R94" s="4">
        <v>41581</v>
      </c>
      <c r="S94" s="4">
        <v>284028</v>
      </c>
      <c r="T94" s="4">
        <v>156714</v>
      </c>
      <c r="U94" s="4">
        <v>127314</v>
      </c>
    </row>
    <row r="95" spans="1:21" x14ac:dyDescent="0.25">
      <c r="A95" s="1" t="s">
        <v>60</v>
      </c>
      <c r="B95" t="s">
        <v>730</v>
      </c>
      <c r="C95" s="1" t="s">
        <v>101</v>
      </c>
      <c r="D95" t="s">
        <v>499</v>
      </c>
      <c r="E95" s="4">
        <v>208531</v>
      </c>
      <c r="F95" s="4">
        <v>163234</v>
      </c>
      <c r="G95" s="4">
        <v>42965</v>
      </c>
      <c r="H95" s="4">
        <v>120269</v>
      </c>
      <c r="I95" s="4">
        <v>45297</v>
      </c>
      <c r="J95">
        <v>682</v>
      </c>
      <c r="K95">
        <v>166248</v>
      </c>
      <c r="L95">
        <v>206</v>
      </c>
      <c r="M95" s="4">
        <v>57</v>
      </c>
      <c r="N95" s="4">
        <v>263</v>
      </c>
      <c r="O95" s="4">
        <v>25997</v>
      </c>
      <c r="P95" s="4">
        <v>2989</v>
      </c>
      <c r="Q95" s="4">
        <v>33734</v>
      </c>
      <c r="R95" s="4">
        <v>37611</v>
      </c>
      <c r="S95" s="4">
        <v>266842</v>
      </c>
      <c r="T95" s="4">
        <v>149461</v>
      </c>
      <c r="U95" s="4">
        <v>117381</v>
      </c>
    </row>
    <row r="96" spans="1:21" x14ac:dyDescent="0.25">
      <c r="A96" s="1" t="s">
        <v>60</v>
      </c>
      <c r="B96" t="s">
        <v>730</v>
      </c>
      <c r="C96" s="1" t="s">
        <v>102</v>
      </c>
      <c r="D96" t="s">
        <v>500</v>
      </c>
      <c r="E96" s="4">
        <v>184943</v>
      </c>
      <c r="F96" s="4">
        <v>144770</v>
      </c>
      <c r="G96" s="4">
        <v>38909</v>
      </c>
      <c r="H96" s="4">
        <v>105861</v>
      </c>
      <c r="I96" s="4">
        <v>40173</v>
      </c>
      <c r="J96">
        <v>0</v>
      </c>
      <c r="K96">
        <v>146034</v>
      </c>
      <c r="L96">
        <v>182</v>
      </c>
      <c r="M96" s="4">
        <v>51</v>
      </c>
      <c r="N96" s="4">
        <v>233</v>
      </c>
      <c r="O96" s="4">
        <v>22867</v>
      </c>
      <c r="P96" s="4">
        <v>2632</v>
      </c>
      <c r="Q96" s="4">
        <v>30235</v>
      </c>
      <c r="R96" s="4">
        <v>33711</v>
      </c>
      <c r="S96" s="4">
        <v>235712</v>
      </c>
      <c r="T96" s="4">
        <v>131542</v>
      </c>
      <c r="U96" s="4">
        <v>104170</v>
      </c>
    </row>
    <row r="97" spans="1:21" x14ac:dyDescent="0.25">
      <c r="A97" s="1" t="s">
        <v>60</v>
      </c>
      <c r="B97" t="s">
        <v>730</v>
      </c>
      <c r="C97" s="1" t="s">
        <v>103</v>
      </c>
      <c r="D97" t="s">
        <v>501</v>
      </c>
      <c r="E97" s="4">
        <v>172677</v>
      </c>
      <c r="F97" s="4">
        <v>135168</v>
      </c>
      <c r="G97" s="4">
        <v>31289</v>
      </c>
      <c r="H97" s="4">
        <v>103879</v>
      </c>
      <c r="I97" s="4">
        <v>37509</v>
      </c>
      <c r="J97">
        <v>0</v>
      </c>
      <c r="K97">
        <v>141388</v>
      </c>
      <c r="L97">
        <v>172</v>
      </c>
      <c r="M97" s="4">
        <v>47</v>
      </c>
      <c r="N97" s="4">
        <v>219</v>
      </c>
      <c r="O97" s="4">
        <v>21350</v>
      </c>
      <c r="P97" s="4">
        <v>2458</v>
      </c>
      <c r="Q97" s="4">
        <v>28361</v>
      </c>
      <c r="R97" s="4">
        <v>31621</v>
      </c>
      <c r="S97" s="4">
        <v>225397</v>
      </c>
      <c r="T97" s="4">
        <v>127859</v>
      </c>
      <c r="U97" s="4">
        <v>97538</v>
      </c>
    </row>
    <row r="98" spans="1:21" x14ac:dyDescent="0.25">
      <c r="A98" s="1" t="s">
        <v>60</v>
      </c>
      <c r="B98" t="s">
        <v>730</v>
      </c>
      <c r="C98" s="1" t="s">
        <v>104</v>
      </c>
      <c r="D98" t="s">
        <v>502</v>
      </c>
      <c r="E98" s="4">
        <v>196481</v>
      </c>
      <c r="F98" s="4">
        <v>153801</v>
      </c>
      <c r="G98" s="4">
        <v>32927</v>
      </c>
      <c r="H98" s="4">
        <v>120874</v>
      </c>
      <c r="I98" s="4">
        <v>42680</v>
      </c>
      <c r="J98">
        <v>0</v>
      </c>
      <c r="K98">
        <v>163554</v>
      </c>
      <c r="L98">
        <v>195</v>
      </c>
      <c r="M98" s="4">
        <v>55</v>
      </c>
      <c r="N98" s="4">
        <v>250</v>
      </c>
      <c r="O98" s="4">
        <v>24294</v>
      </c>
      <c r="P98" s="4">
        <v>2796</v>
      </c>
      <c r="Q98" s="4">
        <v>31922</v>
      </c>
      <c r="R98" s="4">
        <v>35591</v>
      </c>
      <c r="S98" s="4">
        <v>258407</v>
      </c>
      <c r="T98" s="4">
        <v>148159</v>
      </c>
      <c r="U98" s="4">
        <v>110248</v>
      </c>
    </row>
    <row r="99" spans="1:21" x14ac:dyDescent="0.25">
      <c r="A99" s="1" t="s">
        <v>60</v>
      </c>
      <c r="B99" t="s">
        <v>730</v>
      </c>
      <c r="C99" s="1" t="s">
        <v>105</v>
      </c>
      <c r="D99" t="s">
        <v>503</v>
      </c>
      <c r="E99" s="4">
        <v>329021</v>
      </c>
      <c r="F99" s="4">
        <v>257550</v>
      </c>
      <c r="G99" s="4">
        <v>62418</v>
      </c>
      <c r="H99" s="4">
        <v>195132</v>
      </c>
      <c r="I99" s="4">
        <v>71471</v>
      </c>
      <c r="J99">
        <v>0</v>
      </c>
      <c r="K99">
        <v>266603</v>
      </c>
      <c r="L99">
        <v>325</v>
      </c>
      <c r="M99" s="4">
        <v>90</v>
      </c>
      <c r="N99" s="4">
        <v>415</v>
      </c>
      <c r="O99" s="4">
        <v>40681</v>
      </c>
      <c r="P99" s="4">
        <v>4683</v>
      </c>
      <c r="Q99" s="4">
        <v>55911</v>
      </c>
      <c r="R99" s="4">
        <v>62337</v>
      </c>
      <c r="S99" s="4">
        <v>430630</v>
      </c>
      <c r="T99" s="4">
        <v>240821</v>
      </c>
      <c r="U99" s="4">
        <v>189809</v>
      </c>
    </row>
    <row r="100" spans="1:21" x14ac:dyDescent="0.25">
      <c r="A100" s="1" t="s">
        <v>60</v>
      </c>
      <c r="B100" t="s">
        <v>730</v>
      </c>
      <c r="C100" s="1" t="s">
        <v>106</v>
      </c>
      <c r="D100" t="s">
        <v>504</v>
      </c>
      <c r="E100" s="4">
        <v>165696</v>
      </c>
      <c r="F100" s="4">
        <v>129703</v>
      </c>
      <c r="G100" s="4">
        <v>38715</v>
      </c>
      <c r="H100" s="4">
        <v>90988</v>
      </c>
      <c r="I100" s="4">
        <v>35993</v>
      </c>
      <c r="J100">
        <v>0</v>
      </c>
      <c r="K100">
        <v>126981</v>
      </c>
      <c r="L100">
        <v>164</v>
      </c>
      <c r="M100" s="4">
        <v>45</v>
      </c>
      <c r="N100" s="4">
        <v>209</v>
      </c>
      <c r="O100" s="4">
        <v>20487</v>
      </c>
      <c r="P100" s="4">
        <v>2358</v>
      </c>
      <c r="Q100" s="4">
        <v>27050</v>
      </c>
      <c r="R100" s="4">
        <v>30158</v>
      </c>
      <c r="S100" s="4">
        <v>207243</v>
      </c>
      <c r="T100" s="4">
        <v>113997</v>
      </c>
      <c r="U100" s="4">
        <v>93246</v>
      </c>
    </row>
    <row r="101" spans="1:21" x14ac:dyDescent="0.25">
      <c r="A101" s="1" t="s">
        <v>60</v>
      </c>
      <c r="B101" t="s">
        <v>730</v>
      </c>
      <c r="C101" s="1" t="s">
        <v>107</v>
      </c>
      <c r="D101" t="s">
        <v>505</v>
      </c>
      <c r="E101" s="4">
        <v>566175</v>
      </c>
      <c r="F101" s="4">
        <v>443190</v>
      </c>
      <c r="G101" s="4">
        <v>99339</v>
      </c>
      <c r="H101" s="4">
        <v>343851</v>
      </c>
      <c r="I101" s="4">
        <v>122985</v>
      </c>
      <c r="J101">
        <v>0</v>
      </c>
      <c r="K101">
        <v>466836</v>
      </c>
      <c r="L101">
        <v>557</v>
      </c>
      <c r="M101" s="4">
        <v>155</v>
      </c>
      <c r="N101" s="4">
        <v>712</v>
      </c>
      <c r="O101" s="4">
        <v>70004</v>
      </c>
      <c r="P101" s="4">
        <v>8058</v>
      </c>
      <c r="Q101" s="4">
        <v>90457</v>
      </c>
      <c r="R101" s="4">
        <v>100853</v>
      </c>
      <c r="S101" s="4">
        <v>736920</v>
      </c>
      <c r="T101" s="4">
        <v>422470</v>
      </c>
      <c r="U101" s="4">
        <v>314450</v>
      </c>
    </row>
    <row r="102" spans="1:21" x14ac:dyDescent="0.25">
      <c r="A102" s="1" t="s">
        <v>60</v>
      </c>
      <c r="B102" t="s">
        <v>730</v>
      </c>
      <c r="C102" s="1" t="s">
        <v>108</v>
      </c>
      <c r="D102" t="s">
        <v>506</v>
      </c>
      <c r="E102" s="4">
        <v>212686</v>
      </c>
      <c r="F102" s="4">
        <v>166486</v>
      </c>
      <c r="G102" s="4">
        <v>45825</v>
      </c>
      <c r="H102" s="4">
        <v>120661</v>
      </c>
      <c r="I102" s="4">
        <v>46200</v>
      </c>
      <c r="J102">
        <v>0</v>
      </c>
      <c r="K102">
        <v>166861</v>
      </c>
      <c r="L102">
        <v>209</v>
      </c>
      <c r="M102" s="4">
        <v>57</v>
      </c>
      <c r="N102" s="4">
        <v>266</v>
      </c>
      <c r="O102" s="4">
        <v>26297</v>
      </c>
      <c r="P102" s="4">
        <v>3027</v>
      </c>
      <c r="Q102" s="4">
        <v>35670</v>
      </c>
      <c r="R102" s="4">
        <v>39770</v>
      </c>
      <c r="S102" s="4">
        <v>271891</v>
      </c>
      <c r="T102" s="4">
        <v>150194</v>
      </c>
      <c r="U102" s="4">
        <v>121697</v>
      </c>
    </row>
    <row r="103" spans="1:21" x14ac:dyDescent="0.25">
      <c r="A103" s="1" t="s">
        <v>60</v>
      </c>
      <c r="B103" t="s">
        <v>730</v>
      </c>
      <c r="C103" s="1" t="s">
        <v>109</v>
      </c>
      <c r="D103" t="s">
        <v>507</v>
      </c>
      <c r="E103" s="4">
        <v>300033</v>
      </c>
      <c r="F103" s="4">
        <v>234860</v>
      </c>
      <c r="G103" s="4">
        <v>63141</v>
      </c>
      <c r="H103" s="4">
        <v>171719</v>
      </c>
      <c r="I103" s="4">
        <v>65173</v>
      </c>
      <c r="J103">
        <v>0</v>
      </c>
      <c r="K103">
        <v>236892</v>
      </c>
      <c r="L103">
        <v>296</v>
      </c>
      <c r="M103" s="4">
        <v>82</v>
      </c>
      <c r="N103" s="4">
        <v>378</v>
      </c>
      <c r="O103" s="4">
        <v>37097</v>
      </c>
      <c r="P103" s="4">
        <v>4270</v>
      </c>
      <c r="Q103" s="4">
        <v>48289</v>
      </c>
      <c r="R103" s="4">
        <v>53839</v>
      </c>
      <c r="S103" s="4">
        <v>380765</v>
      </c>
      <c r="T103" s="4">
        <v>213381</v>
      </c>
      <c r="U103" s="4">
        <v>167384</v>
      </c>
    </row>
    <row r="104" spans="1:21" x14ac:dyDescent="0.25">
      <c r="A104" s="1" t="s">
        <v>60</v>
      </c>
      <c r="B104" t="s">
        <v>730</v>
      </c>
      <c r="C104" s="1" t="s">
        <v>110</v>
      </c>
      <c r="D104" t="s">
        <v>508</v>
      </c>
      <c r="E104" s="4">
        <v>150158</v>
      </c>
      <c r="F104" s="4">
        <v>117541</v>
      </c>
      <c r="G104" s="4">
        <v>29808</v>
      </c>
      <c r="H104" s="4">
        <v>87733</v>
      </c>
      <c r="I104" s="4">
        <v>32617</v>
      </c>
      <c r="J104" s="4">
        <v>2166</v>
      </c>
      <c r="K104">
        <v>122516</v>
      </c>
      <c r="L104">
        <v>148</v>
      </c>
      <c r="M104" s="4">
        <v>41</v>
      </c>
      <c r="N104" s="4">
        <v>189</v>
      </c>
      <c r="O104" s="4">
        <v>18566</v>
      </c>
      <c r="P104" s="4">
        <v>2137</v>
      </c>
      <c r="Q104" s="4">
        <v>23864</v>
      </c>
      <c r="R104" s="4">
        <v>26606</v>
      </c>
      <c r="S104" s="4">
        <v>193878</v>
      </c>
      <c r="T104" s="4">
        <v>108584</v>
      </c>
      <c r="U104" s="4">
        <v>85294</v>
      </c>
    </row>
    <row r="105" spans="1:21" x14ac:dyDescent="0.25">
      <c r="A105" s="1" t="s">
        <v>60</v>
      </c>
      <c r="B105" t="s">
        <v>730</v>
      </c>
      <c r="C105" s="1" t="s">
        <v>111</v>
      </c>
      <c r="D105" t="s">
        <v>509</v>
      </c>
      <c r="E105" s="4">
        <v>380048</v>
      </c>
      <c r="F105" s="4">
        <v>297494</v>
      </c>
      <c r="G105" s="4">
        <v>71518</v>
      </c>
      <c r="H105" s="4">
        <v>225976</v>
      </c>
      <c r="I105" s="4">
        <v>82554</v>
      </c>
      <c r="J105" s="4">
        <v>9822</v>
      </c>
      <c r="K105">
        <v>318352</v>
      </c>
      <c r="L105">
        <v>375</v>
      </c>
      <c r="M105" s="4">
        <v>104</v>
      </c>
      <c r="N105" s="4">
        <v>479</v>
      </c>
      <c r="O105" s="4">
        <v>46990</v>
      </c>
      <c r="P105" s="4">
        <v>5409</v>
      </c>
      <c r="Q105" s="4">
        <v>62158</v>
      </c>
      <c r="R105" s="4">
        <v>69302</v>
      </c>
      <c r="S105" s="4">
        <v>502690</v>
      </c>
      <c r="T105" s="4">
        <v>278750</v>
      </c>
      <c r="U105" s="4">
        <v>223940</v>
      </c>
    </row>
    <row r="106" spans="1:21" x14ac:dyDescent="0.25">
      <c r="A106" s="1" t="s">
        <v>60</v>
      </c>
      <c r="B106" t="s">
        <v>730</v>
      </c>
      <c r="C106" s="1" t="s">
        <v>112</v>
      </c>
      <c r="D106" t="s">
        <v>510</v>
      </c>
      <c r="E106" s="4">
        <v>250004</v>
      </c>
      <c r="F106" s="4">
        <v>195698</v>
      </c>
      <c r="G106" s="4">
        <v>44032</v>
      </c>
      <c r="H106" s="4">
        <v>151666</v>
      </c>
      <c r="I106" s="4">
        <v>54306</v>
      </c>
      <c r="J106">
        <v>0</v>
      </c>
      <c r="K106">
        <v>205972</v>
      </c>
      <c r="L106">
        <v>246</v>
      </c>
      <c r="M106" s="4">
        <v>68</v>
      </c>
      <c r="N106" s="4">
        <v>314</v>
      </c>
      <c r="O106" s="4">
        <v>30911</v>
      </c>
      <c r="P106" s="4">
        <v>3558</v>
      </c>
      <c r="Q106" s="4">
        <v>42417</v>
      </c>
      <c r="R106" s="4">
        <v>47292</v>
      </c>
      <c r="S106" s="4">
        <v>330464</v>
      </c>
      <c r="T106" s="4">
        <v>186380</v>
      </c>
      <c r="U106" s="4">
        <v>144084</v>
      </c>
    </row>
    <row r="107" spans="1:21" x14ac:dyDescent="0.25">
      <c r="A107" s="1" t="s">
        <v>60</v>
      </c>
      <c r="B107" t="s">
        <v>730</v>
      </c>
      <c r="C107" s="1" t="s">
        <v>113</v>
      </c>
      <c r="D107" t="s">
        <v>511</v>
      </c>
      <c r="E107" s="4">
        <v>4372552</v>
      </c>
      <c r="F107" s="4">
        <v>3422742</v>
      </c>
      <c r="G107" s="4">
        <v>711482</v>
      </c>
      <c r="H107" s="4">
        <v>2711260</v>
      </c>
      <c r="I107" s="4">
        <v>949810</v>
      </c>
      <c r="J107" s="4">
        <v>0</v>
      </c>
      <c r="K107" s="4">
        <v>3661070</v>
      </c>
      <c r="L107" s="4">
        <v>4311</v>
      </c>
      <c r="M107" s="4">
        <v>1196</v>
      </c>
      <c r="N107" s="4">
        <v>5507</v>
      </c>
      <c r="O107" s="4">
        <v>540638</v>
      </c>
      <c r="P107" s="4">
        <v>62232</v>
      </c>
      <c r="Q107" s="4">
        <v>736209</v>
      </c>
      <c r="R107" s="4">
        <v>820825</v>
      </c>
      <c r="S107" s="4">
        <v>5826481</v>
      </c>
      <c r="T107" s="4">
        <v>3318441</v>
      </c>
      <c r="U107" s="4">
        <v>2508040</v>
      </c>
    </row>
    <row r="108" spans="1:21" x14ac:dyDescent="0.25">
      <c r="A108" s="1" t="s">
        <v>60</v>
      </c>
      <c r="B108" t="s">
        <v>730</v>
      </c>
      <c r="C108" s="1" t="s">
        <v>114</v>
      </c>
      <c r="D108" t="s">
        <v>512</v>
      </c>
      <c r="E108" s="4">
        <v>835019</v>
      </c>
      <c r="F108" s="4">
        <v>653635</v>
      </c>
      <c r="G108" s="4">
        <v>116224</v>
      </c>
      <c r="H108" s="4">
        <v>537411</v>
      </c>
      <c r="I108" s="4">
        <v>181384</v>
      </c>
      <c r="J108" s="4">
        <v>0</v>
      </c>
      <c r="K108" s="4">
        <v>718795</v>
      </c>
      <c r="L108">
        <v>824</v>
      </c>
      <c r="M108" s="4">
        <v>228</v>
      </c>
      <c r="N108" s="4">
        <v>1052</v>
      </c>
      <c r="O108" s="4">
        <v>103245</v>
      </c>
      <c r="P108" s="4">
        <v>11884</v>
      </c>
      <c r="Q108" s="4">
        <v>144493</v>
      </c>
      <c r="R108" s="4">
        <v>161100</v>
      </c>
      <c r="S108" s="4">
        <v>1140569</v>
      </c>
      <c r="T108" s="4">
        <v>653364</v>
      </c>
      <c r="U108" s="4">
        <v>487205</v>
      </c>
    </row>
    <row r="109" spans="1:21" x14ac:dyDescent="0.25">
      <c r="A109" s="1" t="s">
        <v>60</v>
      </c>
      <c r="B109" t="s">
        <v>730</v>
      </c>
      <c r="C109" s="1" t="s">
        <v>115</v>
      </c>
      <c r="D109" t="s">
        <v>513</v>
      </c>
      <c r="E109" s="4">
        <v>294074</v>
      </c>
      <c r="F109" s="4">
        <v>230195</v>
      </c>
      <c r="G109" s="4">
        <v>58114</v>
      </c>
      <c r="H109" s="4">
        <v>172081</v>
      </c>
      <c r="I109" s="4">
        <v>63879</v>
      </c>
      <c r="J109">
        <v>0</v>
      </c>
      <c r="K109">
        <v>235960</v>
      </c>
      <c r="L109">
        <v>290</v>
      </c>
      <c r="M109" s="4">
        <v>81</v>
      </c>
      <c r="N109" s="4">
        <v>371</v>
      </c>
      <c r="O109" s="4">
        <v>36360</v>
      </c>
      <c r="P109" s="4">
        <v>4185</v>
      </c>
      <c r="Q109" s="4">
        <v>51038</v>
      </c>
      <c r="R109" s="4">
        <v>56904</v>
      </c>
      <c r="S109" s="4">
        <v>384818</v>
      </c>
      <c r="T109" s="4">
        <v>212916</v>
      </c>
      <c r="U109" s="4">
        <v>171902</v>
      </c>
    </row>
    <row r="110" spans="1:21" x14ac:dyDescent="0.25">
      <c r="A110" s="1" t="s">
        <v>60</v>
      </c>
      <c r="B110" t="s">
        <v>730</v>
      </c>
      <c r="C110" s="1" t="s">
        <v>116</v>
      </c>
      <c r="D110" t="s">
        <v>514</v>
      </c>
      <c r="E110" s="4">
        <v>202703</v>
      </c>
      <c r="F110" s="4">
        <v>158672</v>
      </c>
      <c r="G110" s="4">
        <v>42031</v>
      </c>
      <c r="H110" s="4">
        <v>116641</v>
      </c>
      <c r="I110" s="4">
        <v>44031</v>
      </c>
      <c r="J110">
        <v>0</v>
      </c>
      <c r="K110">
        <v>160672</v>
      </c>
      <c r="L110">
        <v>201</v>
      </c>
      <c r="M110" s="4">
        <v>55</v>
      </c>
      <c r="N110" s="4">
        <v>256</v>
      </c>
      <c r="O110" s="4">
        <v>25063</v>
      </c>
      <c r="P110" s="4">
        <v>2885</v>
      </c>
      <c r="Q110" s="4">
        <v>35420</v>
      </c>
      <c r="R110" s="4">
        <v>39492</v>
      </c>
      <c r="S110" s="4">
        <v>263788</v>
      </c>
      <c r="T110" s="4">
        <v>144790</v>
      </c>
      <c r="U110" s="4">
        <v>118998</v>
      </c>
    </row>
    <row r="111" spans="1:21" x14ac:dyDescent="0.25">
      <c r="A111" s="1" t="s">
        <v>60</v>
      </c>
      <c r="B111" t="s">
        <v>730</v>
      </c>
      <c r="C111" s="1" t="s">
        <v>117</v>
      </c>
      <c r="D111" t="s">
        <v>515</v>
      </c>
      <c r="E111" s="4">
        <v>290479</v>
      </c>
      <c r="F111" s="4">
        <v>227381</v>
      </c>
      <c r="G111" s="4">
        <v>51207</v>
      </c>
      <c r="H111" s="4">
        <v>176174</v>
      </c>
      <c r="I111" s="4">
        <v>63098</v>
      </c>
      <c r="J111" s="4">
        <v>4284</v>
      </c>
      <c r="K111">
        <v>243556</v>
      </c>
      <c r="L111">
        <v>288</v>
      </c>
      <c r="M111" s="4">
        <v>80</v>
      </c>
      <c r="N111" s="4">
        <v>368</v>
      </c>
      <c r="O111" s="4">
        <v>36435</v>
      </c>
      <c r="P111" s="4">
        <v>4190</v>
      </c>
      <c r="Q111" s="4">
        <v>49289</v>
      </c>
      <c r="R111" s="4">
        <v>54954</v>
      </c>
      <c r="S111" s="4">
        <v>388792</v>
      </c>
      <c r="T111" s="4">
        <v>217086</v>
      </c>
      <c r="U111" s="4">
        <v>171706</v>
      </c>
    </row>
    <row r="112" spans="1:21" x14ac:dyDescent="0.25">
      <c r="A112" s="1" t="s">
        <v>118</v>
      </c>
      <c r="B112" t="s">
        <v>731</v>
      </c>
      <c r="C112" s="1" t="s">
        <v>119</v>
      </c>
      <c r="D112" t="s">
        <v>516</v>
      </c>
      <c r="E112" s="4">
        <v>86773</v>
      </c>
      <c r="F112" s="4">
        <v>68402</v>
      </c>
      <c r="G112" s="4">
        <v>21507</v>
      </c>
      <c r="H112" s="4">
        <v>46895</v>
      </c>
      <c r="I112" s="4">
        <v>18371</v>
      </c>
      <c r="J112" s="4">
        <v>6558</v>
      </c>
      <c r="K112">
        <v>71824</v>
      </c>
      <c r="L112">
        <v>0</v>
      </c>
      <c r="M112" s="4">
        <v>0</v>
      </c>
      <c r="N112" s="4">
        <v>0</v>
      </c>
      <c r="O112" s="4">
        <v>7973</v>
      </c>
      <c r="P112" s="4">
        <v>935</v>
      </c>
      <c r="Q112" s="4">
        <v>15805</v>
      </c>
      <c r="R112" s="4">
        <v>17271</v>
      </c>
      <c r="S112" s="4">
        <v>113808</v>
      </c>
      <c r="T112" s="4">
        <v>55803</v>
      </c>
      <c r="U112" s="4">
        <v>58005</v>
      </c>
    </row>
    <row r="113" spans="1:21" x14ac:dyDescent="0.25">
      <c r="A113" s="1" t="s">
        <v>118</v>
      </c>
      <c r="B113" t="s">
        <v>731</v>
      </c>
      <c r="C113" s="1" t="s">
        <v>120</v>
      </c>
      <c r="D113" t="s">
        <v>517</v>
      </c>
      <c r="E113" s="4">
        <v>229236</v>
      </c>
      <c r="F113" s="4">
        <v>180705</v>
      </c>
      <c r="G113" s="4">
        <v>43547</v>
      </c>
      <c r="H113" s="4">
        <v>137158</v>
      </c>
      <c r="I113" s="4">
        <v>48531</v>
      </c>
      <c r="J113">
        <v>0</v>
      </c>
      <c r="K113">
        <v>185689</v>
      </c>
      <c r="L113">
        <v>0</v>
      </c>
      <c r="M113" s="4">
        <v>0</v>
      </c>
      <c r="N113" s="4">
        <v>0</v>
      </c>
      <c r="O113" s="4">
        <v>21062</v>
      </c>
      <c r="P113" s="4">
        <v>2471</v>
      </c>
      <c r="Q113" s="4">
        <v>49646</v>
      </c>
      <c r="R113" s="4">
        <v>54252</v>
      </c>
      <c r="S113" s="4">
        <v>313120</v>
      </c>
      <c r="T113" s="4">
        <v>160691</v>
      </c>
      <c r="U113" s="4">
        <v>152429</v>
      </c>
    </row>
    <row r="114" spans="1:21" x14ac:dyDescent="0.25">
      <c r="A114" s="1" t="s">
        <v>118</v>
      </c>
      <c r="B114" t="s">
        <v>731</v>
      </c>
      <c r="C114" s="1" t="s">
        <v>121</v>
      </c>
      <c r="D114" t="s">
        <v>518</v>
      </c>
      <c r="E114" s="4">
        <v>66250</v>
      </c>
      <c r="F114" s="4">
        <v>52224</v>
      </c>
      <c r="G114" s="4">
        <v>15152</v>
      </c>
      <c r="H114" s="4">
        <v>37072</v>
      </c>
      <c r="I114" s="4">
        <v>14026</v>
      </c>
      <c r="J114" s="4">
        <v>6537</v>
      </c>
      <c r="K114">
        <v>57635</v>
      </c>
      <c r="L114">
        <v>0</v>
      </c>
      <c r="M114" s="4">
        <v>0</v>
      </c>
      <c r="N114" s="4">
        <v>0</v>
      </c>
      <c r="O114" s="4">
        <v>6211</v>
      </c>
      <c r="P114" s="4">
        <v>728</v>
      </c>
      <c r="Q114" s="4">
        <v>10847</v>
      </c>
      <c r="R114" s="4">
        <v>11853</v>
      </c>
      <c r="S114" s="4">
        <v>87274</v>
      </c>
      <c r="T114" s="4">
        <v>44011</v>
      </c>
      <c r="U114" s="4">
        <v>43263</v>
      </c>
    </row>
    <row r="115" spans="1:21" x14ac:dyDescent="0.25">
      <c r="A115" s="1" t="s">
        <v>118</v>
      </c>
      <c r="B115" t="s">
        <v>731</v>
      </c>
      <c r="C115" s="1" t="s">
        <v>122</v>
      </c>
      <c r="D115" t="s">
        <v>519</v>
      </c>
      <c r="E115" s="4">
        <v>1526822</v>
      </c>
      <c r="F115" s="4">
        <v>1203587</v>
      </c>
      <c r="G115" s="4">
        <v>244032</v>
      </c>
      <c r="H115" s="4">
        <v>959555</v>
      </c>
      <c r="I115" s="4">
        <v>323235</v>
      </c>
      <c r="J115">
        <v>0</v>
      </c>
      <c r="K115">
        <v>1282790</v>
      </c>
      <c r="L115">
        <v>0</v>
      </c>
      <c r="M115" s="4">
        <v>0</v>
      </c>
      <c r="N115" s="4">
        <v>0</v>
      </c>
      <c r="O115" s="4">
        <v>140282</v>
      </c>
      <c r="P115" s="4">
        <v>16458</v>
      </c>
      <c r="Q115" s="4">
        <v>266638</v>
      </c>
      <c r="R115" s="4">
        <v>291374</v>
      </c>
      <c r="S115" s="4">
        <v>1997542</v>
      </c>
      <c r="T115" s="4">
        <v>1116295</v>
      </c>
      <c r="U115" s="4">
        <v>881247</v>
      </c>
    </row>
    <row r="116" spans="1:21" x14ac:dyDescent="0.25">
      <c r="A116" s="1" t="s">
        <v>118</v>
      </c>
      <c r="B116" t="s">
        <v>731</v>
      </c>
      <c r="C116" s="1" t="s">
        <v>123</v>
      </c>
      <c r="D116" t="s">
        <v>520</v>
      </c>
      <c r="E116" s="4">
        <v>143384</v>
      </c>
      <c r="F116" s="4">
        <v>113029</v>
      </c>
      <c r="G116" s="4">
        <v>31925</v>
      </c>
      <c r="H116" s="4">
        <v>81104</v>
      </c>
      <c r="I116" s="4">
        <v>30355</v>
      </c>
      <c r="J116" s="4">
        <v>12335</v>
      </c>
      <c r="K116">
        <v>123794</v>
      </c>
      <c r="L116">
        <v>0</v>
      </c>
      <c r="M116" s="4">
        <v>0</v>
      </c>
      <c r="N116" s="4">
        <v>0</v>
      </c>
      <c r="O116" s="4">
        <v>13174</v>
      </c>
      <c r="P116" s="4">
        <v>1546</v>
      </c>
      <c r="Q116" s="4">
        <v>23800</v>
      </c>
      <c r="R116" s="4">
        <v>26008</v>
      </c>
      <c r="S116" s="4">
        <v>188322</v>
      </c>
      <c r="T116" s="4">
        <v>95824</v>
      </c>
      <c r="U116" s="4">
        <v>92498</v>
      </c>
    </row>
    <row r="117" spans="1:21" x14ac:dyDescent="0.25">
      <c r="A117" s="1" t="s">
        <v>118</v>
      </c>
      <c r="B117" t="s">
        <v>731</v>
      </c>
      <c r="C117" s="1" t="s">
        <v>124</v>
      </c>
      <c r="D117" t="s">
        <v>521</v>
      </c>
      <c r="E117" s="4">
        <v>319759</v>
      </c>
      <c r="F117" s="4">
        <v>252065</v>
      </c>
      <c r="G117" s="4">
        <v>54161</v>
      </c>
      <c r="H117" s="4">
        <v>197904</v>
      </c>
      <c r="I117" s="4">
        <v>67694</v>
      </c>
      <c r="J117">
        <v>0</v>
      </c>
      <c r="K117">
        <v>265598</v>
      </c>
      <c r="L117">
        <v>0</v>
      </c>
      <c r="M117" s="4">
        <v>0</v>
      </c>
      <c r="N117" s="4">
        <v>0</v>
      </c>
      <c r="O117" s="4">
        <v>29379</v>
      </c>
      <c r="P117" s="4">
        <v>3447</v>
      </c>
      <c r="Q117" s="4">
        <v>53861</v>
      </c>
      <c r="R117" s="4">
        <v>58857</v>
      </c>
      <c r="S117" s="4">
        <v>411142</v>
      </c>
      <c r="T117" s="4">
        <v>230730</v>
      </c>
      <c r="U117" s="4">
        <v>180412</v>
      </c>
    </row>
    <row r="118" spans="1:21" x14ac:dyDescent="0.25">
      <c r="A118" s="1" t="s">
        <v>118</v>
      </c>
      <c r="B118" t="s">
        <v>731</v>
      </c>
      <c r="C118" s="1" t="s">
        <v>125</v>
      </c>
      <c r="D118" t="s">
        <v>522</v>
      </c>
      <c r="E118" s="4">
        <v>550033</v>
      </c>
      <c r="F118" s="4">
        <v>433588</v>
      </c>
      <c r="G118" s="4">
        <v>101527</v>
      </c>
      <c r="H118" s="4">
        <v>332061</v>
      </c>
      <c r="I118" s="4">
        <v>116445</v>
      </c>
      <c r="J118">
        <v>0</v>
      </c>
      <c r="K118">
        <v>448506</v>
      </c>
      <c r="L118">
        <v>0</v>
      </c>
      <c r="M118" s="4">
        <v>0</v>
      </c>
      <c r="N118" s="4">
        <v>0</v>
      </c>
      <c r="O118" s="4">
        <v>50536</v>
      </c>
      <c r="P118" s="4">
        <v>5929</v>
      </c>
      <c r="Q118" s="4">
        <v>99230</v>
      </c>
      <c r="R118" s="4">
        <v>108436</v>
      </c>
      <c r="S118" s="4">
        <v>712637</v>
      </c>
      <c r="T118" s="4">
        <v>388526</v>
      </c>
      <c r="U118" s="4">
        <v>324111</v>
      </c>
    </row>
    <row r="119" spans="1:21" x14ac:dyDescent="0.25">
      <c r="A119" s="1" t="s">
        <v>118</v>
      </c>
      <c r="B119" t="s">
        <v>731</v>
      </c>
      <c r="C119" s="1" t="s">
        <v>126</v>
      </c>
      <c r="D119" t="s">
        <v>523</v>
      </c>
      <c r="E119" s="4">
        <v>1479715</v>
      </c>
      <c r="F119" s="4">
        <v>1166452</v>
      </c>
      <c r="G119" s="4">
        <v>287940</v>
      </c>
      <c r="H119" s="4">
        <v>878512</v>
      </c>
      <c r="I119" s="4">
        <v>313263</v>
      </c>
      <c r="J119">
        <v>0</v>
      </c>
      <c r="K119">
        <v>1191775</v>
      </c>
      <c r="L119">
        <v>0</v>
      </c>
      <c r="M119" s="4">
        <v>0</v>
      </c>
      <c r="N119" s="4">
        <v>0</v>
      </c>
      <c r="O119" s="4">
        <v>135954</v>
      </c>
      <c r="P119" s="4">
        <v>15950</v>
      </c>
      <c r="Q119" s="4">
        <v>233479</v>
      </c>
      <c r="R119" s="4">
        <v>255139</v>
      </c>
      <c r="S119" s="4">
        <v>1832297</v>
      </c>
      <c r="T119" s="4">
        <v>1030416</v>
      </c>
      <c r="U119" s="4">
        <v>801881</v>
      </c>
    </row>
    <row r="120" spans="1:21" x14ac:dyDescent="0.25">
      <c r="A120" s="1" t="s">
        <v>118</v>
      </c>
      <c r="B120" t="s">
        <v>731</v>
      </c>
      <c r="C120" s="1" t="s">
        <v>127</v>
      </c>
      <c r="D120" t="s">
        <v>524</v>
      </c>
      <c r="E120" s="4">
        <v>283697</v>
      </c>
      <c r="F120" s="4">
        <v>223637</v>
      </c>
      <c r="G120" s="4">
        <v>63439</v>
      </c>
      <c r="H120" s="4">
        <v>160198</v>
      </c>
      <c r="I120" s="4">
        <v>60060</v>
      </c>
      <c r="J120" s="4">
        <v>15376</v>
      </c>
      <c r="K120">
        <v>235634</v>
      </c>
      <c r="L120">
        <v>0</v>
      </c>
      <c r="M120" s="4">
        <v>0</v>
      </c>
      <c r="N120" s="4">
        <v>0</v>
      </c>
      <c r="O120" s="4">
        <v>26075</v>
      </c>
      <c r="P120" s="4">
        <v>3058</v>
      </c>
      <c r="Q120" s="4">
        <v>45989</v>
      </c>
      <c r="R120" s="4">
        <v>50256</v>
      </c>
      <c r="S120" s="4">
        <v>361012</v>
      </c>
      <c r="T120" s="4">
        <v>189331</v>
      </c>
      <c r="U120" s="4">
        <v>171681</v>
      </c>
    </row>
    <row r="121" spans="1:21" x14ac:dyDescent="0.25">
      <c r="A121" s="1" t="s">
        <v>118</v>
      </c>
      <c r="B121" t="s">
        <v>731</v>
      </c>
      <c r="C121" s="1" t="s">
        <v>128</v>
      </c>
      <c r="D121" t="s">
        <v>525</v>
      </c>
      <c r="E121" s="4">
        <v>5551088</v>
      </c>
      <c r="F121" s="4">
        <v>4375895</v>
      </c>
      <c r="G121" s="4">
        <v>1050693</v>
      </c>
      <c r="H121" s="4">
        <v>3325202</v>
      </c>
      <c r="I121" s="4">
        <v>1175193</v>
      </c>
      <c r="J121" s="4">
        <v>51920</v>
      </c>
      <c r="K121">
        <v>4552315</v>
      </c>
      <c r="L121">
        <v>0</v>
      </c>
      <c r="M121" s="4">
        <v>0</v>
      </c>
      <c r="N121" s="4">
        <v>0</v>
      </c>
      <c r="O121" s="4">
        <v>510024</v>
      </c>
      <c r="P121" s="4">
        <v>59837</v>
      </c>
      <c r="Q121" s="4">
        <v>980028</v>
      </c>
      <c r="R121" s="4">
        <v>1070947</v>
      </c>
      <c r="S121" s="4">
        <v>7173151</v>
      </c>
      <c r="T121" s="4">
        <v>3895063</v>
      </c>
      <c r="U121" s="4">
        <v>3278088</v>
      </c>
    </row>
    <row r="122" spans="1:21" x14ac:dyDescent="0.25">
      <c r="A122" s="1" t="s">
        <v>118</v>
      </c>
      <c r="B122" t="s">
        <v>731</v>
      </c>
      <c r="C122" s="1" t="s">
        <v>129</v>
      </c>
      <c r="D122" t="s">
        <v>526</v>
      </c>
      <c r="E122" s="4">
        <v>75858</v>
      </c>
      <c r="F122" s="4">
        <v>59799</v>
      </c>
      <c r="G122" s="4">
        <v>17235</v>
      </c>
      <c r="H122" s="4">
        <v>42564</v>
      </c>
      <c r="I122" s="4">
        <v>16059</v>
      </c>
      <c r="J122">
        <v>0</v>
      </c>
      <c r="K122">
        <v>58623</v>
      </c>
      <c r="L122">
        <v>0</v>
      </c>
      <c r="M122" s="4">
        <v>0</v>
      </c>
      <c r="N122" s="4">
        <v>0</v>
      </c>
      <c r="O122" s="4">
        <v>6970</v>
      </c>
      <c r="P122" s="4">
        <v>818</v>
      </c>
      <c r="Q122" s="4">
        <v>12396</v>
      </c>
      <c r="R122" s="4">
        <v>13546</v>
      </c>
      <c r="S122" s="4">
        <v>92353</v>
      </c>
      <c r="T122" s="4">
        <v>50352</v>
      </c>
      <c r="U122" s="4">
        <v>42001</v>
      </c>
    </row>
    <row r="123" spans="1:21" x14ac:dyDescent="0.25">
      <c r="A123" s="1" t="s">
        <v>118</v>
      </c>
      <c r="B123" t="s">
        <v>731</v>
      </c>
      <c r="C123" s="1" t="s">
        <v>130</v>
      </c>
      <c r="D123" t="s">
        <v>527</v>
      </c>
      <c r="E123" s="4">
        <v>186908</v>
      </c>
      <c r="F123" s="4">
        <v>147338</v>
      </c>
      <c r="G123" s="4">
        <v>36288</v>
      </c>
      <c r="H123" s="4">
        <v>111050</v>
      </c>
      <c r="I123" s="4">
        <v>39570</v>
      </c>
      <c r="J123" s="4">
        <v>6132</v>
      </c>
      <c r="K123">
        <v>156752</v>
      </c>
      <c r="L123">
        <v>0</v>
      </c>
      <c r="M123" s="4">
        <v>0</v>
      </c>
      <c r="N123" s="4">
        <v>0</v>
      </c>
      <c r="O123" s="4">
        <v>17546</v>
      </c>
      <c r="P123" s="4">
        <v>2057</v>
      </c>
      <c r="Q123" s="4">
        <v>31796</v>
      </c>
      <c r="R123" s="4">
        <v>34745</v>
      </c>
      <c r="S123" s="4">
        <v>242896</v>
      </c>
      <c r="T123" s="4">
        <v>130653</v>
      </c>
      <c r="U123" s="4">
        <v>112243</v>
      </c>
    </row>
    <row r="124" spans="1:21" x14ac:dyDescent="0.25">
      <c r="A124" s="1" t="s">
        <v>118</v>
      </c>
      <c r="B124" t="s">
        <v>731</v>
      </c>
      <c r="C124" s="1" t="s">
        <v>131</v>
      </c>
      <c r="D124" t="s">
        <v>528</v>
      </c>
      <c r="E124" s="4">
        <v>222149</v>
      </c>
      <c r="F124" s="4">
        <v>175119</v>
      </c>
      <c r="G124" s="4">
        <v>46849</v>
      </c>
      <c r="H124" s="4">
        <v>128270</v>
      </c>
      <c r="I124" s="4">
        <v>47030</v>
      </c>
      <c r="J124">
        <v>0</v>
      </c>
      <c r="K124">
        <v>175300</v>
      </c>
      <c r="L124">
        <v>0</v>
      </c>
      <c r="M124" s="4">
        <v>0</v>
      </c>
      <c r="N124" s="4">
        <v>0</v>
      </c>
      <c r="O124" s="4">
        <v>20411</v>
      </c>
      <c r="P124" s="4">
        <v>2395</v>
      </c>
      <c r="Q124" s="4">
        <v>34089</v>
      </c>
      <c r="R124" s="4">
        <v>37252</v>
      </c>
      <c r="S124" s="4">
        <v>269447</v>
      </c>
      <c r="T124" s="4">
        <v>151076</v>
      </c>
      <c r="U124" s="4">
        <v>118371</v>
      </c>
    </row>
    <row r="125" spans="1:21" x14ac:dyDescent="0.25">
      <c r="A125" s="1" t="s">
        <v>118</v>
      </c>
      <c r="B125" t="s">
        <v>731</v>
      </c>
      <c r="C125" s="1" t="s">
        <v>132</v>
      </c>
      <c r="D125" t="s">
        <v>529</v>
      </c>
      <c r="E125" s="4">
        <v>255683</v>
      </c>
      <c r="F125" s="4">
        <v>201553</v>
      </c>
      <c r="G125" s="4">
        <v>51617</v>
      </c>
      <c r="H125" s="4">
        <v>149936</v>
      </c>
      <c r="I125" s="4">
        <v>54130</v>
      </c>
      <c r="J125">
        <v>0</v>
      </c>
      <c r="K125">
        <v>204066</v>
      </c>
      <c r="L125">
        <v>0</v>
      </c>
      <c r="M125" s="4">
        <v>0</v>
      </c>
      <c r="N125" s="4">
        <v>0</v>
      </c>
      <c r="O125" s="4">
        <v>23492</v>
      </c>
      <c r="P125" s="4">
        <v>2756</v>
      </c>
      <c r="Q125" s="4">
        <v>42766</v>
      </c>
      <c r="R125" s="4">
        <v>46734</v>
      </c>
      <c r="S125" s="4">
        <v>319814</v>
      </c>
      <c r="T125" s="4">
        <v>176184</v>
      </c>
      <c r="U125" s="4">
        <v>143630</v>
      </c>
    </row>
    <row r="126" spans="1:21" x14ac:dyDescent="0.25">
      <c r="A126" s="1" t="s">
        <v>118</v>
      </c>
      <c r="B126" t="s">
        <v>731</v>
      </c>
      <c r="C126" s="1" t="s">
        <v>133</v>
      </c>
      <c r="D126" t="s">
        <v>530</v>
      </c>
      <c r="E126" s="4">
        <v>496422</v>
      </c>
      <c r="F126" s="4">
        <v>391327</v>
      </c>
      <c r="G126" s="4">
        <v>97359</v>
      </c>
      <c r="H126" s="4">
        <v>293968</v>
      </c>
      <c r="I126" s="4">
        <v>105095</v>
      </c>
      <c r="J126" s="4">
        <v>4944</v>
      </c>
      <c r="K126">
        <v>404007</v>
      </c>
      <c r="L126">
        <v>0</v>
      </c>
      <c r="M126" s="4">
        <v>0</v>
      </c>
      <c r="N126" s="4">
        <v>0</v>
      </c>
      <c r="O126" s="4">
        <v>45610</v>
      </c>
      <c r="P126" s="4">
        <v>5351</v>
      </c>
      <c r="Q126" s="4">
        <v>82309</v>
      </c>
      <c r="R126" s="4">
        <v>89945</v>
      </c>
      <c r="S126" s="4">
        <v>627222</v>
      </c>
      <c r="T126" s="4">
        <v>344929</v>
      </c>
      <c r="U126" s="4">
        <v>282293</v>
      </c>
    </row>
    <row r="127" spans="1:21" x14ac:dyDescent="0.25">
      <c r="A127" s="1" t="s">
        <v>118</v>
      </c>
      <c r="B127" t="s">
        <v>731</v>
      </c>
      <c r="C127" s="1" t="s">
        <v>134</v>
      </c>
      <c r="D127" t="s">
        <v>531</v>
      </c>
      <c r="E127" s="4">
        <v>1757682</v>
      </c>
      <c r="F127" s="4">
        <v>1385572</v>
      </c>
      <c r="G127" s="4">
        <v>333204</v>
      </c>
      <c r="H127" s="4">
        <v>1052368</v>
      </c>
      <c r="I127" s="4">
        <v>372110</v>
      </c>
      <c r="J127">
        <v>0</v>
      </c>
      <c r="K127">
        <v>1424478</v>
      </c>
      <c r="L127">
        <v>0</v>
      </c>
      <c r="M127" s="4">
        <v>0</v>
      </c>
      <c r="N127" s="4">
        <v>0</v>
      </c>
      <c r="O127" s="4">
        <v>161493</v>
      </c>
      <c r="P127" s="4">
        <v>18947</v>
      </c>
      <c r="Q127" s="4">
        <v>296388</v>
      </c>
      <c r="R127" s="4">
        <v>323885</v>
      </c>
      <c r="S127" s="4">
        <v>2225191</v>
      </c>
      <c r="T127" s="4">
        <v>1232808</v>
      </c>
      <c r="U127" s="4">
        <v>992383</v>
      </c>
    </row>
    <row r="128" spans="1:21" x14ac:dyDescent="0.25">
      <c r="A128" s="1" t="s">
        <v>118</v>
      </c>
      <c r="B128" t="s">
        <v>731</v>
      </c>
      <c r="C128" s="1" t="s">
        <v>135</v>
      </c>
      <c r="D128" t="s">
        <v>532</v>
      </c>
      <c r="E128" s="4">
        <v>1139748</v>
      </c>
      <c r="F128" s="4">
        <v>898458</v>
      </c>
      <c r="G128" s="4">
        <v>171716</v>
      </c>
      <c r="H128" s="4">
        <v>726742</v>
      </c>
      <c r="I128" s="4">
        <v>241290</v>
      </c>
      <c r="J128">
        <v>0</v>
      </c>
      <c r="K128">
        <v>968032</v>
      </c>
      <c r="L128">
        <v>0</v>
      </c>
      <c r="M128" s="4">
        <v>0</v>
      </c>
      <c r="N128" s="4">
        <v>0</v>
      </c>
      <c r="O128" s="4">
        <v>104718</v>
      </c>
      <c r="P128" s="4">
        <v>12286</v>
      </c>
      <c r="Q128" s="4">
        <v>194741</v>
      </c>
      <c r="R128" s="4">
        <v>212808</v>
      </c>
      <c r="S128" s="4">
        <v>1492585</v>
      </c>
      <c r="T128" s="4">
        <v>843746</v>
      </c>
      <c r="U128" s="4">
        <v>648839</v>
      </c>
    </row>
    <row r="129" spans="1:21" x14ac:dyDescent="0.25">
      <c r="A129" s="1" t="s">
        <v>118</v>
      </c>
      <c r="B129" t="s">
        <v>731</v>
      </c>
      <c r="C129" s="1" t="s">
        <v>136</v>
      </c>
      <c r="D129" t="s">
        <v>533</v>
      </c>
      <c r="E129" s="4">
        <v>198073</v>
      </c>
      <c r="F129" s="4">
        <v>156140</v>
      </c>
      <c r="G129" s="4">
        <v>40448</v>
      </c>
      <c r="H129" s="4">
        <v>115692</v>
      </c>
      <c r="I129" s="4">
        <v>41933</v>
      </c>
      <c r="J129">
        <v>0</v>
      </c>
      <c r="K129">
        <v>157625</v>
      </c>
      <c r="L129">
        <v>0</v>
      </c>
      <c r="M129" s="4">
        <v>0</v>
      </c>
      <c r="N129" s="4">
        <v>0</v>
      </c>
      <c r="O129" s="4">
        <v>18199</v>
      </c>
      <c r="P129" s="4">
        <v>2135</v>
      </c>
      <c r="Q129" s="4">
        <v>32849</v>
      </c>
      <c r="R129" s="4">
        <v>35897</v>
      </c>
      <c r="S129" s="4">
        <v>246705</v>
      </c>
      <c r="T129" s="4">
        <v>136026</v>
      </c>
      <c r="U129" s="4">
        <v>110679</v>
      </c>
    </row>
    <row r="130" spans="1:21" x14ac:dyDescent="0.25">
      <c r="A130" s="1" t="s">
        <v>118</v>
      </c>
      <c r="B130" t="s">
        <v>731</v>
      </c>
      <c r="C130" s="1" t="s">
        <v>137</v>
      </c>
      <c r="D130" t="s">
        <v>534</v>
      </c>
      <c r="E130" s="4">
        <v>2008255</v>
      </c>
      <c r="F130" s="4">
        <v>1583097</v>
      </c>
      <c r="G130" s="4">
        <v>178615</v>
      </c>
      <c r="H130" s="4">
        <v>1404482</v>
      </c>
      <c r="I130" s="4">
        <v>425158</v>
      </c>
      <c r="J130">
        <v>0</v>
      </c>
      <c r="K130">
        <v>1829640</v>
      </c>
      <c r="L130">
        <v>0</v>
      </c>
      <c r="M130" s="4">
        <v>0</v>
      </c>
      <c r="N130" s="4">
        <v>0</v>
      </c>
      <c r="O130" s="4">
        <v>184515</v>
      </c>
      <c r="P130" s="4">
        <v>21648</v>
      </c>
      <c r="Q130" s="4">
        <v>352604</v>
      </c>
      <c r="R130" s="4">
        <v>385316</v>
      </c>
      <c r="S130" s="4">
        <v>2773723</v>
      </c>
      <c r="T130" s="4">
        <v>1610645</v>
      </c>
      <c r="U130" s="4">
        <v>1163078</v>
      </c>
    </row>
    <row r="131" spans="1:21" x14ac:dyDescent="0.25">
      <c r="A131" s="1" t="s">
        <v>118</v>
      </c>
      <c r="B131" t="s">
        <v>731</v>
      </c>
      <c r="C131" s="1" t="s">
        <v>138</v>
      </c>
      <c r="D131" t="s">
        <v>535</v>
      </c>
      <c r="E131" s="4">
        <v>456877</v>
      </c>
      <c r="F131" s="4">
        <v>360154</v>
      </c>
      <c r="G131" s="4">
        <v>67734</v>
      </c>
      <c r="H131" s="4">
        <v>292420</v>
      </c>
      <c r="I131" s="4">
        <v>96723</v>
      </c>
      <c r="J131">
        <v>0</v>
      </c>
      <c r="K131">
        <v>389143</v>
      </c>
      <c r="L131">
        <v>0</v>
      </c>
      <c r="M131" s="4">
        <v>0</v>
      </c>
      <c r="N131" s="4">
        <v>0</v>
      </c>
      <c r="O131" s="4">
        <v>41977</v>
      </c>
      <c r="P131" s="4">
        <v>4925</v>
      </c>
      <c r="Q131" s="4">
        <v>76855</v>
      </c>
      <c r="R131" s="4">
        <v>83985</v>
      </c>
      <c r="S131" s="4">
        <v>596885</v>
      </c>
      <c r="T131" s="4">
        <v>339322</v>
      </c>
      <c r="U131" s="4">
        <v>257563</v>
      </c>
    </row>
    <row r="132" spans="1:21" x14ac:dyDescent="0.25">
      <c r="A132" s="1" t="s">
        <v>118</v>
      </c>
      <c r="B132" t="s">
        <v>731</v>
      </c>
      <c r="C132" s="1" t="s">
        <v>139</v>
      </c>
      <c r="D132" t="s">
        <v>536</v>
      </c>
      <c r="E132" s="4">
        <v>316377</v>
      </c>
      <c r="F132" s="4">
        <v>249398</v>
      </c>
      <c r="G132" s="4">
        <v>53251</v>
      </c>
      <c r="H132" s="4">
        <v>196147</v>
      </c>
      <c r="I132" s="4">
        <v>66979</v>
      </c>
      <c r="J132">
        <v>0</v>
      </c>
      <c r="K132">
        <v>263126</v>
      </c>
      <c r="L132">
        <v>0</v>
      </c>
      <c r="M132" s="4">
        <v>0</v>
      </c>
      <c r="N132" s="4">
        <v>0</v>
      </c>
      <c r="O132" s="4">
        <v>29068</v>
      </c>
      <c r="P132" s="4">
        <v>3410</v>
      </c>
      <c r="Q132" s="4">
        <v>52807</v>
      </c>
      <c r="R132" s="4">
        <v>57706</v>
      </c>
      <c r="S132" s="4">
        <v>406117</v>
      </c>
      <c r="T132" s="4">
        <v>228625</v>
      </c>
      <c r="U132" s="4">
        <v>177492</v>
      </c>
    </row>
    <row r="133" spans="1:21" x14ac:dyDescent="0.25">
      <c r="A133" s="1" t="s">
        <v>140</v>
      </c>
      <c r="B133" t="s">
        <v>732</v>
      </c>
      <c r="C133" s="1" t="s">
        <v>141</v>
      </c>
      <c r="D133" t="s">
        <v>537</v>
      </c>
      <c r="E133" s="4">
        <v>187175</v>
      </c>
      <c r="F133" s="4">
        <v>148400</v>
      </c>
      <c r="G133" s="4">
        <v>37096</v>
      </c>
      <c r="H133" s="4">
        <v>111304</v>
      </c>
      <c r="I133" s="4">
        <v>38775</v>
      </c>
      <c r="J133">
        <v>0</v>
      </c>
      <c r="K133">
        <v>150079</v>
      </c>
      <c r="L133">
        <v>172</v>
      </c>
      <c r="M133" s="4">
        <v>44</v>
      </c>
      <c r="N133" s="4">
        <v>216</v>
      </c>
      <c r="O133" s="4">
        <v>17718</v>
      </c>
      <c r="P133" s="4">
        <v>2063</v>
      </c>
      <c r="Q133" s="4">
        <v>34126</v>
      </c>
      <c r="R133" s="4">
        <v>37513</v>
      </c>
      <c r="S133" s="4">
        <v>241715</v>
      </c>
      <c r="T133" s="4">
        <v>131256</v>
      </c>
      <c r="U133" s="4">
        <v>110459</v>
      </c>
    </row>
    <row r="134" spans="1:21" x14ac:dyDescent="0.25">
      <c r="A134" s="1" t="s">
        <v>140</v>
      </c>
      <c r="B134" t="s">
        <v>732</v>
      </c>
      <c r="C134" s="1" t="s">
        <v>142</v>
      </c>
      <c r="D134" t="s">
        <v>538</v>
      </c>
      <c r="E134" s="4">
        <v>460838</v>
      </c>
      <c r="F134" s="4">
        <v>365371</v>
      </c>
      <c r="G134" s="4">
        <v>78995</v>
      </c>
      <c r="H134" s="4">
        <v>286376</v>
      </c>
      <c r="I134" s="4">
        <v>95467</v>
      </c>
      <c r="J134">
        <v>0</v>
      </c>
      <c r="K134">
        <v>381843</v>
      </c>
      <c r="L134">
        <v>422</v>
      </c>
      <c r="M134" s="4">
        <v>111</v>
      </c>
      <c r="N134" s="4">
        <v>533</v>
      </c>
      <c r="O134" s="4">
        <v>43623</v>
      </c>
      <c r="P134" s="4">
        <v>5079</v>
      </c>
      <c r="Q134" s="4">
        <v>81492</v>
      </c>
      <c r="R134" s="4">
        <v>89581</v>
      </c>
      <c r="S134" s="4">
        <v>602151</v>
      </c>
      <c r="T134" s="4">
        <v>335500</v>
      </c>
      <c r="U134" s="4">
        <v>266651</v>
      </c>
    </row>
    <row r="135" spans="1:21" x14ac:dyDescent="0.25">
      <c r="A135" s="1" t="s">
        <v>140</v>
      </c>
      <c r="B135" t="s">
        <v>732</v>
      </c>
      <c r="C135" s="1" t="s">
        <v>143</v>
      </c>
      <c r="D135" t="s">
        <v>539</v>
      </c>
      <c r="E135" s="4">
        <v>173080</v>
      </c>
      <c r="F135" s="4">
        <v>137225</v>
      </c>
      <c r="G135" s="4">
        <v>44734</v>
      </c>
      <c r="H135" s="4">
        <v>92491</v>
      </c>
      <c r="I135" s="4">
        <v>35855</v>
      </c>
      <c r="J135" s="4">
        <v>1248</v>
      </c>
      <c r="K135">
        <v>129594</v>
      </c>
      <c r="L135">
        <v>158</v>
      </c>
      <c r="M135" s="4">
        <v>42</v>
      </c>
      <c r="N135" s="4">
        <v>200</v>
      </c>
      <c r="O135" s="4">
        <v>16384</v>
      </c>
      <c r="P135" s="4">
        <v>1908</v>
      </c>
      <c r="Q135" s="4">
        <v>30085</v>
      </c>
      <c r="R135" s="4">
        <v>33072</v>
      </c>
      <c r="S135" s="4">
        <v>211243</v>
      </c>
      <c r="T135" s="4">
        <v>110941</v>
      </c>
      <c r="U135" s="4">
        <v>100302</v>
      </c>
    </row>
    <row r="136" spans="1:21" x14ac:dyDescent="0.25">
      <c r="A136" s="1" t="s">
        <v>140</v>
      </c>
      <c r="B136" t="s">
        <v>732</v>
      </c>
      <c r="C136" s="1" t="s">
        <v>144</v>
      </c>
      <c r="D136" t="s">
        <v>540</v>
      </c>
      <c r="E136" s="4">
        <v>562293</v>
      </c>
      <c r="F136" s="4">
        <v>445809</v>
      </c>
      <c r="G136" s="4">
        <v>104406</v>
      </c>
      <c r="H136" s="4">
        <v>341403</v>
      </c>
      <c r="I136" s="4">
        <v>116484</v>
      </c>
      <c r="J136">
        <v>0</v>
      </c>
      <c r="K136">
        <v>457887</v>
      </c>
      <c r="L136">
        <v>515</v>
      </c>
      <c r="M136" s="4">
        <v>134</v>
      </c>
      <c r="N136" s="4">
        <v>649</v>
      </c>
      <c r="O136" s="4">
        <v>53227</v>
      </c>
      <c r="P136" s="4">
        <v>6197</v>
      </c>
      <c r="Q136" s="4">
        <v>102067</v>
      </c>
      <c r="R136" s="4">
        <v>112198</v>
      </c>
      <c r="S136" s="4">
        <v>732225</v>
      </c>
      <c r="T136" s="4">
        <v>401342</v>
      </c>
      <c r="U136" s="4">
        <v>330883</v>
      </c>
    </row>
    <row r="137" spans="1:21" x14ac:dyDescent="0.25">
      <c r="A137" s="1" t="s">
        <v>140</v>
      </c>
      <c r="B137" t="s">
        <v>732</v>
      </c>
      <c r="C137" s="1" t="s">
        <v>145</v>
      </c>
      <c r="D137" t="s">
        <v>541</v>
      </c>
      <c r="E137" s="4">
        <v>6124847</v>
      </c>
      <c r="F137" s="4">
        <v>4856027</v>
      </c>
      <c r="G137" s="4">
        <v>1111818</v>
      </c>
      <c r="H137" s="4">
        <v>3744209</v>
      </c>
      <c r="I137" s="4">
        <v>1268820</v>
      </c>
      <c r="J137" s="4">
        <v>0</v>
      </c>
      <c r="K137" s="4">
        <v>5013029</v>
      </c>
      <c r="L137" s="4">
        <v>5618</v>
      </c>
      <c r="M137" s="4">
        <v>1468</v>
      </c>
      <c r="N137" s="4">
        <v>7086</v>
      </c>
      <c r="O137" s="4">
        <v>579780</v>
      </c>
      <c r="P137" s="4">
        <v>67506</v>
      </c>
      <c r="Q137" s="4">
        <v>1105889</v>
      </c>
      <c r="R137" s="4">
        <v>1215659</v>
      </c>
      <c r="S137" s="4">
        <v>7988949</v>
      </c>
      <c r="T137" s="4">
        <v>4397112</v>
      </c>
      <c r="U137" s="4">
        <v>3591837</v>
      </c>
    </row>
    <row r="138" spans="1:21" x14ac:dyDescent="0.25">
      <c r="A138" s="1" t="s">
        <v>140</v>
      </c>
      <c r="B138" t="s">
        <v>732</v>
      </c>
      <c r="C138" s="1" t="s">
        <v>146</v>
      </c>
      <c r="D138" t="s">
        <v>542</v>
      </c>
      <c r="E138" s="4">
        <v>434259</v>
      </c>
      <c r="F138" s="4">
        <v>344298</v>
      </c>
      <c r="G138" s="4">
        <v>61387</v>
      </c>
      <c r="H138" s="4">
        <v>282911</v>
      </c>
      <c r="I138" s="4">
        <v>89961</v>
      </c>
      <c r="J138" s="4">
        <v>27534</v>
      </c>
      <c r="K138">
        <v>400406</v>
      </c>
      <c r="L138">
        <v>399</v>
      </c>
      <c r="M138" s="4">
        <v>104</v>
      </c>
      <c r="N138" s="4">
        <v>503</v>
      </c>
      <c r="O138" s="4">
        <v>41920</v>
      </c>
      <c r="P138" s="4">
        <v>4876</v>
      </c>
      <c r="Q138" s="4">
        <v>75214</v>
      </c>
      <c r="R138" s="4">
        <v>82679</v>
      </c>
      <c r="S138" s="4">
        <v>605598</v>
      </c>
      <c r="T138" s="4">
        <v>330106</v>
      </c>
      <c r="U138" s="4">
        <v>275492</v>
      </c>
    </row>
    <row r="139" spans="1:21" x14ac:dyDescent="0.25">
      <c r="A139" s="1" t="s">
        <v>140</v>
      </c>
      <c r="B139" t="s">
        <v>732</v>
      </c>
      <c r="C139" s="1" t="s">
        <v>147</v>
      </c>
      <c r="D139" t="s">
        <v>543</v>
      </c>
      <c r="E139" s="4">
        <v>156750</v>
      </c>
      <c r="F139" s="4">
        <v>124278</v>
      </c>
      <c r="G139" s="4">
        <v>31232</v>
      </c>
      <c r="H139" s="4">
        <v>93046</v>
      </c>
      <c r="I139" s="4">
        <v>32472</v>
      </c>
      <c r="J139" s="4">
        <v>8158</v>
      </c>
      <c r="K139">
        <v>133676</v>
      </c>
      <c r="L139">
        <v>143</v>
      </c>
      <c r="M139" s="4">
        <v>37</v>
      </c>
      <c r="N139" s="4">
        <v>180</v>
      </c>
      <c r="O139" s="4">
        <v>15398</v>
      </c>
      <c r="P139" s="4">
        <v>1791</v>
      </c>
      <c r="Q139" s="4">
        <v>27475</v>
      </c>
      <c r="R139" s="4">
        <v>30202</v>
      </c>
      <c r="S139" s="4">
        <v>208722</v>
      </c>
      <c r="T139" s="4">
        <v>110378</v>
      </c>
      <c r="U139" s="4">
        <v>98344</v>
      </c>
    </row>
    <row r="140" spans="1:21" x14ac:dyDescent="0.25">
      <c r="A140" s="1" t="s">
        <v>140</v>
      </c>
      <c r="B140" t="s">
        <v>732</v>
      </c>
      <c r="C140" s="1" t="s">
        <v>148</v>
      </c>
      <c r="D140" t="s">
        <v>544</v>
      </c>
      <c r="E140" s="4">
        <v>1098195</v>
      </c>
      <c r="F140" s="4">
        <v>870693</v>
      </c>
      <c r="G140" s="4">
        <v>71853</v>
      </c>
      <c r="H140" s="4">
        <v>798840</v>
      </c>
      <c r="I140" s="4">
        <v>227502</v>
      </c>
      <c r="J140" s="4">
        <v>0</v>
      </c>
      <c r="K140" s="4">
        <v>1026342</v>
      </c>
      <c r="L140" s="4">
        <v>1006</v>
      </c>
      <c r="M140" s="4">
        <v>263</v>
      </c>
      <c r="N140" s="4">
        <v>1269</v>
      </c>
      <c r="O140" s="4">
        <v>103955</v>
      </c>
      <c r="P140" s="4">
        <v>12104</v>
      </c>
      <c r="Q140" s="4">
        <v>184740</v>
      </c>
      <c r="R140" s="4">
        <v>203077</v>
      </c>
      <c r="S140" s="4">
        <v>1531487</v>
      </c>
      <c r="T140" s="4">
        <v>915905</v>
      </c>
      <c r="U140" s="4">
        <v>615582</v>
      </c>
    </row>
    <row r="141" spans="1:21" x14ac:dyDescent="0.25">
      <c r="A141" s="1" t="s">
        <v>140</v>
      </c>
      <c r="B141" t="s">
        <v>732</v>
      </c>
      <c r="C141" s="1" t="s">
        <v>149</v>
      </c>
      <c r="D141" t="s">
        <v>545</v>
      </c>
      <c r="E141" s="4">
        <v>1925900</v>
      </c>
      <c r="F141" s="4">
        <v>1526931</v>
      </c>
      <c r="G141" s="4">
        <v>187174</v>
      </c>
      <c r="H141" s="4">
        <v>1339757</v>
      </c>
      <c r="I141" s="4">
        <v>398969</v>
      </c>
      <c r="J141" s="4">
        <v>0</v>
      </c>
      <c r="K141" s="4">
        <v>1738726</v>
      </c>
      <c r="L141" s="4">
        <v>1766</v>
      </c>
      <c r="M141" s="4">
        <v>462</v>
      </c>
      <c r="N141" s="4">
        <v>2228</v>
      </c>
      <c r="O141" s="4">
        <v>182306</v>
      </c>
      <c r="P141" s="4">
        <v>21227</v>
      </c>
      <c r="Q141" s="4">
        <v>328080</v>
      </c>
      <c r="R141" s="4">
        <v>360646</v>
      </c>
      <c r="S141" s="4">
        <v>2633213</v>
      </c>
      <c r="T141" s="4">
        <v>1545056</v>
      </c>
      <c r="U141" s="4">
        <v>1088157</v>
      </c>
    </row>
    <row r="142" spans="1:21" x14ac:dyDescent="0.25">
      <c r="A142" s="1" t="s">
        <v>140</v>
      </c>
      <c r="B142" t="s">
        <v>732</v>
      </c>
      <c r="C142" s="1" t="s">
        <v>150</v>
      </c>
      <c r="D142" t="s">
        <v>546</v>
      </c>
      <c r="E142" s="4">
        <v>170579</v>
      </c>
      <c r="F142" s="4">
        <v>135242</v>
      </c>
      <c r="G142" s="4">
        <v>41379</v>
      </c>
      <c r="H142" s="4">
        <v>93863</v>
      </c>
      <c r="I142" s="4">
        <v>35337</v>
      </c>
      <c r="J142" s="4">
        <v>4607</v>
      </c>
      <c r="K142">
        <v>133807</v>
      </c>
      <c r="L142">
        <v>156</v>
      </c>
      <c r="M142" s="4">
        <v>40</v>
      </c>
      <c r="N142" s="4">
        <v>196</v>
      </c>
      <c r="O142" s="4">
        <v>16441</v>
      </c>
      <c r="P142" s="4">
        <v>1912</v>
      </c>
      <c r="Q142" s="4">
        <v>29091</v>
      </c>
      <c r="R142" s="4">
        <v>31978</v>
      </c>
      <c r="S142" s="4">
        <v>213425</v>
      </c>
      <c r="T142" s="4">
        <v>112372</v>
      </c>
      <c r="U142" s="4">
        <v>101053</v>
      </c>
    </row>
    <row r="143" spans="1:21" x14ac:dyDescent="0.25">
      <c r="A143" s="1" t="s">
        <v>140</v>
      </c>
      <c r="B143" t="s">
        <v>732</v>
      </c>
      <c r="C143" s="1" t="s">
        <v>152</v>
      </c>
      <c r="D143" t="s">
        <v>153</v>
      </c>
      <c r="E143" s="4">
        <v>117489</v>
      </c>
      <c r="F143" s="4">
        <v>93150</v>
      </c>
      <c r="G143" s="4">
        <v>26035</v>
      </c>
      <c r="H143" s="4">
        <v>67115</v>
      </c>
      <c r="I143" s="4">
        <v>24339</v>
      </c>
      <c r="J143" s="4">
        <v>3207</v>
      </c>
      <c r="K143">
        <v>94661</v>
      </c>
      <c r="L143">
        <v>119</v>
      </c>
      <c r="M143" s="4">
        <v>31</v>
      </c>
      <c r="N143" s="4">
        <v>150</v>
      </c>
      <c r="O143" s="4">
        <v>11222</v>
      </c>
      <c r="P143" s="4">
        <v>1305</v>
      </c>
      <c r="Q143" s="4">
        <v>19891</v>
      </c>
      <c r="R143" s="4">
        <v>21866</v>
      </c>
      <c r="S143" s="4">
        <v>149095</v>
      </c>
      <c r="T143" s="4">
        <v>79761</v>
      </c>
      <c r="U143" s="4">
        <v>69334</v>
      </c>
    </row>
    <row r="144" spans="1:21" x14ac:dyDescent="0.25">
      <c r="A144" s="1" t="s">
        <v>140</v>
      </c>
      <c r="B144" t="s">
        <v>732</v>
      </c>
      <c r="C144" s="1" t="s">
        <v>151</v>
      </c>
      <c r="D144" t="s">
        <v>547</v>
      </c>
      <c r="E144" s="4">
        <v>213160</v>
      </c>
      <c r="F144" s="4">
        <v>169002</v>
      </c>
      <c r="G144" s="4">
        <v>37800</v>
      </c>
      <c r="H144" s="4">
        <v>131202</v>
      </c>
      <c r="I144" s="4">
        <v>44158</v>
      </c>
      <c r="J144">
        <v>668</v>
      </c>
      <c r="K144">
        <v>176028</v>
      </c>
      <c r="L144">
        <v>195</v>
      </c>
      <c r="M144" s="4">
        <v>51</v>
      </c>
      <c r="N144" s="4">
        <v>246</v>
      </c>
      <c r="O144" s="4">
        <v>20178</v>
      </c>
      <c r="P144" s="4">
        <v>2349</v>
      </c>
      <c r="Q144" s="4">
        <v>37047</v>
      </c>
      <c r="R144" s="4">
        <v>40725</v>
      </c>
      <c r="S144" s="4">
        <v>276573</v>
      </c>
      <c r="T144" s="4">
        <v>153925</v>
      </c>
      <c r="U144" s="4">
        <v>122648</v>
      </c>
    </row>
    <row r="145" spans="1:21" x14ac:dyDescent="0.25">
      <c r="A145" s="1" t="s">
        <v>140</v>
      </c>
      <c r="B145" t="s">
        <v>732</v>
      </c>
      <c r="C145" s="1" t="s">
        <v>154</v>
      </c>
      <c r="D145" t="s">
        <v>548</v>
      </c>
      <c r="E145" s="4">
        <v>5335652</v>
      </c>
      <c r="F145" s="4">
        <v>4230320</v>
      </c>
      <c r="G145" s="4">
        <v>637927</v>
      </c>
      <c r="H145" s="4">
        <v>3592393</v>
      </c>
      <c r="I145" s="4">
        <v>1105332</v>
      </c>
      <c r="J145" s="4">
        <v>0</v>
      </c>
      <c r="K145" s="4">
        <v>4697725</v>
      </c>
      <c r="L145" s="4">
        <v>4895</v>
      </c>
      <c r="M145" s="4">
        <v>1278</v>
      </c>
      <c r="N145" s="4">
        <v>6173</v>
      </c>
      <c r="O145" s="4">
        <v>505075</v>
      </c>
      <c r="P145" s="4">
        <v>58808</v>
      </c>
      <c r="Q145" s="4">
        <v>967769</v>
      </c>
      <c r="R145" s="4">
        <v>1063830</v>
      </c>
      <c r="S145" s="4">
        <v>7299380</v>
      </c>
      <c r="T145" s="4">
        <v>4161171</v>
      </c>
      <c r="U145" s="4">
        <v>3138209</v>
      </c>
    </row>
    <row r="146" spans="1:21" x14ac:dyDescent="0.25">
      <c r="A146" s="1" t="s">
        <v>140</v>
      </c>
      <c r="B146" t="s">
        <v>732</v>
      </c>
      <c r="C146" s="1" t="s">
        <v>155</v>
      </c>
      <c r="D146" t="s">
        <v>549</v>
      </c>
      <c r="E146" s="4">
        <v>183618</v>
      </c>
      <c r="F146" s="4">
        <v>145580</v>
      </c>
      <c r="G146" s="4">
        <v>40646</v>
      </c>
      <c r="H146" s="4">
        <v>104934</v>
      </c>
      <c r="I146" s="4">
        <v>38038</v>
      </c>
      <c r="J146" s="4">
        <v>3990</v>
      </c>
      <c r="K146">
        <v>146962</v>
      </c>
      <c r="L146">
        <v>169</v>
      </c>
      <c r="M146" s="4">
        <v>44</v>
      </c>
      <c r="N146" s="4">
        <v>213</v>
      </c>
      <c r="O146" s="4">
        <v>17381</v>
      </c>
      <c r="P146" s="4">
        <v>2024</v>
      </c>
      <c r="Q146" s="4">
        <v>31329</v>
      </c>
      <c r="R146" s="4">
        <v>34438</v>
      </c>
      <c r="S146" s="4">
        <v>232347</v>
      </c>
      <c r="T146" s="4">
        <v>124508</v>
      </c>
      <c r="U146" s="4">
        <v>107839</v>
      </c>
    </row>
    <row r="147" spans="1:21" x14ac:dyDescent="0.25">
      <c r="A147" s="1" t="s">
        <v>140</v>
      </c>
      <c r="B147" t="s">
        <v>732</v>
      </c>
      <c r="C147" s="1" t="s">
        <v>156</v>
      </c>
      <c r="D147" t="s">
        <v>550</v>
      </c>
      <c r="E147" s="4">
        <v>2827969</v>
      </c>
      <c r="F147" s="4">
        <v>2242128</v>
      </c>
      <c r="G147" s="4">
        <v>297570</v>
      </c>
      <c r="H147" s="4">
        <v>1944558</v>
      </c>
      <c r="I147" s="4">
        <v>585841</v>
      </c>
      <c r="J147" s="4">
        <v>0</v>
      </c>
      <c r="K147" s="4">
        <v>2530399</v>
      </c>
      <c r="L147" s="4">
        <v>2595</v>
      </c>
      <c r="M147" s="4">
        <v>678</v>
      </c>
      <c r="N147" s="4">
        <v>3273</v>
      </c>
      <c r="O147" s="4">
        <v>267697</v>
      </c>
      <c r="P147" s="4">
        <v>31169</v>
      </c>
      <c r="Q147" s="4">
        <v>505485</v>
      </c>
      <c r="R147" s="4">
        <v>555660</v>
      </c>
      <c r="S147" s="4">
        <v>3893683</v>
      </c>
      <c r="T147" s="4">
        <v>2246019</v>
      </c>
      <c r="U147" s="4">
        <v>1647664</v>
      </c>
    </row>
    <row r="148" spans="1:21" x14ac:dyDescent="0.25">
      <c r="A148" s="1" t="s">
        <v>140</v>
      </c>
      <c r="B148" t="s">
        <v>732</v>
      </c>
      <c r="C148" s="1" t="s">
        <v>157</v>
      </c>
      <c r="D148" t="s">
        <v>551</v>
      </c>
      <c r="E148" s="4">
        <v>244694</v>
      </c>
      <c r="F148" s="4">
        <v>194003</v>
      </c>
      <c r="G148" s="4">
        <v>36156</v>
      </c>
      <c r="H148" s="4">
        <v>157847</v>
      </c>
      <c r="I148" s="4">
        <v>50691</v>
      </c>
      <c r="J148">
        <v>0</v>
      </c>
      <c r="K148">
        <v>208538</v>
      </c>
      <c r="L148">
        <v>224</v>
      </c>
      <c r="M148" s="4">
        <v>59</v>
      </c>
      <c r="N148" s="4">
        <v>283</v>
      </c>
      <c r="O148" s="4">
        <v>23163</v>
      </c>
      <c r="P148" s="4">
        <v>2697</v>
      </c>
      <c r="Q148" s="4">
        <v>42331</v>
      </c>
      <c r="R148" s="4">
        <v>46533</v>
      </c>
      <c r="S148" s="4">
        <v>323545</v>
      </c>
      <c r="T148" s="4">
        <v>183931</v>
      </c>
      <c r="U148" s="4">
        <v>139614</v>
      </c>
    </row>
    <row r="149" spans="1:21" x14ac:dyDescent="0.25">
      <c r="A149" s="1" t="s">
        <v>140</v>
      </c>
      <c r="B149" t="s">
        <v>732</v>
      </c>
      <c r="C149" s="1" t="s">
        <v>158</v>
      </c>
      <c r="D149" t="s">
        <v>552</v>
      </c>
      <c r="E149" s="4">
        <v>115571</v>
      </c>
      <c r="F149" s="4">
        <v>91629</v>
      </c>
      <c r="G149" s="4">
        <v>24335</v>
      </c>
      <c r="H149" s="4">
        <v>67294</v>
      </c>
      <c r="I149" s="4">
        <v>23942</v>
      </c>
      <c r="J149" s="4">
        <v>13027</v>
      </c>
      <c r="K149">
        <v>104263</v>
      </c>
      <c r="L149">
        <v>106</v>
      </c>
      <c r="M149" s="4">
        <v>27</v>
      </c>
      <c r="N149" s="4">
        <v>133</v>
      </c>
      <c r="O149" s="4">
        <v>11252</v>
      </c>
      <c r="P149" s="4">
        <v>1309</v>
      </c>
      <c r="Q149" s="4">
        <v>19891</v>
      </c>
      <c r="R149" s="4">
        <v>21866</v>
      </c>
      <c r="S149" s="4">
        <v>158714</v>
      </c>
      <c r="T149" s="4">
        <v>79961</v>
      </c>
      <c r="U149" s="4">
        <v>78753</v>
      </c>
    </row>
    <row r="150" spans="1:21" x14ac:dyDescent="0.25">
      <c r="A150" s="1" t="s">
        <v>140</v>
      </c>
      <c r="B150" t="s">
        <v>732</v>
      </c>
      <c r="C150" s="1" t="s">
        <v>159</v>
      </c>
      <c r="D150" t="s">
        <v>553</v>
      </c>
      <c r="E150" s="4">
        <v>688486</v>
      </c>
      <c r="F150" s="4">
        <v>545860</v>
      </c>
      <c r="G150" s="4">
        <v>105330</v>
      </c>
      <c r="H150" s="4">
        <v>440530</v>
      </c>
      <c r="I150" s="4">
        <v>142626</v>
      </c>
      <c r="J150">
        <v>507</v>
      </c>
      <c r="K150">
        <v>583663</v>
      </c>
      <c r="L150">
        <v>631</v>
      </c>
      <c r="M150" s="4">
        <v>165</v>
      </c>
      <c r="N150" s="4">
        <v>796</v>
      </c>
      <c r="O150" s="4">
        <v>65172</v>
      </c>
      <c r="P150" s="4">
        <v>7588</v>
      </c>
      <c r="Q150" s="4">
        <v>117172</v>
      </c>
      <c r="R150" s="4">
        <v>128802</v>
      </c>
      <c r="S150" s="4">
        <v>903193</v>
      </c>
      <c r="T150" s="4">
        <v>513921</v>
      </c>
      <c r="U150" s="4">
        <v>389272</v>
      </c>
    </row>
    <row r="151" spans="1:21" x14ac:dyDescent="0.25">
      <c r="A151" s="1" t="s">
        <v>140</v>
      </c>
      <c r="B151" t="s">
        <v>732</v>
      </c>
      <c r="C151" s="1" t="s">
        <v>160</v>
      </c>
      <c r="D151" t="s">
        <v>554</v>
      </c>
      <c r="E151" s="4">
        <v>458813</v>
      </c>
      <c r="F151" s="4">
        <v>363766</v>
      </c>
      <c r="G151" s="4">
        <v>72443</v>
      </c>
      <c r="H151" s="4">
        <v>291323</v>
      </c>
      <c r="I151" s="4">
        <v>95047</v>
      </c>
      <c r="J151">
        <v>0</v>
      </c>
      <c r="K151">
        <v>386370</v>
      </c>
      <c r="L151">
        <v>420</v>
      </c>
      <c r="M151" s="4">
        <v>109</v>
      </c>
      <c r="N151" s="4">
        <v>529</v>
      </c>
      <c r="O151" s="4">
        <v>43431</v>
      </c>
      <c r="P151" s="4">
        <v>5057</v>
      </c>
      <c r="Q151" s="4">
        <v>78135</v>
      </c>
      <c r="R151" s="4">
        <v>85891</v>
      </c>
      <c r="S151" s="4">
        <v>599413</v>
      </c>
      <c r="T151" s="4">
        <v>340230</v>
      </c>
      <c r="U151" s="4">
        <v>259183</v>
      </c>
    </row>
    <row r="152" spans="1:21" x14ac:dyDescent="0.25">
      <c r="A152" s="1" t="s">
        <v>140</v>
      </c>
      <c r="B152" t="s">
        <v>732</v>
      </c>
      <c r="C152" s="1" t="s">
        <v>161</v>
      </c>
      <c r="D152" t="s">
        <v>555</v>
      </c>
      <c r="E152" s="4">
        <v>192376</v>
      </c>
      <c r="F152" s="4">
        <v>152523</v>
      </c>
      <c r="G152" s="4">
        <v>46331</v>
      </c>
      <c r="H152" s="4">
        <v>106192</v>
      </c>
      <c r="I152" s="4">
        <v>39853</v>
      </c>
      <c r="J152">
        <v>921</v>
      </c>
      <c r="K152">
        <v>146966</v>
      </c>
      <c r="L152">
        <v>177</v>
      </c>
      <c r="M152" s="4">
        <v>46</v>
      </c>
      <c r="N152" s="4">
        <v>223</v>
      </c>
      <c r="O152" s="4">
        <v>18250</v>
      </c>
      <c r="P152" s="4">
        <v>2123</v>
      </c>
      <c r="Q152" s="4">
        <v>31577</v>
      </c>
      <c r="R152" s="4">
        <v>34712</v>
      </c>
      <c r="S152" s="4">
        <v>233851</v>
      </c>
      <c r="T152" s="4">
        <v>126742</v>
      </c>
      <c r="U152" s="4">
        <v>107109</v>
      </c>
    </row>
    <row r="153" spans="1:21" x14ac:dyDescent="0.25">
      <c r="A153" s="1" t="s">
        <v>140</v>
      </c>
      <c r="B153" t="s">
        <v>732</v>
      </c>
      <c r="C153" s="1" t="s">
        <v>162</v>
      </c>
      <c r="D153" t="s">
        <v>556</v>
      </c>
      <c r="E153" s="4">
        <v>363741</v>
      </c>
      <c r="F153" s="4">
        <v>288388</v>
      </c>
      <c r="G153" s="4">
        <v>63278</v>
      </c>
      <c r="H153" s="4">
        <v>225110</v>
      </c>
      <c r="I153" s="4">
        <v>75353</v>
      </c>
      <c r="J153">
        <v>0</v>
      </c>
      <c r="K153">
        <v>300463</v>
      </c>
      <c r="L153">
        <v>333</v>
      </c>
      <c r="M153" s="4">
        <v>87</v>
      </c>
      <c r="N153" s="4">
        <v>420</v>
      </c>
      <c r="O153" s="4">
        <v>34432</v>
      </c>
      <c r="P153" s="4">
        <v>4009</v>
      </c>
      <c r="Q153" s="4">
        <v>64771</v>
      </c>
      <c r="R153" s="4">
        <v>71200</v>
      </c>
      <c r="S153" s="4">
        <v>475295</v>
      </c>
      <c r="T153" s="4">
        <v>263884</v>
      </c>
      <c r="U153" s="4">
        <v>211411</v>
      </c>
    </row>
    <row r="154" spans="1:21" x14ac:dyDescent="0.25">
      <c r="A154" s="1" t="s">
        <v>140</v>
      </c>
      <c r="B154" t="s">
        <v>732</v>
      </c>
      <c r="C154" s="1" t="s">
        <v>163</v>
      </c>
      <c r="D154" t="s">
        <v>557</v>
      </c>
      <c r="E154" s="4">
        <v>401441</v>
      </c>
      <c r="F154" s="4">
        <v>318278</v>
      </c>
      <c r="G154" s="4">
        <v>60362</v>
      </c>
      <c r="H154" s="4">
        <v>257916</v>
      </c>
      <c r="I154" s="4">
        <v>83163</v>
      </c>
      <c r="J154">
        <v>0</v>
      </c>
      <c r="K154">
        <v>341079</v>
      </c>
      <c r="L154">
        <v>367</v>
      </c>
      <c r="M154" s="4">
        <v>96</v>
      </c>
      <c r="N154" s="4">
        <v>463</v>
      </c>
      <c r="O154" s="4">
        <v>38001</v>
      </c>
      <c r="P154" s="4">
        <v>4425</v>
      </c>
      <c r="Q154" s="4">
        <v>70676</v>
      </c>
      <c r="R154" s="4">
        <v>77691</v>
      </c>
      <c r="S154" s="4">
        <v>532335</v>
      </c>
      <c r="T154" s="4">
        <v>300709</v>
      </c>
      <c r="U154" s="4">
        <v>231626</v>
      </c>
    </row>
    <row r="155" spans="1:21" x14ac:dyDescent="0.25">
      <c r="A155" s="1" t="s">
        <v>140</v>
      </c>
      <c r="B155" t="s">
        <v>732</v>
      </c>
      <c r="C155" s="1" t="s">
        <v>164</v>
      </c>
      <c r="D155" t="s">
        <v>558</v>
      </c>
      <c r="E155" s="4">
        <v>280349</v>
      </c>
      <c r="F155" s="4">
        <v>222272</v>
      </c>
      <c r="G155" s="4">
        <v>58463</v>
      </c>
      <c r="H155" s="4">
        <v>163809</v>
      </c>
      <c r="I155" s="4">
        <v>58077</v>
      </c>
      <c r="J155">
        <v>675</v>
      </c>
      <c r="K155">
        <v>222561</v>
      </c>
      <c r="L155">
        <v>256</v>
      </c>
      <c r="M155" s="4">
        <v>67</v>
      </c>
      <c r="N155" s="4">
        <v>323</v>
      </c>
      <c r="O155" s="4">
        <v>26538</v>
      </c>
      <c r="P155" s="4">
        <v>3090</v>
      </c>
      <c r="Q155" s="4">
        <v>45190</v>
      </c>
      <c r="R155" s="4">
        <v>49676</v>
      </c>
      <c r="S155" s="4">
        <v>347378</v>
      </c>
      <c r="T155" s="4">
        <v>193693</v>
      </c>
      <c r="U155" s="4">
        <v>153685</v>
      </c>
    </row>
    <row r="156" spans="1:21" x14ac:dyDescent="0.25">
      <c r="A156" s="1" t="s">
        <v>140</v>
      </c>
      <c r="B156" t="s">
        <v>732</v>
      </c>
      <c r="C156" s="1" t="s">
        <v>165</v>
      </c>
      <c r="D156" t="s">
        <v>559</v>
      </c>
      <c r="E156" s="4">
        <v>199838</v>
      </c>
      <c r="F156" s="4">
        <v>158440</v>
      </c>
      <c r="G156" s="4">
        <v>45650</v>
      </c>
      <c r="H156" s="4">
        <v>112790</v>
      </c>
      <c r="I156" s="4">
        <v>41398</v>
      </c>
      <c r="J156" s="4">
        <v>15931</v>
      </c>
      <c r="K156">
        <v>170119</v>
      </c>
      <c r="L156">
        <v>182</v>
      </c>
      <c r="M156" s="4">
        <v>48</v>
      </c>
      <c r="N156" s="4">
        <v>230</v>
      </c>
      <c r="O156" s="4">
        <v>18917</v>
      </c>
      <c r="P156" s="4">
        <v>2203</v>
      </c>
      <c r="Q156" s="4">
        <v>34934</v>
      </c>
      <c r="R156" s="4">
        <v>38401</v>
      </c>
      <c r="S156" s="4">
        <v>264804</v>
      </c>
      <c r="T156" s="4">
        <v>134092</v>
      </c>
      <c r="U156" s="4">
        <v>130712</v>
      </c>
    </row>
    <row r="157" spans="1:21" x14ac:dyDescent="0.25">
      <c r="A157" s="1" t="s">
        <v>140</v>
      </c>
      <c r="B157" t="s">
        <v>732</v>
      </c>
      <c r="C157" s="1" t="s">
        <v>166</v>
      </c>
      <c r="D157" t="s">
        <v>560</v>
      </c>
      <c r="E157" s="4">
        <v>79279</v>
      </c>
      <c r="F157" s="4">
        <v>62856</v>
      </c>
      <c r="G157" s="4">
        <v>19148</v>
      </c>
      <c r="H157" s="4">
        <v>43708</v>
      </c>
      <c r="I157" s="4">
        <v>16423</v>
      </c>
      <c r="J157">
        <v>0</v>
      </c>
      <c r="K157">
        <v>60131</v>
      </c>
      <c r="L157">
        <v>74</v>
      </c>
      <c r="M157" s="4">
        <v>19</v>
      </c>
      <c r="N157" s="4">
        <v>93</v>
      </c>
      <c r="O157" s="4">
        <v>7505</v>
      </c>
      <c r="P157" s="4">
        <v>874</v>
      </c>
      <c r="Q157" s="4">
        <v>13737</v>
      </c>
      <c r="R157" s="4">
        <v>15101</v>
      </c>
      <c r="S157" s="4">
        <v>97441</v>
      </c>
      <c r="T157" s="4">
        <v>52161</v>
      </c>
      <c r="U157" s="4">
        <v>45280</v>
      </c>
    </row>
    <row r="158" spans="1:21" x14ac:dyDescent="0.25">
      <c r="A158" s="1" t="s">
        <v>140</v>
      </c>
      <c r="B158" t="s">
        <v>732</v>
      </c>
      <c r="C158" s="1" t="s">
        <v>167</v>
      </c>
      <c r="D158" t="s">
        <v>561</v>
      </c>
      <c r="E158" s="4">
        <v>519039</v>
      </c>
      <c r="F158" s="4">
        <v>411515</v>
      </c>
      <c r="G158" s="4">
        <v>64457</v>
      </c>
      <c r="H158" s="4">
        <v>347058</v>
      </c>
      <c r="I158" s="4">
        <v>107524</v>
      </c>
      <c r="J158">
        <v>0</v>
      </c>
      <c r="K158">
        <v>454582</v>
      </c>
      <c r="L158">
        <v>475</v>
      </c>
      <c r="M158" s="4">
        <v>124</v>
      </c>
      <c r="N158" s="4">
        <v>599</v>
      </c>
      <c r="O158" s="4">
        <v>49132</v>
      </c>
      <c r="P158" s="4">
        <v>5721</v>
      </c>
      <c r="Q158" s="4">
        <v>91127</v>
      </c>
      <c r="R158" s="4">
        <v>100172</v>
      </c>
      <c r="S158" s="4">
        <v>701333</v>
      </c>
      <c r="T158" s="4">
        <v>402386</v>
      </c>
      <c r="U158" s="4">
        <v>298947</v>
      </c>
    </row>
    <row r="159" spans="1:21" x14ac:dyDescent="0.25">
      <c r="A159" s="1" t="s">
        <v>140</v>
      </c>
      <c r="B159" t="s">
        <v>732</v>
      </c>
      <c r="C159" s="1" t="s">
        <v>168</v>
      </c>
      <c r="D159" t="s">
        <v>562</v>
      </c>
      <c r="E159" s="4">
        <v>147930</v>
      </c>
      <c r="F159" s="4">
        <v>117285</v>
      </c>
      <c r="G159" s="4">
        <v>28692</v>
      </c>
      <c r="H159" s="4">
        <v>88593</v>
      </c>
      <c r="I159" s="4">
        <v>30645</v>
      </c>
      <c r="J159">
        <v>0</v>
      </c>
      <c r="K159">
        <v>119238</v>
      </c>
      <c r="L159">
        <v>135</v>
      </c>
      <c r="M159" s="4">
        <v>35</v>
      </c>
      <c r="N159" s="4">
        <v>170</v>
      </c>
      <c r="O159" s="4">
        <v>14003</v>
      </c>
      <c r="P159" s="4">
        <v>1630</v>
      </c>
      <c r="Q159" s="4">
        <v>25983</v>
      </c>
      <c r="R159" s="4">
        <v>28562</v>
      </c>
      <c r="S159" s="4">
        <v>189586</v>
      </c>
      <c r="T159" s="4">
        <v>104360</v>
      </c>
      <c r="U159" s="4">
        <v>85226</v>
      </c>
    </row>
    <row r="160" spans="1:21" x14ac:dyDescent="0.25">
      <c r="A160" s="1" t="s">
        <v>140</v>
      </c>
      <c r="B160" t="s">
        <v>732</v>
      </c>
      <c r="C160" s="1" t="s">
        <v>169</v>
      </c>
      <c r="D160" t="s">
        <v>563</v>
      </c>
      <c r="E160" s="4">
        <v>320034</v>
      </c>
      <c r="F160" s="4">
        <v>253736</v>
      </c>
      <c r="G160" s="4">
        <v>50518</v>
      </c>
      <c r="H160" s="4">
        <v>203218</v>
      </c>
      <c r="I160" s="4">
        <v>66298</v>
      </c>
      <c r="J160">
        <v>0</v>
      </c>
      <c r="K160">
        <v>269516</v>
      </c>
      <c r="L160">
        <v>293</v>
      </c>
      <c r="M160" s="4">
        <v>77</v>
      </c>
      <c r="N160" s="4">
        <v>370</v>
      </c>
      <c r="O160" s="4">
        <v>30295</v>
      </c>
      <c r="P160" s="4">
        <v>3527</v>
      </c>
      <c r="Q160" s="4">
        <v>51655</v>
      </c>
      <c r="R160" s="4">
        <v>56782</v>
      </c>
      <c r="S160" s="4">
        <v>412145</v>
      </c>
      <c r="T160" s="4">
        <v>237333</v>
      </c>
      <c r="U160" s="4">
        <v>174812</v>
      </c>
    </row>
    <row r="161" spans="1:21" x14ac:dyDescent="0.25">
      <c r="A161" s="1" t="s">
        <v>140</v>
      </c>
      <c r="B161" t="s">
        <v>732</v>
      </c>
      <c r="C161" s="1" t="s">
        <v>170</v>
      </c>
      <c r="D161" t="s">
        <v>564</v>
      </c>
      <c r="E161" s="4">
        <v>616502</v>
      </c>
      <c r="F161" s="4">
        <v>488788</v>
      </c>
      <c r="G161" s="4">
        <v>116097</v>
      </c>
      <c r="H161" s="4">
        <v>372691</v>
      </c>
      <c r="I161" s="4">
        <v>127714</v>
      </c>
      <c r="J161">
        <v>0</v>
      </c>
      <c r="K161">
        <v>500405</v>
      </c>
      <c r="L161">
        <v>565</v>
      </c>
      <c r="M161" s="4">
        <v>148</v>
      </c>
      <c r="N161" s="4">
        <v>713</v>
      </c>
      <c r="O161" s="4">
        <v>58358</v>
      </c>
      <c r="P161" s="4">
        <v>6795</v>
      </c>
      <c r="Q161" s="4">
        <v>101445</v>
      </c>
      <c r="R161" s="4">
        <v>111515</v>
      </c>
      <c r="S161" s="4">
        <v>779231</v>
      </c>
      <c r="T161" s="4">
        <v>438409</v>
      </c>
      <c r="U161" s="4">
        <v>340822</v>
      </c>
    </row>
    <row r="162" spans="1:21" x14ac:dyDescent="0.25">
      <c r="A162" s="1" t="s">
        <v>140</v>
      </c>
      <c r="B162" t="s">
        <v>732</v>
      </c>
      <c r="C162" s="1" t="s">
        <v>171</v>
      </c>
      <c r="D162" t="s">
        <v>565</v>
      </c>
      <c r="E162" s="4">
        <v>613156</v>
      </c>
      <c r="F162" s="4">
        <v>486135</v>
      </c>
      <c r="G162" s="4">
        <v>105969</v>
      </c>
      <c r="H162" s="4">
        <v>380166</v>
      </c>
      <c r="I162" s="4">
        <v>127021</v>
      </c>
      <c r="J162">
        <v>0</v>
      </c>
      <c r="K162">
        <v>507187</v>
      </c>
      <c r="L162">
        <v>562</v>
      </c>
      <c r="M162" s="4">
        <v>147</v>
      </c>
      <c r="N162" s="4">
        <v>709</v>
      </c>
      <c r="O162" s="4">
        <v>58042</v>
      </c>
      <c r="P162" s="4">
        <v>6758</v>
      </c>
      <c r="Q162" s="4">
        <v>105858</v>
      </c>
      <c r="R162" s="4">
        <v>116366</v>
      </c>
      <c r="S162" s="4">
        <v>794920</v>
      </c>
      <c r="T162" s="4">
        <v>445528</v>
      </c>
      <c r="U162" s="4">
        <v>349392</v>
      </c>
    </row>
    <row r="163" spans="1:21" x14ac:dyDescent="0.25">
      <c r="A163" s="1" t="s">
        <v>140</v>
      </c>
      <c r="B163" t="s">
        <v>732</v>
      </c>
      <c r="C163" s="1" t="s">
        <v>172</v>
      </c>
      <c r="D163" t="s">
        <v>566</v>
      </c>
      <c r="E163" s="4">
        <v>296402</v>
      </c>
      <c r="F163" s="4">
        <v>235000</v>
      </c>
      <c r="G163" s="4">
        <v>46027</v>
      </c>
      <c r="H163" s="4">
        <v>188973</v>
      </c>
      <c r="I163" s="4">
        <v>61402</v>
      </c>
      <c r="J163">
        <v>0</v>
      </c>
      <c r="K163">
        <v>250375</v>
      </c>
      <c r="L163">
        <v>272</v>
      </c>
      <c r="M163" s="4">
        <v>71</v>
      </c>
      <c r="N163" s="4">
        <v>343</v>
      </c>
      <c r="O163" s="4">
        <v>28058</v>
      </c>
      <c r="P163" s="4">
        <v>3267</v>
      </c>
      <c r="Q163" s="4">
        <v>49790</v>
      </c>
      <c r="R163" s="4">
        <v>54732</v>
      </c>
      <c r="S163" s="4">
        <v>386565</v>
      </c>
      <c r="T163" s="4">
        <v>220570</v>
      </c>
      <c r="U163" s="4">
        <v>165995</v>
      </c>
    </row>
    <row r="164" spans="1:21" x14ac:dyDescent="0.25">
      <c r="A164" s="1" t="s">
        <v>140</v>
      </c>
      <c r="B164" t="s">
        <v>732</v>
      </c>
      <c r="C164" s="1" t="s">
        <v>173</v>
      </c>
      <c r="D164" t="s">
        <v>567</v>
      </c>
      <c r="E164" s="4">
        <v>422698</v>
      </c>
      <c r="F164" s="4">
        <v>335132</v>
      </c>
      <c r="G164" s="4">
        <v>67186</v>
      </c>
      <c r="H164" s="4">
        <v>267946</v>
      </c>
      <c r="I164" s="4">
        <v>87566</v>
      </c>
      <c r="J164">
        <v>0</v>
      </c>
      <c r="K164">
        <v>355512</v>
      </c>
      <c r="L164">
        <v>388</v>
      </c>
      <c r="M164" s="4">
        <v>101</v>
      </c>
      <c r="N164" s="4">
        <v>489</v>
      </c>
      <c r="O164" s="4">
        <v>40013</v>
      </c>
      <c r="P164" s="4">
        <v>4659</v>
      </c>
      <c r="Q164" s="4">
        <v>76830</v>
      </c>
      <c r="R164" s="4">
        <v>84456</v>
      </c>
      <c r="S164" s="4">
        <v>561959</v>
      </c>
      <c r="T164" s="4">
        <v>313006</v>
      </c>
      <c r="U164" s="4">
        <v>248953</v>
      </c>
    </row>
    <row r="165" spans="1:21" x14ac:dyDescent="0.25">
      <c r="A165" s="1" t="s">
        <v>174</v>
      </c>
      <c r="B165" t="s">
        <v>733</v>
      </c>
      <c r="C165" s="1" t="s">
        <v>175</v>
      </c>
      <c r="D165" t="s">
        <v>568</v>
      </c>
      <c r="E165" s="4">
        <v>115668</v>
      </c>
      <c r="F165" s="4">
        <v>93704</v>
      </c>
      <c r="G165" s="4">
        <v>22203</v>
      </c>
      <c r="H165" s="4">
        <v>71501</v>
      </c>
      <c r="I165" s="4">
        <v>21964</v>
      </c>
      <c r="J165">
        <v>0</v>
      </c>
      <c r="K165">
        <v>93465</v>
      </c>
      <c r="L165">
        <v>0</v>
      </c>
      <c r="M165" s="4">
        <v>0</v>
      </c>
      <c r="N165" s="4">
        <v>0</v>
      </c>
      <c r="O165" s="4">
        <v>9850</v>
      </c>
      <c r="P165" s="4">
        <v>1235</v>
      </c>
      <c r="Q165" s="4">
        <v>18984</v>
      </c>
      <c r="R165" s="4">
        <v>20854</v>
      </c>
      <c r="S165" s="4">
        <v>144388</v>
      </c>
      <c r="T165" s="4">
        <v>82586</v>
      </c>
      <c r="U165" s="4">
        <v>61802</v>
      </c>
    </row>
    <row r="166" spans="1:21" x14ac:dyDescent="0.25">
      <c r="A166" s="1" t="s">
        <v>174</v>
      </c>
      <c r="B166" t="s">
        <v>733</v>
      </c>
      <c r="C166" s="1" t="s">
        <v>176</v>
      </c>
      <c r="D166" t="s">
        <v>569</v>
      </c>
      <c r="E166" s="4">
        <v>772068</v>
      </c>
      <c r="F166" s="4">
        <v>625464</v>
      </c>
      <c r="G166" s="4">
        <v>82599</v>
      </c>
      <c r="H166" s="4">
        <v>542865</v>
      </c>
      <c r="I166" s="4">
        <v>146604</v>
      </c>
      <c r="J166">
        <v>0</v>
      </c>
      <c r="K166">
        <v>689469</v>
      </c>
      <c r="L166">
        <v>0</v>
      </c>
      <c r="M166" s="4">
        <v>0</v>
      </c>
      <c r="N166" s="4">
        <v>0</v>
      </c>
      <c r="O166" s="4">
        <v>65745</v>
      </c>
      <c r="P166" s="4">
        <v>8245</v>
      </c>
      <c r="Q166" s="4">
        <v>133944</v>
      </c>
      <c r="R166" s="4">
        <v>147136</v>
      </c>
      <c r="S166" s="4">
        <v>1044539</v>
      </c>
      <c r="T166" s="4">
        <v>616855</v>
      </c>
      <c r="U166" s="4">
        <v>427684</v>
      </c>
    </row>
    <row r="167" spans="1:21" x14ac:dyDescent="0.25">
      <c r="A167" s="1" t="s">
        <v>174</v>
      </c>
      <c r="B167" t="s">
        <v>733</v>
      </c>
      <c r="C167" s="1" t="s">
        <v>177</v>
      </c>
      <c r="D167" t="s">
        <v>570</v>
      </c>
      <c r="E167" s="4">
        <v>1641021</v>
      </c>
      <c r="F167" s="4">
        <v>1329414</v>
      </c>
      <c r="G167" s="4">
        <v>266588</v>
      </c>
      <c r="H167" s="4">
        <v>1062826</v>
      </c>
      <c r="I167" s="4">
        <v>311607</v>
      </c>
      <c r="J167">
        <v>0</v>
      </c>
      <c r="K167">
        <v>1374433</v>
      </c>
      <c r="L167">
        <v>0</v>
      </c>
      <c r="M167" s="4">
        <v>0</v>
      </c>
      <c r="N167" s="4">
        <v>0</v>
      </c>
      <c r="O167" s="4">
        <v>139740</v>
      </c>
      <c r="P167" s="4">
        <v>17524</v>
      </c>
      <c r="Q167" s="4">
        <v>283399</v>
      </c>
      <c r="R167" s="4">
        <v>311309</v>
      </c>
      <c r="S167" s="4">
        <v>2126405</v>
      </c>
      <c r="T167" s="4">
        <v>1220090</v>
      </c>
      <c r="U167" s="4">
        <v>906315</v>
      </c>
    </row>
    <row r="168" spans="1:21" x14ac:dyDescent="0.25">
      <c r="A168" s="1" t="s">
        <v>174</v>
      </c>
      <c r="B168" t="s">
        <v>733</v>
      </c>
      <c r="C168" s="1" t="s">
        <v>178</v>
      </c>
      <c r="D168" t="s">
        <v>571</v>
      </c>
      <c r="E168" s="4">
        <v>4584936</v>
      </c>
      <c r="F168" s="4">
        <v>3714322</v>
      </c>
      <c r="G168" s="4">
        <v>334103</v>
      </c>
      <c r="H168" s="4">
        <v>3380219</v>
      </c>
      <c r="I168" s="4">
        <v>870614</v>
      </c>
      <c r="J168">
        <v>0</v>
      </c>
      <c r="K168">
        <v>4250833</v>
      </c>
      <c r="L168">
        <v>0</v>
      </c>
      <c r="M168" s="4">
        <v>0</v>
      </c>
      <c r="N168" s="4">
        <v>0</v>
      </c>
      <c r="O168" s="4">
        <v>390426</v>
      </c>
      <c r="P168" s="4">
        <v>48962</v>
      </c>
      <c r="Q168" s="4">
        <v>845605</v>
      </c>
      <c r="R168" s="4">
        <v>928885</v>
      </c>
      <c r="S168" s="4">
        <v>6464711</v>
      </c>
      <c r="T168" s="4">
        <v>3819607</v>
      </c>
      <c r="U168" s="4">
        <v>2645104</v>
      </c>
    </row>
    <row r="169" spans="1:21" x14ac:dyDescent="0.25">
      <c r="A169" s="1" t="s">
        <v>174</v>
      </c>
      <c r="B169" t="s">
        <v>733</v>
      </c>
      <c r="C169" s="1" t="s">
        <v>179</v>
      </c>
      <c r="D169" t="s">
        <v>572</v>
      </c>
      <c r="E169" s="4">
        <v>192690</v>
      </c>
      <c r="F169" s="4">
        <v>156101</v>
      </c>
      <c r="G169" s="4">
        <v>41488</v>
      </c>
      <c r="H169" s="4">
        <v>114613</v>
      </c>
      <c r="I169" s="4">
        <v>36589</v>
      </c>
      <c r="J169">
        <v>0</v>
      </c>
      <c r="K169">
        <v>151202</v>
      </c>
      <c r="L169">
        <v>0</v>
      </c>
      <c r="M169" s="4">
        <v>0</v>
      </c>
      <c r="N169" s="4">
        <v>0</v>
      </c>
      <c r="O169" s="4">
        <v>16408</v>
      </c>
      <c r="P169" s="4">
        <v>2058</v>
      </c>
      <c r="Q169" s="4">
        <v>32013</v>
      </c>
      <c r="R169" s="4">
        <v>35165</v>
      </c>
      <c r="S169" s="4">
        <v>236846</v>
      </c>
      <c r="T169" s="4">
        <v>133079</v>
      </c>
      <c r="U169" s="4">
        <v>103767</v>
      </c>
    </row>
    <row r="170" spans="1:21" x14ac:dyDescent="0.25">
      <c r="A170" s="1" t="s">
        <v>174</v>
      </c>
      <c r="B170" t="s">
        <v>733</v>
      </c>
      <c r="C170" s="1" t="s">
        <v>180</v>
      </c>
      <c r="D170" t="s">
        <v>573</v>
      </c>
      <c r="E170" s="4">
        <v>635443</v>
      </c>
      <c r="F170" s="4">
        <v>514782</v>
      </c>
      <c r="G170" s="4">
        <v>70695</v>
      </c>
      <c r="H170" s="4">
        <v>444087</v>
      </c>
      <c r="I170" s="4">
        <v>120661</v>
      </c>
      <c r="J170">
        <v>0</v>
      </c>
      <c r="K170">
        <v>564748</v>
      </c>
      <c r="L170">
        <v>0</v>
      </c>
      <c r="M170" s="4">
        <v>0</v>
      </c>
      <c r="N170" s="4">
        <v>0</v>
      </c>
      <c r="O170" s="4">
        <v>54111</v>
      </c>
      <c r="P170" s="4">
        <v>6786</v>
      </c>
      <c r="Q170" s="4">
        <v>110928</v>
      </c>
      <c r="R170" s="4">
        <v>121852</v>
      </c>
      <c r="S170" s="4">
        <v>858425</v>
      </c>
      <c r="T170" s="4">
        <v>504984</v>
      </c>
      <c r="U170" s="4">
        <v>353441</v>
      </c>
    </row>
    <row r="171" spans="1:21" x14ac:dyDescent="0.25">
      <c r="A171" s="1" t="s">
        <v>174</v>
      </c>
      <c r="B171" t="s">
        <v>733</v>
      </c>
      <c r="C171" s="1" t="s">
        <v>181</v>
      </c>
      <c r="D171" t="s">
        <v>574</v>
      </c>
      <c r="E171" s="4">
        <v>129472</v>
      </c>
      <c r="F171" s="4">
        <v>104887</v>
      </c>
      <c r="G171" s="4">
        <v>19368</v>
      </c>
      <c r="H171" s="4">
        <v>85519</v>
      </c>
      <c r="I171" s="4">
        <v>24585</v>
      </c>
      <c r="J171">
        <v>0</v>
      </c>
      <c r="K171">
        <v>110104</v>
      </c>
      <c r="L171">
        <v>0</v>
      </c>
      <c r="M171" s="4">
        <v>0</v>
      </c>
      <c r="N171" s="4">
        <v>0</v>
      </c>
      <c r="O171" s="4">
        <v>11025</v>
      </c>
      <c r="P171" s="4">
        <v>1383</v>
      </c>
      <c r="Q171" s="4">
        <v>22645</v>
      </c>
      <c r="R171" s="4">
        <v>24875</v>
      </c>
      <c r="S171" s="4">
        <v>170032</v>
      </c>
      <c r="T171" s="4">
        <v>97927</v>
      </c>
      <c r="U171" s="4">
        <v>72105</v>
      </c>
    </row>
    <row r="172" spans="1:21" x14ac:dyDescent="0.25">
      <c r="A172" s="1" t="s">
        <v>174</v>
      </c>
      <c r="B172" t="s">
        <v>733</v>
      </c>
      <c r="C172" s="1" t="s">
        <v>182</v>
      </c>
      <c r="D172" t="s">
        <v>575</v>
      </c>
      <c r="E172" s="4">
        <v>907019</v>
      </c>
      <c r="F172" s="4">
        <v>734789</v>
      </c>
      <c r="G172" s="4">
        <v>51957</v>
      </c>
      <c r="H172" s="4">
        <v>682832</v>
      </c>
      <c r="I172" s="4">
        <v>172230</v>
      </c>
      <c r="J172">
        <v>0</v>
      </c>
      <c r="K172">
        <v>855062</v>
      </c>
      <c r="L172">
        <v>0</v>
      </c>
      <c r="M172" s="4">
        <v>0</v>
      </c>
      <c r="N172" s="4">
        <v>0</v>
      </c>
      <c r="O172" s="4">
        <v>77236</v>
      </c>
      <c r="P172" s="4">
        <v>9686</v>
      </c>
      <c r="Q172" s="4">
        <v>159505</v>
      </c>
      <c r="R172" s="4">
        <v>175214</v>
      </c>
      <c r="S172" s="4">
        <v>1276703</v>
      </c>
      <c r="T172" s="4">
        <v>769754</v>
      </c>
      <c r="U172" s="4">
        <v>506949</v>
      </c>
    </row>
    <row r="173" spans="1:21" x14ac:dyDescent="0.25">
      <c r="A173" s="1" t="s">
        <v>174</v>
      </c>
      <c r="B173" t="s">
        <v>733</v>
      </c>
      <c r="C173" s="1" t="s">
        <v>183</v>
      </c>
      <c r="D173" t="s">
        <v>576</v>
      </c>
      <c r="E173" s="4">
        <v>782050</v>
      </c>
      <c r="F173" s="4">
        <v>633550</v>
      </c>
      <c r="G173" s="4">
        <v>138795</v>
      </c>
      <c r="H173" s="4">
        <v>494755</v>
      </c>
      <c r="I173" s="4">
        <v>148500</v>
      </c>
      <c r="J173">
        <v>0</v>
      </c>
      <c r="K173">
        <v>643255</v>
      </c>
      <c r="L173">
        <v>0</v>
      </c>
      <c r="M173" s="4">
        <v>0</v>
      </c>
      <c r="N173" s="4">
        <v>0</v>
      </c>
      <c r="O173" s="4">
        <v>66595</v>
      </c>
      <c r="P173" s="4">
        <v>8351</v>
      </c>
      <c r="Q173" s="4">
        <v>135433</v>
      </c>
      <c r="R173" s="4">
        <v>148771</v>
      </c>
      <c r="S173" s="4">
        <v>1002405</v>
      </c>
      <c r="T173" s="4">
        <v>569701</v>
      </c>
      <c r="U173" s="4">
        <v>432704</v>
      </c>
    </row>
    <row r="174" spans="1:21" x14ac:dyDescent="0.25">
      <c r="A174" s="1" t="s">
        <v>174</v>
      </c>
      <c r="B174" t="s">
        <v>733</v>
      </c>
      <c r="C174" s="1" t="s">
        <v>184</v>
      </c>
      <c r="D174" t="s">
        <v>577</v>
      </c>
      <c r="E174" s="4">
        <v>722258</v>
      </c>
      <c r="F174" s="4">
        <v>585111</v>
      </c>
      <c r="G174" s="4">
        <v>77596</v>
      </c>
      <c r="H174" s="4">
        <v>507515</v>
      </c>
      <c r="I174" s="4">
        <v>137147</v>
      </c>
      <c r="J174">
        <v>0</v>
      </c>
      <c r="K174">
        <v>644662</v>
      </c>
      <c r="L174">
        <v>0</v>
      </c>
      <c r="M174" s="4">
        <v>0</v>
      </c>
      <c r="N174" s="4">
        <v>0</v>
      </c>
      <c r="O174" s="4">
        <v>61503</v>
      </c>
      <c r="P174" s="4">
        <v>7713</v>
      </c>
      <c r="Q174" s="4">
        <v>127182</v>
      </c>
      <c r="R174" s="4">
        <v>139708</v>
      </c>
      <c r="S174" s="4">
        <v>980768</v>
      </c>
      <c r="T174" s="4">
        <v>576731</v>
      </c>
      <c r="U174" s="4">
        <v>404037</v>
      </c>
    </row>
    <row r="175" spans="1:21" x14ac:dyDescent="0.25">
      <c r="A175" s="1" t="s">
        <v>174</v>
      </c>
      <c r="B175" t="s">
        <v>733</v>
      </c>
      <c r="C175" s="1" t="s">
        <v>185</v>
      </c>
      <c r="D175" t="s">
        <v>578</v>
      </c>
      <c r="E175" s="4">
        <v>624057</v>
      </c>
      <c r="F175" s="4">
        <v>505557</v>
      </c>
      <c r="G175" s="4">
        <v>121751</v>
      </c>
      <c r="H175" s="4">
        <v>383806</v>
      </c>
      <c r="I175" s="4">
        <v>118500</v>
      </c>
      <c r="J175">
        <v>0</v>
      </c>
      <c r="K175">
        <v>502306</v>
      </c>
      <c r="L175">
        <v>0</v>
      </c>
      <c r="M175" s="4">
        <v>0</v>
      </c>
      <c r="N175" s="4">
        <v>0</v>
      </c>
      <c r="O175" s="4">
        <v>53141</v>
      </c>
      <c r="P175" s="4">
        <v>6664</v>
      </c>
      <c r="Q175" s="4">
        <v>157085</v>
      </c>
      <c r="R175" s="4">
        <v>172556</v>
      </c>
      <c r="S175" s="4">
        <v>891752</v>
      </c>
      <c r="T175" s="4">
        <v>443611</v>
      </c>
      <c r="U175" s="4">
        <v>448141</v>
      </c>
    </row>
    <row r="176" spans="1:21" x14ac:dyDescent="0.25">
      <c r="A176" s="1" t="s">
        <v>174</v>
      </c>
      <c r="B176" t="s">
        <v>733</v>
      </c>
      <c r="C176" s="1" t="s">
        <v>186</v>
      </c>
      <c r="D176" t="s">
        <v>579</v>
      </c>
      <c r="E176" s="4">
        <v>264944</v>
      </c>
      <c r="F176" s="4">
        <v>214635</v>
      </c>
      <c r="G176" s="4">
        <v>54115</v>
      </c>
      <c r="H176" s="4">
        <v>160520</v>
      </c>
      <c r="I176" s="4">
        <v>50309</v>
      </c>
      <c r="J176">
        <v>0</v>
      </c>
      <c r="K176">
        <v>210829</v>
      </c>
      <c r="L176">
        <v>0</v>
      </c>
      <c r="M176" s="4">
        <v>0</v>
      </c>
      <c r="N176" s="4">
        <v>0</v>
      </c>
      <c r="O176" s="4">
        <v>22561</v>
      </c>
      <c r="P176" s="4">
        <v>2829</v>
      </c>
      <c r="Q176" s="4">
        <v>44359</v>
      </c>
      <c r="R176" s="4">
        <v>48727</v>
      </c>
      <c r="S176" s="4">
        <v>329305</v>
      </c>
      <c r="T176" s="4">
        <v>185910</v>
      </c>
      <c r="U176" s="4">
        <v>143395</v>
      </c>
    </row>
    <row r="177" spans="1:21" x14ac:dyDescent="0.25">
      <c r="A177" s="1" t="s">
        <v>174</v>
      </c>
      <c r="B177" t="s">
        <v>733</v>
      </c>
      <c r="C177" s="1" t="s">
        <v>187</v>
      </c>
      <c r="D177" t="s">
        <v>580</v>
      </c>
      <c r="E177" s="4">
        <v>171863</v>
      </c>
      <c r="F177" s="4">
        <v>139228</v>
      </c>
      <c r="G177" s="4">
        <v>31489</v>
      </c>
      <c r="H177" s="4">
        <v>107739</v>
      </c>
      <c r="I177" s="4">
        <v>32635</v>
      </c>
      <c r="J177">
        <v>0</v>
      </c>
      <c r="K177">
        <v>140374</v>
      </c>
      <c r="L177">
        <v>0</v>
      </c>
      <c r="M177" s="4">
        <v>0</v>
      </c>
      <c r="N177" s="4">
        <v>0</v>
      </c>
      <c r="O177" s="4">
        <v>14635</v>
      </c>
      <c r="P177" s="4">
        <v>1835</v>
      </c>
      <c r="Q177" s="4">
        <v>29097</v>
      </c>
      <c r="R177" s="4">
        <v>31962</v>
      </c>
      <c r="S177" s="4">
        <v>217903</v>
      </c>
      <c r="T177" s="4">
        <v>124209</v>
      </c>
      <c r="U177" s="4">
        <v>93694</v>
      </c>
    </row>
    <row r="178" spans="1:21" x14ac:dyDescent="0.25">
      <c r="A178" s="1" t="s">
        <v>174</v>
      </c>
      <c r="B178" t="s">
        <v>733</v>
      </c>
      <c r="C178" s="1" t="s">
        <v>188</v>
      </c>
      <c r="D178" t="s">
        <v>581</v>
      </c>
      <c r="E178" s="4">
        <v>165762</v>
      </c>
      <c r="F178" s="4">
        <v>134286</v>
      </c>
      <c r="G178" s="4">
        <v>34999</v>
      </c>
      <c r="H178" s="4">
        <v>99287</v>
      </c>
      <c r="I178" s="4">
        <v>31476</v>
      </c>
      <c r="J178">
        <v>963</v>
      </c>
      <c r="K178">
        <v>131726</v>
      </c>
      <c r="L178">
        <v>0</v>
      </c>
      <c r="M178" s="4">
        <v>0</v>
      </c>
      <c r="N178" s="4">
        <v>0</v>
      </c>
      <c r="O178" s="4">
        <v>14115</v>
      </c>
      <c r="P178" s="4">
        <v>1770</v>
      </c>
      <c r="Q178" s="4">
        <v>28104</v>
      </c>
      <c r="R178" s="4">
        <v>30872</v>
      </c>
      <c r="S178" s="4">
        <v>206587</v>
      </c>
      <c r="T178" s="4">
        <v>115172</v>
      </c>
      <c r="U178" s="4">
        <v>91415</v>
      </c>
    </row>
    <row r="179" spans="1:21" x14ac:dyDescent="0.25">
      <c r="A179" s="1" t="s">
        <v>174</v>
      </c>
      <c r="B179" t="s">
        <v>733</v>
      </c>
      <c r="C179" s="1" t="s">
        <v>189</v>
      </c>
      <c r="D179" t="s">
        <v>582</v>
      </c>
      <c r="E179" s="4">
        <v>162839</v>
      </c>
      <c r="F179" s="4">
        <v>131918</v>
      </c>
      <c r="G179" s="4">
        <v>31819</v>
      </c>
      <c r="H179" s="4">
        <v>100099</v>
      </c>
      <c r="I179" s="4">
        <v>30921</v>
      </c>
      <c r="J179">
        <v>0</v>
      </c>
      <c r="K179">
        <v>131020</v>
      </c>
      <c r="L179">
        <v>0</v>
      </c>
      <c r="M179" s="4">
        <v>0</v>
      </c>
      <c r="N179" s="4">
        <v>0</v>
      </c>
      <c r="O179" s="4">
        <v>13866</v>
      </c>
      <c r="P179" s="4">
        <v>1739</v>
      </c>
      <c r="Q179" s="4">
        <v>26429</v>
      </c>
      <c r="R179" s="4">
        <v>29032</v>
      </c>
      <c r="S179" s="4">
        <v>202086</v>
      </c>
      <c r="T179" s="4">
        <v>115704</v>
      </c>
      <c r="U179" s="4">
        <v>86382</v>
      </c>
    </row>
    <row r="180" spans="1:21" x14ac:dyDescent="0.25">
      <c r="A180" s="1" t="s">
        <v>174</v>
      </c>
      <c r="B180" t="s">
        <v>733</v>
      </c>
      <c r="C180" s="1" t="s">
        <v>190</v>
      </c>
      <c r="D180" t="s">
        <v>583</v>
      </c>
      <c r="E180" s="4">
        <v>1258252</v>
      </c>
      <c r="F180" s="4">
        <v>1019328</v>
      </c>
      <c r="G180" s="4">
        <v>84902</v>
      </c>
      <c r="H180" s="4">
        <v>934426</v>
      </c>
      <c r="I180" s="4">
        <v>238924</v>
      </c>
      <c r="J180">
        <v>0</v>
      </c>
      <c r="K180">
        <v>1173350</v>
      </c>
      <c r="L180">
        <v>0</v>
      </c>
      <c r="M180" s="4">
        <v>0</v>
      </c>
      <c r="N180" s="4">
        <v>0</v>
      </c>
      <c r="O180" s="4">
        <v>107145</v>
      </c>
      <c r="P180" s="4">
        <v>13437</v>
      </c>
      <c r="Q180" s="4">
        <v>220862</v>
      </c>
      <c r="R180" s="4">
        <v>242614</v>
      </c>
      <c r="S180" s="4">
        <v>1757408</v>
      </c>
      <c r="T180" s="4">
        <v>1055008</v>
      </c>
      <c r="U180" s="4">
        <v>702400</v>
      </c>
    </row>
    <row r="181" spans="1:21" x14ac:dyDescent="0.25">
      <c r="A181" s="1" t="s">
        <v>174</v>
      </c>
      <c r="B181" t="s">
        <v>733</v>
      </c>
      <c r="C181" s="1" t="s">
        <v>191</v>
      </c>
      <c r="D181" t="s">
        <v>584</v>
      </c>
      <c r="E181" s="4">
        <v>11860536</v>
      </c>
      <c r="F181" s="4">
        <v>9608388</v>
      </c>
      <c r="G181" s="4">
        <v>1977056</v>
      </c>
      <c r="H181" s="4">
        <v>7631332</v>
      </c>
      <c r="I181" s="4">
        <v>2252148</v>
      </c>
      <c r="J181">
        <v>0</v>
      </c>
      <c r="K181">
        <v>9883480</v>
      </c>
      <c r="L181">
        <v>0</v>
      </c>
      <c r="M181" s="4">
        <v>0</v>
      </c>
      <c r="N181" s="4">
        <v>0</v>
      </c>
      <c r="O181" s="4">
        <v>1009973</v>
      </c>
      <c r="P181" s="4">
        <v>126656</v>
      </c>
      <c r="Q181" s="4">
        <v>2067235</v>
      </c>
      <c r="R181" s="4">
        <v>2270826</v>
      </c>
      <c r="S181" s="4">
        <v>15358170</v>
      </c>
      <c r="T181" s="4">
        <v>8767961</v>
      </c>
      <c r="U181" s="4">
        <v>6590209</v>
      </c>
    </row>
    <row r="182" spans="1:21" x14ac:dyDescent="0.25">
      <c r="A182" s="1" t="s">
        <v>174</v>
      </c>
      <c r="B182" t="s">
        <v>733</v>
      </c>
      <c r="C182" s="1" t="s">
        <v>192</v>
      </c>
      <c r="D182" t="s">
        <v>585</v>
      </c>
      <c r="E182" s="4">
        <v>196763</v>
      </c>
      <c r="F182" s="4">
        <v>159401</v>
      </c>
      <c r="G182" s="4">
        <v>30098</v>
      </c>
      <c r="H182" s="4">
        <v>129303</v>
      </c>
      <c r="I182" s="4">
        <v>37362</v>
      </c>
      <c r="J182">
        <v>0</v>
      </c>
      <c r="K182">
        <v>166665</v>
      </c>
      <c r="L182">
        <v>0</v>
      </c>
      <c r="M182" s="4">
        <v>0</v>
      </c>
      <c r="N182" s="4">
        <v>0</v>
      </c>
      <c r="O182" s="4">
        <v>16755</v>
      </c>
      <c r="P182" s="4">
        <v>2101</v>
      </c>
      <c r="Q182" s="4">
        <v>35239</v>
      </c>
      <c r="R182" s="4">
        <v>38709</v>
      </c>
      <c r="S182" s="4">
        <v>259469</v>
      </c>
      <c r="T182" s="4">
        <v>148159</v>
      </c>
      <c r="U182" s="4">
        <v>111310</v>
      </c>
    </row>
    <row r="183" spans="1:21" x14ac:dyDescent="0.25">
      <c r="A183" s="1" t="s">
        <v>174</v>
      </c>
      <c r="B183" t="s">
        <v>733</v>
      </c>
      <c r="C183" s="1" t="s">
        <v>193</v>
      </c>
      <c r="D183" t="s">
        <v>586</v>
      </c>
      <c r="E183" s="4">
        <v>157485</v>
      </c>
      <c r="F183" s="4">
        <v>127581</v>
      </c>
      <c r="G183" s="4">
        <v>38965</v>
      </c>
      <c r="H183" s="4">
        <v>88616</v>
      </c>
      <c r="I183" s="4">
        <v>29904</v>
      </c>
      <c r="J183">
        <v>0</v>
      </c>
      <c r="K183">
        <v>118520</v>
      </c>
      <c r="L183">
        <v>0</v>
      </c>
      <c r="M183" s="4">
        <v>0</v>
      </c>
      <c r="N183" s="4">
        <v>0</v>
      </c>
      <c r="O183" s="4">
        <v>13410</v>
      </c>
      <c r="P183" s="4">
        <v>1682</v>
      </c>
      <c r="Q183" s="4">
        <v>26491</v>
      </c>
      <c r="R183" s="4">
        <v>29100</v>
      </c>
      <c r="S183" s="4">
        <v>189203</v>
      </c>
      <c r="T183" s="4">
        <v>103708</v>
      </c>
      <c r="U183" s="4">
        <v>85495</v>
      </c>
    </row>
    <row r="184" spans="1:21" x14ac:dyDescent="0.25">
      <c r="A184" s="1" t="s">
        <v>174</v>
      </c>
      <c r="B184" t="s">
        <v>733</v>
      </c>
      <c r="C184" s="1" t="s">
        <v>194</v>
      </c>
      <c r="D184" t="s">
        <v>587</v>
      </c>
      <c r="E184" s="4">
        <v>554315</v>
      </c>
      <c r="F184" s="4">
        <v>449059</v>
      </c>
      <c r="G184" s="4">
        <v>51243</v>
      </c>
      <c r="H184" s="4">
        <v>397816</v>
      </c>
      <c r="I184" s="4">
        <v>105256</v>
      </c>
      <c r="J184">
        <v>0</v>
      </c>
      <c r="K184">
        <v>503072</v>
      </c>
      <c r="L184">
        <v>0</v>
      </c>
      <c r="M184" s="4">
        <v>0</v>
      </c>
      <c r="N184" s="4">
        <v>0</v>
      </c>
      <c r="O184" s="4">
        <v>47202</v>
      </c>
      <c r="P184" s="4">
        <v>5919</v>
      </c>
      <c r="Q184" s="4">
        <v>100815</v>
      </c>
      <c r="R184" s="4">
        <v>110744</v>
      </c>
      <c r="S184" s="4">
        <v>767752</v>
      </c>
      <c r="T184" s="4">
        <v>450937</v>
      </c>
      <c r="U184" s="4">
        <v>316815</v>
      </c>
    </row>
    <row r="185" spans="1:21" x14ac:dyDescent="0.25">
      <c r="A185" s="1" t="s">
        <v>174</v>
      </c>
      <c r="B185" t="s">
        <v>733</v>
      </c>
      <c r="C185" s="1" t="s">
        <v>195</v>
      </c>
      <c r="D185" t="s">
        <v>588</v>
      </c>
      <c r="E185" s="4">
        <v>107879</v>
      </c>
      <c r="F185" s="4">
        <v>87395</v>
      </c>
      <c r="G185" s="4">
        <v>22889</v>
      </c>
      <c r="H185" s="4">
        <v>64506</v>
      </c>
      <c r="I185" s="4">
        <v>20484</v>
      </c>
      <c r="J185">
        <v>0</v>
      </c>
      <c r="K185">
        <v>84990</v>
      </c>
      <c r="L185">
        <v>0</v>
      </c>
      <c r="M185" s="4">
        <v>0</v>
      </c>
      <c r="N185" s="4">
        <v>0</v>
      </c>
      <c r="O185" s="4">
        <v>9186</v>
      </c>
      <c r="P185" s="4">
        <v>1152</v>
      </c>
      <c r="Q185" s="4">
        <v>18860</v>
      </c>
      <c r="R185" s="4">
        <v>20718</v>
      </c>
      <c r="S185" s="4">
        <v>134906</v>
      </c>
      <c r="T185" s="4">
        <v>74844</v>
      </c>
      <c r="U185" s="4">
        <v>60062</v>
      </c>
    </row>
    <row r="186" spans="1:21" x14ac:dyDescent="0.25">
      <c r="A186" s="1" t="s">
        <v>174</v>
      </c>
      <c r="B186" t="s">
        <v>733</v>
      </c>
      <c r="C186" s="1" t="s">
        <v>196</v>
      </c>
      <c r="D186" t="s">
        <v>589</v>
      </c>
      <c r="E186" s="4">
        <v>142680</v>
      </c>
      <c r="F186" s="4">
        <v>115587</v>
      </c>
      <c r="G186" s="4">
        <v>28487</v>
      </c>
      <c r="H186" s="4">
        <v>87100</v>
      </c>
      <c r="I186" s="4">
        <v>27093</v>
      </c>
      <c r="J186" s="4">
        <v>7200</v>
      </c>
      <c r="K186">
        <v>121393</v>
      </c>
      <c r="L186">
        <v>0</v>
      </c>
      <c r="M186" s="4">
        <v>0</v>
      </c>
      <c r="N186" s="4">
        <v>0</v>
      </c>
      <c r="O186" s="4">
        <v>12150</v>
      </c>
      <c r="P186" s="4">
        <v>1524</v>
      </c>
      <c r="Q186" s="4">
        <v>24816</v>
      </c>
      <c r="R186" s="4">
        <v>27260</v>
      </c>
      <c r="S186" s="4">
        <v>187143</v>
      </c>
      <c r="T186" s="4">
        <v>100774</v>
      </c>
      <c r="U186" s="4">
        <v>86369</v>
      </c>
    </row>
    <row r="187" spans="1:21" x14ac:dyDescent="0.25">
      <c r="A187" s="1" t="s">
        <v>174</v>
      </c>
      <c r="B187" t="s">
        <v>733</v>
      </c>
      <c r="C187" s="1" t="s">
        <v>197</v>
      </c>
      <c r="D187" t="s">
        <v>590</v>
      </c>
      <c r="E187" s="4">
        <v>1276553</v>
      </c>
      <c r="F187" s="4">
        <v>1034154</v>
      </c>
      <c r="G187" s="4">
        <v>182723</v>
      </c>
      <c r="H187" s="4">
        <v>851431</v>
      </c>
      <c r="I187" s="4">
        <v>242399</v>
      </c>
      <c r="J187">
        <v>0</v>
      </c>
      <c r="K187">
        <v>1093830</v>
      </c>
      <c r="L187">
        <v>0</v>
      </c>
      <c r="M187" s="4">
        <v>0</v>
      </c>
      <c r="N187" s="4">
        <v>0</v>
      </c>
      <c r="O187" s="4">
        <v>108704</v>
      </c>
      <c r="P187" s="4">
        <v>13632</v>
      </c>
      <c r="Q187" s="4">
        <v>213666</v>
      </c>
      <c r="R187" s="4">
        <v>234709</v>
      </c>
      <c r="S187" s="4">
        <v>1664541</v>
      </c>
      <c r="T187" s="4">
        <v>973767</v>
      </c>
      <c r="U187" s="4">
        <v>690774</v>
      </c>
    </row>
    <row r="188" spans="1:21" x14ac:dyDescent="0.25">
      <c r="A188" s="1" t="s">
        <v>174</v>
      </c>
      <c r="B188" t="s">
        <v>733</v>
      </c>
      <c r="C188" s="1" t="s">
        <v>198</v>
      </c>
      <c r="D188" t="s">
        <v>591</v>
      </c>
      <c r="E188" s="4">
        <v>302668</v>
      </c>
      <c r="F188" s="4">
        <v>245195</v>
      </c>
      <c r="G188" s="4">
        <v>44215</v>
      </c>
      <c r="H188" s="4">
        <v>200980</v>
      </c>
      <c r="I188" s="4">
        <v>57473</v>
      </c>
      <c r="J188">
        <v>0</v>
      </c>
      <c r="K188">
        <v>258453</v>
      </c>
      <c r="L188">
        <v>0</v>
      </c>
      <c r="M188" s="4">
        <v>0</v>
      </c>
      <c r="N188" s="4">
        <v>0</v>
      </c>
      <c r="O188" s="4">
        <v>25773</v>
      </c>
      <c r="P188" s="4">
        <v>3232</v>
      </c>
      <c r="Q188" s="4">
        <v>52548</v>
      </c>
      <c r="R188" s="4">
        <v>57723</v>
      </c>
      <c r="S188" s="4">
        <v>397729</v>
      </c>
      <c r="T188" s="4">
        <v>229985</v>
      </c>
      <c r="U188" s="4">
        <v>167744</v>
      </c>
    </row>
    <row r="189" spans="1:21" x14ac:dyDescent="0.25">
      <c r="A189" s="1" t="s">
        <v>174</v>
      </c>
      <c r="B189" t="s">
        <v>733</v>
      </c>
      <c r="C189" s="1" t="s">
        <v>199</v>
      </c>
      <c r="D189" t="s">
        <v>592</v>
      </c>
      <c r="E189" s="4">
        <v>2537422</v>
      </c>
      <c r="F189" s="4">
        <v>2055602</v>
      </c>
      <c r="G189" s="4">
        <v>236604</v>
      </c>
      <c r="H189" s="4">
        <v>1818998</v>
      </c>
      <c r="I189" s="4">
        <v>481820</v>
      </c>
      <c r="J189">
        <v>0</v>
      </c>
      <c r="K189">
        <v>2300818</v>
      </c>
      <c r="L189">
        <v>0</v>
      </c>
      <c r="M189" s="4">
        <v>0</v>
      </c>
      <c r="N189" s="4">
        <v>0</v>
      </c>
      <c r="O189" s="4">
        <v>216072</v>
      </c>
      <c r="P189" s="4">
        <v>27097</v>
      </c>
      <c r="Q189" s="4">
        <v>459592</v>
      </c>
      <c r="R189" s="4">
        <v>504855</v>
      </c>
      <c r="S189" s="4">
        <v>3508434</v>
      </c>
      <c r="T189" s="4">
        <v>2062167</v>
      </c>
      <c r="U189" s="4">
        <v>1446267</v>
      </c>
    </row>
    <row r="190" spans="1:21" x14ac:dyDescent="0.25">
      <c r="A190" s="1" t="s">
        <v>174</v>
      </c>
      <c r="B190" t="s">
        <v>733</v>
      </c>
      <c r="C190" s="1" t="s">
        <v>200</v>
      </c>
      <c r="D190" t="s">
        <v>593</v>
      </c>
      <c r="E190" s="4">
        <v>647465</v>
      </c>
      <c r="F190" s="4">
        <v>524520</v>
      </c>
      <c r="G190" s="4">
        <v>117698</v>
      </c>
      <c r="H190" s="4">
        <v>406822</v>
      </c>
      <c r="I190" s="4">
        <v>122945</v>
      </c>
      <c r="J190">
        <v>0</v>
      </c>
      <c r="K190">
        <v>529767</v>
      </c>
      <c r="L190">
        <v>0</v>
      </c>
      <c r="M190" s="4">
        <v>0</v>
      </c>
      <c r="N190" s="4">
        <v>0</v>
      </c>
      <c r="O190" s="4">
        <v>55134</v>
      </c>
      <c r="P190" s="4">
        <v>6914</v>
      </c>
      <c r="Q190" s="4">
        <v>109935</v>
      </c>
      <c r="R190" s="4">
        <v>120762</v>
      </c>
      <c r="S190" s="4">
        <v>822512</v>
      </c>
      <c r="T190" s="4">
        <v>468870</v>
      </c>
      <c r="U190" s="4">
        <v>353642</v>
      </c>
    </row>
    <row r="191" spans="1:21" x14ac:dyDescent="0.25">
      <c r="A191" s="1" t="s">
        <v>174</v>
      </c>
      <c r="B191" t="s">
        <v>733</v>
      </c>
      <c r="C191" s="1" t="s">
        <v>201</v>
      </c>
      <c r="D191" t="s">
        <v>594</v>
      </c>
      <c r="E191" s="4">
        <v>165283</v>
      </c>
      <c r="F191" s="4">
        <v>133898</v>
      </c>
      <c r="G191" s="4">
        <v>30484</v>
      </c>
      <c r="H191" s="4">
        <v>103414</v>
      </c>
      <c r="I191" s="4">
        <v>31385</v>
      </c>
      <c r="J191">
        <v>0</v>
      </c>
      <c r="K191">
        <v>134799</v>
      </c>
      <c r="L191">
        <v>0</v>
      </c>
      <c r="M191" s="4">
        <v>0</v>
      </c>
      <c r="N191" s="4">
        <v>0</v>
      </c>
      <c r="O191" s="4">
        <v>14075</v>
      </c>
      <c r="P191" s="4">
        <v>1765</v>
      </c>
      <c r="Q191" s="4">
        <v>32261</v>
      </c>
      <c r="R191" s="4">
        <v>35438</v>
      </c>
      <c r="S191" s="4">
        <v>218338</v>
      </c>
      <c r="T191" s="4">
        <v>119254</v>
      </c>
      <c r="U191" s="4">
        <v>99084</v>
      </c>
    </row>
    <row r="192" spans="1:21" x14ac:dyDescent="0.25">
      <c r="A192" s="1" t="s">
        <v>174</v>
      </c>
      <c r="B192" t="s">
        <v>733</v>
      </c>
      <c r="C192" s="1" t="s">
        <v>202</v>
      </c>
      <c r="D192" t="s">
        <v>595</v>
      </c>
      <c r="E192" s="4">
        <v>245808</v>
      </c>
      <c r="F192" s="4">
        <v>199133</v>
      </c>
      <c r="G192" s="4">
        <v>33847</v>
      </c>
      <c r="H192" s="4">
        <v>165286</v>
      </c>
      <c r="I192" s="4">
        <v>46675</v>
      </c>
      <c r="J192">
        <v>0</v>
      </c>
      <c r="K192">
        <v>211961</v>
      </c>
      <c r="L192">
        <v>0</v>
      </c>
      <c r="M192" s="4">
        <v>0</v>
      </c>
      <c r="N192" s="4">
        <v>0</v>
      </c>
      <c r="O192" s="4">
        <v>20932</v>
      </c>
      <c r="P192" s="4">
        <v>2625</v>
      </c>
      <c r="Q192" s="4">
        <v>41567</v>
      </c>
      <c r="R192" s="4">
        <v>45661</v>
      </c>
      <c r="S192" s="4">
        <v>322746</v>
      </c>
      <c r="T192" s="4">
        <v>188843</v>
      </c>
      <c r="U192" s="4">
        <v>133903</v>
      </c>
    </row>
    <row r="193" spans="1:21" x14ac:dyDescent="0.25">
      <c r="A193" s="1" t="s">
        <v>174</v>
      </c>
      <c r="B193" t="s">
        <v>733</v>
      </c>
      <c r="C193" s="1" t="s">
        <v>203</v>
      </c>
      <c r="D193" t="s">
        <v>596</v>
      </c>
      <c r="E193" s="4">
        <v>179175</v>
      </c>
      <c r="F193" s="4">
        <v>145152</v>
      </c>
      <c r="G193" s="4">
        <v>30099</v>
      </c>
      <c r="H193" s="4">
        <v>115053</v>
      </c>
      <c r="I193" s="4">
        <v>34023</v>
      </c>
      <c r="J193">
        <v>0</v>
      </c>
      <c r="K193">
        <v>149076</v>
      </c>
      <c r="L193">
        <v>0</v>
      </c>
      <c r="M193" s="4">
        <v>0</v>
      </c>
      <c r="N193" s="4">
        <v>0</v>
      </c>
      <c r="O193" s="4">
        <v>15258</v>
      </c>
      <c r="P193" s="4">
        <v>1913</v>
      </c>
      <c r="Q193" s="4">
        <v>33502</v>
      </c>
      <c r="R193" s="4">
        <v>36801</v>
      </c>
      <c r="S193" s="4">
        <v>236550</v>
      </c>
      <c r="T193" s="4">
        <v>132224</v>
      </c>
      <c r="U193" s="4">
        <v>104326</v>
      </c>
    </row>
    <row r="194" spans="1:21" x14ac:dyDescent="0.25">
      <c r="A194" s="1" t="s">
        <v>174</v>
      </c>
      <c r="B194" t="s">
        <v>733</v>
      </c>
      <c r="C194" s="1" t="s">
        <v>204</v>
      </c>
      <c r="D194" t="s">
        <v>597</v>
      </c>
      <c r="E194" s="4">
        <v>111275</v>
      </c>
      <c r="F194" s="4">
        <v>90145</v>
      </c>
      <c r="G194" s="4">
        <v>27349</v>
      </c>
      <c r="H194" s="4">
        <v>62796</v>
      </c>
      <c r="I194" s="4">
        <v>21130</v>
      </c>
      <c r="J194" s="4">
        <v>5630</v>
      </c>
      <c r="K194">
        <v>89556</v>
      </c>
      <c r="L194">
        <v>0</v>
      </c>
      <c r="M194" s="4">
        <v>0</v>
      </c>
      <c r="N194" s="4">
        <v>0</v>
      </c>
      <c r="O194" s="4">
        <v>9489</v>
      </c>
      <c r="P194" s="4">
        <v>1192</v>
      </c>
      <c r="Q194" s="4">
        <v>19108</v>
      </c>
      <c r="R194" s="4">
        <v>20990</v>
      </c>
      <c r="S194" s="4">
        <v>140335</v>
      </c>
      <c r="T194" s="4">
        <v>73477</v>
      </c>
      <c r="U194" s="4">
        <v>66858</v>
      </c>
    </row>
    <row r="195" spans="1:21" x14ac:dyDescent="0.25">
      <c r="A195" s="1" t="s">
        <v>174</v>
      </c>
      <c r="B195" t="s">
        <v>733</v>
      </c>
      <c r="C195" s="1" t="s">
        <v>205</v>
      </c>
      <c r="D195" t="s">
        <v>598</v>
      </c>
      <c r="E195" s="4">
        <v>507705</v>
      </c>
      <c r="F195" s="4">
        <v>411299</v>
      </c>
      <c r="G195" s="4">
        <v>90675</v>
      </c>
      <c r="H195" s="4">
        <v>320624</v>
      </c>
      <c r="I195" s="4">
        <v>96406</v>
      </c>
      <c r="J195">
        <v>0</v>
      </c>
      <c r="K195">
        <v>417030</v>
      </c>
      <c r="L195">
        <v>0</v>
      </c>
      <c r="M195" s="4">
        <v>0</v>
      </c>
      <c r="N195" s="4">
        <v>0</v>
      </c>
      <c r="O195" s="4">
        <v>43233</v>
      </c>
      <c r="P195" s="4">
        <v>5422</v>
      </c>
      <c r="Q195" s="4">
        <v>87042</v>
      </c>
      <c r="R195" s="4">
        <v>95614</v>
      </c>
      <c r="S195" s="4">
        <v>648341</v>
      </c>
      <c r="T195" s="4">
        <v>369279</v>
      </c>
      <c r="U195" s="4">
        <v>279062</v>
      </c>
    </row>
    <row r="196" spans="1:21" x14ac:dyDescent="0.25">
      <c r="A196" s="1" t="s">
        <v>174</v>
      </c>
      <c r="B196" t="s">
        <v>733</v>
      </c>
      <c r="C196" s="1" t="s">
        <v>206</v>
      </c>
      <c r="D196" t="s">
        <v>599</v>
      </c>
      <c r="E196" s="4">
        <v>1139276</v>
      </c>
      <c r="F196" s="4">
        <v>922944</v>
      </c>
      <c r="G196" s="4">
        <v>203383</v>
      </c>
      <c r="H196" s="4">
        <v>719561</v>
      </c>
      <c r="I196" s="4">
        <v>216332</v>
      </c>
      <c r="J196">
        <v>0</v>
      </c>
      <c r="K196">
        <v>935893</v>
      </c>
      <c r="L196">
        <v>0</v>
      </c>
      <c r="M196" s="4">
        <v>0</v>
      </c>
      <c r="N196" s="4">
        <v>0</v>
      </c>
      <c r="O196" s="4">
        <v>97014</v>
      </c>
      <c r="P196" s="4">
        <v>12166</v>
      </c>
      <c r="Q196" s="4">
        <v>189160</v>
      </c>
      <c r="R196" s="4">
        <v>207789</v>
      </c>
      <c r="S196" s="4">
        <v>1442022</v>
      </c>
      <c r="T196" s="4">
        <v>828741</v>
      </c>
      <c r="U196" s="4">
        <v>613281</v>
      </c>
    </row>
    <row r="197" spans="1:21" x14ac:dyDescent="0.25">
      <c r="A197" s="1" t="s">
        <v>174</v>
      </c>
      <c r="B197" t="s">
        <v>733</v>
      </c>
      <c r="C197" s="1" t="s">
        <v>207</v>
      </c>
      <c r="D197" t="s">
        <v>600</v>
      </c>
      <c r="E197" s="4">
        <v>732989</v>
      </c>
      <c r="F197" s="4">
        <v>593805</v>
      </c>
      <c r="G197" s="4">
        <v>52568</v>
      </c>
      <c r="H197" s="4">
        <v>541237</v>
      </c>
      <c r="I197" s="4">
        <v>139184</v>
      </c>
      <c r="J197">
        <v>0</v>
      </c>
      <c r="K197">
        <v>680421</v>
      </c>
      <c r="L197">
        <v>0</v>
      </c>
      <c r="M197" s="4">
        <v>0</v>
      </c>
      <c r="N197" s="4">
        <v>0</v>
      </c>
      <c r="O197" s="4">
        <v>62417</v>
      </c>
      <c r="P197" s="4">
        <v>7827</v>
      </c>
      <c r="Q197" s="4">
        <v>131649</v>
      </c>
      <c r="R197" s="4">
        <v>144614</v>
      </c>
      <c r="S197" s="4">
        <v>1026928</v>
      </c>
      <c r="T197" s="4">
        <v>611481</v>
      </c>
      <c r="U197" s="4">
        <v>415447</v>
      </c>
    </row>
    <row r="198" spans="1:21" x14ac:dyDescent="0.25">
      <c r="A198" s="1" t="s">
        <v>174</v>
      </c>
      <c r="B198" t="s">
        <v>733</v>
      </c>
      <c r="C198" s="1" t="s">
        <v>208</v>
      </c>
      <c r="D198" t="s">
        <v>601</v>
      </c>
      <c r="E198" s="4">
        <v>1248443</v>
      </c>
      <c r="F198" s="4">
        <v>1011381</v>
      </c>
      <c r="G198" s="4">
        <v>125386</v>
      </c>
      <c r="H198" s="4">
        <v>885995</v>
      </c>
      <c r="I198" s="4">
        <v>237062</v>
      </c>
      <c r="J198">
        <v>0</v>
      </c>
      <c r="K198">
        <v>1123057</v>
      </c>
      <c r="L198">
        <v>0</v>
      </c>
      <c r="M198" s="4">
        <v>0</v>
      </c>
      <c r="N198" s="4">
        <v>0</v>
      </c>
      <c r="O198" s="4">
        <v>106310</v>
      </c>
      <c r="P198" s="4">
        <v>13332</v>
      </c>
      <c r="Q198" s="4">
        <v>217884</v>
      </c>
      <c r="R198" s="4">
        <v>239343</v>
      </c>
      <c r="S198" s="4">
        <v>1699926</v>
      </c>
      <c r="T198" s="4">
        <v>1005637</v>
      </c>
      <c r="U198" s="4">
        <v>694289</v>
      </c>
    </row>
    <row r="199" spans="1:21" x14ac:dyDescent="0.25">
      <c r="A199" s="1" t="s">
        <v>174</v>
      </c>
      <c r="B199" t="s">
        <v>733</v>
      </c>
      <c r="C199" s="1" t="s">
        <v>209</v>
      </c>
      <c r="D199" t="s">
        <v>602</v>
      </c>
      <c r="E199" s="4">
        <v>208188</v>
      </c>
      <c r="F199" s="4">
        <v>168656</v>
      </c>
      <c r="G199" s="4">
        <v>41558</v>
      </c>
      <c r="H199" s="4">
        <v>127098</v>
      </c>
      <c r="I199" s="4">
        <v>39532</v>
      </c>
      <c r="J199">
        <v>0</v>
      </c>
      <c r="K199">
        <v>166630</v>
      </c>
      <c r="L199">
        <v>0</v>
      </c>
      <c r="M199" s="4">
        <v>0</v>
      </c>
      <c r="N199" s="4">
        <v>0</v>
      </c>
      <c r="O199" s="4">
        <v>17728</v>
      </c>
      <c r="P199" s="4">
        <v>2223</v>
      </c>
      <c r="Q199" s="4">
        <v>37410</v>
      </c>
      <c r="R199" s="4">
        <v>41094</v>
      </c>
      <c r="S199" s="4">
        <v>265085</v>
      </c>
      <c r="T199" s="4">
        <v>147049</v>
      </c>
      <c r="U199" s="4">
        <v>118036</v>
      </c>
    </row>
    <row r="200" spans="1:21" x14ac:dyDescent="0.25">
      <c r="A200" s="1" t="s">
        <v>174</v>
      </c>
      <c r="B200" t="s">
        <v>733</v>
      </c>
      <c r="C200" s="1" t="s">
        <v>211</v>
      </c>
      <c r="D200" t="s">
        <v>212</v>
      </c>
      <c r="E200" s="4">
        <v>372083</v>
      </c>
      <c r="F200" s="4">
        <v>301430</v>
      </c>
      <c r="G200" s="4">
        <v>58466</v>
      </c>
      <c r="H200" s="4">
        <v>242964</v>
      </c>
      <c r="I200" s="4">
        <v>70653</v>
      </c>
      <c r="J200">
        <v>0</v>
      </c>
      <c r="K200">
        <v>313617</v>
      </c>
      <c r="L200">
        <v>0</v>
      </c>
      <c r="M200" s="4">
        <v>0</v>
      </c>
      <c r="N200" s="4">
        <v>0</v>
      </c>
      <c r="O200" s="4">
        <v>31684</v>
      </c>
      <c r="P200" s="4">
        <v>3973</v>
      </c>
      <c r="Q200" s="4">
        <v>65328</v>
      </c>
      <c r="R200" s="4">
        <v>71762</v>
      </c>
      <c r="S200" s="4">
        <v>486364</v>
      </c>
      <c r="T200" s="4">
        <v>278621</v>
      </c>
      <c r="U200" s="4">
        <v>207743</v>
      </c>
    </row>
    <row r="201" spans="1:21" x14ac:dyDescent="0.25">
      <c r="A201" s="1" t="s">
        <v>174</v>
      </c>
      <c r="B201" t="s">
        <v>733</v>
      </c>
      <c r="C201" s="1" t="s">
        <v>210</v>
      </c>
      <c r="D201" t="s">
        <v>603</v>
      </c>
      <c r="E201" s="4">
        <v>242582</v>
      </c>
      <c r="F201" s="4">
        <v>196519</v>
      </c>
      <c r="G201" s="4">
        <v>42913</v>
      </c>
      <c r="H201" s="4">
        <v>153606</v>
      </c>
      <c r="I201" s="4">
        <v>46063</v>
      </c>
      <c r="J201" s="4">
        <v>3428</v>
      </c>
      <c r="K201">
        <v>203097</v>
      </c>
      <c r="L201">
        <v>0</v>
      </c>
      <c r="M201" s="4">
        <v>0</v>
      </c>
      <c r="N201" s="4">
        <v>0</v>
      </c>
      <c r="O201" s="4">
        <v>20815</v>
      </c>
      <c r="P201" s="4">
        <v>2614</v>
      </c>
      <c r="Q201" s="4">
        <v>40078</v>
      </c>
      <c r="R201" s="4">
        <v>44025</v>
      </c>
      <c r="S201" s="4">
        <v>310629</v>
      </c>
      <c r="T201" s="4">
        <v>177035</v>
      </c>
      <c r="U201" s="4">
        <v>133594</v>
      </c>
    </row>
    <row r="202" spans="1:21" x14ac:dyDescent="0.25">
      <c r="A202" s="1" t="s">
        <v>174</v>
      </c>
      <c r="B202" t="s">
        <v>733</v>
      </c>
      <c r="C202" s="1" t="s">
        <v>213</v>
      </c>
      <c r="D202" t="s">
        <v>604</v>
      </c>
      <c r="E202" s="4">
        <v>781353</v>
      </c>
      <c r="F202" s="4">
        <v>632985</v>
      </c>
      <c r="G202" s="4">
        <v>124773</v>
      </c>
      <c r="H202" s="4">
        <v>508212</v>
      </c>
      <c r="I202" s="4">
        <v>148368</v>
      </c>
      <c r="J202">
        <v>0</v>
      </c>
      <c r="K202">
        <v>656580</v>
      </c>
      <c r="L202">
        <v>0</v>
      </c>
      <c r="M202" s="4">
        <v>0</v>
      </c>
      <c r="N202" s="4">
        <v>0</v>
      </c>
      <c r="O202" s="4">
        <v>66535</v>
      </c>
      <c r="P202" s="4">
        <v>8344</v>
      </c>
      <c r="Q202" s="4">
        <v>169990</v>
      </c>
      <c r="R202" s="4">
        <v>186731</v>
      </c>
      <c r="S202" s="4">
        <v>1088180</v>
      </c>
      <c r="T202" s="4">
        <v>583091</v>
      </c>
      <c r="U202" s="4">
        <v>505089</v>
      </c>
    </row>
    <row r="203" spans="1:21" x14ac:dyDescent="0.25">
      <c r="A203" s="1" t="s">
        <v>174</v>
      </c>
      <c r="B203" t="s">
        <v>733</v>
      </c>
      <c r="C203" s="1" t="s">
        <v>214</v>
      </c>
      <c r="D203" t="s">
        <v>605</v>
      </c>
      <c r="E203" s="4">
        <v>693430</v>
      </c>
      <c r="F203" s="4">
        <v>561758</v>
      </c>
      <c r="G203" s="4">
        <v>105800</v>
      </c>
      <c r="H203" s="4">
        <v>455958</v>
      </c>
      <c r="I203" s="4">
        <v>131672</v>
      </c>
      <c r="J203">
        <v>0</v>
      </c>
      <c r="K203">
        <v>587630</v>
      </c>
      <c r="L203">
        <v>0</v>
      </c>
      <c r="M203" s="4">
        <v>0</v>
      </c>
      <c r="N203" s="4">
        <v>0</v>
      </c>
      <c r="O203" s="4">
        <v>59048</v>
      </c>
      <c r="P203" s="4">
        <v>7405</v>
      </c>
      <c r="Q203" s="4">
        <v>119613</v>
      </c>
      <c r="R203" s="4">
        <v>131393</v>
      </c>
      <c r="S203" s="4">
        <v>905089</v>
      </c>
      <c r="T203" s="4">
        <v>522411</v>
      </c>
      <c r="U203" s="4">
        <v>382678</v>
      </c>
    </row>
    <row r="204" spans="1:21" x14ac:dyDescent="0.25">
      <c r="A204" s="1" t="s">
        <v>174</v>
      </c>
      <c r="B204" t="s">
        <v>733</v>
      </c>
      <c r="C204" s="1" t="s">
        <v>215</v>
      </c>
      <c r="D204" t="s">
        <v>606</v>
      </c>
      <c r="E204" s="4">
        <v>264615</v>
      </c>
      <c r="F204" s="4">
        <v>214368</v>
      </c>
      <c r="G204" s="4">
        <v>40018</v>
      </c>
      <c r="H204" s="4">
        <v>174350</v>
      </c>
      <c r="I204" s="4">
        <v>50247</v>
      </c>
      <c r="J204">
        <v>0</v>
      </c>
      <c r="K204">
        <v>224597</v>
      </c>
      <c r="L204">
        <v>0</v>
      </c>
      <c r="M204" s="4">
        <v>0</v>
      </c>
      <c r="N204" s="4">
        <v>0</v>
      </c>
      <c r="O204" s="4">
        <v>22533</v>
      </c>
      <c r="P204" s="4">
        <v>2826</v>
      </c>
      <c r="Q204" s="4">
        <v>44235</v>
      </c>
      <c r="R204" s="4">
        <v>48591</v>
      </c>
      <c r="S204" s="4">
        <v>342782</v>
      </c>
      <c r="T204" s="4">
        <v>199709</v>
      </c>
      <c r="U204" s="4">
        <v>143073</v>
      </c>
    </row>
    <row r="205" spans="1:21" x14ac:dyDescent="0.25">
      <c r="A205" s="1" t="s">
        <v>174</v>
      </c>
      <c r="B205" t="s">
        <v>733</v>
      </c>
      <c r="C205" s="1" t="s">
        <v>216</v>
      </c>
      <c r="D205" t="s">
        <v>607</v>
      </c>
      <c r="E205" s="4">
        <v>355887</v>
      </c>
      <c r="F205" s="4">
        <v>288309</v>
      </c>
      <c r="G205" s="4">
        <v>62065</v>
      </c>
      <c r="H205" s="4">
        <v>226244</v>
      </c>
      <c r="I205" s="4">
        <v>67578</v>
      </c>
      <c r="J205">
        <v>0</v>
      </c>
      <c r="K205">
        <v>293822</v>
      </c>
      <c r="L205">
        <v>0</v>
      </c>
      <c r="M205" s="4">
        <v>0</v>
      </c>
      <c r="N205" s="4">
        <v>0</v>
      </c>
      <c r="O205" s="4">
        <v>30305</v>
      </c>
      <c r="P205" s="4">
        <v>3800</v>
      </c>
      <c r="Q205" s="4">
        <v>62474</v>
      </c>
      <c r="R205" s="4">
        <v>68627</v>
      </c>
      <c r="S205" s="4">
        <v>459028</v>
      </c>
      <c r="T205" s="4">
        <v>260349</v>
      </c>
      <c r="U205" s="4">
        <v>198679</v>
      </c>
    </row>
    <row r="206" spans="1:21" x14ac:dyDescent="0.25">
      <c r="A206" s="1" t="s">
        <v>174</v>
      </c>
      <c r="B206" t="s">
        <v>733</v>
      </c>
      <c r="C206" s="1" t="s">
        <v>217</v>
      </c>
      <c r="D206" t="s">
        <v>608</v>
      </c>
      <c r="E206" s="4">
        <v>391467</v>
      </c>
      <c r="F206" s="4">
        <v>317133</v>
      </c>
      <c r="G206" s="4">
        <v>86996</v>
      </c>
      <c r="H206" s="4">
        <v>230137</v>
      </c>
      <c r="I206" s="4">
        <v>74334</v>
      </c>
      <c r="J206">
        <v>0</v>
      </c>
      <c r="K206">
        <v>304471</v>
      </c>
      <c r="L206">
        <v>0</v>
      </c>
      <c r="M206" s="4">
        <v>0</v>
      </c>
      <c r="N206" s="4">
        <v>0</v>
      </c>
      <c r="O206" s="4">
        <v>33335</v>
      </c>
      <c r="P206" s="4">
        <v>4180</v>
      </c>
      <c r="Q206" s="4">
        <v>69919</v>
      </c>
      <c r="R206" s="4">
        <v>76805</v>
      </c>
      <c r="S206" s="4">
        <v>488710</v>
      </c>
      <c r="T206" s="4">
        <v>267652</v>
      </c>
      <c r="U206" s="4">
        <v>221058</v>
      </c>
    </row>
    <row r="207" spans="1:21" x14ac:dyDescent="0.25">
      <c r="A207" s="1" t="s">
        <v>174</v>
      </c>
      <c r="B207" t="s">
        <v>733</v>
      </c>
      <c r="C207" s="1" t="s">
        <v>218</v>
      </c>
      <c r="D207" t="s">
        <v>609</v>
      </c>
      <c r="E207" s="4">
        <v>2696227</v>
      </c>
      <c r="F207" s="4">
        <v>2184252</v>
      </c>
      <c r="G207" s="4">
        <v>261652</v>
      </c>
      <c r="H207" s="4">
        <v>1922600</v>
      </c>
      <c r="I207" s="4">
        <v>511975</v>
      </c>
      <c r="J207">
        <v>0</v>
      </c>
      <c r="K207">
        <v>2434575</v>
      </c>
      <c r="L207">
        <v>0</v>
      </c>
      <c r="M207" s="4">
        <v>0</v>
      </c>
      <c r="N207" s="4">
        <v>0</v>
      </c>
      <c r="O207" s="4">
        <v>229595</v>
      </c>
      <c r="P207" s="4">
        <v>28792</v>
      </c>
      <c r="Q207" s="4">
        <v>470946</v>
      </c>
      <c r="R207" s="4">
        <v>517327</v>
      </c>
      <c r="S207" s="4">
        <v>3681235</v>
      </c>
      <c r="T207" s="4">
        <v>2180987</v>
      </c>
      <c r="U207" s="4">
        <v>1500248</v>
      </c>
    </row>
    <row r="208" spans="1:21" x14ac:dyDescent="0.25">
      <c r="A208" s="1" t="s">
        <v>174</v>
      </c>
      <c r="B208" t="s">
        <v>733</v>
      </c>
      <c r="C208" s="1" t="s">
        <v>219</v>
      </c>
      <c r="D208" t="s">
        <v>610</v>
      </c>
      <c r="E208" s="4">
        <v>184409</v>
      </c>
      <c r="F208" s="4">
        <v>149392</v>
      </c>
      <c r="G208" s="4">
        <v>35040</v>
      </c>
      <c r="H208" s="4">
        <v>114352</v>
      </c>
      <c r="I208" s="4">
        <v>35017</v>
      </c>
      <c r="J208" s="4">
        <v>6147</v>
      </c>
      <c r="K208">
        <v>155516</v>
      </c>
      <c r="L208">
        <v>0</v>
      </c>
      <c r="M208" s="4">
        <v>0</v>
      </c>
      <c r="N208" s="4">
        <v>0</v>
      </c>
      <c r="O208" s="4">
        <v>16123</v>
      </c>
      <c r="P208" s="4">
        <v>2025</v>
      </c>
      <c r="Q208" s="4">
        <v>31392</v>
      </c>
      <c r="R208" s="4">
        <v>34484</v>
      </c>
      <c r="S208" s="4">
        <v>239540</v>
      </c>
      <c r="T208" s="4">
        <v>132500</v>
      </c>
      <c r="U208" s="4">
        <v>107040</v>
      </c>
    </row>
    <row r="209" spans="1:21" x14ac:dyDescent="0.25">
      <c r="A209" s="1" t="s">
        <v>174</v>
      </c>
      <c r="B209" t="s">
        <v>733</v>
      </c>
      <c r="C209" s="1" t="s">
        <v>220</v>
      </c>
      <c r="D209" t="s">
        <v>611</v>
      </c>
      <c r="E209" s="4">
        <v>128234</v>
      </c>
      <c r="F209" s="4">
        <v>103884</v>
      </c>
      <c r="G209" s="4">
        <v>27523</v>
      </c>
      <c r="H209" s="4">
        <v>76361</v>
      </c>
      <c r="I209" s="4">
        <v>24350</v>
      </c>
      <c r="J209">
        <v>0</v>
      </c>
      <c r="K209">
        <v>100711</v>
      </c>
      <c r="L209">
        <v>0</v>
      </c>
      <c r="M209" s="4">
        <v>0</v>
      </c>
      <c r="N209" s="4">
        <v>0</v>
      </c>
      <c r="O209" s="4">
        <v>10920</v>
      </c>
      <c r="P209" s="4">
        <v>1369</v>
      </c>
      <c r="Q209" s="4">
        <v>20845</v>
      </c>
      <c r="R209" s="4">
        <v>22898</v>
      </c>
      <c r="S209" s="4">
        <v>156743</v>
      </c>
      <c r="T209" s="4">
        <v>88650</v>
      </c>
      <c r="U209" s="4">
        <v>68093</v>
      </c>
    </row>
    <row r="210" spans="1:21" x14ac:dyDescent="0.25">
      <c r="A210" s="1" t="s">
        <v>174</v>
      </c>
      <c r="B210" t="s">
        <v>733</v>
      </c>
      <c r="C210" s="1" t="s">
        <v>221</v>
      </c>
      <c r="D210" t="s">
        <v>612</v>
      </c>
      <c r="E210" s="4">
        <v>138248</v>
      </c>
      <c r="F210" s="4">
        <v>111997</v>
      </c>
      <c r="G210" s="4">
        <v>25843</v>
      </c>
      <c r="H210" s="4">
        <v>86154</v>
      </c>
      <c r="I210" s="4">
        <v>26251</v>
      </c>
      <c r="J210">
        <v>0</v>
      </c>
      <c r="K210">
        <v>112405</v>
      </c>
      <c r="L210">
        <v>0</v>
      </c>
      <c r="M210" s="4">
        <v>0</v>
      </c>
      <c r="N210" s="4">
        <v>0</v>
      </c>
      <c r="O210" s="4">
        <v>11772</v>
      </c>
      <c r="P210" s="4">
        <v>1476</v>
      </c>
      <c r="Q210" s="4">
        <v>24506</v>
      </c>
      <c r="R210" s="4">
        <v>26919</v>
      </c>
      <c r="S210" s="4">
        <v>177078</v>
      </c>
      <c r="T210" s="4">
        <v>99402</v>
      </c>
      <c r="U210" s="4">
        <v>77676</v>
      </c>
    </row>
    <row r="211" spans="1:21" x14ac:dyDescent="0.25">
      <c r="A211" s="1" t="s">
        <v>174</v>
      </c>
      <c r="B211" t="s">
        <v>733</v>
      </c>
      <c r="C211" s="1" t="s">
        <v>222</v>
      </c>
      <c r="D211" t="s">
        <v>613</v>
      </c>
      <c r="E211" s="4">
        <v>1267963</v>
      </c>
      <c r="F211" s="4">
        <v>1027195</v>
      </c>
      <c r="G211" s="4">
        <v>181636</v>
      </c>
      <c r="H211" s="4">
        <v>845559</v>
      </c>
      <c r="I211" s="4">
        <v>240768</v>
      </c>
      <c r="J211">
        <v>0</v>
      </c>
      <c r="K211">
        <v>1086327</v>
      </c>
      <c r="L211">
        <v>0</v>
      </c>
      <c r="M211" s="4">
        <v>0</v>
      </c>
      <c r="N211" s="4">
        <v>0</v>
      </c>
      <c r="O211" s="4">
        <v>107972</v>
      </c>
      <c r="P211" s="4">
        <v>13540</v>
      </c>
      <c r="Q211" s="4">
        <v>241398</v>
      </c>
      <c r="R211" s="4">
        <v>265172</v>
      </c>
      <c r="S211" s="4">
        <v>1714409</v>
      </c>
      <c r="T211" s="4">
        <v>967071</v>
      </c>
      <c r="U211" s="4">
        <v>747338</v>
      </c>
    </row>
    <row r="212" spans="1:21" x14ac:dyDescent="0.25">
      <c r="A212" s="1" t="s">
        <v>174</v>
      </c>
      <c r="B212" t="s">
        <v>733</v>
      </c>
      <c r="C212" s="1" t="s">
        <v>223</v>
      </c>
      <c r="D212" t="s">
        <v>614</v>
      </c>
      <c r="E212" s="4">
        <v>308543</v>
      </c>
      <c r="F212" s="4">
        <v>249955</v>
      </c>
      <c r="G212" s="4">
        <v>29267</v>
      </c>
      <c r="H212" s="4">
        <v>220688</v>
      </c>
      <c r="I212" s="4">
        <v>58588</v>
      </c>
      <c r="J212">
        <v>0</v>
      </c>
      <c r="K212">
        <v>279276</v>
      </c>
      <c r="L212">
        <v>0</v>
      </c>
      <c r="M212" s="4">
        <v>0</v>
      </c>
      <c r="N212" s="4">
        <v>0</v>
      </c>
      <c r="O212" s="4">
        <v>26274</v>
      </c>
      <c r="P212" s="4">
        <v>3295</v>
      </c>
      <c r="Q212" s="4">
        <v>57263</v>
      </c>
      <c r="R212" s="4">
        <v>62902</v>
      </c>
      <c r="S212" s="4">
        <v>429010</v>
      </c>
      <c r="T212" s="4">
        <v>250257</v>
      </c>
      <c r="U212" s="4">
        <v>178753</v>
      </c>
    </row>
    <row r="213" spans="1:21" x14ac:dyDescent="0.25">
      <c r="A213" s="1" t="s">
        <v>174</v>
      </c>
      <c r="B213" t="s">
        <v>733</v>
      </c>
      <c r="C213" s="1" t="s">
        <v>224</v>
      </c>
      <c r="D213" t="s">
        <v>615</v>
      </c>
      <c r="E213" s="4">
        <v>4737950</v>
      </c>
      <c r="F213" s="4">
        <v>3838280</v>
      </c>
      <c r="G213" s="4">
        <v>153289</v>
      </c>
      <c r="H213" s="4">
        <v>3684991</v>
      </c>
      <c r="I213" s="4">
        <v>899670</v>
      </c>
      <c r="J213">
        <v>0</v>
      </c>
      <c r="K213">
        <v>4584661</v>
      </c>
      <c r="L213">
        <v>0</v>
      </c>
      <c r="M213" s="4">
        <v>0</v>
      </c>
      <c r="N213" s="4">
        <v>0</v>
      </c>
      <c r="O213" s="4">
        <v>403456</v>
      </c>
      <c r="P213" s="4">
        <v>50596</v>
      </c>
      <c r="Q213" s="4">
        <v>894307</v>
      </c>
      <c r="R213" s="4">
        <v>982382</v>
      </c>
      <c r="S213" s="4">
        <v>6915402</v>
      </c>
      <c r="T213" s="4">
        <v>4139043</v>
      </c>
      <c r="U213" s="4">
        <v>2776359</v>
      </c>
    </row>
    <row r="214" spans="1:21" x14ac:dyDescent="0.25">
      <c r="A214" s="1" t="s">
        <v>174</v>
      </c>
      <c r="B214" t="s">
        <v>733</v>
      </c>
      <c r="C214" s="1" t="s">
        <v>225</v>
      </c>
      <c r="D214" t="s">
        <v>616</v>
      </c>
      <c r="E214" s="4">
        <v>356369</v>
      </c>
      <c r="F214" s="4">
        <v>288700</v>
      </c>
      <c r="G214" s="4">
        <v>57717</v>
      </c>
      <c r="H214" s="4">
        <v>230983</v>
      </c>
      <c r="I214" s="4">
        <v>67669</v>
      </c>
      <c r="J214">
        <v>0</v>
      </c>
      <c r="K214">
        <v>298652</v>
      </c>
      <c r="L214">
        <v>0</v>
      </c>
      <c r="M214" s="4">
        <v>0</v>
      </c>
      <c r="N214" s="4">
        <v>0</v>
      </c>
      <c r="O214" s="4">
        <v>30346</v>
      </c>
      <c r="P214" s="4">
        <v>3806</v>
      </c>
      <c r="Q214" s="4">
        <v>58752</v>
      </c>
      <c r="R214" s="4">
        <v>64538</v>
      </c>
      <c r="S214" s="4">
        <v>456094</v>
      </c>
      <c r="T214" s="4">
        <v>265135</v>
      </c>
      <c r="U214" s="4">
        <v>190959</v>
      </c>
    </row>
    <row r="215" spans="1:21" x14ac:dyDescent="0.25">
      <c r="A215" s="1" t="s">
        <v>174</v>
      </c>
      <c r="B215" t="s">
        <v>733</v>
      </c>
      <c r="C215" s="1" t="s">
        <v>226</v>
      </c>
      <c r="D215" t="s">
        <v>617</v>
      </c>
      <c r="E215" s="4">
        <v>3183779</v>
      </c>
      <c r="F215" s="4">
        <v>2579225</v>
      </c>
      <c r="G215" s="4">
        <v>513663</v>
      </c>
      <c r="H215" s="4">
        <v>2065562</v>
      </c>
      <c r="I215" s="4">
        <v>604554</v>
      </c>
      <c r="J215">
        <v>0</v>
      </c>
      <c r="K215">
        <v>2670116</v>
      </c>
      <c r="L215">
        <v>0</v>
      </c>
      <c r="M215" s="4">
        <v>0</v>
      </c>
      <c r="N215" s="4">
        <v>0</v>
      </c>
      <c r="O215" s="4">
        <v>271112</v>
      </c>
      <c r="P215" s="4">
        <v>33999</v>
      </c>
      <c r="Q215" s="4">
        <v>612645</v>
      </c>
      <c r="R215" s="4">
        <v>672981</v>
      </c>
      <c r="S215" s="4">
        <v>4260853</v>
      </c>
      <c r="T215" s="4">
        <v>2370673</v>
      </c>
      <c r="U215" s="4">
        <v>1890180</v>
      </c>
    </row>
    <row r="216" spans="1:21" x14ac:dyDescent="0.25">
      <c r="A216" s="1" t="s">
        <v>174</v>
      </c>
      <c r="B216" t="s">
        <v>733</v>
      </c>
      <c r="C216" s="1" t="s">
        <v>227</v>
      </c>
      <c r="D216" t="s">
        <v>618</v>
      </c>
      <c r="E216" s="4">
        <v>609800</v>
      </c>
      <c r="F216" s="4">
        <v>494007</v>
      </c>
      <c r="G216" s="4">
        <v>92409</v>
      </c>
      <c r="H216" s="4">
        <v>401598</v>
      </c>
      <c r="I216" s="4">
        <v>115793</v>
      </c>
      <c r="J216">
        <v>0</v>
      </c>
      <c r="K216">
        <v>517391</v>
      </c>
      <c r="L216">
        <v>0</v>
      </c>
      <c r="M216" s="4">
        <v>0</v>
      </c>
      <c r="N216" s="4">
        <v>0</v>
      </c>
      <c r="O216" s="4">
        <v>51927</v>
      </c>
      <c r="P216" s="4">
        <v>6512</v>
      </c>
      <c r="Q216" s="4">
        <v>103917</v>
      </c>
      <c r="R216" s="4">
        <v>114151</v>
      </c>
      <c r="S216" s="4">
        <v>793898</v>
      </c>
      <c r="T216" s="4">
        <v>460037</v>
      </c>
      <c r="U216" s="4">
        <v>333861</v>
      </c>
    </row>
    <row r="217" spans="1:21" x14ac:dyDescent="0.25">
      <c r="A217" s="1" t="s">
        <v>174</v>
      </c>
      <c r="B217" t="s">
        <v>733</v>
      </c>
      <c r="C217" s="1" t="s">
        <v>228</v>
      </c>
      <c r="D217" t="s">
        <v>619</v>
      </c>
      <c r="E217" s="4">
        <v>382844</v>
      </c>
      <c r="F217" s="4">
        <v>310147</v>
      </c>
      <c r="G217" s="4">
        <v>39473</v>
      </c>
      <c r="H217" s="4">
        <v>270674</v>
      </c>
      <c r="I217" s="4">
        <v>72697</v>
      </c>
      <c r="J217">
        <v>0</v>
      </c>
      <c r="K217">
        <v>343371</v>
      </c>
      <c r="L217">
        <v>0</v>
      </c>
      <c r="M217" s="4">
        <v>0</v>
      </c>
      <c r="N217" s="4">
        <v>0</v>
      </c>
      <c r="O217" s="4">
        <v>32601</v>
      </c>
      <c r="P217" s="4">
        <v>4088</v>
      </c>
      <c r="Q217" s="4">
        <v>68120</v>
      </c>
      <c r="R217" s="4">
        <v>74829</v>
      </c>
      <c r="S217" s="4">
        <v>523009</v>
      </c>
      <c r="T217" s="4">
        <v>307363</v>
      </c>
      <c r="U217" s="4">
        <v>215646</v>
      </c>
    </row>
    <row r="218" spans="1:21" x14ac:dyDescent="0.25">
      <c r="A218" s="1" t="s">
        <v>229</v>
      </c>
      <c r="B218" t="s">
        <v>734</v>
      </c>
      <c r="C218" s="1" t="s">
        <v>230</v>
      </c>
      <c r="D218" t="s">
        <v>620</v>
      </c>
      <c r="E218" s="4">
        <v>215307</v>
      </c>
      <c r="F218" s="4">
        <v>166925</v>
      </c>
      <c r="G218" s="4">
        <v>35284</v>
      </c>
      <c r="H218" s="4">
        <v>131641</v>
      </c>
      <c r="I218" s="4">
        <v>48382</v>
      </c>
      <c r="J218">
        <v>0</v>
      </c>
      <c r="K218">
        <v>180023</v>
      </c>
      <c r="L218">
        <v>322</v>
      </c>
      <c r="M218" s="4">
        <v>93</v>
      </c>
      <c r="N218" s="4">
        <v>415</v>
      </c>
      <c r="O218" s="4">
        <v>21694</v>
      </c>
      <c r="P218" s="4">
        <v>2586</v>
      </c>
      <c r="Q218" s="4">
        <v>35534</v>
      </c>
      <c r="R218" s="4">
        <v>39790</v>
      </c>
      <c r="S218" s="4">
        <v>280042</v>
      </c>
      <c r="T218" s="4">
        <v>156243</v>
      </c>
      <c r="U218" s="4">
        <v>123799</v>
      </c>
    </row>
    <row r="219" spans="1:21" x14ac:dyDescent="0.25">
      <c r="A219" s="1" t="s">
        <v>229</v>
      </c>
      <c r="B219" t="s">
        <v>734</v>
      </c>
      <c r="C219" s="1" t="s">
        <v>231</v>
      </c>
      <c r="D219" t="s">
        <v>621</v>
      </c>
      <c r="E219" s="4">
        <v>108037</v>
      </c>
      <c r="F219" s="4">
        <v>83759</v>
      </c>
      <c r="G219" s="4">
        <v>27109</v>
      </c>
      <c r="H219" s="4">
        <v>56650</v>
      </c>
      <c r="I219" s="4">
        <v>24278</v>
      </c>
      <c r="J219">
        <v>0</v>
      </c>
      <c r="K219">
        <v>80928</v>
      </c>
      <c r="L219">
        <v>161</v>
      </c>
      <c r="M219" s="4">
        <v>47</v>
      </c>
      <c r="N219" s="4">
        <v>208</v>
      </c>
      <c r="O219" s="4">
        <v>10886</v>
      </c>
      <c r="P219" s="4">
        <v>1298</v>
      </c>
      <c r="Q219" s="4">
        <v>20733</v>
      </c>
      <c r="R219" s="4">
        <v>23217</v>
      </c>
      <c r="S219" s="4">
        <v>137270</v>
      </c>
      <c r="T219" s="4">
        <v>68995</v>
      </c>
      <c r="U219" s="4">
        <v>68275</v>
      </c>
    </row>
    <row r="220" spans="1:21" x14ac:dyDescent="0.25">
      <c r="A220" s="1" t="s">
        <v>229</v>
      </c>
      <c r="B220" t="s">
        <v>734</v>
      </c>
      <c r="C220" s="1" t="s">
        <v>232</v>
      </c>
      <c r="D220" t="s">
        <v>622</v>
      </c>
      <c r="E220" s="4">
        <v>222547</v>
      </c>
      <c r="F220" s="4">
        <v>172537</v>
      </c>
      <c r="G220" s="4">
        <v>40839</v>
      </c>
      <c r="H220" s="4">
        <v>131698</v>
      </c>
      <c r="I220" s="4">
        <v>50010</v>
      </c>
      <c r="J220">
        <v>0</v>
      </c>
      <c r="K220">
        <v>181708</v>
      </c>
      <c r="L220">
        <v>333</v>
      </c>
      <c r="M220" s="4">
        <v>96</v>
      </c>
      <c r="N220" s="4">
        <v>429</v>
      </c>
      <c r="O220" s="4">
        <v>22423</v>
      </c>
      <c r="P220" s="4">
        <v>2673</v>
      </c>
      <c r="Q220" s="4">
        <v>59015</v>
      </c>
      <c r="R220" s="4">
        <v>66084</v>
      </c>
      <c r="S220" s="4">
        <v>332332</v>
      </c>
      <c r="T220" s="4">
        <v>157127</v>
      </c>
      <c r="U220" s="4">
        <v>175205</v>
      </c>
    </row>
    <row r="221" spans="1:21" x14ac:dyDescent="0.25">
      <c r="A221" s="1" t="s">
        <v>229</v>
      </c>
      <c r="B221" t="s">
        <v>734</v>
      </c>
      <c r="C221" s="1" t="s">
        <v>233</v>
      </c>
      <c r="D221" t="s">
        <v>623</v>
      </c>
      <c r="E221" s="4">
        <v>293620</v>
      </c>
      <c r="F221" s="4">
        <v>227639</v>
      </c>
      <c r="G221" s="4">
        <v>45683</v>
      </c>
      <c r="H221" s="4">
        <v>181956</v>
      </c>
      <c r="I221" s="4">
        <v>65981</v>
      </c>
      <c r="J221">
        <v>0</v>
      </c>
      <c r="K221">
        <v>247937</v>
      </c>
      <c r="L221">
        <v>438</v>
      </c>
      <c r="M221" s="4">
        <v>127</v>
      </c>
      <c r="N221" s="4">
        <v>565</v>
      </c>
      <c r="O221" s="4">
        <v>29584</v>
      </c>
      <c r="P221" s="4">
        <v>3527</v>
      </c>
      <c r="Q221" s="4">
        <v>56580</v>
      </c>
      <c r="R221" s="4">
        <v>63357</v>
      </c>
      <c r="S221" s="4">
        <v>401550</v>
      </c>
      <c r="T221" s="4">
        <v>215506</v>
      </c>
      <c r="U221" s="4">
        <v>186044</v>
      </c>
    </row>
    <row r="222" spans="1:21" x14ac:dyDescent="0.25">
      <c r="A222" s="1" t="s">
        <v>229</v>
      </c>
      <c r="B222" t="s">
        <v>734</v>
      </c>
      <c r="C222" s="1" t="s">
        <v>234</v>
      </c>
      <c r="D222" t="s">
        <v>624</v>
      </c>
      <c r="E222" s="4">
        <v>114786</v>
      </c>
      <c r="F222" s="4">
        <v>88992</v>
      </c>
      <c r="G222" s="4">
        <v>23319</v>
      </c>
      <c r="H222" s="4">
        <v>65673</v>
      </c>
      <c r="I222" s="4">
        <v>25794</v>
      </c>
      <c r="J222">
        <v>0</v>
      </c>
      <c r="K222">
        <v>91467</v>
      </c>
      <c r="L222">
        <v>172</v>
      </c>
      <c r="M222" s="4">
        <v>49</v>
      </c>
      <c r="N222" s="4">
        <v>221</v>
      </c>
      <c r="O222" s="4">
        <v>11566</v>
      </c>
      <c r="P222" s="4">
        <v>1379</v>
      </c>
      <c r="Q222" s="4">
        <v>18048</v>
      </c>
      <c r="R222" s="4">
        <v>20210</v>
      </c>
      <c r="S222" s="4">
        <v>142891</v>
      </c>
      <c r="T222" s="4">
        <v>78789</v>
      </c>
      <c r="U222" s="4">
        <v>64102</v>
      </c>
    </row>
    <row r="223" spans="1:21" x14ac:dyDescent="0.25">
      <c r="A223" s="1" t="s">
        <v>229</v>
      </c>
      <c r="B223" t="s">
        <v>734</v>
      </c>
      <c r="C223" s="1" t="s">
        <v>235</v>
      </c>
      <c r="D223" t="s">
        <v>625</v>
      </c>
      <c r="E223" s="4">
        <v>401831</v>
      </c>
      <c r="F223" s="4">
        <v>311533</v>
      </c>
      <c r="G223" s="4">
        <v>69898</v>
      </c>
      <c r="H223" s="4">
        <v>241635</v>
      </c>
      <c r="I223" s="4">
        <v>90298</v>
      </c>
      <c r="J223">
        <v>0</v>
      </c>
      <c r="K223">
        <v>331933</v>
      </c>
      <c r="L223">
        <v>599</v>
      </c>
      <c r="M223" s="4">
        <v>174</v>
      </c>
      <c r="N223" s="4">
        <v>773</v>
      </c>
      <c r="O223" s="4">
        <v>40488</v>
      </c>
      <c r="P223" s="4">
        <v>4826</v>
      </c>
      <c r="Q223" s="4">
        <v>64698</v>
      </c>
      <c r="R223" s="4">
        <v>72447</v>
      </c>
      <c r="S223" s="4">
        <v>515165</v>
      </c>
      <c r="T223" s="4">
        <v>287548</v>
      </c>
      <c r="U223" s="4">
        <v>227617</v>
      </c>
    </row>
    <row r="224" spans="1:21" x14ac:dyDescent="0.25">
      <c r="A224" s="1" t="s">
        <v>229</v>
      </c>
      <c r="B224" t="s">
        <v>734</v>
      </c>
      <c r="C224" s="1" t="s">
        <v>236</v>
      </c>
      <c r="D224" t="s">
        <v>626</v>
      </c>
      <c r="E224" s="4">
        <v>787626</v>
      </c>
      <c r="F224" s="4">
        <v>610635</v>
      </c>
      <c r="G224" s="4">
        <v>102409</v>
      </c>
      <c r="H224" s="4">
        <v>508226</v>
      </c>
      <c r="I224" s="4">
        <v>176991</v>
      </c>
      <c r="J224" s="4">
        <v>0</v>
      </c>
      <c r="K224" s="4">
        <v>685217</v>
      </c>
      <c r="L224" s="4">
        <v>1175</v>
      </c>
      <c r="M224" s="4">
        <v>340</v>
      </c>
      <c r="N224" s="4">
        <v>1515</v>
      </c>
      <c r="O224" s="4">
        <v>79359</v>
      </c>
      <c r="P224" s="4">
        <v>9460</v>
      </c>
      <c r="Q224" s="4">
        <v>134954</v>
      </c>
      <c r="R224" s="4">
        <v>151119</v>
      </c>
      <c r="S224" s="4">
        <v>1061624</v>
      </c>
      <c r="T224" s="4">
        <v>598219</v>
      </c>
      <c r="U224" s="4">
        <v>463405</v>
      </c>
    </row>
    <row r="225" spans="1:21" x14ac:dyDescent="0.25">
      <c r="A225" s="1" t="s">
        <v>229</v>
      </c>
      <c r="B225" t="s">
        <v>734</v>
      </c>
      <c r="C225" s="1" t="s">
        <v>237</v>
      </c>
      <c r="D225" t="s">
        <v>627</v>
      </c>
      <c r="E225" s="4">
        <v>171772</v>
      </c>
      <c r="F225" s="4">
        <v>133172</v>
      </c>
      <c r="G225" s="4">
        <v>33958</v>
      </c>
      <c r="H225" s="4">
        <v>99214</v>
      </c>
      <c r="I225" s="4">
        <v>38600</v>
      </c>
      <c r="J225">
        <v>0</v>
      </c>
      <c r="K225">
        <v>137814</v>
      </c>
      <c r="L225">
        <v>256</v>
      </c>
      <c r="M225" s="4">
        <v>74</v>
      </c>
      <c r="N225" s="4">
        <v>330</v>
      </c>
      <c r="O225" s="4">
        <v>17307</v>
      </c>
      <c r="P225" s="4">
        <v>2063</v>
      </c>
      <c r="Q225" s="4">
        <v>28977</v>
      </c>
      <c r="R225" s="4">
        <v>32448</v>
      </c>
      <c r="S225" s="4">
        <v>218939</v>
      </c>
      <c r="T225" s="4">
        <v>118840</v>
      </c>
      <c r="U225" s="4">
        <v>100099</v>
      </c>
    </row>
    <row r="226" spans="1:21" x14ac:dyDescent="0.25">
      <c r="A226" s="1" t="s">
        <v>229</v>
      </c>
      <c r="B226" t="s">
        <v>734</v>
      </c>
      <c r="C226" s="1" t="s">
        <v>238</v>
      </c>
      <c r="D226" t="s">
        <v>628</v>
      </c>
      <c r="E226" s="4">
        <v>172657</v>
      </c>
      <c r="F226" s="4">
        <v>133859</v>
      </c>
      <c r="G226" s="4">
        <v>31537</v>
      </c>
      <c r="H226" s="4">
        <v>102322</v>
      </c>
      <c r="I226" s="4">
        <v>38798</v>
      </c>
      <c r="J226">
        <v>0</v>
      </c>
      <c r="K226">
        <v>141120</v>
      </c>
      <c r="L226">
        <v>256</v>
      </c>
      <c r="M226" s="4">
        <v>74</v>
      </c>
      <c r="N226" s="4">
        <v>330</v>
      </c>
      <c r="O226" s="4">
        <v>17397</v>
      </c>
      <c r="P226" s="4">
        <v>2074</v>
      </c>
      <c r="Q226" s="4">
        <v>28977</v>
      </c>
      <c r="R226" s="4">
        <v>32448</v>
      </c>
      <c r="S226" s="4">
        <v>222346</v>
      </c>
      <c r="T226" s="4">
        <v>122049</v>
      </c>
      <c r="U226" s="4">
        <v>100297</v>
      </c>
    </row>
    <row r="227" spans="1:21" x14ac:dyDescent="0.25">
      <c r="A227" s="1" t="s">
        <v>229</v>
      </c>
      <c r="B227" t="s">
        <v>734</v>
      </c>
      <c r="C227" s="1" t="s">
        <v>239</v>
      </c>
      <c r="D227" t="s">
        <v>629</v>
      </c>
      <c r="E227" s="4">
        <v>254440</v>
      </c>
      <c r="F227" s="4">
        <v>197263</v>
      </c>
      <c r="G227" s="4">
        <v>54933</v>
      </c>
      <c r="H227" s="4">
        <v>142330</v>
      </c>
      <c r="I227" s="4">
        <v>57177</v>
      </c>
      <c r="J227">
        <v>0</v>
      </c>
      <c r="K227">
        <v>199507</v>
      </c>
      <c r="L227">
        <v>380</v>
      </c>
      <c r="M227" s="4">
        <v>110</v>
      </c>
      <c r="N227" s="4">
        <v>490</v>
      </c>
      <c r="O227" s="4">
        <v>25637</v>
      </c>
      <c r="P227" s="4">
        <v>3056</v>
      </c>
      <c r="Q227" s="4">
        <v>48524</v>
      </c>
      <c r="R227" s="4">
        <v>54336</v>
      </c>
      <c r="S227" s="4">
        <v>331550</v>
      </c>
      <c r="T227" s="4">
        <v>171404</v>
      </c>
      <c r="U227" s="4">
        <v>160146</v>
      </c>
    </row>
    <row r="228" spans="1:21" x14ac:dyDescent="0.25">
      <c r="A228" s="1" t="s">
        <v>229</v>
      </c>
      <c r="B228" t="s">
        <v>734</v>
      </c>
      <c r="C228" s="1" t="s">
        <v>240</v>
      </c>
      <c r="D228" t="s">
        <v>630</v>
      </c>
      <c r="E228" s="4">
        <v>206982</v>
      </c>
      <c r="F228" s="4">
        <v>160470</v>
      </c>
      <c r="G228" s="4">
        <v>34075</v>
      </c>
      <c r="H228" s="4">
        <v>126395</v>
      </c>
      <c r="I228" s="4">
        <v>46512</v>
      </c>
      <c r="J228">
        <v>0</v>
      </c>
      <c r="K228">
        <v>172907</v>
      </c>
      <c r="L228">
        <v>309</v>
      </c>
      <c r="M228" s="4">
        <v>89</v>
      </c>
      <c r="N228" s="4">
        <v>398</v>
      </c>
      <c r="O228" s="4">
        <v>20855</v>
      </c>
      <c r="P228" s="4">
        <v>2486</v>
      </c>
      <c r="Q228" s="4">
        <v>35284</v>
      </c>
      <c r="R228" s="4">
        <v>39510</v>
      </c>
      <c r="S228" s="4">
        <v>271440</v>
      </c>
      <c r="T228" s="4">
        <v>150045</v>
      </c>
      <c r="U228" s="4">
        <v>121395</v>
      </c>
    </row>
    <row r="229" spans="1:21" x14ac:dyDescent="0.25">
      <c r="A229" s="1" t="s">
        <v>229</v>
      </c>
      <c r="B229" t="s">
        <v>734</v>
      </c>
      <c r="C229" s="1" t="s">
        <v>241</v>
      </c>
      <c r="D229" t="s">
        <v>631</v>
      </c>
      <c r="E229" s="4">
        <v>184000</v>
      </c>
      <c r="F229" s="4">
        <v>142652</v>
      </c>
      <c r="G229" s="4">
        <v>28587</v>
      </c>
      <c r="H229" s="4">
        <v>114065</v>
      </c>
      <c r="I229" s="4">
        <v>41348</v>
      </c>
      <c r="J229">
        <v>0</v>
      </c>
      <c r="K229">
        <v>155413</v>
      </c>
      <c r="L229">
        <v>275</v>
      </c>
      <c r="M229" s="4">
        <v>79</v>
      </c>
      <c r="N229" s="4">
        <v>354</v>
      </c>
      <c r="O229" s="4">
        <v>18539</v>
      </c>
      <c r="P229" s="4">
        <v>2210</v>
      </c>
      <c r="Q229" s="4">
        <v>29914</v>
      </c>
      <c r="R229" s="4">
        <v>33496</v>
      </c>
      <c r="S229" s="4">
        <v>239926</v>
      </c>
      <c r="T229" s="4">
        <v>135089</v>
      </c>
      <c r="U229" s="4">
        <v>104837</v>
      </c>
    </row>
    <row r="230" spans="1:21" x14ac:dyDescent="0.25">
      <c r="A230" s="1" t="s">
        <v>229</v>
      </c>
      <c r="B230" t="s">
        <v>734</v>
      </c>
      <c r="C230" s="1" t="s">
        <v>242</v>
      </c>
      <c r="D230" t="s">
        <v>632</v>
      </c>
      <c r="E230" s="4">
        <v>228264</v>
      </c>
      <c r="F230" s="4">
        <v>176970</v>
      </c>
      <c r="G230" s="4">
        <v>37024</v>
      </c>
      <c r="H230" s="4">
        <v>139946</v>
      </c>
      <c r="I230" s="4">
        <v>51294</v>
      </c>
      <c r="J230">
        <v>0</v>
      </c>
      <c r="K230">
        <v>191240</v>
      </c>
      <c r="L230">
        <v>341</v>
      </c>
      <c r="M230" s="4">
        <v>98</v>
      </c>
      <c r="N230" s="4">
        <v>439</v>
      </c>
      <c r="O230" s="4">
        <v>22999</v>
      </c>
      <c r="P230" s="4">
        <v>2742</v>
      </c>
      <c r="Q230" s="4">
        <v>39406</v>
      </c>
      <c r="R230" s="4">
        <v>44126</v>
      </c>
      <c r="S230" s="4">
        <v>300952</v>
      </c>
      <c r="T230" s="4">
        <v>166027</v>
      </c>
      <c r="U230" s="4">
        <v>134925</v>
      </c>
    </row>
    <row r="231" spans="1:21" x14ac:dyDescent="0.25">
      <c r="A231" s="1" t="s">
        <v>229</v>
      </c>
      <c r="B231" t="s">
        <v>734</v>
      </c>
      <c r="C231" s="1" t="s">
        <v>243</v>
      </c>
      <c r="D231" t="s">
        <v>633</v>
      </c>
      <c r="E231" s="4">
        <v>876226</v>
      </c>
      <c r="F231" s="4">
        <v>679325</v>
      </c>
      <c r="G231" s="4">
        <v>138160</v>
      </c>
      <c r="H231" s="4">
        <v>541165</v>
      </c>
      <c r="I231" s="4">
        <v>196901</v>
      </c>
      <c r="J231" s="4">
        <v>0</v>
      </c>
      <c r="K231" s="4">
        <v>738066</v>
      </c>
      <c r="L231" s="4">
        <v>1307</v>
      </c>
      <c r="M231" s="4">
        <v>379</v>
      </c>
      <c r="N231" s="4">
        <v>1686</v>
      </c>
      <c r="O231" s="4">
        <v>88286</v>
      </c>
      <c r="P231" s="4">
        <v>10524</v>
      </c>
      <c r="Q231" s="4">
        <v>168240</v>
      </c>
      <c r="R231" s="4">
        <v>188391</v>
      </c>
      <c r="S231" s="4">
        <v>1195193</v>
      </c>
      <c r="T231" s="4">
        <v>641282</v>
      </c>
      <c r="U231" s="4">
        <v>553911</v>
      </c>
    </row>
    <row r="232" spans="1:21" x14ac:dyDescent="0.25">
      <c r="A232" s="1" t="s">
        <v>229</v>
      </c>
      <c r="B232" t="s">
        <v>734</v>
      </c>
      <c r="C232" s="1" t="s">
        <v>244</v>
      </c>
      <c r="D232" t="s">
        <v>634</v>
      </c>
      <c r="E232" s="4">
        <v>229241</v>
      </c>
      <c r="F232" s="4">
        <v>177727</v>
      </c>
      <c r="G232" s="4">
        <v>55873</v>
      </c>
      <c r="H232" s="4">
        <v>121854</v>
      </c>
      <c r="I232" s="4">
        <v>51514</v>
      </c>
      <c r="J232" s="4">
        <v>6136</v>
      </c>
      <c r="K232">
        <v>179504</v>
      </c>
      <c r="L232">
        <v>343</v>
      </c>
      <c r="M232" s="4">
        <v>100</v>
      </c>
      <c r="N232" s="4">
        <v>443</v>
      </c>
      <c r="O232" s="4">
        <v>23098</v>
      </c>
      <c r="P232" s="4">
        <v>2753</v>
      </c>
      <c r="Q232" s="4">
        <v>38906</v>
      </c>
      <c r="R232" s="4">
        <v>43566</v>
      </c>
      <c r="S232" s="4">
        <v>288270</v>
      </c>
      <c r="T232" s="4">
        <v>148049</v>
      </c>
      <c r="U232" s="4">
        <v>140221</v>
      </c>
    </row>
    <row r="233" spans="1:21" x14ac:dyDescent="0.25">
      <c r="A233" s="1" t="s">
        <v>229</v>
      </c>
      <c r="B233" t="s">
        <v>734</v>
      </c>
      <c r="C233" s="1" t="s">
        <v>245</v>
      </c>
      <c r="D233" t="s">
        <v>635</v>
      </c>
      <c r="E233" s="4">
        <v>174118</v>
      </c>
      <c r="F233" s="4">
        <v>134991</v>
      </c>
      <c r="G233" s="4">
        <v>36788</v>
      </c>
      <c r="H233" s="4">
        <v>98203</v>
      </c>
      <c r="I233" s="4">
        <v>39127</v>
      </c>
      <c r="J233">
        <v>0</v>
      </c>
      <c r="K233">
        <v>137330</v>
      </c>
      <c r="L233">
        <v>259</v>
      </c>
      <c r="M233" s="4">
        <v>75</v>
      </c>
      <c r="N233" s="4">
        <v>334</v>
      </c>
      <c r="O233" s="4">
        <v>17544</v>
      </c>
      <c r="P233" s="4">
        <v>2091</v>
      </c>
      <c r="Q233" s="4">
        <v>29789</v>
      </c>
      <c r="R233" s="4">
        <v>33357</v>
      </c>
      <c r="S233" s="4">
        <v>220445</v>
      </c>
      <c r="T233" s="4">
        <v>118097</v>
      </c>
      <c r="U233" s="4">
        <v>102348</v>
      </c>
    </row>
    <row r="234" spans="1:21" x14ac:dyDescent="0.25">
      <c r="A234" s="1" t="s">
        <v>229</v>
      </c>
      <c r="B234" t="s">
        <v>734</v>
      </c>
      <c r="C234" s="1" t="s">
        <v>246</v>
      </c>
      <c r="D234" t="s">
        <v>636</v>
      </c>
      <c r="E234" s="4">
        <v>587162</v>
      </c>
      <c r="F234" s="4">
        <v>455218</v>
      </c>
      <c r="G234" s="4">
        <v>93463</v>
      </c>
      <c r="H234" s="4">
        <v>361755</v>
      </c>
      <c r="I234" s="4">
        <v>131944</v>
      </c>
      <c r="J234" s="4">
        <v>0</v>
      </c>
      <c r="K234" s="4">
        <v>493699</v>
      </c>
      <c r="L234">
        <v>876</v>
      </c>
      <c r="M234" s="4">
        <v>255</v>
      </c>
      <c r="N234" s="4">
        <v>1131</v>
      </c>
      <c r="O234" s="4">
        <v>59161</v>
      </c>
      <c r="P234" s="4">
        <v>7052</v>
      </c>
      <c r="Q234" s="4">
        <v>128210</v>
      </c>
      <c r="R234" s="4">
        <v>143566</v>
      </c>
      <c r="S234" s="4">
        <v>832819</v>
      </c>
      <c r="T234" s="4">
        <v>428844</v>
      </c>
      <c r="U234" s="4">
        <v>403975</v>
      </c>
    </row>
    <row r="235" spans="1:21" x14ac:dyDescent="0.25">
      <c r="A235" s="1" t="s">
        <v>229</v>
      </c>
      <c r="B235" t="s">
        <v>734</v>
      </c>
      <c r="C235" s="1" t="s">
        <v>43</v>
      </c>
      <c r="D235" t="s">
        <v>637</v>
      </c>
      <c r="E235" s="4">
        <v>357437</v>
      </c>
      <c r="F235" s="4">
        <v>277116</v>
      </c>
      <c r="G235" s="4">
        <v>76129</v>
      </c>
      <c r="H235" s="4">
        <v>200987</v>
      </c>
      <c r="I235" s="4">
        <v>80321</v>
      </c>
      <c r="J235">
        <v>0</v>
      </c>
      <c r="K235">
        <v>281308</v>
      </c>
      <c r="L235">
        <v>533</v>
      </c>
      <c r="M235" s="4">
        <v>155</v>
      </c>
      <c r="N235" s="4">
        <v>688</v>
      </c>
      <c r="O235" s="4">
        <v>36015</v>
      </c>
      <c r="P235" s="4">
        <v>4293</v>
      </c>
      <c r="Q235" s="4">
        <v>58641</v>
      </c>
      <c r="R235" s="4">
        <v>65664</v>
      </c>
      <c r="S235" s="4">
        <v>446609</v>
      </c>
      <c r="T235" s="4">
        <v>241828</v>
      </c>
      <c r="U235" s="4">
        <v>204781</v>
      </c>
    </row>
    <row r="236" spans="1:21" x14ac:dyDescent="0.25">
      <c r="A236" s="1" t="s">
        <v>229</v>
      </c>
      <c r="B236" t="s">
        <v>734</v>
      </c>
      <c r="C236" s="1" t="s">
        <v>247</v>
      </c>
      <c r="D236" t="s">
        <v>638</v>
      </c>
      <c r="E236" s="4">
        <v>134410</v>
      </c>
      <c r="F236" s="4">
        <v>104206</v>
      </c>
      <c r="G236" s="4">
        <v>31912</v>
      </c>
      <c r="H236" s="4">
        <v>72294</v>
      </c>
      <c r="I236" s="4">
        <v>30204</v>
      </c>
      <c r="J236">
        <v>0</v>
      </c>
      <c r="K236">
        <v>102498</v>
      </c>
      <c r="L236">
        <v>201</v>
      </c>
      <c r="M236" s="4">
        <v>58</v>
      </c>
      <c r="N236" s="4">
        <v>259</v>
      </c>
      <c r="O236" s="4">
        <v>13543</v>
      </c>
      <c r="P236" s="4">
        <v>1614</v>
      </c>
      <c r="Q236" s="4">
        <v>31662</v>
      </c>
      <c r="R236" s="4">
        <v>35455</v>
      </c>
      <c r="S236" s="4">
        <v>185031</v>
      </c>
      <c r="T236" s="4">
        <v>87652</v>
      </c>
      <c r="U236" s="4">
        <v>97379</v>
      </c>
    </row>
    <row r="237" spans="1:21" x14ac:dyDescent="0.25">
      <c r="A237" s="1" t="s">
        <v>229</v>
      </c>
      <c r="B237" t="s">
        <v>734</v>
      </c>
      <c r="C237" s="1" t="s">
        <v>248</v>
      </c>
      <c r="D237" t="s">
        <v>639</v>
      </c>
      <c r="E237" s="4">
        <v>149216</v>
      </c>
      <c r="F237" s="4">
        <v>115685</v>
      </c>
      <c r="G237" s="4">
        <v>32591</v>
      </c>
      <c r="H237" s="4">
        <v>83094</v>
      </c>
      <c r="I237" s="4">
        <v>33531</v>
      </c>
      <c r="J237">
        <v>74</v>
      </c>
      <c r="K237">
        <v>116699</v>
      </c>
      <c r="L237">
        <v>222</v>
      </c>
      <c r="M237" s="4">
        <v>64</v>
      </c>
      <c r="N237" s="4">
        <v>286</v>
      </c>
      <c r="O237" s="4">
        <v>15035</v>
      </c>
      <c r="P237" s="4">
        <v>1792</v>
      </c>
      <c r="Q237" s="4">
        <v>23419</v>
      </c>
      <c r="R237" s="4">
        <v>26224</v>
      </c>
      <c r="S237" s="4">
        <v>183455</v>
      </c>
      <c r="T237" s="4">
        <v>100143</v>
      </c>
      <c r="U237" s="4">
        <v>83312</v>
      </c>
    </row>
    <row r="238" spans="1:21" x14ac:dyDescent="0.25">
      <c r="A238" s="1" t="s">
        <v>229</v>
      </c>
      <c r="B238" t="s">
        <v>734</v>
      </c>
      <c r="C238" s="1" t="s">
        <v>249</v>
      </c>
      <c r="D238" t="s">
        <v>640</v>
      </c>
      <c r="E238" s="4">
        <v>316571</v>
      </c>
      <c r="F238" s="4">
        <v>245433</v>
      </c>
      <c r="G238" s="4">
        <v>37632</v>
      </c>
      <c r="H238" s="4">
        <v>207801</v>
      </c>
      <c r="I238" s="4">
        <v>71138</v>
      </c>
      <c r="J238">
        <v>0</v>
      </c>
      <c r="K238">
        <v>278939</v>
      </c>
      <c r="L238">
        <v>473</v>
      </c>
      <c r="M238" s="4">
        <v>137</v>
      </c>
      <c r="N238" s="4">
        <v>610</v>
      </c>
      <c r="O238" s="4">
        <v>31897</v>
      </c>
      <c r="P238" s="4">
        <v>3802</v>
      </c>
      <c r="Q238" s="4">
        <v>80998</v>
      </c>
      <c r="R238" s="4">
        <v>90699</v>
      </c>
      <c r="S238" s="4">
        <v>486945</v>
      </c>
      <c r="T238" s="4">
        <v>243972</v>
      </c>
      <c r="U238" s="4">
        <v>242973</v>
      </c>
    </row>
    <row r="239" spans="1:21" x14ac:dyDescent="0.25">
      <c r="A239" s="1" t="s">
        <v>229</v>
      </c>
      <c r="B239" t="s">
        <v>734</v>
      </c>
      <c r="C239" s="1" t="s">
        <v>250</v>
      </c>
      <c r="D239" t="s">
        <v>641</v>
      </c>
      <c r="E239" s="4">
        <v>85552</v>
      </c>
      <c r="F239" s="4">
        <v>66327</v>
      </c>
      <c r="G239" s="4">
        <v>18327</v>
      </c>
      <c r="H239" s="4">
        <v>48000</v>
      </c>
      <c r="I239" s="4">
        <v>19225</v>
      </c>
      <c r="J239" s="4">
        <v>19407</v>
      </c>
      <c r="K239">
        <v>86632</v>
      </c>
      <c r="L239">
        <v>127</v>
      </c>
      <c r="M239" s="4">
        <v>36</v>
      </c>
      <c r="N239" s="4">
        <v>163</v>
      </c>
      <c r="O239" s="4">
        <v>8789</v>
      </c>
      <c r="P239" s="4">
        <v>1047</v>
      </c>
      <c r="Q239" s="4">
        <v>13739</v>
      </c>
      <c r="R239" s="4">
        <v>15385</v>
      </c>
      <c r="S239" s="4">
        <v>125755</v>
      </c>
      <c r="T239" s="4">
        <v>57963</v>
      </c>
      <c r="U239" s="4">
        <v>67792</v>
      </c>
    </row>
    <row r="240" spans="1:21" x14ac:dyDescent="0.25">
      <c r="A240" s="1" t="s">
        <v>229</v>
      </c>
      <c r="B240" t="s">
        <v>734</v>
      </c>
      <c r="C240" s="1" t="s">
        <v>251</v>
      </c>
      <c r="D240" t="s">
        <v>642</v>
      </c>
      <c r="E240" s="4">
        <v>556144</v>
      </c>
      <c r="F240" s="4">
        <v>431170</v>
      </c>
      <c r="G240" s="4">
        <v>74294</v>
      </c>
      <c r="H240" s="4">
        <v>356876</v>
      </c>
      <c r="I240" s="4">
        <v>124974</v>
      </c>
      <c r="J240" s="4">
        <v>0</v>
      </c>
      <c r="K240" s="4">
        <v>481850</v>
      </c>
      <c r="L240">
        <v>832</v>
      </c>
      <c r="M240" s="4">
        <v>241</v>
      </c>
      <c r="N240" s="4">
        <v>1073</v>
      </c>
      <c r="O240" s="4">
        <v>56036</v>
      </c>
      <c r="P240" s="4">
        <v>6680</v>
      </c>
      <c r="Q240" s="4">
        <v>90740</v>
      </c>
      <c r="R240" s="4">
        <v>101608</v>
      </c>
      <c r="S240" s="4">
        <v>737987</v>
      </c>
      <c r="T240" s="4">
        <v>420424</v>
      </c>
      <c r="U240" s="4">
        <v>317563</v>
      </c>
    </row>
    <row r="241" spans="1:21" x14ac:dyDescent="0.25">
      <c r="A241" s="1" t="s">
        <v>229</v>
      </c>
      <c r="B241" t="s">
        <v>734</v>
      </c>
      <c r="C241" s="1" t="s">
        <v>252</v>
      </c>
      <c r="D241" t="s">
        <v>643</v>
      </c>
      <c r="E241" s="4">
        <v>427788</v>
      </c>
      <c r="F241" s="4">
        <v>331658</v>
      </c>
      <c r="G241" s="4">
        <v>69819</v>
      </c>
      <c r="H241" s="4">
        <v>261839</v>
      </c>
      <c r="I241" s="4">
        <v>96130</v>
      </c>
      <c r="J241">
        <v>0</v>
      </c>
      <c r="K241">
        <v>357969</v>
      </c>
      <c r="L241">
        <v>639</v>
      </c>
      <c r="M241" s="4">
        <v>185</v>
      </c>
      <c r="N241" s="4">
        <v>824</v>
      </c>
      <c r="O241" s="4">
        <v>43103</v>
      </c>
      <c r="P241" s="4">
        <v>5138</v>
      </c>
      <c r="Q241" s="4">
        <v>79749</v>
      </c>
      <c r="R241" s="4">
        <v>89301</v>
      </c>
      <c r="S241" s="4">
        <v>576084</v>
      </c>
      <c r="T241" s="4">
        <v>310719</v>
      </c>
      <c r="U241" s="4">
        <v>265365</v>
      </c>
    </row>
    <row r="242" spans="1:21" x14ac:dyDescent="0.25">
      <c r="A242" s="1" t="s">
        <v>229</v>
      </c>
      <c r="B242" t="s">
        <v>734</v>
      </c>
      <c r="C242" s="1" t="s">
        <v>253</v>
      </c>
      <c r="D242" t="s">
        <v>644</v>
      </c>
      <c r="E242" s="4">
        <v>260709</v>
      </c>
      <c r="F242" s="4">
        <v>202124</v>
      </c>
      <c r="G242" s="4">
        <v>57729</v>
      </c>
      <c r="H242" s="4">
        <v>144395</v>
      </c>
      <c r="I242" s="4">
        <v>58585</v>
      </c>
      <c r="J242">
        <v>0</v>
      </c>
      <c r="K242">
        <v>202980</v>
      </c>
      <c r="L242">
        <v>388</v>
      </c>
      <c r="M242" s="4">
        <v>113</v>
      </c>
      <c r="N242" s="4">
        <v>501</v>
      </c>
      <c r="O242" s="4">
        <v>26268</v>
      </c>
      <c r="P242" s="4">
        <v>3131</v>
      </c>
      <c r="Q242" s="4">
        <v>44402</v>
      </c>
      <c r="R242" s="4">
        <v>49720</v>
      </c>
      <c r="S242" s="4">
        <v>327002</v>
      </c>
      <c r="T242" s="4">
        <v>174182</v>
      </c>
      <c r="U242" s="4">
        <v>152820</v>
      </c>
    </row>
    <row r="243" spans="1:21" x14ac:dyDescent="0.25">
      <c r="A243" s="1" t="s">
        <v>229</v>
      </c>
      <c r="B243" t="s">
        <v>734</v>
      </c>
      <c r="C243" s="1" t="s">
        <v>254</v>
      </c>
      <c r="D243" t="s">
        <v>645</v>
      </c>
      <c r="E243" s="4">
        <v>574709</v>
      </c>
      <c r="F243" s="4">
        <v>445563</v>
      </c>
      <c r="G243" s="4">
        <v>63519</v>
      </c>
      <c r="H243" s="4">
        <v>382044</v>
      </c>
      <c r="I243" s="4">
        <v>129146</v>
      </c>
      <c r="J243" s="4">
        <v>0</v>
      </c>
      <c r="K243" s="4">
        <v>511190</v>
      </c>
      <c r="L243">
        <v>858</v>
      </c>
      <c r="M243" s="4">
        <v>249</v>
      </c>
      <c r="N243" s="4">
        <v>1107</v>
      </c>
      <c r="O243" s="4">
        <v>57906</v>
      </c>
      <c r="P243" s="4">
        <v>6903</v>
      </c>
      <c r="Q243" s="4">
        <v>138327</v>
      </c>
      <c r="R243" s="4">
        <v>154895</v>
      </c>
      <c r="S243" s="4">
        <v>870328</v>
      </c>
      <c r="T243" s="4">
        <v>447711</v>
      </c>
      <c r="U243" s="4">
        <v>422617</v>
      </c>
    </row>
    <row r="244" spans="1:21" x14ac:dyDescent="0.25">
      <c r="A244" s="1" t="s">
        <v>229</v>
      </c>
      <c r="B244" t="s">
        <v>734</v>
      </c>
      <c r="C244" s="1" t="s">
        <v>255</v>
      </c>
      <c r="D244" t="s">
        <v>646</v>
      </c>
      <c r="E244" s="4">
        <v>5872594</v>
      </c>
      <c r="F244" s="4">
        <v>4552933</v>
      </c>
      <c r="G244" s="4">
        <v>892151</v>
      </c>
      <c r="H244" s="4">
        <v>3660782</v>
      </c>
      <c r="I244" s="4">
        <v>1319661</v>
      </c>
      <c r="J244" s="4">
        <v>0</v>
      </c>
      <c r="K244" s="4">
        <v>4980443</v>
      </c>
      <c r="L244" s="4">
        <v>8767</v>
      </c>
      <c r="M244" s="4">
        <v>2542</v>
      </c>
      <c r="N244" s="4">
        <v>11309</v>
      </c>
      <c r="O244" s="4">
        <v>591709</v>
      </c>
      <c r="P244" s="4">
        <v>70536</v>
      </c>
      <c r="Q244" s="4">
        <v>1021869</v>
      </c>
      <c r="R244" s="4">
        <v>1144265</v>
      </c>
      <c r="S244" s="4">
        <v>7820131</v>
      </c>
      <c r="T244" s="4">
        <v>4331795</v>
      </c>
      <c r="U244" s="4">
        <v>3488336</v>
      </c>
    </row>
    <row r="245" spans="1:21" x14ac:dyDescent="0.25">
      <c r="A245" s="1" t="s">
        <v>229</v>
      </c>
      <c r="B245" t="s">
        <v>734</v>
      </c>
      <c r="C245" s="1" t="s">
        <v>256</v>
      </c>
      <c r="D245" t="s">
        <v>647</v>
      </c>
      <c r="E245" s="4">
        <v>234165</v>
      </c>
      <c r="F245" s="4">
        <v>181545</v>
      </c>
      <c r="G245" s="4">
        <v>51982</v>
      </c>
      <c r="H245" s="4">
        <v>129563</v>
      </c>
      <c r="I245" s="4">
        <v>52620</v>
      </c>
      <c r="J245">
        <v>0</v>
      </c>
      <c r="K245">
        <v>182183</v>
      </c>
      <c r="L245">
        <v>351</v>
      </c>
      <c r="M245" s="4">
        <v>102</v>
      </c>
      <c r="N245" s="4">
        <v>453</v>
      </c>
      <c r="O245" s="4">
        <v>23594</v>
      </c>
      <c r="P245" s="4">
        <v>2813</v>
      </c>
      <c r="Q245" s="4">
        <v>39219</v>
      </c>
      <c r="R245" s="4">
        <v>43916</v>
      </c>
      <c r="S245" s="4">
        <v>292178</v>
      </c>
      <c r="T245" s="4">
        <v>156321</v>
      </c>
      <c r="U245" s="4">
        <v>135857</v>
      </c>
    </row>
    <row r="246" spans="1:21" x14ac:dyDescent="0.25">
      <c r="A246" s="1" t="s">
        <v>229</v>
      </c>
      <c r="B246" t="s">
        <v>734</v>
      </c>
      <c r="C246" s="1" t="s">
        <v>257</v>
      </c>
      <c r="D246" t="s">
        <v>648</v>
      </c>
      <c r="E246" s="4">
        <v>349033</v>
      </c>
      <c r="F246" s="4">
        <v>270600</v>
      </c>
      <c r="G246" s="4">
        <v>51172</v>
      </c>
      <c r="H246" s="4">
        <v>219428</v>
      </c>
      <c r="I246" s="4">
        <v>78433</v>
      </c>
      <c r="J246">
        <v>0</v>
      </c>
      <c r="K246">
        <v>297861</v>
      </c>
      <c r="L246">
        <v>520</v>
      </c>
      <c r="M246" s="4">
        <v>151</v>
      </c>
      <c r="N246" s="4">
        <v>671</v>
      </c>
      <c r="O246" s="4">
        <v>35168</v>
      </c>
      <c r="P246" s="4">
        <v>4192</v>
      </c>
      <c r="Q246" s="4">
        <v>67696</v>
      </c>
      <c r="R246" s="4">
        <v>75804</v>
      </c>
      <c r="S246" s="4">
        <v>481392</v>
      </c>
      <c r="T246" s="4">
        <v>259308</v>
      </c>
      <c r="U246" s="4">
        <v>222084</v>
      </c>
    </row>
    <row r="247" spans="1:21" x14ac:dyDescent="0.25">
      <c r="A247" s="1" t="s">
        <v>229</v>
      </c>
      <c r="B247" t="s">
        <v>734</v>
      </c>
      <c r="C247" s="1" t="s">
        <v>258</v>
      </c>
      <c r="D247" t="s">
        <v>649</v>
      </c>
      <c r="E247" s="4">
        <v>242222</v>
      </c>
      <c r="F247" s="4">
        <v>187791</v>
      </c>
      <c r="G247" s="4">
        <v>44237</v>
      </c>
      <c r="H247" s="4">
        <v>143554</v>
      </c>
      <c r="I247" s="4">
        <v>54431</v>
      </c>
      <c r="J247">
        <v>0</v>
      </c>
      <c r="K247">
        <v>197985</v>
      </c>
      <c r="L247">
        <v>362</v>
      </c>
      <c r="M247" s="4">
        <v>105</v>
      </c>
      <c r="N247" s="4">
        <v>467</v>
      </c>
      <c r="O247" s="4">
        <v>24406</v>
      </c>
      <c r="P247" s="4">
        <v>2909</v>
      </c>
      <c r="Q247" s="4">
        <v>37845</v>
      </c>
      <c r="R247" s="4">
        <v>42378</v>
      </c>
      <c r="S247" s="4">
        <v>305990</v>
      </c>
      <c r="T247" s="4">
        <v>171231</v>
      </c>
      <c r="U247" s="4">
        <v>134759</v>
      </c>
    </row>
    <row r="248" spans="1:21" x14ac:dyDescent="0.25">
      <c r="A248" s="1" t="s">
        <v>229</v>
      </c>
      <c r="B248" t="s">
        <v>734</v>
      </c>
      <c r="C248" s="1" t="s">
        <v>259</v>
      </c>
      <c r="D248" t="s">
        <v>650</v>
      </c>
      <c r="E248" s="4">
        <v>312550</v>
      </c>
      <c r="F248" s="4">
        <v>242315</v>
      </c>
      <c r="G248" s="4">
        <v>48756</v>
      </c>
      <c r="H248" s="4">
        <v>193559</v>
      </c>
      <c r="I248" s="4">
        <v>70235</v>
      </c>
      <c r="J248" s="4">
        <v>2883</v>
      </c>
      <c r="K248">
        <v>266677</v>
      </c>
      <c r="L248">
        <v>467</v>
      </c>
      <c r="M248" s="4">
        <v>136</v>
      </c>
      <c r="N248" s="4">
        <v>603</v>
      </c>
      <c r="O248" s="4">
        <v>31513</v>
      </c>
      <c r="P248" s="4">
        <v>3756</v>
      </c>
      <c r="Q248" s="4">
        <v>54394</v>
      </c>
      <c r="R248" s="4">
        <v>60909</v>
      </c>
      <c r="S248" s="4">
        <v>417852</v>
      </c>
      <c r="T248" s="4">
        <v>229295</v>
      </c>
      <c r="U248" s="4">
        <v>188557</v>
      </c>
    </row>
    <row r="249" spans="1:21" x14ac:dyDescent="0.25">
      <c r="A249" s="1" t="s">
        <v>229</v>
      </c>
      <c r="B249" t="s">
        <v>734</v>
      </c>
      <c r="C249" s="1" t="s">
        <v>260</v>
      </c>
      <c r="D249" t="s">
        <v>651</v>
      </c>
      <c r="E249" s="4">
        <v>206205</v>
      </c>
      <c r="F249" s="4">
        <v>159868</v>
      </c>
      <c r="G249" s="4">
        <v>41952</v>
      </c>
      <c r="H249" s="4">
        <v>117916</v>
      </c>
      <c r="I249" s="4">
        <v>46337</v>
      </c>
      <c r="J249">
        <v>0</v>
      </c>
      <c r="K249">
        <v>164253</v>
      </c>
      <c r="L249">
        <v>309</v>
      </c>
      <c r="M249" s="4">
        <v>89</v>
      </c>
      <c r="N249" s="4">
        <v>398</v>
      </c>
      <c r="O249" s="4">
        <v>20777</v>
      </c>
      <c r="P249" s="4">
        <v>2477</v>
      </c>
      <c r="Q249" s="4">
        <v>33661</v>
      </c>
      <c r="R249" s="4">
        <v>37692</v>
      </c>
      <c r="S249" s="4">
        <v>259258</v>
      </c>
      <c r="T249" s="4">
        <v>141479</v>
      </c>
      <c r="U249" s="4">
        <v>117779</v>
      </c>
    </row>
    <row r="250" spans="1:21" x14ac:dyDescent="0.25">
      <c r="A250" s="1" t="s">
        <v>229</v>
      </c>
      <c r="B250" t="s">
        <v>734</v>
      </c>
      <c r="C250" s="1" t="s">
        <v>261</v>
      </c>
      <c r="D250" t="s">
        <v>652</v>
      </c>
      <c r="E250" s="4">
        <v>70593</v>
      </c>
      <c r="F250" s="4">
        <v>54730</v>
      </c>
      <c r="G250" s="4">
        <v>14447</v>
      </c>
      <c r="H250" s="4">
        <v>40283</v>
      </c>
      <c r="I250" s="4">
        <v>15863</v>
      </c>
      <c r="J250" s="4">
        <v>2339</v>
      </c>
      <c r="K250">
        <v>58485</v>
      </c>
      <c r="L250">
        <v>106</v>
      </c>
      <c r="M250" s="4">
        <v>30</v>
      </c>
      <c r="N250" s="4">
        <v>136</v>
      </c>
      <c r="O250" s="4">
        <v>7289</v>
      </c>
      <c r="P250" s="4">
        <v>869</v>
      </c>
      <c r="Q250" s="4">
        <v>11491</v>
      </c>
      <c r="R250" s="4">
        <v>12867</v>
      </c>
      <c r="S250" s="4">
        <v>91137</v>
      </c>
      <c r="T250" s="4">
        <v>48546</v>
      </c>
      <c r="U250" s="4">
        <v>42591</v>
      </c>
    </row>
    <row r="251" spans="1:21" x14ac:dyDescent="0.25">
      <c r="A251" s="1" t="s">
        <v>229</v>
      </c>
      <c r="B251" t="s">
        <v>734</v>
      </c>
      <c r="C251" s="1" t="s">
        <v>262</v>
      </c>
      <c r="D251" t="s">
        <v>653</v>
      </c>
      <c r="E251" s="4">
        <v>203161</v>
      </c>
      <c r="F251" s="4">
        <v>157508</v>
      </c>
      <c r="G251" s="4">
        <v>36101</v>
      </c>
      <c r="H251" s="4">
        <v>121407</v>
      </c>
      <c r="I251" s="4">
        <v>45653</v>
      </c>
      <c r="J251" s="4">
        <v>1160</v>
      </c>
      <c r="K251">
        <v>168220</v>
      </c>
      <c r="L251">
        <v>304</v>
      </c>
      <c r="M251" s="4">
        <v>88</v>
      </c>
      <c r="N251" s="4">
        <v>392</v>
      </c>
      <c r="O251" s="4">
        <v>20470</v>
      </c>
      <c r="P251" s="4">
        <v>2440</v>
      </c>
      <c r="Q251" s="4">
        <v>32349</v>
      </c>
      <c r="R251" s="4">
        <v>36224</v>
      </c>
      <c r="S251" s="4">
        <v>260095</v>
      </c>
      <c r="T251" s="4">
        <v>144620</v>
      </c>
      <c r="U251" s="4">
        <v>115475</v>
      </c>
    </row>
    <row r="252" spans="1:21" x14ac:dyDescent="0.25">
      <c r="A252" s="1" t="s">
        <v>263</v>
      </c>
      <c r="B252" t="s">
        <v>735</v>
      </c>
      <c r="C252" s="1" t="s">
        <v>264</v>
      </c>
      <c r="D252" t="s">
        <v>654</v>
      </c>
      <c r="E252" s="4">
        <v>298238</v>
      </c>
      <c r="F252" s="4">
        <v>235776</v>
      </c>
      <c r="G252" s="4">
        <v>55456</v>
      </c>
      <c r="H252" s="4">
        <v>180320</v>
      </c>
      <c r="I252" s="4">
        <v>62462</v>
      </c>
      <c r="J252">
        <v>0</v>
      </c>
      <c r="K252">
        <v>242782</v>
      </c>
      <c r="L252">
        <v>494</v>
      </c>
      <c r="M252" s="4">
        <v>130</v>
      </c>
      <c r="N252" s="4">
        <v>624</v>
      </c>
      <c r="O252" s="4">
        <v>30624</v>
      </c>
      <c r="P252" s="4">
        <v>3304</v>
      </c>
      <c r="Q252" s="4">
        <v>49425</v>
      </c>
      <c r="R252" s="4">
        <v>54640</v>
      </c>
      <c r="S252" s="4">
        <v>381399</v>
      </c>
      <c r="T252" s="4">
        <v>214741</v>
      </c>
      <c r="U252" s="4">
        <v>166658</v>
      </c>
    </row>
    <row r="253" spans="1:21" x14ac:dyDescent="0.25">
      <c r="A253" s="1" t="s">
        <v>263</v>
      </c>
      <c r="B253" t="s">
        <v>735</v>
      </c>
      <c r="C253" s="1" t="s">
        <v>265</v>
      </c>
      <c r="D253" t="s">
        <v>655</v>
      </c>
      <c r="E253" s="4">
        <v>552938</v>
      </c>
      <c r="F253" s="4">
        <v>437131</v>
      </c>
      <c r="G253" s="4">
        <v>90232</v>
      </c>
      <c r="H253" s="4">
        <v>346899</v>
      </c>
      <c r="I253" s="4">
        <v>115807</v>
      </c>
      <c r="J253" s="4">
        <v>0</v>
      </c>
      <c r="K253" s="4">
        <v>462706</v>
      </c>
      <c r="L253">
        <v>916</v>
      </c>
      <c r="M253" s="4">
        <v>243</v>
      </c>
      <c r="N253" s="4">
        <v>1159</v>
      </c>
      <c r="O253" s="4">
        <v>56777</v>
      </c>
      <c r="P253" s="4">
        <v>6126</v>
      </c>
      <c r="Q253" s="4">
        <v>87225</v>
      </c>
      <c r="R253" s="4">
        <v>96428</v>
      </c>
      <c r="S253" s="4">
        <v>710421</v>
      </c>
      <c r="T253" s="4">
        <v>410718</v>
      </c>
      <c r="U253" s="4">
        <v>299703</v>
      </c>
    </row>
    <row r="254" spans="1:21" x14ac:dyDescent="0.25">
      <c r="A254" s="1" t="s">
        <v>263</v>
      </c>
      <c r="B254" t="s">
        <v>735</v>
      </c>
      <c r="C254" s="1" t="s">
        <v>266</v>
      </c>
      <c r="D254" t="s">
        <v>656</v>
      </c>
      <c r="E254" s="4">
        <v>186459</v>
      </c>
      <c r="F254" s="4">
        <v>147407</v>
      </c>
      <c r="G254" s="4">
        <v>39128</v>
      </c>
      <c r="H254" s="4">
        <v>108279</v>
      </c>
      <c r="I254" s="4">
        <v>39052</v>
      </c>
      <c r="J254">
        <v>0</v>
      </c>
      <c r="K254">
        <v>147331</v>
      </c>
      <c r="L254">
        <v>309</v>
      </c>
      <c r="M254" s="4">
        <v>82</v>
      </c>
      <c r="N254" s="4">
        <v>391</v>
      </c>
      <c r="O254" s="4">
        <v>19146</v>
      </c>
      <c r="P254" s="4">
        <v>2066</v>
      </c>
      <c r="Q254" s="4">
        <v>31645</v>
      </c>
      <c r="R254" s="4">
        <v>34984</v>
      </c>
      <c r="S254" s="4">
        <v>235563</v>
      </c>
      <c r="T254" s="4">
        <v>129800</v>
      </c>
      <c r="U254" s="4">
        <v>105763</v>
      </c>
    </row>
    <row r="255" spans="1:21" x14ac:dyDescent="0.25">
      <c r="A255" s="1" t="s">
        <v>263</v>
      </c>
      <c r="B255" t="s">
        <v>735</v>
      </c>
      <c r="C255" s="1" t="s">
        <v>267</v>
      </c>
      <c r="D255" t="s">
        <v>657</v>
      </c>
      <c r="E255" s="4">
        <v>139547</v>
      </c>
      <c r="F255" s="4">
        <v>110320</v>
      </c>
      <c r="G255" s="4">
        <v>33687</v>
      </c>
      <c r="H255" s="4">
        <v>76633</v>
      </c>
      <c r="I255" s="4">
        <v>29227</v>
      </c>
      <c r="J255" s="4">
        <v>3784</v>
      </c>
      <c r="K255">
        <v>109644</v>
      </c>
      <c r="L255">
        <v>232</v>
      </c>
      <c r="M255" s="4">
        <v>62</v>
      </c>
      <c r="N255" s="4">
        <v>294</v>
      </c>
      <c r="O255" s="4">
        <v>14695</v>
      </c>
      <c r="P255" s="4">
        <v>1580</v>
      </c>
      <c r="Q255" s="4">
        <v>23749</v>
      </c>
      <c r="R255" s="4">
        <v>26255</v>
      </c>
      <c r="S255" s="4">
        <v>176217</v>
      </c>
      <c r="T255" s="4">
        <v>93141</v>
      </c>
      <c r="U255" s="4">
        <v>83076</v>
      </c>
    </row>
    <row r="256" spans="1:21" x14ac:dyDescent="0.25">
      <c r="A256" s="1" t="s">
        <v>263</v>
      </c>
      <c r="B256" t="s">
        <v>735</v>
      </c>
      <c r="C256" s="1" t="s">
        <v>268</v>
      </c>
      <c r="D256" t="s">
        <v>269</v>
      </c>
      <c r="E256" s="4">
        <v>173071</v>
      </c>
      <c r="F256" s="4">
        <v>136823</v>
      </c>
      <c r="G256" s="4">
        <v>33906</v>
      </c>
      <c r="H256" s="4">
        <v>102917</v>
      </c>
      <c r="I256" s="4">
        <v>36248</v>
      </c>
      <c r="J256">
        <v>0</v>
      </c>
      <c r="K256">
        <v>139165</v>
      </c>
      <c r="L256">
        <v>288</v>
      </c>
      <c r="M256" s="4">
        <v>76</v>
      </c>
      <c r="N256" s="4">
        <v>364</v>
      </c>
      <c r="O256" s="4">
        <v>17771</v>
      </c>
      <c r="P256" s="4">
        <v>1918</v>
      </c>
      <c r="Q256" s="4">
        <v>28971</v>
      </c>
      <c r="R256" s="4">
        <v>32028</v>
      </c>
      <c r="S256" s="4">
        <v>220217</v>
      </c>
      <c r="T256" s="4">
        <v>122894</v>
      </c>
      <c r="U256" s="4">
        <v>97323</v>
      </c>
    </row>
    <row r="257" spans="1:21" x14ac:dyDescent="0.25">
      <c r="A257" s="1" t="s">
        <v>263</v>
      </c>
      <c r="B257" t="s">
        <v>735</v>
      </c>
      <c r="C257" s="1" t="s">
        <v>270</v>
      </c>
      <c r="D257" t="s">
        <v>658</v>
      </c>
      <c r="E257" s="4">
        <v>248548</v>
      </c>
      <c r="F257" s="4">
        <v>196493</v>
      </c>
      <c r="G257" s="4">
        <v>46870</v>
      </c>
      <c r="H257" s="4">
        <v>149623</v>
      </c>
      <c r="I257" s="4">
        <v>52055</v>
      </c>
      <c r="J257">
        <v>0</v>
      </c>
      <c r="K257">
        <v>201678</v>
      </c>
      <c r="L257">
        <v>412</v>
      </c>
      <c r="M257" s="4">
        <v>109</v>
      </c>
      <c r="N257" s="4">
        <v>521</v>
      </c>
      <c r="O257" s="4">
        <v>25522</v>
      </c>
      <c r="P257" s="4">
        <v>2754</v>
      </c>
      <c r="Q257" s="4">
        <v>39975</v>
      </c>
      <c r="R257" s="4">
        <v>44193</v>
      </c>
      <c r="S257" s="4">
        <v>314643</v>
      </c>
      <c r="T257" s="4">
        <v>178310</v>
      </c>
      <c r="U257" s="4">
        <v>136333</v>
      </c>
    </row>
    <row r="258" spans="1:21" x14ac:dyDescent="0.25">
      <c r="A258" s="1" t="s">
        <v>263</v>
      </c>
      <c r="B258" t="s">
        <v>735</v>
      </c>
      <c r="C258" s="1" t="s">
        <v>271</v>
      </c>
      <c r="D258" t="s">
        <v>659</v>
      </c>
      <c r="E258" s="4">
        <v>372293</v>
      </c>
      <c r="F258" s="4">
        <v>294320</v>
      </c>
      <c r="G258" s="4">
        <v>65764</v>
      </c>
      <c r="H258" s="4">
        <v>228556</v>
      </c>
      <c r="I258" s="4">
        <v>77973</v>
      </c>
      <c r="J258">
        <v>0</v>
      </c>
      <c r="K258">
        <v>306529</v>
      </c>
      <c r="L258">
        <v>618</v>
      </c>
      <c r="M258" s="4">
        <v>163</v>
      </c>
      <c r="N258" s="4">
        <v>781</v>
      </c>
      <c r="O258" s="4">
        <v>38228</v>
      </c>
      <c r="P258" s="4">
        <v>4125</v>
      </c>
      <c r="Q258" s="4">
        <v>65092</v>
      </c>
      <c r="R258" s="4">
        <v>71960</v>
      </c>
      <c r="S258" s="4">
        <v>486715</v>
      </c>
      <c r="T258" s="4">
        <v>271527</v>
      </c>
      <c r="U258" s="4">
        <v>215188</v>
      </c>
    </row>
    <row r="259" spans="1:21" x14ac:dyDescent="0.25">
      <c r="A259" s="1" t="s">
        <v>263</v>
      </c>
      <c r="B259" t="s">
        <v>735</v>
      </c>
      <c r="C259" s="1" t="s">
        <v>272</v>
      </c>
      <c r="D259" t="s">
        <v>660</v>
      </c>
      <c r="E259" s="4">
        <v>540739</v>
      </c>
      <c r="F259" s="4">
        <v>427487</v>
      </c>
      <c r="G259" s="4">
        <v>87382</v>
      </c>
      <c r="H259" s="4">
        <v>340105</v>
      </c>
      <c r="I259" s="4">
        <v>113252</v>
      </c>
      <c r="J259" s="4">
        <v>0</v>
      </c>
      <c r="K259" s="4">
        <v>453357</v>
      </c>
      <c r="L259">
        <v>898</v>
      </c>
      <c r="M259" s="4">
        <v>237</v>
      </c>
      <c r="N259" s="4">
        <v>1135</v>
      </c>
      <c r="O259" s="4">
        <v>55525</v>
      </c>
      <c r="P259" s="4">
        <v>5991</v>
      </c>
      <c r="Q259" s="4">
        <v>89711</v>
      </c>
      <c r="R259" s="4">
        <v>99177</v>
      </c>
      <c r="S259" s="4">
        <v>704896</v>
      </c>
      <c r="T259" s="4">
        <v>402519</v>
      </c>
      <c r="U259" s="4">
        <v>302377</v>
      </c>
    </row>
    <row r="260" spans="1:21" x14ac:dyDescent="0.25">
      <c r="A260" s="1" t="s">
        <v>263</v>
      </c>
      <c r="B260" t="s">
        <v>735</v>
      </c>
      <c r="C260" s="1" t="s">
        <v>273</v>
      </c>
      <c r="D260" t="s">
        <v>661</v>
      </c>
      <c r="E260" s="4">
        <v>143330</v>
      </c>
      <c r="F260" s="4">
        <v>113311</v>
      </c>
      <c r="G260" s="4">
        <v>38021</v>
      </c>
      <c r="H260" s="4">
        <v>75290</v>
      </c>
      <c r="I260" s="4">
        <v>30019</v>
      </c>
      <c r="J260" s="4">
        <v>8220</v>
      </c>
      <c r="K260">
        <v>113529</v>
      </c>
      <c r="L260">
        <v>238</v>
      </c>
      <c r="M260" s="4">
        <v>63</v>
      </c>
      <c r="N260" s="4">
        <v>301</v>
      </c>
      <c r="O260" s="4">
        <v>15355</v>
      </c>
      <c r="P260" s="4">
        <v>1651</v>
      </c>
      <c r="Q260" s="4">
        <v>23873</v>
      </c>
      <c r="R260" s="4">
        <v>26392</v>
      </c>
      <c r="S260" s="4">
        <v>181101</v>
      </c>
      <c r="T260" s="4">
        <v>92534</v>
      </c>
      <c r="U260" s="4">
        <v>88567</v>
      </c>
    </row>
    <row r="261" spans="1:21" x14ac:dyDescent="0.25">
      <c r="A261" s="1" t="s">
        <v>263</v>
      </c>
      <c r="B261" t="s">
        <v>735</v>
      </c>
      <c r="C261" s="1" t="s">
        <v>274</v>
      </c>
      <c r="D261" t="s">
        <v>662</v>
      </c>
      <c r="E261" s="4">
        <v>3652305</v>
      </c>
      <c r="F261" s="4">
        <v>2887371</v>
      </c>
      <c r="G261" s="4">
        <v>592105</v>
      </c>
      <c r="H261" s="4">
        <v>2295266</v>
      </c>
      <c r="I261" s="4">
        <v>764934</v>
      </c>
      <c r="J261" s="4">
        <v>0</v>
      </c>
      <c r="K261" s="4">
        <v>3060200</v>
      </c>
      <c r="L261" s="4">
        <v>6054</v>
      </c>
      <c r="M261" s="4">
        <v>1603</v>
      </c>
      <c r="N261" s="4">
        <v>7657</v>
      </c>
      <c r="O261" s="4">
        <v>375030</v>
      </c>
      <c r="P261" s="4">
        <v>40467</v>
      </c>
      <c r="Q261" s="4">
        <v>568358</v>
      </c>
      <c r="R261" s="4">
        <v>628330</v>
      </c>
      <c r="S261" s="4">
        <v>4680042</v>
      </c>
      <c r="T261" s="4">
        <v>2716816</v>
      </c>
      <c r="U261" s="4">
        <v>1963226</v>
      </c>
    </row>
    <row r="262" spans="1:21" x14ac:dyDescent="0.25">
      <c r="A262" s="1" t="s">
        <v>263</v>
      </c>
      <c r="B262" t="s">
        <v>735</v>
      </c>
      <c r="C262" s="1" t="s">
        <v>275</v>
      </c>
      <c r="D262" t="s">
        <v>663</v>
      </c>
      <c r="E262" s="4">
        <v>530257</v>
      </c>
      <c r="F262" s="4">
        <v>419200</v>
      </c>
      <c r="G262" s="4">
        <v>96962</v>
      </c>
      <c r="H262" s="4">
        <v>322238</v>
      </c>
      <c r="I262" s="4">
        <v>111057</v>
      </c>
      <c r="J262" s="4">
        <v>0</v>
      </c>
      <c r="K262" s="4">
        <v>433295</v>
      </c>
      <c r="L262">
        <v>879</v>
      </c>
      <c r="M262" s="4">
        <v>233</v>
      </c>
      <c r="N262" s="4">
        <v>1112</v>
      </c>
      <c r="O262" s="4">
        <v>54448</v>
      </c>
      <c r="P262" s="4">
        <v>5875</v>
      </c>
      <c r="Q262" s="4">
        <v>93504</v>
      </c>
      <c r="R262" s="4">
        <v>103370</v>
      </c>
      <c r="S262" s="4">
        <v>691604</v>
      </c>
      <c r="T262" s="4">
        <v>383440</v>
      </c>
      <c r="U262" s="4">
        <v>308164</v>
      </c>
    </row>
    <row r="263" spans="1:21" x14ac:dyDescent="0.25">
      <c r="A263" s="1" t="s">
        <v>263</v>
      </c>
      <c r="B263" t="s">
        <v>735</v>
      </c>
      <c r="C263" s="1" t="s">
        <v>276</v>
      </c>
      <c r="D263" t="s">
        <v>664</v>
      </c>
      <c r="E263" s="4">
        <v>42020</v>
      </c>
      <c r="F263" s="4">
        <v>33219</v>
      </c>
      <c r="G263" s="4">
        <v>8451</v>
      </c>
      <c r="H263" s="4">
        <v>24768</v>
      </c>
      <c r="I263" s="4">
        <v>8801</v>
      </c>
      <c r="J263">
        <v>0</v>
      </c>
      <c r="K263">
        <v>33569</v>
      </c>
      <c r="L263">
        <v>69</v>
      </c>
      <c r="M263" s="4">
        <v>18</v>
      </c>
      <c r="N263" s="4">
        <v>87</v>
      </c>
      <c r="O263" s="4">
        <v>4315</v>
      </c>
      <c r="P263" s="4">
        <v>466</v>
      </c>
      <c r="Q263" s="4">
        <v>6963</v>
      </c>
      <c r="R263" s="4">
        <v>7698</v>
      </c>
      <c r="S263" s="4">
        <v>53098</v>
      </c>
      <c r="T263" s="4">
        <v>29618</v>
      </c>
      <c r="U263" s="4">
        <v>23480</v>
      </c>
    </row>
    <row r="264" spans="1:21" x14ac:dyDescent="0.25">
      <c r="A264" s="1" t="s">
        <v>263</v>
      </c>
      <c r="B264" t="s">
        <v>735</v>
      </c>
      <c r="C264" s="1" t="s">
        <v>277</v>
      </c>
      <c r="D264" t="s">
        <v>665</v>
      </c>
      <c r="E264" s="4">
        <v>206766</v>
      </c>
      <c r="F264" s="4">
        <v>163461</v>
      </c>
      <c r="G264" s="4">
        <v>41163</v>
      </c>
      <c r="H264" s="4">
        <v>122298</v>
      </c>
      <c r="I264" s="4">
        <v>43305</v>
      </c>
      <c r="J264">
        <v>0</v>
      </c>
      <c r="K264">
        <v>165603</v>
      </c>
      <c r="L264">
        <v>343</v>
      </c>
      <c r="M264" s="4">
        <v>91</v>
      </c>
      <c r="N264" s="4">
        <v>434</v>
      </c>
      <c r="O264" s="4">
        <v>21231</v>
      </c>
      <c r="P264" s="4">
        <v>2291</v>
      </c>
      <c r="Q264" s="4">
        <v>32888</v>
      </c>
      <c r="R264" s="4">
        <v>36358</v>
      </c>
      <c r="S264" s="4">
        <v>258805</v>
      </c>
      <c r="T264" s="4">
        <v>146163</v>
      </c>
      <c r="U264" s="4">
        <v>112642</v>
      </c>
    </row>
    <row r="265" spans="1:21" x14ac:dyDescent="0.25">
      <c r="A265" s="1" t="s">
        <v>263</v>
      </c>
      <c r="B265" t="s">
        <v>735</v>
      </c>
      <c r="C265" s="1" t="s">
        <v>278</v>
      </c>
      <c r="D265" t="s">
        <v>666</v>
      </c>
      <c r="E265" s="4">
        <v>181139</v>
      </c>
      <c r="F265" s="4">
        <v>143202</v>
      </c>
      <c r="G265" s="4">
        <v>33759</v>
      </c>
      <c r="H265" s="4">
        <v>109443</v>
      </c>
      <c r="I265" s="4">
        <v>37937</v>
      </c>
      <c r="J265">
        <v>0</v>
      </c>
      <c r="K265">
        <v>147380</v>
      </c>
      <c r="L265">
        <v>301</v>
      </c>
      <c r="M265" s="4">
        <v>80</v>
      </c>
      <c r="N265" s="4">
        <v>381</v>
      </c>
      <c r="O265" s="4">
        <v>18600</v>
      </c>
      <c r="P265" s="4">
        <v>2007</v>
      </c>
      <c r="Q265" s="4">
        <v>29717</v>
      </c>
      <c r="R265" s="4">
        <v>32853</v>
      </c>
      <c r="S265" s="4">
        <v>230938</v>
      </c>
      <c r="T265" s="4">
        <v>130350</v>
      </c>
      <c r="U265" s="4">
        <v>100588</v>
      </c>
    </row>
    <row r="266" spans="1:21" x14ac:dyDescent="0.25">
      <c r="A266" s="1" t="s">
        <v>263</v>
      </c>
      <c r="B266" t="s">
        <v>735</v>
      </c>
      <c r="C266" s="1" t="s">
        <v>279</v>
      </c>
      <c r="D266" t="s">
        <v>667</v>
      </c>
      <c r="E266" s="4">
        <v>72422</v>
      </c>
      <c r="F266" s="4">
        <v>57254</v>
      </c>
      <c r="G266" s="4">
        <v>15759</v>
      </c>
      <c r="H266" s="4">
        <v>41495</v>
      </c>
      <c r="I266" s="4">
        <v>15168</v>
      </c>
      <c r="J266">
        <v>723</v>
      </c>
      <c r="K266">
        <v>57386</v>
      </c>
      <c r="L266">
        <v>121</v>
      </c>
      <c r="M266" s="4">
        <v>33</v>
      </c>
      <c r="N266" s="4">
        <v>154</v>
      </c>
      <c r="O266" s="4">
        <v>7436</v>
      </c>
      <c r="P266" s="4">
        <v>802</v>
      </c>
      <c r="Q266" s="4">
        <v>11750</v>
      </c>
      <c r="R266" s="4">
        <v>12990</v>
      </c>
      <c r="S266" s="4">
        <v>90518</v>
      </c>
      <c r="T266" s="4">
        <v>49854</v>
      </c>
      <c r="U266" s="4">
        <v>40664</v>
      </c>
    </row>
    <row r="267" spans="1:21" x14ac:dyDescent="0.25">
      <c r="A267" s="1" t="s">
        <v>263</v>
      </c>
      <c r="B267" t="s">
        <v>735</v>
      </c>
      <c r="C267" s="1" t="s">
        <v>280</v>
      </c>
      <c r="D267" t="s">
        <v>668</v>
      </c>
      <c r="E267" s="4">
        <v>166513</v>
      </c>
      <c r="F267" s="4">
        <v>131638</v>
      </c>
      <c r="G267" s="4">
        <v>27555</v>
      </c>
      <c r="H267" s="4">
        <v>104083</v>
      </c>
      <c r="I267" s="4">
        <v>34875</v>
      </c>
      <c r="J267">
        <v>0</v>
      </c>
      <c r="K267">
        <v>138958</v>
      </c>
      <c r="L267">
        <v>277</v>
      </c>
      <c r="M267" s="4">
        <v>74</v>
      </c>
      <c r="N267" s="4">
        <v>351</v>
      </c>
      <c r="O267" s="4">
        <v>17098</v>
      </c>
      <c r="P267" s="4">
        <v>1845</v>
      </c>
      <c r="Q267" s="4">
        <v>27044</v>
      </c>
      <c r="R267" s="4">
        <v>29898</v>
      </c>
      <c r="S267" s="4">
        <v>215194</v>
      </c>
      <c r="T267" s="4">
        <v>123304</v>
      </c>
      <c r="U267" s="4">
        <v>91890</v>
      </c>
    </row>
    <row r="268" spans="1:21" x14ac:dyDescent="0.25">
      <c r="A268" s="1" t="s">
        <v>263</v>
      </c>
      <c r="B268" t="s">
        <v>735</v>
      </c>
      <c r="C268" s="1" t="s">
        <v>281</v>
      </c>
      <c r="D268" t="s">
        <v>669</v>
      </c>
      <c r="E268" s="4">
        <v>719427</v>
      </c>
      <c r="F268" s="4">
        <v>568751</v>
      </c>
      <c r="G268" s="4">
        <v>117049</v>
      </c>
      <c r="H268" s="4">
        <v>451702</v>
      </c>
      <c r="I268" s="4">
        <v>150676</v>
      </c>
      <c r="J268" s="4">
        <v>0</v>
      </c>
      <c r="K268" s="4">
        <v>602378</v>
      </c>
      <c r="L268" s="4">
        <v>1193</v>
      </c>
      <c r="M268" s="4">
        <v>316</v>
      </c>
      <c r="N268" s="4">
        <v>1509</v>
      </c>
      <c r="O268" s="4">
        <v>73873</v>
      </c>
      <c r="P268" s="4">
        <v>7971</v>
      </c>
      <c r="Q268" s="4">
        <v>120050</v>
      </c>
      <c r="R268" s="4">
        <v>132718</v>
      </c>
      <c r="S268" s="4">
        <v>938499</v>
      </c>
      <c r="T268" s="4">
        <v>534739</v>
      </c>
      <c r="U268" s="4">
        <v>403760</v>
      </c>
    </row>
    <row r="269" spans="1:21" x14ac:dyDescent="0.25">
      <c r="A269" s="1" t="s">
        <v>263</v>
      </c>
      <c r="B269" t="s">
        <v>735</v>
      </c>
      <c r="C269" s="1" t="s">
        <v>282</v>
      </c>
      <c r="D269" t="s">
        <v>670</v>
      </c>
      <c r="E269" s="4">
        <v>178972</v>
      </c>
      <c r="F269" s="4">
        <v>141488</v>
      </c>
      <c r="G269" s="4">
        <v>40807</v>
      </c>
      <c r="H269" s="4">
        <v>100681</v>
      </c>
      <c r="I269" s="4">
        <v>37484</v>
      </c>
      <c r="J269" s="4">
        <v>3175</v>
      </c>
      <c r="K269">
        <v>141340</v>
      </c>
      <c r="L269">
        <v>296</v>
      </c>
      <c r="M269" s="4">
        <v>78</v>
      </c>
      <c r="N269" s="4">
        <v>374</v>
      </c>
      <c r="O269" s="4">
        <v>18377</v>
      </c>
      <c r="P269" s="4">
        <v>1983</v>
      </c>
      <c r="Q269" s="4">
        <v>27852</v>
      </c>
      <c r="R269" s="4">
        <v>30791</v>
      </c>
      <c r="S269" s="4">
        <v>220717</v>
      </c>
      <c r="T269" s="4">
        <v>121337</v>
      </c>
      <c r="U269" s="4">
        <v>99380</v>
      </c>
    </row>
    <row r="270" spans="1:21" x14ac:dyDescent="0.25">
      <c r="A270" s="1" t="s">
        <v>263</v>
      </c>
      <c r="B270" t="s">
        <v>735</v>
      </c>
      <c r="C270" s="1" t="s">
        <v>283</v>
      </c>
      <c r="D270" t="s">
        <v>671</v>
      </c>
      <c r="E270" s="4">
        <v>85746</v>
      </c>
      <c r="F270" s="4">
        <v>67787</v>
      </c>
      <c r="G270" s="4">
        <v>19715</v>
      </c>
      <c r="H270" s="4">
        <v>48072</v>
      </c>
      <c r="I270" s="4">
        <v>17959</v>
      </c>
      <c r="J270">
        <v>0</v>
      </c>
      <c r="K270">
        <v>66031</v>
      </c>
      <c r="L270">
        <v>143</v>
      </c>
      <c r="M270" s="4">
        <v>37</v>
      </c>
      <c r="N270" s="4">
        <v>180</v>
      </c>
      <c r="O270" s="4">
        <v>8805</v>
      </c>
      <c r="P270" s="4">
        <v>950</v>
      </c>
      <c r="Q270" s="4">
        <v>14050</v>
      </c>
      <c r="R270" s="4">
        <v>15533</v>
      </c>
      <c r="S270" s="4">
        <v>105549</v>
      </c>
      <c r="T270" s="4">
        <v>57970</v>
      </c>
      <c r="U270" s="4">
        <v>47579</v>
      </c>
    </row>
    <row r="271" spans="1:21" x14ac:dyDescent="0.25">
      <c r="A271" s="1" t="s">
        <v>263</v>
      </c>
      <c r="B271" t="s">
        <v>735</v>
      </c>
      <c r="C271" s="1" t="s">
        <v>284</v>
      </c>
      <c r="D271" t="s">
        <v>672</v>
      </c>
      <c r="E271" s="4">
        <v>521287</v>
      </c>
      <c r="F271" s="4">
        <v>412109</v>
      </c>
      <c r="G271" s="4">
        <v>99086</v>
      </c>
      <c r="H271" s="4">
        <v>313023</v>
      </c>
      <c r="I271" s="4">
        <v>109178</v>
      </c>
      <c r="J271" s="4">
        <v>0</v>
      </c>
      <c r="K271" s="4">
        <v>422201</v>
      </c>
      <c r="L271">
        <v>863</v>
      </c>
      <c r="M271" s="4">
        <v>229</v>
      </c>
      <c r="N271" s="4">
        <v>1092</v>
      </c>
      <c r="O271" s="4">
        <v>53527</v>
      </c>
      <c r="P271" s="4">
        <v>5776</v>
      </c>
      <c r="Q271" s="4">
        <v>89960</v>
      </c>
      <c r="R271" s="4">
        <v>99452</v>
      </c>
      <c r="S271" s="4">
        <v>672008</v>
      </c>
      <c r="T271" s="4">
        <v>373190</v>
      </c>
      <c r="U271" s="4">
        <v>298818</v>
      </c>
    </row>
    <row r="272" spans="1:21" x14ac:dyDescent="0.25">
      <c r="A272" s="1" t="s">
        <v>263</v>
      </c>
      <c r="B272" t="s">
        <v>735</v>
      </c>
      <c r="C272" s="1" t="s">
        <v>285</v>
      </c>
      <c r="D272" t="s">
        <v>673</v>
      </c>
      <c r="E272" s="4">
        <v>252188</v>
      </c>
      <c r="F272" s="4">
        <v>199370</v>
      </c>
      <c r="G272" s="4">
        <v>59154</v>
      </c>
      <c r="H272" s="4">
        <v>140216</v>
      </c>
      <c r="I272" s="4">
        <v>52818</v>
      </c>
      <c r="J272">
        <v>0</v>
      </c>
      <c r="K272">
        <v>193034</v>
      </c>
      <c r="L272">
        <v>417</v>
      </c>
      <c r="M272" s="4">
        <v>111</v>
      </c>
      <c r="N272" s="4">
        <v>528</v>
      </c>
      <c r="O272" s="4">
        <v>25895</v>
      </c>
      <c r="P272" s="4">
        <v>2794</v>
      </c>
      <c r="Q272" s="4">
        <v>42151</v>
      </c>
      <c r="R272" s="4">
        <v>46599</v>
      </c>
      <c r="S272" s="4">
        <v>311001</v>
      </c>
      <c r="T272" s="4">
        <v>169322</v>
      </c>
      <c r="U272" s="4">
        <v>141679</v>
      </c>
    </row>
    <row r="273" spans="1:21" x14ac:dyDescent="0.25">
      <c r="A273" s="1" t="s">
        <v>263</v>
      </c>
      <c r="B273" t="s">
        <v>735</v>
      </c>
      <c r="C273" s="1" t="s">
        <v>286</v>
      </c>
      <c r="D273" t="s">
        <v>674</v>
      </c>
      <c r="E273" s="4">
        <v>131218</v>
      </c>
      <c r="F273" s="4">
        <v>103736</v>
      </c>
      <c r="G273" s="4">
        <v>22178</v>
      </c>
      <c r="H273" s="4">
        <v>81558</v>
      </c>
      <c r="I273" s="4">
        <v>27482</v>
      </c>
      <c r="J273">
        <v>0</v>
      </c>
      <c r="K273">
        <v>109040</v>
      </c>
      <c r="L273">
        <v>214</v>
      </c>
      <c r="M273" s="4">
        <v>56</v>
      </c>
      <c r="N273" s="4">
        <v>270</v>
      </c>
      <c r="O273" s="4">
        <v>13474</v>
      </c>
      <c r="P273" s="4">
        <v>1454</v>
      </c>
      <c r="Q273" s="4">
        <v>20951</v>
      </c>
      <c r="R273" s="4">
        <v>23162</v>
      </c>
      <c r="S273" s="4">
        <v>168351</v>
      </c>
      <c r="T273" s="4">
        <v>96700</v>
      </c>
      <c r="U273" s="4">
        <v>71651</v>
      </c>
    </row>
    <row r="274" spans="1:21" x14ac:dyDescent="0.25">
      <c r="A274" s="1" t="s">
        <v>263</v>
      </c>
      <c r="B274" t="s">
        <v>735</v>
      </c>
      <c r="C274" s="1" t="s">
        <v>287</v>
      </c>
      <c r="D274" t="s">
        <v>675</v>
      </c>
      <c r="E274" s="4">
        <v>165227</v>
      </c>
      <c r="F274" s="4">
        <v>130622</v>
      </c>
      <c r="G274" s="4">
        <v>28654</v>
      </c>
      <c r="H274" s="4">
        <v>101968</v>
      </c>
      <c r="I274" s="4">
        <v>34605</v>
      </c>
      <c r="J274">
        <v>0</v>
      </c>
      <c r="K274">
        <v>136573</v>
      </c>
      <c r="L274">
        <v>275</v>
      </c>
      <c r="M274" s="4">
        <v>72</v>
      </c>
      <c r="N274" s="4">
        <v>347</v>
      </c>
      <c r="O274" s="4">
        <v>16966</v>
      </c>
      <c r="P274" s="4">
        <v>1831</v>
      </c>
      <c r="Q274" s="4">
        <v>28039</v>
      </c>
      <c r="R274" s="4">
        <v>30997</v>
      </c>
      <c r="S274" s="4">
        <v>214753</v>
      </c>
      <c r="T274" s="4">
        <v>121039</v>
      </c>
      <c r="U274" s="4">
        <v>93714</v>
      </c>
    </row>
    <row r="275" spans="1:21" x14ac:dyDescent="0.25">
      <c r="A275" s="1" t="s">
        <v>263</v>
      </c>
      <c r="B275" t="s">
        <v>735</v>
      </c>
      <c r="C275" s="1" t="s">
        <v>288</v>
      </c>
      <c r="D275" t="s">
        <v>676</v>
      </c>
      <c r="E275" s="4">
        <v>1020307</v>
      </c>
      <c r="F275" s="4">
        <v>806615</v>
      </c>
      <c r="G275" s="4">
        <v>148030</v>
      </c>
      <c r="H275" s="4">
        <v>658585</v>
      </c>
      <c r="I275" s="4">
        <v>213692</v>
      </c>
      <c r="J275" s="4">
        <v>0</v>
      </c>
      <c r="K275" s="4">
        <v>872277</v>
      </c>
      <c r="L275" s="4">
        <v>1692</v>
      </c>
      <c r="M275" s="4">
        <v>449</v>
      </c>
      <c r="N275" s="4">
        <v>2141</v>
      </c>
      <c r="O275" s="4">
        <v>104768</v>
      </c>
      <c r="P275" s="4">
        <v>11305</v>
      </c>
      <c r="Q275" s="4">
        <v>177931</v>
      </c>
      <c r="R275" s="4">
        <v>196705</v>
      </c>
      <c r="S275" s="4">
        <v>1365127</v>
      </c>
      <c r="T275" s="4">
        <v>776350</v>
      </c>
      <c r="U275" s="4">
        <v>588777</v>
      </c>
    </row>
    <row r="276" spans="1:21" x14ac:dyDescent="0.25">
      <c r="A276" s="1" t="s">
        <v>263</v>
      </c>
      <c r="B276" t="s">
        <v>735</v>
      </c>
      <c r="C276" s="1" t="s">
        <v>289</v>
      </c>
      <c r="D276" t="s">
        <v>677</v>
      </c>
      <c r="E276" s="4">
        <v>219886</v>
      </c>
      <c r="F276" s="4">
        <v>173833</v>
      </c>
      <c r="G276" s="4">
        <v>37423</v>
      </c>
      <c r="H276" s="4">
        <v>136410</v>
      </c>
      <c r="I276" s="4">
        <v>46053</v>
      </c>
      <c r="J276">
        <v>0</v>
      </c>
      <c r="K276">
        <v>182463</v>
      </c>
      <c r="L276">
        <v>364</v>
      </c>
      <c r="M276" s="4">
        <v>97</v>
      </c>
      <c r="N276" s="4">
        <v>461</v>
      </c>
      <c r="O276" s="4">
        <v>22579</v>
      </c>
      <c r="P276" s="4">
        <v>2436</v>
      </c>
      <c r="Q276" s="4">
        <v>37489</v>
      </c>
      <c r="R276" s="4">
        <v>41444</v>
      </c>
      <c r="S276" s="4">
        <v>286872</v>
      </c>
      <c r="T276" s="4">
        <v>161790</v>
      </c>
      <c r="U276" s="4">
        <v>125082</v>
      </c>
    </row>
    <row r="277" spans="1:21" x14ac:dyDescent="0.25">
      <c r="A277" s="1" t="s">
        <v>263</v>
      </c>
      <c r="B277" t="s">
        <v>735</v>
      </c>
      <c r="C277" s="1" t="s">
        <v>290</v>
      </c>
      <c r="D277" t="s">
        <v>678</v>
      </c>
      <c r="E277" s="4">
        <v>293069</v>
      </c>
      <c r="F277" s="4">
        <v>231689</v>
      </c>
      <c r="G277" s="4">
        <v>58953</v>
      </c>
      <c r="H277" s="4">
        <v>172736</v>
      </c>
      <c r="I277" s="4">
        <v>61380</v>
      </c>
      <c r="J277">
        <v>0</v>
      </c>
      <c r="K277">
        <v>234116</v>
      </c>
      <c r="L277">
        <v>486</v>
      </c>
      <c r="M277" s="4">
        <v>128</v>
      </c>
      <c r="N277" s="4">
        <v>614</v>
      </c>
      <c r="O277" s="4">
        <v>30093</v>
      </c>
      <c r="P277" s="4">
        <v>3247</v>
      </c>
      <c r="Q277" s="4">
        <v>47933</v>
      </c>
      <c r="R277" s="4">
        <v>52991</v>
      </c>
      <c r="S277" s="4">
        <v>368994</v>
      </c>
      <c r="T277" s="4">
        <v>206562</v>
      </c>
      <c r="U277" s="4">
        <v>162432</v>
      </c>
    </row>
    <row r="278" spans="1:21" x14ac:dyDescent="0.25">
      <c r="A278" s="1" t="s">
        <v>263</v>
      </c>
      <c r="B278" t="s">
        <v>735</v>
      </c>
      <c r="C278" s="1" t="s">
        <v>291</v>
      </c>
      <c r="D278" t="s">
        <v>679</v>
      </c>
      <c r="E278" s="4">
        <v>85689</v>
      </c>
      <c r="F278" s="4">
        <v>67742</v>
      </c>
      <c r="G278" s="4">
        <v>19343</v>
      </c>
      <c r="H278" s="4">
        <v>48399</v>
      </c>
      <c r="I278" s="4">
        <v>17947</v>
      </c>
      <c r="J278" s="4">
        <v>7179</v>
      </c>
      <c r="K278">
        <v>73525</v>
      </c>
      <c r="L278">
        <v>143</v>
      </c>
      <c r="M278" s="4">
        <v>37</v>
      </c>
      <c r="N278" s="4">
        <v>180</v>
      </c>
      <c r="O278" s="4">
        <v>8955</v>
      </c>
      <c r="P278" s="4">
        <v>963</v>
      </c>
      <c r="Q278" s="4">
        <v>13180</v>
      </c>
      <c r="R278" s="4">
        <v>14571</v>
      </c>
      <c r="S278" s="4">
        <v>111374</v>
      </c>
      <c r="T278" s="4">
        <v>58460</v>
      </c>
      <c r="U278" s="4">
        <v>52914</v>
      </c>
    </row>
    <row r="279" spans="1:21" x14ac:dyDescent="0.25">
      <c r="A279" s="1" t="s">
        <v>263</v>
      </c>
      <c r="B279" t="s">
        <v>735</v>
      </c>
      <c r="C279" s="1" t="s">
        <v>292</v>
      </c>
      <c r="D279" t="s">
        <v>680</v>
      </c>
      <c r="E279" s="4">
        <v>232793</v>
      </c>
      <c r="F279" s="4">
        <v>184037</v>
      </c>
      <c r="G279" s="4">
        <v>51434</v>
      </c>
      <c r="H279" s="4">
        <v>132603</v>
      </c>
      <c r="I279" s="4">
        <v>48756</v>
      </c>
      <c r="J279">
        <v>0</v>
      </c>
      <c r="K279">
        <v>181359</v>
      </c>
      <c r="L279">
        <v>385</v>
      </c>
      <c r="M279" s="4">
        <v>103</v>
      </c>
      <c r="N279" s="4">
        <v>488</v>
      </c>
      <c r="O279" s="4">
        <v>23904</v>
      </c>
      <c r="P279" s="4">
        <v>2579</v>
      </c>
      <c r="Q279" s="4">
        <v>37178</v>
      </c>
      <c r="R279" s="4">
        <v>41101</v>
      </c>
      <c r="S279" s="4">
        <v>286609</v>
      </c>
      <c r="T279" s="4">
        <v>159471</v>
      </c>
      <c r="U279" s="4">
        <v>127138</v>
      </c>
    </row>
    <row r="280" spans="1:21" x14ac:dyDescent="0.25">
      <c r="A280" s="1" t="s">
        <v>263</v>
      </c>
      <c r="B280" t="s">
        <v>735</v>
      </c>
      <c r="C280" s="1" t="s">
        <v>293</v>
      </c>
      <c r="D280" t="s">
        <v>681</v>
      </c>
      <c r="E280" s="4">
        <v>83011</v>
      </c>
      <c r="F280" s="4">
        <v>65625</v>
      </c>
      <c r="G280" s="4">
        <v>19736</v>
      </c>
      <c r="H280" s="4">
        <v>45889</v>
      </c>
      <c r="I280" s="4">
        <v>17386</v>
      </c>
      <c r="J280" s="4">
        <v>5082</v>
      </c>
      <c r="K280">
        <v>68357</v>
      </c>
      <c r="L280">
        <v>137</v>
      </c>
      <c r="M280" s="4">
        <v>37</v>
      </c>
      <c r="N280" s="4">
        <v>174</v>
      </c>
      <c r="O280" s="4">
        <v>8524</v>
      </c>
      <c r="P280" s="4">
        <v>920</v>
      </c>
      <c r="Q280" s="4">
        <v>13988</v>
      </c>
      <c r="R280" s="4">
        <v>15464</v>
      </c>
      <c r="S280" s="4">
        <v>107427</v>
      </c>
      <c r="T280" s="4">
        <v>55470</v>
      </c>
      <c r="U280" s="4">
        <v>51957</v>
      </c>
    </row>
    <row r="281" spans="1:21" x14ac:dyDescent="0.25">
      <c r="A281" s="1" t="s">
        <v>263</v>
      </c>
      <c r="B281" t="s">
        <v>735</v>
      </c>
      <c r="C281" s="1" t="s">
        <v>294</v>
      </c>
      <c r="D281" t="s">
        <v>682</v>
      </c>
      <c r="E281" s="4">
        <v>235394</v>
      </c>
      <c r="F281" s="4">
        <v>186094</v>
      </c>
      <c r="G281" s="4">
        <v>51950</v>
      </c>
      <c r="H281" s="4">
        <v>134144</v>
      </c>
      <c r="I281" s="4">
        <v>49300</v>
      </c>
      <c r="J281">
        <v>0</v>
      </c>
      <c r="K281">
        <v>183444</v>
      </c>
      <c r="L281">
        <v>391</v>
      </c>
      <c r="M281" s="4">
        <v>103</v>
      </c>
      <c r="N281" s="4">
        <v>494</v>
      </c>
      <c r="O281" s="4">
        <v>24171</v>
      </c>
      <c r="P281" s="4">
        <v>2608</v>
      </c>
      <c r="Q281" s="4">
        <v>39664</v>
      </c>
      <c r="R281" s="4">
        <v>43850</v>
      </c>
      <c r="S281" s="4">
        <v>294231</v>
      </c>
      <c r="T281" s="4">
        <v>161313</v>
      </c>
      <c r="U281" s="4">
        <v>132918</v>
      </c>
    </row>
    <row r="282" spans="1:21" x14ac:dyDescent="0.25">
      <c r="A282" s="1" t="s">
        <v>263</v>
      </c>
      <c r="B282" t="s">
        <v>735</v>
      </c>
      <c r="C282" s="1" t="s">
        <v>295</v>
      </c>
      <c r="D282" t="s">
        <v>683</v>
      </c>
      <c r="E282" s="4">
        <v>72575</v>
      </c>
      <c r="F282" s="4">
        <v>57375</v>
      </c>
      <c r="G282" s="4">
        <v>18609</v>
      </c>
      <c r="H282" s="4">
        <v>38766</v>
      </c>
      <c r="I282" s="4">
        <v>15200</v>
      </c>
      <c r="J282">
        <v>191</v>
      </c>
      <c r="K282">
        <v>54157</v>
      </c>
      <c r="L282">
        <v>121</v>
      </c>
      <c r="M282" s="4">
        <v>33</v>
      </c>
      <c r="N282" s="4">
        <v>154</v>
      </c>
      <c r="O282" s="4">
        <v>7452</v>
      </c>
      <c r="P282" s="4">
        <v>804</v>
      </c>
      <c r="Q282" s="4">
        <v>11253</v>
      </c>
      <c r="R282" s="4">
        <v>12440</v>
      </c>
      <c r="S282" s="4">
        <v>86260</v>
      </c>
      <c r="T282" s="4">
        <v>47144</v>
      </c>
      <c r="U282" s="4">
        <v>39116</v>
      </c>
    </row>
    <row r="283" spans="1:21" x14ac:dyDescent="0.25">
      <c r="A283" s="1" t="s">
        <v>263</v>
      </c>
      <c r="B283" t="s">
        <v>735</v>
      </c>
      <c r="C283" s="1" t="s">
        <v>296</v>
      </c>
      <c r="D283" t="s">
        <v>684</v>
      </c>
      <c r="E283" s="4">
        <v>389481</v>
      </c>
      <c r="F283" s="4">
        <v>307908</v>
      </c>
      <c r="G283" s="4">
        <v>81514</v>
      </c>
      <c r="H283" s="4">
        <v>226394</v>
      </c>
      <c r="I283" s="4">
        <v>81573</v>
      </c>
      <c r="J283" s="4">
        <v>5066</v>
      </c>
      <c r="K283">
        <v>313033</v>
      </c>
      <c r="L283">
        <v>644</v>
      </c>
      <c r="M283" s="4">
        <v>171</v>
      </c>
      <c r="N283" s="4">
        <v>815</v>
      </c>
      <c r="O283" s="4">
        <v>40511</v>
      </c>
      <c r="P283" s="4">
        <v>4357</v>
      </c>
      <c r="Q283" s="4">
        <v>64346</v>
      </c>
      <c r="R283" s="4">
        <v>71136</v>
      </c>
      <c r="S283" s="4">
        <v>494198</v>
      </c>
      <c r="T283" s="4">
        <v>271907</v>
      </c>
      <c r="U283" s="4">
        <v>222291</v>
      </c>
    </row>
    <row r="284" spans="1:21" x14ac:dyDescent="0.25">
      <c r="A284" s="1" t="s">
        <v>263</v>
      </c>
      <c r="B284" t="s">
        <v>735</v>
      </c>
      <c r="C284" s="1" t="s">
        <v>297</v>
      </c>
      <c r="D284" t="s">
        <v>685</v>
      </c>
      <c r="E284" s="4">
        <v>269994</v>
      </c>
      <c r="F284" s="4">
        <v>213447</v>
      </c>
      <c r="G284" s="4">
        <v>43542</v>
      </c>
      <c r="H284" s="4">
        <v>169905</v>
      </c>
      <c r="I284" s="4">
        <v>56547</v>
      </c>
      <c r="J284">
        <v>0</v>
      </c>
      <c r="K284">
        <v>226452</v>
      </c>
      <c r="L284">
        <v>446</v>
      </c>
      <c r="M284" s="4">
        <v>118</v>
      </c>
      <c r="N284" s="4">
        <v>564</v>
      </c>
      <c r="O284" s="4">
        <v>27724</v>
      </c>
      <c r="P284" s="4">
        <v>2991</v>
      </c>
      <c r="Q284" s="4">
        <v>44638</v>
      </c>
      <c r="R284" s="4">
        <v>49348</v>
      </c>
      <c r="S284" s="4">
        <v>351717</v>
      </c>
      <c r="T284" s="4">
        <v>201066</v>
      </c>
      <c r="U284" s="4">
        <v>150651</v>
      </c>
    </row>
    <row r="285" spans="1:21" x14ac:dyDescent="0.25">
      <c r="A285" s="1" t="s">
        <v>263</v>
      </c>
      <c r="B285" t="s">
        <v>735</v>
      </c>
      <c r="C285" s="1" t="s">
        <v>298</v>
      </c>
      <c r="D285" t="s">
        <v>686</v>
      </c>
      <c r="E285" s="4">
        <v>394012</v>
      </c>
      <c r="F285" s="4">
        <v>311491</v>
      </c>
      <c r="G285" s="4">
        <v>75256</v>
      </c>
      <c r="H285" s="4">
        <v>236235</v>
      </c>
      <c r="I285" s="4">
        <v>82521</v>
      </c>
      <c r="J285">
        <v>0</v>
      </c>
      <c r="K285">
        <v>318756</v>
      </c>
      <c r="L285">
        <v>652</v>
      </c>
      <c r="M285" s="4">
        <v>173</v>
      </c>
      <c r="N285" s="4">
        <v>825</v>
      </c>
      <c r="O285" s="4">
        <v>40458</v>
      </c>
      <c r="P285" s="4">
        <v>4366</v>
      </c>
      <c r="Q285" s="4">
        <v>65838</v>
      </c>
      <c r="R285" s="4">
        <v>72785</v>
      </c>
      <c r="S285" s="4">
        <v>503028</v>
      </c>
      <c r="T285" s="4">
        <v>281711</v>
      </c>
      <c r="U285" s="4">
        <v>221317</v>
      </c>
    </row>
    <row r="286" spans="1:21" x14ac:dyDescent="0.25">
      <c r="A286" s="1" t="s">
        <v>263</v>
      </c>
      <c r="B286" t="s">
        <v>735</v>
      </c>
      <c r="C286" s="1" t="s">
        <v>299</v>
      </c>
      <c r="D286" t="s">
        <v>687</v>
      </c>
      <c r="E286" s="4">
        <v>148510</v>
      </c>
      <c r="F286" s="4">
        <v>117406</v>
      </c>
      <c r="G286" s="4">
        <v>29473</v>
      </c>
      <c r="H286" s="4">
        <v>87933</v>
      </c>
      <c r="I286" s="4">
        <v>31104</v>
      </c>
      <c r="J286">
        <v>0</v>
      </c>
      <c r="K286">
        <v>119037</v>
      </c>
      <c r="L286">
        <v>246</v>
      </c>
      <c r="M286" s="4">
        <v>65</v>
      </c>
      <c r="N286" s="4">
        <v>311</v>
      </c>
      <c r="O286" s="4">
        <v>15249</v>
      </c>
      <c r="P286" s="4">
        <v>1645</v>
      </c>
      <c r="Q286" s="4">
        <v>23998</v>
      </c>
      <c r="R286" s="4">
        <v>26530</v>
      </c>
      <c r="S286" s="4">
        <v>186770</v>
      </c>
      <c r="T286" s="4">
        <v>105073</v>
      </c>
      <c r="U286" s="4">
        <v>81697</v>
      </c>
    </row>
    <row r="287" spans="1:21" x14ac:dyDescent="0.25">
      <c r="A287" s="1" t="s">
        <v>263</v>
      </c>
      <c r="B287" t="s">
        <v>735</v>
      </c>
      <c r="C287" s="1" t="s">
        <v>300</v>
      </c>
      <c r="D287" t="s">
        <v>688</v>
      </c>
      <c r="E287" s="4">
        <v>75297</v>
      </c>
      <c r="F287" s="4">
        <v>59527</v>
      </c>
      <c r="G287" s="4">
        <v>20519</v>
      </c>
      <c r="H287" s="4">
        <v>39008</v>
      </c>
      <c r="I287" s="4">
        <v>15770</v>
      </c>
      <c r="J287" s="4">
        <v>4479</v>
      </c>
      <c r="K287">
        <v>59257</v>
      </c>
      <c r="L287">
        <v>124</v>
      </c>
      <c r="M287" s="4">
        <v>33</v>
      </c>
      <c r="N287" s="4">
        <v>157</v>
      </c>
      <c r="O287" s="4">
        <v>7958</v>
      </c>
      <c r="P287" s="4">
        <v>856</v>
      </c>
      <c r="Q287" s="4">
        <v>12123</v>
      </c>
      <c r="R287" s="4">
        <v>13402</v>
      </c>
      <c r="S287" s="4">
        <v>93753</v>
      </c>
      <c r="T287" s="4">
        <v>47946</v>
      </c>
      <c r="U287" s="4">
        <v>45807</v>
      </c>
    </row>
    <row r="288" spans="1:21" x14ac:dyDescent="0.25">
      <c r="A288" s="1" t="s">
        <v>263</v>
      </c>
      <c r="B288" t="s">
        <v>735</v>
      </c>
      <c r="C288" s="1" t="s">
        <v>301</v>
      </c>
      <c r="D288" t="s">
        <v>689</v>
      </c>
      <c r="E288" s="4">
        <v>71857</v>
      </c>
      <c r="F288" s="4">
        <v>56808</v>
      </c>
      <c r="G288" s="4">
        <v>15810</v>
      </c>
      <c r="H288" s="4">
        <v>40998</v>
      </c>
      <c r="I288" s="4">
        <v>15049</v>
      </c>
      <c r="J288">
        <v>0</v>
      </c>
      <c r="K288">
        <v>56047</v>
      </c>
      <c r="L288">
        <v>119</v>
      </c>
      <c r="M288" s="4">
        <v>31</v>
      </c>
      <c r="N288" s="4">
        <v>150</v>
      </c>
      <c r="O288" s="4">
        <v>7379</v>
      </c>
      <c r="P288" s="4">
        <v>796</v>
      </c>
      <c r="Q288" s="4">
        <v>12247</v>
      </c>
      <c r="R288" s="4">
        <v>13540</v>
      </c>
      <c r="S288" s="4">
        <v>90159</v>
      </c>
      <c r="T288" s="4">
        <v>49291</v>
      </c>
      <c r="U288" s="4">
        <v>40868</v>
      </c>
    </row>
    <row r="289" spans="1:21" x14ac:dyDescent="0.25">
      <c r="A289" s="1" t="s">
        <v>263</v>
      </c>
      <c r="B289" t="s">
        <v>735</v>
      </c>
      <c r="C289" s="1" t="s">
        <v>302</v>
      </c>
      <c r="D289" t="s">
        <v>690</v>
      </c>
      <c r="E289" s="4">
        <v>204158</v>
      </c>
      <c r="F289" s="4">
        <v>161399</v>
      </c>
      <c r="G289" s="4">
        <v>29815</v>
      </c>
      <c r="H289" s="4">
        <v>131584</v>
      </c>
      <c r="I289" s="4">
        <v>42759</v>
      </c>
      <c r="J289" s="4">
        <v>1613</v>
      </c>
      <c r="K289">
        <v>175956</v>
      </c>
      <c r="L289">
        <v>338</v>
      </c>
      <c r="M289" s="4">
        <v>89</v>
      </c>
      <c r="N289" s="4">
        <v>427</v>
      </c>
      <c r="O289" s="4">
        <v>21099</v>
      </c>
      <c r="P289" s="4">
        <v>2269</v>
      </c>
      <c r="Q289" s="4">
        <v>38110</v>
      </c>
      <c r="R289" s="4">
        <v>42131</v>
      </c>
      <c r="S289" s="4">
        <v>279992</v>
      </c>
      <c r="T289" s="4">
        <v>155290</v>
      </c>
      <c r="U289" s="4">
        <v>124702</v>
      </c>
    </row>
    <row r="290" spans="1:21" x14ac:dyDescent="0.25">
      <c r="A290" s="1" t="s">
        <v>263</v>
      </c>
      <c r="B290" t="s">
        <v>735</v>
      </c>
      <c r="C290" s="1" t="s">
        <v>303</v>
      </c>
      <c r="D290" t="s">
        <v>691</v>
      </c>
      <c r="E290" s="4">
        <v>243512</v>
      </c>
      <c r="F290" s="4">
        <v>192511</v>
      </c>
      <c r="G290" s="4">
        <v>43760</v>
      </c>
      <c r="H290" s="4">
        <v>148751</v>
      </c>
      <c r="I290" s="4">
        <v>51001</v>
      </c>
      <c r="J290">
        <v>0</v>
      </c>
      <c r="K290">
        <v>199752</v>
      </c>
      <c r="L290">
        <v>404</v>
      </c>
      <c r="M290" s="4">
        <v>107</v>
      </c>
      <c r="N290" s="4">
        <v>511</v>
      </c>
      <c r="O290" s="4">
        <v>25005</v>
      </c>
      <c r="P290" s="4">
        <v>2698</v>
      </c>
      <c r="Q290" s="4">
        <v>40846</v>
      </c>
      <c r="R290" s="4">
        <v>45156</v>
      </c>
      <c r="S290" s="4">
        <v>313968</v>
      </c>
      <c r="T290" s="4">
        <v>176858</v>
      </c>
      <c r="U290" s="4">
        <v>137110</v>
      </c>
    </row>
    <row r="291" spans="1:21" x14ac:dyDescent="0.25">
      <c r="A291" s="1" t="s">
        <v>263</v>
      </c>
      <c r="B291" t="s">
        <v>735</v>
      </c>
      <c r="C291" s="1" t="s">
        <v>304</v>
      </c>
      <c r="D291" t="s">
        <v>692</v>
      </c>
      <c r="E291" s="4">
        <v>281238</v>
      </c>
      <c r="F291" s="4">
        <v>222336</v>
      </c>
      <c r="G291" s="4">
        <v>40458</v>
      </c>
      <c r="H291" s="4">
        <v>181878</v>
      </c>
      <c r="I291" s="4">
        <v>58902</v>
      </c>
      <c r="J291">
        <v>0</v>
      </c>
      <c r="K291">
        <v>240780</v>
      </c>
      <c r="L291">
        <v>467</v>
      </c>
      <c r="M291" s="4">
        <v>124</v>
      </c>
      <c r="N291" s="4">
        <v>591</v>
      </c>
      <c r="O291" s="4">
        <v>28878</v>
      </c>
      <c r="P291" s="4">
        <v>3116</v>
      </c>
      <c r="Q291" s="4">
        <v>48803</v>
      </c>
      <c r="R291" s="4">
        <v>53953</v>
      </c>
      <c r="S291" s="4">
        <v>376121</v>
      </c>
      <c r="T291" s="4">
        <v>214339</v>
      </c>
      <c r="U291" s="4">
        <v>161782</v>
      </c>
    </row>
    <row r="292" spans="1:21" x14ac:dyDescent="0.25">
      <c r="A292" s="1" t="s">
        <v>263</v>
      </c>
      <c r="B292" t="s">
        <v>735</v>
      </c>
      <c r="C292" s="1" t="s">
        <v>305</v>
      </c>
      <c r="D292" t="s">
        <v>693</v>
      </c>
      <c r="E292" s="4">
        <v>117103</v>
      </c>
      <c r="F292" s="4">
        <v>92577</v>
      </c>
      <c r="G292" s="4">
        <v>27073</v>
      </c>
      <c r="H292" s="4">
        <v>65504</v>
      </c>
      <c r="I292" s="4">
        <v>24526</v>
      </c>
      <c r="J292">
        <v>0</v>
      </c>
      <c r="K292">
        <v>90030</v>
      </c>
      <c r="L292">
        <v>193</v>
      </c>
      <c r="M292" s="4">
        <v>51</v>
      </c>
      <c r="N292" s="4">
        <v>244</v>
      </c>
      <c r="O292" s="4">
        <v>12024</v>
      </c>
      <c r="P292" s="4">
        <v>1297</v>
      </c>
      <c r="Q292" s="4">
        <v>19335</v>
      </c>
      <c r="R292" s="4">
        <v>21375</v>
      </c>
      <c r="S292" s="4">
        <v>144305</v>
      </c>
      <c r="T292" s="4">
        <v>79018</v>
      </c>
      <c r="U292" s="4">
        <v>65287</v>
      </c>
    </row>
    <row r="293" spans="1:21" x14ac:dyDescent="0.25">
      <c r="A293" s="1" t="s">
        <v>263</v>
      </c>
      <c r="B293" t="s">
        <v>735</v>
      </c>
      <c r="C293" s="1" t="s">
        <v>306</v>
      </c>
      <c r="D293" t="s">
        <v>694</v>
      </c>
      <c r="E293" s="4">
        <v>137834</v>
      </c>
      <c r="F293" s="4">
        <v>108966</v>
      </c>
      <c r="G293" s="4">
        <v>33342</v>
      </c>
      <c r="H293" s="4">
        <v>75624</v>
      </c>
      <c r="I293" s="4">
        <v>28868</v>
      </c>
      <c r="J293" s="4">
        <v>10126</v>
      </c>
      <c r="K293">
        <v>114618</v>
      </c>
      <c r="L293">
        <v>230</v>
      </c>
      <c r="M293" s="4">
        <v>61</v>
      </c>
      <c r="N293" s="4">
        <v>291</v>
      </c>
      <c r="O293" s="4">
        <v>14153</v>
      </c>
      <c r="P293" s="4">
        <v>1527</v>
      </c>
      <c r="Q293" s="4">
        <v>22133</v>
      </c>
      <c r="R293" s="4">
        <v>24468</v>
      </c>
      <c r="S293" s="4">
        <v>177190</v>
      </c>
      <c r="T293" s="4">
        <v>91534</v>
      </c>
      <c r="U293" s="4">
        <v>85656</v>
      </c>
    </row>
    <row r="294" spans="1:21" x14ac:dyDescent="0.25">
      <c r="A294" s="1" t="s">
        <v>263</v>
      </c>
      <c r="B294" t="s">
        <v>735</v>
      </c>
      <c r="C294" s="1" t="s">
        <v>307</v>
      </c>
      <c r="D294" t="s">
        <v>695</v>
      </c>
      <c r="E294" s="4">
        <v>174166</v>
      </c>
      <c r="F294" s="4">
        <v>137689</v>
      </c>
      <c r="G294" s="4">
        <v>33313</v>
      </c>
      <c r="H294" s="4">
        <v>104376</v>
      </c>
      <c r="I294" s="4">
        <v>36477</v>
      </c>
      <c r="J294">
        <v>0</v>
      </c>
      <c r="K294">
        <v>140853</v>
      </c>
      <c r="L294">
        <v>288</v>
      </c>
      <c r="M294" s="4">
        <v>76</v>
      </c>
      <c r="N294" s="4">
        <v>364</v>
      </c>
      <c r="O294" s="4">
        <v>17884</v>
      </c>
      <c r="P294" s="4">
        <v>1930</v>
      </c>
      <c r="Q294" s="4">
        <v>29282</v>
      </c>
      <c r="R294" s="4">
        <v>32372</v>
      </c>
      <c r="S294" s="4">
        <v>222685</v>
      </c>
      <c r="T294" s="4">
        <v>124478</v>
      </c>
      <c r="U294" s="4">
        <v>98207</v>
      </c>
    </row>
    <row r="295" spans="1:21" x14ac:dyDescent="0.25">
      <c r="A295" s="1" t="s">
        <v>308</v>
      </c>
      <c r="B295" t="s">
        <v>736</v>
      </c>
      <c r="C295" s="1" t="s">
        <v>309</v>
      </c>
      <c r="D295" t="s">
        <v>696</v>
      </c>
      <c r="E295" s="4">
        <v>408990</v>
      </c>
      <c r="F295" s="4">
        <v>325908</v>
      </c>
      <c r="G295" s="4">
        <v>76124</v>
      </c>
      <c r="H295" s="4">
        <v>249784</v>
      </c>
      <c r="I295" s="4">
        <v>83082</v>
      </c>
      <c r="J295">
        <v>986</v>
      </c>
      <c r="K295">
        <v>333852</v>
      </c>
      <c r="L295">
        <v>763</v>
      </c>
      <c r="M295" s="4">
        <v>194</v>
      </c>
      <c r="N295" s="4">
        <v>957</v>
      </c>
      <c r="O295" s="4">
        <v>41179</v>
      </c>
      <c r="P295" s="4">
        <v>4506</v>
      </c>
      <c r="Q295" s="4">
        <v>68478</v>
      </c>
      <c r="R295" s="4">
        <v>75267</v>
      </c>
      <c r="S295" s="4">
        <v>524239</v>
      </c>
      <c r="T295" s="4">
        <v>296232</v>
      </c>
      <c r="U295" s="4">
        <v>228007</v>
      </c>
    </row>
    <row r="296" spans="1:21" x14ac:dyDescent="0.25">
      <c r="A296" s="1" t="s">
        <v>308</v>
      </c>
      <c r="B296" t="s">
        <v>736</v>
      </c>
      <c r="C296" s="1" t="s">
        <v>310</v>
      </c>
      <c r="D296" t="s">
        <v>697</v>
      </c>
      <c r="E296" s="4">
        <v>1534167</v>
      </c>
      <c r="F296" s="4">
        <v>1222518</v>
      </c>
      <c r="G296" s="4">
        <v>302970</v>
      </c>
      <c r="H296" s="4">
        <v>919548</v>
      </c>
      <c r="I296" s="4">
        <v>311649</v>
      </c>
      <c r="J296" s="4">
        <v>0</v>
      </c>
      <c r="K296" s="4">
        <v>1231197</v>
      </c>
      <c r="L296" s="4">
        <v>2864</v>
      </c>
      <c r="M296" s="4">
        <v>731</v>
      </c>
      <c r="N296" s="4">
        <v>3595</v>
      </c>
      <c r="O296" s="4">
        <v>154204</v>
      </c>
      <c r="P296" s="4">
        <v>16902</v>
      </c>
      <c r="Q296" s="4">
        <v>256762</v>
      </c>
      <c r="R296" s="4">
        <v>282216</v>
      </c>
      <c r="S296" s="4">
        <v>1944876</v>
      </c>
      <c r="T296" s="4">
        <v>1093518</v>
      </c>
      <c r="U296" s="4">
        <v>851358</v>
      </c>
    </row>
    <row r="297" spans="1:21" x14ac:dyDescent="0.25">
      <c r="A297" s="1" t="s">
        <v>308</v>
      </c>
      <c r="B297" t="s">
        <v>736</v>
      </c>
      <c r="C297" s="1" t="s">
        <v>311</v>
      </c>
      <c r="D297" t="s">
        <v>698</v>
      </c>
      <c r="E297" s="4">
        <v>219970</v>
      </c>
      <c r="F297" s="4">
        <v>175285</v>
      </c>
      <c r="G297" s="4">
        <v>39171</v>
      </c>
      <c r="H297" s="4">
        <v>136114</v>
      </c>
      <c r="I297" s="4">
        <v>44685</v>
      </c>
      <c r="J297">
        <v>0</v>
      </c>
      <c r="K297">
        <v>180799</v>
      </c>
      <c r="L297">
        <v>412</v>
      </c>
      <c r="M297" s="4">
        <v>105</v>
      </c>
      <c r="N297" s="4">
        <v>517</v>
      </c>
      <c r="O297" s="4">
        <v>22110</v>
      </c>
      <c r="P297" s="4">
        <v>2423</v>
      </c>
      <c r="Q297" s="4">
        <v>35668</v>
      </c>
      <c r="R297" s="4">
        <v>39204</v>
      </c>
      <c r="S297" s="4">
        <v>280721</v>
      </c>
      <c r="T297" s="4">
        <v>161059</v>
      </c>
      <c r="U297" s="4">
        <v>119662</v>
      </c>
    </row>
    <row r="298" spans="1:21" x14ac:dyDescent="0.25">
      <c r="A298" s="1" t="s">
        <v>308</v>
      </c>
      <c r="B298" t="s">
        <v>736</v>
      </c>
      <c r="C298" s="1" t="s">
        <v>312</v>
      </c>
      <c r="D298" t="s">
        <v>699</v>
      </c>
      <c r="E298" s="4">
        <v>498275</v>
      </c>
      <c r="F298" s="4">
        <v>397056</v>
      </c>
      <c r="G298" s="4">
        <v>100946</v>
      </c>
      <c r="H298" s="4">
        <v>296110</v>
      </c>
      <c r="I298" s="4">
        <v>101219</v>
      </c>
      <c r="J298" s="4">
        <v>0</v>
      </c>
      <c r="K298" s="4">
        <v>397329</v>
      </c>
      <c r="L298">
        <v>932</v>
      </c>
      <c r="M298" s="4">
        <v>237</v>
      </c>
      <c r="N298" s="4">
        <v>1169</v>
      </c>
      <c r="O298" s="4">
        <v>50083</v>
      </c>
      <c r="P298" s="4">
        <v>5490</v>
      </c>
      <c r="Q298" s="4">
        <v>82770</v>
      </c>
      <c r="R298" s="4">
        <v>90976</v>
      </c>
      <c r="S298" s="4">
        <v>627817</v>
      </c>
      <c r="T298" s="4">
        <v>352615</v>
      </c>
      <c r="U298" s="4">
        <v>275202</v>
      </c>
    </row>
    <row r="299" spans="1:21" x14ac:dyDescent="0.25">
      <c r="A299" s="1" t="s">
        <v>308</v>
      </c>
      <c r="B299" t="s">
        <v>736</v>
      </c>
      <c r="C299" s="1" t="s">
        <v>313</v>
      </c>
      <c r="D299" t="s">
        <v>700</v>
      </c>
      <c r="E299" s="4">
        <v>297067</v>
      </c>
      <c r="F299" s="4">
        <v>236721</v>
      </c>
      <c r="G299" s="4">
        <v>61225</v>
      </c>
      <c r="H299" s="4">
        <v>175496</v>
      </c>
      <c r="I299" s="4">
        <v>60346</v>
      </c>
      <c r="J299">
        <v>0</v>
      </c>
      <c r="K299">
        <v>235842</v>
      </c>
      <c r="L299">
        <v>554</v>
      </c>
      <c r="M299" s="4">
        <v>142</v>
      </c>
      <c r="N299" s="4">
        <v>696</v>
      </c>
      <c r="O299" s="4">
        <v>29859</v>
      </c>
      <c r="P299" s="4">
        <v>3273</v>
      </c>
      <c r="Q299" s="4">
        <v>50209</v>
      </c>
      <c r="R299" s="4">
        <v>55186</v>
      </c>
      <c r="S299" s="4">
        <v>375065</v>
      </c>
      <c r="T299" s="4">
        <v>209182</v>
      </c>
      <c r="U299" s="4">
        <v>165883</v>
      </c>
    </row>
    <row r="300" spans="1:21" x14ac:dyDescent="0.25">
      <c r="A300" s="1" t="s">
        <v>308</v>
      </c>
      <c r="B300" t="s">
        <v>736</v>
      </c>
      <c r="C300" s="1" t="s">
        <v>314</v>
      </c>
      <c r="D300" t="s">
        <v>701</v>
      </c>
      <c r="E300" s="4">
        <v>471712</v>
      </c>
      <c r="F300" s="4">
        <v>375888</v>
      </c>
      <c r="G300" s="4">
        <v>91607</v>
      </c>
      <c r="H300" s="4">
        <v>284281</v>
      </c>
      <c r="I300" s="4">
        <v>95824</v>
      </c>
      <c r="J300" s="4">
        <v>0</v>
      </c>
      <c r="K300" s="4">
        <v>380105</v>
      </c>
      <c r="L300">
        <v>882</v>
      </c>
      <c r="M300" s="4">
        <v>225</v>
      </c>
      <c r="N300" s="4">
        <v>1107</v>
      </c>
      <c r="O300" s="4">
        <v>47413</v>
      </c>
      <c r="P300" s="4">
        <v>5197</v>
      </c>
      <c r="Q300" s="4">
        <v>79229</v>
      </c>
      <c r="R300" s="4">
        <v>87083</v>
      </c>
      <c r="S300" s="4">
        <v>600134</v>
      </c>
      <c r="T300" s="4">
        <v>337773</v>
      </c>
      <c r="U300" s="4">
        <v>262361</v>
      </c>
    </row>
    <row r="301" spans="1:21" x14ac:dyDescent="0.25">
      <c r="A301" s="1" t="s">
        <v>308</v>
      </c>
      <c r="B301" t="s">
        <v>736</v>
      </c>
      <c r="C301" s="1" t="s">
        <v>315</v>
      </c>
      <c r="D301" t="s">
        <v>702</v>
      </c>
      <c r="E301" s="4">
        <v>158060</v>
      </c>
      <c r="F301" s="4">
        <v>125952</v>
      </c>
      <c r="G301" s="4">
        <v>27274</v>
      </c>
      <c r="H301" s="4">
        <v>98678</v>
      </c>
      <c r="I301" s="4">
        <v>32108</v>
      </c>
      <c r="J301" s="4">
        <v>15050</v>
      </c>
      <c r="K301">
        <v>145836</v>
      </c>
      <c r="L301">
        <v>296</v>
      </c>
      <c r="M301" s="4">
        <v>75</v>
      </c>
      <c r="N301" s="4">
        <v>371</v>
      </c>
      <c r="O301" s="4">
        <v>16725</v>
      </c>
      <c r="P301" s="4">
        <v>1828</v>
      </c>
      <c r="Q301" s="4">
        <v>27404</v>
      </c>
      <c r="R301" s="4">
        <v>30120</v>
      </c>
      <c r="S301" s="4">
        <v>222284</v>
      </c>
      <c r="T301" s="4">
        <v>117526</v>
      </c>
      <c r="U301" s="4">
        <v>104758</v>
      </c>
    </row>
    <row r="302" spans="1:21" x14ac:dyDescent="0.25">
      <c r="A302" s="1" t="s">
        <v>308</v>
      </c>
      <c r="B302" t="s">
        <v>736</v>
      </c>
      <c r="C302" s="1" t="s">
        <v>316</v>
      </c>
      <c r="D302" t="s">
        <v>703</v>
      </c>
      <c r="E302" s="4">
        <v>422020</v>
      </c>
      <c r="F302" s="4">
        <v>336291</v>
      </c>
      <c r="G302" s="4">
        <v>74041</v>
      </c>
      <c r="H302" s="4">
        <v>262250</v>
      </c>
      <c r="I302" s="4">
        <v>85729</v>
      </c>
      <c r="J302">
        <v>0</v>
      </c>
      <c r="K302">
        <v>347979</v>
      </c>
      <c r="L302">
        <v>789</v>
      </c>
      <c r="M302" s="4">
        <v>202</v>
      </c>
      <c r="N302" s="4">
        <v>991</v>
      </c>
      <c r="O302" s="4">
        <v>42419</v>
      </c>
      <c r="P302" s="4">
        <v>4649</v>
      </c>
      <c r="Q302" s="4">
        <v>71647</v>
      </c>
      <c r="R302" s="4">
        <v>78750</v>
      </c>
      <c r="S302" s="4">
        <v>546435</v>
      </c>
      <c r="T302" s="4">
        <v>310107</v>
      </c>
      <c r="U302" s="4">
        <v>236328</v>
      </c>
    </row>
    <row r="303" spans="1:21" x14ac:dyDescent="0.25">
      <c r="A303" s="1" t="s">
        <v>308</v>
      </c>
      <c r="B303" t="s">
        <v>736</v>
      </c>
      <c r="C303" s="1" t="s">
        <v>317</v>
      </c>
      <c r="D303" t="s">
        <v>704</v>
      </c>
      <c r="E303" s="4">
        <v>303583</v>
      </c>
      <c r="F303" s="4">
        <v>241914</v>
      </c>
      <c r="G303" s="4">
        <v>58907</v>
      </c>
      <c r="H303" s="4">
        <v>183007</v>
      </c>
      <c r="I303" s="4">
        <v>61669</v>
      </c>
      <c r="J303" s="4">
        <v>3999</v>
      </c>
      <c r="K303">
        <v>248675</v>
      </c>
      <c r="L303">
        <v>568</v>
      </c>
      <c r="M303" s="4">
        <v>144</v>
      </c>
      <c r="N303" s="4">
        <v>712</v>
      </c>
      <c r="O303" s="4">
        <v>30894</v>
      </c>
      <c r="P303" s="4">
        <v>3376</v>
      </c>
      <c r="Q303" s="4">
        <v>52881</v>
      </c>
      <c r="R303" s="4">
        <v>58123</v>
      </c>
      <c r="S303" s="4">
        <v>394661</v>
      </c>
      <c r="T303" s="4">
        <v>217844</v>
      </c>
      <c r="U303" s="4">
        <v>176817</v>
      </c>
    </row>
    <row r="304" spans="1:21" x14ac:dyDescent="0.25">
      <c r="A304" s="1" t="s">
        <v>308</v>
      </c>
      <c r="B304" t="s">
        <v>736</v>
      </c>
      <c r="C304" s="1" t="s">
        <v>318</v>
      </c>
      <c r="D304" t="s">
        <v>705</v>
      </c>
      <c r="E304" s="4">
        <v>605520</v>
      </c>
      <c r="F304" s="4">
        <v>482515</v>
      </c>
      <c r="G304" s="4">
        <v>120885</v>
      </c>
      <c r="H304" s="4">
        <v>361630</v>
      </c>
      <c r="I304" s="4">
        <v>123005</v>
      </c>
      <c r="J304" s="4">
        <v>835</v>
      </c>
      <c r="K304" s="4">
        <v>485470</v>
      </c>
      <c r="L304" s="4">
        <v>1130</v>
      </c>
      <c r="M304" s="4">
        <v>288</v>
      </c>
      <c r="N304" s="4">
        <v>1418</v>
      </c>
      <c r="O304" s="4">
        <v>60903</v>
      </c>
      <c r="P304" s="4">
        <v>6671</v>
      </c>
      <c r="Q304" s="4">
        <v>105203</v>
      </c>
      <c r="R304" s="4">
        <v>115632</v>
      </c>
      <c r="S304" s="4">
        <v>775297</v>
      </c>
      <c r="T304" s="4">
        <v>430334</v>
      </c>
      <c r="U304" s="4">
        <v>344963</v>
      </c>
    </row>
    <row r="305" spans="1:21" x14ac:dyDescent="0.25">
      <c r="A305" s="1" t="s">
        <v>308</v>
      </c>
      <c r="B305" t="s">
        <v>736</v>
      </c>
      <c r="C305" s="1" t="s">
        <v>319</v>
      </c>
      <c r="D305" t="s">
        <v>706</v>
      </c>
      <c r="E305" s="4">
        <v>816151</v>
      </c>
      <c r="F305" s="4">
        <v>650359</v>
      </c>
      <c r="G305" s="4">
        <v>163791</v>
      </c>
      <c r="H305" s="4">
        <v>486568</v>
      </c>
      <c r="I305" s="4">
        <v>165792</v>
      </c>
      <c r="J305" s="4">
        <v>0</v>
      </c>
      <c r="K305" s="4">
        <v>652360</v>
      </c>
      <c r="L305" s="4">
        <v>1523</v>
      </c>
      <c r="M305" s="4">
        <v>389</v>
      </c>
      <c r="N305" s="4">
        <v>1912</v>
      </c>
      <c r="O305" s="4">
        <v>82034</v>
      </c>
      <c r="P305" s="4">
        <v>8992</v>
      </c>
      <c r="Q305" s="4">
        <v>148577</v>
      </c>
      <c r="R305" s="4">
        <v>163305</v>
      </c>
      <c r="S305" s="4">
        <v>1057180</v>
      </c>
      <c r="T305" s="4">
        <v>579117</v>
      </c>
      <c r="U305" s="4">
        <v>478063</v>
      </c>
    </row>
    <row r="306" spans="1:21" x14ac:dyDescent="0.25">
      <c r="A306" s="1" t="s">
        <v>308</v>
      </c>
      <c r="B306" t="s">
        <v>736</v>
      </c>
      <c r="C306" s="1" t="s">
        <v>320</v>
      </c>
      <c r="D306" t="s">
        <v>707</v>
      </c>
      <c r="E306" s="4">
        <v>724705</v>
      </c>
      <c r="F306" s="4">
        <v>577489</v>
      </c>
      <c r="G306" s="4">
        <v>137240</v>
      </c>
      <c r="H306" s="4">
        <v>440249</v>
      </c>
      <c r="I306" s="4">
        <v>147216</v>
      </c>
      <c r="J306" s="4">
        <v>0</v>
      </c>
      <c r="K306" s="4">
        <v>587465</v>
      </c>
      <c r="L306" s="4">
        <v>1354</v>
      </c>
      <c r="M306" s="4">
        <v>346</v>
      </c>
      <c r="N306" s="4">
        <v>1700</v>
      </c>
      <c r="O306" s="4">
        <v>72842</v>
      </c>
      <c r="P306" s="4">
        <v>7984</v>
      </c>
      <c r="Q306" s="4">
        <v>118563</v>
      </c>
      <c r="R306" s="4">
        <v>130316</v>
      </c>
      <c r="S306" s="4">
        <v>918870</v>
      </c>
      <c r="T306" s="4">
        <v>522430</v>
      </c>
      <c r="U306" s="4">
        <v>396440</v>
      </c>
    </row>
    <row r="307" spans="1:21" x14ac:dyDescent="0.25">
      <c r="A307" s="1" t="s">
        <v>308</v>
      </c>
      <c r="B307" t="s">
        <v>736</v>
      </c>
      <c r="C307" s="1" t="s">
        <v>321</v>
      </c>
      <c r="D307" t="s">
        <v>708</v>
      </c>
      <c r="E307" s="4">
        <v>133358</v>
      </c>
      <c r="F307" s="4">
        <v>106268</v>
      </c>
      <c r="G307" s="4">
        <v>23360</v>
      </c>
      <c r="H307" s="4">
        <v>82908</v>
      </c>
      <c r="I307" s="4">
        <v>27090</v>
      </c>
      <c r="J307">
        <v>0</v>
      </c>
      <c r="K307">
        <v>109998</v>
      </c>
      <c r="L307">
        <v>248</v>
      </c>
      <c r="M307" s="4">
        <v>63</v>
      </c>
      <c r="N307" s="4">
        <v>311</v>
      </c>
      <c r="O307" s="4">
        <v>13404</v>
      </c>
      <c r="P307" s="4">
        <v>1469</v>
      </c>
      <c r="Q307" s="4">
        <v>22557</v>
      </c>
      <c r="R307" s="4">
        <v>24793</v>
      </c>
      <c r="S307" s="4">
        <v>172532</v>
      </c>
      <c r="T307" s="4">
        <v>98029</v>
      </c>
      <c r="U307" s="4">
        <v>74503</v>
      </c>
    </row>
    <row r="308" spans="1:21" x14ac:dyDescent="0.25">
      <c r="A308" s="1" t="s">
        <v>308</v>
      </c>
      <c r="B308" t="s">
        <v>736</v>
      </c>
      <c r="C308" s="1" t="s">
        <v>322</v>
      </c>
      <c r="D308" t="s">
        <v>709</v>
      </c>
      <c r="E308" s="4">
        <v>319340</v>
      </c>
      <c r="F308" s="4">
        <v>254470</v>
      </c>
      <c r="G308" s="4">
        <v>54660</v>
      </c>
      <c r="H308" s="4">
        <v>199810</v>
      </c>
      <c r="I308" s="4">
        <v>64870</v>
      </c>
      <c r="J308">
        <v>0</v>
      </c>
      <c r="K308">
        <v>264680</v>
      </c>
      <c r="L308">
        <v>597</v>
      </c>
      <c r="M308" s="4">
        <v>152</v>
      </c>
      <c r="N308" s="4">
        <v>749</v>
      </c>
      <c r="O308" s="4">
        <v>32098</v>
      </c>
      <c r="P308" s="4">
        <v>3518</v>
      </c>
      <c r="Q308" s="4">
        <v>54683</v>
      </c>
      <c r="R308" s="4">
        <v>60104</v>
      </c>
      <c r="S308" s="4">
        <v>415832</v>
      </c>
      <c r="T308" s="4">
        <v>236022</v>
      </c>
      <c r="U308" s="4">
        <v>179810</v>
      </c>
    </row>
    <row r="309" spans="1:21" x14ac:dyDescent="0.25">
      <c r="A309" s="1" t="s">
        <v>308</v>
      </c>
      <c r="B309" t="s">
        <v>736</v>
      </c>
      <c r="C309" s="1" t="s">
        <v>323</v>
      </c>
      <c r="D309" t="s">
        <v>710</v>
      </c>
      <c r="E309" s="4">
        <v>128564</v>
      </c>
      <c r="F309" s="4">
        <v>102448</v>
      </c>
      <c r="G309" s="4">
        <v>19321</v>
      </c>
      <c r="H309" s="4">
        <v>83127</v>
      </c>
      <c r="I309" s="4">
        <v>26116</v>
      </c>
      <c r="J309">
        <v>0</v>
      </c>
      <c r="K309">
        <v>109243</v>
      </c>
      <c r="L309">
        <v>240</v>
      </c>
      <c r="M309" s="4">
        <v>61</v>
      </c>
      <c r="N309" s="4">
        <v>301</v>
      </c>
      <c r="O309" s="4">
        <v>12922</v>
      </c>
      <c r="P309" s="4">
        <v>1416</v>
      </c>
      <c r="Q309" s="4">
        <v>21500</v>
      </c>
      <c r="R309" s="4">
        <v>23632</v>
      </c>
      <c r="S309" s="4">
        <v>169014</v>
      </c>
      <c r="T309" s="4">
        <v>97705</v>
      </c>
      <c r="U309" s="4">
        <v>71309</v>
      </c>
    </row>
    <row r="310" spans="1:21" x14ac:dyDescent="0.25">
      <c r="A310" s="1" t="s">
        <v>308</v>
      </c>
      <c r="B310" t="s">
        <v>736</v>
      </c>
      <c r="C310" s="1" t="s">
        <v>324</v>
      </c>
      <c r="D310" t="s">
        <v>711</v>
      </c>
      <c r="E310" s="4">
        <v>70640</v>
      </c>
      <c r="F310" s="4">
        <v>56290</v>
      </c>
      <c r="G310" s="4">
        <v>14356</v>
      </c>
      <c r="H310" s="4">
        <v>41934</v>
      </c>
      <c r="I310" s="4">
        <v>14350</v>
      </c>
      <c r="J310">
        <v>0</v>
      </c>
      <c r="K310">
        <v>56284</v>
      </c>
      <c r="L310">
        <v>132</v>
      </c>
      <c r="M310" s="4">
        <v>34</v>
      </c>
      <c r="N310" s="4">
        <v>166</v>
      </c>
      <c r="O310" s="4">
        <v>7100</v>
      </c>
      <c r="P310" s="4">
        <v>778</v>
      </c>
      <c r="Q310" s="4">
        <v>12055</v>
      </c>
      <c r="R310" s="4">
        <v>13250</v>
      </c>
      <c r="S310" s="4">
        <v>89633</v>
      </c>
      <c r="T310" s="4">
        <v>49944</v>
      </c>
      <c r="U310" s="4">
        <v>39689</v>
      </c>
    </row>
    <row r="311" spans="1:21" x14ac:dyDescent="0.25">
      <c r="A311" s="1" t="s">
        <v>308</v>
      </c>
      <c r="B311" t="s">
        <v>736</v>
      </c>
      <c r="C311" s="1" t="s">
        <v>325</v>
      </c>
      <c r="D311" t="s">
        <v>712</v>
      </c>
      <c r="E311" s="4">
        <v>66280</v>
      </c>
      <c r="F311" s="4">
        <v>52816</v>
      </c>
      <c r="G311" s="4">
        <v>16953</v>
      </c>
      <c r="H311" s="4">
        <v>35863</v>
      </c>
      <c r="I311" s="4">
        <v>13464</v>
      </c>
      <c r="J311" s="4">
        <v>7867</v>
      </c>
      <c r="K311">
        <v>57194</v>
      </c>
      <c r="L311">
        <v>124</v>
      </c>
      <c r="M311" s="4">
        <v>32</v>
      </c>
      <c r="N311" s="4">
        <v>156</v>
      </c>
      <c r="O311" s="4">
        <v>6662</v>
      </c>
      <c r="P311" s="4">
        <v>730</v>
      </c>
      <c r="Q311" s="4">
        <v>11496</v>
      </c>
      <c r="R311" s="4">
        <v>12636</v>
      </c>
      <c r="S311" s="4">
        <v>88874</v>
      </c>
      <c r="T311" s="4">
        <v>43379</v>
      </c>
      <c r="U311" s="4">
        <v>45495</v>
      </c>
    </row>
    <row r="312" spans="1:21" x14ac:dyDescent="0.25">
      <c r="A312" s="1" t="s">
        <v>308</v>
      </c>
      <c r="B312" t="s">
        <v>736</v>
      </c>
      <c r="C312" s="1" t="s">
        <v>326</v>
      </c>
      <c r="D312" t="s">
        <v>713</v>
      </c>
      <c r="E312" s="4">
        <v>677124</v>
      </c>
      <c r="F312" s="4">
        <v>539574</v>
      </c>
      <c r="G312" s="4">
        <v>122625</v>
      </c>
      <c r="H312" s="4">
        <v>416949</v>
      </c>
      <c r="I312" s="4">
        <v>137550</v>
      </c>
      <c r="J312" s="4">
        <v>0</v>
      </c>
      <c r="K312" s="4">
        <v>554499</v>
      </c>
      <c r="L312" s="4">
        <v>1265</v>
      </c>
      <c r="M312" s="4">
        <v>322</v>
      </c>
      <c r="N312" s="4">
        <v>1587</v>
      </c>
      <c r="O312" s="4">
        <v>68060</v>
      </c>
      <c r="P312" s="4">
        <v>7460</v>
      </c>
      <c r="Q312" s="4">
        <v>111417</v>
      </c>
      <c r="R312" s="4">
        <v>122462</v>
      </c>
      <c r="S312" s="4">
        <v>865485</v>
      </c>
      <c r="T312" s="4">
        <v>493733</v>
      </c>
      <c r="U312" s="4">
        <v>371752</v>
      </c>
    </row>
    <row r="313" spans="1:21" x14ac:dyDescent="0.25">
      <c r="A313" s="1" t="s">
        <v>308</v>
      </c>
      <c r="B313" t="s">
        <v>736</v>
      </c>
      <c r="C313" s="1" t="s">
        <v>327</v>
      </c>
      <c r="D313" t="s">
        <v>714</v>
      </c>
      <c r="E313" s="4">
        <v>201563</v>
      </c>
      <c r="F313" s="4">
        <v>160618</v>
      </c>
      <c r="G313" s="4">
        <v>32899</v>
      </c>
      <c r="H313" s="4">
        <v>127719</v>
      </c>
      <c r="I313" s="4">
        <v>40945</v>
      </c>
      <c r="J313">
        <v>0</v>
      </c>
      <c r="K313">
        <v>168664</v>
      </c>
      <c r="L313">
        <v>375</v>
      </c>
      <c r="M313" s="4">
        <v>95</v>
      </c>
      <c r="N313" s="4">
        <v>470</v>
      </c>
      <c r="O313" s="4">
        <v>20260</v>
      </c>
      <c r="P313" s="4">
        <v>2221</v>
      </c>
      <c r="Q313" s="4">
        <v>33866</v>
      </c>
      <c r="R313" s="4">
        <v>37224</v>
      </c>
      <c r="S313" s="4">
        <v>262705</v>
      </c>
      <c r="T313" s="4">
        <v>150574</v>
      </c>
      <c r="U313" s="4">
        <v>112131</v>
      </c>
    </row>
    <row r="314" spans="1:21" x14ac:dyDescent="0.25">
      <c r="A314" s="1" t="s">
        <v>308</v>
      </c>
      <c r="B314" t="s">
        <v>736</v>
      </c>
      <c r="C314" s="1" t="s">
        <v>328</v>
      </c>
      <c r="D314" t="s">
        <v>715</v>
      </c>
      <c r="E314" s="4">
        <v>186654</v>
      </c>
      <c r="F314" s="4">
        <v>148738</v>
      </c>
      <c r="G314" s="4">
        <v>33289</v>
      </c>
      <c r="H314" s="4">
        <v>115449</v>
      </c>
      <c r="I314" s="4">
        <v>37916</v>
      </c>
      <c r="J314">
        <v>0</v>
      </c>
      <c r="K314">
        <v>153365</v>
      </c>
      <c r="L314">
        <v>348</v>
      </c>
      <c r="M314" s="4">
        <v>89</v>
      </c>
      <c r="N314" s="4">
        <v>437</v>
      </c>
      <c r="O314" s="4">
        <v>18761</v>
      </c>
      <c r="P314" s="4">
        <v>2056</v>
      </c>
      <c r="Q314" s="4">
        <v>32002</v>
      </c>
      <c r="R314" s="4">
        <v>35175</v>
      </c>
      <c r="S314" s="4">
        <v>241796</v>
      </c>
      <c r="T314" s="4">
        <v>136614</v>
      </c>
      <c r="U314" s="4">
        <v>105182</v>
      </c>
    </row>
    <row r="315" spans="1:21" x14ac:dyDescent="0.25">
      <c r="A315" s="1" t="s">
        <v>308</v>
      </c>
      <c r="B315" t="s">
        <v>736</v>
      </c>
      <c r="C315" s="1" t="s">
        <v>329</v>
      </c>
      <c r="D315" t="s">
        <v>716</v>
      </c>
      <c r="E315" s="4">
        <v>839726</v>
      </c>
      <c r="F315" s="4">
        <v>669145</v>
      </c>
      <c r="G315" s="4">
        <v>151250</v>
      </c>
      <c r="H315" s="4">
        <v>517895</v>
      </c>
      <c r="I315" s="4">
        <v>170581</v>
      </c>
      <c r="J315" s="4">
        <v>0</v>
      </c>
      <c r="K315" s="4">
        <v>688476</v>
      </c>
      <c r="L315" s="4">
        <v>1568</v>
      </c>
      <c r="M315" s="4">
        <v>400</v>
      </c>
      <c r="N315" s="4">
        <v>1968</v>
      </c>
      <c r="O315" s="4">
        <v>84404</v>
      </c>
      <c r="P315" s="4">
        <v>9251</v>
      </c>
      <c r="Q315" s="4">
        <v>150752</v>
      </c>
      <c r="R315" s="4">
        <v>165696</v>
      </c>
      <c r="S315" s="4">
        <v>1100547</v>
      </c>
      <c r="T315" s="4">
        <v>613118</v>
      </c>
      <c r="U315" s="4">
        <v>487429</v>
      </c>
    </row>
    <row r="316" spans="1:21" x14ac:dyDescent="0.25">
      <c r="A316" s="1" t="s">
        <v>308</v>
      </c>
      <c r="B316" t="s">
        <v>736</v>
      </c>
      <c r="C316" s="1" t="s">
        <v>330</v>
      </c>
      <c r="D316" t="s">
        <v>717</v>
      </c>
      <c r="E316" s="4">
        <v>1892276</v>
      </c>
      <c r="F316" s="4">
        <v>1507881</v>
      </c>
      <c r="G316" s="4">
        <v>285726</v>
      </c>
      <c r="H316" s="4">
        <v>1222155</v>
      </c>
      <c r="I316" s="4">
        <v>384395</v>
      </c>
      <c r="J316" s="4">
        <v>0</v>
      </c>
      <c r="K316" s="4">
        <v>1606550</v>
      </c>
      <c r="L316" s="4">
        <v>3535</v>
      </c>
      <c r="M316" s="4">
        <v>901</v>
      </c>
      <c r="N316" s="4">
        <v>4436</v>
      </c>
      <c r="O316" s="4">
        <v>190199</v>
      </c>
      <c r="P316" s="4">
        <v>20848</v>
      </c>
      <c r="Q316" s="4">
        <v>321388</v>
      </c>
      <c r="R316" s="4">
        <v>353248</v>
      </c>
      <c r="S316" s="4">
        <v>2496669</v>
      </c>
      <c r="T316" s="4">
        <v>1436737</v>
      </c>
      <c r="U316" s="4">
        <v>1059932</v>
      </c>
    </row>
    <row r="317" spans="1:21" x14ac:dyDescent="0.25">
      <c r="A317" s="1" t="s">
        <v>308</v>
      </c>
      <c r="B317" t="s">
        <v>736</v>
      </c>
      <c r="C317" s="1" t="s">
        <v>331</v>
      </c>
      <c r="D317" t="s">
        <v>718</v>
      </c>
      <c r="E317" s="4">
        <v>203577</v>
      </c>
      <c r="F317" s="4">
        <v>162223</v>
      </c>
      <c r="G317" s="4">
        <v>43569</v>
      </c>
      <c r="H317" s="4">
        <v>118654</v>
      </c>
      <c r="I317" s="4">
        <v>41354</v>
      </c>
      <c r="J317" s="4">
        <v>6153</v>
      </c>
      <c r="K317">
        <v>166161</v>
      </c>
      <c r="L317">
        <v>380</v>
      </c>
      <c r="M317" s="4">
        <v>97</v>
      </c>
      <c r="N317" s="4">
        <v>477</v>
      </c>
      <c r="O317" s="4">
        <v>20646</v>
      </c>
      <c r="P317" s="4">
        <v>2256</v>
      </c>
      <c r="Q317" s="4">
        <v>34115</v>
      </c>
      <c r="R317" s="4">
        <v>37497</v>
      </c>
      <c r="S317" s="4">
        <v>261152</v>
      </c>
      <c r="T317" s="4">
        <v>141936</v>
      </c>
      <c r="U317" s="4">
        <v>119216</v>
      </c>
    </row>
    <row r="318" spans="1:21" x14ac:dyDescent="0.25">
      <c r="A318" s="1" t="s">
        <v>308</v>
      </c>
      <c r="B318" t="s">
        <v>736</v>
      </c>
      <c r="C318" s="1" t="s">
        <v>332</v>
      </c>
      <c r="D318" t="s">
        <v>719</v>
      </c>
      <c r="E318" s="4">
        <v>84014</v>
      </c>
      <c r="F318" s="4">
        <v>66948</v>
      </c>
      <c r="G318" s="4">
        <v>21565</v>
      </c>
      <c r="H318" s="4">
        <v>45383</v>
      </c>
      <c r="I318" s="4">
        <v>17066</v>
      </c>
      <c r="J318" s="4">
        <v>8885</v>
      </c>
      <c r="K318">
        <v>71334</v>
      </c>
      <c r="L318">
        <v>156</v>
      </c>
      <c r="M318" s="4">
        <v>39</v>
      </c>
      <c r="N318" s="4">
        <v>195</v>
      </c>
      <c r="O318" s="4">
        <v>9009</v>
      </c>
      <c r="P318" s="4">
        <v>985</v>
      </c>
      <c r="Q318" s="4">
        <v>14727</v>
      </c>
      <c r="R318" s="4">
        <v>16187</v>
      </c>
      <c r="S318" s="4">
        <v>112437</v>
      </c>
      <c r="T318" s="4">
        <v>55533</v>
      </c>
      <c r="U318" s="4">
        <v>56904</v>
      </c>
    </row>
    <row r="319" spans="1:21" x14ac:dyDescent="0.25">
      <c r="A319" s="1" t="s">
        <v>308</v>
      </c>
      <c r="B319" t="s">
        <v>736</v>
      </c>
      <c r="C319" s="1" t="s">
        <v>333</v>
      </c>
      <c r="D319" t="s">
        <v>720</v>
      </c>
      <c r="E319" s="4">
        <v>201951</v>
      </c>
      <c r="F319" s="4">
        <v>160926</v>
      </c>
      <c r="G319" s="4">
        <v>42887</v>
      </c>
      <c r="H319" s="4">
        <v>118039</v>
      </c>
      <c r="I319" s="4">
        <v>41025</v>
      </c>
      <c r="J319">
        <v>0</v>
      </c>
      <c r="K319">
        <v>159064</v>
      </c>
      <c r="L319">
        <v>378</v>
      </c>
      <c r="M319" s="4">
        <v>96</v>
      </c>
      <c r="N319" s="4">
        <v>474</v>
      </c>
      <c r="O319" s="4">
        <v>20299</v>
      </c>
      <c r="P319" s="4">
        <v>2225</v>
      </c>
      <c r="Q319" s="4">
        <v>34301</v>
      </c>
      <c r="R319" s="4">
        <v>37702</v>
      </c>
      <c r="S319" s="4">
        <v>254065</v>
      </c>
      <c r="T319" s="4">
        <v>140941</v>
      </c>
      <c r="U319" s="4">
        <v>113124</v>
      </c>
    </row>
    <row r="320" spans="1:21" x14ac:dyDescent="0.25">
      <c r="A320" s="1" t="s">
        <v>308</v>
      </c>
      <c r="B320" t="s">
        <v>736</v>
      </c>
      <c r="C320" s="1" t="s">
        <v>334</v>
      </c>
      <c r="D320" t="s">
        <v>721</v>
      </c>
      <c r="E320" s="4">
        <v>97823</v>
      </c>
      <c r="F320" s="4">
        <v>77951</v>
      </c>
      <c r="G320" s="4">
        <v>22679</v>
      </c>
      <c r="H320" s="4">
        <v>55272</v>
      </c>
      <c r="I320" s="4">
        <v>19872</v>
      </c>
      <c r="J320">
        <v>704</v>
      </c>
      <c r="K320">
        <v>75848</v>
      </c>
      <c r="L320">
        <v>182</v>
      </c>
      <c r="M320" s="4">
        <v>47</v>
      </c>
      <c r="N320" s="4">
        <v>229</v>
      </c>
      <c r="O320" s="4">
        <v>9832</v>
      </c>
      <c r="P320" s="4">
        <v>1078</v>
      </c>
      <c r="Q320" s="4">
        <v>16964</v>
      </c>
      <c r="R320" s="4">
        <v>18646</v>
      </c>
      <c r="S320" s="4">
        <v>122597</v>
      </c>
      <c r="T320" s="4">
        <v>66364</v>
      </c>
      <c r="U320" s="4">
        <v>56233</v>
      </c>
    </row>
    <row r="321" spans="1:21" x14ac:dyDescent="0.25">
      <c r="A321" s="1" t="s">
        <v>308</v>
      </c>
      <c r="B321" t="s">
        <v>736</v>
      </c>
      <c r="C321" s="1" t="s">
        <v>335</v>
      </c>
      <c r="D321" t="s">
        <v>737</v>
      </c>
      <c r="E321" s="4">
        <v>368677</v>
      </c>
      <c r="F321" s="4">
        <v>293784</v>
      </c>
      <c r="G321" s="4">
        <v>80727</v>
      </c>
      <c r="H321" s="4">
        <v>213057</v>
      </c>
      <c r="I321" s="4">
        <v>74893</v>
      </c>
      <c r="J321">
        <v>0</v>
      </c>
      <c r="K321">
        <v>287950</v>
      </c>
      <c r="L321">
        <v>689</v>
      </c>
      <c r="M321" s="4">
        <v>176</v>
      </c>
      <c r="N321" s="4">
        <v>865</v>
      </c>
      <c r="O321" s="4">
        <v>37057</v>
      </c>
      <c r="P321" s="4">
        <v>4062</v>
      </c>
      <c r="Q321" s="4">
        <v>60089</v>
      </c>
      <c r="R321" s="4">
        <v>66046</v>
      </c>
      <c r="S321" s="4">
        <v>456069</v>
      </c>
      <c r="T321" s="4">
        <v>254866</v>
      </c>
      <c r="U321" s="4">
        <v>201203</v>
      </c>
    </row>
    <row r="322" spans="1:21" x14ac:dyDescent="0.25">
      <c r="A322" s="1" t="s">
        <v>308</v>
      </c>
      <c r="B322" t="s">
        <v>736</v>
      </c>
      <c r="C322" s="1" t="s">
        <v>336</v>
      </c>
      <c r="D322" t="s">
        <v>722</v>
      </c>
      <c r="E322" s="4">
        <v>186065</v>
      </c>
      <c r="F322" s="4">
        <v>148268</v>
      </c>
      <c r="G322" s="4">
        <v>34809</v>
      </c>
      <c r="H322" s="4">
        <v>113459</v>
      </c>
      <c r="I322" s="4">
        <v>37797</v>
      </c>
      <c r="J322">
        <v>0</v>
      </c>
      <c r="K322">
        <v>151256</v>
      </c>
      <c r="L322">
        <v>348</v>
      </c>
      <c r="M322" s="4">
        <v>89</v>
      </c>
      <c r="N322" s="4">
        <v>437</v>
      </c>
      <c r="O322" s="4">
        <v>18702</v>
      </c>
      <c r="P322" s="4">
        <v>2050</v>
      </c>
      <c r="Q322" s="4">
        <v>30511</v>
      </c>
      <c r="R322" s="4">
        <v>33535</v>
      </c>
      <c r="S322" s="4">
        <v>236491</v>
      </c>
      <c r="T322" s="4">
        <v>134559</v>
      </c>
      <c r="U322" s="4">
        <v>101932</v>
      </c>
    </row>
    <row r="323" spans="1:21" x14ac:dyDescent="0.25">
      <c r="A323" s="1" t="s">
        <v>308</v>
      </c>
      <c r="B323" t="s">
        <v>736</v>
      </c>
      <c r="C323" s="1" t="s">
        <v>337</v>
      </c>
      <c r="D323" t="s">
        <v>723</v>
      </c>
      <c r="E323" s="4">
        <v>201609</v>
      </c>
      <c r="F323" s="4">
        <v>160655</v>
      </c>
      <c r="G323" s="4">
        <v>45941</v>
      </c>
      <c r="H323" s="4">
        <v>114714</v>
      </c>
      <c r="I323" s="4">
        <v>40954</v>
      </c>
      <c r="J323" s="4">
        <v>27397</v>
      </c>
      <c r="K323">
        <v>183065</v>
      </c>
      <c r="L323">
        <v>378</v>
      </c>
      <c r="M323" s="4">
        <v>96</v>
      </c>
      <c r="N323" s="4">
        <v>474</v>
      </c>
      <c r="O323" s="4">
        <v>20264</v>
      </c>
      <c r="P323" s="4">
        <v>2221</v>
      </c>
      <c r="Q323" s="4">
        <v>33245</v>
      </c>
      <c r="R323" s="4">
        <v>36541</v>
      </c>
      <c r="S323" s="4">
        <v>275810</v>
      </c>
      <c r="T323" s="4">
        <v>137576</v>
      </c>
      <c r="U323" s="4">
        <v>138234</v>
      </c>
    </row>
    <row r="324" spans="1:21" x14ac:dyDescent="0.25">
      <c r="A324" s="1" t="s">
        <v>308</v>
      </c>
      <c r="B324" t="s">
        <v>736</v>
      </c>
      <c r="C324" s="1" t="s">
        <v>338</v>
      </c>
      <c r="D324" t="s">
        <v>724</v>
      </c>
      <c r="E324" s="4">
        <v>216975</v>
      </c>
      <c r="F324" s="4">
        <v>172899</v>
      </c>
      <c r="G324" s="4">
        <v>45988</v>
      </c>
      <c r="H324" s="4">
        <v>126911</v>
      </c>
      <c r="I324" s="4">
        <v>44076</v>
      </c>
      <c r="J324">
        <v>0</v>
      </c>
      <c r="K324">
        <v>170987</v>
      </c>
      <c r="L324">
        <v>407</v>
      </c>
      <c r="M324" s="4">
        <v>103</v>
      </c>
      <c r="N324" s="4">
        <v>510</v>
      </c>
      <c r="O324" s="4">
        <v>21809</v>
      </c>
      <c r="P324" s="4">
        <v>2390</v>
      </c>
      <c r="Q324" s="4">
        <v>35731</v>
      </c>
      <c r="R324" s="4">
        <v>39273</v>
      </c>
      <c r="S324" s="4">
        <v>270700</v>
      </c>
      <c r="T324" s="4">
        <v>151516</v>
      </c>
      <c r="U324" s="4">
        <v>119184</v>
      </c>
    </row>
    <row r="325" spans="1:21" x14ac:dyDescent="0.25">
      <c r="A325" s="1" t="s">
        <v>308</v>
      </c>
      <c r="B325" t="s">
        <v>736</v>
      </c>
      <c r="C325" s="1" t="s">
        <v>339</v>
      </c>
      <c r="D325" t="s">
        <v>725</v>
      </c>
      <c r="E325" s="4">
        <v>148780</v>
      </c>
      <c r="F325" s="4">
        <v>118557</v>
      </c>
      <c r="G325" s="4">
        <v>28867</v>
      </c>
      <c r="H325" s="4">
        <v>89690</v>
      </c>
      <c r="I325" s="4">
        <v>30223</v>
      </c>
      <c r="J325" s="4">
        <v>10096</v>
      </c>
      <c r="K325">
        <v>130009</v>
      </c>
      <c r="L325">
        <v>277</v>
      </c>
      <c r="M325" s="4">
        <v>71</v>
      </c>
      <c r="N325" s="4">
        <v>348</v>
      </c>
      <c r="O325" s="4">
        <v>15530</v>
      </c>
      <c r="P325" s="4">
        <v>1697</v>
      </c>
      <c r="Q325" s="4">
        <v>27342</v>
      </c>
      <c r="R325" s="4">
        <v>30052</v>
      </c>
      <c r="S325" s="4">
        <v>204978</v>
      </c>
      <c r="T325" s="4">
        <v>107194</v>
      </c>
      <c r="U325" s="4">
        <v>97784</v>
      </c>
    </row>
    <row r="326" spans="1:21" x14ac:dyDescent="0.25">
      <c r="A326" s="1" t="s">
        <v>308</v>
      </c>
      <c r="B326" t="s">
        <v>736</v>
      </c>
      <c r="C326" s="1" t="s">
        <v>340</v>
      </c>
      <c r="D326" t="s">
        <v>726</v>
      </c>
      <c r="E326" s="4">
        <v>112841</v>
      </c>
      <c r="F326" s="4">
        <v>89918</v>
      </c>
      <c r="G326" s="4">
        <v>23945</v>
      </c>
      <c r="H326" s="4">
        <v>65973</v>
      </c>
      <c r="I326" s="4">
        <v>22923</v>
      </c>
      <c r="J326" s="4">
        <v>2887</v>
      </c>
      <c r="K326">
        <v>91783</v>
      </c>
      <c r="L326">
        <v>211</v>
      </c>
      <c r="M326" s="4">
        <v>54</v>
      </c>
      <c r="N326" s="4">
        <v>265</v>
      </c>
      <c r="O326" s="4">
        <v>11342</v>
      </c>
      <c r="P326" s="4">
        <v>1243</v>
      </c>
      <c r="Q326" s="4">
        <v>19015</v>
      </c>
      <c r="R326" s="4">
        <v>20900</v>
      </c>
      <c r="S326" s="4">
        <v>144548</v>
      </c>
      <c r="T326" s="4">
        <v>78770</v>
      </c>
      <c r="U326" s="4">
        <v>65778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327"/>
  <sheetViews>
    <sheetView workbookViewId="0">
      <pane xSplit="4" ySplit="2" topLeftCell="E3"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738</v>
      </c>
    </row>
    <row r="2" spans="1:29" s="7" customFormat="1" ht="89.25" customHeight="1" x14ac:dyDescent="0.25">
      <c r="A2" s="7" t="s">
        <v>363</v>
      </c>
      <c r="B2" s="7" t="s">
        <v>364</v>
      </c>
      <c r="C2" s="7" t="s">
        <v>727</v>
      </c>
      <c r="D2" s="7" t="s">
        <v>365</v>
      </c>
      <c r="E2" s="8" t="s">
        <v>341</v>
      </c>
      <c r="F2" s="8" t="s">
        <v>342</v>
      </c>
      <c r="G2" s="8" t="s">
        <v>343</v>
      </c>
      <c r="H2" s="8" t="s">
        <v>344</v>
      </c>
      <c r="I2" s="8" t="s">
        <v>345</v>
      </c>
      <c r="J2" s="8" t="s">
        <v>346</v>
      </c>
      <c r="K2" s="8" t="s">
        <v>347</v>
      </c>
      <c r="L2" s="8" t="s">
        <v>348</v>
      </c>
      <c r="M2" s="8" t="s">
        <v>366</v>
      </c>
      <c r="N2" s="8" t="s">
        <v>349</v>
      </c>
      <c r="O2" s="8" t="s">
        <v>350</v>
      </c>
      <c r="P2" s="8" t="s">
        <v>351</v>
      </c>
      <c r="Q2" s="8" t="s">
        <v>352</v>
      </c>
      <c r="R2" s="8" t="s">
        <v>367</v>
      </c>
      <c r="S2" s="8" t="s">
        <v>353</v>
      </c>
      <c r="T2" s="8" t="s">
        <v>354</v>
      </c>
      <c r="U2" s="8" t="s">
        <v>355</v>
      </c>
      <c r="V2" s="8" t="s">
        <v>356</v>
      </c>
      <c r="W2" s="8" t="s">
        <v>357</v>
      </c>
      <c r="X2" s="8" t="s">
        <v>388</v>
      </c>
      <c r="Y2" s="8" t="s">
        <v>358</v>
      </c>
      <c r="Z2" s="8" t="s">
        <v>359</v>
      </c>
      <c r="AA2" s="8" t="s">
        <v>360</v>
      </c>
      <c r="AB2" s="8" t="s">
        <v>361</v>
      </c>
      <c r="AC2" s="8" t="s">
        <v>362</v>
      </c>
    </row>
    <row r="3" spans="1:29" x14ac:dyDescent="0.25">
      <c r="A3" s="31" t="s">
        <v>0</v>
      </c>
      <c r="B3" s="31" t="s">
        <v>728</v>
      </c>
      <c r="C3" s="31" t="s">
        <v>1</v>
      </c>
      <c r="D3" s="31" t="s">
        <v>411</v>
      </c>
      <c r="E3" s="32">
        <v>160.86000000000001</v>
      </c>
      <c r="F3" s="33">
        <v>1087.4000000000001</v>
      </c>
      <c r="G3" s="32">
        <v>1248.26</v>
      </c>
      <c r="H3" s="32">
        <v>3.34</v>
      </c>
      <c r="I3" s="34">
        <v>154</v>
      </c>
      <c r="J3" s="33">
        <v>1.3</v>
      </c>
      <c r="K3" s="34">
        <v>1240</v>
      </c>
      <c r="L3" s="32">
        <v>348.14</v>
      </c>
      <c r="M3" s="32">
        <v>62.44</v>
      </c>
      <c r="N3" s="32">
        <v>69.56</v>
      </c>
      <c r="O3" s="32">
        <v>34.47</v>
      </c>
      <c r="P3" s="32">
        <v>3.74</v>
      </c>
      <c r="Q3" s="34">
        <v>434569</v>
      </c>
      <c r="R3" s="34">
        <v>0</v>
      </c>
      <c r="S3" s="34">
        <v>434569</v>
      </c>
      <c r="T3" s="34">
        <v>77426</v>
      </c>
      <c r="U3" s="34">
        <v>86254</v>
      </c>
      <c r="V3" s="34">
        <v>1163</v>
      </c>
      <c r="W3" s="34">
        <v>43028</v>
      </c>
      <c r="X3" s="34">
        <v>4668</v>
      </c>
      <c r="Y3" s="34">
        <v>647108</v>
      </c>
      <c r="Z3" s="34">
        <v>96613</v>
      </c>
      <c r="AA3" s="34">
        <v>550495</v>
      </c>
      <c r="AB3" s="34">
        <v>281505</v>
      </c>
      <c r="AC3" s="34">
        <v>268990</v>
      </c>
    </row>
    <row r="4" spans="1:29" x14ac:dyDescent="0.25">
      <c r="A4" s="31" t="s">
        <v>0</v>
      </c>
      <c r="B4" s="31" t="s">
        <v>728</v>
      </c>
      <c r="C4" s="31" t="s">
        <v>2</v>
      </c>
      <c r="D4" s="31" t="s">
        <v>412</v>
      </c>
      <c r="E4" s="32">
        <v>62.56</v>
      </c>
      <c r="F4" s="33">
        <v>451.7</v>
      </c>
      <c r="G4" s="32">
        <v>514.26</v>
      </c>
      <c r="H4" s="32">
        <v>1.38</v>
      </c>
      <c r="I4" s="34">
        <v>0</v>
      </c>
      <c r="J4" s="33">
        <v>0</v>
      </c>
      <c r="K4" s="34">
        <v>452</v>
      </c>
      <c r="L4" s="32">
        <v>348.14</v>
      </c>
      <c r="M4" s="32">
        <v>62.44</v>
      </c>
      <c r="N4" s="32">
        <v>69.56</v>
      </c>
      <c r="O4" s="32">
        <v>34.47</v>
      </c>
      <c r="P4" s="32">
        <v>3.74</v>
      </c>
      <c r="Q4" s="34">
        <v>179034</v>
      </c>
      <c r="R4" s="34">
        <v>0</v>
      </c>
      <c r="S4" s="34">
        <v>179034</v>
      </c>
      <c r="T4" s="34">
        <v>28223</v>
      </c>
      <c r="U4" s="34">
        <v>31441</v>
      </c>
      <c r="V4" s="34">
        <v>480</v>
      </c>
      <c r="W4" s="34">
        <v>17727</v>
      </c>
      <c r="X4" s="34">
        <v>1923</v>
      </c>
      <c r="Y4" s="34">
        <v>258828</v>
      </c>
      <c r="Z4" s="34">
        <v>39301</v>
      </c>
      <c r="AA4" s="34">
        <v>219527</v>
      </c>
      <c r="AB4" s="34">
        <v>116478</v>
      </c>
      <c r="AC4" s="34">
        <v>103049</v>
      </c>
    </row>
    <row r="5" spans="1:29" x14ac:dyDescent="0.25">
      <c r="A5" s="31" t="s">
        <v>0</v>
      </c>
      <c r="B5" s="31" t="s">
        <v>728</v>
      </c>
      <c r="C5" s="31" t="s">
        <v>3</v>
      </c>
      <c r="D5" s="31" t="s">
        <v>413</v>
      </c>
      <c r="E5" s="32">
        <v>74.41</v>
      </c>
      <c r="F5" s="33">
        <v>641.9</v>
      </c>
      <c r="G5" s="32">
        <v>716.31</v>
      </c>
      <c r="H5" s="32">
        <v>1.92</v>
      </c>
      <c r="I5" s="34">
        <v>10</v>
      </c>
      <c r="J5" s="33">
        <v>0</v>
      </c>
      <c r="K5" s="34">
        <v>652</v>
      </c>
      <c r="L5" s="32">
        <v>348.14</v>
      </c>
      <c r="M5" s="32">
        <v>62.44</v>
      </c>
      <c r="N5" s="32">
        <v>69.56</v>
      </c>
      <c r="O5" s="32">
        <v>34.47</v>
      </c>
      <c r="P5" s="32">
        <v>3.74</v>
      </c>
      <c r="Q5" s="34">
        <v>249376</v>
      </c>
      <c r="R5" s="34">
        <v>0</v>
      </c>
      <c r="S5" s="34">
        <v>249376</v>
      </c>
      <c r="T5" s="34">
        <v>40711</v>
      </c>
      <c r="U5" s="34">
        <v>45353</v>
      </c>
      <c r="V5" s="34">
        <v>668</v>
      </c>
      <c r="W5" s="34">
        <v>24691</v>
      </c>
      <c r="X5" s="34">
        <v>2679</v>
      </c>
      <c r="Y5" s="34">
        <v>363478</v>
      </c>
      <c r="Z5" s="34">
        <v>51624</v>
      </c>
      <c r="AA5" s="34">
        <v>311854</v>
      </c>
      <c r="AB5" s="34">
        <v>165359</v>
      </c>
      <c r="AC5" s="34">
        <v>146495</v>
      </c>
    </row>
    <row r="6" spans="1:29" x14ac:dyDescent="0.25">
      <c r="A6" s="31" t="s">
        <v>0</v>
      </c>
      <c r="B6" s="31" t="s">
        <v>728</v>
      </c>
      <c r="C6" s="31" t="s">
        <v>4</v>
      </c>
      <c r="D6" s="31" t="s">
        <v>414</v>
      </c>
      <c r="E6" s="32">
        <v>176.01</v>
      </c>
      <c r="F6" s="33">
        <v>1522.6</v>
      </c>
      <c r="G6" s="32">
        <v>1698.61</v>
      </c>
      <c r="H6" s="32">
        <v>4.54</v>
      </c>
      <c r="I6" s="34">
        <v>132</v>
      </c>
      <c r="J6" s="33">
        <v>0.2</v>
      </c>
      <c r="K6" s="34">
        <v>1654</v>
      </c>
      <c r="L6" s="32">
        <v>348.14</v>
      </c>
      <c r="M6" s="32">
        <v>62.44</v>
      </c>
      <c r="N6" s="32">
        <v>69.56</v>
      </c>
      <c r="O6" s="32">
        <v>34.47</v>
      </c>
      <c r="P6" s="32">
        <v>3.74</v>
      </c>
      <c r="Q6" s="34">
        <v>591354</v>
      </c>
      <c r="R6" s="34">
        <v>0</v>
      </c>
      <c r="S6" s="34">
        <v>591354</v>
      </c>
      <c r="T6" s="34">
        <v>103276</v>
      </c>
      <c r="U6" s="34">
        <v>115052</v>
      </c>
      <c r="V6" s="34">
        <v>1581</v>
      </c>
      <c r="W6" s="34">
        <v>58551</v>
      </c>
      <c r="X6" s="34">
        <v>6353</v>
      </c>
      <c r="Y6" s="34">
        <v>876167</v>
      </c>
      <c r="Z6" s="34">
        <v>121901</v>
      </c>
      <c r="AA6" s="34">
        <v>754266</v>
      </c>
      <c r="AB6" s="34">
        <v>392635</v>
      </c>
      <c r="AC6" s="34">
        <v>361631</v>
      </c>
    </row>
    <row r="7" spans="1:29" x14ac:dyDescent="0.25">
      <c r="A7" s="31" t="s">
        <v>0</v>
      </c>
      <c r="B7" s="31" t="s">
        <v>728</v>
      </c>
      <c r="C7" s="31" t="s">
        <v>5</v>
      </c>
      <c r="D7" s="31" t="s">
        <v>415</v>
      </c>
      <c r="E7" s="32">
        <v>1945.01</v>
      </c>
      <c r="F7" s="33">
        <v>10064.1</v>
      </c>
      <c r="G7" s="32">
        <v>12009.11</v>
      </c>
      <c r="H7" s="32">
        <v>32.119999999999997</v>
      </c>
      <c r="I7" s="34">
        <v>1680</v>
      </c>
      <c r="J7" s="33">
        <v>4.2</v>
      </c>
      <c r="K7" s="34">
        <v>11740</v>
      </c>
      <c r="L7" s="32">
        <v>348.14</v>
      </c>
      <c r="M7" s="32">
        <v>62.44</v>
      </c>
      <c r="N7" s="32">
        <v>69.56</v>
      </c>
      <c r="O7" s="32">
        <v>34.47</v>
      </c>
      <c r="P7" s="32">
        <v>3.74</v>
      </c>
      <c r="Q7" s="34">
        <v>4180852</v>
      </c>
      <c r="R7" s="34">
        <v>0</v>
      </c>
      <c r="S7" s="34">
        <v>4180852</v>
      </c>
      <c r="T7" s="34">
        <v>733046</v>
      </c>
      <c r="U7" s="34">
        <v>816634</v>
      </c>
      <c r="V7" s="34">
        <v>11182</v>
      </c>
      <c r="W7" s="34">
        <v>413954</v>
      </c>
      <c r="X7" s="34">
        <v>44914</v>
      </c>
      <c r="Y7" s="34">
        <v>6200582</v>
      </c>
      <c r="Z7" s="34">
        <v>675758</v>
      </c>
      <c r="AA7" s="34">
        <v>5524824</v>
      </c>
      <c r="AB7" s="34">
        <v>2961995</v>
      </c>
      <c r="AC7" s="34">
        <v>2562829</v>
      </c>
    </row>
    <row r="8" spans="1:29" x14ac:dyDescent="0.25">
      <c r="A8" s="31" t="s">
        <v>0</v>
      </c>
      <c r="B8" s="31" t="s">
        <v>728</v>
      </c>
      <c r="C8" s="31" t="s">
        <v>6</v>
      </c>
      <c r="D8" s="31" t="s">
        <v>416</v>
      </c>
      <c r="E8" s="32">
        <v>45.91</v>
      </c>
      <c r="F8" s="33">
        <v>331.3</v>
      </c>
      <c r="G8" s="32">
        <v>377.21</v>
      </c>
      <c r="H8" s="32">
        <v>1.01</v>
      </c>
      <c r="I8" s="34">
        <v>6</v>
      </c>
      <c r="J8" s="33">
        <v>0</v>
      </c>
      <c r="K8" s="34">
        <v>337</v>
      </c>
      <c r="L8" s="32">
        <v>348.14</v>
      </c>
      <c r="M8" s="32">
        <v>62.44</v>
      </c>
      <c r="N8" s="32">
        <v>69.56</v>
      </c>
      <c r="O8" s="32">
        <v>34.47</v>
      </c>
      <c r="P8" s="32">
        <v>3.74</v>
      </c>
      <c r="Q8" s="34">
        <v>131322</v>
      </c>
      <c r="R8" s="34">
        <v>0</v>
      </c>
      <c r="S8" s="34">
        <v>131322</v>
      </c>
      <c r="T8" s="34">
        <v>21042</v>
      </c>
      <c r="U8" s="34">
        <v>23442</v>
      </c>
      <c r="V8" s="34">
        <v>352</v>
      </c>
      <c r="W8" s="34">
        <v>13002</v>
      </c>
      <c r="X8" s="34">
        <v>1411</v>
      </c>
      <c r="Y8" s="34">
        <v>190571</v>
      </c>
      <c r="Z8" s="34">
        <v>31180</v>
      </c>
      <c r="AA8" s="34">
        <v>159391</v>
      </c>
      <c r="AB8" s="34">
        <v>83083</v>
      </c>
      <c r="AC8" s="34">
        <v>76308</v>
      </c>
    </row>
    <row r="9" spans="1:29" x14ac:dyDescent="0.25">
      <c r="A9" s="31" t="s">
        <v>0</v>
      </c>
      <c r="B9" s="31" t="s">
        <v>728</v>
      </c>
      <c r="C9" s="31" t="s">
        <v>7</v>
      </c>
      <c r="D9" s="31" t="s">
        <v>417</v>
      </c>
      <c r="E9" s="32">
        <v>26.51</v>
      </c>
      <c r="F9" s="33">
        <v>401</v>
      </c>
      <c r="G9" s="32">
        <v>427.51</v>
      </c>
      <c r="H9" s="32">
        <v>1.1399999999999999</v>
      </c>
      <c r="I9" s="34">
        <v>22</v>
      </c>
      <c r="J9" s="33">
        <v>0</v>
      </c>
      <c r="K9" s="34">
        <v>423</v>
      </c>
      <c r="L9" s="32">
        <v>348.14</v>
      </c>
      <c r="M9" s="32">
        <v>62.44</v>
      </c>
      <c r="N9" s="32">
        <v>69.56</v>
      </c>
      <c r="O9" s="32">
        <v>34.47</v>
      </c>
      <c r="P9" s="32">
        <v>3.74</v>
      </c>
      <c r="Q9" s="34">
        <v>148833</v>
      </c>
      <c r="R9" s="34">
        <v>0</v>
      </c>
      <c r="S9" s="34">
        <v>148833</v>
      </c>
      <c r="T9" s="34">
        <v>26412</v>
      </c>
      <c r="U9" s="34">
        <v>29424</v>
      </c>
      <c r="V9" s="34">
        <v>397</v>
      </c>
      <c r="W9" s="34">
        <v>14736</v>
      </c>
      <c r="X9" s="34">
        <v>1599</v>
      </c>
      <c r="Y9" s="34">
        <v>221401</v>
      </c>
      <c r="Z9" s="34">
        <v>35520</v>
      </c>
      <c r="AA9" s="34">
        <v>185881</v>
      </c>
      <c r="AB9" s="34">
        <v>93979</v>
      </c>
      <c r="AC9" s="34">
        <v>91902</v>
      </c>
    </row>
    <row r="10" spans="1:29" x14ac:dyDescent="0.25">
      <c r="A10" s="31" t="s">
        <v>0</v>
      </c>
      <c r="B10" s="31" t="s">
        <v>728</v>
      </c>
      <c r="C10" s="31" t="s">
        <v>8</v>
      </c>
      <c r="D10" s="31" t="s">
        <v>418</v>
      </c>
      <c r="E10" s="32">
        <v>159.77000000000001</v>
      </c>
      <c r="F10" s="33">
        <v>1151.7</v>
      </c>
      <c r="G10" s="32">
        <v>1311.47</v>
      </c>
      <c r="H10" s="32">
        <v>3.51</v>
      </c>
      <c r="I10" s="34">
        <v>149</v>
      </c>
      <c r="J10" s="33">
        <v>0.7</v>
      </c>
      <c r="K10" s="34">
        <v>1300</v>
      </c>
      <c r="L10" s="32">
        <v>348.14</v>
      </c>
      <c r="M10" s="32">
        <v>62.44</v>
      </c>
      <c r="N10" s="32">
        <v>69.56</v>
      </c>
      <c r="O10" s="32">
        <v>34.47</v>
      </c>
      <c r="P10" s="32">
        <v>3.74</v>
      </c>
      <c r="Q10" s="34">
        <v>456575</v>
      </c>
      <c r="R10" s="34">
        <v>0</v>
      </c>
      <c r="S10" s="34">
        <v>456575</v>
      </c>
      <c r="T10" s="34">
        <v>81172</v>
      </c>
      <c r="U10" s="34">
        <v>90428</v>
      </c>
      <c r="V10" s="34">
        <v>1222</v>
      </c>
      <c r="W10" s="34">
        <v>45206</v>
      </c>
      <c r="X10" s="34">
        <v>4905</v>
      </c>
      <c r="Y10" s="34">
        <v>679508</v>
      </c>
      <c r="Z10" s="34">
        <v>98287</v>
      </c>
      <c r="AA10" s="34">
        <v>581221</v>
      </c>
      <c r="AB10" s="34">
        <v>298979</v>
      </c>
      <c r="AC10" s="34">
        <v>282242</v>
      </c>
    </row>
    <row r="11" spans="1:29" x14ac:dyDescent="0.25">
      <c r="A11" s="31" t="s">
        <v>0</v>
      </c>
      <c r="B11" s="31" t="s">
        <v>728</v>
      </c>
      <c r="C11" s="31" t="s">
        <v>10</v>
      </c>
      <c r="D11" s="31" t="s">
        <v>420</v>
      </c>
      <c r="E11" s="32">
        <v>92.22</v>
      </c>
      <c r="F11" s="33">
        <v>806.5</v>
      </c>
      <c r="G11" s="32">
        <v>898.72</v>
      </c>
      <c r="H11" s="32">
        <v>2.4</v>
      </c>
      <c r="I11" s="34">
        <v>2</v>
      </c>
      <c r="J11" s="33">
        <v>0</v>
      </c>
      <c r="K11" s="34">
        <v>809</v>
      </c>
      <c r="L11" s="32">
        <v>348.14</v>
      </c>
      <c r="M11" s="32">
        <v>62.44</v>
      </c>
      <c r="N11" s="32">
        <v>69.56</v>
      </c>
      <c r="O11" s="32">
        <v>34.47</v>
      </c>
      <c r="P11" s="32">
        <v>3.74</v>
      </c>
      <c r="Q11" s="34">
        <v>312880</v>
      </c>
      <c r="R11" s="34">
        <v>0</v>
      </c>
      <c r="S11" s="34">
        <v>312880</v>
      </c>
      <c r="T11" s="34">
        <v>50514</v>
      </c>
      <c r="U11" s="34">
        <v>56274</v>
      </c>
      <c r="V11" s="34">
        <v>836</v>
      </c>
      <c r="W11" s="34">
        <v>30979</v>
      </c>
      <c r="X11" s="34">
        <v>3361</v>
      </c>
      <c r="Y11" s="34">
        <v>454844</v>
      </c>
      <c r="Z11" s="34">
        <v>64253</v>
      </c>
      <c r="AA11" s="34">
        <v>390591</v>
      </c>
      <c r="AB11" s="34">
        <v>207983</v>
      </c>
      <c r="AC11" s="34">
        <v>182608</v>
      </c>
    </row>
    <row r="12" spans="1:29" x14ac:dyDescent="0.25">
      <c r="A12" s="31" t="s">
        <v>0</v>
      </c>
      <c r="B12" s="31" t="s">
        <v>728</v>
      </c>
      <c r="C12" s="31" t="s">
        <v>9</v>
      </c>
      <c r="D12" s="31" t="s">
        <v>419</v>
      </c>
      <c r="E12" s="32">
        <v>82.44</v>
      </c>
      <c r="F12" s="33">
        <v>663.1</v>
      </c>
      <c r="G12" s="32">
        <v>745.54</v>
      </c>
      <c r="H12" s="32">
        <v>1.99</v>
      </c>
      <c r="I12" s="34">
        <v>34</v>
      </c>
      <c r="J12" s="33">
        <v>0</v>
      </c>
      <c r="K12" s="34">
        <v>697</v>
      </c>
      <c r="L12" s="32">
        <v>348.14</v>
      </c>
      <c r="M12" s="32">
        <v>62.44</v>
      </c>
      <c r="N12" s="32">
        <v>69.56</v>
      </c>
      <c r="O12" s="32">
        <v>34.47</v>
      </c>
      <c r="P12" s="32">
        <v>3.74</v>
      </c>
      <c r="Q12" s="34">
        <v>259552</v>
      </c>
      <c r="R12" s="34">
        <v>0</v>
      </c>
      <c r="S12" s="34">
        <v>259552</v>
      </c>
      <c r="T12" s="34">
        <v>43521</v>
      </c>
      <c r="U12" s="34">
        <v>48483</v>
      </c>
      <c r="V12" s="34">
        <v>693</v>
      </c>
      <c r="W12" s="34">
        <v>25699</v>
      </c>
      <c r="X12" s="34">
        <v>2788</v>
      </c>
      <c r="Y12" s="34">
        <v>380736</v>
      </c>
      <c r="Z12" s="34">
        <v>59234</v>
      </c>
      <c r="AA12" s="34">
        <v>321502</v>
      </c>
      <c r="AB12" s="34">
        <v>166601</v>
      </c>
      <c r="AC12" s="34">
        <v>154901</v>
      </c>
    </row>
    <row r="13" spans="1:29" x14ac:dyDescent="0.25">
      <c r="A13" s="31" t="s">
        <v>0</v>
      </c>
      <c r="B13" s="31" t="s">
        <v>728</v>
      </c>
      <c r="C13" s="31" t="s">
        <v>11</v>
      </c>
      <c r="D13" s="31" t="s">
        <v>421</v>
      </c>
      <c r="E13" s="32">
        <v>109.54</v>
      </c>
      <c r="F13" s="33">
        <v>930</v>
      </c>
      <c r="G13" s="32">
        <v>1039.54</v>
      </c>
      <c r="H13" s="32">
        <v>2.78</v>
      </c>
      <c r="I13" s="34">
        <v>85</v>
      </c>
      <c r="J13" s="33">
        <v>0.3</v>
      </c>
      <c r="K13" s="34">
        <v>1015</v>
      </c>
      <c r="L13" s="32">
        <v>348.14</v>
      </c>
      <c r="M13" s="32">
        <v>62.44</v>
      </c>
      <c r="N13" s="32">
        <v>69.56</v>
      </c>
      <c r="O13" s="32">
        <v>34.47</v>
      </c>
      <c r="P13" s="32">
        <v>3.74</v>
      </c>
      <c r="Q13" s="34">
        <v>361905</v>
      </c>
      <c r="R13" s="34">
        <v>0</v>
      </c>
      <c r="S13" s="34">
        <v>361905</v>
      </c>
      <c r="T13" s="34">
        <v>63377</v>
      </c>
      <c r="U13" s="34">
        <v>70603</v>
      </c>
      <c r="V13" s="34">
        <v>968</v>
      </c>
      <c r="W13" s="34">
        <v>35833</v>
      </c>
      <c r="X13" s="34">
        <v>3888</v>
      </c>
      <c r="Y13" s="34">
        <v>536574</v>
      </c>
      <c r="Z13" s="34">
        <v>76047</v>
      </c>
      <c r="AA13" s="34">
        <v>460527</v>
      </c>
      <c r="AB13" s="34">
        <v>238846</v>
      </c>
      <c r="AC13" s="34">
        <v>221681</v>
      </c>
    </row>
    <row r="14" spans="1:29" x14ac:dyDescent="0.25">
      <c r="A14" s="31" t="s">
        <v>0</v>
      </c>
      <c r="B14" s="31" t="s">
        <v>728</v>
      </c>
      <c r="C14" s="31" t="s">
        <v>12</v>
      </c>
      <c r="D14" s="31" t="s">
        <v>422</v>
      </c>
      <c r="E14" s="32">
        <v>204.23</v>
      </c>
      <c r="F14" s="33">
        <v>1138</v>
      </c>
      <c r="G14" s="32">
        <v>1342.23</v>
      </c>
      <c r="H14" s="32">
        <v>3.59</v>
      </c>
      <c r="I14" s="34">
        <v>3</v>
      </c>
      <c r="J14" s="33">
        <v>0</v>
      </c>
      <c r="K14" s="34">
        <v>1141</v>
      </c>
      <c r="L14" s="32">
        <v>348.14</v>
      </c>
      <c r="M14" s="32">
        <v>62.44</v>
      </c>
      <c r="N14" s="32">
        <v>69.56</v>
      </c>
      <c r="O14" s="32">
        <v>34.47</v>
      </c>
      <c r="P14" s="32">
        <v>3.74</v>
      </c>
      <c r="Q14" s="34">
        <v>467284</v>
      </c>
      <c r="R14" s="34">
        <v>0</v>
      </c>
      <c r="S14" s="34">
        <v>467284</v>
      </c>
      <c r="T14" s="34">
        <v>71244</v>
      </c>
      <c r="U14" s="34">
        <v>79368</v>
      </c>
      <c r="V14" s="34">
        <v>1250</v>
      </c>
      <c r="W14" s="34">
        <v>46267</v>
      </c>
      <c r="X14" s="34">
        <v>5020</v>
      </c>
      <c r="Y14" s="34">
        <v>670433</v>
      </c>
      <c r="Z14" s="34">
        <v>105989</v>
      </c>
      <c r="AA14" s="34">
        <v>564444</v>
      </c>
      <c r="AB14" s="34">
        <v>300594</v>
      </c>
      <c r="AC14" s="34">
        <v>263850</v>
      </c>
    </row>
    <row r="15" spans="1:29" x14ac:dyDescent="0.25">
      <c r="A15" s="31" t="s">
        <v>0</v>
      </c>
      <c r="B15" s="31" t="s">
        <v>728</v>
      </c>
      <c r="C15" s="31" t="s">
        <v>13</v>
      </c>
      <c r="D15" s="31" t="s">
        <v>423</v>
      </c>
      <c r="E15" s="32">
        <v>266.77999999999997</v>
      </c>
      <c r="F15" s="33">
        <v>1326</v>
      </c>
      <c r="G15" s="32">
        <v>1592.78</v>
      </c>
      <c r="H15" s="32">
        <v>4.26</v>
      </c>
      <c r="I15" s="34">
        <v>7</v>
      </c>
      <c r="J15" s="33">
        <v>0</v>
      </c>
      <c r="K15" s="34">
        <v>1333</v>
      </c>
      <c r="L15" s="32">
        <v>348.14</v>
      </c>
      <c r="M15" s="32">
        <v>62.44</v>
      </c>
      <c r="N15" s="32">
        <v>69.56</v>
      </c>
      <c r="O15" s="32">
        <v>34.47</v>
      </c>
      <c r="P15" s="32">
        <v>3.74</v>
      </c>
      <c r="Q15" s="34">
        <v>554510</v>
      </c>
      <c r="R15" s="34">
        <v>0</v>
      </c>
      <c r="S15" s="34">
        <v>554510</v>
      </c>
      <c r="T15" s="34">
        <v>83233</v>
      </c>
      <c r="U15" s="34">
        <v>92723</v>
      </c>
      <c r="V15" s="34">
        <v>1483</v>
      </c>
      <c r="W15" s="34">
        <v>54903</v>
      </c>
      <c r="X15" s="34">
        <v>5957</v>
      </c>
      <c r="Y15" s="34">
        <v>792809</v>
      </c>
      <c r="Z15" s="34">
        <v>102876</v>
      </c>
      <c r="AA15" s="34">
        <v>689933</v>
      </c>
      <c r="AB15" s="34">
        <v>379603</v>
      </c>
      <c r="AC15" s="34">
        <v>310330</v>
      </c>
    </row>
    <row r="16" spans="1:29" x14ac:dyDescent="0.25">
      <c r="A16" s="31" t="s">
        <v>0</v>
      </c>
      <c r="B16" s="31" t="s">
        <v>728</v>
      </c>
      <c r="C16" s="31" t="s">
        <v>14</v>
      </c>
      <c r="D16" s="31" t="s">
        <v>424</v>
      </c>
      <c r="E16" s="32">
        <v>87.42</v>
      </c>
      <c r="F16" s="33">
        <v>693.1</v>
      </c>
      <c r="G16" s="32">
        <v>780.52</v>
      </c>
      <c r="H16" s="32">
        <v>2.09</v>
      </c>
      <c r="I16" s="34">
        <v>3</v>
      </c>
      <c r="J16" s="33">
        <v>0</v>
      </c>
      <c r="K16" s="34">
        <v>696</v>
      </c>
      <c r="L16" s="32">
        <v>348.14</v>
      </c>
      <c r="M16" s="32">
        <v>62.44</v>
      </c>
      <c r="N16" s="32">
        <v>69.56</v>
      </c>
      <c r="O16" s="32">
        <v>34.47</v>
      </c>
      <c r="P16" s="32">
        <v>3.74</v>
      </c>
      <c r="Q16" s="34">
        <v>271730</v>
      </c>
      <c r="R16" s="34">
        <v>3692</v>
      </c>
      <c r="S16" s="34">
        <v>275422</v>
      </c>
      <c r="T16" s="34">
        <v>43458</v>
      </c>
      <c r="U16" s="34">
        <v>48414</v>
      </c>
      <c r="V16" s="34">
        <v>728</v>
      </c>
      <c r="W16" s="34">
        <v>26905</v>
      </c>
      <c r="X16" s="34">
        <v>2919</v>
      </c>
      <c r="Y16" s="34">
        <v>397846</v>
      </c>
      <c r="Z16" s="34">
        <v>40336</v>
      </c>
      <c r="AA16" s="34">
        <v>357510</v>
      </c>
      <c r="AB16" s="34">
        <v>196097</v>
      </c>
      <c r="AC16" s="34">
        <v>161413</v>
      </c>
    </row>
    <row r="17" spans="1:29" x14ac:dyDescent="0.25">
      <c r="A17" s="31" t="s">
        <v>0</v>
      </c>
      <c r="B17" s="31" t="s">
        <v>728</v>
      </c>
      <c r="C17" s="31" t="s">
        <v>15</v>
      </c>
      <c r="D17" s="31" t="s">
        <v>425</v>
      </c>
      <c r="E17" s="32">
        <v>37.74</v>
      </c>
      <c r="F17" s="33">
        <v>331.5</v>
      </c>
      <c r="G17" s="32">
        <v>369.24</v>
      </c>
      <c r="H17" s="32">
        <v>0.99</v>
      </c>
      <c r="I17" s="34">
        <v>0</v>
      </c>
      <c r="J17" s="33">
        <v>0</v>
      </c>
      <c r="K17" s="34">
        <v>332</v>
      </c>
      <c r="L17" s="32">
        <v>348.14</v>
      </c>
      <c r="M17" s="32">
        <v>62.44</v>
      </c>
      <c r="N17" s="32">
        <v>69.56</v>
      </c>
      <c r="O17" s="32">
        <v>34.47</v>
      </c>
      <c r="P17" s="32">
        <v>3.74</v>
      </c>
      <c r="Q17" s="34">
        <v>128547</v>
      </c>
      <c r="R17" s="34">
        <v>0</v>
      </c>
      <c r="S17" s="34">
        <v>128547</v>
      </c>
      <c r="T17" s="34">
        <v>20730</v>
      </c>
      <c r="U17" s="34">
        <v>23094</v>
      </c>
      <c r="V17" s="34">
        <v>345</v>
      </c>
      <c r="W17" s="34">
        <v>12728</v>
      </c>
      <c r="X17" s="34">
        <v>1381</v>
      </c>
      <c r="Y17" s="34">
        <v>186825</v>
      </c>
      <c r="Z17" s="34">
        <v>27973</v>
      </c>
      <c r="AA17" s="34">
        <v>158852</v>
      </c>
      <c r="AB17" s="34">
        <v>83877</v>
      </c>
      <c r="AC17" s="34">
        <v>74975</v>
      </c>
    </row>
    <row r="18" spans="1:29" x14ac:dyDescent="0.25">
      <c r="A18" s="31" t="s">
        <v>0</v>
      </c>
      <c r="B18" s="31" t="s">
        <v>728</v>
      </c>
      <c r="C18" s="31" t="s">
        <v>16</v>
      </c>
      <c r="D18" s="31" t="s">
        <v>426</v>
      </c>
      <c r="E18" s="32">
        <v>86.96</v>
      </c>
      <c r="F18" s="33">
        <v>516.70000000000005</v>
      </c>
      <c r="G18" s="32">
        <v>603.66</v>
      </c>
      <c r="H18" s="32">
        <v>1.61</v>
      </c>
      <c r="I18" s="34">
        <v>172</v>
      </c>
      <c r="J18" s="33">
        <v>4.8</v>
      </c>
      <c r="K18" s="34">
        <v>684</v>
      </c>
      <c r="L18" s="32">
        <v>348.14</v>
      </c>
      <c r="M18" s="32">
        <v>62.44</v>
      </c>
      <c r="N18" s="32">
        <v>69.56</v>
      </c>
      <c r="O18" s="32">
        <v>34.47</v>
      </c>
      <c r="P18" s="32">
        <v>3.74</v>
      </c>
      <c r="Q18" s="34">
        <v>210158</v>
      </c>
      <c r="R18" s="34">
        <v>0</v>
      </c>
      <c r="S18" s="34">
        <v>210158</v>
      </c>
      <c r="T18" s="34">
        <v>42709</v>
      </c>
      <c r="U18" s="34">
        <v>47579</v>
      </c>
      <c r="V18" s="34">
        <v>561</v>
      </c>
      <c r="W18" s="34">
        <v>20808</v>
      </c>
      <c r="X18" s="34">
        <v>2258</v>
      </c>
      <c r="Y18" s="34">
        <v>324073</v>
      </c>
      <c r="Z18" s="34">
        <v>49402</v>
      </c>
      <c r="AA18" s="34">
        <v>274671</v>
      </c>
      <c r="AB18" s="34">
        <v>133455</v>
      </c>
      <c r="AC18" s="34">
        <v>141216</v>
      </c>
    </row>
    <row r="19" spans="1:29" x14ac:dyDescent="0.25">
      <c r="A19" s="31" t="s">
        <v>0</v>
      </c>
      <c r="B19" s="31" t="s">
        <v>728</v>
      </c>
      <c r="C19" s="31" t="s">
        <v>17</v>
      </c>
      <c r="D19" s="31" t="s">
        <v>427</v>
      </c>
      <c r="E19" s="32">
        <v>106.62</v>
      </c>
      <c r="F19" s="33">
        <v>584.6</v>
      </c>
      <c r="G19" s="32">
        <v>691.22</v>
      </c>
      <c r="H19" s="32">
        <v>1.85</v>
      </c>
      <c r="I19" s="34">
        <v>2</v>
      </c>
      <c r="J19" s="33">
        <v>0</v>
      </c>
      <c r="K19" s="34">
        <v>587</v>
      </c>
      <c r="L19" s="32">
        <v>348.14</v>
      </c>
      <c r="M19" s="32">
        <v>62.44</v>
      </c>
      <c r="N19" s="32">
        <v>69.56</v>
      </c>
      <c r="O19" s="32">
        <v>34.47</v>
      </c>
      <c r="P19" s="32">
        <v>3.74</v>
      </c>
      <c r="Q19" s="34">
        <v>240641</v>
      </c>
      <c r="R19" s="34">
        <v>598</v>
      </c>
      <c r="S19" s="34">
        <v>241239</v>
      </c>
      <c r="T19" s="34">
        <v>36652</v>
      </c>
      <c r="U19" s="34">
        <v>40832</v>
      </c>
      <c r="V19" s="34">
        <v>644</v>
      </c>
      <c r="W19" s="34">
        <v>23859</v>
      </c>
      <c r="X19" s="34">
        <v>2585</v>
      </c>
      <c r="Y19" s="34">
        <v>345811</v>
      </c>
      <c r="Z19" s="34">
        <v>54715</v>
      </c>
      <c r="AA19" s="34">
        <v>291096</v>
      </c>
      <c r="AB19" s="34">
        <v>154699</v>
      </c>
      <c r="AC19" s="34">
        <v>136397</v>
      </c>
    </row>
    <row r="20" spans="1:29" x14ac:dyDescent="0.25">
      <c r="A20" s="31" t="s">
        <v>0</v>
      </c>
      <c r="B20" s="31" t="s">
        <v>728</v>
      </c>
      <c r="C20" s="31" t="s">
        <v>18</v>
      </c>
      <c r="D20" s="31" t="s">
        <v>428</v>
      </c>
      <c r="E20" s="32">
        <v>48.75</v>
      </c>
      <c r="F20" s="33">
        <v>354.8</v>
      </c>
      <c r="G20" s="32">
        <v>403.55</v>
      </c>
      <c r="H20" s="32">
        <v>1.08</v>
      </c>
      <c r="I20" s="34">
        <v>51</v>
      </c>
      <c r="J20" s="33">
        <v>0.4</v>
      </c>
      <c r="K20" s="34">
        <v>405</v>
      </c>
      <c r="L20" s="32">
        <v>348.14</v>
      </c>
      <c r="M20" s="32">
        <v>62.44</v>
      </c>
      <c r="N20" s="32">
        <v>69.56</v>
      </c>
      <c r="O20" s="32">
        <v>34.47</v>
      </c>
      <c r="P20" s="32">
        <v>3.74</v>
      </c>
      <c r="Q20" s="34">
        <v>140492</v>
      </c>
      <c r="R20" s="34">
        <v>6262</v>
      </c>
      <c r="S20" s="34">
        <v>146754</v>
      </c>
      <c r="T20" s="34">
        <v>25288</v>
      </c>
      <c r="U20" s="34">
        <v>28172</v>
      </c>
      <c r="V20" s="34">
        <v>376</v>
      </c>
      <c r="W20" s="34">
        <v>13910</v>
      </c>
      <c r="X20" s="34">
        <v>1509</v>
      </c>
      <c r="Y20" s="34">
        <v>216009</v>
      </c>
      <c r="Z20" s="34">
        <v>38770</v>
      </c>
      <c r="AA20" s="34">
        <v>177239</v>
      </c>
      <c r="AB20" s="34">
        <v>83471</v>
      </c>
      <c r="AC20" s="34">
        <v>93768</v>
      </c>
    </row>
    <row r="21" spans="1:29" x14ac:dyDescent="0.25">
      <c r="A21" s="31" t="s">
        <v>0</v>
      </c>
      <c r="B21" s="31" t="s">
        <v>728</v>
      </c>
      <c r="C21" s="31" t="s">
        <v>19</v>
      </c>
      <c r="D21" s="31" t="s">
        <v>429</v>
      </c>
      <c r="E21" s="32">
        <v>33.36</v>
      </c>
      <c r="F21" s="33">
        <v>268.2</v>
      </c>
      <c r="G21" s="32">
        <v>301.56</v>
      </c>
      <c r="H21" s="32">
        <v>0.81</v>
      </c>
      <c r="I21" s="34">
        <v>3</v>
      </c>
      <c r="J21" s="33">
        <v>0</v>
      </c>
      <c r="K21" s="34">
        <v>271</v>
      </c>
      <c r="L21" s="32">
        <v>348.14</v>
      </c>
      <c r="M21" s="32">
        <v>62.44</v>
      </c>
      <c r="N21" s="32">
        <v>69.56</v>
      </c>
      <c r="O21" s="32">
        <v>34.47</v>
      </c>
      <c r="P21" s="32">
        <v>3.74</v>
      </c>
      <c r="Q21" s="34">
        <v>104985</v>
      </c>
      <c r="R21" s="34">
        <v>0</v>
      </c>
      <c r="S21" s="34">
        <v>104985</v>
      </c>
      <c r="T21" s="34">
        <v>16921</v>
      </c>
      <c r="U21" s="34">
        <v>18851</v>
      </c>
      <c r="V21" s="34">
        <v>282</v>
      </c>
      <c r="W21" s="34">
        <v>10395</v>
      </c>
      <c r="X21" s="34">
        <v>1128</v>
      </c>
      <c r="Y21" s="34">
        <v>152562</v>
      </c>
      <c r="Z21" s="34">
        <v>22130</v>
      </c>
      <c r="AA21" s="34">
        <v>130432</v>
      </c>
      <c r="AB21" s="34">
        <v>69219</v>
      </c>
      <c r="AC21" s="34">
        <v>61213</v>
      </c>
    </row>
    <row r="22" spans="1:29" x14ac:dyDescent="0.25">
      <c r="A22" s="31" t="s">
        <v>0</v>
      </c>
      <c r="B22" s="31" t="s">
        <v>728</v>
      </c>
      <c r="C22" s="31" t="s">
        <v>20</v>
      </c>
      <c r="D22" s="31" t="s">
        <v>430</v>
      </c>
      <c r="E22" s="32">
        <v>185</v>
      </c>
      <c r="F22" s="33">
        <v>1363.5</v>
      </c>
      <c r="G22" s="32">
        <v>1548.5</v>
      </c>
      <c r="H22" s="32">
        <v>4.1399999999999997</v>
      </c>
      <c r="I22" s="34">
        <v>192</v>
      </c>
      <c r="J22" s="33">
        <v>0.7</v>
      </c>
      <c r="K22" s="34">
        <v>1555</v>
      </c>
      <c r="L22" s="32">
        <v>348.14</v>
      </c>
      <c r="M22" s="32">
        <v>62.44</v>
      </c>
      <c r="N22" s="32">
        <v>69.56</v>
      </c>
      <c r="O22" s="32">
        <v>34.47</v>
      </c>
      <c r="P22" s="32">
        <v>3.74</v>
      </c>
      <c r="Q22" s="34">
        <v>539095</v>
      </c>
      <c r="R22" s="34">
        <v>0</v>
      </c>
      <c r="S22" s="34">
        <v>539095</v>
      </c>
      <c r="T22" s="34">
        <v>97094</v>
      </c>
      <c r="U22" s="34">
        <v>108166</v>
      </c>
      <c r="V22" s="34">
        <v>1441</v>
      </c>
      <c r="W22" s="34">
        <v>53377</v>
      </c>
      <c r="X22" s="34">
        <v>5791</v>
      </c>
      <c r="Y22" s="34">
        <v>804964</v>
      </c>
      <c r="Z22" s="34">
        <v>118627</v>
      </c>
      <c r="AA22" s="34">
        <v>686337</v>
      </c>
      <c r="AB22" s="34">
        <v>350438</v>
      </c>
      <c r="AC22" s="34">
        <v>335899</v>
      </c>
    </row>
    <row r="23" spans="1:29" x14ac:dyDescent="0.25">
      <c r="A23" s="31" t="s">
        <v>0</v>
      </c>
      <c r="B23" s="31" t="s">
        <v>728</v>
      </c>
      <c r="C23" s="31" t="s">
        <v>21</v>
      </c>
      <c r="D23" s="31" t="s">
        <v>431</v>
      </c>
      <c r="E23" s="32">
        <v>397.51</v>
      </c>
      <c r="F23" s="33">
        <v>3200.2</v>
      </c>
      <c r="G23" s="32">
        <v>3597.71</v>
      </c>
      <c r="H23" s="32">
        <v>9.6199999999999992</v>
      </c>
      <c r="I23" s="34">
        <v>1020</v>
      </c>
      <c r="J23" s="33">
        <v>3.1</v>
      </c>
      <c r="K23" s="34">
        <v>4217</v>
      </c>
      <c r="L23" s="32">
        <v>348.14</v>
      </c>
      <c r="M23" s="32">
        <v>62.44</v>
      </c>
      <c r="N23" s="32">
        <v>69.56</v>
      </c>
      <c r="O23" s="32">
        <v>34.47</v>
      </c>
      <c r="P23" s="32">
        <v>3.74</v>
      </c>
      <c r="Q23" s="34">
        <v>1252507</v>
      </c>
      <c r="R23" s="34">
        <v>0</v>
      </c>
      <c r="S23" s="34">
        <v>1252507</v>
      </c>
      <c r="T23" s="34">
        <v>263309</v>
      </c>
      <c r="U23" s="34">
        <v>293335</v>
      </c>
      <c r="V23" s="34">
        <v>3349</v>
      </c>
      <c r="W23" s="34">
        <v>124013</v>
      </c>
      <c r="X23" s="34">
        <v>13455</v>
      </c>
      <c r="Y23" s="34">
        <v>1949968</v>
      </c>
      <c r="Z23" s="34">
        <v>184387</v>
      </c>
      <c r="AA23" s="34">
        <v>1765581</v>
      </c>
      <c r="AB23" s="34">
        <v>905416</v>
      </c>
      <c r="AC23" s="34">
        <v>860165</v>
      </c>
    </row>
    <row r="24" spans="1:29" x14ac:dyDescent="0.25">
      <c r="A24" s="31" t="s">
        <v>22</v>
      </c>
      <c r="B24" s="31" t="s">
        <v>729</v>
      </c>
      <c r="C24" s="31" t="s">
        <v>23</v>
      </c>
      <c r="D24" s="31" t="s">
        <v>432</v>
      </c>
      <c r="E24" s="32">
        <v>26.19</v>
      </c>
      <c r="F24" s="33">
        <v>209.6</v>
      </c>
      <c r="G24" s="32">
        <v>235.79</v>
      </c>
      <c r="H24" s="32">
        <v>0</v>
      </c>
      <c r="I24" s="34">
        <v>0</v>
      </c>
      <c r="J24" s="33">
        <v>0</v>
      </c>
      <c r="K24" s="34">
        <v>210</v>
      </c>
      <c r="L24" s="32">
        <v>343.89</v>
      </c>
      <c r="M24" s="32">
        <v>62.52</v>
      </c>
      <c r="N24" s="32">
        <v>70.03</v>
      </c>
      <c r="O24" s="32">
        <v>36.43</v>
      </c>
      <c r="P24" s="32">
        <v>4.33</v>
      </c>
      <c r="Q24" s="34">
        <v>81086</v>
      </c>
      <c r="R24" s="34">
        <v>0</v>
      </c>
      <c r="S24" s="34">
        <v>81086</v>
      </c>
      <c r="T24" s="34">
        <v>13129</v>
      </c>
      <c r="U24" s="34">
        <v>14706</v>
      </c>
      <c r="V24" s="34">
        <v>0</v>
      </c>
      <c r="W24" s="34">
        <v>8590</v>
      </c>
      <c r="X24" s="34">
        <v>1021</v>
      </c>
      <c r="Y24" s="34">
        <v>118532</v>
      </c>
      <c r="Z24" s="34">
        <v>18549</v>
      </c>
      <c r="AA24" s="34">
        <v>99983</v>
      </c>
      <c r="AB24" s="34">
        <v>53311</v>
      </c>
      <c r="AC24" s="34">
        <v>46672</v>
      </c>
    </row>
    <row r="25" spans="1:29" x14ac:dyDescent="0.25">
      <c r="A25" s="31" t="s">
        <v>22</v>
      </c>
      <c r="B25" s="31" t="s">
        <v>729</v>
      </c>
      <c r="C25" s="31" t="s">
        <v>24</v>
      </c>
      <c r="D25" s="31" t="s">
        <v>433</v>
      </c>
      <c r="E25" s="32">
        <v>228.9</v>
      </c>
      <c r="F25" s="33">
        <v>1446.4</v>
      </c>
      <c r="G25" s="32">
        <v>1675.3</v>
      </c>
      <c r="H25" s="32">
        <v>0</v>
      </c>
      <c r="I25" s="34">
        <v>296</v>
      </c>
      <c r="J25" s="33">
        <v>3.6</v>
      </c>
      <c r="K25" s="34">
        <v>1739</v>
      </c>
      <c r="L25" s="32">
        <v>343.89</v>
      </c>
      <c r="M25" s="32">
        <v>62.52</v>
      </c>
      <c r="N25" s="32">
        <v>70.03</v>
      </c>
      <c r="O25" s="32">
        <v>36.43</v>
      </c>
      <c r="P25" s="32">
        <v>4.33</v>
      </c>
      <c r="Q25" s="34">
        <v>576119</v>
      </c>
      <c r="R25" s="34">
        <v>0</v>
      </c>
      <c r="S25" s="34">
        <v>576119</v>
      </c>
      <c r="T25" s="34">
        <v>108722</v>
      </c>
      <c r="U25" s="34">
        <v>121782</v>
      </c>
      <c r="V25" s="34">
        <v>0</v>
      </c>
      <c r="W25" s="34">
        <v>61031</v>
      </c>
      <c r="X25" s="34">
        <v>7254</v>
      </c>
      <c r="Y25" s="34">
        <v>874908</v>
      </c>
      <c r="Z25" s="34">
        <v>131089</v>
      </c>
      <c r="AA25" s="34">
        <v>743819</v>
      </c>
      <c r="AB25" s="34">
        <v>379475</v>
      </c>
      <c r="AC25" s="34">
        <v>364344</v>
      </c>
    </row>
    <row r="26" spans="1:29" x14ac:dyDescent="0.25">
      <c r="A26" s="31" t="s">
        <v>22</v>
      </c>
      <c r="B26" s="31" t="s">
        <v>729</v>
      </c>
      <c r="C26" s="31" t="s">
        <v>25</v>
      </c>
      <c r="D26" s="31" t="s">
        <v>434</v>
      </c>
      <c r="E26" s="32">
        <v>81.25</v>
      </c>
      <c r="F26" s="33">
        <v>872.8</v>
      </c>
      <c r="G26" s="32">
        <v>954.05</v>
      </c>
      <c r="H26" s="32">
        <v>0</v>
      </c>
      <c r="I26" s="34">
        <v>14</v>
      </c>
      <c r="J26" s="33">
        <v>0</v>
      </c>
      <c r="K26" s="34">
        <v>887</v>
      </c>
      <c r="L26" s="32">
        <v>343.89</v>
      </c>
      <c r="M26" s="32">
        <v>62.52</v>
      </c>
      <c r="N26" s="32">
        <v>70.03</v>
      </c>
      <c r="O26" s="32">
        <v>36.43</v>
      </c>
      <c r="P26" s="32">
        <v>4.33</v>
      </c>
      <c r="Q26" s="34">
        <v>328088</v>
      </c>
      <c r="R26" s="34">
        <v>0</v>
      </c>
      <c r="S26" s="34">
        <v>328088</v>
      </c>
      <c r="T26" s="34">
        <v>55455</v>
      </c>
      <c r="U26" s="34">
        <v>62117</v>
      </c>
      <c r="V26" s="34">
        <v>0</v>
      </c>
      <c r="W26" s="34">
        <v>34756</v>
      </c>
      <c r="X26" s="34">
        <v>4131</v>
      </c>
      <c r="Y26" s="34">
        <v>484547</v>
      </c>
      <c r="Z26" s="34">
        <v>58587</v>
      </c>
      <c r="AA26" s="34">
        <v>425960</v>
      </c>
      <c r="AB26" s="34">
        <v>232169</v>
      </c>
      <c r="AC26" s="34">
        <v>193791</v>
      </c>
    </row>
    <row r="27" spans="1:29" x14ac:dyDescent="0.25">
      <c r="A27" s="31" t="s">
        <v>22</v>
      </c>
      <c r="B27" s="31" t="s">
        <v>729</v>
      </c>
      <c r="C27" s="31" t="s">
        <v>26</v>
      </c>
      <c r="D27" s="31" t="s">
        <v>435</v>
      </c>
      <c r="E27" s="32">
        <v>123.84</v>
      </c>
      <c r="F27" s="33">
        <v>1011.1</v>
      </c>
      <c r="G27" s="32">
        <v>1134.94</v>
      </c>
      <c r="H27" s="32">
        <v>0</v>
      </c>
      <c r="I27" s="34">
        <v>3</v>
      </c>
      <c r="J27" s="33">
        <v>0</v>
      </c>
      <c r="K27" s="34">
        <v>1014</v>
      </c>
      <c r="L27" s="32">
        <v>343.89</v>
      </c>
      <c r="M27" s="32">
        <v>62.52</v>
      </c>
      <c r="N27" s="32">
        <v>70.03</v>
      </c>
      <c r="O27" s="32">
        <v>36.43</v>
      </c>
      <c r="P27" s="32">
        <v>4.33</v>
      </c>
      <c r="Q27" s="34">
        <v>390295</v>
      </c>
      <c r="R27" s="34">
        <v>0</v>
      </c>
      <c r="S27" s="34">
        <v>390295</v>
      </c>
      <c r="T27" s="34">
        <v>63395</v>
      </c>
      <c r="U27" s="34">
        <v>71010</v>
      </c>
      <c r="V27" s="34">
        <v>0</v>
      </c>
      <c r="W27" s="34">
        <v>41346</v>
      </c>
      <c r="X27" s="34">
        <v>4914</v>
      </c>
      <c r="Y27" s="34">
        <v>570960</v>
      </c>
      <c r="Z27" s="34">
        <v>68312</v>
      </c>
      <c r="AA27" s="34">
        <v>502648</v>
      </c>
      <c r="AB27" s="34">
        <v>277572</v>
      </c>
      <c r="AC27" s="34">
        <v>225076</v>
      </c>
    </row>
    <row r="28" spans="1:29" x14ac:dyDescent="0.25">
      <c r="A28" s="31" t="s">
        <v>22</v>
      </c>
      <c r="B28" s="31" t="s">
        <v>729</v>
      </c>
      <c r="C28" s="31" t="s">
        <v>27</v>
      </c>
      <c r="D28" s="31" t="s">
        <v>436</v>
      </c>
      <c r="E28" s="32">
        <v>35.299999999999997</v>
      </c>
      <c r="F28" s="33">
        <v>290.10000000000002</v>
      </c>
      <c r="G28" s="32">
        <v>325.39999999999998</v>
      </c>
      <c r="H28" s="32">
        <v>0</v>
      </c>
      <c r="I28" s="34">
        <v>24</v>
      </c>
      <c r="J28" s="33">
        <v>0</v>
      </c>
      <c r="K28" s="34">
        <v>314</v>
      </c>
      <c r="L28" s="32">
        <v>343.89</v>
      </c>
      <c r="M28" s="32">
        <v>62.52</v>
      </c>
      <c r="N28" s="32">
        <v>70.03</v>
      </c>
      <c r="O28" s="32">
        <v>36.43</v>
      </c>
      <c r="P28" s="32">
        <v>4.33</v>
      </c>
      <c r="Q28" s="34">
        <v>111902</v>
      </c>
      <c r="R28" s="34">
        <v>13131</v>
      </c>
      <c r="S28" s="34">
        <v>125033</v>
      </c>
      <c r="T28" s="34">
        <v>19631</v>
      </c>
      <c r="U28" s="34">
        <v>21989</v>
      </c>
      <c r="V28" s="34">
        <v>0</v>
      </c>
      <c r="W28" s="34">
        <v>11860</v>
      </c>
      <c r="X28" s="34">
        <v>1409</v>
      </c>
      <c r="Y28" s="34">
        <v>179922</v>
      </c>
      <c r="Z28" s="34">
        <v>30547</v>
      </c>
      <c r="AA28" s="34">
        <v>149375</v>
      </c>
      <c r="AB28" s="34">
        <v>68628</v>
      </c>
      <c r="AC28" s="34">
        <v>80747</v>
      </c>
    </row>
    <row r="29" spans="1:29" x14ac:dyDescent="0.25">
      <c r="A29" s="31" t="s">
        <v>22</v>
      </c>
      <c r="B29" s="31" t="s">
        <v>729</v>
      </c>
      <c r="C29" s="31" t="s">
        <v>28</v>
      </c>
      <c r="D29" s="31" t="s">
        <v>437</v>
      </c>
      <c r="E29" s="32">
        <v>124.14</v>
      </c>
      <c r="F29" s="33">
        <v>952</v>
      </c>
      <c r="G29" s="32">
        <v>1076.1400000000001</v>
      </c>
      <c r="H29" s="32">
        <v>0</v>
      </c>
      <c r="I29" s="34">
        <v>4</v>
      </c>
      <c r="J29" s="33">
        <v>0</v>
      </c>
      <c r="K29" s="34">
        <v>956</v>
      </c>
      <c r="L29" s="32">
        <v>343.89</v>
      </c>
      <c r="M29" s="32">
        <v>62.52</v>
      </c>
      <c r="N29" s="32">
        <v>70.03</v>
      </c>
      <c r="O29" s="32">
        <v>36.43</v>
      </c>
      <c r="P29" s="32">
        <v>4.33</v>
      </c>
      <c r="Q29" s="34">
        <v>370074</v>
      </c>
      <c r="R29" s="34">
        <v>895</v>
      </c>
      <c r="S29" s="34">
        <v>370969</v>
      </c>
      <c r="T29" s="34">
        <v>59769</v>
      </c>
      <c r="U29" s="34">
        <v>66949</v>
      </c>
      <c r="V29" s="34">
        <v>0</v>
      </c>
      <c r="W29" s="34">
        <v>39332</v>
      </c>
      <c r="X29" s="34">
        <v>4674</v>
      </c>
      <c r="Y29" s="34">
        <v>541693</v>
      </c>
      <c r="Z29" s="34">
        <v>59231</v>
      </c>
      <c r="AA29" s="34">
        <v>482462</v>
      </c>
      <c r="AB29" s="34">
        <v>268876</v>
      </c>
      <c r="AC29" s="34">
        <v>213586</v>
      </c>
    </row>
    <row r="30" spans="1:29" x14ac:dyDescent="0.25">
      <c r="A30" s="31" t="s">
        <v>22</v>
      </c>
      <c r="B30" s="31" t="s">
        <v>729</v>
      </c>
      <c r="C30" s="31" t="s">
        <v>29</v>
      </c>
      <c r="D30" s="31" t="s">
        <v>438</v>
      </c>
      <c r="E30" s="32">
        <v>116.41</v>
      </c>
      <c r="F30" s="33">
        <v>835.5</v>
      </c>
      <c r="G30" s="32">
        <v>951.91</v>
      </c>
      <c r="H30" s="32">
        <v>0</v>
      </c>
      <c r="I30" s="34">
        <v>44</v>
      </c>
      <c r="J30" s="33">
        <v>0</v>
      </c>
      <c r="K30" s="34">
        <v>880</v>
      </c>
      <c r="L30" s="32">
        <v>343.89</v>
      </c>
      <c r="M30" s="32">
        <v>62.52</v>
      </c>
      <c r="N30" s="32">
        <v>70.03</v>
      </c>
      <c r="O30" s="32">
        <v>36.43</v>
      </c>
      <c r="P30" s="32">
        <v>4.33</v>
      </c>
      <c r="Q30" s="34">
        <v>327352</v>
      </c>
      <c r="R30" s="34">
        <v>0</v>
      </c>
      <c r="S30" s="34">
        <v>327352</v>
      </c>
      <c r="T30" s="34">
        <v>55018</v>
      </c>
      <c r="U30" s="34">
        <v>61626</v>
      </c>
      <c r="V30" s="34">
        <v>0</v>
      </c>
      <c r="W30" s="34">
        <v>34678</v>
      </c>
      <c r="X30" s="34">
        <v>4122</v>
      </c>
      <c r="Y30" s="34">
        <v>482796</v>
      </c>
      <c r="Z30" s="34">
        <v>67954</v>
      </c>
      <c r="AA30" s="34">
        <v>414842</v>
      </c>
      <c r="AB30" s="34">
        <v>222150</v>
      </c>
      <c r="AC30" s="34">
        <v>192692</v>
      </c>
    </row>
    <row r="31" spans="1:29" x14ac:dyDescent="0.25">
      <c r="A31" s="31" t="s">
        <v>22</v>
      </c>
      <c r="B31" s="31" t="s">
        <v>729</v>
      </c>
      <c r="C31" s="31" t="s">
        <v>30</v>
      </c>
      <c r="D31" s="31" t="s">
        <v>439</v>
      </c>
      <c r="E31" s="32">
        <v>106.17</v>
      </c>
      <c r="F31" s="33">
        <v>665.2</v>
      </c>
      <c r="G31" s="32">
        <v>771.37</v>
      </c>
      <c r="H31" s="32">
        <v>0</v>
      </c>
      <c r="I31" s="34">
        <v>75</v>
      </c>
      <c r="J31" s="33">
        <v>2</v>
      </c>
      <c r="K31" s="34">
        <v>738</v>
      </c>
      <c r="L31" s="32">
        <v>343.89</v>
      </c>
      <c r="M31" s="32">
        <v>62.52</v>
      </c>
      <c r="N31" s="32">
        <v>70.03</v>
      </c>
      <c r="O31" s="32">
        <v>36.43</v>
      </c>
      <c r="P31" s="32">
        <v>4.33</v>
      </c>
      <c r="Q31" s="34">
        <v>265266</v>
      </c>
      <c r="R31" s="34">
        <v>0</v>
      </c>
      <c r="S31" s="34">
        <v>265266</v>
      </c>
      <c r="T31" s="34">
        <v>46140</v>
      </c>
      <c r="U31" s="34">
        <v>51682</v>
      </c>
      <c r="V31" s="34">
        <v>0</v>
      </c>
      <c r="W31" s="34">
        <v>28101</v>
      </c>
      <c r="X31" s="34">
        <v>3340</v>
      </c>
      <c r="Y31" s="34">
        <v>394529</v>
      </c>
      <c r="Z31" s="34">
        <v>51253</v>
      </c>
      <c r="AA31" s="34">
        <v>343276</v>
      </c>
      <c r="AB31" s="34">
        <v>183830</v>
      </c>
      <c r="AC31" s="34">
        <v>159446</v>
      </c>
    </row>
    <row r="32" spans="1:29" x14ac:dyDescent="0.25">
      <c r="A32" s="31" t="s">
        <v>22</v>
      </c>
      <c r="B32" s="31" t="s">
        <v>729</v>
      </c>
      <c r="C32" s="31" t="s">
        <v>31</v>
      </c>
      <c r="D32" s="31" t="s">
        <v>440</v>
      </c>
      <c r="E32" s="32">
        <v>144.34</v>
      </c>
      <c r="F32" s="33">
        <v>1202</v>
      </c>
      <c r="G32" s="32">
        <v>1346.34</v>
      </c>
      <c r="H32" s="32">
        <v>0</v>
      </c>
      <c r="I32" s="34">
        <v>0</v>
      </c>
      <c r="J32" s="33">
        <v>0</v>
      </c>
      <c r="K32" s="34">
        <v>1202</v>
      </c>
      <c r="L32" s="32">
        <v>343.89</v>
      </c>
      <c r="M32" s="32">
        <v>62.52</v>
      </c>
      <c r="N32" s="32">
        <v>70.03</v>
      </c>
      <c r="O32" s="32">
        <v>36.43</v>
      </c>
      <c r="P32" s="32">
        <v>4.33</v>
      </c>
      <c r="Q32" s="34">
        <v>462993</v>
      </c>
      <c r="R32" s="34">
        <v>4021</v>
      </c>
      <c r="S32" s="34">
        <v>467014</v>
      </c>
      <c r="T32" s="34">
        <v>75149</v>
      </c>
      <c r="U32" s="34">
        <v>84176</v>
      </c>
      <c r="V32" s="34">
        <v>0</v>
      </c>
      <c r="W32" s="34">
        <v>49047</v>
      </c>
      <c r="X32" s="34">
        <v>5830</v>
      </c>
      <c r="Y32" s="34">
        <v>681216</v>
      </c>
      <c r="Z32" s="34">
        <v>92306</v>
      </c>
      <c r="AA32" s="34">
        <v>588910</v>
      </c>
      <c r="AB32" s="34">
        <v>318005</v>
      </c>
      <c r="AC32" s="34">
        <v>270905</v>
      </c>
    </row>
    <row r="33" spans="1:29" x14ac:dyDescent="0.25">
      <c r="A33" s="31" t="s">
        <v>22</v>
      </c>
      <c r="B33" s="31" t="s">
        <v>729</v>
      </c>
      <c r="C33" s="31" t="s">
        <v>32</v>
      </c>
      <c r="D33" s="31" t="s">
        <v>441</v>
      </c>
      <c r="E33" s="32">
        <v>587.14</v>
      </c>
      <c r="F33" s="33">
        <v>3561</v>
      </c>
      <c r="G33" s="32">
        <v>4148.1400000000003</v>
      </c>
      <c r="H33" s="32">
        <v>0</v>
      </c>
      <c r="I33" s="34">
        <v>556</v>
      </c>
      <c r="J33" s="33">
        <v>3.6</v>
      </c>
      <c r="K33" s="34">
        <v>4113</v>
      </c>
      <c r="L33" s="32">
        <v>343.89</v>
      </c>
      <c r="M33" s="32">
        <v>62.52</v>
      </c>
      <c r="N33" s="32">
        <v>70.03</v>
      </c>
      <c r="O33" s="32">
        <v>36.43</v>
      </c>
      <c r="P33" s="32">
        <v>4.33</v>
      </c>
      <c r="Q33" s="34">
        <v>1426504</v>
      </c>
      <c r="R33" s="34">
        <v>0</v>
      </c>
      <c r="S33" s="34">
        <v>1426504</v>
      </c>
      <c r="T33" s="34">
        <v>257145</v>
      </c>
      <c r="U33" s="34">
        <v>288033</v>
      </c>
      <c r="V33" s="34">
        <v>0</v>
      </c>
      <c r="W33" s="34">
        <v>151137</v>
      </c>
      <c r="X33" s="34">
        <v>17961</v>
      </c>
      <c r="Y33" s="34">
        <v>2140780</v>
      </c>
      <c r="Z33" s="34">
        <v>279279</v>
      </c>
      <c r="AA33" s="34">
        <v>1861501</v>
      </c>
      <c r="AB33" s="34">
        <v>984928</v>
      </c>
      <c r="AC33" s="34">
        <v>876573</v>
      </c>
    </row>
    <row r="34" spans="1:29" x14ac:dyDescent="0.25">
      <c r="A34" s="31" t="s">
        <v>22</v>
      </c>
      <c r="B34" s="31" t="s">
        <v>729</v>
      </c>
      <c r="C34" s="31" t="s">
        <v>33</v>
      </c>
      <c r="D34" s="31" t="s">
        <v>442</v>
      </c>
      <c r="E34" s="32">
        <v>39.229999999999997</v>
      </c>
      <c r="F34" s="33">
        <v>174</v>
      </c>
      <c r="G34" s="32">
        <v>213.23</v>
      </c>
      <c r="H34" s="32">
        <v>0</v>
      </c>
      <c r="I34" s="34">
        <v>4</v>
      </c>
      <c r="J34" s="33">
        <v>0</v>
      </c>
      <c r="K34" s="34">
        <v>178</v>
      </c>
      <c r="L34" s="32">
        <v>343.89</v>
      </c>
      <c r="M34" s="32">
        <v>62.52</v>
      </c>
      <c r="N34" s="32">
        <v>70.03</v>
      </c>
      <c r="O34" s="32">
        <v>36.43</v>
      </c>
      <c r="P34" s="32">
        <v>4.33</v>
      </c>
      <c r="Q34" s="34">
        <v>73328</v>
      </c>
      <c r="R34" s="34">
        <v>0</v>
      </c>
      <c r="S34" s="34">
        <v>73328</v>
      </c>
      <c r="T34" s="34">
        <v>11129</v>
      </c>
      <c r="U34" s="34">
        <v>12465</v>
      </c>
      <c r="V34" s="34">
        <v>0</v>
      </c>
      <c r="W34" s="34">
        <v>7768</v>
      </c>
      <c r="X34" s="34">
        <v>923</v>
      </c>
      <c r="Y34" s="34">
        <v>105613</v>
      </c>
      <c r="Z34" s="34">
        <v>14189</v>
      </c>
      <c r="AA34" s="34">
        <v>91424</v>
      </c>
      <c r="AB34" s="34">
        <v>50795</v>
      </c>
      <c r="AC34" s="34">
        <v>40629</v>
      </c>
    </row>
    <row r="35" spans="1:29" x14ac:dyDescent="0.25">
      <c r="A35" s="31" t="s">
        <v>22</v>
      </c>
      <c r="B35" s="31" t="s">
        <v>729</v>
      </c>
      <c r="C35" s="31" t="s">
        <v>34</v>
      </c>
      <c r="D35" s="31" t="s">
        <v>443</v>
      </c>
      <c r="E35" s="32">
        <v>35.520000000000003</v>
      </c>
      <c r="F35" s="33">
        <v>378</v>
      </c>
      <c r="G35" s="32">
        <v>413.52</v>
      </c>
      <c r="H35" s="32">
        <v>0</v>
      </c>
      <c r="I35" s="34">
        <v>8</v>
      </c>
      <c r="J35" s="33">
        <v>0</v>
      </c>
      <c r="K35" s="34">
        <v>386</v>
      </c>
      <c r="L35" s="32">
        <v>343.89</v>
      </c>
      <c r="M35" s="32">
        <v>62.52</v>
      </c>
      <c r="N35" s="32">
        <v>70.03</v>
      </c>
      <c r="O35" s="32">
        <v>36.43</v>
      </c>
      <c r="P35" s="32">
        <v>4.33</v>
      </c>
      <c r="Q35" s="34">
        <v>142205</v>
      </c>
      <c r="R35" s="34">
        <v>582</v>
      </c>
      <c r="S35" s="34">
        <v>142787</v>
      </c>
      <c r="T35" s="34">
        <v>24133</v>
      </c>
      <c r="U35" s="34">
        <v>27032</v>
      </c>
      <c r="V35" s="34">
        <v>0</v>
      </c>
      <c r="W35" s="34">
        <v>15139</v>
      </c>
      <c r="X35" s="34">
        <v>1799</v>
      </c>
      <c r="Y35" s="34">
        <v>210890</v>
      </c>
      <c r="Z35" s="34">
        <v>30756</v>
      </c>
      <c r="AA35" s="34">
        <v>180134</v>
      </c>
      <c r="AB35" s="34">
        <v>95351</v>
      </c>
      <c r="AC35" s="34">
        <v>84783</v>
      </c>
    </row>
    <row r="36" spans="1:29" x14ac:dyDescent="0.25">
      <c r="A36" s="31" t="s">
        <v>22</v>
      </c>
      <c r="B36" s="31" t="s">
        <v>729</v>
      </c>
      <c r="C36" s="31" t="s">
        <v>35</v>
      </c>
      <c r="D36" s="31" t="s">
        <v>444</v>
      </c>
      <c r="E36" s="32">
        <v>163.86</v>
      </c>
      <c r="F36" s="33">
        <v>1185</v>
      </c>
      <c r="G36" s="32">
        <v>1348.86</v>
      </c>
      <c r="H36" s="32">
        <v>0</v>
      </c>
      <c r="I36" s="34">
        <v>2</v>
      </c>
      <c r="J36" s="33">
        <v>0</v>
      </c>
      <c r="K36" s="34">
        <v>1187</v>
      </c>
      <c r="L36" s="32">
        <v>343.89</v>
      </c>
      <c r="M36" s="32">
        <v>62.52</v>
      </c>
      <c r="N36" s="32">
        <v>70.03</v>
      </c>
      <c r="O36" s="32">
        <v>36.43</v>
      </c>
      <c r="P36" s="32">
        <v>4.33</v>
      </c>
      <c r="Q36" s="34">
        <v>463859</v>
      </c>
      <c r="R36" s="34">
        <v>0</v>
      </c>
      <c r="S36" s="34">
        <v>463859</v>
      </c>
      <c r="T36" s="34">
        <v>74211</v>
      </c>
      <c r="U36" s="34">
        <v>83126</v>
      </c>
      <c r="V36" s="34">
        <v>0</v>
      </c>
      <c r="W36" s="34">
        <v>49139</v>
      </c>
      <c r="X36" s="34">
        <v>5841</v>
      </c>
      <c r="Y36" s="34">
        <v>676176</v>
      </c>
      <c r="Z36" s="34">
        <v>103986</v>
      </c>
      <c r="AA36" s="34">
        <v>572190</v>
      </c>
      <c r="AB36" s="34">
        <v>307093</v>
      </c>
      <c r="AC36" s="34">
        <v>265097</v>
      </c>
    </row>
    <row r="37" spans="1:29" x14ac:dyDescent="0.25">
      <c r="A37" s="31" t="s">
        <v>22</v>
      </c>
      <c r="B37" s="31" t="s">
        <v>729</v>
      </c>
      <c r="C37" s="31" t="s">
        <v>36</v>
      </c>
      <c r="D37" s="31" t="s">
        <v>445</v>
      </c>
      <c r="E37" s="32">
        <v>31.75</v>
      </c>
      <c r="F37" s="33">
        <v>294</v>
      </c>
      <c r="G37" s="32">
        <v>325.75</v>
      </c>
      <c r="H37" s="32">
        <v>0</v>
      </c>
      <c r="I37" s="34">
        <v>0</v>
      </c>
      <c r="J37" s="33">
        <v>0</v>
      </c>
      <c r="K37" s="34">
        <v>294</v>
      </c>
      <c r="L37" s="32">
        <v>343.89</v>
      </c>
      <c r="M37" s="32">
        <v>62.52</v>
      </c>
      <c r="N37" s="32">
        <v>70.03</v>
      </c>
      <c r="O37" s="32">
        <v>36.43</v>
      </c>
      <c r="P37" s="32">
        <v>4.33</v>
      </c>
      <c r="Q37" s="34">
        <v>112022</v>
      </c>
      <c r="R37" s="34">
        <v>0</v>
      </c>
      <c r="S37" s="34">
        <v>112022</v>
      </c>
      <c r="T37" s="34">
        <v>18381</v>
      </c>
      <c r="U37" s="34">
        <v>20589</v>
      </c>
      <c r="V37" s="34">
        <v>0</v>
      </c>
      <c r="W37" s="34">
        <v>11867</v>
      </c>
      <c r="X37" s="34">
        <v>1410</v>
      </c>
      <c r="Y37" s="34">
        <v>164269</v>
      </c>
      <c r="Z37" s="34">
        <v>20339</v>
      </c>
      <c r="AA37" s="34">
        <v>143930</v>
      </c>
      <c r="AB37" s="34">
        <v>78936</v>
      </c>
      <c r="AC37" s="34">
        <v>64994</v>
      </c>
    </row>
    <row r="38" spans="1:29" x14ac:dyDescent="0.25">
      <c r="A38" s="31" t="s">
        <v>22</v>
      </c>
      <c r="B38" s="31" t="s">
        <v>729</v>
      </c>
      <c r="C38" s="31" t="s">
        <v>37</v>
      </c>
      <c r="D38" s="31" t="s">
        <v>446</v>
      </c>
      <c r="E38" s="32">
        <v>141.05000000000001</v>
      </c>
      <c r="F38" s="33">
        <v>1246.8</v>
      </c>
      <c r="G38" s="32">
        <v>1387.85</v>
      </c>
      <c r="H38" s="32">
        <v>0</v>
      </c>
      <c r="I38" s="34">
        <v>106</v>
      </c>
      <c r="J38" s="33">
        <v>1.4</v>
      </c>
      <c r="K38" s="34">
        <v>1351</v>
      </c>
      <c r="L38" s="32">
        <v>343.89</v>
      </c>
      <c r="M38" s="32">
        <v>62.52</v>
      </c>
      <c r="N38" s="32">
        <v>70.03</v>
      </c>
      <c r="O38" s="32">
        <v>36.43</v>
      </c>
      <c r="P38" s="32">
        <v>4.33</v>
      </c>
      <c r="Q38" s="34">
        <v>477268</v>
      </c>
      <c r="R38" s="34">
        <v>0</v>
      </c>
      <c r="S38" s="34">
        <v>477268</v>
      </c>
      <c r="T38" s="34">
        <v>84465</v>
      </c>
      <c r="U38" s="34">
        <v>94611</v>
      </c>
      <c r="V38" s="34">
        <v>0</v>
      </c>
      <c r="W38" s="34">
        <v>50559</v>
      </c>
      <c r="X38" s="34">
        <v>6009</v>
      </c>
      <c r="Y38" s="34">
        <v>712912</v>
      </c>
      <c r="Z38" s="34">
        <v>81306</v>
      </c>
      <c r="AA38" s="34">
        <v>631606</v>
      </c>
      <c r="AB38" s="34">
        <v>341654</v>
      </c>
      <c r="AC38" s="34">
        <v>289952</v>
      </c>
    </row>
    <row r="39" spans="1:29" x14ac:dyDescent="0.25">
      <c r="A39" s="31" t="s">
        <v>22</v>
      </c>
      <c r="B39" s="31" t="s">
        <v>729</v>
      </c>
      <c r="C39" s="31" t="s">
        <v>38</v>
      </c>
      <c r="D39" s="31" t="s">
        <v>447</v>
      </c>
      <c r="E39" s="32">
        <v>56.26</v>
      </c>
      <c r="F39" s="33">
        <v>299.3</v>
      </c>
      <c r="G39" s="32">
        <v>355.56</v>
      </c>
      <c r="H39" s="32">
        <v>0</v>
      </c>
      <c r="I39" s="34">
        <v>2</v>
      </c>
      <c r="J39" s="33">
        <v>0</v>
      </c>
      <c r="K39" s="34">
        <v>301</v>
      </c>
      <c r="L39" s="32">
        <v>343.89</v>
      </c>
      <c r="M39" s="32">
        <v>62.52</v>
      </c>
      <c r="N39" s="32">
        <v>70.03</v>
      </c>
      <c r="O39" s="32">
        <v>36.43</v>
      </c>
      <c r="P39" s="32">
        <v>4.33</v>
      </c>
      <c r="Q39" s="34">
        <v>122274</v>
      </c>
      <c r="R39" s="34">
        <v>0</v>
      </c>
      <c r="S39" s="34">
        <v>122274</v>
      </c>
      <c r="T39" s="34">
        <v>18819</v>
      </c>
      <c r="U39" s="34">
        <v>21079</v>
      </c>
      <c r="V39" s="34">
        <v>0</v>
      </c>
      <c r="W39" s="34">
        <v>12953</v>
      </c>
      <c r="X39" s="34">
        <v>1540</v>
      </c>
      <c r="Y39" s="34">
        <v>176665</v>
      </c>
      <c r="Z39" s="34">
        <v>28583</v>
      </c>
      <c r="AA39" s="34">
        <v>148082</v>
      </c>
      <c r="AB39" s="34">
        <v>79778</v>
      </c>
      <c r="AC39" s="34">
        <v>68304</v>
      </c>
    </row>
    <row r="40" spans="1:29" x14ac:dyDescent="0.25">
      <c r="A40" s="31" t="s">
        <v>22</v>
      </c>
      <c r="B40" s="31" t="s">
        <v>729</v>
      </c>
      <c r="C40" s="31" t="s">
        <v>39</v>
      </c>
      <c r="D40" s="31" t="s">
        <v>448</v>
      </c>
      <c r="E40" s="32">
        <v>59.65</v>
      </c>
      <c r="F40" s="33">
        <v>655.6</v>
      </c>
      <c r="G40" s="32">
        <v>715.25</v>
      </c>
      <c r="H40" s="32">
        <v>0</v>
      </c>
      <c r="I40" s="34">
        <v>81</v>
      </c>
      <c r="J40" s="33">
        <v>0</v>
      </c>
      <c r="K40" s="34">
        <v>737</v>
      </c>
      <c r="L40" s="32">
        <v>343.89</v>
      </c>
      <c r="M40" s="32">
        <v>62.52</v>
      </c>
      <c r="N40" s="32">
        <v>70.03</v>
      </c>
      <c r="O40" s="32">
        <v>36.43</v>
      </c>
      <c r="P40" s="32">
        <v>4.33</v>
      </c>
      <c r="Q40" s="34">
        <v>245967</v>
      </c>
      <c r="R40" s="34">
        <v>0</v>
      </c>
      <c r="S40" s="34">
        <v>245967</v>
      </c>
      <c r="T40" s="34">
        <v>46077</v>
      </c>
      <c r="U40" s="34">
        <v>51612</v>
      </c>
      <c r="V40" s="34">
        <v>0</v>
      </c>
      <c r="W40" s="34">
        <v>26057</v>
      </c>
      <c r="X40" s="34">
        <v>3097</v>
      </c>
      <c r="Y40" s="34">
        <v>372810</v>
      </c>
      <c r="Z40" s="34">
        <v>49883</v>
      </c>
      <c r="AA40" s="34">
        <v>322927</v>
      </c>
      <c r="AB40" s="34">
        <v>168097</v>
      </c>
      <c r="AC40" s="34">
        <v>154830</v>
      </c>
    </row>
    <row r="41" spans="1:29" x14ac:dyDescent="0.25">
      <c r="A41" s="31" t="s">
        <v>22</v>
      </c>
      <c r="B41" s="31" t="s">
        <v>729</v>
      </c>
      <c r="C41" s="31" t="s">
        <v>40</v>
      </c>
      <c r="D41" s="31" t="s">
        <v>449</v>
      </c>
      <c r="E41" s="32">
        <v>51.2</v>
      </c>
      <c r="F41" s="33">
        <v>495.9</v>
      </c>
      <c r="G41" s="32">
        <v>547.1</v>
      </c>
      <c r="H41" s="32">
        <v>0</v>
      </c>
      <c r="I41" s="34">
        <v>7</v>
      </c>
      <c r="J41" s="33">
        <v>0</v>
      </c>
      <c r="K41" s="34">
        <v>503</v>
      </c>
      <c r="L41" s="32">
        <v>343.89</v>
      </c>
      <c r="M41" s="32">
        <v>62.52</v>
      </c>
      <c r="N41" s="32">
        <v>70.03</v>
      </c>
      <c r="O41" s="32">
        <v>36.43</v>
      </c>
      <c r="P41" s="32">
        <v>4.33</v>
      </c>
      <c r="Q41" s="34">
        <v>188142</v>
      </c>
      <c r="R41" s="34">
        <v>0</v>
      </c>
      <c r="S41" s="34">
        <v>188142</v>
      </c>
      <c r="T41" s="34">
        <v>31448</v>
      </c>
      <c r="U41" s="34">
        <v>35225</v>
      </c>
      <c r="V41" s="34">
        <v>0</v>
      </c>
      <c r="W41" s="34">
        <v>19931</v>
      </c>
      <c r="X41" s="34">
        <v>2369</v>
      </c>
      <c r="Y41" s="34">
        <v>277115</v>
      </c>
      <c r="Z41" s="34">
        <v>29831</v>
      </c>
      <c r="AA41" s="34">
        <v>247284</v>
      </c>
      <c r="AB41" s="34">
        <v>136903</v>
      </c>
      <c r="AC41" s="34">
        <v>110381</v>
      </c>
    </row>
    <row r="42" spans="1:29" x14ac:dyDescent="0.25">
      <c r="A42" s="31" t="s">
        <v>22</v>
      </c>
      <c r="B42" s="31" t="s">
        <v>729</v>
      </c>
      <c r="C42" s="31" t="s">
        <v>41</v>
      </c>
      <c r="D42" s="31" t="s">
        <v>450</v>
      </c>
      <c r="E42" s="32">
        <v>43.22</v>
      </c>
      <c r="F42" s="33">
        <v>236.4</v>
      </c>
      <c r="G42" s="32">
        <v>279.62</v>
      </c>
      <c r="H42" s="32">
        <v>0</v>
      </c>
      <c r="I42" s="34">
        <v>30</v>
      </c>
      <c r="J42" s="33">
        <v>0</v>
      </c>
      <c r="K42" s="34">
        <v>266</v>
      </c>
      <c r="L42" s="32">
        <v>343.89</v>
      </c>
      <c r="M42" s="32">
        <v>62.52</v>
      </c>
      <c r="N42" s="32">
        <v>70.03</v>
      </c>
      <c r="O42" s="32">
        <v>36.43</v>
      </c>
      <c r="P42" s="32">
        <v>4.33</v>
      </c>
      <c r="Q42" s="34">
        <v>96159</v>
      </c>
      <c r="R42" s="34">
        <v>12862</v>
      </c>
      <c r="S42" s="34">
        <v>109021</v>
      </c>
      <c r="T42" s="34">
        <v>16630</v>
      </c>
      <c r="U42" s="34">
        <v>18628</v>
      </c>
      <c r="V42" s="34">
        <v>0</v>
      </c>
      <c r="W42" s="34">
        <v>10868</v>
      </c>
      <c r="X42" s="34">
        <v>1291</v>
      </c>
      <c r="Y42" s="34">
        <v>156438</v>
      </c>
      <c r="Z42" s="34">
        <v>28015</v>
      </c>
      <c r="AA42" s="34">
        <v>128423</v>
      </c>
      <c r="AB42" s="34">
        <v>57964</v>
      </c>
      <c r="AC42" s="34">
        <v>70459</v>
      </c>
    </row>
    <row r="43" spans="1:29" x14ac:dyDescent="0.25">
      <c r="A43" s="31" t="s">
        <v>22</v>
      </c>
      <c r="B43" s="31" t="s">
        <v>729</v>
      </c>
      <c r="C43" s="31" t="s">
        <v>42</v>
      </c>
      <c r="D43" s="31" t="s">
        <v>451</v>
      </c>
      <c r="E43" s="32">
        <v>52.7</v>
      </c>
      <c r="F43" s="33">
        <v>402</v>
      </c>
      <c r="G43" s="32">
        <v>454.7</v>
      </c>
      <c r="H43" s="32">
        <v>0</v>
      </c>
      <c r="I43" s="34">
        <v>12</v>
      </c>
      <c r="J43" s="33">
        <v>0</v>
      </c>
      <c r="K43" s="34">
        <v>414</v>
      </c>
      <c r="L43" s="32">
        <v>343.89</v>
      </c>
      <c r="M43" s="32">
        <v>62.52</v>
      </c>
      <c r="N43" s="32">
        <v>70.03</v>
      </c>
      <c r="O43" s="32">
        <v>36.43</v>
      </c>
      <c r="P43" s="32">
        <v>4.33</v>
      </c>
      <c r="Q43" s="34">
        <v>156367</v>
      </c>
      <c r="R43" s="34">
        <v>13868</v>
      </c>
      <c r="S43" s="34">
        <v>170235</v>
      </c>
      <c r="T43" s="34">
        <v>25883</v>
      </c>
      <c r="U43" s="34">
        <v>28992</v>
      </c>
      <c r="V43" s="34">
        <v>0</v>
      </c>
      <c r="W43" s="34">
        <v>16565</v>
      </c>
      <c r="X43" s="34">
        <v>1969</v>
      </c>
      <c r="Y43" s="34">
        <v>243644</v>
      </c>
      <c r="Z43" s="34">
        <v>41097</v>
      </c>
      <c r="AA43" s="34">
        <v>202547</v>
      </c>
      <c r="AB43" s="34">
        <v>97478</v>
      </c>
      <c r="AC43" s="34">
        <v>105069</v>
      </c>
    </row>
    <row r="44" spans="1:29" x14ac:dyDescent="0.25">
      <c r="A44" s="31" t="s">
        <v>22</v>
      </c>
      <c r="B44" s="31" t="s">
        <v>729</v>
      </c>
      <c r="C44" s="31" t="s">
        <v>44</v>
      </c>
      <c r="D44" s="31" t="s">
        <v>452</v>
      </c>
      <c r="E44" s="32">
        <v>129.01</v>
      </c>
      <c r="F44" s="33">
        <v>1065.8</v>
      </c>
      <c r="G44" s="32">
        <v>1194.81</v>
      </c>
      <c r="H44" s="32">
        <v>0</v>
      </c>
      <c r="I44" s="34">
        <v>6</v>
      </c>
      <c r="J44" s="33">
        <v>0</v>
      </c>
      <c r="K44" s="34">
        <v>1072</v>
      </c>
      <c r="L44" s="32">
        <v>343.89</v>
      </c>
      <c r="M44" s="32">
        <v>62.52</v>
      </c>
      <c r="N44" s="32">
        <v>70.03</v>
      </c>
      <c r="O44" s="32">
        <v>36.43</v>
      </c>
      <c r="P44" s="32">
        <v>4.33</v>
      </c>
      <c r="Q44" s="34">
        <v>410883</v>
      </c>
      <c r="R44" s="34">
        <v>0</v>
      </c>
      <c r="S44" s="34">
        <v>410883</v>
      </c>
      <c r="T44" s="34">
        <v>67021</v>
      </c>
      <c r="U44" s="34">
        <v>75072</v>
      </c>
      <c r="V44" s="34">
        <v>0</v>
      </c>
      <c r="W44" s="34">
        <v>43527</v>
      </c>
      <c r="X44" s="34">
        <v>5174</v>
      </c>
      <c r="Y44" s="34">
        <v>601677</v>
      </c>
      <c r="Z44" s="34">
        <v>60802</v>
      </c>
      <c r="AA44" s="34">
        <v>540875</v>
      </c>
      <c r="AB44" s="34">
        <v>303329</v>
      </c>
      <c r="AC44" s="34">
        <v>237546</v>
      </c>
    </row>
    <row r="45" spans="1:29" x14ac:dyDescent="0.25">
      <c r="A45" s="31" t="s">
        <v>22</v>
      </c>
      <c r="B45" s="31" t="s">
        <v>729</v>
      </c>
      <c r="C45" s="31" t="s">
        <v>45</v>
      </c>
      <c r="D45" s="31" t="s">
        <v>453</v>
      </c>
      <c r="E45" s="32">
        <v>15.64</v>
      </c>
      <c r="F45" s="33">
        <v>186.7</v>
      </c>
      <c r="G45" s="32">
        <v>202.34</v>
      </c>
      <c r="H45" s="32">
        <v>0</v>
      </c>
      <c r="I45" s="34">
        <v>6</v>
      </c>
      <c r="J45" s="33">
        <v>0</v>
      </c>
      <c r="K45" s="34">
        <v>193</v>
      </c>
      <c r="L45" s="32">
        <v>343.89</v>
      </c>
      <c r="M45" s="32">
        <v>62.52</v>
      </c>
      <c r="N45" s="32">
        <v>70.03</v>
      </c>
      <c r="O45" s="32">
        <v>36.43</v>
      </c>
      <c r="P45" s="32">
        <v>4.33</v>
      </c>
      <c r="Q45" s="34">
        <v>69583</v>
      </c>
      <c r="R45" s="34">
        <v>2532</v>
      </c>
      <c r="S45" s="34">
        <v>72115</v>
      </c>
      <c r="T45" s="34">
        <v>12066</v>
      </c>
      <c r="U45" s="34">
        <v>13516</v>
      </c>
      <c r="V45" s="34">
        <v>0</v>
      </c>
      <c r="W45" s="34">
        <v>7371</v>
      </c>
      <c r="X45" s="34">
        <v>876</v>
      </c>
      <c r="Y45" s="34">
        <v>105944</v>
      </c>
      <c r="Z45" s="34">
        <v>13629</v>
      </c>
      <c r="AA45" s="34">
        <v>92315</v>
      </c>
      <c r="AB45" s="34">
        <v>48036</v>
      </c>
      <c r="AC45" s="34">
        <v>44279</v>
      </c>
    </row>
    <row r="46" spans="1:29" x14ac:dyDescent="0.25">
      <c r="A46" s="31" t="s">
        <v>22</v>
      </c>
      <c r="B46" s="31" t="s">
        <v>729</v>
      </c>
      <c r="C46" s="31" t="s">
        <v>46</v>
      </c>
      <c r="D46" s="31" t="s">
        <v>454</v>
      </c>
      <c r="E46" s="32">
        <v>95.67</v>
      </c>
      <c r="F46" s="33">
        <v>669.8</v>
      </c>
      <c r="G46" s="32">
        <v>765.47</v>
      </c>
      <c r="H46" s="32">
        <v>0</v>
      </c>
      <c r="I46" s="34">
        <v>83</v>
      </c>
      <c r="J46" s="33">
        <v>6.6</v>
      </c>
      <c r="K46" s="34">
        <v>746</v>
      </c>
      <c r="L46" s="32">
        <v>343.89</v>
      </c>
      <c r="M46" s="32">
        <v>62.52</v>
      </c>
      <c r="N46" s="32">
        <v>70.03</v>
      </c>
      <c r="O46" s="32">
        <v>36.43</v>
      </c>
      <c r="P46" s="32">
        <v>4.33</v>
      </c>
      <c r="Q46" s="34">
        <v>263237</v>
      </c>
      <c r="R46" s="34">
        <v>2810</v>
      </c>
      <c r="S46" s="34">
        <v>266047</v>
      </c>
      <c r="T46" s="34">
        <v>46640</v>
      </c>
      <c r="U46" s="34">
        <v>52242</v>
      </c>
      <c r="V46" s="34">
        <v>0</v>
      </c>
      <c r="W46" s="34">
        <v>27886</v>
      </c>
      <c r="X46" s="34">
        <v>3314</v>
      </c>
      <c r="Y46" s="34">
        <v>396129</v>
      </c>
      <c r="Z46" s="34">
        <v>68434</v>
      </c>
      <c r="AA46" s="34">
        <v>327695</v>
      </c>
      <c r="AB46" s="34">
        <v>164850</v>
      </c>
      <c r="AC46" s="34">
        <v>162845</v>
      </c>
    </row>
    <row r="47" spans="1:29" x14ac:dyDescent="0.25">
      <c r="A47" s="31" t="s">
        <v>22</v>
      </c>
      <c r="B47" s="31" t="s">
        <v>729</v>
      </c>
      <c r="C47" s="31" t="s">
        <v>47</v>
      </c>
      <c r="D47" s="31" t="s">
        <v>455</v>
      </c>
      <c r="E47" s="32">
        <v>31.7</v>
      </c>
      <c r="F47" s="33">
        <v>193</v>
      </c>
      <c r="G47" s="32">
        <v>224.7</v>
      </c>
      <c r="H47" s="32">
        <v>0</v>
      </c>
      <c r="I47" s="34">
        <v>7</v>
      </c>
      <c r="J47" s="33">
        <v>0</v>
      </c>
      <c r="K47" s="34">
        <v>200</v>
      </c>
      <c r="L47" s="32">
        <v>343.89</v>
      </c>
      <c r="M47" s="32">
        <v>62.52</v>
      </c>
      <c r="N47" s="32">
        <v>70.03</v>
      </c>
      <c r="O47" s="32">
        <v>36.43</v>
      </c>
      <c r="P47" s="32">
        <v>4.33</v>
      </c>
      <c r="Q47" s="34">
        <v>77272</v>
      </c>
      <c r="R47" s="34">
        <v>9203</v>
      </c>
      <c r="S47" s="34">
        <v>86475</v>
      </c>
      <c r="T47" s="34">
        <v>12504</v>
      </c>
      <c r="U47" s="34">
        <v>14006</v>
      </c>
      <c r="V47" s="34">
        <v>0</v>
      </c>
      <c r="W47" s="34">
        <v>8332</v>
      </c>
      <c r="X47" s="34">
        <v>990</v>
      </c>
      <c r="Y47" s="34">
        <v>122307</v>
      </c>
      <c r="Z47" s="34">
        <v>17227</v>
      </c>
      <c r="AA47" s="34">
        <v>105080</v>
      </c>
      <c r="AB47" s="34">
        <v>51416</v>
      </c>
      <c r="AC47" s="34">
        <v>53664</v>
      </c>
    </row>
    <row r="48" spans="1:29" x14ac:dyDescent="0.25">
      <c r="A48" s="31" t="s">
        <v>22</v>
      </c>
      <c r="B48" s="31" t="s">
        <v>729</v>
      </c>
      <c r="C48" s="31" t="s">
        <v>48</v>
      </c>
      <c r="D48" s="31" t="s">
        <v>456</v>
      </c>
      <c r="E48" s="32">
        <v>46.09</v>
      </c>
      <c r="F48" s="33">
        <v>356</v>
      </c>
      <c r="G48" s="32">
        <v>402.09</v>
      </c>
      <c r="H48" s="32">
        <v>0</v>
      </c>
      <c r="I48" s="34">
        <v>14</v>
      </c>
      <c r="J48" s="33">
        <v>0</v>
      </c>
      <c r="K48" s="34">
        <v>370</v>
      </c>
      <c r="L48" s="32">
        <v>343.89</v>
      </c>
      <c r="M48" s="32">
        <v>62.52</v>
      </c>
      <c r="N48" s="32">
        <v>70.03</v>
      </c>
      <c r="O48" s="32">
        <v>36.43</v>
      </c>
      <c r="P48" s="32">
        <v>4.33</v>
      </c>
      <c r="Q48" s="34">
        <v>138275</v>
      </c>
      <c r="R48" s="34">
        <v>3817</v>
      </c>
      <c r="S48" s="34">
        <v>142092</v>
      </c>
      <c r="T48" s="34">
        <v>23132</v>
      </c>
      <c r="U48" s="34">
        <v>25911</v>
      </c>
      <c r="V48" s="34">
        <v>0</v>
      </c>
      <c r="W48" s="34">
        <v>15065</v>
      </c>
      <c r="X48" s="34">
        <v>1790</v>
      </c>
      <c r="Y48" s="34">
        <v>207990</v>
      </c>
      <c r="Z48" s="34">
        <v>31176</v>
      </c>
      <c r="AA48" s="34">
        <v>176814</v>
      </c>
      <c r="AB48" s="34">
        <v>91831</v>
      </c>
      <c r="AC48" s="34">
        <v>84983</v>
      </c>
    </row>
    <row r="49" spans="1:29" x14ac:dyDescent="0.25">
      <c r="A49" s="31" t="s">
        <v>22</v>
      </c>
      <c r="B49" s="31" t="s">
        <v>729</v>
      </c>
      <c r="C49" s="31" t="s">
        <v>49</v>
      </c>
      <c r="D49" s="31" t="s">
        <v>457</v>
      </c>
      <c r="E49" s="32">
        <v>66.349999999999994</v>
      </c>
      <c r="F49" s="33">
        <v>441.3</v>
      </c>
      <c r="G49" s="32">
        <v>507.65</v>
      </c>
      <c r="H49" s="32">
        <v>0</v>
      </c>
      <c r="I49" s="34">
        <v>7</v>
      </c>
      <c r="J49" s="33">
        <v>0</v>
      </c>
      <c r="K49" s="34">
        <v>448</v>
      </c>
      <c r="L49" s="32">
        <v>343.89</v>
      </c>
      <c r="M49" s="32">
        <v>62.52</v>
      </c>
      <c r="N49" s="32">
        <v>70.03</v>
      </c>
      <c r="O49" s="32">
        <v>36.43</v>
      </c>
      <c r="P49" s="32">
        <v>4.33</v>
      </c>
      <c r="Q49" s="34">
        <v>174576</v>
      </c>
      <c r="R49" s="34">
        <v>0</v>
      </c>
      <c r="S49" s="34">
        <v>174576</v>
      </c>
      <c r="T49" s="34">
        <v>28009</v>
      </c>
      <c r="U49" s="34">
        <v>31373</v>
      </c>
      <c r="V49" s="34">
        <v>0</v>
      </c>
      <c r="W49" s="34">
        <v>18494</v>
      </c>
      <c r="X49" s="34">
        <v>2198</v>
      </c>
      <c r="Y49" s="34">
        <v>254650</v>
      </c>
      <c r="Z49" s="34">
        <v>38279</v>
      </c>
      <c r="AA49" s="34">
        <v>216371</v>
      </c>
      <c r="AB49" s="34">
        <v>116433</v>
      </c>
      <c r="AC49" s="34">
        <v>99938</v>
      </c>
    </row>
    <row r="50" spans="1:29" x14ac:dyDescent="0.25">
      <c r="A50" s="31" t="s">
        <v>22</v>
      </c>
      <c r="B50" s="31" t="s">
        <v>729</v>
      </c>
      <c r="C50" s="31" t="s">
        <v>50</v>
      </c>
      <c r="D50" s="31" t="s">
        <v>458</v>
      </c>
      <c r="E50" s="32">
        <v>107.54</v>
      </c>
      <c r="F50" s="33">
        <v>928.5</v>
      </c>
      <c r="G50" s="32">
        <v>1036.04</v>
      </c>
      <c r="H50" s="32">
        <v>0</v>
      </c>
      <c r="I50" s="34">
        <v>33</v>
      </c>
      <c r="J50" s="33">
        <v>0</v>
      </c>
      <c r="K50" s="34">
        <v>962</v>
      </c>
      <c r="L50" s="32">
        <v>343.89</v>
      </c>
      <c r="M50" s="32">
        <v>62.52</v>
      </c>
      <c r="N50" s="32">
        <v>70.03</v>
      </c>
      <c r="O50" s="32">
        <v>36.43</v>
      </c>
      <c r="P50" s="32">
        <v>4.33</v>
      </c>
      <c r="Q50" s="34">
        <v>356284</v>
      </c>
      <c r="R50" s="34">
        <v>0</v>
      </c>
      <c r="S50" s="34">
        <v>356284</v>
      </c>
      <c r="T50" s="34">
        <v>60144</v>
      </c>
      <c r="U50" s="34">
        <v>67369</v>
      </c>
      <c r="V50" s="34">
        <v>0</v>
      </c>
      <c r="W50" s="34">
        <v>37743</v>
      </c>
      <c r="X50" s="34">
        <v>4486</v>
      </c>
      <c r="Y50" s="34">
        <v>526026</v>
      </c>
      <c r="Z50" s="34">
        <v>72346</v>
      </c>
      <c r="AA50" s="34">
        <v>453680</v>
      </c>
      <c r="AB50" s="34">
        <v>243398</v>
      </c>
      <c r="AC50" s="34">
        <v>210282</v>
      </c>
    </row>
    <row r="51" spans="1:29" x14ac:dyDescent="0.25">
      <c r="A51" s="31" t="s">
        <v>22</v>
      </c>
      <c r="B51" s="31" t="s">
        <v>729</v>
      </c>
      <c r="C51" s="31" t="s">
        <v>51</v>
      </c>
      <c r="D51" s="31" t="s">
        <v>459</v>
      </c>
      <c r="E51" s="32">
        <v>62.4</v>
      </c>
      <c r="F51" s="33">
        <v>626.70000000000005</v>
      </c>
      <c r="G51" s="32">
        <v>689.1</v>
      </c>
      <c r="H51" s="32">
        <v>0</v>
      </c>
      <c r="I51" s="34">
        <v>0</v>
      </c>
      <c r="J51" s="33">
        <v>0</v>
      </c>
      <c r="K51" s="34">
        <v>627</v>
      </c>
      <c r="L51" s="32">
        <v>343.89</v>
      </c>
      <c r="M51" s="32">
        <v>62.52</v>
      </c>
      <c r="N51" s="32">
        <v>70.03</v>
      </c>
      <c r="O51" s="32">
        <v>36.43</v>
      </c>
      <c r="P51" s="32">
        <v>4.33</v>
      </c>
      <c r="Q51" s="34">
        <v>236975</v>
      </c>
      <c r="R51" s="34">
        <v>0</v>
      </c>
      <c r="S51" s="34">
        <v>236975</v>
      </c>
      <c r="T51" s="34">
        <v>39200</v>
      </c>
      <c r="U51" s="34">
        <v>43909</v>
      </c>
      <c r="V51" s="34">
        <v>0</v>
      </c>
      <c r="W51" s="34">
        <v>25104</v>
      </c>
      <c r="X51" s="34">
        <v>2984</v>
      </c>
      <c r="Y51" s="34">
        <v>348172</v>
      </c>
      <c r="Z51" s="34">
        <v>46153</v>
      </c>
      <c r="AA51" s="34">
        <v>302019</v>
      </c>
      <c r="AB51" s="34">
        <v>163857</v>
      </c>
      <c r="AC51" s="34">
        <v>138162</v>
      </c>
    </row>
    <row r="52" spans="1:29" x14ac:dyDescent="0.25">
      <c r="A52" s="31" t="s">
        <v>22</v>
      </c>
      <c r="B52" s="31" t="s">
        <v>729</v>
      </c>
      <c r="C52" s="31" t="s">
        <v>52</v>
      </c>
      <c r="D52" s="31" t="s">
        <v>739</v>
      </c>
      <c r="E52" s="32">
        <v>133.49</v>
      </c>
      <c r="F52" s="33">
        <v>1093.7</v>
      </c>
      <c r="G52" s="32">
        <v>1227.19</v>
      </c>
      <c r="H52" s="32">
        <v>0</v>
      </c>
      <c r="I52" s="34">
        <v>24</v>
      </c>
      <c r="J52" s="33">
        <v>0</v>
      </c>
      <c r="K52" s="34">
        <v>1118</v>
      </c>
      <c r="L52" s="32">
        <v>343.89</v>
      </c>
      <c r="M52" s="32">
        <v>62.52</v>
      </c>
      <c r="N52" s="32">
        <v>70.03</v>
      </c>
      <c r="O52" s="32">
        <v>36.43</v>
      </c>
      <c r="P52" s="32">
        <v>4.33</v>
      </c>
      <c r="Q52" s="34">
        <v>422018</v>
      </c>
      <c r="R52" s="34">
        <v>0</v>
      </c>
      <c r="S52" s="34">
        <v>422018</v>
      </c>
      <c r="T52" s="34">
        <v>69897</v>
      </c>
      <c r="U52" s="34">
        <v>78294</v>
      </c>
      <c r="V52" s="34">
        <v>0</v>
      </c>
      <c r="W52" s="34">
        <v>44707</v>
      </c>
      <c r="X52" s="34">
        <v>5314</v>
      </c>
      <c r="Y52" s="34">
        <v>620230</v>
      </c>
      <c r="Z52" s="34">
        <v>93556</v>
      </c>
      <c r="AA52" s="34">
        <v>526674</v>
      </c>
      <c r="AB52" s="34">
        <v>280443</v>
      </c>
      <c r="AC52" s="34">
        <v>246231</v>
      </c>
    </row>
    <row r="53" spans="1:29" x14ac:dyDescent="0.25">
      <c r="A53" s="31" t="s">
        <v>22</v>
      </c>
      <c r="B53" s="31" t="s">
        <v>729</v>
      </c>
      <c r="C53" s="31" t="s">
        <v>53</v>
      </c>
      <c r="D53" s="31" t="s">
        <v>460</v>
      </c>
      <c r="E53" s="32">
        <v>383.95</v>
      </c>
      <c r="F53" s="33">
        <v>2025.3</v>
      </c>
      <c r="G53" s="32">
        <v>2409.25</v>
      </c>
      <c r="H53" s="32">
        <v>0</v>
      </c>
      <c r="I53" s="34">
        <v>201</v>
      </c>
      <c r="J53" s="33">
        <v>0.4</v>
      </c>
      <c r="K53" s="34">
        <v>2226</v>
      </c>
      <c r="L53" s="32">
        <v>343.89</v>
      </c>
      <c r="M53" s="32">
        <v>62.52</v>
      </c>
      <c r="N53" s="32">
        <v>70.03</v>
      </c>
      <c r="O53" s="32">
        <v>36.43</v>
      </c>
      <c r="P53" s="32">
        <v>4.33</v>
      </c>
      <c r="Q53" s="34">
        <v>828517</v>
      </c>
      <c r="R53" s="34">
        <v>0</v>
      </c>
      <c r="S53" s="34">
        <v>828517</v>
      </c>
      <c r="T53" s="34">
        <v>139170</v>
      </c>
      <c r="U53" s="34">
        <v>155887</v>
      </c>
      <c r="V53" s="34">
        <v>0</v>
      </c>
      <c r="W53" s="34">
        <v>87769</v>
      </c>
      <c r="X53" s="34">
        <v>10432</v>
      </c>
      <c r="Y53" s="34">
        <v>1221775</v>
      </c>
      <c r="Z53" s="34">
        <v>132688</v>
      </c>
      <c r="AA53" s="34">
        <v>1089087</v>
      </c>
      <c r="AB53" s="34">
        <v>601555</v>
      </c>
      <c r="AC53" s="34">
        <v>487532</v>
      </c>
    </row>
    <row r="54" spans="1:29" x14ac:dyDescent="0.25">
      <c r="A54" s="31" t="s">
        <v>22</v>
      </c>
      <c r="B54" s="31" t="s">
        <v>729</v>
      </c>
      <c r="C54" s="31" t="s">
        <v>54</v>
      </c>
      <c r="D54" s="31" t="s">
        <v>461</v>
      </c>
      <c r="E54" s="32">
        <v>120.19</v>
      </c>
      <c r="F54" s="33">
        <v>1167.9000000000001</v>
      </c>
      <c r="G54" s="32">
        <v>1288.0899999999999</v>
      </c>
      <c r="H54" s="32">
        <v>0</v>
      </c>
      <c r="I54" s="34">
        <v>0</v>
      </c>
      <c r="J54" s="33">
        <v>0</v>
      </c>
      <c r="K54" s="34">
        <v>1168</v>
      </c>
      <c r="L54" s="32">
        <v>343.89</v>
      </c>
      <c r="M54" s="32">
        <v>62.52</v>
      </c>
      <c r="N54" s="32">
        <v>70.03</v>
      </c>
      <c r="O54" s="32">
        <v>36.43</v>
      </c>
      <c r="P54" s="32">
        <v>4.33</v>
      </c>
      <c r="Q54" s="34">
        <v>442961</v>
      </c>
      <c r="R54" s="34">
        <v>0</v>
      </c>
      <c r="S54" s="34">
        <v>442961</v>
      </c>
      <c r="T54" s="34">
        <v>73023</v>
      </c>
      <c r="U54" s="34">
        <v>81795</v>
      </c>
      <c r="V54" s="34">
        <v>0</v>
      </c>
      <c r="W54" s="34">
        <v>46925</v>
      </c>
      <c r="X54" s="34">
        <v>5577</v>
      </c>
      <c r="Y54" s="34">
        <v>650281</v>
      </c>
      <c r="Z54" s="34">
        <v>73552</v>
      </c>
      <c r="AA54" s="34">
        <v>576729</v>
      </c>
      <c r="AB54" s="34">
        <v>319006</v>
      </c>
      <c r="AC54" s="34">
        <v>257723</v>
      </c>
    </row>
    <row r="55" spans="1:29" x14ac:dyDescent="0.25">
      <c r="A55" s="31" t="s">
        <v>22</v>
      </c>
      <c r="B55" s="31" t="s">
        <v>729</v>
      </c>
      <c r="C55" s="31" t="s">
        <v>55</v>
      </c>
      <c r="D55" s="31" t="s">
        <v>462</v>
      </c>
      <c r="E55" s="32">
        <v>356</v>
      </c>
      <c r="F55" s="33">
        <v>2531.6999999999998</v>
      </c>
      <c r="G55" s="32">
        <v>2887.7</v>
      </c>
      <c r="H55" s="32">
        <v>0</v>
      </c>
      <c r="I55" s="34">
        <v>176</v>
      </c>
      <c r="J55" s="33">
        <v>5.3</v>
      </c>
      <c r="K55" s="34">
        <v>2702</v>
      </c>
      <c r="L55" s="32">
        <v>343.89</v>
      </c>
      <c r="M55" s="32">
        <v>62.52</v>
      </c>
      <c r="N55" s="32">
        <v>70.03</v>
      </c>
      <c r="O55" s="32">
        <v>36.43</v>
      </c>
      <c r="P55" s="32">
        <v>4.33</v>
      </c>
      <c r="Q55" s="34">
        <v>993051</v>
      </c>
      <c r="R55" s="34">
        <v>0</v>
      </c>
      <c r="S55" s="34">
        <v>993051</v>
      </c>
      <c r="T55" s="34">
        <v>168929</v>
      </c>
      <c r="U55" s="34">
        <v>189221</v>
      </c>
      <c r="V55" s="34">
        <v>0</v>
      </c>
      <c r="W55" s="34">
        <v>105199</v>
      </c>
      <c r="X55" s="34">
        <v>12504</v>
      </c>
      <c r="Y55" s="34">
        <v>1468904</v>
      </c>
      <c r="Z55" s="34">
        <v>117168</v>
      </c>
      <c r="AA55" s="34">
        <v>1351736</v>
      </c>
      <c r="AB55" s="34">
        <v>762888</v>
      </c>
      <c r="AC55" s="34">
        <v>588848</v>
      </c>
    </row>
    <row r="56" spans="1:29" x14ac:dyDescent="0.25">
      <c r="A56" s="31" t="s">
        <v>22</v>
      </c>
      <c r="B56" s="31" t="s">
        <v>729</v>
      </c>
      <c r="C56" s="31" t="s">
        <v>56</v>
      </c>
      <c r="D56" s="31" t="s">
        <v>463</v>
      </c>
      <c r="E56" s="32">
        <v>23.34</v>
      </c>
      <c r="F56" s="33">
        <v>132.80000000000001</v>
      </c>
      <c r="G56" s="32">
        <v>156.13999999999999</v>
      </c>
      <c r="H56" s="32">
        <v>0</v>
      </c>
      <c r="I56" s="34">
        <v>4</v>
      </c>
      <c r="J56" s="33">
        <v>0</v>
      </c>
      <c r="K56" s="34">
        <v>137</v>
      </c>
      <c r="L56" s="32">
        <v>343.89</v>
      </c>
      <c r="M56" s="32">
        <v>62.52</v>
      </c>
      <c r="N56" s="32">
        <v>70.03</v>
      </c>
      <c r="O56" s="32">
        <v>36.43</v>
      </c>
      <c r="P56" s="32">
        <v>4.33</v>
      </c>
      <c r="Q56" s="34">
        <v>53695</v>
      </c>
      <c r="R56" s="34">
        <v>9816</v>
      </c>
      <c r="S56" s="34">
        <v>63511</v>
      </c>
      <c r="T56" s="34">
        <v>8565</v>
      </c>
      <c r="U56" s="34">
        <v>9594</v>
      </c>
      <c r="V56" s="34">
        <v>0</v>
      </c>
      <c r="W56" s="34">
        <v>5688</v>
      </c>
      <c r="X56" s="34">
        <v>676</v>
      </c>
      <c r="Y56" s="34">
        <v>88034</v>
      </c>
      <c r="Z56" s="34">
        <v>13144</v>
      </c>
      <c r="AA56" s="34">
        <v>74890</v>
      </c>
      <c r="AB56" s="34">
        <v>34441</v>
      </c>
      <c r="AC56" s="34">
        <v>40449</v>
      </c>
    </row>
    <row r="57" spans="1:29" x14ac:dyDescent="0.25">
      <c r="A57" s="31" t="s">
        <v>22</v>
      </c>
      <c r="B57" s="31" t="s">
        <v>729</v>
      </c>
      <c r="C57" s="31" t="s">
        <v>57</v>
      </c>
      <c r="D57" s="31" t="s">
        <v>464</v>
      </c>
      <c r="E57" s="32">
        <v>32.299999999999997</v>
      </c>
      <c r="F57" s="33">
        <v>160</v>
      </c>
      <c r="G57" s="32">
        <v>192.3</v>
      </c>
      <c r="H57" s="32">
        <v>0</v>
      </c>
      <c r="I57" s="34">
        <v>16</v>
      </c>
      <c r="J57" s="33">
        <v>0</v>
      </c>
      <c r="K57" s="34">
        <v>176</v>
      </c>
      <c r="L57" s="32">
        <v>343.89</v>
      </c>
      <c r="M57" s="32">
        <v>62.52</v>
      </c>
      <c r="N57" s="32">
        <v>70.03</v>
      </c>
      <c r="O57" s="32">
        <v>36.43</v>
      </c>
      <c r="P57" s="32">
        <v>4.33</v>
      </c>
      <c r="Q57" s="34">
        <v>66130</v>
      </c>
      <c r="R57" s="34">
        <v>0</v>
      </c>
      <c r="S57" s="34">
        <v>66130</v>
      </c>
      <c r="T57" s="34">
        <v>11004</v>
      </c>
      <c r="U57" s="34">
        <v>12325</v>
      </c>
      <c r="V57" s="34">
        <v>0</v>
      </c>
      <c r="W57" s="34">
        <v>7005</v>
      </c>
      <c r="X57" s="34">
        <v>833</v>
      </c>
      <c r="Y57" s="34">
        <v>97297</v>
      </c>
      <c r="Z57" s="34">
        <v>15146</v>
      </c>
      <c r="AA57" s="34">
        <v>82151</v>
      </c>
      <c r="AB57" s="34">
        <v>43459</v>
      </c>
      <c r="AC57" s="34">
        <v>38692</v>
      </c>
    </row>
    <row r="58" spans="1:29" x14ac:dyDescent="0.25">
      <c r="A58" s="31" t="s">
        <v>22</v>
      </c>
      <c r="B58" s="31" t="s">
        <v>729</v>
      </c>
      <c r="C58" s="31" t="s">
        <v>58</v>
      </c>
      <c r="D58" s="31" t="s">
        <v>465</v>
      </c>
      <c r="E58" s="32">
        <v>189.81</v>
      </c>
      <c r="F58" s="33">
        <v>1729.2</v>
      </c>
      <c r="G58" s="32">
        <v>1919.01</v>
      </c>
      <c r="H58" s="32">
        <v>0</v>
      </c>
      <c r="I58" s="34">
        <v>90</v>
      </c>
      <c r="J58" s="33">
        <v>0.7</v>
      </c>
      <c r="K58" s="34">
        <v>1819</v>
      </c>
      <c r="L58" s="32">
        <v>343.89</v>
      </c>
      <c r="M58" s="32">
        <v>62.52</v>
      </c>
      <c r="N58" s="32">
        <v>70.03</v>
      </c>
      <c r="O58" s="32">
        <v>36.43</v>
      </c>
      <c r="P58" s="32">
        <v>4.33</v>
      </c>
      <c r="Q58" s="34">
        <v>659928</v>
      </c>
      <c r="R58" s="34">
        <v>0</v>
      </c>
      <c r="S58" s="34">
        <v>659928</v>
      </c>
      <c r="T58" s="34">
        <v>113724</v>
      </c>
      <c r="U58" s="34">
        <v>127385</v>
      </c>
      <c r="V58" s="34">
        <v>0</v>
      </c>
      <c r="W58" s="34">
        <v>69910</v>
      </c>
      <c r="X58" s="34">
        <v>8309</v>
      </c>
      <c r="Y58" s="34">
        <v>979256</v>
      </c>
      <c r="Z58" s="34">
        <v>123421</v>
      </c>
      <c r="AA58" s="34">
        <v>855835</v>
      </c>
      <c r="AB58" s="34">
        <v>461417</v>
      </c>
      <c r="AC58" s="34">
        <v>394418</v>
      </c>
    </row>
    <row r="59" spans="1:29" x14ac:dyDescent="0.25">
      <c r="A59" s="31" t="s">
        <v>22</v>
      </c>
      <c r="B59" s="31" t="s">
        <v>729</v>
      </c>
      <c r="C59" s="31" t="s">
        <v>59</v>
      </c>
      <c r="D59" s="31" t="s">
        <v>466</v>
      </c>
      <c r="E59" s="32">
        <v>29.99</v>
      </c>
      <c r="F59" s="33">
        <v>328.1</v>
      </c>
      <c r="G59" s="32">
        <v>358.09</v>
      </c>
      <c r="H59" s="32">
        <v>0</v>
      </c>
      <c r="I59" s="34">
        <v>27</v>
      </c>
      <c r="J59" s="33">
        <v>0</v>
      </c>
      <c r="K59" s="34">
        <v>355</v>
      </c>
      <c r="L59" s="32">
        <v>343.89</v>
      </c>
      <c r="M59" s="32">
        <v>62.52</v>
      </c>
      <c r="N59" s="32">
        <v>70.03</v>
      </c>
      <c r="O59" s="32">
        <v>36.43</v>
      </c>
      <c r="P59" s="32">
        <v>4.33</v>
      </c>
      <c r="Q59" s="34">
        <v>123144</v>
      </c>
      <c r="R59" s="34">
        <v>0</v>
      </c>
      <c r="S59" s="34">
        <v>123144</v>
      </c>
      <c r="T59" s="34">
        <v>22195</v>
      </c>
      <c r="U59" s="34">
        <v>24861</v>
      </c>
      <c r="V59" s="34">
        <v>0</v>
      </c>
      <c r="W59" s="34">
        <v>13045</v>
      </c>
      <c r="X59" s="34">
        <v>1551</v>
      </c>
      <c r="Y59" s="34">
        <v>184796</v>
      </c>
      <c r="Z59" s="34">
        <v>25688</v>
      </c>
      <c r="AA59" s="34">
        <v>159108</v>
      </c>
      <c r="AB59" s="34">
        <v>83444</v>
      </c>
      <c r="AC59" s="34">
        <v>75664</v>
      </c>
    </row>
    <row r="60" spans="1:29" x14ac:dyDescent="0.25">
      <c r="A60" s="31" t="s">
        <v>60</v>
      </c>
      <c r="B60" s="31" t="s">
        <v>730</v>
      </c>
      <c r="C60" s="31" t="s">
        <v>61</v>
      </c>
      <c r="D60" s="31" t="s">
        <v>62</v>
      </c>
      <c r="E60" s="32">
        <v>106.87</v>
      </c>
      <c r="F60" s="33">
        <v>686.4</v>
      </c>
      <c r="G60" s="32">
        <v>793.27</v>
      </c>
      <c r="H60" s="32">
        <v>1</v>
      </c>
      <c r="I60" s="34">
        <v>16</v>
      </c>
      <c r="J60" s="33">
        <v>0</v>
      </c>
      <c r="K60" s="34">
        <v>702</v>
      </c>
      <c r="L60" s="32">
        <v>337.26</v>
      </c>
      <c r="M60" s="32">
        <v>62.47</v>
      </c>
      <c r="N60" s="32">
        <v>69.650000000000006</v>
      </c>
      <c r="O60" s="32">
        <v>41.7</v>
      </c>
      <c r="P60" s="32">
        <v>4.8</v>
      </c>
      <c r="Q60" s="34">
        <v>267538</v>
      </c>
      <c r="R60" s="34">
        <v>0</v>
      </c>
      <c r="S60" s="34">
        <v>267538</v>
      </c>
      <c r="T60" s="34">
        <v>43854</v>
      </c>
      <c r="U60" s="34">
        <v>48894</v>
      </c>
      <c r="V60" s="34">
        <v>337</v>
      </c>
      <c r="W60" s="34">
        <v>33079</v>
      </c>
      <c r="X60" s="34">
        <v>3808</v>
      </c>
      <c r="Y60" s="34">
        <v>397510</v>
      </c>
      <c r="Z60" s="34">
        <v>54162</v>
      </c>
      <c r="AA60" s="34">
        <v>343348</v>
      </c>
      <c r="AB60" s="34">
        <v>192412</v>
      </c>
      <c r="AC60" s="34">
        <v>150936</v>
      </c>
    </row>
    <row r="61" spans="1:29" x14ac:dyDescent="0.25">
      <c r="A61" s="31" t="s">
        <v>60</v>
      </c>
      <c r="B61" s="31" t="s">
        <v>730</v>
      </c>
      <c r="C61" s="31" t="s">
        <v>63</v>
      </c>
      <c r="D61" s="31" t="s">
        <v>467</v>
      </c>
      <c r="E61" s="32">
        <v>19.329999999999998</v>
      </c>
      <c r="F61" s="33">
        <v>273.7</v>
      </c>
      <c r="G61" s="32">
        <v>293.02999999999997</v>
      </c>
      <c r="H61" s="32">
        <v>0.37</v>
      </c>
      <c r="I61" s="34">
        <v>0</v>
      </c>
      <c r="J61" s="33">
        <v>0</v>
      </c>
      <c r="K61" s="34">
        <v>274</v>
      </c>
      <c r="L61" s="32">
        <v>337.26</v>
      </c>
      <c r="M61" s="32">
        <v>62.47</v>
      </c>
      <c r="N61" s="32">
        <v>69.650000000000006</v>
      </c>
      <c r="O61" s="32">
        <v>41.7</v>
      </c>
      <c r="P61" s="32">
        <v>4.8</v>
      </c>
      <c r="Q61" s="34">
        <v>98827</v>
      </c>
      <c r="R61" s="34">
        <v>1128</v>
      </c>
      <c r="S61" s="34">
        <v>99955</v>
      </c>
      <c r="T61" s="34">
        <v>17117</v>
      </c>
      <c r="U61" s="34">
        <v>19084</v>
      </c>
      <c r="V61" s="34">
        <v>125</v>
      </c>
      <c r="W61" s="34">
        <v>12420</v>
      </c>
      <c r="X61" s="34">
        <v>1428</v>
      </c>
      <c r="Y61" s="34">
        <v>150129</v>
      </c>
      <c r="Z61" s="34">
        <v>19566</v>
      </c>
      <c r="AA61" s="34">
        <v>130563</v>
      </c>
      <c r="AB61" s="34">
        <v>71740</v>
      </c>
      <c r="AC61" s="34">
        <v>58823</v>
      </c>
    </row>
    <row r="62" spans="1:29" x14ac:dyDescent="0.25">
      <c r="A62" s="31" t="s">
        <v>60</v>
      </c>
      <c r="B62" s="31" t="s">
        <v>730</v>
      </c>
      <c r="C62" s="31" t="s">
        <v>64</v>
      </c>
      <c r="D62" s="31" t="s">
        <v>468</v>
      </c>
      <c r="E62" s="32">
        <v>115.6</v>
      </c>
      <c r="F62" s="33">
        <v>813.2</v>
      </c>
      <c r="G62" s="32">
        <v>928.8</v>
      </c>
      <c r="H62" s="32">
        <v>1.17</v>
      </c>
      <c r="I62" s="34">
        <v>17</v>
      </c>
      <c r="J62" s="33">
        <v>0</v>
      </c>
      <c r="K62" s="34">
        <v>830</v>
      </c>
      <c r="L62" s="32">
        <v>337.26</v>
      </c>
      <c r="M62" s="32">
        <v>62.47</v>
      </c>
      <c r="N62" s="32">
        <v>69.650000000000006</v>
      </c>
      <c r="O62" s="32">
        <v>41.7</v>
      </c>
      <c r="P62" s="32">
        <v>4.8</v>
      </c>
      <c r="Q62" s="34">
        <v>313247</v>
      </c>
      <c r="R62" s="34">
        <v>0</v>
      </c>
      <c r="S62" s="34">
        <v>313247</v>
      </c>
      <c r="T62" s="34">
        <v>51850</v>
      </c>
      <c r="U62" s="34">
        <v>57810</v>
      </c>
      <c r="V62" s="34">
        <v>395</v>
      </c>
      <c r="W62" s="34">
        <v>38731</v>
      </c>
      <c r="X62" s="34">
        <v>4458</v>
      </c>
      <c r="Y62" s="34">
        <v>466491</v>
      </c>
      <c r="Z62" s="34">
        <v>51322</v>
      </c>
      <c r="AA62" s="34">
        <v>415169</v>
      </c>
      <c r="AB62" s="34">
        <v>237379</v>
      </c>
      <c r="AC62" s="34">
        <v>177790</v>
      </c>
    </row>
    <row r="63" spans="1:29" x14ac:dyDescent="0.25">
      <c r="A63" s="31" t="s">
        <v>60</v>
      </c>
      <c r="B63" s="31" t="s">
        <v>730</v>
      </c>
      <c r="C63" s="31" t="s">
        <v>65</v>
      </c>
      <c r="D63" s="31" t="s">
        <v>66</v>
      </c>
      <c r="E63" s="32">
        <v>66.84</v>
      </c>
      <c r="F63" s="33">
        <v>461.6</v>
      </c>
      <c r="G63" s="32">
        <v>528.44000000000005</v>
      </c>
      <c r="H63" s="32">
        <v>0.67</v>
      </c>
      <c r="I63" s="34">
        <v>3</v>
      </c>
      <c r="J63" s="33">
        <v>0</v>
      </c>
      <c r="K63" s="34">
        <v>465</v>
      </c>
      <c r="L63" s="32">
        <v>337.26</v>
      </c>
      <c r="M63" s="32">
        <v>62.47</v>
      </c>
      <c r="N63" s="32">
        <v>69.650000000000006</v>
      </c>
      <c r="O63" s="32">
        <v>41.7</v>
      </c>
      <c r="P63" s="32">
        <v>4.8</v>
      </c>
      <c r="Q63" s="34">
        <v>178222</v>
      </c>
      <c r="R63" s="34">
        <v>8290</v>
      </c>
      <c r="S63" s="34">
        <v>186512</v>
      </c>
      <c r="T63" s="34">
        <v>29049</v>
      </c>
      <c r="U63" s="34">
        <v>32387</v>
      </c>
      <c r="V63" s="34">
        <v>226</v>
      </c>
      <c r="W63" s="34">
        <v>22766</v>
      </c>
      <c r="X63" s="34">
        <v>2618</v>
      </c>
      <c r="Y63" s="34">
        <v>273558</v>
      </c>
      <c r="Z63" s="34">
        <v>39085</v>
      </c>
      <c r="AA63" s="34">
        <v>234473</v>
      </c>
      <c r="AB63" s="34">
        <v>125984</v>
      </c>
      <c r="AC63" s="34">
        <v>108489</v>
      </c>
    </row>
    <row r="64" spans="1:29" x14ac:dyDescent="0.25">
      <c r="A64" s="31" t="s">
        <v>60</v>
      </c>
      <c r="B64" s="31" t="s">
        <v>730</v>
      </c>
      <c r="C64" s="31" t="s">
        <v>67</v>
      </c>
      <c r="D64" s="31" t="s">
        <v>469</v>
      </c>
      <c r="E64" s="32">
        <v>94.82</v>
      </c>
      <c r="F64" s="33">
        <v>740.1</v>
      </c>
      <c r="G64" s="32">
        <v>834.92</v>
      </c>
      <c r="H64" s="32">
        <v>1.05</v>
      </c>
      <c r="I64" s="34">
        <v>0</v>
      </c>
      <c r="J64" s="33">
        <v>0</v>
      </c>
      <c r="K64" s="34">
        <v>740</v>
      </c>
      <c r="L64" s="32">
        <v>337.26</v>
      </c>
      <c r="M64" s="32">
        <v>62.47</v>
      </c>
      <c r="N64" s="32">
        <v>69.650000000000006</v>
      </c>
      <c r="O64" s="32">
        <v>41.7</v>
      </c>
      <c r="P64" s="32">
        <v>4.8</v>
      </c>
      <c r="Q64" s="34">
        <v>281585</v>
      </c>
      <c r="R64" s="34">
        <v>0</v>
      </c>
      <c r="S64" s="34">
        <v>281585</v>
      </c>
      <c r="T64" s="34">
        <v>46228</v>
      </c>
      <c r="U64" s="34">
        <v>51541</v>
      </c>
      <c r="V64" s="34">
        <v>354</v>
      </c>
      <c r="W64" s="34">
        <v>34816</v>
      </c>
      <c r="X64" s="34">
        <v>4008</v>
      </c>
      <c r="Y64" s="34">
        <v>418532</v>
      </c>
      <c r="Z64" s="34">
        <v>51745</v>
      </c>
      <c r="AA64" s="34">
        <v>366787</v>
      </c>
      <c r="AB64" s="34">
        <v>207775</v>
      </c>
      <c r="AC64" s="34">
        <v>159012</v>
      </c>
    </row>
    <row r="65" spans="1:29" x14ac:dyDescent="0.25">
      <c r="A65" s="31" t="s">
        <v>60</v>
      </c>
      <c r="B65" s="31" t="s">
        <v>730</v>
      </c>
      <c r="C65" s="31" t="s">
        <v>68</v>
      </c>
      <c r="D65" s="31" t="s">
        <v>470</v>
      </c>
      <c r="E65" s="32">
        <v>72.09</v>
      </c>
      <c r="F65" s="33">
        <v>514.70000000000005</v>
      </c>
      <c r="G65" s="32">
        <v>586.79</v>
      </c>
      <c r="H65" s="32">
        <v>0.74</v>
      </c>
      <c r="I65" s="34">
        <v>0</v>
      </c>
      <c r="J65" s="33">
        <v>0</v>
      </c>
      <c r="K65" s="34">
        <v>515</v>
      </c>
      <c r="L65" s="32">
        <v>337.26</v>
      </c>
      <c r="M65" s="32">
        <v>62.47</v>
      </c>
      <c r="N65" s="32">
        <v>69.650000000000006</v>
      </c>
      <c r="O65" s="32">
        <v>41.7</v>
      </c>
      <c r="P65" s="32">
        <v>4.8</v>
      </c>
      <c r="Q65" s="34">
        <v>197901</v>
      </c>
      <c r="R65" s="34">
        <v>0</v>
      </c>
      <c r="S65" s="34">
        <v>197901</v>
      </c>
      <c r="T65" s="34">
        <v>32172</v>
      </c>
      <c r="U65" s="34">
        <v>35870</v>
      </c>
      <c r="V65" s="34">
        <v>250</v>
      </c>
      <c r="W65" s="34">
        <v>24469</v>
      </c>
      <c r="X65" s="34">
        <v>2817</v>
      </c>
      <c r="Y65" s="34">
        <v>293479</v>
      </c>
      <c r="Z65" s="34">
        <v>38612</v>
      </c>
      <c r="AA65" s="34">
        <v>254867</v>
      </c>
      <c r="AB65" s="34">
        <v>143782</v>
      </c>
      <c r="AC65" s="34">
        <v>111085</v>
      </c>
    </row>
    <row r="66" spans="1:29" x14ac:dyDescent="0.25">
      <c r="A66" s="31" t="s">
        <v>60</v>
      </c>
      <c r="B66" s="31" t="s">
        <v>730</v>
      </c>
      <c r="C66" s="31" t="s">
        <v>69</v>
      </c>
      <c r="D66" s="31" t="s">
        <v>70</v>
      </c>
      <c r="E66" s="32">
        <v>38.36</v>
      </c>
      <c r="F66" s="33">
        <v>280.8</v>
      </c>
      <c r="G66" s="32">
        <v>319.16000000000003</v>
      </c>
      <c r="H66" s="32">
        <v>0.4</v>
      </c>
      <c r="I66" s="34">
        <v>12</v>
      </c>
      <c r="J66" s="33">
        <v>0.3</v>
      </c>
      <c r="K66" s="34">
        <v>293</v>
      </c>
      <c r="L66" s="32">
        <v>337.26</v>
      </c>
      <c r="M66" s="32">
        <v>62.47</v>
      </c>
      <c r="N66" s="32">
        <v>69.650000000000006</v>
      </c>
      <c r="O66" s="32">
        <v>41.7</v>
      </c>
      <c r="P66" s="32">
        <v>4.8</v>
      </c>
      <c r="Q66" s="34">
        <v>107640</v>
      </c>
      <c r="R66" s="34">
        <v>0</v>
      </c>
      <c r="S66" s="34">
        <v>107640</v>
      </c>
      <c r="T66" s="34">
        <v>18304</v>
      </c>
      <c r="U66" s="34">
        <v>20407</v>
      </c>
      <c r="V66" s="34">
        <v>135</v>
      </c>
      <c r="W66" s="34">
        <v>13309</v>
      </c>
      <c r="X66" s="34">
        <v>1532</v>
      </c>
      <c r="Y66" s="34">
        <v>161327</v>
      </c>
      <c r="Z66" s="34">
        <v>18545</v>
      </c>
      <c r="AA66" s="34">
        <v>142782</v>
      </c>
      <c r="AB66" s="34">
        <v>80660</v>
      </c>
      <c r="AC66" s="34">
        <v>62122</v>
      </c>
    </row>
    <row r="67" spans="1:29" x14ac:dyDescent="0.25">
      <c r="A67" s="31" t="s">
        <v>60</v>
      </c>
      <c r="B67" s="31" t="s">
        <v>730</v>
      </c>
      <c r="C67" s="31" t="s">
        <v>71</v>
      </c>
      <c r="D67" s="31" t="s">
        <v>471</v>
      </c>
      <c r="E67" s="32">
        <v>762.29</v>
      </c>
      <c r="F67" s="33">
        <v>5520.1</v>
      </c>
      <c r="G67" s="32">
        <v>6282.39</v>
      </c>
      <c r="H67" s="32">
        <v>7.91</v>
      </c>
      <c r="I67" s="34">
        <v>307</v>
      </c>
      <c r="J67" s="33">
        <v>2.2999999999999998</v>
      </c>
      <c r="K67" s="34">
        <v>5825</v>
      </c>
      <c r="L67" s="32">
        <v>337.26</v>
      </c>
      <c r="M67" s="32">
        <v>62.47</v>
      </c>
      <c r="N67" s="32">
        <v>69.650000000000006</v>
      </c>
      <c r="O67" s="32">
        <v>41.7</v>
      </c>
      <c r="P67" s="32">
        <v>4.8</v>
      </c>
      <c r="Q67" s="34">
        <v>2118799</v>
      </c>
      <c r="R67" s="34">
        <v>0</v>
      </c>
      <c r="S67" s="34">
        <v>2118799</v>
      </c>
      <c r="T67" s="34">
        <v>363888</v>
      </c>
      <c r="U67" s="34">
        <v>405711</v>
      </c>
      <c r="V67" s="34">
        <v>2668</v>
      </c>
      <c r="W67" s="34">
        <v>261976</v>
      </c>
      <c r="X67" s="34">
        <v>30155</v>
      </c>
      <c r="Y67" s="34">
        <v>3183197</v>
      </c>
      <c r="Z67" s="34">
        <v>260052</v>
      </c>
      <c r="AA67" s="34">
        <v>2923145</v>
      </c>
      <c r="AB67" s="34">
        <v>1692718</v>
      </c>
      <c r="AC67" s="34">
        <v>1230427</v>
      </c>
    </row>
    <row r="68" spans="1:29" x14ac:dyDescent="0.25">
      <c r="A68" s="31" t="s">
        <v>60</v>
      </c>
      <c r="B68" s="31" t="s">
        <v>730</v>
      </c>
      <c r="C68" s="31" t="s">
        <v>72</v>
      </c>
      <c r="D68" s="31" t="s">
        <v>472</v>
      </c>
      <c r="E68" s="32">
        <v>112.79</v>
      </c>
      <c r="F68" s="33">
        <v>805.3</v>
      </c>
      <c r="G68" s="32">
        <v>918.09</v>
      </c>
      <c r="H68" s="32">
        <v>1.1599999999999999</v>
      </c>
      <c r="I68" s="34">
        <v>32</v>
      </c>
      <c r="J68" s="33">
        <v>0</v>
      </c>
      <c r="K68" s="34">
        <v>837</v>
      </c>
      <c r="L68" s="32">
        <v>337.26</v>
      </c>
      <c r="M68" s="32">
        <v>62.47</v>
      </c>
      <c r="N68" s="32">
        <v>69.650000000000006</v>
      </c>
      <c r="O68" s="32">
        <v>41.7</v>
      </c>
      <c r="P68" s="32">
        <v>4.8</v>
      </c>
      <c r="Q68" s="34">
        <v>309635</v>
      </c>
      <c r="R68" s="34">
        <v>0</v>
      </c>
      <c r="S68" s="34">
        <v>309635</v>
      </c>
      <c r="T68" s="34">
        <v>52287</v>
      </c>
      <c r="U68" s="34">
        <v>58297</v>
      </c>
      <c r="V68" s="34">
        <v>391</v>
      </c>
      <c r="W68" s="34">
        <v>38284</v>
      </c>
      <c r="X68" s="34">
        <v>4407</v>
      </c>
      <c r="Y68" s="34">
        <v>463301</v>
      </c>
      <c r="Z68" s="34">
        <v>60890</v>
      </c>
      <c r="AA68" s="34">
        <v>402411</v>
      </c>
      <c r="AB68" s="34">
        <v>224483</v>
      </c>
      <c r="AC68" s="34">
        <v>177928</v>
      </c>
    </row>
    <row r="69" spans="1:29" x14ac:dyDescent="0.25">
      <c r="A69" s="31" t="s">
        <v>60</v>
      </c>
      <c r="B69" s="31" t="s">
        <v>730</v>
      </c>
      <c r="C69" s="31" t="s">
        <v>73</v>
      </c>
      <c r="D69" s="31" t="s">
        <v>473</v>
      </c>
      <c r="E69" s="32">
        <v>310.72000000000003</v>
      </c>
      <c r="F69" s="33">
        <v>1489.8</v>
      </c>
      <c r="G69" s="32">
        <v>1800.52</v>
      </c>
      <c r="H69" s="32">
        <v>2.27</v>
      </c>
      <c r="I69" s="34">
        <v>164</v>
      </c>
      <c r="J69" s="33">
        <v>6.5</v>
      </c>
      <c r="K69" s="34">
        <v>1647</v>
      </c>
      <c r="L69" s="32">
        <v>337.26</v>
      </c>
      <c r="M69" s="32">
        <v>62.47</v>
      </c>
      <c r="N69" s="32">
        <v>69.650000000000006</v>
      </c>
      <c r="O69" s="32">
        <v>41.7</v>
      </c>
      <c r="P69" s="32">
        <v>4.8</v>
      </c>
      <c r="Q69" s="34">
        <v>607243</v>
      </c>
      <c r="R69" s="34">
        <v>0</v>
      </c>
      <c r="S69" s="34">
        <v>607243</v>
      </c>
      <c r="T69" s="34">
        <v>102888</v>
      </c>
      <c r="U69" s="34">
        <v>114714</v>
      </c>
      <c r="V69" s="34">
        <v>766</v>
      </c>
      <c r="W69" s="34">
        <v>75082</v>
      </c>
      <c r="X69" s="34">
        <v>8642</v>
      </c>
      <c r="Y69" s="34">
        <v>909335</v>
      </c>
      <c r="Z69" s="34">
        <v>108953</v>
      </c>
      <c r="AA69" s="34">
        <v>800382</v>
      </c>
      <c r="AB69" s="34">
        <v>450708</v>
      </c>
      <c r="AC69" s="34">
        <v>349674</v>
      </c>
    </row>
    <row r="70" spans="1:29" x14ac:dyDescent="0.25">
      <c r="A70" s="31" t="s">
        <v>60</v>
      </c>
      <c r="B70" s="31" t="s">
        <v>730</v>
      </c>
      <c r="C70" s="31" t="s">
        <v>74</v>
      </c>
      <c r="D70" s="31" t="s">
        <v>474</v>
      </c>
      <c r="E70" s="32">
        <v>50.75</v>
      </c>
      <c r="F70" s="33">
        <v>289.39999999999998</v>
      </c>
      <c r="G70" s="32">
        <v>340.15</v>
      </c>
      <c r="H70" s="32">
        <v>0.43</v>
      </c>
      <c r="I70" s="34">
        <v>2</v>
      </c>
      <c r="J70" s="33">
        <v>0</v>
      </c>
      <c r="K70" s="34">
        <v>291</v>
      </c>
      <c r="L70" s="32">
        <v>337.26</v>
      </c>
      <c r="M70" s="32">
        <v>62.47</v>
      </c>
      <c r="N70" s="32">
        <v>69.650000000000006</v>
      </c>
      <c r="O70" s="32">
        <v>41.7</v>
      </c>
      <c r="P70" s="32">
        <v>4.8</v>
      </c>
      <c r="Q70" s="34">
        <v>114719</v>
      </c>
      <c r="R70" s="34">
        <v>3075</v>
      </c>
      <c r="S70" s="34">
        <v>117794</v>
      </c>
      <c r="T70" s="34">
        <v>18179</v>
      </c>
      <c r="U70" s="34">
        <v>20268</v>
      </c>
      <c r="V70" s="34">
        <v>145</v>
      </c>
      <c r="W70" s="34">
        <v>14184</v>
      </c>
      <c r="X70" s="34">
        <v>1633</v>
      </c>
      <c r="Y70" s="34">
        <v>172203</v>
      </c>
      <c r="Z70" s="34">
        <v>24283</v>
      </c>
      <c r="AA70" s="34">
        <v>147920</v>
      </c>
      <c r="AB70" s="34">
        <v>81447</v>
      </c>
      <c r="AC70" s="34">
        <v>66473</v>
      </c>
    </row>
    <row r="71" spans="1:29" x14ac:dyDescent="0.25">
      <c r="A71" s="31" t="s">
        <v>60</v>
      </c>
      <c r="B71" s="31" t="s">
        <v>730</v>
      </c>
      <c r="C71" s="31" t="s">
        <v>75</v>
      </c>
      <c r="D71" s="31" t="s">
        <v>475</v>
      </c>
      <c r="E71" s="32">
        <v>145.18</v>
      </c>
      <c r="F71" s="33">
        <v>1173.0999999999999</v>
      </c>
      <c r="G71" s="32">
        <v>1318.28</v>
      </c>
      <c r="H71" s="32">
        <v>1.66</v>
      </c>
      <c r="I71" s="34">
        <v>61</v>
      </c>
      <c r="J71" s="33">
        <v>0</v>
      </c>
      <c r="K71" s="34">
        <v>1234</v>
      </c>
      <c r="L71" s="32">
        <v>337.26</v>
      </c>
      <c r="M71" s="32">
        <v>62.47</v>
      </c>
      <c r="N71" s="32">
        <v>69.650000000000006</v>
      </c>
      <c r="O71" s="32">
        <v>41.7</v>
      </c>
      <c r="P71" s="32">
        <v>4.8</v>
      </c>
      <c r="Q71" s="34">
        <v>444603</v>
      </c>
      <c r="R71" s="34">
        <v>10822</v>
      </c>
      <c r="S71" s="34">
        <v>455425</v>
      </c>
      <c r="T71" s="34">
        <v>77088</v>
      </c>
      <c r="U71" s="34">
        <v>85948</v>
      </c>
      <c r="V71" s="34">
        <v>560</v>
      </c>
      <c r="W71" s="34">
        <v>54972</v>
      </c>
      <c r="X71" s="34">
        <v>6328</v>
      </c>
      <c r="Y71" s="34">
        <v>680321</v>
      </c>
      <c r="Z71" s="34">
        <v>91771</v>
      </c>
      <c r="AA71" s="34">
        <v>588550</v>
      </c>
      <c r="AB71" s="34">
        <v>317993</v>
      </c>
      <c r="AC71" s="34">
        <v>270557</v>
      </c>
    </row>
    <row r="72" spans="1:29" x14ac:dyDescent="0.25">
      <c r="A72" s="31" t="s">
        <v>60</v>
      </c>
      <c r="B72" s="31" t="s">
        <v>730</v>
      </c>
      <c r="C72" s="31" t="s">
        <v>76</v>
      </c>
      <c r="D72" s="31" t="s">
        <v>476</v>
      </c>
      <c r="E72" s="32">
        <v>82.24</v>
      </c>
      <c r="F72" s="33">
        <v>862.9</v>
      </c>
      <c r="G72" s="32">
        <v>945.14</v>
      </c>
      <c r="H72" s="32">
        <v>1.19</v>
      </c>
      <c r="I72" s="34">
        <v>9</v>
      </c>
      <c r="J72" s="33">
        <v>0</v>
      </c>
      <c r="K72" s="34">
        <v>872</v>
      </c>
      <c r="L72" s="32">
        <v>337.26</v>
      </c>
      <c r="M72" s="32">
        <v>62.47</v>
      </c>
      <c r="N72" s="32">
        <v>69.650000000000006</v>
      </c>
      <c r="O72" s="32">
        <v>41.7</v>
      </c>
      <c r="P72" s="32">
        <v>4.8</v>
      </c>
      <c r="Q72" s="34">
        <v>318758</v>
      </c>
      <c r="R72" s="34">
        <v>0</v>
      </c>
      <c r="S72" s="34">
        <v>318758</v>
      </c>
      <c r="T72" s="34">
        <v>54474</v>
      </c>
      <c r="U72" s="34">
        <v>60735</v>
      </c>
      <c r="V72" s="34">
        <v>401</v>
      </c>
      <c r="W72" s="34">
        <v>39412</v>
      </c>
      <c r="X72" s="34">
        <v>4537</v>
      </c>
      <c r="Y72" s="34">
        <v>478317</v>
      </c>
      <c r="Z72" s="34">
        <v>43052</v>
      </c>
      <c r="AA72" s="34">
        <v>435265</v>
      </c>
      <c r="AB72" s="34">
        <v>250728</v>
      </c>
      <c r="AC72" s="34">
        <v>184537</v>
      </c>
    </row>
    <row r="73" spans="1:29" x14ac:dyDescent="0.25">
      <c r="A73" s="31" t="s">
        <v>60</v>
      </c>
      <c r="B73" s="31" t="s">
        <v>730</v>
      </c>
      <c r="C73" s="31" t="s">
        <v>77</v>
      </c>
      <c r="D73" s="31" t="s">
        <v>477</v>
      </c>
      <c r="E73" s="32">
        <v>110.58</v>
      </c>
      <c r="F73" s="33">
        <v>876.2</v>
      </c>
      <c r="G73" s="32">
        <v>986.78</v>
      </c>
      <c r="H73" s="32">
        <v>1.24</v>
      </c>
      <c r="I73" s="34">
        <v>13</v>
      </c>
      <c r="J73" s="33">
        <v>0</v>
      </c>
      <c r="K73" s="34">
        <v>889</v>
      </c>
      <c r="L73" s="32">
        <v>337.26</v>
      </c>
      <c r="M73" s="32">
        <v>62.47</v>
      </c>
      <c r="N73" s="32">
        <v>69.650000000000006</v>
      </c>
      <c r="O73" s="32">
        <v>41.7</v>
      </c>
      <c r="P73" s="32">
        <v>4.8</v>
      </c>
      <c r="Q73" s="34">
        <v>332801</v>
      </c>
      <c r="R73" s="34">
        <v>0</v>
      </c>
      <c r="S73" s="34">
        <v>332801</v>
      </c>
      <c r="T73" s="34">
        <v>55536</v>
      </c>
      <c r="U73" s="34">
        <v>61919</v>
      </c>
      <c r="V73" s="34">
        <v>418</v>
      </c>
      <c r="W73" s="34">
        <v>41149</v>
      </c>
      <c r="X73" s="34">
        <v>4737</v>
      </c>
      <c r="Y73" s="34">
        <v>496560</v>
      </c>
      <c r="Z73" s="34">
        <v>47622</v>
      </c>
      <c r="AA73" s="34">
        <v>448938</v>
      </c>
      <c r="AB73" s="34">
        <v>259101</v>
      </c>
      <c r="AC73" s="34">
        <v>189837</v>
      </c>
    </row>
    <row r="74" spans="1:29" x14ac:dyDescent="0.25">
      <c r="A74" s="31" t="s">
        <v>60</v>
      </c>
      <c r="B74" s="31" t="s">
        <v>730</v>
      </c>
      <c r="C74" s="31" t="s">
        <v>78</v>
      </c>
      <c r="D74" s="31" t="s">
        <v>478</v>
      </c>
      <c r="E74" s="32">
        <v>54.07</v>
      </c>
      <c r="F74" s="33">
        <v>366.1</v>
      </c>
      <c r="G74" s="32">
        <v>420.17</v>
      </c>
      <c r="H74" s="32">
        <v>0.53</v>
      </c>
      <c r="I74" s="34">
        <v>16</v>
      </c>
      <c r="J74" s="33">
        <v>0</v>
      </c>
      <c r="K74" s="34">
        <v>382</v>
      </c>
      <c r="L74" s="32">
        <v>337.26</v>
      </c>
      <c r="M74" s="32">
        <v>62.47</v>
      </c>
      <c r="N74" s="32">
        <v>69.650000000000006</v>
      </c>
      <c r="O74" s="32">
        <v>41.7</v>
      </c>
      <c r="P74" s="32">
        <v>4.8</v>
      </c>
      <c r="Q74" s="34">
        <v>141707</v>
      </c>
      <c r="R74" s="34">
        <v>11975</v>
      </c>
      <c r="S74" s="34">
        <v>153682</v>
      </c>
      <c r="T74" s="34">
        <v>23864</v>
      </c>
      <c r="U74" s="34">
        <v>26606</v>
      </c>
      <c r="V74" s="34">
        <v>179</v>
      </c>
      <c r="W74" s="34">
        <v>17521</v>
      </c>
      <c r="X74" s="34">
        <v>2017</v>
      </c>
      <c r="Y74" s="34">
        <v>223869</v>
      </c>
      <c r="Z74" s="34">
        <v>30148</v>
      </c>
      <c r="AA74" s="34">
        <v>193721</v>
      </c>
      <c r="AB74" s="34">
        <v>100455</v>
      </c>
      <c r="AC74" s="34">
        <v>93266</v>
      </c>
    </row>
    <row r="75" spans="1:29" x14ac:dyDescent="0.25">
      <c r="A75" s="31" t="s">
        <v>60</v>
      </c>
      <c r="B75" s="31" t="s">
        <v>730</v>
      </c>
      <c r="C75" s="31" t="s">
        <v>79</v>
      </c>
      <c r="D75" s="31" t="s">
        <v>479</v>
      </c>
      <c r="E75" s="32">
        <v>94.88</v>
      </c>
      <c r="F75" s="33">
        <v>541.9</v>
      </c>
      <c r="G75" s="32">
        <v>636.78</v>
      </c>
      <c r="H75" s="32">
        <v>0.8</v>
      </c>
      <c r="I75" s="34">
        <v>4</v>
      </c>
      <c r="J75" s="33">
        <v>0</v>
      </c>
      <c r="K75" s="34">
        <v>546</v>
      </c>
      <c r="L75" s="32">
        <v>337.26</v>
      </c>
      <c r="M75" s="32">
        <v>62.47</v>
      </c>
      <c r="N75" s="32">
        <v>69.650000000000006</v>
      </c>
      <c r="O75" s="32">
        <v>41.7</v>
      </c>
      <c r="P75" s="32">
        <v>4.8</v>
      </c>
      <c r="Q75" s="34">
        <v>214760</v>
      </c>
      <c r="R75" s="34">
        <v>0</v>
      </c>
      <c r="S75" s="34">
        <v>214760</v>
      </c>
      <c r="T75" s="34">
        <v>34109</v>
      </c>
      <c r="U75" s="34">
        <v>38029</v>
      </c>
      <c r="V75" s="34">
        <v>270</v>
      </c>
      <c r="W75" s="34">
        <v>26554</v>
      </c>
      <c r="X75" s="34">
        <v>3057</v>
      </c>
      <c r="Y75" s="34">
        <v>316779</v>
      </c>
      <c r="Z75" s="34">
        <v>37860</v>
      </c>
      <c r="AA75" s="34">
        <v>278919</v>
      </c>
      <c r="AB75" s="34">
        <v>160072</v>
      </c>
      <c r="AC75" s="34">
        <v>118847</v>
      </c>
    </row>
    <row r="76" spans="1:29" x14ac:dyDescent="0.25">
      <c r="A76" s="31" t="s">
        <v>60</v>
      </c>
      <c r="B76" s="31" t="s">
        <v>730</v>
      </c>
      <c r="C76" s="31" t="s">
        <v>80</v>
      </c>
      <c r="D76" s="31" t="s">
        <v>480</v>
      </c>
      <c r="E76" s="32">
        <v>59.76</v>
      </c>
      <c r="F76" s="33">
        <v>525.20000000000005</v>
      </c>
      <c r="G76" s="32">
        <v>584.96</v>
      </c>
      <c r="H76" s="32">
        <v>0.74</v>
      </c>
      <c r="I76" s="34">
        <v>9</v>
      </c>
      <c r="J76" s="33">
        <v>0</v>
      </c>
      <c r="K76" s="34">
        <v>534</v>
      </c>
      <c r="L76" s="32">
        <v>337.26</v>
      </c>
      <c r="M76" s="32">
        <v>62.47</v>
      </c>
      <c r="N76" s="32">
        <v>69.650000000000006</v>
      </c>
      <c r="O76" s="32">
        <v>41.7</v>
      </c>
      <c r="P76" s="32">
        <v>4.8</v>
      </c>
      <c r="Q76" s="34">
        <v>197284</v>
      </c>
      <c r="R76" s="34">
        <v>18319</v>
      </c>
      <c r="S76" s="34">
        <v>215603</v>
      </c>
      <c r="T76" s="34">
        <v>33359</v>
      </c>
      <c r="U76" s="34">
        <v>37193</v>
      </c>
      <c r="V76" s="34">
        <v>250</v>
      </c>
      <c r="W76" s="34">
        <v>25615</v>
      </c>
      <c r="X76" s="34">
        <v>2945</v>
      </c>
      <c r="Y76" s="34">
        <v>314965</v>
      </c>
      <c r="Z76" s="34">
        <v>48097</v>
      </c>
      <c r="AA76" s="34">
        <v>266868</v>
      </c>
      <c r="AB76" s="34">
        <v>135088</v>
      </c>
      <c r="AC76" s="34">
        <v>131780</v>
      </c>
    </row>
    <row r="77" spans="1:29" x14ac:dyDescent="0.25">
      <c r="A77" s="31" t="s">
        <v>60</v>
      </c>
      <c r="B77" s="31" t="s">
        <v>730</v>
      </c>
      <c r="C77" s="31" t="s">
        <v>81</v>
      </c>
      <c r="D77" s="31" t="s">
        <v>481</v>
      </c>
      <c r="E77" s="32">
        <v>126.8</v>
      </c>
      <c r="F77" s="33">
        <v>560.70000000000005</v>
      </c>
      <c r="G77" s="32">
        <v>687.5</v>
      </c>
      <c r="H77" s="32">
        <v>0.87</v>
      </c>
      <c r="I77" s="34">
        <v>3</v>
      </c>
      <c r="J77" s="33">
        <v>0</v>
      </c>
      <c r="K77" s="34">
        <v>564</v>
      </c>
      <c r="L77" s="32">
        <v>337.26</v>
      </c>
      <c r="M77" s="32">
        <v>62.47</v>
      </c>
      <c r="N77" s="32">
        <v>69.650000000000006</v>
      </c>
      <c r="O77" s="32">
        <v>41.7</v>
      </c>
      <c r="P77" s="32">
        <v>4.8</v>
      </c>
      <c r="Q77" s="34">
        <v>231866</v>
      </c>
      <c r="R77" s="34">
        <v>3635</v>
      </c>
      <c r="S77" s="34">
        <v>235501</v>
      </c>
      <c r="T77" s="34">
        <v>35233</v>
      </c>
      <c r="U77" s="34">
        <v>39283</v>
      </c>
      <c r="V77" s="34">
        <v>293</v>
      </c>
      <c r="W77" s="34">
        <v>28669</v>
      </c>
      <c r="X77" s="34">
        <v>3300</v>
      </c>
      <c r="Y77" s="34">
        <v>342279</v>
      </c>
      <c r="Z77" s="34">
        <v>41102</v>
      </c>
      <c r="AA77" s="34">
        <v>301177</v>
      </c>
      <c r="AB77" s="34">
        <v>172597</v>
      </c>
      <c r="AC77" s="34">
        <v>128580</v>
      </c>
    </row>
    <row r="78" spans="1:29" x14ac:dyDescent="0.25">
      <c r="A78" s="31" t="s">
        <v>60</v>
      </c>
      <c r="B78" s="31" t="s">
        <v>730</v>
      </c>
      <c r="C78" s="31" t="s">
        <v>82</v>
      </c>
      <c r="D78" s="31" t="s">
        <v>482</v>
      </c>
      <c r="E78" s="32">
        <v>151.97999999999999</v>
      </c>
      <c r="F78" s="33">
        <v>1055.4000000000001</v>
      </c>
      <c r="G78" s="32">
        <v>1207.3800000000001</v>
      </c>
      <c r="H78" s="32">
        <v>1.52</v>
      </c>
      <c r="I78" s="34">
        <v>31</v>
      </c>
      <c r="J78" s="33">
        <v>0</v>
      </c>
      <c r="K78" s="34">
        <v>1086</v>
      </c>
      <c r="L78" s="32">
        <v>337.26</v>
      </c>
      <c r="M78" s="32">
        <v>62.47</v>
      </c>
      <c r="N78" s="32">
        <v>69.650000000000006</v>
      </c>
      <c r="O78" s="32">
        <v>41.7</v>
      </c>
      <c r="P78" s="32">
        <v>4.8</v>
      </c>
      <c r="Q78" s="34">
        <v>407201</v>
      </c>
      <c r="R78" s="34">
        <v>13568</v>
      </c>
      <c r="S78" s="34">
        <v>420769</v>
      </c>
      <c r="T78" s="34">
        <v>67842</v>
      </c>
      <c r="U78" s="34">
        <v>75640</v>
      </c>
      <c r="V78" s="34">
        <v>513</v>
      </c>
      <c r="W78" s="34">
        <v>50348</v>
      </c>
      <c r="X78" s="34">
        <v>5795</v>
      </c>
      <c r="Y78" s="34">
        <v>620907</v>
      </c>
      <c r="Z78" s="34">
        <v>96540</v>
      </c>
      <c r="AA78" s="34">
        <v>524367</v>
      </c>
      <c r="AB78" s="34">
        <v>278753</v>
      </c>
      <c r="AC78" s="34">
        <v>245614</v>
      </c>
    </row>
    <row r="79" spans="1:29" x14ac:dyDescent="0.25">
      <c r="A79" s="31" t="s">
        <v>60</v>
      </c>
      <c r="B79" s="31" t="s">
        <v>730</v>
      </c>
      <c r="C79" s="31" t="s">
        <v>85</v>
      </c>
      <c r="D79" s="31" t="s">
        <v>86</v>
      </c>
      <c r="E79" s="32">
        <v>27.49</v>
      </c>
      <c r="F79" s="33">
        <v>254.5</v>
      </c>
      <c r="G79" s="32">
        <v>281.99</v>
      </c>
      <c r="H79" s="32">
        <v>0.36</v>
      </c>
      <c r="I79" s="34">
        <v>1</v>
      </c>
      <c r="J79" s="33">
        <v>0</v>
      </c>
      <c r="K79" s="34">
        <v>256</v>
      </c>
      <c r="L79" s="32">
        <v>337.26</v>
      </c>
      <c r="M79" s="32">
        <v>62.47</v>
      </c>
      <c r="N79" s="32">
        <v>69.650000000000006</v>
      </c>
      <c r="O79" s="32">
        <v>41.7</v>
      </c>
      <c r="P79" s="32">
        <v>4.8</v>
      </c>
      <c r="Q79" s="34">
        <v>95104</v>
      </c>
      <c r="R79" s="34">
        <v>10271</v>
      </c>
      <c r="S79" s="34">
        <v>105375</v>
      </c>
      <c r="T79" s="34">
        <v>15992</v>
      </c>
      <c r="U79" s="34">
        <v>17830</v>
      </c>
      <c r="V79" s="34">
        <v>121</v>
      </c>
      <c r="W79" s="34">
        <v>11759</v>
      </c>
      <c r="X79" s="34">
        <v>1354</v>
      </c>
      <c r="Y79" s="34">
        <v>152431</v>
      </c>
      <c r="Z79" s="34">
        <v>22863</v>
      </c>
      <c r="AA79" s="34">
        <v>129568</v>
      </c>
      <c r="AB79" s="34">
        <v>64790</v>
      </c>
      <c r="AC79" s="34">
        <v>64778</v>
      </c>
    </row>
    <row r="80" spans="1:29" x14ac:dyDescent="0.25">
      <c r="A80" s="31" t="s">
        <v>60</v>
      </c>
      <c r="B80" s="31" t="s">
        <v>730</v>
      </c>
      <c r="C80" s="31" t="s">
        <v>83</v>
      </c>
      <c r="D80" s="31" t="s">
        <v>483</v>
      </c>
      <c r="E80" s="32">
        <v>93.38</v>
      </c>
      <c r="F80" s="33">
        <v>850</v>
      </c>
      <c r="G80" s="32">
        <v>943.38</v>
      </c>
      <c r="H80" s="32">
        <v>1.19</v>
      </c>
      <c r="I80" s="34">
        <v>33</v>
      </c>
      <c r="J80" s="33">
        <v>0</v>
      </c>
      <c r="K80" s="34">
        <v>883</v>
      </c>
      <c r="L80" s="32">
        <v>337.26</v>
      </c>
      <c r="M80" s="32">
        <v>62.47</v>
      </c>
      <c r="N80" s="32">
        <v>69.650000000000006</v>
      </c>
      <c r="O80" s="32">
        <v>41.7</v>
      </c>
      <c r="P80" s="32">
        <v>4.8</v>
      </c>
      <c r="Q80" s="34">
        <v>318164</v>
      </c>
      <c r="R80" s="34">
        <v>17986</v>
      </c>
      <c r="S80" s="34">
        <v>336150</v>
      </c>
      <c r="T80" s="34">
        <v>55161</v>
      </c>
      <c r="U80" s="34">
        <v>61501</v>
      </c>
      <c r="V80" s="34">
        <v>401</v>
      </c>
      <c r="W80" s="34">
        <v>39339</v>
      </c>
      <c r="X80" s="34">
        <v>4528</v>
      </c>
      <c r="Y80" s="34">
        <v>497080</v>
      </c>
      <c r="Z80" s="34">
        <v>65277</v>
      </c>
      <c r="AA80" s="34">
        <v>431803</v>
      </c>
      <c r="AB80" s="34">
        <v>227956</v>
      </c>
      <c r="AC80" s="34">
        <v>203847</v>
      </c>
    </row>
    <row r="81" spans="1:29" x14ac:dyDescent="0.25">
      <c r="A81" s="31" t="s">
        <v>60</v>
      </c>
      <c r="B81" s="31" t="s">
        <v>730</v>
      </c>
      <c r="C81" s="31" t="s">
        <v>84</v>
      </c>
      <c r="D81" s="31" t="s">
        <v>484</v>
      </c>
      <c r="E81" s="32">
        <v>88.13</v>
      </c>
      <c r="F81" s="33">
        <v>617.29999999999995</v>
      </c>
      <c r="G81" s="32">
        <v>705.43</v>
      </c>
      <c r="H81" s="32">
        <v>0.89</v>
      </c>
      <c r="I81" s="34">
        <v>5</v>
      </c>
      <c r="J81" s="33">
        <v>0</v>
      </c>
      <c r="K81" s="34">
        <v>622</v>
      </c>
      <c r="L81" s="32">
        <v>337.26</v>
      </c>
      <c r="M81" s="32">
        <v>62.47</v>
      </c>
      <c r="N81" s="32">
        <v>69.650000000000006</v>
      </c>
      <c r="O81" s="32">
        <v>41.7</v>
      </c>
      <c r="P81" s="32">
        <v>4.8</v>
      </c>
      <c r="Q81" s="34">
        <v>237913</v>
      </c>
      <c r="R81" s="34">
        <v>0</v>
      </c>
      <c r="S81" s="34">
        <v>237913</v>
      </c>
      <c r="T81" s="34">
        <v>38856</v>
      </c>
      <c r="U81" s="34">
        <v>43322</v>
      </c>
      <c r="V81" s="34">
        <v>300</v>
      </c>
      <c r="W81" s="34">
        <v>29416</v>
      </c>
      <c r="X81" s="34">
        <v>3386</v>
      </c>
      <c r="Y81" s="34">
        <v>353193</v>
      </c>
      <c r="Z81" s="34">
        <v>50217</v>
      </c>
      <c r="AA81" s="34">
        <v>302976</v>
      </c>
      <c r="AB81" s="34">
        <v>169053</v>
      </c>
      <c r="AC81" s="34">
        <v>133923</v>
      </c>
    </row>
    <row r="82" spans="1:29" x14ac:dyDescent="0.25">
      <c r="A82" s="31" t="s">
        <v>60</v>
      </c>
      <c r="B82" s="31" t="s">
        <v>730</v>
      </c>
      <c r="C82" s="31" t="s">
        <v>87</v>
      </c>
      <c r="D82" s="31" t="s">
        <v>485</v>
      </c>
      <c r="E82" s="32">
        <v>237.5</v>
      </c>
      <c r="F82" s="33">
        <v>1498.3</v>
      </c>
      <c r="G82" s="32">
        <v>1735.8</v>
      </c>
      <c r="H82" s="32">
        <v>2.19</v>
      </c>
      <c r="I82" s="34">
        <v>56</v>
      </c>
      <c r="J82" s="33">
        <v>0.1</v>
      </c>
      <c r="K82" s="34">
        <v>1554</v>
      </c>
      <c r="L82" s="32">
        <v>337.26</v>
      </c>
      <c r="M82" s="32">
        <v>62.47</v>
      </c>
      <c r="N82" s="32">
        <v>69.650000000000006</v>
      </c>
      <c r="O82" s="32">
        <v>41.7</v>
      </c>
      <c r="P82" s="32">
        <v>4.8</v>
      </c>
      <c r="Q82" s="34">
        <v>585416</v>
      </c>
      <c r="R82" s="34">
        <v>0</v>
      </c>
      <c r="S82" s="34">
        <v>585416</v>
      </c>
      <c r="T82" s="34">
        <v>97078</v>
      </c>
      <c r="U82" s="34">
        <v>108236</v>
      </c>
      <c r="V82" s="34">
        <v>739</v>
      </c>
      <c r="W82" s="34">
        <v>72383</v>
      </c>
      <c r="X82" s="34">
        <v>8332</v>
      </c>
      <c r="Y82" s="34">
        <v>872184</v>
      </c>
      <c r="Z82" s="34">
        <v>107756</v>
      </c>
      <c r="AA82" s="34">
        <v>764428</v>
      </c>
      <c r="AB82" s="34">
        <v>431788</v>
      </c>
      <c r="AC82" s="34">
        <v>332640</v>
      </c>
    </row>
    <row r="83" spans="1:29" x14ac:dyDescent="0.25">
      <c r="A83" s="31" t="s">
        <v>60</v>
      </c>
      <c r="B83" s="31" t="s">
        <v>730</v>
      </c>
      <c r="C83" s="31" t="s">
        <v>88</v>
      </c>
      <c r="D83" s="31" t="s">
        <v>486</v>
      </c>
      <c r="E83" s="32">
        <v>88.12</v>
      </c>
      <c r="F83" s="33">
        <v>679.3</v>
      </c>
      <c r="G83" s="32">
        <v>767.42</v>
      </c>
      <c r="H83" s="32">
        <v>0.97</v>
      </c>
      <c r="I83" s="34">
        <v>8</v>
      </c>
      <c r="J83" s="33">
        <v>0</v>
      </c>
      <c r="K83" s="34">
        <v>687</v>
      </c>
      <c r="L83" s="32">
        <v>337.26</v>
      </c>
      <c r="M83" s="32">
        <v>62.47</v>
      </c>
      <c r="N83" s="32">
        <v>69.650000000000006</v>
      </c>
      <c r="O83" s="32">
        <v>41.7</v>
      </c>
      <c r="P83" s="32">
        <v>4.8</v>
      </c>
      <c r="Q83" s="34">
        <v>258820</v>
      </c>
      <c r="R83" s="34">
        <v>0</v>
      </c>
      <c r="S83" s="34">
        <v>258820</v>
      </c>
      <c r="T83" s="34">
        <v>42917</v>
      </c>
      <c r="U83" s="34">
        <v>47850</v>
      </c>
      <c r="V83" s="34">
        <v>327</v>
      </c>
      <c r="W83" s="34">
        <v>32001</v>
      </c>
      <c r="X83" s="34">
        <v>3684</v>
      </c>
      <c r="Y83" s="34">
        <v>385599</v>
      </c>
      <c r="Z83" s="34">
        <v>38721</v>
      </c>
      <c r="AA83" s="34">
        <v>346878</v>
      </c>
      <c r="AB83" s="34">
        <v>199819</v>
      </c>
      <c r="AC83" s="34">
        <v>147059</v>
      </c>
    </row>
    <row r="84" spans="1:29" x14ac:dyDescent="0.25">
      <c r="A84" s="31" t="s">
        <v>60</v>
      </c>
      <c r="B84" s="31" t="s">
        <v>730</v>
      </c>
      <c r="C84" s="31" t="s">
        <v>89</v>
      </c>
      <c r="D84" s="31" t="s">
        <v>487</v>
      </c>
      <c r="E84" s="32">
        <v>142.87</v>
      </c>
      <c r="F84" s="33">
        <v>1119.5</v>
      </c>
      <c r="G84" s="32">
        <v>1262.3699999999999</v>
      </c>
      <c r="H84" s="32">
        <v>1.59</v>
      </c>
      <c r="I84" s="34">
        <v>10</v>
      </c>
      <c r="J84" s="33">
        <v>0</v>
      </c>
      <c r="K84" s="34">
        <v>1130</v>
      </c>
      <c r="L84" s="32">
        <v>337.26</v>
      </c>
      <c r="M84" s="32">
        <v>62.47</v>
      </c>
      <c r="N84" s="32">
        <v>69.650000000000006</v>
      </c>
      <c r="O84" s="32">
        <v>41.7</v>
      </c>
      <c r="P84" s="32">
        <v>4.8</v>
      </c>
      <c r="Q84" s="34">
        <v>425747</v>
      </c>
      <c r="R84" s="34">
        <v>0</v>
      </c>
      <c r="S84" s="34">
        <v>425747</v>
      </c>
      <c r="T84" s="34">
        <v>70591</v>
      </c>
      <c r="U84" s="34">
        <v>78705</v>
      </c>
      <c r="V84" s="34">
        <v>536</v>
      </c>
      <c r="W84" s="34">
        <v>52641</v>
      </c>
      <c r="X84" s="34">
        <v>6059</v>
      </c>
      <c r="Y84" s="34">
        <v>634279</v>
      </c>
      <c r="Z84" s="34">
        <v>73880</v>
      </c>
      <c r="AA84" s="34">
        <v>560399</v>
      </c>
      <c r="AB84" s="34">
        <v>318505</v>
      </c>
      <c r="AC84" s="34">
        <v>241894</v>
      </c>
    </row>
    <row r="85" spans="1:29" x14ac:dyDescent="0.25">
      <c r="A85" s="31" t="s">
        <v>60</v>
      </c>
      <c r="B85" s="31" t="s">
        <v>730</v>
      </c>
      <c r="C85" s="31" t="s">
        <v>90</v>
      </c>
      <c r="D85" s="31" t="s">
        <v>488</v>
      </c>
      <c r="E85" s="32">
        <v>41.87</v>
      </c>
      <c r="F85" s="33">
        <v>411.8</v>
      </c>
      <c r="G85" s="32">
        <v>453.67</v>
      </c>
      <c r="H85" s="32">
        <v>0.56999999999999995</v>
      </c>
      <c r="I85" s="34">
        <v>0</v>
      </c>
      <c r="J85" s="33">
        <v>0</v>
      </c>
      <c r="K85" s="34">
        <v>412</v>
      </c>
      <c r="L85" s="32">
        <v>337.26</v>
      </c>
      <c r="M85" s="32">
        <v>62.47</v>
      </c>
      <c r="N85" s="32">
        <v>69.650000000000006</v>
      </c>
      <c r="O85" s="32">
        <v>41.7</v>
      </c>
      <c r="P85" s="32">
        <v>4.8</v>
      </c>
      <c r="Q85" s="34">
        <v>153005</v>
      </c>
      <c r="R85" s="34">
        <v>149</v>
      </c>
      <c r="S85" s="34">
        <v>153154</v>
      </c>
      <c r="T85" s="34">
        <v>25738</v>
      </c>
      <c r="U85" s="34">
        <v>28696</v>
      </c>
      <c r="V85" s="34">
        <v>192</v>
      </c>
      <c r="W85" s="34">
        <v>18918</v>
      </c>
      <c r="X85" s="34">
        <v>2178</v>
      </c>
      <c r="Y85" s="34">
        <v>228876</v>
      </c>
      <c r="Z85" s="34">
        <v>31368</v>
      </c>
      <c r="AA85" s="34">
        <v>197508</v>
      </c>
      <c r="AB85" s="34">
        <v>109647</v>
      </c>
      <c r="AC85" s="34">
        <v>87861</v>
      </c>
    </row>
    <row r="86" spans="1:29" x14ac:dyDescent="0.25">
      <c r="A86" s="31" t="s">
        <v>60</v>
      </c>
      <c r="B86" s="31" t="s">
        <v>730</v>
      </c>
      <c r="C86" s="31" t="s">
        <v>91</v>
      </c>
      <c r="D86" s="31" t="s">
        <v>489</v>
      </c>
      <c r="E86" s="32">
        <v>83.49</v>
      </c>
      <c r="F86" s="33">
        <v>714.7</v>
      </c>
      <c r="G86" s="32">
        <v>798.19</v>
      </c>
      <c r="H86" s="32">
        <v>1.01</v>
      </c>
      <c r="I86" s="34">
        <v>21</v>
      </c>
      <c r="J86" s="33">
        <v>0</v>
      </c>
      <c r="K86" s="34">
        <v>736</v>
      </c>
      <c r="L86" s="32">
        <v>337.26</v>
      </c>
      <c r="M86" s="32">
        <v>62.47</v>
      </c>
      <c r="N86" s="32">
        <v>69.650000000000006</v>
      </c>
      <c r="O86" s="32">
        <v>41.7</v>
      </c>
      <c r="P86" s="32">
        <v>4.8</v>
      </c>
      <c r="Q86" s="34">
        <v>269198</v>
      </c>
      <c r="R86" s="34">
        <v>0</v>
      </c>
      <c r="S86" s="34">
        <v>269198</v>
      </c>
      <c r="T86" s="34">
        <v>45978</v>
      </c>
      <c r="U86" s="34">
        <v>51262</v>
      </c>
      <c r="V86" s="34">
        <v>341</v>
      </c>
      <c r="W86" s="34">
        <v>33285</v>
      </c>
      <c r="X86" s="34">
        <v>3831</v>
      </c>
      <c r="Y86" s="34">
        <v>403895</v>
      </c>
      <c r="Z86" s="34">
        <v>45362</v>
      </c>
      <c r="AA86" s="34">
        <v>358533</v>
      </c>
      <c r="AB86" s="34">
        <v>202743</v>
      </c>
      <c r="AC86" s="34">
        <v>155790</v>
      </c>
    </row>
    <row r="87" spans="1:29" x14ac:dyDescent="0.25">
      <c r="A87" s="31" t="s">
        <v>60</v>
      </c>
      <c r="B87" s="31" t="s">
        <v>730</v>
      </c>
      <c r="C87" s="31" t="s">
        <v>92</v>
      </c>
      <c r="D87" s="31" t="s">
        <v>490</v>
      </c>
      <c r="E87" s="32">
        <v>187.61</v>
      </c>
      <c r="F87" s="33">
        <v>1383.7</v>
      </c>
      <c r="G87" s="32">
        <v>1571.31</v>
      </c>
      <c r="H87" s="32">
        <v>1.98</v>
      </c>
      <c r="I87" s="34">
        <v>125</v>
      </c>
      <c r="J87" s="33">
        <v>3</v>
      </c>
      <c r="K87" s="34">
        <v>1506</v>
      </c>
      <c r="L87" s="32">
        <v>337.26</v>
      </c>
      <c r="M87" s="32">
        <v>62.47</v>
      </c>
      <c r="N87" s="32">
        <v>69.650000000000006</v>
      </c>
      <c r="O87" s="32">
        <v>41.7</v>
      </c>
      <c r="P87" s="32">
        <v>4.8</v>
      </c>
      <c r="Q87" s="34">
        <v>529940</v>
      </c>
      <c r="R87" s="34">
        <v>0</v>
      </c>
      <c r="S87" s="34">
        <v>529940</v>
      </c>
      <c r="T87" s="34">
        <v>94080</v>
      </c>
      <c r="U87" s="34">
        <v>104893</v>
      </c>
      <c r="V87" s="34">
        <v>668</v>
      </c>
      <c r="W87" s="34">
        <v>65524</v>
      </c>
      <c r="X87" s="34">
        <v>7542</v>
      </c>
      <c r="Y87" s="34">
        <v>802647</v>
      </c>
      <c r="Z87" s="34">
        <v>97039</v>
      </c>
      <c r="AA87" s="34">
        <v>705608</v>
      </c>
      <c r="AB87" s="34">
        <v>391376</v>
      </c>
      <c r="AC87" s="34">
        <v>314232</v>
      </c>
    </row>
    <row r="88" spans="1:29" x14ac:dyDescent="0.25">
      <c r="A88" s="31" t="s">
        <v>60</v>
      </c>
      <c r="B88" s="31" t="s">
        <v>730</v>
      </c>
      <c r="C88" s="31" t="s">
        <v>93</v>
      </c>
      <c r="D88" s="31" t="s">
        <v>491</v>
      </c>
      <c r="E88" s="32">
        <v>125.31</v>
      </c>
      <c r="F88" s="33">
        <v>1002.3</v>
      </c>
      <c r="G88" s="32">
        <v>1127.6099999999999</v>
      </c>
      <c r="H88" s="32">
        <v>1.42</v>
      </c>
      <c r="I88" s="34">
        <v>1</v>
      </c>
      <c r="J88" s="33">
        <v>0</v>
      </c>
      <c r="K88" s="34">
        <v>1003</v>
      </c>
      <c r="L88" s="32">
        <v>337.26</v>
      </c>
      <c r="M88" s="32">
        <v>62.47</v>
      </c>
      <c r="N88" s="32">
        <v>69.650000000000006</v>
      </c>
      <c r="O88" s="32">
        <v>41.7</v>
      </c>
      <c r="P88" s="32">
        <v>4.8</v>
      </c>
      <c r="Q88" s="34">
        <v>380298</v>
      </c>
      <c r="R88" s="34">
        <v>0</v>
      </c>
      <c r="S88" s="34">
        <v>380298</v>
      </c>
      <c r="T88" s="34">
        <v>62657</v>
      </c>
      <c r="U88" s="34">
        <v>69859</v>
      </c>
      <c r="V88" s="34">
        <v>479</v>
      </c>
      <c r="W88" s="34">
        <v>47021</v>
      </c>
      <c r="X88" s="34">
        <v>5413</v>
      </c>
      <c r="Y88" s="34">
        <v>565727</v>
      </c>
      <c r="Z88" s="34">
        <v>65316</v>
      </c>
      <c r="AA88" s="34">
        <v>500411</v>
      </c>
      <c r="AB88" s="34">
        <v>285182</v>
      </c>
      <c r="AC88" s="34">
        <v>215229</v>
      </c>
    </row>
    <row r="89" spans="1:29" x14ac:dyDescent="0.25">
      <c r="A89" s="31" t="s">
        <v>60</v>
      </c>
      <c r="B89" s="31" t="s">
        <v>730</v>
      </c>
      <c r="C89" s="31" t="s">
        <v>94</v>
      </c>
      <c r="D89" s="31" t="s">
        <v>492</v>
      </c>
      <c r="E89" s="32">
        <v>56.36</v>
      </c>
      <c r="F89" s="33">
        <v>440.9</v>
      </c>
      <c r="G89" s="32">
        <v>497.26</v>
      </c>
      <c r="H89" s="32">
        <v>0.63</v>
      </c>
      <c r="I89" s="34">
        <v>10</v>
      </c>
      <c r="J89" s="33">
        <v>0</v>
      </c>
      <c r="K89" s="34">
        <v>451</v>
      </c>
      <c r="L89" s="32">
        <v>337.26</v>
      </c>
      <c r="M89" s="32">
        <v>62.47</v>
      </c>
      <c r="N89" s="32">
        <v>69.650000000000006</v>
      </c>
      <c r="O89" s="32">
        <v>41.7</v>
      </c>
      <c r="P89" s="32">
        <v>4.8</v>
      </c>
      <c r="Q89" s="34">
        <v>167706</v>
      </c>
      <c r="R89" s="34">
        <v>0</v>
      </c>
      <c r="S89" s="34">
        <v>167706</v>
      </c>
      <c r="T89" s="34">
        <v>28174</v>
      </c>
      <c r="U89" s="34">
        <v>31412</v>
      </c>
      <c r="V89" s="34">
        <v>212</v>
      </c>
      <c r="W89" s="34">
        <v>20736</v>
      </c>
      <c r="X89" s="34">
        <v>2387</v>
      </c>
      <c r="Y89" s="34">
        <v>250627</v>
      </c>
      <c r="Z89" s="34">
        <v>20933</v>
      </c>
      <c r="AA89" s="34">
        <v>229694</v>
      </c>
      <c r="AB89" s="34">
        <v>133633</v>
      </c>
      <c r="AC89" s="34">
        <v>96061</v>
      </c>
    </row>
    <row r="90" spans="1:29" x14ac:dyDescent="0.25">
      <c r="A90" s="31" t="s">
        <v>60</v>
      </c>
      <c r="B90" s="31" t="s">
        <v>730</v>
      </c>
      <c r="C90" s="31" t="s">
        <v>95</v>
      </c>
      <c r="D90" s="31" t="s">
        <v>493</v>
      </c>
      <c r="E90" s="32">
        <v>120.58</v>
      </c>
      <c r="F90" s="33">
        <v>894.1</v>
      </c>
      <c r="G90" s="32">
        <v>1014.68</v>
      </c>
      <c r="H90" s="32">
        <v>1.28</v>
      </c>
      <c r="I90" s="34">
        <v>110</v>
      </c>
      <c r="J90" s="33">
        <v>0.2</v>
      </c>
      <c r="K90" s="34">
        <v>1004</v>
      </c>
      <c r="L90" s="32">
        <v>337.26</v>
      </c>
      <c r="M90" s="32">
        <v>62.47</v>
      </c>
      <c r="N90" s="32">
        <v>69.650000000000006</v>
      </c>
      <c r="O90" s="32">
        <v>41.7</v>
      </c>
      <c r="P90" s="32">
        <v>4.8</v>
      </c>
      <c r="Q90" s="34">
        <v>342211</v>
      </c>
      <c r="R90" s="34">
        <v>0</v>
      </c>
      <c r="S90" s="34">
        <v>342211</v>
      </c>
      <c r="T90" s="34">
        <v>62720</v>
      </c>
      <c r="U90" s="34">
        <v>69929</v>
      </c>
      <c r="V90" s="34">
        <v>432</v>
      </c>
      <c r="W90" s="34">
        <v>42312</v>
      </c>
      <c r="X90" s="34">
        <v>4870</v>
      </c>
      <c r="Y90" s="34">
        <v>522474</v>
      </c>
      <c r="Z90" s="34">
        <v>53876</v>
      </c>
      <c r="AA90" s="34">
        <v>468598</v>
      </c>
      <c r="AB90" s="34">
        <v>261519</v>
      </c>
      <c r="AC90" s="34">
        <v>207079</v>
      </c>
    </row>
    <row r="91" spans="1:29" x14ac:dyDescent="0.25">
      <c r="A91" s="31" t="s">
        <v>60</v>
      </c>
      <c r="B91" s="31" t="s">
        <v>730</v>
      </c>
      <c r="C91" s="31" t="s">
        <v>96</v>
      </c>
      <c r="D91" s="31" t="s">
        <v>494</v>
      </c>
      <c r="E91" s="32">
        <v>74.650000000000006</v>
      </c>
      <c r="F91" s="33">
        <v>565.1</v>
      </c>
      <c r="G91" s="32">
        <v>639.75</v>
      </c>
      <c r="H91" s="32">
        <v>0.81</v>
      </c>
      <c r="I91" s="34">
        <v>1</v>
      </c>
      <c r="J91" s="33">
        <v>0</v>
      </c>
      <c r="K91" s="34">
        <v>566</v>
      </c>
      <c r="L91" s="32">
        <v>337.26</v>
      </c>
      <c r="M91" s="32">
        <v>62.47</v>
      </c>
      <c r="N91" s="32">
        <v>69.650000000000006</v>
      </c>
      <c r="O91" s="32">
        <v>41.7</v>
      </c>
      <c r="P91" s="32">
        <v>4.8</v>
      </c>
      <c r="Q91" s="34">
        <v>215762</v>
      </c>
      <c r="R91" s="34">
        <v>0</v>
      </c>
      <c r="S91" s="34">
        <v>215762</v>
      </c>
      <c r="T91" s="34">
        <v>35358</v>
      </c>
      <c r="U91" s="34">
        <v>39422</v>
      </c>
      <c r="V91" s="34">
        <v>273</v>
      </c>
      <c r="W91" s="34">
        <v>26678</v>
      </c>
      <c r="X91" s="34">
        <v>3071</v>
      </c>
      <c r="Y91" s="34">
        <v>320564</v>
      </c>
      <c r="Z91" s="34">
        <v>43283</v>
      </c>
      <c r="AA91" s="34">
        <v>277281</v>
      </c>
      <c r="AB91" s="34">
        <v>155574</v>
      </c>
      <c r="AC91" s="34">
        <v>121707</v>
      </c>
    </row>
    <row r="92" spans="1:29" x14ac:dyDescent="0.25">
      <c r="A92" s="31" t="s">
        <v>60</v>
      </c>
      <c r="B92" s="31" t="s">
        <v>730</v>
      </c>
      <c r="C92" s="31" t="s">
        <v>97</v>
      </c>
      <c r="D92" s="31" t="s">
        <v>495</v>
      </c>
      <c r="E92" s="32">
        <v>777.05</v>
      </c>
      <c r="F92" s="33">
        <v>5374.9</v>
      </c>
      <c r="G92" s="32">
        <v>6151.95</v>
      </c>
      <c r="H92" s="32">
        <v>7.71</v>
      </c>
      <c r="I92" s="34">
        <v>223</v>
      </c>
      <c r="J92" s="33">
        <v>4.9000000000000004</v>
      </c>
      <c r="K92" s="34">
        <v>5593</v>
      </c>
      <c r="L92" s="32">
        <v>337.26</v>
      </c>
      <c r="M92" s="32">
        <v>62.47</v>
      </c>
      <c r="N92" s="32">
        <v>69.650000000000006</v>
      </c>
      <c r="O92" s="32">
        <v>41.7</v>
      </c>
      <c r="P92" s="32">
        <v>4.8</v>
      </c>
      <c r="Q92" s="34">
        <v>2074807</v>
      </c>
      <c r="R92" s="34">
        <v>0</v>
      </c>
      <c r="S92" s="34">
        <v>2074807</v>
      </c>
      <c r="T92" s="34">
        <v>349395</v>
      </c>
      <c r="U92" s="34">
        <v>389552</v>
      </c>
      <c r="V92" s="34">
        <v>2600</v>
      </c>
      <c r="W92" s="34">
        <v>256536</v>
      </c>
      <c r="X92" s="34">
        <v>29529</v>
      </c>
      <c r="Y92" s="34">
        <v>3102419</v>
      </c>
      <c r="Z92" s="34">
        <v>306371</v>
      </c>
      <c r="AA92" s="34">
        <v>2796048</v>
      </c>
      <c r="AB92" s="34">
        <v>1605844</v>
      </c>
      <c r="AC92" s="34">
        <v>1190204</v>
      </c>
    </row>
    <row r="93" spans="1:29" x14ac:dyDescent="0.25">
      <c r="A93" s="31" t="s">
        <v>60</v>
      </c>
      <c r="B93" s="31" t="s">
        <v>730</v>
      </c>
      <c r="C93" s="31" t="s">
        <v>98</v>
      </c>
      <c r="D93" s="31" t="s">
        <v>496</v>
      </c>
      <c r="E93" s="32">
        <v>641.32000000000005</v>
      </c>
      <c r="F93" s="33">
        <v>3404.6</v>
      </c>
      <c r="G93" s="32">
        <v>4045.92</v>
      </c>
      <c r="H93" s="32">
        <v>5.0999999999999996</v>
      </c>
      <c r="I93" s="34">
        <v>537</v>
      </c>
      <c r="J93" s="33">
        <v>5.5</v>
      </c>
      <c r="K93" s="34">
        <v>3936</v>
      </c>
      <c r="L93" s="32">
        <v>337.26</v>
      </c>
      <c r="M93" s="32">
        <v>62.47</v>
      </c>
      <c r="N93" s="32">
        <v>69.650000000000006</v>
      </c>
      <c r="O93" s="32">
        <v>41.7</v>
      </c>
      <c r="P93" s="32">
        <v>4.8</v>
      </c>
      <c r="Q93" s="34">
        <v>1364527</v>
      </c>
      <c r="R93" s="34">
        <v>0</v>
      </c>
      <c r="S93" s="34">
        <v>1364527</v>
      </c>
      <c r="T93" s="34">
        <v>245882</v>
      </c>
      <c r="U93" s="34">
        <v>274142</v>
      </c>
      <c r="V93" s="34">
        <v>1720</v>
      </c>
      <c r="W93" s="34">
        <v>168715</v>
      </c>
      <c r="X93" s="34">
        <v>19420</v>
      </c>
      <c r="Y93" s="34">
        <v>2074406</v>
      </c>
      <c r="Z93" s="34">
        <v>287393</v>
      </c>
      <c r="AA93" s="34">
        <v>1787013</v>
      </c>
      <c r="AB93" s="34">
        <v>970211</v>
      </c>
      <c r="AC93" s="34">
        <v>816802</v>
      </c>
    </row>
    <row r="94" spans="1:29" x14ac:dyDescent="0.25">
      <c r="A94" s="31" t="s">
        <v>60</v>
      </c>
      <c r="B94" s="31" t="s">
        <v>730</v>
      </c>
      <c r="C94" s="31" t="s">
        <v>99</v>
      </c>
      <c r="D94" s="31" t="s">
        <v>497</v>
      </c>
      <c r="E94" s="32">
        <v>55.24</v>
      </c>
      <c r="F94" s="33">
        <v>469.1</v>
      </c>
      <c r="G94" s="32">
        <v>524.34</v>
      </c>
      <c r="H94" s="32">
        <v>0.66</v>
      </c>
      <c r="I94" s="34">
        <v>7</v>
      </c>
      <c r="J94" s="33">
        <v>0</v>
      </c>
      <c r="K94" s="34">
        <v>476</v>
      </c>
      <c r="L94" s="32">
        <v>337.26</v>
      </c>
      <c r="M94" s="32">
        <v>62.47</v>
      </c>
      <c r="N94" s="32">
        <v>69.650000000000006</v>
      </c>
      <c r="O94" s="32">
        <v>41.7</v>
      </c>
      <c r="P94" s="32">
        <v>4.8</v>
      </c>
      <c r="Q94" s="34">
        <v>176839</v>
      </c>
      <c r="R94" s="34">
        <v>4540</v>
      </c>
      <c r="S94" s="34">
        <v>181379</v>
      </c>
      <c r="T94" s="34">
        <v>29736</v>
      </c>
      <c r="U94" s="34">
        <v>33153</v>
      </c>
      <c r="V94" s="34">
        <v>223</v>
      </c>
      <c r="W94" s="34">
        <v>22538</v>
      </c>
      <c r="X94" s="34">
        <v>2592</v>
      </c>
      <c r="Y94" s="34">
        <v>269621</v>
      </c>
      <c r="Z94" s="34">
        <v>32604</v>
      </c>
      <c r="AA94" s="34">
        <v>237017</v>
      </c>
      <c r="AB94" s="34">
        <v>131126</v>
      </c>
      <c r="AC94" s="34">
        <v>105891</v>
      </c>
    </row>
    <row r="95" spans="1:29" x14ac:dyDescent="0.25">
      <c r="A95" s="31" t="s">
        <v>60</v>
      </c>
      <c r="B95" s="31" t="s">
        <v>730</v>
      </c>
      <c r="C95" s="31" t="s">
        <v>100</v>
      </c>
      <c r="D95" s="31" t="s">
        <v>498</v>
      </c>
      <c r="E95" s="32">
        <v>67.75</v>
      </c>
      <c r="F95" s="33">
        <v>592.6</v>
      </c>
      <c r="G95" s="32">
        <v>660.35</v>
      </c>
      <c r="H95" s="32">
        <v>0.83</v>
      </c>
      <c r="I95" s="34">
        <v>4</v>
      </c>
      <c r="J95" s="33">
        <v>0</v>
      </c>
      <c r="K95" s="34">
        <v>597</v>
      </c>
      <c r="L95" s="32">
        <v>337.26</v>
      </c>
      <c r="M95" s="32">
        <v>62.47</v>
      </c>
      <c r="N95" s="32">
        <v>69.650000000000006</v>
      </c>
      <c r="O95" s="32">
        <v>41.7</v>
      </c>
      <c r="P95" s="32">
        <v>4.8</v>
      </c>
      <c r="Q95" s="34">
        <v>222710</v>
      </c>
      <c r="R95" s="34">
        <v>0</v>
      </c>
      <c r="S95" s="34">
        <v>222710</v>
      </c>
      <c r="T95" s="34">
        <v>37295</v>
      </c>
      <c r="U95" s="34">
        <v>41581</v>
      </c>
      <c r="V95" s="34">
        <v>280</v>
      </c>
      <c r="W95" s="34">
        <v>27537</v>
      </c>
      <c r="X95" s="34">
        <v>3170</v>
      </c>
      <c r="Y95" s="34">
        <v>332573</v>
      </c>
      <c r="Z95" s="34">
        <v>48545</v>
      </c>
      <c r="AA95" s="34">
        <v>284028</v>
      </c>
      <c r="AB95" s="34">
        <v>156714</v>
      </c>
      <c r="AC95" s="34">
        <v>127314</v>
      </c>
    </row>
    <row r="96" spans="1:29" x14ac:dyDescent="0.25">
      <c r="A96" s="31" t="s">
        <v>60</v>
      </c>
      <c r="B96" s="31" t="s">
        <v>730</v>
      </c>
      <c r="C96" s="31" t="s">
        <v>101</v>
      </c>
      <c r="D96" s="31" t="s">
        <v>499</v>
      </c>
      <c r="E96" s="32">
        <v>81.709999999999994</v>
      </c>
      <c r="F96" s="33">
        <v>536.6</v>
      </c>
      <c r="G96" s="32">
        <v>618.30999999999995</v>
      </c>
      <c r="H96" s="32">
        <v>0.78</v>
      </c>
      <c r="I96" s="34">
        <v>3</v>
      </c>
      <c r="J96" s="33">
        <v>0</v>
      </c>
      <c r="K96" s="34">
        <v>540</v>
      </c>
      <c r="L96" s="32">
        <v>337.26</v>
      </c>
      <c r="M96" s="32">
        <v>62.47</v>
      </c>
      <c r="N96" s="32">
        <v>69.650000000000006</v>
      </c>
      <c r="O96" s="32">
        <v>41.7</v>
      </c>
      <c r="P96" s="32">
        <v>4.8</v>
      </c>
      <c r="Q96" s="34">
        <v>208531</v>
      </c>
      <c r="R96" s="34">
        <v>682</v>
      </c>
      <c r="S96" s="34">
        <v>209213</v>
      </c>
      <c r="T96" s="34">
        <v>33734</v>
      </c>
      <c r="U96" s="34">
        <v>37611</v>
      </c>
      <c r="V96" s="34">
        <v>263</v>
      </c>
      <c r="W96" s="34">
        <v>25997</v>
      </c>
      <c r="X96" s="34">
        <v>2989</v>
      </c>
      <c r="Y96" s="34">
        <v>309807</v>
      </c>
      <c r="Z96" s="34">
        <v>42965</v>
      </c>
      <c r="AA96" s="34">
        <v>266842</v>
      </c>
      <c r="AB96" s="34">
        <v>149461</v>
      </c>
      <c r="AC96" s="34">
        <v>117381</v>
      </c>
    </row>
    <row r="97" spans="1:29" x14ac:dyDescent="0.25">
      <c r="A97" s="31" t="s">
        <v>60</v>
      </c>
      <c r="B97" s="31" t="s">
        <v>730</v>
      </c>
      <c r="C97" s="31" t="s">
        <v>102</v>
      </c>
      <c r="D97" s="31" t="s">
        <v>500</v>
      </c>
      <c r="E97" s="32">
        <v>64.87</v>
      </c>
      <c r="F97" s="33">
        <v>483.5</v>
      </c>
      <c r="G97" s="32">
        <v>548.37</v>
      </c>
      <c r="H97" s="32">
        <v>0.69</v>
      </c>
      <c r="I97" s="34">
        <v>0</v>
      </c>
      <c r="J97" s="33">
        <v>0</v>
      </c>
      <c r="K97" s="34">
        <v>484</v>
      </c>
      <c r="L97" s="32">
        <v>337.26</v>
      </c>
      <c r="M97" s="32">
        <v>62.47</v>
      </c>
      <c r="N97" s="32">
        <v>69.650000000000006</v>
      </c>
      <c r="O97" s="32">
        <v>41.7</v>
      </c>
      <c r="P97" s="32">
        <v>4.8</v>
      </c>
      <c r="Q97" s="34">
        <v>184943</v>
      </c>
      <c r="R97" s="34">
        <v>0</v>
      </c>
      <c r="S97" s="34">
        <v>184943</v>
      </c>
      <c r="T97" s="34">
        <v>30235</v>
      </c>
      <c r="U97" s="34">
        <v>33711</v>
      </c>
      <c r="V97" s="34">
        <v>233</v>
      </c>
      <c r="W97" s="34">
        <v>22867</v>
      </c>
      <c r="X97" s="34">
        <v>2632</v>
      </c>
      <c r="Y97" s="34">
        <v>274621</v>
      </c>
      <c r="Z97" s="34">
        <v>38909</v>
      </c>
      <c r="AA97" s="34">
        <v>235712</v>
      </c>
      <c r="AB97" s="34">
        <v>131542</v>
      </c>
      <c r="AC97" s="34">
        <v>104170</v>
      </c>
    </row>
    <row r="98" spans="1:29" x14ac:dyDescent="0.25">
      <c r="A98" s="31" t="s">
        <v>60</v>
      </c>
      <c r="B98" s="31" t="s">
        <v>730</v>
      </c>
      <c r="C98" s="31" t="s">
        <v>103</v>
      </c>
      <c r="D98" s="31" t="s">
        <v>501</v>
      </c>
      <c r="E98" s="32">
        <v>59</v>
      </c>
      <c r="F98" s="33">
        <v>453</v>
      </c>
      <c r="G98" s="32">
        <v>512</v>
      </c>
      <c r="H98" s="32">
        <v>0.65</v>
      </c>
      <c r="I98" s="34">
        <v>1</v>
      </c>
      <c r="J98" s="33">
        <v>0</v>
      </c>
      <c r="K98" s="34">
        <v>454</v>
      </c>
      <c r="L98" s="32">
        <v>337.26</v>
      </c>
      <c r="M98" s="32">
        <v>62.47</v>
      </c>
      <c r="N98" s="32">
        <v>69.650000000000006</v>
      </c>
      <c r="O98" s="32">
        <v>41.7</v>
      </c>
      <c r="P98" s="32">
        <v>4.8</v>
      </c>
      <c r="Q98" s="34">
        <v>172677</v>
      </c>
      <c r="R98" s="34">
        <v>0</v>
      </c>
      <c r="S98" s="34">
        <v>172677</v>
      </c>
      <c r="T98" s="34">
        <v>28361</v>
      </c>
      <c r="U98" s="34">
        <v>31621</v>
      </c>
      <c r="V98" s="34">
        <v>219</v>
      </c>
      <c r="W98" s="34">
        <v>21350</v>
      </c>
      <c r="X98" s="34">
        <v>2458</v>
      </c>
      <c r="Y98" s="34">
        <v>256686</v>
      </c>
      <c r="Z98" s="34">
        <v>31289</v>
      </c>
      <c r="AA98" s="34">
        <v>225397</v>
      </c>
      <c r="AB98" s="34">
        <v>127859</v>
      </c>
      <c r="AC98" s="34">
        <v>97538</v>
      </c>
    </row>
    <row r="99" spans="1:29" x14ac:dyDescent="0.25">
      <c r="A99" s="31" t="s">
        <v>60</v>
      </c>
      <c r="B99" s="31" t="s">
        <v>730</v>
      </c>
      <c r="C99" s="31" t="s">
        <v>104</v>
      </c>
      <c r="D99" s="31" t="s">
        <v>502</v>
      </c>
      <c r="E99" s="32">
        <v>71.58</v>
      </c>
      <c r="F99" s="33">
        <v>511</v>
      </c>
      <c r="G99" s="32">
        <v>582.58000000000004</v>
      </c>
      <c r="H99" s="32">
        <v>0.74</v>
      </c>
      <c r="I99" s="34">
        <v>0</v>
      </c>
      <c r="J99" s="33">
        <v>0</v>
      </c>
      <c r="K99" s="34">
        <v>511</v>
      </c>
      <c r="L99" s="32">
        <v>337.26</v>
      </c>
      <c r="M99" s="32">
        <v>62.47</v>
      </c>
      <c r="N99" s="32">
        <v>69.650000000000006</v>
      </c>
      <c r="O99" s="32">
        <v>41.7</v>
      </c>
      <c r="P99" s="32">
        <v>4.8</v>
      </c>
      <c r="Q99" s="34">
        <v>196481</v>
      </c>
      <c r="R99" s="34">
        <v>0</v>
      </c>
      <c r="S99" s="34">
        <v>196481</v>
      </c>
      <c r="T99" s="34">
        <v>31922</v>
      </c>
      <c r="U99" s="34">
        <v>35591</v>
      </c>
      <c r="V99" s="34">
        <v>250</v>
      </c>
      <c r="W99" s="34">
        <v>24294</v>
      </c>
      <c r="X99" s="34">
        <v>2796</v>
      </c>
      <c r="Y99" s="34">
        <v>291334</v>
      </c>
      <c r="Z99" s="34">
        <v>32927</v>
      </c>
      <c r="AA99" s="34">
        <v>258407</v>
      </c>
      <c r="AB99" s="34">
        <v>148159</v>
      </c>
      <c r="AC99" s="34">
        <v>110248</v>
      </c>
    </row>
    <row r="100" spans="1:29" x14ac:dyDescent="0.25">
      <c r="A100" s="31" t="s">
        <v>60</v>
      </c>
      <c r="B100" s="31" t="s">
        <v>730</v>
      </c>
      <c r="C100" s="31" t="s">
        <v>105</v>
      </c>
      <c r="D100" s="31" t="s">
        <v>503</v>
      </c>
      <c r="E100" s="32">
        <v>82.87</v>
      </c>
      <c r="F100" s="33">
        <v>892.7</v>
      </c>
      <c r="G100" s="32">
        <v>975.57</v>
      </c>
      <c r="H100" s="32">
        <v>1.23</v>
      </c>
      <c r="I100" s="34">
        <v>2</v>
      </c>
      <c r="J100" s="33">
        <v>0</v>
      </c>
      <c r="K100" s="34">
        <v>895</v>
      </c>
      <c r="L100" s="32">
        <v>337.26</v>
      </c>
      <c r="M100" s="32">
        <v>62.47</v>
      </c>
      <c r="N100" s="32">
        <v>69.650000000000006</v>
      </c>
      <c r="O100" s="32">
        <v>41.7</v>
      </c>
      <c r="P100" s="32">
        <v>4.8</v>
      </c>
      <c r="Q100" s="34">
        <v>329021</v>
      </c>
      <c r="R100" s="34">
        <v>0</v>
      </c>
      <c r="S100" s="34">
        <v>329021</v>
      </c>
      <c r="T100" s="34">
        <v>55911</v>
      </c>
      <c r="U100" s="34">
        <v>62337</v>
      </c>
      <c r="V100" s="34">
        <v>415</v>
      </c>
      <c r="W100" s="34">
        <v>40681</v>
      </c>
      <c r="X100" s="34">
        <v>4683</v>
      </c>
      <c r="Y100" s="34">
        <v>493048</v>
      </c>
      <c r="Z100" s="34">
        <v>62418</v>
      </c>
      <c r="AA100" s="34">
        <v>430630</v>
      </c>
      <c r="AB100" s="34">
        <v>240821</v>
      </c>
      <c r="AC100" s="34">
        <v>189809</v>
      </c>
    </row>
    <row r="101" spans="1:29" x14ac:dyDescent="0.25">
      <c r="A101" s="31" t="s">
        <v>60</v>
      </c>
      <c r="B101" s="31" t="s">
        <v>730</v>
      </c>
      <c r="C101" s="31" t="s">
        <v>106</v>
      </c>
      <c r="D101" s="31" t="s">
        <v>504</v>
      </c>
      <c r="E101" s="32">
        <v>65.3</v>
      </c>
      <c r="F101" s="33">
        <v>426</v>
      </c>
      <c r="G101" s="32">
        <v>491.3</v>
      </c>
      <c r="H101" s="32">
        <v>0.62</v>
      </c>
      <c r="I101" s="34">
        <v>7</v>
      </c>
      <c r="J101" s="33">
        <v>0</v>
      </c>
      <c r="K101" s="34">
        <v>433</v>
      </c>
      <c r="L101" s="32">
        <v>337.26</v>
      </c>
      <c r="M101" s="32">
        <v>62.47</v>
      </c>
      <c r="N101" s="32">
        <v>69.650000000000006</v>
      </c>
      <c r="O101" s="32">
        <v>41.7</v>
      </c>
      <c r="P101" s="32">
        <v>4.8</v>
      </c>
      <c r="Q101" s="34">
        <v>165696</v>
      </c>
      <c r="R101" s="34">
        <v>0</v>
      </c>
      <c r="S101" s="34">
        <v>165696</v>
      </c>
      <c r="T101" s="34">
        <v>27050</v>
      </c>
      <c r="U101" s="34">
        <v>30158</v>
      </c>
      <c r="V101" s="34">
        <v>209</v>
      </c>
      <c r="W101" s="34">
        <v>20487</v>
      </c>
      <c r="X101" s="34">
        <v>2358</v>
      </c>
      <c r="Y101" s="34">
        <v>245958</v>
      </c>
      <c r="Z101" s="34">
        <v>38715</v>
      </c>
      <c r="AA101" s="34">
        <v>207243</v>
      </c>
      <c r="AB101" s="34">
        <v>113997</v>
      </c>
      <c r="AC101" s="34">
        <v>93246</v>
      </c>
    </row>
    <row r="102" spans="1:29" x14ac:dyDescent="0.25">
      <c r="A102" s="31" t="s">
        <v>60</v>
      </c>
      <c r="B102" s="31" t="s">
        <v>730</v>
      </c>
      <c r="C102" s="31" t="s">
        <v>107</v>
      </c>
      <c r="D102" s="31" t="s">
        <v>505</v>
      </c>
      <c r="E102" s="32">
        <v>231.35</v>
      </c>
      <c r="F102" s="33">
        <v>1447.4</v>
      </c>
      <c r="G102" s="32">
        <v>1678.75</v>
      </c>
      <c r="H102" s="32">
        <v>2.11</v>
      </c>
      <c r="I102" s="34">
        <v>1</v>
      </c>
      <c r="J102" s="33">
        <v>0</v>
      </c>
      <c r="K102" s="34">
        <v>1448</v>
      </c>
      <c r="L102" s="32">
        <v>337.26</v>
      </c>
      <c r="M102" s="32">
        <v>62.47</v>
      </c>
      <c r="N102" s="32">
        <v>69.650000000000006</v>
      </c>
      <c r="O102" s="32">
        <v>41.7</v>
      </c>
      <c r="P102" s="32">
        <v>4.8</v>
      </c>
      <c r="Q102" s="34">
        <v>566175</v>
      </c>
      <c r="R102" s="34">
        <v>0</v>
      </c>
      <c r="S102" s="34">
        <v>566175</v>
      </c>
      <c r="T102" s="34">
        <v>90457</v>
      </c>
      <c r="U102" s="34">
        <v>100853</v>
      </c>
      <c r="V102" s="34">
        <v>712</v>
      </c>
      <c r="W102" s="34">
        <v>70004</v>
      </c>
      <c r="X102" s="34">
        <v>8058</v>
      </c>
      <c r="Y102" s="34">
        <v>836259</v>
      </c>
      <c r="Z102" s="34">
        <v>99339</v>
      </c>
      <c r="AA102" s="34">
        <v>736920</v>
      </c>
      <c r="AB102" s="34">
        <v>422470</v>
      </c>
      <c r="AC102" s="34">
        <v>314450</v>
      </c>
    </row>
    <row r="103" spans="1:29" x14ac:dyDescent="0.25">
      <c r="A103" s="31" t="s">
        <v>60</v>
      </c>
      <c r="B103" s="31" t="s">
        <v>730</v>
      </c>
      <c r="C103" s="31" t="s">
        <v>108</v>
      </c>
      <c r="D103" s="31" t="s">
        <v>506</v>
      </c>
      <c r="E103" s="32">
        <v>59.93</v>
      </c>
      <c r="F103" s="33">
        <v>570.70000000000005</v>
      </c>
      <c r="G103" s="32">
        <v>630.63</v>
      </c>
      <c r="H103" s="32">
        <v>0.79</v>
      </c>
      <c r="I103" s="34">
        <v>0</v>
      </c>
      <c r="J103" s="33">
        <v>0</v>
      </c>
      <c r="K103" s="34">
        <v>571</v>
      </c>
      <c r="L103" s="32">
        <v>337.26</v>
      </c>
      <c r="M103" s="32">
        <v>62.47</v>
      </c>
      <c r="N103" s="32">
        <v>69.650000000000006</v>
      </c>
      <c r="O103" s="32">
        <v>41.7</v>
      </c>
      <c r="P103" s="32">
        <v>4.8</v>
      </c>
      <c r="Q103" s="34">
        <v>212686</v>
      </c>
      <c r="R103" s="34">
        <v>0</v>
      </c>
      <c r="S103" s="34">
        <v>212686</v>
      </c>
      <c r="T103" s="34">
        <v>35670</v>
      </c>
      <c r="U103" s="34">
        <v>39770</v>
      </c>
      <c r="V103" s="34">
        <v>266</v>
      </c>
      <c r="W103" s="34">
        <v>26297</v>
      </c>
      <c r="X103" s="34">
        <v>3027</v>
      </c>
      <c r="Y103" s="34">
        <v>317716</v>
      </c>
      <c r="Z103" s="34">
        <v>45825</v>
      </c>
      <c r="AA103" s="34">
        <v>271891</v>
      </c>
      <c r="AB103" s="34">
        <v>150194</v>
      </c>
      <c r="AC103" s="34">
        <v>121697</v>
      </c>
    </row>
    <row r="104" spans="1:29" x14ac:dyDescent="0.25">
      <c r="A104" s="31" t="s">
        <v>60</v>
      </c>
      <c r="B104" s="31" t="s">
        <v>730</v>
      </c>
      <c r="C104" s="31" t="s">
        <v>109</v>
      </c>
      <c r="D104" s="31" t="s">
        <v>507</v>
      </c>
      <c r="E104" s="32">
        <v>120.02</v>
      </c>
      <c r="F104" s="33">
        <v>769.6</v>
      </c>
      <c r="G104" s="32">
        <v>889.62</v>
      </c>
      <c r="H104" s="32">
        <v>1.1200000000000001</v>
      </c>
      <c r="I104" s="34">
        <v>3</v>
      </c>
      <c r="J104" s="33">
        <v>0</v>
      </c>
      <c r="K104" s="34">
        <v>773</v>
      </c>
      <c r="L104" s="32">
        <v>337.26</v>
      </c>
      <c r="M104" s="32">
        <v>62.47</v>
      </c>
      <c r="N104" s="32">
        <v>69.650000000000006</v>
      </c>
      <c r="O104" s="32">
        <v>41.7</v>
      </c>
      <c r="P104" s="32">
        <v>4.8</v>
      </c>
      <c r="Q104" s="34">
        <v>300033</v>
      </c>
      <c r="R104" s="34">
        <v>0</v>
      </c>
      <c r="S104" s="34">
        <v>300033</v>
      </c>
      <c r="T104" s="34">
        <v>48289</v>
      </c>
      <c r="U104" s="34">
        <v>53839</v>
      </c>
      <c r="V104" s="34">
        <v>378</v>
      </c>
      <c r="W104" s="34">
        <v>37097</v>
      </c>
      <c r="X104" s="34">
        <v>4270</v>
      </c>
      <c r="Y104" s="34">
        <v>443906</v>
      </c>
      <c r="Z104" s="34">
        <v>63141</v>
      </c>
      <c r="AA104" s="34">
        <v>380765</v>
      </c>
      <c r="AB104" s="34">
        <v>213381</v>
      </c>
      <c r="AC104" s="34">
        <v>167384</v>
      </c>
    </row>
    <row r="105" spans="1:29" x14ac:dyDescent="0.25">
      <c r="A105" s="31" t="s">
        <v>60</v>
      </c>
      <c r="B105" s="31" t="s">
        <v>730</v>
      </c>
      <c r="C105" s="31" t="s">
        <v>110</v>
      </c>
      <c r="D105" s="31" t="s">
        <v>508</v>
      </c>
      <c r="E105" s="32">
        <v>64.53</v>
      </c>
      <c r="F105" s="33">
        <v>380.7</v>
      </c>
      <c r="G105" s="32">
        <v>445.23</v>
      </c>
      <c r="H105" s="32">
        <v>0.56000000000000005</v>
      </c>
      <c r="I105" s="34">
        <v>1</v>
      </c>
      <c r="J105" s="33">
        <v>0</v>
      </c>
      <c r="K105" s="34">
        <v>382</v>
      </c>
      <c r="L105" s="32">
        <v>337.26</v>
      </c>
      <c r="M105" s="32">
        <v>62.47</v>
      </c>
      <c r="N105" s="32">
        <v>69.650000000000006</v>
      </c>
      <c r="O105" s="32">
        <v>41.7</v>
      </c>
      <c r="P105" s="32">
        <v>4.8</v>
      </c>
      <c r="Q105" s="34">
        <v>150158</v>
      </c>
      <c r="R105" s="34">
        <v>2166</v>
      </c>
      <c r="S105" s="34">
        <v>152324</v>
      </c>
      <c r="T105" s="34">
        <v>23864</v>
      </c>
      <c r="U105" s="34">
        <v>26606</v>
      </c>
      <c r="V105" s="34">
        <v>189</v>
      </c>
      <c r="W105" s="34">
        <v>18566</v>
      </c>
      <c r="X105" s="34">
        <v>2137</v>
      </c>
      <c r="Y105" s="34">
        <v>223686</v>
      </c>
      <c r="Z105" s="34">
        <v>29808</v>
      </c>
      <c r="AA105" s="34">
        <v>193878</v>
      </c>
      <c r="AB105" s="34">
        <v>108584</v>
      </c>
      <c r="AC105" s="34">
        <v>85294</v>
      </c>
    </row>
    <row r="106" spans="1:29" x14ac:dyDescent="0.25">
      <c r="A106" s="31" t="s">
        <v>60</v>
      </c>
      <c r="B106" s="31" t="s">
        <v>730</v>
      </c>
      <c r="C106" s="31" t="s">
        <v>111</v>
      </c>
      <c r="D106" s="31" t="s">
        <v>509</v>
      </c>
      <c r="E106" s="32">
        <v>161.37</v>
      </c>
      <c r="F106" s="33">
        <v>965.5</v>
      </c>
      <c r="G106" s="32">
        <v>1126.8699999999999</v>
      </c>
      <c r="H106" s="32">
        <v>1.42</v>
      </c>
      <c r="I106" s="34">
        <v>29</v>
      </c>
      <c r="J106" s="33">
        <v>0</v>
      </c>
      <c r="K106" s="34">
        <v>995</v>
      </c>
      <c r="L106" s="32">
        <v>337.26</v>
      </c>
      <c r="M106" s="32">
        <v>62.47</v>
      </c>
      <c r="N106" s="32">
        <v>69.650000000000006</v>
      </c>
      <c r="O106" s="32">
        <v>41.7</v>
      </c>
      <c r="P106" s="32">
        <v>4.8</v>
      </c>
      <c r="Q106" s="34">
        <v>380048</v>
      </c>
      <c r="R106" s="34">
        <v>9822</v>
      </c>
      <c r="S106" s="34">
        <v>389870</v>
      </c>
      <c r="T106" s="34">
        <v>62158</v>
      </c>
      <c r="U106" s="34">
        <v>69302</v>
      </c>
      <c r="V106" s="34">
        <v>479</v>
      </c>
      <c r="W106" s="34">
        <v>46990</v>
      </c>
      <c r="X106" s="34">
        <v>5409</v>
      </c>
      <c r="Y106" s="34">
        <v>574208</v>
      </c>
      <c r="Z106" s="34">
        <v>71518</v>
      </c>
      <c r="AA106" s="34">
        <v>502690</v>
      </c>
      <c r="AB106" s="34">
        <v>278750</v>
      </c>
      <c r="AC106" s="34">
        <v>223940</v>
      </c>
    </row>
    <row r="107" spans="1:29" x14ac:dyDescent="0.25">
      <c r="A107" s="31" t="s">
        <v>60</v>
      </c>
      <c r="B107" s="31" t="s">
        <v>730</v>
      </c>
      <c r="C107" s="31" t="s">
        <v>112</v>
      </c>
      <c r="D107" s="31" t="s">
        <v>510</v>
      </c>
      <c r="E107" s="32">
        <v>83.58</v>
      </c>
      <c r="F107" s="33">
        <v>657.7</v>
      </c>
      <c r="G107" s="32">
        <v>741.28</v>
      </c>
      <c r="H107" s="32">
        <v>0.93</v>
      </c>
      <c r="I107" s="34">
        <v>21</v>
      </c>
      <c r="J107" s="33">
        <v>0</v>
      </c>
      <c r="K107" s="34">
        <v>679</v>
      </c>
      <c r="L107" s="32">
        <v>337.26</v>
      </c>
      <c r="M107" s="32">
        <v>62.47</v>
      </c>
      <c r="N107" s="32">
        <v>69.650000000000006</v>
      </c>
      <c r="O107" s="32">
        <v>41.7</v>
      </c>
      <c r="P107" s="32">
        <v>4.8</v>
      </c>
      <c r="Q107" s="34">
        <v>250004</v>
      </c>
      <c r="R107" s="34">
        <v>0</v>
      </c>
      <c r="S107" s="34">
        <v>250004</v>
      </c>
      <c r="T107" s="34">
        <v>42417</v>
      </c>
      <c r="U107" s="34">
        <v>47292</v>
      </c>
      <c r="V107" s="34">
        <v>314</v>
      </c>
      <c r="W107" s="34">
        <v>30911</v>
      </c>
      <c r="X107" s="34">
        <v>3558</v>
      </c>
      <c r="Y107" s="34">
        <v>374496</v>
      </c>
      <c r="Z107" s="34">
        <v>44032</v>
      </c>
      <c r="AA107" s="34">
        <v>330464</v>
      </c>
      <c r="AB107" s="34">
        <v>186380</v>
      </c>
      <c r="AC107" s="34">
        <v>144084</v>
      </c>
    </row>
    <row r="108" spans="1:29" x14ac:dyDescent="0.25">
      <c r="A108" s="31" t="s">
        <v>60</v>
      </c>
      <c r="B108" s="31" t="s">
        <v>730</v>
      </c>
      <c r="C108" s="31" t="s">
        <v>113</v>
      </c>
      <c r="D108" s="31" t="s">
        <v>511</v>
      </c>
      <c r="E108" s="32">
        <v>2292.63</v>
      </c>
      <c r="F108" s="33">
        <v>10672.3</v>
      </c>
      <c r="G108" s="32">
        <v>12964.93</v>
      </c>
      <c r="H108" s="32">
        <v>16.329999999999998</v>
      </c>
      <c r="I108" s="34">
        <v>1125</v>
      </c>
      <c r="J108" s="33">
        <v>12.6</v>
      </c>
      <c r="K108" s="34">
        <v>11785</v>
      </c>
      <c r="L108" s="32">
        <v>337.26</v>
      </c>
      <c r="M108" s="32">
        <v>62.47</v>
      </c>
      <c r="N108" s="32">
        <v>69.650000000000006</v>
      </c>
      <c r="O108" s="32">
        <v>41.7</v>
      </c>
      <c r="P108" s="32">
        <v>4.8</v>
      </c>
      <c r="Q108" s="34">
        <v>4372552</v>
      </c>
      <c r="R108" s="34">
        <v>0</v>
      </c>
      <c r="S108" s="34">
        <v>4372552</v>
      </c>
      <c r="T108" s="34">
        <v>736209</v>
      </c>
      <c r="U108" s="34">
        <v>820825</v>
      </c>
      <c r="V108" s="34">
        <v>5507</v>
      </c>
      <c r="W108" s="34">
        <v>540638</v>
      </c>
      <c r="X108" s="34">
        <v>62232</v>
      </c>
      <c r="Y108" s="34">
        <v>6537963</v>
      </c>
      <c r="Z108" s="34">
        <v>711482</v>
      </c>
      <c r="AA108" s="34">
        <v>5826481</v>
      </c>
      <c r="AB108" s="34">
        <v>3318441</v>
      </c>
      <c r="AC108" s="34">
        <v>2508040</v>
      </c>
    </row>
    <row r="109" spans="1:29" x14ac:dyDescent="0.25">
      <c r="A109" s="31" t="s">
        <v>60</v>
      </c>
      <c r="B109" s="31" t="s">
        <v>730</v>
      </c>
      <c r="C109" s="31" t="s">
        <v>114</v>
      </c>
      <c r="D109" s="31" t="s">
        <v>512</v>
      </c>
      <c r="E109" s="32">
        <v>278.08999999999997</v>
      </c>
      <c r="F109" s="33">
        <v>2197.8000000000002</v>
      </c>
      <c r="G109" s="32">
        <v>2475.89</v>
      </c>
      <c r="H109" s="32">
        <v>3.12</v>
      </c>
      <c r="I109" s="34">
        <v>116</v>
      </c>
      <c r="J109" s="33">
        <v>1.2</v>
      </c>
      <c r="K109" s="34">
        <v>2313</v>
      </c>
      <c r="L109" s="32">
        <v>337.26</v>
      </c>
      <c r="M109" s="32">
        <v>62.47</v>
      </c>
      <c r="N109" s="32">
        <v>69.650000000000006</v>
      </c>
      <c r="O109" s="32">
        <v>41.7</v>
      </c>
      <c r="P109" s="32">
        <v>4.8</v>
      </c>
      <c r="Q109" s="34">
        <v>835019</v>
      </c>
      <c r="R109" s="34">
        <v>0</v>
      </c>
      <c r="S109" s="34">
        <v>835019</v>
      </c>
      <c r="T109" s="34">
        <v>144493</v>
      </c>
      <c r="U109" s="34">
        <v>161100</v>
      </c>
      <c r="V109" s="34">
        <v>1052</v>
      </c>
      <c r="W109" s="34">
        <v>103245</v>
      </c>
      <c r="X109" s="34">
        <v>11884</v>
      </c>
      <c r="Y109" s="34">
        <v>1256793</v>
      </c>
      <c r="Z109" s="34">
        <v>116224</v>
      </c>
      <c r="AA109" s="34">
        <v>1140569</v>
      </c>
      <c r="AB109" s="34">
        <v>653364</v>
      </c>
      <c r="AC109" s="34">
        <v>487205</v>
      </c>
    </row>
    <row r="110" spans="1:29" x14ac:dyDescent="0.25">
      <c r="A110" s="31" t="s">
        <v>60</v>
      </c>
      <c r="B110" s="31" t="s">
        <v>730</v>
      </c>
      <c r="C110" s="31" t="s">
        <v>115</v>
      </c>
      <c r="D110" s="31" t="s">
        <v>513</v>
      </c>
      <c r="E110" s="32">
        <v>108.15</v>
      </c>
      <c r="F110" s="33">
        <v>763.8</v>
      </c>
      <c r="G110" s="32">
        <v>871.95</v>
      </c>
      <c r="H110" s="32">
        <v>1.1000000000000001</v>
      </c>
      <c r="I110" s="34">
        <v>53</v>
      </c>
      <c r="J110" s="33">
        <v>0</v>
      </c>
      <c r="K110" s="34">
        <v>817</v>
      </c>
      <c r="L110" s="32">
        <v>337.26</v>
      </c>
      <c r="M110" s="32">
        <v>62.47</v>
      </c>
      <c r="N110" s="32">
        <v>69.650000000000006</v>
      </c>
      <c r="O110" s="32">
        <v>41.7</v>
      </c>
      <c r="P110" s="32">
        <v>4.8</v>
      </c>
      <c r="Q110" s="34">
        <v>294074</v>
      </c>
      <c r="R110" s="34">
        <v>0</v>
      </c>
      <c r="S110" s="34">
        <v>294074</v>
      </c>
      <c r="T110" s="34">
        <v>51038</v>
      </c>
      <c r="U110" s="34">
        <v>56904</v>
      </c>
      <c r="V110" s="34">
        <v>371</v>
      </c>
      <c r="W110" s="34">
        <v>36360</v>
      </c>
      <c r="X110" s="34">
        <v>4185</v>
      </c>
      <c r="Y110" s="34">
        <v>442932</v>
      </c>
      <c r="Z110" s="34">
        <v>58114</v>
      </c>
      <c r="AA110" s="34">
        <v>384818</v>
      </c>
      <c r="AB110" s="34">
        <v>212916</v>
      </c>
      <c r="AC110" s="34">
        <v>171902</v>
      </c>
    </row>
    <row r="111" spans="1:29" x14ac:dyDescent="0.25">
      <c r="A111" s="31" t="s">
        <v>60</v>
      </c>
      <c r="B111" s="31" t="s">
        <v>730</v>
      </c>
      <c r="C111" s="31" t="s">
        <v>116</v>
      </c>
      <c r="D111" s="31" t="s">
        <v>514</v>
      </c>
      <c r="E111" s="32">
        <v>41.73</v>
      </c>
      <c r="F111" s="33">
        <v>559.29999999999995</v>
      </c>
      <c r="G111" s="32">
        <v>601.03</v>
      </c>
      <c r="H111" s="32">
        <v>0.76</v>
      </c>
      <c r="I111" s="34">
        <v>8</v>
      </c>
      <c r="J111" s="33">
        <v>0</v>
      </c>
      <c r="K111" s="34">
        <v>567</v>
      </c>
      <c r="L111" s="32">
        <v>337.26</v>
      </c>
      <c r="M111" s="32">
        <v>62.47</v>
      </c>
      <c r="N111" s="32">
        <v>69.650000000000006</v>
      </c>
      <c r="O111" s="32">
        <v>41.7</v>
      </c>
      <c r="P111" s="32">
        <v>4.8</v>
      </c>
      <c r="Q111" s="34">
        <v>202703</v>
      </c>
      <c r="R111" s="34">
        <v>0</v>
      </c>
      <c r="S111" s="34">
        <v>202703</v>
      </c>
      <c r="T111" s="34">
        <v>35420</v>
      </c>
      <c r="U111" s="34">
        <v>39492</v>
      </c>
      <c r="V111" s="34">
        <v>256</v>
      </c>
      <c r="W111" s="34">
        <v>25063</v>
      </c>
      <c r="X111" s="34">
        <v>2885</v>
      </c>
      <c r="Y111" s="34">
        <v>305819</v>
      </c>
      <c r="Z111" s="34">
        <v>42031</v>
      </c>
      <c r="AA111" s="34">
        <v>263788</v>
      </c>
      <c r="AB111" s="34">
        <v>144790</v>
      </c>
      <c r="AC111" s="34">
        <v>118998</v>
      </c>
    </row>
    <row r="112" spans="1:29" x14ac:dyDescent="0.25">
      <c r="A112" s="31" t="s">
        <v>60</v>
      </c>
      <c r="B112" s="31" t="s">
        <v>730</v>
      </c>
      <c r="C112" s="31" t="s">
        <v>117</v>
      </c>
      <c r="D112" s="31" t="s">
        <v>515</v>
      </c>
      <c r="E112" s="32">
        <v>74.59</v>
      </c>
      <c r="F112" s="33">
        <v>786.7</v>
      </c>
      <c r="G112" s="32">
        <v>861.29</v>
      </c>
      <c r="H112" s="32">
        <v>1.0900000000000001</v>
      </c>
      <c r="I112" s="34">
        <v>2</v>
      </c>
      <c r="J112" s="33">
        <v>0</v>
      </c>
      <c r="K112" s="34">
        <v>789</v>
      </c>
      <c r="L112" s="32">
        <v>337.26</v>
      </c>
      <c r="M112" s="32">
        <v>62.47</v>
      </c>
      <c r="N112" s="32">
        <v>69.650000000000006</v>
      </c>
      <c r="O112" s="32">
        <v>41.7</v>
      </c>
      <c r="P112" s="32">
        <v>4.8</v>
      </c>
      <c r="Q112" s="34">
        <v>290479</v>
      </c>
      <c r="R112" s="34">
        <v>4284</v>
      </c>
      <c r="S112" s="34">
        <v>294763</v>
      </c>
      <c r="T112" s="34">
        <v>49289</v>
      </c>
      <c r="U112" s="34">
        <v>54954</v>
      </c>
      <c r="V112" s="34">
        <v>368</v>
      </c>
      <c r="W112" s="34">
        <v>36435</v>
      </c>
      <c r="X112" s="34">
        <v>4190</v>
      </c>
      <c r="Y112" s="34">
        <v>439999</v>
      </c>
      <c r="Z112" s="34">
        <v>51207</v>
      </c>
      <c r="AA112" s="34">
        <v>388792</v>
      </c>
      <c r="AB112" s="34">
        <v>217086</v>
      </c>
      <c r="AC112" s="34">
        <v>171706</v>
      </c>
    </row>
    <row r="113" spans="1:29" x14ac:dyDescent="0.25">
      <c r="A113" s="31" t="s">
        <v>118</v>
      </c>
      <c r="B113" s="31" t="s">
        <v>731</v>
      </c>
      <c r="C113" s="31" t="s">
        <v>119</v>
      </c>
      <c r="D113" s="31" t="s">
        <v>516</v>
      </c>
      <c r="E113" s="32">
        <v>26.1</v>
      </c>
      <c r="F113" s="33">
        <v>233</v>
      </c>
      <c r="G113" s="32">
        <v>259.10000000000002</v>
      </c>
      <c r="H113" s="32">
        <v>0</v>
      </c>
      <c r="I113" s="34">
        <v>22</v>
      </c>
      <c r="J113" s="33">
        <v>0</v>
      </c>
      <c r="K113" s="34">
        <v>255</v>
      </c>
      <c r="L113" s="32">
        <v>334.9</v>
      </c>
      <c r="M113" s="32">
        <v>61.98</v>
      </c>
      <c r="N113" s="32">
        <v>67.73</v>
      </c>
      <c r="O113" s="32">
        <v>30.77</v>
      </c>
      <c r="P113" s="32">
        <v>3.61</v>
      </c>
      <c r="Q113" s="34">
        <v>86773</v>
      </c>
      <c r="R113" s="34">
        <v>6558</v>
      </c>
      <c r="S113" s="34">
        <v>93331</v>
      </c>
      <c r="T113" s="34">
        <v>15805</v>
      </c>
      <c r="U113" s="34">
        <v>17271</v>
      </c>
      <c r="V113" s="34">
        <v>0</v>
      </c>
      <c r="W113" s="34">
        <v>7973</v>
      </c>
      <c r="X113" s="34">
        <v>935</v>
      </c>
      <c r="Y113" s="34">
        <v>135315</v>
      </c>
      <c r="Z113" s="34">
        <v>21507</v>
      </c>
      <c r="AA113" s="34">
        <v>113808</v>
      </c>
      <c r="AB113" s="34">
        <v>55803</v>
      </c>
      <c r="AC113" s="34">
        <v>58005</v>
      </c>
    </row>
    <row r="114" spans="1:29" x14ac:dyDescent="0.25">
      <c r="A114" s="31" t="s">
        <v>118</v>
      </c>
      <c r="B114" s="31" t="s">
        <v>731</v>
      </c>
      <c r="C114" s="31" t="s">
        <v>120</v>
      </c>
      <c r="D114" s="31" t="s">
        <v>517</v>
      </c>
      <c r="E114" s="32">
        <v>52.79</v>
      </c>
      <c r="F114" s="33">
        <v>631.70000000000005</v>
      </c>
      <c r="G114" s="32">
        <v>684.49</v>
      </c>
      <c r="H114" s="32">
        <v>0</v>
      </c>
      <c r="I114" s="34">
        <v>169</v>
      </c>
      <c r="J114" s="33">
        <v>0</v>
      </c>
      <c r="K114" s="34">
        <v>801</v>
      </c>
      <c r="L114" s="32">
        <v>334.9</v>
      </c>
      <c r="M114" s="32">
        <v>61.98</v>
      </c>
      <c r="N114" s="32">
        <v>67.73</v>
      </c>
      <c r="O114" s="32">
        <v>30.77</v>
      </c>
      <c r="P114" s="32">
        <v>3.61</v>
      </c>
      <c r="Q114" s="34">
        <v>229236</v>
      </c>
      <c r="R114" s="34">
        <v>0</v>
      </c>
      <c r="S114" s="34">
        <v>229236</v>
      </c>
      <c r="T114" s="34">
        <v>49646</v>
      </c>
      <c r="U114" s="34">
        <v>54252</v>
      </c>
      <c r="V114" s="34">
        <v>0</v>
      </c>
      <c r="W114" s="34">
        <v>21062</v>
      </c>
      <c r="X114" s="34">
        <v>2471</v>
      </c>
      <c r="Y114" s="34">
        <v>356667</v>
      </c>
      <c r="Z114" s="34">
        <v>43547</v>
      </c>
      <c r="AA114" s="34">
        <v>313120</v>
      </c>
      <c r="AB114" s="34">
        <v>160691</v>
      </c>
      <c r="AC114" s="34">
        <v>152429</v>
      </c>
    </row>
    <row r="115" spans="1:29" x14ac:dyDescent="0.25">
      <c r="A115" s="31" t="s">
        <v>118</v>
      </c>
      <c r="B115" s="31" t="s">
        <v>731</v>
      </c>
      <c r="C115" s="31" t="s">
        <v>121</v>
      </c>
      <c r="D115" s="31" t="s">
        <v>518</v>
      </c>
      <c r="E115" s="32">
        <v>22.62</v>
      </c>
      <c r="F115" s="33">
        <v>175.2</v>
      </c>
      <c r="G115" s="32">
        <v>197.82</v>
      </c>
      <c r="H115" s="32">
        <v>0</v>
      </c>
      <c r="I115" s="34">
        <v>0</v>
      </c>
      <c r="J115" s="33">
        <v>0</v>
      </c>
      <c r="K115" s="34">
        <v>175</v>
      </c>
      <c r="L115" s="32">
        <v>334.9</v>
      </c>
      <c r="M115" s="32">
        <v>61.98</v>
      </c>
      <c r="N115" s="32">
        <v>67.73</v>
      </c>
      <c r="O115" s="32">
        <v>30.77</v>
      </c>
      <c r="P115" s="32">
        <v>3.61</v>
      </c>
      <c r="Q115" s="34">
        <v>66250</v>
      </c>
      <c r="R115" s="34">
        <v>6537</v>
      </c>
      <c r="S115" s="34">
        <v>72787</v>
      </c>
      <c r="T115" s="34">
        <v>10847</v>
      </c>
      <c r="U115" s="34">
        <v>11853</v>
      </c>
      <c r="V115" s="34">
        <v>0</v>
      </c>
      <c r="W115" s="34">
        <v>6211</v>
      </c>
      <c r="X115" s="34">
        <v>728</v>
      </c>
      <c r="Y115" s="34">
        <v>102426</v>
      </c>
      <c r="Z115" s="34">
        <v>15152</v>
      </c>
      <c r="AA115" s="34">
        <v>87274</v>
      </c>
      <c r="AB115" s="34">
        <v>44011</v>
      </c>
      <c r="AC115" s="34">
        <v>43263</v>
      </c>
    </row>
    <row r="116" spans="1:29" x14ac:dyDescent="0.25">
      <c r="A116" s="31" t="s">
        <v>118</v>
      </c>
      <c r="B116" s="31" t="s">
        <v>731</v>
      </c>
      <c r="C116" s="31" t="s">
        <v>122</v>
      </c>
      <c r="D116" s="31" t="s">
        <v>519</v>
      </c>
      <c r="E116" s="32">
        <v>541.84</v>
      </c>
      <c r="F116" s="33">
        <v>4017.2</v>
      </c>
      <c r="G116" s="32">
        <v>4559.04</v>
      </c>
      <c r="H116" s="32">
        <v>0</v>
      </c>
      <c r="I116" s="34">
        <v>285</v>
      </c>
      <c r="J116" s="33">
        <v>0</v>
      </c>
      <c r="K116" s="34">
        <v>4302</v>
      </c>
      <c r="L116" s="32">
        <v>334.9</v>
      </c>
      <c r="M116" s="32">
        <v>61.98</v>
      </c>
      <c r="N116" s="32">
        <v>67.73</v>
      </c>
      <c r="O116" s="32">
        <v>30.77</v>
      </c>
      <c r="P116" s="32">
        <v>3.61</v>
      </c>
      <c r="Q116" s="34">
        <v>1526822</v>
      </c>
      <c r="R116" s="34">
        <v>0</v>
      </c>
      <c r="S116" s="34">
        <v>1526822</v>
      </c>
      <c r="T116" s="34">
        <v>266638</v>
      </c>
      <c r="U116" s="34">
        <v>291374</v>
      </c>
      <c r="V116" s="34">
        <v>0</v>
      </c>
      <c r="W116" s="34">
        <v>140282</v>
      </c>
      <c r="X116" s="34">
        <v>16458</v>
      </c>
      <c r="Y116" s="34">
        <v>2241574</v>
      </c>
      <c r="Z116" s="34">
        <v>244032</v>
      </c>
      <c r="AA116" s="34">
        <v>1997542</v>
      </c>
      <c r="AB116" s="34">
        <v>1116295</v>
      </c>
      <c r="AC116" s="34">
        <v>881247</v>
      </c>
    </row>
    <row r="117" spans="1:29" x14ac:dyDescent="0.25">
      <c r="A117" s="31" t="s">
        <v>118</v>
      </c>
      <c r="B117" s="31" t="s">
        <v>731</v>
      </c>
      <c r="C117" s="31" t="s">
        <v>123</v>
      </c>
      <c r="D117" s="31" t="s">
        <v>520</v>
      </c>
      <c r="E117" s="32">
        <v>46.84</v>
      </c>
      <c r="F117" s="33">
        <v>381.3</v>
      </c>
      <c r="G117" s="32">
        <v>428.14</v>
      </c>
      <c r="H117" s="32">
        <v>0</v>
      </c>
      <c r="I117" s="34">
        <v>3</v>
      </c>
      <c r="J117" s="33">
        <v>0</v>
      </c>
      <c r="K117" s="34">
        <v>384</v>
      </c>
      <c r="L117" s="32">
        <v>334.9</v>
      </c>
      <c r="M117" s="32">
        <v>61.98</v>
      </c>
      <c r="N117" s="32">
        <v>67.73</v>
      </c>
      <c r="O117" s="32">
        <v>30.77</v>
      </c>
      <c r="P117" s="32">
        <v>3.61</v>
      </c>
      <c r="Q117" s="34">
        <v>143384</v>
      </c>
      <c r="R117" s="34">
        <v>12335</v>
      </c>
      <c r="S117" s="34">
        <v>155719</v>
      </c>
      <c r="T117" s="34">
        <v>23800</v>
      </c>
      <c r="U117" s="34">
        <v>26008</v>
      </c>
      <c r="V117" s="34">
        <v>0</v>
      </c>
      <c r="W117" s="34">
        <v>13174</v>
      </c>
      <c r="X117" s="34">
        <v>1546</v>
      </c>
      <c r="Y117" s="34">
        <v>220247</v>
      </c>
      <c r="Z117" s="34">
        <v>31925</v>
      </c>
      <c r="AA117" s="34">
        <v>188322</v>
      </c>
      <c r="AB117" s="34">
        <v>95824</v>
      </c>
      <c r="AC117" s="34">
        <v>92498</v>
      </c>
    </row>
    <row r="118" spans="1:29" x14ac:dyDescent="0.25">
      <c r="A118" s="31" t="s">
        <v>118</v>
      </c>
      <c r="B118" s="31" t="s">
        <v>731</v>
      </c>
      <c r="C118" s="31" t="s">
        <v>124</v>
      </c>
      <c r="D118" s="31" t="s">
        <v>521</v>
      </c>
      <c r="E118" s="32">
        <v>100.49</v>
      </c>
      <c r="F118" s="33">
        <v>854.3</v>
      </c>
      <c r="G118" s="32">
        <v>954.79</v>
      </c>
      <c r="H118" s="32">
        <v>0</v>
      </c>
      <c r="I118" s="34">
        <v>15</v>
      </c>
      <c r="J118" s="33">
        <v>0</v>
      </c>
      <c r="K118" s="34">
        <v>869</v>
      </c>
      <c r="L118" s="32">
        <v>334.9</v>
      </c>
      <c r="M118" s="32">
        <v>61.98</v>
      </c>
      <c r="N118" s="32">
        <v>67.73</v>
      </c>
      <c r="O118" s="32">
        <v>30.77</v>
      </c>
      <c r="P118" s="32">
        <v>3.61</v>
      </c>
      <c r="Q118" s="34">
        <v>319759</v>
      </c>
      <c r="R118" s="34">
        <v>0</v>
      </c>
      <c r="S118" s="34">
        <v>319759</v>
      </c>
      <c r="T118" s="34">
        <v>53861</v>
      </c>
      <c r="U118" s="34">
        <v>58857</v>
      </c>
      <c r="V118" s="34">
        <v>0</v>
      </c>
      <c r="W118" s="34">
        <v>29379</v>
      </c>
      <c r="X118" s="34">
        <v>3447</v>
      </c>
      <c r="Y118" s="34">
        <v>465303</v>
      </c>
      <c r="Z118" s="34">
        <v>54161</v>
      </c>
      <c r="AA118" s="34">
        <v>411142</v>
      </c>
      <c r="AB118" s="34">
        <v>230730</v>
      </c>
      <c r="AC118" s="34">
        <v>180412</v>
      </c>
    </row>
    <row r="119" spans="1:29" x14ac:dyDescent="0.25">
      <c r="A119" s="31" t="s">
        <v>118</v>
      </c>
      <c r="B119" s="31" t="s">
        <v>731</v>
      </c>
      <c r="C119" s="31" t="s">
        <v>125</v>
      </c>
      <c r="D119" s="31" t="s">
        <v>522</v>
      </c>
      <c r="E119" s="32">
        <v>189.48</v>
      </c>
      <c r="F119" s="33">
        <v>1452.9</v>
      </c>
      <c r="G119" s="32">
        <v>1642.38</v>
      </c>
      <c r="H119" s="32">
        <v>0</v>
      </c>
      <c r="I119" s="34">
        <v>148</v>
      </c>
      <c r="J119" s="33">
        <v>0.1</v>
      </c>
      <c r="K119" s="34">
        <v>1601</v>
      </c>
      <c r="L119" s="32">
        <v>334.9</v>
      </c>
      <c r="M119" s="32">
        <v>61.98</v>
      </c>
      <c r="N119" s="32">
        <v>67.73</v>
      </c>
      <c r="O119" s="32">
        <v>30.77</v>
      </c>
      <c r="P119" s="32">
        <v>3.61</v>
      </c>
      <c r="Q119" s="34">
        <v>550033</v>
      </c>
      <c r="R119" s="34">
        <v>0</v>
      </c>
      <c r="S119" s="34">
        <v>550033</v>
      </c>
      <c r="T119" s="34">
        <v>99230</v>
      </c>
      <c r="U119" s="34">
        <v>108436</v>
      </c>
      <c r="V119" s="34">
        <v>0</v>
      </c>
      <c r="W119" s="34">
        <v>50536</v>
      </c>
      <c r="X119" s="34">
        <v>5929</v>
      </c>
      <c r="Y119" s="34">
        <v>814164</v>
      </c>
      <c r="Z119" s="34">
        <v>101527</v>
      </c>
      <c r="AA119" s="34">
        <v>712637</v>
      </c>
      <c r="AB119" s="34">
        <v>388526</v>
      </c>
      <c r="AC119" s="34">
        <v>324111</v>
      </c>
    </row>
    <row r="120" spans="1:29" x14ac:dyDescent="0.25">
      <c r="A120" s="31" t="s">
        <v>118</v>
      </c>
      <c r="B120" s="31" t="s">
        <v>731</v>
      </c>
      <c r="C120" s="31" t="s">
        <v>126</v>
      </c>
      <c r="D120" s="31" t="s">
        <v>523</v>
      </c>
      <c r="E120" s="32">
        <v>814.18</v>
      </c>
      <c r="F120" s="33">
        <v>3604.2</v>
      </c>
      <c r="G120" s="32">
        <v>4418.38</v>
      </c>
      <c r="H120" s="32">
        <v>0</v>
      </c>
      <c r="I120" s="34">
        <v>163</v>
      </c>
      <c r="J120" s="33">
        <v>0</v>
      </c>
      <c r="K120" s="34">
        <v>3767</v>
      </c>
      <c r="L120" s="32">
        <v>334.9</v>
      </c>
      <c r="M120" s="32">
        <v>61.98</v>
      </c>
      <c r="N120" s="32">
        <v>67.73</v>
      </c>
      <c r="O120" s="32">
        <v>30.77</v>
      </c>
      <c r="P120" s="32">
        <v>3.61</v>
      </c>
      <c r="Q120" s="34">
        <v>1479715</v>
      </c>
      <c r="R120" s="34">
        <v>0</v>
      </c>
      <c r="S120" s="34">
        <v>1479715</v>
      </c>
      <c r="T120" s="34">
        <v>233479</v>
      </c>
      <c r="U120" s="34">
        <v>255139</v>
      </c>
      <c r="V120" s="34">
        <v>0</v>
      </c>
      <c r="W120" s="34">
        <v>135954</v>
      </c>
      <c r="X120" s="34">
        <v>15950</v>
      </c>
      <c r="Y120" s="34">
        <v>2120237</v>
      </c>
      <c r="Z120" s="34">
        <v>287940</v>
      </c>
      <c r="AA120" s="34">
        <v>1832297</v>
      </c>
      <c r="AB120" s="34">
        <v>1030416</v>
      </c>
      <c r="AC120" s="34">
        <v>801881</v>
      </c>
    </row>
    <row r="121" spans="1:29" x14ac:dyDescent="0.25">
      <c r="A121" s="31" t="s">
        <v>118</v>
      </c>
      <c r="B121" s="31" t="s">
        <v>731</v>
      </c>
      <c r="C121" s="31" t="s">
        <v>127</v>
      </c>
      <c r="D121" s="31" t="s">
        <v>524</v>
      </c>
      <c r="E121" s="32">
        <v>105.21</v>
      </c>
      <c r="F121" s="33">
        <v>741.9</v>
      </c>
      <c r="G121" s="32">
        <v>847.11</v>
      </c>
      <c r="H121" s="32">
        <v>0</v>
      </c>
      <c r="I121" s="34">
        <v>0</v>
      </c>
      <c r="J121" s="33">
        <v>0</v>
      </c>
      <c r="K121" s="34">
        <v>742</v>
      </c>
      <c r="L121" s="32">
        <v>334.9</v>
      </c>
      <c r="M121" s="32">
        <v>61.98</v>
      </c>
      <c r="N121" s="32">
        <v>67.73</v>
      </c>
      <c r="O121" s="32">
        <v>30.77</v>
      </c>
      <c r="P121" s="32">
        <v>3.61</v>
      </c>
      <c r="Q121" s="34">
        <v>283697</v>
      </c>
      <c r="R121" s="34">
        <v>15376</v>
      </c>
      <c r="S121" s="34">
        <v>299073</v>
      </c>
      <c r="T121" s="34">
        <v>45989</v>
      </c>
      <c r="U121" s="34">
        <v>50256</v>
      </c>
      <c r="V121" s="34">
        <v>0</v>
      </c>
      <c r="W121" s="34">
        <v>26075</v>
      </c>
      <c r="X121" s="34">
        <v>3058</v>
      </c>
      <c r="Y121" s="34">
        <v>424451</v>
      </c>
      <c r="Z121" s="34">
        <v>63439</v>
      </c>
      <c r="AA121" s="34">
        <v>361012</v>
      </c>
      <c r="AB121" s="34">
        <v>189331</v>
      </c>
      <c r="AC121" s="34">
        <v>171681</v>
      </c>
    </row>
    <row r="122" spans="1:29" x14ac:dyDescent="0.25">
      <c r="A122" s="31" t="s">
        <v>118</v>
      </c>
      <c r="B122" s="31" t="s">
        <v>731</v>
      </c>
      <c r="C122" s="31" t="s">
        <v>128</v>
      </c>
      <c r="D122" s="31" t="s">
        <v>525</v>
      </c>
      <c r="E122" s="32">
        <v>2410.86</v>
      </c>
      <c r="F122" s="33">
        <v>14164.5</v>
      </c>
      <c r="G122" s="32">
        <v>16575.36</v>
      </c>
      <c r="H122" s="32">
        <v>0</v>
      </c>
      <c r="I122" s="34">
        <v>1650</v>
      </c>
      <c r="J122" s="33">
        <v>2.2000000000000002</v>
      </c>
      <c r="K122" s="34">
        <v>15812</v>
      </c>
      <c r="L122" s="32">
        <v>334.9</v>
      </c>
      <c r="M122" s="32">
        <v>61.98</v>
      </c>
      <c r="N122" s="32">
        <v>67.73</v>
      </c>
      <c r="O122" s="32">
        <v>30.77</v>
      </c>
      <c r="P122" s="32">
        <v>3.61</v>
      </c>
      <c r="Q122" s="34">
        <v>5551088</v>
      </c>
      <c r="R122" s="34">
        <v>51920</v>
      </c>
      <c r="S122" s="34">
        <v>5603008</v>
      </c>
      <c r="T122" s="34">
        <v>980028</v>
      </c>
      <c r="U122" s="34">
        <v>1070947</v>
      </c>
      <c r="V122" s="34">
        <v>0</v>
      </c>
      <c r="W122" s="34">
        <v>510024</v>
      </c>
      <c r="X122" s="34">
        <v>59837</v>
      </c>
      <c r="Y122" s="34">
        <v>8223844</v>
      </c>
      <c r="Z122" s="34">
        <v>1050693</v>
      </c>
      <c r="AA122" s="34">
        <v>7173151</v>
      </c>
      <c r="AB122" s="34">
        <v>3895063</v>
      </c>
      <c r="AC122" s="34">
        <v>3278088</v>
      </c>
    </row>
    <row r="123" spans="1:29" x14ac:dyDescent="0.25">
      <c r="A123" s="31" t="s">
        <v>118</v>
      </c>
      <c r="B123" s="31" t="s">
        <v>731</v>
      </c>
      <c r="C123" s="31" t="s">
        <v>129</v>
      </c>
      <c r="D123" s="31" t="s">
        <v>526</v>
      </c>
      <c r="E123" s="32">
        <v>26.51</v>
      </c>
      <c r="F123" s="33">
        <v>200</v>
      </c>
      <c r="G123" s="32">
        <v>226.51</v>
      </c>
      <c r="H123" s="32">
        <v>0</v>
      </c>
      <c r="I123" s="34">
        <v>0</v>
      </c>
      <c r="J123" s="33">
        <v>0</v>
      </c>
      <c r="K123" s="34">
        <v>200</v>
      </c>
      <c r="L123" s="32">
        <v>334.9</v>
      </c>
      <c r="M123" s="32">
        <v>61.98</v>
      </c>
      <c r="N123" s="32">
        <v>67.73</v>
      </c>
      <c r="O123" s="32">
        <v>30.77</v>
      </c>
      <c r="P123" s="32">
        <v>3.61</v>
      </c>
      <c r="Q123" s="34">
        <v>75858</v>
      </c>
      <c r="R123" s="34">
        <v>0</v>
      </c>
      <c r="S123" s="34">
        <v>75858</v>
      </c>
      <c r="T123" s="34">
        <v>12396</v>
      </c>
      <c r="U123" s="34">
        <v>13546</v>
      </c>
      <c r="V123" s="34">
        <v>0</v>
      </c>
      <c r="W123" s="34">
        <v>6970</v>
      </c>
      <c r="X123" s="34">
        <v>818</v>
      </c>
      <c r="Y123" s="34">
        <v>109588</v>
      </c>
      <c r="Z123" s="34">
        <v>17235</v>
      </c>
      <c r="AA123" s="34">
        <v>92353</v>
      </c>
      <c r="AB123" s="34">
        <v>50352</v>
      </c>
      <c r="AC123" s="34">
        <v>42001</v>
      </c>
    </row>
    <row r="124" spans="1:29" x14ac:dyDescent="0.25">
      <c r="A124" s="31" t="s">
        <v>118</v>
      </c>
      <c r="B124" s="31" t="s">
        <v>731</v>
      </c>
      <c r="C124" s="31" t="s">
        <v>130</v>
      </c>
      <c r="D124" s="31" t="s">
        <v>527</v>
      </c>
      <c r="E124" s="32">
        <v>54.6</v>
      </c>
      <c r="F124" s="33">
        <v>503.5</v>
      </c>
      <c r="G124" s="32">
        <v>558.1</v>
      </c>
      <c r="H124" s="32">
        <v>0</v>
      </c>
      <c r="I124" s="34">
        <v>9</v>
      </c>
      <c r="J124" s="33">
        <v>0</v>
      </c>
      <c r="K124" s="34">
        <v>513</v>
      </c>
      <c r="L124" s="32">
        <v>334.9</v>
      </c>
      <c r="M124" s="32">
        <v>61.98</v>
      </c>
      <c r="N124" s="32">
        <v>67.73</v>
      </c>
      <c r="O124" s="32">
        <v>30.77</v>
      </c>
      <c r="P124" s="32">
        <v>3.61</v>
      </c>
      <c r="Q124" s="34">
        <v>186908</v>
      </c>
      <c r="R124" s="34">
        <v>6132</v>
      </c>
      <c r="S124" s="34">
        <v>193040</v>
      </c>
      <c r="T124" s="34">
        <v>31796</v>
      </c>
      <c r="U124" s="34">
        <v>34745</v>
      </c>
      <c r="V124" s="34">
        <v>0</v>
      </c>
      <c r="W124" s="34">
        <v>17546</v>
      </c>
      <c r="X124" s="34">
        <v>2057</v>
      </c>
      <c r="Y124" s="34">
        <v>279184</v>
      </c>
      <c r="Z124" s="34">
        <v>36288</v>
      </c>
      <c r="AA124" s="34">
        <v>242896</v>
      </c>
      <c r="AB124" s="34">
        <v>130653</v>
      </c>
      <c r="AC124" s="34">
        <v>112243</v>
      </c>
    </row>
    <row r="125" spans="1:29" x14ac:dyDescent="0.25">
      <c r="A125" s="31" t="s">
        <v>118</v>
      </c>
      <c r="B125" s="31" t="s">
        <v>731</v>
      </c>
      <c r="C125" s="31" t="s">
        <v>131</v>
      </c>
      <c r="D125" s="31" t="s">
        <v>528</v>
      </c>
      <c r="E125" s="32">
        <v>113.73</v>
      </c>
      <c r="F125" s="33">
        <v>549.6</v>
      </c>
      <c r="G125" s="32">
        <v>663.33</v>
      </c>
      <c r="H125" s="32">
        <v>0</v>
      </c>
      <c r="I125" s="34">
        <v>3</v>
      </c>
      <c r="J125" s="33">
        <v>2.6</v>
      </c>
      <c r="K125" s="34">
        <v>550</v>
      </c>
      <c r="L125" s="32">
        <v>334.9</v>
      </c>
      <c r="M125" s="32">
        <v>61.98</v>
      </c>
      <c r="N125" s="32">
        <v>67.73</v>
      </c>
      <c r="O125" s="32">
        <v>30.77</v>
      </c>
      <c r="P125" s="32">
        <v>3.61</v>
      </c>
      <c r="Q125" s="34">
        <v>222149</v>
      </c>
      <c r="R125" s="34">
        <v>0</v>
      </c>
      <c r="S125" s="34">
        <v>222149</v>
      </c>
      <c r="T125" s="34">
        <v>34089</v>
      </c>
      <c r="U125" s="34">
        <v>37252</v>
      </c>
      <c r="V125" s="34">
        <v>0</v>
      </c>
      <c r="W125" s="34">
        <v>20411</v>
      </c>
      <c r="X125" s="34">
        <v>2395</v>
      </c>
      <c r="Y125" s="34">
        <v>316296</v>
      </c>
      <c r="Z125" s="34">
        <v>46849</v>
      </c>
      <c r="AA125" s="34">
        <v>269447</v>
      </c>
      <c r="AB125" s="34">
        <v>151076</v>
      </c>
      <c r="AC125" s="34">
        <v>118371</v>
      </c>
    </row>
    <row r="126" spans="1:29" x14ac:dyDescent="0.25">
      <c r="A126" s="31" t="s">
        <v>118</v>
      </c>
      <c r="B126" s="31" t="s">
        <v>731</v>
      </c>
      <c r="C126" s="31" t="s">
        <v>132</v>
      </c>
      <c r="D126" s="31" t="s">
        <v>529</v>
      </c>
      <c r="E126" s="32">
        <v>76.260000000000005</v>
      </c>
      <c r="F126" s="33">
        <v>687.2</v>
      </c>
      <c r="G126" s="32">
        <v>763.46</v>
      </c>
      <c r="H126" s="32">
        <v>0</v>
      </c>
      <c r="I126" s="34">
        <v>3</v>
      </c>
      <c r="J126" s="33">
        <v>0</v>
      </c>
      <c r="K126" s="34">
        <v>690</v>
      </c>
      <c r="L126" s="32">
        <v>334.9</v>
      </c>
      <c r="M126" s="32">
        <v>61.98</v>
      </c>
      <c r="N126" s="32">
        <v>67.73</v>
      </c>
      <c r="O126" s="32">
        <v>30.77</v>
      </c>
      <c r="P126" s="32">
        <v>3.61</v>
      </c>
      <c r="Q126" s="34">
        <v>255683</v>
      </c>
      <c r="R126" s="34">
        <v>0</v>
      </c>
      <c r="S126" s="34">
        <v>255683</v>
      </c>
      <c r="T126" s="34">
        <v>42766</v>
      </c>
      <c r="U126" s="34">
        <v>46734</v>
      </c>
      <c r="V126" s="34">
        <v>0</v>
      </c>
      <c r="W126" s="34">
        <v>23492</v>
      </c>
      <c r="X126" s="34">
        <v>2756</v>
      </c>
      <c r="Y126" s="34">
        <v>371431</v>
      </c>
      <c r="Z126" s="34">
        <v>51617</v>
      </c>
      <c r="AA126" s="34">
        <v>319814</v>
      </c>
      <c r="AB126" s="34">
        <v>176184</v>
      </c>
      <c r="AC126" s="34">
        <v>143630</v>
      </c>
    </row>
    <row r="127" spans="1:29" x14ac:dyDescent="0.25">
      <c r="A127" s="31" t="s">
        <v>118</v>
      </c>
      <c r="B127" s="31" t="s">
        <v>731</v>
      </c>
      <c r="C127" s="31" t="s">
        <v>133</v>
      </c>
      <c r="D127" s="31" t="s">
        <v>530</v>
      </c>
      <c r="E127" s="32">
        <v>282.3</v>
      </c>
      <c r="F127" s="33">
        <v>1200</v>
      </c>
      <c r="G127" s="32">
        <v>1482.3</v>
      </c>
      <c r="H127" s="32">
        <v>0</v>
      </c>
      <c r="I127" s="34">
        <v>128</v>
      </c>
      <c r="J127" s="33">
        <v>0.1</v>
      </c>
      <c r="K127" s="34">
        <v>1328</v>
      </c>
      <c r="L127" s="32">
        <v>334.9</v>
      </c>
      <c r="M127" s="32">
        <v>61.98</v>
      </c>
      <c r="N127" s="32">
        <v>67.73</v>
      </c>
      <c r="O127" s="32">
        <v>30.77</v>
      </c>
      <c r="P127" s="32">
        <v>3.61</v>
      </c>
      <c r="Q127" s="34">
        <v>496422</v>
      </c>
      <c r="R127" s="34">
        <v>4944</v>
      </c>
      <c r="S127" s="34">
        <v>501366</v>
      </c>
      <c r="T127" s="34">
        <v>82309</v>
      </c>
      <c r="U127" s="34">
        <v>89945</v>
      </c>
      <c r="V127" s="34">
        <v>0</v>
      </c>
      <c r="W127" s="34">
        <v>45610</v>
      </c>
      <c r="X127" s="34">
        <v>5351</v>
      </c>
      <c r="Y127" s="34">
        <v>724581</v>
      </c>
      <c r="Z127" s="34">
        <v>97359</v>
      </c>
      <c r="AA127" s="34">
        <v>627222</v>
      </c>
      <c r="AB127" s="34">
        <v>344929</v>
      </c>
      <c r="AC127" s="34">
        <v>282293</v>
      </c>
    </row>
    <row r="128" spans="1:29" x14ac:dyDescent="0.25">
      <c r="A128" s="31" t="s">
        <v>118</v>
      </c>
      <c r="B128" s="31" t="s">
        <v>731</v>
      </c>
      <c r="C128" s="31" t="s">
        <v>134</v>
      </c>
      <c r="D128" s="31" t="s">
        <v>531</v>
      </c>
      <c r="E128" s="32">
        <v>673.58</v>
      </c>
      <c r="F128" s="33">
        <v>4574.8</v>
      </c>
      <c r="G128" s="32">
        <v>5248.38</v>
      </c>
      <c r="H128" s="32">
        <v>0</v>
      </c>
      <c r="I128" s="34">
        <v>207</v>
      </c>
      <c r="J128" s="33">
        <v>0</v>
      </c>
      <c r="K128" s="34">
        <v>4782</v>
      </c>
      <c r="L128" s="32">
        <v>334.9</v>
      </c>
      <c r="M128" s="32">
        <v>61.98</v>
      </c>
      <c r="N128" s="32">
        <v>67.73</v>
      </c>
      <c r="O128" s="32">
        <v>30.77</v>
      </c>
      <c r="P128" s="32">
        <v>3.61</v>
      </c>
      <c r="Q128" s="34">
        <v>1757682</v>
      </c>
      <c r="R128" s="34">
        <v>0</v>
      </c>
      <c r="S128" s="34">
        <v>1757682</v>
      </c>
      <c r="T128" s="34">
        <v>296388</v>
      </c>
      <c r="U128" s="34">
        <v>323885</v>
      </c>
      <c r="V128" s="34">
        <v>0</v>
      </c>
      <c r="W128" s="34">
        <v>161493</v>
      </c>
      <c r="X128" s="34">
        <v>18947</v>
      </c>
      <c r="Y128" s="34">
        <v>2558395</v>
      </c>
      <c r="Z128" s="34">
        <v>333204</v>
      </c>
      <c r="AA128" s="34">
        <v>2225191</v>
      </c>
      <c r="AB128" s="34">
        <v>1232808</v>
      </c>
      <c r="AC128" s="34">
        <v>992383</v>
      </c>
    </row>
    <row r="129" spans="1:29" x14ac:dyDescent="0.25">
      <c r="A129" s="31" t="s">
        <v>118</v>
      </c>
      <c r="B129" s="31" t="s">
        <v>731</v>
      </c>
      <c r="C129" s="31" t="s">
        <v>135</v>
      </c>
      <c r="D129" s="31" t="s">
        <v>532</v>
      </c>
      <c r="E129" s="32">
        <v>305.64999999999998</v>
      </c>
      <c r="F129" s="33">
        <v>3097.6</v>
      </c>
      <c r="G129" s="32">
        <v>3403.25</v>
      </c>
      <c r="H129" s="32">
        <v>0</v>
      </c>
      <c r="I129" s="34">
        <v>44</v>
      </c>
      <c r="J129" s="33">
        <v>0</v>
      </c>
      <c r="K129" s="34">
        <v>3142</v>
      </c>
      <c r="L129" s="32">
        <v>334.9</v>
      </c>
      <c r="M129" s="32">
        <v>61.98</v>
      </c>
      <c r="N129" s="32">
        <v>67.73</v>
      </c>
      <c r="O129" s="32">
        <v>30.77</v>
      </c>
      <c r="P129" s="32">
        <v>3.61</v>
      </c>
      <c r="Q129" s="34">
        <v>1139748</v>
      </c>
      <c r="R129" s="34">
        <v>0</v>
      </c>
      <c r="S129" s="34">
        <v>1139748</v>
      </c>
      <c r="T129" s="34">
        <v>194741</v>
      </c>
      <c r="U129" s="34">
        <v>212808</v>
      </c>
      <c r="V129" s="34">
        <v>0</v>
      </c>
      <c r="W129" s="34">
        <v>104718</v>
      </c>
      <c r="X129" s="34">
        <v>12286</v>
      </c>
      <c r="Y129" s="34">
        <v>1664301</v>
      </c>
      <c r="Z129" s="34">
        <v>171716</v>
      </c>
      <c r="AA129" s="34">
        <v>1492585</v>
      </c>
      <c r="AB129" s="34">
        <v>843746</v>
      </c>
      <c r="AC129" s="34">
        <v>648839</v>
      </c>
    </row>
    <row r="130" spans="1:29" x14ac:dyDescent="0.25">
      <c r="A130" s="31" t="s">
        <v>118</v>
      </c>
      <c r="B130" s="31" t="s">
        <v>731</v>
      </c>
      <c r="C130" s="31" t="s">
        <v>136</v>
      </c>
      <c r="D130" s="31" t="s">
        <v>533</v>
      </c>
      <c r="E130" s="32">
        <v>64.44</v>
      </c>
      <c r="F130" s="33">
        <v>527</v>
      </c>
      <c r="G130" s="32">
        <v>591.44000000000005</v>
      </c>
      <c r="H130" s="32">
        <v>0</v>
      </c>
      <c r="I130" s="34">
        <v>3</v>
      </c>
      <c r="J130" s="33">
        <v>0</v>
      </c>
      <c r="K130" s="34">
        <v>530</v>
      </c>
      <c r="L130" s="32">
        <v>334.9</v>
      </c>
      <c r="M130" s="32">
        <v>61.98</v>
      </c>
      <c r="N130" s="32">
        <v>67.73</v>
      </c>
      <c r="O130" s="32">
        <v>30.77</v>
      </c>
      <c r="P130" s="32">
        <v>3.61</v>
      </c>
      <c r="Q130" s="34">
        <v>198073</v>
      </c>
      <c r="R130" s="34">
        <v>0</v>
      </c>
      <c r="S130" s="34">
        <v>198073</v>
      </c>
      <c r="T130" s="34">
        <v>32849</v>
      </c>
      <c r="U130" s="34">
        <v>35897</v>
      </c>
      <c r="V130" s="34">
        <v>0</v>
      </c>
      <c r="W130" s="34">
        <v>18199</v>
      </c>
      <c r="X130" s="34">
        <v>2135</v>
      </c>
      <c r="Y130" s="34">
        <v>287153</v>
      </c>
      <c r="Z130" s="34">
        <v>40448</v>
      </c>
      <c r="AA130" s="34">
        <v>246705</v>
      </c>
      <c r="AB130" s="34">
        <v>136026</v>
      </c>
      <c r="AC130" s="34">
        <v>110679</v>
      </c>
    </row>
    <row r="131" spans="1:29" x14ac:dyDescent="0.25">
      <c r="A131" s="31" t="s">
        <v>118</v>
      </c>
      <c r="B131" s="31" t="s">
        <v>731</v>
      </c>
      <c r="C131" s="31" t="s">
        <v>137</v>
      </c>
      <c r="D131" s="31" t="s">
        <v>534</v>
      </c>
      <c r="E131" s="32">
        <v>439.78</v>
      </c>
      <c r="F131" s="33">
        <v>5556.8</v>
      </c>
      <c r="G131" s="32">
        <v>5996.58</v>
      </c>
      <c r="H131" s="32">
        <v>0</v>
      </c>
      <c r="I131" s="34">
        <v>132</v>
      </c>
      <c r="J131" s="33">
        <v>0</v>
      </c>
      <c r="K131" s="34">
        <v>5689</v>
      </c>
      <c r="L131" s="32">
        <v>334.9</v>
      </c>
      <c r="M131" s="32">
        <v>61.98</v>
      </c>
      <c r="N131" s="32">
        <v>67.73</v>
      </c>
      <c r="O131" s="32">
        <v>30.77</v>
      </c>
      <c r="P131" s="32">
        <v>3.61</v>
      </c>
      <c r="Q131" s="34">
        <v>2008255</v>
      </c>
      <c r="R131" s="34">
        <v>0</v>
      </c>
      <c r="S131" s="34">
        <v>2008255</v>
      </c>
      <c r="T131" s="34">
        <v>352604</v>
      </c>
      <c r="U131" s="34">
        <v>385316</v>
      </c>
      <c r="V131" s="34">
        <v>0</v>
      </c>
      <c r="W131" s="34">
        <v>184515</v>
      </c>
      <c r="X131" s="34">
        <v>21648</v>
      </c>
      <c r="Y131" s="34">
        <v>2952338</v>
      </c>
      <c r="Z131" s="34">
        <v>178615</v>
      </c>
      <c r="AA131" s="34">
        <v>2773723</v>
      </c>
      <c r="AB131" s="34">
        <v>1610645</v>
      </c>
      <c r="AC131" s="34">
        <v>1163078</v>
      </c>
    </row>
    <row r="132" spans="1:29" x14ac:dyDescent="0.25">
      <c r="A132" s="31" t="s">
        <v>118</v>
      </c>
      <c r="B132" s="31" t="s">
        <v>731</v>
      </c>
      <c r="C132" s="31" t="s">
        <v>138</v>
      </c>
      <c r="D132" s="31" t="s">
        <v>535</v>
      </c>
      <c r="E132" s="32">
        <v>129.12</v>
      </c>
      <c r="F132" s="33">
        <v>1235.0999999999999</v>
      </c>
      <c r="G132" s="32">
        <v>1364.22</v>
      </c>
      <c r="H132" s="32">
        <v>0</v>
      </c>
      <c r="I132" s="34">
        <v>5</v>
      </c>
      <c r="J132" s="33">
        <v>0</v>
      </c>
      <c r="K132" s="34">
        <v>1240</v>
      </c>
      <c r="L132" s="32">
        <v>334.9</v>
      </c>
      <c r="M132" s="32">
        <v>61.98</v>
      </c>
      <c r="N132" s="32">
        <v>67.73</v>
      </c>
      <c r="O132" s="32">
        <v>30.77</v>
      </c>
      <c r="P132" s="32">
        <v>3.61</v>
      </c>
      <c r="Q132" s="34">
        <v>456877</v>
      </c>
      <c r="R132" s="34">
        <v>0</v>
      </c>
      <c r="S132" s="34">
        <v>456877</v>
      </c>
      <c r="T132" s="34">
        <v>76855</v>
      </c>
      <c r="U132" s="34">
        <v>83985</v>
      </c>
      <c r="V132" s="34">
        <v>0</v>
      </c>
      <c r="W132" s="34">
        <v>41977</v>
      </c>
      <c r="X132" s="34">
        <v>4925</v>
      </c>
      <c r="Y132" s="34">
        <v>664619</v>
      </c>
      <c r="Z132" s="34">
        <v>67734</v>
      </c>
      <c r="AA132" s="34">
        <v>596885</v>
      </c>
      <c r="AB132" s="34">
        <v>339322</v>
      </c>
      <c r="AC132" s="34">
        <v>257563</v>
      </c>
    </row>
    <row r="133" spans="1:29" x14ac:dyDescent="0.25">
      <c r="A133" s="31" t="s">
        <v>118</v>
      </c>
      <c r="B133" s="31" t="s">
        <v>731</v>
      </c>
      <c r="C133" s="31" t="s">
        <v>139</v>
      </c>
      <c r="D133" s="31" t="s">
        <v>536</v>
      </c>
      <c r="E133" s="32">
        <v>92.79</v>
      </c>
      <c r="F133" s="33">
        <v>851.9</v>
      </c>
      <c r="G133" s="32">
        <v>944.69</v>
      </c>
      <c r="H133" s="32">
        <v>0</v>
      </c>
      <c r="I133" s="34">
        <v>0</v>
      </c>
      <c r="J133" s="33">
        <v>0</v>
      </c>
      <c r="K133" s="34">
        <v>852</v>
      </c>
      <c r="L133" s="32">
        <v>334.9</v>
      </c>
      <c r="M133" s="32">
        <v>61.98</v>
      </c>
      <c r="N133" s="32">
        <v>67.73</v>
      </c>
      <c r="O133" s="32">
        <v>30.77</v>
      </c>
      <c r="P133" s="32">
        <v>3.61</v>
      </c>
      <c r="Q133" s="34">
        <v>316377</v>
      </c>
      <c r="R133" s="34">
        <v>0</v>
      </c>
      <c r="S133" s="34">
        <v>316377</v>
      </c>
      <c r="T133" s="34">
        <v>52807</v>
      </c>
      <c r="U133" s="34">
        <v>57706</v>
      </c>
      <c r="V133" s="34">
        <v>0</v>
      </c>
      <c r="W133" s="34">
        <v>29068</v>
      </c>
      <c r="X133" s="34">
        <v>3410</v>
      </c>
      <c r="Y133" s="34">
        <v>459368</v>
      </c>
      <c r="Z133" s="34">
        <v>53251</v>
      </c>
      <c r="AA133" s="34">
        <v>406117</v>
      </c>
      <c r="AB133" s="34">
        <v>228625</v>
      </c>
      <c r="AC133" s="34">
        <v>177492</v>
      </c>
    </row>
    <row r="134" spans="1:29" x14ac:dyDescent="0.25">
      <c r="A134" s="31" t="s">
        <v>140</v>
      </c>
      <c r="B134" s="31" t="s">
        <v>732</v>
      </c>
      <c r="C134" s="31" t="s">
        <v>141</v>
      </c>
      <c r="D134" s="31" t="s">
        <v>537</v>
      </c>
      <c r="E134" s="32">
        <v>35.619999999999997</v>
      </c>
      <c r="F134" s="33">
        <v>526.5</v>
      </c>
      <c r="G134" s="32">
        <v>562.12</v>
      </c>
      <c r="H134" s="32">
        <v>0.65</v>
      </c>
      <c r="I134" s="34">
        <v>22</v>
      </c>
      <c r="J134" s="33">
        <v>0</v>
      </c>
      <c r="K134" s="34">
        <v>549</v>
      </c>
      <c r="L134" s="32">
        <v>332.98</v>
      </c>
      <c r="M134" s="32">
        <v>62.16</v>
      </c>
      <c r="N134" s="32">
        <v>68.33</v>
      </c>
      <c r="O134" s="32">
        <v>31.52</v>
      </c>
      <c r="P134" s="32">
        <v>3.67</v>
      </c>
      <c r="Q134" s="34">
        <v>187175</v>
      </c>
      <c r="R134" s="34">
        <v>0</v>
      </c>
      <c r="S134" s="34">
        <v>187175</v>
      </c>
      <c r="T134" s="34">
        <v>34126</v>
      </c>
      <c r="U134" s="34">
        <v>37513</v>
      </c>
      <c r="V134" s="34">
        <v>216</v>
      </c>
      <c r="W134" s="34">
        <v>17718</v>
      </c>
      <c r="X134" s="34">
        <v>2063</v>
      </c>
      <c r="Y134" s="34">
        <v>278811</v>
      </c>
      <c r="Z134" s="34">
        <v>37096</v>
      </c>
      <c r="AA134" s="34">
        <v>241715</v>
      </c>
      <c r="AB134" s="34">
        <v>131256</v>
      </c>
      <c r="AC134" s="34">
        <v>110459</v>
      </c>
    </row>
    <row r="135" spans="1:29" x14ac:dyDescent="0.25">
      <c r="A135" s="31" t="s">
        <v>140</v>
      </c>
      <c r="B135" s="31" t="s">
        <v>732</v>
      </c>
      <c r="C135" s="31" t="s">
        <v>142</v>
      </c>
      <c r="D135" s="31" t="s">
        <v>538</v>
      </c>
      <c r="E135" s="32">
        <v>127.88</v>
      </c>
      <c r="F135" s="33">
        <v>1256.0999999999999</v>
      </c>
      <c r="G135" s="32">
        <v>1383.98</v>
      </c>
      <c r="H135" s="32">
        <v>1.6</v>
      </c>
      <c r="I135" s="34">
        <v>55</v>
      </c>
      <c r="J135" s="33">
        <v>0</v>
      </c>
      <c r="K135" s="34">
        <v>1311</v>
      </c>
      <c r="L135" s="32">
        <v>332.98</v>
      </c>
      <c r="M135" s="32">
        <v>62.16</v>
      </c>
      <c r="N135" s="32">
        <v>68.33</v>
      </c>
      <c r="O135" s="32">
        <v>31.52</v>
      </c>
      <c r="P135" s="32">
        <v>3.67</v>
      </c>
      <c r="Q135" s="34">
        <v>460838</v>
      </c>
      <c r="R135" s="34">
        <v>0</v>
      </c>
      <c r="S135" s="34">
        <v>460838</v>
      </c>
      <c r="T135" s="34">
        <v>81492</v>
      </c>
      <c r="U135" s="34">
        <v>89581</v>
      </c>
      <c r="V135" s="34">
        <v>533</v>
      </c>
      <c r="W135" s="34">
        <v>43623</v>
      </c>
      <c r="X135" s="34">
        <v>5079</v>
      </c>
      <c r="Y135" s="34">
        <v>681146</v>
      </c>
      <c r="Z135" s="34">
        <v>78995</v>
      </c>
      <c r="AA135" s="34">
        <v>602151</v>
      </c>
      <c r="AB135" s="34">
        <v>335500</v>
      </c>
      <c r="AC135" s="34">
        <v>266651</v>
      </c>
    </row>
    <row r="136" spans="1:29" x14ac:dyDescent="0.25">
      <c r="A136" s="31" t="s">
        <v>140</v>
      </c>
      <c r="B136" s="31" t="s">
        <v>732</v>
      </c>
      <c r="C136" s="31" t="s">
        <v>143</v>
      </c>
      <c r="D136" s="31" t="s">
        <v>539</v>
      </c>
      <c r="E136" s="32">
        <v>47.09</v>
      </c>
      <c r="F136" s="33">
        <v>472.7</v>
      </c>
      <c r="G136" s="32">
        <v>519.79</v>
      </c>
      <c r="H136" s="32">
        <v>0.6</v>
      </c>
      <c r="I136" s="34">
        <v>11</v>
      </c>
      <c r="J136" s="33">
        <v>0</v>
      </c>
      <c r="K136" s="34">
        <v>484</v>
      </c>
      <c r="L136" s="32">
        <v>332.98</v>
      </c>
      <c r="M136" s="32">
        <v>62.16</v>
      </c>
      <c r="N136" s="32">
        <v>68.33</v>
      </c>
      <c r="O136" s="32">
        <v>31.52</v>
      </c>
      <c r="P136" s="32">
        <v>3.67</v>
      </c>
      <c r="Q136" s="34">
        <v>173080</v>
      </c>
      <c r="R136" s="34">
        <v>1248</v>
      </c>
      <c r="S136" s="34">
        <v>174328</v>
      </c>
      <c r="T136" s="34">
        <v>30085</v>
      </c>
      <c r="U136" s="34">
        <v>33072</v>
      </c>
      <c r="V136" s="34">
        <v>200</v>
      </c>
      <c r="W136" s="34">
        <v>16384</v>
      </c>
      <c r="X136" s="34">
        <v>1908</v>
      </c>
      <c r="Y136" s="34">
        <v>255977</v>
      </c>
      <c r="Z136" s="34">
        <v>44734</v>
      </c>
      <c r="AA136" s="34">
        <v>211243</v>
      </c>
      <c r="AB136" s="34">
        <v>110941</v>
      </c>
      <c r="AC136" s="34">
        <v>100302</v>
      </c>
    </row>
    <row r="137" spans="1:29" x14ac:dyDescent="0.25">
      <c r="A137" s="31" t="s">
        <v>140</v>
      </c>
      <c r="B137" s="31" t="s">
        <v>732</v>
      </c>
      <c r="C137" s="31" t="s">
        <v>144</v>
      </c>
      <c r="D137" s="31" t="s">
        <v>540</v>
      </c>
      <c r="E137" s="32">
        <v>150.97</v>
      </c>
      <c r="F137" s="33">
        <v>1537.7</v>
      </c>
      <c r="G137" s="32">
        <v>1688.67</v>
      </c>
      <c r="H137" s="32">
        <v>1.95</v>
      </c>
      <c r="I137" s="34">
        <v>105</v>
      </c>
      <c r="J137" s="33">
        <v>0.3</v>
      </c>
      <c r="K137" s="34">
        <v>1642</v>
      </c>
      <c r="L137" s="32">
        <v>332.98</v>
      </c>
      <c r="M137" s="32">
        <v>62.16</v>
      </c>
      <c r="N137" s="32">
        <v>68.33</v>
      </c>
      <c r="O137" s="32">
        <v>31.52</v>
      </c>
      <c r="P137" s="32">
        <v>3.67</v>
      </c>
      <c r="Q137" s="34">
        <v>562293</v>
      </c>
      <c r="R137" s="34">
        <v>0</v>
      </c>
      <c r="S137" s="34">
        <v>562293</v>
      </c>
      <c r="T137" s="34">
        <v>102067</v>
      </c>
      <c r="U137" s="34">
        <v>112198</v>
      </c>
      <c r="V137" s="34">
        <v>649</v>
      </c>
      <c r="W137" s="34">
        <v>53227</v>
      </c>
      <c r="X137" s="34">
        <v>6197</v>
      </c>
      <c r="Y137" s="34">
        <v>836631</v>
      </c>
      <c r="Z137" s="34">
        <v>104406</v>
      </c>
      <c r="AA137" s="34">
        <v>732225</v>
      </c>
      <c r="AB137" s="34">
        <v>401342</v>
      </c>
      <c r="AC137" s="34">
        <v>330883</v>
      </c>
    </row>
    <row r="138" spans="1:29" x14ac:dyDescent="0.25">
      <c r="A138" s="31" t="s">
        <v>140</v>
      </c>
      <c r="B138" s="31" t="s">
        <v>732</v>
      </c>
      <c r="C138" s="31" t="s">
        <v>145</v>
      </c>
      <c r="D138" s="31" t="s">
        <v>541</v>
      </c>
      <c r="E138" s="32">
        <v>2434.7399999999998</v>
      </c>
      <c r="F138" s="33">
        <v>15959.3</v>
      </c>
      <c r="G138" s="32">
        <v>18394.04</v>
      </c>
      <c r="H138" s="32">
        <v>21.28</v>
      </c>
      <c r="I138" s="34">
        <v>1842</v>
      </c>
      <c r="J138" s="33">
        <v>10.7</v>
      </c>
      <c r="K138" s="34">
        <v>17791</v>
      </c>
      <c r="L138" s="32">
        <v>332.98</v>
      </c>
      <c r="M138" s="32">
        <v>62.16</v>
      </c>
      <c r="N138" s="32">
        <v>68.33</v>
      </c>
      <c r="O138" s="32">
        <v>31.52</v>
      </c>
      <c r="P138" s="32">
        <v>3.67</v>
      </c>
      <c r="Q138" s="34">
        <v>6124847</v>
      </c>
      <c r="R138" s="34">
        <v>0</v>
      </c>
      <c r="S138" s="34">
        <v>6124847</v>
      </c>
      <c r="T138" s="34">
        <v>1105889</v>
      </c>
      <c r="U138" s="34">
        <v>1215659</v>
      </c>
      <c r="V138" s="34">
        <v>7086</v>
      </c>
      <c r="W138" s="34">
        <v>579780</v>
      </c>
      <c r="X138" s="34">
        <v>67506</v>
      </c>
      <c r="Y138" s="34">
        <v>9100767</v>
      </c>
      <c r="Z138" s="34">
        <v>1111818</v>
      </c>
      <c r="AA138" s="34">
        <v>7988949</v>
      </c>
      <c r="AB138" s="34">
        <v>4397112</v>
      </c>
      <c r="AC138" s="34">
        <v>3591837</v>
      </c>
    </row>
    <row r="139" spans="1:29" x14ac:dyDescent="0.25">
      <c r="A139" s="31" t="s">
        <v>140</v>
      </c>
      <c r="B139" s="31" t="s">
        <v>732</v>
      </c>
      <c r="C139" s="31" t="s">
        <v>146</v>
      </c>
      <c r="D139" s="31" t="s">
        <v>542</v>
      </c>
      <c r="E139" s="32">
        <v>102.26</v>
      </c>
      <c r="F139" s="33">
        <v>1201.9000000000001</v>
      </c>
      <c r="G139" s="32">
        <v>1304.1600000000001</v>
      </c>
      <c r="H139" s="32">
        <v>1.51</v>
      </c>
      <c r="I139" s="34">
        <v>8</v>
      </c>
      <c r="J139" s="33">
        <v>0</v>
      </c>
      <c r="K139" s="34">
        <v>1210</v>
      </c>
      <c r="L139" s="32">
        <v>332.98</v>
      </c>
      <c r="M139" s="32">
        <v>62.16</v>
      </c>
      <c r="N139" s="32">
        <v>68.33</v>
      </c>
      <c r="O139" s="32">
        <v>31.52</v>
      </c>
      <c r="P139" s="32">
        <v>3.67</v>
      </c>
      <c r="Q139" s="34">
        <v>434259</v>
      </c>
      <c r="R139" s="34">
        <v>27534</v>
      </c>
      <c r="S139" s="34">
        <v>461793</v>
      </c>
      <c r="T139" s="34">
        <v>75214</v>
      </c>
      <c r="U139" s="34">
        <v>82679</v>
      </c>
      <c r="V139" s="34">
        <v>503</v>
      </c>
      <c r="W139" s="34">
        <v>41920</v>
      </c>
      <c r="X139" s="34">
        <v>4876</v>
      </c>
      <c r="Y139" s="34">
        <v>666985</v>
      </c>
      <c r="Z139" s="34">
        <v>61387</v>
      </c>
      <c r="AA139" s="34">
        <v>605598</v>
      </c>
      <c r="AB139" s="34">
        <v>330106</v>
      </c>
      <c r="AC139" s="34">
        <v>275492</v>
      </c>
    </row>
    <row r="140" spans="1:29" x14ac:dyDescent="0.25">
      <c r="A140" s="31" t="s">
        <v>140</v>
      </c>
      <c r="B140" s="31" t="s">
        <v>732</v>
      </c>
      <c r="C140" s="31" t="s">
        <v>147</v>
      </c>
      <c r="D140" s="31" t="s">
        <v>543</v>
      </c>
      <c r="E140" s="32">
        <v>36.35</v>
      </c>
      <c r="F140" s="33">
        <v>434.4</v>
      </c>
      <c r="G140" s="32">
        <v>470.75</v>
      </c>
      <c r="H140" s="32">
        <v>0.54</v>
      </c>
      <c r="I140" s="34">
        <v>8</v>
      </c>
      <c r="J140" s="33">
        <v>0</v>
      </c>
      <c r="K140" s="34">
        <v>442</v>
      </c>
      <c r="L140" s="32">
        <v>332.98</v>
      </c>
      <c r="M140" s="32">
        <v>62.16</v>
      </c>
      <c r="N140" s="32">
        <v>68.33</v>
      </c>
      <c r="O140" s="32">
        <v>31.52</v>
      </c>
      <c r="P140" s="32">
        <v>3.67</v>
      </c>
      <c r="Q140" s="34">
        <v>156750</v>
      </c>
      <c r="R140" s="34">
        <v>8158</v>
      </c>
      <c r="S140" s="34">
        <v>164908</v>
      </c>
      <c r="T140" s="34">
        <v>27475</v>
      </c>
      <c r="U140" s="34">
        <v>30202</v>
      </c>
      <c r="V140" s="34">
        <v>180</v>
      </c>
      <c r="W140" s="34">
        <v>15398</v>
      </c>
      <c r="X140" s="34">
        <v>1791</v>
      </c>
      <c r="Y140" s="34">
        <v>239954</v>
      </c>
      <c r="Z140" s="34">
        <v>31232</v>
      </c>
      <c r="AA140" s="34">
        <v>208722</v>
      </c>
      <c r="AB140" s="34">
        <v>110378</v>
      </c>
      <c r="AC140" s="34">
        <v>98344</v>
      </c>
    </row>
    <row r="141" spans="1:29" x14ac:dyDescent="0.25">
      <c r="A141" s="31" t="s">
        <v>140</v>
      </c>
      <c r="B141" s="31" t="s">
        <v>732</v>
      </c>
      <c r="C141" s="31" t="s">
        <v>148</v>
      </c>
      <c r="D141" s="31" t="s">
        <v>544</v>
      </c>
      <c r="E141" s="32">
        <v>360.18</v>
      </c>
      <c r="F141" s="33">
        <v>2937.9</v>
      </c>
      <c r="G141" s="32">
        <v>3298.08</v>
      </c>
      <c r="H141" s="32">
        <v>3.81</v>
      </c>
      <c r="I141" s="34">
        <v>34</v>
      </c>
      <c r="J141" s="33">
        <v>0</v>
      </c>
      <c r="K141" s="34">
        <v>2972</v>
      </c>
      <c r="L141" s="32">
        <v>332.98</v>
      </c>
      <c r="M141" s="32">
        <v>62.16</v>
      </c>
      <c r="N141" s="32">
        <v>68.33</v>
      </c>
      <c r="O141" s="32">
        <v>31.52</v>
      </c>
      <c r="P141" s="32">
        <v>3.67</v>
      </c>
      <c r="Q141" s="34">
        <v>1098195</v>
      </c>
      <c r="R141" s="34">
        <v>0</v>
      </c>
      <c r="S141" s="34">
        <v>1098195</v>
      </c>
      <c r="T141" s="34">
        <v>184740</v>
      </c>
      <c r="U141" s="34">
        <v>203077</v>
      </c>
      <c r="V141" s="34">
        <v>1269</v>
      </c>
      <c r="W141" s="34">
        <v>103955</v>
      </c>
      <c r="X141" s="34">
        <v>12104</v>
      </c>
      <c r="Y141" s="34">
        <v>1603340</v>
      </c>
      <c r="Z141" s="34">
        <v>71853</v>
      </c>
      <c r="AA141" s="34">
        <v>1531487</v>
      </c>
      <c r="AB141" s="34">
        <v>915905</v>
      </c>
      <c r="AC141" s="34">
        <v>615582</v>
      </c>
    </row>
    <row r="142" spans="1:29" x14ac:dyDescent="0.25">
      <c r="A142" s="31" t="s">
        <v>140</v>
      </c>
      <c r="B142" s="31" t="s">
        <v>732</v>
      </c>
      <c r="C142" s="31" t="s">
        <v>149</v>
      </c>
      <c r="D142" s="31" t="s">
        <v>545</v>
      </c>
      <c r="E142" s="32">
        <v>635.92999999999995</v>
      </c>
      <c r="F142" s="33">
        <v>5147.8999999999996</v>
      </c>
      <c r="G142" s="32">
        <v>5783.83</v>
      </c>
      <c r="H142" s="32">
        <v>6.69</v>
      </c>
      <c r="I142" s="34">
        <v>130</v>
      </c>
      <c r="J142" s="33">
        <v>0</v>
      </c>
      <c r="K142" s="34">
        <v>5278</v>
      </c>
      <c r="L142" s="32">
        <v>332.98</v>
      </c>
      <c r="M142" s="32">
        <v>62.16</v>
      </c>
      <c r="N142" s="32">
        <v>68.33</v>
      </c>
      <c r="O142" s="32">
        <v>31.52</v>
      </c>
      <c r="P142" s="32">
        <v>3.67</v>
      </c>
      <c r="Q142" s="34">
        <v>1925900</v>
      </c>
      <c r="R142" s="34">
        <v>0</v>
      </c>
      <c r="S142" s="34">
        <v>1925900</v>
      </c>
      <c r="T142" s="34">
        <v>328080</v>
      </c>
      <c r="U142" s="34">
        <v>360646</v>
      </c>
      <c r="V142" s="34">
        <v>2228</v>
      </c>
      <c r="W142" s="34">
        <v>182306</v>
      </c>
      <c r="X142" s="34">
        <v>21227</v>
      </c>
      <c r="Y142" s="34">
        <v>2820387</v>
      </c>
      <c r="Z142" s="34">
        <v>187174</v>
      </c>
      <c r="AA142" s="34">
        <v>2633213</v>
      </c>
      <c r="AB142" s="34">
        <v>1545056</v>
      </c>
      <c r="AC142" s="34">
        <v>1088157</v>
      </c>
    </row>
    <row r="143" spans="1:29" x14ac:dyDescent="0.25">
      <c r="A143" s="31" t="s">
        <v>140</v>
      </c>
      <c r="B143" s="31" t="s">
        <v>732</v>
      </c>
      <c r="C143" s="31" t="s">
        <v>150</v>
      </c>
      <c r="D143" s="31" t="s">
        <v>546</v>
      </c>
      <c r="E143" s="32">
        <v>50.28</v>
      </c>
      <c r="F143" s="33">
        <v>462</v>
      </c>
      <c r="G143" s="32">
        <v>512.28</v>
      </c>
      <c r="H143" s="32">
        <v>0.59</v>
      </c>
      <c r="I143" s="34">
        <v>6</v>
      </c>
      <c r="J143" s="33">
        <v>0</v>
      </c>
      <c r="K143" s="34">
        <v>468</v>
      </c>
      <c r="L143" s="32">
        <v>332.98</v>
      </c>
      <c r="M143" s="32">
        <v>62.16</v>
      </c>
      <c r="N143" s="32">
        <v>68.33</v>
      </c>
      <c r="O143" s="32">
        <v>31.52</v>
      </c>
      <c r="P143" s="32">
        <v>3.67</v>
      </c>
      <c r="Q143" s="34">
        <v>170579</v>
      </c>
      <c r="R143" s="34">
        <v>4607</v>
      </c>
      <c r="S143" s="34">
        <v>175186</v>
      </c>
      <c r="T143" s="34">
        <v>29091</v>
      </c>
      <c r="U143" s="34">
        <v>31978</v>
      </c>
      <c r="V143" s="34">
        <v>196</v>
      </c>
      <c r="W143" s="34">
        <v>16441</v>
      </c>
      <c r="X143" s="34">
        <v>1912</v>
      </c>
      <c r="Y143" s="34">
        <v>254804</v>
      </c>
      <c r="Z143" s="34">
        <v>41379</v>
      </c>
      <c r="AA143" s="34">
        <v>213425</v>
      </c>
      <c r="AB143" s="34">
        <v>112372</v>
      </c>
      <c r="AC143" s="34">
        <v>101053</v>
      </c>
    </row>
    <row r="144" spans="1:29" x14ac:dyDescent="0.25">
      <c r="A144" s="31" t="s">
        <v>140</v>
      </c>
      <c r="B144" s="31" t="s">
        <v>732</v>
      </c>
      <c r="C144" s="31" t="s">
        <v>152</v>
      </c>
      <c r="D144" s="31" t="s">
        <v>153</v>
      </c>
      <c r="E144" s="32">
        <v>39.54</v>
      </c>
      <c r="F144" s="33">
        <v>313.3</v>
      </c>
      <c r="G144" s="32">
        <v>352.84</v>
      </c>
      <c r="H144" s="32">
        <v>0.45</v>
      </c>
      <c r="I144" s="34">
        <v>7</v>
      </c>
      <c r="J144" s="33">
        <v>0</v>
      </c>
      <c r="K144" s="34">
        <v>320</v>
      </c>
      <c r="L144" s="32">
        <v>332.98</v>
      </c>
      <c r="M144" s="32">
        <v>62.16</v>
      </c>
      <c r="N144" s="32">
        <v>68.33</v>
      </c>
      <c r="O144" s="32">
        <v>31.52</v>
      </c>
      <c r="P144" s="32">
        <v>3.67</v>
      </c>
      <c r="Q144" s="34">
        <v>117489</v>
      </c>
      <c r="R144" s="34">
        <v>3207</v>
      </c>
      <c r="S144" s="34">
        <v>120696</v>
      </c>
      <c r="T144" s="34">
        <v>19891</v>
      </c>
      <c r="U144" s="34">
        <v>21866</v>
      </c>
      <c r="V144" s="34">
        <v>150</v>
      </c>
      <c r="W144" s="34">
        <v>11222</v>
      </c>
      <c r="X144" s="34">
        <v>1305</v>
      </c>
      <c r="Y144" s="34">
        <v>175130</v>
      </c>
      <c r="Z144" s="34">
        <v>26035</v>
      </c>
      <c r="AA144" s="34">
        <v>149095</v>
      </c>
      <c r="AB144" s="34">
        <v>79761</v>
      </c>
      <c r="AC144" s="34">
        <v>69334</v>
      </c>
    </row>
    <row r="145" spans="1:29" x14ac:dyDescent="0.25">
      <c r="A145" s="31" t="s">
        <v>140</v>
      </c>
      <c r="B145" s="31" t="s">
        <v>732</v>
      </c>
      <c r="C145" s="31" t="s">
        <v>151</v>
      </c>
      <c r="D145" s="31" t="s">
        <v>547</v>
      </c>
      <c r="E145" s="32">
        <v>57.16</v>
      </c>
      <c r="F145" s="33">
        <v>583</v>
      </c>
      <c r="G145" s="32">
        <v>640.16</v>
      </c>
      <c r="H145" s="32">
        <v>0.74</v>
      </c>
      <c r="I145" s="34">
        <v>13</v>
      </c>
      <c r="J145" s="33">
        <v>0</v>
      </c>
      <c r="K145" s="34">
        <v>596</v>
      </c>
      <c r="L145" s="32">
        <v>332.98</v>
      </c>
      <c r="M145" s="32">
        <v>62.16</v>
      </c>
      <c r="N145" s="32">
        <v>68.33</v>
      </c>
      <c r="O145" s="32">
        <v>31.52</v>
      </c>
      <c r="P145" s="32">
        <v>3.67</v>
      </c>
      <c r="Q145" s="34">
        <v>213160</v>
      </c>
      <c r="R145" s="34">
        <v>668</v>
      </c>
      <c r="S145" s="34">
        <v>213828</v>
      </c>
      <c r="T145" s="34">
        <v>37047</v>
      </c>
      <c r="U145" s="34">
        <v>40725</v>
      </c>
      <c r="V145" s="34">
        <v>246</v>
      </c>
      <c r="W145" s="34">
        <v>20178</v>
      </c>
      <c r="X145" s="34">
        <v>2349</v>
      </c>
      <c r="Y145" s="34">
        <v>314373</v>
      </c>
      <c r="Z145" s="34">
        <v>37800</v>
      </c>
      <c r="AA145" s="34">
        <v>276573</v>
      </c>
      <c r="AB145" s="34">
        <v>153925</v>
      </c>
      <c r="AC145" s="34">
        <v>122648</v>
      </c>
    </row>
    <row r="146" spans="1:29" x14ac:dyDescent="0.25">
      <c r="A146" s="31" t="s">
        <v>140</v>
      </c>
      <c r="B146" s="31" t="s">
        <v>732</v>
      </c>
      <c r="C146" s="31" t="s">
        <v>154</v>
      </c>
      <c r="D146" s="31" t="s">
        <v>548</v>
      </c>
      <c r="E146" s="32">
        <v>1584.14</v>
      </c>
      <c r="F146" s="33">
        <v>14439.8</v>
      </c>
      <c r="G146" s="32">
        <v>16023.94</v>
      </c>
      <c r="H146" s="32">
        <v>18.54</v>
      </c>
      <c r="I146" s="34">
        <v>1139</v>
      </c>
      <c r="J146" s="33">
        <v>9.6</v>
      </c>
      <c r="K146" s="34">
        <v>15569</v>
      </c>
      <c r="L146" s="32">
        <v>332.98</v>
      </c>
      <c r="M146" s="32">
        <v>62.16</v>
      </c>
      <c r="N146" s="32">
        <v>68.33</v>
      </c>
      <c r="O146" s="32">
        <v>31.52</v>
      </c>
      <c r="P146" s="32">
        <v>3.67</v>
      </c>
      <c r="Q146" s="34">
        <v>5335652</v>
      </c>
      <c r="R146" s="34">
        <v>0</v>
      </c>
      <c r="S146" s="34">
        <v>5335652</v>
      </c>
      <c r="T146" s="34">
        <v>967769</v>
      </c>
      <c r="U146" s="34">
        <v>1063830</v>
      </c>
      <c r="V146" s="34">
        <v>6173</v>
      </c>
      <c r="W146" s="34">
        <v>505075</v>
      </c>
      <c r="X146" s="34">
        <v>58808</v>
      </c>
      <c r="Y146" s="34">
        <v>7937307</v>
      </c>
      <c r="Z146" s="34">
        <v>637927</v>
      </c>
      <c r="AA146" s="34">
        <v>7299380</v>
      </c>
      <c r="AB146" s="34">
        <v>4161171</v>
      </c>
      <c r="AC146" s="34">
        <v>3138209</v>
      </c>
    </row>
    <row r="147" spans="1:29" x14ac:dyDescent="0.25">
      <c r="A147" s="31" t="s">
        <v>140</v>
      </c>
      <c r="B147" s="31" t="s">
        <v>732</v>
      </c>
      <c r="C147" s="31" t="s">
        <v>155</v>
      </c>
      <c r="D147" s="31" t="s">
        <v>549</v>
      </c>
      <c r="E147" s="32">
        <v>51.44</v>
      </c>
      <c r="F147" s="33">
        <v>500</v>
      </c>
      <c r="G147" s="32">
        <v>551.44000000000005</v>
      </c>
      <c r="H147" s="32">
        <v>0.64</v>
      </c>
      <c r="I147" s="34">
        <v>4</v>
      </c>
      <c r="J147" s="33">
        <v>0</v>
      </c>
      <c r="K147" s="34">
        <v>504</v>
      </c>
      <c r="L147" s="32">
        <v>332.98</v>
      </c>
      <c r="M147" s="32">
        <v>62.16</v>
      </c>
      <c r="N147" s="32">
        <v>68.33</v>
      </c>
      <c r="O147" s="32">
        <v>31.52</v>
      </c>
      <c r="P147" s="32">
        <v>3.67</v>
      </c>
      <c r="Q147" s="34">
        <v>183618</v>
      </c>
      <c r="R147" s="34">
        <v>3990</v>
      </c>
      <c r="S147" s="34">
        <v>187608</v>
      </c>
      <c r="T147" s="34">
        <v>31329</v>
      </c>
      <c r="U147" s="34">
        <v>34438</v>
      </c>
      <c r="V147" s="34">
        <v>213</v>
      </c>
      <c r="W147" s="34">
        <v>17381</v>
      </c>
      <c r="X147" s="34">
        <v>2024</v>
      </c>
      <c r="Y147" s="34">
        <v>272993</v>
      </c>
      <c r="Z147" s="34">
        <v>40646</v>
      </c>
      <c r="AA147" s="34">
        <v>232347</v>
      </c>
      <c r="AB147" s="34">
        <v>124508</v>
      </c>
      <c r="AC147" s="34">
        <v>107839</v>
      </c>
    </row>
    <row r="148" spans="1:29" x14ac:dyDescent="0.25">
      <c r="A148" s="31" t="s">
        <v>140</v>
      </c>
      <c r="B148" s="31" t="s">
        <v>732</v>
      </c>
      <c r="C148" s="31" t="s">
        <v>156</v>
      </c>
      <c r="D148" s="31" t="s">
        <v>550</v>
      </c>
      <c r="E148" s="32">
        <v>807.41</v>
      </c>
      <c r="F148" s="33">
        <v>7685.5</v>
      </c>
      <c r="G148" s="32">
        <v>8492.91</v>
      </c>
      <c r="H148" s="32">
        <v>9.83</v>
      </c>
      <c r="I148" s="34">
        <v>446</v>
      </c>
      <c r="J148" s="33">
        <v>0</v>
      </c>
      <c r="K148" s="34">
        <v>8132</v>
      </c>
      <c r="L148" s="32">
        <v>332.98</v>
      </c>
      <c r="M148" s="32">
        <v>62.16</v>
      </c>
      <c r="N148" s="32">
        <v>68.33</v>
      </c>
      <c r="O148" s="32">
        <v>31.52</v>
      </c>
      <c r="P148" s="32">
        <v>3.67</v>
      </c>
      <c r="Q148" s="34">
        <v>2827969</v>
      </c>
      <c r="R148" s="34">
        <v>0</v>
      </c>
      <c r="S148" s="34">
        <v>2827969</v>
      </c>
      <c r="T148" s="34">
        <v>505485</v>
      </c>
      <c r="U148" s="34">
        <v>555660</v>
      </c>
      <c r="V148" s="34">
        <v>3273</v>
      </c>
      <c r="W148" s="34">
        <v>267697</v>
      </c>
      <c r="X148" s="34">
        <v>31169</v>
      </c>
      <c r="Y148" s="34">
        <v>4191253</v>
      </c>
      <c r="Z148" s="34">
        <v>297570</v>
      </c>
      <c r="AA148" s="34">
        <v>3893683</v>
      </c>
      <c r="AB148" s="34">
        <v>2246019</v>
      </c>
      <c r="AC148" s="34">
        <v>1647664</v>
      </c>
    </row>
    <row r="149" spans="1:29" x14ac:dyDescent="0.25">
      <c r="A149" s="31" t="s">
        <v>140</v>
      </c>
      <c r="B149" s="31" t="s">
        <v>732</v>
      </c>
      <c r="C149" s="31" t="s">
        <v>157</v>
      </c>
      <c r="D149" s="31" t="s">
        <v>551</v>
      </c>
      <c r="E149" s="32">
        <v>63.76</v>
      </c>
      <c r="F149" s="33">
        <v>671.1</v>
      </c>
      <c r="G149" s="32">
        <v>734.86</v>
      </c>
      <c r="H149" s="32">
        <v>0.85</v>
      </c>
      <c r="I149" s="34">
        <v>10</v>
      </c>
      <c r="J149" s="33">
        <v>0</v>
      </c>
      <c r="K149" s="34">
        <v>681</v>
      </c>
      <c r="L149" s="32">
        <v>332.98</v>
      </c>
      <c r="M149" s="32">
        <v>62.16</v>
      </c>
      <c r="N149" s="32">
        <v>68.33</v>
      </c>
      <c r="O149" s="32">
        <v>31.52</v>
      </c>
      <c r="P149" s="32">
        <v>3.67</v>
      </c>
      <c r="Q149" s="34">
        <v>244694</v>
      </c>
      <c r="R149" s="34">
        <v>0</v>
      </c>
      <c r="S149" s="34">
        <v>244694</v>
      </c>
      <c r="T149" s="34">
        <v>42331</v>
      </c>
      <c r="U149" s="34">
        <v>46533</v>
      </c>
      <c r="V149" s="34">
        <v>283</v>
      </c>
      <c r="W149" s="34">
        <v>23163</v>
      </c>
      <c r="X149" s="34">
        <v>2697</v>
      </c>
      <c r="Y149" s="34">
        <v>359701</v>
      </c>
      <c r="Z149" s="34">
        <v>36156</v>
      </c>
      <c r="AA149" s="34">
        <v>323545</v>
      </c>
      <c r="AB149" s="34">
        <v>183931</v>
      </c>
      <c r="AC149" s="34">
        <v>139614</v>
      </c>
    </row>
    <row r="150" spans="1:29" x14ac:dyDescent="0.25">
      <c r="A150" s="31" t="s">
        <v>140</v>
      </c>
      <c r="B150" s="31" t="s">
        <v>732</v>
      </c>
      <c r="C150" s="31" t="s">
        <v>158</v>
      </c>
      <c r="D150" s="31" t="s">
        <v>552</v>
      </c>
      <c r="E150" s="32">
        <v>30.28</v>
      </c>
      <c r="F150" s="33">
        <v>316.8</v>
      </c>
      <c r="G150" s="32">
        <v>347.08</v>
      </c>
      <c r="H150" s="32">
        <v>0.4</v>
      </c>
      <c r="I150" s="34">
        <v>3</v>
      </c>
      <c r="J150" s="33">
        <v>0</v>
      </c>
      <c r="K150" s="34">
        <v>320</v>
      </c>
      <c r="L150" s="32">
        <v>332.98</v>
      </c>
      <c r="M150" s="32">
        <v>62.16</v>
      </c>
      <c r="N150" s="32">
        <v>68.33</v>
      </c>
      <c r="O150" s="32">
        <v>31.52</v>
      </c>
      <c r="P150" s="32">
        <v>3.67</v>
      </c>
      <c r="Q150" s="34">
        <v>115571</v>
      </c>
      <c r="R150" s="34">
        <v>13027</v>
      </c>
      <c r="S150" s="34">
        <v>128598</v>
      </c>
      <c r="T150" s="34">
        <v>19891</v>
      </c>
      <c r="U150" s="34">
        <v>21866</v>
      </c>
      <c r="V150" s="34">
        <v>133</v>
      </c>
      <c r="W150" s="34">
        <v>11252</v>
      </c>
      <c r="X150" s="34">
        <v>1309</v>
      </c>
      <c r="Y150" s="34">
        <v>183049</v>
      </c>
      <c r="Z150" s="34">
        <v>24335</v>
      </c>
      <c r="AA150" s="34">
        <v>158714</v>
      </c>
      <c r="AB150" s="34">
        <v>79961</v>
      </c>
      <c r="AC150" s="34">
        <v>78753</v>
      </c>
    </row>
    <row r="151" spans="1:29" x14ac:dyDescent="0.25">
      <c r="A151" s="31" t="s">
        <v>140</v>
      </c>
      <c r="B151" s="31" t="s">
        <v>732</v>
      </c>
      <c r="C151" s="31" t="s">
        <v>159</v>
      </c>
      <c r="D151" s="31" t="s">
        <v>553</v>
      </c>
      <c r="E151" s="32">
        <v>270.05</v>
      </c>
      <c r="F151" s="33">
        <v>1797.6</v>
      </c>
      <c r="G151" s="32">
        <v>2067.65</v>
      </c>
      <c r="H151" s="32">
        <v>2.39</v>
      </c>
      <c r="I151" s="34">
        <v>88</v>
      </c>
      <c r="J151" s="33">
        <v>0.5</v>
      </c>
      <c r="K151" s="34">
        <v>1885</v>
      </c>
      <c r="L151" s="32">
        <v>332.98</v>
      </c>
      <c r="M151" s="32">
        <v>62.16</v>
      </c>
      <c r="N151" s="32">
        <v>68.33</v>
      </c>
      <c r="O151" s="32">
        <v>31.52</v>
      </c>
      <c r="P151" s="32">
        <v>3.67</v>
      </c>
      <c r="Q151" s="34">
        <v>688486</v>
      </c>
      <c r="R151" s="34">
        <v>507</v>
      </c>
      <c r="S151" s="34">
        <v>688993</v>
      </c>
      <c r="T151" s="34">
        <v>117172</v>
      </c>
      <c r="U151" s="34">
        <v>128802</v>
      </c>
      <c r="V151" s="34">
        <v>796</v>
      </c>
      <c r="W151" s="34">
        <v>65172</v>
      </c>
      <c r="X151" s="34">
        <v>7588</v>
      </c>
      <c r="Y151" s="34">
        <v>1008523</v>
      </c>
      <c r="Z151" s="34">
        <v>105330</v>
      </c>
      <c r="AA151" s="34">
        <v>903193</v>
      </c>
      <c r="AB151" s="34">
        <v>513921</v>
      </c>
      <c r="AC151" s="34">
        <v>389272</v>
      </c>
    </row>
    <row r="152" spans="1:29" x14ac:dyDescent="0.25">
      <c r="A152" s="31" t="s">
        <v>140</v>
      </c>
      <c r="B152" s="31" t="s">
        <v>732</v>
      </c>
      <c r="C152" s="31" t="s">
        <v>160</v>
      </c>
      <c r="D152" s="31" t="s">
        <v>554</v>
      </c>
      <c r="E152" s="32">
        <v>150</v>
      </c>
      <c r="F152" s="33">
        <v>1227.9000000000001</v>
      </c>
      <c r="G152" s="32">
        <v>1377.9</v>
      </c>
      <c r="H152" s="32">
        <v>1.59</v>
      </c>
      <c r="I152" s="34">
        <v>30</v>
      </c>
      <c r="J152" s="33">
        <v>0.6</v>
      </c>
      <c r="K152" s="34">
        <v>1257</v>
      </c>
      <c r="L152" s="32">
        <v>332.98</v>
      </c>
      <c r="M152" s="32">
        <v>62.16</v>
      </c>
      <c r="N152" s="32">
        <v>68.33</v>
      </c>
      <c r="O152" s="32">
        <v>31.52</v>
      </c>
      <c r="P152" s="32">
        <v>3.67</v>
      </c>
      <c r="Q152" s="34">
        <v>458813</v>
      </c>
      <c r="R152" s="34">
        <v>0</v>
      </c>
      <c r="S152" s="34">
        <v>458813</v>
      </c>
      <c r="T152" s="34">
        <v>78135</v>
      </c>
      <c r="U152" s="34">
        <v>85891</v>
      </c>
      <c r="V152" s="34">
        <v>529</v>
      </c>
      <c r="W152" s="34">
        <v>43431</v>
      </c>
      <c r="X152" s="34">
        <v>5057</v>
      </c>
      <c r="Y152" s="34">
        <v>671856</v>
      </c>
      <c r="Z152" s="34">
        <v>72443</v>
      </c>
      <c r="AA152" s="34">
        <v>599413</v>
      </c>
      <c r="AB152" s="34">
        <v>340230</v>
      </c>
      <c r="AC152" s="34">
        <v>259183</v>
      </c>
    </row>
    <row r="153" spans="1:29" x14ac:dyDescent="0.25">
      <c r="A153" s="31" t="s">
        <v>140</v>
      </c>
      <c r="B153" s="31" t="s">
        <v>732</v>
      </c>
      <c r="C153" s="31" t="s">
        <v>161</v>
      </c>
      <c r="D153" s="31" t="s">
        <v>555</v>
      </c>
      <c r="E153" s="32">
        <v>75.94</v>
      </c>
      <c r="F153" s="33">
        <v>501.8</v>
      </c>
      <c r="G153" s="32">
        <v>577.74</v>
      </c>
      <c r="H153" s="32">
        <v>0.67</v>
      </c>
      <c r="I153" s="34">
        <v>6</v>
      </c>
      <c r="J153" s="33">
        <v>0</v>
      </c>
      <c r="K153" s="34">
        <v>508</v>
      </c>
      <c r="L153" s="32">
        <v>332.98</v>
      </c>
      <c r="M153" s="32">
        <v>62.16</v>
      </c>
      <c r="N153" s="32">
        <v>68.33</v>
      </c>
      <c r="O153" s="32">
        <v>31.52</v>
      </c>
      <c r="P153" s="32">
        <v>3.67</v>
      </c>
      <c r="Q153" s="34">
        <v>192376</v>
      </c>
      <c r="R153" s="34">
        <v>921</v>
      </c>
      <c r="S153" s="34">
        <v>193297</v>
      </c>
      <c r="T153" s="34">
        <v>31577</v>
      </c>
      <c r="U153" s="34">
        <v>34712</v>
      </c>
      <c r="V153" s="34">
        <v>223</v>
      </c>
      <c r="W153" s="34">
        <v>18250</v>
      </c>
      <c r="X153" s="34">
        <v>2123</v>
      </c>
      <c r="Y153" s="34">
        <v>280182</v>
      </c>
      <c r="Z153" s="34">
        <v>46331</v>
      </c>
      <c r="AA153" s="34">
        <v>233851</v>
      </c>
      <c r="AB153" s="34">
        <v>126742</v>
      </c>
      <c r="AC153" s="34">
        <v>107109</v>
      </c>
    </row>
    <row r="154" spans="1:29" x14ac:dyDescent="0.25">
      <c r="A154" s="31" t="s">
        <v>140</v>
      </c>
      <c r="B154" s="31" t="s">
        <v>732</v>
      </c>
      <c r="C154" s="31" t="s">
        <v>162</v>
      </c>
      <c r="D154" s="31" t="s">
        <v>556</v>
      </c>
      <c r="E154" s="32">
        <v>123.18</v>
      </c>
      <c r="F154" s="33">
        <v>969.2</v>
      </c>
      <c r="G154" s="32">
        <v>1092.3800000000001</v>
      </c>
      <c r="H154" s="32">
        <v>1.26</v>
      </c>
      <c r="I154" s="34">
        <v>75</v>
      </c>
      <c r="J154" s="33">
        <v>2.1</v>
      </c>
      <c r="K154" s="34">
        <v>1042</v>
      </c>
      <c r="L154" s="32">
        <v>332.98</v>
      </c>
      <c r="M154" s="32">
        <v>62.16</v>
      </c>
      <c r="N154" s="32">
        <v>68.33</v>
      </c>
      <c r="O154" s="32">
        <v>31.52</v>
      </c>
      <c r="P154" s="32">
        <v>3.67</v>
      </c>
      <c r="Q154" s="34">
        <v>363741</v>
      </c>
      <c r="R154" s="34">
        <v>0</v>
      </c>
      <c r="S154" s="34">
        <v>363741</v>
      </c>
      <c r="T154" s="34">
        <v>64771</v>
      </c>
      <c r="U154" s="34">
        <v>71200</v>
      </c>
      <c r="V154" s="34">
        <v>420</v>
      </c>
      <c r="W154" s="34">
        <v>34432</v>
      </c>
      <c r="X154" s="34">
        <v>4009</v>
      </c>
      <c r="Y154" s="34">
        <v>538573</v>
      </c>
      <c r="Z154" s="34">
        <v>63278</v>
      </c>
      <c r="AA154" s="34">
        <v>475295</v>
      </c>
      <c r="AB154" s="34">
        <v>263884</v>
      </c>
      <c r="AC154" s="34">
        <v>211411</v>
      </c>
    </row>
    <row r="155" spans="1:29" x14ac:dyDescent="0.25">
      <c r="A155" s="31" t="s">
        <v>140</v>
      </c>
      <c r="B155" s="31" t="s">
        <v>732</v>
      </c>
      <c r="C155" s="31" t="s">
        <v>163</v>
      </c>
      <c r="D155" s="31" t="s">
        <v>557</v>
      </c>
      <c r="E155" s="32">
        <v>94.4</v>
      </c>
      <c r="F155" s="33">
        <v>1111.2</v>
      </c>
      <c r="G155" s="32">
        <v>1205.5999999999999</v>
      </c>
      <c r="H155" s="32">
        <v>1.39</v>
      </c>
      <c r="I155" s="34">
        <v>26</v>
      </c>
      <c r="J155" s="33">
        <v>0</v>
      </c>
      <c r="K155" s="34">
        <v>1137</v>
      </c>
      <c r="L155" s="32">
        <v>332.98</v>
      </c>
      <c r="M155" s="32">
        <v>62.16</v>
      </c>
      <c r="N155" s="32">
        <v>68.33</v>
      </c>
      <c r="O155" s="32">
        <v>31.52</v>
      </c>
      <c r="P155" s="32">
        <v>3.67</v>
      </c>
      <c r="Q155" s="34">
        <v>401441</v>
      </c>
      <c r="R155" s="34">
        <v>0</v>
      </c>
      <c r="S155" s="34">
        <v>401441</v>
      </c>
      <c r="T155" s="34">
        <v>70676</v>
      </c>
      <c r="U155" s="34">
        <v>77691</v>
      </c>
      <c r="V155" s="34">
        <v>463</v>
      </c>
      <c r="W155" s="34">
        <v>38001</v>
      </c>
      <c r="X155" s="34">
        <v>4425</v>
      </c>
      <c r="Y155" s="34">
        <v>592697</v>
      </c>
      <c r="Z155" s="34">
        <v>60362</v>
      </c>
      <c r="AA155" s="34">
        <v>532335</v>
      </c>
      <c r="AB155" s="34">
        <v>300709</v>
      </c>
      <c r="AC155" s="34">
        <v>231626</v>
      </c>
    </row>
    <row r="156" spans="1:29" x14ac:dyDescent="0.25">
      <c r="A156" s="31" t="s">
        <v>140</v>
      </c>
      <c r="B156" s="31" t="s">
        <v>732</v>
      </c>
      <c r="C156" s="31" t="s">
        <v>164</v>
      </c>
      <c r="D156" s="31" t="s">
        <v>558</v>
      </c>
      <c r="E156" s="32">
        <v>116.14</v>
      </c>
      <c r="F156" s="33">
        <v>725.8</v>
      </c>
      <c r="G156" s="32">
        <v>841.94</v>
      </c>
      <c r="H156" s="32">
        <v>0.97</v>
      </c>
      <c r="I156" s="34">
        <v>1</v>
      </c>
      <c r="J156" s="33">
        <v>0</v>
      </c>
      <c r="K156" s="34">
        <v>727</v>
      </c>
      <c r="L156" s="32">
        <v>332.98</v>
      </c>
      <c r="M156" s="32">
        <v>62.16</v>
      </c>
      <c r="N156" s="32">
        <v>68.33</v>
      </c>
      <c r="O156" s="32">
        <v>31.52</v>
      </c>
      <c r="P156" s="32">
        <v>3.67</v>
      </c>
      <c r="Q156" s="34">
        <v>280349</v>
      </c>
      <c r="R156" s="34">
        <v>675</v>
      </c>
      <c r="S156" s="34">
        <v>281024</v>
      </c>
      <c r="T156" s="34">
        <v>45190</v>
      </c>
      <c r="U156" s="34">
        <v>49676</v>
      </c>
      <c r="V156" s="34">
        <v>323</v>
      </c>
      <c r="W156" s="34">
        <v>26538</v>
      </c>
      <c r="X156" s="34">
        <v>3090</v>
      </c>
      <c r="Y156" s="34">
        <v>405841</v>
      </c>
      <c r="Z156" s="34">
        <v>58463</v>
      </c>
      <c r="AA156" s="34">
        <v>347378</v>
      </c>
      <c r="AB156" s="34">
        <v>193693</v>
      </c>
      <c r="AC156" s="34">
        <v>153685</v>
      </c>
    </row>
    <row r="157" spans="1:29" x14ac:dyDescent="0.25">
      <c r="A157" s="31" t="s">
        <v>140</v>
      </c>
      <c r="B157" s="31" t="s">
        <v>732</v>
      </c>
      <c r="C157" s="31" t="s">
        <v>165</v>
      </c>
      <c r="D157" s="31" t="s">
        <v>559</v>
      </c>
      <c r="E157" s="32">
        <v>43.25</v>
      </c>
      <c r="F157" s="33">
        <v>556.9</v>
      </c>
      <c r="G157" s="32">
        <v>600.15</v>
      </c>
      <c r="H157" s="32">
        <v>0.69</v>
      </c>
      <c r="I157" s="34">
        <v>5</v>
      </c>
      <c r="J157" s="33">
        <v>0</v>
      </c>
      <c r="K157" s="34">
        <v>562</v>
      </c>
      <c r="L157" s="32">
        <v>332.98</v>
      </c>
      <c r="M157" s="32">
        <v>62.16</v>
      </c>
      <c r="N157" s="32">
        <v>68.33</v>
      </c>
      <c r="O157" s="32">
        <v>31.52</v>
      </c>
      <c r="P157" s="32">
        <v>3.67</v>
      </c>
      <c r="Q157" s="34">
        <v>199838</v>
      </c>
      <c r="R157" s="34">
        <v>15931</v>
      </c>
      <c r="S157" s="34">
        <v>215769</v>
      </c>
      <c r="T157" s="34">
        <v>34934</v>
      </c>
      <c r="U157" s="34">
        <v>38401</v>
      </c>
      <c r="V157" s="34">
        <v>230</v>
      </c>
      <c r="W157" s="34">
        <v>18917</v>
      </c>
      <c r="X157" s="34">
        <v>2203</v>
      </c>
      <c r="Y157" s="34">
        <v>310454</v>
      </c>
      <c r="Z157" s="34">
        <v>45650</v>
      </c>
      <c r="AA157" s="34">
        <v>264804</v>
      </c>
      <c r="AB157" s="34">
        <v>134092</v>
      </c>
      <c r="AC157" s="34">
        <v>130712</v>
      </c>
    </row>
    <row r="158" spans="1:29" x14ac:dyDescent="0.25">
      <c r="A158" s="31" t="s">
        <v>140</v>
      </c>
      <c r="B158" s="31" t="s">
        <v>732</v>
      </c>
      <c r="C158" s="31" t="s">
        <v>166</v>
      </c>
      <c r="D158" s="31" t="s">
        <v>560</v>
      </c>
      <c r="E158" s="32">
        <v>22.59</v>
      </c>
      <c r="F158" s="33">
        <v>215.5</v>
      </c>
      <c r="G158" s="32">
        <v>238.09</v>
      </c>
      <c r="H158" s="32">
        <v>0.28000000000000003</v>
      </c>
      <c r="I158" s="34">
        <v>5</v>
      </c>
      <c r="J158" s="33">
        <v>0</v>
      </c>
      <c r="K158" s="34">
        <v>221</v>
      </c>
      <c r="L158" s="32">
        <v>332.98</v>
      </c>
      <c r="M158" s="32">
        <v>62.16</v>
      </c>
      <c r="N158" s="32">
        <v>68.33</v>
      </c>
      <c r="O158" s="32">
        <v>31.52</v>
      </c>
      <c r="P158" s="32">
        <v>3.67</v>
      </c>
      <c r="Q158" s="34">
        <v>79279</v>
      </c>
      <c r="R158" s="34">
        <v>0</v>
      </c>
      <c r="S158" s="34">
        <v>79279</v>
      </c>
      <c r="T158" s="34">
        <v>13737</v>
      </c>
      <c r="U158" s="34">
        <v>15101</v>
      </c>
      <c r="V158" s="34">
        <v>93</v>
      </c>
      <c r="W158" s="34">
        <v>7505</v>
      </c>
      <c r="X158" s="34">
        <v>874</v>
      </c>
      <c r="Y158" s="34">
        <v>116589</v>
      </c>
      <c r="Z158" s="34">
        <v>19148</v>
      </c>
      <c r="AA158" s="34">
        <v>97441</v>
      </c>
      <c r="AB158" s="34">
        <v>52161</v>
      </c>
      <c r="AC158" s="34">
        <v>45280</v>
      </c>
    </row>
    <row r="159" spans="1:29" x14ac:dyDescent="0.25">
      <c r="A159" s="31" t="s">
        <v>140</v>
      </c>
      <c r="B159" s="31" t="s">
        <v>732</v>
      </c>
      <c r="C159" s="31" t="s">
        <v>167</v>
      </c>
      <c r="D159" s="31" t="s">
        <v>561</v>
      </c>
      <c r="E159" s="32">
        <v>107.47</v>
      </c>
      <c r="F159" s="33">
        <v>1451.3</v>
      </c>
      <c r="G159" s="32">
        <v>1558.77</v>
      </c>
      <c r="H159" s="32">
        <v>1.8</v>
      </c>
      <c r="I159" s="34">
        <v>15</v>
      </c>
      <c r="J159" s="33">
        <v>0</v>
      </c>
      <c r="K159" s="34">
        <v>1466</v>
      </c>
      <c r="L159" s="32">
        <v>332.98</v>
      </c>
      <c r="M159" s="32">
        <v>62.16</v>
      </c>
      <c r="N159" s="32">
        <v>68.33</v>
      </c>
      <c r="O159" s="32">
        <v>31.52</v>
      </c>
      <c r="P159" s="32">
        <v>3.67</v>
      </c>
      <c r="Q159" s="34">
        <v>519039</v>
      </c>
      <c r="R159" s="34">
        <v>0</v>
      </c>
      <c r="S159" s="34">
        <v>519039</v>
      </c>
      <c r="T159" s="34">
        <v>91127</v>
      </c>
      <c r="U159" s="34">
        <v>100172</v>
      </c>
      <c r="V159" s="34">
        <v>599</v>
      </c>
      <c r="W159" s="34">
        <v>49132</v>
      </c>
      <c r="X159" s="34">
        <v>5721</v>
      </c>
      <c r="Y159" s="34">
        <v>765790</v>
      </c>
      <c r="Z159" s="34">
        <v>64457</v>
      </c>
      <c r="AA159" s="34">
        <v>701333</v>
      </c>
      <c r="AB159" s="34">
        <v>402386</v>
      </c>
      <c r="AC159" s="34">
        <v>298947</v>
      </c>
    </row>
    <row r="160" spans="1:29" x14ac:dyDescent="0.25">
      <c r="A160" s="31" t="s">
        <v>140</v>
      </c>
      <c r="B160" s="31" t="s">
        <v>732</v>
      </c>
      <c r="C160" s="31" t="s">
        <v>168</v>
      </c>
      <c r="D160" s="31" t="s">
        <v>562</v>
      </c>
      <c r="E160" s="32">
        <v>37.56</v>
      </c>
      <c r="F160" s="33">
        <v>406.7</v>
      </c>
      <c r="G160" s="32">
        <v>444.26</v>
      </c>
      <c r="H160" s="32">
        <v>0.51</v>
      </c>
      <c r="I160" s="34">
        <v>11</v>
      </c>
      <c r="J160" s="33">
        <v>0</v>
      </c>
      <c r="K160" s="34">
        <v>418</v>
      </c>
      <c r="L160" s="32">
        <v>332.98</v>
      </c>
      <c r="M160" s="32">
        <v>62.16</v>
      </c>
      <c r="N160" s="32">
        <v>68.33</v>
      </c>
      <c r="O160" s="32">
        <v>31.52</v>
      </c>
      <c r="P160" s="32">
        <v>3.67</v>
      </c>
      <c r="Q160" s="34">
        <v>147930</v>
      </c>
      <c r="R160" s="34">
        <v>0</v>
      </c>
      <c r="S160" s="34">
        <v>147930</v>
      </c>
      <c r="T160" s="34">
        <v>25983</v>
      </c>
      <c r="U160" s="34">
        <v>28562</v>
      </c>
      <c r="V160" s="34">
        <v>170</v>
      </c>
      <c r="W160" s="34">
        <v>14003</v>
      </c>
      <c r="X160" s="34">
        <v>1630</v>
      </c>
      <c r="Y160" s="34">
        <v>218278</v>
      </c>
      <c r="Z160" s="34">
        <v>28692</v>
      </c>
      <c r="AA160" s="34">
        <v>189586</v>
      </c>
      <c r="AB160" s="34">
        <v>104360</v>
      </c>
      <c r="AC160" s="34">
        <v>85226</v>
      </c>
    </row>
    <row r="161" spans="1:29" x14ac:dyDescent="0.25">
      <c r="A161" s="31" t="s">
        <v>140</v>
      </c>
      <c r="B161" s="31" t="s">
        <v>732</v>
      </c>
      <c r="C161" s="31" t="s">
        <v>169</v>
      </c>
      <c r="D161" s="31" t="s">
        <v>563</v>
      </c>
      <c r="E161" s="32">
        <v>132.41999999999999</v>
      </c>
      <c r="F161" s="33">
        <v>828.7</v>
      </c>
      <c r="G161" s="32">
        <v>961.12</v>
      </c>
      <c r="H161" s="32">
        <v>1.1100000000000001</v>
      </c>
      <c r="I161" s="34">
        <v>2</v>
      </c>
      <c r="J161" s="33">
        <v>0</v>
      </c>
      <c r="K161" s="34">
        <v>831</v>
      </c>
      <c r="L161" s="32">
        <v>332.98</v>
      </c>
      <c r="M161" s="32">
        <v>62.16</v>
      </c>
      <c r="N161" s="32">
        <v>68.33</v>
      </c>
      <c r="O161" s="32">
        <v>31.52</v>
      </c>
      <c r="P161" s="32">
        <v>3.67</v>
      </c>
      <c r="Q161" s="34">
        <v>320034</v>
      </c>
      <c r="R161" s="34">
        <v>0</v>
      </c>
      <c r="S161" s="34">
        <v>320034</v>
      </c>
      <c r="T161" s="34">
        <v>51655</v>
      </c>
      <c r="U161" s="34">
        <v>56782</v>
      </c>
      <c r="V161" s="34">
        <v>370</v>
      </c>
      <c r="W161" s="34">
        <v>30295</v>
      </c>
      <c r="X161" s="34">
        <v>3527</v>
      </c>
      <c r="Y161" s="34">
        <v>462663</v>
      </c>
      <c r="Z161" s="34">
        <v>50518</v>
      </c>
      <c r="AA161" s="34">
        <v>412145</v>
      </c>
      <c r="AB161" s="34">
        <v>237333</v>
      </c>
      <c r="AC161" s="34">
        <v>174812</v>
      </c>
    </row>
    <row r="162" spans="1:29" x14ac:dyDescent="0.25">
      <c r="A162" s="31" t="s">
        <v>140</v>
      </c>
      <c r="B162" s="31" t="s">
        <v>732</v>
      </c>
      <c r="C162" s="31" t="s">
        <v>170</v>
      </c>
      <c r="D162" s="31" t="s">
        <v>564</v>
      </c>
      <c r="E162" s="32">
        <v>229.97</v>
      </c>
      <c r="F162" s="33">
        <v>1621.5</v>
      </c>
      <c r="G162" s="32">
        <v>1851.47</v>
      </c>
      <c r="H162" s="32">
        <v>2.14</v>
      </c>
      <c r="I162" s="34">
        <v>10</v>
      </c>
      <c r="J162" s="33">
        <v>0</v>
      </c>
      <c r="K162" s="34">
        <v>1632</v>
      </c>
      <c r="L162" s="32">
        <v>332.98</v>
      </c>
      <c r="M162" s="32">
        <v>62.16</v>
      </c>
      <c r="N162" s="32">
        <v>68.33</v>
      </c>
      <c r="O162" s="32">
        <v>31.52</v>
      </c>
      <c r="P162" s="32">
        <v>3.67</v>
      </c>
      <c r="Q162" s="34">
        <v>616502</v>
      </c>
      <c r="R162" s="34">
        <v>0</v>
      </c>
      <c r="S162" s="34">
        <v>616502</v>
      </c>
      <c r="T162" s="34">
        <v>101445</v>
      </c>
      <c r="U162" s="34">
        <v>111515</v>
      </c>
      <c r="V162" s="34">
        <v>713</v>
      </c>
      <c r="W162" s="34">
        <v>58358</v>
      </c>
      <c r="X162" s="34">
        <v>6795</v>
      </c>
      <c r="Y162" s="34">
        <v>895328</v>
      </c>
      <c r="Z162" s="34">
        <v>116097</v>
      </c>
      <c r="AA162" s="34">
        <v>779231</v>
      </c>
      <c r="AB162" s="34">
        <v>438409</v>
      </c>
      <c r="AC162" s="34">
        <v>340822</v>
      </c>
    </row>
    <row r="163" spans="1:29" x14ac:dyDescent="0.25">
      <c r="A163" s="31" t="s">
        <v>140</v>
      </c>
      <c r="B163" s="31" t="s">
        <v>732</v>
      </c>
      <c r="C163" s="31" t="s">
        <v>171</v>
      </c>
      <c r="D163" s="31" t="s">
        <v>565</v>
      </c>
      <c r="E163" s="32">
        <v>215.42</v>
      </c>
      <c r="F163" s="33">
        <v>1626</v>
      </c>
      <c r="G163" s="32">
        <v>1841.42</v>
      </c>
      <c r="H163" s="32">
        <v>2.13</v>
      </c>
      <c r="I163" s="34">
        <v>77</v>
      </c>
      <c r="J163" s="33">
        <v>0.4</v>
      </c>
      <c r="K163" s="34">
        <v>1703</v>
      </c>
      <c r="L163" s="32">
        <v>332.98</v>
      </c>
      <c r="M163" s="32">
        <v>62.16</v>
      </c>
      <c r="N163" s="32">
        <v>68.33</v>
      </c>
      <c r="O163" s="32">
        <v>31.52</v>
      </c>
      <c r="P163" s="32">
        <v>3.67</v>
      </c>
      <c r="Q163" s="34">
        <v>613156</v>
      </c>
      <c r="R163" s="34">
        <v>0</v>
      </c>
      <c r="S163" s="34">
        <v>613156</v>
      </c>
      <c r="T163" s="34">
        <v>105858</v>
      </c>
      <c r="U163" s="34">
        <v>116366</v>
      </c>
      <c r="V163" s="34">
        <v>709</v>
      </c>
      <c r="W163" s="34">
        <v>58042</v>
      </c>
      <c r="X163" s="34">
        <v>6758</v>
      </c>
      <c r="Y163" s="34">
        <v>900889</v>
      </c>
      <c r="Z163" s="34">
        <v>105969</v>
      </c>
      <c r="AA163" s="34">
        <v>794920</v>
      </c>
      <c r="AB163" s="34">
        <v>445528</v>
      </c>
      <c r="AC163" s="34">
        <v>349392</v>
      </c>
    </row>
    <row r="164" spans="1:29" x14ac:dyDescent="0.25">
      <c r="A164" s="31" t="s">
        <v>140</v>
      </c>
      <c r="B164" s="31" t="s">
        <v>732</v>
      </c>
      <c r="C164" s="31" t="s">
        <v>172</v>
      </c>
      <c r="D164" s="31" t="s">
        <v>566</v>
      </c>
      <c r="E164" s="32">
        <v>104.25</v>
      </c>
      <c r="F164" s="33">
        <v>785.9</v>
      </c>
      <c r="G164" s="32">
        <v>890.15</v>
      </c>
      <c r="H164" s="32">
        <v>1.03</v>
      </c>
      <c r="I164" s="34">
        <v>15</v>
      </c>
      <c r="J164" s="33">
        <v>0</v>
      </c>
      <c r="K164" s="34">
        <v>801</v>
      </c>
      <c r="L164" s="32">
        <v>332.98</v>
      </c>
      <c r="M164" s="32">
        <v>62.16</v>
      </c>
      <c r="N164" s="32">
        <v>68.33</v>
      </c>
      <c r="O164" s="32">
        <v>31.52</v>
      </c>
      <c r="P164" s="32">
        <v>3.67</v>
      </c>
      <c r="Q164" s="34">
        <v>296402</v>
      </c>
      <c r="R164" s="34">
        <v>0</v>
      </c>
      <c r="S164" s="34">
        <v>296402</v>
      </c>
      <c r="T164" s="34">
        <v>49790</v>
      </c>
      <c r="U164" s="34">
        <v>54732</v>
      </c>
      <c r="V164" s="34">
        <v>343</v>
      </c>
      <c r="W164" s="34">
        <v>28058</v>
      </c>
      <c r="X164" s="34">
        <v>3267</v>
      </c>
      <c r="Y164" s="34">
        <v>432592</v>
      </c>
      <c r="Z164" s="34">
        <v>46027</v>
      </c>
      <c r="AA164" s="34">
        <v>386565</v>
      </c>
      <c r="AB164" s="34">
        <v>220570</v>
      </c>
      <c r="AC164" s="34">
        <v>165995</v>
      </c>
    </row>
    <row r="165" spans="1:29" x14ac:dyDescent="0.25">
      <c r="A165" s="31" t="s">
        <v>140</v>
      </c>
      <c r="B165" s="31" t="s">
        <v>732</v>
      </c>
      <c r="C165" s="31" t="s">
        <v>173</v>
      </c>
      <c r="D165" s="31" t="s">
        <v>567</v>
      </c>
      <c r="E165" s="32">
        <v>109.24</v>
      </c>
      <c r="F165" s="33">
        <v>1160.2</v>
      </c>
      <c r="G165" s="32">
        <v>1269.44</v>
      </c>
      <c r="H165" s="32">
        <v>1.47</v>
      </c>
      <c r="I165" s="34">
        <v>77</v>
      </c>
      <c r="J165" s="33">
        <v>1.3</v>
      </c>
      <c r="K165" s="34">
        <v>1236</v>
      </c>
      <c r="L165" s="32">
        <v>332.98</v>
      </c>
      <c r="M165" s="32">
        <v>62.16</v>
      </c>
      <c r="N165" s="32">
        <v>68.33</v>
      </c>
      <c r="O165" s="32">
        <v>31.52</v>
      </c>
      <c r="P165" s="32">
        <v>3.67</v>
      </c>
      <c r="Q165" s="34">
        <v>422698</v>
      </c>
      <c r="R165" s="34">
        <v>0</v>
      </c>
      <c r="S165" s="34">
        <v>422698</v>
      </c>
      <c r="T165" s="34">
        <v>76830</v>
      </c>
      <c r="U165" s="34">
        <v>84456</v>
      </c>
      <c r="V165" s="34">
        <v>489</v>
      </c>
      <c r="W165" s="34">
        <v>40013</v>
      </c>
      <c r="X165" s="34">
        <v>4659</v>
      </c>
      <c r="Y165" s="34">
        <v>629145</v>
      </c>
      <c r="Z165" s="34">
        <v>67186</v>
      </c>
      <c r="AA165" s="34">
        <v>561959</v>
      </c>
      <c r="AB165" s="34">
        <v>313006</v>
      </c>
      <c r="AC165" s="34">
        <v>248953</v>
      </c>
    </row>
    <row r="166" spans="1:29" x14ac:dyDescent="0.25">
      <c r="A166" s="31" t="s">
        <v>174</v>
      </c>
      <c r="B166" s="31" t="s">
        <v>733</v>
      </c>
      <c r="C166" s="31" t="s">
        <v>175</v>
      </c>
      <c r="D166" s="31" t="s">
        <v>568</v>
      </c>
      <c r="E166" s="32">
        <v>48.64</v>
      </c>
      <c r="F166" s="33">
        <v>306.3</v>
      </c>
      <c r="G166" s="32">
        <v>354.94</v>
      </c>
      <c r="H166" s="32">
        <v>0</v>
      </c>
      <c r="I166" s="34">
        <v>0</v>
      </c>
      <c r="J166" s="33">
        <v>0</v>
      </c>
      <c r="K166" s="34">
        <v>306</v>
      </c>
      <c r="L166" s="32">
        <v>325.88</v>
      </c>
      <c r="M166" s="32">
        <v>62.04</v>
      </c>
      <c r="N166" s="32">
        <v>68.150000000000006</v>
      </c>
      <c r="O166" s="32">
        <v>27.75</v>
      </c>
      <c r="P166" s="32">
        <v>3.48</v>
      </c>
      <c r="Q166" s="34">
        <v>115668</v>
      </c>
      <c r="R166" s="34">
        <v>0</v>
      </c>
      <c r="S166" s="34">
        <v>115668</v>
      </c>
      <c r="T166" s="34">
        <v>18984</v>
      </c>
      <c r="U166" s="34">
        <v>20854</v>
      </c>
      <c r="V166" s="34">
        <v>0</v>
      </c>
      <c r="W166" s="34">
        <v>9850</v>
      </c>
      <c r="X166" s="34">
        <v>1235</v>
      </c>
      <c r="Y166" s="34">
        <v>166591</v>
      </c>
      <c r="Z166" s="34">
        <v>22203</v>
      </c>
      <c r="AA166" s="34">
        <v>144388</v>
      </c>
      <c r="AB166" s="34">
        <v>82586</v>
      </c>
      <c r="AC166" s="34">
        <v>61802</v>
      </c>
    </row>
    <row r="167" spans="1:29" x14ac:dyDescent="0.25">
      <c r="A167" s="31" t="s">
        <v>174</v>
      </c>
      <c r="B167" s="31" t="s">
        <v>733</v>
      </c>
      <c r="C167" s="31" t="s">
        <v>176</v>
      </c>
      <c r="D167" s="31" t="s">
        <v>569</v>
      </c>
      <c r="E167" s="32">
        <v>238.28</v>
      </c>
      <c r="F167" s="33">
        <v>2130.9</v>
      </c>
      <c r="G167" s="32">
        <v>2369.1799999999998</v>
      </c>
      <c r="H167" s="32">
        <v>0</v>
      </c>
      <c r="I167" s="34">
        <v>28</v>
      </c>
      <c r="J167" s="33">
        <v>0</v>
      </c>
      <c r="K167" s="34">
        <v>2159</v>
      </c>
      <c r="L167" s="32">
        <v>325.88</v>
      </c>
      <c r="M167" s="32">
        <v>62.04</v>
      </c>
      <c r="N167" s="32">
        <v>68.150000000000006</v>
      </c>
      <c r="O167" s="32">
        <v>27.75</v>
      </c>
      <c r="P167" s="32">
        <v>3.48</v>
      </c>
      <c r="Q167" s="34">
        <v>772068</v>
      </c>
      <c r="R167" s="34">
        <v>0</v>
      </c>
      <c r="S167" s="34">
        <v>772068</v>
      </c>
      <c r="T167" s="34">
        <v>133944</v>
      </c>
      <c r="U167" s="34">
        <v>147136</v>
      </c>
      <c r="V167" s="34">
        <v>0</v>
      </c>
      <c r="W167" s="34">
        <v>65745</v>
      </c>
      <c r="X167" s="34">
        <v>8245</v>
      </c>
      <c r="Y167" s="34">
        <v>1127138</v>
      </c>
      <c r="Z167" s="34">
        <v>82599</v>
      </c>
      <c r="AA167" s="34">
        <v>1044539</v>
      </c>
      <c r="AB167" s="34">
        <v>616855</v>
      </c>
      <c r="AC167" s="34">
        <v>427684</v>
      </c>
    </row>
    <row r="168" spans="1:29" x14ac:dyDescent="0.25">
      <c r="A168" s="31" t="s">
        <v>174</v>
      </c>
      <c r="B168" s="31" t="s">
        <v>733</v>
      </c>
      <c r="C168" s="31" t="s">
        <v>177</v>
      </c>
      <c r="D168" s="31" t="s">
        <v>570</v>
      </c>
      <c r="E168" s="32">
        <v>596.05999999999995</v>
      </c>
      <c r="F168" s="33">
        <v>4439.6000000000004</v>
      </c>
      <c r="G168" s="32">
        <v>5035.66</v>
      </c>
      <c r="H168" s="32">
        <v>0</v>
      </c>
      <c r="I168" s="34">
        <v>130</v>
      </c>
      <c r="J168" s="33">
        <v>1.2</v>
      </c>
      <c r="K168" s="34">
        <v>4568</v>
      </c>
      <c r="L168" s="32">
        <v>325.88</v>
      </c>
      <c r="M168" s="32">
        <v>62.04</v>
      </c>
      <c r="N168" s="32">
        <v>68.150000000000006</v>
      </c>
      <c r="O168" s="32">
        <v>27.75</v>
      </c>
      <c r="P168" s="32">
        <v>3.48</v>
      </c>
      <c r="Q168" s="34">
        <v>1641021</v>
      </c>
      <c r="R168" s="34">
        <v>0</v>
      </c>
      <c r="S168" s="34">
        <v>1641021</v>
      </c>
      <c r="T168" s="34">
        <v>283399</v>
      </c>
      <c r="U168" s="34">
        <v>311309</v>
      </c>
      <c r="V168" s="34">
        <v>0</v>
      </c>
      <c r="W168" s="34">
        <v>139740</v>
      </c>
      <c r="X168" s="34">
        <v>17524</v>
      </c>
      <c r="Y168" s="34">
        <v>2392993</v>
      </c>
      <c r="Z168" s="34">
        <v>266588</v>
      </c>
      <c r="AA168" s="34">
        <v>2126405</v>
      </c>
      <c r="AB168" s="34">
        <v>1220090</v>
      </c>
      <c r="AC168" s="34">
        <v>906315</v>
      </c>
    </row>
    <row r="169" spans="1:29" x14ac:dyDescent="0.25">
      <c r="A169" s="31" t="s">
        <v>174</v>
      </c>
      <c r="B169" s="31" t="s">
        <v>733</v>
      </c>
      <c r="C169" s="31" t="s">
        <v>178</v>
      </c>
      <c r="D169" s="31" t="s">
        <v>571</v>
      </c>
      <c r="E169" s="32">
        <v>1398</v>
      </c>
      <c r="F169" s="33">
        <v>12671.4</v>
      </c>
      <c r="G169" s="32">
        <v>14069.4</v>
      </c>
      <c r="H169" s="32">
        <v>0</v>
      </c>
      <c r="I169" s="34">
        <v>960</v>
      </c>
      <c r="J169" s="33">
        <v>1.9</v>
      </c>
      <c r="K169" s="34">
        <v>13630</v>
      </c>
      <c r="L169" s="32">
        <v>325.88</v>
      </c>
      <c r="M169" s="32">
        <v>62.04</v>
      </c>
      <c r="N169" s="32">
        <v>68.150000000000006</v>
      </c>
      <c r="O169" s="32">
        <v>27.75</v>
      </c>
      <c r="P169" s="32">
        <v>3.48</v>
      </c>
      <c r="Q169" s="34">
        <v>4584936</v>
      </c>
      <c r="R169" s="34">
        <v>0</v>
      </c>
      <c r="S169" s="34">
        <v>4584936</v>
      </c>
      <c r="T169" s="34">
        <v>845605</v>
      </c>
      <c r="U169" s="34">
        <v>928885</v>
      </c>
      <c r="V169" s="34">
        <v>0</v>
      </c>
      <c r="W169" s="34">
        <v>390426</v>
      </c>
      <c r="X169" s="34">
        <v>48962</v>
      </c>
      <c r="Y169" s="34">
        <v>6798814</v>
      </c>
      <c r="Z169" s="34">
        <v>334103</v>
      </c>
      <c r="AA169" s="34">
        <v>6464711</v>
      </c>
      <c r="AB169" s="34">
        <v>3819607</v>
      </c>
      <c r="AC169" s="34">
        <v>2645104</v>
      </c>
    </row>
    <row r="170" spans="1:29" x14ac:dyDescent="0.25">
      <c r="A170" s="31" t="s">
        <v>174</v>
      </c>
      <c r="B170" s="31" t="s">
        <v>733</v>
      </c>
      <c r="C170" s="31" t="s">
        <v>179</v>
      </c>
      <c r="D170" s="31" t="s">
        <v>572</v>
      </c>
      <c r="E170" s="32">
        <v>80.69</v>
      </c>
      <c r="F170" s="33">
        <v>510.6</v>
      </c>
      <c r="G170" s="32">
        <v>591.29</v>
      </c>
      <c r="H170" s="32">
        <v>0</v>
      </c>
      <c r="I170" s="34">
        <v>5</v>
      </c>
      <c r="J170" s="33">
        <v>0</v>
      </c>
      <c r="K170" s="34">
        <v>516</v>
      </c>
      <c r="L170" s="32">
        <v>325.88</v>
      </c>
      <c r="M170" s="32">
        <v>62.04</v>
      </c>
      <c r="N170" s="32">
        <v>68.150000000000006</v>
      </c>
      <c r="O170" s="32">
        <v>27.75</v>
      </c>
      <c r="P170" s="32">
        <v>3.48</v>
      </c>
      <c r="Q170" s="34">
        <v>192690</v>
      </c>
      <c r="R170" s="34">
        <v>0</v>
      </c>
      <c r="S170" s="34">
        <v>192690</v>
      </c>
      <c r="T170" s="34">
        <v>32013</v>
      </c>
      <c r="U170" s="34">
        <v>35165</v>
      </c>
      <c r="V170" s="34">
        <v>0</v>
      </c>
      <c r="W170" s="34">
        <v>16408</v>
      </c>
      <c r="X170" s="34">
        <v>2058</v>
      </c>
      <c r="Y170" s="34">
        <v>278334</v>
      </c>
      <c r="Z170" s="34">
        <v>41488</v>
      </c>
      <c r="AA170" s="34">
        <v>236846</v>
      </c>
      <c r="AB170" s="34">
        <v>133079</v>
      </c>
      <c r="AC170" s="34">
        <v>103767</v>
      </c>
    </row>
    <row r="171" spans="1:29" x14ac:dyDescent="0.25">
      <c r="A171" s="31" t="s">
        <v>174</v>
      </c>
      <c r="B171" s="31" t="s">
        <v>733</v>
      </c>
      <c r="C171" s="31" t="s">
        <v>180</v>
      </c>
      <c r="D171" s="31" t="s">
        <v>573</v>
      </c>
      <c r="E171" s="32">
        <v>190.73</v>
      </c>
      <c r="F171" s="33">
        <v>1759.2</v>
      </c>
      <c r="G171" s="32">
        <v>1949.93</v>
      </c>
      <c r="H171" s="32">
        <v>0</v>
      </c>
      <c r="I171" s="34">
        <v>29</v>
      </c>
      <c r="J171" s="33">
        <v>0</v>
      </c>
      <c r="K171" s="34">
        <v>1788</v>
      </c>
      <c r="L171" s="32">
        <v>325.88</v>
      </c>
      <c r="M171" s="32">
        <v>62.04</v>
      </c>
      <c r="N171" s="32">
        <v>68.150000000000006</v>
      </c>
      <c r="O171" s="32">
        <v>27.75</v>
      </c>
      <c r="P171" s="32">
        <v>3.48</v>
      </c>
      <c r="Q171" s="34">
        <v>635443</v>
      </c>
      <c r="R171" s="34">
        <v>0</v>
      </c>
      <c r="S171" s="34">
        <v>635443</v>
      </c>
      <c r="T171" s="34">
        <v>110928</v>
      </c>
      <c r="U171" s="34">
        <v>121852</v>
      </c>
      <c r="V171" s="34">
        <v>0</v>
      </c>
      <c r="W171" s="34">
        <v>54111</v>
      </c>
      <c r="X171" s="34">
        <v>6786</v>
      </c>
      <c r="Y171" s="34">
        <v>929120</v>
      </c>
      <c r="Z171" s="34">
        <v>70695</v>
      </c>
      <c r="AA171" s="34">
        <v>858425</v>
      </c>
      <c r="AB171" s="34">
        <v>504984</v>
      </c>
      <c r="AC171" s="34">
        <v>353441</v>
      </c>
    </row>
    <row r="172" spans="1:29" x14ac:dyDescent="0.25">
      <c r="A172" s="31" t="s">
        <v>174</v>
      </c>
      <c r="B172" s="31" t="s">
        <v>733</v>
      </c>
      <c r="C172" s="31" t="s">
        <v>181</v>
      </c>
      <c r="D172" s="31" t="s">
        <v>574</v>
      </c>
      <c r="E172" s="32">
        <v>36.6</v>
      </c>
      <c r="F172" s="33">
        <v>360.7</v>
      </c>
      <c r="G172" s="32">
        <v>397.3</v>
      </c>
      <c r="H172" s="32">
        <v>0</v>
      </c>
      <c r="I172" s="34">
        <v>4</v>
      </c>
      <c r="J172" s="33">
        <v>0</v>
      </c>
      <c r="K172" s="34">
        <v>365</v>
      </c>
      <c r="L172" s="32">
        <v>325.88</v>
      </c>
      <c r="M172" s="32">
        <v>62.04</v>
      </c>
      <c r="N172" s="32">
        <v>68.150000000000006</v>
      </c>
      <c r="O172" s="32">
        <v>27.75</v>
      </c>
      <c r="P172" s="32">
        <v>3.48</v>
      </c>
      <c r="Q172" s="34">
        <v>129472</v>
      </c>
      <c r="R172" s="34">
        <v>0</v>
      </c>
      <c r="S172" s="34">
        <v>129472</v>
      </c>
      <c r="T172" s="34">
        <v>22645</v>
      </c>
      <c r="U172" s="34">
        <v>24875</v>
      </c>
      <c r="V172" s="34">
        <v>0</v>
      </c>
      <c r="W172" s="34">
        <v>11025</v>
      </c>
      <c r="X172" s="34">
        <v>1383</v>
      </c>
      <c r="Y172" s="34">
        <v>189400</v>
      </c>
      <c r="Z172" s="34">
        <v>19368</v>
      </c>
      <c r="AA172" s="34">
        <v>170032</v>
      </c>
      <c r="AB172" s="34">
        <v>97927</v>
      </c>
      <c r="AC172" s="34">
        <v>72105</v>
      </c>
    </row>
    <row r="173" spans="1:29" x14ac:dyDescent="0.25">
      <c r="A173" s="31" t="s">
        <v>174</v>
      </c>
      <c r="B173" s="31" t="s">
        <v>733</v>
      </c>
      <c r="C173" s="31" t="s">
        <v>182</v>
      </c>
      <c r="D173" s="31" t="s">
        <v>575</v>
      </c>
      <c r="E173" s="32">
        <v>268.39</v>
      </c>
      <c r="F173" s="33">
        <v>2514.9</v>
      </c>
      <c r="G173" s="32">
        <v>2783.29</v>
      </c>
      <c r="H173" s="32">
        <v>0</v>
      </c>
      <c r="I173" s="34">
        <v>56</v>
      </c>
      <c r="J173" s="33">
        <v>0</v>
      </c>
      <c r="K173" s="34">
        <v>2571</v>
      </c>
      <c r="L173" s="32">
        <v>325.88</v>
      </c>
      <c r="M173" s="32">
        <v>62.04</v>
      </c>
      <c r="N173" s="32">
        <v>68.150000000000006</v>
      </c>
      <c r="O173" s="32">
        <v>27.75</v>
      </c>
      <c r="P173" s="32">
        <v>3.48</v>
      </c>
      <c r="Q173" s="34">
        <v>907019</v>
      </c>
      <c r="R173" s="34">
        <v>0</v>
      </c>
      <c r="S173" s="34">
        <v>907019</v>
      </c>
      <c r="T173" s="34">
        <v>159505</v>
      </c>
      <c r="U173" s="34">
        <v>175214</v>
      </c>
      <c r="V173" s="34">
        <v>0</v>
      </c>
      <c r="W173" s="34">
        <v>77236</v>
      </c>
      <c r="X173" s="34">
        <v>9686</v>
      </c>
      <c r="Y173" s="34">
        <v>1328660</v>
      </c>
      <c r="Z173" s="34">
        <v>51957</v>
      </c>
      <c r="AA173" s="34">
        <v>1276703</v>
      </c>
      <c r="AB173" s="34">
        <v>769754</v>
      </c>
      <c r="AC173" s="34">
        <v>506949</v>
      </c>
    </row>
    <row r="174" spans="1:29" x14ac:dyDescent="0.25">
      <c r="A174" s="31" t="s">
        <v>174</v>
      </c>
      <c r="B174" s="31" t="s">
        <v>733</v>
      </c>
      <c r="C174" s="31" t="s">
        <v>183</v>
      </c>
      <c r="D174" s="31" t="s">
        <v>576</v>
      </c>
      <c r="E174" s="32">
        <v>362.31</v>
      </c>
      <c r="F174" s="33">
        <v>2037.5</v>
      </c>
      <c r="G174" s="32">
        <v>2399.81</v>
      </c>
      <c r="H174" s="32">
        <v>0</v>
      </c>
      <c r="I174" s="34">
        <v>149</v>
      </c>
      <c r="J174" s="33">
        <v>3.2</v>
      </c>
      <c r="K174" s="34">
        <v>2183</v>
      </c>
      <c r="L174" s="32">
        <v>325.88</v>
      </c>
      <c r="M174" s="32">
        <v>62.04</v>
      </c>
      <c r="N174" s="32">
        <v>68.150000000000006</v>
      </c>
      <c r="O174" s="32">
        <v>27.75</v>
      </c>
      <c r="P174" s="32">
        <v>3.48</v>
      </c>
      <c r="Q174" s="34">
        <v>782050</v>
      </c>
      <c r="R174" s="34">
        <v>0</v>
      </c>
      <c r="S174" s="34">
        <v>782050</v>
      </c>
      <c r="T174" s="34">
        <v>135433</v>
      </c>
      <c r="U174" s="34">
        <v>148771</v>
      </c>
      <c r="V174" s="34">
        <v>0</v>
      </c>
      <c r="W174" s="34">
        <v>66595</v>
      </c>
      <c r="X174" s="34">
        <v>8351</v>
      </c>
      <c r="Y174" s="34">
        <v>1141200</v>
      </c>
      <c r="Z174" s="34">
        <v>138795</v>
      </c>
      <c r="AA174" s="34">
        <v>1002405</v>
      </c>
      <c r="AB174" s="34">
        <v>569701</v>
      </c>
      <c r="AC174" s="34">
        <v>432704</v>
      </c>
    </row>
    <row r="175" spans="1:29" x14ac:dyDescent="0.25">
      <c r="A175" s="31" t="s">
        <v>174</v>
      </c>
      <c r="B175" s="31" t="s">
        <v>733</v>
      </c>
      <c r="C175" s="31" t="s">
        <v>184</v>
      </c>
      <c r="D175" s="31" t="s">
        <v>577</v>
      </c>
      <c r="E175" s="32">
        <v>205.33</v>
      </c>
      <c r="F175" s="33">
        <v>2011</v>
      </c>
      <c r="G175" s="32">
        <v>2216.33</v>
      </c>
      <c r="H175" s="32">
        <v>0</v>
      </c>
      <c r="I175" s="34">
        <v>39</v>
      </c>
      <c r="J175" s="33">
        <v>0</v>
      </c>
      <c r="K175" s="34">
        <v>2050</v>
      </c>
      <c r="L175" s="32">
        <v>325.88</v>
      </c>
      <c r="M175" s="32">
        <v>62.04</v>
      </c>
      <c r="N175" s="32">
        <v>68.150000000000006</v>
      </c>
      <c r="O175" s="32">
        <v>27.75</v>
      </c>
      <c r="P175" s="32">
        <v>3.48</v>
      </c>
      <c r="Q175" s="34">
        <v>722258</v>
      </c>
      <c r="R175" s="34">
        <v>0</v>
      </c>
      <c r="S175" s="34">
        <v>722258</v>
      </c>
      <c r="T175" s="34">
        <v>127182</v>
      </c>
      <c r="U175" s="34">
        <v>139708</v>
      </c>
      <c r="V175" s="34">
        <v>0</v>
      </c>
      <c r="W175" s="34">
        <v>61503</v>
      </c>
      <c r="X175" s="34">
        <v>7713</v>
      </c>
      <c r="Y175" s="34">
        <v>1058364</v>
      </c>
      <c r="Z175" s="34">
        <v>77596</v>
      </c>
      <c r="AA175" s="34">
        <v>980768</v>
      </c>
      <c r="AB175" s="34">
        <v>576731</v>
      </c>
      <c r="AC175" s="34">
        <v>404037</v>
      </c>
    </row>
    <row r="176" spans="1:29" x14ac:dyDescent="0.25">
      <c r="A176" s="31" t="s">
        <v>174</v>
      </c>
      <c r="B176" s="31" t="s">
        <v>733</v>
      </c>
      <c r="C176" s="31" t="s">
        <v>185</v>
      </c>
      <c r="D176" s="31" t="s">
        <v>578</v>
      </c>
      <c r="E176" s="32">
        <v>270.29000000000002</v>
      </c>
      <c r="F176" s="33">
        <v>1644.7</v>
      </c>
      <c r="G176" s="32">
        <v>1914.99</v>
      </c>
      <c r="H176" s="32">
        <v>0</v>
      </c>
      <c r="I176" s="34">
        <v>903</v>
      </c>
      <c r="J176" s="33">
        <v>15.4</v>
      </c>
      <c r="K176" s="34">
        <v>2532</v>
      </c>
      <c r="L176" s="32">
        <v>325.88</v>
      </c>
      <c r="M176" s="32">
        <v>62.04</v>
      </c>
      <c r="N176" s="32">
        <v>68.150000000000006</v>
      </c>
      <c r="O176" s="32">
        <v>27.75</v>
      </c>
      <c r="P176" s="32">
        <v>3.48</v>
      </c>
      <c r="Q176" s="34">
        <v>624057</v>
      </c>
      <c r="R176" s="34">
        <v>0</v>
      </c>
      <c r="S176" s="34">
        <v>624057</v>
      </c>
      <c r="T176" s="34">
        <v>157085</v>
      </c>
      <c r="U176" s="34">
        <v>172556</v>
      </c>
      <c r="V176" s="34">
        <v>0</v>
      </c>
      <c r="W176" s="34">
        <v>53141</v>
      </c>
      <c r="X176" s="34">
        <v>6664</v>
      </c>
      <c r="Y176" s="34">
        <v>1013503</v>
      </c>
      <c r="Z176" s="34">
        <v>121751</v>
      </c>
      <c r="AA176" s="34">
        <v>891752</v>
      </c>
      <c r="AB176" s="34">
        <v>443611</v>
      </c>
      <c r="AC176" s="34">
        <v>448141</v>
      </c>
    </row>
    <row r="177" spans="1:29" x14ac:dyDescent="0.25">
      <c r="A177" s="31" t="s">
        <v>174</v>
      </c>
      <c r="B177" s="31" t="s">
        <v>733</v>
      </c>
      <c r="C177" s="31" t="s">
        <v>186</v>
      </c>
      <c r="D177" s="31" t="s">
        <v>579</v>
      </c>
      <c r="E177" s="32">
        <v>105.81</v>
      </c>
      <c r="F177" s="33">
        <v>707.2</v>
      </c>
      <c r="G177" s="32">
        <v>813.01</v>
      </c>
      <c r="H177" s="32">
        <v>0</v>
      </c>
      <c r="I177" s="34">
        <v>8</v>
      </c>
      <c r="J177" s="33">
        <v>0</v>
      </c>
      <c r="K177" s="34">
        <v>715</v>
      </c>
      <c r="L177" s="32">
        <v>325.88</v>
      </c>
      <c r="M177" s="32">
        <v>62.04</v>
      </c>
      <c r="N177" s="32">
        <v>68.150000000000006</v>
      </c>
      <c r="O177" s="32">
        <v>27.75</v>
      </c>
      <c r="P177" s="32">
        <v>3.48</v>
      </c>
      <c r="Q177" s="34">
        <v>264944</v>
      </c>
      <c r="R177" s="34">
        <v>0</v>
      </c>
      <c r="S177" s="34">
        <v>264944</v>
      </c>
      <c r="T177" s="34">
        <v>44359</v>
      </c>
      <c r="U177" s="34">
        <v>48727</v>
      </c>
      <c r="V177" s="34">
        <v>0</v>
      </c>
      <c r="W177" s="34">
        <v>22561</v>
      </c>
      <c r="X177" s="34">
        <v>2829</v>
      </c>
      <c r="Y177" s="34">
        <v>383420</v>
      </c>
      <c r="Z177" s="34">
        <v>54115</v>
      </c>
      <c r="AA177" s="34">
        <v>329305</v>
      </c>
      <c r="AB177" s="34">
        <v>185910</v>
      </c>
      <c r="AC177" s="34">
        <v>143395</v>
      </c>
    </row>
    <row r="178" spans="1:29" x14ac:dyDescent="0.25">
      <c r="A178" s="31" t="s">
        <v>174</v>
      </c>
      <c r="B178" s="31" t="s">
        <v>733</v>
      </c>
      <c r="C178" s="31" t="s">
        <v>187</v>
      </c>
      <c r="D178" s="31" t="s">
        <v>580</v>
      </c>
      <c r="E178" s="32">
        <v>63.48</v>
      </c>
      <c r="F178" s="33">
        <v>463.9</v>
      </c>
      <c r="G178" s="32">
        <v>527.38</v>
      </c>
      <c r="H178" s="32">
        <v>0</v>
      </c>
      <c r="I178" s="34">
        <v>5</v>
      </c>
      <c r="J178" s="33">
        <v>0</v>
      </c>
      <c r="K178" s="34">
        <v>469</v>
      </c>
      <c r="L178" s="32">
        <v>325.88</v>
      </c>
      <c r="M178" s="32">
        <v>62.04</v>
      </c>
      <c r="N178" s="32">
        <v>68.150000000000006</v>
      </c>
      <c r="O178" s="32">
        <v>27.75</v>
      </c>
      <c r="P178" s="32">
        <v>3.48</v>
      </c>
      <c r="Q178" s="34">
        <v>171863</v>
      </c>
      <c r="R178" s="34">
        <v>0</v>
      </c>
      <c r="S178" s="34">
        <v>171863</v>
      </c>
      <c r="T178" s="34">
        <v>29097</v>
      </c>
      <c r="U178" s="34">
        <v>31962</v>
      </c>
      <c r="V178" s="34">
        <v>0</v>
      </c>
      <c r="W178" s="34">
        <v>14635</v>
      </c>
      <c r="X178" s="34">
        <v>1835</v>
      </c>
      <c r="Y178" s="34">
        <v>249392</v>
      </c>
      <c r="Z178" s="34">
        <v>31489</v>
      </c>
      <c r="AA178" s="34">
        <v>217903</v>
      </c>
      <c r="AB178" s="34">
        <v>124209</v>
      </c>
      <c r="AC178" s="34">
        <v>93694</v>
      </c>
    </row>
    <row r="179" spans="1:29" x14ac:dyDescent="0.25">
      <c r="A179" s="31" t="s">
        <v>174</v>
      </c>
      <c r="B179" s="31" t="s">
        <v>733</v>
      </c>
      <c r="C179" s="31" t="s">
        <v>188</v>
      </c>
      <c r="D179" s="31" t="s">
        <v>581</v>
      </c>
      <c r="E179" s="32">
        <v>55.76</v>
      </c>
      <c r="F179" s="33">
        <v>452.9</v>
      </c>
      <c r="G179" s="32">
        <v>508.66</v>
      </c>
      <c r="H179" s="32">
        <v>0</v>
      </c>
      <c r="I179" s="34">
        <v>0</v>
      </c>
      <c r="J179" s="33">
        <v>0</v>
      </c>
      <c r="K179" s="34">
        <v>453</v>
      </c>
      <c r="L179" s="32">
        <v>325.88</v>
      </c>
      <c r="M179" s="32">
        <v>62.04</v>
      </c>
      <c r="N179" s="32">
        <v>68.150000000000006</v>
      </c>
      <c r="O179" s="32">
        <v>27.75</v>
      </c>
      <c r="P179" s="32">
        <v>3.48</v>
      </c>
      <c r="Q179" s="34">
        <v>165762</v>
      </c>
      <c r="R179" s="34">
        <v>963</v>
      </c>
      <c r="S179" s="34">
        <v>166725</v>
      </c>
      <c r="T179" s="34">
        <v>28104</v>
      </c>
      <c r="U179" s="34">
        <v>30872</v>
      </c>
      <c r="V179" s="34">
        <v>0</v>
      </c>
      <c r="W179" s="34">
        <v>14115</v>
      </c>
      <c r="X179" s="34">
        <v>1770</v>
      </c>
      <c r="Y179" s="34">
        <v>241586</v>
      </c>
      <c r="Z179" s="34">
        <v>34999</v>
      </c>
      <c r="AA179" s="34">
        <v>206587</v>
      </c>
      <c r="AB179" s="34">
        <v>115172</v>
      </c>
      <c r="AC179" s="34">
        <v>91415</v>
      </c>
    </row>
    <row r="180" spans="1:29" x14ac:dyDescent="0.25">
      <c r="A180" s="31" t="s">
        <v>174</v>
      </c>
      <c r="B180" s="31" t="s">
        <v>733</v>
      </c>
      <c r="C180" s="31" t="s">
        <v>189</v>
      </c>
      <c r="D180" s="31" t="s">
        <v>582</v>
      </c>
      <c r="E180" s="32">
        <v>74.69</v>
      </c>
      <c r="F180" s="33">
        <v>425</v>
      </c>
      <c r="G180" s="32">
        <v>499.69</v>
      </c>
      <c r="H180" s="32">
        <v>0</v>
      </c>
      <c r="I180" s="34">
        <v>1</v>
      </c>
      <c r="J180" s="33">
        <v>0</v>
      </c>
      <c r="K180" s="34">
        <v>426</v>
      </c>
      <c r="L180" s="32">
        <v>325.88</v>
      </c>
      <c r="M180" s="32">
        <v>62.04</v>
      </c>
      <c r="N180" s="32">
        <v>68.150000000000006</v>
      </c>
      <c r="O180" s="32">
        <v>27.75</v>
      </c>
      <c r="P180" s="32">
        <v>3.48</v>
      </c>
      <c r="Q180" s="34">
        <v>162839</v>
      </c>
      <c r="R180" s="34">
        <v>0</v>
      </c>
      <c r="S180" s="34">
        <v>162839</v>
      </c>
      <c r="T180" s="34">
        <v>26429</v>
      </c>
      <c r="U180" s="34">
        <v>29032</v>
      </c>
      <c r="V180" s="34">
        <v>0</v>
      </c>
      <c r="W180" s="34">
        <v>13866</v>
      </c>
      <c r="X180" s="34">
        <v>1739</v>
      </c>
      <c r="Y180" s="34">
        <v>233905</v>
      </c>
      <c r="Z180" s="34">
        <v>31819</v>
      </c>
      <c r="AA180" s="34">
        <v>202086</v>
      </c>
      <c r="AB180" s="34">
        <v>115704</v>
      </c>
      <c r="AC180" s="34">
        <v>86382</v>
      </c>
    </row>
    <row r="181" spans="1:29" x14ac:dyDescent="0.25">
      <c r="A181" s="31" t="s">
        <v>174</v>
      </c>
      <c r="B181" s="31" t="s">
        <v>733</v>
      </c>
      <c r="C181" s="31" t="s">
        <v>190</v>
      </c>
      <c r="D181" s="31" t="s">
        <v>583</v>
      </c>
      <c r="E181" s="32">
        <v>383.09</v>
      </c>
      <c r="F181" s="33">
        <v>3478</v>
      </c>
      <c r="G181" s="32">
        <v>3861.09</v>
      </c>
      <c r="H181" s="32">
        <v>0</v>
      </c>
      <c r="I181" s="34">
        <v>82</v>
      </c>
      <c r="J181" s="33">
        <v>0</v>
      </c>
      <c r="K181" s="34">
        <v>3560</v>
      </c>
      <c r="L181" s="32">
        <v>325.88</v>
      </c>
      <c r="M181" s="32">
        <v>62.04</v>
      </c>
      <c r="N181" s="32">
        <v>68.150000000000006</v>
      </c>
      <c r="O181" s="32">
        <v>27.75</v>
      </c>
      <c r="P181" s="32">
        <v>3.48</v>
      </c>
      <c r="Q181" s="34">
        <v>1258252</v>
      </c>
      <c r="R181" s="34">
        <v>0</v>
      </c>
      <c r="S181" s="34">
        <v>1258252</v>
      </c>
      <c r="T181" s="34">
        <v>220862</v>
      </c>
      <c r="U181" s="34">
        <v>242614</v>
      </c>
      <c r="V181" s="34">
        <v>0</v>
      </c>
      <c r="W181" s="34">
        <v>107145</v>
      </c>
      <c r="X181" s="34">
        <v>13437</v>
      </c>
      <c r="Y181" s="34">
        <v>1842310</v>
      </c>
      <c r="Z181" s="34">
        <v>84902</v>
      </c>
      <c r="AA181" s="34">
        <v>1757408</v>
      </c>
      <c r="AB181" s="34">
        <v>1055008</v>
      </c>
      <c r="AC181" s="34">
        <v>702400</v>
      </c>
    </row>
    <row r="182" spans="1:29" x14ac:dyDescent="0.25">
      <c r="A182" s="31" t="s">
        <v>174</v>
      </c>
      <c r="B182" s="31" t="s">
        <v>733</v>
      </c>
      <c r="C182" s="31" t="s">
        <v>191</v>
      </c>
      <c r="D182" s="31" t="s">
        <v>584</v>
      </c>
      <c r="E182" s="32">
        <v>5621.51</v>
      </c>
      <c r="F182" s="33">
        <v>30773.9</v>
      </c>
      <c r="G182" s="32">
        <v>36395.410000000003</v>
      </c>
      <c r="H182" s="32">
        <v>0</v>
      </c>
      <c r="I182" s="34">
        <v>2593</v>
      </c>
      <c r="J182" s="33">
        <v>46</v>
      </c>
      <c r="K182" s="34">
        <v>33321</v>
      </c>
      <c r="L182" s="32">
        <v>325.88</v>
      </c>
      <c r="M182" s="32">
        <v>62.04</v>
      </c>
      <c r="N182" s="32">
        <v>68.150000000000006</v>
      </c>
      <c r="O182" s="32">
        <v>27.75</v>
      </c>
      <c r="P182" s="32">
        <v>3.48</v>
      </c>
      <c r="Q182" s="34">
        <v>11860536</v>
      </c>
      <c r="R182" s="34">
        <v>0</v>
      </c>
      <c r="S182" s="34">
        <v>11860536</v>
      </c>
      <c r="T182" s="34">
        <v>2067235</v>
      </c>
      <c r="U182" s="34">
        <v>2270826</v>
      </c>
      <c r="V182" s="34">
        <v>0</v>
      </c>
      <c r="W182" s="34">
        <v>1009973</v>
      </c>
      <c r="X182" s="34">
        <v>126656</v>
      </c>
      <c r="Y182" s="34">
        <v>17335226</v>
      </c>
      <c r="Z182" s="34">
        <v>1977056</v>
      </c>
      <c r="AA182" s="34">
        <v>15358170</v>
      </c>
      <c r="AB182" s="34">
        <v>8767961</v>
      </c>
      <c r="AC182" s="34">
        <v>6590209</v>
      </c>
    </row>
    <row r="183" spans="1:29" x14ac:dyDescent="0.25">
      <c r="A183" s="31" t="s">
        <v>174</v>
      </c>
      <c r="B183" s="31" t="s">
        <v>733</v>
      </c>
      <c r="C183" s="31" t="s">
        <v>192</v>
      </c>
      <c r="D183" s="31" t="s">
        <v>585</v>
      </c>
      <c r="E183" s="32">
        <v>41.49</v>
      </c>
      <c r="F183" s="33">
        <v>562.29999999999995</v>
      </c>
      <c r="G183" s="32">
        <v>603.79</v>
      </c>
      <c r="H183" s="32">
        <v>0</v>
      </c>
      <c r="I183" s="34">
        <v>6</v>
      </c>
      <c r="J183" s="33">
        <v>0</v>
      </c>
      <c r="K183" s="34">
        <v>568</v>
      </c>
      <c r="L183" s="32">
        <v>325.88</v>
      </c>
      <c r="M183" s="32">
        <v>62.04</v>
      </c>
      <c r="N183" s="32">
        <v>68.150000000000006</v>
      </c>
      <c r="O183" s="32">
        <v>27.75</v>
      </c>
      <c r="P183" s="32">
        <v>3.48</v>
      </c>
      <c r="Q183" s="34">
        <v>196763</v>
      </c>
      <c r="R183" s="34">
        <v>0</v>
      </c>
      <c r="S183" s="34">
        <v>196763</v>
      </c>
      <c r="T183" s="34">
        <v>35239</v>
      </c>
      <c r="U183" s="34">
        <v>38709</v>
      </c>
      <c r="V183" s="34">
        <v>0</v>
      </c>
      <c r="W183" s="34">
        <v>16755</v>
      </c>
      <c r="X183" s="34">
        <v>2101</v>
      </c>
      <c r="Y183" s="34">
        <v>289567</v>
      </c>
      <c r="Z183" s="34">
        <v>30098</v>
      </c>
      <c r="AA183" s="34">
        <v>259469</v>
      </c>
      <c r="AB183" s="34">
        <v>148159</v>
      </c>
      <c r="AC183" s="34">
        <v>111310</v>
      </c>
    </row>
    <row r="184" spans="1:29" x14ac:dyDescent="0.25">
      <c r="A184" s="31" t="s">
        <v>174</v>
      </c>
      <c r="B184" s="31" t="s">
        <v>733</v>
      </c>
      <c r="C184" s="31" t="s">
        <v>193</v>
      </c>
      <c r="D184" s="31" t="s">
        <v>586</v>
      </c>
      <c r="E184" s="32">
        <v>56.76</v>
      </c>
      <c r="F184" s="33">
        <v>426.5</v>
      </c>
      <c r="G184" s="32">
        <v>483.26</v>
      </c>
      <c r="H184" s="32">
        <v>0</v>
      </c>
      <c r="I184" s="34">
        <v>0</v>
      </c>
      <c r="J184" s="33">
        <v>0</v>
      </c>
      <c r="K184" s="34">
        <v>427</v>
      </c>
      <c r="L184" s="32">
        <v>325.88</v>
      </c>
      <c r="M184" s="32">
        <v>62.04</v>
      </c>
      <c r="N184" s="32">
        <v>68.150000000000006</v>
      </c>
      <c r="O184" s="32">
        <v>27.75</v>
      </c>
      <c r="P184" s="32">
        <v>3.48</v>
      </c>
      <c r="Q184" s="34">
        <v>157485</v>
      </c>
      <c r="R184" s="34">
        <v>0</v>
      </c>
      <c r="S184" s="34">
        <v>157485</v>
      </c>
      <c r="T184" s="34">
        <v>26491</v>
      </c>
      <c r="U184" s="34">
        <v>29100</v>
      </c>
      <c r="V184" s="34">
        <v>0</v>
      </c>
      <c r="W184" s="34">
        <v>13410</v>
      </c>
      <c r="X184" s="34">
        <v>1682</v>
      </c>
      <c r="Y184" s="34">
        <v>228168</v>
      </c>
      <c r="Z184" s="34">
        <v>38965</v>
      </c>
      <c r="AA184" s="34">
        <v>189203</v>
      </c>
      <c r="AB184" s="34">
        <v>103708</v>
      </c>
      <c r="AC184" s="34">
        <v>85495</v>
      </c>
    </row>
    <row r="185" spans="1:29" x14ac:dyDescent="0.25">
      <c r="A185" s="31" t="s">
        <v>174</v>
      </c>
      <c r="B185" s="31" t="s">
        <v>733</v>
      </c>
      <c r="C185" s="31" t="s">
        <v>194</v>
      </c>
      <c r="D185" s="31" t="s">
        <v>587</v>
      </c>
      <c r="E185" s="32">
        <v>114.28</v>
      </c>
      <c r="F185" s="33">
        <v>1586.7</v>
      </c>
      <c r="G185" s="32">
        <v>1700.98</v>
      </c>
      <c r="H185" s="32">
        <v>0</v>
      </c>
      <c r="I185" s="34">
        <v>38</v>
      </c>
      <c r="J185" s="33">
        <v>0</v>
      </c>
      <c r="K185" s="34">
        <v>1625</v>
      </c>
      <c r="L185" s="32">
        <v>325.88</v>
      </c>
      <c r="M185" s="32">
        <v>62.04</v>
      </c>
      <c r="N185" s="32">
        <v>68.150000000000006</v>
      </c>
      <c r="O185" s="32">
        <v>27.75</v>
      </c>
      <c r="P185" s="32">
        <v>3.48</v>
      </c>
      <c r="Q185" s="34">
        <v>554315</v>
      </c>
      <c r="R185" s="34">
        <v>0</v>
      </c>
      <c r="S185" s="34">
        <v>554315</v>
      </c>
      <c r="T185" s="34">
        <v>100815</v>
      </c>
      <c r="U185" s="34">
        <v>110744</v>
      </c>
      <c r="V185" s="34">
        <v>0</v>
      </c>
      <c r="W185" s="34">
        <v>47202</v>
      </c>
      <c r="X185" s="34">
        <v>5919</v>
      </c>
      <c r="Y185" s="34">
        <v>818995</v>
      </c>
      <c r="Z185" s="34">
        <v>51243</v>
      </c>
      <c r="AA185" s="34">
        <v>767752</v>
      </c>
      <c r="AB185" s="34">
        <v>450937</v>
      </c>
      <c r="AC185" s="34">
        <v>316815</v>
      </c>
    </row>
    <row r="186" spans="1:29" x14ac:dyDescent="0.25">
      <c r="A186" s="31" t="s">
        <v>174</v>
      </c>
      <c r="B186" s="31" t="s">
        <v>733</v>
      </c>
      <c r="C186" s="31" t="s">
        <v>195</v>
      </c>
      <c r="D186" s="31" t="s">
        <v>588</v>
      </c>
      <c r="E186" s="32">
        <v>35.04</v>
      </c>
      <c r="F186" s="33">
        <v>296</v>
      </c>
      <c r="G186" s="32">
        <v>331.04</v>
      </c>
      <c r="H186" s="32">
        <v>0</v>
      </c>
      <c r="I186" s="34">
        <v>8</v>
      </c>
      <c r="J186" s="33">
        <v>0</v>
      </c>
      <c r="K186" s="34">
        <v>304</v>
      </c>
      <c r="L186" s="32">
        <v>325.88</v>
      </c>
      <c r="M186" s="32">
        <v>62.04</v>
      </c>
      <c r="N186" s="32">
        <v>68.150000000000006</v>
      </c>
      <c r="O186" s="32">
        <v>27.75</v>
      </c>
      <c r="P186" s="32">
        <v>3.48</v>
      </c>
      <c r="Q186" s="34">
        <v>107879</v>
      </c>
      <c r="R186" s="34">
        <v>0</v>
      </c>
      <c r="S186" s="34">
        <v>107879</v>
      </c>
      <c r="T186" s="34">
        <v>18860</v>
      </c>
      <c r="U186" s="34">
        <v>20718</v>
      </c>
      <c r="V186" s="34">
        <v>0</v>
      </c>
      <c r="W186" s="34">
        <v>9186</v>
      </c>
      <c r="X186" s="34">
        <v>1152</v>
      </c>
      <c r="Y186" s="34">
        <v>157795</v>
      </c>
      <c r="Z186" s="34">
        <v>22889</v>
      </c>
      <c r="AA186" s="34">
        <v>134906</v>
      </c>
      <c r="AB186" s="34">
        <v>74844</v>
      </c>
      <c r="AC186" s="34">
        <v>60062</v>
      </c>
    </row>
    <row r="187" spans="1:29" x14ac:dyDescent="0.25">
      <c r="A187" s="31" t="s">
        <v>174</v>
      </c>
      <c r="B187" s="31" t="s">
        <v>733</v>
      </c>
      <c r="C187" s="31" t="s">
        <v>196</v>
      </c>
      <c r="D187" s="31" t="s">
        <v>589</v>
      </c>
      <c r="E187" s="32">
        <v>37.729999999999997</v>
      </c>
      <c r="F187" s="33">
        <v>400.1</v>
      </c>
      <c r="G187" s="32">
        <v>437.83</v>
      </c>
      <c r="H187" s="32">
        <v>0</v>
      </c>
      <c r="I187" s="34">
        <v>0</v>
      </c>
      <c r="J187" s="33">
        <v>0</v>
      </c>
      <c r="K187" s="34">
        <v>400</v>
      </c>
      <c r="L187" s="32">
        <v>325.88</v>
      </c>
      <c r="M187" s="32">
        <v>62.04</v>
      </c>
      <c r="N187" s="32">
        <v>68.150000000000006</v>
      </c>
      <c r="O187" s="32">
        <v>27.75</v>
      </c>
      <c r="P187" s="32">
        <v>3.48</v>
      </c>
      <c r="Q187" s="34">
        <v>142680</v>
      </c>
      <c r="R187" s="34">
        <v>7200</v>
      </c>
      <c r="S187" s="34">
        <v>149880</v>
      </c>
      <c r="T187" s="34">
        <v>24816</v>
      </c>
      <c r="U187" s="34">
        <v>27260</v>
      </c>
      <c r="V187" s="34">
        <v>0</v>
      </c>
      <c r="W187" s="34">
        <v>12150</v>
      </c>
      <c r="X187" s="34">
        <v>1524</v>
      </c>
      <c r="Y187" s="34">
        <v>215630</v>
      </c>
      <c r="Z187" s="34">
        <v>28487</v>
      </c>
      <c r="AA187" s="34">
        <v>187143</v>
      </c>
      <c r="AB187" s="34">
        <v>100774</v>
      </c>
      <c r="AC187" s="34">
        <v>86369</v>
      </c>
    </row>
    <row r="188" spans="1:29" x14ac:dyDescent="0.25">
      <c r="A188" s="31" t="s">
        <v>174</v>
      </c>
      <c r="B188" s="31" t="s">
        <v>733</v>
      </c>
      <c r="C188" s="31" t="s">
        <v>197</v>
      </c>
      <c r="D188" s="31" t="s">
        <v>590</v>
      </c>
      <c r="E188" s="32">
        <v>480.65</v>
      </c>
      <c r="F188" s="33">
        <v>3436.6</v>
      </c>
      <c r="G188" s="32">
        <v>3917.25</v>
      </c>
      <c r="H188" s="32">
        <v>0</v>
      </c>
      <c r="I188" s="34">
        <v>7</v>
      </c>
      <c r="J188" s="33">
        <v>0</v>
      </c>
      <c r="K188" s="34">
        <v>3444</v>
      </c>
      <c r="L188" s="32">
        <v>325.88</v>
      </c>
      <c r="M188" s="32">
        <v>62.04</v>
      </c>
      <c r="N188" s="32">
        <v>68.150000000000006</v>
      </c>
      <c r="O188" s="32">
        <v>27.75</v>
      </c>
      <c r="P188" s="32">
        <v>3.48</v>
      </c>
      <c r="Q188" s="34">
        <v>1276553</v>
      </c>
      <c r="R188" s="34">
        <v>0</v>
      </c>
      <c r="S188" s="34">
        <v>1276553</v>
      </c>
      <c r="T188" s="34">
        <v>213666</v>
      </c>
      <c r="U188" s="34">
        <v>234709</v>
      </c>
      <c r="V188" s="34">
        <v>0</v>
      </c>
      <c r="W188" s="34">
        <v>108704</v>
      </c>
      <c r="X188" s="34">
        <v>13632</v>
      </c>
      <c r="Y188" s="34">
        <v>1847264</v>
      </c>
      <c r="Z188" s="34">
        <v>182723</v>
      </c>
      <c r="AA188" s="34">
        <v>1664541</v>
      </c>
      <c r="AB188" s="34">
        <v>973767</v>
      </c>
      <c r="AC188" s="34">
        <v>690774</v>
      </c>
    </row>
    <row r="189" spans="1:29" x14ac:dyDescent="0.25">
      <c r="A189" s="31" t="s">
        <v>174</v>
      </c>
      <c r="B189" s="31" t="s">
        <v>733</v>
      </c>
      <c r="C189" s="31" t="s">
        <v>198</v>
      </c>
      <c r="D189" s="31" t="s">
        <v>591</v>
      </c>
      <c r="E189" s="32">
        <v>89.97</v>
      </c>
      <c r="F189" s="33">
        <v>838.8</v>
      </c>
      <c r="G189" s="32">
        <v>928.77</v>
      </c>
      <c r="H189" s="32">
        <v>0</v>
      </c>
      <c r="I189" s="34">
        <v>8</v>
      </c>
      <c r="J189" s="33">
        <v>0</v>
      </c>
      <c r="K189" s="34">
        <v>847</v>
      </c>
      <c r="L189" s="32">
        <v>325.88</v>
      </c>
      <c r="M189" s="32">
        <v>62.04</v>
      </c>
      <c r="N189" s="32">
        <v>68.150000000000006</v>
      </c>
      <c r="O189" s="32">
        <v>27.75</v>
      </c>
      <c r="P189" s="32">
        <v>3.48</v>
      </c>
      <c r="Q189" s="34">
        <v>302668</v>
      </c>
      <c r="R189" s="34">
        <v>0</v>
      </c>
      <c r="S189" s="34">
        <v>302668</v>
      </c>
      <c r="T189" s="34">
        <v>52548</v>
      </c>
      <c r="U189" s="34">
        <v>57723</v>
      </c>
      <c r="V189" s="34">
        <v>0</v>
      </c>
      <c r="W189" s="34">
        <v>25773</v>
      </c>
      <c r="X189" s="34">
        <v>3232</v>
      </c>
      <c r="Y189" s="34">
        <v>441944</v>
      </c>
      <c r="Z189" s="34">
        <v>44215</v>
      </c>
      <c r="AA189" s="34">
        <v>397729</v>
      </c>
      <c r="AB189" s="34">
        <v>229985</v>
      </c>
      <c r="AC189" s="34">
        <v>167744</v>
      </c>
    </row>
    <row r="190" spans="1:29" x14ac:dyDescent="0.25">
      <c r="A190" s="31" t="s">
        <v>174</v>
      </c>
      <c r="B190" s="31" t="s">
        <v>733</v>
      </c>
      <c r="C190" s="31" t="s">
        <v>199</v>
      </c>
      <c r="D190" s="31" t="s">
        <v>592</v>
      </c>
      <c r="E190" s="32">
        <v>801.57</v>
      </c>
      <c r="F190" s="33">
        <v>6984.8</v>
      </c>
      <c r="G190" s="32">
        <v>7786.37</v>
      </c>
      <c r="H190" s="32">
        <v>0</v>
      </c>
      <c r="I190" s="34">
        <v>423</v>
      </c>
      <c r="J190" s="33">
        <v>0</v>
      </c>
      <c r="K190" s="34">
        <v>7408</v>
      </c>
      <c r="L190" s="32">
        <v>325.88</v>
      </c>
      <c r="M190" s="32">
        <v>62.04</v>
      </c>
      <c r="N190" s="32">
        <v>68.150000000000006</v>
      </c>
      <c r="O190" s="32">
        <v>27.75</v>
      </c>
      <c r="P190" s="32">
        <v>3.48</v>
      </c>
      <c r="Q190" s="34">
        <v>2537422</v>
      </c>
      <c r="R190" s="34">
        <v>0</v>
      </c>
      <c r="S190" s="34">
        <v>2537422</v>
      </c>
      <c r="T190" s="34">
        <v>459592</v>
      </c>
      <c r="U190" s="34">
        <v>504855</v>
      </c>
      <c r="V190" s="34">
        <v>0</v>
      </c>
      <c r="W190" s="34">
        <v>216072</v>
      </c>
      <c r="X190" s="34">
        <v>27097</v>
      </c>
      <c r="Y190" s="34">
        <v>3745038</v>
      </c>
      <c r="Z190" s="34">
        <v>236604</v>
      </c>
      <c r="AA190" s="34">
        <v>3508434</v>
      </c>
      <c r="AB190" s="34">
        <v>2062167</v>
      </c>
      <c r="AC190" s="34">
        <v>1446267</v>
      </c>
    </row>
    <row r="191" spans="1:29" x14ac:dyDescent="0.25">
      <c r="A191" s="31" t="s">
        <v>174</v>
      </c>
      <c r="B191" s="31" t="s">
        <v>733</v>
      </c>
      <c r="C191" s="31" t="s">
        <v>200</v>
      </c>
      <c r="D191" s="31" t="s">
        <v>593</v>
      </c>
      <c r="E191" s="32">
        <v>225.62</v>
      </c>
      <c r="F191" s="33">
        <v>1761.2</v>
      </c>
      <c r="G191" s="32">
        <v>1986.82</v>
      </c>
      <c r="H191" s="32">
        <v>0</v>
      </c>
      <c r="I191" s="34">
        <v>11</v>
      </c>
      <c r="J191" s="33">
        <v>0</v>
      </c>
      <c r="K191" s="34">
        <v>1772</v>
      </c>
      <c r="L191" s="32">
        <v>325.88</v>
      </c>
      <c r="M191" s="32">
        <v>62.04</v>
      </c>
      <c r="N191" s="32">
        <v>68.150000000000006</v>
      </c>
      <c r="O191" s="32">
        <v>27.75</v>
      </c>
      <c r="P191" s="32">
        <v>3.48</v>
      </c>
      <c r="Q191" s="34">
        <v>647465</v>
      </c>
      <c r="R191" s="34">
        <v>0</v>
      </c>
      <c r="S191" s="34">
        <v>647465</v>
      </c>
      <c r="T191" s="34">
        <v>109935</v>
      </c>
      <c r="U191" s="34">
        <v>120762</v>
      </c>
      <c r="V191" s="34">
        <v>0</v>
      </c>
      <c r="W191" s="34">
        <v>55134</v>
      </c>
      <c r="X191" s="34">
        <v>6914</v>
      </c>
      <c r="Y191" s="34">
        <v>940210</v>
      </c>
      <c r="Z191" s="34">
        <v>117698</v>
      </c>
      <c r="AA191" s="34">
        <v>822512</v>
      </c>
      <c r="AB191" s="34">
        <v>468870</v>
      </c>
      <c r="AC191" s="34">
        <v>353642</v>
      </c>
    </row>
    <row r="192" spans="1:29" x14ac:dyDescent="0.25">
      <c r="A192" s="31" t="s">
        <v>174</v>
      </c>
      <c r="B192" s="31" t="s">
        <v>733</v>
      </c>
      <c r="C192" s="31" t="s">
        <v>201</v>
      </c>
      <c r="D192" s="31" t="s">
        <v>594</v>
      </c>
      <c r="E192" s="32">
        <v>57.19</v>
      </c>
      <c r="F192" s="33">
        <v>450</v>
      </c>
      <c r="G192" s="32">
        <v>507.19</v>
      </c>
      <c r="H192" s="32">
        <v>0</v>
      </c>
      <c r="I192" s="34">
        <v>70</v>
      </c>
      <c r="J192" s="33">
        <v>0</v>
      </c>
      <c r="K192" s="34">
        <v>520</v>
      </c>
      <c r="L192" s="32">
        <v>325.88</v>
      </c>
      <c r="M192" s="32">
        <v>62.04</v>
      </c>
      <c r="N192" s="32">
        <v>68.150000000000006</v>
      </c>
      <c r="O192" s="32">
        <v>27.75</v>
      </c>
      <c r="P192" s="32">
        <v>3.48</v>
      </c>
      <c r="Q192" s="34">
        <v>165283</v>
      </c>
      <c r="R192" s="34">
        <v>0</v>
      </c>
      <c r="S192" s="34">
        <v>165283</v>
      </c>
      <c r="T192" s="34">
        <v>32261</v>
      </c>
      <c r="U192" s="34">
        <v>35438</v>
      </c>
      <c r="V192" s="34">
        <v>0</v>
      </c>
      <c r="W192" s="34">
        <v>14075</v>
      </c>
      <c r="X192" s="34">
        <v>1765</v>
      </c>
      <c r="Y192" s="34">
        <v>248822</v>
      </c>
      <c r="Z192" s="34">
        <v>30484</v>
      </c>
      <c r="AA192" s="34">
        <v>218338</v>
      </c>
      <c r="AB192" s="34">
        <v>119254</v>
      </c>
      <c r="AC192" s="34">
        <v>99084</v>
      </c>
    </row>
    <row r="193" spans="1:29" x14ac:dyDescent="0.25">
      <c r="A193" s="31" t="s">
        <v>174</v>
      </c>
      <c r="B193" s="31" t="s">
        <v>733</v>
      </c>
      <c r="C193" s="31" t="s">
        <v>202</v>
      </c>
      <c r="D193" s="31" t="s">
        <v>595</v>
      </c>
      <c r="E193" s="32">
        <v>84.29</v>
      </c>
      <c r="F193" s="33">
        <v>670</v>
      </c>
      <c r="G193" s="32">
        <v>754.29</v>
      </c>
      <c r="H193" s="32">
        <v>0</v>
      </c>
      <c r="I193" s="34">
        <v>0</v>
      </c>
      <c r="J193" s="33">
        <v>0</v>
      </c>
      <c r="K193" s="34">
        <v>670</v>
      </c>
      <c r="L193" s="32">
        <v>325.88</v>
      </c>
      <c r="M193" s="32">
        <v>62.04</v>
      </c>
      <c r="N193" s="32">
        <v>68.150000000000006</v>
      </c>
      <c r="O193" s="32">
        <v>27.75</v>
      </c>
      <c r="P193" s="32">
        <v>3.48</v>
      </c>
      <c r="Q193" s="34">
        <v>245808</v>
      </c>
      <c r="R193" s="34">
        <v>0</v>
      </c>
      <c r="S193" s="34">
        <v>245808</v>
      </c>
      <c r="T193" s="34">
        <v>41567</v>
      </c>
      <c r="U193" s="34">
        <v>45661</v>
      </c>
      <c r="V193" s="34">
        <v>0</v>
      </c>
      <c r="W193" s="34">
        <v>20932</v>
      </c>
      <c r="X193" s="34">
        <v>2625</v>
      </c>
      <c r="Y193" s="34">
        <v>356593</v>
      </c>
      <c r="Z193" s="34">
        <v>33847</v>
      </c>
      <c r="AA193" s="34">
        <v>322746</v>
      </c>
      <c r="AB193" s="34">
        <v>188843</v>
      </c>
      <c r="AC193" s="34">
        <v>133903</v>
      </c>
    </row>
    <row r="194" spans="1:29" x14ac:dyDescent="0.25">
      <c r="A194" s="31" t="s">
        <v>174</v>
      </c>
      <c r="B194" s="31" t="s">
        <v>733</v>
      </c>
      <c r="C194" s="31" t="s">
        <v>203</v>
      </c>
      <c r="D194" s="31" t="s">
        <v>596</v>
      </c>
      <c r="E194" s="32">
        <v>38.42</v>
      </c>
      <c r="F194" s="33">
        <v>511.4</v>
      </c>
      <c r="G194" s="32">
        <v>549.82000000000005</v>
      </c>
      <c r="H194" s="32">
        <v>0</v>
      </c>
      <c r="I194" s="34">
        <v>29</v>
      </c>
      <c r="J194" s="33">
        <v>0</v>
      </c>
      <c r="K194" s="34">
        <v>540</v>
      </c>
      <c r="L194" s="32">
        <v>325.88</v>
      </c>
      <c r="M194" s="32">
        <v>62.04</v>
      </c>
      <c r="N194" s="32">
        <v>68.150000000000006</v>
      </c>
      <c r="O194" s="32">
        <v>27.75</v>
      </c>
      <c r="P194" s="32">
        <v>3.48</v>
      </c>
      <c r="Q194" s="34">
        <v>179175</v>
      </c>
      <c r="R194" s="34">
        <v>0</v>
      </c>
      <c r="S194" s="34">
        <v>179175</v>
      </c>
      <c r="T194" s="34">
        <v>33502</v>
      </c>
      <c r="U194" s="34">
        <v>36801</v>
      </c>
      <c r="V194" s="34">
        <v>0</v>
      </c>
      <c r="W194" s="34">
        <v>15258</v>
      </c>
      <c r="X194" s="34">
        <v>1913</v>
      </c>
      <c r="Y194" s="34">
        <v>266649</v>
      </c>
      <c r="Z194" s="34">
        <v>30099</v>
      </c>
      <c r="AA194" s="34">
        <v>236550</v>
      </c>
      <c r="AB194" s="34">
        <v>132224</v>
      </c>
      <c r="AC194" s="34">
        <v>104326</v>
      </c>
    </row>
    <row r="195" spans="1:29" x14ac:dyDescent="0.25">
      <c r="A195" s="31" t="s">
        <v>174</v>
      </c>
      <c r="B195" s="31" t="s">
        <v>733</v>
      </c>
      <c r="C195" s="31" t="s">
        <v>204</v>
      </c>
      <c r="D195" s="31" t="s">
        <v>597</v>
      </c>
      <c r="E195" s="32">
        <v>33.76</v>
      </c>
      <c r="F195" s="33">
        <v>307.7</v>
      </c>
      <c r="G195" s="32">
        <v>341.46</v>
      </c>
      <c r="H195" s="32">
        <v>0</v>
      </c>
      <c r="I195" s="34">
        <v>0</v>
      </c>
      <c r="J195" s="33">
        <v>0</v>
      </c>
      <c r="K195" s="34">
        <v>308</v>
      </c>
      <c r="L195" s="32">
        <v>325.88</v>
      </c>
      <c r="M195" s="32">
        <v>62.04</v>
      </c>
      <c r="N195" s="32">
        <v>68.150000000000006</v>
      </c>
      <c r="O195" s="32">
        <v>27.75</v>
      </c>
      <c r="P195" s="32">
        <v>3.48</v>
      </c>
      <c r="Q195" s="34">
        <v>111275</v>
      </c>
      <c r="R195" s="34">
        <v>5630</v>
      </c>
      <c r="S195" s="34">
        <v>116905</v>
      </c>
      <c r="T195" s="34">
        <v>19108</v>
      </c>
      <c r="U195" s="34">
        <v>20990</v>
      </c>
      <c r="V195" s="34">
        <v>0</v>
      </c>
      <c r="W195" s="34">
        <v>9489</v>
      </c>
      <c r="X195" s="34">
        <v>1192</v>
      </c>
      <c r="Y195" s="34">
        <v>167684</v>
      </c>
      <c r="Z195" s="34">
        <v>27349</v>
      </c>
      <c r="AA195" s="34">
        <v>140335</v>
      </c>
      <c r="AB195" s="34">
        <v>73477</v>
      </c>
      <c r="AC195" s="34">
        <v>66858</v>
      </c>
    </row>
    <row r="196" spans="1:29" x14ac:dyDescent="0.25">
      <c r="A196" s="31" t="s">
        <v>174</v>
      </c>
      <c r="B196" s="31" t="s">
        <v>733</v>
      </c>
      <c r="C196" s="31" t="s">
        <v>205</v>
      </c>
      <c r="D196" s="31" t="s">
        <v>598</v>
      </c>
      <c r="E196" s="32">
        <v>158.55000000000001</v>
      </c>
      <c r="F196" s="33">
        <v>1399.4</v>
      </c>
      <c r="G196" s="32">
        <v>1557.95</v>
      </c>
      <c r="H196" s="32">
        <v>0</v>
      </c>
      <c r="I196" s="34">
        <v>4</v>
      </c>
      <c r="J196" s="33">
        <v>0</v>
      </c>
      <c r="K196" s="34">
        <v>1403</v>
      </c>
      <c r="L196" s="32">
        <v>325.88</v>
      </c>
      <c r="M196" s="32">
        <v>62.04</v>
      </c>
      <c r="N196" s="32">
        <v>68.150000000000006</v>
      </c>
      <c r="O196" s="32">
        <v>27.75</v>
      </c>
      <c r="P196" s="32">
        <v>3.48</v>
      </c>
      <c r="Q196" s="34">
        <v>507705</v>
      </c>
      <c r="R196" s="34">
        <v>0</v>
      </c>
      <c r="S196" s="34">
        <v>507705</v>
      </c>
      <c r="T196" s="34">
        <v>87042</v>
      </c>
      <c r="U196" s="34">
        <v>95614</v>
      </c>
      <c r="V196" s="34">
        <v>0</v>
      </c>
      <c r="W196" s="34">
        <v>43233</v>
      </c>
      <c r="X196" s="34">
        <v>5422</v>
      </c>
      <c r="Y196" s="34">
        <v>739016</v>
      </c>
      <c r="Z196" s="34">
        <v>90675</v>
      </c>
      <c r="AA196" s="34">
        <v>648341</v>
      </c>
      <c r="AB196" s="34">
        <v>369279</v>
      </c>
      <c r="AC196" s="34">
        <v>279062</v>
      </c>
    </row>
    <row r="197" spans="1:29" x14ac:dyDescent="0.25">
      <c r="A197" s="31" t="s">
        <v>174</v>
      </c>
      <c r="B197" s="31" t="s">
        <v>733</v>
      </c>
      <c r="C197" s="31" t="s">
        <v>206</v>
      </c>
      <c r="D197" s="31" t="s">
        <v>599</v>
      </c>
      <c r="E197" s="32">
        <v>538.4</v>
      </c>
      <c r="F197" s="33">
        <v>2957.6</v>
      </c>
      <c r="G197" s="32">
        <v>3496</v>
      </c>
      <c r="H197" s="32">
        <v>0</v>
      </c>
      <c r="I197" s="34">
        <v>92</v>
      </c>
      <c r="J197" s="33">
        <v>0.2</v>
      </c>
      <c r="K197" s="34">
        <v>3049</v>
      </c>
      <c r="L197" s="32">
        <v>325.88</v>
      </c>
      <c r="M197" s="32">
        <v>62.04</v>
      </c>
      <c r="N197" s="32">
        <v>68.150000000000006</v>
      </c>
      <c r="O197" s="32">
        <v>27.75</v>
      </c>
      <c r="P197" s="32">
        <v>3.48</v>
      </c>
      <c r="Q197" s="34">
        <v>1139276</v>
      </c>
      <c r="R197" s="34">
        <v>0</v>
      </c>
      <c r="S197" s="34">
        <v>1139276</v>
      </c>
      <c r="T197" s="34">
        <v>189160</v>
      </c>
      <c r="U197" s="34">
        <v>207789</v>
      </c>
      <c r="V197" s="34">
        <v>0</v>
      </c>
      <c r="W197" s="34">
        <v>97014</v>
      </c>
      <c r="X197" s="34">
        <v>12166</v>
      </c>
      <c r="Y197" s="34">
        <v>1645405</v>
      </c>
      <c r="Z197" s="34">
        <v>203383</v>
      </c>
      <c r="AA197" s="34">
        <v>1442022</v>
      </c>
      <c r="AB197" s="34">
        <v>828741</v>
      </c>
      <c r="AC197" s="34">
        <v>613281</v>
      </c>
    </row>
    <row r="198" spans="1:29" x14ac:dyDescent="0.25">
      <c r="A198" s="31" t="s">
        <v>174</v>
      </c>
      <c r="B198" s="31" t="s">
        <v>733</v>
      </c>
      <c r="C198" s="31" t="s">
        <v>207</v>
      </c>
      <c r="D198" s="31" t="s">
        <v>600</v>
      </c>
      <c r="E198" s="32">
        <v>156.16</v>
      </c>
      <c r="F198" s="33">
        <v>2093.1</v>
      </c>
      <c r="G198" s="32">
        <v>2249.2600000000002</v>
      </c>
      <c r="H198" s="32">
        <v>0</v>
      </c>
      <c r="I198" s="34">
        <v>29</v>
      </c>
      <c r="J198" s="33">
        <v>0</v>
      </c>
      <c r="K198" s="34">
        <v>2122</v>
      </c>
      <c r="L198" s="32">
        <v>325.88</v>
      </c>
      <c r="M198" s="32">
        <v>62.04</v>
      </c>
      <c r="N198" s="32">
        <v>68.150000000000006</v>
      </c>
      <c r="O198" s="32">
        <v>27.75</v>
      </c>
      <c r="P198" s="32">
        <v>3.48</v>
      </c>
      <c r="Q198" s="34">
        <v>732989</v>
      </c>
      <c r="R198" s="34">
        <v>0</v>
      </c>
      <c r="S198" s="34">
        <v>732989</v>
      </c>
      <c r="T198" s="34">
        <v>131649</v>
      </c>
      <c r="U198" s="34">
        <v>144614</v>
      </c>
      <c r="V198" s="34">
        <v>0</v>
      </c>
      <c r="W198" s="34">
        <v>62417</v>
      </c>
      <c r="X198" s="34">
        <v>7827</v>
      </c>
      <c r="Y198" s="34">
        <v>1079496</v>
      </c>
      <c r="Z198" s="34">
        <v>52568</v>
      </c>
      <c r="AA198" s="34">
        <v>1026928</v>
      </c>
      <c r="AB198" s="34">
        <v>611481</v>
      </c>
      <c r="AC198" s="34">
        <v>415447</v>
      </c>
    </row>
    <row r="199" spans="1:29" x14ac:dyDescent="0.25">
      <c r="A199" s="31" t="s">
        <v>174</v>
      </c>
      <c r="B199" s="31" t="s">
        <v>733</v>
      </c>
      <c r="C199" s="31" t="s">
        <v>208</v>
      </c>
      <c r="D199" s="31" t="s">
        <v>601</v>
      </c>
      <c r="E199" s="32">
        <v>405.69</v>
      </c>
      <c r="F199" s="33">
        <v>3425.3</v>
      </c>
      <c r="G199" s="32">
        <v>3830.99</v>
      </c>
      <c r="H199" s="32">
        <v>0</v>
      </c>
      <c r="I199" s="34">
        <v>87</v>
      </c>
      <c r="J199" s="33">
        <v>0</v>
      </c>
      <c r="K199" s="34">
        <v>3512</v>
      </c>
      <c r="L199" s="32">
        <v>325.88</v>
      </c>
      <c r="M199" s="32">
        <v>62.04</v>
      </c>
      <c r="N199" s="32">
        <v>68.150000000000006</v>
      </c>
      <c r="O199" s="32">
        <v>27.75</v>
      </c>
      <c r="P199" s="32">
        <v>3.48</v>
      </c>
      <c r="Q199" s="34">
        <v>1248443</v>
      </c>
      <c r="R199" s="34">
        <v>0</v>
      </c>
      <c r="S199" s="34">
        <v>1248443</v>
      </c>
      <c r="T199" s="34">
        <v>217884</v>
      </c>
      <c r="U199" s="34">
        <v>239343</v>
      </c>
      <c r="V199" s="34">
        <v>0</v>
      </c>
      <c r="W199" s="34">
        <v>106310</v>
      </c>
      <c r="X199" s="34">
        <v>13332</v>
      </c>
      <c r="Y199" s="34">
        <v>1825312</v>
      </c>
      <c r="Z199" s="34">
        <v>125386</v>
      </c>
      <c r="AA199" s="34">
        <v>1699926</v>
      </c>
      <c r="AB199" s="34">
        <v>1005637</v>
      </c>
      <c r="AC199" s="34">
        <v>694289</v>
      </c>
    </row>
    <row r="200" spans="1:29" x14ac:dyDescent="0.25">
      <c r="A200" s="31" t="s">
        <v>174</v>
      </c>
      <c r="B200" s="31" t="s">
        <v>733</v>
      </c>
      <c r="C200" s="31" t="s">
        <v>209</v>
      </c>
      <c r="D200" s="31" t="s">
        <v>602</v>
      </c>
      <c r="E200" s="32">
        <v>49.05</v>
      </c>
      <c r="F200" s="33">
        <v>589.79999999999995</v>
      </c>
      <c r="G200" s="32">
        <v>638.85</v>
      </c>
      <c r="H200" s="32">
        <v>0</v>
      </c>
      <c r="I200" s="34">
        <v>13</v>
      </c>
      <c r="J200" s="33">
        <v>0</v>
      </c>
      <c r="K200" s="34">
        <v>603</v>
      </c>
      <c r="L200" s="32">
        <v>325.88</v>
      </c>
      <c r="M200" s="32">
        <v>62.04</v>
      </c>
      <c r="N200" s="32">
        <v>68.150000000000006</v>
      </c>
      <c r="O200" s="32">
        <v>27.75</v>
      </c>
      <c r="P200" s="32">
        <v>3.48</v>
      </c>
      <c r="Q200" s="34">
        <v>208188</v>
      </c>
      <c r="R200" s="34">
        <v>0</v>
      </c>
      <c r="S200" s="34">
        <v>208188</v>
      </c>
      <c r="T200" s="34">
        <v>37410</v>
      </c>
      <c r="U200" s="34">
        <v>41094</v>
      </c>
      <c r="V200" s="34">
        <v>0</v>
      </c>
      <c r="W200" s="34">
        <v>17728</v>
      </c>
      <c r="X200" s="34">
        <v>2223</v>
      </c>
      <c r="Y200" s="34">
        <v>306643</v>
      </c>
      <c r="Z200" s="34">
        <v>41558</v>
      </c>
      <c r="AA200" s="34">
        <v>265085</v>
      </c>
      <c r="AB200" s="34">
        <v>147049</v>
      </c>
      <c r="AC200" s="34">
        <v>118036</v>
      </c>
    </row>
    <row r="201" spans="1:29" x14ac:dyDescent="0.25">
      <c r="A201" s="31" t="s">
        <v>174</v>
      </c>
      <c r="B201" s="31" t="s">
        <v>733</v>
      </c>
      <c r="C201" s="31" t="s">
        <v>211</v>
      </c>
      <c r="D201" s="31" t="s">
        <v>212</v>
      </c>
      <c r="E201" s="32">
        <v>109.68</v>
      </c>
      <c r="F201" s="33">
        <v>1032.0999999999999</v>
      </c>
      <c r="G201" s="32">
        <v>1141.78</v>
      </c>
      <c r="H201" s="32">
        <v>0</v>
      </c>
      <c r="I201" s="34">
        <v>21</v>
      </c>
      <c r="J201" s="33">
        <v>0</v>
      </c>
      <c r="K201" s="34">
        <v>1053</v>
      </c>
      <c r="L201" s="32">
        <v>325.88</v>
      </c>
      <c r="M201" s="32">
        <v>62.04</v>
      </c>
      <c r="N201" s="32">
        <v>68.150000000000006</v>
      </c>
      <c r="O201" s="32">
        <v>27.75</v>
      </c>
      <c r="P201" s="32">
        <v>3.48</v>
      </c>
      <c r="Q201" s="34">
        <v>372083</v>
      </c>
      <c r="R201" s="34">
        <v>0</v>
      </c>
      <c r="S201" s="34">
        <v>372083</v>
      </c>
      <c r="T201" s="34">
        <v>65328</v>
      </c>
      <c r="U201" s="34">
        <v>71762</v>
      </c>
      <c r="V201" s="34">
        <v>0</v>
      </c>
      <c r="W201" s="34">
        <v>31684</v>
      </c>
      <c r="X201" s="34">
        <v>3973</v>
      </c>
      <c r="Y201" s="34">
        <v>544830</v>
      </c>
      <c r="Z201" s="34">
        <v>58466</v>
      </c>
      <c r="AA201" s="34">
        <v>486364</v>
      </c>
      <c r="AB201" s="34">
        <v>278621</v>
      </c>
      <c r="AC201" s="34">
        <v>207743</v>
      </c>
    </row>
    <row r="202" spans="1:29" x14ac:dyDescent="0.25">
      <c r="A202" s="31" t="s">
        <v>174</v>
      </c>
      <c r="B202" s="31" t="s">
        <v>733</v>
      </c>
      <c r="C202" s="31" t="s">
        <v>210</v>
      </c>
      <c r="D202" s="31" t="s">
        <v>603</v>
      </c>
      <c r="E202" s="32">
        <v>101.49</v>
      </c>
      <c r="F202" s="33">
        <v>642.9</v>
      </c>
      <c r="G202" s="32">
        <v>744.39</v>
      </c>
      <c r="H202" s="32">
        <v>0</v>
      </c>
      <c r="I202" s="34">
        <v>3</v>
      </c>
      <c r="J202" s="33">
        <v>0</v>
      </c>
      <c r="K202" s="34">
        <v>646</v>
      </c>
      <c r="L202" s="32">
        <v>325.88</v>
      </c>
      <c r="M202" s="32">
        <v>62.04</v>
      </c>
      <c r="N202" s="32">
        <v>68.150000000000006</v>
      </c>
      <c r="O202" s="32">
        <v>27.75</v>
      </c>
      <c r="P202" s="32">
        <v>3.48</v>
      </c>
      <c r="Q202" s="34">
        <v>242582</v>
      </c>
      <c r="R202" s="34">
        <v>3428</v>
      </c>
      <c r="S202" s="34">
        <v>246010</v>
      </c>
      <c r="T202" s="34">
        <v>40078</v>
      </c>
      <c r="U202" s="34">
        <v>44025</v>
      </c>
      <c r="V202" s="34">
        <v>0</v>
      </c>
      <c r="W202" s="34">
        <v>20815</v>
      </c>
      <c r="X202" s="34">
        <v>2614</v>
      </c>
      <c r="Y202" s="34">
        <v>353542</v>
      </c>
      <c r="Z202" s="34">
        <v>42913</v>
      </c>
      <c r="AA202" s="34">
        <v>310629</v>
      </c>
      <c r="AB202" s="34">
        <v>177035</v>
      </c>
      <c r="AC202" s="34">
        <v>133594</v>
      </c>
    </row>
    <row r="203" spans="1:29" x14ac:dyDescent="0.25">
      <c r="A203" s="31" t="s">
        <v>174</v>
      </c>
      <c r="B203" s="31" t="s">
        <v>733</v>
      </c>
      <c r="C203" s="31" t="s">
        <v>213</v>
      </c>
      <c r="D203" s="31" t="s">
        <v>604</v>
      </c>
      <c r="E203" s="32">
        <v>217.97</v>
      </c>
      <c r="F203" s="33">
        <v>2179.6999999999998</v>
      </c>
      <c r="G203" s="32">
        <v>2397.67</v>
      </c>
      <c r="H203" s="32">
        <v>0</v>
      </c>
      <c r="I203" s="34">
        <v>562</v>
      </c>
      <c r="J203" s="33">
        <v>1.9</v>
      </c>
      <c r="K203" s="34">
        <v>2740</v>
      </c>
      <c r="L203" s="32">
        <v>325.88</v>
      </c>
      <c r="M203" s="32">
        <v>62.04</v>
      </c>
      <c r="N203" s="32">
        <v>68.150000000000006</v>
      </c>
      <c r="O203" s="32">
        <v>27.75</v>
      </c>
      <c r="P203" s="32">
        <v>3.48</v>
      </c>
      <c r="Q203" s="34">
        <v>781353</v>
      </c>
      <c r="R203" s="34">
        <v>0</v>
      </c>
      <c r="S203" s="34">
        <v>781353</v>
      </c>
      <c r="T203" s="34">
        <v>169990</v>
      </c>
      <c r="U203" s="34">
        <v>186731</v>
      </c>
      <c r="V203" s="34">
        <v>0</v>
      </c>
      <c r="W203" s="34">
        <v>66535</v>
      </c>
      <c r="X203" s="34">
        <v>8344</v>
      </c>
      <c r="Y203" s="34">
        <v>1212953</v>
      </c>
      <c r="Z203" s="34">
        <v>124773</v>
      </c>
      <c r="AA203" s="34">
        <v>1088180</v>
      </c>
      <c r="AB203" s="34">
        <v>583091</v>
      </c>
      <c r="AC203" s="34">
        <v>505089</v>
      </c>
    </row>
    <row r="204" spans="1:29" x14ac:dyDescent="0.25">
      <c r="A204" s="31" t="s">
        <v>174</v>
      </c>
      <c r="B204" s="31" t="s">
        <v>733</v>
      </c>
      <c r="C204" s="31" t="s">
        <v>214</v>
      </c>
      <c r="D204" s="31" t="s">
        <v>605</v>
      </c>
      <c r="E204" s="32">
        <v>273.77</v>
      </c>
      <c r="F204" s="33">
        <v>1854.1</v>
      </c>
      <c r="G204" s="32">
        <v>2127.87</v>
      </c>
      <c r="H204" s="32">
        <v>0</v>
      </c>
      <c r="I204" s="34">
        <v>81</v>
      </c>
      <c r="J204" s="33">
        <v>7.2</v>
      </c>
      <c r="K204" s="34">
        <v>1928</v>
      </c>
      <c r="L204" s="32">
        <v>325.88</v>
      </c>
      <c r="M204" s="32">
        <v>62.04</v>
      </c>
      <c r="N204" s="32">
        <v>68.150000000000006</v>
      </c>
      <c r="O204" s="32">
        <v>27.75</v>
      </c>
      <c r="P204" s="32">
        <v>3.48</v>
      </c>
      <c r="Q204" s="34">
        <v>693430</v>
      </c>
      <c r="R204" s="34">
        <v>0</v>
      </c>
      <c r="S204" s="34">
        <v>693430</v>
      </c>
      <c r="T204" s="34">
        <v>119613</v>
      </c>
      <c r="U204" s="34">
        <v>131393</v>
      </c>
      <c r="V204" s="34">
        <v>0</v>
      </c>
      <c r="W204" s="34">
        <v>59048</v>
      </c>
      <c r="X204" s="34">
        <v>7405</v>
      </c>
      <c r="Y204" s="34">
        <v>1010889</v>
      </c>
      <c r="Z204" s="34">
        <v>105800</v>
      </c>
      <c r="AA204" s="34">
        <v>905089</v>
      </c>
      <c r="AB204" s="34">
        <v>522411</v>
      </c>
      <c r="AC204" s="34">
        <v>382678</v>
      </c>
    </row>
    <row r="205" spans="1:29" x14ac:dyDescent="0.25">
      <c r="A205" s="31" t="s">
        <v>174</v>
      </c>
      <c r="B205" s="31" t="s">
        <v>733</v>
      </c>
      <c r="C205" s="31" t="s">
        <v>215</v>
      </c>
      <c r="D205" s="31" t="s">
        <v>606</v>
      </c>
      <c r="E205" s="32">
        <v>100.2</v>
      </c>
      <c r="F205" s="33">
        <v>711.8</v>
      </c>
      <c r="G205" s="32">
        <v>812</v>
      </c>
      <c r="H205" s="32">
        <v>0</v>
      </c>
      <c r="I205" s="34">
        <v>1</v>
      </c>
      <c r="J205" s="33">
        <v>0</v>
      </c>
      <c r="K205" s="34">
        <v>713</v>
      </c>
      <c r="L205" s="32">
        <v>325.88</v>
      </c>
      <c r="M205" s="32">
        <v>62.04</v>
      </c>
      <c r="N205" s="32">
        <v>68.150000000000006</v>
      </c>
      <c r="O205" s="32">
        <v>27.75</v>
      </c>
      <c r="P205" s="32">
        <v>3.48</v>
      </c>
      <c r="Q205" s="34">
        <v>264615</v>
      </c>
      <c r="R205" s="34">
        <v>0</v>
      </c>
      <c r="S205" s="34">
        <v>264615</v>
      </c>
      <c r="T205" s="34">
        <v>44235</v>
      </c>
      <c r="U205" s="34">
        <v>48591</v>
      </c>
      <c r="V205" s="34">
        <v>0</v>
      </c>
      <c r="W205" s="34">
        <v>22533</v>
      </c>
      <c r="X205" s="34">
        <v>2826</v>
      </c>
      <c r="Y205" s="34">
        <v>382800</v>
      </c>
      <c r="Z205" s="34">
        <v>40018</v>
      </c>
      <c r="AA205" s="34">
        <v>342782</v>
      </c>
      <c r="AB205" s="34">
        <v>199709</v>
      </c>
      <c r="AC205" s="34">
        <v>143073</v>
      </c>
    </row>
    <row r="206" spans="1:29" x14ac:dyDescent="0.25">
      <c r="A206" s="31" t="s">
        <v>174</v>
      </c>
      <c r="B206" s="31" t="s">
        <v>733</v>
      </c>
      <c r="C206" s="31" t="s">
        <v>216</v>
      </c>
      <c r="D206" s="31" t="s">
        <v>607</v>
      </c>
      <c r="E206" s="32">
        <v>87.88</v>
      </c>
      <c r="F206" s="33">
        <v>1004.2</v>
      </c>
      <c r="G206" s="32">
        <v>1092.08</v>
      </c>
      <c r="H206" s="32">
        <v>0</v>
      </c>
      <c r="I206" s="34">
        <v>3</v>
      </c>
      <c r="J206" s="33">
        <v>0</v>
      </c>
      <c r="K206" s="34">
        <v>1007</v>
      </c>
      <c r="L206" s="32">
        <v>325.88</v>
      </c>
      <c r="M206" s="32">
        <v>62.04</v>
      </c>
      <c r="N206" s="32">
        <v>68.150000000000006</v>
      </c>
      <c r="O206" s="32">
        <v>27.75</v>
      </c>
      <c r="P206" s="32">
        <v>3.48</v>
      </c>
      <c r="Q206" s="34">
        <v>355887</v>
      </c>
      <c r="R206" s="34">
        <v>0</v>
      </c>
      <c r="S206" s="34">
        <v>355887</v>
      </c>
      <c r="T206" s="34">
        <v>62474</v>
      </c>
      <c r="U206" s="34">
        <v>68627</v>
      </c>
      <c r="V206" s="34">
        <v>0</v>
      </c>
      <c r="W206" s="34">
        <v>30305</v>
      </c>
      <c r="X206" s="34">
        <v>3800</v>
      </c>
      <c r="Y206" s="34">
        <v>521093</v>
      </c>
      <c r="Z206" s="34">
        <v>62065</v>
      </c>
      <c r="AA206" s="34">
        <v>459028</v>
      </c>
      <c r="AB206" s="34">
        <v>260349</v>
      </c>
      <c r="AC206" s="34">
        <v>198679</v>
      </c>
    </row>
    <row r="207" spans="1:29" x14ac:dyDescent="0.25">
      <c r="A207" s="31" t="s">
        <v>174</v>
      </c>
      <c r="B207" s="31" t="s">
        <v>733</v>
      </c>
      <c r="C207" s="31" t="s">
        <v>217</v>
      </c>
      <c r="D207" s="31" t="s">
        <v>608</v>
      </c>
      <c r="E207" s="32">
        <v>134.26</v>
      </c>
      <c r="F207" s="33">
        <v>1067</v>
      </c>
      <c r="G207" s="32">
        <v>1201.26</v>
      </c>
      <c r="H207" s="32">
        <v>0</v>
      </c>
      <c r="I207" s="34">
        <v>60</v>
      </c>
      <c r="J207" s="33">
        <v>0.2</v>
      </c>
      <c r="K207" s="34">
        <v>1127</v>
      </c>
      <c r="L207" s="32">
        <v>325.88</v>
      </c>
      <c r="M207" s="32">
        <v>62.04</v>
      </c>
      <c r="N207" s="32">
        <v>68.150000000000006</v>
      </c>
      <c r="O207" s="32">
        <v>27.75</v>
      </c>
      <c r="P207" s="32">
        <v>3.48</v>
      </c>
      <c r="Q207" s="34">
        <v>391467</v>
      </c>
      <c r="R207" s="34">
        <v>0</v>
      </c>
      <c r="S207" s="34">
        <v>391467</v>
      </c>
      <c r="T207" s="34">
        <v>69919</v>
      </c>
      <c r="U207" s="34">
        <v>76805</v>
      </c>
      <c r="V207" s="34">
        <v>0</v>
      </c>
      <c r="W207" s="34">
        <v>33335</v>
      </c>
      <c r="X207" s="34">
        <v>4180</v>
      </c>
      <c r="Y207" s="34">
        <v>575706</v>
      </c>
      <c r="Z207" s="34">
        <v>86996</v>
      </c>
      <c r="AA207" s="34">
        <v>488710</v>
      </c>
      <c r="AB207" s="34">
        <v>267652</v>
      </c>
      <c r="AC207" s="34">
        <v>221058</v>
      </c>
    </row>
    <row r="208" spans="1:29" x14ac:dyDescent="0.25">
      <c r="A208" s="31" t="s">
        <v>174</v>
      </c>
      <c r="B208" s="31" t="s">
        <v>733</v>
      </c>
      <c r="C208" s="31" t="s">
        <v>218</v>
      </c>
      <c r="D208" s="31" t="s">
        <v>609</v>
      </c>
      <c r="E208" s="32">
        <v>1062.68</v>
      </c>
      <c r="F208" s="33">
        <v>7211</v>
      </c>
      <c r="G208" s="32">
        <v>8273.68</v>
      </c>
      <c r="H208" s="32">
        <v>0</v>
      </c>
      <c r="I208" s="34">
        <v>380</v>
      </c>
      <c r="J208" s="33">
        <v>0</v>
      </c>
      <c r="K208" s="34">
        <v>7591</v>
      </c>
      <c r="L208" s="32">
        <v>325.88</v>
      </c>
      <c r="M208" s="32">
        <v>62.04</v>
      </c>
      <c r="N208" s="32">
        <v>68.150000000000006</v>
      </c>
      <c r="O208" s="32">
        <v>27.75</v>
      </c>
      <c r="P208" s="32">
        <v>3.48</v>
      </c>
      <c r="Q208" s="34">
        <v>2696227</v>
      </c>
      <c r="R208" s="34">
        <v>0</v>
      </c>
      <c r="S208" s="34">
        <v>2696227</v>
      </c>
      <c r="T208" s="34">
        <v>470946</v>
      </c>
      <c r="U208" s="34">
        <v>517327</v>
      </c>
      <c r="V208" s="34">
        <v>0</v>
      </c>
      <c r="W208" s="34">
        <v>229595</v>
      </c>
      <c r="X208" s="34">
        <v>28792</v>
      </c>
      <c r="Y208" s="34">
        <v>3942887</v>
      </c>
      <c r="Z208" s="34">
        <v>261652</v>
      </c>
      <c r="AA208" s="34">
        <v>3681235</v>
      </c>
      <c r="AB208" s="34">
        <v>2180987</v>
      </c>
      <c r="AC208" s="34">
        <v>1500248</v>
      </c>
    </row>
    <row r="209" spans="1:29" x14ac:dyDescent="0.25">
      <c r="A209" s="31" t="s">
        <v>174</v>
      </c>
      <c r="B209" s="31" t="s">
        <v>733</v>
      </c>
      <c r="C209" s="31" t="s">
        <v>219</v>
      </c>
      <c r="D209" s="31" t="s">
        <v>610</v>
      </c>
      <c r="E209" s="32">
        <v>60.18</v>
      </c>
      <c r="F209" s="33">
        <v>505.7</v>
      </c>
      <c r="G209" s="32">
        <v>565.88</v>
      </c>
      <c r="H209" s="32">
        <v>0</v>
      </c>
      <c r="I209" s="34">
        <v>0</v>
      </c>
      <c r="J209" s="33">
        <v>0</v>
      </c>
      <c r="K209" s="34">
        <v>506</v>
      </c>
      <c r="L209" s="32">
        <v>325.88</v>
      </c>
      <c r="M209" s="32">
        <v>62.04</v>
      </c>
      <c r="N209" s="32">
        <v>68.150000000000006</v>
      </c>
      <c r="O209" s="32">
        <v>27.75</v>
      </c>
      <c r="P209" s="32">
        <v>3.48</v>
      </c>
      <c r="Q209" s="34">
        <v>184409</v>
      </c>
      <c r="R209" s="34">
        <v>6147</v>
      </c>
      <c r="S209" s="34">
        <v>190556</v>
      </c>
      <c r="T209" s="34">
        <v>31392</v>
      </c>
      <c r="U209" s="34">
        <v>34484</v>
      </c>
      <c r="V209" s="34">
        <v>0</v>
      </c>
      <c r="W209" s="34">
        <v>16123</v>
      </c>
      <c r="X209" s="34">
        <v>2025</v>
      </c>
      <c r="Y209" s="34">
        <v>274580</v>
      </c>
      <c r="Z209" s="34">
        <v>35040</v>
      </c>
      <c r="AA209" s="34">
        <v>239540</v>
      </c>
      <c r="AB209" s="34">
        <v>132500</v>
      </c>
      <c r="AC209" s="34">
        <v>107040</v>
      </c>
    </row>
    <row r="210" spans="1:29" x14ac:dyDescent="0.25">
      <c r="A210" s="31" t="s">
        <v>174</v>
      </c>
      <c r="B210" s="31" t="s">
        <v>733</v>
      </c>
      <c r="C210" s="31" t="s">
        <v>220</v>
      </c>
      <c r="D210" s="31" t="s">
        <v>611</v>
      </c>
      <c r="E210" s="32">
        <v>70.5</v>
      </c>
      <c r="F210" s="33">
        <v>323</v>
      </c>
      <c r="G210" s="32">
        <v>393.5</v>
      </c>
      <c r="H210" s="32">
        <v>0</v>
      </c>
      <c r="I210" s="34">
        <v>13</v>
      </c>
      <c r="J210" s="33">
        <v>0</v>
      </c>
      <c r="K210" s="34">
        <v>336</v>
      </c>
      <c r="L210" s="32">
        <v>325.88</v>
      </c>
      <c r="M210" s="32">
        <v>62.04</v>
      </c>
      <c r="N210" s="32">
        <v>68.150000000000006</v>
      </c>
      <c r="O210" s="32">
        <v>27.75</v>
      </c>
      <c r="P210" s="32">
        <v>3.48</v>
      </c>
      <c r="Q210" s="34">
        <v>128234</v>
      </c>
      <c r="R210" s="34">
        <v>0</v>
      </c>
      <c r="S210" s="34">
        <v>128234</v>
      </c>
      <c r="T210" s="34">
        <v>20845</v>
      </c>
      <c r="U210" s="34">
        <v>22898</v>
      </c>
      <c r="V210" s="34">
        <v>0</v>
      </c>
      <c r="W210" s="34">
        <v>10920</v>
      </c>
      <c r="X210" s="34">
        <v>1369</v>
      </c>
      <c r="Y210" s="34">
        <v>184266</v>
      </c>
      <c r="Z210" s="34">
        <v>27523</v>
      </c>
      <c r="AA210" s="34">
        <v>156743</v>
      </c>
      <c r="AB210" s="34">
        <v>88650</v>
      </c>
      <c r="AC210" s="34">
        <v>68093</v>
      </c>
    </row>
    <row r="211" spans="1:29" x14ac:dyDescent="0.25">
      <c r="A211" s="31" t="s">
        <v>174</v>
      </c>
      <c r="B211" s="31" t="s">
        <v>733</v>
      </c>
      <c r="C211" s="31" t="s">
        <v>221</v>
      </c>
      <c r="D211" s="31" t="s">
        <v>612</v>
      </c>
      <c r="E211" s="32">
        <v>38.33</v>
      </c>
      <c r="F211" s="33">
        <v>385.9</v>
      </c>
      <c r="G211" s="32">
        <v>424.23</v>
      </c>
      <c r="H211" s="32">
        <v>0</v>
      </c>
      <c r="I211" s="34">
        <v>9</v>
      </c>
      <c r="J211" s="33">
        <v>0</v>
      </c>
      <c r="K211" s="34">
        <v>395</v>
      </c>
      <c r="L211" s="32">
        <v>325.88</v>
      </c>
      <c r="M211" s="32">
        <v>62.04</v>
      </c>
      <c r="N211" s="32">
        <v>68.150000000000006</v>
      </c>
      <c r="O211" s="32">
        <v>27.75</v>
      </c>
      <c r="P211" s="32">
        <v>3.48</v>
      </c>
      <c r="Q211" s="34">
        <v>138248</v>
      </c>
      <c r="R211" s="34">
        <v>0</v>
      </c>
      <c r="S211" s="34">
        <v>138248</v>
      </c>
      <c r="T211" s="34">
        <v>24506</v>
      </c>
      <c r="U211" s="34">
        <v>26919</v>
      </c>
      <c r="V211" s="34">
        <v>0</v>
      </c>
      <c r="W211" s="34">
        <v>11772</v>
      </c>
      <c r="X211" s="34">
        <v>1476</v>
      </c>
      <c r="Y211" s="34">
        <v>202921</v>
      </c>
      <c r="Z211" s="34">
        <v>25843</v>
      </c>
      <c r="AA211" s="34">
        <v>177078</v>
      </c>
      <c r="AB211" s="34">
        <v>99402</v>
      </c>
      <c r="AC211" s="34">
        <v>77676</v>
      </c>
    </row>
    <row r="212" spans="1:29" x14ac:dyDescent="0.25">
      <c r="A212" s="31" t="s">
        <v>174</v>
      </c>
      <c r="B212" s="31" t="s">
        <v>733</v>
      </c>
      <c r="C212" s="31" t="s">
        <v>222</v>
      </c>
      <c r="D212" s="31" t="s">
        <v>613</v>
      </c>
      <c r="E212" s="32">
        <v>442.89</v>
      </c>
      <c r="F212" s="33">
        <v>3448</v>
      </c>
      <c r="G212" s="32">
        <v>3890.89</v>
      </c>
      <c r="H212" s="32">
        <v>0</v>
      </c>
      <c r="I212" s="34">
        <v>448</v>
      </c>
      <c r="J212" s="33">
        <v>5.2</v>
      </c>
      <c r="K212" s="34">
        <v>3891</v>
      </c>
      <c r="L212" s="32">
        <v>325.88</v>
      </c>
      <c r="M212" s="32">
        <v>62.04</v>
      </c>
      <c r="N212" s="32">
        <v>68.150000000000006</v>
      </c>
      <c r="O212" s="32">
        <v>27.75</v>
      </c>
      <c r="P212" s="32">
        <v>3.48</v>
      </c>
      <c r="Q212" s="34">
        <v>1267963</v>
      </c>
      <c r="R212" s="34">
        <v>0</v>
      </c>
      <c r="S212" s="34">
        <v>1267963</v>
      </c>
      <c r="T212" s="34">
        <v>241398</v>
      </c>
      <c r="U212" s="34">
        <v>265172</v>
      </c>
      <c r="V212" s="34">
        <v>0</v>
      </c>
      <c r="W212" s="34">
        <v>107972</v>
      </c>
      <c r="X212" s="34">
        <v>13540</v>
      </c>
      <c r="Y212" s="34">
        <v>1896045</v>
      </c>
      <c r="Z212" s="34">
        <v>181636</v>
      </c>
      <c r="AA212" s="34">
        <v>1714409</v>
      </c>
      <c r="AB212" s="34">
        <v>967071</v>
      </c>
      <c r="AC212" s="34">
        <v>747338</v>
      </c>
    </row>
    <row r="213" spans="1:29" x14ac:dyDescent="0.25">
      <c r="A213" s="31" t="s">
        <v>174</v>
      </c>
      <c r="B213" s="31" t="s">
        <v>733</v>
      </c>
      <c r="C213" s="31" t="s">
        <v>223</v>
      </c>
      <c r="D213" s="31" t="s">
        <v>614</v>
      </c>
      <c r="E213" s="32">
        <v>52.3</v>
      </c>
      <c r="F213" s="33">
        <v>894.5</v>
      </c>
      <c r="G213" s="32">
        <v>946.8</v>
      </c>
      <c r="H213" s="32">
        <v>0</v>
      </c>
      <c r="I213" s="34">
        <v>28</v>
      </c>
      <c r="J213" s="33">
        <v>0</v>
      </c>
      <c r="K213" s="34">
        <v>923</v>
      </c>
      <c r="L213" s="32">
        <v>325.88</v>
      </c>
      <c r="M213" s="32">
        <v>62.04</v>
      </c>
      <c r="N213" s="32">
        <v>68.150000000000006</v>
      </c>
      <c r="O213" s="32">
        <v>27.75</v>
      </c>
      <c r="P213" s="32">
        <v>3.48</v>
      </c>
      <c r="Q213" s="34">
        <v>308543</v>
      </c>
      <c r="R213" s="34">
        <v>0</v>
      </c>
      <c r="S213" s="34">
        <v>308543</v>
      </c>
      <c r="T213" s="34">
        <v>57263</v>
      </c>
      <c r="U213" s="34">
        <v>62902</v>
      </c>
      <c r="V213" s="34">
        <v>0</v>
      </c>
      <c r="W213" s="34">
        <v>26274</v>
      </c>
      <c r="X213" s="34">
        <v>3295</v>
      </c>
      <c r="Y213" s="34">
        <v>458277</v>
      </c>
      <c r="Z213" s="34">
        <v>29267</v>
      </c>
      <c r="AA213" s="34">
        <v>429010</v>
      </c>
      <c r="AB213" s="34">
        <v>250257</v>
      </c>
      <c r="AC213" s="34">
        <v>178753</v>
      </c>
    </row>
    <row r="214" spans="1:29" x14ac:dyDescent="0.25">
      <c r="A214" s="31" t="s">
        <v>174</v>
      </c>
      <c r="B214" s="31" t="s">
        <v>733</v>
      </c>
      <c r="C214" s="31" t="s">
        <v>224</v>
      </c>
      <c r="D214" s="31" t="s">
        <v>615</v>
      </c>
      <c r="E214" s="32">
        <v>1385.04</v>
      </c>
      <c r="F214" s="33">
        <v>13153.9</v>
      </c>
      <c r="G214" s="32">
        <v>14538.94</v>
      </c>
      <c r="H214" s="32">
        <v>0</v>
      </c>
      <c r="I214" s="34">
        <v>1262</v>
      </c>
      <c r="J214" s="33">
        <v>0.5</v>
      </c>
      <c r="K214" s="34">
        <v>14415</v>
      </c>
      <c r="L214" s="32">
        <v>325.88</v>
      </c>
      <c r="M214" s="32">
        <v>62.04</v>
      </c>
      <c r="N214" s="32">
        <v>68.150000000000006</v>
      </c>
      <c r="O214" s="32">
        <v>27.75</v>
      </c>
      <c r="P214" s="32">
        <v>3.48</v>
      </c>
      <c r="Q214" s="34">
        <v>4737950</v>
      </c>
      <c r="R214" s="34">
        <v>0</v>
      </c>
      <c r="S214" s="34">
        <v>4737950</v>
      </c>
      <c r="T214" s="34">
        <v>894307</v>
      </c>
      <c r="U214" s="34">
        <v>982382</v>
      </c>
      <c r="V214" s="34">
        <v>0</v>
      </c>
      <c r="W214" s="34">
        <v>403456</v>
      </c>
      <c r="X214" s="34">
        <v>50596</v>
      </c>
      <c r="Y214" s="34">
        <v>7068691</v>
      </c>
      <c r="Z214" s="34">
        <v>153289</v>
      </c>
      <c r="AA214" s="34">
        <v>6915402</v>
      </c>
      <c r="AB214" s="34">
        <v>4139043</v>
      </c>
      <c r="AC214" s="34">
        <v>2776359</v>
      </c>
    </row>
    <row r="215" spans="1:29" x14ac:dyDescent="0.25">
      <c r="A215" s="31" t="s">
        <v>174</v>
      </c>
      <c r="B215" s="31" t="s">
        <v>733</v>
      </c>
      <c r="C215" s="31" t="s">
        <v>225</v>
      </c>
      <c r="D215" s="31" t="s">
        <v>616</v>
      </c>
      <c r="E215" s="32">
        <v>146.36000000000001</v>
      </c>
      <c r="F215" s="33">
        <v>947.2</v>
      </c>
      <c r="G215" s="32">
        <v>1093.56</v>
      </c>
      <c r="H215" s="32">
        <v>0</v>
      </c>
      <c r="I215" s="34">
        <v>0</v>
      </c>
      <c r="J215" s="33">
        <v>0</v>
      </c>
      <c r="K215" s="34">
        <v>947</v>
      </c>
      <c r="L215" s="32">
        <v>325.88</v>
      </c>
      <c r="M215" s="32">
        <v>62.04</v>
      </c>
      <c r="N215" s="32">
        <v>68.150000000000006</v>
      </c>
      <c r="O215" s="32">
        <v>27.75</v>
      </c>
      <c r="P215" s="32">
        <v>3.48</v>
      </c>
      <c r="Q215" s="34">
        <v>356369</v>
      </c>
      <c r="R215" s="34">
        <v>0</v>
      </c>
      <c r="S215" s="34">
        <v>356369</v>
      </c>
      <c r="T215" s="34">
        <v>58752</v>
      </c>
      <c r="U215" s="34">
        <v>64538</v>
      </c>
      <c r="V215" s="34">
        <v>0</v>
      </c>
      <c r="W215" s="34">
        <v>30346</v>
      </c>
      <c r="X215" s="34">
        <v>3806</v>
      </c>
      <c r="Y215" s="34">
        <v>513811</v>
      </c>
      <c r="Z215" s="34">
        <v>57717</v>
      </c>
      <c r="AA215" s="34">
        <v>456094</v>
      </c>
      <c r="AB215" s="34">
        <v>265135</v>
      </c>
      <c r="AC215" s="34">
        <v>190959</v>
      </c>
    </row>
    <row r="216" spans="1:29" x14ac:dyDescent="0.25">
      <c r="A216" s="31" t="s">
        <v>174</v>
      </c>
      <c r="B216" s="31" t="s">
        <v>733</v>
      </c>
      <c r="C216" s="31" t="s">
        <v>226</v>
      </c>
      <c r="D216" s="31" t="s">
        <v>617</v>
      </c>
      <c r="E216" s="32">
        <v>1091.19</v>
      </c>
      <c r="F216" s="33">
        <v>8678.6</v>
      </c>
      <c r="G216" s="32">
        <v>9769.7900000000009</v>
      </c>
      <c r="H216" s="32">
        <v>0</v>
      </c>
      <c r="I216" s="34">
        <v>1199</v>
      </c>
      <c r="J216" s="33">
        <v>2.2000000000000002</v>
      </c>
      <c r="K216" s="34">
        <v>9875</v>
      </c>
      <c r="L216" s="32">
        <v>325.88</v>
      </c>
      <c r="M216" s="32">
        <v>62.04</v>
      </c>
      <c r="N216" s="32">
        <v>68.150000000000006</v>
      </c>
      <c r="O216" s="32">
        <v>27.75</v>
      </c>
      <c r="P216" s="32">
        <v>3.48</v>
      </c>
      <c r="Q216" s="34">
        <v>3183779</v>
      </c>
      <c r="R216" s="34">
        <v>0</v>
      </c>
      <c r="S216" s="34">
        <v>3183779</v>
      </c>
      <c r="T216" s="34">
        <v>612645</v>
      </c>
      <c r="U216" s="34">
        <v>672981</v>
      </c>
      <c r="V216" s="34">
        <v>0</v>
      </c>
      <c r="W216" s="34">
        <v>271112</v>
      </c>
      <c r="X216" s="34">
        <v>33999</v>
      </c>
      <c r="Y216" s="34">
        <v>4774516</v>
      </c>
      <c r="Z216" s="34">
        <v>513663</v>
      </c>
      <c r="AA216" s="34">
        <v>4260853</v>
      </c>
      <c r="AB216" s="34">
        <v>2370673</v>
      </c>
      <c r="AC216" s="34">
        <v>1890180</v>
      </c>
    </row>
    <row r="217" spans="1:29" x14ac:dyDescent="0.25">
      <c r="A217" s="31" t="s">
        <v>174</v>
      </c>
      <c r="B217" s="31" t="s">
        <v>733</v>
      </c>
      <c r="C217" s="31" t="s">
        <v>227</v>
      </c>
      <c r="D217" s="31" t="s">
        <v>618</v>
      </c>
      <c r="E217" s="32">
        <v>203.94</v>
      </c>
      <c r="F217" s="33">
        <v>1667.3</v>
      </c>
      <c r="G217" s="32">
        <v>1871.24</v>
      </c>
      <c r="H217" s="32">
        <v>0</v>
      </c>
      <c r="I217" s="34">
        <v>8</v>
      </c>
      <c r="J217" s="33">
        <v>0</v>
      </c>
      <c r="K217" s="34">
        <v>1675</v>
      </c>
      <c r="L217" s="32">
        <v>325.88</v>
      </c>
      <c r="M217" s="32">
        <v>62.04</v>
      </c>
      <c r="N217" s="32">
        <v>68.150000000000006</v>
      </c>
      <c r="O217" s="32">
        <v>27.75</v>
      </c>
      <c r="P217" s="32">
        <v>3.48</v>
      </c>
      <c r="Q217" s="34">
        <v>609800</v>
      </c>
      <c r="R217" s="34">
        <v>0</v>
      </c>
      <c r="S217" s="34">
        <v>609800</v>
      </c>
      <c r="T217" s="34">
        <v>103917</v>
      </c>
      <c r="U217" s="34">
        <v>114151</v>
      </c>
      <c r="V217" s="34">
        <v>0</v>
      </c>
      <c r="W217" s="34">
        <v>51927</v>
      </c>
      <c r="X217" s="34">
        <v>6512</v>
      </c>
      <c r="Y217" s="34">
        <v>886307</v>
      </c>
      <c r="Z217" s="34">
        <v>92409</v>
      </c>
      <c r="AA217" s="34">
        <v>793898</v>
      </c>
      <c r="AB217" s="34">
        <v>460037</v>
      </c>
      <c r="AC217" s="34">
        <v>333861</v>
      </c>
    </row>
    <row r="218" spans="1:29" x14ac:dyDescent="0.25">
      <c r="A218" s="31" t="s">
        <v>174</v>
      </c>
      <c r="B218" s="31" t="s">
        <v>733</v>
      </c>
      <c r="C218" s="31" t="s">
        <v>228</v>
      </c>
      <c r="D218" s="31" t="s">
        <v>619</v>
      </c>
      <c r="E218" s="32">
        <v>111.9</v>
      </c>
      <c r="F218" s="33">
        <v>1062.9000000000001</v>
      </c>
      <c r="G218" s="32">
        <v>1174.8</v>
      </c>
      <c r="H218" s="32">
        <v>0</v>
      </c>
      <c r="I218" s="34">
        <v>35</v>
      </c>
      <c r="J218" s="33">
        <v>0</v>
      </c>
      <c r="K218" s="34">
        <v>1098</v>
      </c>
      <c r="L218" s="32">
        <v>325.88</v>
      </c>
      <c r="M218" s="32">
        <v>62.04</v>
      </c>
      <c r="N218" s="32">
        <v>68.150000000000006</v>
      </c>
      <c r="O218" s="32">
        <v>27.75</v>
      </c>
      <c r="P218" s="32">
        <v>3.48</v>
      </c>
      <c r="Q218" s="34">
        <v>382844</v>
      </c>
      <c r="R218" s="34">
        <v>0</v>
      </c>
      <c r="S218" s="34">
        <v>382844</v>
      </c>
      <c r="T218" s="34">
        <v>68120</v>
      </c>
      <c r="U218" s="34">
        <v>74829</v>
      </c>
      <c r="V218" s="34">
        <v>0</v>
      </c>
      <c r="W218" s="34">
        <v>32601</v>
      </c>
      <c r="X218" s="34">
        <v>4088</v>
      </c>
      <c r="Y218" s="34">
        <v>562482</v>
      </c>
      <c r="Z218" s="34">
        <v>39473</v>
      </c>
      <c r="AA218" s="34">
        <v>523009</v>
      </c>
      <c r="AB218" s="34">
        <v>307363</v>
      </c>
      <c r="AC218" s="34">
        <v>215646</v>
      </c>
    </row>
    <row r="219" spans="1:29" x14ac:dyDescent="0.25">
      <c r="A219" s="31" t="s">
        <v>229</v>
      </c>
      <c r="B219" s="31" t="s">
        <v>734</v>
      </c>
      <c r="C219" s="31" t="s">
        <v>230</v>
      </c>
      <c r="D219" s="31" t="s">
        <v>620</v>
      </c>
      <c r="E219" s="32">
        <v>77.09</v>
      </c>
      <c r="F219" s="33">
        <v>555.20000000000005</v>
      </c>
      <c r="G219" s="32">
        <v>632.29</v>
      </c>
      <c r="H219" s="32">
        <v>1.22</v>
      </c>
      <c r="I219" s="34">
        <v>14</v>
      </c>
      <c r="J219" s="33">
        <v>0</v>
      </c>
      <c r="K219" s="34">
        <v>569</v>
      </c>
      <c r="L219" s="32">
        <v>340.52</v>
      </c>
      <c r="M219" s="32">
        <v>62.45</v>
      </c>
      <c r="N219" s="32">
        <v>69.930000000000007</v>
      </c>
      <c r="O219" s="32">
        <v>34.31</v>
      </c>
      <c r="P219" s="32">
        <v>4.09</v>
      </c>
      <c r="Q219" s="34">
        <v>215307</v>
      </c>
      <c r="R219" s="34">
        <v>0</v>
      </c>
      <c r="S219" s="34">
        <v>215307</v>
      </c>
      <c r="T219" s="34">
        <v>35534</v>
      </c>
      <c r="U219" s="34">
        <v>39790</v>
      </c>
      <c r="V219" s="34">
        <v>415</v>
      </c>
      <c r="W219" s="34">
        <v>21694</v>
      </c>
      <c r="X219" s="34">
        <v>2586</v>
      </c>
      <c r="Y219" s="34">
        <v>315326</v>
      </c>
      <c r="Z219" s="34">
        <v>35284</v>
      </c>
      <c r="AA219" s="34">
        <v>280042</v>
      </c>
      <c r="AB219" s="34">
        <v>156243</v>
      </c>
      <c r="AC219" s="34">
        <v>123799</v>
      </c>
    </row>
    <row r="220" spans="1:29" x14ac:dyDescent="0.25">
      <c r="A220" s="31" t="s">
        <v>229</v>
      </c>
      <c r="B220" s="31" t="s">
        <v>734</v>
      </c>
      <c r="C220" s="31" t="s">
        <v>231</v>
      </c>
      <c r="D220" s="31" t="s">
        <v>621</v>
      </c>
      <c r="E220" s="32">
        <v>41.07</v>
      </c>
      <c r="F220" s="33">
        <v>276.2</v>
      </c>
      <c r="G220" s="32">
        <v>317.27</v>
      </c>
      <c r="H220" s="32">
        <v>0.61</v>
      </c>
      <c r="I220" s="34">
        <v>56</v>
      </c>
      <c r="J220" s="33">
        <v>0</v>
      </c>
      <c r="K220" s="34">
        <v>332</v>
      </c>
      <c r="L220" s="32">
        <v>340.52</v>
      </c>
      <c r="M220" s="32">
        <v>62.45</v>
      </c>
      <c r="N220" s="32">
        <v>69.930000000000007</v>
      </c>
      <c r="O220" s="32">
        <v>34.31</v>
      </c>
      <c r="P220" s="32">
        <v>4.09</v>
      </c>
      <c r="Q220" s="34">
        <v>108037</v>
      </c>
      <c r="R220" s="34">
        <v>0</v>
      </c>
      <c r="S220" s="34">
        <v>108037</v>
      </c>
      <c r="T220" s="34">
        <v>20733</v>
      </c>
      <c r="U220" s="34">
        <v>23217</v>
      </c>
      <c r="V220" s="34">
        <v>208</v>
      </c>
      <c r="W220" s="34">
        <v>10886</v>
      </c>
      <c r="X220" s="34">
        <v>1298</v>
      </c>
      <c r="Y220" s="34">
        <v>164379</v>
      </c>
      <c r="Z220" s="34">
        <v>27109</v>
      </c>
      <c r="AA220" s="34">
        <v>137270</v>
      </c>
      <c r="AB220" s="34">
        <v>68995</v>
      </c>
      <c r="AC220" s="34">
        <v>68275</v>
      </c>
    </row>
    <row r="221" spans="1:29" x14ac:dyDescent="0.25">
      <c r="A221" s="31" t="s">
        <v>229</v>
      </c>
      <c r="B221" s="31" t="s">
        <v>734</v>
      </c>
      <c r="C221" s="31" t="s">
        <v>232</v>
      </c>
      <c r="D221" s="31" t="s">
        <v>622</v>
      </c>
      <c r="E221" s="32">
        <v>85.05</v>
      </c>
      <c r="F221" s="33">
        <v>568.5</v>
      </c>
      <c r="G221" s="32">
        <v>653.54999999999995</v>
      </c>
      <c r="H221" s="32">
        <v>1.26</v>
      </c>
      <c r="I221" s="34">
        <v>382</v>
      </c>
      <c r="J221" s="33">
        <v>5.2</v>
      </c>
      <c r="K221" s="34">
        <v>945</v>
      </c>
      <c r="L221" s="32">
        <v>340.52</v>
      </c>
      <c r="M221" s="32">
        <v>62.45</v>
      </c>
      <c r="N221" s="32">
        <v>69.930000000000007</v>
      </c>
      <c r="O221" s="32">
        <v>34.31</v>
      </c>
      <c r="P221" s="32">
        <v>4.09</v>
      </c>
      <c r="Q221" s="34">
        <v>222547</v>
      </c>
      <c r="R221" s="34">
        <v>0</v>
      </c>
      <c r="S221" s="34">
        <v>222547</v>
      </c>
      <c r="T221" s="34">
        <v>59015</v>
      </c>
      <c r="U221" s="34">
        <v>66084</v>
      </c>
      <c r="V221" s="34">
        <v>429</v>
      </c>
      <c r="W221" s="34">
        <v>22423</v>
      </c>
      <c r="X221" s="34">
        <v>2673</v>
      </c>
      <c r="Y221" s="34">
        <v>373171</v>
      </c>
      <c r="Z221" s="34">
        <v>40839</v>
      </c>
      <c r="AA221" s="34">
        <v>332332</v>
      </c>
      <c r="AB221" s="34">
        <v>157127</v>
      </c>
      <c r="AC221" s="34">
        <v>175205</v>
      </c>
    </row>
    <row r="222" spans="1:29" x14ac:dyDescent="0.25">
      <c r="A222" s="31" t="s">
        <v>229</v>
      </c>
      <c r="B222" s="31" t="s">
        <v>734</v>
      </c>
      <c r="C222" s="31" t="s">
        <v>233</v>
      </c>
      <c r="D222" s="31" t="s">
        <v>623</v>
      </c>
      <c r="E222" s="32">
        <v>97.17</v>
      </c>
      <c r="F222" s="33">
        <v>765.1</v>
      </c>
      <c r="G222" s="32">
        <v>862.27</v>
      </c>
      <c r="H222" s="32">
        <v>1.66</v>
      </c>
      <c r="I222" s="34">
        <v>141</v>
      </c>
      <c r="J222" s="33">
        <v>0</v>
      </c>
      <c r="K222" s="34">
        <v>906</v>
      </c>
      <c r="L222" s="32">
        <v>340.52</v>
      </c>
      <c r="M222" s="32">
        <v>62.45</v>
      </c>
      <c r="N222" s="32">
        <v>69.930000000000007</v>
      </c>
      <c r="O222" s="32">
        <v>34.31</v>
      </c>
      <c r="P222" s="32">
        <v>4.09</v>
      </c>
      <c r="Q222" s="34">
        <v>293620</v>
      </c>
      <c r="R222" s="34">
        <v>0</v>
      </c>
      <c r="S222" s="34">
        <v>293620</v>
      </c>
      <c r="T222" s="34">
        <v>56580</v>
      </c>
      <c r="U222" s="34">
        <v>63357</v>
      </c>
      <c r="V222" s="34">
        <v>565</v>
      </c>
      <c r="W222" s="34">
        <v>29584</v>
      </c>
      <c r="X222" s="34">
        <v>3527</v>
      </c>
      <c r="Y222" s="34">
        <v>447233</v>
      </c>
      <c r="Z222" s="34">
        <v>45683</v>
      </c>
      <c r="AA222" s="34">
        <v>401550</v>
      </c>
      <c r="AB222" s="34">
        <v>215506</v>
      </c>
      <c r="AC222" s="34">
        <v>186044</v>
      </c>
    </row>
    <row r="223" spans="1:29" x14ac:dyDescent="0.25">
      <c r="A223" s="31" t="s">
        <v>229</v>
      </c>
      <c r="B223" s="31" t="s">
        <v>734</v>
      </c>
      <c r="C223" s="31" t="s">
        <v>234</v>
      </c>
      <c r="D223" s="31" t="s">
        <v>624</v>
      </c>
      <c r="E223" s="32">
        <v>49.89</v>
      </c>
      <c r="F223" s="33">
        <v>287.2</v>
      </c>
      <c r="G223" s="32">
        <v>337.09</v>
      </c>
      <c r="H223" s="32">
        <v>0.65</v>
      </c>
      <c r="I223" s="34">
        <v>2</v>
      </c>
      <c r="J223" s="33">
        <v>0</v>
      </c>
      <c r="K223" s="34">
        <v>289</v>
      </c>
      <c r="L223" s="32">
        <v>340.52</v>
      </c>
      <c r="M223" s="32">
        <v>62.45</v>
      </c>
      <c r="N223" s="32">
        <v>69.930000000000007</v>
      </c>
      <c r="O223" s="32">
        <v>34.31</v>
      </c>
      <c r="P223" s="32">
        <v>4.09</v>
      </c>
      <c r="Q223" s="34">
        <v>114786</v>
      </c>
      <c r="R223" s="34">
        <v>0</v>
      </c>
      <c r="S223" s="34">
        <v>114786</v>
      </c>
      <c r="T223" s="34">
        <v>18048</v>
      </c>
      <c r="U223" s="34">
        <v>20210</v>
      </c>
      <c r="V223" s="34">
        <v>221</v>
      </c>
      <c r="W223" s="34">
        <v>11566</v>
      </c>
      <c r="X223" s="34">
        <v>1379</v>
      </c>
      <c r="Y223" s="34">
        <v>166210</v>
      </c>
      <c r="Z223" s="34">
        <v>23319</v>
      </c>
      <c r="AA223" s="34">
        <v>142891</v>
      </c>
      <c r="AB223" s="34">
        <v>78789</v>
      </c>
      <c r="AC223" s="34">
        <v>64102</v>
      </c>
    </row>
    <row r="224" spans="1:29" x14ac:dyDescent="0.25">
      <c r="A224" s="31" t="s">
        <v>229</v>
      </c>
      <c r="B224" s="31" t="s">
        <v>734</v>
      </c>
      <c r="C224" s="31" t="s">
        <v>235</v>
      </c>
      <c r="D224" s="31" t="s">
        <v>625</v>
      </c>
      <c r="E224" s="32">
        <v>144.75</v>
      </c>
      <c r="F224" s="33">
        <v>1035.3</v>
      </c>
      <c r="G224" s="32">
        <v>1180.05</v>
      </c>
      <c r="H224" s="32">
        <v>2.27</v>
      </c>
      <c r="I224" s="34">
        <v>1</v>
      </c>
      <c r="J224" s="33">
        <v>0</v>
      </c>
      <c r="K224" s="34">
        <v>1036</v>
      </c>
      <c r="L224" s="32">
        <v>340.52</v>
      </c>
      <c r="M224" s="32">
        <v>62.45</v>
      </c>
      <c r="N224" s="32">
        <v>69.930000000000007</v>
      </c>
      <c r="O224" s="32">
        <v>34.31</v>
      </c>
      <c r="P224" s="32">
        <v>4.09</v>
      </c>
      <c r="Q224" s="34">
        <v>401831</v>
      </c>
      <c r="R224" s="34">
        <v>0</v>
      </c>
      <c r="S224" s="34">
        <v>401831</v>
      </c>
      <c r="T224" s="34">
        <v>64698</v>
      </c>
      <c r="U224" s="34">
        <v>72447</v>
      </c>
      <c r="V224" s="34">
        <v>773</v>
      </c>
      <c r="W224" s="34">
        <v>40488</v>
      </c>
      <c r="X224" s="34">
        <v>4826</v>
      </c>
      <c r="Y224" s="34">
        <v>585063</v>
      </c>
      <c r="Z224" s="34">
        <v>69898</v>
      </c>
      <c r="AA224" s="34">
        <v>515165</v>
      </c>
      <c r="AB224" s="34">
        <v>287548</v>
      </c>
      <c r="AC224" s="34">
        <v>227617</v>
      </c>
    </row>
    <row r="225" spans="1:29" x14ac:dyDescent="0.25">
      <c r="A225" s="31" t="s">
        <v>229</v>
      </c>
      <c r="B225" s="31" t="s">
        <v>734</v>
      </c>
      <c r="C225" s="31" t="s">
        <v>236</v>
      </c>
      <c r="D225" s="31" t="s">
        <v>626</v>
      </c>
      <c r="E225" s="32">
        <v>286.70999999999998</v>
      </c>
      <c r="F225" s="33">
        <v>2026.3</v>
      </c>
      <c r="G225" s="32">
        <v>2313.0100000000002</v>
      </c>
      <c r="H225" s="32">
        <v>4.45</v>
      </c>
      <c r="I225" s="34">
        <v>135</v>
      </c>
      <c r="J225" s="33">
        <v>0</v>
      </c>
      <c r="K225" s="34">
        <v>2161</v>
      </c>
      <c r="L225" s="32">
        <v>340.52</v>
      </c>
      <c r="M225" s="32">
        <v>62.45</v>
      </c>
      <c r="N225" s="32">
        <v>69.930000000000007</v>
      </c>
      <c r="O225" s="32">
        <v>34.31</v>
      </c>
      <c r="P225" s="32">
        <v>4.09</v>
      </c>
      <c r="Q225" s="34">
        <v>787626</v>
      </c>
      <c r="R225" s="34">
        <v>0</v>
      </c>
      <c r="S225" s="34">
        <v>787626</v>
      </c>
      <c r="T225" s="34">
        <v>134954</v>
      </c>
      <c r="U225" s="34">
        <v>151119</v>
      </c>
      <c r="V225" s="34">
        <v>1515</v>
      </c>
      <c r="W225" s="34">
        <v>79359</v>
      </c>
      <c r="X225" s="34">
        <v>9460</v>
      </c>
      <c r="Y225" s="34">
        <v>1164033</v>
      </c>
      <c r="Z225" s="34">
        <v>102409</v>
      </c>
      <c r="AA225" s="34">
        <v>1061624</v>
      </c>
      <c r="AB225" s="34">
        <v>598219</v>
      </c>
      <c r="AC225" s="34">
        <v>463405</v>
      </c>
    </row>
    <row r="226" spans="1:29" x14ac:dyDescent="0.25">
      <c r="A226" s="31" t="s">
        <v>229</v>
      </c>
      <c r="B226" s="31" t="s">
        <v>734</v>
      </c>
      <c r="C226" s="31" t="s">
        <v>237</v>
      </c>
      <c r="D226" s="31" t="s">
        <v>627</v>
      </c>
      <c r="E226" s="32">
        <v>40.44</v>
      </c>
      <c r="F226" s="33">
        <v>464</v>
      </c>
      <c r="G226" s="32">
        <v>504.44</v>
      </c>
      <c r="H226" s="32">
        <v>0.97</v>
      </c>
      <c r="I226" s="34">
        <v>0</v>
      </c>
      <c r="J226" s="33">
        <v>0</v>
      </c>
      <c r="K226" s="34">
        <v>464</v>
      </c>
      <c r="L226" s="32">
        <v>340.52</v>
      </c>
      <c r="M226" s="32">
        <v>62.45</v>
      </c>
      <c r="N226" s="32">
        <v>69.930000000000007</v>
      </c>
      <c r="O226" s="32">
        <v>34.31</v>
      </c>
      <c r="P226" s="32">
        <v>4.09</v>
      </c>
      <c r="Q226" s="34">
        <v>171772</v>
      </c>
      <c r="R226" s="34">
        <v>0</v>
      </c>
      <c r="S226" s="34">
        <v>171772</v>
      </c>
      <c r="T226" s="34">
        <v>28977</v>
      </c>
      <c r="U226" s="34">
        <v>32448</v>
      </c>
      <c r="V226" s="34">
        <v>330</v>
      </c>
      <c r="W226" s="34">
        <v>17307</v>
      </c>
      <c r="X226" s="34">
        <v>2063</v>
      </c>
      <c r="Y226" s="34">
        <v>252897</v>
      </c>
      <c r="Z226" s="34">
        <v>33958</v>
      </c>
      <c r="AA226" s="34">
        <v>218939</v>
      </c>
      <c r="AB226" s="34">
        <v>118840</v>
      </c>
      <c r="AC226" s="34">
        <v>100099</v>
      </c>
    </row>
    <row r="227" spans="1:29" x14ac:dyDescent="0.25">
      <c r="A227" s="31" t="s">
        <v>229</v>
      </c>
      <c r="B227" s="31" t="s">
        <v>734</v>
      </c>
      <c r="C227" s="31" t="s">
        <v>238</v>
      </c>
      <c r="D227" s="31" t="s">
        <v>628</v>
      </c>
      <c r="E227" s="32">
        <v>52.34</v>
      </c>
      <c r="F227" s="33">
        <v>454.7</v>
      </c>
      <c r="G227" s="32">
        <v>507.04</v>
      </c>
      <c r="H227" s="32">
        <v>0.97</v>
      </c>
      <c r="I227" s="34">
        <v>9</v>
      </c>
      <c r="J227" s="33">
        <v>0</v>
      </c>
      <c r="K227" s="34">
        <v>464</v>
      </c>
      <c r="L227" s="32">
        <v>340.52</v>
      </c>
      <c r="M227" s="32">
        <v>62.45</v>
      </c>
      <c r="N227" s="32">
        <v>69.930000000000007</v>
      </c>
      <c r="O227" s="32">
        <v>34.31</v>
      </c>
      <c r="P227" s="32">
        <v>4.09</v>
      </c>
      <c r="Q227" s="34">
        <v>172657</v>
      </c>
      <c r="R227" s="34">
        <v>0</v>
      </c>
      <c r="S227" s="34">
        <v>172657</v>
      </c>
      <c r="T227" s="34">
        <v>28977</v>
      </c>
      <c r="U227" s="34">
        <v>32448</v>
      </c>
      <c r="V227" s="34">
        <v>330</v>
      </c>
      <c r="W227" s="34">
        <v>17397</v>
      </c>
      <c r="X227" s="34">
        <v>2074</v>
      </c>
      <c r="Y227" s="34">
        <v>253883</v>
      </c>
      <c r="Z227" s="34">
        <v>31537</v>
      </c>
      <c r="AA227" s="34">
        <v>222346</v>
      </c>
      <c r="AB227" s="34">
        <v>122049</v>
      </c>
      <c r="AC227" s="34">
        <v>100297</v>
      </c>
    </row>
    <row r="228" spans="1:29" x14ac:dyDescent="0.25">
      <c r="A228" s="31" t="s">
        <v>229</v>
      </c>
      <c r="B228" s="31" t="s">
        <v>734</v>
      </c>
      <c r="C228" s="31" t="s">
        <v>239</v>
      </c>
      <c r="D228" s="31" t="s">
        <v>629</v>
      </c>
      <c r="E228" s="32">
        <v>105.51</v>
      </c>
      <c r="F228" s="33">
        <v>641.70000000000005</v>
      </c>
      <c r="G228" s="32">
        <v>747.21</v>
      </c>
      <c r="H228" s="32">
        <v>1.44</v>
      </c>
      <c r="I228" s="34">
        <v>135</v>
      </c>
      <c r="J228" s="33">
        <v>0</v>
      </c>
      <c r="K228" s="34">
        <v>777</v>
      </c>
      <c r="L228" s="32">
        <v>340.52</v>
      </c>
      <c r="M228" s="32">
        <v>62.45</v>
      </c>
      <c r="N228" s="32">
        <v>69.930000000000007</v>
      </c>
      <c r="O228" s="32">
        <v>34.31</v>
      </c>
      <c r="P228" s="32">
        <v>4.09</v>
      </c>
      <c r="Q228" s="34">
        <v>254440</v>
      </c>
      <c r="R228" s="34">
        <v>0</v>
      </c>
      <c r="S228" s="34">
        <v>254440</v>
      </c>
      <c r="T228" s="34">
        <v>48524</v>
      </c>
      <c r="U228" s="34">
        <v>54336</v>
      </c>
      <c r="V228" s="34">
        <v>490</v>
      </c>
      <c r="W228" s="34">
        <v>25637</v>
      </c>
      <c r="X228" s="34">
        <v>3056</v>
      </c>
      <c r="Y228" s="34">
        <v>386483</v>
      </c>
      <c r="Z228" s="34">
        <v>54933</v>
      </c>
      <c r="AA228" s="34">
        <v>331550</v>
      </c>
      <c r="AB228" s="34">
        <v>171404</v>
      </c>
      <c r="AC228" s="34">
        <v>160146</v>
      </c>
    </row>
    <row r="229" spans="1:29" x14ac:dyDescent="0.25">
      <c r="A229" s="31" t="s">
        <v>229</v>
      </c>
      <c r="B229" s="31" t="s">
        <v>734</v>
      </c>
      <c r="C229" s="31" t="s">
        <v>240</v>
      </c>
      <c r="D229" s="31" t="s">
        <v>630</v>
      </c>
      <c r="E229" s="32">
        <v>50.74</v>
      </c>
      <c r="F229" s="33">
        <v>557.1</v>
      </c>
      <c r="G229" s="32">
        <v>607.84</v>
      </c>
      <c r="H229" s="32">
        <v>1.17</v>
      </c>
      <c r="I229" s="34">
        <v>8</v>
      </c>
      <c r="J229" s="33">
        <v>0</v>
      </c>
      <c r="K229" s="34">
        <v>565</v>
      </c>
      <c r="L229" s="32">
        <v>340.52</v>
      </c>
      <c r="M229" s="32">
        <v>62.45</v>
      </c>
      <c r="N229" s="32">
        <v>69.930000000000007</v>
      </c>
      <c r="O229" s="32">
        <v>34.31</v>
      </c>
      <c r="P229" s="32">
        <v>4.09</v>
      </c>
      <c r="Q229" s="34">
        <v>206982</v>
      </c>
      <c r="R229" s="34">
        <v>0</v>
      </c>
      <c r="S229" s="34">
        <v>206982</v>
      </c>
      <c r="T229" s="34">
        <v>35284</v>
      </c>
      <c r="U229" s="34">
        <v>39510</v>
      </c>
      <c r="V229" s="34">
        <v>398</v>
      </c>
      <c r="W229" s="34">
        <v>20855</v>
      </c>
      <c r="X229" s="34">
        <v>2486</v>
      </c>
      <c r="Y229" s="34">
        <v>305515</v>
      </c>
      <c r="Z229" s="34">
        <v>34075</v>
      </c>
      <c r="AA229" s="34">
        <v>271440</v>
      </c>
      <c r="AB229" s="34">
        <v>150045</v>
      </c>
      <c r="AC229" s="34">
        <v>121395</v>
      </c>
    </row>
    <row r="230" spans="1:29" x14ac:dyDescent="0.25">
      <c r="A230" s="31" t="s">
        <v>229</v>
      </c>
      <c r="B230" s="31" t="s">
        <v>734</v>
      </c>
      <c r="C230" s="31" t="s">
        <v>241</v>
      </c>
      <c r="D230" s="31" t="s">
        <v>631</v>
      </c>
      <c r="E230" s="32">
        <v>69.25</v>
      </c>
      <c r="F230" s="33">
        <v>471.1</v>
      </c>
      <c r="G230" s="32">
        <v>540.35</v>
      </c>
      <c r="H230" s="32">
        <v>1.04</v>
      </c>
      <c r="I230" s="34">
        <v>8</v>
      </c>
      <c r="J230" s="33">
        <v>0</v>
      </c>
      <c r="K230" s="34">
        <v>479</v>
      </c>
      <c r="L230" s="32">
        <v>340.52</v>
      </c>
      <c r="M230" s="32">
        <v>62.45</v>
      </c>
      <c r="N230" s="32">
        <v>69.930000000000007</v>
      </c>
      <c r="O230" s="32">
        <v>34.31</v>
      </c>
      <c r="P230" s="32">
        <v>4.09</v>
      </c>
      <c r="Q230" s="34">
        <v>184000</v>
      </c>
      <c r="R230" s="34">
        <v>0</v>
      </c>
      <c r="S230" s="34">
        <v>184000</v>
      </c>
      <c r="T230" s="34">
        <v>29914</v>
      </c>
      <c r="U230" s="34">
        <v>33496</v>
      </c>
      <c r="V230" s="34">
        <v>354</v>
      </c>
      <c r="W230" s="34">
        <v>18539</v>
      </c>
      <c r="X230" s="34">
        <v>2210</v>
      </c>
      <c r="Y230" s="34">
        <v>268513</v>
      </c>
      <c r="Z230" s="34">
        <v>28587</v>
      </c>
      <c r="AA230" s="34">
        <v>239926</v>
      </c>
      <c r="AB230" s="34">
        <v>135089</v>
      </c>
      <c r="AC230" s="34">
        <v>104837</v>
      </c>
    </row>
    <row r="231" spans="1:29" x14ac:dyDescent="0.25">
      <c r="A231" s="31" t="s">
        <v>229</v>
      </c>
      <c r="B231" s="31" t="s">
        <v>734</v>
      </c>
      <c r="C231" s="31" t="s">
        <v>242</v>
      </c>
      <c r="D231" s="31" t="s">
        <v>632</v>
      </c>
      <c r="E231" s="32">
        <v>58.84</v>
      </c>
      <c r="F231" s="33">
        <v>611.5</v>
      </c>
      <c r="G231" s="32">
        <v>670.34</v>
      </c>
      <c r="H231" s="32">
        <v>1.29</v>
      </c>
      <c r="I231" s="34">
        <v>19</v>
      </c>
      <c r="J231" s="33">
        <v>0</v>
      </c>
      <c r="K231" s="34">
        <v>631</v>
      </c>
      <c r="L231" s="32">
        <v>340.52</v>
      </c>
      <c r="M231" s="32">
        <v>62.45</v>
      </c>
      <c r="N231" s="32">
        <v>69.930000000000007</v>
      </c>
      <c r="O231" s="32">
        <v>34.31</v>
      </c>
      <c r="P231" s="32">
        <v>4.09</v>
      </c>
      <c r="Q231" s="34">
        <v>228264</v>
      </c>
      <c r="R231" s="34">
        <v>0</v>
      </c>
      <c r="S231" s="34">
        <v>228264</v>
      </c>
      <c r="T231" s="34">
        <v>39406</v>
      </c>
      <c r="U231" s="34">
        <v>44126</v>
      </c>
      <c r="V231" s="34">
        <v>439</v>
      </c>
      <c r="W231" s="34">
        <v>22999</v>
      </c>
      <c r="X231" s="34">
        <v>2742</v>
      </c>
      <c r="Y231" s="34">
        <v>337976</v>
      </c>
      <c r="Z231" s="34">
        <v>37024</v>
      </c>
      <c r="AA231" s="34">
        <v>300952</v>
      </c>
      <c r="AB231" s="34">
        <v>166027</v>
      </c>
      <c r="AC231" s="34">
        <v>134925</v>
      </c>
    </row>
    <row r="232" spans="1:29" x14ac:dyDescent="0.25">
      <c r="A232" s="31" t="s">
        <v>229</v>
      </c>
      <c r="B232" s="31" t="s">
        <v>734</v>
      </c>
      <c r="C232" s="31" t="s">
        <v>243</v>
      </c>
      <c r="D232" s="31" t="s">
        <v>633</v>
      </c>
      <c r="E232" s="32">
        <v>337.9</v>
      </c>
      <c r="F232" s="33">
        <v>2235.3000000000002</v>
      </c>
      <c r="G232" s="32">
        <v>2573.1999999999998</v>
      </c>
      <c r="H232" s="32">
        <v>4.95</v>
      </c>
      <c r="I232" s="34">
        <v>461</v>
      </c>
      <c r="J232" s="33">
        <v>2.8</v>
      </c>
      <c r="K232" s="34">
        <v>2694</v>
      </c>
      <c r="L232" s="32">
        <v>340.52</v>
      </c>
      <c r="M232" s="32">
        <v>62.45</v>
      </c>
      <c r="N232" s="32">
        <v>69.930000000000007</v>
      </c>
      <c r="O232" s="32">
        <v>34.31</v>
      </c>
      <c r="P232" s="32">
        <v>4.09</v>
      </c>
      <c r="Q232" s="34">
        <v>876226</v>
      </c>
      <c r="R232" s="34">
        <v>0</v>
      </c>
      <c r="S232" s="34">
        <v>876226</v>
      </c>
      <c r="T232" s="34">
        <v>168240</v>
      </c>
      <c r="U232" s="34">
        <v>188391</v>
      </c>
      <c r="V232" s="34">
        <v>1686</v>
      </c>
      <c r="W232" s="34">
        <v>88286</v>
      </c>
      <c r="X232" s="34">
        <v>10524</v>
      </c>
      <c r="Y232" s="34">
        <v>1333353</v>
      </c>
      <c r="Z232" s="34">
        <v>138160</v>
      </c>
      <c r="AA232" s="34">
        <v>1195193</v>
      </c>
      <c r="AB232" s="34">
        <v>641282</v>
      </c>
      <c r="AC232" s="34">
        <v>553911</v>
      </c>
    </row>
    <row r="233" spans="1:29" x14ac:dyDescent="0.25">
      <c r="A233" s="31" t="s">
        <v>229</v>
      </c>
      <c r="B233" s="31" t="s">
        <v>734</v>
      </c>
      <c r="C233" s="31" t="s">
        <v>244</v>
      </c>
      <c r="D233" s="31" t="s">
        <v>634</v>
      </c>
      <c r="E233" s="32">
        <v>79.41</v>
      </c>
      <c r="F233" s="33">
        <v>593.79999999999995</v>
      </c>
      <c r="G233" s="32">
        <v>673.21</v>
      </c>
      <c r="H233" s="32">
        <v>1.3</v>
      </c>
      <c r="I233" s="34">
        <v>29</v>
      </c>
      <c r="J233" s="33">
        <v>0.1</v>
      </c>
      <c r="K233" s="34">
        <v>623</v>
      </c>
      <c r="L233" s="32">
        <v>340.52</v>
      </c>
      <c r="M233" s="32">
        <v>62.45</v>
      </c>
      <c r="N233" s="32">
        <v>69.930000000000007</v>
      </c>
      <c r="O233" s="32">
        <v>34.31</v>
      </c>
      <c r="P233" s="32">
        <v>4.09</v>
      </c>
      <c r="Q233" s="34">
        <v>229241</v>
      </c>
      <c r="R233" s="34">
        <v>6136</v>
      </c>
      <c r="S233" s="34">
        <v>235377</v>
      </c>
      <c r="T233" s="34">
        <v>38906</v>
      </c>
      <c r="U233" s="34">
        <v>43566</v>
      </c>
      <c r="V233" s="34">
        <v>443</v>
      </c>
      <c r="W233" s="34">
        <v>23098</v>
      </c>
      <c r="X233" s="34">
        <v>2753</v>
      </c>
      <c r="Y233" s="34">
        <v>344143</v>
      </c>
      <c r="Z233" s="34">
        <v>55873</v>
      </c>
      <c r="AA233" s="34">
        <v>288270</v>
      </c>
      <c r="AB233" s="34">
        <v>148049</v>
      </c>
      <c r="AC233" s="34">
        <v>140221</v>
      </c>
    </row>
    <row r="234" spans="1:29" x14ac:dyDescent="0.25">
      <c r="A234" s="31" t="s">
        <v>229</v>
      </c>
      <c r="B234" s="31" t="s">
        <v>734</v>
      </c>
      <c r="C234" s="31" t="s">
        <v>245</v>
      </c>
      <c r="D234" s="31" t="s">
        <v>635</v>
      </c>
      <c r="E234" s="32">
        <v>46.13</v>
      </c>
      <c r="F234" s="33">
        <v>465.2</v>
      </c>
      <c r="G234" s="32">
        <v>511.33</v>
      </c>
      <c r="H234" s="32">
        <v>0.98</v>
      </c>
      <c r="I234" s="34">
        <v>12</v>
      </c>
      <c r="J234" s="33">
        <v>0</v>
      </c>
      <c r="K234" s="34">
        <v>477</v>
      </c>
      <c r="L234" s="32">
        <v>340.52</v>
      </c>
      <c r="M234" s="32">
        <v>62.45</v>
      </c>
      <c r="N234" s="32">
        <v>69.930000000000007</v>
      </c>
      <c r="O234" s="32">
        <v>34.31</v>
      </c>
      <c r="P234" s="32">
        <v>4.09</v>
      </c>
      <c r="Q234" s="34">
        <v>174118</v>
      </c>
      <c r="R234" s="34">
        <v>0</v>
      </c>
      <c r="S234" s="34">
        <v>174118</v>
      </c>
      <c r="T234" s="34">
        <v>29789</v>
      </c>
      <c r="U234" s="34">
        <v>33357</v>
      </c>
      <c r="V234" s="34">
        <v>334</v>
      </c>
      <c r="W234" s="34">
        <v>17544</v>
      </c>
      <c r="X234" s="34">
        <v>2091</v>
      </c>
      <c r="Y234" s="34">
        <v>257233</v>
      </c>
      <c r="Z234" s="34">
        <v>36788</v>
      </c>
      <c r="AA234" s="34">
        <v>220445</v>
      </c>
      <c r="AB234" s="34">
        <v>118097</v>
      </c>
      <c r="AC234" s="34">
        <v>102348</v>
      </c>
    </row>
    <row r="235" spans="1:29" x14ac:dyDescent="0.25">
      <c r="A235" s="31" t="s">
        <v>229</v>
      </c>
      <c r="B235" s="31" t="s">
        <v>734</v>
      </c>
      <c r="C235" s="31" t="s">
        <v>246</v>
      </c>
      <c r="D235" s="31" t="s">
        <v>636</v>
      </c>
      <c r="E235" s="32">
        <v>208.21</v>
      </c>
      <c r="F235" s="33">
        <v>1516.1</v>
      </c>
      <c r="G235" s="32">
        <v>1724.31</v>
      </c>
      <c r="H235" s="32">
        <v>3.32</v>
      </c>
      <c r="I235" s="34">
        <v>545</v>
      </c>
      <c r="J235" s="33">
        <v>8.3000000000000007</v>
      </c>
      <c r="K235" s="34">
        <v>2053</v>
      </c>
      <c r="L235" s="32">
        <v>340.52</v>
      </c>
      <c r="M235" s="32">
        <v>62.45</v>
      </c>
      <c r="N235" s="32">
        <v>69.930000000000007</v>
      </c>
      <c r="O235" s="32">
        <v>34.31</v>
      </c>
      <c r="P235" s="32">
        <v>4.09</v>
      </c>
      <c r="Q235" s="34">
        <v>587162</v>
      </c>
      <c r="R235" s="34">
        <v>0</v>
      </c>
      <c r="S235" s="34">
        <v>587162</v>
      </c>
      <c r="T235" s="34">
        <v>128210</v>
      </c>
      <c r="U235" s="34">
        <v>143566</v>
      </c>
      <c r="V235" s="34">
        <v>1131</v>
      </c>
      <c r="W235" s="34">
        <v>59161</v>
      </c>
      <c r="X235" s="34">
        <v>7052</v>
      </c>
      <c r="Y235" s="34">
        <v>926282</v>
      </c>
      <c r="Z235" s="34">
        <v>93463</v>
      </c>
      <c r="AA235" s="34">
        <v>832819</v>
      </c>
      <c r="AB235" s="34">
        <v>428844</v>
      </c>
      <c r="AC235" s="34">
        <v>403975</v>
      </c>
    </row>
    <row r="236" spans="1:29" x14ac:dyDescent="0.25">
      <c r="A236" s="31" t="s">
        <v>229</v>
      </c>
      <c r="B236" s="31" t="s">
        <v>734</v>
      </c>
      <c r="C236" s="31" t="s">
        <v>43</v>
      </c>
      <c r="D236" s="31" t="s">
        <v>637</v>
      </c>
      <c r="E236" s="32">
        <v>124.48</v>
      </c>
      <c r="F236" s="33">
        <v>925.2</v>
      </c>
      <c r="G236" s="32">
        <v>1049.68</v>
      </c>
      <c r="H236" s="32">
        <v>2.02</v>
      </c>
      <c r="I236" s="34">
        <v>14</v>
      </c>
      <c r="J236" s="33">
        <v>0</v>
      </c>
      <c r="K236" s="34">
        <v>939</v>
      </c>
      <c r="L236" s="32">
        <v>340.52</v>
      </c>
      <c r="M236" s="32">
        <v>62.45</v>
      </c>
      <c r="N236" s="32">
        <v>69.930000000000007</v>
      </c>
      <c r="O236" s="32">
        <v>34.31</v>
      </c>
      <c r="P236" s="32">
        <v>4.09</v>
      </c>
      <c r="Q236" s="34">
        <v>357437</v>
      </c>
      <c r="R236" s="34">
        <v>0</v>
      </c>
      <c r="S236" s="34">
        <v>357437</v>
      </c>
      <c r="T236" s="34">
        <v>58641</v>
      </c>
      <c r="U236" s="34">
        <v>65664</v>
      </c>
      <c r="V236" s="34">
        <v>688</v>
      </c>
      <c r="W236" s="34">
        <v>36015</v>
      </c>
      <c r="X236" s="34">
        <v>4293</v>
      </c>
      <c r="Y236" s="34">
        <v>522738</v>
      </c>
      <c r="Z236" s="34">
        <v>76129</v>
      </c>
      <c r="AA236" s="34">
        <v>446609</v>
      </c>
      <c r="AB236" s="34">
        <v>241828</v>
      </c>
      <c r="AC236" s="34">
        <v>204781</v>
      </c>
    </row>
    <row r="237" spans="1:29" x14ac:dyDescent="0.25">
      <c r="A237" s="31" t="s">
        <v>229</v>
      </c>
      <c r="B237" s="31" t="s">
        <v>734</v>
      </c>
      <c r="C237" s="31" t="s">
        <v>247</v>
      </c>
      <c r="D237" s="31" t="s">
        <v>638</v>
      </c>
      <c r="E237" s="32">
        <v>60.72</v>
      </c>
      <c r="F237" s="33">
        <v>334</v>
      </c>
      <c r="G237" s="32">
        <v>394.72</v>
      </c>
      <c r="H237" s="32">
        <v>0.76</v>
      </c>
      <c r="I237" s="34">
        <v>176</v>
      </c>
      <c r="J237" s="33">
        <v>3</v>
      </c>
      <c r="K237" s="34">
        <v>507</v>
      </c>
      <c r="L237" s="32">
        <v>340.52</v>
      </c>
      <c r="M237" s="32">
        <v>62.45</v>
      </c>
      <c r="N237" s="32">
        <v>69.930000000000007</v>
      </c>
      <c r="O237" s="32">
        <v>34.31</v>
      </c>
      <c r="P237" s="32">
        <v>4.09</v>
      </c>
      <c r="Q237" s="34">
        <v>134410</v>
      </c>
      <c r="R237" s="34">
        <v>0</v>
      </c>
      <c r="S237" s="34">
        <v>134410</v>
      </c>
      <c r="T237" s="34">
        <v>31662</v>
      </c>
      <c r="U237" s="34">
        <v>35455</v>
      </c>
      <c r="V237" s="34">
        <v>259</v>
      </c>
      <c r="W237" s="34">
        <v>13543</v>
      </c>
      <c r="X237" s="34">
        <v>1614</v>
      </c>
      <c r="Y237" s="34">
        <v>216943</v>
      </c>
      <c r="Z237" s="34">
        <v>31912</v>
      </c>
      <c r="AA237" s="34">
        <v>185031</v>
      </c>
      <c r="AB237" s="34">
        <v>87652</v>
      </c>
      <c r="AC237" s="34">
        <v>97379</v>
      </c>
    </row>
    <row r="238" spans="1:29" x14ac:dyDescent="0.25">
      <c r="A238" s="31" t="s">
        <v>229</v>
      </c>
      <c r="B238" s="31" t="s">
        <v>734</v>
      </c>
      <c r="C238" s="31" t="s">
        <v>248</v>
      </c>
      <c r="D238" s="31" t="s">
        <v>639</v>
      </c>
      <c r="E238" s="32">
        <v>65.8</v>
      </c>
      <c r="F238" s="33">
        <v>372.4</v>
      </c>
      <c r="G238" s="32">
        <v>438.2</v>
      </c>
      <c r="H238" s="32">
        <v>0.84</v>
      </c>
      <c r="I238" s="34">
        <v>3</v>
      </c>
      <c r="J238" s="33">
        <v>0</v>
      </c>
      <c r="K238" s="34">
        <v>375</v>
      </c>
      <c r="L238" s="32">
        <v>340.52</v>
      </c>
      <c r="M238" s="32">
        <v>62.45</v>
      </c>
      <c r="N238" s="32">
        <v>69.930000000000007</v>
      </c>
      <c r="O238" s="32">
        <v>34.31</v>
      </c>
      <c r="P238" s="32">
        <v>4.09</v>
      </c>
      <c r="Q238" s="34">
        <v>149216</v>
      </c>
      <c r="R238" s="34">
        <v>74</v>
      </c>
      <c r="S238" s="34">
        <v>149290</v>
      </c>
      <c r="T238" s="34">
        <v>23419</v>
      </c>
      <c r="U238" s="34">
        <v>26224</v>
      </c>
      <c r="V238" s="34">
        <v>286</v>
      </c>
      <c r="W238" s="34">
        <v>15035</v>
      </c>
      <c r="X238" s="34">
        <v>1792</v>
      </c>
      <c r="Y238" s="34">
        <v>216046</v>
      </c>
      <c r="Z238" s="34">
        <v>32591</v>
      </c>
      <c r="AA238" s="34">
        <v>183455</v>
      </c>
      <c r="AB238" s="34">
        <v>100143</v>
      </c>
      <c r="AC238" s="34">
        <v>83312</v>
      </c>
    </row>
    <row r="239" spans="1:29" x14ac:dyDescent="0.25">
      <c r="A239" s="31" t="s">
        <v>229</v>
      </c>
      <c r="B239" s="31" t="s">
        <v>734</v>
      </c>
      <c r="C239" s="31" t="s">
        <v>249</v>
      </c>
      <c r="D239" s="31" t="s">
        <v>640</v>
      </c>
      <c r="E239" s="32">
        <v>78.47</v>
      </c>
      <c r="F239" s="33">
        <v>851.2</v>
      </c>
      <c r="G239" s="32">
        <v>929.67</v>
      </c>
      <c r="H239" s="32">
        <v>1.79</v>
      </c>
      <c r="I239" s="34">
        <v>448</v>
      </c>
      <c r="J239" s="33">
        <v>2</v>
      </c>
      <c r="K239" s="34">
        <v>1297</v>
      </c>
      <c r="L239" s="32">
        <v>340.52</v>
      </c>
      <c r="M239" s="32">
        <v>62.45</v>
      </c>
      <c r="N239" s="32">
        <v>69.930000000000007</v>
      </c>
      <c r="O239" s="32">
        <v>34.31</v>
      </c>
      <c r="P239" s="32">
        <v>4.09</v>
      </c>
      <c r="Q239" s="34">
        <v>316571</v>
      </c>
      <c r="R239" s="34">
        <v>0</v>
      </c>
      <c r="S239" s="34">
        <v>316571</v>
      </c>
      <c r="T239" s="34">
        <v>80998</v>
      </c>
      <c r="U239" s="34">
        <v>90699</v>
      </c>
      <c r="V239" s="34">
        <v>610</v>
      </c>
      <c r="W239" s="34">
        <v>31897</v>
      </c>
      <c r="X239" s="34">
        <v>3802</v>
      </c>
      <c r="Y239" s="34">
        <v>524577</v>
      </c>
      <c r="Z239" s="34">
        <v>37632</v>
      </c>
      <c r="AA239" s="34">
        <v>486945</v>
      </c>
      <c r="AB239" s="34">
        <v>243972</v>
      </c>
      <c r="AC239" s="34">
        <v>242973</v>
      </c>
    </row>
    <row r="240" spans="1:29" x14ac:dyDescent="0.25">
      <c r="A240" s="31" t="s">
        <v>229</v>
      </c>
      <c r="B240" s="31" t="s">
        <v>734</v>
      </c>
      <c r="C240" s="31" t="s">
        <v>250</v>
      </c>
      <c r="D240" s="31" t="s">
        <v>641</v>
      </c>
      <c r="E240" s="32">
        <v>35.24</v>
      </c>
      <c r="F240" s="33">
        <v>216</v>
      </c>
      <c r="G240" s="32">
        <v>251.24</v>
      </c>
      <c r="H240" s="32">
        <v>0.48</v>
      </c>
      <c r="I240" s="34">
        <v>4</v>
      </c>
      <c r="J240" s="33">
        <v>0</v>
      </c>
      <c r="K240" s="34">
        <v>220</v>
      </c>
      <c r="L240" s="32">
        <v>340.52</v>
      </c>
      <c r="M240" s="32">
        <v>62.45</v>
      </c>
      <c r="N240" s="32">
        <v>69.930000000000007</v>
      </c>
      <c r="O240" s="32">
        <v>34.31</v>
      </c>
      <c r="P240" s="32">
        <v>4.09</v>
      </c>
      <c r="Q240" s="34">
        <v>85552</v>
      </c>
      <c r="R240" s="34">
        <v>19407</v>
      </c>
      <c r="S240" s="34">
        <v>104959</v>
      </c>
      <c r="T240" s="34">
        <v>13739</v>
      </c>
      <c r="U240" s="34">
        <v>15385</v>
      </c>
      <c r="V240" s="34">
        <v>163</v>
      </c>
      <c r="W240" s="34">
        <v>8789</v>
      </c>
      <c r="X240" s="34">
        <v>1047</v>
      </c>
      <c r="Y240" s="34">
        <v>144082</v>
      </c>
      <c r="Z240" s="34">
        <v>18327</v>
      </c>
      <c r="AA240" s="34">
        <v>125755</v>
      </c>
      <c r="AB240" s="34">
        <v>57963</v>
      </c>
      <c r="AC240" s="34">
        <v>67792</v>
      </c>
    </row>
    <row r="241" spans="1:29" x14ac:dyDescent="0.25">
      <c r="A241" s="31" t="s">
        <v>229</v>
      </c>
      <c r="B241" s="31" t="s">
        <v>734</v>
      </c>
      <c r="C241" s="31" t="s">
        <v>251</v>
      </c>
      <c r="D241" s="31" t="s">
        <v>642</v>
      </c>
      <c r="E241" s="32">
        <v>209.62</v>
      </c>
      <c r="F241" s="33">
        <v>1423.6</v>
      </c>
      <c r="G241" s="32">
        <v>1633.22</v>
      </c>
      <c r="H241" s="32">
        <v>3.15</v>
      </c>
      <c r="I241" s="34">
        <v>29</v>
      </c>
      <c r="J241" s="33">
        <v>0</v>
      </c>
      <c r="K241" s="34">
        <v>1453</v>
      </c>
      <c r="L241" s="32">
        <v>340.52</v>
      </c>
      <c r="M241" s="32">
        <v>62.45</v>
      </c>
      <c r="N241" s="32">
        <v>69.930000000000007</v>
      </c>
      <c r="O241" s="32">
        <v>34.31</v>
      </c>
      <c r="P241" s="32">
        <v>4.09</v>
      </c>
      <c r="Q241" s="34">
        <v>556144</v>
      </c>
      <c r="R241" s="34">
        <v>0</v>
      </c>
      <c r="S241" s="34">
        <v>556144</v>
      </c>
      <c r="T241" s="34">
        <v>90740</v>
      </c>
      <c r="U241" s="34">
        <v>101608</v>
      </c>
      <c r="V241" s="34">
        <v>1073</v>
      </c>
      <c r="W241" s="34">
        <v>56036</v>
      </c>
      <c r="X241" s="34">
        <v>6680</v>
      </c>
      <c r="Y241" s="34">
        <v>812281</v>
      </c>
      <c r="Z241" s="34">
        <v>74294</v>
      </c>
      <c r="AA241" s="34">
        <v>737987</v>
      </c>
      <c r="AB241" s="34">
        <v>420424</v>
      </c>
      <c r="AC241" s="34">
        <v>317563</v>
      </c>
    </row>
    <row r="242" spans="1:29" x14ac:dyDescent="0.25">
      <c r="A242" s="31" t="s">
        <v>229</v>
      </c>
      <c r="B242" s="31" t="s">
        <v>734</v>
      </c>
      <c r="C242" s="31" t="s">
        <v>252</v>
      </c>
      <c r="D242" s="31" t="s">
        <v>643</v>
      </c>
      <c r="E242" s="32">
        <v>153.68</v>
      </c>
      <c r="F242" s="33">
        <v>1102.5999999999999</v>
      </c>
      <c r="G242" s="32">
        <v>1256.28</v>
      </c>
      <c r="H242" s="32">
        <v>2.42</v>
      </c>
      <c r="I242" s="34">
        <v>178</v>
      </c>
      <c r="J242" s="33">
        <v>3.7</v>
      </c>
      <c r="K242" s="34">
        <v>1277</v>
      </c>
      <c r="L242" s="32">
        <v>340.52</v>
      </c>
      <c r="M242" s="32">
        <v>62.45</v>
      </c>
      <c r="N242" s="32">
        <v>69.930000000000007</v>
      </c>
      <c r="O242" s="32">
        <v>34.31</v>
      </c>
      <c r="P242" s="32">
        <v>4.09</v>
      </c>
      <c r="Q242" s="34">
        <v>427788</v>
      </c>
      <c r="R242" s="34">
        <v>0</v>
      </c>
      <c r="S242" s="34">
        <v>427788</v>
      </c>
      <c r="T242" s="34">
        <v>79749</v>
      </c>
      <c r="U242" s="34">
        <v>89301</v>
      </c>
      <c r="V242" s="34">
        <v>824</v>
      </c>
      <c r="W242" s="34">
        <v>43103</v>
      </c>
      <c r="X242" s="34">
        <v>5138</v>
      </c>
      <c r="Y242" s="34">
        <v>645903</v>
      </c>
      <c r="Z242" s="34">
        <v>69819</v>
      </c>
      <c r="AA242" s="34">
        <v>576084</v>
      </c>
      <c r="AB242" s="34">
        <v>310719</v>
      </c>
      <c r="AC242" s="34">
        <v>265365</v>
      </c>
    </row>
    <row r="243" spans="1:29" x14ac:dyDescent="0.25">
      <c r="A243" s="31" t="s">
        <v>229</v>
      </c>
      <c r="B243" s="31" t="s">
        <v>734</v>
      </c>
      <c r="C243" s="31" t="s">
        <v>253</v>
      </c>
      <c r="D243" s="31" t="s">
        <v>644</v>
      </c>
      <c r="E243" s="32">
        <v>76.62</v>
      </c>
      <c r="F243" s="33">
        <v>689</v>
      </c>
      <c r="G243" s="32">
        <v>765.62</v>
      </c>
      <c r="H243" s="32">
        <v>1.47</v>
      </c>
      <c r="I243" s="34">
        <v>22</v>
      </c>
      <c r="J243" s="33">
        <v>0</v>
      </c>
      <c r="K243" s="34">
        <v>711</v>
      </c>
      <c r="L243" s="32">
        <v>340.52</v>
      </c>
      <c r="M243" s="32">
        <v>62.45</v>
      </c>
      <c r="N243" s="32">
        <v>69.930000000000007</v>
      </c>
      <c r="O243" s="32">
        <v>34.31</v>
      </c>
      <c r="P243" s="32">
        <v>4.09</v>
      </c>
      <c r="Q243" s="34">
        <v>260709</v>
      </c>
      <c r="R243" s="34">
        <v>0</v>
      </c>
      <c r="S243" s="34">
        <v>260709</v>
      </c>
      <c r="T243" s="34">
        <v>44402</v>
      </c>
      <c r="U243" s="34">
        <v>49720</v>
      </c>
      <c r="V243" s="34">
        <v>501</v>
      </c>
      <c r="W243" s="34">
        <v>26268</v>
      </c>
      <c r="X243" s="34">
        <v>3131</v>
      </c>
      <c r="Y243" s="34">
        <v>384731</v>
      </c>
      <c r="Z243" s="34">
        <v>57729</v>
      </c>
      <c r="AA243" s="34">
        <v>327002</v>
      </c>
      <c r="AB243" s="34">
        <v>174182</v>
      </c>
      <c r="AC243" s="34">
        <v>152820</v>
      </c>
    </row>
    <row r="244" spans="1:29" x14ac:dyDescent="0.25">
      <c r="A244" s="31" t="s">
        <v>229</v>
      </c>
      <c r="B244" s="31" t="s">
        <v>734</v>
      </c>
      <c r="C244" s="31" t="s">
        <v>254</v>
      </c>
      <c r="D244" s="31" t="s">
        <v>645</v>
      </c>
      <c r="E244" s="32">
        <v>187.34</v>
      </c>
      <c r="F244" s="33">
        <v>1500.4</v>
      </c>
      <c r="G244" s="32">
        <v>1687.74</v>
      </c>
      <c r="H244" s="32">
        <v>3.25</v>
      </c>
      <c r="I244" s="34">
        <v>715</v>
      </c>
      <c r="J244" s="33">
        <v>0</v>
      </c>
      <c r="K244" s="34">
        <v>2215</v>
      </c>
      <c r="L244" s="32">
        <v>340.52</v>
      </c>
      <c r="M244" s="32">
        <v>62.45</v>
      </c>
      <c r="N244" s="32">
        <v>69.930000000000007</v>
      </c>
      <c r="O244" s="32">
        <v>34.31</v>
      </c>
      <c r="P244" s="32">
        <v>4.09</v>
      </c>
      <c r="Q244" s="34">
        <v>574709</v>
      </c>
      <c r="R244" s="34">
        <v>0</v>
      </c>
      <c r="S244" s="34">
        <v>574709</v>
      </c>
      <c r="T244" s="34">
        <v>138327</v>
      </c>
      <c r="U244" s="34">
        <v>154895</v>
      </c>
      <c r="V244" s="34">
        <v>1107</v>
      </c>
      <c r="W244" s="34">
        <v>57906</v>
      </c>
      <c r="X244" s="34">
        <v>6903</v>
      </c>
      <c r="Y244" s="34">
        <v>933847</v>
      </c>
      <c r="Z244" s="34">
        <v>63519</v>
      </c>
      <c r="AA244" s="34">
        <v>870328</v>
      </c>
      <c r="AB244" s="34">
        <v>447711</v>
      </c>
      <c r="AC244" s="34">
        <v>422617</v>
      </c>
    </row>
    <row r="245" spans="1:29" x14ac:dyDescent="0.25">
      <c r="A245" s="31" t="s">
        <v>229</v>
      </c>
      <c r="B245" s="31" t="s">
        <v>734</v>
      </c>
      <c r="C245" s="31" t="s">
        <v>255</v>
      </c>
      <c r="D245" s="31" t="s">
        <v>646</v>
      </c>
      <c r="E245" s="32">
        <v>2406.46</v>
      </c>
      <c r="F245" s="33">
        <v>14839.5</v>
      </c>
      <c r="G245" s="32">
        <v>17245.96</v>
      </c>
      <c r="H245" s="32">
        <v>33.21</v>
      </c>
      <c r="I245" s="34">
        <v>1538</v>
      </c>
      <c r="J245" s="33">
        <v>14.5</v>
      </c>
      <c r="K245" s="34">
        <v>16363</v>
      </c>
      <c r="L245" s="32">
        <v>340.52</v>
      </c>
      <c r="M245" s="32">
        <v>62.45</v>
      </c>
      <c r="N245" s="32">
        <v>69.930000000000007</v>
      </c>
      <c r="O245" s="32">
        <v>34.31</v>
      </c>
      <c r="P245" s="32">
        <v>4.09</v>
      </c>
      <c r="Q245" s="34">
        <v>5872594</v>
      </c>
      <c r="R245" s="34">
        <v>0</v>
      </c>
      <c r="S245" s="34">
        <v>5872594</v>
      </c>
      <c r="T245" s="34">
        <v>1021869</v>
      </c>
      <c r="U245" s="34">
        <v>1144265</v>
      </c>
      <c r="V245" s="34">
        <v>11309</v>
      </c>
      <c r="W245" s="34">
        <v>591709</v>
      </c>
      <c r="X245" s="34">
        <v>70536</v>
      </c>
      <c r="Y245" s="34">
        <v>8712282</v>
      </c>
      <c r="Z245" s="34">
        <v>892151</v>
      </c>
      <c r="AA245" s="34">
        <v>7820131</v>
      </c>
      <c r="AB245" s="34">
        <v>4331795</v>
      </c>
      <c r="AC245" s="34">
        <v>3488336</v>
      </c>
    </row>
    <row r="246" spans="1:29" x14ac:dyDescent="0.25">
      <c r="A246" s="31" t="s">
        <v>229</v>
      </c>
      <c r="B246" s="31" t="s">
        <v>734</v>
      </c>
      <c r="C246" s="31" t="s">
        <v>256</v>
      </c>
      <c r="D246" s="31" t="s">
        <v>647</v>
      </c>
      <c r="E246" s="32">
        <v>126.17</v>
      </c>
      <c r="F246" s="33">
        <v>561.5</v>
      </c>
      <c r="G246" s="32">
        <v>687.67</v>
      </c>
      <c r="H246" s="32">
        <v>1.33</v>
      </c>
      <c r="I246" s="34">
        <v>69</v>
      </c>
      <c r="J246" s="33">
        <v>2.7</v>
      </c>
      <c r="K246" s="34">
        <v>628</v>
      </c>
      <c r="L246" s="32">
        <v>340.52</v>
      </c>
      <c r="M246" s="32">
        <v>62.45</v>
      </c>
      <c r="N246" s="32">
        <v>69.930000000000007</v>
      </c>
      <c r="O246" s="32">
        <v>34.31</v>
      </c>
      <c r="P246" s="32">
        <v>4.09</v>
      </c>
      <c r="Q246" s="34">
        <v>234165</v>
      </c>
      <c r="R246" s="34">
        <v>0</v>
      </c>
      <c r="S246" s="34">
        <v>234165</v>
      </c>
      <c r="T246" s="34">
        <v>39219</v>
      </c>
      <c r="U246" s="34">
        <v>43916</v>
      </c>
      <c r="V246" s="34">
        <v>453</v>
      </c>
      <c r="W246" s="34">
        <v>23594</v>
      </c>
      <c r="X246" s="34">
        <v>2813</v>
      </c>
      <c r="Y246" s="34">
        <v>344160</v>
      </c>
      <c r="Z246" s="34">
        <v>51982</v>
      </c>
      <c r="AA246" s="34">
        <v>292178</v>
      </c>
      <c r="AB246" s="34">
        <v>156321</v>
      </c>
      <c r="AC246" s="34">
        <v>135857</v>
      </c>
    </row>
    <row r="247" spans="1:29" x14ac:dyDescent="0.25">
      <c r="A247" s="31" t="s">
        <v>229</v>
      </c>
      <c r="B247" s="31" t="s">
        <v>734</v>
      </c>
      <c r="C247" s="31" t="s">
        <v>257</v>
      </c>
      <c r="D247" s="31" t="s">
        <v>648</v>
      </c>
      <c r="E247" s="32">
        <v>86.6</v>
      </c>
      <c r="F247" s="33">
        <v>938.4</v>
      </c>
      <c r="G247" s="32">
        <v>1025</v>
      </c>
      <c r="H247" s="32">
        <v>1.97</v>
      </c>
      <c r="I247" s="34">
        <v>146</v>
      </c>
      <c r="J247" s="33">
        <v>0</v>
      </c>
      <c r="K247" s="34">
        <v>1084</v>
      </c>
      <c r="L247" s="32">
        <v>340.52</v>
      </c>
      <c r="M247" s="32">
        <v>62.45</v>
      </c>
      <c r="N247" s="32">
        <v>69.930000000000007</v>
      </c>
      <c r="O247" s="32">
        <v>34.31</v>
      </c>
      <c r="P247" s="32">
        <v>4.09</v>
      </c>
      <c r="Q247" s="34">
        <v>349033</v>
      </c>
      <c r="R247" s="34">
        <v>0</v>
      </c>
      <c r="S247" s="34">
        <v>349033</v>
      </c>
      <c r="T247" s="34">
        <v>67696</v>
      </c>
      <c r="U247" s="34">
        <v>75804</v>
      </c>
      <c r="V247" s="34">
        <v>671</v>
      </c>
      <c r="W247" s="34">
        <v>35168</v>
      </c>
      <c r="X247" s="34">
        <v>4192</v>
      </c>
      <c r="Y247" s="34">
        <v>532564</v>
      </c>
      <c r="Z247" s="34">
        <v>51172</v>
      </c>
      <c r="AA247" s="34">
        <v>481392</v>
      </c>
      <c r="AB247" s="34">
        <v>259308</v>
      </c>
      <c r="AC247" s="34">
        <v>222084</v>
      </c>
    </row>
    <row r="248" spans="1:29" x14ac:dyDescent="0.25">
      <c r="A248" s="31" t="s">
        <v>229</v>
      </c>
      <c r="B248" s="31" t="s">
        <v>734</v>
      </c>
      <c r="C248" s="31" t="s">
        <v>258</v>
      </c>
      <c r="D248" s="31" t="s">
        <v>649</v>
      </c>
      <c r="E248" s="32">
        <v>109.53</v>
      </c>
      <c r="F248" s="33">
        <v>601.79999999999995</v>
      </c>
      <c r="G248" s="32">
        <v>711.33</v>
      </c>
      <c r="H248" s="32">
        <v>1.37</v>
      </c>
      <c r="I248" s="34">
        <v>4</v>
      </c>
      <c r="J248" s="33">
        <v>0</v>
      </c>
      <c r="K248" s="34">
        <v>606</v>
      </c>
      <c r="L248" s="32">
        <v>340.52</v>
      </c>
      <c r="M248" s="32">
        <v>62.45</v>
      </c>
      <c r="N248" s="32">
        <v>69.930000000000007</v>
      </c>
      <c r="O248" s="32">
        <v>34.31</v>
      </c>
      <c r="P248" s="32">
        <v>4.09</v>
      </c>
      <c r="Q248" s="34">
        <v>242222</v>
      </c>
      <c r="R248" s="34">
        <v>0</v>
      </c>
      <c r="S248" s="34">
        <v>242222</v>
      </c>
      <c r="T248" s="34">
        <v>37845</v>
      </c>
      <c r="U248" s="34">
        <v>42378</v>
      </c>
      <c r="V248" s="34">
        <v>467</v>
      </c>
      <c r="W248" s="34">
        <v>24406</v>
      </c>
      <c r="X248" s="34">
        <v>2909</v>
      </c>
      <c r="Y248" s="34">
        <v>350227</v>
      </c>
      <c r="Z248" s="34">
        <v>44237</v>
      </c>
      <c r="AA248" s="34">
        <v>305990</v>
      </c>
      <c r="AB248" s="34">
        <v>171231</v>
      </c>
      <c r="AC248" s="34">
        <v>134759</v>
      </c>
    </row>
    <row r="249" spans="1:29" x14ac:dyDescent="0.25">
      <c r="A249" s="31" t="s">
        <v>229</v>
      </c>
      <c r="B249" s="31" t="s">
        <v>734</v>
      </c>
      <c r="C249" s="31" t="s">
        <v>259</v>
      </c>
      <c r="D249" s="31" t="s">
        <v>650</v>
      </c>
      <c r="E249" s="32">
        <v>122.76</v>
      </c>
      <c r="F249" s="33">
        <v>795.1</v>
      </c>
      <c r="G249" s="32">
        <v>917.86</v>
      </c>
      <c r="H249" s="32">
        <v>1.77</v>
      </c>
      <c r="I249" s="34">
        <v>76</v>
      </c>
      <c r="J249" s="33">
        <v>0</v>
      </c>
      <c r="K249" s="34">
        <v>871</v>
      </c>
      <c r="L249" s="32">
        <v>340.52</v>
      </c>
      <c r="M249" s="32">
        <v>62.45</v>
      </c>
      <c r="N249" s="32">
        <v>69.930000000000007</v>
      </c>
      <c r="O249" s="32">
        <v>34.31</v>
      </c>
      <c r="P249" s="32">
        <v>4.09</v>
      </c>
      <c r="Q249" s="34">
        <v>312550</v>
      </c>
      <c r="R249" s="34">
        <v>2883</v>
      </c>
      <c r="S249" s="34">
        <v>315433</v>
      </c>
      <c r="T249" s="34">
        <v>54394</v>
      </c>
      <c r="U249" s="34">
        <v>60909</v>
      </c>
      <c r="V249" s="34">
        <v>603</v>
      </c>
      <c r="W249" s="34">
        <v>31513</v>
      </c>
      <c r="X249" s="34">
        <v>3756</v>
      </c>
      <c r="Y249" s="34">
        <v>466608</v>
      </c>
      <c r="Z249" s="34">
        <v>48756</v>
      </c>
      <c r="AA249" s="34">
        <v>417852</v>
      </c>
      <c r="AB249" s="34">
        <v>229295</v>
      </c>
      <c r="AC249" s="34">
        <v>188557</v>
      </c>
    </row>
    <row r="250" spans="1:29" x14ac:dyDescent="0.25">
      <c r="A250" s="31" t="s">
        <v>229</v>
      </c>
      <c r="B250" s="31" t="s">
        <v>734</v>
      </c>
      <c r="C250" s="31" t="s">
        <v>260</v>
      </c>
      <c r="D250" s="31" t="s">
        <v>651</v>
      </c>
      <c r="E250" s="32">
        <v>73.86</v>
      </c>
      <c r="F250" s="33">
        <v>531.70000000000005</v>
      </c>
      <c r="G250" s="32">
        <v>605.55999999999995</v>
      </c>
      <c r="H250" s="32">
        <v>1.17</v>
      </c>
      <c r="I250" s="34">
        <v>7</v>
      </c>
      <c r="J250" s="33">
        <v>0</v>
      </c>
      <c r="K250" s="34">
        <v>539</v>
      </c>
      <c r="L250" s="32">
        <v>340.52</v>
      </c>
      <c r="M250" s="32">
        <v>62.45</v>
      </c>
      <c r="N250" s="32">
        <v>69.930000000000007</v>
      </c>
      <c r="O250" s="32">
        <v>34.31</v>
      </c>
      <c r="P250" s="32">
        <v>4.09</v>
      </c>
      <c r="Q250" s="34">
        <v>206205</v>
      </c>
      <c r="R250" s="34">
        <v>0</v>
      </c>
      <c r="S250" s="34">
        <v>206205</v>
      </c>
      <c r="T250" s="34">
        <v>33661</v>
      </c>
      <c r="U250" s="34">
        <v>37692</v>
      </c>
      <c r="V250" s="34">
        <v>398</v>
      </c>
      <c r="W250" s="34">
        <v>20777</v>
      </c>
      <c r="X250" s="34">
        <v>2477</v>
      </c>
      <c r="Y250" s="34">
        <v>301210</v>
      </c>
      <c r="Z250" s="34">
        <v>41952</v>
      </c>
      <c r="AA250" s="34">
        <v>259258</v>
      </c>
      <c r="AB250" s="34">
        <v>141479</v>
      </c>
      <c r="AC250" s="34">
        <v>117779</v>
      </c>
    </row>
    <row r="251" spans="1:29" x14ac:dyDescent="0.25">
      <c r="A251" s="31" t="s">
        <v>229</v>
      </c>
      <c r="B251" s="31" t="s">
        <v>734</v>
      </c>
      <c r="C251" s="31" t="s">
        <v>261</v>
      </c>
      <c r="D251" s="31" t="s">
        <v>652</v>
      </c>
      <c r="E251" s="32">
        <v>22.91</v>
      </c>
      <c r="F251" s="33">
        <v>184.4</v>
      </c>
      <c r="G251" s="32">
        <v>207.31</v>
      </c>
      <c r="H251" s="32">
        <v>0.4</v>
      </c>
      <c r="I251" s="34">
        <v>0</v>
      </c>
      <c r="J251" s="33">
        <v>0</v>
      </c>
      <c r="K251" s="34">
        <v>184</v>
      </c>
      <c r="L251" s="32">
        <v>340.52</v>
      </c>
      <c r="M251" s="32">
        <v>62.45</v>
      </c>
      <c r="N251" s="32">
        <v>69.930000000000007</v>
      </c>
      <c r="O251" s="32">
        <v>34.31</v>
      </c>
      <c r="P251" s="32">
        <v>4.09</v>
      </c>
      <c r="Q251" s="34">
        <v>70593</v>
      </c>
      <c r="R251" s="34">
        <v>2339</v>
      </c>
      <c r="S251" s="34">
        <v>72932</v>
      </c>
      <c r="T251" s="34">
        <v>11491</v>
      </c>
      <c r="U251" s="34">
        <v>12867</v>
      </c>
      <c r="V251" s="34">
        <v>136</v>
      </c>
      <c r="W251" s="34">
        <v>7289</v>
      </c>
      <c r="X251" s="34">
        <v>869</v>
      </c>
      <c r="Y251" s="34">
        <v>105584</v>
      </c>
      <c r="Z251" s="34">
        <v>14447</v>
      </c>
      <c r="AA251" s="34">
        <v>91137</v>
      </c>
      <c r="AB251" s="34">
        <v>48546</v>
      </c>
      <c r="AC251" s="34">
        <v>42591</v>
      </c>
    </row>
    <row r="252" spans="1:29" x14ac:dyDescent="0.25">
      <c r="A252" s="31" t="s">
        <v>229</v>
      </c>
      <c r="B252" s="31" t="s">
        <v>734</v>
      </c>
      <c r="C252" s="31" t="s">
        <v>262</v>
      </c>
      <c r="D252" s="31" t="s">
        <v>653</v>
      </c>
      <c r="E252" s="32">
        <v>80.12</v>
      </c>
      <c r="F252" s="33">
        <v>516.5</v>
      </c>
      <c r="G252" s="32">
        <v>596.62</v>
      </c>
      <c r="H252" s="32">
        <v>1.1499999999999999</v>
      </c>
      <c r="I252" s="34">
        <v>1</v>
      </c>
      <c r="J252" s="33">
        <v>0</v>
      </c>
      <c r="K252" s="34">
        <v>518</v>
      </c>
      <c r="L252" s="32">
        <v>340.52</v>
      </c>
      <c r="M252" s="32">
        <v>62.45</v>
      </c>
      <c r="N252" s="32">
        <v>69.930000000000007</v>
      </c>
      <c r="O252" s="32">
        <v>34.31</v>
      </c>
      <c r="P252" s="32">
        <v>4.09</v>
      </c>
      <c r="Q252" s="34">
        <v>203161</v>
      </c>
      <c r="R252" s="34">
        <v>1160</v>
      </c>
      <c r="S252" s="34">
        <v>204321</v>
      </c>
      <c r="T252" s="34">
        <v>32349</v>
      </c>
      <c r="U252" s="34">
        <v>36224</v>
      </c>
      <c r="V252" s="34">
        <v>392</v>
      </c>
      <c r="W252" s="34">
        <v>20470</v>
      </c>
      <c r="X252" s="34">
        <v>2440</v>
      </c>
      <c r="Y252" s="34">
        <v>296196</v>
      </c>
      <c r="Z252" s="34">
        <v>36101</v>
      </c>
      <c r="AA252" s="34">
        <v>260095</v>
      </c>
      <c r="AB252" s="34">
        <v>144620</v>
      </c>
      <c r="AC252" s="34">
        <v>115475</v>
      </c>
    </row>
    <row r="253" spans="1:29" x14ac:dyDescent="0.25">
      <c r="A253" s="31" t="s">
        <v>263</v>
      </c>
      <c r="B253" s="31" t="s">
        <v>735</v>
      </c>
      <c r="C253" s="31" t="s">
        <v>264</v>
      </c>
      <c r="D253" s="31" t="s">
        <v>654</v>
      </c>
      <c r="E253" s="32">
        <v>100.49</v>
      </c>
      <c r="F253" s="33">
        <v>792.6</v>
      </c>
      <c r="G253" s="32">
        <v>893.09</v>
      </c>
      <c r="H253" s="32">
        <v>1.87</v>
      </c>
      <c r="I253" s="34">
        <v>2</v>
      </c>
      <c r="J253" s="33">
        <v>0</v>
      </c>
      <c r="K253" s="34">
        <v>795</v>
      </c>
      <c r="L253" s="32">
        <v>333.94</v>
      </c>
      <c r="M253" s="32">
        <v>62.17</v>
      </c>
      <c r="N253" s="32">
        <v>68.73</v>
      </c>
      <c r="O253" s="32">
        <v>34.29</v>
      </c>
      <c r="P253" s="32">
        <v>3.7</v>
      </c>
      <c r="Q253" s="34">
        <v>298238</v>
      </c>
      <c r="R253" s="34">
        <v>0</v>
      </c>
      <c r="S253" s="34">
        <v>298238</v>
      </c>
      <c r="T253" s="34">
        <v>49425</v>
      </c>
      <c r="U253" s="34">
        <v>54640</v>
      </c>
      <c r="V253" s="34">
        <v>624</v>
      </c>
      <c r="W253" s="34">
        <v>30624</v>
      </c>
      <c r="X253" s="34">
        <v>3304</v>
      </c>
      <c r="Y253" s="34">
        <v>436855</v>
      </c>
      <c r="Z253" s="34">
        <v>55456</v>
      </c>
      <c r="AA253" s="34">
        <v>381399</v>
      </c>
      <c r="AB253" s="34">
        <v>214741</v>
      </c>
      <c r="AC253" s="34">
        <v>166658</v>
      </c>
    </row>
    <row r="254" spans="1:29" x14ac:dyDescent="0.25">
      <c r="A254" s="31" t="s">
        <v>263</v>
      </c>
      <c r="B254" s="31" t="s">
        <v>735</v>
      </c>
      <c r="C254" s="31" t="s">
        <v>265</v>
      </c>
      <c r="D254" s="31" t="s">
        <v>655</v>
      </c>
      <c r="E254" s="32">
        <v>253.9</v>
      </c>
      <c r="F254" s="33">
        <v>1401.9</v>
      </c>
      <c r="G254" s="32">
        <v>1655.8</v>
      </c>
      <c r="H254" s="32">
        <v>3.47</v>
      </c>
      <c r="I254" s="34">
        <v>1</v>
      </c>
      <c r="J254" s="33">
        <v>0</v>
      </c>
      <c r="K254" s="34">
        <v>1403</v>
      </c>
      <c r="L254" s="32">
        <v>333.94</v>
      </c>
      <c r="M254" s="32">
        <v>62.17</v>
      </c>
      <c r="N254" s="32">
        <v>68.73</v>
      </c>
      <c r="O254" s="32">
        <v>34.29</v>
      </c>
      <c r="P254" s="32">
        <v>3.7</v>
      </c>
      <c r="Q254" s="34">
        <v>552938</v>
      </c>
      <c r="R254" s="34">
        <v>0</v>
      </c>
      <c r="S254" s="34">
        <v>552938</v>
      </c>
      <c r="T254" s="34">
        <v>87225</v>
      </c>
      <c r="U254" s="34">
        <v>96428</v>
      </c>
      <c r="V254" s="34">
        <v>1159</v>
      </c>
      <c r="W254" s="34">
        <v>56777</v>
      </c>
      <c r="X254" s="34">
        <v>6126</v>
      </c>
      <c r="Y254" s="34">
        <v>800653</v>
      </c>
      <c r="Z254" s="34">
        <v>90232</v>
      </c>
      <c r="AA254" s="34">
        <v>710421</v>
      </c>
      <c r="AB254" s="34">
        <v>410718</v>
      </c>
      <c r="AC254" s="34">
        <v>299703</v>
      </c>
    </row>
    <row r="255" spans="1:29" x14ac:dyDescent="0.25">
      <c r="A255" s="31" t="s">
        <v>263</v>
      </c>
      <c r="B255" s="31" t="s">
        <v>735</v>
      </c>
      <c r="C255" s="31" t="s">
        <v>266</v>
      </c>
      <c r="D255" s="31" t="s">
        <v>656</v>
      </c>
      <c r="E255" s="32">
        <v>56.56</v>
      </c>
      <c r="F255" s="33">
        <v>501.8</v>
      </c>
      <c r="G255" s="32">
        <v>558.36</v>
      </c>
      <c r="H255" s="32">
        <v>1.17</v>
      </c>
      <c r="I255" s="34">
        <v>7</v>
      </c>
      <c r="J255" s="33">
        <v>0</v>
      </c>
      <c r="K255" s="34">
        <v>509</v>
      </c>
      <c r="L255" s="32">
        <v>333.94</v>
      </c>
      <c r="M255" s="32">
        <v>62.17</v>
      </c>
      <c r="N255" s="32">
        <v>68.73</v>
      </c>
      <c r="O255" s="32">
        <v>34.29</v>
      </c>
      <c r="P255" s="32">
        <v>3.7</v>
      </c>
      <c r="Q255" s="34">
        <v>186459</v>
      </c>
      <c r="R255" s="34">
        <v>0</v>
      </c>
      <c r="S255" s="34">
        <v>186459</v>
      </c>
      <c r="T255" s="34">
        <v>31645</v>
      </c>
      <c r="U255" s="34">
        <v>34984</v>
      </c>
      <c r="V255" s="34">
        <v>391</v>
      </c>
      <c r="W255" s="34">
        <v>19146</v>
      </c>
      <c r="X255" s="34">
        <v>2066</v>
      </c>
      <c r="Y255" s="34">
        <v>274691</v>
      </c>
      <c r="Z255" s="34">
        <v>39128</v>
      </c>
      <c r="AA255" s="34">
        <v>235563</v>
      </c>
      <c r="AB255" s="34">
        <v>129800</v>
      </c>
      <c r="AC255" s="34">
        <v>105763</v>
      </c>
    </row>
    <row r="256" spans="1:29" x14ac:dyDescent="0.25">
      <c r="A256" s="31" t="s">
        <v>263</v>
      </c>
      <c r="B256" s="31" t="s">
        <v>735</v>
      </c>
      <c r="C256" s="31" t="s">
        <v>267</v>
      </c>
      <c r="D256" s="31" t="s">
        <v>657</v>
      </c>
      <c r="E256" s="32">
        <v>38.68</v>
      </c>
      <c r="F256" s="33">
        <v>379.2</v>
      </c>
      <c r="G256" s="32">
        <v>417.88</v>
      </c>
      <c r="H256" s="32">
        <v>0.88</v>
      </c>
      <c r="I256" s="34">
        <v>3</v>
      </c>
      <c r="J256" s="33">
        <v>0</v>
      </c>
      <c r="K256" s="34">
        <v>382</v>
      </c>
      <c r="L256" s="32">
        <v>333.94</v>
      </c>
      <c r="M256" s="32">
        <v>62.17</v>
      </c>
      <c r="N256" s="32">
        <v>68.73</v>
      </c>
      <c r="O256" s="32">
        <v>34.29</v>
      </c>
      <c r="P256" s="32">
        <v>3.7</v>
      </c>
      <c r="Q256" s="34">
        <v>139547</v>
      </c>
      <c r="R256" s="34">
        <v>3784</v>
      </c>
      <c r="S256" s="34">
        <v>143331</v>
      </c>
      <c r="T256" s="34">
        <v>23749</v>
      </c>
      <c r="U256" s="34">
        <v>26255</v>
      </c>
      <c r="V256" s="34">
        <v>294</v>
      </c>
      <c r="W256" s="34">
        <v>14695</v>
      </c>
      <c r="X256" s="34">
        <v>1580</v>
      </c>
      <c r="Y256" s="34">
        <v>209904</v>
      </c>
      <c r="Z256" s="34">
        <v>33687</v>
      </c>
      <c r="AA256" s="34">
        <v>176217</v>
      </c>
      <c r="AB256" s="34">
        <v>93141</v>
      </c>
      <c r="AC256" s="34">
        <v>83076</v>
      </c>
    </row>
    <row r="257" spans="1:29" x14ac:dyDescent="0.25">
      <c r="A257" s="31" t="s">
        <v>263</v>
      </c>
      <c r="B257" s="31" t="s">
        <v>735</v>
      </c>
      <c r="C257" s="31" t="s">
        <v>268</v>
      </c>
      <c r="D257" s="31" t="s">
        <v>269</v>
      </c>
      <c r="E257" s="32">
        <v>54.37</v>
      </c>
      <c r="F257" s="33">
        <v>463.9</v>
      </c>
      <c r="G257" s="32">
        <v>518.27</v>
      </c>
      <c r="H257" s="32">
        <v>1.0900000000000001</v>
      </c>
      <c r="I257" s="34">
        <v>2</v>
      </c>
      <c r="J257" s="33">
        <v>0</v>
      </c>
      <c r="K257" s="34">
        <v>466</v>
      </c>
      <c r="L257" s="32">
        <v>333.94</v>
      </c>
      <c r="M257" s="32">
        <v>62.17</v>
      </c>
      <c r="N257" s="32">
        <v>68.73</v>
      </c>
      <c r="O257" s="32">
        <v>34.29</v>
      </c>
      <c r="P257" s="32">
        <v>3.7</v>
      </c>
      <c r="Q257" s="34">
        <v>173071</v>
      </c>
      <c r="R257" s="34">
        <v>0</v>
      </c>
      <c r="S257" s="34">
        <v>173071</v>
      </c>
      <c r="T257" s="34">
        <v>28971</v>
      </c>
      <c r="U257" s="34">
        <v>32028</v>
      </c>
      <c r="V257" s="34">
        <v>364</v>
      </c>
      <c r="W257" s="34">
        <v>17771</v>
      </c>
      <c r="X257" s="34">
        <v>1918</v>
      </c>
      <c r="Y257" s="34">
        <v>254123</v>
      </c>
      <c r="Z257" s="34">
        <v>33906</v>
      </c>
      <c r="AA257" s="34">
        <v>220217</v>
      </c>
      <c r="AB257" s="34">
        <v>122894</v>
      </c>
      <c r="AC257" s="34">
        <v>97323</v>
      </c>
    </row>
    <row r="258" spans="1:29" x14ac:dyDescent="0.25">
      <c r="A258" s="31" t="s">
        <v>263</v>
      </c>
      <c r="B258" s="31" t="s">
        <v>735</v>
      </c>
      <c r="C258" s="31" t="s">
        <v>270</v>
      </c>
      <c r="D258" s="31" t="s">
        <v>658</v>
      </c>
      <c r="E258" s="32">
        <v>101.59</v>
      </c>
      <c r="F258" s="33">
        <v>642.70000000000005</v>
      </c>
      <c r="G258" s="32">
        <v>744.29</v>
      </c>
      <c r="H258" s="32">
        <v>1.56</v>
      </c>
      <c r="I258" s="34">
        <v>0</v>
      </c>
      <c r="J258" s="33">
        <v>0</v>
      </c>
      <c r="K258" s="34">
        <v>643</v>
      </c>
      <c r="L258" s="32">
        <v>333.94</v>
      </c>
      <c r="M258" s="32">
        <v>62.17</v>
      </c>
      <c r="N258" s="32">
        <v>68.73</v>
      </c>
      <c r="O258" s="32">
        <v>34.29</v>
      </c>
      <c r="P258" s="32">
        <v>3.7</v>
      </c>
      <c r="Q258" s="34">
        <v>248548</v>
      </c>
      <c r="R258" s="34">
        <v>0</v>
      </c>
      <c r="S258" s="34">
        <v>248548</v>
      </c>
      <c r="T258" s="34">
        <v>39975</v>
      </c>
      <c r="U258" s="34">
        <v>44193</v>
      </c>
      <c r="V258" s="34">
        <v>521</v>
      </c>
      <c r="W258" s="34">
        <v>25522</v>
      </c>
      <c r="X258" s="34">
        <v>2754</v>
      </c>
      <c r="Y258" s="34">
        <v>361513</v>
      </c>
      <c r="Z258" s="34">
        <v>46870</v>
      </c>
      <c r="AA258" s="34">
        <v>314643</v>
      </c>
      <c r="AB258" s="34">
        <v>178310</v>
      </c>
      <c r="AC258" s="34">
        <v>136333</v>
      </c>
    </row>
    <row r="259" spans="1:29" x14ac:dyDescent="0.25">
      <c r="A259" s="31" t="s">
        <v>263</v>
      </c>
      <c r="B259" s="31" t="s">
        <v>735</v>
      </c>
      <c r="C259" s="31" t="s">
        <v>271</v>
      </c>
      <c r="D259" s="31" t="s">
        <v>659</v>
      </c>
      <c r="E259" s="32">
        <v>125.75</v>
      </c>
      <c r="F259" s="33">
        <v>989.1</v>
      </c>
      <c r="G259" s="32">
        <v>1114.8499999999999</v>
      </c>
      <c r="H259" s="32">
        <v>2.34</v>
      </c>
      <c r="I259" s="34">
        <v>59</v>
      </c>
      <c r="J259" s="33">
        <v>1.4</v>
      </c>
      <c r="K259" s="34">
        <v>1047</v>
      </c>
      <c r="L259" s="32">
        <v>333.94</v>
      </c>
      <c r="M259" s="32">
        <v>62.17</v>
      </c>
      <c r="N259" s="32">
        <v>68.73</v>
      </c>
      <c r="O259" s="32">
        <v>34.29</v>
      </c>
      <c r="P259" s="32">
        <v>3.7</v>
      </c>
      <c r="Q259" s="34">
        <v>372293</v>
      </c>
      <c r="R259" s="34">
        <v>0</v>
      </c>
      <c r="S259" s="34">
        <v>372293</v>
      </c>
      <c r="T259" s="34">
        <v>65092</v>
      </c>
      <c r="U259" s="34">
        <v>71960</v>
      </c>
      <c r="V259" s="34">
        <v>781</v>
      </c>
      <c r="W259" s="34">
        <v>38228</v>
      </c>
      <c r="X259" s="34">
        <v>4125</v>
      </c>
      <c r="Y259" s="34">
        <v>552479</v>
      </c>
      <c r="Z259" s="34">
        <v>65764</v>
      </c>
      <c r="AA259" s="34">
        <v>486715</v>
      </c>
      <c r="AB259" s="34">
        <v>271527</v>
      </c>
      <c r="AC259" s="34">
        <v>215188</v>
      </c>
    </row>
    <row r="260" spans="1:29" x14ac:dyDescent="0.25">
      <c r="A260" s="31" t="s">
        <v>263</v>
      </c>
      <c r="B260" s="31" t="s">
        <v>735</v>
      </c>
      <c r="C260" s="31" t="s">
        <v>272</v>
      </c>
      <c r="D260" s="31" t="s">
        <v>660</v>
      </c>
      <c r="E260" s="32">
        <v>176.77</v>
      </c>
      <c r="F260" s="33">
        <v>1442.5</v>
      </c>
      <c r="G260" s="32">
        <v>1619.27</v>
      </c>
      <c r="H260" s="32">
        <v>3.4</v>
      </c>
      <c r="I260" s="34">
        <v>0</v>
      </c>
      <c r="J260" s="33">
        <v>0</v>
      </c>
      <c r="K260" s="34">
        <v>1443</v>
      </c>
      <c r="L260" s="32">
        <v>333.94</v>
      </c>
      <c r="M260" s="32">
        <v>62.17</v>
      </c>
      <c r="N260" s="32">
        <v>68.73</v>
      </c>
      <c r="O260" s="32">
        <v>34.29</v>
      </c>
      <c r="P260" s="32">
        <v>3.7</v>
      </c>
      <c r="Q260" s="34">
        <v>540739</v>
      </c>
      <c r="R260" s="34">
        <v>0</v>
      </c>
      <c r="S260" s="34">
        <v>540739</v>
      </c>
      <c r="T260" s="34">
        <v>89711</v>
      </c>
      <c r="U260" s="34">
        <v>99177</v>
      </c>
      <c r="V260" s="34">
        <v>1135</v>
      </c>
      <c r="W260" s="34">
        <v>55525</v>
      </c>
      <c r="X260" s="34">
        <v>5991</v>
      </c>
      <c r="Y260" s="34">
        <v>792278</v>
      </c>
      <c r="Z260" s="34">
        <v>87382</v>
      </c>
      <c r="AA260" s="34">
        <v>704896</v>
      </c>
      <c r="AB260" s="34">
        <v>402519</v>
      </c>
      <c r="AC260" s="34">
        <v>302377</v>
      </c>
    </row>
    <row r="261" spans="1:29" x14ac:dyDescent="0.25">
      <c r="A261" s="31" t="s">
        <v>263</v>
      </c>
      <c r="B261" s="31" t="s">
        <v>735</v>
      </c>
      <c r="C261" s="31" t="s">
        <v>273</v>
      </c>
      <c r="D261" s="31" t="s">
        <v>661</v>
      </c>
      <c r="E261" s="32">
        <v>47.11</v>
      </c>
      <c r="F261" s="33">
        <v>382.1</v>
      </c>
      <c r="G261" s="32">
        <v>429.21</v>
      </c>
      <c r="H261" s="32">
        <v>0.9</v>
      </c>
      <c r="I261" s="34">
        <v>2</v>
      </c>
      <c r="J261" s="33">
        <v>0</v>
      </c>
      <c r="K261" s="34">
        <v>384</v>
      </c>
      <c r="L261" s="32">
        <v>333.94</v>
      </c>
      <c r="M261" s="32">
        <v>62.17</v>
      </c>
      <c r="N261" s="32">
        <v>68.73</v>
      </c>
      <c r="O261" s="32">
        <v>34.29</v>
      </c>
      <c r="P261" s="32">
        <v>3.7</v>
      </c>
      <c r="Q261" s="34">
        <v>143330</v>
      </c>
      <c r="R261" s="34">
        <v>8220</v>
      </c>
      <c r="S261" s="34">
        <v>151550</v>
      </c>
      <c r="T261" s="34">
        <v>23873</v>
      </c>
      <c r="U261" s="34">
        <v>26392</v>
      </c>
      <c r="V261" s="34">
        <v>301</v>
      </c>
      <c r="W261" s="34">
        <v>15355</v>
      </c>
      <c r="X261" s="34">
        <v>1651</v>
      </c>
      <c r="Y261" s="34">
        <v>219122</v>
      </c>
      <c r="Z261" s="34">
        <v>38021</v>
      </c>
      <c r="AA261" s="34">
        <v>181101</v>
      </c>
      <c r="AB261" s="34">
        <v>92534</v>
      </c>
      <c r="AC261" s="34">
        <v>88567</v>
      </c>
    </row>
    <row r="262" spans="1:29" x14ac:dyDescent="0.25">
      <c r="A262" s="31" t="s">
        <v>263</v>
      </c>
      <c r="B262" s="31" t="s">
        <v>735</v>
      </c>
      <c r="C262" s="31" t="s">
        <v>274</v>
      </c>
      <c r="D262" s="31" t="s">
        <v>662</v>
      </c>
      <c r="E262" s="32">
        <v>2229.31</v>
      </c>
      <c r="F262" s="33">
        <v>8707.7000000000007</v>
      </c>
      <c r="G262" s="32">
        <v>10937.01</v>
      </c>
      <c r="H262" s="32">
        <v>22.93</v>
      </c>
      <c r="I262" s="34">
        <v>436</v>
      </c>
      <c r="J262" s="33">
        <v>2.2000000000000002</v>
      </c>
      <c r="K262" s="34">
        <v>9142</v>
      </c>
      <c r="L262" s="32">
        <v>333.94</v>
      </c>
      <c r="M262" s="32">
        <v>62.17</v>
      </c>
      <c r="N262" s="32">
        <v>68.73</v>
      </c>
      <c r="O262" s="32">
        <v>34.29</v>
      </c>
      <c r="P262" s="32">
        <v>3.7</v>
      </c>
      <c r="Q262" s="34">
        <v>3652305</v>
      </c>
      <c r="R262" s="34">
        <v>0</v>
      </c>
      <c r="S262" s="34">
        <v>3652305</v>
      </c>
      <c r="T262" s="34">
        <v>568358</v>
      </c>
      <c r="U262" s="34">
        <v>628330</v>
      </c>
      <c r="V262" s="34">
        <v>7657</v>
      </c>
      <c r="W262" s="34">
        <v>375030</v>
      </c>
      <c r="X262" s="34">
        <v>40467</v>
      </c>
      <c r="Y262" s="34">
        <v>5272147</v>
      </c>
      <c r="Z262" s="34">
        <v>592105</v>
      </c>
      <c r="AA262" s="34">
        <v>4680042</v>
      </c>
      <c r="AB262" s="34">
        <v>2716816</v>
      </c>
      <c r="AC262" s="34">
        <v>1963226</v>
      </c>
    </row>
    <row r="263" spans="1:29" x14ac:dyDescent="0.25">
      <c r="A263" s="31" t="s">
        <v>263</v>
      </c>
      <c r="B263" s="31" t="s">
        <v>735</v>
      </c>
      <c r="C263" s="31" t="s">
        <v>275</v>
      </c>
      <c r="D263" s="31" t="s">
        <v>663</v>
      </c>
      <c r="E263" s="32">
        <v>190.88</v>
      </c>
      <c r="F263" s="33">
        <v>1397</v>
      </c>
      <c r="G263" s="32">
        <v>1587.88</v>
      </c>
      <c r="H263" s="32">
        <v>3.33</v>
      </c>
      <c r="I263" s="34">
        <v>107</v>
      </c>
      <c r="J263" s="33">
        <v>0.1</v>
      </c>
      <c r="K263" s="34">
        <v>1504</v>
      </c>
      <c r="L263" s="32">
        <v>333.94</v>
      </c>
      <c r="M263" s="32">
        <v>62.17</v>
      </c>
      <c r="N263" s="32">
        <v>68.73</v>
      </c>
      <c r="O263" s="32">
        <v>34.29</v>
      </c>
      <c r="P263" s="32">
        <v>3.7</v>
      </c>
      <c r="Q263" s="34">
        <v>530257</v>
      </c>
      <c r="R263" s="34">
        <v>0</v>
      </c>
      <c r="S263" s="34">
        <v>530257</v>
      </c>
      <c r="T263" s="34">
        <v>93504</v>
      </c>
      <c r="U263" s="34">
        <v>103370</v>
      </c>
      <c r="V263" s="34">
        <v>1112</v>
      </c>
      <c r="W263" s="34">
        <v>54448</v>
      </c>
      <c r="X263" s="34">
        <v>5875</v>
      </c>
      <c r="Y263" s="34">
        <v>788566</v>
      </c>
      <c r="Z263" s="34">
        <v>96962</v>
      </c>
      <c r="AA263" s="34">
        <v>691604</v>
      </c>
      <c r="AB263" s="34">
        <v>383440</v>
      </c>
      <c r="AC263" s="34">
        <v>308164</v>
      </c>
    </row>
    <row r="264" spans="1:29" x14ac:dyDescent="0.25">
      <c r="A264" s="31" t="s">
        <v>263</v>
      </c>
      <c r="B264" s="31" t="s">
        <v>735</v>
      </c>
      <c r="C264" s="31" t="s">
        <v>276</v>
      </c>
      <c r="D264" s="31" t="s">
        <v>664</v>
      </c>
      <c r="E264" s="32">
        <v>13.83</v>
      </c>
      <c r="F264" s="33">
        <v>112</v>
      </c>
      <c r="G264" s="32">
        <v>125.83</v>
      </c>
      <c r="H264" s="32">
        <v>0.26</v>
      </c>
      <c r="I264" s="34">
        <v>0</v>
      </c>
      <c r="J264" s="33">
        <v>0</v>
      </c>
      <c r="K264" s="34">
        <v>112</v>
      </c>
      <c r="L264" s="32">
        <v>333.94</v>
      </c>
      <c r="M264" s="32">
        <v>62.17</v>
      </c>
      <c r="N264" s="32">
        <v>68.73</v>
      </c>
      <c r="O264" s="32">
        <v>34.29</v>
      </c>
      <c r="P264" s="32">
        <v>3.7</v>
      </c>
      <c r="Q264" s="34">
        <v>42020</v>
      </c>
      <c r="R264" s="34">
        <v>0</v>
      </c>
      <c r="S264" s="34">
        <v>42020</v>
      </c>
      <c r="T264" s="34">
        <v>6963</v>
      </c>
      <c r="U264" s="34">
        <v>7698</v>
      </c>
      <c r="V264" s="34">
        <v>87</v>
      </c>
      <c r="W264" s="34">
        <v>4315</v>
      </c>
      <c r="X264" s="34">
        <v>466</v>
      </c>
      <c r="Y264" s="34">
        <v>61549</v>
      </c>
      <c r="Z264" s="34">
        <v>8451</v>
      </c>
      <c r="AA264" s="34">
        <v>53098</v>
      </c>
      <c r="AB264" s="34">
        <v>29618</v>
      </c>
      <c r="AC264" s="34">
        <v>23480</v>
      </c>
    </row>
    <row r="265" spans="1:29" x14ac:dyDescent="0.25">
      <c r="A265" s="31" t="s">
        <v>263</v>
      </c>
      <c r="B265" s="31" t="s">
        <v>735</v>
      </c>
      <c r="C265" s="31" t="s">
        <v>277</v>
      </c>
      <c r="D265" s="31" t="s">
        <v>665</v>
      </c>
      <c r="E265" s="32">
        <v>90.67</v>
      </c>
      <c r="F265" s="33">
        <v>528.5</v>
      </c>
      <c r="G265" s="32">
        <v>619.16999999999996</v>
      </c>
      <c r="H265" s="32">
        <v>1.3</v>
      </c>
      <c r="I265" s="34">
        <v>0</v>
      </c>
      <c r="J265" s="33">
        <v>0</v>
      </c>
      <c r="K265" s="34">
        <v>529</v>
      </c>
      <c r="L265" s="32">
        <v>333.94</v>
      </c>
      <c r="M265" s="32">
        <v>62.17</v>
      </c>
      <c r="N265" s="32">
        <v>68.73</v>
      </c>
      <c r="O265" s="32">
        <v>34.29</v>
      </c>
      <c r="P265" s="32">
        <v>3.7</v>
      </c>
      <c r="Q265" s="34">
        <v>206766</v>
      </c>
      <c r="R265" s="34">
        <v>0</v>
      </c>
      <c r="S265" s="34">
        <v>206766</v>
      </c>
      <c r="T265" s="34">
        <v>32888</v>
      </c>
      <c r="U265" s="34">
        <v>36358</v>
      </c>
      <c r="V265" s="34">
        <v>434</v>
      </c>
      <c r="W265" s="34">
        <v>21231</v>
      </c>
      <c r="X265" s="34">
        <v>2291</v>
      </c>
      <c r="Y265" s="34">
        <v>299968</v>
      </c>
      <c r="Z265" s="34">
        <v>41163</v>
      </c>
      <c r="AA265" s="34">
        <v>258805</v>
      </c>
      <c r="AB265" s="34">
        <v>146163</v>
      </c>
      <c r="AC265" s="34">
        <v>112642</v>
      </c>
    </row>
    <row r="266" spans="1:29" x14ac:dyDescent="0.25">
      <c r="A266" s="31" t="s">
        <v>263</v>
      </c>
      <c r="B266" s="31" t="s">
        <v>735</v>
      </c>
      <c r="C266" s="31" t="s">
        <v>278</v>
      </c>
      <c r="D266" s="31" t="s">
        <v>666</v>
      </c>
      <c r="E266" s="32">
        <v>69.930000000000007</v>
      </c>
      <c r="F266" s="33">
        <v>472.5</v>
      </c>
      <c r="G266" s="32">
        <v>542.42999999999995</v>
      </c>
      <c r="H266" s="32">
        <v>1.1399999999999999</v>
      </c>
      <c r="I266" s="34">
        <v>5</v>
      </c>
      <c r="J266" s="33">
        <v>0</v>
      </c>
      <c r="K266" s="34">
        <v>478</v>
      </c>
      <c r="L266" s="32">
        <v>333.94</v>
      </c>
      <c r="M266" s="32">
        <v>62.17</v>
      </c>
      <c r="N266" s="32">
        <v>68.73</v>
      </c>
      <c r="O266" s="32">
        <v>34.29</v>
      </c>
      <c r="P266" s="32">
        <v>3.7</v>
      </c>
      <c r="Q266" s="34">
        <v>181139</v>
      </c>
      <c r="R266" s="34">
        <v>0</v>
      </c>
      <c r="S266" s="34">
        <v>181139</v>
      </c>
      <c r="T266" s="34">
        <v>29717</v>
      </c>
      <c r="U266" s="34">
        <v>32853</v>
      </c>
      <c r="V266" s="34">
        <v>381</v>
      </c>
      <c r="W266" s="34">
        <v>18600</v>
      </c>
      <c r="X266" s="34">
        <v>2007</v>
      </c>
      <c r="Y266" s="34">
        <v>264697</v>
      </c>
      <c r="Z266" s="34">
        <v>33759</v>
      </c>
      <c r="AA266" s="34">
        <v>230938</v>
      </c>
      <c r="AB266" s="34">
        <v>130350</v>
      </c>
      <c r="AC266" s="34">
        <v>100588</v>
      </c>
    </row>
    <row r="267" spans="1:29" x14ac:dyDescent="0.25">
      <c r="A267" s="31" t="s">
        <v>263</v>
      </c>
      <c r="B267" s="31" t="s">
        <v>735</v>
      </c>
      <c r="C267" s="31" t="s">
        <v>279</v>
      </c>
      <c r="D267" s="31" t="s">
        <v>667</v>
      </c>
      <c r="E267" s="32">
        <v>31.37</v>
      </c>
      <c r="F267" s="33">
        <v>185.5</v>
      </c>
      <c r="G267" s="32">
        <v>216.87</v>
      </c>
      <c r="H267" s="32">
        <v>0.46</v>
      </c>
      <c r="I267" s="34">
        <v>3</v>
      </c>
      <c r="J267" s="33">
        <v>0</v>
      </c>
      <c r="K267" s="34">
        <v>189</v>
      </c>
      <c r="L267" s="32">
        <v>333.94</v>
      </c>
      <c r="M267" s="32">
        <v>62.17</v>
      </c>
      <c r="N267" s="32">
        <v>68.73</v>
      </c>
      <c r="O267" s="32">
        <v>34.29</v>
      </c>
      <c r="P267" s="32">
        <v>3.7</v>
      </c>
      <c r="Q267" s="34">
        <v>72422</v>
      </c>
      <c r="R267" s="34">
        <v>723</v>
      </c>
      <c r="S267" s="34">
        <v>73145</v>
      </c>
      <c r="T267" s="34">
        <v>11750</v>
      </c>
      <c r="U267" s="34">
        <v>12990</v>
      </c>
      <c r="V267" s="34">
        <v>154</v>
      </c>
      <c r="W267" s="34">
        <v>7436</v>
      </c>
      <c r="X267" s="34">
        <v>802</v>
      </c>
      <c r="Y267" s="34">
        <v>106277</v>
      </c>
      <c r="Z267" s="34">
        <v>15759</v>
      </c>
      <c r="AA267" s="34">
        <v>90518</v>
      </c>
      <c r="AB267" s="34">
        <v>49854</v>
      </c>
      <c r="AC267" s="34">
        <v>40664</v>
      </c>
    </row>
    <row r="268" spans="1:29" x14ac:dyDescent="0.25">
      <c r="A268" s="31" t="s">
        <v>263</v>
      </c>
      <c r="B268" s="31" t="s">
        <v>735</v>
      </c>
      <c r="C268" s="31" t="s">
        <v>280</v>
      </c>
      <c r="D268" s="31" t="s">
        <v>668</v>
      </c>
      <c r="E268" s="32">
        <v>64.63</v>
      </c>
      <c r="F268" s="33">
        <v>434</v>
      </c>
      <c r="G268" s="32">
        <v>498.63</v>
      </c>
      <c r="H268" s="32">
        <v>1.05</v>
      </c>
      <c r="I268" s="34">
        <v>1</v>
      </c>
      <c r="J268" s="33">
        <v>0</v>
      </c>
      <c r="K268" s="34">
        <v>435</v>
      </c>
      <c r="L268" s="32">
        <v>333.94</v>
      </c>
      <c r="M268" s="32">
        <v>62.17</v>
      </c>
      <c r="N268" s="32">
        <v>68.73</v>
      </c>
      <c r="O268" s="32">
        <v>34.29</v>
      </c>
      <c r="P268" s="32">
        <v>3.7</v>
      </c>
      <c r="Q268" s="34">
        <v>166513</v>
      </c>
      <c r="R268" s="34">
        <v>0</v>
      </c>
      <c r="S268" s="34">
        <v>166513</v>
      </c>
      <c r="T268" s="34">
        <v>27044</v>
      </c>
      <c r="U268" s="34">
        <v>29898</v>
      </c>
      <c r="V268" s="34">
        <v>351</v>
      </c>
      <c r="W268" s="34">
        <v>17098</v>
      </c>
      <c r="X268" s="34">
        <v>1845</v>
      </c>
      <c r="Y268" s="34">
        <v>242749</v>
      </c>
      <c r="Z268" s="34">
        <v>27555</v>
      </c>
      <c r="AA268" s="34">
        <v>215194</v>
      </c>
      <c r="AB268" s="34">
        <v>123304</v>
      </c>
      <c r="AC268" s="34">
        <v>91890</v>
      </c>
    </row>
    <row r="269" spans="1:29" x14ac:dyDescent="0.25">
      <c r="A269" s="31" t="s">
        <v>263</v>
      </c>
      <c r="B269" s="31" t="s">
        <v>735</v>
      </c>
      <c r="C269" s="31" t="s">
        <v>281</v>
      </c>
      <c r="D269" s="31" t="s">
        <v>669</v>
      </c>
      <c r="E269" s="32">
        <v>235.46</v>
      </c>
      <c r="F269" s="33">
        <v>1918.9</v>
      </c>
      <c r="G269" s="32">
        <v>2154.36</v>
      </c>
      <c r="H269" s="32">
        <v>4.5199999999999996</v>
      </c>
      <c r="I269" s="34">
        <v>12</v>
      </c>
      <c r="J269" s="33">
        <v>0</v>
      </c>
      <c r="K269" s="34">
        <v>1931</v>
      </c>
      <c r="L269" s="32">
        <v>333.94</v>
      </c>
      <c r="M269" s="32">
        <v>62.17</v>
      </c>
      <c r="N269" s="32">
        <v>68.73</v>
      </c>
      <c r="O269" s="32">
        <v>34.29</v>
      </c>
      <c r="P269" s="32">
        <v>3.7</v>
      </c>
      <c r="Q269" s="34">
        <v>719427</v>
      </c>
      <c r="R269" s="34">
        <v>0</v>
      </c>
      <c r="S269" s="34">
        <v>719427</v>
      </c>
      <c r="T269" s="34">
        <v>120050</v>
      </c>
      <c r="U269" s="34">
        <v>132718</v>
      </c>
      <c r="V269" s="34">
        <v>1509</v>
      </c>
      <c r="W269" s="34">
        <v>73873</v>
      </c>
      <c r="X269" s="34">
        <v>7971</v>
      </c>
      <c r="Y269" s="34">
        <v>1055548</v>
      </c>
      <c r="Z269" s="34">
        <v>117049</v>
      </c>
      <c r="AA269" s="34">
        <v>938499</v>
      </c>
      <c r="AB269" s="34">
        <v>534739</v>
      </c>
      <c r="AC269" s="34">
        <v>403760</v>
      </c>
    </row>
    <row r="270" spans="1:29" x14ac:dyDescent="0.25">
      <c r="A270" s="31" t="s">
        <v>263</v>
      </c>
      <c r="B270" s="31" t="s">
        <v>735</v>
      </c>
      <c r="C270" s="31" t="s">
        <v>282</v>
      </c>
      <c r="D270" s="31" t="s">
        <v>670</v>
      </c>
      <c r="E270" s="32">
        <v>88.14</v>
      </c>
      <c r="F270" s="33">
        <v>447.8</v>
      </c>
      <c r="G270" s="32">
        <v>535.94000000000005</v>
      </c>
      <c r="H270" s="32">
        <v>1.1200000000000001</v>
      </c>
      <c r="I270" s="34">
        <v>0</v>
      </c>
      <c r="J270" s="33">
        <v>0</v>
      </c>
      <c r="K270" s="34">
        <v>448</v>
      </c>
      <c r="L270" s="32">
        <v>333.94</v>
      </c>
      <c r="M270" s="32">
        <v>62.17</v>
      </c>
      <c r="N270" s="32">
        <v>68.73</v>
      </c>
      <c r="O270" s="32">
        <v>34.29</v>
      </c>
      <c r="P270" s="32">
        <v>3.7</v>
      </c>
      <c r="Q270" s="34">
        <v>178972</v>
      </c>
      <c r="R270" s="34">
        <v>3175</v>
      </c>
      <c r="S270" s="34">
        <v>182147</v>
      </c>
      <c r="T270" s="34">
        <v>27852</v>
      </c>
      <c r="U270" s="34">
        <v>30791</v>
      </c>
      <c r="V270" s="34">
        <v>374</v>
      </c>
      <c r="W270" s="34">
        <v>18377</v>
      </c>
      <c r="X270" s="34">
        <v>1983</v>
      </c>
      <c r="Y270" s="34">
        <v>261524</v>
      </c>
      <c r="Z270" s="34">
        <v>40807</v>
      </c>
      <c r="AA270" s="34">
        <v>220717</v>
      </c>
      <c r="AB270" s="34">
        <v>121337</v>
      </c>
      <c r="AC270" s="34">
        <v>99380</v>
      </c>
    </row>
    <row r="271" spans="1:29" x14ac:dyDescent="0.25">
      <c r="A271" s="31" t="s">
        <v>263</v>
      </c>
      <c r="B271" s="31" t="s">
        <v>735</v>
      </c>
      <c r="C271" s="31" t="s">
        <v>283</v>
      </c>
      <c r="D271" s="31" t="s">
        <v>671</v>
      </c>
      <c r="E271" s="32">
        <v>30.77</v>
      </c>
      <c r="F271" s="33">
        <v>226</v>
      </c>
      <c r="G271" s="32">
        <v>256.77</v>
      </c>
      <c r="H271" s="32">
        <v>0.54</v>
      </c>
      <c r="I271" s="34">
        <v>0</v>
      </c>
      <c r="J271" s="33">
        <v>0</v>
      </c>
      <c r="K271" s="34">
        <v>226</v>
      </c>
      <c r="L271" s="32">
        <v>333.94</v>
      </c>
      <c r="M271" s="32">
        <v>62.17</v>
      </c>
      <c r="N271" s="32">
        <v>68.73</v>
      </c>
      <c r="O271" s="32">
        <v>34.29</v>
      </c>
      <c r="P271" s="32">
        <v>3.7</v>
      </c>
      <c r="Q271" s="34">
        <v>85746</v>
      </c>
      <c r="R271" s="34">
        <v>0</v>
      </c>
      <c r="S271" s="34">
        <v>85746</v>
      </c>
      <c r="T271" s="34">
        <v>14050</v>
      </c>
      <c r="U271" s="34">
        <v>15533</v>
      </c>
      <c r="V271" s="34">
        <v>180</v>
      </c>
      <c r="W271" s="34">
        <v>8805</v>
      </c>
      <c r="X271" s="34">
        <v>950</v>
      </c>
      <c r="Y271" s="34">
        <v>125264</v>
      </c>
      <c r="Z271" s="34">
        <v>19715</v>
      </c>
      <c r="AA271" s="34">
        <v>105549</v>
      </c>
      <c r="AB271" s="34">
        <v>57970</v>
      </c>
      <c r="AC271" s="34">
        <v>47579</v>
      </c>
    </row>
    <row r="272" spans="1:29" x14ac:dyDescent="0.25">
      <c r="A272" s="31" t="s">
        <v>263</v>
      </c>
      <c r="B272" s="31" t="s">
        <v>735</v>
      </c>
      <c r="C272" s="31" t="s">
        <v>284</v>
      </c>
      <c r="D272" s="31" t="s">
        <v>672</v>
      </c>
      <c r="E272" s="32">
        <v>185.72</v>
      </c>
      <c r="F272" s="33">
        <v>1375.3</v>
      </c>
      <c r="G272" s="32">
        <v>1561.02</v>
      </c>
      <c r="H272" s="32">
        <v>3.27</v>
      </c>
      <c r="I272" s="34">
        <v>72</v>
      </c>
      <c r="J272" s="33">
        <v>0.7</v>
      </c>
      <c r="K272" s="34">
        <v>1447</v>
      </c>
      <c r="L272" s="32">
        <v>333.94</v>
      </c>
      <c r="M272" s="32">
        <v>62.17</v>
      </c>
      <c r="N272" s="32">
        <v>68.73</v>
      </c>
      <c r="O272" s="32">
        <v>34.29</v>
      </c>
      <c r="P272" s="32">
        <v>3.7</v>
      </c>
      <c r="Q272" s="34">
        <v>521287</v>
      </c>
      <c r="R272" s="34">
        <v>0</v>
      </c>
      <c r="S272" s="34">
        <v>521287</v>
      </c>
      <c r="T272" s="34">
        <v>89960</v>
      </c>
      <c r="U272" s="34">
        <v>99452</v>
      </c>
      <c r="V272" s="34">
        <v>1092</v>
      </c>
      <c r="W272" s="34">
        <v>53527</v>
      </c>
      <c r="X272" s="34">
        <v>5776</v>
      </c>
      <c r="Y272" s="34">
        <v>771094</v>
      </c>
      <c r="Z272" s="34">
        <v>99086</v>
      </c>
      <c r="AA272" s="34">
        <v>672008</v>
      </c>
      <c r="AB272" s="34">
        <v>373190</v>
      </c>
      <c r="AC272" s="34">
        <v>298818</v>
      </c>
    </row>
    <row r="273" spans="1:29" x14ac:dyDescent="0.25">
      <c r="A273" s="31" t="s">
        <v>263</v>
      </c>
      <c r="B273" s="31" t="s">
        <v>735</v>
      </c>
      <c r="C273" s="31" t="s">
        <v>285</v>
      </c>
      <c r="D273" s="31" t="s">
        <v>673</v>
      </c>
      <c r="E273" s="32">
        <v>89.09</v>
      </c>
      <c r="F273" s="33">
        <v>666.1</v>
      </c>
      <c r="G273" s="32">
        <v>755.19</v>
      </c>
      <c r="H273" s="32">
        <v>1.58</v>
      </c>
      <c r="I273" s="34">
        <v>12</v>
      </c>
      <c r="J273" s="33">
        <v>0</v>
      </c>
      <c r="K273" s="34">
        <v>678</v>
      </c>
      <c r="L273" s="32">
        <v>333.94</v>
      </c>
      <c r="M273" s="32">
        <v>62.17</v>
      </c>
      <c r="N273" s="32">
        <v>68.73</v>
      </c>
      <c r="O273" s="32">
        <v>34.29</v>
      </c>
      <c r="P273" s="32">
        <v>3.7</v>
      </c>
      <c r="Q273" s="34">
        <v>252188</v>
      </c>
      <c r="R273" s="34">
        <v>0</v>
      </c>
      <c r="S273" s="34">
        <v>252188</v>
      </c>
      <c r="T273" s="34">
        <v>42151</v>
      </c>
      <c r="U273" s="34">
        <v>46599</v>
      </c>
      <c r="V273" s="34">
        <v>528</v>
      </c>
      <c r="W273" s="34">
        <v>25895</v>
      </c>
      <c r="X273" s="34">
        <v>2794</v>
      </c>
      <c r="Y273" s="34">
        <v>370155</v>
      </c>
      <c r="Z273" s="34">
        <v>59154</v>
      </c>
      <c r="AA273" s="34">
        <v>311001</v>
      </c>
      <c r="AB273" s="34">
        <v>169322</v>
      </c>
      <c r="AC273" s="34">
        <v>141679</v>
      </c>
    </row>
    <row r="274" spans="1:29" x14ac:dyDescent="0.25">
      <c r="A274" s="31" t="s">
        <v>263</v>
      </c>
      <c r="B274" s="31" t="s">
        <v>735</v>
      </c>
      <c r="C274" s="31" t="s">
        <v>286</v>
      </c>
      <c r="D274" s="31" t="s">
        <v>674</v>
      </c>
      <c r="E274" s="32">
        <v>56.14</v>
      </c>
      <c r="F274" s="33">
        <v>336.8</v>
      </c>
      <c r="G274" s="32">
        <v>392.94</v>
      </c>
      <c r="H274" s="32">
        <v>0.81</v>
      </c>
      <c r="I274" s="34">
        <v>0</v>
      </c>
      <c r="J274" s="33">
        <v>0</v>
      </c>
      <c r="K274" s="34">
        <v>337</v>
      </c>
      <c r="L274" s="32">
        <v>333.94</v>
      </c>
      <c r="M274" s="32">
        <v>62.17</v>
      </c>
      <c r="N274" s="32">
        <v>68.73</v>
      </c>
      <c r="O274" s="32">
        <v>34.29</v>
      </c>
      <c r="P274" s="32">
        <v>3.7</v>
      </c>
      <c r="Q274" s="34">
        <v>131218</v>
      </c>
      <c r="R274" s="34">
        <v>0</v>
      </c>
      <c r="S274" s="34">
        <v>131218</v>
      </c>
      <c r="T274" s="34">
        <v>20951</v>
      </c>
      <c r="U274" s="34">
        <v>23162</v>
      </c>
      <c r="V274" s="34">
        <v>270</v>
      </c>
      <c r="W274" s="34">
        <v>13474</v>
      </c>
      <c r="X274" s="34">
        <v>1454</v>
      </c>
      <c r="Y274" s="34">
        <v>190529</v>
      </c>
      <c r="Z274" s="34">
        <v>22178</v>
      </c>
      <c r="AA274" s="34">
        <v>168351</v>
      </c>
      <c r="AB274" s="34">
        <v>96700</v>
      </c>
      <c r="AC274" s="34">
        <v>71651</v>
      </c>
    </row>
    <row r="275" spans="1:29" x14ac:dyDescent="0.25">
      <c r="A275" s="31" t="s">
        <v>263</v>
      </c>
      <c r="B275" s="31" t="s">
        <v>735</v>
      </c>
      <c r="C275" s="31" t="s">
        <v>287</v>
      </c>
      <c r="D275" s="31" t="s">
        <v>675</v>
      </c>
      <c r="E275" s="32">
        <v>44.38</v>
      </c>
      <c r="F275" s="33">
        <v>450.4</v>
      </c>
      <c r="G275" s="32">
        <v>494.78</v>
      </c>
      <c r="H275" s="32">
        <v>1.04</v>
      </c>
      <c r="I275" s="34">
        <v>1</v>
      </c>
      <c r="J275" s="33">
        <v>0</v>
      </c>
      <c r="K275" s="34">
        <v>451</v>
      </c>
      <c r="L275" s="32">
        <v>333.94</v>
      </c>
      <c r="M275" s="32">
        <v>62.17</v>
      </c>
      <c r="N275" s="32">
        <v>68.73</v>
      </c>
      <c r="O275" s="32">
        <v>34.29</v>
      </c>
      <c r="P275" s="32">
        <v>3.7</v>
      </c>
      <c r="Q275" s="34">
        <v>165227</v>
      </c>
      <c r="R275" s="34">
        <v>0</v>
      </c>
      <c r="S275" s="34">
        <v>165227</v>
      </c>
      <c r="T275" s="34">
        <v>28039</v>
      </c>
      <c r="U275" s="34">
        <v>30997</v>
      </c>
      <c r="V275" s="34">
        <v>347</v>
      </c>
      <c r="W275" s="34">
        <v>16966</v>
      </c>
      <c r="X275" s="34">
        <v>1831</v>
      </c>
      <c r="Y275" s="34">
        <v>243407</v>
      </c>
      <c r="Z275" s="34">
        <v>28654</v>
      </c>
      <c r="AA275" s="34">
        <v>214753</v>
      </c>
      <c r="AB275" s="34">
        <v>121039</v>
      </c>
      <c r="AC275" s="34">
        <v>93714</v>
      </c>
    </row>
    <row r="276" spans="1:29" x14ac:dyDescent="0.25">
      <c r="A276" s="31" t="s">
        <v>263</v>
      </c>
      <c r="B276" s="31" t="s">
        <v>735</v>
      </c>
      <c r="C276" s="31" t="s">
        <v>288</v>
      </c>
      <c r="D276" s="31" t="s">
        <v>676</v>
      </c>
      <c r="E276" s="32">
        <v>399.76</v>
      </c>
      <c r="F276" s="33">
        <v>2655.6</v>
      </c>
      <c r="G276" s="32">
        <v>3055.36</v>
      </c>
      <c r="H276" s="32">
        <v>6.41</v>
      </c>
      <c r="I276" s="34">
        <v>207</v>
      </c>
      <c r="J276" s="33">
        <v>0.2</v>
      </c>
      <c r="K276" s="34">
        <v>2862</v>
      </c>
      <c r="L276" s="32">
        <v>333.94</v>
      </c>
      <c r="M276" s="32">
        <v>62.17</v>
      </c>
      <c r="N276" s="32">
        <v>68.73</v>
      </c>
      <c r="O276" s="32">
        <v>34.29</v>
      </c>
      <c r="P276" s="32">
        <v>3.7</v>
      </c>
      <c r="Q276" s="34">
        <v>1020307</v>
      </c>
      <c r="R276" s="34">
        <v>0</v>
      </c>
      <c r="S276" s="34">
        <v>1020307</v>
      </c>
      <c r="T276" s="34">
        <v>177931</v>
      </c>
      <c r="U276" s="34">
        <v>196705</v>
      </c>
      <c r="V276" s="34">
        <v>2141</v>
      </c>
      <c r="W276" s="34">
        <v>104768</v>
      </c>
      <c r="X276" s="34">
        <v>11305</v>
      </c>
      <c r="Y276" s="34">
        <v>1513157</v>
      </c>
      <c r="Z276" s="34">
        <v>148030</v>
      </c>
      <c r="AA276" s="34">
        <v>1365127</v>
      </c>
      <c r="AB276" s="34">
        <v>776350</v>
      </c>
      <c r="AC276" s="34">
        <v>588777</v>
      </c>
    </row>
    <row r="277" spans="1:29" x14ac:dyDescent="0.25">
      <c r="A277" s="31" t="s">
        <v>263</v>
      </c>
      <c r="B277" s="31" t="s">
        <v>735</v>
      </c>
      <c r="C277" s="31" t="s">
        <v>289</v>
      </c>
      <c r="D277" s="31" t="s">
        <v>677</v>
      </c>
      <c r="E277" s="32">
        <v>55.56</v>
      </c>
      <c r="F277" s="33">
        <v>602.9</v>
      </c>
      <c r="G277" s="32">
        <v>658.46</v>
      </c>
      <c r="H277" s="32">
        <v>1.38</v>
      </c>
      <c r="I277" s="34">
        <v>0</v>
      </c>
      <c r="J277" s="33">
        <v>0</v>
      </c>
      <c r="K277" s="34">
        <v>603</v>
      </c>
      <c r="L277" s="32">
        <v>333.94</v>
      </c>
      <c r="M277" s="32">
        <v>62.17</v>
      </c>
      <c r="N277" s="32">
        <v>68.73</v>
      </c>
      <c r="O277" s="32">
        <v>34.29</v>
      </c>
      <c r="P277" s="32">
        <v>3.7</v>
      </c>
      <c r="Q277" s="34">
        <v>219886</v>
      </c>
      <c r="R277" s="34">
        <v>0</v>
      </c>
      <c r="S277" s="34">
        <v>219886</v>
      </c>
      <c r="T277" s="34">
        <v>37489</v>
      </c>
      <c r="U277" s="34">
        <v>41444</v>
      </c>
      <c r="V277" s="34">
        <v>461</v>
      </c>
      <c r="W277" s="34">
        <v>22579</v>
      </c>
      <c r="X277" s="34">
        <v>2436</v>
      </c>
      <c r="Y277" s="34">
        <v>324295</v>
      </c>
      <c r="Z277" s="34">
        <v>37423</v>
      </c>
      <c r="AA277" s="34">
        <v>286872</v>
      </c>
      <c r="AB277" s="34">
        <v>161790</v>
      </c>
      <c r="AC277" s="34">
        <v>125082</v>
      </c>
    </row>
    <row r="278" spans="1:29" x14ac:dyDescent="0.25">
      <c r="A278" s="31" t="s">
        <v>263</v>
      </c>
      <c r="B278" s="31" t="s">
        <v>735</v>
      </c>
      <c r="C278" s="31" t="s">
        <v>290</v>
      </c>
      <c r="D278" s="31" t="s">
        <v>678</v>
      </c>
      <c r="E278" s="32">
        <v>115.01</v>
      </c>
      <c r="F278" s="33">
        <v>762.6</v>
      </c>
      <c r="G278" s="32">
        <v>877.61</v>
      </c>
      <c r="H278" s="32">
        <v>1.84</v>
      </c>
      <c r="I278" s="34">
        <v>8</v>
      </c>
      <c r="J278" s="33">
        <v>0</v>
      </c>
      <c r="K278" s="34">
        <v>771</v>
      </c>
      <c r="L278" s="32">
        <v>333.94</v>
      </c>
      <c r="M278" s="32">
        <v>62.17</v>
      </c>
      <c r="N278" s="32">
        <v>68.73</v>
      </c>
      <c r="O278" s="32">
        <v>34.29</v>
      </c>
      <c r="P278" s="32">
        <v>3.7</v>
      </c>
      <c r="Q278" s="34">
        <v>293069</v>
      </c>
      <c r="R278" s="34">
        <v>0</v>
      </c>
      <c r="S278" s="34">
        <v>293069</v>
      </c>
      <c r="T278" s="34">
        <v>47933</v>
      </c>
      <c r="U278" s="34">
        <v>52991</v>
      </c>
      <c r="V278" s="34">
        <v>614</v>
      </c>
      <c r="W278" s="34">
        <v>30093</v>
      </c>
      <c r="X278" s="34">
        <v>3247</v>
      </c>
      <c r="Y278" s="34">
        <v>427947</v>
      </c>
      <c r="Z278" s="34">
        <v>58953</v>
      </c>
      <c r="AA278" s="34">
        <v>368994</v>
      </c>
      <c r="AB278" s="34">
        <v>206562</v>
      </c>
      <c r="AC278" s="34">
        <v>162432</v>
      </c>
    </row>
    <row r="279" spans="1:29" x14ac:dyDescent="0.25">
      <c r="A279" s="31" t="s">
        <v>263</v>
      </c>
      <c r="B279" s="31" t="s">
        <v>735</v>
      </c>
      <c r="C279" s="31" t="s">
        <v>291</v>
      </c>
      <c r="D279" s="31" t="s">
        <v>679</v>
      </c>
      <c r="E279" s="32">
        <v>45</v>
      </c>
      <c r="F279" s="33">
        <v>211.6</v>
      </c>
      <c r="G279" s="32">
        <v>256.60000000000002</v>
      </c>
      <c r="H279" s="32">
        <v>0.54</v>
      </c>
      <c r="I279" s="34">
        <v>0</v>
      </c>
      <c r="J279" s="33">
        <v>0</v>
      </c>
      <c r="K279" s="34">
        <v>212</v>
      </c>
      <c r="L279" s="32">
        <v>333.94</v>
      </c>
      <c r="M279" s="32">
        <v>62.17</v>
      </c>
      <c r="N279" s="32">
        <v>68.73</v>
      </c>
      <c r="O279" s="32">
        <v>34.29</v>
      </c>
      <c r="P279" s="32">
        <v>3.7</v>
      </c>
      <c r="Q279" s="34">
        <v>85689</v>
      </c>
      <c r="R279" s="34">
        <v>7179</v>
      </c>
      <c r="S279" s="34">
        <v>92868</v>
      </c>
      <c r="T279" s="34">
        <v>13180</v>
      </c>
      <c r="U279" s="34">
        <v>14571</v>
      </c>
      <c r="V279" s="34">
        <v>180</v>
      </c>
      <c r="W279" s="34">
        <v>8955</v>
      </c>
      <c r="X279" s="34">
        <v>963</v>
      </c>
      <c r="Y279" s="34">
        <v>130717</v>
      </c>
      <c r="Z279" s="34">
        <v>19343</v>
      </c>
      <c r="AA279" s="34">
        <v>111374</v>
      </c>
      <c r="AB279" s="34">
        <v>58460</v>
      </c>
      <c r="AC279" s="34">
        <v>52914</v>
      </c>
    </row>
    <row r="280" spans="1:29" x14ac:dyDescent="0.25">
      <c r="A280" s="31" t="s">
        <v>263</v>
      </c>
      <c r="B280" s="31" t="s">
        <v>735</v>
      </c>
      <c r="C280" s="31" t="s">
        <v>292</v>
      </c>
      <c r="D280" s="31" t="s">
        <v>680</v>
      </c>
      <c r="E280" s="32">
        <v>98.81</v>
      </c>
      <c r="F280" s="33">
        <v>598.29999999999995</v>
      </c>
      <c r="G280" s="32">
        <v>697.11</v>
      </c>
      <c r="H280" s="32">
        <v>1.46</v>
      </c>
      <c r="I280" s="34">
        <v>0</v>
      </c>
      <c r="J280" s="33">
        <v>0</v>
      </c>
      <c r="K280" s="34">
        <v>598</v>
      </c>
      <c r="L280" s="32">
        <v>333.94</v>
      </c>
      <c r="M280" s="32">
        <v>62.17</v>
      </c>
      <c r="N280" s="32">
        <v>68.73</v>
      </c>
      <c r="O280" s="32">
        <v>34.29</v>
      </c>
      <c r="P280" s="32">
        <v>3.7</v>
      </c>
      <c r="Q280" s="34">
        <v>232793</v>
      </c>
      <c r="R280" s="34">
        <v>0</v>
      </c>
      <c r="S280" s="34">
        <v>232793</v>
      </c>
      <c r="T280" s="34">
        <v>37178</v>
      </c>
      <c r="U280" s="34">
        <v>41101</v>
      </c>
      <c r="V280" s="34">
        <v>488</v>
      </c>
      <c r="W280" s="34">
        <v>23904</v>
      </c>
      <c r="X280" s="34">
        <v>2579</v>
      </c>
      <c r="Y280" s="34">
        <v>338043</v>
      </c>
      <c r="Z280" s="34">
        <v>51434</v>
      </c>
      <c r="AA280" s="34">
        <v>286609</v>
      </c>
      <c r="AB280" s="34">
        <v>159471</v>
      </c>
      <c r="AC280" s="34">
        <v>127138</v>
      </c>
    </row>
    <row r="281" spans="1:29" x14ac:dyDescent="0.25">
      <c r="A281" s="31" t="s">
        <v>263</v>
      </c>
      <c r="B281" s="31" t="s">
        <v>735</v>
      </c>
      <c r="C281" s="31" t="s">
        <v>293</v>
      </c>
      <c r="D281" s="31" t="s">
        <v>681</v>
      </c>
      <c r="E281" s="32">
        <v>26.78</v>
      </c>
      <c r="F281" s="33">
        <v>221.8</v>
      </c>
      <c r="G281" s="32">
        <v>248.58</v>
      </c>
      <c r="H281" s="32">
        <v>0.52</v>
      </c>
      <c r="I281" s="34">
        <v>3</v>
      </c>
      <c r="J281" s="33">
        <v>0</v>
      </c>
      <c r="K281" s="34">
        <v>225</v>
      </c>
      <c r="L281" s="32">
        <v>333.94</v>
      </c>
      <c r="M281" s="32">
        <v>62.17</v>
      </c>
      <c r="N281" s="32">
        <v>68.73</v>
      </c>
      <c r="O281" s="32">
        <v>34.29</v>
      </c>
      <c r="P281" s="32">
        <v>3.7</v>
      </c>
      <c r="Q281" s="34">
        <v>83011</v>
      </c>
      <c r="R281" s="34">
        <v>5082</v>
      </c>
      <c r="S281" s="34">
        <v>88093</v>
      </c>
      <c r="T281" s="34">
        <v>13988</v>
      </c>
      <c r="U281" s="34">
        <v>15464</v>
      </c>
      <c r="V281" s="34">
        <v>174</v>
      </c>
      <c r="W281" s="34">
        <v>8524</v>
      </c>
      <c r="X281" s="34">
        <v>920</v>
      </c>
      <c r="Y281" s="34">
        <v>127163</v>
      </c>
      <c r="Z281" s="34">
        <v>19736</v>
      </c>
      <c r="AA281" s="34">
        <v>107427</v>
      </c>
      <c r="AB281" s="34">
        <v>55470</v>
      </c>
      <c r="AC281" s="34">
        <v>51957</v>
      </c>
    </row>
    <row r="282" spans="1:29" x14ac:dyDescent="0.25">
      <c r="A282" s="31" t="s">
        <v>263</v>
      </c>
      <c r="B282" s="31" t="s">
        <v>735</v>
      </c>
      <c r="C282" s="31" t="s">
        <v>294</v>
      </c>
      <c r="D282" s="31" t="s">
        <v>682</v>
      </c>
      <c r="E282" s="32">
        <v>78.400000000000006</v>
      </c>
      <c r="F282" s="33">
        <v>626.5</v>
      </c>
      <c r="G282" s="32">
        <v>704.9</v>
      </c>
      <c r="H282" s="32">
        <v>1.48</v>
      </c>
      <c r="I282" s="34">
        <v>11</v>
      </c>
      <c r="J282" s="33">
        <v>0</v>
      </c>
      <c r="K282" s="34">
        <v>638</v>
      </c>
      <c r="L282" s="32">
        <v>333.94</v>
      </c>
      <c r="M282" s="32">
        <v>62.17</v>
      </c>
      <c r="N282" s="32">
        <v>68.73</v>
      </c>
      <c r="O282" s="32">
        <v>34.29</v>
      </c>
      <c r="P282" s="32">
        <v>3.7</v>
      </c>
      <c r="Q282" s="34">
        <v>235394</v>
      </c>
      <c r="R282" s="34">
        <v>0</v>
      </c>
      <c r="S282" s="34">
        <v>235394</v>
      </c>
      <c r="T282" s="34">
        <v>39664</v>
      </c>
      <c r="U282" s="34">
        <v>43850</v>
      </c>
      <c r="V282" s="34">
        <v>494</v>
      </c>
      <c r="W282" s="34">
        <v>24171</v>
      </c>
      <c r="X282" s="34">
        <v>2608</v>
      </c>
      <c r="Y282" s="34">
        <v>346181</v>
      </c>
      <c r="Z282" s="34">
        <v>51950</v>
      </c>
      <c r="AA282" s="34">
        <v>294231</v>
      </c>
      <c r="AB282" s="34">
        <v>161313</v>
      </c>
      <c r="AC282" s="34">
        <v>132918</v>
      </c>
    </row>
    <row r="283" spans="1:29" x14ac:dyDescent="0.25">
      <c r="A283" s="31" t="s">
        <v>263</v>
      </c>
      <c r="B283" s="31" t="s">
        <v>735</v>
      </c>
      <c r="C283" s="31" t="s">
        <v>295</v>
      </c>
      <c r="D283" s="31" t="s">
        <v>683</v>
      </c>
      <c r="E283" s="32">
        <v>39.229999999999997</v>
      </c>
      <c r="F283" s="33">
        <v>178.1</v>
      </c>
      <c r="G283" s="32">
        <v>217.33</v>
      </c>
      <c r="H283" s="32">
        <v>0.46</v>
      </c>
      <c r="I283" s="34">
        <v>3</v>
      </c>
      <c r="J283" s="33">
        <v>0</v>
      </c>
      <c r="K283" s="34">
        <v>181</v>
      </c>
      <c r="L283" s="32">
        <v>333.94</v>
      </c>
      <c r="M283" s="32">
        <v>62.17</v>
      </c>
      <c r="N283" s="32">
        <v>68.73</v>
      </c>
      <c r="O283" s="32">
        <v>34.29</v>
      </c>
      <c r="P283" s="32">
        <v>3.7</v>
      </c>
      <c r="Q283" s="34">
        <v>72575</v>
      </c>
      <c r="R283" s="34">
        <v>191</v>
      </c>
      <c r="S283" s="34">
        <v>72766</v>
      </c>
      <c r="T283" s="34">
        <v>11253</v>
      </c>
      <c r="U283" s="34">
        <v>12440</v>
      </c>
      <c r="V283" s="34">
        <v>154</v>
      </c>
      <c r="W283" s="34">
        <v>7452</v>
      </c>
      <c r="X283" s="34">
        <v>804</v>
      </c>
      <c r="Y283" s="34">
        <v>104869</v>
      </c>
      <c r="Z283" s="34">
        <v>18609</v>
      </c>
      <c r="AA283" s="34">
        <v>86260</v>
      </c>
      <c r="AB283" s="34">
        <v>47144</v>
      </c>
      <c r="AC283" s="34">
        <v>39116</v>
      </c>
    </row>
    <row r="284" spans="1:29" x14ac:dyDescent="0.25">
      <c r="A284" s="31" t="s">
        <v>263</v>
      </c>
      <c r="B284" s="31" t="s">
        <v>735</v>
      </c>
      <c r="C284" s="31" t="s">
        <v>296</v>
      </c>
      <c r="D284" s="31" t="s">
        <v>684</v>
      </c>
      <c r="E284" s="32">
        <v>131.41999999999999</v>
      </c>
      <c r="F284" s="33">
        <v>1034.9000000000001</v>
      </c>
      <c r="G284" s="32">
        <v>1166.32</v>
      </c>
      <c r="H284" s="32">
        <v>2.44</v>
      </c>
      <c r="I284" s="34">
        <v>0</v>
      </c>
      <c r="J284" s="33">
        <v>0</v>
      </c>
      <c r="K284" s="34">
        <v>1035</v>
      </c>
      <c r="L284" s="32">
        <v>333.94</v>
      </c>
      <c r="M284" s="32">
        <v>62.17</v>
      </c>
      <c r="N284" s="32">
        <v>68.73</v>
      </c>
      <c r="O284" s="32">
        <v>34.29</v>
      </c>
      <c r="P284" s="32">
        <v>3.7</v>
      </c>
      <c r="Q284" s="34">
        <v>389481</v>
      </c>
      <c r="R284" s="34">
        <v>5066</v>
      </c>
      <c r="S284" s="34">
        <v>394547</v>
      </c>
      <c r="T284" s="34">
        <v>64346</v>
      </c>
      <c r="U284" s="34">
        <v>71136</v>
      </c>
      <c r="V284" s="34">
        <v>815</v>
      </c>
      <c r="W284" s="34">
        <v>40511</v>
      </c>
      <c r="X284" s="34">
        <v>4357</v>
      </c>
      <c r="Y284" s="34">
        <v>575712</v>
      </c>
      <c r="Z284" s="34">
        <v>81514</v>
      </c>
      <c r="AA284" s="34">
        <v>494198</v>
      </c>
      <c r="AB284" s="34">
        <v>271907</v>
      </c>
      <c r="AC284" s="34">
        <v>222291</v>
      </c>
    </row>
    <row r="285" spans="1:29" x14ac:dyDescent="0.25">
      <c r="A285" s="31" t="s">
        <v>263</v>
      </c>
      <c r="B285" s="31" t="s">
        <v>735</v>
      </c>
      <c r="C285" s="31" t="s">
        <v>297</v>
      </c>
      <c r="D285" s="31" t="s">
        <v>685</v>
      </c>
      <c r="E285" s="32">
        <v>92.31</v>
      </c>
      <c r="F285" s="33">
        <v>716.2</v>
      </c>
      <c r="G285" s="32">
        <v>808.51</v>
      </c>
      <c r="H285" s="32">
        <v>1.69</v>
      </c>
      <c r="I285" s="34">
        <v>2</v>
      </c>
      <c r="J285" s="33">
        <v>0</v>
      </c>
      <c r="K285" s="34">
        <v>718</v>
      </c>
      <c r="L285" s="32">
        <v>333.94</v>
      </c>
      <c r="M285" s="32">
        <v>62.17</v>
      </c>
      <c r="N285" s="32">
        <v>68.73</v>
      </c>
      <c r="O285" s="32">
        <v>34.29</v>
      </c>
      <c r="P285" s="32">
        <v>3.7</v>
      </c>
      <c r="Q285" s="34">
        <v>269994</v>
      </c>
      <c r="R285" s="34">
        <v>0</v>
      </c>
      <c r="S285" s="34">
        <v>269994</v>
      </c>
      <c r="T285" s="34">
        <v>44638</v>
      </c>
      <c r="U285" s="34">
        <v>49348</v>
      </c>
      <c r="V285" s="34">
        <v>564</v>
      </c>
      <c r="W285" s="34">
        <v>27724</v>
      </c>
      <c r="X285" s="34">
        <v>2991</v>
      </c>
      <c r="Y285" s="34">
        <v>395259</v>
      </c>
      <c r="Z285" s="34">
        <v>43542</v>
      </c>
      <c r="AA285" s="34">
        <v>351717</v>
      </c>
      <c r="AB285" s="34">
        <v>201066</v>
      </c>
      <c r="AC285" s="34">
        <v>150651</v>
      </c>
    </row>
    <row r="286" spans="1:29" x14ac:dyDescent="0.25">
      <c r="A286" s="31" t="s">
        <v>263</v>
      </c>
      <c r="B286" s="31" t="s">
        <v>735</v>
      </c>
      <c r="C286" s="31" t="s">
        <v>298</v>
      </c>
      <c r="D286" s="31" t="s">
        <v>686</v>
      </c>
      <c r="E286" s="32">
        <v>129.59</v>
      </c>
      <c r="F286" s="33">
        <v>1050.3</v>
      </c>
      <c r="G286" s="32">
        <v>1179.8900000000001</v>
      </c>
      <c r="H286" s="32">
        <v>2.4700000000000002</v>
      </c>
      <c r="I286" s="34">
        <v>9</v>
      </c>
      <c r="J286" s="33">
        <v>0</v>
      </c>
      <c r="K286" s="34">
        <v>1059</v>
      </c>
      <c r="L286" s="32">
        <v>333.94</v>
      </c>
      <c r="M286" s="32">
        <v>62.17</v>
      </c>
      <c r="N286" s="32">
        <v>68.73</v>
      </c>
      <c r="O286" s="32">
        <v>34.29</v>
      </c>
      <c r="P286" s="32">
        <v>3.7</v>
      </c>
      <c r="Q286" s="34">
        <v>394012</v>
      </c>
      <c r="R286" s="34">
        <v>0</v>
      </c>
      <c r="S286" s="34">
        <v>394012</v>
      </c>
      <c r="T286" s="34">
        <v>65838</v>
      </c>
      <c r="U286" s="34">
        <v>72785</v>
      </c>
      <c r="V286" s="34">
        <v>825</v>
      </c>
      <c r="W286" s="34">
        <v>40458</v>
      </c>
      <c r="X286" s="34">
        <v>4366</v>
      </c>
      <c r="Y286" s="34">
        <v>578284</v>
      </c>
      <c r="Z286" s="34">
        <v>75256</v>
      </c>
      <c r="AA286" s="34">
        <v>503028</v>
      </c>
      <c r="AB286" s="34">
        <v>281711</v>
      </c>
      <c r="AC286" s="34">
        <v>221317</v>
      </c>
    </row>
    <row r="287" spans="1:29" x14ac:dyDescent="0.25">
      <c r="A287" s="31" t="s">
        <v>263</v>
      </c>
      <c r="B287" s="31" t="s">
        <v>735</v>
      </c>
      <c r="C287" s="31" t="s">
        <v>299</v>
      </c>
      <c r="D287" s="31" t="s">
        <v>687</v>
      </c>
      <c r="E287" s="32">
        <v>58.72</v>
      </c>
      <c r="F287" s="33">
        <v>386</v>
      </c>
      <c r="G287" s="32">
        <v>444.72</v>
      </c>
      <c r="H287" s="32">
        <v>0.93</v>
      </c>
      <c r="I287" s="34">
        <v>0</v>
      </c>
      <c r="J287" s="33">
        <v>0</v>
      </c>
      <c r="K287" s="34">
        <v>386</v>
      </c>
      <c r="L287" s="32">
        <v>333.94</v>
      </c>
      <c r="M287" s="32">
        <v>62.17</v>
      </c>
      <c r="N287" s="32">
        <v>68.73</v>
      </c>
      <c r="O287" s="32">
        <v>34.29</v>
      </c>
      <c r="P287" s="32">
        <v>3.7</v>
      </c>
      <c r="Q287" s="34">
        <v>148510</v>
      </c>
      <c r="R287" s="34">
        <v>0</v>
      </c>
      <c r="S287" s="34">
        <v>148510</v>
      </c>
      <c r="T287" s="34">
        <v>23998</v>
      </c>
      <c r="U287" s="34">
        <v>26530</v>
      </c>
      <c r="V287" s="34">
        <v>311</v>
      </c>
      <c r="W287" s="34">
        <v>15249</v>
      </c>
      <c r="X287" s="34">
        <v>1645</v>
      </c>
      <c r="Y287" s="34">
        <v>216243</v>
      </c>
      <c r="Z287" s="34">
        <v>29473</v>
      </c>
      <c r="AA287" s="34">
        <v>186770</v>
      </c>
      <c r="AB287" s="34">
        <v>105073</v>
      </c>
      <c r="AC287" s="34">
        <v>81697</v>
      </c>
    </row>
    <row r="288" spans="1:29" x14ac:dyDescent="0.25">
      <c r="A288" s="31" t="s">
        <v>263</v>
      </c>
      <c r="B288" s="31" t="s">
        <v>735</v>
      </c>
      <c r="C288" s="31" t="s">
        <v>300</v>
      </c>
      <c r="D288" s="31" t="s">
        <v>688</v>
      </c>
      <c r="E288" s="32">
        <v>32.08</v>
      </c>
      <c r="F288" s="33">
        <v>193.4</v>
      </c>
      <c r="G288" s="32">
        <v>225.48</v>
      </c>
      <c r="H288" s="32">
        <v>0.47</v>
      </c>
      <c r="I288" s="34">
        <v>2</v>
      </c>
      <c r="J288" s="33">
        <v>0</v>
      </c>
      <c r="K288" s="34">
        <v>195</v>
      </c>
      <c r="L288" s="32">
        <v>333.94</v>
      </c>
      <c r="M288" s="32">
        <v>62.17</v>
      </c>
      <c r="N288" s="32">
        <v>68.73</v>
      </c>
      <c r="O288" s="32">
        <v>34.29</v>
      </c>
      <c r="P288" s="32">
        <v>3.7</v>
      </c>
      <c r="Q288" s="34">
        <v>75297</v>
      </c>
      <c r="R288" s="34">
        <v>4479</v>
      </c>
      <c r="S288" s="34">
        <v>79776</v>
      </c>
      <c r="T288" s="34">
        <v>12123</v>
      </c>
      <c r="U288" s="34">
        <v>13402</v>
      </c>
      <c r="V288" s="34">
        <v>157</v>
      </c>
      <c r="W288" s="34">
        <v>7958</v>
      </c>
      <c r="X288" s="34">
        <v>856</v>
      </c>
      <c r="Y288" s="34">
        <v>114272</v>
      </c>
      <c r="Z288" s="34">
        <v>20519</v>
      </c>
      <c r="AA288" s="34">
        <v>93753</v>
      </c>
      <c r="AB288" s="34">
        <v>47946</v>
      </c>
      <c r="AC288" s="34">
        <v>45807</v>
      </c>
    </row>
    <row r="289" spans="1:29" x14ac:dyDescent="0.25">
      <c r="A289" s="31" t="s">
        <v>263</v>
      </c>
      <c r="B289" s="31" t="s">
        <v>735</v>
      </c>
      <c r="C289" s="31" t="s">
        <v>301</v>
      </c>
      <c r="D289" s="31" t="s">
        <v>689</v>
      </c>
      <c r="E289" s="32">
        <v>18.18</v>
      </c>
      <c r="F289" s="33">
        <v>197</v>
      </c>
      <c r="G289" s="32">
        <v>215.18</v>
      </c>
      <c r="H289" s="32">
        <v>0.45</v>
      </c>
      <c r="I289" s="34">
        <v>0</v>
      </c>
      <c r="J289" s="33">
        <v>0</v>
      </c>
      <c r="K289" s="34">
        <v>197</v>
      </c>
      <c r="L289" s="32">
        <v>333.94</v>
      </c>
      <c r="M289" s="32">
        <v>62.17</v>
      </c>
      <c r="N289" s="32">
        <v>68.73</v>
      </c>
      <c r="O289" s="32">
        <v>34.29</v>
      </c>
      <c r="P289" s="32">
        <v>3.7</v>
      </c>
      <c r="Q289" s="34">
        <v>71857</v>
      </c>
      <c r="R289" s="34">
        <v>0</v>
      </c>
      <c r="S289" s="34">
        <v>71857</v>
      </c>
      <c r="T289" s="34">
        <v>12247</v>
      </c>
      <c r="U289" s="34">
        <v>13540</v>
      </c>
      <c r="V289" s="34">
        <v>150</v>
      </c>
      <c r="W289" s="34">
        <v>7379</v>
      </c>
      <c r="X289" s="34">
        <v>796</v>
      </c>
      <c r="Y289" s="34">
        <v>105969</v>
      </c>
      <c r="Z289" s="34">
        <v>15810</v>
      </c>
      <c r="AA289" s="34">
        <v>90159</v>
      </c>
      <c r="AB289" s="34">
        <v>49291</v>
      </c>
      <c r="AC289" s="34">
        <v>40868</v>
      </c>
    </row>
    <row r="290" spans="1:29" x14ac:dyDescent="0.25">
      <c r="A290" s="31" t="s">
        <v>263</v>
      </c>
      <c r="B290" s="31" t="s">
        <v>735</v>
      </c>
      <c r="C290" s="31" t="s">
        <v>302</v>
      </c>
      <c r="D290" s="31" t="s">
        <v>690</v>
      </c>
      <c r="E290" s="32">
        <v>36.159999999999997</v>
      </c>
      <c r="F290" s="33">
        <v>575.20000000000005</v>
      </c>
      <c r="G290" s="32">
        <v>611.36</v>
      </c>
      <c r="H290" s="32">
        <v>1.28</v>
      </c>
      <c r="I290" s="34">
        <v>38</v>
      </c>
      <c r="J290" s="33">
        <v>0</v>
      </c>
      <c r="K290" s="34">
        <v>613</v>
      </c>
      <c r="L290" s="32">
        <v>333.94</v>
      </c>
      <c r="M290" s="32">
        <v>62.17</v>
      </c>
      <c r="N290" s="32">
        <v>68.73</v>
      </c>
      <c r="O290" s="32">
        <v>34.29</v>
      </c>
      <c r="P290" s="32">
        <v>3.7</v>
      </c>
      <c r="Q290" s="34">
        <v>204158</v>
      </c>
      <c r="R290" s="34">
        <v>1613</v>
      </c>
      <c r="S290" s="34">
        <v>205771</v>
      </c>
      <c r="T290" s="34">
        <v>38110</v>
      </c>
      <c r="U290" s="34">
        <v>42131</v>
      </c>
      <c r="V290" s="34">
        <v>427</v>
      </c>
      <c r="W290" s="34">
        <v>21099</v>
      </c>
      <c r="X290" s="34">
        <v>2269</v>
      </c>
      <c r="Y290" s="34">
        <v>309807</v>
      </c>
      <c r="Z290" s="34">
        <v>29815</v>
      </c>
      <c r="AA290" s="34">
        <v>279992</v>
      </c>
      <c r="AB290" s="34">
        <v>155290</v>
      </c>
      <c r="AC290" s="34">
        <v>124702</v>
      </c>
    </row>
    <row r="291" spans="1:29" x14ac:dyDescent="0.25">
      <c r="A291" s="31" t="s">
        <v>263</v>
      </c>
      <c r="B291" s="31" t="s">
        <v>735</v>
      </c>
      <c r="C291" s="31" t="s">
        <v>303</v>
      </c>
      <c r="D291" s="31" t="s">
        <v>691</v>
      </c>
      <c r="E291" s="32">
        <v>73.11</v>
      </c>
      <c r="F291" s="33">
        <v>656.1</v>
      </c>
      <c r="G291" s="32">
        <v>729.21</v>
      </c>
      <c r="H291" s="32">
        <v>1.53</v>
      </c>
      <c r="I291" s="34">
        <v>1</v>
      </c>
      <c r="J291" s="33">
        <v>0</v>
      </c>
      <c r="K291" s="34">
        <v>657</v>
      </c>
      <c r="L291" s="32">
        <v>333.94</v>
      </c>
      <c r="M291" s="32">
        <v>62.17</v>
      </c>
      <c r="N291" s="32">
        <v>68.73</v>
      </c>
      <c r="O291" s="32">
        <v>34.29</v>
      </c>
      <c r="P291" s="32">
        <v>3.7</v>
      </c>
      <c r="Q291" s="34">
        <v>243512</v>
      </c>
      <c r="R291" s="34">
        <v>0</v>
      </c>
      <c r="S291" s="34">
        <v>243512</v>
      </c>
      <c r="T291" s="34">
        <v>40846</v>
      </c>
      <c r="U291" s="34">
        <v>45156</v>
      </c>
      <c r="V291" s="34">
        <v>511</v>
      </c>
      <c r="W291" s="34">
        <v>25005</v>
      </c>
      <c r="X291" s="34">
        <v>2698</v>
      </c>
      <c r="Y291" s="34">
        <v>357728</v>
      </c>
      <c r="Z291" s="34">
        <v>43760</v>
      </c>
      <c r="AA291" s="34">
        <v>313968</v>
      </c>
      <c r="AB291" s="34">
        <v>176858</v>
      </c>
      <c r="AC291" s="34">
        <v>137110</v>
      </c>
    </row>
    <row r="292" spans="1:29" x14ac:dyDescent="0.25">
      <c r="A292" s="31" t="s">
        <v>263</v>
      </c>
      <c r="B292" s="31" t="s">
        <v>735</v>
      </c>
      <c r="C292" s="31" t="s">
        <v>304</v>
      </c>
      <c r="D292" s="31" t="s">
        <v>692</v>
      </c>
      <c r="E292" s="32">
        <v>77.48</v>
      </c>
      <c r="F292" s="33">
        <v>764.7</v>
      </c>
      <c r="G292" s="32">
        <v>842.18</v>
      </c>
      <c r="H292" s="32">
        <v>1.77</v>
      </c>
      <c r="I292" s="34">
        <v>20</v>
      </c>
      <c r="J292" s="33">
        <v>0</v>
      </c>
      <c r="K292" s="34">
        <v>785</v>
      </c>
      <c r="L292" s="32">
        <v>333.94</v>
      </c>
      <c r="M292" s="32">
        <v>62.17</v>
      </c>
      <c r="N292" s="32">
        <v>68.73</v>
      </c>
      <c r="O292" s="32">
        <v>34.29</v>
      </c>
      <c r="P292" s="32">
        <v>3.7</v>
      </c>
      <c r="Q292" s="34">
        <v>281238</v>
      </c>
      <c r="R292" s="34">
        <v>0</v>
      </c>
      <c r="S292" s="34">
        <v>281238</v>
      </c>
      <c r="T292" s="34">
        <v>48803</v>
      </c>
      <c r="U292" s="34">
        <v>53953</v>
      </c>
      <c r="V292" s="34">
        <v>591</v>
      </c>
      <c r="W292" s="34">
        <v>28878</v>
      </c>
      <c r="X292" s="34">
        <v>3116</v>
      </c>
      <c r="Y292" s="34">
        <v>416579</v>
      </c>
      <c r="Z292" s="34">
        <v>40458</v>
      </c>
      <c r="AA292" s="34">
        <v>376121</v>
      </c>
      <c r="AB292" s="34">
        <v>214339</v>
      </c>
      <c r="AC292" s="34">
        <v>161782</v>
      </c>
    </row>
    <row r="293" spans="1:29" x14ac:dyDescent="0.25">
      <c r="A293" s="31" t="s">
        <v>263</v>
      </c>
      <c r="B293" s="31" t="s">
        <v>735</v>
      </c>
      <c r="C293" s="31" t="s">
        <v>305</v>
      </c>
      <c r="D293" s="31" t="s">
        <v>693</v>
      </c>
      <c r="E293" s="32">
        <v>39.57</v>
      </c>
      <c r="F293" s="33">
        <v>311.10000000000002</v>
      </c>
      <c r="G293" s="32">
        <v>350.67</v>
      </c>
      <c r="H293" s="32">
        <v>0.73</v>
      </c>
      <c r="I293" s="34">
        <v>0</v>
      </c>
      <c r="J293" s="33">
        <v>0</v>
      </c>
      <c r="K293" s="34">
        <v>311</v>
      </c>
      <c r="L293" s="32">
        <v>333.94</v>
      </c>
      <c r="M293" s="32">
        <v>62.17</v>
      </c>
      <c r="N293" s="32">
        <v>68.73</v>
      </c>
      <c r="O293" s="32">
        <v>34.29</v>
      </c>
      <c r="P293" s="32">
        <v>3.7</v>
      </c>
      <c r="Q293" s="34">
        <v>117103</v>
      </c>
      <c r="R293" s="34">
        <v>0</v>
      </c>
      <c r="S293" s="34">
        <v>117103</v>
      </c>
      <c r="T293" s="34">
        <v>19335</v>
      </c>
      <c r="U293" s="34">
        <v>21375</v>
      </c>
      <c r="V293" s="34">
        <v>244</v>
      </c>
      <c r="W293" s="34">
        <v>12024</v>
      </c>
      <c r="X293" s="34">
        <v>1297</v>
      </c>
      <c r="Y293" s="34">
        <v>171378</v>
      </c>
      <c r="Z293" s="34">
        <v>27073</v>
      </c>
      <c r="AA293" s="34">
        <v>144305</v>
      </c>
      <c r="AB293" s="34">
        <v>79018</v>
      </c>
      <c r="AC293" s="34">
        <v>65287</v>
      </c>
    </row>
    <row r="294" spans="1:29" x14ac:dyDescent="0.25">
      <c r="A294" s="31" t="s">
        <v>263</v>
      </c>
      <c r="B294" s="31" t="s">
        <v>735</v>
      </c>
      <c r="C294" s="31" t="s">
        <v>306</v>
      </c>
      <c r="D294" s="31" t="s">
        <v>694</v>
      </c>
      <c r="E294" s="32">
        <v>56.45</v>
      </c>
      <c r="F294" s="33">
        <v>356.3</v>
      </c>
      <c r="G294" s="32">
        <v>412.75</v>
      </c>
      <c r="H294" s="32">
        <v>0.87</v>
      </c>
      <c r="I294" s="34">
        <v>0</v>
      </c>
      <c r="J294" s="33">
        <v>0</v>
      </c>
      <c r="K294" s="34">
        <v>356</v>
      </c>
      <c r="L294" s="32">
        <v>333.94</v>
      </c>
      <c r="M294" s="32">
        <v>62.17</v>
      </c>
      <c r="N294" s="32">
        <v>68.73</v>
      </c>
      <c r="O294" s="32">
        <v>34.29</v>
      </c>
      <c r="P294" s="32">
        <v>3.7</v>
      </c>
      <c r="Q294" s="34">
        <v>137834</v>
      </c>
      <c r="R294" s="34">
        <v>10126</v>
      </c>
      <c r="S294" s="34">
        <v>147960</v>
      </c>
      <c r="T294" s="34">
        <v>22133</v>
      </c>
      <c r="U294" s="34">
        <v>24468</v>
      </c>
      <c r="V294" s="34">
        <v>291</v>
      </c>
      <c r="W294" s="34">
        <v>14153</v>
      </c>
      <c r="X294" s="34">
        <v>1527</v>
      </c>
      <c r="Y294" s="34">
        <v>210532</v>
      </c>
      <c r="Z294" s="34">
        <v>33342</v>
      </c>
      <c r="AA294" s="34">
        <v>177190</v>
      </c>
      <c r="AB294" s="34">
        <v>91534</v>
      </c>
      <c r="AC294" s="34">
        <v>85656</v>
      </c>
    </row>
    <row r="295" spans="1:29" x14ac:dyDescent="0.25">
      <c r="A295" s="31" t="s">
        <v>263</v>
      </c>
      <c r="B295" s="31" t="s">
        <v>735</v>
      </c>
      <c r="C295" s="31" t="s">
        <v>307</v>
      </c>
      <c r="D295" s="31" t="s">
        <v>695</v>
      </c>
      <c r="E295" s="32">
        <v>55.55</v>
      </c>
      <c r="F295" s="33">
        <v>466</v>
      </c>
      <c r="G295" s="32">
        <v>521.54999999999995</v>
      </c>
      <c r="H295" s="32">
        <v>1.0900000000000001</v>
      </c>
      <c r="I295" s="34">
        <v>5</v>
      </c>
      <c r="J295" s="33">
        <v>0</v>
      </c>
      <c r="K295" s="34">
        <v>471</v>
      </c>
      <c r="L295" s="32">
        <v>333.94</v>
      </c>
      <c r="M295" s="32">
        <v>62.17</v>
      </c>
      <c r="N295" s="32">
        <v>68.73</v>
      </c>
      <c r="O295" s="32">
        <v>34.29</v>
      </c>
      <c r="P295" s="32">
        <v>3.7</v>
      </c>
      <c r="Q295" s="34">
        <v>174166</v>
      </c>
      <c r="R295" s="34">
        <v>0</v>
      </c>
      <c r="S295" s="34">
        <v>174166</v>
      </c>
      <c r="T295" s="34">
        <v>29282</v>
      </c>
      <c r="U295" s="34">
        <v>32372</v>
      </c>
      <c r="V295" s="34">
        <v>364</v>
      </c>
      <c r="W295" s="34">
        <v>17884</v>
      </c>
      <c r="X295" s="34">
        <v>1930</v>
      </c>
      <c r="Y295" s="34">
        <v>255998</v>
      </c>
      <c r="Z295" s="34">
        <v>33313</v>
      </c>
      <c r="AA295" s="34">
        <v>222685</v>
      </c>
      <c r="AB295" s="34">
        <v>124478</v>
      </c>
      <c r="AC295" s="34">
        <v>98207</v>
      </c>
    </row>
    <row r="296" spans="1:29" x14ac:dyDescent="0.25">
      <c r="A296" s="31" t="s">
        <v>308</v>
      </c>
      <c r="B296" s="31" t="s">
        <v>736</v>
      </c>
      <c r="C296" s="31" t="s">
        <v>309</v>
      </c>
      <c r="D296" s="31" t="s">
        <v>696</v>
      </c>
      <c r="E296" s="32">
        <v>135.1</v>
      </c>
      <c r="F296" s="33">
        <v>1099.4000000000001</v>
      </c>
      <c r="G296" s="32">
        <v>1234.5</v>
      </c>
      <c r="H296" s="32">
        <v>2.89</v>
      </c>
      <c r="I296" s="34">
        <v>3</v>
      </c>
      <c r="J296" s="33">
        <v>0</v>
      </c>
      <c r="K296" s="34">
        <v>1102</v>
      </c>
      <c r="L296" s="32">
        <v>331.3</v>
      </c>
      <c r="M296" s="32">
        <v>62.14</v>
      </c>
      <c r="N296" s="32">
        <v>68.3</v>
      </c>
      <c r="O296" s="32">
        <v>33.299999999999997</v>
      </c>
      <c r="P296" s="32">
        <v>3.65</v>
      </c>
      <c r="Q296" s="34">
        <v>408990</v>
      </c>
      <c r="R296" s="34">
        <v>986</v>
      </c>
      <c r="S296" s="34">
        <v>409976</v>
      </c>
      <c r="T296" s="34">
        <v>68478</v>
      </c>
      <c r="U296" s="34">
        <v>75267</v>
      </c>
      <c r="V296" s="34">
        <v>957</v>
      </c>
      <c r="W296" s="34">
        <v>41179</v>
      </c>
      <c r="X296" s="34">
        <v>4506</v>
      </c>
      <c r="Y296" s="34">
        <v>600363</v>
      </c>
      <c r="Z296" s="34">
        <v>76124</v>
      </c>
      <c r="AA296" s="34">
        <v>524239</v>
      </c>
      <c r="AB296" s="34">
        <v>296232</v>
      </c>
      <c r="AC296" s="34">
        <v>228007</v>
      </c>
    </row>
    <row r="297" spans="1:29" x14ac:dyDescent="0.25">
      <c r="A297" s="31" t="s">
        <v>308</v>
      </c>
      <c r="B297" s="31" t="s">
        <v>736</v>
      </c>
      <c r="C297" s="31" t="s">
        <v>310</v>
      </c>
      <c r="D297" s="31" t="s">
        <v>697</v>
      </c>
      <c r="E297" s="32">
        <v>770.55</v>
      </c>
      <c r="F297" s="33">
        <v>3860.2</v>
      </c>
      <c r="G297" s="32">
        <v>4630.75</v>
      </c>
      <c r="H297" s="32">
        <v>10.85</v>
      </c>
      <c r="I297" s="34">
        <v>274</v>
      </c>
      <c r="J297" s="33">
        <v>2.7</v>
      </c>
      <c r="K297" s="34">
        <v>4132</v>
      </c>
      <c r="L297" s="32">
        <v>331.3</v>
      </c>
      <c r="M297" s="32">
        <v>62.14</v>
      </c>
      <c r="N297" s="32">
        <v>68.3</v>
      </c>
      <c r="O297" s="32">
        <v>33.299999999999997</v>
      </c>
      <c r="P297" s="32">
        <v>3.65</v>
      </c>
      <c r="Q297" s="34">
        <v>1534167</v>
      </c>
      <c r="R297" s="34">
        <v>0</v>
      </c>
      <c r="S297" s="34">
        <v>1534167</v>
      </c>
      <c r="T297" s="34">
        <v>256762</v>
      </c>
      <c r="U297" s="34">
        <v>282216</v>
      </c>
      <c r="V297" s="34">
        <v>3595</v>
      </c>
      <c r="W297" s="34">
        <v>154204</v>
      </c>
      <c r="X297" s="34">
        <v>16902</v>
      </c>
      <c r="Y297" s="34">
        <v>2247846</v>
      </c>
      <c r="Z297" s="34">
        <v>302970</v>
      </c>
      <c r="AA297" s="34">
        <v>1944876</v>
      </c>
      <c r="AB297" s="34">
        <v>1093518</v>
      </c>
      <c r="AC297" s="34">
        <v>851358</v>
      </c>
    </row>
    <row r="298" spans="1:29" x14ac:dyDescent="0.25">
      <c r="A298" s="31" t="s">
        <v>308</v>
      </c>
      <c r="B298" s="31" t="s">
        <v>736</v>
      </c>
      <c r="C298" s="31" t="s">
        <v>311</v>
      </c>
      <c r="D298" s="31" t="s">
        <v>698</v>
      </c>
      <c r="E298" s="32">
        <v>90.46</v>
      </c>
      <c r="F298" s="33">
        <v>573.5</v>
      </c>
      <c r="G298" s="32">
        <v>663.96</v>
      </c>
      <c r="H298" s="32">
        <v>1.56</v>
      </c>
      <c r="I298" s="34">
        <v>0</v>
      </c>
      <c r="J298" s="33">
        <v>0</v>
      </c>
      <c r="K298" s="34">
        <v>574</v>
      </c>
      <c r="L298" s="32">
        <v>331.3</v>
      </c>
      <c r="M298" s="32">
        <v>62.14</v>
      </c>
      <c r="N298" s="32">
        <v>68.3</v>
      </c>
      <c r="O298" s="32">
        <v>33.299999999999997</v>
      </c>
      <c r="P298" s="32">
        <v>3.65</v>
      </c>
      <c r="Q298" s="34">
        <v>219970</v>
      </c>
      <c r="R298" s="34">
        <v>0</v>
      </c>
      <c r="S298" s="34">
        <v>219970</v>
      </c>
      <c r="T298" s="34">
        <v>35668</v>
      </c>
      <c r="U298" s="34">
        <v>39204</v>
      </c>
      <c r="V298" s="34">
        <v>517</v>
      </c>
      <c r="W298" s="34">
        <v>22110</v>
      </c>
      <c r="X298" s="34">
        <v>2423</v>
      </c>
      <c r="Y298" s="34">
        <v>319892</v>
      </c>
      <c r="Z298" s="34">
        <v>39171</v>
      </c>
      <c r="AA298" s="34">
        <v>280721</v>
      </c>
      <c r="AB298" s="34">
        <v>161059</v>
      </c>
      <c r="AC298" s="34">
        <v>119662</v>
      </c>
    </row>
    <row r="299" spans="1:29" x14ac:dyDescent="0.25">
      <c r="A299" s="31" t="s">
        <v>308</v>
      </c>
      <c r="B299" s="31" t="s">
        <v>736</v>
      </c>
      <c r="C299" s="31" t="s">
        <v>312</v>
      </c>
      <c r="D299" s="31" t="s">
        <v>699</v>
      </c>
      <c r="E299" s="32">
        <v>172.2</v>
      </c>
      <c r="F299" s="33">
        <v>1331.8</v>
      </c>
      <c r="G299" s="32">
        <v>1504</v>
      </c>
      <c r="H299" s="32">
        <v>3.53</v>
      </c>
      <c r="I299" s="34">
        <v>0</v>
      </c>
      <c r="J299" s="33">
        <v>0</v>
      </c>
      <c r="K299" s="34">
        <v>1332</v>
      </c>
      <c r="L299" s="32">
        <v>331.3</v>
      </c>
      <c r="M299" s="32">
        <v>62.14</v>
      </c>
      <c r="N299" s="32">
        <v>68.3</v>
      </c>
      <c r="O299" s="32">
        <v>33.299999999999997</v>
      </c>
      <c r="P299" s="32">
        <v>3.65</v>
      </c>
      <c r="Q299" s="34">
        <v>498275</v>
      </c>
      <c r="R299" s="34">
        <v>0</v>
      </c>
      <c r="S299" s="34">
        <v>498275</v>
      </c>
      <c r="T299" s="34">
        <v>82770</v>
      </c>
      <c r="U299" s="34">
        <v>90976</v>
      </c>
      <c r="V299" s="34">
        <v>1169</v>
      </c>
      <c r="W299" s="34">
        <v>50083</v>
      </c>
      <c r="X299" s="34">
        <v>5490</v>
      </c>
      <c r="Y299" s="34">
        <v>728763</v>
      </c>
      <c r="Z299" s="34">
        <v>100946</v>
      </c>
      <c r="AA299" s="34">
        <v>627817</v>
      </c>
      <c r="AB299" s="34">
        <v>352615</v>
      </c>
      <c r="AC299" s="34">
        <v>275202</v>
      </c>
    </row>
    <row r="300" spans="1:29" x14ac:dyDescent="0.25">
      <c r="A300" s="31" t="s">
        <v>308</v>
      </c>
      <c r="B300" s="31" t="s">
        <v>736</v>
      </c>
      <c r="C300" s="31" t="s">
        <v>313</v>
      </c>
      <c r="D300" s="31" t="s">
        <v>700</v>
      </c>
      <c r="E300" s="32">
        <v>93.57</v>
      </c>
      <c r="F300" s="33">
        <v>803.1</v>
      </c>
      <c r="G300" s="32">
        <v>896.67</v>
      </c>
      <c r="H300" s="32">
        <v>2.1</v>
      </c>
      <c r="I300" s="34">
        <v>5</v>
      </c>
      <c r="J300" s="33">
        <v>0</v>
      </c>
      <c r="K300" s="34">
        <v>808</v>
      </c>
      <c r="L300" s="32">
        <v>331.3</v>
      </c>
      <c r="M300" s="32">
        <v>62.14</v>
      </c>
      <c r="N300" s="32">
        <v>68.3</v>
      </c>
      <c r="O300" s="32">
        <v>33.299999999999997</v>
      </c>
      <c r="P300" s="32">
        <v>3.65</v>
      </c>
      <c r="Q300" s="34">
        <v>297067</v>
      </c>
      <c r="R300" s="34">
        <v>0</v>
      </c>
      <c r="S300" s="34">
        <v>297067</v>
      </c>
      <c r="T300" s="34">
        <v>50209</v>
      </c>
      <c r="U300" s="34">
        <v>55186</v>
      </c>
      <c r="V300" s="34">
        <v>696</v>
      </c>
      <c r="W300" s="34">
        <v>29859</v>
      </c>
      <c r="X300" s="34">
        <v>3273</v>
      </c>
      <c r="Y300" s="34">
        <v>436290</v>
      </c>
      <c r="Z300" s="34">
        <v>61225</v>
      </c>
      <c r="AA300" s="34">
        <v>375065</v>
      </c>
      <c r="AB300" s="34">
        <v>209182</v>
      </c>
      <c r="AC300" s="34">
        <v>165883</v>
      </c>
    </row>
    <row r="301" spans="1:29" x14ac:dyDescent="0.25">
      <c r="A301" s="31" t="s">
        <v>308</v>
      </c>
      <c r="B301" s="31" t="s">
        <v>736</v>
      </c>
      <c r="C301" s="31" t="s">
        <v>314</v>
      </c>
      <c r="D301" s="31" t="s">
        <v>701</v>
      </c>
      <c r="E301" s="32">
        <v>152.52000000000001</v>
      </c>
      <c r="F301" s="33">
        <v>1271.3</v>
      </c>
      <c r="G301" s="32">
        <v>1423.82</v>
      </c>
      <c r="H301" s="32">
        <v>3.34</v>
      </c>
      <c r="I301" s="34">
        <v>4</v>
      </c>
      <c r="J301" s="33">
        <v>0</v>
      </c>
      <c r="K301" s="34">
        <v>1275</v>
      </c>
      <c r="L301" s="32">
        <v>331.3</v>
      </c>
      <c r="M301" s="32">
        <v>62.14</v>
      </c>
      <c r="N301" s="32">
        <v>68.3</v>
      </c>
      <c r="O301" s="32">
        <v>33.299999999999997</v>
      </c>
      <c r="P301" s="32">
        <v>3.65</v>
      </c>
      <c r="Q301" s="34">
        <v>471712</v>
      </c>
      <c r="R301" s="34">
        <v>0</v>
      </c>
      <c r="S301" s="34">
        <v>471712</v>
      </c>
      <c r="T301" s="34">
        <v>79229</v>
      </c>
      <c r="U301" s="34">
        <v>87083</v>
      </c>
      <c r="V301" s="34">
        <v>1107</v>
      </c>
      <c r="W301" s="34">
        <v>47413</v>
      </c>
      <c r="X301" s="34">
        <v>5197</v>
      </c>
      <c r="Y301" s="34">
        <v>691741</v>
      </c>
      <c r="Z301" s="34">
        <v>91607</v>
      </c>
      <c r="AA301" s="34">
        <v>600134</v>
      </c>
      <c r="AB301" s="34">
        <v>337773</v>
      </c>
      <c r="AC301" s="34">
        <v>262361</v>
      </c>
    </row>
    <row r="302" spans="1:29" x14ac:dyDescent="0.25">
      <c r="A302" s="31" t="s">
        <v>308</v>
      </c>
      <c r="B302" s="31" t="s">
        <v>736</v>
      </c>
      <c r="C302" s="31" t="s">
        <v>315</v>
      </c>
      <c r="D302" s="31" t="s">
        <v>702</v>
      </c>
      <c r="E302" s="32">
        <v>44.69</v>
      </c>
      <c r="F302" s="33">
        <v>432.4</v>
      </c>
      <c r="G302" s="32">
        <v>477.09</v>
      </c>
      <c r="H302" s="32">
        <v>1.1200000000000001</v>
      </c>
      <c r="I302" s="34">
        <v>9</v>
      </c>
      <c r="J302" s="33">
        <v>0</v>
      </c>
      <c r="K302" s="34">
        <v>441</v>
      </c>
      <c r="L302" s="32">
        <v>331.3</v>
      </c>
      <c r="M302" s="32">
        <v>62.14</v>
      </c>
      <c r="N302" s="32">
        <v>68.3</v>
      </c>
      <c r="O302" s="32">
        <v>33.299999999999997</v>
      </c>
      <c r="P302" s="32">
        <v>3.65</v>
      </c>
      <c r="Q302" s="34">
        <v>158060</v>
      </c>
      <c r="R302" s="34">
        <v>15050</v>
      </c>
      <c r="S302" s="34">
        <v>173110</v>
      </c>
      <c r="T302" s="34">
        <v>27404</v>
      </c>
      <c r="U302" s="34">
        <v>30120</v>
      </c>
      <c r="V302" s="34">
        <v>371</v>
      </c>
      <c r="W302" s="34">
        <v>16725</v>
      </c>
      <c r="X302" s="34">
        <v>1828</v>
      </c>
      <c r="Y302" s="34">
        <v>249558</v>
      </c>
      <c r="Z302" s="34">
        <v>27274</v>
      </c>
      <c r="AA302" s="34">
        <v>222284</v>
      </c>
      <c r="AB302" s="34">
        <v>117526</v>
      </c>
      <c r="AC302" s="34">
        <v>104758</v>
      </c>
    </row>
    <row r="303" spans="1:29" x14ac:dyDescent="0.25">
      <c r="A303" s="31" t="s">
        <v>308</v>
      </c>
      <c r="B303" s="31" t="s">
        <v>736</v>
      </c>
      <c r="C303" s="31" t="s">
        <v>316</v>
      </c>
      <c r="D303" s="31" t="s">
        <v>703</v>
      </c>
      <c r="E303" s="32">
        <v>125.13</v>
      </c>
      <c r="F303" s="33">
        <v>1148.7</v>
      </c>
      <c r="G303" s="32">
        <v>1273.83</v>
      </c>
      <c r="H303" s="32">
        <v>2.99</v>
      </c>
      <c r="I303" s="34">
        <v>4</v>
      </c>
      <c r="J303" s="33">
        <v>0</v>
      </c>
      <c r="K303" s="34">
        <v>1153</v>
      </c>
      <c r="L303" s="32">
        <v>331.3</v>
      </c>
      <c r="M303" s="32">
        <v>62.14</v>
      </c>
      <c r="N303" s="32">
        <v>68.3</v>
      </c>
      <c r="O303" s="32">
        <v>33.299999999999997</v>
      </c>
      <c r="P303" s="32">
        <v>3.65</v>
      </c>
      <c r="Q303" s="34">
        <v>422020</v>
      </c>
      <c r="R303" s="34">
        <v>0</v>
      </c>
      <c r="S303" s="34">
        <v>422020</v>
      </c>
      <c r="T303" s="34">
        <v>71647</v>
      </c>
      <c r="U303" s="34">
        <v>78750</v>
      </c>
      <c r="V303" s="34">
        <v>991</v>
      </c>
      <c r="W303" s="34">
        <v>42419</v>
      </c>
      <c r="X303" s="34">
        <v>4649</v>
      </c>
      <c r="Y303" s="34">
        <v>620476</v>
      </c>
      <c r="Z303" s="34">
        <v>74041</v>
      </c>
      <c r="AA303" s="34">
        <v>546435</v>
      </c>
      <c r="AB303" s="34">
        <v>310107</v>
      </c>
      <c r="AC303" s="34">
        <v>236328</v>
      </c>
    </row>
    <row r="304" spans="1:29" x14ac:dyDescent="0.25">
      <c r="A304" s="31" t="s">
        <v>308</v>
      </c>
      <c r="B304" s="31" t="s">
        <v>736</v>
      </c>
      <c r="C304" s="31" t="s">
        <v>317</v>
      </c>
      <c r="D304" s="31" t="s">
        <v>704</v>
      </c>
      <c r="E304" s="32">
        <v>80.739999999999995</v>
      </c>
      <c r="F304" s="33">
        <v>835.6</v>
      </c>
      <c r="G304" s="32">
        <v>916.34</v>
      </c>
      <c r="H304" s="32">
        <v>2.15</v>
      </c>
      <c r="I304" s="34">
        <v>15</v>
      </c>
      <c r="J304" s="33">
        <v>0</v>
      </c>
      <c r="K304" s="34">
        <v>851</v>
      </c>
      <c r="L304" s="32">
        <v>331.3</v>
      </c>
      <c r="M304" s="32">
        <v>62.14</v>
      </c>
      <c r="N304" s="32">
        <v>68.3</v>
      </c>
      <c r="O304" s="32">
        <v>33.299999999999997</v>
      </c>
      <c r="P304" s="32">
        <v>3.65</v>
      </c>
      <c r="Q304" s="34">
        <v>303583</v>
      </c>
      <c r="R304" s="34">
        <v>3999</v>
      </c>
      <c r="S304" s="34">
        <v>307582</v>
      </c>
      <c r="T304" s="34">
        <v>52881</v>
      </c>
      <c r="U304" s="34">
        <v>58123</v>
      </c>
      <c r="V304" s="34">
        <v>712</v>
      </c>
      <c r="W304" s="34">
        <v>30894</v>
      </c>
      <c r="X304" s="34">
        <v>3376</v>
      </c>
      <c r="Y304" s="34">
        <v>453568</v>
      </c>
      <c r="Z304" s="34">
        <v>58907</v>
      </c>
      <c r="AA304" s="34">
        <v>394661</v>
      </c>
      <c r="AB304" s="34">
        <v>217844</v>
      </c>
      <c r="AC304" s="34">
        <v>176817</v>
      </c>
    </row>
    <row r="305" spans="1:29" x14ac:dyDescent="0.25">
      <c r="A305" s="31" t="s">
        <v>308</v>
      </c>
      <c r="B305" s="31" t="s">
        <v>736</v>
      </c>
      <c r="C305" s="31" t="s">
        <v>318</v>
      </c>
      <c r="D305" s="31" t="s">
        <v>705</v>
      </c>
      <c r="E305" s="32">
        <v>259.41000000000003</v>
      </c>
      <c r="F305" s="33">
        <v>1568.3</v>
      </c>
      <c r="G305" s="32">
        <v>1827.71</v>
      </c>
      <c r="H305" s="32">
        <v>4.28</v>
      </c>
      <c r="I305" s="34">
        <v>125</v>
      </c>
      <c r="J305" s="33">
        <v>0</v>
      </c>
      <c r="K305" s="34">
        <v>1693</v>
      </c>
      <c r="L305" s="32">
        <v>331.3</v>
      </c>
      <c r="M305" s="32">
        <v>62.14</v>
      </c>
      <c r="N305" s="32">
        <v>68.3</v>
      </c>
      <c r="O305" s="32">
        <v>33.299999999999997</v>
      </c>
      <c r="P305" s="32">
        <v>3.65</v>
      </c>
      <c r="Q305" s="34">
        <v>605520</v>
      </c>
      <c r="R305" s="34">
        <v>835</v>
      </c>
      <c r="S305" s="34">
        <v>606355</v>
      </c>
      <c r="T305" s="34">
        <v>105203</v>
      </c>
      <c r="U305" s="34">
        <v>115632</v>
      </c>
      <c r="V305" s="34">
        <v>1418</v>
      </c>
      <c r="W305" s="34">
        <v>60903</v>
      </c>
      <c r="X305" s="34">
        <v>6671</v>
      </c>
      <c r="Y305" s="34">
        <v>896182</v>
      </c>
      <c r="Z305" s="34">
        <v>120885</v>
      </c>
      <c r="AA305" s="34">
        <v>775297</v>
      </c>
      <c r="AB305" s="34">
        <v>430334</v>
      </c>
      <c r="AC305" s="34">
        <v>344963</v>
      </c>
    </row>
    <row r="306" spans="1:29" x14ac:dyDescent="0.25">
      <c r="A306" s="31" t="s">
        <v>308</v>
      </c>
      <c r="B306" s="31" t="s">
        <v>736</v>
      </c>
      <c r="C306" s="31" t="s">
        <v>319</v>
      </c>
      <c r="D306" s="31" t="s">
        <v>706</v>
      </c>
      <c r="E306" s="32">
        <v>361.38</v>
      </c>
      <c r="F306" s="33">
        <v>2102.1</v>
      </c>
      <c r="G306" s="32">
        <v>2463.48</v>
      </c>
      <c r="H306" s="32">
        <v>5.77</v>
      </c>
      <c r="I306" s="34">
        <v>296</v>
      </c>
      <c r="J306" s="33">
        <v>7.6</v>
      </c>
      <c r="K306" s="34">
        <v>2391</v>
      </c>
      <c r="L306" s="32">
        <v>331.3</v>
      </c>
      <c r="M306" s="32">
        <v>62.14</v>
      </c>
      <c r="N306" s="32">
        <v>68.3</v>
      </c>
      <c r="O306" s="32">
        <v>33.299999999999997</v>
      </c>
      <c r="P306" s="32">
        <v>3.65</v>
      </c>
      <c r="Q306" s="34">
        <v>816151</v>
      </c>
      <c r="R306" s="34">
        <v>0</v>
      </c>
      <c r="S306" s="34">
        <v>816151</v>
      </c>
      <c r="T306" s="34">
        <v>148577</v>
      </c>
      <c r="U306" s="34">
        <v>163305</v>
      </c>
      <c r="V306" s="34">
        <v>1912</v>
      </c>
      <c r="W306" s="34">
        <v>82034</v>
      </c>
      <c r="X306" s="34">
        <v>8992</v>
      </c>
      <c r="Y306" s="34">
        <v>1220971</v>
      </c>
      <c r="Z306" s="34">
        <v>163791</v>
      </c>
      <c r="AA306" s="34">
        <v>1057180</v>
      </c>
      <c r="AB306" s="34">
        <v>579117</v>
      </c>
      <c r="AC306" s="34">
        <v>478063</v>
      </c>
    </row>
    <row r="307" spans="1:29" x14ac:dyDescent="0.25">
      <c r="A307" s="31" t="s">
        <v>308</v>
      </c>
      <c r="B307" s="31" t="s">
        <v>736</v>
      </c>
      <c r="C307" s="31" t="s">
        <v>320</v>
      </c>
      <c r="D307" s="31" t="s">
        <v>707</v>
      </c>
      <c r="E307" s="32">
        <v>337.46</v>
      </c>
      <c r="F307" s="33">
        <v>1850</v>
      </c>
      <c r="G307" s="32">
        <v>2187.46</v>
      </c>
      <c r="H307" s="32">
        <v>5.13</v>
      </c>
      <c r="I307" s="34">
        <v>58</v>
      </c>
      <c r="J307" s="33">
        <v>0</v>
      </c>
      <c r="K307" s="34">
        <v>1908</v>
      </c>
      <c r="L307" s="32">
        <v>331.3</v>
      </c>
      <c r="M307" s="32">
        <v>62.14</v>
      </c>
      <c r="N307" s="32">
        <v>68.3</v>
      </c>
      <c r="O307" s="32">
        <v>33.299999999999997</v>
      </c>
      <c r="P307" s="32">
        <v>3.65</v>
      </c>
      <c r="Q307" s="34">
        <v>724705</v>
      </c>
      <c r="R307" s="34">
        <v>0</v>
      </c>
      <c r="S307" s="34">
        <v>724705</v>
      </c>
      <c r="T307" s="34">
        <v>118563</v>
      </c>
      <c r="U307" s="34">
        <v>130316</v>
      </c>
      <c r="V307" s="34">
        <v>1700</v>
      </c>
      <c r="W307" s="34">
        <v>72842</v>
      </c>
      <c r="X307" s="34">
        <v>7984</v>
      </c>
      <c r="Y307" s="34">
        <v>1056110</v>
      </c>
      <c r="Z307" s="34">
        <v>137240</v>
      </c>
      <c r="AA307" s="34">
        <v>918870</v>
      </c>
      <c r="AB307" s="34">
        <v>522430</v>
      </c>
      <c r="AC307" s="34">
        <v>396440</v>
      </c>
    </row>
    <row r="308" spans="1:29" x14ac:dyDescent="0.25">
      <c r="A308" s="31" t="s">
        <v>308</v>
      </c>
      <c r="B308" s="31" t="s">
        <v>736</v>
      </c>
      <c r="C308" s="31" t="s">
        <v>321</v>
      </c>
      <c r="D308" s="31" t="s">
        <v>708</v>
      </c>
      <c r="E308" s="32">
        <v>41.83</v>
      </c>
      <c r="F308" s="33">
        <v>360.7</v>
      </c>
      <c r="G308" s="32">
        <v>402.53</v>
      </c>
      <c r="H308" s="32">
        <v>0.94</v>
      </c>
      <c r="I308" s="34">
        <v>2</v>
      </c>
      <c r="J308" s="33">
        <v>0</v>
      </c>
      <c r="K308" s="34">
        <v>363</v>
      </c>
      <c r="L308" s="32">
        <v>331.3</v>
      </c>
      <c r="M308" s="32">
        <v>62.14</v>
      </c>
      <c r="N308" s="32">
        <v>68.3</v>
      </c>
      <c r="O308" s="32">
        <v>33.299999999999997</v>
      </c>
      <c r="P308" s="32">
        <v>3.65</v>
      </c>
      <c r="Q308" s="34">
        <v>133358</v>
      </c>
      <c r="R308" s="34">
        <v>0</v>
      </c>
      <c r="S308" s="34">
        <v>133358</v>
      </c>
      <c r="T308" s="34">
        <v>22557</v>
      </c>
      <c r="U308" s="34">
        <v>24793</v>
      </c>
      <c r="V308" s="34">
        <v>311</v>
      </c>
      <c r="W308" s="34">
        <v>13404</v>
      </c>
      <c r="X308" s="34">
        <v>1469</v>
      </c>
      <c r="Y308" s="34">
        <v>195892</v>
      </c>
      <c r="Z308" s="34">
        <v>23360</v>
      </c>
      <c r="AA308" s="34">
        <v>172532</v>
      </c>
      <c r="AB308" s="34">
        <v>98029</v>
      </c>
      <c r="AC308" s="34">
        <v>74503</v>
      </c>
    </row>
    <row r="309" spans="1:29" x14ac:dyDescent="0.25">
      <c r="A309" s="31" t="s">
        <v>308</v>
      </c>
      <c r="B309" s="31" t="s">
        <v>736</v>
      </c>
      <c r="C309" s="31" t="s">
        <v>322</v>
      </c>
      <c r="D309" s="31" t="s">
        <v>709</v>
      </c>
      <c r="E309" s="32">
        <v>88.6</v>
      </c>
      <c r="F309" s="33">
        <v>875.3</v>
      </c>
      <c r="G309" s="32">
        <v>963.9</v>
      </c>
      <c r="H309" s="32">
        <v>2.2599999999999998</v>
      </c>
      <c r="I309" s="34">
        <v>5</v>
      </c>
      <c r="J309" s="33">
        <v>0</v>
      </c>
      <c r="K309" s="34">
        <v>880</v>
      </c>
      <c r="L309" s="32">
        <v>331.3</v>
      </c>
      <c r="M309" s="32">
        <v>62.14</v>
      </c>
      <c r="N309" s="32">
        <v>68.3</v>
      </c>
      <c r="O309" s="32">
        <v>33.299999999999997</v>
      </c>
      <c r="P309" s="32">
        <v>3.65</v>
      </c>
      <c r="Q309" s="34">
        <v>319340</v>
      </c>
      <c r="R309" s="34">
        <v>0</v>
      </c>
      <c r="S309" s="34">
        <v>319340</v>
      </c>
      <c r="T309" s="34">
        <v>54683</v>
      </c>
      <c r="U309" s="34">
        <v>60104</v>
      </c>
      <c r="V309" s="34">
        <v>749</v>
      </c>
      <c r="W309" s="34">
        <v>32098</v>
      </c>
      <c r="X309" s="34">
        <v>3518</v>
      </c>
      <c r="Y309" s="34">
        <v>470492</v>
      </c>
      <c r="Z309" s="34">
        <v>54660</v>
      </c>
      <c r="AA309" s="34">
        <v>415832</v>
      </c>
      <c r="AB309" s="34">
        <v>236022</v>
      </c>
      <c r="AC309" s="34">
        <v>179810</v>
      </c>
    </row>
    <row r="310" spans="1:29" x14ac:dyDescent="0.25">
      <c r="A310" s="31" t="s">
        <v>308</v>
      </c>
      <c r="B310" s="31" t="s">
        <v>736</v>
      </c>
      <c r="C310" s="31" t="s">
        <v>323</v>
      </c>
      <c r="D310" s="31" t="s">
        <v>710</v>
      </c>
      <c r="E310" s="32">
        <v>42.56</v>
      </c>
      <c r="F310" s="33">
        <v>345.5</v>
      </c>
      <c r="G310" s="32">
        <v>388.06</v>
      </c>
      <c r="H310" s="32">
        <v>0.91</v>
      </c>
      <c r="I310" s="34">
        <v>0</v>
      </c>
      <c r="J310" s="33">
        <v>0</v>
      </c>
      <c r="K310" s="34">
        <v>346</v>
      </c>
      <c r="L310" s="32">
        <v>331.3</v>
      </c>
      <c r="M310" s="32">
        <v>62.14</v>
      </c>
      <c r="N310" s="32">
        <v>68.3</v>
      </c>
      <c r="O310" s="32">
        <v>33.299999999999997</v>
      </c>
      <c r="P310" s="32">
        <v>3.65</v>
      </c>
      <c r="Q310" s="34">
        <v>128564</v>
      </c>
      <c r="R310" s="34">
        <v>0</v>
      </c>
      <c r="S310" s="34">
        <v>128564</v>
      </c>
      <c r="T310" s="34">
        <v>21500</v>
      </c>
      <c r="U310" s="34">
        <v>23632</v>
      </c>
      <c r="V310" s="34">
        <v>301</v>
      </c>
      <c r="W310" s="34">
        <v>12922</v>
      </c>
      <c r="X310" s="34">
        <v>1416</v>
      </c>
      <c r="Y310" s="34">
        <v>188335</v>
      </c>
      <c r="Z310" s="34">
        <v>19321</v>
      </c>
      <c r="AA310" s="34">
        <v>169014</v>
      </c>
      <c r="AB310" s="34">
        <v>97705</v>
      </c>
      <c r="AC310" s="34">
        <v>71309</v>
      </c>
    </row>
    <row r="311" spans="1:29" x14ac:dyDescent="0.25">
      <c r="A311" s="31" t="s">
        <v>308</v>
      </c>
      <c r="B311" s="31" t="s">
        <v>736</v>
      </c>
      <c r="C311" s="31" t="s">
        <v>324</v>
      </c>
      <c r="D311" s="31" t="s">
        <v>711</v>
      </c>
      <c r="E311" s="32">
        <v>19.22</v>
      </c>
      <c r="F311" s="33">
        <v>194</v>
      </c>
      <c r="G311" s="32">
        <v>213.22</v>
      </c>
      <c r="H311" s="32">
        <v>0.5</v>
      </c>
      <c r="I311" s="34">
        <v>0</v>
      </c>
      <c r="J311" s="33">
        <v>0</v>
      </c>
      <c r="K311" s="34">
        <v>194</v>
      </c>
      <c r="L311" s="32">
        <v>331.3</v>
      </c>
      <c r="M311" s="32">
        <v>62.14</v>
      </c>
      <c r="N311" s="32">
        <v>68.3</v>
      </c>
      <c r="O311" s="32">
        <v>33.299999999999997</v>
      </c>
      <c r="P311" s="32">
        <v>3.65</v>
      </c>
      <c r="Q311" s="34">
        <v>70640</v>
      </c>
      <c r="R311" s="34">
        <v>0</v>
      </c>
      <c r="S311" s="34">
        <v>70640</v>
      </c>
      <c r="T311" s="34">
        <v>12055</v>
      </c>
      <c r="U311" s="34">
        <v>13250</v>
      </c>
      <c r="V311" s="34">
        <v>166</v>
      </c>
      <c r="W311" s="34">
        <v>7100</v>
      </c>
      <c r="X311" s="34">
        <v>778</v>
      </c>
      <c r="Y311" s="34">
        <v>103989</v>
      </c>
      <c r="Z311" s="34">
        <v>14356</v>
      </c>
      <c r="AA311" s="34">
        <v>89633</v>
      </c>
      <c r="AB311" s="34">
        <v>49944</v>
      </c>
      <c r="AC311" s="34">
        <v>39689</v>
      </c>
    </row>
    <row r="312" spans="1:29" x14ac:dyDescent="0.25">
      <c r="A312" s="31" t="s">
        <v>308</v>
      </c>
      <c r="B312" s="31" t="s">
        <v>736</v>
      </c>
      <c r="C312" s="31" t="s">
        <v>325</v>
      </c>
      <c r="D312" s="31" t="s">
        <v>712</v>
      </c>
      <c r="E312" s="32">
        <v>15.16</v>
      </c>
      <c r="F312" s="33">
        <v>184.9</v>
      </c>
      <c r="G312" s="32">
        <v>200.06</v>
      </c>
      <c r="H312" s="32">
        <v>0.47</v>
      </c>
      <c r="I312" s="34">
        <v>0</v>
      </c>
      <c r="J312" s="33">
        <v>0</v>
      </c>
      <c r="K312" s="34">
        <v>185</v>
      </c>
      <c r="L312" s="32">
        <v>331.3</v>
      </c>
      <c r="M312" s="32">
        <v>62.14</v>
      </c>
      <c r="N312" s="32">
        <v>68.3</v>
      </c>
      <c r="O312" s="32">
        <v>33.299999999999997</v>
      </c>
      <c r="P312" s="32">
        <v>3.65</v>
      </c>
      <c r="Q312" s="34">
        <v>66280</v>
      </c>
      <c r="R312" s="34">
        <v>7867</v>
      </c>
      <c r="S312" s="34">
        <v>74147</v>
      </c>
      <c r="T312" s="34">
        <v>11496</v>
      </c>
      <c r="U312" s="34">
        <v>12636</v>
      </c>
      <c r="V312" s="34">
        <v>156</v>
      </c>
      <c r="W312" s="34">
        <v>6662</v>
      </c>
      <c r="X312" s="34">
        <v>730</v>
      </c>
      <c r="Y312" s="34">
        <v>105827</v>
      </c>
      <c r="Z312" s="34">
        <v>16953</v>
      </c>
      <c r="AA312" s="34">
        <v>88874</v>
      </c>
      <c r="AB312" s="34">
        <v>43379</v>
      </c>
      <c r="AC312" s="34">
        <v>45495</v>
      </c>
    </row>
    <row r="313" spans="1:29" x14ac:dyDescent="0.25">
      <c r="A313" s="31" t="s">
        <v>308</v>
      </c>
      <c r="B313" s="31" t="s">
        <v>736</v>
      </c>
      <c r="C313" s="31" t="s">
        <v>326</v>
      </c>
      <c r="D313" s="31" t="s">
        <v>713</v>
      </c>
      <c r="E313" s="32">
        <v>251.94</v>
      </c>
      <c r="F313" s="33">
        <v>1791.9</v>
      </c>
      <c r="G313" s="32">
        <v>2043.84</v>
      </c>
      <c r="H313" s="32">
        <v>4.79</v>
      </c>
      <c r="I313" s="34">
        <v>1</v>
      </c>
      <c r="J313" s="33">
        <v>0</v>
      </c>
      <c r="K313" s="34">
        <v>1793</v>
      </c>
      <c r="L313" s="32">
        <v>331.3</v>
      </c>
      <c r="M313" s="32">
        <v>62.14</v>
      </c>
      <c r="N313" s="32">
        <v>68.3</v>
      </c>
      <c r="O313" s="32">
        <v>33.299999999999997</v>
      </c>
      <c r="P313" s="32">
        <v>3.65</v>
      </c>
      <c r="Q313" s="34">
        <v>677124</v>
      </c>
      <c r="R313" s="34">
        <v>0</v>
      </c>
      <c r="S313" s="34">
        <v>677124</v>
      </c>
      <c r="T313" s="34">
        <v>111417</v>
      </c>
      <c r="U313" s="34">
        <v>122462</v>
      </c>
      <c r="V313" s="34">
        <v>1587</v>
      </c>
      <c r="W313" s="34">
        <v>68060</v>
      </c>
      <c r="X313" s="34">
        <v>7460</v>
      </c>
      <c r="Y313" s="34">
        <v>988110</v>
      </c>
      <c r="Z313" s="34">
        <v>122625</v>
      </c>
      <c r="AA313" s="34">
        <v>865485</v>
      </c>
      <c r="AB313" s="34">
        <v>493733</v>
      </c>
      <c r="AC313" s="34">
        <v>371752</v>
      </c>
    </row>
    <row r="314" spans="1:29" x14ac:dyDescent="0.25">
      <c r="A314" s="31" t="s">
        <v>308</v>
      </c>
      <c r="B314" s="31" t="s">
        <v>736</v>
      </c>
      <c r="C314" s="31" t="s">
        <v>327</v>
      </c>
      <c r="D314" s="31" t="s">
        <v>714</v>
      </c>
      <c r="E314" s="32">
        <v>66.400000000000006</v>
      </c>
      <c r="F314" s="33">
        <v>542</v>
      </c>
      <c r="G314" s="32">
        <v>608.4</v>
      </c>
      <c r="H314" s="32">
        <v>1.42</v>
      </c>
      <c r="I314" s="34">
        <v>3</v>
      </c>
      <c r="J314" s="33">
        <v>0</v>
      </c>
      <c r="K314" s="34">
        <v>545</v>
      </c>
      <c r="L314" s="32">
        <v>331.3</v>
      </c>
      <c r="M314" s="32">
        <v>62.14</v>
      </c>
      <c r="N314" s="32">
        <v>68.3</v>
      </c>
      <c r="O314" s="32">
        <v>33.299999999999997</v>
      </c>
      <c r="P314" s="32">
        <v>3.65</v>
      </c>
      <c r="Q314" s="34">
        <v>201563</v>
      </c>
      <c r="R314" s="34">
        <v>0</v>
      </c>
      <c r="S314" s="34">
        <v>201563</v>
      </c>
      <c r="T314" s="34">
        <v>33866</v>
      </c>
      <c r="U314" s="34">
        <v>37224</v>
      </c>
      <c r="V314" s="34">
        <v>470</v>
      </c>
      <c r="W314" s="34">
        <v>20260</v>
      </c>
      <c r="X314" s="34">
        <v>2221</v>
      </c>
      <c r="Y314" s="34">
        <v>295604</v>
      </c>
      <c r="Z314" s="34">
        <v>32899</v>
      </c>
      <c r="AA314" s="34">
        <v>262705</v>
      </c>
      <c r="AB314" s="34">
        <v>150574</v>
      </c>
      <c r="AC314" s="34">
        <v>112131</v>
      </c>
    </row>
    <row r="315" spans="1:29" x14ac:dyDescent="0.25">
      <c r="A315" s="31" t="s">
        <v>308</v>
      </c>
      <c r="B315" s="31" t="s">
        <v>736</v>
      </c>
      <c r="C315" s="31" t="s">
        <v>328</v>
      </c>
      <c r="D315" s="31" t="s">
        <v>715</v>
      </c>
      <c r="E315" s="32">
        <v>74.900000000000006</v>
      </c>
      <c r="F315" s="33">
        <v>488.5</v>
      </c>
      <c r="G315" s="32">
        <v>563.4</v>
      </c>
      <c r="H315" s="32">
        <v>1.32</v>
      </c>
      <c r="I315" s="34">
        <v>26</v>
      </c>
      <c r="J315" s="33">
        <v>0</v>
      </c>
      <c r="K315" s="34">
        <v>515</v>
      </c>
      <c r="L315" s="32">
        <v>331.3</v>
      </c>
      <c r="M315" s="32">
        <v>62.14</v>
      </c>
      <c r="N315" s="32">
        <v>68.3</v>
      </c>
      <c r="O315" s="32">
        <v>33.299999999999997</v>
      </c>
      <c r="P315" s="32">
        <v>3.65</v>
      </c>
      <c r="Q315" s="34">
        <v>186654</v>
      </c>
      <c r="R315" s="34">
        <v>0</v>
      </c>
      <c r="S315" s="34">
        <v>186654</v>
      </c>
      <c r="T315" s="34">
        <v>32002</v>
      </c>
      <c r="U315" s="34">
        <v>35175</v>
      </c>
      <c r="V315" s="34">
        <v>437</v>
      </c>
      <c r="W315" s="34">
        <v>18761</v>
      </c>
      <c r="X315" s="34">
        <v>2056</v>
      </c>
      <c r="Y315" s="34">
        <v>275085</v>
      </c>
      <c r="Z315" s="34">
        <v>33289</v>
      </c>
      <c r="AA315" s="34">
        <v>241796</v>
      </c>
      <c r="AB315" s="34">
        <v>136614</v>
      </c>
      <c r="AC315" s="34">
        <v>105182</v>
      </c>
    </row>
    <row r="316" spans="1:29" x14ac:dyDescent="0.25">
      <c r="A316" s="31" t="s">
        <v>308</v>
      </c>
      <c r="B316" s="31" t="s">
        <v>736</v>
      </c>
      <c r="C316" s="31" t="s">
        <v>329</v>
      </c>
      <c r="D316" s="31" t="s">
        <v>716</v>
      </c>
      <c r="E316" s="32">
        <v>280.04000000000002</v>
      </c>
      <c r="F316" s="33">
        <v>2254.6</v>
      </c>
      <c r="G316" s="32">
        <v>2534.64</v>
      </c>
      <c r="H316" s="32">
        <v>5.94</v>
      </c>
      <c r="I316" s="34">
        <v>171</v>
      </c>
      <c r="J316" s="33">
        <v>0</v>
      </c>
      <c r="K316" s="34">
        <v>2426</v>
      </c>
      <c r="L316" s="32">
        <v>331.3</v>
      </c>
      <c r="M316" s="32">
        <v>62.14</v>
      </c>
      <c r="N316" s="32">
        <v>68.3</v>
      </c>
      <c r="O316" s="32">
        <v>33.299999999999997</v>
      </c>
      <c r="P316" s="32">
        <v>3.65</v>
      </c>
      <c r="Q316" s="34">
        <v>839726</v>
      </c>
      <c r="R316" s="34">
        <v>0</v>
      </c>
      <c r="S316" s="34">
        <v>839726</v>
      </c>
      <c r="T316" s="34">
        <v>150752</v>
      </c>
      <c r="U316" s="34">
        <v>165696</v>
      </c>
      <c r="V316" s="34">
        <v>1968</v>
      </c>
      <c r="W316" s="34">
        <v>84404</v>
      </c>
      <c r="X316" s="34">
        <v>9251</v>
      </c>
      <c r="Y316" s="34">
        <v>1251797</v>
      </c>
      <c r="Z316" s="34">
        <v>151250</v>
      </c>
      <c r="AA316" s="34">
        <v>1100547</v>
      </c>
      <c r="AB316" s="34">
        <v>613118</v>
      </c>
      <c r="AC316" s="34">
        <v>487429</v>
      </c>
    </row>
    <row r="317" spans="1:29" x14ac:dyDescent="0.25">
      <c r="A317" s="31" t="s">
        <v>308</v>
      </c>
      <c r="B317" s="31" t="s">
        <v>736</v>
      </c>
      <c r="C317" s="31" t="s">
        <v>330</v>
      </c>
      <c r="D317" s="31" t="s">
        <v>717</v>
      </c>
      <c r="E317" s="32">
        <v>644.57000000000005</v>
      </c>
      <c r="F317" s="33">
        <v>5067.1000000000004</v>
      </c>
      <c r="G317" s="32">
        <v>5711.67</v>
      </c>
      <c r="H317" s="32">
        <v>13.39</v>
      </c>
      <c r="I317" s="34">
        <v>108</v>
      </c>
      <c r="J317" s="33">
        <v>3</v>
      </c>
      <c r="K317" s="34">
        <v>5172</v>
      </c>
      <c r="L317" s="32">
        <v>331.3</v>
      </c>
      <c r="M317" s="32">
        <v>62.14</v>
      </c>
      <c r="N317" s="32">
        <v>68.3</v>
      </c>
      <c r="O317" s="32">
        <v>33.299999999999997</v>
      </c>
      <c r="P317" s="32">
        <v>3.65</v>
      </c>
      <c r="Q317" s="34">
        <v>1892276</v>
      </c>
      <c r="R317" s="34">
        <v>0</v>
      </c>
      <c r="S317" s="34">
        <v>1892276</v>
      </c>
      <c r="T317" s="34">
        <v>321388</v>
      </c>
      <c r="U317" s="34">
        <v>353248</v>
      </c>
      <c r="V317" s="34">
        <v>4436</v>
      </c>
      <c r="W317" s="34">
        <v>190199</v>
      </c>
      <c r="X317" s="34">
        <v>20848</v>
      </c>
      <c r="Y317" s="34">
        <v>2782395</v>
      </c>
      <c r="Z317" s="34">
        <v>285726</v>
      </c>
      <c r="AA317" s="34">
        <v>2496669</v>
      </c>
      <c r="AB317" s="34">
        <v>1436737</v>
      </c>
      <c r="AC317" s="34">
        <v>1059932</v>
      </c>
    </row>
    <row r="318" spans="1:29" x14ac:dyDescent="0.25">
      <c r="A318" s="31" t="s">
        <v>308</v>
      </c>
      <c r="B318" s="31" t="s">
        <v>736</v>
      </c>
      <c r="C318" s="31" t="s">
        <v>331</v>
      </c>
      <c r="D318" s="31" t="s">
        <v>718</v>
      </c>
      <c r="E318" s="32">
        <v>65.38</v>
      </c>
      <c r="F318" s="33">
        <v>549.1</v>
      </c>
      <c r="G318" s="32">
        <v>614.48</v>
      </c>
      <c r="H318" s="32">
        <v>1.44</v>
      </c>
      <c r="I318" s="34">
        <v>0</v>
      </c>
      <c r="J318" s="33">
        <v>0</v>
      </c>
      <c r="K318" s="34">
        <v>549</v>
      </c>
      <c r="L318" s="32">
        <v>331.3</v>
      </c>
      <c r="M318" s="32">
        <v>62.14</v>
      </c>
      <c r="N318" s="32">
        <v>68.3</v>
      </c>
      <c r="O318" s="32">
        <v>33.299999999999997</v>
      </c>
      <c r="P318" s="32">
        <v>3.65</v>
      </c>
      <c r="Q318" s="34">
        <v>203577</v>
      </c>
      <c r="R318" s="34">
        <v>6153</v>
      </c>
      <c r="S318" s="34">
        <v>209730</v>
      </c>
      <c r="T318" s="34">
        <v>34115</v>
      </c>
      <c r="U318" s="34">
        <v>37497</v>
      </c>
      <c r="V318" s="34">
        <v>477</v>
      </c>
      <c r="W318" s="34">
        <v>20646</v>
      </c>
      <c r="X318" s="34">
        <v>2256</v>
      </c>
      <c r="Y318" s="34">
        <v>304721</v>
      </c>
      <c r="Z318" s="34">
        <v>43569</v>
      </c>
      <c r="AA318" s="34">
        <v>261152</v>
      </c>
      <c r="AB318" s="34">
        <v>141936</v>
      </c>
      <c r="AC318" s="34">
        <v>119216</v>
      </c>
    </row>
    <row r="319" spans="1:29" x14ac:dyDescent="0.25">
      <c r="A319" s="31" t="s">
        <v>308</v>
      </c>
      <c r="B319" s="31" t="s">
        <v>736</v>
      </c>
      <c r="C319" s="31" t="s">
        <v>332</v>
      </c>
      <c r="D319" s="31" t="s">
        <v>719</v>
      </c>
      <c r="E319" s="32">
        <v>16.59</v>
      </c>
      <c r="F319" s="33">
        <v>237</v>
      </c>
      <c r="G319" s="32">
        <v>253.59</v>
      </c>
      <c r="H319" s="32">
        <v>0.59</v>
      </c>
      <c r="I319" s="34">
        <v>0</v>
      </c>
      <c r="J319" s="33">
        <v>0</v>
      </c>
      <c r="K319" s="34">
        <v>237</v>
      </c>
      <c r="L319" s="32">
        <v>331.3</v>
      </c>
      <c r="M319" s="32">
        <v>62.14</v>
      </c>
      <c r="N319" s="32">
        <v>68.3</v>
      </c>
      <c r="O319" s="32">
        <v>33.299999999999997</v>
      </c>
      <c r="P319" s="32">
        <v>3.65</v>
      </c>
      <c r="Q319" s="34">
        <v>84014</v>
      </c>
      <c r="R319" s="34">
        <v>8885</v>
      </c>
      <c r="S319" s="34">
        <v>92899</v>
      </c>
      <c r="T319" s="34">
        <v>14727</v>
      </c>
      <c r="U319" s="34">
        <v>16187</v>
      </c>
      <c r="V319" s="34">
        <v>195</v>
      </c>
      <c r="W319" s="34">
        <v>9009</v>
      </c>
      <c r="X319" s="34">
        <v>985</v>
      </c>
      <c r="Y319" s="34">
        <v>134002</v>
      </c>
      <c r="Z319" s="34">
        <v>21565</v>
      </c>
      <c r="AA319" s="34">
        <v>112437</v>
      </c>
      <c r="AB319" s="34">
        <v>55533</v>
      </c>
      <c r="AC319" s="34">
        <v>56904</v>
      </c>
    </row>
    <row r="320" spans="1:29" x14ac:dyDescent="0.25">
      <c r="A320" s="31" t="s">
        <v>308</v>
      </c>
      <c r="B320" s="31" t="s">
        <v>736</v>
      </c>
      <c r="C320" s="31" t="s">
        <v>333</v>
      </c>
      <c r="D320" s="31" t="s">
        <v>720</v>
      </c>
      <c r="E320" s="32">
        <v>57.27</v>
      </c>
      <c r="F320" s="33">
        <v>552.29999999999995</v>
      </c>
      <c r="G320" s="32">
        <v>609.57000000000005</v>
      </c>
      <c r="H320" s="32">
        <v>1.43</v>
      </c>
      <c r="I320" s="34">
        <v>0</v>
      </c>
      <c r="J320" s="33">
        <v>0</v>
      </c>
      <c r="K320" s="34">
        <v>552</v>
      </c>
      <c r="L320" s="32">
        <v>331.3</v>
      </c>
      <c r="M320" s="32">
        <v>62.14</v>
      </c>
      <c r="N320" s="32">
        <v>68.3</v>
      </c>
      <c r="O320" s="32">
        <v>33.299999999999997</v>
      </c>
      <c r="P320" s="32">
        <v>3.65</v>
      </c>
      <c r="Q320" s="34">
        <v>201951</v>
      </c>
      <c r="R320" s="34">
        <v>0</v>
      </c>
      <c r="S320" s="34">
        <v>201951</v>
      </c>
      <c r="T320" s="34">
        <v>34301</v>
      </c>
      <c r="U320" s="34">
        <v>37702</v>
      </c>
      <c r="V320" s="34">
        <v>474</v>
      </c>
      <c r="W320" s="34">
        <v>20299</v>
      </c>
      <c r="X320" s="34">
        <v>2225</v>
      </c>
      <c r="Y320" s="34">
        <v>296952</v>
      </c>
      <c r="Z320" s="34">
        <v>42887</v>
      </c>
      <c r="AA320" s="34">
        <v>254065</v>
      </c>
      <c r="AB320" s="34">
        <v>140941</v>
      </c>
      <c r="AC320" s="34">
        <v>113124</v>
      </c>
    </row>
    <row r="321" spans="1:29" x14ac:dyDescent="0.25">
      <c r="A321" s="31" t="s">
        <v>308</v>
      </c>
      <c r="B321" s="31" t="s">
        <v>736</v>
      </c>
      <c r="C321" s="31" t="s">
        <v>334</v>
      </c>
      <c r="D321" s="31" t="s">
        <v>721</v>
      </c>
      <c r="E321" s="32">
        <v>29.47</v>
      </c>
      <c r="F321" s="33">
        <v>265.8</v>
      </c>
      <c r="G321" s="32">
        <v>295.27</v>
      </c>
      <c r="H321" s="32">
        <v>0.69</v>
      </c>
      <c r="I321" s="34">
        <v>7</v>
      </c>
      <c r="J321" s="33">
        <v>0</v>
      </c>
      <c r="K321" s="34">
        <v>273</v>
      </c>
      <c r="L321" s="32">
        <v>331.3</v>
      </c>
      <c r="M321" s="32">
        <v>62.14</v>
      </c>
      <c r="N321" s="32">
        <v>68.3</v>
      </c>
      <c r="O321" s="32">
        <v>33.299999999999997</v>
      </c>
      <c r="P321" s="32">
        <v>3.65</v>
      </c>
      <c r="Q321" s="34">
        <v>97823</v>
      </c>
      <c r="R321" s="34">
        <v>704</v>
      </c>
      <c r="S321" s="34">
        <v>98527</v>
      </c>
      <c r="T321" s="34">
        <v>16964</v>
      </c>
      <c r="U321" s="34">
        <v>18646</v>
      </c>
      <c r="V321" s="34">
        <v>229</v>
      </c>
      <c r="W321" s="34">
        <v>9832</v>
      </c>
      <c r="X321" s="34">
        <v>1078</v>
      </c>
      <c r="Y321" s="34">
        <v>145276</v>
      </c>
      <c r="Z321" s="34">
        <v>22679</v>
      </c>
      <c r="AA321" s="34">
        <v>122597</v>
      </c>
      <c r="AB321" s="34">
        <v>66364</v>
      </c>
      <c r="AC321" s="34">
        <v>56233</v>
      </c>
    </row>
    <row r="322" spans="1:29" x14ac:dyDescent="0.25">
      <c r="A322" s="31" t="s">
        <v>308</v>
      </c>
      <c r="B322" s="31" t="s">
        <v>736</v>
      </c>
      <c r="C322" s="31" t="s">
        <v>335</v>
      </c>
      <c r="D322" s="31" t="s">
        <v>737</v>
      </c>
      <c r="E322" s="32">
        <v>145.72</v>
      </c>
      <c r="F322" s="33">
        <v>967.1</v>
      </c>
      <c r="G322" s="32">
        <v>1112.82</v>
      </c>
      <c r="H322" s="32">
        <v>2.61</v>
      </c>
      <c r="I322" s="34">
        <v>0</v>
      </c>
      <c r="J322" s="33">
        <v>0</v>
      </c>
      <c r="K322" s="34">
        <v>967</v>
      </c>
      <c r="L322" s="32">
        <v>331.3</v>
      </c>
      <c r="M322" s="32">
        <v>62.14</v>
      </c>
      <c r="N322" s="32">
        <v>68.3</v>
      </c>
      <c r="O322" s="32">
        <v>33.299999999999997</v>
      </c>
      <c r="P322" s="32">
        <v>3.65</v>
      </c>
      <c r="Q322" s="34">
        <v>368677</v>
      </c>
      <c r="R322" s="34">
        <v>0</v>
      </c>
      <c r="S322" s="34">
        <v>368677</v>
      </c>
      <c r="T322" s="34">
        <v>60089</v>
      </c>
      <c r="U322" s="34">
        <v>66046</v>
      </c>
      <c r="V322" s="34">
        <v>865</v>
      </c>
      <c r="W322" s="34">
        <v>37057</v>
      </c>
      <c r="X322" s="34">
        <v>4062</v>
      </c>
      <c r="Y322" s="34">
        <v>536796</v>
      </c>
      <c r="Z322" s="34">
        <v>80727</v>
      </c>
      <c r="AA322" s="34">
        <v>456069</v>
      </c>
      <c r="AB322" s="34">
        <v>254866</v>
      </c>
      <c r="AC322" s="34">
        <v>201203</v>
      </c>
    </row>
    <row r="323" spans="1:29" x14ac:dyDescent="0.25">
      <c r="A323" s="31" t="s">
        <v>308</v>
      </c>
      <c r="B323" s="31" t="s">
        <v>736</v>
      </c>
      <c r="C323" s="31" t="s">
        <v>336</v>
      </c>
      <c r="D323" s="31" t="s">
        <v>722</v>
      </c>
      <c r="E323" s="32">
        <v>72.22</v>
      </c>
      <c r="F323" s="33">
        <v>489.4</v>
      </c>
      <c r="G323" s="32">
        <v>561.62</v>
      </c>
      <c r="H323" s="32">
        <v>1.32</v>
      </c>
      <c r="I323" s="34">
        <v>2</v>
      </c>
      <c r="J323" s="33">
        <v>0</v>
      </c>
      <c r="K323" s="34">
        <v>491</v>
      </c>
      <c r="L323" s="32">
        <v>331.3</v>
      </c>
      <c r="M323" s="32">
        <v>62.14</v>
      </c>
      <c r="N323" s="32">
        <v>68.3</v>
      </c>
      <c r="O323" s="32">
        <v>33.299999999999997</v>
      </c>
      <c r="P323" s="32">
        <v>3.65</v>
      </c>
      <c r="Q323" s="34">
        <v>186065</v>
      </c>
      <c r="R323" s="34">
        <v>0</v>
      </c>
      <c r="S323" s="34">
        <v>186065</v>
      </c>
      <c r="T323" s="34">
        <v>30511</v>
      </c>
      <c r="U323" s="34">
        <v>33535</v>
      </c>
      <c r="V323" s="34">
        <v>437</v>
      </c>
      <c r="W323" s="34">
        <v>18702</v>
      </c>
      <c r="X323" s="34">
        <v>2050</v>
      </c>
      <c r="Y323" s="34">
        <v>271300</v>
      </c>
      <c r="Z323" s="34">
        <v>34809</v>
      </c>
      <c r="AA323" s="34">
        <v>236491</v>
      </c>
      <c r="AB323" s="34">
        <v>134559</v>
      </c>
      <c r="AC323" s="34">
        <v>101932</v>
      </c>
    </row>
    <row r="324" spans="1:29" x14ac:dyDescent="0.25">
      <c r="A324" s="31" t="s">
        <v>308</v>
      </c>
      <c r="B324" s="31" t="s">
        <v>736</v>
      </c>
      <c r="C324" s="31" t="s">
        <v>337</v>
      </c>
      <c r="D324" s="31" t="s">
        <v>723</v>
      </c>
      <c r="E324" s="32">
        <v>74.14</v>
      </c>
      <c r="F324" s="33">
        <v>534.4</v>
      </c>
      <c r="G324" s="32">
        <v>608.54</v>
      </c>
      <c r="H324" s="32">
        <v>1.43</v>
      </c>
      <c r="I324" s="34">
        <v>1</v>
      </c>
      <c r="J324" s="33">
        <v>0</v>
      </c>
      <c r="K324" s="34">
        <v>535</v>
      </c>
      <c r="L324" s="32">
        <v>331.3</v>
      </c>
      <c r="M324" s="32">
        <v>62.14</v>
      </c>
      <c r="N324" s="32">
        <v>68.3</v>
      </c>
      <c r="O324" s="32">
        <v>33.299999999999997</v>
      </c>
      <c r="P324" s="32">
        <v>3.65</v>
      </c>
      <c r="Q324" s="34">
        <v>201609</v>
      </c>
      <c r="R324" s="34">
        <v>27397</v>
      </c>
      <c r="S324" s="34">
        <v>229006</v>
      </c>
      <c r="T324" s="34">
        <v>33245</v>
      </c>
      <c r="U324" s="34">
        <v>36541</v>
      </c>
      <c r="V324" s="34">
        <v>474</v>
      </c>
      <c r="W324" s="34">
        <v>20264</v>
      </c>
      <c r="X324" s="34">
        <v>2221</v>
      </c>
      <c r="Y324" s="34">
        <v>321751</v>
      </c>
      <c r="Z324" s="34">
        <v>45941</v>
      </c>
      <c r="AA324" s="34">
        <v>275810</v>
      </c>
      <c r="AB324" s="34">
        <v>137576</v>
      </c>
      <c r="AC324" s="34">
        <v>138234</v>
      </c>
    </row>
    <row r="325" spans="1:29" x14ac:dyDescent="0.25">
      <c r="A325" s="31" t="s">
        <v>308</v>
      </c>
      <c r="B325" s="31" t="s">
        <v>736</v>
      </c>
      <c r="C325" s="31" t="s">
        <v>338</v>
      </c>
      <c r="D325" s="31" t="s">
        <v>724</v>
      </c>
      <c r="E325" s="32">
        <v>80.42</v>
      </c>
      <c r="F325" s="33">
        <v>574.5</v>
      </c>
      <c r="G325" s="32">
        <v>654.91999999999996</v>
      </c>
      <c r="H325" s="32">
        <v>1.54</v>
      </c>
      <c r="I325" s="34">
        <v>0</v>
      </c>
      <c r="J325" s="33">
        <v>0</v>
      </c>
      <c r="K325" s="34">
        <v>575</v>
      </c>
      <c r="L325" s="32">
        <v>331.3</v>
      </c>
      <c r="M325" s="32">
        <v>62.14</v>
      </c>
      <c r="N325" s="32">
        <v>68.3</v>
      </c>
      <c r="O325" s="32">
        <v>33.299999999999997</v>
      </c>
      <c r="P325" s="32">
        <v>3.65</v>
      </c>
      <c r="Q325" s="34">
        <v>216975</v>
      </c>
      <c r="R325" s="34">
        <v>0</v>
      </c>
      <c r="S325" s="34">
        <v>216975</v>
      </c>
      <c r="T325" s="34">
        <v>35731</v>
      </c>
      <c r="U325" s="34">
        <v>39273</v>
      </c>
      <c r="V325" s="34">
        <v>510</v>
      </c>
      <c r="W325" s="34">
        <v>21809</v>
      </c>
      <c r="X325" s="34">
        <v>2390</v>
      </c>
      <c r="Y325" s="34">
        <v>316688</v>
      </c>
      <c r="Z325" s="34">
        <v>45988</v>
      </c>
      <c r="AA325" s="34">
        <v>270700</v>
      </c>
      <c r="AB325" s="34">
        <v>151516</v>
      </c>
      <c r="AC325" s="34">
        <v>119184</v>
      </c>
    </row>
    <row r="326" spans="1:29" x14ac:dyDescent="0.25">
      <c r="A326" s="31" t="s">
        <v>308</v>
      </c>
      <c r="B326" s="31" t="s">
        <v>736</v>
      </c>
      <c r="C326" s="31" t="s">
        <v>339</v>
      </c>
      <c r="D326" s="31" t="s">
        <v>725</v>
      </c>
      <c r="E326" s="32">
        <v>44.08</v>
      </c>
      <c r="F326" s="33">
        <v>405</v>
      </c>
      <c r="G326" s="32">
        <v>449.08</v>
      </c>
      <c r="H326" s="32">
        <v>1.05</v>
      </c>
      <c r="I326" s="34">
        <v>35</v>
      </c>
      <c r="J326" s="33">
        <v>0</v>
      </c>
      <c r="K326" s="34">
        <v>440</v>
      </c>
      <c r="L326" s="32">
        <v>331.3</v>
      </c>
      <c r="M326" s="32">
        <v>62.14</v>
      </c>
      <c r="N326" s="32">
        <v>68.3</v>
      </c>
      <c r="O326" s="32">
        <v>33.299999999999997</v>
      </c>
      <c r="P326" s="32">
        <v>3.65</v>
      </c>
      <c r="Q326" s="34">
        <v>148780</v>
      </c>
      <c r="R326" s="34">
        <v>10096</v>
      </c>
      <c r="S326" s="34">
        <v>158876</v>
      </c>
      <c r="T326" s="34">
        <v>27342</v>
      </c>
      <c r="U326" s="34">
        <v>30052</v>
      </c>
      <c r="V326" s="34">
        <v>348</v>
      </c>
      <c r="W326" s="34">
        <v>15530</v>
      </c>
      <c r="X326" s="34">
        <v>1697</v>
      </c>
      <c r="Y326" s="34">
        <v>233845</v>
      </c>
      <c r="Z326" s="34">
        <v>28867</v>
      </c>
      <c r="AA326" s="34">
        <v>204978</v>
      </c>
      <c r="AB326" s="34">
        <v>107194</v>
      </c>
      <c r="AC326" s="34">
        <v>97784</v>
      </c>
    </row>
    <row r="327" spans="1:29" x14ac:dyDescent="0.25">
      <c r="A327" s="31" t="s">
        <v>308</v>
      </c>
      <c r="B327" s="31" t="s">
        <v>736</v>
      </c>
      <c r="C327" s="31" t="s">
        <v>340</v>
      </c>
      <c r="D327" s="31" t="s">
        <v>726</v>
      </c>
      <c r="E327" s="32">
        <v>34.4</v>
      </c>
      <c r="F327" s="33">
        <v>306.2</v>
      </c>
      <c r="G327" s="32">
        <v>340.6</v>
      </c>
      <c r="H327" s="32">
        <v>0.8</v>
      </c>
      <c r="I327" s="34">
        <v>0</v>
      </c>
      <c r="J327" s="33">
        <v>0</v>
      </c>
      <c r="K327" s="34">
        <v>306</v>
      </c>
      <c r="L327" s="32">
        <v>331.3</v>
      </c>
      <c r="M327" s="32">
        <v>62.14</v>
      </c>
      <c r="N327" s="32">
        <v>68.3</v>
      </c>
      <c r="O327" s="32">
        <v>33.299999999999997</v>
      </c>
      <c r="P327" s="32">
        <v>3.65</v>
      </c>
      <c r="Q327" s="34">
        <v>112841</v>
      </c>
      <c r="R327" s="34">
        <v>2887</v>
      </c>
      <c r="S327" s="34">
        <v>115728</v>
      </c>
      <c r="T327" s="34">
        <v>19015</v>
      </c>
      <c r="U327" s="34">
        <v>20900</v>
      </c>
      <c r="V327" s="34">
        <v>265</v>
      </c>
      <c r="W327" s="34">
        <v>11342</v>
      </c>
      <c r="X327" s="34">
        <v>1243</v>
      </c>
      <c r="Y327" s="34">
        <v>168493</v>
      </c>
      <c r="Z327" s="34">
        <v>23945</v>
      </c>
      <c r="AA327" s="34">
        <v>144548</v>
      </c>
      <c r="AB327" s="34">
        <v>78770</v>
      </c>
      <c r="AC327" s="34">
        <v>65778</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8"/>
  <sheetViews>
    <sheetView workbookViewId="0">
      <selection activeCell="C11" sqref="C11"/>
    </sheetView>
  </sheetViews>
  <sheetFormatPr defaultRowHeight="12.75" x14ac:dyDescent="0.2"/>
  <cols>
    <col min="1" max="1" width="8.42578125" style="20" bestFit="1" customWidth="1"/>
    <col min="2" max="2" width="31.140625" style="20" bestFit="1" customWidth="1"/>
    <col min="3" max="3" width="11.28515625" style="20" customWidth="1"/>
    <col min="4" max="4" width="9.7109375" style="20" bestFit="1" customWidth="1"/>
    <col min="5" max="5" width="9.85546875" style="20" bestFit="1" customWidth="1"/>
    <col min="6" max="6" width="13.140625" style="20" bestFit="1" customWidth="1"/>
    <col min="7" max="7" width="9.42578125" style="20" bestFit="1" customWidth="1"/>
    <col min="8" max="8" width="10.85546875" style="20" customWidth="1"/>
    <col min="9" max="9" width="11.42578125" style="20" bestFit="1" customWidth="1"/>
    <col min="10" max="10" width="10.85546875" style="20" bestFit="1" customWidth="1"/>
    <col min="11" max="11" width="10.28515625" style="20" bestFit="1" customWidth="1"/>
    <col min="12" max="12" width="10.85546875" style="20" bestFit="1" customWidth="1"/>
    <col min="13" max="14" width="9.85546875" style="20" bestFit="1" customWidth="1"/>
    <col min="15" max="15" width="7.42578125" style="20" bestFit="1" customWidth="1"/>
    <col min="16" max="16" width="10.5703125" style="20" bestFit="1" customWidth="1"/>
    <col min="17" max="17" width="11.7109375" style="20" bestFit="1" customWidth="1"/>
    <col min="18" max="18" width="10.85546875" style="20" bestFit="1" customWidth="1"/>
    <col min="19" max="19" width="9.85546875" style="20" bestFit="1" customWidth="1"/>
    <col min="20" max="21" width="10.85546875" style="20" bestFit="1"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45" t="str">
        <f>CONCATENATE(INDEX(Detail[],MATCH(A5,Detail[Dist],0),2)," Detail by School District")</f>
        <v>Central Rivers Detail by School District</v>
      </c>
    </row>
    <row r="2" spans="1:22" ht="15.75" customHeight="1" x14ac:dyDescent="0.2">
      <c r="B2" s="45"/>
    </row>
    <row r="3" spans="1:22" ht="16.5" customHeight="1" x14ac:dyDescent="0.2">
      <c r="B3" s="45"/>
    </row>
    <row r="4" spans="1:22" s="21" customFormat="1" ht="63.75" x14ac:dyDescent="0.2">
      <c r="A4" s="22" t="s">
        <v>727</v>
      </c>
      <c r="B4" s="22" t="s">
        <v>365</v>
      </c>
      <c r="C4" s="23" t="s">
        <v>390</v>
      </c>
      <c r="D4" s="23" t="s">
        <v>391</v>
      </c>
      <c r="E4" s="23" t="s">
        <v>392</v>
      </c>
      <c r="F4" s="23" t="s">
        <v>393</v>
      </c>
      <c r="G4" s="23" t="s">
        <v>394</v>
      </c>
      <c r="H4" s="23" t="s">
        <v>395</v>
      </c>
      <c r="I4" s="23" t="s">
        <v>397</v>
      </c>
      <c r="J4" s="23" t="s">
        <v>398</v>
      </c>
      <c r="K4" s="23" t="s">
        <v>399</v>
      </c>
      <c r="L4" s="23" t="s">
        <v>400</v>
      </c>
      <c r="M4" s="23" t="s">
        <v>401</v>
      </c>
      <c r="N4" s="23" t="s">
        <v>402</v>
      </c>
      <c r="O4" s="23" t="s">
        <v>403</v>
      </c>
      <c r="P4" s="23" t="s">
        <v>404</v>
      </c>
      <c r="Q4" s="23" t="s">
        <v>405</v>
      </c>
      <c r="R4" s="23" t="s">
        <v>406</v>
      </c>
      <c r="S4" s="23" t="s">
        <v>407</v>
      </c>
      <c r="T4" s="23" t="s">
        <v>408</v>
      </c>
      <c r="U4" s="23" t="s">
        <v>409</v>
      </c>
      <c r="V4" s="23" t="s">
        <v>410</v>
      </c>
    </row>
    <row r="5" spans="1:22" x14ac:dyDescent="0.2">
      <c r="A5" s="20" t="s">
        <v>61</v>
      </c>
      <c r="B5" s="20" t="s">
        <v>62</v>
      </c>
      <c r="C5" s="25">
        <v>106.87</v>
      </c>
      <c r="D5" s="27">
        <v>686.4</v>
      </c>
      <c r="E5" s="25">
        <v>793.27</v>
      </c>
      <c r="F5" s="25">
        <v>1</v>
      </c>
      <c r="G5" s="29">
        <v>16</v>
      </c>
      <c r="H5" s="27">
        <v>0</v>
      </c>
      <c r="I5" s="29">
        <v>702</v>
      </c>
      <c r="J5" s="29">
        <v>267538</v>
      </c>
      <c r="K5" s="29">
        <v>0</v>
      </c>
      <c r="L5" s="29">
        <v>267538</v>
      </c>
      <c r="M5" s="29">
        <v>43854</v>
      </c>
      <c r="N5" s="29">
        <v>48894</v>
      </c>
      <c r="O5" s="29">
        <v>337</v>
      </c>
      <c r="P5" s="29">
        <v>33079</v>
      </c>
      <c r="Q5" s="29">
        <v>3808</v>
      </c>
      <c r="R5" s="29">
        <v>397510</v>
      </c>
      <c r="S5" s="29">
        <v>54162</v>
      </c>
      <c r="T5" s="29">
        <v>343348</v>
      </c>
      <c r="U5" s="29">
        <v>192412</v>
      </c>
      <c r="V5" s="29">
        <v>150936</v>
      </c>
    </row>
    <row r="6" spans="1:22" x14ac:dyDescent="0.2">
      <c r="A6" s="20" t="s">
        <v>175</v>
      </c>
      <c r="B6" s="20" t="s">
        <v>568</v>
      </c>
      <c r="C6" s="25">
        <v>48.64</v>
      </c>
      <c r="D6" s="27">
        <v>306.3</v>
      </c>
      <c r="E6" s="25">
        <v>354.94</v>
      </c>
      <c r="F6" s="25">
        <v>0</v>
      </c>
      <c r="G6" s="29">
        <v>0</v>
      </c>
      <c r="H6" s="27">
        <v>0</v>
      </c>
      <c r="I6" s="29">
        <v>306</v>
      </c>
      <c r="J6" s="29">
        <v>115668</v>
      </c>
      <c r="K6" s="29">
        <v>0</v>
      </c>
      <c r="L6" s="29">
        <v>115668</v>
      </c>
      <c r="M6" s="29">
        <v>18984</v>
      </c>
      <c r="N6" s="29">
        <v>20854</v>
      </c>
      <c r="O6" s="29">
        <v>0</v>
      </c>
      <c r="P6" s="29">
        <v>9850</v>
      </c>
      <c r="Q6" s="29">
        <v>1235</v>
      </c>
      <c r="R6" s="29">
        <v>166591</v>
      </c>
      <c r="S6" s="29">
        <v>22203</v>
      </c>
      <c r="T6" s="29">
        <v>144388</v>
      </c>
      <c r="U6" s="29">
        <v>82586</v>
      </c>
      <c r="V6" s="29">
        <v>61802</v>
      </c>
    </row>
    <row r="7" spans="1:22" x14ac:dyDescent="0.2">
      <c r="A7" s="20" t="s">
        <v>176</v>
      </c>
      <c r="B7" s="20" t="s">
        <v>569</v>
      </c>
      <c r="C7" s="25">
        <v>238.28</v>
      </c>
      <c r="D7" s="27">
        <v>2130.9</v>
      </c>
      <c r="E7" s="25">
        <v>2369.1799999999998</v>
      </c>
      <c r="F7" s="25">
        <v>0</v>
      </c>
      <c r="G7" s="29">
        <v>28</v>
      </c>
      <c r="H7" s="27">
        <v>0</v>
      </c>
      <c r="I7" s="29">
        <v>2159</v>
      </c>
      <c r="J7" s="29">
        <v>772068</v>
      </c>
      <c r="K7" s="29">
        <v>0</v>
      </c>
      <c r="L7" s="29">
        <v>772068</v>
      </c>
      <c r="M7" s="29">
        <v>133944</v>
      </c>
      <c r="N7" s="29">
        <v>147136</v>
      </c>
      <c r="O7" s="29">
        <v>0</v>
      </c>
      <c r="P7" s="29">
        <v>65745</v>
      </c>
      <c r="Q7" s="29">
        <v>8245</v>
      </c>
      <c r="R7" s="29">
        <v>1127138</v>
      </c>
      <c r="S7" s="29">
        <v>82599</v>
      </c>
      <c r="T7" s="29">
        <v>1044539</v>
      </c>
      <c r="U7" s="29">
        <v>616855</v>
      </c>
      <c r="V7" s="29">
        <v>427684</v>
      </c>
    </row>
    <row r="8" spans="1:22" x14ac:dyDescent="0.2">
      <c r="A8" s="20" t="s">
        <v>230</v>
      </c>
      <c r="B8" s="20" t="s">
        <v>620</v>
      </c>
      <c r="C8" s="25">
        <v>77.09</v>
      </c>
      <c r="D8" s="27">
        <v>555.20000000000005</v>
      </c>
      <c r="E8" s="25">
        <v>632.29</v>
      </c>
      <c r="F8" s="25">
        <v>1.22</v>
      </c>
      <c r="G8" s="29">
        <v>14</v>
      </c>
      <c r="H8" s="27">
        <v>0</v>
      </c>
      <c r="I8" s="29">
        <v>569</v>
      </c>
      <c r="J8" s="29">
        <v>215307</v>
      </c>
      <c r="K8" s="29">
        <v>0</v>
      </c>
      <c r="L8" s="29">
        <v>215307</v>
      </c>
      <c r="M8" s="29">
        <v>35534</v>
      </c>
      <c r="N8" s="29">
        <v>39790</v>
      </c>
      <c r="O8" s="29">
        <v>415</v>
      </c>
      <c r="P8" s="29">
        <v>21694</v>
      </c>
      <c r="Q8" s="29">
        <v>2586</v>
      </c>
      <c r="R8" s="29">
        <v>315326</v>
      </c>
      <c r="S8" s="29">
        <v>35284</v>
      </c>
      <c r="T8" s="29">
        <v>280042</v>
      </c>
      <c r="U8" s="29">
        <v>156243</v>
      </c>
      <c r="V8" s="29">
        <v>123799</v>
      </c>
    </row>
    <row r="9" spans="1:22" x14ac:dyDescent="0.2">
      <c r="A9" s="20" t="s">
        <v>23</v>
      </c>
      <c r="B9" s="20" t="s">
        <v>432</v>
      </c>
      <c r="C9" s="25">
        <v>26.19</v>
      </c>
      <c r="D9" s="27">
        <v>209.6</v>
      </c>
      <c r="E9" s="25">
        <v>235.79</v>
      </c>
      <c r="F9" s="25">
        <v>0</v>
      </c>
      <c r="G9" s="29">
        <v>0</v>
      </c>
      <c r="H9" s="27">
        <v>0</v>
      </c>
      <c r="I9" s="29">
        <v>210</v>
      </c>
      <c r="J9" s="29">
        <v>81086</v>
      </c>
      <c r="K9" s="29">
        <v>0</v>
      </c>
      <c r="L9" s="29">
        <v>81086</v>
      </c>
      <c r="M9" s="29">
        <v>13129</v>
      </c>
      <c r="N9" s="29">
        <v>14706</v>
      </c>
      <c r="O9" s="29">
        <v>0</v>
      </c>
      <c r="P9" s="29">
        <v>8590</v>
      </c>
      <c r="Q9" s="29">
        <v>1021</v>
      </c>
      <c r="R9" s="29">
        <v>118532</v>
      </c>
      <c r="S9" s="29">
        <v>18549</v>
      </c>
      <c r="T9" s="29">
        <v>99983</v>
      </c>
      <c r="U9" s="29">
        <v>53311</v>
      </c>
      <c r="V9" s="29">
        <v>46672</v>
      </c>
    </row>
    <row r="10" spans="1:22" x14ac:dyDescent="0.2">
      <c r="A10" s="20" t="s">
        <v>309</v>
      </c>
      <c r="B10" s="20" t="s">
        <v>696</v>
      </c>
      <c r="C10" s="25">
        <v>135.1</v>
      </c>
      <c r="D10" s="27">
        <v>1099.4000000000001</v>
      </c>
      <c r="E10" s="25">
        <v>1234.5</v>
      </c>
      <c r="F10" s="25">
        <v>2.89</v>
      </c>
      <c r="G10" s="29">
        <v>3</v>
      </c>
      <c r="H10" s="27">
        <v>0</v>
      </c>
      <c r="I10" s="29">
        <v>1102</v>
      </c>
      <c r="J10" s="29">
        <v>408990</v>
      </c>
      <c r="K10" s="29">
        <v>986</v>
      </c>
      <c r="L10" s="29">
        <v>409976</v>
      </c>
      <c r="M10" s="29">
        <v>68478</v>
      </c>
      <c r="N10" s="29">
        <v>75267</v>
      </c>
      <c r="O10" s="29">
        <v>957</v>
      </c>
      <c r="P10" s="29">
        <v>41179</v>
      </c>
      <c r="Q10" s="29">
        <v>4506</v>
      </c>
      <c r="R10" s="29">
        <v>600363</v>
      </c>
      <c r="S10" s="29">
        <v>76124</v>
      </c>
      <c r="T10" s="29">
        <v>524239</v>
      </c>
      <c r="U10" s="29">
        <v>296232</v>
      </c>
      <c r="V10" s="29">
        <v>228007</v>
      </c>
    </row>
    <row r="11" spans="1:22" x14ac:dyDescent="0.2">
      <c r="A11" s="20" t="s">
        <v>141</v>
      </c>
      <c r="B11" s="20" t="s">
        <v>537</v>
      </c>
      <c r="C11" s="25">
        <v>35.619999999999997</v>
      </c>
      <c r="D11" s="27">
        <v>526.5</v>
      </c>
      <c r="E11" s="25">
        <v>562.12</v>
      </c>
      <c r="F11" s="25">
        <v>0.65</v>
      </c>
      <c r="G11" s="29">
        <v>22</v>
      </c>
      <c r="H11" s="27">
        <v>0</v>
      </c>
      <c r="I11" s="29">
        <v>549</v>
      </c>
      <c r="J11" s="29">
        <v>187175</v>
      </c>
      <c r="K11" s="29">
        <v>0</v>
      </c>
      <c r="L11" s="29">
        <v>187175</v>
      </c>
      <c r="M11" s="29">
        <v>34126</v>
      </c>
      <c r="N11" s="29">
        <v>37513</v>
      </c>
      <c r="O11" s="29">
        <v>216</v>
      </c>
      <c r="P11" s="29">
        <v>17718</v>
      </c>
      <c r="Q11" s="29">
        <v>2063</v>
      </c>
      <c r="R11" s="29">
        <v>278811</v>
      </c>
      <c r="S11" s="29">
        <v>37096</v>
      </c>
      <c r="T11" s="29">
        <v>241715</v>
      </c>
      <c r="U11" s="29">
        <v>131256</v>
      </c>
      <c r="V11" s="29">
        <v>110459</v>
      </c>
    </row>
    <row r="12" spans="1:22" x14ac:dyDescent="0.2">
      <c r="A12" s="20" t="s">
        <v>63</v>
      </c>
      <c r="B12" s="20" t="s">
        <v>467</v>
      </c>
      <c r="C12" s="25">
        <v>19.329999999999998</v>
      </c>
      <c r="D12" s="27">
        <v>273.7</v>
      </c>
      <c r="E12" s="25">
        <v>293.02999999999997</v>
      </c>
      <c r="F12" s="25">
        <v>0.37</v>
      </c>
      <c r="G12" s="29">
        <v>0</v>
      </c>
      <c r="H12" s="27">
        <v>0</v>
      </c>
      <c r="I12" s="29">
        <v>274</v>
      </c>
      <c r="J12" s="29">
        <v>98827</v>
      </c>
      <c r="K12" s="29">
        <v>1128</v>
      </c>
      <c r="L12" s="29">
        <v>99955</v>
      </c>
      <c r="M12" s="29">
        <v>17117</v>
      </c>
      <c r="N12" s="29">
        <v>19084</v>
      </c>
      <c r="O12" s="29">
        <v>125</v>
      </c>
      <c r="P12" s="29">
        <v>12420</v>
      </c>
      <c r="Q12" s="29">
        <v>1428</v>
      </c>
      <c r="R12" s="29">
        <v>150129</v>
      </c>
      <c r="S12" s="29">
        <v>19566</v>
      </c>
      <c r="T12" s="29">
        <v>130563</v>
      </c>
      <c r="U12" s="29">
        <v>71740</v>
      </c>
      <c r="V12" s="29">
        <v>58823</v>
      </c>
    </row>
    <row r="13" spans="1:22" x14ac:dyDescent="0.2">
      <c r="A13" s="20" t="s">
        <v>24</v>
      </c>
      <c r="B13" s="20" t="s">
        <v>433</v>
      </c>
      <c r="C13" s="25">
        <v>228.9</v>
      </c>
      <c r="D13" s="27">
        <v>1446.4</v>
      </c>
      <c r="E13" s="25">
        <v>1675.3</v>
      </c>
      <c r="F13" s="25">
        <v>0</v>
      </c>
      <c r="G13" s="29">
        <v>296</v>
      </c>
      <c r="H13" s="27">
        <v>3.6</v>
      </c>
      <c r="I13" s="29">
        <v>1739</v>
      </c>
      <c r="J13" s="29">
        <v>576119</v>
      </c>
      <c r="K13" s="29">
        <v>0</v>
      </c>
      <c r="L13" s="29">
        <v>576119</v>
      </c>
      <c r="M13" s="29">
        <v>108722</v>
      </c>
      <c r="N13" s="29">
        <v>121782</v>
      </c>
      <c r="O13" s="29">
        <v>0</v>
      </c>
      <c r="P13" s="29">
        <v>61031</v>
      </c>
      <c r="Q13" s="29">
        <v>7254</v>
      </c>
      <c r="R13" s="29">
        <v>874908</v>
      </c>
      <c r="S13" s="29">
        <v>131089</v>
      </c>
      <c r="T13" s="29">
        <v>743819</v>
      </c>
      <c r="U13" s="29">
        <v>379475</v>
      </c>
      <c r="V13" s="29">
        <v>364344</v>
      </c>
    </row>
    <row r="14" spans="1:22" x14ac:dyDescent="0.2">
      <c r="A14" s="20" t="s">
        <v>1</v>
      </c>
      <c r="B14" s="20" t="s">
        <v>411</v>
      </c>
      <c r="C14" s="25">
        <v>160.86000000000001</v>
      </c>
      <c r="D14" s="27">
        <v>1087.4000000000001</v>
      </c>
      <c r="E14" s="25">
        <v>1248.26</v>
      </c>
      <c r="F14" s="25">
        <v>3.34</v>
      </c>
      <c r="G14" s="29">
        <v>154</v>
      </c>
      <c r="H14" s="27">
        <v>1.3</v>
      </c>
      <c r="I14" s="29">
        <v>1240</v>
      </c>
      <c r="J14" s="29">
        <v>434569</v>
      </c>
      <c r="K14" s="29">
        <v>0</v>
      </c>
      <c r="L14" s="29">
        <v>434569</v>
      </c>
      <c r="M14" s="29">
        <v>77426</v>
      </c>
      <c r="N14" s="29">
        <v>86254</v>
      </c>
      <c r="O14" s="29">
        <v>1163</v>
      </c>
      <c r="P14" s="29">
        <v>43028</v>
      </c>
      <c r="Q14" s="29">
        <v>4668</v>
      </c>
      <c r="R14" s="29">
        <v>647108</v>
      </c>
      <c r="S14" s="29">
        <v>96613</v>
      </c>
      <c r="T14" s="29">
        <v>550495</v>
      </c>
      <c r="U14" s="29">
        <v>281505</v>
      </c>
      <c r="V14" s="29">
        <v>268990</v>
      </c>
    </row>
    <row r="15" spans="1:22" x14ac:dyDescent="0.2">
      <c r="A15" s="20" t="s">
        <v>101</v>
      </c>
      <c r="B15" s="20" t="s">
        <v>499</v>
      </c>
      <c r="C15" s="25">
        <v>81.709999999999994</v>
      </c>
      <c r="D15" s="27">
        <v>536.6</v>
      </c>
      <c r="E15" s="25">
        <v>618.30999999999995</v>
      </c>
      <c r="F15" s="25">
        <v>0.78</v>
      </c>
      <c r="G15" s="29">
        <v>3</v>
      </c>
      <c r="H15" s="27">
        <v>0</v>
      </c>
      <c r="I15" s="29">
        <v>540</v>
      </c>
      <c r="J15" s="29">
        <v>208531</v>
      </c>
      <c r="K15" s="29">
        <v>682</v>
      </c>
      <c r="L15" s="29">
        <v>209213</v>
      </c>
      <c r="M15" s="29">
        <v>33734</v>
      </c>
      <c r="N15" s="29">
        <v>37611</v>
      </c>
      <c r="O15" s="29">
        <v>263</v>
      </c>
      <c r="P15" s="29">
        <v>25997</v>
      </c>
      <c r="Q15" s="29">
        <v>2989</v>
      </c>
      <c r="R15" s="29">
        <v>309807</v>
      </c>
      <c r="S15" s="29">
        <v>42965</v>
      </c>
      <c r="T15" s="29">
        <v>266842</v>
      </c>
      <c r="U15" s="29">
        <v>149461</v>
      </c>
      <c r="V15" s="29">
        <v>117381</v>
      </c>
    </row>
    <row r="16" spans="1:22" x14ac:dyDescent="0.2">
      <c r="A16" s="20" t="s">
        <v>25</v>
      </c>
      <c r="B16" s="20" t="s">
        <v>434</v>
      </c>
      <c r="C16" s="25">
        <v>81.25</v>
      </c>
      <c r="D16" s="27">
        <v>872.8</v>
      </c>
      <c r="E16" s="25">
        <v>954.05</v>
      </c>
      <c r="F16" s="25">
        <v>0</v>
      </c>
      <c r="G16" s="29">
        <v>14</v>
      </c>
      <c r="H16" s="27">
        <v>0</v>
      </c>
      <c r="I16" s="29">
        <v>887</v>
      </c>
      <c r="J16" s="29">
        <v>328088</v>
      </c>
      <c r="K16" s="29">
        <v>0</v>
      </c>
      <c r="L16" s="29">
        <v>328088</v>
      </c>
      <c r="M16" s="29">
        <v>55455</v>
      </c>
      <c r="N16" s="29">
        <v>62117</v>
      </c>
      <c r="O16" s="29">
        <v>0</v>
      </c>
      <c r="P16" s="29">
        <v>34756</v>
      </c>
      <c r="Q16" s="29">
        <v>4131</v>
      </c>
      <c r="R16" s="29">
        <v>484547</v>
      </c>
      <c r="S16" s="29">
        <v>58587</v>
      </c>
      <c r="T16" s="29">
        <v>425960</v>
      </c>
      <c r="U16" s="29">
        <v>232169</v>
      </c>
      <c r="V16" s="29">
        <v>193791</v>
      </c>
    </row>
    <row r="17" spans="1:22" x14ac:dyDescent="0.2">
      <c r="A17" s="20" t="s">
        <v>177</v>
      </c>
      <c r="B17" s="20" t="s">
        <v>570</v>
      </c>
      <c r="C17" s="25">
        <v>596.05999999999995</v>
      </c>
      <c r="D17" s="27">
        <v>4439.6000000000004</v>
      </c>
      <c r="E17" s="25">
        <v>5035.66</v>
      </c>
      <c r="F17" s="25">
        <v>0</v>
      </c>
      <c r="G17" s="29">
        <v>130</v>
      </c>
      <c r="H17" s="27">
        <v>1.2</v>
      </c>
      <c r="I17" s="29">
        <v>4568</v>
      </c>
      <c r="J17" s="29">
        <v>1641021</v>
      </c>
      <c r="K17" s="29">
        <v>0</v>
      </c>
      <c r="L17" s="29">
        <v>1641021</v>
      </c>
      <c r="M17" s="29">
        <v>283399</v>
      </c>
      <c r="N17" s="29">
        <v>311309</v>
      </c>
      <c r="O17" s="29">
        <v>0</v>
      </c>
      <c r="P17" s="29">
        <v>139740</v>
      </c>
      <c r="Q17" s="29">
        <v>17524</v>
      </c>
      <c r="R17" s="29">
        <v>2392993</v>
      </c>
      <c r="S17" s="29">
        <v>266588</v>
      </c>
      <c r="T17" s="29">
        <v>2126405</v>
      </c>
      <c r="U17" s="29">
        <v>1220090</v>
      </c>
      <c r="V17" s="29">
        <v>906315</v>
      </c>
    </row>
    <row r="18" spans="1:22" x14ac:dyDescent="0.2">
      <c r="A18" s="20" t="s">
        <v>142</v>
      </c>
      <c r="B18" s="20" t="s">
        <v>538</v>
      </c>
      <c r="C18" s="25">
        <v>127.88</v>
      </c>
      <c r="D18" s="27">
        <v>1256.0999999999999</v>
      </c>
      <c r="E18" s="25">
        <v>1383.98</v>
      </c>
      <c r="F18" s="25">
        <v>1.6</v>
      </c>
      <c r="G18" s="29">
        <v>55</v>
      </c>
      <c r="H18" s="27">
        <v>0</v>
      </c>
      <c r="I18" s="29">
        <v>1311</v>
      </c>
      <c r="J18" s="29">
        <v>460838</v>
      </c>
      <c r="K18" s="29">
        <v>0</v>
      </c>
      <c r="L18" s="29">
        <v>460838</v>
      </c>
      <c r="M18" s="29">
        <v>81492</v>
      </c>
      <c r="N18" s="29">
        <v>89581</v>
      </c>
      <c r="O18" s="29">
        <v>533</v>
      </c>
      <c r="P18" s="29">
        <v>43623</v>
      </c>
      <c r="Q18" s="29">
        <v>5079</v>
      </c>
      <c r="R18" s="29">
        <v>681146</v>
      </c>
      <c r="S18" s="29">
        <v>78995</v>
      </c>
      <c r="T18" s="29">
        <v>602151</v>
      </c>
      <c r="U18" s="29">
        <v>335500</v>
      </c>
      <c r="V18" s="29">
        <v>266651</v>
      </c>
    </row>
    <row r="19" spans="1:22" x14ac:dyDescent="0.2">
      <c r="A19" s="20" t="s">
        <v>119</v>
      </c>
      <c r="B19" s="20" t="s">
        <v>516</v>
      </c>
      <c r="C19" s="25">
        <v>26.1</v>
      </c>
      <c r="D19" s="27">
        <v>233</v>
      </c>
      <c r="E19" s="25">
        <v>259.10000000000002</v>
      </c>
      <c r="F19" s="25">
        <v>0</v>
      </c>
      <c r="G19" s="29">
        <v>22</v>
      </c>
      <c r="H19" s="27">
        <v>0</v>
      </c>
      <c r="I19" s="29">
        <v>255</v>
      </c>
      <c r="J19" s="29">
        <v>86773</v>
      </c>
      <c r="K19" s="29">
        <v>6558</v>
      </c>
      <c r="L19" s="29">
        <v>93331</v>
      </c>
      <c r="M19" s="29">
        <v>15805</v>
      </c>
      <c r="N19" s="29">
        <v>17271</v>
      </c>
      <c r="O19" s="29">
        <v>0</v>
      </c>
      <c r="P19" s="29">
        <v>7973</v>
      </c>
      <c r="Q19" s="29">
        <v>935</v>
      </c>
      <c r="R19" s="29">
        <v>135315</v>
      </c>
      <c r="S19" s="29">
        <v>21507</v>
      </c>
      <c r="T19" s="29">
        <v>113808</v>
      </c>
      <c r="U19" s="29">
        <v>55803</v>
      </c>
      <c r="V19" s="29">
        <v>58005</v>
      </c>
    </row>
    <row r="20" spans="1:22" x14ac:dyDescent="0.2">
      <c r="A20" s="20" t="s">
        <v>178</v>
      </c>
      <c r="B20" s="20" t="s">
        <v>571</v>
      </c>
      <c r="C20" s="25">
        <v>1398</v>
      </c>
      <c r="D20" s="27">
        <v>12671.4</v>
      </c>
      <c r="E20" s="25">
        <v>14069.4</v>
      </c>
      <c r="F20" s="25">
        <v>0</v>
      </c>
      <c r="G20" s="29">
        <v>960</v>
      </c>
      <c r="H20" s="27">
        <v>1.9</v>
      </c>
      <c r="I20" s="29">
        <v>13630</v>
      </c>
      <c r="J20" s="29">
        <v>4584936</v>
      </c>
      <c r="K20" s="29">
        <v>0</v>
      </c>
      <c r="L20" s="29">
        <v>4584936</v>
      </c>
      <c r="M20" s="29">
        <v>845605</v>
      </c>
      <c r="N20" s="29">
        <v>928885</v>
      </c>
      <c r="O20" s="29">
        <v>0</v>
      </c>
      <c r="P20" s="29">
        <v>390426</v>
      </c>
      <c r="Q20" s="29">
        <v>48962</v>
      </c>
      <c r="R20" s="29">
        <v>6798814</v>
      </c>
      <c r="S20" s="29">
        <v>334103</v>
      </c>
      <c r="T20" s="29">
        <v>6464711</v>
      </c>
      <c r="U20" s="29">
        <v>3819607</v>
      </c>
      <c r="V20" s="29">
        <v>2645104</v>
      </c>
    </row>
    <row r="21" spans="1:22" x14ac:dyDescent="0.2">
      <c r="A21" s="20" t="s">
        <v>64</v>
      </c>
      <c r="B21" s="20" t="s">
        <v>468</v>
      </c>
      <c r="C21" s="25">
        <v>115.6</v>
      </c>
      <c r="D21" s="27">
        <v>813.2</v>
      </c>
      <c r="E21" s="25">
        <v>928.8</v>
      </c>
      <c r="F21" s="25">
        <v>1.17</v>
      </c>
      <c r="G21" s="29">
        <v>17</v>
      </c>
      <c r="H21" s="27">
        <v>0</v>
      </c>
      <c r="I21" s="29">
        <v>830</v>
      </c>
      <c r="J21" s="29">
        <v>313247</v>
      </c>
      <c r="K21" s="29">
        <v>0</v>
      </c>
      <c r="L21" s="29">
        <v>313247</v>
      </c>
      <c r="M21" s="29">
        <v>51850</v>
      </c>
      <c r="N21" s="29">
        <v>57810</v>
      </c>
      <c r="O21" s="29">
        <v>395</v>
      </c>
      <c r="P21" s="29">
        <v>38731</v>
      </c>
      <c r="Q21" s="29">
        <v>4458</v>
      </c>
      <c r="R21" s="29">
        <v>466491</v>
      </c>
      <c r="S21" s="29">
        <v>51322</v>
      </c>
      <c r="T21" s="29">
        <v>415169</v>
      </c>
      <c r="U21" s="29">
        <v>237379</v>
      </c>
      <c r="V21" s="29">
        <v>177790</v>
      </c>
    </row>
    <row r="22" spans="1:22" x14ac:dyDescent="0.2">
      <c r="A22" s="20" t="s">
        <v>42</v>
      </c>
      <c r="B22" s="20" t="s">
        <v>451</v>
      </c>
      <c r="C22" s="25">
        <v>52.7</v>
      </c>
      <c r="D22" s="27">
        <v>402</v>
      </c>
      <c r="E22" s="25">
        <v>454.7</v>
      </c>
      <c r="F22" s="25">
        <v>0</v>
      </c>
      <c r="G22" s="29">
        <v>12</v>
      </c>
      <c r="H22" s="27">
        <v>0</v>
      </c>
      <c r="I22" s="29">
        <v>414</v>
      </c>
      <c r="J22" s="29">
        <v>156367</v>
      </c>
      <c r="K22" s="29">
        <v>13868</v>
      </c>
      <c r="L22" s="29">
        <v>170235</v>
      </c>
      <c r="M22" s="29">
        <v>25883</v>
      </c>
      <c r="N22" s="29">
        <v>28992</v>
      </c>
      <c r="O22" s="29">
        <v>0</v>
      </c>
      <c r="P22" s="29">
        <v>16565</v>
      </c>
      <c r="Q22" s="29">
        <v>1969</v>
      </c>
      <c r="R22" s="29">
        <v>243644</v>
      </c>
      <c r="S22" s="29">
        <v>41097</v>
      </c>
      <c r="T22" s="29">
        <v>202547</v>
      </c>
      <c r="U22" s="29">
        <v>97478</v>
      </c>
      <c r="V22" s="29">
        <v>105069</v>
      </c>
    </row>
    <row r="23" spans="1:22" x14ac:dyDescent="0.2">
      <c r="A23" s="20" t="s">
        <v>231</v>
      </c>
      <c r="B23" s="20" t="s">
        <v>621</v>
      </c>
      <c r="C23" s="25">
        <v>41.07</v>
      </c>
      <c r="D23" s="27">
        <v>276.2</v>
      </c>
      <c r="E23" s="25">
        <v>317.27</v>
      </c>
      <c r="F23" s="25">
        <v>0.61</v>
      </c>
      <c r="G23" s="29">
        <v>56</v>
      </c>
      <c r="H23" s="27">
        <v>0</v>
      </c>
      <c r="I23" s="29">
        <v>332</v>
      </c>
      <c r="J23" s="29">
        <v>108037</v>
      </c>
      <c r="K23" s="29">
        <v>0</v>
      </c>
      <c r="L23" s="29">
        <v>108037</v>
      </c>
      <c r="M23" s="29">
        <v>20733</v>
      </c>
      <c r="N23" s="29">
        <v>23217</v>
      </c>
      <c r="O23" s="29">
        <v>208</v>
      </c>
      <c r="P23" s="29">
        <v>10886</v>
      </c>
      <c r="Q23" s="29">
        <v>1298</v>
      </c>
      <c r="R23" s="29">
        <v>164379</v>
      </c>
      <c r="S23" s="29">
        <v>27109</v>
      </c>
      <c r="T23" s="29">
        <v>137270</v>
      </c>
      <c r="U23" s="29">
        <v>68995</v>
      </c>
      <c r="V23" s="29">
        <v>68275</v>
      </c>
    </row>
    <row r="24" spans="1:22" x14ac:dyDescent="0.2">
      <c r="A24" s="20" t="s">
        <v>265</v>
      </c>
      <c r="B24" s="20" t="s">
        <v>655</v>
      </c>
      <c r="C24" s="25">
        <v>253.9</v>
      </c>
      <c r="D24" s="27">
        <v>1401.9</v>
      </c>
      <c r="E24" s="25">
        <v>1655.8</v>
      </c>
      <c r="F24" s="25">
        <v>3.47</v>
      </c>
      <c r="G24" s="29">
        <v>1</v>
      </c>
      <c r="H24" s="27">
        <v>0</v>
      </c>
      <c r="I24" s="29">
        <v>1403</v>
      </c>
      <c r="J24" s="29">
        <v>552938</v>
      </c>
      <c r="K24" s="29">
        <v>0</v>
      </c>
      <c r="L24" s="29">
        <v>552938</v>
      </c>
      <c r="M24" s="29">
        <v>87225</v>
      </c>
      <c r="N24" s="29">
        <v>96428</v>
      </c>
      <c r="O24" s="29">
        <v>1159</v>
      </c>
      <c r="P24" s="29">
        <v>56777</v>
      </c>
      <c r="Q24" s="29">
        <v>6126</v>
      </c>
      <c r="R24" s="29">
        <v>800653</v>
      </c>
      <c r="S24" s="29">
        <v>90232</v>
      </c>
      <c r="T24" s="29">
        <v>710421</v>
      </c>
      <c r="U24" s="29">
        <v>410718</v>
      </c>
      <c r="V24" s="29">
        <v>299703</v>
      </c>
    </row>
    <row r="25" spans="1:22" x14ac:dyDescent="0.2">
      <c r="A25" s="20" t="s">
        <v>179</v>
      </c>
      <c r="B25" s="20" t="s">
        <v>572</v>
      </c>
      <c r="C25" s="25">
        <v>80.69</v>
      </c>
      <c r="D25" s="27">
        <v>510.6</v>
      </c>
      <c r="E25" s="25">
        <v>591.29</v>
      </c>
      <c r="F25" s="25">
        <v>0</v>
      </c>
      <c r="G25" s="29">
        <v>5</v>
      </c>
      <c r="H25" s="27">
        <v>0</v>
      </c>
      <c r="I25" s="29">
        <v>516</v>
      </c>
      <c r="J25" s="29">
        <v>192690</v>
      </c>
      <c r="K25" s="29">
        <v>0</v>
      </c>
      <c r="L25" s="29">
        <v>192690</v>
      </c>
      <c r="M25" s="29">
        <v>32013</v>
      </c>
      <c r="N25" s="29">
        <v>35165</v>
      </c>
      <c r="O25" s="29">
        <v>0</v>
      </c>
      <c r="P25" s="29">
        <v>16408</v>
      </c>
      <c r="Q25" s="29">
        <v>2058</v>
      </c>
      <c r="R25" s="29">
        <v>278334</v>
      </c>
      <c r="S25" s="29">
        <v>41488</v>
      </c>
      <c r="T25" s="29">
        <v>236846</v>
      </c>
      <c r="U25" s="29">
        <v>133079</v>
      </c>
      <c r="V25" s="29">
        <v>103767</v>
      </c>
    </row>
    <row r="26" spans="1:22" x14ac:dyDescent="0.2">
      <c r="A26" s="20" t="s">
        <v>264</v>
      </c>
      <c r="B26" s="20" t="s">
        <v>654</v>
      </c>
      <c r="C26" s="25">
        <v>100.49</v>
      </c>
      <c r="D26" s="27">
        <v>792.6</v>
      </c>
      <c r="E26" s="25">
        <v>893.09</v>
      </c>
      <c r="F26" s="25">
        <v>1.87</v>
      </c>
      <c r="G26" s="29">
        <v>2</v>
      </c>
      <c r="H26" s="27">
        <v>0</v>
      </c>
      <c r="I26" s="29">
        <v>795</v>
      </c>
      <c r="J26" s="29">
        <v>298238</v>
      </c>
      <c r="K26" s="29">
        <v>0</v>
      </c>
      <c r="L26" s="29">
        <v>298238</v>
      </c>
      <c r="M26" s="29">
        <v>49425</v>
      </c>
      <c r="N26" s="29">
        <v>54640</v>
      </c>
      <c r="O26" s="29">
        <v>624</v>
      </c>
      <c r="P26" s="29">
        <v>30624</v>
      </c>
      <c r="Q26" s="29">
        <v>3304</v>
      </c>
      <c r="R26" s="29">
        <v>436855</v>
      </c>
      <c r="S26" s="29">
        <v>55456</v>
      </c>
      <c r="T26" s="29">
        <v>381399</v>
      </c>
      <c r="U26" s="29">
        <v>214741</v>
      </c>
      <c r="V26" s="29">
        <v>166658</v>
      </c>
    </row>
    <row r="27" spans="1:22" x14ac:dyDescent="0.2">
      <c r="A27" s="20" t="s">
        <v>180</v>
      </c>
      <c r="B27" s="20" t="s">
        <v>573</v>
      </c>
      <c r="C27" s="25">
        <v>190.73</v>
      </c>
      <c r="D27" s="27">
        <v>1759.2</v>
      </c>
      <c r="E27" s="25">
        <v>1949.93</v>
      </c>
      <c r="F27" s="25">
        <v>0</v>
      </c>
      <c r="G27" s="29">
        <v>29</v>
      </c>
      <c r="H27" s="27">
        <v>0</v>
      </c>
      <c r="I27" s="29">
        <v>1788</v>
      </c>
      <c r="J27" s="29">
        <v>635443</v>
      </c>
      <c r="K27" s="29">
        <v>0</v>
      </c>
      <c r="L27" s="29">
        <v>635443</v>
      </c>
      <c r="M27" s="29">
        <v>110928</v>
      </c>
      <c r="N27" s="29">
        <v>121852</v>
      </c>
      <c r="O27" s="29">
        <v>0</v>
      </c>
      <c r="P27" s="29">
        <v>54111</v>
      </c>
      <c r="Q27" s="29">
        <v>6786</v>
      </c>
      <c r="R27" s="29">
        <v>929120</v>
      </c>
      <c r="S27" s="29">
        <v>70695</v>
      </c>
      <c r="T27" s="29">
        <v>858425</v>
      </c>
      <c r="U27" s="29">
        <v>504984</v>
      </c>
      <c r="V27" s="29">
        <v>353441</v>
      </c>
    </row>
    <row r="28" spans="1:22" x14ac:dyDescent="0.2">
      <c r="A28" s="20" t="s">
        <v>181</v>
      </c>
      <c r="B28" s="20" t="s">
        <v>574</v>
      </c>
      <c r="C28" s="25">
        <v>36.6</v>
      </c>
      <c r="D28" s="27">
        <v>360.7</v>
      </c>
      <c r="E28" s="25">
        <v>397.3</v>
      </c>
      <c r="F28" s="25">
        <v>0</v>
      </c>
      <c r="G28" s="29">
        <v>4</v>
      </c>
      <c r="H28" s="27">
        <v>0</v>
      </c>
      <c r="I28" s="29">
        <v>365</v>
      </c>
      <c r="J28" s="29">
        <v>129472</v>
      </c>
      <c r="K28" s="29">
        <v>0</v>
      </c>
      <c r="L28" s="29">
        <v>129472</v>
      </c>
      <c r="M28" s="29">
        <v>22645</v>
      </c>
      <c r="N28" s="29">
        <v>24875</v>
      </c>
      <c r="O28" s="29">
        <v>0</v>
      </c>
      <c r="P28" s="29">
        <v>11025</v>
      </c>
      <c r="Q28" s="29">
        <v>1383</v>
      </c>
      <c r="R28" s="29">
        <v>189400</v>
      </c>
      <c r="S28" s="29">
        <v>19368</v>
      </c>
      <c r="T28" s="29">
        <v>170032</v>
      </c>
      <c r="U28" s="29">
        <v>97927</v>
      </c>
      <c r="V28" s="29">
        <v>72105</v>
      </c>
    </row>
    <row r="29" spans="1:22" x14ac:dyDescent="0.2">
      <c r="A29" s="20" t="s">
        <v>65</v>
      </c>
      <c r="B29" s="20" t="s">
        <v>66</v>
      </c>
      <c r="C29" s="25">
        <v>66.84</v>
      </c>
      <c r="D29" s="27">
        <v>461.6</v>
      </c>
      <c r="E29" s="25">
        <v>528.44000000000005</v>
      </c>
      <c r="F29" s="25">
        <v>0.67</v>
      </c>
      <c r="G29" s="29">
        <v>3</v>
      </c>
      <c r="H29" s="27">
        <v>0</v>
      </c>
      <c r="I29" s="29">
        <v>465</v>
      </c>
      <c r="J29" s="29">
        <v>178222</v>
      </c>
      <c r="K29" s="29">
        <v>8290</v>
      </c>
      <c r="L29" s="29">
        <v>186512</v>
      </c>
      <c r="M29" s="29">
        <v>29049</v>
      </c>
      <c r="N29" s="29">
        <v>32387</v>
      </c>
      <c r="O29" s="29">
        <v>226</v>
      </c>
      <c r="P29" s="29">
        <v>22766</v>
      </c>
      <c r="Q29" s="29">
        <v>2618</v>
      </c>
      <c r="R29" s="29">
        <v>273558</v>
      </c>
      <c r="S29" s="29">
        <v>39085</v>
      </c>
      <c r="T29" s="29">
        <v>234473</v>
      </c>
      <c r="U29" s="29">
        <v>125984</v>
      </c>
      <c r="V29" s="29">
        <v>108489</v>
      </c>
    </row>
    <row r="30" spans="1:22" x14ac:dyDescent="0.2">
      <c r="A30" s="20" t="s">
        <v>266</v>
      </c>
      <c r="B30" s="20" t="s">
        <v>656</v>
      </c>
      <c r="C30" s="25">
        <v>56.56</v>
      </c>
      <c r="D30" s="27">
        <v>501.8</v>
      </c>
      <c r="E30" s="25">
        <v>558.36</v>
      </c>
      <c r="F30" s="25">
        <v>1.17</v>
      </c>
      <c r="G30" s="29">
        <v>7</v>
      </c>
      <c r="H30" s="27">
        <v>0</v>
      </c>
      <c r="I30" s="29">
        <v>509</v>
      </c>
      <c r="J30" s="29">
        <v>186459</v>
      </c>
      <c r="K30" s="29">
        <v>0</v>
      </c>
      <c r="L30" s="29">
        <v>186459</v>
      </c>
      <c r="M30" s="29">
        <v>31645</v>
      </c>
      <c r="N30" s="29">
        <v>34984</v>
      </c>
      <c r="O30" s="29">
        <v>391</v>
      </c>
      <c r="P30" s="29">
        <v>19146</v>
      </c>
      <c r="Q30" s="29">
        <v>2066</v>
      </c>
      <c r="R30" s="29">
        <v>274691</v>
      </c>
      <c r="S30" s="29">
        <v>39128</v>
      </c>
      <c r="T30" s="29">
        <v>235563</v>
      </c>
      <c r="U30" s="29">
        <v>129800</v>
      </c>
      <c r="V30" s="29">
        <v>105763</v>
      </c>
    </row>
    <row r="31" spans="1:22" x14ac:dyDescent="0.2">
      <c r="A31" s="20" t="s">
        <v>143</v>
      </c>
      <c r="B31" s="20" t="s">
        <v>539</v>
      </c>
      <c r="C31" s="25">
        <v>47.09</v>
      </c>
      <c r="D31" s="27">
        <v>472.7</v>
      </c>
      <c r="E31" s="25">
        <v>519.79</v>
      </c>
      <c r="F31" s="25">
        <v>0.6</v>
      </c>
      <c r="G31" s="29">
        <v>11</v>
      </c>
      <c r="H31" s="27">
        <v>0</v>
      </c>
      <c r="I31" s="29">
        <v>484</v>
      </c>
      <c r="J31" s="29">
        <v>173080</v>
      </c>
      <c r="K31" s="29">
        <v>1248</v>
      </c>
      <c r="L31" s="29">
        <v>174328</v>
      </c>
      <c r="M31" s="29">
        <v>30085</v>
      </c>
      <c r="N31" s="29">
        <v>33072</v>
      </c>
      <c r="O31" s="29">
        <v>200</v>
      </c>
      <c r="P31" s="29">
        <v>16384</v>
      </c>
      <c r="Q31" s="29">
        <v>1908</v>
      </c>
      <c r="R31" s="29">
        <v>255977</v>
      </c>
      <c r="S31" s="29">
        <v>44734</v>
      </c>
      <c r="T31" s="29">
        <v>211243</v>
      </c>
      <c r="U31" s="29">
        <v>110941</v>
      </c>
      <c r="V31" s="29">
        <v>100302</v>
      </c>
    </row>
    <row r="32" spans="1:22" x14ac:dyDescent="0.2">
      <c r="A32" s="20" t="s">
        <v>120</v>
      </c>
      <c r="B32" s="20" t="s">
        <v>517</v>
      </c>
      <c r="C32" s="25">
        <v>52.79</v>
      </c>
      <c r="D32" s="27">
        <v>631.70000000000005</v>
      </c>
      <c r="E32" s="25">
        <v>684.49</v>
      </c>
      <c r="F32" s="25">
        <v>0</v>
      </c>
      <c r="G32" s="29">
        <v>169</v>
      </c>
      <c r="H32" s="27">
        <v>0</v>
      </c>
      <c r="I32" s="29">
        <v>801</v>
      </c>
      <c r="J32" s="29">
        <v>229236</v>
      </c>
      <c r="K32" s="29">
        <v>0</v>
      </c>
      <c r="L32" s="29">
        <v>229236</v>
      </c>
      <c r="M32" s="29">
        <v>49646</v>
      </c>
      <c r="N32" s="29">
        <v>54252</v>
      </c>
      <c r="O32" s="29">
        <v>0</v>
      </c>
      <c r="P32" s="29">
        <v>21062</v>
      </c>
      <c r="Q32" s="29">
        <v>2471</v>
      </c>
      <c r="R32" s="29">
        <v>356667</v>
      </c>
      <c r="S32" s="29">
        <v>43547</v>
      </c>
      <c r="T32" s="29">
        <v>313120</v>
      </c>
      <c r="U32" s="29">
        <v>160691</v>
      </c>
      <c r="V32" s="29">
        <v>152429</v>
      </c>
    </row>
    <row r="33" spans="1:22" x14ac:dyDescent="0.2">
      <c r="A33" s="20" t="s">
        <v>67</v>
      </c>
      <c r="B33" s="20" t="s">
        <v>469</v>
      </c>
      <c r="C33" s="25">
        <v>94.82</v>
      </c>
      <c r="D33" s="27">
        <v>740.1</v>
      </c>
      <c r="E33" s="25">
        <v>834.92</v>
      </c>
      <c r="F33" s="25">
        <v>1.05</v>
      </c>
      <c r="G33" s="29">
        <v>0</v>
      </c>
      <c r="H33" s="27">
        <v>0</v>
      </c>
      <c r="I33" s="29">
        <v>740</v>
      </c>
      <c r="J33" s="29">
        <v>281585</v>
      </c>
      <c r="K33" s="29">
        <v>0</v>
      </c>
      <c r="L33" s="29">
        <v>281585</v>
      </c>
      <c r="M33" s="29">
        <v>46228</v>
      </c>
      <c r="N33" s="29">
        <v>51541</v>
      </c>
      <c r="O33" s="29">
        <v>354</v>
      </c>
      <c r="P33" s="29">
        <v>34816</v>
      </c>
      <c r="Q33" s="29">
        <v>4008</v>
      </c>
      <c r="R33" s="29">
        <v>418532</v>
      </c>
      <c r="S33" s="29">
        <v>51745</v>
      </c>
      <c r="T33" s="29">
        <v>366787</v>
      </c>
      <c r="U33" s="29">
        <v>207775</v>
      </c>
      <c r="V33" s="29">
        <v>159012</v>
      </c>
    </row>
    <row r="34" spans="1:22" x14ac:dyDescent="0.2">
      <c r="A34" s="20" t="s">
        <v>121</v>
      </c>
      <c r="B34" s="20" t="s">
        <v>518</v>
      </c>
      <c r="C34" s="25">
        <v>22.62</v>
      </c>
      <c r="D34" s="27">
        <v>175.2</v>
      </c>
      <c r="E34" s="25">
        <v>197.82</v>
      </c>
      <c r="F34" s="25">
        <v>0</v>
      </c>
      <c r="G34" s="29">
        <v>0</v>
      </c>
      <c r="H34" s="27">
        <v>0</v>
      </c>
      <c r="I34" s="29">
        <v>175</v>
      </c>
      <c r="J34" s="29">
        <v>66250</v>
      </c>
      <c r="K34" s="29">
        <v>6537</v>
      </c>
      <c r="L34" s="29">
        <v>72787</v>
      </c>
      <c r="M34" s="29">
        <v>10847</v>
      </c>
      <c r="N34" s="29">
        <v>11853</v>
      </c>
      <c r="O34" s="29">
        <v>0</v>
      </c>
      <c r="P34" s="29">
        <v>6211</v>
      </c>
      <c r="Q34" s="29">
        <v>728</v>
      </c>
      <c r="R34" s="29">
        <v>102426</v>
      </c>
      <c r="S34" s="29">
        <v>15152</v>
      </c>
      <c r="T34" s="29">
        <v>87274</v>
      </c>
      <c r="U34" s="29">
        <v>44011</v>
      </c>
      <c r="V34" s="29">
        <v>43263</v>
      </c>
    </row>
    <row r="35" spans="1:22" x14ac:dyDescent="0.2">
      <c r="A35" s="20" t="s">
        <v>144</v>
      </c>
      <c r="B35" s="20" t="s">
        <v>540</v>
      </c>
      <c r="C35" s="25">
        <v>150.97</v>
      </c>
      <c r="D35" s="27">
        <v>1537.7</v>
      </c>
      <c r="E35" s="25">
        <v>1688.67</v>
      </c>
      <c r="F35" s="25">
        <v>1.95</v>
      </c>
      <c r="G35" s="29">
        <v>105</v>
      </c>
      <c r="H35" s="27">
        <v>0.3</v>
      </c>
      <c r="I35" s="29">
        <v>1642</v>
      </c>
      <c r="J35" s="29">
        <v>562293</v>
      </c>
      <c r="K35" s="29">
        <v>0</v>
      </c>
      <c r="L35" s="29">
        <v>562293</v>
      </c>
      <c r="M35" s="29">
        <v>102067</v>
      </c>
      <c r="N35" s="29">
        <v>112198</v>
      </c>
      <c r="O35" s="29">
        <v>649</v>
      </c>
      <c r="P35" s="29">
        <v>53227</v>
      </c>
      <c r="Q35" s="29">
        <v>6197</v>
      </c>
      <c r="R35" s="29">
        <v>836631</v>
      </c>
      <c r="S35" s="29">
        <v>104406</v>
      </c>
      <c r="T35" s="29">
        <v>732225</v>
      </c>
      <c r="U35" s="29">
        <v>401342</v>
      </c>
      <c r="V35" s="29">
        <v>330883</v>
      </c>
    </row>
    <row r="36" spans="1:22" x14ac:dyDescent="0.2">
      <c r="A36" s="20" t="s">
        <v>122</v>
      </c>
      <c r="B36" s="20" t="s">
        <v>519</v>
      </c>
      <c r="C36" s="25">
        <v>541.84</v>
      </c>
      <c r="D36" s="27">
        <v>4017.2</v>
      </c>
      <c r="E36" s="25">
        <v>4559.04</v>
      </c>
      <c r="F36" s="25">
        <v>0</v>
      </c>
      <c r="G36" s="29">
        <v>285</v>
      </c>
      <c r="H36" s="27">
        <v>0</v>
      </c>
      <c r="I36" s="29">
        <v>4302</v>
      </c>
      <c r="J36" s="29">
        <v>1526822</v>
      </c>
      <c r="K36" s="29">
        <v>0</v>
      </c>
      <c r="L36" s="29">
        <v>1526822</v>
      </c>
      <c r="M36" s="29">
        <v>266638</v>
      </c>
      <c r="N36" s="29">
        <v>291374</v>
      </c>
      <c r="O36" s="29">
        <v>0</v>
      </c>
      <c r="P36" s="29">
        <v>140282</v>
      </c>
      <c r="Q36" s="29">
        <v>16458</v>
      </c>
      <c r="R36" s="29">
        <v>2241574</v>
      </c>
      <c r="S36" s="29">
        <v>244032</v>
      </c>
      <c r="T36" s="29">
        <v>1997542</v>
      </c>
      <c r="U36" s="29">
        <v>1116295</v>
      </c>
      <c r="V36" s="29">
        <v>881247</v>
      </c>
    </row>
    <row r="37" spans="1:22" x14ac:dyDescent="0.2">
      <c r="A37" s="20" t="s">
        <v>317</v>
      </c>
      <c r="B37" s="20" t="s">
        <v>704</v>
      </c>
      <c r="C37" s="25">
        <v>80.739999999999995</v>
      </c>
      <c r="D37" s="27">
        <v>835.6</v>
      </c>
      <c r="E37" s="25">
        <v>916.34</v>
      </c>
      <c r="F37" s="25">
        <v>2.15</v>
      </c>
      <c r="G37" s="29">
        <v>15</v>
      </c>
      <c r="H37" s="27">
        <v>0</v>
      </c>
      <c r="I37" s="29">
        <v>851</v>
      </c>
      <c r="J37" s="29">
        <v>303583</v>
      </c>
      <c r="K37" s="29">
        <v>3999</v>
      </c>
      <c r="L37" s="29">
        <v>307582</v>
      </c>
      <c r="M37" s="29">
        <v>52881</v>
      </c>
      <c r="N37" s="29">
        <v>58123</v>
      </c>
      <c r="O37" s="29">
        <v>712</v>
      </c>
      <c r="P37" s="29">
        <v>30894</v>
      </c>
      <c r="Q37" s="29">
        <v>3376</v>
      </c>
      <c r="R37" s="29">
        <v>453568</v>
      </c>
      <c r="S37" s="29">
        <v>58907</v>
      </c>
      <c r="T37" s="29">
        <v>394661</v>
      </c>
      <c r="U37" s="29">
        <v>217844</v>
      </c>
      <c r="V37" s="29">
        <v>176817</v>
      </c>
    </row>
    <row r="38" spans="1:22" x14ac:dyDescent="0.2">
      <c r="A38" s="20" t="s">
        <v>182</v>
      </c>
      <c r="B38" s="20" t="s">
        <v>575</v>
      </c>
      <c r="C38" s="25">
        <v>268.39</v>
      </c>
      <c r="D38" s="27">
        <v>2514.9</v>
      </c>
      <c r="E38" s="25">
        <v>2783.29</v>
      </c>
      <c r="F38" s="25">
        <v>0</v>
      </c>
      <c r="G38" s="29">
        <v>56</v>
      </c>
      <c r="H38" s="27">
        <v>0</v>
      </c>
      <c r="I38" s="29">
        <v>2571</v>
      </c>
      <c r="J38" s="29">
        <v>907019</v>
      </c>
      <c r="K38" s="29">
        <v>0</v>
      </c>
      <c r="L38" s="29">
        <v>907019</v>
      </c>
      <c r="M38" s="29">
        <v>159505</v>
      </c>
      <c r="N38" s="29">
        <v>175214</v>
      </c>
      <c r="O38" s="29">
        <v>0</v>
      </c>
      <c r="P38" s="29">
        <v>77236</v>
      </c>
      <c r="Q38" s="29">
        <v>9686</v>
      </c>
      <c r="R38" s="29">
        <v>1328660</v>
      </c>
      <c r="S38" s="29">
        <v>51957</v>
      </c>
      <c r="T38" s="29">
        <v>1276703</v>
      </c>
      <c r="U38" s="29">
        <v>769754</v>
      </c>
      <c r="V38" s="29">
        <v>506949</v>
      </c>
    </row>
    <row r="39" spans="1:22" x14ac:dyDescent="0.2">
      <c r="A39" s="20" t="s">
        <v>183</v>
      </c>
      <c r="B39" s="20" t="s">
        <v>576</v>
      </c>
      <c r="C39" s="25">
        <v>362.31</v>
      </c>
      <c r="D39" s="27">
        <v>2037.5</v>
      </c>
      <c r="E39" s="25">
        <v>2399.81</v>
      </c>
      <c r="F39" s="25">
        <v>0</v>
      </c>
      <c r="G39" s="29">
        <v>149</v>
      </c>
      <c r="H39" s="27">
        <v>3.2</v>
      </c>
      <c r="I39" s="29">
        <v>2183</v>
      </c>
      <c r="J39" s="29">
        <v>782050</v>
      </c>
      <c r="K39" s="29">
        <v>0</v>
      </c>
      <c r="L39" s="29">
        <v>782050</v>
      </c>
      <c r="M39" s="29">
        <v>135433</v>
      </c>
      <c r="N39" s="29">
        <v>148771</v>
      </c>
      <c r="O39" s="29">
        <v>0</v>
      </c>
      <c r="P39" s="29">
        <v>66595</v>
      </c>
      <c r="Q39" s="29">
        <v>8351</v>
      </c>
      <c r="R39" s="29">
        <v>1141200</v>
      </c>
      <c r="S39" s="29">
        <v>138795</v>
      </c>
      <c r="T39" s="29">
        <v>1002405</v>
      </c>
      <c r="U39" s="29">
        <v>569701</v>
      </c>
      <c r="V39" s="29">
        <v>432704</v>
      </c>
    </row>
    <row r="40" spans="1:22" x14ac:dyDescent="0.2">
      <c r="A40" s="20" t="s">
        <v>232</v>
      </c>
      <c r="B40" s="20" t="s">
        <v>622</v>
      </c>
      <c r="C40" s="25">
        <v>85.05</v>
      </c>
      <c r="D40" s="27">
        <v>568.5</v>
      </c>
      <c r="E40" s="25">
        <v>653.54999999999995</v>
      </c>
      <c r="F40" s="25">
        <v>1.26</v>
      </c>
      <c r="G40" s="29">
        <v>382</v>
      </c>
      <c r="H40" s="27">
        <v>5.2</v>
      </c>
      <c r="I40" s="29">
        <v>945</v>
      </c>
      <c r="J40" s="29">
        <v>222547</v>
      </c>
      <c r="K40" s="29">
        <v>0</v>
      </c>
      <c r="L40" s="29">
        <v>222547</v>
      </c>
      <c r="M40" s="29">
        <v>59015</v>
      </c>
      <c r="N40" s="29">
        <v>66084</v>
      </c>
      <c r="O40" s="29">
        <v>429</v>
      </c>
      <c r="P40" s="29">
        <v>22423</v>
      </c>
      <c r="Q40" s="29">
        <v>2673</v>
      </c>
      <c r="R40" s="29">
        <v>373171</v>
      </c>
      <c r="S40" s="29">
        <v>40839</v>
      </c>
      <c r="T40" s="29">
        <v>332332</v>
      </c>
      <c r="U40" s="29">
        <v>157127</v>
      </c>
      <c r="V40" s="29">
        <v>175205</v>
      </c>
    </row>
    <row r="41" spans="1:22" x14ac:dyDescent="0.2">
      <c r="A41" s="20" t="s">
        <v>116</v>
      </c>
      <c r="B41" s="20" t="s">
        <v>514</v>
      </c>
      <c r="C41" s="25">
        <v>41.73</v>
      </c>
      <c r="D41" s="27">
        <v>559.29999999999995</v>
      </c>
      <c r="E41" s="25">
        <v>601.03</v>
      </c>
      <c r="F41" s="25">
        <v>0.76</v>
      </c>
      <c r="G41" s="29">
        <v>8</v>
      </c>
      <c r="H41" s="27">
        <v>0</v>
      </c>
      <c r="I41" s="29">
        <v>567</v>
      </c>
      <c r="J41" s="29">
        <v>202703</v>
      </c>
      <c r="K41" s="29">
        <v>0</v>
      </c>
      <c r="L41" s="29">
        <v>202703</v>
      </c>
      <c r="M41" s="29">
        <v>35420</v>
      </c>
      <c r="N41" s="29">
        <v>39492</v>
      </c>
      <c r="O41" s="29">
        <v>256</v>
      </c>
      <c r="P41" s="29">
        <v>25063</v>
      </c>
      <c r="Q41" s="29">
        <v>2885</v>
      </c>
      <c r="R41" s="29">
        <v>305819</v>
      </c>
      <c r="S41" s="29">
        <v>42031</v>
      </c>
      <c r="T41" s="29">
        <v>263788</v>
      </c>
      <c r="U41" s="29">
        <v>144790</v>
      </c>
      <c r="V41" s="29">
        <v>118998</v>
      </c>
    </row>
    <row r="42" spans="1:22" x14ac:dyDescent="0.2">
      <c r="A42" s="20" t="s">
        <v>68</v>
      </c>
      <c r="B42" s="20" t="s">
        <v>470</v>
      </c>
      <c r="C42" s="25">
        <v>72.09</v>
      </c>
      <c r="D42" s="27">
        <v>514.70000000000005</v>
      </c>
      <c r="E42" s="25">
        <v>586.79</v>
      </c>
      <c r="F42" s="25">
        <v>0.74</v>
      </c>
      <c r="G42" s="29">
        <v>0</v>
      </c>
      <c r="H42" s="27">
        <v>0</v>
      </c>
      <c r="I42" s="29">
        <v>515</v>
      </c>
      <c r="J42" s="29">
        <v>197901</v>
      </c>
      <c r="K42" s="29">
        <v>0</v>
      </c>
      <c r="L42" s="29">
        <v>197901</v>
      </c>
      <c r="M42" s="29">
        <v>32172</v>
      </c>
      <c r="N42" s="29">
        <v>35870</v>
      </c>
      <c r="O42" s="29">
        <v>250</v>
      </c>
      <c r="P42" s="29">
        <v>24469</v>
      </c>
      <c r="Q42" s="29">
        <v>2817</v>
      </c>
      <c r="R42" s="29">
        <v>293479</v>
      </c>
      <c r="S42" s="29">
        <v>38612</v>
      </c>
      <c r="T42" s="29">
        <v>254867</v>
      </c>
      <c r="U42" s="29">
        <v>143782</v>
      </c>
      <c r="V42" s="29">
        <v>111085</v>
      </c>
    </row>
    <row r="43" spans="1:22" x14ac:dyDescent="0.2">
      <c r="A43" s="20" t="s">
        <v>102</v>
      </c>
      <c r="B43" s="20" t="s">
        <v>500</v>
      </c>
      <c r="C43" s="25">
        <v>64.87</v>
      </c>
      <c r="D43" s="27">
        <v>483.5</v>
      </c>
      <c r="E43" s="25">
        <v>548.37</v>
      </c>
      <c r="F43" s="25">
        <v>0.69</v>
      </c>
      <c r="G43" s="29">
        <v>0</v>
      </c>
      <c r="H43" s="27">
        <v>0</v>
      </c>
      <c r="I43" s="29">
        <v>484</v>
      </c>
      <c r="J43" s="29">
        <v>184943</v>
      </c>
      <c r="K43" s="29">
        <v>0</v>
      </c>
      <c r="L43" s="29">
        <v>184943</v>
      </c>
      <c r="M43" s="29">
        <v>30235</v>
      </c>
      <c r="N43" s="29">
        <v>33711</v>
      </c>
      <c r="O43" s="29">
        <v>233</v>
      </c>
      <c r="P43" s="29">
        <v>22867</v>
      </c>
      <c r="Q43" s="29">
        <v>2632</v>
      </c>
      <c r="R43" s="29">
        <v>274621</v>
      </c>
      <c r="S43" s="29">
        <v>38909</v>
      </c>
      <c r="T43" s="29">
        <v>235712</v>
      </c>
      <c r="U43" s="29">
        <v>131542</v>
      </c>
      <c r="V43" s="29">
        <v>104170</v>
      </c>
    </row>
    <row r="44" spans="1:22" x14ac:dyDescent="0.2">
      <c r="A44" s="20" t="s">
        <v>310</v>
      </c>
      <c r="B44" s="20" t="s">
        <v>697</v>
      </c>
      <c r="C44" s="25">
        <v>770.55</v>
      </c>
      <c r="D44" s="27">
        <v>3860.2</v>
      </c>
      <c r="E44" s="25">
        <v>4630.75</v>
      </c>
      <c r="F44" s="25">
        <v>10.85</v>
      </c>
      <c r="G44" s="29">
        <v>274</v>
      </c>
      <c r="H44" s="27">
        <v>2.7</v>
      </c>
      <c r="I44" s="29">
        <v>4132</v>
      </c>
      <c r="J44" s="29">
        <v>1534167</v>
      </c>
      <c r="K44" s="29">
        <v>0</v>
      </c>
      <c r="L44" s="29">
        <v>1534167</v>
      </c>
      <c r="M44" s="29">
        <v>256762</v>
      </c>
      <c r="N44" s="29">
        <v>282216</v>
      </c>
      <c r="O44" s="29">
        <v>3595</v>
      </c>
      <c r="P44" s="29">
        <v>154204</v>
      </c>
      <c r="Q44" s="29">
        <v>16902</v>
      </c>
      <c r="R44" s="29">
        <v>2247846</v>
      </c>
      <c r="S44" s="29">
        <v>302970</v>
      </c>
      <c r="T44" s="29">
        <v>1944876</v>
      </c>
      <c r="U44" s="29">
        <v>1093518</v>
      </c>
      <c r="V44" s="29">
        <v>851358</v>
      </c>
    </row>
    <row r="45" spans="1:22" x14ac:dyDescent="0.2">
      <c r="A45" s="20" t="s">
        <v>268</v>
      </c>
      <c r="B45" s="20" t="s">
        <v>269</v>
      </c>
      <c r="C45" s="25">
        <v>54.37</v>
      </c>
      <c r="D45" s="27">
        <v>463.9</v>
      </c>
      <c r="E45" s="25">
        <v>518.27</v>
      </c>
      <c r="F45" s="25">
        <v>1.0900000000000001</v>
      </c>
      <c r="G45" s="29">
        <v>2</v>
      </c>
      <c r="H45" s="27">
        <v>0</v>
      </c>
      <c r="I45" s="29">
        <v>466</v>
      </c>
      <c r="J45" s="29">
        <v>173071</v>
      </c>
      <c r="K45" s="29">
        <v>0</v>
      </c>
      <c r="L45" s="29">
        <v>173071</v>
      </c>
      <c r="M45" s="29">
        <v>28971</v>
      </c>
      <c r="N45" s="29">
        <v>32028</v>
      </c>
      <c r="O45" s="29">
        <v>364</v>
      </c>
      <c r="P45" s="29">
        <v>17771</v>
      </c>
      <c r="Q45" s="29">
        <v>1918</v>
      </c>
      <c r="R45" s="29">
        <v>254123</v>
      </c>
      <c r="S45" s="29">
        <v>33906</v>
      </c>
      <c r="T45" s="29">
        <v>220217</v>
      </c>
      <c r="U45" s="29">
        <v>122894</v>
      </c>
      <c r="V45" s="29">
        <v>97323</v>
      </c>
    </row>
    <row r="46" spans="1:22" x14ac:dyDescent="0.2">
      <c r="A46" s="20" t="s">
        <v>69</v>
      </c>
      <c r="B46" s="20" t="s">
        <v>70</v>
      </c>
      <c r="C46" s="25">
        <v>38.36</v>
      </c>
      <c r="D46" s="27">
        <v>280.8</v>
      </c>
      <c r="E46" s="25">
        <v>319.16000000000003</v>
      </c>
      <c r="F46" s="25">
        <v>0.4</v>
      </c>
      <c r="G46" s="29">
        <v>12</v>
      </c>
      <c r="H46" s="27">
        <v>0.3</v>
      </c>
      <c r="I46" s="29">
        <v>293</v>
      </c>
      <c r="J46" s="29">
        <v>107640</v>
      </c>
      <c r="K46" s="29">
        <v>0</v>
      </c>
      <c r="L46" s="29">
        <v>107640</v>
      </c>
      <c r="M46" s="29">
        <v>18304</v>
      </c>
      <c r="N46" s="29">
        <v>20407</v>
      </c>
      <c r="O46" s="29">
        <v>135</v>
      </c>
      <c r="P46" s="29">
        <v>13309</v>
      </c>
      <c r="Q46" s="29">
        <v>1532</v>
      </c>
      <c r="R46" s="29">
        <v>161327</v>
      </c>
      <c r="S46" s="29">
        <v>18545</v>
      </c>
      <c r="T46" s="29">
        <v>142782</v>
      </c>
      <c r="U46" s="29">
        <v>80660</v>
      </c>
      <c r="V46" s="29">
        <v>62122</v>
      </c>
    </row>
    <row r="47" spans="1:22" x14ac:dyDescent="0.2">
      <c r="A47" s="20" t="s">
        <v>123</v>
      </c>
      <c r="B47" s="20" t="s">
        <v>520</v>
      </c>
      <c r="C47" s="25">
        <v>46.84</v>
      </c>
      <c r="D47" s="27">
        <v>381.3</v>
      </c>
      <c r="E47" s="25">
        <v>428.14</v>
      </c>
      <c r="F47" s="25">
        <v>0</v>
      </c>
      <c r="G47" s="29">
        <v>3</v>
      </c>
      <c r="H47" s="27">
        <v>0</v>
      </c>
      <c r="I47" s="29">
        <v>384</v>
      </c>
      <c r="J47" s="29">
        <v>143384</v>
      </c>
      <c r="K47" s="29">
        <v>12335</v>
      </c>
      <c r="L47" s="29">
        <v>155719</v>
      </c>
      <c r="M47" s="29">
        <v>23800</v>
      </c>
      <c r="N47" s="29">
        <v>26008</v>
      </c>
      <c r="O47" s="29">
        <v>0</v>
      </c>
      <c r="P47" s="29">
        <v>13174</v>
      </c>
      <c r="Q47" s="29">
        <v>1546</v>
      </c>
      <c r="R47" s="29">
        <v>220247</v>
      </c>
      <c r="S47" s="29">
        <v>31925</v>
      </c>
      <c r="T47" s="29">
        <v>188322</v>
      </c>
      <c r="U47" s="29">
        <v>95824</v>
      </c>
      <c r="V47" s="29">
        <v>92498</v>
      </c>
    </row>
    <row r="48" spans="1:22" x14ac:dyDescent="0.2">
      <c r="A48" s="20" t="s">
        <v>124</v>
      </c>
      <c r="B48" s="20" t="s">
        <v>521</v>
      </c>
      <c r="C48" s="25">
        <v>100.49</v>
      </c>
      <c r="D48" s="27">
        <v>854.3</v>
      </c>
      <c r="E48" s="25">
        <v>954.79</v>
      </c>
      <c r="F48" s="25">
        <v>0</v>
      </c>
      <c r="G48" s="29">
        <v>15</v>
      </c>
      <c r="H48" s="27">
        <v>0</v>
      </c>
      <c r="I48" s="29">
        <v>869</v>
      </c>
      <c r="J48" s="29">
        <v>319759</v>
      </c>
      <c r="K48" s="29">
        <v>0</v>
      </c>
      <c r="L48" s="29">
        <v>319759</v>
      </c>
      <c r="M48" s="29">
        <v>53861</v>
      </c>
      <c r="N48" s="29">
        <v>58857</v>
      </c>
      <c r="O48" s="29">
        <v>0</v>
      </c>
      <c r="P48" s="29">
        <v>29379</v>
      </c>
      <c r="Q48" s="29">
        <v>3447</v>
      </c>
      <c r="R48" s="29">
        <v>465303</v>
      </c>
      <c r="S48" s="29">
        <v>54161</v>
      </c>
      <c r="T48" s="29">
        <v>411142</v>
      </c>
      <c r="U48" s="29">
        <v>230730</v>
      </c>
      <c r="V48" s="29">
        <v>180412</v>
      </c>
    </row>
    <row r="49" spans="1:22" x14ac:dyDescent="0.2">
      <c r="A49" s="20" t="s">
        <v>311</v>
      </c>
      <c r="B49" s="20" t="s">
        <v>698</v>
      </c>
      <c r="C49" s="25">
        <v>90.46</v>
      </c>
      <c r="D49" s="27">
        <v>573.5</v>
      </c>
      <c r="E49" s="25">
        <v>663.96</v>
      </c>
      <c r="F49" s="25">
        <v>1.56</v>
      </c>
      <c r="G49" s="29">
        <v>0</v>
      </c>
      <c r="H49" s="27">
        <v>0</v>
      </c>
      <c r="I49" s="29">
        <v>574</v>
      </c>
      <c r="J49" s="29">
        <v>219970</v>
      </c>
      <c r="K49" s="29">
        <v>0</v>
      </c>
      <c r="L49" s="29">
        <v>219970</v>
      </c>
      <c r="M49" s="29">
        <v>35668</v>
      </c>
      <c r="N49" s="29">
        <v>39204</v>
      </c>
      <c r="O49" s="29">
        <v>517</v>
      </c>
      <c r="P49" s="29">
        <v>22110</v>
      </c>
      <c r="Q49" s="29">
        <v>2423</v>
      </c>
      <c r="R49" s="29">
        <v>319892</v>
      </c>
      <c r="S49" s="29">
        <v>39171</v>
      </c>
      <c r="T49" s="29">
        <v>280721</v>
      </c>
      <c r="U49" s="29">
        <v>161059</v>
      </c>
      <c r="V49" s="29">
        <v>119662</v>
      </c>
    </row>
    <row r="50" spans="1:22" x14ac:dyDescent="0.2">
      <c r="A50" s="20" t="s">
        <v>184</v>
      </c>
      <c r="B50" s="20" t="s">
        <v>577</v>
      </c>
      <c r="C50" s="25">
        <v>205.33</v>
      </c>
      <c r="D50" s="27">
        <v>2011</v>
      </c>
      <c r="E50" s="25">
        <v>2216.33</v>
      </c>
      <c r="F50" s="25">
        <v>0</v>
      </c>
      <c r="G50" s="29">
        <v>39</v>
      </c>
      <c r="H50" s="27">
        <v>0</v>
      </c>
      <c r="I50" s="29">
        <v>2050</v>
      </c>
      <c r="J50" s="29">
        <v>722258</v>
      </c>
      <c r="K50" s="29">
        <v>0</v>
      </c>
      <c r="L50" s="29">
        <v>722258</v>
      </c>
      <c r="M50" s="29">
        <v>127182</v>
      </c>
      <c r="N50" s="29">
        <v>139708</v>
      </c>
      <c r="O50" s="29">
        <v>0</v>
      </c>
      <c r="P50" s="29">
        <v>61503</v>
      </c>
      <c r="Q50" s="29">
        <v>7713</v>
      </c>
      <c r="R50" s="29">
        <v>1058364</v>
      </c>
      <c r="S50" s="29">
        <v>77596</v>
      </c>
      <c r="T50" s="29">
        <v>980768</v>
      </c>
      <c r="U50" s="29">
        <v>576731</v>
      </c>
      <c r="V50" s="29">
        <v>404037</v>
      </c>
    </row>
    <row r="51" spans="1:22" x14ac:dyDescent="0.2">
      <c r="A51" s="20" t="s">
        <v>185</v>
      </c>
      <c r="B51" s="20" t="s">
        <v>578</v>
      </c>
      <c r="C51" s="25">
        <v>270.29000000000002</v>
      </c>
      <c r="D51" s="27">
        <v>1644.7</v>
      </c>
      <c r="E51" s="25">
        <v>1914.99</v>
      </c>
      <c r="F51" s="25">
        <v>0</v>
      </c>
      <c r="G51" s="29">
        <v>903</v>
      </c>
      <c r="H51" s="27">
        <v>15.4</v>
      </c>
      <c r="I51" s="29">
        <v>2532</v>
      </c>
      <c r="J51" s="29">
        <v>624057</v>
      </c>
      <c r="K51" s="29">
        <v>0</v>
      </c>
      <c r="L51" s="29">
        <v>624057</v>
      </c>
      <c r="M51" s="29">
        <v>157085</v>
      </c>
      <c r="N51" s="29">
        <v>172556</v>
      </c>
      <c r="O51" s="29">
        <v>0</v>
      </c>
      <c r="P51" s="29">
        <v>53141</v>
      </c>
      <c r="Q51" s="29">
        <v>6664</v>
      </c>
      <c r="R51" s="29">
        <v>1013503</v>
      </c>
      <c r="S51" s="29">
        <v>121751</v>
      </c>
      <c r="T51" s="29">
        <v>891752</v>
      </c>
      <c r="U51" s="29">
        <v>443611</v>
      </c>
      <c r="V51" s="29">
        <v>448141</v>
      </c>
    </row>
    <row r="52" spans="1:22" x14ac:dyDescent="0.2">
      <c r="A52" s="20" t="s">
        <v>71</v>
      </c>
      <c r="B52" s="20" t="s">
        <v>471</v>
      </c>
      <c r="C52" s="25">
        <v>762.29</v>
      </c>
      <c r="D52" s="27">
        <v>5520.1</v>
      </c>
      <c r="E52" s="25">
        <v>6282.39</v>
      </c>
      <c r="F52" s="25">
        <v>7.91</v>
      </c>
      <c r="G52" s="29">
        <v>307</v>
      </c>
      <c r="H52" s="27">
        <v>2.2999999999999998</v>
      </c>
      <c r="I52" s="29">
        <v>5825</v>
      </c>
      <c r="J52" s="29">
        <v>2118799</v>
      </c>
      <c r="K52" s="29">
        <v>0</v>
      </c>
      <c r="L52" s="29">
        <v>2118799</v>
      </c>
      <c r="M52" s="29">
        <v>363888</v>
      </c>
      <c r="N52" s="29">
        <v>405711</v>
      </c>
      <c r="O52" s="29">
        <v>2668</v>
      </c>
      <c r="P52" s="29">
        <v>261976</v>
      </c>
      <c r="Q52" s="29">
        <v>30155</v>
      </c>
      <c r="R52" s="29">
        <v>3183197</v>
      </c>
      <c r="S52" s="29">
        <v>260052</v>
      </c>
      <c r="T52" s="29">
        <v>2923145</v>
      </c>
      <c r="U52" s="29">
        <v>1692718</v>
      </c>
      <c r="V52" s="29">
        <v>1230427</v>
      </c>
    </row>
    <row r="53" spans="1:22" x14ac:dyDescent="0.2">
      <c r="A53" s="20" t="s">
        <v>145</v>
      </c>
      <c r="B53" s="20" t="s">
        <v>541</v>
      </c>
      <c r="C53" s="25">
        <v>2434.7399999999998</v>
      </c>
      <c r="D53" s="27">
        <v>15959.3</v>
      </c>
      <c r="E53" s="25">
        <v>18394.04</v>
      </c>
      <c r="F53" s="25">
        <v>21.28</v>
      </c>
      <c r="G53" s="29">
        <v>1842</v>
      </c>
      <c r="H53" s="27">
        <v>10.7</v>
      </c>
      <c r="I53" s="29">
        <v>17791</v>
      </c>
      <c r="J53" s="29">
        <v>6124847</v>
      </c>
      <c r="K53" s="29">
        <v>0</v>
      </c>
      <c r="L53" s="29">
        <v>6124847</v>
      </c>
      <c r="M53" s="29">
        <v>1105889</v>
      </c>
      <c r="N53" s="29">
        <v>1215659</v>
      </c>
      <c r="O53" s="29">
        <v>7086</v>
      </c>
      <c r="P53" s="29">
        <v>579780</v>
      </c>
      <c r="Q53" s="29">
        <v>67506</v>
      </c>
      <c r="R53" s="29">
        <v>9100767</v>
      </c>
      <c r="S53" s="29">
        <v>1111818</v>
      </c>
      <c r="T53" s="29">
        <v>7988949</v>
      </c>
      <c r="U53" s="29">
        <v>4397112</v>
      </c>
      <c r="V53" s="29">
        <v>3591837</v>
      </c>
    </row>
    <row r="54" spans="1:22" x14ac:dyDescent="0.2">
      <c r="A54" s="20" t="s">
        <v>146</v>
      </c>
      <c r="B54" s="20" t="s">
        <v>542</v>
      </c>
      <c r="C54" s="25">
        <v>102.26</v>
      </c>
      <c r="D54" s="27">
        <v>1201.9000000000001</v>
      </c>
      <c r="E54" s="25">
        <v>1304.1600000000001</v>
      </c>
      <c r="F54" s="25">
        <v>1.51</v>
      </c>
      <c r="G54" s="29">
        <v>8</v>
      </c>
      <c r="H54" s="27">
        <v>0</v>
      </c>
      <c r="I54" s="29">
        <v>1210</v>
      </c>
      <c r="J54" s="29">
        <v>434259</v>
      </c>
      <c r="K54" s="29">
        <v>27534</v>
      </c>
      <c r="L54" s="29">
        <v>461793</v>
      </c>
      <c r="M54" s="29">
        <v>75214</v>
      </c>
      <c r="N54" s="29">
        <v>82679</v>
      </c>
      <c r="O54" s="29">
        <v>503</v>
      </c>
      <c r="P54" s="29">
        <v>41920</v>
      </c>
      <c r="Q54" s="29">
        <v>4876</v>
      </c>
      <c r="R54" s="29">
        <v>666985</v>
      </c>
      <c r="S54" s="29">
        <v>61387</v>
      </c>
      <c r="T54" s="29">
        <v>605598</v>
      </c>
      <c r="U54" s="29">
        <v>330106</v>
      </c>
      <c r="V54" s="29">
        <v>275492</v>
      </c>
    </row>
    <row r="55" spans="1:22" x14ac:dyDescent="0.2">
      <c r="A55" s="20" t="s">
        <v>312</v>
      </c>
      <c r="B55" s="20" t="s">
        <v>699</v>
      </c>
      <c r="C55" s="25">
        <v>172.2</v>
      </c>
      <c r="D55" s="27">
        <v>1331.8</v>
      </c>
      <c r="E55" s="25">
        <v>1504</v>
      </c>
      <c r="F55" s="25">
        <v>3.53</v>
      </c>
      <c r="G55" s="29">
        <v>0</v>
      </c>
      <c r="H55" s="27">
        <v>0</v>
      </c>
      <c r="I55" s="29">
        <v>1332</v>
      </c>
      <c r="J55" s="29">
        <v>498275</v>
      </c>
      <c r="K55" s="29">
        <v>0</v>
      </c>
      <c r="L55" s="29">
        <v>498275</v>
      </c>
      <c r="M55" s="29">
        <v>82770</v>
      </c>
      <c r="N55" s="29">
        <v>90976</v>
      </c>
      <c r="O55" s="29">
        <v>1169</v>
      </c>
      <c r="P55" s="29">
        <v>50083</v>
      </c>
      <c r="Q55" s="29">
        <v>5490</v>
      </c>
      <c r="R55" s="29">
        <v>728763</v>
      </c>
      <c r="S55" s="29">
        <v>100946</v>
      </c>
      <c r="T55" s="29">
        <v>627817</v>
      </c>
      <c r="U55" s="29">
        <v>352615</v>
      </c>
      <c r="V55" s="29">
        <v>275202</v>
      </c>
    </row>
    <row r="56" spans="1:22" x14ac:dyDescent="0.2">
      <c r="A56" s="20" t="s">
        <v>313</v>
      </c>
      <c r="B56" s="20" t="s">
        <v>700</v>
      </c>
      <c r="C56" s="25">
        <v>93.57</v>
      </c>
      <c r="D56" s="27">
        <v>803.1</v>
      </c>
      <c r="E56" s="25">
        <v>896.67</v>
      </c>
      <c r="F56" s="25">
        <v>2.1</v>
      </c>
      <c r="G56" s="29">
        <v>5</v>
      </c>
      <c r="H56" s="27">
        <v>0</v>
      </c>
      <c r="I56" s="29">
        <v>808</v>
      </c>
      <c r="J56" s="29">
        <v>297067</v>
      </c>
      <c r="K56" s="29">
        <v>0</v>
      </c>
      <c r="L56" s="29">
        <v>297067</v>
      </c>
      <c r="M56" s="29">
        <v>50209</v>
      </c>
      <c r="N56" s="29">
        <v>55186</v>
      </c>
      <c r="O56" s="29">
        <v>696</v>
      </c>
      <c r="P56" s="29">
        <v>29859</v>
      </c>
      <c r="Q56" s="29">
        <v>3273</v>
      </c>
      <c r="R56" s="29">
        <v>436290</v>
      </c>
      <c r="S56" s="29">
        <v>61225</v>
      </c>
      <c r="T56" s="29">
        <v>375065</v>
      </c>
      <c r="U56" s="29">
        <v>209182</v>
      </c>
      <c r="V56" s="29">
        <v>165883</v>
      </c>
    </row>
    <row r="57" spans="1:22" x14ac:dyDescent="0.2">
      <c r="A57" s="20" t="s">
        <v>2</v>
      </c>
      <c r="B57" s="20" t="s">
        <v>412</v>
      </c>
      <c r="C57" s="25">
        <v>62.56</v>
      </c>
      <c r="D57" s="27">
        <v>451.7</v>
      </c>
      <c r="E57" s="25">
        <v>514.26</v>
      </c>
      <c r="F57" s="25">
        <v>1.38</v>
      </c>
      <c r="G57" s="29">
        <v>0</v>
      </c>
      <c r="H57" s="27">
        <v>0</v>
      </c>
      <c r="I57" s="29">
        <v>452</v>
      </c>
      <c r="J57" s="29">
        <v>179034</v>
      </c>
      <c r="K57" s="29">
        <v>0</v>
      </c>
      <c r="L57" s="29">
        <v>179034</v>
      </c>
      <c r="M57" s="29">
        <v>28223</v>
      </c>
      <c r="N57" s="29">
        <v>31441</v>
      </c>
      <c r="O57" s="29">
        <v>480</v>
      </c>
      <c r="P57" s="29">
        <v>17727</v>
      </c>
      <c r="Q57" s="29">
        <v>1923</v>
      </c>
      <c r="R57" s="29">
        <v>258828</v>
      </c>
      <c r="S57" s="29">
        <v>39301</v>
      </c>
      <c r="T57" s="29">
        <v>219527</v>
      </c>
      <c r="U57" s="29">
        <v>116478</v>
      </c>
      <c r="V57" s="29">
        <v>103049</v>
      </c>
    </row>
    <row r="58" spans="1:22" x14ac:dyDescent="0.2">
      <c r="A58" s="20" t="s">
        <v>125</v>
      </c>
      <c r="B58" s="20" t="s">
        <v>522</v>
      </c>
      <c r="C58" s="25">
        <v>189.48</v>
      </c>
      <c r="D58" s="27">
        <v>1452.9</v>
      </c>
      <c r="E58" s="25">
        <v>1642.38</v>
      </c>
      <c r="F58" s="25">
        <v>0</v>
      </c>
      <c r="G58" s="29">
        <v>148</v>
      </c>
      <c r="H58" s="27">
        <v>0.1</v>
      </c>
      <c r="I58" s="29">
        <v>1601</v>
      </c>
      <c r="J58" s="29">
        <v>550033</v>
      </c>
      <c r="K58" s="29">
        <v>0</v>
      </c>
      <c r="L58" s="29">
        <v>550033</v>
      </c>
      <c r="M58" s="29">
        <v>99230</v>
      </c>
      <c r="N58" s="29">
        <v>108436</v>
      </c>
      <c r="O58" s="29">
        <v>0</v>
      </c>
      <c r="P58" s="29">
        <v>50536</v>
      </c>
      <c r="Q58" s="29">
        <v>5929</v>
      </c>
      <c r="R58" s="29">
        <v>814164</v>
      </c>
      <c r="S58" s="29">
        <v>101527</v>
      </c>
      <c r="T58" s="29">
        <v>712637</v>
      </c>
      <c r="U58" s="29">
        <v>388526</v>
      </c>
      <c r="V58" s="29">
        <v>324111</v>
      </c>
    </row>
    <row r="59" spans="1:22" x14ac:dyDescent="0.2">
      <c r="A59" s="20" t="s">
        <v>147</v>
      </c>
      <c r="B59" s="20" t="s">
        <v>543</v>
      </c>
      <c r="C59" s="25">
        <v>36.35</v>
      </c>
      <c r="D59" s="27">
        <v>434.4</v>
      </c>
      <c r="E59" s="25">
        <v>470.75</v>
      </c>
      <c r="F59" s="25">
        <v>0.54</v>
      </c>
      <c r="G59" s="29">
        <v>8</v>
      </c>
      <c r="H59" s="27">
        <v>0</v>
      </c>
      <c r="I59" s="29">
        <v>442</v>
      </c>
      <c r="J59" s="29">
        <v>156750</v>
      </c>
      <c r="K59" s="29">
        <v>8158</v>
      </c>
      <c r="L59" s="29">
        <v>164908</v>
      </c>
      <c r="M59" s="29">
        <v>27475</v>
      </c>
      <c r="N59" s="29">
        <v>30202</v>
      </c>
      <c r="O59" s="29">
        <v>180</v>
      </c>
      <c r="P59" s="29">
        <v>15398</v>
      </c>
      <c r="Q59" s="29">
        <v>1791</v>
      </c>
      <c r="R59" s="29">
        <v>239954</v>
      </c>
      <c r="S59" s="29">
        <v>31232</v>
      </c>
      <c r="T59" s="29">
        <v>208722</v>
      </c>
      <c r="U59" s="29">
        <v>110378</v>
      </c>
      <c r="V59" s="29">
        <v>98344</v>
      </c>
    </row>
    <row r="60" spans="1:22" x14ac:dyDescent="0.2">
      <c r="A60" s="20" t="s">
        <v>270</v>
      </c>
      <c r="B60" s="20" t="s">
        <v>658</v>
      </c>
      <c r="C60" s="25">
        <v>101.59</v>
      </c>
      <c r="D60" s="27">
        <v>642.70000000000005</v>
      </c>
      <c r="E60" s="25">
        <v>744.29</v>
      </c>
      <c r="F60" s="25">
        <v>1.56</v>
      </c>
      <c r="G60" s="29">
        <v>0</v>
      </c>
      <c r="H60" s="27">
        <v>0</v>
      </c>
      <c r="I60" s="29">
        <v>643</v>
      </c>
      <c r="J60" s="29">
        <v>248548</v>
      </c>
      <c r="K60" s="29">
        <v>0</v>
      </c>
      <c r="L60" s="29">
        <v>248548</v>
      </c>
      <c r="M60" s="29">
        <v>39975</v>
      </c>
      <c r="N60" s="29">
        <v>44193</v>
      </c>
      <c r="O60" s="29">
        <v>521</v>
      </c>
      <c r="P60" s="29">
        <v>25522</v>
      </c>
      <c r="Q60" s="29">
        <v>2754</v>
      </c>
      <c r="R60" s="29">
        <v>361513</v>
      </c>
      <c r="S60" s="29">
        <v>46870</v>
      </c>
      <c r="T60" s="29">
        <v>314643</v>
      </c>
      <c r="U60" s="29">
        <v>178310</v>
      </c>
      <c r="V60" s="29">
        <v>136333</v>
      </c>
    </row>
    <row r="61" spans="1:22" x14ac:dyDescent="0.2">
      <c r="A61" s="20" t="s">
        <v>233</v>
      </c>
      <c r="B61" s="20" t="s">
        <v>623</v>
      </c>
      <c r="C61" s="25">
        <v>97.17</v>
      </c>
      <c r="D61" s="27">
        <v>765.1</v>
      </c>
      <c r="E61" s="25">
        <v>862.27</v>
      </c>
      <c r="F61" s="25">
        <v>1.66</v>
      </c>
      <c r="G61" s="29">
        <v>141</v>
      </c>
      <c r="H61" s="27">
        <v>0</v>
      </c>
      <c r="I61" s="29">
        <v>906</v>
      </c>
      <c r="J61" s="29">
        <v>293620</v>
      </c>
      <c r="K61" s="29">
        <v>0</v>
      </c>
      <c r="L61" s="29">
        <v>293620</v>
      </c>
      <c r="M61" s="29">
        <v>56580</v>
      </c>
      <c r="N61" s="29">
        <v>63357</v>
      </c>
      <c r="O61" s="29">
        <v>565</v>
      </c>
      <c r="P61" s="29">
        <v>29584</v>
      </c>
      <c r="Q61" s="29">
        <v>3527</v>
      </c>
      <c r="R61" s="29">
        <v>447233</v>
      </c>
      <c r="S61" s="29">
        <v>45683</v>
      </c>
      <c r="T61" s="29">
        <v>401550</v>
      </c>
      <c r="U61" s="29">
        <v>215506</v>
      </c>
      <c r="V61" s="29">
        <v>186044</v>
      </c>
    </row>
    <row r="62" spans="1:22" x14ac:dyDescent="0.2">
      <c r="A62" s="20" t="s">
        <v>314</v>
      </c>
      <c r="B62" s="20" t="s">
        <v>701</v>
      </c>
      <c r="C62" s="25">
        <v>152.52000000000001</v>
      </c>
      <c r="D62" s="27">
        <v>1271.3</v>
      </c>
      <c r="E62" s="25">
        <v>1423.82</v>
      </c>
      <c r="F62" s="25">
        <v>3.34</v>
      </c>
      <c r="G62" s="29">
        <v>4</v>
      </c>
      <c r="H62" s="27">
        <v>0</v>
      </c>
      <c r="I62" s="29">
        <v>1275</v>
      </c>
      <c r="J62" s="29">
        <v>471712</v>
      </c>
      <c r="K62" s="29">
        <v>0</v>
      </c>
      <c r="L62" s="29">
        <v>471712</v>
      </c>
      <c r="M62" s="29">
        <v>79229</v>
      </c>
      <c r="N62" s="29">
        <v>87083</v>
      </c>
      <c r="O62" s="29">
        <v>1107</v>
      </c>
      <c r="P62" s="29">
        <v>47413</v>
      </c>
      <c r="Q62" s="29">
        <v>5197</v>
      </c>
      <c r="R62" s="29">
        <v>691741</v>
      </c>
      <c r="S62" s="29">
        <v>91607</v>
      </c>
      <c r="T62" s="29">
        <v>600134</v>
      </c>
      <c r="U62" s="29">
        <v>337773</v>
      </c>
      <c r="V62" s="29">
        <v>262361</v>
      </c>
    </row>
    <row r="63" spans="1:22" x14ac:dyDescent="0.2">
      <c r="A63" s="20" t="s">
        <v>73</v>
      </c>
      <c r="B63" s="20" t="s">
        <v>473</v>
      </c>
      <c r="C63" s="25">
        <v>310.72000000000003</v>
      </c>
      <c r="D63" s="27">
        <v>1489.8</v>
      </c>
      <c r="E63" s="25">
        <v>1800.52</v>
      </c>
      <c r="F63" s="25">
        <v>2.27</v>
      </c>
      <c r="G63" s="29">
        <v>164</v>
      </c>
      <c r="H63" s="27">
        <v>6.5</v>
      </c>
      <c r="I63" s="29">
        <v>1647</v>
      </c>
      <c r="J63" s="29">
        <v>607243</v>
      </c>
      <c r="K63" s="29">
        <v>0</v>
      </c>
      <c r="L63" s="29">
        <v>607243</v>
      </c>
      <c r="M63" s="29">
        <v>102888</v>
      </c>
      <c r="N63" s="29">
        <v>114714</v>
      </c>
      <c r="O63" s="29">
        <v>766</v>
      </c>
      <c r="P63" s="29">
        <v>75082</v>
      </c>
      <c r="Q63" s="29">
        <v>8642</v>
      </c>
      <c r="R63" s="29">
        <v>909335</v>
      </c>
      <c r="S63" s="29">
        <v>108953</v>
      </c>
      <c r="T63" s="29">
        <v>800382</v>
      </c>
      <c r="U63" s="29">
        <v>450708</v>
      </c>
      <c r="V63" s="29">
        <v>349674</v>
      </c>
    </row>
    <row r="64" spans="1:22" x14ac:dyDescent="0.2">
      <c r="A64" s="20" t="s">
        <v>234</v>
      </c>
      <c r="B64" s="20" t="s">
        <v>624</v>
      </c>
      <c r="C64" s="25">
        <v>49.89</v>
      </c>
      <c r="D64" s="27">
        <v>287.2</v>
      </c>
      <c r="E64" s="25">
        <v>337.09</v>
      </c>
      <c r="F64" s="25">
        <v>0.65</v>
      </c>
      <c r="G64" s="29">
        <v>2</v>
      </c>
      <c r="H64" s="27">
        <v>0</v>
      </c>
      <c r="I64" s="29">
        <v>289</v>
      </c>
      <c r="J64" s="29">
        <v>114786</v>
      </c>
      <c r="K64" s="29">
        <v>0</v>
      </c>
      <c r="L64" s="29">
        <v>114786</v>
      </c>
      <c r="M64" s="29">
        <v>18048</v>
      </c>
      <c r="N64" s="29">
        <v>20210</v>
      </c>
      <c r="O64" s="29">
        <v>221</v>
      </c>
      <c r="P64" s="29">
        <v>11566</v>
      </c>
      <c r="Q64" s="29">
        <v>1379</v>
      </c>
      <c r="R64" s="29">
        <v>166210</v>
      </c>
      <c r="S64" s="29">
        <v>23319</v>
      </c>
      <c r="T64" s="29">
        <v>142891</v>
      </c>
      <c r="U64" s="29">
        <v>78789</v>
      </c>
      <c r="V64" s="29">
        <v>64102</v>
      </c>
    </row>
    <row r="65" spans="1:22" x14ac:dyDescent="0.2">
      <c r="A65" s="20" t="s">
        <v>235</v>
      </c>
      <c r="B65" s="20" t="s">
        <v>625</v>
      </c>
      <c r="C65" s="25">
        <v>144.75</v>
      </c>
      <c r="D65" s="27">
        <v>1035.3</v>
      </c>
      <c r="E65" s="25">
        <v>1180.05</v>
      </c>
      <c r="F65" s="25">
        <v>2.27</v>
      </c>
      <c r="G65" s="29">
        <v>1</v>
      </c>
      <c r="H65" s="27">
        <v>0</v>
      </c>
      <c r="I65" s="29">
        <v>1036</v>
      </c>
      <c r="J65" s="29">
        <v>401831</v>
      </c>
      <c r="K65" s="29">
        <v>0</v>
      </c>
      <c r="L65" s="29">
        <v>401831</v>
      </c>
      <c r="M65" s="29">
        <v>64698</v>
      </c>
      <c r="N65" s="29">
        <v>72447</v>
      </c>
      <c r="O65" s="29">
        <v>773</v>
      </c>
      <c r="P65" s="29">
        <v>40488</v>
      </c>
      <c r="Q65" s="29">
        <v>4826</v>
      </c>
      <c r="R65" s="29">
        <v>585063</v>
      </c>
      <c r="S65" s="29">
        <v>69898</v>
      </c>
      <c r="T65" s="29">
        <v>515165</v>
      </c>
      <c r="U65" s="29">
        <v>287548</v>
      </c>
      <c r="V65" s="29">
        <v>227617</v>
      </c>
    </row>
    <row r="66" spans="1:22" x14ac:dyDescent="0.2">
      <c r="A66" s="20" t="s">
        <v>271</v>
      </c>
      <c r="B66" s="20" t="s">
        <v>659</v>
      </c>
      <c r="C66" s="25">
        <v>125.75</v>
      </c>
      <c r="D66" s="27">
        <v>989.1</v>
      </c>
      <c r="E66" s="25">
        <v>1114.8499999999999</v>
      </c>
      <c r="F66" s="25">
        <v>2.34</v>
      </c>
      <c r="G66" s="29">
        <v>59</v>
      </c>
      <c r="H66" s="27">
        <v>1.4</v>
      </c>
      <c r="I66" s="29">
        <v>1047</v>
      </c>
      <c r="J66" s="29">
        <v>372293</v>
      </c>
      <c r="K66" s="29">
        <v>0</v>
      </c>
      <c r="L66" s="29">
        <v>372293</v>
      </c>
      <c r="M66" s="29">
        <v>65092</v>
      </c>
      <c r="N66" s="29">
        <v>71960</v>
      </c>
      <c r="O66" s="29">
        <v>781</v>
      </c>
      <c r="P66" s="29">
        <v>38228</v>
      </c>
      <c r="Q66" s="29">
        <v>4125</v>
      </c>
      <c r="R66" s="29">
        <v>552479</v>
      </c>
      <c r="S66" s="29">
        <v>65764</v>
      </c>
      <c r="T66" s="29">
        <v>486715</v>
      </c>
      <c r="U66" s="29">
        <v>271527</v>
      </c>
      <c r="V66" s="29">
        <v>215188</v>
      </c>
    </row>
    <row r="67" spans="1:22" x14ac:dyDescent="0.2">
      <c r="A67" s="20" t="s">
        <v>26</v>
      </c>
      <c r="B67" s="20" t="s">
        <v>435</v>
      </c>
      <c r="C67" s="25">
        <v>123.84</v>
      </c>
      <c r="D67" s="27">
        <v>1011.1</v>
      </c>
      <c r="E67" s="25">
        <v>1134.94</v>
      </c>
      <c r="F67" s="25">
        <v>0</v>
      </c>
      <c r="G67" s="29">
        <v>3</v>
      </c>
      <c r="H67" s="27">
        <v>0</v>
      </c>
      <c r="I67" s="29">
        <v>1014</v>
      </c>
      <c r="J67" s="29">
        <v>390295</v>
      </c>
      <c r="K67" s="29">
        <v>0</v>
      </c>
      <c r="L67" s="29">
        <v>390295</v>
      </c>
      <c r="M67" s="29">
        <v>63395</v>
      </c>
      <c r="N67" s="29">
        <v>71010</v>
      </c>
      <c r="O67" s="29">
        <v>0</v>
      </c>
      <c r="P67" s="29">
        <v>41346</v>
      </c>
      <c r="Q67" s="29">
        <v>4914</v>
      </c>
      <c r="R67" s="29">
        <v>570960</v>
      </c>
      <c r="S67" s="29">
        <v>68312</v>
      </c>
      <c r="T67" s="29">
        <v>502648</v>
      </c>
      <c r="U67" s="29">
        <v>277572</v>
      </c>
      <c r="V67" s="29">
        <v>225076</v>
      </c>
    </row>
    <row r="68" spans="1:22" x14ac:dyDescent="0.2">
      <c r="A68" s="20" t="s">
        <v>272</v>
      </c>
      <c r="B68" s="20" t="s">
        <v>660</v>
      </c>
      <c r="C68" s="25">
        <v>176.77</v>
      </c>
      <c r="D68" s="27">
        <v>1442.5</v>
      </c>
      <c r="E68" s="25">
        <v>1619.27</v>
      </c>
      <c r="F68" s="25">
        <v>3.4</v>
      </c>
      <c r="G68" s="29">
        <v>0</v>
      </c>
      <c r="H68" s="27">
        <v>0</v>
      </c>
      <c r="I68" s="29">
        <v>1443</v>
      </c>
      <c r="J68" s="29">
        <v>540739</v>
      </c>
      <c r="K68" s="29">
        <v>0</v>
      </c>
      <c r="L68" s="29">
        <v>540739</v>
      </c>
      <c r="M68" s="29">
        <v>89711</v>
      </c>
      <c r="N68" s="29">
        <v>99177</v>
      </c>
      <c r="O68" s="29">
        <v>1135</v>
      </c>
      <c r="P68" s="29">
        <v>55525</v>
      </c>
      <c r="Q68" s="29">
        <v>5991</v>
      </c>
      <c r="R68" s="29">
        <v>792278</v>
      </c>
      <c r="S68" s="29">
        <v>87382</v>
      </c>
      <c r="T68" s="29">
        <v>704896</v>
      </c>
      <c r="U68" s="29">
        <v>402519</v>
      </c>
      <c r="V68" s="29">
        <v>302377</v>
      </c>
    </row>
    <row r="69" spans="1:22" x14ac:dyDescent="0.2">
      <c r="A69" s="20" t="s">
        <v>74</v>
      </c>
      <c r="B69" s="20" t="s">
        <v>474</v>
      </c>
      <c r="C69" s="25">
        <v>50.75</v>
      </c>
      <c r="D69" s="27">
        <v>289.39999999999998</v>
      </c>
      <c r="E69" s="25">
        <v>340.15</v>
      </c>
      <c r="F69" s="25">
        <v>0.43</v>
      </c>
      <c r="G69" s="29">
        <v>2</v>
      </c>
      <c r="H69" s="27">
        <v>0</v>
      </c>
      <c r="I69" s="29">
        <v>291</v>
      </c>
      <c r="J69" s="29">
        <v>114719</v>
      </c>
      <c r="K69" s="29">
        <v>3075</v>
      </c>
      <c r="L69" s="29">
        <v>117794</v>
      </c>
      <c r="M69" s="29">
        <v>18179</v>
      </c>
      <c r="N69" s="29">
        <v>20268</v>
      </c>
      <c r="O69" s="29">
        <v>145</v>
      </c>
      <c r="P69" s="29">
        <v>14184</v>
      </c>
      <c r="Q69" s="29">
        <v>1633</v>
      </c>
      <c r="R69" s="29">
        <v>172203</v>
      </c>
      <c r="S69" s="29">
        <v>24283</v>
      </c>
      <c r="T69" s="29">
        <v>147920</v>
      </c>
      <c r="U69" s="29">
        <v>81447</v>
      </c>
      <c r="V69" s="29">
        <v>66473</v>
      </c>
    </row>
    <row r="70" spans="1:22" x14ac:dyDescent="0.2">
      <c r="A70" s="20" t="s">
        <v>27</v>
      </c>
      <c r="B70" s="20" t="s">
        <v>436</v>
      </c>
      <c r="C70" s="25">
        <v>35.299999999999997</v>
      </c>
      <c r="D70" s="27">
        <v>290.10000000000002</v>
      </c>
      <c r="E70" s="25">
        <v>325.39999999999998</v>
      </c>
      <c r="F70" s="25">
        <v>0</v>
      </c>
      <c r="G70" s="29">
        <v>24</v>
      </c>
      <c r="H70" s="27">
        <v>0</v>
      </c>
      <c r="I70" s="29">
        <v>314</v>
      </c>
      <c r="J70" s="29">
        <v>111902</v>
      </c>
      <c r="K70" s="29">
        <v>13131</v>
      </c>
      <c r="L70" s="29">
        <v>125033</v>
      </c>
      <c r="M70" s="29">
        <v>19631</v>
      </c>
      <c r="N70" s="29">
        <v>21989</v>
      </c>
      <c r="O70" s="29">
        <v>0</v>
      </c>
      <c r="P70" s="29">
        <v>11860</v>
      </c>
      <c r="Q70" s="29">
        <v>1409</v>
      </c>
      <c r="R70" s="29">
        <v>179922</v>
      </c>
      <c r="S70" s="29">
        <v>30547</v>
      </c>
      <c r="T70" s="29">
        <v>149375</v>
      </c>
      <c r="U70" s="29">
        <v>68628</v>
      </c>
      <c r="V70" s="29">
        <v>80747</v>
      </c>
    </row>
    <row r="71" spans="1:22" x14ac:dyDescent="0.2">
      <c r="A71" s="20" t="s">
        <v>148</v>
      </c>
      <c r="B71" s="20" t="s">
        <v>544</v>
      </c>
      <c r="C71" s="25">
        <v>360.18</v>
      </c>
      <c r="D71" s="27">
        <v>2937.9</v>
      </c>
      <c r="E71" s="25">
        <v>3298.08</v>
      </c>
      <c r="F71" s="25">
        <v>3.81</v>
      </c>
      <c r="G71" s="29">
        <v>34</v>
      </c>
      <c r="H71" s="27">
        <v>0</v>
      </c>
      <c r="I71" s="29">
        <v>2972</v>
      </c>
      <c r="J71" s="29">
        <v>1098195</v>
      </c>
      <c r="K71" s="29">
        <v>0</v>
      </c>
      <c r="L71" s="29">
        <v>1098195</v>
      </c>
      <c r="M71" s="29">
        <v>184740</v>
      </c>
      <c r="N71" s="29">
        <v>203077</v>
      </c>
      <c r="O71" s="29">
        <v>1269</v>
      </c>
      <c r="P71" s="29">
        <v>103955</v>
      </c>
      <c r="Q71" s="29">
        <v>12104</v>
      </c>
      <c r="R71" s="29">
        <v>1603340</v>
      </c>
      <c r="S71" s="29">
        <v>71853</v>
      </c>
      <c r="T71" s="29">
        <v>1531487</v>
      </c>
      <c r="U71" s="29">
        <v>915905</v>
      </c>
      <c r="V71" s="29">
        <v>615582</v>
      </c>
    </row>
    <row r="72" spans="1:22" x14ac:dyDescent="0.2">
      <c r="A72" s="20" t="s">
        <v>75</v>
      </c>
      <c r="B72" s="20" t="s">
        <v>475</v>
      </c>
      <c r="C72" s="25">
        <v>145.18</v>
      </c>
      <c r="D72" s="27">
        <v>1173.0999999999999</v>
      </c>
      <c r="E72" s="25">
        <v>1318.28</v>
      </c>
      <c r="F72" s="25">
        <v>1.66</v>
      </c>
      <c r="G72" s="29">
        <v>61</v>
      </c>
      <c r="H72" s="27">
        <v>0</v>
      </c>
      <c r="I72" s="29">
        <v>1234</v>
      </c>
      <c r="J72" s="29">
        <v>444603</v>
      </c>
      <c r="K72" s="29">
        <v>10822</v>
      </c>
      <c r="L72" s="29">
        <v>455425</v>
      </c>
      <c r="M72" s="29">
        <v>77088</v>
      </c>
      <c r="N72" s="29">
        <v>85948</v>
      </c>
      <c r="O72" s="29">
        <v>560</v>
      </c>
      <c r="P72" s="29">
        <v>54972</v>
      </c>
      <c r="Q72" s="29">
        <v>6328</v>
      </c>
      <c r="R72" s="29">
        <v>680321</v>
      </c>
      <c r="S72" s="29">
        <v>91771</v>
      </c>
      <c r="T72" s="29">
        <v>588550</v>
      </c>
      <c r="U72" s="29">
        <v>317993</v>
      </c>
      <c r="V72" s="29">
        <v>270557</v>
      </c>
    </row>
    <row r="73" spans="1:22" x14ac:dyDescent="0.2">
      <c r="A73" s="20" t="s">
        <v>126</v>
      </c>
      <c r="B73" s="20" t="s">
        <v>523</v>
      </c>
      <c r="C73" s="25">
        <v>814.18</v>
      </c>
      <c r="D73" s="27">
        <v>3604.2</v>
      </c>
      <c r="E73" s="25">
        <v>4418.38</v>
      </c>
      <c r="F73" s="25">
        <v>0</v>
      </c>
      <c r="G73" s="29">
        <v>163</v>
      </c>
      <c r="H73" s="27">
        <v>0</v>
      </c>
      <c r="I73" s="29">
        <v>3767</v>
      </c>
      <c r="J73" s="29">
        <v>1479715</v>
      </c>
      <c r="K73" s="29">
        <v>0</v>
      </c>
      <c r="L73" s="29">
        <v>1479715</v>
      </c>
      <c r="M73" s="29">
        <v>233479</v>
      </c>
      <c r="N73" s="29">
        <v>255139</v>
      </c>
      <c r="O73" s="29">
        <v>0</v>
      </c>
      <c r="P73" s="29">
        <v>135954</v>
      </c>
      <c r="Q73" s="29">
        <v>15950</v>
      </c>
      <c r="R73" s="29">
        <v>2120237</v>
      </c>
      <c r="S73" s="29">
        <v>287940</v>
      </c>
      <c r="T73" s="29">
        <v>1832297</v>
      </c>
      <c r="U73" s="29">
        <v>1030416</v>
      </c>
      <c r="V73" s="29">
        <v>801881</v>
      </c>
    </row>
    <row r="74" spans="1:22" x14ac:dyDescent="0.2">
      <c r="A74" s="20" t="s">
        <v>186</v>
      </c>
      <c r="B74" s="20" t="s">
        <v>579</v>
      </c>
      <c r="C74" s="25">
        <v>105.81</v>
      </c>
      <c r="D74" s="27">
        <v>707.2</v>
      </c>
      <c r="E74" s="25">
        <v>813.01</v>
      </c>
      <c r="F74" s="25">
        <v>0</v>
      </c>
      <c r="G74" s="29">
        <v>8</v>
      </c>
      <c r="H74" s="27">
        <v>0</v>
      </c>
      <c r="I74" s="29">
        <v>715</v>
      </c>
      <c r="J74" s="29">
        <v>264944</v>
      </c>
      <c r="K74" s="29">
        <v>0</v>
      </c>
      <c r="L74" s="29">
        <v>264944</v>
      </c>
      <c r="M74" s="29">
        <v>44359</v>
      </c>
      <c r="N74" s="29">
        <v>48727</v>
      </c>
      <c r="O74" s="29">
        <v>0</v>
      </c>
      <c r="P74" s="29">
        <v>22561</v>
      </c>
      <c r="Q74" s="29">
        <v>2829</v>
      </c>
      <c r="R74" s="29">
        <v>383420</v>
      </c>
      <c r="S74" s="29">
        <v>54115</v>
      </c>
      <c r="T74" s="29">
        <v>329305</v>
      </c>
      <c r="U74" s="29">
        <v>185910</v>
      </c>
      <c r="V74" s="29">
        <v>143395</v>
      </c>
    </row>
    <row r="75" spans="1:22" x14ac:dyDescent="0.2">
      <c r="A75" s="20" t="s">
        <v>149</v>
      </c>
      <c r="B75" s="20" t="s">
        <v>545</v>
      </c>
      <c r="C75" s="25">
        <v>635.92999999999995</v>
      </c>
      <c r="D75" s="27">
        <v>5147.8999999999996</v>
      </c>
      <c r="E75" s="25">
        <v>5783.83</v>
      </c>
      <c r="F75" s="25">
        <v>6.69</v>
      </c>
      <c r="G75" s="29">
        <v>130</v>
      </c>
      <c r="H75" s="27">
        <v>0</v>
      </c>
      <c r="I75" s="29">
        <v>5278</v>
      </c>
      <c r="J75" s="29">
        <v>1925900</v>
      </c>
      <c r="K75" s="29">
        <v>0</v>
      </c>
      <c r="L75" s="29">
        <v>1925900</v>
      </c>
      <c r="M75" s="29">
        <v>328080</v>
      </c>
      <c r="N75" s="29">
        <v>360646</v>
      </c>
      <c r="O75" s="29">
        <v>2228</v>
      </c>
      <c r="P75" s="29">
        <v>182306</v>
      </c>
      <c r="Q75" s="29">
        <v>21227</v>
      </c>
      <c r="R75" s="29">
        <v>2820387</v>
      </c>
      <c r="S75" s="29">
        <v>187174</v>
      </c>
      <c r="T75" s="29">
        <v>2633213</v>
      </c>
      <c r="U75" s="29">
        <v>1545056</v>
      </c>
      <c r="V75" s="29">
        <v>1088157</v>
      </c>
    </row>
    <row r="76" spans="1:22" x14ac:dyDescent="0.2">
      <c r="A76" s="20" t="s">
        <v>187</v>
      </c>
      <c r="B76" s="20" t="s">
        <v>580</v>
      </c>
      <c r="C76" s="25">
        <v>63.48</v>
      </c>
      <c r="D76" s="27">
        <v>463.9</v>
      </c>
      <c r="E76" s="25">
        <v>527.38</v>
      </c>
      <c r="F76" s="25">
        <v>0</v>
      </c>
      <c r="G76" s="29">
        <v>5</v>
      </c>
      <c r="H76" s="27">
        <v>0</v>
      </c>
      <c r="I76" s="29">
        <v>469</v>
      </c>
      <c r="J76" s="29">
        <v>171863</v>
      </c>
      <c r="K76" s="29">
        <v>0</v>
      </c>
      <c r="L76" s="29">
        <v>171863</v>
      </c>
      <c r="M76" s="29">
        <v>29097</v>
      </c>
      <c r="N76" s="29">
        <v>31962</v>
      </c>
      <c r="O76" s="29">
        <v>0</v>
      </c>
      <c r="P76" s="29">
        <v>14635</v>
      </c>
      <c r="Q76" s="29">
        <v>1835</v>
      </c>
      <c r="R76" s="29">
        <v>249392</v>
      </c>
      <c r="S76" s="29">
        <v>31489</v>
      </c>
      <c r="T76" s="29">
        <v>217903</v>
      </c>
      <c r="U76" s="29">
        <v>124209</v>
      </c>
      <c r="V76" s="29">
        <v>93694</v>
      </c>
    </row>
    <row r="77" spans="1:22" x14ac:dyDescent="0.2">
      <c r="A77" s="20" t="s">
        <v>188</v>
      </c>
      <c r="B77" s="20" t="s">
        <v>581</v>
      </c>
      <c r="C77" s="25">
        <v>55.76</v>
      </c>
      <c r="D77" s="27">
        <v>452.9</v>
      </c>
      <c r="E77" s="25">
        <v>508.66</v>
      </c>
      <c r="F77" s="25">
        <v>0</v>
      </c>
      <c r="G77" s="29">
        <v>0</v>
      </c>
      <c r="H77" s="27">
        <v>0</v>
      </c>
      <c r="I77" s="29">
        <v>453</v>
      </c>
      <c r="J77" s="29">
        <v>165762</v>
      </c>
      <c r="K77" s="29">
        <v>963</v>
      </c>
      <c r="L77" s="29">
        <v>166725</v>
      </c>
      <c r="M77" s="29">
        <v>28104</v>
      </c>
      <c r="N77" s="29">
        <v>30872</v>
      </c>
      <c r="O77" s="29">
        <v>0</v>
      </c>
      <c r="P77" s="29">
        <v>14115</v>
      </c>
      <c r="Q77" s="29">
        <v>1770</v>
      </c>
      <c r="R77" s="29">
        <v>241586</v>
      </c>
      <c r="S77" s="29">
        <v>34999</v>
      </c>
      <c r="T77" s="29">
        <v>206587</v>
      </c>
      <c r="U77" s="29">
        <v>115172</v>
      </c>
      <c r="V77" s="29">
        <v>91415</v>
      </c>
    </row>
    <row r="78" spans="1:22" x14ac:dyDescent="0.2">
      <c r="A78" s="20" t="s">
        <v>127</v>
      </c>
      <c r="B78" s="20" t="s">
        <v>524</v>
      </c>
      <c r="C78" s="25">
        <v>105.21</v>
      </c>
      <c r="D78" s="27">
        <v>741.9</v>
      </c>
      <c r="E78" s="25">
        <v>847.11</v>
      </c>
      <c r="F78" s="25">
        <v>0</v>
      </c>
      <c r="G78" s="29">
        <v>0</v>
      </c>
      <c r="H78" s="27">
        <v>0</v>
      </c>
      <c r="I78" s="29">
        <v>742</v>
      </c>
      <c r="J78" s="29">
        <v>283697</v>
      </c>
      <c r="K78" s="29">
        <v>15376</v>
      </c>
      <c r="L78" s="29">
        <v>299073</v>
      </c>
      <c r="M78" s="29">
        <v>45989</v>
      </c>
      <c r="N78" s="29">
        <v>50256</v>
      </c>
      <c r="O78" s="29">
        <v>0</v>
      </c>
      <c r="P78" s="29">
        <v>26075</v>
      </c>
      <c r="Q78" s="29">
        <v>3058</v>
      </c>
      <c r="R78" s="29">
        <v>424451</v>
      </c>
      <c r="S78" s="29">
        <v>63439</v>
      </c>
      <c r="T78" s="29">
        <v>361012</v>
      </c>
      <c r="U78" s="29">
        <v>189331</v>
      </c>
      <c r="V78" s="29">
        <v>171681</v>
      </c>
    </row>
    <row r="79" spans="1:22" x14ac:dyDescent="0.2">
      <c r="A79" s="20" t="s">
        <v>189</v>
      </c>
      <c r="B79" s="20" t="s">
        <v>582</v>
      </c>
      <c r="C79" s="25">
        <v>74.69</v>
      </c>
      <c r="D79" s="27">
        <v>425</v>
      </c>
      <c r="E79" s="25">
        <v>499.69</v>
      </c>
      <c r="F79" s="25">
        <v>0</v>
      </c>
      <c r="G79" s="29">
        <v>1</v>
      </c>
      <c r="H79" s="27">
        <v>0</v>
      </c>
      <c r="I79" s="29">
        <v>426</v>
      </c>
      <c r="J79" s="29">
        <v>162839</v>
      </c>
      <c r="K79" s="29">
        <v>0</v>
      </c>
      <c r="L79" s="29">
        <v>162839</v>
      </c>
      <c r="M79" s="29">
        <v>26429</v>
      </c>
      <c r="N79" s="29">
        <v>29032</v>
      </c>
      <c r="O79" s="29">
        <v>0</v>
      </c>
      <c r="P79" s="29">
        <v>13866</v>
      </c>
      <c r="Q79" s="29">
        <v>1739</v>
      </c>
      <c r="R79" s="29">
        <v>233905</v>
      </c>
      <c r="S79" s="29">
        <v>31819</v>
      </c>
      <c r="T79" s="29">
        <v>202086</v>
      </c>
      <c r="U79" s="29">
        <v>115704</v>
      </c>
      <c r="V79" s="29">
        <v>86382</v>
      </c>
    </row>
    <row r="80" spans="1:22" x14ac:dyDescent="0.2">
      <c r="A80" s="20" t="s">
        <v>273</v>
      </c>
      <c r="B80" s="20" t="s">
        <v>661</v>
      </c>
      <c r="C80" s="25">
        <v>47.11</v>
      </c>
      <c r="D80" s="27">
        <v>382.1</v>
      </c>
      <c r="E80" s="25">
        <v>429.21</v>
      </c>
      <c r="F80" s="25">
        <v>0.9</v>
      </c>
      <c r="G80" s="29">
        <v>2</v>
      </c>
      <c r="H80" s="27">
        <v>0</v>
      </c>
      <c r="I80" s="29">
        <v>384</v>
      </c>
      <c r="J80" s="29">
        <v>143330</v>
      </c>
      <c r="K80" s="29">
        <v>8220</v>
      </c>
      <c r="L80" s="29">
        <v>151550</v>
      </c>
      <c r="M80" s="29">
        <v>23873</v>
      </c>
      <c r="N80" s="29">
        <v>26392</v>
      </c>
      <c r="O80" s="29">
        <v>301</v>
      </c>
      <c r="P80" s="29">
        <v>15355</v>
      </c>
      <c r="Q80" s="29">
        <v>1651</v>
      </c>
      <c r="R80" s="29">
        <v>219122</v>
      </c>
      <c r="S80" s="29">
        <v>38021</v>
      </c>
      <c r="T80" s="29">
        <v>181101</v>
      </c>
      <c r="U80" s="29">
        <v>92534</v>
      </c>
      <c r="V80" s="29">
        <v>88567</v>
      </c>
    </row>
    <row r="81" spans="1:22" x14ac:dyDescent="0.2">
      <c r="A81" s="20" t="s">
        <v>274</v>
      </c>
      <c r="B81" s="20" t="s">
        <v>662</v>
      </c>
      <c r="C81" s="25">
        <v>2229.31</v>
      </c>
      <c r="D81" s="27">
        <v>8707.7000000000007</v>
      </c>
      <c r="E81" s="25">
        <v>10937.01</v>
      </c>
      <c r="F81" s="25">
        <v>22.93</v>
      </c>
      <c r="G81" s="29">
        <v>436</v>
      </c>
      <c r="H81" s="27">
        <v>2.2000000000000002</v>
      </c>
      <c r="I81" s="29">
        <v>9142</v>
      </c>
      <c r="J81" s="29">
        <v>3652305</v>
      </c>
      <c r="K81" s="29">
        <v>0</v>
      </c>
      <c r="L81" s="29">
        <v>3652305</v>
      </c>
      <c r="M81" s="29">
        <v>568358</v>
      </c>
      <c r="N81" s="29">
        <v>628330</v>
      </c>
      <c r="O81" s="29">
        <v>7657</v>
      </c>
      <c r="P81" s="29">
        <v>375030</v>
      </c>
      <c r="Q81" s="29">
        <v>40467</v>
      </c>
      <c r="R81" s="29">
        <v>5272147</v>
      </c>
      <c r="S81" s="29">
        <v>592105</v>
      </c>
      <c r="T81" s="29">
        <v>4680042</v>
      </c>
      <c r="U81" s="29">
        <v>2716816</v>
      </c>
      <c r="V81" s="29">
        <v>1963226</v>
      </c>
    </row>
    <row r="82" spans="1:22" x14ac:dyDescent="0.2">
      <c r="A82" s="20" t="s">
        <v>275</v>
      </c>
      <c r="B82" s="20" t="s">
        <v>663</v>
      </c>
      <c r="C82" s="25">
        <v>190.88</v>
      </c>
      <c r="D82" s="27">
        <v>1397</v>
      </c>
      <c r="E82" s="25">
        <v>1587.88</v>
      </c>
      <c r="F82" s="25">
        <v>3.33</v>
      </c>
      <c r="G82" s="29">
        <v>107</v>
      </c>
      <c r="H82" s="27">
        <v>0.1</v>
      </c>
      <c r="I82" s="29">
        <v>1504</v>
      </c>
      <c r="J82" s="29">
        <v>530257</v>
      </c>
      <c r="K82" s="29">
        <v>0</v>
      </c>
      <c r="L82" s="29">
        <v>530257</v>
      </c>
      <c r="M82" s="29">
        <v>93504</v>
      </c>
      <c r="N82" s="29">
        <v>103370</v>
      </c>
      <c r="O82" s="29">
        <v>1112</v>
      </c>
      <c r="P82" s="29">
        <v>54448</v>
      </c>
      <c r="Q82" s="29">
        <v>5875</v>
      </c>
      <c r="R82" s="29">
        <v>788566</v>
      </c>
      <c r="S82" s="29">
        <v>96962</v>
      </c>
      <c r="T82" s="29">
        <v>691604</v>
      </c>
      <c r="U82" s="29">
        <v>383440</v>
      </c>
      <c r="V82" s="29">
        <v>308164</v>
      </c>
    </row>
    <row r="83" spans="1:22" x14ac:dyDescent="0.2">
      <c r="A83" s="20" t="s">
        <v>190</v>
      </c>
      <c r="B83" s="20" t="s">
        <v>583</v>
      </c>
      <c r="C83" s="25">
        <v>383.09</v>
      </c>
      <c r="D83" s="27">
        <v>3478</v>
      </c>
      <c r="E83" s="25">
        <v>3861.09</v>
      </c>
      <c r="F83" s="25">
        <v>0</v>
      </c>
      <c r="G83" s="29">
        <v>82</v>
      </c>
      <c r="H83" s="27">
        <v>0</v>
      </c>
      <c r="I83" s="29">
        <v>3560</v>
      </c>
      <c r="J83" s="29">
        <v>1258252</v>
      </c>
      <c r="K83" s="29">
        <v>0</v>
      </c>
      <c r="L83" s="29">
        <v>1258252</v>
      </c>
      <c r="M83" s="29">
        <v>220862</v>
      </c>
      <c r="N83" s="29">
        <v>242614</v>
      </c>
      <c r="O83" s="29">
        <v>0</v>
      </c>
      <c r="P83" s="29">
        <v>107145</v>
      </c>
      <c r="Q83" s="29">
        <v>13437</v>
      </c>
      <c r="R83" s="29">
        <v>1842310</v>
      </c>
      <c r="S83" s="29">
        <v>84902</v>
      </c>
      <c r="T83" s="29">
        <v>1757408</v>
      </c>
      <c r="U83" s="29">
        <v>1055008</v>
      </c>
      <c r="V83" s="29">
        <v>702400</v>
      </c>
    </row>
    <row r="84" spans="1:22" x14ac:dyDescent="0.2">
      <c r="A84" s="20" t="s">
        <v>315</v>
      </c>
      <c r="B84" s="20" t="s">
        <v>702</v>
      </c>
      <c r="C84" s="25">
        <v>44.69</v>
      </c>
      <c r="D84" s="27">
        <v>432.4</v>
      </c>
      <c r="E84" s="25">
        <v>477.09</v>
      </c>
      <c r="F84" s="25">
        <v>1.1200000000000001</v>
      </c>
      <c r="G84" s="29">
        <v>9</v>
      </c>
      <c r="H84" s="27">
        <v>0</v>
      </c>
      <c r="I84" s="29">
        <v>441</v>
      </c>
      <c r="J84" s="29">
        <v>158060</v>
      </c>
      <c r="K84" s="29">
        <v>15050</v>
      </c>
      <c r="L84" s="29">
        <v>173110</v>
      </c>
      <c r="M84" s="29">
        <v>27404</v>
      </c>
      <c r="N84" s="29">
        <v>30120</v>
      </c>
      <c r="O84" s="29">
        <v>371</v>
      </c>
      <c r="P84" s="29">
        <v>16725</v>
      </c>
      <c r="Q84" s="29">
        <v>1828</v>
      </c>
      <c r="R84" s="29">
        <v>249558</v>
      </c>
      <c r="S84" s="29">
        <v>27274</v>
      </c>
      <c r="T84" s="29">
        <v>222284</v>
      </c>
      <c r="U84" s="29">
        <v>117526</v>
      </c>
      <c r="V84" s="29">
        <v>104758</v>
      </c>
    </row>
    <row r="85" spans="1:22" x14ac:dyDescent="0.2">
      <c r="A85" s="20" t="s">
        <v>128</v>
      </c>
      <c r="B85" s="20" t="s">
        <v>525</v>
      </c>
      <c r="C85" s="25">
        <v>2410.86</v>
      </c>
      <c r="D85" s="27">
        <v>14164.5</v>
      </c>
      <c r="E85" s="25">
        <v>16575.36</v>
      </c>
      <c r="F85" s="25">
        <v>0</v>
      </c>
      <c r="G85" s="29">
        <v>1650</v>
      </c>
      <c r="H85" s="27">
        <v>2.2000000000000002</v>
      </c>
      <c r="I85" s="29">
        <v>15812</v>
      </c>
      <c r="J85" s="29">
        <v>5551088</v>
      </c>
      <c r="K85" s="29">
        <v>51920</v>
      </c>
      <c r="L85" s="29">
        <v>5603008</v>
      </c>
      <c r="M85" s="29">
        <v>980028</v>
      </c>
      <c r="N85" s="29">
        <v>1070947</v>
      </c>
      <c r="O85" s="29">
        <v>0</v>
      </c>
      <c r="P85" s="29">
        <v>510024</v>
      </c>
      <c r="Q85" s="29">
        <v>59837</v>
      </c>
      <c r="R85" s="29">
        <v>8223844</v>
      </c>
      <c r="S85" s="29">
        <v>1050693</v>
      </c>
      <c r="T85" s="29">
        <v>7173151</v>
      </c>
      <c r="U85" s="29">
        <v>3895063</v>
      </c>
      <c r="V85" s="29">
        <v>3278088</v>
      </c>
    </row>
    <row r="86" spans="1:22" x14ac:dyDescent="0.2">
      <c r="A86" s="20" t="s">
        <v>316</v>
      </c>
      <c r="B86" s="20" t="s">
        <v>703</v>
      </c>
      <c r="C86" s="25">
        <v>125.13</v>
      </c>
      <c r="D86" s="27">
        <v>1148.7</v>
      </c>
      <c r="E86" s="25">
        <v>1273.83</v>
      </c>
      <c r="F86" s="25">
        <v>2.99</v>
      </c>
      <c r="G86" s="29">
        <v>4</v>
      </c>
      <c r="H86" s="27">
        <v>0</v>
      </c>
      <c r="I86" s="29">
        <v>1153</v>
      </c>
      <c r="J86" s="29">
        <v>422020</v>
      </c>
      <c r="K86" s="29">
        <v>0</v>
      </c>
      <c r="L86" s="29">
        <v>422020</v>
      </c>
      <c r="M86" s="29">
        <v>71647</v>
      </c>
      <c r="N86" s="29">
        <v>78750</v>
      </c>
      <c r="O86" s="29">
        <v>991</v>
      </c>
      <c r="P86" s="29">
        <v>42419</v>
      </c>
      <c r="Q86" s="29">
        <v>4649</v>
      </c>
      <c r="R86" s="29">
        <v>620476</v>
      </c>
      <c r="S86" s="29">
        <v>74041</v>
      </c>
      <c r="T86" s="29">
        <v>546435</v>
      </c>
      <c r="U86" s="29">
        <v>310107</v>
      </c>
      <c r="V86" s="29">
        <v>236328</v>
      </c>
    </row>
    <row r="87" spans="1:22" x14ac:dyDescent="0.2">
      <c r="A87" s="20" t="s">
        <v>4</v>
      </c>
      <c r="B87" s="20" t="s">
        <v>414</v>
      </c>
      <c r="C87" s="25">
        <v>176.01</v>
      </c>
      <c r="D87" s="27">
        <v>1522.6</v>
      </c>
      <c r="E87" s="25">
        <v>1698.61</v>
      </c>
      <c r="F87" s="25">
        <v>4.54</v>
      </c>
      <c r="G87" s="29">
        <v>132</v>
      </c>
      <c r="H87" s="27">
        <v>0.2</v>
      </c>
      <c r="I87" s="29">
        <v>1654</v>
      </c>
      <c r="J87" s="29">
        <v>591354</v>
      </c>
      <c r="K87" s="29">
        <v>0</v>
      </c>
      <c r="L87" s="29">
        <v>591354</v>
      </c>
      <c r="M87" s="29">
        <v>103276</v>
      </c>
      <c r="N87" s="29">
        <v>115052</v>
      </c>
      <c r="O87" s="29">
        <v>1581</v>
      </c>
      <c r="P87" s="29">
        <v>58551</v>
      </c>
      <c r="Q87" s="29">
        <v>6353</v>
      </c>
      <c r="R87" s="29">
        <v>876167</v>
      </c>
      <c r="S87" s="29">
        <v>121901</v>
      </c>
      <c r="T87" s="29">
        <v>754266</v>
      </c>
      <c r="U87" s="29">
        <v>392635</v>
      </c>
      <c r="V87" s="29">
        <v>361631</v>
      </c>
    </row>
    <row r="88" spans="1:22" x14ac:dyDescent="0.2">
      <c r="A88" s="20" t="s">
        <v>129</v>
      </c>
      <c r="B88" s="20" t="s">
        <v>526</v>
      </c>
      <c r="C88" s="25">
        <v>26.51</v>
      </c>
      <c r="D88" s="27">
        <v>200</v>
      </c>
      <c r="E88" s="25">
        <v>226.51</v>
      </c>
      <c r="F88" s="25">
        <v>0</v>
      </c>
      <c r="G88" s="29">
        <v>0</v>
      </c>
      <c r="H88" s="27">
        <v>0</v>
      </c>
      <c r="I88" s="29">
        <v>200</v>
      </c>
      <c r="J88" s="29">
        <v>75858</v>
      </c>
      <c r="K88" s="29">
        <v>0</v>
      </c>
      <c r="L88" s="29">
        <v>75858</v>
      </c>
      <c r="M88" s="29">
        <v>12396</v>
      </c>
      <c r="N88" s="29">
        <v>13546</v>
      </c>
      <c r="O88" s="29">
        <v>0</v>
      </c>
      <c r="P88" s="29">
        <v>6970</v>
      </c>
      <c r="Q88" s="29">
        <v>818</v>
      </c>
      <c r="R88" s="29">
        <v>109588</v>
      </c>
      <c r="S88" s="29">
        <v>17235</v>
      </c>
      <c r="T88" s="29">
        <v>92353</v>
      </c>
      <c r="U88" s="29">
        <v>50352</v>
      </c>
      <c r="V88" s="29">
        <v>42001</v>
      </c>
    </row>
    <row r="89" spans="1:22" x14ac:dyDescent="0.2">
      <c r="A89" s="20" t="s">
        <v>236</v>
      </c>
      <c r="B89" s="20" t="s">
        <v>626</v>
      </c>
      <c r="C89" s="25">
        <v>286.70999999999998</v>
      </c>
      <c r="D89" s="27">
        <v>2026.3</v>
      </c>
      <c r="E89" s="25">
        <v>2313.0100000000002</v>
      </c>
      <c r="F89" s="25">
        <v>4.45</v>
      </c>
      <c r="G89" s="29">
        <v>135</v>
      </c>
      <c r="H89" s="27">
        <v>0</v>
      </c>
      <c r="I89" s="29">
        <v>2161</v>
      </c>
      <c r="J89" s="29">
        <v>787626</v>
      </c>
      <c r="K89" s="29">
        <v>0</v>
      </c>
      <c r="L89" s="29">
        <v>787626</v>
      </c>
      <c r="M89" s="29">
        <v>134954</v>
      </c>
      <c r="N89" s="29">
        <v>151119</v>
      </c>
      <c r="O89" s="29">
        <v>1515</v>
      </c>
      <c r="P89" s="29">
        <v>79359</v>
      </c>
      <c r="Q89" s="29">
        <v>9460</v>
      </c>
      <c r="R89" s="29">
        <v>1164033</v>
      </c>
      <c r="S89" s="29">
        <v>102409</v>
      </c>
      <c r="T89" s="29">
        <v>1061624</v>
      </c>
      <c r="U89" s="29">
        <v>598219</v>
      </c>
      <c r="V89" s="29">
        <v>463405</v>
      </c>
    </row>
    <row r="90" spans="1:22" x14ac:dyDescent="0.2">
      <c r="A90" s="20" t="s">
        <v>76</v>
      </c>
      <c r="B90" s="20" t="s">
        <v>476</v>
      </c>
      <c r="C90" s="25">
        <v>82.24</v>
      </c>
      <c r="D90" s="27">
        <v>862.9</v>
      </c>
      <c r="E90" s="25">
        <v>945.14</v>
      </c>
      <c r="F90" s="25">
        <v>1.19</v>
      </c>
      <c r="G90" s="29">
        <v>9</v>
      </c>
      <c r="H90" s="27">
        <v>0</v>
      </c>
      <c r="I90" s="29">
        <v>872</v>
      </c>
      <c r="J90" s="29">
        <v>318758</v>
      </c>
      <c r="K90" s="29">
        <v>0</v>
      </c>
      <c r="L90" s="29">
        <v>318758</v>
      </c>
      <c r="M90" s="29">
        <v>54474</v>
      </c>
      <c r="N90" s="29">
        <v>60735</v>
      </c>
      <c r="O90" s="29">
        <v>401</v>
      </c>
      <c r="P90" s="29">
        <v>39412</v>
      </c>
      <c r="Q90" s="29">
        <v>4537</v>
      </c>
      <c r="R90" s="29">
        <v>478317</v>
      </c>
      <c r="S90" s="29">
        <v>43052</v>
      </c>
      <c r="T90" s="29">
        <v>435265</v>
      </c>
      <c r="U90" s="29">
        <v>250728</v>
      </c>
      <c r="V90" s="29">
        <v>184537</v>
      </c>
    </row>
    <row r="91" spans="1:22" x14ac:dyDescent="0.2">
      <c r="A91" s="20" t="s">
        <v>191</v>
      </c>
      <c r="B91" s="20" t="s">
        <v>584</v>
      </c>
      <c r="C91" s="25">
        <v>5621.51</v>
      </c>
      <c r="D91" s="27">
        <v>30773.9</v>
      </c>
      <c r="E91" s="25">
        <v>36395.410000000003</v>
      </c>
      <c r="F91" s="25">
        <v>0</v>
      </c>
      <c r="G91" s="29">
        <v>2593</v>
      </c>
      <c r="H91" s="27">
        <v>46</v>
      </c>
      <c r="I91" s="29">
        <v>33321</v>
      </c>
      <c r="J91" s="29">
        <v>11860536</v>
      </c>
      <c r="K91" s="29">
        <v>0</v>
      </c>
      <c r="L91" s="29">
        <v>11860536</v>
      </c>
      <c r="M91" s="29">
        <v>2067235</v>
      </c>
      <c r="N91" s="29">
        <v>2270826</v>
      </c>
      <c r="O91" s="29">
        <v>0</v>
      </c>
      <c r="P91" s="29">
        <v>1009973</v>
      </c>
      <c r="Q91" s="29">
        <v>126656</v>
      </c>
      <c r="R91" s="29">
        <v>17335226</v>
      </c>
      <c r="S91" s="29">
        <v>1977056</v>
      </c>
      <c r="T91" s="29">
        <v>15358170</v>
      </c>
      <c r="U91" s="29">
        <v>8767961</v>
      </c>
      <c r="V91" s="29">
        <v>6590209</v>
      </c>
    </row>
    <row r="92" spans="1:22" x14ac:dyDescent="0.2">
      <c r="A92" s="20" t="s">
        <v>276</v>
      </c>
      <c r="B92" s="20" t="s">
        <v>664</v>
      </c>
      <c r="C92" s="25">
        <v>13.83</v>
      </c>
      <c r="D92" s="27">
        <v>112</v>
      </c>
      <c r="E92" s="25">
        <v>125.83</v>
      </c>
      <c r="F92" s="25">
        <v>0.26</v>
      </c>
      <c r="G92" s="29">
        <v>0</v>
      </c>
      <c r="H92" s="27">
        <v>0</v>
      </c>
      <c r="I92" s="29">
        <v>112</v>
      </c>
      <c r="J92" s="29">
        <v>42020</v>
      </c>
      <c r="K92" s="29">
        <v>0</v>
      </c>
      <c r="L92" s="29">
        <v>42020</v>
      </c>
      <c r="M92" s="29">
        <v>6963</v>
      </c>
      <c r="N92" s="29">
        <v>7698</v>
      </c>
      <c r="O92" s="29">
        <v>87</v>
      </c>
      <c r="P92" s="29">
        <v>4315</v>
      </c>
      <c r="Q92" s="29">
        <v>466</v>
      </c>
      <c r="R92" s="29">
        <v>61549</v>
      </c>
      <c r="S92" s="29">
        <v>8451</v>
      </c>
      <c r="T92" s="29">
        <v>53098</v>
      </c>
      <c r="U92" s="29">
        <v>29618</v>
      </c>
      <c r="V92" s="29">
        <v>23480</v>
      </c>
    </row>
    <row r="93" spans="1:22" x14ac:dyDescent="0.2">
      <c r="A93" s="20" t="s">
        <v>77</v>
      </c>
      <c r="B93" s="20" t="s">
        <v>477</v>
      </c>
      <c r="C93" s="25">
        <v>110.58</v>
      </c>
      <c r="D93" s="27">
        <v>876.2</v>
      </c>
      <c r="E93" s="25">
        <v>986.78</v>
      </c>
      <c r="F93" s="25">
        <v>1.24</v>
      </c>
      <c r="G93" s="29">
        <v>13</v>
      </c>
      <c r="H93" s="27">
        <v>0</v>
      </c>
      <c r="I93" s="29">
        <v>889</v>
      </c>
      <c r="J93" s="29">
        <v>332801</v>
      </c>
      <c r="K93" s="29">
        <v>0</v>
      </c>
      <c r="L93" s="29">
        <v>332801</v>
      </c>
      <c r="M93" s="29">
        <v>55536</v>
      </c>
      <c r="N93" s="29">
        <v>61919</v>
      </c>
      <c r="O93" s="29">
        <v>418</v>
      </c>
      <c r="P93" s="29">
        <v>41149</v>
      </c>
      <c r="Q93" s="29">
        <v>4737</v>
      </c>
      <c r="R93" s="29">
        <v>496560</v>
      </c>
      <c r="S93" s="29">
        <v>47622</v>
      </c>
      <c r="T93" s="29">
        <v>448938</v>
      </c>
      <c r="U93" s="29">
        <v>259101</v>
      </c>
      <c r="V93" s="29">
        <v>189837</v>
      </c>
    </row>
    <row r="94" spans="1:22" x14ac:dyDescent="0.2">
      <c r="A94" s="20" t="s">
        <v>5</v>
      </c>
      <c r="B94" s="20" t="s">
        <v>415</v>
      </c>
      <c r="C94" s="25">
        <v>1945.01</v>
      </c>
      <c r="D94" s="27">
        <v>10064.1</v>
      </c>
      <c r="E94" s="25">
        <v>12009.11</v>
      </c>
      <c r="F94" s="25">
        <v>32.119999999999997</v>
      </c>
      <c r="G94" s="29">
        <v>1680</v>
      </c>
      <c r="H94" s="27">
        <v>4.2</v>
      </c>
      <c r="I94" s="29">
        <v>11740</v>
      </c>
      <c r="J94" s="29">
        <v>4180852</v>
      </c>
      <c r="K94" s="29">
        <v>0</v>
      </c>
      <c r="L94" s="29">
        <v>4180852</v>
      </c>
      <c r="M94" s="29">
        <v>733046</v>
      </c>
      <c r="N94" s="29">
        <v>816634</v>
      </c>
      <c r="O94" s="29">
        <v>11182</v>
      </c>
      <c r="P94" s="29">
        <v>413954</v>
      </c>
      <c r="Q94" s="29">
        <v>44914</v>
      </c>
      <c r="R94" s="29">
        <v>6200582</v>
      </c>
      <c r="S94" s="29">
        <v>675758</v>
      </c>
      <c r="T94" s="29">
        <v>5524824</v>
      </c>
      <c r="U94" s="29">
        <v>2961995</v>
      </c>
      <c r="V94" s="29">
        <v>2562829</v>
      </c>
    </row>
    <row r="95" spans="1:22" x14ac:dyDescent="0.2">
      <c r="A95" s="20" t="s">
        <v>78</v>
      </c>
      <c r="B95" s="20" t="s">
        <v>478</v>
      </c>
      <c r="C95" s="25">
        <v>54.07</v>
      </c>
      <c r="D95" s="27">
        <v>366.1</v>
      </c>
      <c r="E95" s="25">
        <v>420.17</v>
      </c>
      <c r="F95" s="25">
        <v>0.53</v>
      </c>
      <c r="G95" s="29">
        <v>16</v>
      </c>
      <c r="H95" s="27">
        <v>0</v>
      </c>
      <c r="I95" s="29">
        <v>382</v>
      </c>
      <c r="J95" s="29">
        <v>141707</v>
      </c>
      <c r="K95" s="29">
        <v>11975</v>
      </c>
      <c r="L95" s="29">
        <v>153682</v>
      </c>
      <c r="M95" s="29">
        <v>23864</v>
      </c>
      <c r="N95" s="29">
        <v>26606</v>
      </c>
      <c r="O95" s="29">
        <v>179</v>
      </c>
      <c r="P95" s="29">
        <v>17521</v>
      </c>
      <c r="Q95" s="29">
        <v>2017</v>
      </c>
      <c r="R95" s="29">
        <v>223869</v>
      </c>
      <c r="S95" s="29">
        <v>30148</v>
      </c>
      <c r="T95" s="29">
        <v>193721</v>
      </c>
      <c r="U95" s="29">
        <v>100455</v>
      </c>
      <c r="V95" s="29">
        <v>93266</v>
      </c>
    </row>
    <row r="96" spans="1:22" x14ac:dyDescent="0.2">
      <c r="A96" s="20" t="s">
        <v>267</v>
      </c>
      <c r="B96" s="20" t="s">
        <v>657</v>
      </c>
      <c r="C96" s="25">
        <v>38.68</v>
      </c>
      <c r="D96" s="27">
        <v>379.2</v>
      </c>
      <c r="E96" s="25">
        <v>417.88</v>
      </c>
      <c r="F96" s="25">
        <v>0.88</v>
      </c>
      <c r="G96" s="29">
        <v>3</v>
      </c>
      <c r="H96" s="27">
        <v>0</v>
      </c>
      <c r="I96" s="29">
        <v>382</v>
      </c>
      <c r="J96" s="29">
        <v>139547</v>
      </c>
      <c r="K96" s="29">
        <v>3784</v>
      </c>
      <c r="L96" s="29">
        <v>143331</v>
      </c>
      <c r="M96" s="29">
        <v>23749</v>
      </c>
      <c r="N96" s="29">
        <v>26255</v>
      </c>
      <c r="O96" s="29">
        <v>294</v>
      </c>
      <c r="P96" s="29">
        <v>14695</v>
      </c>
      <c r="Q96" s="29">
        <v>1580</v>
      </c>
      <c r="R96" s="29">
        <v>209904</v>
      </c>
      <c r="S96" s="29">
        <v>33687</v>
      </c>
      <c r="T96" s="29">
        <v>176217</v>
      </c>
      <c r="U96" s="29">
        <v>93141</v>
      </c>
      <c r="V96" s="29">
        <v>83076</v>
      </c>
    </row>
    <row r="97" spans="1:22" x14ac:dyDescent="0.2">
      <c r="A97" s="20" t="s">
        <v>130</v>
      </c>
      <c r="B97" s="20" t="s">
        <v>527</v>
      </c>
      <c r="C97" s="25">
        <v>54.6</v>
      </c>
      <c r="D97" s="27">
        <v>503.5</v>
      </c>
      <c r="E97" s="25">
        <v>558.1</v>
      </c>
      <c r="F97" s="25">
        <v>0</v>
      </c>
      <c r="G97" s="29">
        <v>9</v>
      </c>
      <c r="H97" s="27">
        <v>0</v>
      </c>
      <c r="I97" s="29">
        <v>513</v>
      </c>
      <c r="J97" s="29">
        <v>186908</v>
      </c>
      <c r="K97" s="29">
        <v>6132</v>
      </c>
      <c r="L97" s="29">
        <v>193040</v>
      </c>
      <c r="M97" s="29">
        <v>31796</v>
      </c>
      <c r="N97" s="29">
        <v>34745</v>
      </c>
      <c r="O97" s="29">
        <v>0</v>
      </c>
      <c r="P97" s="29">
        <v>17546</v>
      </c>
      <c r="Q97" s="29">
        <v>2057</v>
      </c>
      <c r="R97" s="29">
        <v>279184</v>
      </c>
      <c r="S97" s="29">
        <v>36288</v>
      </c>
      <c r="T97" s="29">
        <v>242896</v>
      </c>
      <c r="U97" s="29">
        <v>130653</v>
      </c>
      <c r="V97" s="29">
        <v>112243</v>
      </c>
    </row>
    <row r="98" spans="1:22" x14ac:dyDescent="0.2">
      <c r="A98" s="20" t="s">
        <v>111</v>
      </c>
      <c r="B98" s="20" t="s">
        <v>509</v>
      </c>
      <c r="C98" s="25">
        <v>161.37</v>
      </c>
      <c r="D98" s="27">
        <v>965.5</v>
      </c>
      <c r="E98" s="25">
        <v>1126.8699999999999</v>
      </c>
      <c r="F98" s="25">
        <v>1.42</v>
      </c>
      <c r="G98" s="29">
        <v>29</v>
      </c>
      <c r="H98" s="27">
        <v>0</v>
      </c>
      <c r="I98" s="29">
        <v>995</v>
      </c>
      <c r="J98" s="29">
        <v>380048</v>
      </c>
      <c r="K98" s="29">
        <v>9822</v>
      </c>
      <c r="L98" s="29">
        <v>389870</v>
      </c>
      <c r="M98" s="29">
        <v>62158</v>
      </c>
      <c r="N98" s="29">
        <v>69302</v>
      </c>
      <c r="O98" s="29">
        <v>479</v>
      </c>
      <c r="P98" s="29">
        <v>46990</v>
      </c>
      <c r="Q98" s="29">
        <v>5409</v>
      </c>
      <c r="R98" s="29">
        <v>574208</v>
      </c>
      <c r="S98" s="29">
        <v>71518</v>
      </c>
      <c r="T98" s="29">
        <v>502690</v>
      </c>
      <c r="U98" s="29">
        <v>278750</v>
      </c>
      <c r="V98" s="29">
        <v>223940</v>
      </c>
    </row>
    <row r="99" spans="1:22" x14ac:dyDescent="0.2">
      <c r="A99" s="20" t="s">
        <v>28</v>
      </c>
      <c r="B99" s="20" t="s">
        <v>437</v>
      </c>
      <c r="C99" s="25">
        <v>124.14</v>
      </c>
      <c r="D99" s="27">
        <v>952</v>
      </c>
      <c r="E99" s="25">
        <v>1076.1400000000001</v>
      </c>
      <c r="F99" s="25">
        <v>0</v>
      </c>
      <c r="G99" s="29">
        <v>4</v>
      </c>
      <c r="H99" s="27">
        <v>0</v>
      </c>
      <c r="I99" s="29">
        <v>956</v>
      </c>
      <c r="J99" s="29">
        <v>370074</v>
      </c>
      <c r="K99" s="29">
        <v>895</v>
      </c>
      <c r="L99" s="29">
        <v>370969</v>
      </c>
      <c r="M99" s="29">
        <v>59769</v>
      </c>
      <c r="N99" s="29">
        <v>66949</v>
      </c>
      <c r="O99" s="29">
        <v>0</v>
      </c>
      <c r="P99" s="29">
        <v>39332</v>
      </c>
      <c r="Q99" s="29">
        <v>4674</v>
      </c>
      <c r="R99" s="29">
        <v>541693</v>
      </c>
      <c r="S99" s="29">
        <v>59231</v>
      </c>
      <c r="T99" s="29">
        <v>482462</v>
      </c>
      <c r="U99" s="29">
        <v>268876</v>
      </c>
      <c r="V99" s="29">
        <v>213586</v>
      </c>
    </row>
    <row r="100" spans="1:22" x14ac:dyDescent="0.2">
      <c r="A100" s="20" t="s">
        <v>192</v>
      </c>
      <c r="B100" s="20" t="s">
        <v>585</v>
      </c>
      <c r="C100" s="25">
        <v>41.49</v>
      </c>
      <c r="D100" s="27">
        <v>562.29999999999995</v>
      </c>
      <c r="E100" s="25">
        <v>603.79</v>
      </c>
      <c r="F100" s="25">
        <v>0</v>
      </c>
      <c r="G100" s="29">
        <v>6</v>
      </c>
      <c r="H100" s="27">
        <v>0</v>
      </c>
      <c r="I100" s="29">
        <v>568</v>
      </c>
      <c r="J100" s="29">
        <v>196763</v>
      </c>
      <c r="K100" s="29">
        <v>0</v>
      </c>
      <c r="L100" s="29">
        <v>196763</v>
      </c>
      <c r="M100" s="29">
        <v>35239</v>
      </c>
      <c r="N100" s="29">
        <v>38709</v>
      </c>
      <c r="O100" s="29">
        <v>0</v>
      </c>
      <c r="P100" s="29">
        <v>16755</v>
      </c>
      <c r="Q100" s="29">
        <v>2101</v>
      </c>
      <c r="R100" s="29">
        <v>289567</v>
      </c>
      <c r="S100" s="29">
        <v>30098</v>
      </c>
      <c r="T100" s="29">
        <v>259469</v>
      </c>
      <c r="U100" s="29">
        <v>148159</v>
      </c>
      <c r="V100" s="29">
        <v>111310</v>
      </c>
    </row>
    <row r="101" spans="1:22" x14ac:dyDescent="0.2">
      <c r="A101" s="20" t="s">
        <v>79</v>
      </c>
      <c r="B101" s="20" t="s">
        <v>479</v>
      </c>
      <c r="C101" s="25">
        <v>94.88</v>
      </c>
      <c r="D101" s="27">
        <v>541.9</v>
      </c>
      <c r="E101" s="25">
        <v>636.78</v>
      </c>
      <c r="F101" s="25">
        <v>0.8</v>
      </c>
      <c r="G101" s="29">
        <v>4</v>
      </c>
      <c r="H101" s="27">
        <v>0</v>
      </c>
      <c r="I101" s="29">
        <v>546</v>
      </c>
      <c r="J101" s="29">
        <v>214760</v>
      </c>
      <c r="K101" s="29">
        <v>0</v>
      </c>
      <c r="L101" s="29">
        <v>214760</v>
      </c>
      <c r="M101" s="29">
        <v>34109</v>
      </c>
      <c r="N101" s="29">
        <v>38029</v>
      </c>
      <c r="O101" s="29">
        <v>270</v>
      </c>
      <c r="P101" s="29">
        <v>26554</v>
      </c>
      <c r="Q101" s="29">
        <v>3057</v>
      </c>
      <c r="R101" s="29">
        <v>316779</v>
      </c>
      <c r="S101" s="29">
        <v>37860</v>
      </c>
      <c r="T101" s="29">
        <v>278919</v>
      </c>
      <c r="U101" s="29">
        <v>160072</v>
      </c>
      <c r="V101" s="29">
        <v>118847</v>
      </c>
    </row>
    <row r="102" spans="1:22" x14ac:dyDescent="0.2">
      <c r="A102" s="20" t="s">
        <v>131</v>
      </c>
      <c r="B102" s="20" t="s">
        <v>528</v>
      </c>
      <c r="C102" s="25">
        <v>113.73</v>
      </c>
      <c r="D102" s="27">
        <v>549.6</v>
      </c>
      <c r="E102" s="25">
        <v>663.33</v>
      </c>
      <c r="F102" s="25">
        <v>0</v>
      </c>
      <c r="G102" s="29">
        <v>3</v>
      </c>
      <c r="H102" s="27">
        <v>2.6</v>
      </c>
      <c r="I102" s="29">
        <v>550</v>
      </c>
      <c r="J102" s="29">
        <v>222149</v>
      </c>
      <c r="K102" s="29">
        <v>0</v>
      </c>
      <c r="L102" s="29">
        <v>222149</v>
      </c>
      <c r="M102" s="29">
        <v>34089</v>
      </c>
      <c r="N102" s="29">
        <v>37252</v>
      </c>
      <c r="O102" s="29">
        <v>0</v>
      </c>
      <c r="P102" s="29">
        <v>20411</v>
      </c>
      <c r="Q102" s="29">
        <v>2395</v>
      </c>
      <c r="R102" s="29">
        <v>316296</v>
      </c>
      <c r="S102" s="29">
        <v>46849</v>
      </c>
      <c r="T102" s="29">
        <v>269447</v>
      </c>
      <c r="U102" s="29">
        <v>151076</v>
      </c>
      <c r="V102" s="29">
        <v>118371</v>
      </c>
    </row>
    <row r="103" spans="1:22" x14ac:dyDescent="0.2">
      <c r="A103" s="20" t="s">
        <v>278</v>
      </c>
      <c r="B103" s="20" t="s">
        <v>666</v>
      </c>
      <c r="C103" s="25">
        <v>69.930000000000007</v>
      </c>
      <c r="D103" s="27">
        <v>472.5</v>
      </c>
      <c r="E103" s="25">
        <v>542.42999999999995</v>
      </c>
      <c r="F103" s="25">
        <v>1.1399999999999999</v>
      </c>
      <c r="G103" s="29">
        <v>5</v>
      </c>
      <c r="H103" s="27">
        <v>0</v>
      </c>
      <c r="I103" s="29">
        <v>478</v>
      </c>
      <c r="J103" s="29">
        <v>181139</v>
      </c>
      <c r="K103" s="29">
        <v>0</v>
      </c>
      <c r="L103" s="29">
        <v>181139</v>
      </c>
      <c r="M103" s="29">
        <v>29717</v>
      </c>
      <c r="N103" s="29">
        <v>32853</v>
      </c>
      <c r="O103" s="29">
        <v>381</v>
      </c>
      <c r="P103" s="29">
        <v>18600</v>
      </c>
      <c r="Q103" s="29">
        <v>2007</v>
      </c>
      <c r="R103" s="29">
        <v>264697</v>
      </c>
      <c r="S103" s="29">
        <v>33759</v>
      </c>
      <c r="T103" s="29">
        <v>230938</v>
      </c>
      <c r="U103" s="29">
        <v>130350</v>
      </c>
      <c r="V103" s="29">
        <v>100588</v>
      </c>
    </row>
    <row r="104" spans="1:22" x14ac:dyDescent="0.2">
      <c r="A104" s="20" t="s">
        <v>6</v>
      </c>
      <c r="B104" s="20" t="s">
        <v>416</v>
      </c>
      <c r="C104" s="25">
        <v>45.91</v>
      </c>
      <c r="D104" s="27">
        <v>331.3</v>
      </c>
      <c r="E104" s="25">
        <v>377.21</v>
      </c>
      <c r="F104" s="25">
        <v>1.01</v>
      </c>
      <c r="G104" s="29">
        <v>6</v>
      </c>
      <c r="H104" s="27">
        <v>0</v>
      </c>
      <c r="I104" s="29">
        <v>337</v>
      </c>
      <c r="J104" s="29">
        <v>131322</v>
      </c>
      <c r="K104" s="29">
        <v>0</v>
      </c>
      <c r="L104" s="29">
        <v>131322</v>
      </c>
      <c r="M104" s="29">
        <v>21042</v>
      </c>
      <c r="N104" s="29">
        <v>23442</v>
      </c>
      <c r="O104" s="29">
        <v>352</v>
      </c>
      <c r="P104" s="29">
        <v>13002</v>
      </c>
      <c r="Q104" s="29">
        <v>1411</v>
      </c>
      <c r="R104" s="29">
        <v>190571</v>
      </c>
      <c r="S104" s="29">
        <v>31180</v>
      </c>
      <c r="T104" s="29">
        <v>159391</v>
      </c>
      <c r="U104" s="29">
        <v>83083</v>
      </c>
      <c r="V104" s="29">
        <v>76308</v>
      </c>
    </row>
    <row r="105" spans="1:22" x14ac:dyDescent="0.2">
      <c r="A105" s="20" t="s">
        <v>248</v>
      </c>
      <c r="B105" s="20" t="s">
        <v>639</v>
      </c>
      <c r="C105" s="25">
        <v>65.8</v>
      </c>
      <c r="D105" s="27">
        <v>372.4</v>
      </c>
      <c r="E105" s="25">
        <v>438.2</v>
      </c>
      <c r="F105" s="25">
        <v>0.84</v>
      </c>
      <c r="G105" s="29">
        <v>3</v>
      </c>
      <c r="H105" s="27">
        <v>0</v>
      </c>
      <c r="I105" s="29">
        <v>375</v>
      </c>
      <c r="J105" s="29">
        <v>149216</v>
      </c>
      <c r="K105" s="29">
        <v>74</v>
      </c>
      <c r="L105" s="29">
        <v>149290</v>
      </c>
      <c r="M105" s="29">
        <v>23419</v>
      </c>
      <c r="N105" s="29">
        <v>26224</v>
      </c>
      <c r="O105" s="29">
        <v>286</v>
      </c>
      <c r="P105" s="29">
        <v>15035</v>
      </c>
      <c r="Q105" s="29">
        <v>1792</v>
      </c>
      <c r="R105" s="29">
        <v>216046</v>
      </c>
      <c r="S105" s="29">
        <v>32591</v>
      </c>
      <c r="T105" s="29">
        <v>183455</v>
      </c>
      <c r="U105" s="29">
        <v>100143</v>
      </c>
      <c r="V105" s="29">
        <v>83312</v>
      </c>
    </row>
    <row r="106" spans="1:22" x14ac:dyDescent="0.2">
      <c r="A106" s="20" t="s">
        <v>7</v>
      </c>
      <c r="B106" s="20" t="s">
        <v>417</v>
      </c>
      <c r="C106" s="25">
        <v>26.51</v>
      </c>
      <c r="D106" s="27">
        <v>401</v>
      </c>
      <c r="E106" s="25">
        <v>427.51</v>
      </c>
      <c r="F106" s="25">
        <v>1.1399999999999999</v>
      </c>
      <c r="G106" s="29">
        <v>22</v>
      </c>
      <c r="H106" s="27">
        <v>0</v>
      </c>
      <c r="I106" s="29">
        <v>423</v>
      </c>
      <c r="J106" s="29">
        <v>148833</v>
      </c>
      <c r="K106" s="29">
        <v>0</v>
      </c>
      <c r="L106" s="29">
        <v>148833</v>
      </c>
      <c r="M106" s="29">
        <v>26412</v>
      </c>
      <c r="N106" s="29">
        <v>29424</v>
      </c>
      <c r="O106" s="29">
        <v>397</v>
      </c>
      <c r="P106" s="29">
        <v>14736</v>
      </c>
      <c r="Q106" s="29">
        <v>1599</v>
      </c>
      <c r="R106" s="29">
        <v>221401</v>
      </c>
      <c r="S106" s="29">
        <v>35520</v>
      </c>
      <c r="T106" s="29">
        <v>185881</v>
      </c>
      <c r="U106" s="29">
        <v>93979</v>
      </c>
      <c r="V106" s="29">
        <v>91902</v>
      </c>
    </row>
    <row r="107" spans="1:22" x14ac:dyDescent="0.2">
      <c r="A107" s="20" t="s">
        <v>81</v>
      </c>
      <c r="B107" s="20" t="s">
        <v>481</v>
      </c>
      <c r="C107" s="25">
        <v>126.8</v>
      </c>
      <c r="D107" s="27">
        <v>560.70000000000005</v>
      </c>
      <c r="E107" s="25">
        <v>687.5</v>
      </c>
      <c r="F107" s="25">
        <v>0.87</v>
      </c>
      <c r="G107" s="29">
        <v>3</v>
      </c>
      <c r="H107" s="27">
        <v>0</v>
      </c>
      <c r="I107" s="29">
        <v>564</v>
      </c>
      <c r="J107" s="29">
        <v>231866</v>
      </c>
      <c r="K107" s="29">
        <v>3635</v>
      </c>
      <c r="L107" s="29">
        <v>235501</v>
      </c>
      <c r="M107" s="29">
        <v>35233</v>
      </c>
      <c r="N107" s="29">
        <v>39283</v>
      </c>
      <c r="O107" s="29">
        <v>293</v>
      </c>
      <c r="P107" s="29">
        <v>28669</v>
      </c>
      <c r="Q107" s="29">
        <v>3300</v>
      </c>
      <c r="R107" s="29">
        <v>342279</v>
      </c>
      <c r="S107" s="29">
        <v>41102</v>
      </c>
      <c r="T107" s="29">
        <v>301177</v>
      </c>
      <c r="U107" s="29">
        <v>172597</v>
      </c>
      <c r="V107" s="29">
        <v>128580</v>
      </c>
    </row>
    <row r="108" spans="1:22" x14ac:dyDescent="0.2">
      <c r="A108" s="20" t="s">
        <v>30</v>
      </c>
      <c r="B108" s="20" t="s">
        <v>439</v>
      </c>
      <c r="C108" s="25">
        <v>106.17</v>
      </c>
      <c r="D108" s="27">
        <v>665.2</v>
      </c>
      <c r="E108" s="25">
        <v>771.37</v>
      </c>
      <c r="F108" s="25">
        <v>0</v>
      </c>
      <c r="G108" s="29">
        <v>75</v>
      </c>
      <c r="H108" s="27">
        <v>2</v>
      </c>
      <c r="I108" s="29">
        <v>738</v>
      </c>
      <c r="J108" s="29">
        <v>265266</v>
      </c>
      <c r="K108" s="29">
        <v>0</v>
      </c>
      <c r="L108" s="29">
        <v>265266</v>
      </c>
      <c r="M108" s="29">
        <v>46140</v>
      </c>
      <c r="N108" s="29">
        <v>51682</v>
      </c>
      <c r="O108" s="29">
        <v>0</v>
      </c>
      <c r="P108" s="29">
        <v>28101</v>
      </c>
      <c r="Q108" s="29">
        <v>3340</v>
      </c>
      <c r="R108" s="29">
        <v>394529</v>
      </c>
      <c r="S108" s="29">
        <v>51253</v>
      </c>
      <c r="T108" s="29">
        <v>343276</v>
      </c>
      <c r="U108" s="29">
        <v>183830</v>
      </c>
      <c r="V108" s="29">
        <v>159446</v>
      </c>
    </row>
    <row r="109" spans="1:22" x14ac:dyDescent="0.2">
      <c r="A109" s="20" t="s">
        <v>150</v>
      </c>
      <c r="B109" s="20" t="s">
        <v>546</v>
      </c>
      <c r="C109" s="25">
        <v>50.28</v>
      </c>
      <c r="D109" s="27">
        <v>462</v>
      </c>
      <c r="E109" s="25">
        <v>512.28</v>
      </c>
      <c r="F109" s="25">
        <v>0.59</v>
      </c>
      <c r="G109" s="29">
        <v>6</v>
      </c>
      <c r="H109" s="27">
        <v>0</v>
      </c>
      <c r="I109" s="29">
        <v>468</v>
      </c>
      <c r="J109" s="29">
        <v>170579</v>
      </c>
      <c r="K109" s="29">
        <v>4607</v>
      </c>
      <c r="L109" s="29">
        <v>175186</v>
      </c>
      <c r="M109" s="29">
        <v>29091</v>
      </c>
      <c r="N109" s="29">
        <v>31978</v>
      </c>
      <c r="O109" s="29">
        <v>196</v>
      </c>
      <c r="P109" s="29">
        <v>16441</v>
      </c>
      <c r="Q109" s="29">
        <v>1912</v>
      </c>
      <c r="R109" s="29">
        <v>254804</v>
      </c>
      <c r="S109" s="29">
        <v>41379</v>
      </c>
      <c r="T109" s="29">
        <v>213425</v>
      </c>
      <c r="U109" s="29">
        <v>112372</v>
      </c>
      <c r="V109" s="29">
        <v>101053</v>
      </c>
    </row>
    <row r="110" spans="1:22" x14ac:dyDescent="0.2">
      <c r="A110" s="20" t="s">
        <v>279</v>
      </c>
      <c r="B110" s="20" t="s">
        <v>667</v>
      </c>
      <c r="C110" s="25">
        <v>31.37</v>
      </c>
      <c r="D110" s="27">
        <v>185.5</v>
      </c>
      <c r="E110" s="25">
        <v>216.87</v>
      </c>
      <c r="F110" s="25">
        <v>0.46</v>
      </c>
      <c r="G110" s="29">
        <v>3</v>
      </c>
      <c r="H110" s="27">
        <v>0</v>
      </c>
      <c r="I110" s="29">
        <v>189</v>
      </c>
      <c r="J110" s="29">
        <v>72422</v>
      </c>
      <c r="K110" s="29">
        <v>723</v>
      </c>
      <c r="L110" s="29">
        <v>73145</v>
      </c>
      <c r="M110" s="29">
        <v>11750</v>
      </c>
      <c r="N110" s="29">
        <v>12990</v>
      </c>
      <c r="O110" s="29">
        <v>154</v>
      </c>
      <c r="P110" s="29">
        <v>7436</v>
      </c>
      <c r="Q110" s="29">
        <v>802</v>
      </c>
      <c r="R110" s="29">
        <v>106277</v>
      </c>
      <c r="S110" s="29">
        <v>15759</v>
      </c>
      <c r="T110" s="29">
        <v>90518</v>
      </c>
      <c r="U110" s="29">
        <v>49854</v>
      </c>
      <c r="V110" s="29">
        <v>40664</v>
      </c>
    </row>
    <row r="111" spans="1:22" x14ac:dyDescent="0.2">
      <c r="A111" s="20" t="s">
        <v>31</v>
      </c>
      <c r="B111" s="20" t="s">
        <v>440</v>
      </c>
      <c r="C111" s="25">
        <v>144.34</v>
      </c>
      <c r="D111" s="27">
        <v>1202</v>
      </c>
      <c r="E111" s="25">
        <v>1346.34</v>
      </c>
      <c r="F111" s="25">
        <v>0</v>
      </c>
      <c r="G111" s="29">
        <v>0</v>
      </c>
      <c r="H111" s="27">
        <v>0</v>
      </c>
      <c r="I111" s="29">
        <v>1202</v>
      </c>
      <c r="J111" s="29">
        <v>462993</v>
      </c>
      <c r="K111" s="29">
        <v>4021</v>
      </c>
      <c r="L111" s="29">
        <v>467014</v>
      </c>
      <c r="M111" s="29">
        <v>75149</v>
      </c>
      <c r="N111" s="29">
        <v>84176</v>
      </c>
      <c r="O111" s="29">
        <v>0</v>
      </c>
      <c r="P111" s="29">
        <v>49047</v>
      </c>
      <c r="Q111" s="29">
        <v>5830</v>
      </c>
      <c r="R111" s="29">
        <v>681216</v>
      </c>
      <c r="S111" s="29">
        <v>92306</v>
      </c>
      <c r="T111" s="29">
        <v>588910</v>
      </c>
      <c r="U111" s="29">
        <v>318005</v>
      </c>
      <c r="V111" s="29">
        <v>270905</v>
      </c>
    </row>
    <row r="112" spans="1:22" x14ac:dyDescent="0.2">
      <c r="A112" s="20" t="s">
        <v>193</v>
      </c>
      <c r="B112" s="20" t="s">
        <v>586</v>
      </c>
      <c r="C112" s="25">
        <v>56.76</v>
      </c>
      <c r="D112" s="27">
        <v>426.5</v>
      </c>
      <c r="E112" s="25">
        <v>483.26</v>
      </c>
      <c r="F112" s="25">
        <v>0</v>
      </c>
      <c r="G112" s="29">
        <v>0</v>
      </c>
      <c r="H112" s="27">
        <v>0</v>
      </c>
      <c r="I112" s="29">
        <v>427</v>
      </c>
      <c r="J112" s="29">
        <v>157485</v>
      </c>
      <c r="K112" s="29">
        <v>0</v>
      </c>
      <c r="L112" s="29">
        <v>157485</v>
      </c>
      <c r="M112" s="29">
        <v>26491</v>
      </c>
      <c r="N112" s="29">
        <v>29100</v>
      </c>
      <c r="O112" s="29">
        <v>0</v>
      </c>
      <c r="P112" s="29">
        <v>13410</v>
      </c>
      <c r="Q112" s="29">
        <v>1682</v>
      </c>
      <c r="R112" s="29">
        <v>228168</v>
      </c>
      <c r="S112" s="29">
        <v>38965</v>
      </c>
      <c r="T112" s="29">
        <v>189203</v>
      </c>
      <c r="U112" s="29">
        <v>103708</v>
      </c>
      <c r="V112" s="29">
        <v>85495</v>
      </c>
    </row>
    <row r="113" spans="1:22" x14ac:dyDescent="0.2">
      <c r="A113" s="20" t="s">
        <v>318</v>
      </c>
      <c r="B113" s="20" t="s">
        <v>705</v>
      </c>
      <c r="C113" s="25">
        <v>259.41000000000003</v>
      </c>
      <c r="D113" s="27">
        <v>1568.3</v>
      </c>
      <c r="E113" s="25">
        <v>1827.71</v>
      </c>
      <c r="F113" s="25">
        <v>4.28</v>
      </c>
      <c r="G113" s="29">
        <v>125</v>
      </c>
      <c r="H113" s="27">
        <v>0</v>
      </c>
      <c r="I113" s="29">
        <v>1693</v>
      </c>
      <c r="J113" s="29">
        <v>605520</v>
      </c>
      <c r="K113" s="29">
        <v>835</v>
      </c>
      <c r="L113" s="29">
        <v>606355</v>
      </c>
      <c r="M113" s="29">
        <v>105203</v>
      </c>
      <c r="N113" s="29">
        <v>115632</v>
      </c>
      <c r="O113" s="29">
        <v>1418</v>
      </c>
      <c r="P113" s="29">
        <v>60903</v>
      </c>
      <c r="Q113" s="29">
        <v>6671</v>
      </c>
      <c r="R113" s="29">
        <v>896182</v>
      </c>
      <c r="S113" s="29">
        <v>120885</v>
      </c>
      <c r="T113" s="29">
        <v>775297</v>
      </c>
      <c r="U113" s="29">
        <v>430334</v>
      </c>
      <c r="V113" s="29">
        <v>344963</v>
      </c>
    </row>
    <row r="114" spans="1:22" x14ac:dyDescent="0.2">
      <c r="A114" s="20" t="s">
        <v>82</v>
      </c>
      <c r="B114" s="20" t="s">
        <v>482</v>
      </c>
      <c r="C114" s="25">
        <v>151.97999999999999</v>
      </c>
      <c r="D114" s="27">
        <v>1055.4000000000001</v>
      </c>
      <c r="E114" s="25">
        <v>1207.3800000000001</v>
      </c>
      <c r="F114" s="25">
        <v>1.52</v>
      </c>
      <c r="G114" s="29">
        <v>31</v>
      </c>
      <c r="H114" s="27">
        <v>0</v>
      </c>
      <c r="I114" s="29">
        <v>1086</v>
      </c>
      <c r="J114" s="29">
        <v>407201</v>
      </c>
      <c r="K114" s="29">
        <v>13568</v>
      </c>
      <c r="L114" s="29">
        <v>420769</v>
      </c>
      <c r="M114" s="29">
        <v>67842</v>
      </c>
      <c r="N114" s="29">
        <v>75640</v>
      </c>
      <c r="O114" s="29">
        <v>513</v>
      </c>
      <c r="P114" s="29">
        <v>50348</v>
      </c>
      <c r="Q114" s="29">
        <v>5795</v>
      </c>
      <c r="R114" s="29">
        <v>620907</v>
      </c>
      <c r="S114" s="29">
        <v>96540</v>
      </c>
      <c r="T114" s="29">
        <v>524367</v>
      </c>
      <c r="U114" s="29">
        <v>278753</v>
      </c>
      <c r="V114" s="29">
        <v>245614</v>
      </c>
    </row>
    <row r="115" spans="1:22" x14ac:dyDescent="0.2">
      <c r="A115" s="20" t="s">
        <v>32</v>
      </c>
      <c r="B115" s="20" t="s">
        <v>441</v>
      </c>
      <c r="C115" s="25">
        <v>587.14</v>
      </c>
      <c r="D115" s="27">
        <v>3561</v>
      </c>
      <c r="E115" s="25">
        <v>4148.1400000000003</v>
      </c>
      <c r="F115" s="25">
        <v>0</v>
      </c>
      <c r="G115" s="29">
        <v>556</v>
      </c>
      <c r="H115" s="27">
        <v>3.6</v>
      </c>
      <c r="I115" s="29">
        <v>4113</v>
      </c>
      <c r="J115" s="29">
        <v>1426504</v>
      </c>
      <c r="K115" s="29">
        <v>0</v>
      </c>
      <c r="L115" s="29">
        <v>1426504</v>
      </c>
      <c r="M115" s="29">
        <v>257145</v>
      </c>
      <c r="N115" s="29">
        <v>288033</v>
      </c>
      <c r="O115" s="29">
        <v>0</v>
      </c>
      <c r="P115" s="29">
        <v>151137</v>
      </c>
      <c r="Q115" s="29">
        <v>17961</v>
      </c>
      <c r="R115" s="29">
        <v>2140780</v>
      </c>
      <c r="S115" s="29">
        <v>279279</v>
      </c>
      <c r="T115" s="29">
        <v>1861501</v>
      </c>
      <c r="U115" s="29">
        <v>984928</v>
      </c>
      <c r="V115" s="29">
        <v>876573</v>
      </c>
    </row>
    <row r="116" spans="1:22" x14ac:dyDescent="0.2">
      <c r="A116" s="20" t="s">
        <v>319</v>
      </c>
      <c r="B116" s="20" t="s">
        <v>706</v>
      </c>
      <c r="C116" s="25">
        <v>361.38</v>
      </c>
      <c r="D116" s="27">
        <v>2102.1</v>
      </c>
      <c r="E116" s="25">
        <v>2463.48</v>
      </c>
      <c r="F116" s="25">
        <v>5.77</v>
      </c>
      <c r="G116" s="29">
        <v>296</v>
      </c>
      <c r="H116" s="27">
        <v>7.6</v>
      </c>
      <c r="I116" s="29">
        <v>2391</v>
      </c>
      <c r="J116" s="29">
        <v>816151</v>
      </c>
      <c r="K116" s="29">
        <v>0</v>
      </c>
      <c r="L116" s="29">
        <v>816151</v>
      </c>
      <c r="M116" s="29">
        <v>148577</v>
      </c>
      <c r="N116" s="29">
        <v>163305</v>
      </c>
      <c r="O116" s="29">
        <v>1912</v>
      </c>
      <c r="P116" s="29">
        <v>82034</v>
      </c>
      <c r="Q116" s="29">
        <v>8992</v>
      </c>
      <c r="R116" s="29">
        <v>1220971</v>
      </c>
      <c r="S116" s="29">
        <v>163791</v>
      </c>
      <c r="T116" s="29">
        <v>1057180</v>
      </c>
      <c r="U116" s="29">
        <v>579117</v>
      </c>
      <c r="V116" s="29">
        <v>478063</v>
      </c>
    </row>
    <row r="117" spans="1:22" x14ac:dyDescent="0.2">
      <c r="A117" s="20" t="s">
        <v>280</v>
      </c>
      <c r="B117" s="20" t="s">
        <v>668</v>
      </c>
      <c r="C117" s="25">
        <v>64.63</v>
      </c>
      <c r="D117" s="27">
        <v>434</v>
      </c>
      <c r="E117" s="25">
        <v>498.63</v>
      </c>
      <c r="F117" s="25">
        <v>1.05</v>
      </c>
      <c r="G117" s="29">
        <v>1</v>
      </c>
      <c r="H117" s="27">
        <v>0</v>
      </c>
      <c r="I117" s="29">
        <v>435</v>
      </c>
      <c r="J117" s="29">
        <v>166513</v>
      </c>
      <c r="K117" s="29">
        <v>0</v>
      </c>
      <c r="L117" s="29">
        <v>166513</v>
      </c>
      <c r="M117" s="29">
        <v>27044</v>
      </c>
      <c r="N117" s="29">
        <v>29898</v>
      </c>
      <c r="O117" s="29">
        <v>351</v>
      </c>
      <c r="P117" s="29">
        <v>17098</v>
      </c>
      <c r="Q117" s="29">
        <v>1845</v>
      </c>
      <c r="R117" s="29">
        <v>242749</v>
      </c>
      <c r="S117" s="29">
        <v>27555</v>
      </c>
      <c r="T117" s="29">
        <v>215194</v>
      </c>
      <c r="U117" s="29">
        <v>123304</v>
      </c>
      <c r="V117" s="29">
        <v>91890</v>
      </c>
    </row>
    <row r="118" spans="1:22" x14ac:dyDescent="0.2">
      <c r="A118" s="20" t="s">
        <v>237</v>
      </c>
      <c r="B118" s="20" t="s">
        <v>627</v>
      </c>
      <c r="C118" s="25">
        <v>40.44</v>
      </c>
      <c r="D118" s="27">
        <v>464</v>
      </c>
      <c r="E118" s="25">
        <v>504.44</v>
      </c>
      <c r="F118" s="25">
        <v>0.97</v>
      </c>
      <c r="G118" s="29">
        <v>0</v>
      </c>
      <c r="H118" s="27">
        <v>0</v>
      </c>
      <c r="I118" s="29">
        <v>464</v>
      </c>
      <c r="J118" s="29">
        <v>171772</v>
      </c>
      <c r="K118" s="29">
        <v>0</v>
      </c>
      <c r="L118" s="29">
        <v>171772</v>
      </c>
      <c r="M118" s="29">
        <v>28977</v>
      </c>
      <c r="N118" s="29">
        <v>32448</v>
      </c>
      <c r="O118" s="29">
        <v>330</v>
      </c>
      <c r="P118" s="29">
        <v>17307</v>
      </c>
      <c r="Q118" s="29">
        <v>2063</v>
      </c>
      <c r="R118" s="29">
        <v>252897</v>
      </c>
      <c r="S118" s="29">
        <v>33958</v>
      </c>
      <c r="T118" s="29">
        <v>218939</v>
      </c>
      <c r="U118" s="29">
        <v>118840</v>
      </c>
      <c r="V118" s="29">
        <v>100099</v>
      </c>
    </row>
    <row r="119" spans="1:22" x14ac:dyDescent="0.2">
      <c r="A119" s="20" t="s">
        <v>83</v>
      </c>
      <c r="B119" s="20" t="s">
        <v>483</v>
      </c>
      <c r="C119" s="25">
        <v>93.38</v>
      </c>
      <c r="D119" s="27">
        <v>850</v>
      </c>
      <c r="E119" s="25">
        <v>943.38</v>
      </c>
      <c r="F119" s="25">
        <v>1.19</v>
      </c>
      <c r="G119" s="29">
        <v>33</v>
      </c>
      <c r="H119" s="27">
        <v>0</v>
      </c>
      <c r="I119" s="29">
        <v>883</v>
      </c>
      <c r="J119" s="29">
        <v>318164</v>
      </c>
      <c r="K119" s="29">
        <v>17986</v>
      </c>
      <c r="L119" s="29">
        <v>336150</v>
      </c>
      <c r="M119" s="29">
        <v>55161</v>
      </c>
      <c r="N119" s="29">
        <v>61501</v>
      </c>
      <c r="O119" s="29">
        <v>401</v>
      </c>
      <c r="P119" s="29">
        <v>39339</v>
      </c>
      <c r="Q119" s="29">
        <v>4528</v>
      </c>
      <c r="R119" s="29">
        <v>497080</v>
      </c>
      <c r="S119" s="29">
        <v>65277</v>
      </c>
      <c r="T119" s="29">
        <v>431803</v>
      </c>
      <c r="U119" s="29">
        <v>227956</v>
      </c>
      <c r="V119" s="29">
        <v>203847</v>
      </c>
    </row>
    <row r="120" spans="1:22" x14ac:dyDescent="0.2">
      <c r="A120" s="20" t="s">
        <v>238</v>
      </c>
      <c r="B120" s="20" t="s">
        <v>628</v>
      </c>
      <c r="C120" s="25">
        <v>52.34</v>
      </c>
      <c r="D120" s="27">
        <v>454.7</v>
      </c>
      <c r="E120" s="25">
        <v>507.04</v>
      </c>
      <c r="F120" s="25">
        <v>0.97</v>
      </c>
      <c r="G120" s="29">
        <v>9</v>
      </c>
      <c r="H120" s="27">
        <v>0</v>
      </c>
      <c r="I120" s="29">
        <v>464</v>
      </c>
      <c r="J120" s="29">
        <v>172657</v>
      </c>
      <c r="K120" s="29">
        <v>0</v>
      </c>
      <c r="L120" s="29">
        <v>172657</v>
      </c>
      <c r="M120" s="29">
        <v>28977</v>
      </c>
      <c r="N120" s="29">
        <v>32448</v>
      </c>
      <c r="O120" s="29">
        <v>330</v>
      </c>
      <c r="P120" s="29">
        <v>17397</v>
      </c>
      <c r="Q120" s="29">
        <v>2074</v>
      </c>
      <c r="R120" s="29">
        <v>253883</v>
      </c>
      <c r="S120" s="29">
        <v>31537</v>
      </c>
      <c r="T120" s="29">
        <v>222346</v>
      </c>
      <c r="U120" s="29">
        <v>122049</v>
      </c>
      <c r="V120" s="29">
        <v>100297</v>
      </c>
    </row>
    <row r="121" spans="1:22" x14ac:dyDescent="0.2">
      <c r="A121" s="20" t="s">
        <v>194</v>
      </c>
      <c r="B121" s="20" t="s">
        <v>587</v>
      </c>
      <c r="C121" s="25">
        <v>114.28</v>
      </c>
      <c r="D121" s="27">
        <v>1586.7</v>
      </c>
      <c r="E121" s="25">
        <v>1700.98</v>
      </c>
      <c r="F121" s="25">
        <v>0</v>
      </c>
      <c r="G121" s="29">
        <v>38</v>
      </c>
      <c r="H121" s="27">
        <v>0</v>
      </c>
      <c r="I121" s="29">
        <v>1625</v>
      </c>
      <c r="J121" s="29">
        <v>554315</v>
      </c>
      <c r="K121" s="29">
        <v>0</v>
      </c>
      <c r="L121" s="29">
        <v>554315</v>
      </c>
      <c r="M121" s="29">
        <v>100815</v>
      </c>
      <c r="N121" s="29">
        <v>110744</v>
      </c>
      <c r="O121" s="29">
        <v>0</v>
      </c>
      <c r="P121" s="29">
        <v>47202</v>
      </c>
      <c r="Q121" s="29">
        <v>5919</v>
      </c>
      <c r="R121" s="29">
        <v>818995</v>
      </c>
      <c r="S121" s="29">
        <v>51243</v>
      </c>
      <c r="T121" s="29">
        <v>767752</v>
      </c>
      <c r="U121" s="29">
        <v>450937</v>
      </c>
      <c r="V121" s="29">
        <v>316815</v>
      </c>
    </row>
    <row r="122" spans="1:22" x14ac:dyDescent="0.2">
      <c r="A122" s="20" t="s">
        <v>33</v>
      </c>
      <c r="B122" s="20" t="s">
        <v>442</v>
      </c>
      <c r="C122" s="25">
        <v>39.229999999999997</v>
      </c>
      <c r="D122" s="27">
        <v>174</v>
      </c>
      <c r="E122" s="25">
        <v>213.23</v>
      </c>
      <c r="F122" s="25">
        <v>0</v>
      </c>
      <c r="G122" s="29">
        <v>4</v>
      </c>
      <c r="H122" s="27">
        <v>0</v>
      </c>
      <c r="I122" s="29">
        <v>178</v>
      </c>
      <c r="J122" s="29">
        <v>73328</v>
      </c>
      <c r="K122" s="29">
        <v>0</v>
      </c>
      <c r="L122" s="29">
        <v>73328</v>
      </c>
      <c r="M122" s="29">
        <v>11129</v>
      </c>
      <c r="N122" s="29">
        <v>12465</v>
      </c>
      <c r="O122" s="29">
        <v>0</v>
      </c>
      <c r="P122" s="29">
        <v>7768</v>
      </c>
      <c r="Q122" s="29">
        <v>923</v>
      </c>
      <c r="R122" s="29">
        <v>105613</v>
      </c>
      <c r="S122" s="29">
        <v>14189</v>
      </c>
      <c r="T122" s="29">
        <v>91424</v>
      </c>
      <c r="U122" s="29">
        <v>50795</v>
      </c>
      <c r="V122" s="29">
        <v>40629</v>
      </c>
    </row>
    <row r="123" spans="1:22" x14ac:dyDescent="0.2">
      <c r="A123" s="20" t="s">
        <v>84</v>
      </c>
      <c r="B123" s="20" t="s">
        <v>484</v>
      </c>
      <c r="C123" s="25">
        <v>88.13</v>
      </c>
      <c r="D123" s="27">
        <v>617.29999999999995</v>
      </c>
      <c r="E123" s="25">
        <v>705.43</v>
      </c>
      <c r="F123" s="25">
        <v>0.89</v>
      </c>
      <c r="G123" s="29">
        <v>5</v>
      </c>
      <c r="H123" s="27">
        <v>0</v>
      </c>
      <c r="I123" s="29">
        <v>622</v>
      </c>
      <c r="J123" s="29">
        <v>237913</v>
      </c>
      <c r="K123" s="29">
        <v>0</v>
      </c>
      <c r="L123" s="29">
        <v>237913</v>
      </c>
      <c r="M123" s="29">
        <v>38856</v>
      </c>
      <c r="N123" s="29">
        <v>43322</v>
      </c>
      <c r="O123" s="29">
        <v>300</v>
      </c>
      <c r="P123" s="29">
        <v>29416</v>
      </c>
      <c r="Q123" s="29">
        <v>3386</v>
      </c>
      <c r="R123" s="29">
        <v>353193</v>
      </c>
      <c r="S123" s="29">
        <v>50217</v>
      </c>
      <c r="T123" s="29">
        <v>302976</v>
      </c>
      <c r="U123" s="29">
        <v>169053</v>
      </c>
      <c r="V123" s="29">
        <v>133923</v>
      </c>
    </row>
    <row r="124" spans="1:22" x14ac:dyDescent="0.2">
      <c r="A124" s="20" t="s">
        <v>281</v>
      </c>
      <c r="B124" s="20" t="s">
        <v>669</v>
      </c>
      <c r="C124" s="25">
        <v>235.46</v>
      </c>
      <c r="D124" s="27">
        <v>1918.9</v>
      </c>
      <c r="E124" s="25">
        <v>2154.36</v>
      </c>
      <c r="F124" s="25">
        <v>4.5199999999999996</v>
      </c>
      <c r="G124" s="29">
        <v>12</v>
      </c>
      <c r="H124" s="27">
        <v>0</v>
      </c>
      <c r="I124" s="29">
        <v>1931</v>
      </c>
      <c r="J124" s="29">
        <v>719427</v>
      </c>
      <c r="K124" s="29">
        <v>0</v>
      </c>
      <c r="L124" s="29">
        <v>719427</v>
      </c>
      <c r="M124" s="29">
        <v>120050</v>
      </c>
      <c r="N124" s="29">
        <v>132718</v>
      </c>
      <c r="O124" s="29">
        <v>1509</v>
      </c>
      <c r="P124" s="29">
        <v>73873</v>
      </c>
      <c r="Q124" s="29">
        <v>7971</v>
      </c>
      <c r="R124" s="29">
        <v>1055548</v>
      </c>
      <c r="S124" s="29">
        <v>117049</v>
      </c>
      <c r="T124" s="29">
        <v>938499</v>
      </c>
      <c r="U124" s="29">
        <v>534739</v>
      </c>
      <c r="V124" s="29">
        <v>403760</v>
      </c>
    </row>
    <row r="125" spans="1:22" x14ac:dyDescent="0.2">
      <c r="A125" s="20" t="s">
        <v>195</v>
      </c>
      <c r="B125" s="20" t="s">
        <v>588</v>
      </c>
      <c r="C125" s="25">
        <v>35.04</v>
      </c>
      <c r="D125" s="27">
        <v>296</v>
      </c>
      <c r="E125" s="25">
        <v>331.04</v>
      </c>
      <c r="F125" s="25">
        <v>0</v>
      </c>
      <c r="G125" s="29">
        <v>8</v>
      </c>
      <c r="H125" s="27">
        <v>0</v>
      </c>
      <c r="I125" s="29">
        <v>304</v>
      </c>
      <c r="J125" s="29">
        <v>107879</v>
      </c>
      <c r="K125" s="29">
        <v>0</v>
      </c>
      <c r="L125" s="29">
        <v>107879</v>
      </c>
      <c r="M125" s="29">
        <v>18860</v>
      </c>
      <c r="N125" s="29">
        <v>20718</v>
      </c>
      <c r="O125" s="29">
        <v>0</v>
      </c>
      <c r="P125" s="29">
        <v>9186</v>
      </c>
      <c r="Q125" s="29">
        <v>1152</v>
      </c>
      <c r="R125" s="29">
        <v>157795</v>
      </c>
      <c r="S125" s="29">
        <v>22889</v>
      </c>
      <c r="T125" s="29">
        <v>134906</v>
      </c>
      <c r="U125" s="29">
        <v>74844</v>
      </c>
      <c r="V125" s="29">
        <v>60062</v>
      </c>
    </row>
    <row r="126" spans="1:22" x14ac:dyDescent="0.2">
      <c r="A126" s="20" t="s">
        <v>34</v>
      </c>
      <c r="B126" s="20" t="s">
        <v>443</v>
      </c>
      <c r="C126" s="25">
        <v>35.520000000000003</v>
      </c>
      <c r="D126" s="27">
        <v>378</v>
      </c>
      <c r="E126" s="25">
        <v>413.52</v>
      </c>
      <c r="F126" s="25">
        <v>0</v>
      </c>
      <c r="G126" s="29">
        <v>8</v>
      </c>
      <c r="H126" s="27">
        <v>0</v>
      </c>
      <c r="I126" s="29">
        <v>386</v>
      </c>
      <c r="J126" s="29">
        <v>142205</v>
      </c>
      <c r="K126" s="29">
        <v>582</v>
      </c>
      <c r="L126" s="29">
        <v>142787</v>
      </c>
      <c r="M126" s="29">
        <v>24133</v>
      </c>
      <c r="N126" s="29">
        <v>27032</v>
      </c>
      <c r="O126" s="29">
        <v>0</v>
      </c>
      <c r="P126" s="29">
        <v>15139</v>
      </c>
      <c r="Q126" s="29">
        <v>1799</v>
      </c>
      <c r="R126" s="29">
        <v>210890</v>
      </c>
      <c r="S126" s="29">
        <v>30756</v>
      </c>
      <c r="T126" s="29">
        <v>180134</v>
      </c>
      <c r="U126" s="29">
        <v>95351</v>
      </c>
      <c r="V126" s="29">
        <v>84783</v>
      </c>
    </row>
    <row r="127" spans="1:22" x14ac:dyDescent="0.2">
      <c r="A127" s="20" t="s">
        <v>294</v>
      </c>
      <c r="B127" s="20" t="s">
        <v>682</v>
      </c>
      <c r="C127" s="25">
        <v>78.400000000000006</v>
      </c>
      <c r="D127" s="27">
        <v>626.5</v>
      </c>
      <c r="E127" s="25">
        <v>704.9</v>
      </c>
      <c r="F127" s="25">
        <v>1.48</v>
      </c>
      <c r="G127" s="29">
        <v>11</v>
      </c>
      <c r="H127" s="27">
        <v>0</v>
      </c>
      <c r="I127" s="29">
        <v>638</v>
      </c>
      <c r="J127" s="29">
        <v>235394</v>
      </c>
      <c r="K127" s="29">
        <v>0</v>
      </c>
      <c r="L127" s="29">
        <v>235394</v>
      </c>
      <c r="M127" s="29">
        <v>39664</v>
      </c>
      <c r="N127" s="29">
        <v>43850</v>
      </c>
      <c r="O127" s="29">
        <v>494</v>
      </c>
      <c r="P127" s="29">
        <v>24171</v>
      </c>
      <c r="Q127" s="29">
        <v>2608</v>
      </c>
      <c r="R127" s="29">
        <v>346181</v>
      </c>
      <c r="S127" s="29">
        <v>51950</v>
      </c>
      <c r="T127" s="29">
        <v>294231</v>
      </c>
      <c r="U127" s="29">
        <v>161313</v>
      </c>
      <c r="V127" s="29">
        <v>132918</v>
      </c>
    </row>
    <row r="128" spans="1:22" x14ac:dyDescent="0.2">
      <c r="A128" s="20" t="s">
        <v>85</v>
      </c>
      <c r="B128" s="20" t="s">
        <v>86</v>
      </c>
      <c r="C128" s="25">
        <v>27.49</v>
      </c>
      <c r="D128" s="27">
        <v>254.5</v>
      </c>
      <c r="E128" s="25">
        <v>281.99</v>
      </c>
      <c r="F128" s="25">
        <v>0.36</v>
      </c>
      <c r="G128" s="29">
        <v>1</v>
      </c>
      <c r="H128" s="27">
        <v>0</v>
      </c>
      <c r="I128" s="29">
        <v>256</v>
      </c>
      <c r="J128" s="29">
        <v>95104</v>
      </c>
      <c r="K128" s="29">
        <v>10271</v>
      </c>
      <c r="L128" s="29">
        <v>105375</v>
      </c>
      <c r="M128" s="29">
        <v>15992</v>
      </c>
      <c r="N128" s="29">
        <v>17830</v>
      </c>
      <c r="O128" s="29">
        <v>121</v>
      </c>
      <c r="P128" s="29">
        <v>11759</v>
      </c>
      <c r="Q128" s="29">
        <v>1354</v>
      </c>
      <c r="R128" s="29">
        <v>152431</v>
      </c>
      <c r="S128" s="29">
        <v>22863</v>
      </c>
      <c r="T128" s="29">
        <v>129568</v>
      </c>
      <c r="U128" s="29">
        <v>64790</v>
      </c>
      <c r="V128" s="29">
        <v>64778</v>
      </c>
    </row>
    <row r="129" spans="1:22" x14ac:dyDescent="0.2">
      <c r="A129" s="20" t="s">
        <v>87</v>
      </c>
      <c r="B129" s="20" t="s">
        <v>485</v>
      </c>
      <c r="C129" s="25">
        <v>237.5</v>
      </c>
      <c r="D129" s="27">
        <v>1498.3</v>
      </c>
      <c r="E129" s="25">
        <v>1735.8</v>
      </c>
      <c r="F129" s="25">
        <v>2.19</v>
      </c>
      <c r="G129" s="29">
        <v>56</v>
      </c>
      <c r="H129" s="27">
        <v>0.1</v>
      </c>
      <c r="I129" s="29">
        <v>1554</v>
      </c>
      <c r="J129" s="29">
        <v>585416</v>
      </c>
      <c r="K129" s="29">
        <v>0</v>
      </c>
      <c r="L129" s="29">
        <v>585416</v>
      </c>
      <c r="M129" s="29">
        <v>97078</v>
      </c>
      <c r="N129" s="29">
        <v>108236</v>
      </c>
      <c r="O129" s="29">
        <v>739</v>
      </c>
      <c r="P129" s="29">
        <v>72383</v>
      </c>
      <c r="Q129" s="29">
        <v>8332</v>
      </c>
      <c r="R129" s="29">
        <v>872184</v>
      </c>
      <c r="S129" s="29">
        <v>107756</v>
      </c>
      <c r="T129" s="29">
        <v>764428</v>
      </c>
      <c r="U129" s="29">
        <v>431788</v>
      </c>
      <c r="V129" s="29">
        <v>332640</v>
      </c>
    </row>
    <row r="130" spans="1:22" x14ac:dyDescent="0.2">
      <c r="A130" s="20" t="s">
        <v>282</v>
      </c>
      <c r="B130" s="20" t="s">
        <v>670</v>
      </c>
      <c r="C130" s="25">
        <v>88.14</v>
      </c>
      <c r="D130" s="27">
        <v>447.8</v>
      </c>
      <c r="E130" s="25">
        <v>535.94000000000005</v>
      </c>
      <c r="F130" s="25">
        <v>1.1200000000000001</v>
      </c>
      <c r="G130" s="29">
        <v>0</v>
      </c>
      <c r="H130" s="27">
        <v>0</v>
      </c>
      <c r="I130" s="29">
        <v>448</v>
      </c>
      <c r="J130" s="29">
        <v>178972</v>
      </c>
      <c r="K130" s="29">
        <v>3175</v>
      </c>
      <c r="L130" s="29">
        <v>182147</v>
      </c>
      <c r="M130" s="29">
        <v>27852</v>
      </c>
      <c r="N130" s="29">
        <v>30791</v>
      </c>
      <c r="O130" s="29">
        <v>374</v>
      </c>
      <c r="P130" s="29">
        <v>18377</v>
      </c>
      <c r="Q130" s="29">
        <v>1983</v>
      </c>
      <c r="R130" s="29">
        <v>261524</v>
      </c>
      <c r="S130" s="29">
        <v>40807</v>
      </c>
      <c r="T130" s="29">
        <v>220717</v>
      </c>
      <c r="U130" s="29">
        <v>121337</v>
      </c>
      <c r="V130" s="29">
        <v>99380</v>
      </c>
    </row>
    <row r="131" spans="1:22" x14ac:dyDescent="0.2">
      <c r="A131" s="20" t="s">
        <v>88</v>
      </c>
      <c r="B131" s="20" t="s">
        <v>486</v>
      </c>
      <c r="C131" s="25">
        <v>88.12</v>
      </c>
      <c r="D131" s="27">
        <v>679.3</v>
      </c>
      <c r="E131" s="25">
        <v>767.42</v>
      </c>
      <c r="F131" s="25">
        <v>0.97</v>
      </c>
      <c r="G131" s="29">
        <v>8</v>
      </c>
      <c r="H131" s="27">
        <v>0</v>
      </c>
      <c r="I131" s="29">
        <v>687</v>
      </c>
      <c r="J131" s="29">
        <v>258820</v>
      </c>
      <c r="K131" s="29">
        <v>0</v>
      </c>
      <c r="L131" s="29">
        <v>258820</v>
      </c>
      <c r="M131" s="29">
        <v>42917</v>
      </c>
      <c r="N131" s="29">
        <v>47850</v>
      </c>
      <c r="O131" s="29">
        <v>327</v>
      </c>
      <c r="P131" s="29">
        <v>32001</v>
      </c>
      <c r="Q131" s="29">
        <v>3684</v>
      </c>
      <c r="R131" s="29">
        <v>385599</v>
      </c>
      <c r="S131" s="29">
        <v>38721</v>
      </c>
      <c r="T131" s="29">
        <v>346878</v>
      </c>
      <c r="U131" s="29">
        <v>199819</v>
      </c>
      <c r="V131" s="29">
        <v>147059</v>
      </c>
    </row>
    <row r="132" spans="1:22" x14ac:dyDescent="0.2">
      <c r="A132" s="20" t="s">
        <v>196</v>
      </c>
      <c r="B132" s="20" t="s">
        <v>589</v>
      </c>
      <c r="C132" s="25">
        <v>37.729999999999997</v>
      </c>
      <c r="D132" s="27">
        <v>400.1</v>
      </c>
      <c r="E132" s="25">
        <v>437.83</v>
      </c>
      <c r="F132" s="25">
        <v>0</v>
      </c>
      <c r="G132" s="29">
        <v>0</v>
      </c>
      <c r="H132" s="27">
        <v>0</v>
      </c>
      <c r="I132" s="29">
        <v>400</v>
      </c>
      <c r="J132" s="29">
        <v>142680</v>
      </c>
      <c r="K132" s="29">
        <v>7200</v>
      </c>
      <c r="L132" s="29">
        <v>149880</v>
      </c>
      <c r="M132" s="29">
        <v>24816</v>
      </c>
      <c r="N132" s="29">
        <v>27260</v>
      </c>
      <c r="O132" s="29">
        <v>0</v>
      </c>
      <c r="P132" s="29">
        <v>12150</v>
      </c>
      <c r="Q132" s="29">
        <v>1524</v>
      </c>
      <c r="R132" s="29">
        <v>215630</v>
      </c>
      <c r="S132" s="29">
        <v>28487</v>
      </c>
      <c r="T132" s="29">
        <v>187143</v>
      </c>
      <c r="U132" s="29">
        <v>100774</v>
      </c>
      <c r="V132" s="29">
        <v>86369</v>
      </c>
    </row>
    <row r="133" spans="1:22" x14ac:dyDescent="0.2">
      <c r="A133" s="20" t="s">
        <v>3</v>
      </c>
      <c r="B133" s="20" t="s">
        <v>413</v>
      </c>
      <c r="C133" s="25">
        <v>74.41</v>
      </c>
      <c r="D133" s="27">
        <v>641.9</v>
      </c>
      <c r="E133" s="25">
        <v>716.31</v>
      </c>
      <c r="F133" s="25">
        <v>1.92</v>
      </c>
      <c r="G133" s="29">
        <v>10</v>
      </c>
      <c r="H133" s="27">
        <v>0</v>
      </c>
      <c r="I133" s="29">
        <v>652</v>
      </c>
      <c r="J133" s="29">
        <v>249376</v>
      </c>
      <c r="K133" s="29">
        <v>0</v>
      </c>
      <c r="L133" s="29">
        <v>249376</v>
      </c>
      <c r="M133" s="29">
        <v>40711</v>
      </c>
      <c r="N133" s="29">
        <v>45353</v>
      </c>
      <c r="O133" s="29">
        <v>668</v>
      </c>
      <c r="P133" s="29">
        <v>24691</v>
      </c>
      <c r="Q133" s="29">
        <v>2679</v>
      </c>
      <c r="R133" s="29">
        <v>363478</v>
      </c>
      <c r="S133" s="29">
        <v>51624</v>
      </c>
      <c r="T133" s="29">
        <v>311854</v>
      </c>
      <c r="U133" s="29">
        <v>165359</v>
      </c>
      <c r="V133" s="29">
        <v>146495</v>
      </c>
    </row>
    <row r="134" spans="1:22" x14ac:dyDescent="0.2">
      <c r="A134" s="20" t="s">
        <v>152</v>
      </c>
      <c r="B134" s="20" t="s">
        <v>153</v>
      </c>
      <c r="C134" s="25">
        <v>39.54</v>
      </c>
      <c r="D134" s="27">
        <v>313.3</v>
      </c>
      <c r="E134" s="25">
        <v>352.84</v>
      </c>
      <c r="F134" s="25">
        <v>0.45</v>
      </c>
      <c r="G134" s="29">
        <v>7</v>
      </c>
      <c r="H134" s="27">
        <v>0</v>
      </c>
      <c r="I134" s="29">
        <v>320</v>
      </c>
      <c r="J134" s="29">
        <v>117489</v>
      </c>
      <c r="K134" s="29">
        <v>3207</v>
      </c>
      <c r="L134" s="29">
        <v>120696</v>
      </c>
      <c r="M134" s="29">
        <v>19891</v>
      </c>
      <c r="N134" s="29">
        <v>21866</v>
      </c>
      <c r="O134" s="29">
        <v>150</v>
      </c>
      <c r="P134" s="29">
        <v>11222</v>
      </c>
      <c r="Q134" s="29">
        <v>1305</v>
      </c>
      <c r="R134" s="29">
        <v>175130</v>
      </c>
      <c r="S134" s="29">
        <v>26035</v>
      </c>
      <c r="T134" s="29">
        <v>149095</v>
      </c>
      <c r="U134" s="29">
        <v>79761</v>
      </c>
      <c r="V134" s="29">
        <v>69334</v>
      </c>
    </row>
    <row r="135" spans="1:22" x14ac:dyDescent="0.2">
      <c r="A135" s="20" t="s">
        <v>283</v>
      </c>
      <c r="B135" s="20" t="s">
        <v>671</v>
      </c>
      <c r="C135" s="25">
        <v>30.77</v>
      </c>
      <c r="D135" s="27">
        <v>226</v>
      </c>
      <c r="E135" s="25">
        <v>256.77</v>
      </c>
      <c r="F135" s="25">
        <v>0.54</v>
      </c>
      <c r="G135" s="29">
        <v>0</v>
      </c>
      <c r="H135" s="27">
        <v>0</v>
      </c>
      <c r="I135" s="29">
        <v>226</v>
      </c>
      <c r="J135" s="29">
        <v>85746</v>
      </c>
      <c r="K135" s="29">
        <v>0</v>
      </c>
      <c r="L135" s="29">
        <v>85746</v>
      </c>
      <c r="M135" s="29">
        <v>14050</v>
      </c>
      <c r="N135" s="29">
        <v>15533</v>
      </c>
      <c r="O135" s="29">
        <v>180</v>
      </c>
      <c r="P135" s="29">
        <v>8805</v>
      </c>
      <c r="Q135" s="29">
        <v>950</v>
      </c>
      <c r="R135" s="29">
        <v>125264</v>
      </c>
      <c r="S135" s="29">
        <v>19715</v>
      </c>
      <c r="T135" s="29">
        <v>105549</v>
      </c>
      <c r="U135" s="29">
        <v>57970</v>
      </c>
      <c r="V135" s="29">
        <v>47579</v>
      </c>
    </row>
    <row r="136" spans="1:22" x14ac:dyDescent="0.2">
      <c r="A136" s="20" t="s">
        <v>89</v>
      </c>
      <c r="B136" s="20" t="s">
        <v>487</v>
      </c>
      <c r="C136" s="25">
        <v>142.87</v>
      </c>
      <c r="D136" s="27">
        <v>1119.5</v>
      </c>
      <c r="E136" s="25">
        <v>1262.3699999999999</v>
      </c>
      <c r="F136" s="25">
        <v>1.59</v>
      </c>
      <c r="G136" s="29">
        <v>10</v>
      </c>
      <c r="H136" s="27">
        <v>0</v>
      </c>
      <c r="I136" s="29">
        <v>1130</v>
      </c>
      <c r="J136" s="29">
        <v>425747</v>
      </c>
      <c r="K136" s="29">
        <v>0</v>
      </c>
      <c r="L136" s="29">
        <v>425747</v>
      </c>
      <c r="M136" s="29">
        <v>70591</v>
      </c>
      <c r="N136" s="29">
        <v>78705</v>
      </c>
      <c r="O136" s="29">
        <v>536</v>
      </c>
      <c r="P136" s="29">
        <v>52641</v>
      </c>
      <c r="Q136" s="29">
        <v>6059</v>
      </c>
      <c r="R136" s="29">
        <v>634279</v>
      </c>
      <c r="S136" s="29">
        <v>73880</v>
      </c>
      <c r="T136" s="29">
        <v>560399</v>
      </c>
      <c r="U136" s="29">
        <v>318505</v>
      </c>
      <c r="V136" s="29">
        <v>241894</v>
      </c>
    </row>
    <row r="137" spans="1:22" x14ac:dyDescent="0.2">
      <c r="A137" s="20" t="s">
        <v>284</v>
      </c>
      <c r="B137" s="20" t="s">
        <v>672</v>
      </c>
      <c r="C137" s="25">
        <v>185.72</v>
      </c>
      <c r="D137" s="27">
        <v>1375.3</v>
      </c>
      <c r="E137" s="25">
        <v>1561.02</v>
      </c>
      <c r="F137" s="25">
        <v>3.27</v>
      </c>
      <c r="G137" s="29">
        <v>72</v>
      </c>
      <c r="H137" s="27">
        <v>0.7</v>
      </c>
      <c r="I137" s="29">
        <v>1447</v>
      </c>
      <c r="J137" s="29">
        <v>521287</v>
      </c>
      <c r="K137" s="29">
        <v>0</v>
      </c>
      <c r="L137" s="29">
        <v>521287</v>
      </c>
      <c r="M137" s="29">
        <v>89960</v>
      </c>
      <c r="N137" s="29">
        <v>99452</v>
      </c>
      <c r="O137" s="29">
        <v>1092</v>
      </c>
      <c r="P137" s="29">
        <v>53527</v>
      </c>
      <c r="Q137" s="29">
        <v>5776</v>
      </c>
      <c r="R137" s="29">
        <v>771094</v>
      </c>
      <c r="S137" s="29">
        <v>99086</v>
      </c>
      <c r="T137" s="29">
        <v>672008</v>
      </c>
      <c r="U137" s="29">
        <v>373190</v>
      </c>
      <c r="V137" s="29">
        <v>298818</v>
      </c>
    </row>
    <row r="138" spans="1:22" x14ac:dyDescent="0.2">
      <c r="A138" s="20" t="s">
        <v>36</v>
      </c>
      <c r="B138" s="20" t="s">
        <v>445</v>
      </c>
      <c r="C138" s="25">
        <v>31.75</v>
      </c>
      <c r="D138" s="27">
        <v>294</v>
      </c>
      <c r="E138" s="25">
        <v>325.75</v>
      </c>
      <c r="F138" s="25">
        <v>0</v>
      </c>
      <c r="G138" s="29">
        <v>0</v>
      </c>
      <c r="H138" s="27">
        <v>0</v>
      </c>
      <c r="I138" s="29">
        <v>294</v>
      </c>
      <c r="J138" s="29">
        <v>112022</v>
      </c>
      <c r="K138" s="29">
        <v>0</v>
      </c>
      <c r="L138" s="29">
        <v>112022</v>
      </c>
      <c r="M138" s="29">
        <v>18381</v>
      </c>
      <c r="N138" s="29">
        <v>20589</v>
      </c>
      <c r="O138" s="29">
        <v>0</v>
      </c>
      <c r="P138" s="29">
        <v>11867</v>
      </c>
      <c r="Q138" s="29">
        <v>1410</v>
      </c>
      <c r="R138" s="29">
        <v>164269</v>
      </c>
      <c r="S138" s="29">
        <v>20339</v>
      </c>
      <c r="T138" s="29">
        <v>143930</v>
      </c>
      <c r="U138" s="29">
        <v>78936</v>
      </c>
      <c r="V138" s="29">
        <v>64994</v>
      </c>
    </row>
    <row r="139" spans="1:22" x14ac:dyDescent="0.2">
      <c r="A139" s="20" t="s">
        <v>239</v>
      </c>
      <c r="B139" s="20" t="s">
        <v>629</v>
      </c>
      <c r="C139" s="25">
        <v>105.51</v>
      </c>
      <c r="D139" s="27">
        <v>641.70000000000005</v>
      </c>
      <c r="E139" s="25">
        <v>747.21</v>
      </c>
      <c r="F139" s="25">
        <v>1.44</v>
      </c>
      <c r="G139" s="29">
        <v>135</v>
      </c>
      <c r="H139" s="27">
        <v>0</v>
      </c>
      <c r="I139" s="29">
        <v>777</v>
      </c>
      <c r="J139" s="29">
        <v>254440</v>
      </c>
      <c r="K139" s="29">
        <v>0</v>
      </c>
      <c r="L139" s="29">
        <v>254440</v>
      </c>
      <c r="M139" s="29">
        <v>48524</v>
      </c>
      <c r="N139" s="29">
        <v>54336</v>
      </c>
      <c r="O139" s="29">
        <v>490</v>
      </c>
      <c r="P139" s="29">
        <v>25637</v>
      </c>
      <c r="Q139" s="29">
        <v>3056</v>
      </c>
      <c r="R139" s="29">
        <v>386483</v>
      </c>
      <c r="S139" s="29">
        <v>54933</v>
      </c>
      <c r="T139" s="29">
        <v>331550</v>
      </c>
      <c r="U139" s="29">
        <v>171404</v>
      </c>
      <c r="V139" s="29">
        <v>160146</v>
      </c>
    </row>
    <row r="140" spans="1:22" x14ac:dyDescent="0.2">
      <c r="A140" s="20" t="s">
        <v>151</v>
      </c>
      <c r="B140" s="20" t="s">
        <v>547</v>
      </c>
      <c r="C140" s="25">
        <v>57.16</v>
      </c>
      <c r="D140" s="27">
        <v>583</v>
      </c>
      <c r="E140" s="25">
        <v>640.16</v>
      </c>
      <c r="F140" s="25">
        <v>0.74</v>
      </c>
      <c r="G140" s="29">
        <v>13</v>
      </c>
      <c r="H140" s="27">
        <v>0</v>
      </c>
      <c r="I140" s="29">
        <v>596</v>
      </c>
      <c r="J140" s="29">
        <v>213160</v>
      </c>
      <c r="K140" s="29">
        <v>668</v>
      </c>
      <c r="L140" s="29">
        <v>213828</v>
      </c>
      <c r="M140" s="29">
        <v>37047</v>
      </c>
      <c r="N140" s="29">
        <v>40725</v>
      </c>
      <c r="O140" s="29">
        <v>246</v>
      </c>
      <c r="P140" s="29">
        <v>20178</v>
      </c>
      <c r="Q140" s="29">
        <v>2349</v>
      </c>
      <c r="R140" s="29">
        <v>314373</v>
      </c>
      <c r="S140" s="29">
        <v>37800</v>
      </c>
      <c r="T140" s="29">
        <v>276573</v>
      </c>
      <c r="U140" s="29">
        <v>153925</v>
      </c>
      <c r="V140" s="29">
        <v>122648</v>
      </c>
    </row>
    <row r="141" spans="1:22" x14ac:dyDescent="0.2">
      <c r="A141" s="20" t="s">
        <v>240</v>
      </c>
      <c r="B141" s="20" t="s">
        <v>630</v>
      </c>
      <c r="C141" s="25">
        <v>50.74</v>
      </c>
      <c r="D141" s="27">
        <v>557.1</v>
      </c>
      <c r="E141" s="25">
        <v>607.84</v>
      </c>
      <c r="F141" s="25">
        <v>1.17</v>
      </c>
      <c r="G141" s="29">
        <v>8</v>
      </c>
      <c r="H141" s="27">
        <v>0</v>
      </c>
      <c r="I141" s="29">
        <v>565</v>
      </c>
      <c r="J141" s="29">
        <v>206982</v>
      </c>
      <c r="K141" s="29">
        <v>0</v>
      </c>
      <c r="L141" s="29">
        <v>206982</v>
      </c>
      <c r="M141" s="29">
        <v>35284</v>
      </c>
      <c r="N141" s="29">
        <v>39510</v>
      </c>
      <c r="O141" s="29">
        <v>398</v>
      </c>
      <c r="P141" s="29">
        <v>20855</v>
      </c>
      <c r="Q141" s="29">
        <v>2486</v>
      </c>
      <c r="R141" s="29">
        <v>305515</v>
      </c>
      <c r="S141" s="29">
        <v>34075</v>
      </c>
      <c r="T141" s="29">
        <v>271440</v>
      </c>
      <c r="U141" s="29">
        <v>150045</v>
      </c>
      <c r="V141" s="29">
        <v>121395</v>
      </c>
    </row>
    <row r="142" spans="1:22" x14ac:dyDescent="0.2">
      <c r="A142" s="20" t="s">
        <v>8</v>
      </c>
      <c r="B142" s="20" t="s">
        <v>418</v>
      </c>
      <c r="C142" s="25">
        <v>159.77000000000001</v>
      </c>
      <c r="D142" s="27">
        <v>1151.7</v>
      </c>
      <c r="E142" s="25">
        <v>1311.47</v>
      </c>
      <c r="F142" s="25">
        <v>3.51</v>
      </c>
      <c r="G142" s="29">
        <v>149</v>
      </c>
      <c r="H142" s="27">
        <v>0.7</v>
      </c>
      <c r="I142" s="29">
        <v>1300</v>
      </c>
      <c r="J142" s="29">
        <v>456575</v>
      </c>
      <c r="K142" s="29">
        <v>0</v>
      </c>
      <c r="L142" s="29">
        <v>456575</v>
      </c>
      <c r="M142" s="29">
        <v>81172</v>
      </c>
      <c r="N142" s="29">
        <v>90428</v>
      </c>
      <c r="O142" s="29">
        <v>1222</v>
      </c>
      <c r="P142" s="29">
        <v>45206</v>
      </c>
      <c r="Q142" s="29">
        <v>4905</v>
      </c>
      <c r="R142" s="29">
        <v>679508</v>
      </c>
      <c r="S142" s="29">
        <v>98287</v>
      </c>
      <c r="T142" s="29">
        <v>581221</v>
      </c>
      <c r="U142" s="29">
        <v>298979</v>
      </c>
      <c r="V142" s="29">
        <v>282242</v>
      </c>
    </row>
    <row r="143" spans="1:22" x14ac:dyDescent="0.2">
      <c r="A143" s="20" t="s">
        <v>90</v>
      </c>
      <c r="B143" s="20" t="s">
        <v>488</v>
      </c>
      <c r="C143" s="25">
        <v>41.87</v>
      </c>
      <c r="D143" s="27">
        <v>411.8</v>
      </c>
      <c r="E143" s="25">
        <v>453.67</v>
      </c>
      <c r="F143" s="25">
        <v>0.56999999999999995</v>
      </c>
      <c r="G143" s="29">
        <v>0</v>
      </c>
      <c r="H143" s="27">
        <v>0</v>
      </c>
      <c r="I143" s="29">
        <v>412</v>
      </c>
      <c r="J143" s="29">
        <v>153005</v>
      </c>
      <c r="K143" s="29">
        <v>149</v>
      </c>
      <c r="L143" s="29">
        <v>153154</v>
      </c>
      <c r="M143" s="29">
        <v>25738</v>
      </c>
      <c r="N143" s="29">
        <v>28696</v>
      </c>
      <c r="O143" s="29">
        <v>192</v>
      </c>
      <c r="P143" s="29">
        <v>18918</v>
      </c>
      <c r="Q143" s="29">
        <v>2178</v>
      </c>
      <c r="R143" s="29">
        <v>228876</v>
      </c>
      <c r="S143" s="29">
        <v>31368</v>
      </c>
      <c r="T143" s="29">
        <v>197508</v>
      </c>
      <c r="U143" s="29">
        <v>109647</v>
      </c>
      <c r="V143" s="29">
        <v>87861</v>
      </c>
    </row>
    <row r="144" spans="1:22" x14ac:dyDescent="0.2">
      <c r="A144" s="20" t="s">
        <v>91</v>
      </c>
      <c r="B144" s="20" t="s">
        <v>489</v>
      </c>
      <c r="C144" s="25">
        <v>83.49</v>
      </c>
      <c r="D144" s="27">
        <v>714.7</v>
      </c>
      <c r="E144" s="25">
        <v>798.19</v>
      </c>
      <c r="F144" s="25">
        <v>1.01</v>
      </c>
      <c r="G144" s="29">
        <v>21</v>
      </c>
      <c r="H144" s="27">
        <v>0</v>
      </c>
      <c r="I144" s="29">
        <v>736</v>
      </c>
      <c r="J144" s="29">
        <v>269198</v>
      </c>
      <c r="K144" s="29">
        <v>0</v>
      </c>
      <c r="L144" s="29">
        <v>269198</v>
      </c>
      <c r="M144" s="29">
        <v>45978</v>
      </c>
      <c r="N144" s="29">
        <v>51262</v>
      </c>
      <c r="O144" s="29">
        <v>341</v>
      </c>
      <c r="P144" s="29">
        <v>33285</v>
      </c>
      <c r="Q144" s="29">
        <v>3831</v>
      </c>
      <c r="R144" s="29">
        <v>403895</v>
      </c>
      <c r="S144" s="29">
        <v>45362</v>
      </c>
      <c r="T144" s="29">
        <v>358533</v>
      </c>
      <c r="U144" s="29">
        <v>202743</v>
      </c>
      <c r="V144" s="29">
        <v>155790</v>
      </c>
    </row>
    <row r="145" spans="1:22" x14ac:dyDescent="0.2">
      <c r="A145" s="20" t="s">
        <v>37</v>
      </c>
      <c r="B145" s="20" t="s">
        <v>446</v>
      </c>
      <c r="C145" s="25">
        <v>141.05000000000001</v>
      </c>
      <c r="D145" s="27">
        <v>1246.8</v>
      </c>
      <c r="E145" s="25">
        <v>1387.85</v>
      </c>
      <c r="F145" s="25">
        <v>0</v>
      </c>
      <c r="G145" s="29">
        <v>106</v>
      </c>
      <c r="H145" s="27">
        <v>1.4</v>
      </c>
      <c r="I145" s="29">
        <v>1351</v>
      </c>
      <c r="J145" s="29">
        <v>477268</v>
      </c>
      <c r="K145" s="29">
        <v>0</v>
      </c>
      <c r="L145" s="29">
        <v>477268</v>
      </c>
      <c r="M145" s="29">
        <v>84465</v>
      </c>
      <c r="N145" s="29">
        <v>94611</v>
      </c>
      <c r="O145" s="29">
        <v>0</v>
      </c>
      <c r="P145" s="29">
        <v>50559</v>
      </c>
      <c r="Q145" s="29">
        <v>6009</v>
      </c>
      <c r="R145" s="29">
        <v>712912</v>
      </c>
      <c r="S145" s="29">
        <v>81306</v>
      </c>
      <c r="T145" s="29">
        <v>631606</v>
      </c>
      <c r="U145" s="29">
        <v>341654</v>
      </c>
      <c r="V145" s="29">
        <v>289952</v>
      </c>
    </row>
    <row r="146" spans="1:22" x14ac:dyDescent="0.2">
      <c r="A146" s="20" t="s">
        <v>92</v>
      </c>
      <c r="B146" s="20" t="s">
        <v>490</v>
      </c>
      <c r="C146" s="25">
        <v>187.61</v>
      </c>
      <c r="D146" s="27">
        <v>1383.7</v>
      </c>
      <c r="E146" s="25">
        <v>1571.31</v>
      </c>
      <c r="F146" s="25">
        <v>1.98</v>
      </c>
      <c r="G146" s="29">
        <v>125</v>
      </c>
      <c r="H146" s="27">
        <v>3</v>
      </c>
      <c r="I146" s="29">
        <v>1506</v>
      </c>
      <c r="J146" s="29">
        <v>529940</v>
      </c>
      <c r="K146" s="29">
        <v>0</v>
      </c>
      <c r="L146" s="29">
        <v>529940</v>
      </c>
      <c r="M146" s="29">
        <v>94080</v>
      </c>
      <c r="N146" s="29">
        <v>104893</v>
      </c>
      <c r="O146" s="29">
        <v>668</v>
      </c>
      <c r="P146" s="29">
        <v>65524</v>
      </c>
      <c r="Q146" s="29">
        <v>7542</v>
      </c>
      <c r="R146" s="29">
        <v>802647</v>
      </c>
      <c r="S146" s="29">
        <v>97039</v>
      </c>
      <c r="T146" s="29">
        <v>705608</v>
      </c>
      <c r="U146" s="29">
        <v>391376</v>
      </c>
      <c r="V146" s="29">
        <v>314232</v>
      </c>
    </row>
    <row r="147" spans="1:22" x14ac:dyDescent="0.2">
      <c r="A147" s="20" t="s">
        <v>197</v>
      </c>
      <c r="B147" s="20" t="s">
        <v>590</v>
      </c>
      <c r="C147" s="25">
        <v>480.65</v>
      </c>
      <c r="D147" s="27">
        <v>3436.6</v>
      </c>
      <c r="E147" s="25">
        <v>3917.25</v>
      </c>
      <c r="F147" s="25">
        <v>0</v>
      </c>
      <c r="G147" s="29">
        <v>7</v>
      </c>
      <c r="H147" s="27">
        <v>0</v>
      </c>
      <c r="I147" s="29">
        <v>3444</v>
      </c>
      <c r="J147" s="29">
        <v>1276553</v>
      </c>
      <c r="K147" s="29">
        <v>0</v>
      </c>
      <c r="L147" s="29">
        <v>1276553</v>
      </c>
      <c r="M147" s="29">
        <v>213666</v>
      </c>
      <c r="N147" s="29">
        <v>234709</v>
      </c>
      <c r="O147" s="29">
        <v>0</v>
      </c>
      <c r="P147" s="29">
        <v>108704</v>
      </c>
      <c r="Q147" s="29">
        <v>13632</v>
      </c>
      <c r="R147" s="29">
        <v>1847264</v>
      </c>
      <c r="S147" s="29">
        <v>182723</v>
      </c>
      <c r="T147" s="29">
        <v>1664541</v>
      </c>
      <c r="U147" s="29">
        <v>973767</v>
      </c>
      <c r="V147" s="29">
        <v>690774</v>
      </c>
    </row>
    <row r="148" spans="1:22" x14ac:dyDescent="0.2">
      <c r="A148" s="20" t="s">
        <v>198</v>
      </c>
      <c r="B148" s="20" t="s">
        <v>591</v>
      </c>
      <c r="C148" s="25">
        <v>89.97</v>
      </c>
      <c r="D148" s="27">
        <v>838.8</v>
      </c>
      <c r="E148" s="25">
        <v>928.77</v>
      </c>
      <c r="F148" s="25">
        <v>0</v>
      </c>
      <c r="G148" s="29">
        <v>8</v>
      </c>
      <c r="H148" s="27">
        <v>0</v>
      </c>
      <c r="I148" s="29">
        <v>847</v>
      </c>
      <c r="J148" s="29">
        <v>302668</v>
      </c>
      <c r="K148" s="29">
        <v>0</v>
      </c>
      <c r="L148" s="29">
        <v>302668</v>
      </c>
      <c r="M148" s="29">
        <v>52548</v>
      </c>
      <c r="N148" s="29">
        <v>57723</v>
      </c>
      <c r="O148" s="29">
        <v>0</v>
      </c>
      <c r="P148" s="29">
        <v>25773</v>
      </c>
      <c r="Q148" s="29">
        <v>3232</v>
      </c>
      <c r="R148" s="29">
        <v>441944</v>
      </c>
      <c r="S148" s="29">
        <v>44215</v>
      </c>
      <c r="T148" s="29">
        <v>397729</v>
      </c>
      <c r="U148" s="29">
        <v>229985</v>
      </c>
      <c r="V148" s="29">
        <v>167744</v>
      </c>
    </row>
    <row r="149" spans="1:22" x14ac:dyDescent="0.2">
      <c r="A149" s="20" t="s">
        <v>154</v>
      </c>
      <c r="B149" s="20" t="s">
        <v>548</v>
      </c>
      <c r="C149" s="25">
        <v>1584.14</v>
      </c>
      <c r="D149" s="27">
        <v>14439.8</v>
      </c>
      <c r="E149" s="25">
        <v>16023.94</v>
      </c>
      <c r="F149" s="25">
        <v>18.54</v>
      </c>
      <c r="G149" s="29">
        <v>1139</v>
      </c>
      <c r="H149" s="27">
        <v>9.6</v>
      </c>
      <c r="I149" s="29">
        <v>15569</v>
      </c>
      <c r="J149" s="29">
        <v>5335652</v>
      </c>
      <c r="K149" s="29">
        <v>0</v>
      </c>
      <c r="L149" s="29">
        <v>5335652</v>
      </c>
      <c r="M149" s="29">
        <v>967769</v>
      </c>
      <c r="N149" s="29">
        <v>1063830</v>
      </c>
      <c r="O149" s="29">
        <v>6173</v>
      </c>
      <c r="P149" s="29">
        <v>505075</v>
      </c>
      <c r="Q149" s="29">
        <v>58808</v>
      </c>
      <c r="R149" s="29">
        <v>7937307</v>
      </c>
      <c r="S149" s="29">
        <v>637927</v>
      </c>
      <c r="T149" s="29">
        <v>7299380</v>
      </c>
      <c r="U149" s="29">
        <v>4161171</v>
      </c>
      <c r="V149" s="29">
        <v>3138209</v>
      </c>
    </row>
    <row r="150" spans="1:22" x14ac:dyDescent="0.2">
      <c r="A150" s="20" t="s">
        <v>93</v>
      </c>
      <c r="B150" s="20" t="s">
        <v>491</v>
      </c>
      <c r="C150" s="25">
        <v>125.31</v>
      </c>
      <c r="D150" s="27">
        <v>1002.3</v>
      </c>
      <c r="E150" s="25">
        <v>1127.6099999999999</v>
      </c>
      <c r="F150" s="25">
        <v>1.42</v>
      </c>
      <c r="G150" s="29">
        <v>1</v>
      </c>
      <c r="H150" s="27">
        <v>0</v>
      </c>
      <c r="I150" s="29">
        <v>1003</v>
      </c>
      <c r="J150" s="29">
        <v>380298</v>
      </c>
      <c r="K150" s="29">
        <v>0</v>
      </c>
      <c r="L150" s="29">
        <v>380298</v>
      </c>
      <c r="M150" s="29">
        <v>62657</v>
      </c>
      <c r="N150" s="29">
        <v>69859</v>
      </c>
      <c r="O150" s="29">
        <v>479</v>
      </c>
      <c r="P150" s="29">
        <v>47021</v>
      </c>
      <c r="Q150" s="29">
        <v>5413</v>
      </c>
      <c r="R150" s="29">
        <v>565727</v>
      </c>
      <c r="S150" s="29">
        <v>65316</v>
      </c>
      <c r="T150" s="29">
        <v>500411</v>
      </c>
      <c r="U150" s="29">
        <v>285182</v>
      </c>
      <c r="V150" s="29">
        <v>215229</v>
      </c>
    </row>
    <row r="151" spans="1:22" x14ac:dyDescent="0.2">
      <c r="A151" s="20" t="s">
        <v>155</v>
      </c>
      <c r="B151" s="20" t="s">
        <v>549</v>
      </c>
      <c r="C151" s="25">
        <v>51.44</v>
      </c>
      <c r="D151" s="27">
        <v>500</v>
      </c>
      <c r="E151" s="25">
        <v>551.44000000000005</v>
      </c>
      <c r="F151" s="25">
        <v>0.64</v>
      </c>
      <c r="G151" s="29">
        <v>4</v>
      </c>
      <c r="H151" s="27">
        <v>0</v>
      </c>
      <c r="I151" s="29">
        <v>504</v>
      </c>
      <c r="J151" s="29">
        <v>183618</v>
      </c>
      <c r="K151" s="29">
        <v>3990</v>
      </c>
      <c r="L151" s="29">
        <v>187608</v>
      </c>
      <c r="M151" s="29">
        <v>31329</v>
      </c>
      <c r="N151" s="29">
        <v>34438</v>
      </c>
      <c r="O151" s="29">
        <v>213</v>
      </c>
      <c r="P151" s="29">
        <v>17381</v>
      </c>
      <c r="Q151" s="29">
        <v>2024</v>
      </c>
      <c r="R151" s="29">
        <v>272993</v>
      </c>
      <c r="S151" s="29">
        <v>40646</v>
      </c>
      <c r="T151" s="29">
        <v>232347</v>
      </c>
      <c r="U151" s="29">
        <v>124508</v>
      </c>
      <c r="V151" s="29">
        <v>107839</v>
      </c>
    </row>
    <row r="152" spans="1:22" x14ac:dyDescent="0.2">
      <c r="A152" s="20" t="s">
        <v>285</v>
      </c>
      <c r="B152" s="20" t="s">
        <v>673</v>
      </c>
      <c r="C152" s="25">
        <v>89.09</v>
      </c>
      <c r="D152" s="27">
        <v>666.1</v>
      </c>
      <c r="E152" s="25">
        <v>755.19</v>
      </c>
      <c r="F152" s="25">
        <v>1.58</v>
      </c>
      <c r="G152" s="29">
        <v>12</v>
      </c>
      <c r="H152" s="27">
        <v>0</v>
      </c>
      <c r="I152" s="29">
        <v>678</v>
      </c>
      <c r="J152" s="29">
        <v>252188</v>
      </c>
      <c r="K152" s="29">
        <v>0</v>
      </c>
      <c r="L152" s="29">
        <v>252188</v>
      </c>
      <c r="M152" s="29">
        <v>42151</v>
      </c>
      <c r="N152" s="29">
        <v>46599</v>
      </c>
      <c r="O152" s="29">
        <v>528</v>
      </c>
      <c r="P152" s="29">
        <v>25895</v>
      </c>
      <c r="Q152" s="29">
        <v>2794</v>
      </c>
      <c r="R152" s="29">
        <v>370155</v>
      </c>
      <c r="S152" s="29">
        <v>59154</v>
      </c>
      <c r="T152" s="29">
        <v>311001</v>
      </c>
      <c r="U152" s="29">
        <v>169322</v>
      </c>
      <c r="V152" s="29">
        <v>141679</v>
      </c>
    </row>
    <row r="153" spans="1:22" x14ac:dyDescent="0.2">
      <c r="A153" s="20" t="s">
        <v>94</v>
      </c>
      <c r="B153" s="20" t="s">
        <v>492</v>
      </c>
      <c r="C153" s="25">
        <v>56.36</v>
      </c>
      <c r="D153" s="27">
        <v>440.9</v>
      </c>
      <c r="E153" s="25">
        <v>497.26</v>
      </c>
      <c r="F153" s="25">
        <v>0.63</v>
      </c>
      <c r="G153" s="29">
        <v>10</v>
      </c>
      <c r="H153" s="27">
        <v>0</v>
      </c>
      <c r="I153" s="29">
        <v>451</v>
      </c>
      <c r="J153" s="29">
        <v>167706</v>
      </c>
      <c r="K153" s="29">
        <v>0</v>
      </c>
      <c r="L153" s="29">
        <v>167706</v>
      </c>
      <c r="M153" s="29">
        <v>28174</v>
      </c>
      <c r="N153" s="29">
        <v>31412</v>
      </c>
      <c r="O153" s="29">
        <v>212</v>
      </c>
      <c r="P153" s="29">
        <v>20736</v>
      </c>
      <c r="Q153" s="29">
        <v>2387</v>
      </c>
      <c r="R153" s="29">
        <v>250627</v>
      </c>
      <c r="S153" s="29">
        <v>20933</v>
      </c>
      <c r="T153" s="29">
        <v>229694</v>
      </c>
      <c r="U153" s="29">
        <v>133633</v>
      </c>
      <c r="V153" s="29">
        <v>96061</v>
      </c>
    </row>
    <row r="154" spans="1:22" x14ac:dyDescent="0.2">
      <c r="A154" s="20" t="s">
        <v>35</v>
      </c>
      <c r="B154" s="20" t="s">
        <v>444</v>
      </c>
      <c r="C154" s="25">
        <v>163.86</v>
      </c>
      <c r="D154" s="27">
        <v>1185</v>
      </c>
      <c r="E154" s="25">
        <v>1348.86</v>
      </c>
      <c r="F154" s="25">
        <v>0</v>
      </c>
      <c r="G154" s="29">
        <v>2</v>
      </c>
      <c r="H154" s="27">
        <v>0</v>
      </c>
      <c r="I154" s="29">
        <v>1187</v>
      </c>
      <c r="J154" s="29">
        <v>463859</v>
      </c>
      <c r="K154" s="29">
        <v>0</v>
      </c>
      <c r="L154" s="29">
        <v>463859</v>
      </c>
      <c r="M154" s="29">
        <v>74211</v>
      </c>
      <c r="N154" s="29">
        <v>83126</v>
      </c>
      <c r="O154" s="29">
        <v>0</v>
      </c>
      <c r="P154" s="29">
        <v>49139</v>
      </c>
      <c r="Q154" s="29">
        <v>5841</v>
      </c>
      <c r="R154" s="29">
        <v>676176</v>
      </c>
      <c r="S154" s="29">
        <v>103986</v>
      </c>
      <c r="T154" s="29">
        <v>572190</v>
      </c>
      <c r="U154" s="29">
        <v>307093</v>
      </c>
      <c r="V154" s="29">
        <v>265097</v>
      </c>
    </row>
    <row r="155" spans="1:22" x14ac:dyDescent="0.2">
      <c r="A155" s="20" t="s">
        <v>95</v>
      </c>
      <c r="B155" s="20" t="s">
        <v>493</v>
      </c>
      <c r="C155" s="25">
        <v>120.58</v>
      </c>
      <c r="D155" s="27">
        <v>894.1</v>
      </c>
      <c r="E155" s="25">
        <v>1014.68</v>
      </c>
      <c r="F155" s="25">
        <v>1.28</v>
      </c>
      <c r="G155" s="29">
        <v>110</v>
      </c>
      <c r="H155" s="27">
        <v>0.2</v>
      </c>
      <c r="I155" s="29">
        <v>1004</v>
      </c>
      <c r="J155" s="29">
        <v>342211</v>
      </c>
      <c r="K155" s="29">
        <v>0</v>
      </c>
      <c r="L155" s="29">
        <v>342211</v>
      </c>
      <c r="M155" s="29">
        <v>62720</v>
      </c>
      <c r="N155" s="29">
        <v>69929</v>
      </c>
      <c r="O155" s="29">
        <v>432</v>
      </c>
      <c r="P155" s="29">
        <v>42312</v>
      </c>
      <c r="Q155" s="29">
        <v>4870</v>
      </c>
      <c r="R155" s="29">
        <v>522474</v>
      </c>
      <c r="S155" s="29">
        <v>53876</v>
      </c>
      <c r="T155" s="29">
        <v>468598</v>
      </c>
      <c r="U155" s="29">
        <v>261519</v>
      </c>
      <c r="V155" s="29">
        <v>207079</v>
      </c>
    </row>
    <row r="156" spans="1:22" x14ac:dyDescent="0.2">
      <c r="A156" s="20" t="s">
        <v>199</v>
      </c>
      <c r="B156" s="20" t="s">
        <v>592</v>
      </c>
      <c r="C156" s="25">
        <v>801.57</v>
      </c>
      <c r="D156" s="27">
        <v>6984.8</v>
      </c>
      <c r="E156" s="25">
        <v>7786.37</v>
      </c>
      <c r="F156" s="25">
        <v>0</v>
      </c>
      <c r="G156" s="29">
        <v>423</v>
      </c>
      <c r="H156" s="27">
        <v>0</v>
      </c>
      <c r="I156" s="29">
        <v>7408</v>
      </c>
      <c r="J156" s="29">
        <v>2537422</v>
      </c>
      <c r="K156" s="29">
        <v>0</v>
      </c>
      <c r="L156" s="29">
        <v>2537422</v>
      </c>
      <c r="M156" s="29">
        <v>459592</v>
      </c>
      <c r="N156" s="29">
        <v>504855</v>
      </c>
      <c r="O156" s="29">
        <v>0</v>
      </c>
      <c r="P156" s="29">
        <v>216072</v>
      </c>
      <c r="Q156" s="29">
        <v>27097</v>
      </c>
      <c r="R156" s="29">
        <v>3745038</v>
      </c>
      <c r="S156" s="29">
        <v>236604</v>
      </c>
      <c r="T156" s="29">
        <v>3508434</v>
      </c>
      <c r="U156" s="29">
        <v>2062167</v>
      </c>
      <c r="V156" s="29">
        <v>1446267</v>
      </c>
    </row>
    <row r="157" spans="1:22" x14ac:dyDescent="0.2">
      <c r="A157" s="20" t="s">
        <v>320</v>
      </c>
      <c r="B157" s="20" t="s">
        <v>707</v>
      </c>
      <c r="C157" s="25">
        <v>337.46</v>
      </c>
      <c r="D157" s="27">
        <v>1850</v>
      </c>
      <c r="E157" s="25">
        <v>2187.46</v>
      </c>
      <c r="F157" s="25">
        <v>5.13</v>
      </c>
      <c r="G157" s="29">
        <v>58</v>
      </c>
      <c r="H157" s="27">
        <v>0</v>
      </c>
      <c r="I157" s="29">
        <v>1908</v>
      </c>
      <c r="J157" s="29">
        <v>724705</v>
      </c>
      <c r="K157" s="29">
        <v>0</v>
      </c>
      <c r="L157" s="29">
        <v>724705</v>
      </c>
      <c r="M157" s="29">
        <v>118563</v>
      </c>
      <c r="N157" s="29">
        <v>130316</v>
      </c>
      <c r="O157" s="29">
        <v>1700</v>
      </c>
      <c r="P157" s="29">
        <v>72842</v>
      </c>
      <c r="Q157" s="29">
        <v>7984</v>
      </c>
      <c r="R157" s="29">
        <v>1056110</v>
      </c>
      <c r="S157" s="29">
        <v>137240</v>
      </c>
      <c r="T157" s="29">
        <v>918870</v>
      </c>
      <c r="U157" s="29">
        <v>522430</v>
      </c>
      <c r="V157" s="29">
        <v>396440</v>
      </c>
    </row>
    <row r="158" spans="1:22" x14ac:dyDescent="0.2">
      <c r="A158" s="20" t="s">
        <v>321</v>
      </c>
      <c r="B158" s="20" t="s">
        <v>708</v>
      </c>
      <c r="C158" s="25">
        <v>41.83</v>
      </c>
      <c r="D158" s="27">
        <v>360.7</v>
      </c>
      <c r="E158" s="25">
        <v>402.53</v>
      </c>
      <c r="F158" s="25">
        <v>0.94</v>
      </c>
      <c r="G158" s="29">
        <v>2</v>
      </c>
      <c r="H158" s="27">
        <v>0</v>
      </c>
      <c r="I158" s="29">
        <v>363</v>
      </c>
      <c r="J158" s="29">
        <v>133358</v>
      </c>
      <c r="K158" s="29">
        <v>0</v>
      </c>
      <c r="L158" s="29">
        <v>133358</v>
      </c>
      <c r="M158" s="29">
        <v>22557</v>
      </c>
      <c r="N158" s="29">
        <v>24793</v>
      </c>
      <c r="O158" s="29">
        <v>311</v>
      </c>
      <c r="P158" s="29">
        <v>13404</v>
      </c>
      <c r="Q158" s="29">
        <v>1469</v>
      </c>
      <c r="R158" s="29">
        <v>195892</v>
      </c>
      <c r="S158" s="29">
        <v>23360</v>
      </c>
      <c r="T158" s="29">
        <v>172532</v>
      </c>
      <c r="U158" s="29">
        <v>98029</v>
      </c>
      <c r="V158" s="29">
        <v>74503</v>
      </c>
    </row>
    <row r="159" spans="1:22" x14ac:dyDescent="0.2">
      <c r="A159" s="20" t="s">
        <v>241</v>
      </c>
      <c r="B159" s="20" t="s">
        <v>631</v>
      </c>
      <c r="C159" s="25">
        <v>69.25</v>
      </c>
      <c r="D159" s="27">
        <v>471.1</v>
      </c>
      <c r="E159" s="25">
        <v>540.35</v>
      </c>
      <c r="F159" s="25">
        <v>1.04</v>
      </c>
      <c r="G159" s="29">
        <v>8</v>
      </c>
      <c r="H159" s="27">
        <v>0</v>
      </c>
      <c r="I159" s="29">
        <v>479</v>
      </c>
      <c r="J159" s="29">
        <v>184000</v>
      </c>
      <c r="K159" s="29">
        <v>0</v>
      </c>
      <c r="L159" s="29">
        <v>184000</v>
      </c>
      <c r="M159" s="29">
        <v>29914</v>
      </c>
      <c r="N159" s="29">
        <v>33496</v>
      </c>
      <c r="O159" s="29">
        <v>354</v>
      </c>
      <c r="P159" s="29">
        <v>18539</v>
      </c>
      <c r="Q159" s="29">
        <v>2210</v>
      </c>
      <c r="R159" s="29">
        <v>268513</v>
      </c>
      <c r="S159" s="29">
        <v>28587</v>
      </c>
      <c r="T159" s="29">
        <v>239926</v>
      </c>
      <c r="U159" s="29">
        <v>135089</v>
      </c>
      <c r="V159" s="29">
        <v>104837</v>
      </c>
    </row>
    <row r="160" spans="1:22" x14ac:dyDescent="0.2">
      <c r="A160" s="20" t="s">
        <v>200</v>
      </c>
      <c r="B160" s="20" t="s">
        <v>593</v>
      </c>
      <c r="C160" s="25">
        <v>225.62</v>
      </c>
      <c r="D160" s="27">
        <v>1761.2</v>
      </c>
      <c r="E160" s="25">
        <v>1986.82</v>
      </c>
      <c r="F160" s="25">
        <v>0</v>
      </c>
      <c r="G160" s="29">
        <v>11</v>
      </c>
      <c r="H160" s="27">
        <v>0</v>
      </c>
      <c r="I160" s="29">
        <v>1772</v>
      </c>
      <c r="J160" s="29">
        <v>647465</v>
      </c>
      <c r="K160" s="29">
        <v>0</v>
      </c>
      <c r="L160" s="29">
        <v>647465</v>
      </c>
      <c r="M160" s="29">
        <v>109935</v>
      </c>
      <c r="N160" s="29">
        <v>120762</v>
      </c>
      <c r="O160" s="29">
        <v>0</v>
      </c>
      <c r="P160" s="29">
        <v>55134</v>
      </c>
      <c r="Q160" s="29">
        <v>6914</v>
      </c>
      <c r="R160" s="29">
        <v>940210</v>
      </c>
      <c r="S160" s="29">
        <v>117698</v>
      </c>
      <c r="T160" s="29">
        <v>822512</v>
      </c>
      <c r="U160" s="29">
        <v>468870</v>
      </c>
      <c r="V160" s="29">
        <v>353642</v>
      </c>
    </row>
    <row r="161" spans="1:22" x14ac:dyDescent="0.2">
      <c r="A161" s="20" t="s">
        <v>96</v>
      </c>
      <c r="B161" s="20" t="s">
        <v>494</v>
      </c>
      <c r="C161" s="25">
        <v>74.650000000000006</v>
      </c>
      <c r="D161" s="27">
        <v>565.1</v>
      </c>
      <c r="E161" s="25">
        <v>639.75</v>
      </c>
      <c r="F161" s="25">
        <v>0.81</v>
      </c>
      <c r="G161" s="29">
        <v>1</v>
      </c>
      <c r="H161" s="27">
        <v>0</v>
      </c>
      <c r="I161" s="29">
        <v>566</v>
      </c>
      <c r="J161" s="29">
        <v>215762</v>
      </c>
      <c r="K161" s="29">
        <v>0</v>
      </c>
      <c r="L161" s="29">
        <v>215762</v>
      </c>
      <c r="M161" s="29">
        <v>35358</v>
      </c>
      <c r="N161" s="29">
        <v>39422</v>
      </c>
      <c r="O161" s="29">
        <v>273</v>
      </c>
      <c r="P161" s="29">
        <v>26678</v>
      </c>
      <c r="Q161" s="29">
        <v>3071</v>
      </c>
      <c r="R161" s="29">
        <v>320564</v>
      </c>
      <c r="S161" s="29">
        <v>43283</v>
      </c>
      <c r="T161" s="29">
        <v>277281</v>
      </c>
      <c r="U161" s="29">
        <v>155574</v>
      </c>
      <c r="V161" s="29">
        <v>121707</v>
      </c>
    </row>
    <row r="162" spans="1:22" x14ac:dyDescent="0.2">
      <c r="A162" s="20" t="s">
        <v>286</v>
      </c>
      <c r="B162" s="20" t="s">
        <v>674</v>
      </c>
      <c r="C162" s="25">
        <v>56.14</v>
      </c>
      <c r="D162" s="27">
        <v>336.8</v>
      </c>
      <c r="E162" s="25">
        <v>392.94</v>
      </c>
      <c r="F162" s="25">
        <v>0.81</v>
      </c>
      <c r="G162" s="29">
        <v>0</v>
      </c>
      <c r="H162" s="27">
        <v>0</v>
      </c>
      <c r="I162" s="29">
        <v>337</v>
      </c>
      <c r="J162" s="29">
        <v>131218</v>
      </c>
      <c r="K162" s="29">
        <v>0</v>
      </c>
      <c r="L162" s="29">
        <v>131218</v>
      </c>
      <c r="M162" s="29">
        <v>20951</v>
      </c>
      <c r="N162" s="29">
        <v>23162</v>
      </c>
      <c r="O162" s="29">
        <v>270</v>
      </c>
      <c r="P162" s="29">
        <v>13474</v>
      </c>
      <c r="Q162" s="29">
        <v>1454</v>
      </c>
      <c r="R162" s="29">
        <v>190529</v>
      </c>
      <c r="S162" s="29">
        <v>22178</v>
      </c>
      <c r="T162" s="29">
        <v>168351</v>
      </c>
      <c r="U162" s="29">
        <v>96700</v>
      </c>
      <c r="V162" s="29">
        <v>71651</v>
      </c>
    </row>
    <row r="163" spans="1:22" x14ac:dyDescent="0.2">
      <c r="A163" s="20" t="s">
        <v>38</v>
      </c>
      <c r="B163" s="20" t="s">
        <v>447</v>
      </c>
      <c r="C163" s="25">
        <v>56.26</v>
      </c>
      <c r="D163" s="27">
        <v>299.3</v>
      </c>
      <c r="E163" s="25">
        <v>355.56</v>
      </c>
      <c r="F163" s="25">
        <v>0</v>
      </c>
      <c r="G163" s="29">
        <v>2</v>
      </c>
      <c r="H163" s="27">
        <v>0</v>
      </c>
      <c r="I163" s="29">
        <v>301</v>
      </c>
      <c r="J163" s="29">
        <v>122274</v>
      </c>
      <c r="K163" s="29">
        <v>0</v>
      </c>
      <c r="L163" s="29">
        <v>122274</v>
      </c>
      <c r="M163" s="29">
        <v>18819</v>
      </c>
      <c r="N163" s="29">
        <v>21079</v>
      </c>
      <c r="O163" s="29">
        <v>0</v>
      </c>
      <c r="P163" s="29">
        <v>12953</v>
      </c>
      <c r="Q163" s="29">
        <v>1540</v>
      </c>
      <c r="R163" s="29">
        <v>176665</v>
      </c>
      <c r="S163" s="29">
        <v>28583</v>
      </c>
      <c r="T163" s="29">
        <v>148082</v>
      </c>
      <c r="U163" s="29">
        <v>79778</v>
      </c>
      <c r="V163" s="29">
        <v>68304</v>
      </c>
    </row>
    <row r="164" spans="1:22" x14ac:dyDescent="0.2">
      <c r="A164" s="20" t="s">
        <v>242</v>
      </c>
      <c r="B164" s="20" t="s">
        <v>632</v>
      </c>
      <c r="C164" s="25">
        <v>58.84</v>
      </c>
      <c r="D164" s="27">
        <v>611.5</v>
      </c>
      <c r="E164" s="25">
        <v>670.34</v>
      </c>
      <c r="F164" s="25">
        <v>1.29</v>
      </c>
      <c r="G164" s="29">
        <v>19</v>
      </c>
      <c r="H164" s="27">
        <v>0</v>
      </c>
      <c r="I164" s="29">
        <v>631</v>
      </c>
      <c r="J164" s="29">
        <v>228264</v>
      </c>
      <c r="K164" s="29">
        <v>0</v>
      </c>
      <c r="L164" s="29">
        <v>228264</v>
      </c>
      <c r="M164" s="29">
        <v>39406</v>
      </c>
      <c r="N164" s="29">
        <v>44126</v>
      </c>
      <c r="O164" s="29">
        <v>439</v>
      </c>
      <c r="P164" s="29">
        <v>22999</v>
      </c>
      <c r="Q164" s="29">
        <v>2742</v>
      </c>
      <c r="R164" s="29">
        <v>337976</v>
      </c>
      <c r="S164" s="29">
        <v>37024</v>
      </c>
      <c r="T164" s="29">
        <v>300952</v>
      </c>
      <c r="U164" s="29">
        <v>166027</v>
      </c>
      <c r="V164" s="29">
        <v>134925</v>
      </c>
    </row>
    <row r="165" spans="1:22" x14ac:dyDescent="0.2">
      <c r="A165" s="20" t="s">
        <v>80</v>
      </c>
      <c r="B165" s="20" t="s">
        <v>480</v>
      </c>
      <c r="C165" s="25">
        <v>59.76</v>
      </c>
      <c r="D165" s="27">
        <v>525.20000000000005</v>
      </c>
      <c r="E165" s="25">
        <v>584.96</v>
      </c>
      <c r="F165" s="25">
        <v>0.74</v>
      </c>
      <c r="G165" s="29">
        <v>9</v>
      </c>
      <c r="H165" s="27">
        <v>0</v>
      </c>
      <c r="I165" s="29">
        <v>534</v>
      </c>
      <c r="J165" s="29">
        <v>197284</v>
      </c>
      <c r="K165" s="29">
        <v>18319</v>
      </c>
      <c r="L165" s="29">
        <v>215603</v>
      </c>
      <c r="M165" s="29">
        <v>33359</v>
      </c>
      <c r="N165" s="29">
        <v>37193</v>
      </c>
      <c r="O165" s="29">
        <v>250</v>
      </c>
      <c r="P165" s="29">
        <v>25615</v>
      </c>
      <c r="Q165" s="29">
        <v>2945</v>
      </c>
      <c r="R165" s="29">
        <v>314965</v>
      </c>
      <c r="S165" s="29">
        <v>48097</v>
      </c>
      <c r="T165" s="29">
        <v>266868</v>
      </c>
      <c r="U165" s="29">
        <v>135088</v>
      </c>
      <c r="V165" s="29">
        <v>131780</v>
      </c>
    </row>
    <row r="166" spans="1:22" x14ac:dyDescent="0.2">
      <c r="A166" s="20" t="s">
        <v>243</v>
      </c>
      <c r="B166" s="20" t="s">
        <v>633</v>
      </c>
      <c r="C166" s="25">
        <v>337.9</v>
      </c>
      <c r="D166" s="27">
        <v>2235.3000000000002</v>
      </c>
      <c r="E166" s="25">
        <v>2573.1999999999998</v>
      </c>
      <c r="F166" s="25">
        <v>4.95</v>
      </c>
      <c r="G166" s="29">
        <v>461</v>
      </c>
      <c r="H166" s="27">
        <v>2.8</v>
      </c>
      <c r="I166" s="29">
        <v>2694</v>
      </c>
      <c r="J166" s="29">
        <v>876226</v>
      </c>
      <c r="K166" s="29">
        <v>0</v>
      </c>
      <c r="L166" s="29">
        <v>876226</v>
      </c>
      <c r="M166" s="29">
        <v>168240</v>
      </c>
      <c r="N166" s="29">
        <v>188391</v>
      </c>
      <c r="O166" s="29">
        <v>1686</v>
      </c>
      <c r="P166" s="29">
        <v>88286</v>
      </c>
      <c r="Q166" s="29">
        <v>10524</v>
      </c>
      <c r="R166" s="29">
        <v>1333353</v>
      </c>
      <c r="S166" s="29">
        <v>138160</v>
      </c>
      <c r="T166" s="29">
        <v>1195193</v>
      </c>
      <c r="U166" s="29">
        <v>641282</v>
      </c>
      <c r="V166" s="29">
        <v>553911</v>
      </c>
    </row>
    <row r="167" spans="1:22" x14ac:dyDescent="0.2">
      <c r="A167" s="20" t="s">
        <v>287</v>
      </c>
      <c r="B167" s="20" t="s">
        <v>675</v>
      </c>
      <c r="C167" s="25">
        <v>44.38</v>
      </c>
      <c r="D167" s="27">
        <v>450.4</v>
      </c>
      <c r="E167" s="25">
        <v>494.78</v>
      </c>
      <c r="F167" s="25">
        <v>1.04</v>
      </c>
      <c r="G167" s="29">
        <v>1</v>
      </c>
      <c r="H167" s="27">
        <v>0</v>
      </c>
      <c r="I167" s="29">
        <v>451</v>
      </c>
      <c r="J167" s="29">
        <v>165227</v>
      </c>
      <c r="K167" s="29">
        <v>0</v>
      </c>
      <c r="L167" s="29">
        <v>165227</v>
      </c>
      <c r="M167" s="29">
        <v>28039</v>
      </c>
      <c r="N167" s="29">
        <v>30997</v>
      </c>
      <c r="O167" s="29">
        <v>347</v>
      </c>
      <c r="P167" s="29">
        <v>16966</v>
      </c>
      <c r="Q167" s="29">
        <v>1831</v>
      </c>
      <c r="R167" s="29">
        <v>243407</v>
      </c>
      <c r="S167" s="29">
        <v>28654</v>
      </c>
      <c r="T167" s="29">
        <v>214753</v>
      </c>
      <c r="U167" s="29">
        <v>121039</v>
      </c>
      <c r="V167" s="29">
        <v>93714</v>
      </c>
    </row>
    <row r="168" spans="1:22" x14ac:dyDescent="0.2">
      <c r="A168" s="20" t="s">
        <v>288</v>
      </c>
      <c r="B168" s="20" t="s">
        <v>676</v>
      </c>
      <c r="C168" s="25">
        <v>399.76</v>
      </c>
      <c r="D168" s="27">
        <v>2655.6</v>
      </c>
      <c r="E168" s="25">
        <v>3055.36</v>
      </c>
      <c r="F168" s="25">
        <v>6.41</v>
      </c>
      <c r="G168" s="29">
        <v>207</v>
      </c>
      <c r="H168" s="27">
        <v>0.2</v>
      </c>
      <c r="I168" s="29">
        <v>2862</v>
      </c>
      <c r="J168" s="29">
        <v>1020307</v>
      </c>
      <c r="K168" s="29">
        <v>0</v>
      </c>
      <c r="L168" s="29">
        <v>1020307</v>
      </c>
      <c r="M168" s="29">
        <v>177931</v>
      </c>
      <c r="N168" s="29">
        <v>196705</v>
      </c>
      <c r="O168" s="29">
        <v>2141</v>
      </c>
      <c r="P168" s="29">
        <v>104768</v>
      </c>
      <c r="Q168" s="29">
        <v>11305</v>
      </c>
      <c r="R168" s="29">
        <v>1513157</v>
      </c>
      <c r="S168" s="29">
        <v>148030</v>
      </c>
      <c r="T168" s="29">
        <v>1365127</v>
      </c>
      <c r="U168" s="29">
        <v>776350</v>
      </c>
      <c r="V168" s="29">
        <v>588777</v>
      </c>
    </row>
    <row r="169" spans="1:22" x14ac:dyDescent="0.2">
      <c r="A169" s="20" t="s">
        <v>164</v>
      </c>
      <c r="B169" s="20" t="s">
        <v>558</v>
      </c>
      <c r="C169" s="25">
        <v>116.14</v>
      </c>
      <c r="D169" s="27">
        <v>725.8</v>
      </c>
      <c r="E169" s="25">
        <v>841.94</v>
      </c>
      <c r="F169" s="25">
        <v>0.97</v>
      </c>
      <c r="G169" s="29">
        <v>1</v>
      </c>
      <c r="H169" s="27">
        <v>0</v>
      </c>
      <c r="I169" s="29">
        <v>727</v>
      </c>
      <c r="J169" s="29">
        <v>280349</v>
      </c>
      <c r="K169" s="29">
        <v>675</v>
      </c>
      <c r="L169" s="29">
        <v>281024</v>
      </c>
      <c r="M169" s="29">
        <v>45190</v>
      </c>
      <c r="N169" s="29">
        <v>49676</v>
      </c>
      <c r="O169" s="29">
        <v>323</v>
      </c>
      <c r="P169" s="29">
        <v>26538</v>
      </c>
      <c r="Q169" s="29">
        <v>3090</v>
      </c>
      <c r="R169" s="29">
        <v>405841</v>
      </c>
      <c r="S169" s="29">
        <v>58463</v>
      </c>
      <c r="T169" s="29">
        <v>347378</v>
      </c>
      <c r="U169" s="29">
        <v>193693</v>
      </c>
      <c r="V169" s="29">
        <v>153685</v>
      </c>
    </row>
    <row r="170" spans="1:22" x14ac:dyDescent="0.2">
      <c r="A170" s="20" t="s">
        <v>156</v>
      </c>
      <c r="B170" s="20" t="s">
        <v>550</v>
      </c>
      <c r="C170" s="25">
        <v>807.41</v>
      </c>
      <c r="D170" s="27">
        <v>7685.5</v>
      </c>
      <c r="E170" s="25">
        <v>8492.91</v>
      </c>
      <c r="F170" s="25">
        <v>9.83</v>
      </c>
      <c r="G170" s="29">
        <v>446</v>
      </c>
      <c r="H170" s="27">
        <v>0</v>
      </c>
      <c r="I170" s="29">
        <v>8132</v>
      </c>
      <c r="J170" s="29">
        <v>2827969</v>
      </c>
      <c r="K170" s="29">
        <v>0</v>
      </c>
      <c r="L170" s="29">
        <v>2827969</v>
      </c>
      <c r="M170" s="29">
        <v>505485</v>
      </c>
      <c r="N170" s="29">
        <v>555660</v>
      </c>
      <c r="O170" s="29">
        <v>3273</v>
      </c>
      <c r="P170" s="29">
        <v>267697</v>
      </c>
      <c r="Q170" s="29">
        <v>31169</v>
      </c>
      <c r="R170" s="29">
        <v>4191253</v>
      </c>
      <c r="S170" s="29">
        <v>297570</v>
      </c>
      <c r="T170" s="29">
        <v>3893683</v>
      </c>
      <c r="U170" s="29">
        <v>2246019</v>
      </c>
      <c r="V170" s="29">
        <v>1647664</v>
      </c>
    </row>
    <row r="171" spans="1:22" x14ac:dyDescent="0.2">
      <c r="A171" s="20" t="s">
        <v>157</v>
      </c>
      <c r="B171" s="20" t="s">
        <v>551</v>
      </c>
      <c r="C171" s="25">
        <v>63.76</v>
      </c>
      <c r="D171" s="27">
        <v>671.1</v>
      </c>
      <c r="E171" s="25">
        <v>734.86</v>
      </c>
      <c r="F171" s="25">
        <v>0.85</v>
      </c>
      <c r="G171" s="29">
        <v>10</v>
      </c>
      <c r="H171" s="27">
        <v>0</v>
      </c>
      <c r="I171" s="29">
        <v>681</v>
      </c>
      <c r="J171" s="29">
        <v>244694</v>
      </c>
      <c r="K171" s="29">
        <v>0</v>
      </c>
      <c r="L171" s="29">
        <v>244694</v>
      </c>
      <c r="M171" s="29">
        <v>42331</v>
      </c>
      <c r="N171" s="29">
        <v>46533</v>
      </c>
      <c r="O171" s="29">
        <v>283</v>
      </c>
      <c r="P171" s="29">
        <v>23163</v>
      </c>
      <c r="Q171" s="29">
        <v>2697</v>
      </c>
      <c r="R171" s="29">
        <v>359701</v>
      </c>
      <c r="S171" s="29">
        <v>36156</v>
      </c>
      <c r="T171" s="29">
        <v>323545</v>
      </c>
      <c r="U171" s="29">
        <v>183931</v>
      </c>
      <c r="V171" s="29">
        <v>139614</v>
      </c>
    </row>
    <row r="172" spans="1:22" x14ac:dyDescent="0.2">
      <c r="A172" s="20" t="s">
        <v>289</v>
      </c>
      <c r="B172" s="20" t="s">
        <v>677</v>
      </c>
      <c r="C172" s="25">
        <v>55.56</v>
      </c>
      <c r="D172" s="27">
        <v>602.9</v>
      </c>
      <c r="E172" s="25">
        <v>658.46</v>
      </c>
      <c r="F172" s="25">
        <v>1.38</v>
      </c>
      <c r="G172" s="29">
        <v>0</v>
      </c>
      <c r="H172" s="27">
        <v>0</v>
      </c>
      <c r="I172" s="29">
        <v>603</v>
      </c>
      <c r="J172" s="29">
        <v>219886</v>
      </c>
      <c r="K172" s="29">
        <v>0</v>
      </c>
      <c r="L172" s="29">
        <v>219886</v>
      </c>
      <c r="M172" s="29">
        <v>37489</v>
      </c>
      <c r="N172" s="29">
        <v>41444</v>
      </c>
      <c r="O172" s="29">
        <v>461</v>
      </c>
      <c r="P172" s="29">
        <v>22579</v>
      </c>
      <c r="Q172" s="29">
        <v>2436</v>
      </c>
      <c r="R172" s="29">
        <v>324295</v>
      </c>
      <c r="S172" s="29">
        <v>37423</v>
      </c>
      <c r="T172" s="29">
        <v>286872</v>
      </c>
      <c r="U172" s="29">
        <v>161790</v>
      </c>
      <c r="V172" s="29">
        <v>125082</v>
      </c>
    </row>
    <row r="173" spans="1:22" x14ac:dyDescent="0.2">
      <c r="A173" s="20" t="s">
        <v>158</v>
      </c>
      <c r="B173" s="20" t="s">
        <v>552</v>
      </c>
      <c r="C173" s="25">
        <v>30.28</v>
      </c>
      <c r="D173" s="27">
        <v>316.8</v>
      </c>
      <c r="E173" s="25">
        <v>347.08</v>
      </c>
      <c r="F173" s="25">
        <v>0.4</v>
      </c>
      <c r="G173" s="29">
        <v>3</v>
      </c>
      <c r="H173" s="27">
        <v>0</v>
      </c>
      <c r="I173" s="29">
        <v>320</v>
      </c>
      <c r="J173" s="29">
        <v>115571</v>
      </c>
      <c r="K173" s="29">
        <v>13027</v>
      </c>
      <c r="L173" s="29">
        <v>128598</v>
      </c>
      <c r="M173" s="29">
        <v>19891</v>
      </c>
      <c r="N173" s="29">
        <v>21866</v>
      </c>
      <c r="O173" s="29">
        <v>133</v>
      </c>
      <c r="P173" s="29">
        <v>11252</v>
      </c>
      <c r="Q173" s="29">
        <v>1309</v>
      </c>
      <c r="R173" s="29">
        <v>183049</v>
      </c>
      <c r="S173" s="29">
        <v>24335</v>
      </c>
      <c r="T173" s="29">
        <v>158714</v>
      </c>
      <c r="U173" s="29">
        <v>79961</v>
      </c>
      <c r="V173" s="29">
        <v>78753</v>
      </c>
    </row>
    <row r="174" spans="1:22" x14ac:dyDescent="0.2">
      <c r="A174" s="20" t="s">
        <v>132</v>
      </c>
      <c r="B174" s="20" t="s">
        <v>529</v>
      </c>
      <c r="C174" s="25">
        <v>76.260000000000005</v>
      </c>
      <c r="D174" s="27">
        <v>687.2</v>
      </c>
      <c r="E174" s="25">
        <v>763.46</v>
      </c>
      <c r="F174" s="25">
        <v>0</v>
      </c>
      <c r="G174" s="29">
        <v>3</v>
      </c>
      <c r="H174" s="27">
        <v>0</v>
      </c>
      <c r="I174" s="29">
        <v>690</v>
      </c>
      <c r="J174" s="29">
        <v>255683</v>
      </c>
      <c r="K174" s="29">
        <v>0</v>
      </c>
      <c r="L174" s="29">
        <v>255683</v>
      </c>
      <c r="M174" s="29">
        <v>42766</v>
      </c>
      <c r="N174" s="29">
        <v>46734</v>
      </c>
      <c r="O174" s="29">
        <v>0</v>
      </c>
      <c r="P174" s="29">
        <v>23492</v>
      </c>
      <c r="Q174" s="29">
        <v>2756</v>
      </c>
      <c r="R174" s="29">
        <v>371431</v>
      </c>
      <c r="S174" s="29">
        <v>51617</v>
      </c>
      <c r="T174" s="29">
        <v>319814</v>
      </c>
      <c r="U174" s="29">
        <v>176184</v>
      </c>
      <c r="V174" s="29">
        <v>143630</v>
      </c>
    </row>
    <row r="175" spans="1:22" x14ac:dyDescent="0.2">
      <c r="A175" s="20" t="s">
        <v>201</v>
      </c>
      <c r="B175" s="20" t="s">
        <v>594</v>
      </c>
      <c r="C175" s="25">
        <v>57.19</v>
      </c>
      <c r="D175" s="27">
        <v>450</v>
      </c>
      <c r="E175" s="25">
        <v>507.19</v>
      </c>
      <c r="F175" s="25">
        <v>0</v>
      </c>
      <c r="G175" s="29">
        <v>70</v>
      </c>
      <c r="H175" s="27">
        <v>0</v>
      </c>
      <c r="I175" s="29">
        <v>520</v>
      </c>
      <c r="J175" s="29">
        <v>165283</v>
      </c>
      <c r="K175" s="29">
        <v>0</v>
      </c>
      <c r="L175" s="29">
        <v>165283</v>
      </c>
      <c r="M175" s="29">
        <v>32261</v>
      </c>
      <c r="N175" s="29">
        <v>35438</v>
      </c>
      <c r="O175" s="29">
        <v>0</v>
      </c>
      <c r="P175" s="29">
        <v>14075</v>
      </c>
      <c r="Q175" s="29">
        <v>1765</v>
      </c>
      <c r="R175" s="29">
        <v>248822</v>
      </c>
      <c r="S175" s="29">
        <v>30484</v>
      </c>
      <c r="T175" s="29">
        <v>218338</v>
      </c>
      <c r="U175" s="29">
        <v>119254</v>
      </c>
      <c r="V175" s="29">
        <v>99084</v>
      </c>
    </row>
    <row r="176" spans="1:22" x14ac:dyDescent="0.2">
      <c r="A176" s="20" t="s">
        <v>202</v>
      </c>
      <c r="B176" s="20" t="s">
        <v>595</v>
      </c>
      <c r="C176" s="25">
        <v>84.29</v>
      </c>
      <c r="D176" s="27">
        <v>670</v>
      </c>
      <c r="E176" s="25">
        <v>754.29</v>
      </c>
      <c r="F176" s="25">
        <v>0</v>
      </c>
      <c r="G176" s="29">
        <v>0</v>
      </c>
      <c r="H176" s="27">
        <v>0</v>
      </c>
      <c r="I176" s="29">
        <v>670</v>
      </c>
      <c r="J176" s="29">
        <v>245808</v>
      </c>
      <c r="K176" s="29">
        <v>0</v>
      </c>
      <c r="L176" s="29">
        <v>245808</v>
      </c>
      <c r="M176" s="29">
        <v>41567</v>
      </c>
      <c r="N176" s="29">
        <v>45661</v>
      </c>
      <c r="O176" s="29">
        <v>0</v>
      </c>
      <c r="P176" s="29">
        <v>20932</v>
      </c>
      <c r="Q176" s="29">
        <v>2625</v>
      </c>
      <c r="R176" s="29">
        <v>356593</v>
      </c>
      <c r="S176" s="29">
        <v>33847</v>
      </c>
      <c r="T176" s="29">
        <v>322746</v>
      </c>
      <c r="U176" s="29">
        <v>188843</v>
      </c>
      <c r="V176" s="29">
        <v>133903</v>
      </c>
    </row>
    <row r="177" spans="1:22" x14ac:dyDescent="0.2">
      <c r="A177" s="20" t="s">
        <v>277</v>
      </c>
      <c r="B177" s="20" t="s">
        <v>665</v>
      </c>
      <c r="C177" s="25">
        <v>90.67</v>
      </c>
      <c r="D177" s="27">
        <v>528.5</v>
      </c>
      <c r="E177" s="25">
        <v>619.16999999999996</v>
      </c>
      <c r="F177" s="25">
        <v>1.3</v>
      </c>
      <c r="G177" s="29">
        <v>0</v>
      </c>
      <c r="H177" s="27">
        <v>0</v>
      </c>
      <c r="I177" s="29">
        <v>529</v>
      </c>
      <c r="J177" s="29">
        <v>206766</v>
      </c>
      <c r="K177" s="29">
        <v>0</v>
      </c>
      <c r="L177" s="29">
        <v>206766</v>
      </c>
      <c r="M177" s="29">
        <v>32888</v>
      </c>
      <c r="N177" s="29">
        <v>36358</v>
      </c>
      <c r="O177" s="29">
        <v>434</v>
      </c>
      <c r="P177" s="29">
        <v>21231</v>
      </c>
      <c r="Q177" s="29">
        <v>2291</v>
      </c>
      <c r="R177" s="29">
        <v>299968</v>
      </c>
      <c r="S177" s="29">
        <v>41163</v>
      </c>
      <c r="T177" s="29">
        <v>258805</v>
      </c>
      <c r="U177" s="29">
        <v>146163</v>
      </c>
      <c r="V177" s="29">
        <v>112642</v>
      </c>
    </row>
    <row r="178" spans="1:22" x14ac:dyDescent="0.2">
      <c r="A178" s="20" t="s">
        <v>39</v>
      </c>
      <c r="B178" s="20" t="s">
        <v>448</v>
      </c>
      <c r="C178" s="25">
        <v>59.65</v>
      </c>
      <c r="D178" s="27">
        <v>655.6</v>
      </c>
      <c r="E178" s="25">
        <v>715.25</v>
      </c>
      <c r="F178" s="25">
        <v>0</v>
      </c>
      <c r="G178" s="29">
        <v>81</v>
      </c>
      <c r="H178" s="27">
        <v>0</v>
      </c>
      <c r="I178" s="29">
        <v>737</v>
      </c>
      <c r="J178" s="29">
        <v>245967</v>
      </c>
      <c r="K178" s="29">
        <v>0</v>
      </c>
      <c r="L178" s="29">
        <v>245967</v>
      </c>
      <c r="M178" s="29">
        <v>46077</v>
      </c>
      <c r="N178" s="29">
        <v>51612</v>
      </c>
      <c r="O178" s="29">
        <v>0</v>
      </c>
      <c r="P178" s="29">
        <v>26057</v>
      </c>
      <c r="Q178" s="29">
        <v>3097</v>
      </c>
      <c r="R178" s="29">
        <v>372810</v>
      </c>
      <c r="S178" s="29">
        <v>49883</v>
      </c>
      <c r="T178" s="29">
        <v>322927</v>
      </c>
      <c r="U178" s="29">
        <v>168097</v>
      </c>
      <c r="V178" s="29">
        <v>154830</v>
      </c>
    </row>
    <row r="179" spans="1:22" x14ac:dyDescent="0.2">
      <c r="A179" s="20" t="s">
        <v>244</v>
      </c>
      <c r="B179" s="20" t="s">
        <v>634</v>
      </c>
      <c r="C179" s="25">
        <v>79.41</v>
      </c>
      <c r="D179" s="27">
        <v>593.79999999999995</v>
      </c>
      <c r="E179" s="25">
        <v>673.21</v>
      </c>
      <c r="F179" s="25">
        <v>1.3</v>
      </c>
      <c r="G179" s="29">
        <v>29</v>
      </c>
      <c r="H179" s="27">
        <v>0.1</v>
      </c>
      <c r="I179" s="29">
        <v>623</v>
      </c>
      <c r="J179" s="29">
        <v>229241</v>
      </c>
      <c r="K179" s="29">
        <v>6136</v>
      </c>
      <c r="L179" s="29">
        <v>235377</v>
      </c>
      <c r="M179" s="29">
        <v>38906</v>
      </c>
      <c r="N179" s="29">
        <v>43566</v>
      </c>
      <c r="O179" s="29">
        <v>443</v>
      </c>
      <c r="P179" s="29">
        <v>23098</v>
      </c>
      <c r="Q179" s="29">
        <v>2753</v>
      </c>
      <c r="R179" s="29">
        <v>344143</v>
      </c>
      <c r="S179" s="29">
        <v>55873</v>
      </c>
      <c r="T179" s="29">
        <v>288270</v>
      </c>
      <c r="U179" s="29">
        <v>148049</v>
      </c>
      <c r="V179" s="29">
        <v>140221</v>
      </c>
    </row>
    <row r="180" spans="1:22" x14ac:dyDescent="0.2">
      <c r="A180" s="20" t="s">
        <v>133</v>
      </c>
      <c r="B180" s="20" t="s">
        <v>530</v>
      </c>
      <c r="C180" s="25">
        <v>282.3</v>
      </c>
      <c r="D180" s="27">
        <v>1200</v>
      </c>
      <c r="E180" s="25">
        <v>1482.3</v>
      </c>
      <c r="F180" s="25">
        <v>0</v>
      </c>
      <c r="G180" s="29">
        <v>128</v>
      </c>
      <c r="H180" s="27">
        <v>0.1</v>
      </c>
      <c r="I180" s="29">
        <v>1328</v>
      </c>
      <c r="J180" s="29">
        <v>496422</v>
      </c>
      <c r="K180" s="29">
        <v>4944</v>
      </c>
      <c r="L180" s="29">
        <v>501366</v>
      </c>
      <c r="M180" s="29">
        <v>82309</v>
      </c>
      <c r="N180" s="29">
        <v>89945</v>
      </c>
      <c r="O180" s="29">
        <v>0</v>
      </c>
      <c r="P180" s="29">
        <v>45610</v>
      </c>
      <c r="Q180" s="29">
        <v>5351</v>
      </c>
      <c r="R180" s="29">
        <v>724581</v>
      </c>
      <c r="S180" s="29">
        <v>97359</v>
      </c>
      <c r="T180" s="29">
        <v>627222</v>
      </c>
      <c r="U180" s="29">
        <v>344929</v>
      </c>
      <c r="V180" s="29">
        <v>282293</v>
      </c>
    </row>
    <row r="181" spans="1:22" x14ac:dyDescent="0.2">
      <c r="A181" s="20" t="s">
        <v>9</v>
      </c>
      <c r="B181" s="20" t="s">
        <v>419</v>
      </c>
      <c r="C181" s="25">
        <v>82.44</v>
      </c>
      <c r="D181" s="27">
        <v>663.1</v>
      </c>
      <c r="E181" s="25">
        <v>745.54</v>
      </c>
      <c r="F181" s="25">
        <v>1.99</v>
      </c>
      <c r="G181" s="29">
        <v>34</v>
      </c>
      <c r="H181" s="27">
        <v>0</v>
      </c>
      <c r="I181" s="29">
        <v>697</v>
      </c>
      <c r="J181" s="29">
        <v>259552</v>
      </c>
      <c r="K181" s="29">
        <v>0</v>
      </c>
      <c r="L181" s="29">
        <v>259552</v>
      </c>
      <c r="M181" s="29">
        <v>43521</v>
      </c>
      <c r="N181" s="29">
        <v>48483</v>
      </c>
      <c r="O181" s="29">
        <v>693</v>
      </c>
      <c r="P181" s="29">
        <v>25699</v>
      </c>
      <c r="Q181" s="29">
        <v>2788</v>
      </c>
      <c r="R181" s="29">
        <v>380736</v>
      </c>
      <c r="S181" s="29">
        <v>59234</v>
      </c>
      <c r="T181" s="29">
        <v>321502</v>
      </c>
      <c r="U181" s="29">
        <v>166601</v>
      </c>
      <c r="V181" s="29">
        <v>154901</v>
      </c>
    </row>
    <row r="182" spans="1:22" x14ac:dyDescent="0.2">
      <c r="A182" s="20" t="s">
        <v>245</v>
      </c>
      <c r="B182" s="20" t="s">
        <v>635</v>
      </c>
      <c r="C182" s="25">
        <v>46.13</v>
      </c>
      <c r="D182" s="27">
        <v>465.2</v>
      </c>
      <c r="E182" s="25">
        <v>511.33</v>
      </c>
      <c r="F182" s="25">
        <v>0.98</v>
      </c>
      <c r="G182" s="29">
        <v>12</v>
      </c>
      <c r="H182" s="27">
        <v>0</v>
      </c>
      <c r="I182" s="29">
        <v>477</v>
      </c>
      <c r="J182" s="29">
        <v>174118</v>
      </c>
      <c r="K182" s="29">
        <v>0</v>
      </c>
      <c r="L182" s="29">
        <v>174118</v>
      </c>
      <c r="M182" s="29">
        <v>29789</v>
      </c>
      <c r="N182" s="29">
        <v>33357</v>
      </c>
      <c r="O182" s="29">
        <v>334</v>
      </c>
      <c r="P182" s="29">
        <v>17544</v>
      </c>
      <c r="Q182" s="29">
        <v>2091</v>
      </c>
      <c r="R182" s="29">
        <v>257233</v>
      </c>
      <c r="S182" s="29">
        <v>36788</v>
      </c>
      <c r="T182" s="29">
        <v>220445</v>
      </c>
      <c r="U182" s="29">
        <v>118097</v>
      </c>
      <c r="V182" s="29">
        <v>102348</v>
      </c>
    </row>
    <row r="183" spans="1:22" x14ac:dyDescent="0.2">
      <c r="A183" s="20" t="s">
        <v>159</v>
      </c>
      <c r="B183" s="20" t="s">
        <v>553</v>
      </c>
      <c r="C183" s="25">
        <v>270.05</v>
      </c>
      <c r="D183" s="27">
        <v>1797.6</v>
      </c>
      <c r="E183" s="25">
        <v>2067.65</v>
      </c>
      <c r="F183" s="25">
        <v>2.39</v>
      </c>
      <c r="G183" s="29">
        <v>88</v>
      </c>
      <c r="H183" s="27">
        <v>0.5</v>
      </c>
      <c r="I183" s="29">
        <v>1885</v>
      </c>
      <c r="J183" s="29">
        <v>688486</v>
      </c>
      <c r="K183" s="29">
        <v>507</v>
      </c>
      <c r="L183" s="29">
        <v>688993</v>
      </c>
      <c r="M183" s="29">
        <v>117172</v>
      </c>
      <c r="N183" s="29">
        <v>128802</v>
      </c>
      <c r="O183" s="29">
        <v>796</v>
      </c>
      <c r="P183" s="29">
        <v>65172</v>
      </c>
      <c r="Q183" s="29">
        <v>7588</v>
      </c>
      <c r="R183" s="29">
        <v>1008523</v>
      </c>
      <c r="S183" s="29">
        <v>105330</v>
      </c>
      <c r="T183" s="29">
        <v>903193</v>
      </c>
      <c r="U183" s="29">
        <v>513921</v>
      </c>
      <c r="V183" s="29">
        <v>389272</v>
      </c>
    </row>
    <row r="184" spans="1:22" x14ac:dyDescent="0.2">
      <c r="A184" s="20" t="s">
        <v>97</v>
      </c>
      <c r="B184" s="20" t="s">
        <v>495</v>
      </c>
      <c r="C184" s="25">
        <v>777.05</v>
      </c>
      <c r="D184" s="27">
        <v>5374.9</v>
      </c>
      <c r="E184" s="25">
        <v>6151.95</v>
      </c>
      <c r="F184" s="25">
        <v>7.71</v>
      </c>
      <c r="G184" s="29">
        <v>223</v>
      </c>
      <c r="H184" s="27">
        <v>4.9000000000000004</v>
      </c>
      <c r="I184" s="29">
        <v>5593</v>
      </c>
      <c r="J184" s="29">
        <v>2074807</v>
      </c>
      <c r="K184" s="29">
        <v>0</v>
      </c>
      <c r="L184" s="29">
        <v>2074807</v>
      </c>
      <c r="M184" s="29">
        <v>349395</v>
      </c>
      <c r="N184" s="29">
        <v>389552</v>
      </c>
      <c r="O184" s="29">
        <v>2600</v>
      </c>
      <c r="P184" s="29">
        <v>256536</v>
      </c>
      <c r="Q184" s="29">
        <v>29529</v>
      </c>
      <c r="R184" s="29">
        <v>3102419</v>
      </c>
      <c r="S184" s="29">
        <v>306371</v>
      </c>
      <c r="T184" s="29">
        <v>2796048</v>
      </c>
      <c r="U184" s="29">
        <v>1605844</v>
      </c>
      <c r="V184" s="29">
        <v>1190204</v>
      </c>
    </row>
    <row r="185" spans="1:22" x14ac:dyDescent="0.2">
      <c r="A185" s="20" t="s">
        <v>203</v>
      </c>
      <c r="B185" s="20" t="s">
        <v>596</v>
      </c>
      <c r="C185" s="25">
        <v>38.42</v>
      </c>
      <c r="D185" s="27">
        <v>511.4</v>
      </c>
      <c r="E185" s="25">
        <v>549.82000000000005</v>
      </c>
      <c r="F185" s="25">
        <v>0</v>
      </c>
      <c r="G185" s="29">
        <v>29</v>
      </c>
      <c r="H185" s="27">
        <v>0</v>
      </c>
      <c r="I185" s="29">
        <v>540</v>
      </c>
      <c r="J185" s="29">
        <v>179175</v>
      </c>
      <c r="K185" s="29">
        <v>0</v>
      </c>
      <c r="L185" s="29">
        <v>179175</v>
      </c>
      <c r="M185" s="29">
        <v>33502</v>
      </c>
      <c r="N185" s="29">
        <v>36801</v>
      </c>
      <c r="O185" s="29">
        <v>0</v>
      </c>
      <c r="P185" s="29">
        <v>15258</v>
      </c>
      <c r="Q185" s="29">
        <v>1913</v>
      </c>
      <c r="R185" s="29">
        <v>266649</v>
      </c>
      <c r="S185" s="29">
        <v>30099</v>
      </c>
      <c r="T185" s="29">
        <v>236550</v>
      </c>
      <c r="U185" s="29">
        <v>132224</v>
      </c>
      <c r="V185" s="29">
        <v>104326</v>
      </c>
    </row>
    <row r="186" spans="1:22" x14ac:dyDescent="0.2">
      <c r="A186" s="20" t="s">
        <v>98</v>
      </c>
      <c r="B186" s="20" t="s">
        <v>496</v>
      </c>
      <c r="C186" s="25">
        <v>641.32000000000005</v>
      </c>
      <c r="D186" s="27">
        <v>3404.6</v>
      </c>
      <c r="E186" s="25">
        <v>4045.92</v>
      </c>
      <c r="F186" s="25">
        <v>5.0999999999999996</v>
      </c>
      <c r="G186" s="29">
        <v>537</v>
      </c>
      <c r="H186" s="27">
        <v>5.5</v>
      </c>
      <c r="I186" s="29">
        <v>3936</v>
      </c>
      <c r="J186" s="29">
        <v>1364527</v>
      </c>
      <c r="K186" s="29">
        <v>0</v>
      </c>
      <c r="L186" s="29">
        <v>1364527</v>
      </c>
      <c r="M186" s="29">
        <v>245882</v>
      </c>
      <c r="N186" s="29">
        <v>274142</v>
      </c>
      <c r="O186" s="29">
        <v>1720</v>
      </c>
      <c r="P186" s="29">
        <v>168715</v>
      </c>
      <c r="Q186" s="29">
        <v>19420</v>
      </c>
      <c r="R186" s="29">
        <v>2074406</v>
      </c>
      <c r="S186" s="29">
        <v>287393</v>
      </c>
      <c r="T186" s="29">
        <v>1787013</v>
      </c>
      <c r="U186" s="29">
        <v>970211</v>
      </c>
      <c r="V186" s="29">
        <v>816802</v>
      </c>
    </row>
    <row r="187" spans="1:22" x14ac:dyDescent="0.2">
      <c r="A187" s="20" t="s">
        <v>246</v>
      </c>
      <c r="B187" s="20" t="s">
        <v>636</v>
      </c>
      <c r="C187" s="25">
        <v>208.21</v>
      </c>
      <c r="D187" s="27">
        <v>1516.1</v>
      </c>
      <c r="E187" s="25">
        <v>1724.31</v>
      </c>
      <c r="F187" s="25">
        <v>3.32</v>
      </c>
      <c r="G187" s="29">
        <v>545</v>
      </c>
      <c r="H187" s="27">
        <v>8.3000000000000007</v>
      </c>
      <c r="I187" s="29">
        <v>2053</v>
      </c>
      <c r="J187" s="29">
        <v>587162</v>
      </c>
      <c r="K187" s="29">
        <v>0</v>
      </c>
      <c r="L187" s="29">
        <v>587162</v>
      </c>
      <c r="M187" s="29">
        <v>128210</v>
      </c>
      <c r="N187" s="29">
        <v>143566</v>
      </c>
      <c r="O187" s="29">
        <v>1131</v>
      </c>
      <c r="P187" s="29">
        <v>59161</v>
      </c>
      <c r="Q187" s="29">
        <v>7052</v>
      </c>
      <c r="R187" s="29">
        <v>926282</v>
      </c>
      <c r="S187" s="29">
        <v>93463</v>
      </c>
      <c r="T187" s="29">
        <v>832819</v>
      </c>
      <c r="U187" s="29">
        <v>428844</v>
      </c>
      <c r="V187" s="29">
        <v>403975</v>
      </c>
    </row>
    <row r="188" spans="1:22" x14ac:dyDescent="0.2">
      <c r="A188" s="20" t="s">
        <v>322</v>
      </c>
      <c r="B188" s="20" t="s">
        <v>709</v>
      </c>
      <c r="C188" s="25">
        <v>88.6</v>
      </c>
      <c r="D188" s="27">
        <v>875.3</v>
      </c>
      <c r="E188" s="25">
        <v>963.9</v>
      </c>
      <c r="F188" s="25">
        <v>2.2599999999999998</v>
      </c>
      <c r="G188" s="29">
        <v>5</v>
      </c>
      <c r="H188" s="27">
        <v>0</v>
      </c>
      <c r="I188" s="29">
        <v>880</v>
      </c>
      <c r="J188" s="29">
        <v>319340</v>
      </c>
      <c r="K188" s="29">
        <v>0</v>
      </c>
      <c r="L188" s="29">
        <v>319340</v>
      </c>
      <c r="M188" s="29">
        <v>54683</v>
      </c>
      <c r="N188" s="29">
        <v>60104</v>
      </c>
      <c r="O188" s="29">
        <v>749</v>
      </c>
      <c r="P188" s="29">
        <v>32098</v>
      </c>
      <c r="Q188" s="29">
        <v>3518</v>
      </c>
      <c r="R188" s="29">
        <v>470492</v>
      </c>
      <c r="S188" s="29">
        <v>54660</v>
      </c>
      <c r="T188" s="29">
        <v>415832</v>
      </c>
      <c r="U188" s="29">
        <v>236022</v>
      </c>
      <c r="V188" s="29">
        <v>179810</v>
      </c>
    </row>
    <row r="189" spans="1:22" x14ac:dyDescent="0.2">
      <c r="A189" s="20" t="s">
        <v>204</v>
      </c>
      <c r="B189" s="20" t="s">
        <v>597</v>
      </c>
      <c r="C189" s="25">
        <v>33.76</v>
      </c>
      <c r="D189" s="27">
        <v>307.7</v>
      </c>
      <c r="E189" s="25">
        <v>341.46</v>
      </c>
      <c r="F189" s="25">
        <v>0</v>
      </c>
      <c r="G189" s="29">
        <v>0</v>
      </c>
      <c r="H189" s="27">
        <v>0</v>
      </c>
      <c r="I189" s="29">
        <v>308</v>
      </c>
      <c r="J189" s="29">
        <v>111275</v>
      </c>
      <c r="K189" s="29">
        <v>5630</v>
      </c>
      <c r="L189" s="29">
        <v>116905</v>
      </c>
      <c r="M189" s="29">
        <v>19108</v>
      </c>
      <c r="N189" s="29">
        <v>20990</v>
      </c>
      <c r="O189" s="29">
        <v>0</v>
      </c>
      <c r="P189" s="29">
        <v>9489</v>
      </c>
      <c r="Q189" s="29">
        <v>1192</v>
      </c>
      <c r="R189" s="29">
        <v>167684</v>
      </c>
      <c r="S189" s="29">
        <v>27349</v>
      </c>
      <c r="T189" s="29">
        <v>140335</v>
      </c>
      <c r="U189" s="29">
        <v>73477</v>
      </c>
      <c r="V189" s="29">
        <v>66858</v>
      </c>
    </row>
    <row r="190" spans="1:22" x14ac:dyDescent="0.2">
      <c r="A190" s="20" t="s">
        <v>161</v>
      </c>
      <c r="B190" s="20" t="s">
        <v>555</v>
      </c>
      <c r="C190" s="25">
        <v>75.94</v>
      </c>
      <c r="D190" s="27">
        <v>501.8</v>
      </c>
      <c r="E190" s="25">
        <v>577.74</v>
      </c>
      <c r="F190" s="25">
        <v>0.67</v>
      </c>
      <c r="G190" s="29">
        <v>6</v>
      </c>
      <c r="H190" s="27">
        <v>0</v>
      </c>
      <c r="I190" s="29">
        <v>508</v>
      </c>
      <c r="J190" s="29">
        <v>192376</v>
      </c>
      <c r="K190" s="29">
        <v>921</v>
      </c>
      <c r="L190" s="29">
        <v>193297</v>
      </c>
      <c r="M190" s="29">
        <v>31577</v>
      </c>
      <c r="N190" s="29">
        <v>34712</v>
      </c>
      <c r="O190" s="29">
        <v>223</v>
      </c>
      <c r="P190" s="29">
        <v>18250</v>
      </c>
      <c r="Q190" s="29">
        <v>2123</v>
      </c>
      <c r="R190" s="29">
        <v>280182</v>
      </c>
      <c r="S190" s="29">
        <v>46331</v>
      </c>
      <c r="T190" s="29">
        <v>233851</v>
      </c>
      <c r="U190" s="29">
        <v>126742</v>
      </c>
      <c r="V190" s="29">
        <v>107109</v>
      </c>
    </row>
    <row r="191" spans="1:22" x14ac:dyDescent="0.2">
      <c r="A191" s="20" t="s">
        <v>160</v>
      </c>
      <c r="B191" s="20" t="s">
        <v>554</v>
      </c>
      <c r="C191" s="25">
        <v>150</v>
      </c>
      <c r="D191" s="27">
        <v>1227.9000000000001</v>
      </c>
      <c r="E191" s="25">
        <v>1377.9</v>
      </c>
      <c r="F191" s="25">
        <v>1.59</v>
      </c>
      <c r="G191" s="29">
        <v>30</v>
      </c>
      <c r="H191" s="27">
        <v>0.6</v>
      </c>
      <c r="I191" s="29">
        <v>1257</v>
      </c>
      <c r="J191" s="29">
        <v>458813</v>
      </c>
      <c r="K191" s="29">
        <v>0</v>
      </c>
      <c r="L191" s="29">
        <v>458813</v>
      </c>
      <c r="M191" s="29">
        <v>78135</v>
      </c>
      <c r="N191" s="29">
        <v>85891</v>
      </c>
      <c r="O191" s="29">
        <v>529</v>
      </c>
      <c r="P191" s="29">
        <v>43431</v>
      </c>
      <c r="Q191" s="29">
        <v>5057</v>
      </c>
      <c r="R191" s="29">
        <v>671856</v>
      </c>
      <c r="S191" s="29">
        <v>72443</v>
      </c>
      <c r="T191" s="29">
        <v>599413</v>
      </c>
      <c r="U191" s="29">
        <v>340230</v>
      </c>
      <c r="V191" s="29">
        <v>259183</v>
      </c>
    </row>
    <row r="192" spans="1:22" x14ac:dyDescent="0.2">
      <c r="A192" s="20" t="s">
        <v>290</v>
      </c>
      <c r="B192" s="20" t="s">
        <v>678</v>
      </c>
      <c r="C192" s="25">
        <v>115.01</v>
      </c>
      <c r="D192" s="27">
        <v>762.6</v>
      </c>
      <c r="E192" s="25">
        <v>877.61</v>
      </c>
      <c r="F192" s="25">
        <v>1.84</v>
      </c>
      <c r="G192" s="29">
        <v>8</v>
      </c>
      <c r="H192" s="27">
        <v>0</v>
      </c>
      <c r="I192" s="29">
        <v>771</v>
      </c>
      <c r="J192" s="29">
        <v>293069</v>
      </c>
      <c r="K192" s="29">
        <v>0</v>
      </c>
      <c r="L192" s="29">
        <v>293069</v>
      </c>
      <c r="M192" s="29">
        <v>47933</v>
      </c>
      <c r="N192" s="29">
        <v>52991</v>
      </c>
      <c r="O192" s="29">
        <v>614</v>
      </c>
      <c r="P192" s="29">
        <v>30093</v>
      </c>
      <c r="Q192" s="29">
        <v>3247</v>
      </c>
      <c r="R192" s="29">
        <v>427947</v>
      </c>
      <c r="S192" s="29">
        <v>58953</v>
      </c>
      <c r="T192" s="29">
        <v>368994</v>
      </c>
      <c r="U192" s="29">
        <v>206562</v>
      </c>
      <c r="V192" s="29">
        <v>162432</v>
      </c>
    </row>
    <row r="193" spans="1:22" x14ac:dyDescent="0.2">
      <c r="A193" s="20" t="s">
        <v>10</v>
      </c>
      <c r="B193" s="20" t="s">
        <v>420</v>
      </c>
      <c r="C193" s="25">
        <v>92.22</v>
      </c>
      <c r="D193" s="27">
        <v>806.5</v>
      </c>
      <c r="E193" s="25">
        <v>898.72</v>
      </c>
      <c r="F193" s="25">
        <v>2.4</v>
      </c>
      <c r="G193" s="29">
        <v>2</v>
      </c>
      <c r="H193" s="27">
        <v>0</v>
      </c>
      <c r="I193" s="29">
        <v>809</v>
      </c>
      <c r="J193" s="29">
        <v>312880</v>
      </c>
      <c r="K193" s="29">
        <v>0</v>
      </c>
      <c r="L193" s="29">
        <v>312880</v>
      </c>
      <c r="M193" s="29">
        <v>50514</v>
      </c>
      <c r="N193" s="29">
        <v>56274</v>
      </c>
      <c r="O193" s="29">
        <v>836</v>
      </c>
      <c r="P193" s="29">
        <v>30979</v>
      </c>
      <c r="Q193" s="29">
        <v>3361</v>
      </c>
      <c r="R193" s="29">
        <v>454844</v>
      </c>
      <c r="S193" s="29">
        <v>64253</v>
      </c>
      <c r="T193" s="29">
        <v>390591</v>
      </c>
      <c r="U193" s="29">
        <v>207983</v>
      </c>
      <c r="V193" s="29">
        <v>182608</v>
      </c>
    </row>
    <row r="194" spans="1:22" x14ac:dyDescent="0.2">
      <c r="A194" s="20" t="s">
        <v>99</v>
      </c>
      <c r="B194" s="20" t="s">
        <v>497</v>
      </c>
      <c r="C194" s="25">
        <v>55.24</v>
      </c>
      <c r="D194" s="27">
        <v>469.1</v>
      </c>
      <c r="E194" s="25">
        <v>524.34</v>
      </c>
      <c r="F194" s="25">
        <v>0.66</v>
      </c>
      <c r="G194" s="29">
        <v>7</v>
      </c>
      <c r="H194" s="27">
        <v>0</v>
      </c>
      <c r="I194" s="29">
        <v>476</v>
      </c>
      <c r="J194" s="29">
        <v>176839</v>
      </c>
      <c r="K194" s="29">
        <v>4540</v>
      </c>
      <c r="L194" s="29">
        <v>181379</v>
      </c>
      <c r="M194" s="29">
        <v>29736</v>
      </c>
      <c r="N194" s="29">
        <v>33153</v>
      </c>
      <c r="O194" s="29">
        <v>223</v>
      </c>
      <c r="P194" s="29">
        <v>22538</v>
      </c>
      <c r="Q194" s="29">
        <v>2592</v>
      </c>
      <c r="R194" s="29">
        <v>269621</v>
      </c>
      <c r="S194" s="29">
        <v>32604</v>
      </c>
      <c r="T194" s="29">
        <v>237017</v>
      </c>
      <c r="U194" s="29">
        <v>131126</v>
      </c>
      <c r="V194" s="29">
        <v>105891</v>
      </c>
    </row>
    <row r="195" spans="1:22" x14ac:dyDescent="0.2">
      <c r="A195" s="20" t="s">
        <v>162</v>
      </c>
      <c r="B195" s="20" t="s">
        <v>556</v>
      </c>
      <c r="C195" s="25">
        <v>123.18</v>
      </c>
      <c r="D195" s="27">
        <v>969.2</v>
      </c>
      <c r="E195" s="25">
        <v>1092.3800000000001</v>
      </c>
      <c r="F195" s="25">
        <v>1.26</v>
      </c>
      <c r="G195" s="29">
        <v>75</v>
      </c>
      <c r="H195" s="27">
        <v>2.1</v>
      </c>
      <c r="I195" s="29">
        <v>1042</v>
      </c>
      <c r="J195" s="29">
        <v>363741</v>
      </c>
      <c r="K195" s="29">
        <v>0</v>
      </c>
      <c r="L195" s="29">
        <v>363741</v>
      </c>
      <c r="M195" s="29">
        <v>64771</v>
      </c>
      <c r="N195" s="29">
        <v>71200</v>
      </c>
      <c r="O195" s="29">
        <v>420</v>
      </c>
      <c r="P195" s="29">
        <v>34432</v>
      </c>
      <c r="Q195" s="29">
        <v>4009</v>
      </c>
      <c r="R195" s="29">
        <v>538573</v>
      </c>
      <c r="S195" s="29">
        <v>63278</v>
      </c>
      <c r="T195" s="29">
        <v>475295</v>
      </c>
      <c r="U195" s="29">
        <v>263884</v>
      </c>
      <c r="V195" s="29">
        <v>211411</v>
      </c>
    </row>
    <row r="196" spans="1:22" x14ac:dyDescent="0.2">
      <c r="A196" s="20" t="s">
        <v>323</v>
      </c>
      <c r="B196" s="20" t="s">
        <v>710</v>
      </c>
      <c r="C196" s="25">
        <v>42.56</v>
      </c>
      <c r="D196" s="27">
        <v>345.5</v>
      </c>
      <c r="E196" s="25">
        <v>388.06</v>
      </c>
      <c r="F196" s="25">
        <v>0.91</v>
      </c>
      <c r="G196" s="29">
        <v>0</v>
      </c>
      <c r="H196" s="27">
        <v>0</v>
      </c>
      <c r="I196" s="29">
        <v>346</v>
      </c>
      <c r="J196" s="29">
        <v>128564</v>
      </c>
      <c r="K196" s="29">
        <v>0</v>
      </c>
      <c r="L196" s="29">
        <v>128564</v>
      </c>
      <c r="M196" s="29">
        <v>21500</v>
      </c>
      <c r="N196" s="29">
        <v>23632</v>
      </c>
      <c r="O196" s="29">
        <v>301</v>
      </c>
      <c r="P196" s="29">
        <v>12922</v>
      </c>
      <c r="Q196" s="29">
        <v>1416</v>
      </c>
      <c r="R196" s="29">
        <v>188335</v>
      </c>
      <c r="S196" s="29">
        <v>19321</v>
      </c>
      <c r="T196" s="29">
        <v>169014</v>
      </c>
      <c r="U196" s="29">
        <v>97705</v>
      </c>
      <c r="V196" s="29">
        <v>71309</v>
      </c>
    </row>
    <row r="197" spans="1:22" x14ac:dyDescent="0.2">
      <c r="A197" s="20" t="s">
        <v>291</v>
      </c>
      <c r="B197" s="20" t="s">
        <v>679</v>
      </c>
      <c r="C197" s="25">
        <v>45</v>
      </c>
      <c r="D197" s="27">
        <v>211.6</v>
      </c>
      <c r="E197" s="25">
        <v>256.60000000000002</v>
      </c>
      <c r="F197" s="25">
        <v>0.54</v>
      </c>
      <c r="G197" s="29">
        <v>0</v>
      </c>
      <c r="H197" s="27">
        <v>0</v>
      </c>
      <c r="I197" s="29">
        <v>212</v>
      </c>
      <c r="J197" s="29">
        <v>85689</v>
      </c>
      <c r="K197" s="29">
        <v>7179</v>
      </c>
      <c r="L197" s="29">
        <v>92868</v>
      </c>
      <c r="M197" s="29">
        <v>13180</v>
      </c>
      <c r="N197" s="29">
        <v>14571</v>
      </c>
      <c r="O197" s="29">
        <v>180</v>
      </c>
      <c r="P197" s="29">
        <v>8955</v>
      </c>
      <c r="Q197" s="29">
        <v>963</v>
      </c>
      <c r="R197" s="29">
        <v>130717</v>
      </c>
      <c r="S197" s="29">
        <v>19343</v>
      </c>
      <c r="T197" s="29">
        <v>111374</v>
      </c>
      <c r="U197" s="29">
        <v>58460</v>
      </c>
      <c r="V197" s="29">
        <v>52914</v>
      </c>
    </row>
    <row r="198" spans="1:22" x14ac:dyDescent="0.2">
      <c r="A198" s="20" t="s">
        <v>324</v>
      </c>
      <c r="B198" s="20" t="s">
        <v>711</v>
      </c>
      <c r="C198" s="25">
        <v>19.22</v>
      </c>
      <c r="D198" s="27">
        <v>194</v>
      </c>
      <c r="E198" s="25">
        <v>213.22</v>
      </c>
      <c r="F198" s="25">
        <v>0.5</v>
      </c>
      <c r="G198" s="29">
        <v>0</v>
      </c>
      <c r="H198" s="27">
        <v>0</v>
      </c>
      <c r="I198" s="29">
        <v>194</v>
      </c>
      <c r="J198" s="29">
        <v>70640</v>
      </c>
      <c r="K198" s="29">
        <v>0</v>
      </c>
      <c r="L198" s="29">
        <v>70640</v>
      </c>
      <c r="M198" s="29">
        <v>12055</v>
      </c>
      <c r="N198" s="29">
        <v>13250</v>
      </c>
      <c r="O198" s="29">
        <v>166</v>
      </c>
      <c r="P198" s="29">
        <v>7100</v>
      </c>
      <c r="Q198" s="29">
        <v>778</v>
      </c>
      <c r="R198" s="29">
        <v>103989</v>
      </c>
      <c r="S198" s="29">
        <v>14356</v>
      </c>
      <c r="T198" s="29">
        <v>89633</v>
      </c>
      <c r="U198" s="29">
        <v>49944</v>
      </c>
      <c r="V198" s="29">
        <v>39689</v>
      </c>
    </row>
    <row r="199" spans="1:22" x14ac:dyDescent="0.2">
      <c r="A199" s="20" t="s">
        <v>325</v>
      </c>
      <c r="B199" s="20" t="s">
        <v>712</v>
      </c>
      <c r="C199" s="25">
        <v>15.16</v>
      </c>
      <c r="D199" s="27">
        <v>184.9</v>
      </c>
      <c r="E199" s="25">
        <v>200.06</v>
      </c>
      <c r="F199" s="25">
        <v>0.47</v>
      </c>
      <c r="G199" s="29">
        <v>0</v>
      </c>
      <c r="H199" s="27">
        <v>0</v>
      </c>
      <c r="I199" s="29">
        <v>185</v>
      </c>
      <c r="J199" s="29">
        <v>66280</v>
      </c>
      <c r="K199" s="29">
        <v>7867</v>
      </c>
      <c r="L199" s="29">
        <v>74147</v>
      </c>
      <c r="M199" s="29">
        <v>11496</v>
      </c>
      <c r="N199" s="29">
        <v>12636</v>
      </c>
      <c r="O199" s="29">
        <v>156</v>
      </c>
      <c r="P199" s="29">
        <v>6662</v>
      </c>
      <c r="Q199" s="29">
        <v>730</v>
      </c>
      <c r="R199" s="29">
        <v>105827</v>
      </c>
      <c r="S199" s="29">
        <v>16953</v>
      </c>
      <c r="T199" s="29">
        <v>88874</v>
      </c>
      <c r="U199" s="29">
        <v>43379</v>
      </c>
      <c r="V199" s="29">
        <v>45495</v>
      </c>
    </row>
    <row r="200" spans="1:22" x14ac:dyDescent="0.2">
      <c r="A200" s="20" t="s">
        <v>292</v>
      </c>
      <c r="B200" s="20" t="s">
        <v>680</v>
      </c>
      <c r="C200" s="25">
        <v>98.81</v>
      </c>
      <c r="D200" s="27">
        <v>598.29999999999995</v>
      </c>
      <c r="E200" s="25">
        <v>697.11</v>
      </c>
      <c r="F200" s="25">
        <v>1.46</v>
      </c>
      <c r="G200" s="29">
        <v>0</v>
      </c>
      <c r="H200" s="27">
        <v>0</v>
      </c>
      <c r="I200" s="29">
        <v>598</v>
      </c>
      <c r="J200" s="29">
        <v>232793</v>
      </c>
      <c r="K200" s="29">
        <v>0</v>
      </c>
      <c r="L200" s="29">
        <v>232793</v>
      </c>
      <c r="M200" s="29">
        <v>37178</v>
      </c>
      <c r="N200" s="29">
        <v>41101</v>
      </c>
      <c r="O200" s="29">
        <v>488</v>
      </c>
      <c r="P200" s="29">
        <v>23904</v>
      </c>
      <c r="Q200" s="29">
        <v>2579</v>
      </c>
      <c r="R200" s="29">
        <v>338043</v>
      </c>
      <c r="S200" s="29">
        <v>51434</v>
      </c>
      <c r="T200" s="29">
        <v>286609</v>
      </c>
      <c r="U200" s="29">
        <v>159471</v>
      </c>
      <c r="V200" s="29">
        <v>127138</v>
      </c>
    </row>
    <row r="201" spans="1:22" x14ac:dyDescent="0.2">
      <c r="A201" s="20" t="s">
        <v>326</v>
      </c>
      <c r="B201" s="20" t="s">
        <v>713</v>
      </c>
      <c r="C201" s="25">
        <v>251.94</v>
      </c>
      <c r="D201" s="27">
        <v>1791.9</v>
      </c>
      <c r="E201" s="25">
        <v>2043.84</v>
      </c>
      <c r="F201" s="25">
        <v>4.79</v>
      </c>
      <c r="G201" s="29">
        <v>1</v>
      </c>
      <c r="H201" s="27">
        <v>0</v>
      </c>
      <c r="I201" s="29">
        <v>1793</v>
      </c>
      <c r="J201" s="29">
        <v>677124</v>
      </c>
      <c r="K201" s="29">
        <v>0</v>
      </c>
      <c r="L201" s="29">
        <v>677124</v>
      </c>
      <c r="M201" s="29">
        <v>111417</v>
      </c>
      <c r="N201" s="29">
        <v>122462</v>
      </c>
      <c r="O201" s="29">
        <v>1587</v>
      </c>
      <c r="P201" s="29">
        <v>68060</v>
      </c>
      <c r="Q201" s="29">
        <v>7460</v>
      </c>
      <c r="R201" s="29">
        <v>988110</v>
      </c>
      <c r="S201" s="29">
        <v>122625</v>
      </c>
      <c r="T201" s="29">
        <v>865485</v>
      </c>
      <c r="U201" s="29">
        <v>493733</v>
      </c>
      <c r="V201" s="29">
        <v>371752</v>
      </c>
    </row>
    <row r="202" spans="1:22" x14ac:dyDescent="0.2">
      <c r="A202" s="20" t="s">
        <v>163</v>
      </c>
      <c r="B202" s="20" t="s">
        <v>557</v>
      </c>
      <c r="C202" s="25">
        <v>94.4</v>
      </c>
      <c r="D202" s="27">
        <v>1111.2</v>
      </c>
      <c r="E202" s="25">
        <v>1205.5999999999999</v>
      </c>
      <c r="F202" s="25">
        <v>1.39</v>
      </c>
      <c r="G202" s="29">
        <v>26</v>
      </c>
      <c r="H202" s="27">
        <v>0</v>
      </c>
      <c r="I202" s="29">
        <v>1137</v>
      </c>
      <c r="J202" s="29">
        <v>401441</v>
      </c>
      <c r="K202" s="29">
        <v>0</v>
      </c>
      <c r="L202" s="29">
        <v>401441</v>
      </c>
      <c r="M202" s="29">
        <v>70676</v>
      </c>
      <c r="N202" s="29">
        <v>77691</v>
      </c>
      <c r="O202" s="29">
        <v>463</v>
      </c>
      <c r="P202" s="29">
        <v>38001</v>
      </c>
      <c r="Q202" s="29">
        <v>4425</v>
      </c>
      <c r="R202" s="29">
        <v>592697</v>
      </c>
      <c r="S202" s="29">
        <v>60362</v>
      </c>
      <c r="T202" s="29">
        <v>532335</v>
      </c>
      <c r="U202" s="29">
        <v>300709</v>
      </c>
      <c r="V202" s="29">
        <v>231626</v>
      </c>
    </row>
    <row r="203" spans="1:22" x14ac:dyDescent="0.2">
      <c r="A203" s="20" t="s">
        <v>293</v>
      </c>
      <c r="B203" s="20" t="s">
        <v>681</v>
      </c>
      <c r="C203" s="25">
        <v>26.78</v>
      </c>
      <c r="D203" s="27">
        <v>221.8</v>
      </c>
      <c r="E203" s="25">
        <v>248.58</v>
      </c>
      <c r="F203" s="25">
        <v>0.52</v>
      </c>
      <c r="G203" s="29">
        <v>3</v>
      </c>
      <c r="H203" s="27">
        <v>0</v>
      </c>
      <c r="I203" s="29">
        <v>225</v>
      </c>
      <c r="J203" s="29">
        <v>83011</v>
      </c>
      <c r="K203" s="29">
        <v>5082</v>
      </c>
      <c r="L203" s="29">
        <v>88093</v>
      </c>
      <c r="M203" s="29">
        <v>13988</v>
      </c>
      <c r="N203" s="29">
        <v>15464</v>
      </c>
      <c r="O203" s="29">
        <v>174</v>
      </c>
      <c r="P203" s="29">
        <v>8524</v>
      </c>
      <c r="Q203" s="29">
        <v>920</v>
      </c>
      <c r="R203" s="29">
        <v>127163</v>
      </c>
      <c r="S203" s="29">
        <v>19736</v>
      </c>
      <c r="T203" s="29">
        <v>107427</v>
      </c>
      <c r="U203" s="29">
        <v>55470</v>
      </c>
      <c r="V203" s="29">
        <v>51957</v>
      </c>
    </row>
    <row r="204" spans="1:22" x14ac:dyDescent="0.2">
      <c r="A204" s="20" t="s">
        <v>134</v>
      </c>
      <c r="B204" s="20" t="s">
        <v>531</v>
      </c>
      <c r="C204" s="25">
        <v>673.58</v>
      </c>
      <c r="D204" s="27">
        <v>4574.8</v>
      </c>
      <c r="E204" s="25">
        <v>5248.38</v>
      </c>
      <c r="F204" s="25">
        <v>0</v>
      </c>
      <c r="G204" s="29">
        <v>207</v>
      </c>
      <c r="H204" s="27">
        <v>0</v>
      </c>
      <c r="I204" s="29">
        <v>4782</v>
      </c>
      <c r="J204" s="29">
        <v>1757682</v>
      </c>
      <c r="K204" s="29">
        <v>0</v>
      </c>
      <c r="L204" s="29">
        <v>1757682</v>
      </c>
      <c r="M204" s="29">
        <v>296388</v>
      </c>
      <c r="N204" s="29">
        <v>323885</v>
      </c>
      <c r="O204" s="29">
        <v>0</v>
      </c>
      <c r="P204" s="29">
        <v>161493</v>
      </c>
      <c r="Q204" s="29">
        <v>18947</v>
      </c>
      <c r="R204" s="29">
        <v>2558395</v>
      </c>
      <c r="S204" s="29">
        <v>333204</v>
      </c>
      <c r="T204" s="29">
        <v>2225191</v>
      </c>
      <c r="U204" s="29">
        <v>1232808</v>
      </c>
      <c r="V204" s="29">
        <v>992383</v>
      </c>
    </row>
    <row r="205" spans="1:22" x14ac:dyDescent="0.2">
      <c r="A205" s="20" t="s">
        <v>100</v>
      </c>
      <c r="B205" s="20" t="s">
        <v>498</v>
      </c>
      <c r="C205" s="25">
        <v>67.75</v>
      </c>
      <c r="D205" s="27">
        <v>592.6</v>
      </c>
      <c r="E205" s="25">
        <v>660.35</v>
      </c>
      <c r="F205" s="25">
        <v>0.83</v>
      </c>
      <c r="G205" s="29">
        <v>4</v>
      </c>
      <c r="H205" s="27">
        <v>0</v>
      </c>
      <c r="I205" s="29">
        <v>597</v>
      </c>
      <c r="J205" s="29">
        <v>222710</v>
      </c>
      <c r="K205" s="29">
        <v>0</v>
      </c>
      <c r="L205" s="29">
        <v>222710</v>
      </c>
      <c r="M205" s="29">
        <v>37295</v>
      </c>
      <c r="N205" s="29">
        <v>41581</v>
      </c>
      <c r="O205" s="29">
        <v>280</v>
      </c>
      <c r="P205" s="29">
        <v>27537</v>
      </c>
      <c r="Q205" s="29">
        <v>3170</v>
      </c>
      <c r="R205" s="29">
        <v>332573</v>
      </c>
      <c r="S205" s="29">
        <v>48545</v>
      </c>
      <c r="T205" s="29">
        <v>284028</v>
      </c>
      <c r="U205" s="29">
        <v>156714</v>
      </c>
      <c r="V205" s="29">
        <v>127314</v>
      </c>
    </row>
    <row r="206" spans="1:22" x14ac:dyDescent="0.2">
      <c r="A206" s="20" t="s">
        <v>205</v>
      </c>
      <c r="B206" s="20" t="s">
        <v>598</v>
      </c>
      <c r="C206" s="25">
        <v>158.55000000000001</v>
      </c>
      <c r="D206" s="27">
        <v>1399.4</v>
      </c>
      <c r="E206" s="25">
        <v>1557.95</v>
      </c>
      <c r="F206" s="25">
        <v>0</v>
      </c>
      <c r="G206" s="29">
        <v>4</v>
      </c>
      <c r="H206" s="27">
        <v>0</v>
      </c>
      <c r="I206" s="29">
        <v>1403</v>
      </c>
      <c r="J206" s="29">
        <v>507705</v>
      </c>
      <c r="K206" s="29">
        <v>0</v>
      </c>
      <c r="L206" s="29">
        <v>507705</v>
      </c>
      <c r="M206" s="29">
        <v>87042</v>
      </c>
      <c r="N206" s="29">
        <v>95614</v>
      </c>
      <c r="O206" s="29">
        <v>0</v>
      </c>
      <c r="P206" s="29">
        <v>43233</v>
      </c>
      <c r="Q206" s="29">
        <v>5422</v>
      </c>
      <c r="R206" s="29">
        <v>739016</v>
      </c>
      <c r="S206" s="29">
        <v>90675</v>
      </c>
      <c r="T206" s="29">
        <v>648341</v>
      </c>
      <c r="U206" s="29">
        <v>369279</v>
      </c>
      <c r="V206" s="29">
        <v>279062</v>
      </c>
    </row>
    <row r="207" spans="1:22" x14ac:dyDescent="0.2">
      <c r="A207" s="20" t="s">
        <v>40</v>
      </c>
      <c r="B207" s="20" t="s">
        <v>449</v>
      </c>
      <c r="C207" s="25">
        <v>51.2</v>
      </c>
      <c r="D207" s="27">
        <v>495.9</v>
      </c>
      <c r="E207" s="25">
        <v>547.1</v>
      </c>
      <c r="F207" s="25">
        <v>0</v>
      </c>
      <c r="G207" s="29">
        <v>7</v>
      </c>
      <c r="H207" s="27">
        <v>0</v>
      </c>
      <c r="I207" s="29">
        <v>503</v>
      </c>
      <c r="J207" s="29">
        <v>188142</v>
      </c>
      <c r="K207" s="29">
        <v>0</v>
      </c>
      <c r="L207" s="29">
        <v>188142</v>
      </c>
      <c r="M207" s="29">
        <v>31448</v>
      </c>
      <c r="N207" s="29">
        <v>35225</v>
      </c>
      <c r="O207" s="29">
        <v>0</v>
      </c>
      <c r="P207" s="29">
        <v>19931</v>
      </c>
      <c r="Q207" s="29">
        <v>2369</v>
      </c>
      <c r="R207" s="29">
        <v>277115</v>
      </c>
      <c r="S207" s="29">
        <v>29831</v>
      </c>
      <c r="T207" s="29">
        <v>247284</v>
      </c>
      <c r="U207" s="29">
        <v>136903</v>
      </c>
      <c r="V207" s="29">
        <v>110381</v>
      </c>
    </row>
    <row r="208" spans="1:22" x14ac:dyDescent="0.2">
      <c r="A208" s="20" t="s">
        <v>11</v>
      </c>
      <c r="B208" s="20" t="s">
        <v>421</v>
      </c>
      <c r="C208" s="25">
        <v>109.54</v>
      </c>
      <c r="D208" s="27">
        <v>930</v>
      </c>
      <c r="E208" s="25">
        <v>1039.54</v>
      </c>
      <c r="F208" s="25">
        <v>2.78</v>
      </c>
      <c r="G208" s="29">
        <v>85</v>
      </c>
      <c r="H208" s="27">
        <v>0.3</v>
      </c>
      <c r="I208" s="29">
        <v>1015</v>
      </c>
      <c r="J208" s="29">
        <v>361905</v>
      </c>
      <c r="K208" s="29">
        <v>0</v>
      </c>
      <c r="L208" s="29">
        <v>361905</v>
      </c>
      <c r="M208" s="29">
        <v>63377</v>
      </c>
      <c r="N208" s="29">
        <v>70603</v>
      </c>
      <c r="O208" s="29">
        <v>968</v>
      </c>
      <c r="P208" s="29">
        <v>35833</v>
      </c>
      <c r="Q208" s="29">
        <v>3888</v>
      </c>
      <c r="R208" s="29">
        <v>536574</v>
      </c>
      <c r="S208" s="29">
        <v>76047</v>
      </c>
      <c r="T208" s="29">
        <v>460527</v>
      </c>
      <c r="U208" s="29">
        <v>238846</v>
      </c>
      <c r="V208" s="29">
        <v>221681</v>
      </c>
    </row>
    <row r="209" spans="1:22" x14ac:dyDescent="0.2">
      <c r="A209" s="20" t="s">
        <v>327</v>
      </c>
      <c r="B209" s="20" t="s">
        <v>714</v>
      </c>
      <c r="C209" s="25">
        <v>66.400000000000006</v>
      </c>
      <c r="D209" s="27">
        <v>542</v>
      </c>
      <c r="E209" s="25">
        <v>608.4</v>
      </c>
      <c r="F209" s="25">
        <v>1.42</v>
      </c>
      <c r="G209" s="29">
        <v>3</v>
      </c>
      <c r="H209" s="27">
        <v>0</v>
      </c>
      <c r="I209" s="29">
        <v>545</v>
      </c>
      <c r="J209" s="29">
        <v>201563</v>
      </c>
      <c r="K209" s="29">
        <v>0</v>
      </c>
      <c r="L209" s="29">
        <v>201563</v>
      </c>
      <c r="M209" s="29">
        <v>33866</v>
      </c>
      <c r="N209" s="29">
        <v>37224</v>
      </c>
      <c r="O209" s="29">
        <v>470</v>
      </c>
      <c r="P209" s="29">
        <v>20260</v>
      </c>
      <c r="Q209" s="29">
        <v>2221</v>
      </c>
      <c r="R209" s="29">
        <v>295604</v>
      </c>
      <c r="S209" s="29">
        <v>32899</v>
      </c>
      <c r="T209" s="29">
        <v>262705</v>
      </c>
      <c r="U209" s="29">
        <v>150574</v>
      </c>
      <c r="V209" s="29">
        <v>112131</v>
      </c>
    </row>
    <row r="210" spans="1:22" x14ac:dyDescent="0.2">
      <c r="A210" s="20" t="s">
        <v>206</v>
      </c>
      <c r="B210" s="20" t="s">
        <v>599</v>
      </c>
      <c r="C210" s="25">
        <v>538.4</v>
      </c>
      <c r="D210" s="27">
        <v>2957.6</v>
      </c>
      <c r="E210" s="25">
        <v>3496</v>
      </c>
      <c r="F210" s="25">
        <v>0</v>
      </c>
      <c r="G210" s="29">
        <v>92</v>
      </c>
      <c r="H210" s="27">
        <v>0.2</v>
      </c>
      <c r="I210" s="29">
        <v>3049</v>
      </c>
      <c r="J210" s="29">
        <v>1139276</v>
      </c>
      <c r="K210" s="29">
        <v>0</v>
      </c>
      <c r="L210" s="29">
        <v>1139276</v>
      </c>
      <c r="M210" s="29">
        <v>189160</v>
      </c>
      <c r="N210" s="29">
        <v>207789</v>
      </c>
      <c r="O210" s="29">
        <v>0</v>
      </c>
      <c r="P210" s="29">
        <v>97014</v>
      </c>
      <c r="Q210" s="29">
        <v>12166</v>
      </c>
      <c r="R210" s="29">
        <v>1645405</v>
      </c>
      <c r="S210" s="29">
        <v>203383</v>
      </c>
      <c r="T210" s="29">
        <v>1442022</v>
      </c>
      <c r="U210" s="29">
        <v>828741</v>
      </c>
      <c r="V210" s="29">
        <v>613281</v>
      </c>
    </row>
    <row r="211" spans="1:22" x14ac:dyDescent="0.2">
      <c r="A211" s="20" t="s">
        <v>72</v>
      </c>
      <c r="B211" s="20" t="s">
        <v>472</v>
      </c>
      <c r="C211" s="25">
        <v>112.79</v>
      </c>
      <c r="D211" s="27">
        <v>805.3</v>
      </c>
      <c r="E211" s="25">
        <v>918.09</v>
      </c>
      <c r="F211" s="25">
        <v>1.1599999999999999</v>
      </c>
      <c r="G211" s="29">
        <v>32</v>
      </c>
      <c r="H211" s="27">
        <v>0</v>
      </c>
      <c r="I211" s="29">
        <v>837</v>
      </c>
      <c r="J211" s="29">
        <v>309635</v>
      </c>
      <c r="K211" s="29">
        <v>0</v>
      </c>
      <c r="L211" s="29">
        <v>309635</v>
      </c>
      <c r="M211" s="29">
        <v>52287</v>
      </c>
      <c r="N211" s="29">
        <v>58297</v>
      </c>
      <c r="O211" s="29">
        <v>391</v>
      </c>
      <c r="P211" s="29">
        <v>38284</v>
      </c>
      <c r="Q211" s="29">
        <v>4407</v>
      </c>
      <c r="R211" s="29">
        <v>463301</v>
      </c>
      <c r="S211" s="29">
        <v>60890</v>
      </c>
      <c r="T211" s="29">
        <v>402411</v>
      </c>
      <c r="U211" s="29">
        <v>224483</v>
      </c>
      <c r="V211" s="29">
        <v>177928</v>
      </c>
    </row>
    <row r="212" spans="1:22" x14ac:dyDescent="0.2">
      <c r="A212" s="20" t="s">
        <v>136</v>
      </c>
      <c r="B212" s="20" t="s">
        <v>533</v>
      </c>
      <c r="C212" s="25">
        <v>64.44</v>
      </c>
      <c r="D212" s="27">
        <v>527</v>
      </c>
      <c r="E212" s="25">
        <v>591.44000000000005</v>
      </c>
      <c r="F212" s="25">
        <v>0</v>
      </c>
      <c r="G212" s="29">
        <v>3</v>
      </c>
      <c r="H212" s="27">
        <v>0</v>
      </c>
      <c r="I212" s="29">
        <v>530</v>
      </c>
      <c r="J212" s="29">
        <v>198073</v>
      </c>
      <c r="K212" s="29">
        <v>0</v>
      </c>
      <c r="L212" s="29">
        <v>198073</v>
      </c>
      <c r="M212" s="29">
        <v>32849</v>
      </c>
      <c r="N212" s="29">
        <v>35897</v>
      </c>
      <c r="O212" s="29">
        <v>0</v>
      </c>
      <c r="P212" s="29">
        <v>18199</v>
      </c>
      <c r="Q212" s="29">
        <v>2135</v>
      </c>
      <c r="R212" s="29">
        <v>287153</v>
      </c>
      <c r="S212" s="29">
        <v>40448</v>
      </c>
      <c r="T212" s="29">
        <v>246705</v>
      </c>
      <c r="U212" s="29">
        <v>136026</v>
      </c>
      <c r="V212" s="29">
        <v>110679</v>
      </c>
    </row>
    <row r="213" spans="1:22" x14ac:dyDescent="0.2">
      <c r="A213" s="20" t="s">
        <v>12</v>
      </c>
      <c r="B213" s="20" t="s">
        <v>422</v>
      </c>
      <c r="C213" s="25">
        <v>204.23</v>
      </c>
      <c r="D213" s="27">
        <v>1138</v>
      </c>
      <c r="E213" s="25">
        <v>1342.23</v>
      </c>
      <c r="F213" s="25">
        <v>3.59</v>
      </c>
      <c r="G213" s="29">
        <v>3</v>
      </c>
      <c r="H213" s="27">
        <v>0</v>
      </c>
      <c r="I213" s="29">
        <v>1141</v>
      </c>
      <c r="J213" s="29">
        <v>467284</v>
      </c>
      <c r="K213" s="29">
        <v>0</v>
      </c>
      <c r="L213" s="29">
        <v>467284</v>
      </c>
      <c r="M213" s="29">
        <v>71244</v>
      </c>
      <c r="N213" s="29">
        <v>79368</v>
      </c>
      <c r="O213" s="29">
        <v>1250</v>
      </c>
      <c r="P213" s="29">
        <v>46267</v>
      </c>
      <c r="Q213" s="29">
        <v>5020</v>
      </c>
      <c r="R213" s="29">
        <v>670433</v>
      </c>
      <c r="S213" s="29">
        <v>105989</v>
      </c>
      <c r="T213" s="29">
        <v>564444</v>
      </c>
      <c r="U213" s="29">
        <v>300594</v>
      </c>
      <c r="V213" s="29">
        <v>263850</v>
      </c>
    </row>
    <row r="214" spans="1:22" x14ac:dyDescent="0.2">
      <c r="A214" s="20" t="s">
        <v>328</v>
      </c>
      <c r="B214" s="20" t="s">
        <v>715</v>
      </c>
      <c r="C214" s="25">
        <v>74.900000000000006</v>
      </c>
      <c r="D214" s="27">
        <v>488.5</v>
      </c>
      <c r="E214" s="25">
        <v>563.4</v>
      </c>
      <c r="F214" s="25">
        <v>1.32</v>
      </c>
      <c r="G214" s="29">
        <v>26</v>
      </c>
      <c r="H214" s="27">
        <v>0</v>
      </c>
      <c r="I214" s="29">
        <v>515</v>
      </c>
      <c r="J214" s="29">
        <v>186654</v>
      </c>
      <c r="K214" s="29">
        <v>0</v>
      </c>
      <c r="L214" s="29">
        <v>186654</v>
      </c>
      <c r="M214" s="29">
        <v>32002</v>
      </c>
      <c r="N214" s="29">
        <v>35175</v>
      </c>
      <c r="O214" s="29">
        <v>437</v>
      </c>
      <c r="P214" s="29">
        <v>18761</v>
      </c>
      <c r="Q214" s="29">
        <v>2056</v>
      </c>
      <c r="R214" s="29">
        <v>275085</v>
      </c>
      <c r="S214" s="29">
        <v>33289</v>
      </c>
      <c r="T214" s="29">
        <v>241796</v>
      </c>
      <c r="U214" s="29">
        <v>136614</v>
      </c>
      <c r="V214" s="29">
        <v>105182</v>
      </c>
    </row>
    <row r="215" spans="1:22" x14ac:dyDescent="0.2">
      <c r="A215" s="20" t="s">
        <v>165</v>
      </c>
      <c r="B215" s="20" t="s">
        <v>559</v>
      </c>
      <c r="C215" s="25">
        <v>43.25</v>
      </c>
      <c r="D215" s="27">
        <v>556.9</v>
      </c>
      <c r="E215" s="25">
        <v>600.15</v>
      </c>
      <c r="F215" s="25">
        <v>0.69</v>
      </c>
      <c r="G215" s="29">
        <v>5</v>
      </c>
      <c r="H215" s="27">
        <v>0</v>
      </c>
      <c r="I215" s="29">
        <v>562</v>
      </c>
      <c r="J215" s="29">
        <v>199838</v>
      </c>
      <c r="K215" s="29">
        <v>15931</v>
      </c>
      <c r="L215" s="29">
        <v>215769</v>
      </c>
      <c r="M215" s="29">
        <v>34934</v>
      </c>
      <c r="N215" s="29">
        <v>38401</v>
      </c>
      <c r="O215" s="29">
        <v>230</v>
      </c>
      <c r="P215" s="29">
        <v>18917</v>
      </c>
      <c r="Q215" s="29">
        <v>2203</v>
      </c>
      <c r="R215" s="29">
        <v>310454</v>
      </c>
      <c r="S215" s="29">
        <v>45650</v>
      </c>
      <c r="T215" s="29">
        <v>264804</v>
      </c>
      <c r="U215" s="29">
        <v>134092</v>
      </c>
      <c r="V215" s="29">
        <v>130712</v>
      </c>
    </row>
    <row r="216" spans="1:22" x14ac:dyDescent="0.2">
      <c r="A216" s="20" t="s">
        <v>41</v>
      </c>
      <c r="B216" s="20" t="s">
        <v>450</v>
      </c>
      <c r="C216" s="25">
        <v>43.22</v>
      </c>
      <c r="D216" s="27">
        <v>236.4</v>
      </c>
      <c r="E216" s="25">
        <v>279.62</v>
      </c>
      <c r="F216" s="25">
        <v>0</v>
      </c>
      <c r="G216" s="29">
        <v>30</v>
      </c>
      <c r="H216" s="27">
        <v>0</v>
      </c>
      <c r="I216" s="29">
        <v>266</v>
      </c>
      <c r="J216" s="29">
        <v>96159</v>
      </c>
      <c r="K216" s="29">
        <v>12862</v>
      </c>
      <c r="L216" s="29">
        <v>109021</v>
      </c>
      <c r="M216" s="29">
        <v>16630</v>
      </c>
      <c r="N216" s="29">
        <v>18628</v>
      </c>
      <c r="O216" s="29">
        <v>0</v>
      </c>
      <c r="P216" s="29">
        <v>10868</v>
      </c>
      <c r="Q216" s="29">
        <v>1291</v>
      </c>
      <c r="R216" s="29">
        <v>156438</v>
      </c>
      <c r="S216" s="29">
        <v>28015</v>
      </c>
      <c r="T216" s="29">
        <v>128423</v>
      </c>
      <c r="U216" s="29">
        <v>57964</v>
      </c>
      <c r="V216" s="29">
        <v>70459</v>
      </c>
    </row>
    <row r="217" spans="1:22" x14ac:dyDescent="0.2">
      <c r="A217" s="20" t="s">
        <v>207</v>
      </c>
      <c r="B217" s="20" t="s">
        <v>600</v>
      </c>
      <c r="C217" s="25">
        <v>156.16</v>
      </c>
      <c r="D217" s="27">
        <v>2093.1</v>
      </c>
      <c r="E217" s="25">
        <v>2249.2600000000002</v>
      </c>
      <c r="F217" s="25">
        <v>0</v>
      </c>
      <c r="G217" s="29">
        <v>29</v>
      </c>
      <c r="H217" s="27">
        <v>0</v>
      </c>
      <c r="I217" s="29">
        <v>2122</v>
      </c>
      <c r="J217" s="29">
        <v>732989</v>
      </c>
      <c r="K217" s="29">
        <v>0</v>
      </c>
      <c r="L217" s="29">
        <v>732989</v>
      </c>
      <c r="M217" s="29">
        <v>131649</v>
      </c>
      <c r="N217" s="29">
        <v>144614</v>
      </c>
      <c r="O217" s="29">
        <v>0</v>
      </c>
      <c r="P217" s="29">
        <v>62417</v>
      </c>
      <c r="Q217" s="29">
        <v>7827</v>
      </c>
      <c r="R217" s="29">
        <v>1079496</v>
      </c>
      <c r="S217" s="29">
        <v>52568</v>
      </c>
      <c r="T217" s="29">
        <v>1026928</v>
      </c>
      <c r="U217" s="29">
        <v>611481</v>
      </c>
      <c r="V217" s="29">
        <v>415447</v>
      </c>
    </row>
    <row r="218" spans="1:22" x14ac:dyDescent="0.2">
      <c r="A218" s="20" t="s">
        <v>135</v>
      </c>
      <c r="B218" s="20" t="s">
        <v>532</v>
      </c>
      <c r="C218" s="25">
        <v>305.64999999999998</v>
      </c>
      <c r="D218" s="27">
        <v>3097.6</v>
      </c>
      <c r="E218" s="25">
        <v>3403.25</v>
      </c>
      <c r="F218" s="25">
        <v>0</v>
      </c>
      <c r="G218" s="29">
        <v>44</v>
      </c>
      <c r="H218" s="27">
        <v>0</v>
      </c>
      <c r="I218" s="29">
        <v>3142</v>
      </c>
      <c r="J218" s="29">
        <v>1139748</v>
      </c>
      <c r="K218" s="29">
        <v>0</v>
      </c>
      <c r="L218" s="29">
        <v>1139748</v>
      </c>
      <c r="M218" s="29">
        <v>194741</v>
      </c>
      <c r="N218" s="29">
        <v>212808</v>
      </c>
      <c r="O218" s="29">
        <v>0</v>
      </c>
      <c r="P218" s="29">
        <v>104718</v>
      </c>
      <c r="Q218" s="29">
        <v>12286</v>
      </c>
      <c r="R218" s="29">
        <v>1664301</v>
      </c>
      <c r="S218" s="29">
        <v>171716</v>
      </c>
      <c r="T218" s="29">
        <v>1492585</v>
      </c>
      <c r="U218" s="29">
        <v>843746</v>
      </c>
      <c r="V218" s="29">
        <v>648839</v>
      </c>
    </row>
    <row r="219" spans="1:22" x14ac:dyDescent="0.2">
      <c r="A219" s="20" t="s">
        <v>103</v>
      </c>
      <c r="B219" s="20" t="s">
        <v>501</v>
      </c>
      <c r="C219" s="25">
        <v>59</v>
      </c>
      <c r="D219" s="27">
        <v>453</v>
      </c>
      <c r="E219" s="25">
        <v>512</v>
      </c>
      <c r="F219" s="25">
        <v>0.65</v>
      </c>
      <c r="G219" s="29">
        <v>1</v>
      </c>
      <c r="H219" s="27">
        <v>0</v>
      </c>
      <c r="I219" s="29">
        <v>454</v>
      </c>
      <c r="J219" s="29">
        <v>172677</v>
      </c>
      <c r="K219" s="29">
        <v>0</v>
      </c>
      <c r="L219" s="29">
        <v>172677</v>
      </c>
      <c r="M219" s="29">
        <v>28361</v>
      </c>
      <c r="N219" s="29">
        <v>31621</v>
      </c>
      <c r="O219" s="29">
        <v>219</v>
      </c>
      <c r="P219" s="29">
        <v>21350</v>
      </c>
      <c r="Q219" s="29">
        <v>2458</v>
      </c>
      <c r="R219" s="29">
        <v>256686</v>
      </c>
      <c r="S219" s="29">
        <v>31289</v>
      </c>
      <c r="T219" s="29">
        <v>225397</v>
      </c>
      <c r="U219" s="29">
        <v>127859</v>
      </c>
      <c r="V219" s="29">
        <v>97538</v>
      </c>
    </row>
    <row r="220" spans="1:22" x14ac:dyDescent="0.2">
      <c r="A220" s="20" t="s">
        <v>104</v>
      </c>
      <c r="B220" s="20" t="s">
        <v>502</v>
      </c>
      <c r="C220" s="25">
        <v>71.58</v>
      </c>
      <c r="D220" s="27">
        <v>511</v>
      </c>
      <c r="E220" s="25">
        <v>582.58000000000004</v>
      </c>
      <c r="F220" s="25">
        <v>0.74</v>
      </c>
      <c r="G220" s="29">
        <v>0</v>
      </c>
      <c r="H220" s="27">
        <v>0</v>
      </c>
      <c r="I220" s="29">
        <v>511</v>
      </c>
      <c r="J220" s="29">
        <v>196481</v>
      </c>
      <c r="K220" s="29">
        <v>0</v>
      </c>
      <c r="L220" s="29">
        <v>196481</v>
      </c>
      <c r="M220" s="29">
        <v>31922</v>
      </c>
      <c r="N220" s="29">
        <v>35591</v>
      </c>
      <c r="O220" s="29">
        <v>250</v>
      </c>
      <c r="P220" s="29">
        <v>24294</v>
      </c>
      <c r="Q220" s="29">
        <v>2796</v>
      </c>
      <c r="R220" s="29">
        <v>291334</v>
      </c>
      <c r="S220" s="29">
        <v>32927</v>
      </c>
      <c r="T220" s="29">
        <v>258407</v>
      </c>
      <c r="U220" s="29">
        <v>148159</v>
      </c>
      <c r="V220" s="29">
        <v>110248</v>
      </c>
    </row>
    <row r="221" spans="1:22" x14ac:dyDescent="0.2">
      <c r="A221" s="20" t="s">
        <v>208</v>
      </c>
      <c r="B221" s="20" t="s">
        <v>601</v>
      </c>
      <c r="C221" s="25">
        <v>405.69</v>
      </c>
      <c r="D221" s="27">
        <v>3425.3</v>
      </c>
      <c r="E221" s="25">
        <v>3830.99</v>
      </c>
      <c r="F221" s="25">
        <v>0</v>
      </c>
      <c r="G221" s="29">
        <v>87</v>
      </c>
      <c r="H221" s="27">
        <v>0</v>
      </c>
      <c r="I221" s="29">
        <v>3512</v>
      </c>
      <c r="J221" s="29">
        <v>1248443</v>
      </c>
      <c r="K221" s="29">
        <v>0</v>
      </c>
      <c r="L221" s="29">
        <v>1248443</v>
      </c>
      <c r="M221" s="29">
        <v>217884</v>
      </c>
      <c r="N221" s="29">
        <v>239343</v>
      </c>
      <c r="O221" s="29">
        <v>0</v>
      </c>
      <c r="P221" s="29">
        <v>106310</v>
      </c>
      <c r="Q221" s="29">
        <v>13332</v>
      </c>
      <c r="R221" s="29">
        <v>1825312</v>
      </c>
      <c r="S221" s="29">
        <v>125386</v>
      </c>
      <c r="T221" s="29">
        <v>1699926</v>
      </c>
      <c r="U221" s="29">
        <v>1005637</v>
      </c>
      <c r="V221" s="29">
        <v>694289</v>
      </c>
    </row>
    <row r="222" spans="1:22" x14ac:dyDescent="0.2">
      <c r="A222" s="20" t="s">
        <v>297</v>
      </c>
      <c r="B222" s="20" t="s">
        <v>685</v>
      </c>
      <c r="C222" s="25">
        <v>92.31</v>
      </c>
      <c r="D222" s="27">
        <v>716.2</v>
      </c>
      <c r="E222" s="25">
        <v>808.51</v>
      </c>
      <c r="F222" s="25">
        <v>1.69</v>
      </c>
      <c r="G222" s="29">
        <v>2</v>
      </c>
      <c r="H222" s="27">
        <v>0</v>
      </c>
      <c r="I222" s="29">
        <v>718</v>
      </c>
      <c r="J222" s="29">
        <v>269994</v>
      </c>
      <c r="K222" s="29">
        <v>0</v>
      </c>
      <c r="L222" s="29">
        <v>269994</v>
      </c>
      <c r="M222" s="29">
        <v>44638</v>
      </c>
      <c r="N222" s="29">
        <v>49348</v>
      </c>
      <c r="O222" s="29">
        <v>564</v>
      </c>
      <c r="P222" s="29">
        <v>27724</v>
      </c>
      <c r="Q222" s="29">
        <v>2991</v>
      </c>
      <c r="R222" s="29">
        <v>395259</v>
      </c>
      <c r="S222" s="29">
        <v>43542</v>
      </c>
      <c r="T222" s="29">
        <v>351717</v>
      </c>
      <c r="U222" s="29">
        <v>201066</v>
      </c>
      <c r="V222" s="29">
        <v>150651</v>
      </c>
    </row>
    <row r="223" spans="1:22" x14ac:dyDescent="0.2">
      <c r="A223" s="20" t="s">
        <v>43</v>
      </c>
      <c r="B223" s="20" t="s">
        <v>637</v>
      </c>
      <c r="C223" s="25">
        <v>124.48</v>
      </c>
      <c r="D223" s="27">
        <v>925.2</v>
      </c>
      <c r="E223" s="25">
        <v>1049.68</v>
      </c>
      <c r="F223" s="25">
        <v>2.02</v>
      </c>
      <c r="G223" s="29">
        <v>14</v>
      </c>
      <c r="H223" s="27">
        <v>0</v>
      </c>
      <c r="I223" s="29">
        <v>939</v>
      </c>
      <c r="J223" s="29">
        <v>357437</v>
      </c>
      <c r="K223" s="29">
        <v>0</v>
      </c>
      <c r="L223" s="29">
        <v>357437</v>
      </c>
      <c r="M223" s="29">
        <v>58641</v>
      </c>
      <c r="N223" s="29">
        <v>65664</v>
      </c>
      <c r="O223" s="29">
        <v>688</v>
      </c>
      <c r="P223" s="29">
        <v>36015</v>
      </c>
      <c r="Q223" s="29">
        <v>4293</v>
      </c>
      <c r="R223" s="29">
        <v>522738</v>
      </c>
      <c r="S223" s="29">
        <v>76129</v>
      </c>
      <c r="T223" s="29">
        <v>446609</v>
      </c>
      <c r="U223" s="29">
        <v>241828</v>
      </c>
      <c r="V223" s="29">
        <v>204781</v>
      </c>
    </row>
    <row r="224" spans="1:22" x14ac:dyDescent="0.2">
      <c r="A224" s="20" t="s">
        <v>13</v>
      </c>
      <c r="B224" s="20" t="s">
        <v>423</v>
      </c>
      <c r="C224" s="25">
        <v>266.77999999999997</v>
      </c>
      <c r="D224" s="27">
        <v>1326</v>
      </c>
      <c r="E224" s="25">
        <v>1592.78</v>
      </c>
      <c r="F224" s="25">
        <v>4.26</v>
      </c>
      <c r="G224" s="29">
        <v>7</v>
      </c>
      <c r="H224" s="27">
        <v>0</v>
      </c>
      <c r="I224" s="29">
        <v>1333</v>
      </c>
      <c r="J224" s="29">
        <v>554510</v>
      </c>
      <c r="K224" s="29">
        <v>0</v>
      </c>
      <c r="L224" s="29">
        <v>554510</v>
      </c>
      <c r="M224" s="29">
        <v>83233</v>
      </c>
      <c r="N224" s="29">
        <v>92723</v>
      </c>
      <c r="O224" s="29">
        <v>1483</v>
      </c>
      <c r="P224" s="29">
        <v>54903</v>
      </c>
      <c r="Q224" s="29">
        <v>5957</v>
      </c>
      <c r="R224" s="29">
        <v>792809</v>
      </c>
      <c r="S224" s="29">
        <v>102876</v>
      </c>
      <c r="T224" s="29">
        <v>689933</v>
      </c>
      <c r="U224" s="29">
        <v>379603</v>
      </c>
      <c r="V224" s="29">
        <v>310330</v>
      </c>
    </row>
    <row r="225" spans="1:22" x14ac:dyDescent="0.2">
      <c r="A225" s="20" t="s">
        <v>209</v>
      </c>
      <c r="B225" s="20" t="s">
        <v>602</v>
      </c>
      <c r="C225" s="25">
        <v>49.05</v>
      </c>
      <c r="D225" s="27">
        <v>589.79999999999995</v>
      </c>
      <c r="E225" s="25">
        <v>638.85</v>
      </c>
      <c r="F225" s="25">
        <v>0</v>
      </c>
      <c r="G225" s="29">
        <v>13</v>
      </c>
      <c r="H225" s="27">
        <v>0</v>
      </c>
      <c r="I225" s="29">
        <v>603</v>
      </c>
      <c r="J225" s="29">
        <v>208188</v>
      </c>
      <c r="K225" s="29">
        <v>0</v>
      </c>
      <c r="L225" s="29">
        <v>208188</v>
      </c>
      <c r="M225" s="29">
        <v>37410</v>
      </c>
      <c r="N225" s="29">
        <v>41094</v>
      </c>
      <c r="O225" s="29">
        <v>0</v>
      </c>
      <c r="P225" s="29">
        <v>17728</v>
      </c>
      <c r="Q225" s="29">
        <v>2223</v>
      </c>
      <c r="R225" s="29">
        <v>306643</v>
      </c>
      <c r="S225" s="29">
        <v>41558</v>
      </c>
      <c r="T225" s="29">
        <v>265085</v>
      </c>
      <c r="U225" s="29">
        <v>147049</v>
      </c>
      <c r="V225" s="29">
        <v>118036</v>
      </c>
    </row>
    <row r="226" spans="1:22" x14ac:dyDescent="0.2">
      <c r="A226" s="20" t="s">
        <v>44</v>
      </c>
      <c r="B226" s="20" t="s">
        <v>452</v>
      </c>
      <c r="C226" s="25">
        <v>129.01</v>
      </c>
      <c r="D226" s="27">
        <v>1065.8</v>
      </c>
      <c r="E226" s="25">
        <v>1194.81</v>
      </c>
      <c r="F226" s="25">
        <v>0</v>
      </c>
      <c r="G226" s="29">
        <v>6</v>
      </c>
      <c r="H226" s="27">
        <v>0</v>
      </c>
      <c r="I226" s="29">
        <v>1072</v>
      </c>
      <c r="J226" s="29">
        <v>410883</v>
      </c>
      <c r="K226" s="29">
        <v>0</v>
      </c>
      <c r="L226" s="29">
        <v>410883</v>
      </c>
      <c r="M226" s="29">
        <v>67021</v>
      </c>
      <c r="N226" s="29">
        <v>75072</v>
      </c>
      <c r="O226" s="29">
        <v>0</v>
      </c>
      <c r="P226" s="29">
        <v>43527</v>
      </c>
      <c r="Q226" s="29">
        <v>5174</v>
      </c>
      <c r="R226" s="29">
        <v>601677</v>
      </c>
      <c r="S226" s="29">
        <v>60802</v>
      </c>
      <c r="T226" s="29">
        <v>540875</v>
      </c>
      <c r="U226" s="29">
        <v>303329</v>
      </c>
      <c r="V226" s="29">
        <v>237546</v>
      </c>
    </row>
    <row r="227" spans="1:22" x14ac:dyDescent="0.2">
      <c r="A227" s="20" t="s">
        <v>166</v>
      </c>
      <c r="B227" s="20" t="s">
        <v>560</v>
      </c>
      <c r="C227" s="25">
        <v>22.59</v>
      </c>
      <c r="D227" s="27">
        <v>215.5</v>
      </c>
      <c r="E227" s="25">
        <v>238.09</v>
      </c>
      <c r="F227" s="25">
        <v>0.28000000000000003</v>
      </c>
      <c r="G227" s="29">
        <v>5</v>
      </c>
      <c r="H227" s="27">
        <v>0</v>
      </c>
      <c r="I227" s="29">
        <v>221</v>
      </c>
      <c r="J227" s="29">
        <v>79279</v>
      </c>
      <c r="K227" s="29">
        <v>0</v>
      </c>
      <c r="L227" s="29">
        <v>79279</v>
      </c>
      <c r="M227" s="29">
        <v>13737</v>
      </c>
      <c r="N227" s="29">
        <v>15101</v>
      </c>
      <c r="O227" s="29">
        <v>93</v>
      </c>
      <c r="P227" s="29">
        <v>7505</v>
      </c>
      <c r="Q227" s="29">
        <v>874</v>
      </c>
      <c r="R227" s="29">
        <v>116589</v>
      </c>
      <c r="S227" s="29">
        <v>19148</v>
      </c>
      <c r="T227" s="29">
        <v>97441</v>
      </c>
      <c r="U227" s="29">
        <v>52161</v>
      </c>
      <c r="V227" s="29">
        <v>45280</v>
      </c>
    </row>
    <row r="228" spans="1:22" x14ac:dyDescent="0.2">
      <c r="A228" s="20" t="s">
        <v>295</v>
      </c>
      <c r="B228" s="20" t="s">
        <v>683</v>
      </c>
      <c r="C228" s="25">
        <v>39.229999999999997</v>
      </c>
      <c r="D228" s="27">
        <v>178.1</v>
      </c>
      <c r="E228" s="25">
        <v>217.33</v>
      </c>
      <c r="F228" s="25">
        <v>0.46</v>
      </c>
      <c r="G228" s="29">
        <v>3</v>
      </c>
      <c r="H228" s="27">
        <v>0</v>
      </c>
      <c r="I228" s="29">
        <v>181</v>
      </c>
      <c r="J228" s="29">
        <v>72575</v>
      </c>
      <c r="K228" s="29">
        <v>191</v>
      </c>
      <c r="L228" s="29">
        <v>72766</v>
      </c>
      <c r="M228" s="29">
        <v>11253</v>
      </c>
      <c r="N228" s="29">
        <v>12440</v>
      </c>
      <c r="O228" s="29">
        <v>154</v>
      </c>
      <c r="P228" s="29">
        <v>7452</v>
      </c>
      <c r="Q228" s="29">
        <v>804</v>
      </c>
      <c r="R228" s="29">
        <v>104869</v>
      </c>
      <c r="S228" s="29">
        <v>18609</v>
      </c>
      <c r="T228" s="29">
        <v>86260</v>
      </c>
      <c r="U228" s="29">
        <v>47144</v>
      </c>
      <c r="V228" s="29">
        <v>39116</v>
      </c>
    </row>
    <row r="229" spans="1:22" x14ac:dyDescent="0.2">
      <c r="A229" s="20" t="s">
        <v>105</v>
      </c>
      <c r="B229" s="20" t="s">
        <v>503</v>
      </c>
      <c r="C229" s="25">
        <v>82.87</v>
      </c>
      <c r="D229" s="27">
        <v>892.7</v>
      </c>
      <c r="E229" s="25">
        <v>975.57</v>
      </c>
      <c r="F229" s="25">
        <v>1.23</v>
      </c>
      <c r="G229" s="29">
        <v>2</v>
      </c>
      <c r="H229" s="27">
        <v>0</v>
      </c>
      <c r="I229" s="29">
        <v>895</v>
      </c>
      <c r="J229" s="29">
        <v>329021</v>
      </c>
      <c r="K229" s="29">
        <v>0</v>
      </c>
      <c r="L229" s="29">
        <v>329021</v>
      </c>
      <c r="M229" s="29">
        <v>55911</v>
      </c>
      <c r="N229" s="29">
        <v>62337</v>
      </c>
      <c r="O229" s="29">
        <v>415</v>
      </c>
      <c r="P229" s="29">
        <v>40681</v>
      </c>
      <c r="Q229" s="29">
        <v>4683</v>
      </c>
      <c r="R229" s="29">
        <v>493048</v>
      </c>
      <c r="S229" s="29">
        <v>62418</v>
      </c>
      <c r="T229" s="29">
        <v>430630</v>
      </c>
      <c r="U229" s="29">
        <v>240821</v>
      </c>
      <c r="V229" s="29">
        <v>189809</v>
      </c>
    </row>
    <row r="230" spans="1:22" x14ac:dyDescent="0.2">
      <c r="A230" s="20" t="s">
        <v>329</v>
      </c>
      <c r="B230" s="20" t="s">
        <v>716</v>
      </c>
      <c r="C230" s="25">
        <v>280.04000000000002</v>
      </c>
      <c r="D230" s="27">
        <v>2254.6</v>
      </c>
      <c r="E230" s="25">
        <v>2534.64</v>
      </c>
      <c r="F230" s="25">
        <v>5.94</v>
      </c>
      <c r="G230" s="29">
        <v>171</v>
      </c>
      <c r="H230" s="27">
        <v>0</v>
      </c>
      <c r="I230" s="29">
        <v>2426</v>
      </c>
      <c r="J230" s="29">
        <v>839726</v>
      </c>
      <c r="K230" s="29">
        <v>0</v>
      </c>
      <c r="L230" s="29">
        <v>839726</v>
      </c>
      <c r="M230" s="29">
        <v>150752</v>
      </c>
      <c r="N230" s="29">
        <v>165696</v>
      </c>
      <c r="O230" s="29">
        <v>1968</v>
      </c>
      <c r="P230" s="29">
        <v>84404</v>
      </c>
      <c r="Q230" s="29">
        <v>9251</v>
      </c>
      <c r="R230" s="29">
        <v>1251797</v>
      </c>
      <c r="S230" s="29">
        <v>151250</v>
      </c>
      <c r="T230" s="29">
        <v>1100547</v>
      </c>
      <c r="U230" s="29">
        <v>613118</v>
      </c>
      <c r="V230" s="29">
        <v>487429</v>
      </c>
    </row>
    <row r="231" spans="1:22" x14ac:dyDescent="0.2">
      <c r="A231" s="20" t="s">
        <v>330</v>
      </c>
      <c r="B231" s="20" t="s">
        <v>717</v>
      </c>
      <c r="C231" s="25">
        <v>644.57000000000005</v>
      </c>
      <c r="D231" s="27">
        <v>5067.1000000000004</v>
      </c>
      <c r="E231" s="25">
        <v>5711.67</v>
      </c>
      <c r="F231" s="25">
        <v>13.39</v>
      </c>
      <c r="G231" s="29">
        <v>108</v>
      </c>
      <c r="H231" s="27">
        <v>3</v>
      </c>
      <c r="I231" s="29">
        <v>5172</v>
      </c>
      <c r="J231" s="29">
        <v>1892276</v>
      </c>
      <c r="K231" s="29">
        <v>0</v>
      </c>
      <c r="L231" s="29">
        <v>1892276</v>
      </c>
      <c r="M231" s="29">
        <v>321388</v>
      </c>
      <c r="N231" s="29">
        <v>353248</v>
      </c>
      <c r="O231" s="29">
        <v>4436</v>
      </c>
      <c r="P231" s="29">
        <v>190199</v>
      </c>
      <c r="Q231" s="29">
        <v>20848</v>
      </c>
      <c r="R231" s="29">
        <v>2782395</v>
      </c>
      <c r="S231" s="29">
        <v>285726</v>
      </c>
      <c r="T231" s="29">
        <v>2496669</v>
      </c>
      <c r="U231" s="29">
        <v>1436737</v>
      </c>
      <c r="V231" s="29">
        <v>1059932</v>
      </c>
    </row>
    <row r="232" spans="1:22" x14ac:dyDescent="0.2">
      <c r="A232" s="20" t="s">
        <v>210</v>
      </c>
      <c r="B232" s="20" t="s">
        <v>603</v>
      </c>
      <c r="C232" s="25">
        <v>101.49</v>
      </c>
      <c r="D232" s="27">
        <v>642.9</v>
      </c>
      <c r="E232" s="25">
        <v>744.39</v>
      </c>
      <c r="F232" s="25">
        <v>0</v>
      </c>
      <c r="G232" s="29">
        <v>3</v>
      </c>
      <c r="H232" s="27">
        <v>0</v>
      </c>
      <c r="I232" s="29">
        <v>646</v>
      </c>
      <c r="J232" s="29">
        <v>242582</v>
      </c>
      <c r="K232" s="29">
        <v>3428</v>
      </c>
      <c r="L232" s="29">
        <v>246010</v>
      </c>
      <c r="M232" s="29">
        <v>40078</v>
      </c>
      <c r="N232" s="29">
        <v>44025</v>
      </c>
      <c r="O232" s="29">
        <v>0</v>
      </c>
      <c r="P232" s="29">
        <v>20815</v>
      </c>
      <c r="Q232" s="29">
        <v>2614</v>
      </c>
      <c r="R232" s="29">
        <v>353542</v>
      </c>
      <c r="S232" s="29">
        <v>42913</v>
      </c>
      <c r="T232" s="29">
        <v>310629</v>
      </c>
      <c r="U232" s="29">
        <v>177035</v>
      </c>
      <c r="V232" s="29">
        <v>133594</v>
      </c>
    </row>
    <row r="233" spans="1:22" x14ac:dyDescent="0.2">
      <c r="A233" s="20" t="s">
        <v>45</v>
      </c>
      <c r="B233" s="20" t="s">
        <v>453</v>
      </c>
      <c r="C233" s="25">
        <v>15.64</v>
      </c>
      <c r="D233" s="27">
        <v>186.7</v>
      </c>
      <c r="E233" s="25">
        <v>202.34</v>
      </c>
      <c r="F233" s="25">
        <v>0</v>
      </c>
      <c r="G233" s="29">
        <v>6</v>
      </c>
      <c r="H233" s="27">
        <v>0</v>
      </c>
      <c r="I233" s="29">
        <v>193</v>
      </c>
      <c r="J233" s="29">
        <v>69583</v>
      </c>
      <c r="K233" s="29">
        <v>2532</v>
      </c>
      <c r="L233" s="29">
        <v>72115</v>
      </c>
      <c r="M233" s="29">
        <v>12066</v>
      </c>
      <c r="N233" s="29">
        <v>13516</v>
      </c>
      <c r="O233" s="29">
        <v>0</v>
      </c>
      <c r="P233" s="29">
        <v>7371</v>
      </c>
      <c r="Q233" s="29">
        <v>876</v>
      </c>
      <c r="R233" s="29">
        <v>105944</v>
      </c>
      <c r="S233" s="29">
        <v>13629</v>
      </c>
      <c r="T233" s="29">
        <v>92315</v>
      </c>
      <c r="U233" s="29">
        <v>48036</v>
      </c>
      <c r="V233" s="29">
        <v>44279</v>
      </c>
    </row>
    <row r="234" spans="1:22" x14ac:dyDescent="0.2">
      <c r="A234" s="20" t="s">
        <v>256</v>
      </c>
      <c r="B234" s="20" t="s">
        <v>647</v>
      </c>
      <c r="C234" s="25">
        <v>126.17</v>
      </c>
      <c r="D234" s="27">
        <v>561.5</v>
      </c>
      <c r="E234" s="25">
        <v>687.67</v>
      </c>
      <c r="F234" s="25">
        <v>1.33</v>
      </c>
      <c r="G234" s="29">
        <v>69</v>
      </c>
      <c r="H234" s="27">
        <v>2.7</v>
      </c>
      <c r="I234" s="29">
        <v>628</v>
      </c>
      <c r="J234" s="29">
        <v>234165</v>
      </c>
      <c r="K234" s="29">
        <v>0</v>
      </c>
      <c r="L234" s="29">
        <v>234165</v>
      </c>
      <c r="M234" s="29">
        <v>39219</v>
      </c>
      <c r="N234" s="29">
        <v>43916</v>
      </c>
      <c r="O234" s="29">
        <v>453</v>
      </c>
      <c r="P234" s="29">
        <v>23594</v>
      </c>
      <c r="Q234" s="29">
        <v>2813</v>
      </c>
      <c r="R234" s="29">
        <v>344160</v>
      </c>
      <c r="S234" s="29">
        <v>51982</v>
      </c>
      <c r="T234" s="29">
        <v>292178</v>
      </c>
      <c r="U234" s="29">
        <v>156321</v>
      </c>
      <c r="V234" s="29">
        <v>135857</v>
      </c>
    </row>
    <row r="235" spans="1:22" x14ac:dyDescent="0.2">
      <c r="A235" s="20" t="s">
        <v>331</v>
      </c>
      <c r="B235" s="20" t="s">
        <v>718</v>
      </c>
      <c r="C235" s="25">
        <v>65.38</v>
      </c>
      <c r="D235" s="27">
        <v>549.1</v>
      </c>
      <c r="E235" s="25">
        <v>614.48</v>
      </c>
      <c r="F235" s="25">
        <v>1.44</v>
      </c>
      <c r="G235" s="29">
        <v>0</v>
      </c>
      <c r="H235" s="27">
        <v>0</v>
      </c>
      <c r="I235" s="29">
        <v>549</v>
      </c>
      <c r="J235" s="29">
        <v>203577</v>
      </c>
      <c r="K235" s="29">
        <v>6153</v>
      </c>
      <c r="L235" s="29">
        <v>209730</v>
      </c>
      <c r="M235" s="29">
        <v>34115</v>
      </c>
      <c r="N235" s="29">
        <v>37497</v>
      </c>
      <c r="O235" s="29">
        <v>477</v>
      </c>
      <c r="P235" s="29">
        <v>20646</v>
      </c>
      <c r="Q235" s="29">
        <v>2256</v>
      </c>
      <c r="R235" s="29">
        <v>304721</v>
      </c>
      <c r="S235" s="29">
        <v>43569</v>
      </c>
      <c r="T235" s="29">
        <v>261152</v>
      </c>
      <c r="U235" s="29">
        <v>141936</v>
      </c>
      <c r="V235" s="29">
        <v>119216</v>
      </c>
    </row>
    <row r="236" spans="1:22" x14ac:dyDescent="0.2">
      <c r="A236" s="20" t="s">
        <v>213</v>
      </c>
      <c r="B236" s="20" t="s">
        <v>604</v>
      </c>
      <c r="C236" s="25">
        <v>217.97</v>
      </c>
      <c r="D236" s="27">
        <v>2179.6999999999998</v>
      </c>
      <c r="E236" s="25">
        <v>2397.67</v>
      </c>
      <c r="F236" s="25">
        <v>0</v>
      </c>
      <c r="G236" s="29">
        <v>562</v>
      </c>
      <c r="H236" s="27">
        <v>1.9</v>
      </c>
      <c r="I236" s="29">
        <v>2740</v>
      </c>
      <c r="J236" s="29">
        <v>781353</v>
      </c>
      <c r="K236" s="29">
        <v>0</v>
      </c>
      <c r="L236" s="29">
        <v>781353</v>
      </c>
      <c r="M236" s="29">
        <v>169990</v>
      </c>
      <c r="N236" s="29">
        <v>186731</v>
      </c>
      <c r="O236" s="29">
        <v>0</v>
      </c>
      <c r="P236" s="29">
        <v>66535</v>
      </c>
      <c r="Q236" s="29">
        <v>8344</v>
      </c>
      <c r="R236" s="29">
        <v>1212953</v>
      </c>
      <c r="S236" s="29">
        <v>124773</v>
      </c>
      <c r="T236" s="29">
        <v>1088180</v>
      </c>
      <c r="U236" s="29">
        <v>583091</v>
      </c>
      <c r="V236" s="29">
        <v>505089</v>
      </c>
    </row>
    <row r="237" spans="1:22" x14ac:dyDescent="0.2">
      <c r="A237" s="20" t="s">
        <v>214</v>
      </c>
      <c r="B237" s="20" t="s">
        <v>605</v>
      </c>
      <c r="C237" s="25">
        <v>273.77</v>
      </c>
      <c r="D237" s="27">
        <v>1854.1</v>
      </c>
      <c r="E237" s="25">
        <v>2127.87</v>
      </c>
      <c r="F237" s="25">
        <v>0</v>
      </c>
      <c r="G237" s="29">
        <v>81</v>
      </c>
      <c r="H237" s="27">
        <v>7.2</v>
      </c>
      <c r="I237" s="29">
        <v>1928</v>
      </c>
      <c r="J237" s="29">
        <v>693430</v>
      </c>
      <c r="K237" s="29">
        <v>0</v>
      </c>
      <c r="L237" s="29">
        <v>693430</v>
      </c>
      <c r="M237" s="29">
        <v>119613</v>
      </c>
      <c r="N237" s="29">
        <v>131393</v>
      </c>
      <c r="O237" s="29">
        <v>0</v>
      </c>
      <c r="P237" s="29">
        <v>59048</v>
      </c>
      <c r="Q237" s="29">
        <v>7405</v>
      </c>
      <c r="R237" s="29">
        <v>1010889</v>
      </c>
      <c r="S237" s="29">
        <v>105800</v>
      </c>
      <c r="T237" s="29">
        <v>905089</v>
      </c>
      <c r="U237" s="29">
        <v>522411</v>
      </c>
      <c r="V237" s="29">
        <v>382678</v>
      </c>
    </row>
    <row r="238" spans="1:22" x14ac:dyDescent="0.2">
      <c r="A238" s="20" t="s">
        <v>137</v>
      </c>
      <c r="B238" s="20" t="s">
        <v>534</v>
      </c>
      <c r="C238" s="25">
        <v>439.78</v>
      </c>
      <c r="D238" s="27">
        <v>5556.8</v>
      </c>
      <c r="E238" s="25">
        <v>5996.58</v>
      </c>
      <c r="F238" s="25">
        <v>0</v>
      </c>
      <c r="G238" s="29">
        <v>132</v>
      </c>
      <c r="H238" s="27">
        <v>0</v>
      </c>
      <c r="I238" s="29">
        <v>5689</v>
      </c>
      <c r="J238" s="29">
        <v>2008255</v>
      </c>
      <c r="K238" s="29">
        <v>0</v>
      </c>
      <c r="L238" s="29">
        <v>2008255</v>
      </c>
      <c r="M238" s="29">
        <v>352604</v>
      </c>
      <c r="N238" s="29">
        <v>385316</v>
      </c>
      <c r="O238" s="29">
        <v>0</v>
      </c>
      <c r="P238" s="29">
        <v>184515</v>
      </c>
      <c r="Q238" s="29">
        <v>21648</v>
      </c>
      <c r="R238" s="29">
        <v>2952338</v>
      </c>
      <c r="S238" s="29">
        <v>178615</v>
      </c>
      <c r="T238" s="29">
        <v>2773723</v>
      </c>
      <c r="U238" s="29">
        <v>1610645</v>
      </c>
      <c r="V238" s="29">
        <v>1163078</v>
      </c>
    </row>
    <row r="239" spans="1:22" x14ac:dyDescent="0.2">
      <c r="A239" s="20" t="s">
        <v>215</v>
      </c>
      <c r="B239" s="20" t="s">
        <v>606</v>
      </c>
      <c r="C239" s="25">
        <v>100.2</v>
      </c>
      <c r="D239" s="27">
        <v>711.8</v>
      </c>
      <c r="E239" s="25">
        <v>812</v>
      </c>
      <c r="F239" s="25">
        <v>0</v>
      </c>
      <c r="G239" s="29">
        <v>1</v>
      </c>
      <c r="H239" s="27">
        <v>0</v>
      </c>
      <c r="I239" s="29">
        <v>713</v>
      </c>
      <c r="J239" s="29">
        <v>264615</v>
      </c>
      <c r="K239" s="29">
        <v>0</v>
      </c>
      <c r="L239" s="29">
        <v>264615</v>
      </c>
      <c r="M239" s="29">
        <v>44235</v>
      </c>
      <c r="N239" s="29">
        <v>48591</v>
      </c>
      <c r="O239" s="29">
        <v>0</v>
      </c>
      <c r="P239" s="29">
        <v>22533</v>
      </c>
      <c r="Q239" s="29">
        <v>2826</v>
      </c>
      <c r="R239" s="29">
        <v>382800</v>
      </c>
      <c r="S239" s="29">
        <v>40018</v>
      </c>
      <c r="T239" s="29">
        <v>342782</v>
      </c>
      <c r="U239" s="29">
        <v>199709</v>
      </c>
      <c r="V239" s="29">
        <v>143073</v>
      </c>
    </row>
    <row r="240" spans="1:22" x14ac:dyDescent="0.2">
      <c r="A240" s="20" t="s">
        <v>46</v>
      </c>
      <c r="B240" s="20" t="s">
        <v>454</v>
      </c>
      <c r="C240" s="25">
        <v>95.67</v>
      </c>
      <c r="D240" s="27">
        <v>669.8</v>
      </c>
      <c r="E240" s="25">
        <v>765.47</v>
      </c>
      <c r="F240" s="25">
        <v>0</v>
      </c>
      <c r="G240" s="29">
        <v>83</v>
      </c>
      <c r="H240" s="27">
        <v>6.6</v>
      </c>
      <c r="I240" s="29">
        <v>746</v>
      </c>
      <c r="J240" s="29">
        <v>263237</v>
      </c>
      <c r="K240" s="29">
        <v>2810</v>
      </c>
      <c r="L240" s="29">
        <v>266047</v>
      </c>
      <c r="M240" s="29">
        <v>46640</v>
      </c>
      <c r="N240" s="29">
        <v>52242</v>
      </c>
      <c r="O240" s="29">
        <v>0</v>
      </c>
      <c r="P240" s="29">
        <v>27886</v>
      </c>
      <c r="Q240" s="29">
        <v>3314</v>
      </c>
      <c r="R240" s="29">
        <v>396129</v>
      </c>
      <c r="S240" s="29">
        <v>68434</v>
      </c>
      <c r="T240" s="29">
        <v>327695</v>
      </c>
      <c r="U240" s="29">
        <v>164850</v>
      </c>
      <c r="V240" s="29">
        <v>162845</v>
      </c>
    </row>
    <row r="241" spans="1:22" x14ac:dyDescent="0.2">
      <c r="A241" s="20" t="s">
        <v>14</v>
      </c>
      <c r="B241" s="20" t="s">
        <v>424</v>
      </c>
      <c r="C241" s="25">
        <v>87.42</v>
      </c>
      <c r="D241" s="27">
        <v>693.1</v>
      </c>
      <c r="E241" s="25">
        <v>780.52</v>
      </c>
      <c r="F241" s="25">
        <v>2.09</v>
      </c>
      <c r="G241" s="29">
        <v>3</v>
      </c>
      <c r="H241" s="27">
        <v>0</v>
      </c>
      <c r="I241" s="29">
        <v>696</v>
      </c>
      <c r="J241" s="29">
        <v>271730</v>
      </c>
      <c r="K241" s="29">
        <v>3692</v>
      </c>
      <c r="L241" s="29">
        <v>275422</v>
      </c>
      <c r="M241" s="29">
        <v>43458</v>
      </c>
      <c r="N241" s="29">
        <v>48414</v>
      </c>
      <c r="O241" s="29">
        <v>728</v>
      </c>
      <c r="P241" s="29">
        <v>26905</v>
      </c>
      <c r="Q241" s="29">
        <v>2919</v>
      </c>
      <c r="R241" s="29">
        <v>397846</v>
      </c>
      <c r="S241" s="29">
        <v>40336</v>
      </c>
      <c r="T241" s="29">
        <v>357510</v>
      </c>
      <c r="U241" s="29">
        <v>196097</v>
      </c>
      <c r="V241" s="29">
        <v>161413</v>
      </c>
    </row>
    <row r="242" spans="1:22" x14ac:dyDescent="0.2">
      <c r="A242" s="20" t="s">
        <v>211</v>
      </c>
      <c r="B242" s="20" t="s">
        <v>212</v>
      </c>
      <c r="C242" s="25">
        <v>109.68</v>
      </c>
      <c r="D242" s="27">
        <v>1032.0999999999999</v>
      </c>
      <c r="E242" s="25">
        <v>1141.78</v>
      </c>
      <c r="F242" s="25">
        <v>0</v>
      </c>
      <c r="G242" s="29">
        <v>21</v>
      </c>
      <c r="H242" s="27">
        <v>0</v>
      </c>
      <c r="I242" s="29">
        <v>1053</v>
      </c>
      <c r="J242" s="29">
        <v>372083</v>
      </c>
      <c r="K242" s="29">
        <v>0</v>
      </c>
      <c r="L242" s="29">
        <v>372083</v>
      </c>
      <c r="M242" s="29">
        <v>65328</v>
      </c>
      <c r="N242" s="29">
        <v>71762</v>
      </c>
      <c r="O242" s="29">
        <v>0</v>
      </c>
      <c r="P242" s="29">
        <v>31684</v>
      </c>
      <c r="Q242" s="29">
        <v>3973</v>
      </c>
      <c r="R242" s="29">
        <v>544830</v>
      </c>
      <c r="S242" s="29">
        <v>58466</v>
      </c>
      <c r="T242" s="29">
        <v>486364</v>
      </c>
      <c r="U242" s="29">
        <v>278621</v>
      </c>
      <c r="V242" s="29">
        <v>207743</v>
      </c>
    </row>
    <row r="243" spans="1:22" x14ac:dyDescent="0.2">
      <c r="A243" s="20" t="s">
        <v>296</v>
      </c>
      <c r="B243" s="20" t="s">
        <v>684</v>
      </c>
      <c r="C243" s="25">
        <v>131.41999999999999</v>
      </c>
      <c r="D243" s="27">
        <v>1034.9000000000001</v>
      </c>
      <c r="E243" s="25">
        <v>1166.32</v>
      </c>
      <c r="F243" s="25">
        <v>2.44</v>
      </c>
      <c r="G243" s="29">
        <v>0</v>
      </c>
      <c r="H243" s="27">
        <v>0</v>
      </c>
      <c r="I243" s="29">
        <v>1035</v>
      </c>
      <c r="J243" s="29">
        <v>389481</v>
      </c>
      <c r="K243" s="29">
        <v>5066</v>
      </c>
      <c r="L243" s="29">
        <v>394547</v>
      </c>
      <c r="M243" s="29">
        <v>64346</v>
      </c>
      <c r="N243" s="29">
        <v>71136</v>
      </c>
      <c r="O243" s="29">
        <v>815</v>
      </c>
      <c r="P243" s="29">
        <v>40511</v>
      </c>
      <c r="Q243" s="29">
        <v>4357</v>
      </c>
      <c r="R243" s="29">
        <v>575712</v>
      </c>
      <c r="S243" s="29">
        <v>81514</v>
      </c>
      <c r="T243" s="29">
        <v>494198</v>
      </c>
      <c r="U243" s="29">
        <v>271907</v>
      </c>
      <c r="V243" s="29">
        <v>222291</v>
      </c>
    </row>
    <row r="244" spans="1:22" x14ac:dyDescent="0.2">
      <c r="A244" s="20" t="s">
        <v>247</v>
      </c>
      <c r="B244" s="20" t="s">
        <v>638</v>
      </c>
      <c r="C244" s="25">
        <v>60.72</v>
      </c>
      <c r="D244" s="27">
        <v>334</v>
      </c>
      <c r="E244" s="25">
        <v>394.72</v>
      </c>
      <c r="F244" s="25">
        <v>0.76</v>
      </c>
      <c r="G244" s="29">
        <v>176</v>
      </c>
      <c r="H244" s="27">
        <v>3</v>
      </c>
      <c r="I244" s="29">
        <v>507</v>
      </c>
      <c r="J244" s="29">
        <v>134410</v>
      </c>
      <c r="K244" s="29">
        <v>0</v>
      </c>
      <c r="L244" s="29">
        <v>134410</v>
      </c>
      <c r="M244" s="29">
        <v>31662</v>
      </c>
      <c r="N244" s="29">
        <v>35455</v>
      </c>
      <c r="O244" s="29">
        <v>259</v>
      </c>
      <c r="P244" s="29">
        <v>13543</v>
      </c>
      <c r="Q244" s="29">
        <v>1614</v>
      </c>
      <c r="R244" s="29">
        <v>216943</v>
      </c>
      <c r="S244" s="29">
        <v>31912</v>
      </c>
      <c r="T244" s="29">
        <v>185031</v>
      </c>
      <c r="U244" s="29">
        <v>87652</v>
      </c>
      <c r="V244" s="29">
        <v>97379</v>
      </c>
    </row>
    <row r="245" spans="1:22" x14ac:dyDescent="0.2">
      <c r="A245" s="20" t="s">
        <v>15</v>
      </c>
      <c r="B245" s="20" t="s">
        <v>425</v>
      </c>
      <c r="C245" s="25">
        <v>37.74</v>
      </c>
      <c r="D245" s="27">
        <v>331.5</v>
      </c>
      <c r="E245" s="25">
        <v>369.24</v>
      </c>
      <c r="F245" s="25">
        <v>0.99</v>
      </c>
      <c r="G245" s="29">
        <v>0</v>
      </c>
      <c r="H245" s="27">
        <v>0</v>
      </c>
      <c r="I245" s="29">
        <v>332</v>
      </c>
      <c r="J245" s="29">
        <v>128547</v>
      </c>
      <c r="K245" s="29">
        <v>0</v>
      </c>
      <c r="L245" s="29">
        <v>128547</v>
      </c>
      <c r="M245" s="29">
        <v>20730</v>
      </c>
      <c r="N245" s="29">
        <v>23094</v>
      </c>
      <c r="O245" s="29">
        <v>345</v>
      </c>
      <c r="P245" s="29">
        <v>12728</v>
      </c>
      <c r="Q245" s="29">
        <v>1381</v>
      </c>
      <c r="R245" s="29">
        <v>186825</v>
      </c>
      <c r="S245" s="29">
        <v>27973</v>
      </c>
      <c r="T245" s="29">
        <v>158852</v>
      </c>
      <c r="U245" s="29">
        <v>83877</v>
      </c>
      <c r="V245" s="29">
        <v>74975</v>
      </c>
    </row>
    <row r="246" spans="1:22" x14ac:dyDescent="0.2">
      <c r="A246" s="20" t="s">
        <v>249</v>
      </c>
      <c r="B246" s="20" t="s">
        <v>640</v>
      </c>
      <c r="C246" s="25">
        <v>78.47</v>
      </c>
      <c r="D246" s="27">
        <v>851.2</v>
      </c>
      <c r="E246" s="25">
        <v>929.67</v>
      </c>
      <c r="F246" s="25">
        <v>1.79</v>
      </c>
      <c r="G246" s="29">
        <v>448</v>
      </c>
      <c r="H246" s="27">
        <v>2</v>
      </c>
      <c r="I246" s="29">
        <v>1297</v>
      </c>
      <c r="J246" s="29">
        <v>316571</v>
      </c>
      <c r="K246" s="29">
        <v>0</v>
      </c>
      <c r="L246" s="29">
        <v>316571</v>
      </c>
      <c r="M246" s="29">
        <v>80998</v>
      </c>
      <c r="N246" s="29">
        <v>90699</v>
      </c>
      <c r="O246" s="29">
        <v>610</v>
      </c>
      <c r="P246" s="29">
        <v>31897</v>
      </c>
      <c r="Q246" s="29">
        <v>3802</v>
      </c>
      <c r="R246" s="29">
        <v>524577</v>
      </c>
      <c r="S246" s="29">
        <v>37632</v>
      </c>
      <c r="T246" s="29">
        <v>486945</v>
      </c>
      <c r="U246" s="29">
        <v>243972</v>
      </c>
      <c r="V246" s="29">
        <v>242973</v>
      </c>
    </row>
    <row r="247" spans="1:22" x14ac:dyDescent="0.2">
      <c r="A247" s="20" t="s">
        <v>216</v>
      </c>
      <c r="B247" s="20" t="s">
        <v>607</v>
      </c>
      <c r="C247" s="25">
        <v>87.88</v>
      </c>
      <c r="D247" s="27">
        <v>1004.2</v>
      </c>
      <c r="E247" s="25">
        <v>1092.08</v>
      </c>
      <c r="F247" s="25">
        <v>0</v>
      </c>
      <c r="G247" s="29">
        <v>3</v>
      </c>
      <c r="H247" s="27">
        <v>0</v>
      </c>
      <c r="I247" s="29">
        <v>1007</v>
      </c>
      <c r="J247" s="29">
        <v>355887</v>
      </c>
      <c r="K247" s="29">
        <v>0</v>
      </c>
      <c r="L247" s="29">
        <v>355887</v>
      </c>
      <c r="M247" s="29">
        <v>62474</v>
      </c>
      <c r="N247" s="29">
        <v>68627</v>
      </c>
      <c r="O247" s="29">
        <v>0</v>
      </c>
      <c r="P247" s="29">
        <v>30305</v>
      </c>
      <c r="Q247" s="29">
        <v>3800</v>
      </c>
      <c r="R247" s="29">
        <v>521093</v>
      </c>
      <c r="S247" s="29">
        <v>62065</v>
      </c>
      <c r="T247" s="29">
        <v>459028</v>
      </c>
      <c r="U247" s="29">
        <v>260349</v>
      </c>
      <c r="V247" s="29">
        <v>198679</v>
      </c>
    </row>
    <row r="248" spans="1:22" x14ac:dyDescent="0.2">
      <c r="A248" s="20" t="s">
        <v>106</v>
      </c>
      <c r="B248" s="20" t="s">
        <v>504</v>
      </c>
      <c r="C248" s="25">
        <v>65.3</v>
      </c>
      <c r="D248" s="27">
        <v>426</v>
      </c>
      <c r="E248" s="25">
        <v>491.3</v>
      </c>
      <c r="F248" s="25">
        <v>0.62</v>
      </c>
      <c r="G248" s="29">
        <v>7</v>
      </c>
      <c r="H248" s="27">
        <v>0</v>
      </c>
      <c r="I248" s="29">
        <v>433</v>
      </c>
      <c r="J248" s="29">
        <v>165696</v>
      </c>
      <c r="K248" s="29">
        <v>0</v>
      </c>
      <c r="L248" s="29">
        <v>165696</v>
      </c>
      <c r="M248" s="29">
        <v>27050</v>
      </c>
      <c r="N248" s="29">
        <v>30158</v>
      </c>
      <c r="O248" s="29">
        <v>209</v>
      </c>
      <c r="P248" s="29">
        <v>20487</v>
      </c>
      <c r="Q248" s="29">
        <v>2358</v>
      </c>
      <c r="R248" s="29">
        <v>245958</v>
      </c>
      <c r="S248" s="29">
        <v>38715</v>
      </c>
      <c r="T248" s="29">
        <v>207243</v>
      </c>
      <c r="U248" s="29">
        <v>113997</v>
      </c>
      <c r="V248" s="29">
        <v>93246</v>
      </c>
    </row>
    <row r="249" spans="1:22" x14ac:dyDescent="0.2">
      <c r="A249" s="20" t="s">
        <v>47</v>
      </c>
      <c r="B249" s="20" t="s">
        <v>455</v>
      </c>
      <c r="C249" s="25">
        <v>31.7</v>
      </c>
      <c r="D249" s="27">
        <v>193</v>
      </c>
      <c r="E249" s="25">
        <v>224.7</v>
      </c>
      <c r="F249" s="25">
        <v>0</v>
      </c>
      <c r="G249" s="29">
        <v>7</v>
      </c>
      <c r="H249" s="27">
        <v>0</v>
      </c>
      <c r="I249" s="29">
        <v>200</v>
      </c>
      <c r="J249" s="29">
        <v>77272</v>
      </c>
      <c r="K249" s="29">
        <v>9203</v>
      </c>
      <c r="L249" s="29">
        <v>86475</v>
      </c>
      <c r="M249" s="29">
        <v>12504</v>
      </c>
      <c r="N249" s="29">
        <v>14006</v>
      </c>
      <c r="O249" s="29">
        <v>0</v>
      </c>
      <c r="P249" s="29">
        <v>8332</v>
      </c>
      <c r="Q249" s="29">
        <v>990</v>
      </c>
      <c r="R249" s="29">
        <v>122307</v>
      </c>
      <c r="S249" s="29">
        <v>17227</v>
      </c>
      <c r="T249" s="29">
        <v>105080</v>
      </c>
      <c r="U249" s="29">
        <v>51416</v>
      </c>
      <c r="V249" s="29">
        <v>53664</v>
      </c>
    </row>
    <row r="250" spans="1:22" x14ac:dyDescent="0.2">
      <c r="A250" s="20" t="s">
        <v>108</v>
      </c>
      <c r="B250" s="20" t="s">
        <v>506</v>
      </c>
      <c r="C250" s="25">
        <v>59.93</v>
      </c>
      <c r="D250" s="27">
        <v>570.70000000000005</v>
      </c>
      <c r="E250" s="25">
        <v>630.63</v>
      </c>
      <c r="F250" s="25">
        <v>0.79</v>
      </c>
      <c r="G250" s="29">
        <v>0</v>
      </c>
      <c r="H250" s="27">
        <v>0</v>
      </c>
      <c r="I250" s="29">
        <v>571</v>
      </c>
      <c r="J250" s="29">
        <v>212686</v>
      </c>
      <c r="K250" s="29">
        <v>0</v>
      </c>
      <c r="L250" s="29">
        <v>212686</v>
      </c>
      <c r="M250" s="29">
        <v>35670</v>
      </c>
      <c r="N250" s="29">
        <v>39770</v>
      </c>
      <c r="O250" s="29">
        <v>266</v>
      </c>
      <c r="P250" s="29">
        <v>26297</v>
      </c>
      <c r="Q250" s="29">
        <v>3027</v>
      </c>
      <c r="R250" s="29">
        <v>317716</v>
      </c>
      <c r="S250" s="29">
        <v>45825</v>
      </c>
      <c r="T250" s="29">
        <v>271891</v>
      </c>
      <c r="U250" s="29">
        <v>150194</v>
      </c>
      <c r="V250" s="29">
        <v>121697</v>
      </c>
    </row>
    <row r="251" spans="1:22" x14ac:dyDescent="0.2">
      <c r="A251" s="20" t="s">
        <v>217</v>
      </c>
      <c r="B251" s="20" t="s">
        <v>608</v>
      </c>
      <c r="C251" s="25">
        <v>134.26</v>
      </c>
      <c r="D251" s="27">
        <v>1067</v>
      </c>
      <c r="E251" s="25">
        <v>1201.26</v>
      </c>
      <c r="F251" s="25">
        <v>0</v>
      </c>
      <c r="G251" s="29">
        <v>60</v>
      </c>
      <c r="H251" s="27">
        <v>0.2</v>
      </c>
      <c r="I251" s="29">
        <v>1127</v>
      </c>
      <c r="J251" s="29">
        <v>391467</v>
      </c>
      <c r="K251" s="29">
        <v>0</v>
      </c>
      <c r="L251" s="29">
        <v>391467</v>
      </c>
      <c r="M251" s="29">
        <v>69919</v>
      </c>
      <c r="N251" s="29">
        <v>76805</v>
      </c>
      <c r="O251" s="29">
        <v>0</v>
      </c>
      <c r="P251" s="29">
        <v>33335</v>
      </c>
      <c r="Q251" s="29">
        <v>4180</v>
      </c>
      <c r="R251" s="29">
        <v>575706</v>
      </c>
      <c r="S251" s="29">
        <v>86996</v>
      </c>
      <c r="T251" s="29">
        <v>488710</v>
      </c>
      <c r="U251" s="29">
        <v>267652</v>
      </c>
      <c r="V251" s="29">
        <v>221058</v>
      </c>
    </row>
    <row r="252" spans="1:22" x14ac:dyDescent="0.2">
      <c r="A252" s="20" t="s">
        <v>48</v>
      </c>
      <c r="B252" s="20" t="s">
        <v>456</v>
      </c>
      <c r="C252" s="25">
        <v>46.09</v>
      </c>
      <c r="D252" s="27">
        <v>356</v>
      </c>
      <c r="E252" s="25">
        <v>402.09</v>
      </c>
      <c r="F252" s="25">
        <v>0</v>
      </c>
      <c r="G252" s="29">
        <v>14</v>
      </c>
      <c r="H252" s="27">
        <v>0</v>
      </c>
      <c r="I252" s="29">
        <v>370</v>
      </c>
      <c r="J252" s="29">
        <v>138275</v>
      </c>
      <c r="K252" s="29">
        <v>3817</v>
      </c>
      <c r="L252" s="29">
        <v>142092</v>
      </c>
      <c r="M252" s="29">
        <v>23132</v>
      </c>
      <c r="N252" s="29">
        <v>25911</v>
      </c>
      <c r="O252" s="29">
        <v>0</v>
      </c>
      <c r="P252" s="29">
        <v>15065</v>
      </c>
      <c r="Q252" s="29">
        <v>1790</v>
      </c>
      <c r="R252" s="29">
        <v>207990</v>
      </c>
      <c r="S252" s="29">
        <v>31176</v>
      </c>
      <c r="T252" s="29">
        <v>176814</v>
      </c>
      <c r="U252" s="29">
        <v>91831</v>
      </c>
      <c r="V252" s="29">
        <v>84983</v>
      </c>
    </row>
    <row r="253" spans="1:22" x14ac:dyDescent="0.2">
      <c r="A253" s="20" t="s">
        <v>250</v>
      </c>
      <c r="B253" s="20" t="s">
        <v>641</v>
      </c>
      <c r="C253" s="25">
        <v>35.24</v>
      </c>
      <c r="D253" s="27">
        <v>216</v>
      </c>
      <c r="E253" s="25">
        <v>251.24</v>
      </c>
      <c r="F253" s="25">
        <v>0.48</v>
      </c>
      <c r="G253" s="29">
        <v>4</v>
      </c>
      <c r="H253" s="27">
        <v>0</v>
      </c>
      <c r="I253" s="29">
        <v>220</v>
      </c>
      <c r="J253" s="29">
        <v>85552</v>
      </c>
      <c r="K253" s="29">
        <v>19407</v>
      </c>
      <c r="L253" s="29">
        <v>104959</v>
      </c>
      <c r="M253" s="29">
        <v>13739</v>
      </c>
      <c r="N253" s="29">
        <v>15385</v>
      </c>
      <c r="O253" s="29">
        <v>163</v>
      </c>
      <c r="P253" s="29">
        <v>8789</v>
      </c>
      <c r="Q253" s="29">
        <v>1047</v>
      </c>
      <c r="R253" s="29">
        <v>144082</v>
      </c>
      <c r="S253" s="29">
        <v>18327</v>
      </c>
      <c r="T253" s="29">
        <v>125755</v>
      </c>
      <c r="U253" s="29">
        <v>57963</v>
      </c>
      <c r="V253" s="29">
        <v>67792</v>
      </c>
    </row>
    <row r="254" spans="1:22" x14ac:dyDescent="0.2">
      <c r="A254" s="20" t="s">
        <v>251</v>
      </c>
      <c r="B254" s="20" t="s">
        <v>642</v>
      </c>
      <c r="C254" s="25">
        <v>209.62</v>
      </c>
      <c r="D254" s="27">
        <v>1423.6</v>
      </c>
      <c r="E254" s="25">
        <v>1633.22</v>
      </c>
      <c r="F254" s="25">
        <v>3.15</v>
      </c>
      <c r="G254" s="29">
        <v>29</v>
      </c>
      <c r="H254" s="27">
        <v>0</v>
      </c>
      <c r="I254" s="29">
        <v>1453</v>
      </c>
      <c r="J254" s="29">
        <v>556144</v>
      </c>
      <c r="K254" s="29">
        <v>0</v>
      </c>
      <c r="L254" s="29">
        <v>556144</v>
      </c>
      <c r="M254" s="29">
        <v>90740</v>
      </c>
      <c r="N254" s="29">
        <v>101608</v>
      </c>
      <c r="O254" s="29">
        <v>1073</v>
      </c>
      <c r="P254" s="29">
        <v>56036</v>
      </c>
      <c r="Q254" s="29">
        <v>6680</v>
      </c>
      <c r="R254" s="29">
        <v>812281</v>
      </c>
      <c r="S254" s="29">
        <v>74294</v>
      </c>
      <c r="T254" s="29">
        <v>737987</v>
      </c>
      <c r="U254" s="29">
        <v>420424</v>
      </c>
      <c r="V254" s="29">
        <v>317563</v>
      </c>
    </row>
    <row r="255" spans="1:22" x14ac:dyDescent="0.2">
      <c r="A255" s="20" t="s">
        <v>332</v>
      </c>
      <c r="B255" s="20" t="s">
        <v>719</v>
      </c>
      <c r="C255" s="25">
        <v>16.59</v>
      </c>
      <c r="D255" s="27">
        <v>237</v>
      </c>
      <c r="E255" s="25">
        <v>253.59</v>
      </c>
      <c r="F255" s="25">
        <v>0.59</v>
      </c>
      <c r="G255" s="29">
        <v>0</v>
      </c>
      <c r="H255" s="27">
        <v>0</v>
      </c>
      <c r="I255" s="29">
        <v>237</v>
      </c>
      <c r="J255" s="29">
        <v>84014</v>
      </c>
      <c r="K255" s="29">
        <v>8885</v>
      </c>
      <c r="L255" s="29">
        <v>92899</v>
      </c>
      <c r="M255" s="29">
        <v>14727</v>
      </c>
      <c r="N255" s="29">
        <v>16187</v>
      </c>
      <c r="O255" s="29">
        <v>195</v>
      </c>
      <c r="P255" s="29">
        <v>9009</v>
      </c>
      <c r="Q255" s="29">
        <v>985</v>
      </c>
      <c r="R255" s="29">
        <v>134002</v>
      </c>
      <c r="S255" s="29">
        <v>21565</v>
      </c>
      <c r="T255" s="29">
        <v>112437</v>
      </c>
      <c r="U255" s="29">
        <v>55533</v>
      </c>
      <c r="V255" s="29">
        <v>56904</v>
      </c>
    </row>
    <row r="256" spans="1:22" x14ac:dyDescent="0.2">
      <c r="A256" s="20" t="s">
        <v>115</v>
      </c>
      <c r="B256" s="20" t="s">
        <v>513</v>
      </c>
      <c r="C256" s="25">
        <v>108.15</v>
      </c>
      <c r="D256" s="27">
        <v>763.8</v>
      </c>
      <c r="E256" s="25">
        <v>871.95</v>
      </c>
      <c r="F256" s="25">
        <v>1.1000000000000001</v>
      </c>
      <c r="G256" s="29">
        <v>53</v>
      </c>
      <c r="H256" s="27">
        <v>0</v>
      </c>
      <c r="I256" s="29">
        <v>817</v>
      </c>
      <c r="J256" s="29">
        <v>294074</v>
      </c>
      <c r="K256" s="29">
        <v>0</v>
      </c>
      <c r="L256" s="29">
        <v>294074</v>
      </c>
      <c r="M256" s="29">
        <v>51038</v>
      </c>
      <c r="N256" s="29">
        <v>56904</v>
      </c>
      <c r="O256" s="29">
        <v>371</v>
      </c>
      <c r="P256" s="29">
        <v>36360</v>
      </c>
      <c r="Q256" s="29">
        <v>4185</v>
      </c>
      <c r="R256" s="29">
        <v>442932</v>
      </c>
      <c r="S256" s="29">
        <v>58114</v>
      </c>
      <c r="T256" s="29">
        <v>384818</v>
      </c>
      <c r="U256" s="29">
        <v>212916</v>
      </c>
      <c r="V256" s="29">
        <v>171902</v>
      </c>
    </row>
    <row r="257" spans="1:22" x14ac:dyDescent="0.2">
      <c r="A257" s="20" t="s">
        <v>252</v>
      </c>
      <c r="B257" s="20" t="s">
        <v>643</v>
      </c>
      <c r="C257" s="25">
        <v>153.68</v>
      </c>
      <c r="D257" s="27">
        <v>1102.5999999999999</v>
      </c>
      <c r="E257" s="25">
        <v>1256.28</v>
      </c>
      <c r="F257" s="25">
        <v>2.42</v>
      </c>
      <c r="G257" s="29">
        <v>178</v>
      </c>
      <c r="H257" s="27">
        <v>3.7</v>
      </c>
      <c r="I257" s="29">
        <v>1277</v>
      </c>
      <c r="J257" s="29">
        <v>427788</v>
      </c>
      <c r="K257" s="29">
        <v>0</v>
      </c>
      <c r="L257" s="29">
        <v>427788</v>
      </c>
      <c r="M257" s="29">
        <v>79749</v>
      </c>
      <c r="N257" s="29">
        <v>89301</v>
      </c>
      <c r="O257" s="29">
        <v>824</v>
      </c>
      <c r="P257" s="29">
        <v>43103</v>
      </c>
      <c r="Q257" s="29">
        <v>5138</v>
      </c>
      <c r="R257" s="29">
        <v>645903</v>
      </c>
      <c r="S257" s="29">
        <v>69819</v>
      </c>
      <c r="T257" s="29">
        <v>576084</v>
      </c>
      <c r="U257" s="29">
        <v>310719</v>
      </c>
      <c r="V257" s="29">
        <v>265365</v>
      </c>
    </row>
    <row r="258" spans="1:22" x14ac:dyDescent="0.2">
      <c r="A258" s="20" t="s">
        <v>298</v>
      </c>
      <c r="B258" s="20" t="s">
        <v>686</v>
      </c>
      <c r="C258" s="25">
        <v>129.59</v>
      </c>
      <c r="D258" s="27">
        <v>1050.3</v>
      </c>
      <c r="E258" s="25">
        <v>1179.8900000000001</v>
      </c>
      <c r="F258" s="25">
        <v>2.4700000000000002</v>
      </c>
      <c r="G258" s="29">
        <v>9</v>
      </c>
      <c r="H258" s="27">
        <v>0</v>
      </c>
      <c r="I258" s="29">
        <v>1059</v>
      </c>
      <c r="J258" s="29">
        <v>394012</v>
      </c>
      <c r="K258" s="29">
        <v>0</v>
      </c>
      <c r="L258" s="29">
        <v>394012</v>
      </c>
      <c r="M258" s="29">
        <v>65838</v>
      </c>
      <c r="N258" s="29">
        <v>72785</v>
      </c>
      <c r="O258" s="29">
        <v>825</v>
      </c>
      <c r="P258" s="29">
        <v>40458</v>
      </c>
      <c r="Q258" s="29">
        <v>4366</v>
      </c>
      <c r="R258" s="29">
        <v>578284</v>
      </c>
      <c r="S258" s="29">
        <v>75256</v>
      </c>
      <c r="T258" s="29">
        <v>503028</v>
      </c>
      <c r="U258" s="29">
        <v>281711</v>
      </c>
      <c r="V258" s="29">
        <v>221317</v>
      </c>
    </row>
    <row r="259" spans="1:22" x14ac:dyDescent="0.2">
      <c r="A259" s="20" t="s">
        <v>253</v>
      </c>
      <c r="B259" s="20" t="s">
        <v>644</v>
      </c>
      <c r="C259" s="25">
        <v>76.62</v>
      </c>
      <c r="D259" s="27">
        <v>689</v>
      </c>
      <c r="E259" s="25">
        <v>765.62</v>
      </c>
      <c r="F259" s="25">
        <v>1.47</v>
      </c>
      <c r="G259" s="29">
        <v>22</v>
      </c>
      <c r="H259" s="27">
        <v>0</v>
      </c>
      <c r="I259" s="29">
        <v>711</v>
      </c>
      <c r="J259" s="29">
        <v>260709</v>
      </c>
      <c r="K259" s="29">
        <v>0</v>
      </c>
      <c r="L259" s="29">
        <v>260709</v>
      </c>
      <c r="M259" s="29">
        <v>44402</v>
      </c>
      <c r="N259" s="29">
        <v>49720</v>
      </c>
      <c r="O259" s="29">
        <v>501</v>
      </c>
      <c r="P259" s="29">
        <v>26268</v>
      </c>
      <c r="Q259" s="29">
        <v>3131</v>
      </c>
      <c r="R259" s="29">
        <v>384731</v>
      </c>
      <c r="S259" s="29">
        <v>57729</v>
      </c>
      <c r="T259" s="29">
        <v>327002</v>
      </c>
      <c r="U259" s="29">
        <v>174182</v>
      </c>
      <c r="V259" s="29">
        <v>152820</v>
      </c>
    </row>
    <row r="260" spans="1:22" x14ac:dyDescent="0.2">
      <c r="A260" s="20" t="s">
        <v>299</v>
      </c>
      <c r="B260" s="20" t="s">
        <v>687</v>
      </c>
      <c r="C260" s="25">
        <v>58.72</v>
      </c>
      <c r="D260" s="27">
        <v>386</v>
      </c>
      <c r="E260" s="25">
        <v>444.72</v>
      </c>
      <c r="F260" s="25">
        <v>0.93</v>
      </c>
      <c r="G260" s="29">
        <v>0</v>
      </c>
      <c r="H260" s="27">
        <v>0</v>
      </c>
      <c r="I260" s="29">
        <v>386</v>
      </c>
      <c r="J260" s="29">
        <v>148510</v>
      </c>
      <c r="K260" s="29">
        <v>0</v>
      </c>
      <c r="L260" s="29">
        <v>148510</v>
      </c>
      <c r="M260" s="29">
        <v>23998</v>
      </c>
      <c r="N260" s="29">
        <v>26530</v>
      </c>
      <c r="O260" s="29">
        <v>311</v>
      </c>
      <c r="P260" s="29">
        <v>15249</v>
      </c>
      <c r="Q260" s="29">
        <v>1645</v>
      </c>
      <c r="R260" s="29">
        <v>216243</v>
      </c>
      <c r="S260" s="29">
        <v>29473</v>
      </c>
      <c r="T260" s="29">
        <v>186770</v>
      </c>
      <c r="U260" s="29">
        <v>105073</v>
      </c>
      <c r="V260" s="29">
        <v>81697</v>
      </c>
    </row>
    <row r="261" spans="1:22" x14ac:dyDescent="0.2">
      <c r="A261" s="20" t="s">
        <v>333</v>
      </c>
      <c r="B261" s="20" t="s">
        <v>720</v>
      </c>
      <c r="C261" s="25">
        <v>57.27</v>
      </c>
      <c r="D261" s="27">
        <v>552.29999999999995</v>
      </c>
      <c r="E261" s="25">
        <v>609.57000000000005</v>
      </c>
      <c r="F261" s="25">
        <v>1.43</v>
      </c>
      <c r="G261" s="29">
        <v>0</v>
      </c>
      <c r="H261" s="27">
        <v>0</v>
      </c>
      <c r="I261" s="29">
        <v>552</v>
      </c>
      <c r="J261" s="29">
        <v>201951</v>
      </c>
      <c r="K261" s="29">
        <v>0</v>
      </c>
      <c r="L261" s="29">
        <v>201951</v>
      </c>
      <c r="M261" s="29">
        <v>34301</v>
      </c>
      <c r="N261" s="29">
        <v>37702</v>
      </c>
      <c r="O261" s="29">
        <v>474</v>
      </c>
      <c r="P261" s="29">
        <v>20299</v>
      </c>
      <c r="Q261" s="29">
        <v>2225</v>
      </c>
      <c r="R261" s="29">
        <v>296952</v>
      </c>
      <c r="S261" s="29">
        <v>42887</v>
      </c>
      <c r="T261" s="29">
        <v>254065</v>
      </c>
      <c r="U261" s="29">
        <v>140941</v>
      </c>
      <c r="V261" s="29">
        <v>113124</v>
      </c>
    </row>
    <row r="262" spans="1:22" x14ac:dyDescent="0.2">
      <c r="A262" s="20" t="s">
        <v>254</v>
      </c>
      <c r="B262" s="20" t="s">
        <v>645</v>
      </c>
      <c r="C262" s="25">
        <v>187.34</v>
      </c>
      <c r="D262" s="27">
        <v>1500.4</v>
      </c>
      <c r="E262" s="25">
        <v>1687.74</v>
      </c>
      <c r="F262" s="25">
        <v>3.25</v>
      </c>
      <c r="G262" s="29">
        <v>715</v>
      </c>
      <c r="H262" s="27">
        <v>0</v>
      </c>
      <c r="I262" s="29">
        <v>2215</v>
      </c>
      <c r="J262" s="29">
        <v>574709</v>
      </c>
      <c r="K262" s="29">
        <v>0</v>
      </c>
      <c r="L262" s="29">
        <v>574709</v>
      </c>
      <c r="M262" s="29">
        <v>138327</v>
      </c>
      <c r="N262" s="29">
        <v>154895</v>
      </c>
      <c r="O262" s="29">
        <v>1107</v>
      </c>
      <c r="P262" s="29">
        <v>57906</v>
      </c>
      <c r="Q262" s="29">
        <v>6903</v>
      </c>
      <c r="R262" s="29">
        <v>933847</v>
      </c>
      <c r="S262" s="29">
        <v>63519</v>
      </c>
      <c r="T262" s="29">
        <v>870328</v>
      </c>
      <c r="U262" s="29">
        <v>447711</v>
      </c>
      <c r="V262" s="29">
        <v>422617</v>
      </c>
    </row>
    <row r="263" spans="1:22" x14ac:dyDescent="0.2">
      <c r="A263" s="20" t="s">
        <v>255</v>
      </c>
      <c r="B263" s="20" t="s">
        <v>646</v>
      </c>
      <c r="C263" s="25">
        <v>2406.46</v>
      </c>
      <c r="D263" s="27">
        <v>14839.5</v>
      </c>
      <c r="E263" s="25">
        <v>17245.96</v>
      </c>
      <c r="F263" s="25">
        <v>33.21</v>
      </c>
      <c r="G263" s="29">
        <v>1538</v>
      </c>
      <c r="H263" s="27">
        <v>14.5</v>
      </c>
      <c r="I263" s="29">
        <v>16363</v>
      </c>
      <c r="J263" s="29">
        <v>5872594</v>
      </c>
      <c r="K263" s="29">
        <v>0</v>
      </c>
      <c r="L263" s="29">
        <v>5872594</v>
      </c>
      <c r="M263" s="29">
        <v>1021869</v>
      </c>
      <c r="N263" s="29">
        <v>1144265</v>
      </c>
      <c r="O263" s="29">
        <v>11309</v>
      </c>
      <c r="P263" s="29">
        <v>591709</v>
      </c>
      <c r="Q263" s="29">
        <v>70536</v>
      </c>
      <c r="R263" s="29">
        <v>8712282</v>
      </c>
      <c r="S263" s="29">
        <v>892151</v>
      </c>
      <c r="T263" s="29">
        <v>7820131</v>
      </c>
      <c r="U263" s="29">
        <v>4331795</v>
      </c>
      <c r="V263" s="29">
        <v>3488336</v>
      </c>
    </row>
    <row r="264" spans="1:22" x14ac:dyDescent="0.2">
      <c r="A264" s="20" t="s">
        <v>49</v>
      </c>
      <c r="B264" s="20" t="s">
        <v>457</v>
      </c>
      <c r="C264" s="25">
        <v>66.349999999999994</v>
      </c>
      <c r="D264" s="27">
        <v>441.3</v>
      </c>
      <c r="E264" s="25">
        <v>507.65</v>
      </c>
      <c r="F264" s="25">
        <v>0</v>
      </c>
      <c r="G264" s="29">
        <v>7</v>
      </c>
      <c r="H264" s="27">
        <v>0</v>
      </c>
      <c r="I264" s="29">
        <v>448</v>
      </c>
      <c r="J264" s="29">
        <v>174576</v>
      </c>
      <c r="K264" s="29">
        <v>0</v>
      </c>
      <c r="L264" s="29">
        <v>174576</v>
      </c>
      <c r="M264" s="29">
        <v>28009</v>
      </c>
      <c r="N264" s="29">
        <v>31373</v>
      </c>
      <c r="O264" s="29">
        <v>0</v>
      </c>
      <c r="P264" s="29">
        <v>18494</v>
      </c>
      <c r="Q264" s="29">
        <v>2198</v>
      </c>
      <c r="R264" s="29">
        <v>254650</v>
      </c>
      <c r="S264" s="29">
        <v>38279</v>
      </c>
      <c r="T264" s="29">
        <v>216371</v>
      </c>
      <c r="U264" s="29">
        <v>116433</v>
      </c>
      <c r="V264" s="29">
        <v>99938</v>
      </c>
    </row>
    <row r="265" spans="1:22" x14ac:dyDescent="0.2">
      <c r="A265" s="20" t="s">
        <v>50</v>
      </c>
      <c r="B265" s="20" t="s">
        <v>458</v>
      </c>
      <c r="C265" s="25">
        <v>107.54</v>
      </c>
      <c r="D265" s="27">
        <v>928.5</v>
      </c>
      <c r="E265" s="25">
        <v>1036.04</v>
      </c>
      <c r="F265" s="25">
        <v>0</v>
      </c>
      <c r="G265" s="29">
        <v>33</v>
      </c>
      <c r="H265" s="27">
        <v>0</v>
      </c>
      <c r="I265" s="29">
        <v>962</v>
      </c>
      <c r="J265" s="29">
        <v>356284</v>
      </c>
      <c r="K265" s="29">
        <v>0</v>
      </c>
      <c r="L265" s="29">
        <v>356284</v>
      </c>
      <c r="M265" s="29">
        <v>60144</v>
      </c>
      <c r="N265" s="29">
        <v>67369</v>
      </c>
      <c r="O265" s="29">
        <v>0</v>
      </c>
      <c r="P265" s="29">
        <v>37743</v>
      </c>
      <c r="Q265" s="29">
        <v>4486</v>
      </c>
      <c r="R265" s="29">
        <v>526026</v>
      </c>
      <c r="S265" s="29">
        <v>72346</v>
      </c>
      <c r="T265" s="29">
        <v>453680</v>
      </c>
      <c r="U265" s="29">
        <v>243398</v>
      </c>
      <c r="V265" s="29">
        <v>210282</v>
      </c>
    </row>
    <row r="266" spans="1:22" x14ac:dyDescent="0.2">
      <c r="A266" s="20" t="s">
        <v>167</v>
      </c>
      <c r="B266" s="20" t="s">
        <v>561</v>
      </c>
      <c r="C266" s="25">
        <v>107.47</v>
      </c>
      <c r="D266" s="27">
        <v>1451.3</v>
      </c>
      <c r="E266" s="25">
        <v>1558.77</v>
      </c>
      <c r="F266" s="25">
        <v>1.8</v>
      </c>
      <c r="G266" s="29">
        <v>15</v>
      </c>
      <c r="H266" s="27">
        <v>0</v>
      </c>
      <c r="I266" s="29">
        <v>1466</v>
      </c>
      <c r="J266" s="29">
        <v>519039</v>
      </c>
      <c r="K266" s="29">
        <v>0</v>
      </c>
      <c r="L266" s="29">
        <v>519039</v>
      </c>
      <c r="M266" s="29">
        <v>91127</v>
      </c>
      <c r="N266" s="29">
        <v>100172</v>
      </c>
      <c r="O266" s="29">
        <v>599</v>
      </c>
      <c r="P266" s="29">
        <v>49132</v>
      </c>
      <c r="Q266" s="29">
        <v>5721</v>
      </c>
      <c r="R266" s="29">
        <v>765790</v>
      </c>
      <c r="S266" s="29">
        <v>64457</v>
      </c>
      <c r="T266" s="29">
        <v>701333</v>
      </c>
      <c r="U266" s="29">
        <v>402386</v>
      </c>
      <c r="V266" s="29">
        <v>298947</v>
      </c>
    </row>
    <row r="267" spans="1:22" x14ac:dyDescent="0.2">
      <c r="A267" s="20" t="s">
        <v>219</v>
      </c>
      <c r="B267" s="20" t="s">
        <v>610</v>
      </c>
      <c r="C267" s="25">
        <v>60.18</v>
      </c>
      <c r="D267" s="27">
        <v>505.7</v>
      </c>
      <c r="E267" s="25">
        <v>565.88</v>
      </c>
      <c r="F267" s="25">
        <v>0</v>
      </c>
      <c r="G267" s="29">
        <v>0</v>
      </c>
      <c r="H267" s="27">
        <v>0</v>
      </c>
      <c r="I267" s="29">
        <v>506</v>
      </c>
      <c r="J267" s="29">
        <v>184409</v>
      </c>
      <c r="K267" s="29">
        <v>6147</v>
      </c>
      <c r="L267" s="29">
        <v>190556</v>
      </c>
      <c r="M267" s="29">
        <v>31392</v>
      </c>
      <c r="N267" s="29">
        <v>34484</v>
      </c>
      <c r="O267" s="29">
        <v>0</v>
      </c>
      <c r="P267" s="29">
        <v>16123</v>
      </c>
      <c r="Q267" s="29">
        <v>2025</v>
      </c>
      <c r="R267" s="29">
        <v>274580</v>
      </c>
      <c r="S267" s="29">
        <v>35040</v>
      </c>
      <c r="T267" s="29">
        <v>239540</v>
      </c>
      <c r="U267" s="29">
        <v>132500</v>
      </c>
      <c r="V267" s="29">
        <v>107040</v>
      </c>
    </row>
    <row r="268" spans="1:22" x14ac:dyDescent="0.2">
      <c r="A268" s="20" t="s">
        <v>51</v>
      </c>
      <c r="B268" s="20" t="s">
        <v>459</v>
      </c>
      <c r="C268" s="25">
        <v>62.4</v>
      </c>
      <c r="D268" s="27">
        <v>626.70000000000005</v>
      </c>
      <c r="E268" s="25">
        <v>689.1</v>
      </c>
      <c r="F268" s="25">
        <v>0</v>
      </c>
      <c r="G268" s="29">
        <v>0</v>
      </c>
      <c r="H268" s="27">
        <v>0</v>
      </c>
      <c r="I268" s="29">
        <v>627</v>
      </c>
      <c r="J268" s="29">
        <v>236975</v>
      </c>
      <c r="K268" s="29">
        <v>0</v>
      </c>
      <c r="L268" s="29">
        <v>236975</v>
      </c>
      <c r="M268" s="29">
        <v>39200</v>
      </c>
      <c r="N268" s="29">
        <v>43909</v>
      </c>
      <c r="O268" s="29">
        <v>0</v>
      </c>
      <c r="P268" s="29">
        <v>25104</v>
      </c>
      <c r="Q268" s="29">
        <v>2984</v>
      </c>
      <c r="R268" s="29">
        <v>348172</v>
      </c>
      <c r="S268" s="29">
        <v>46153</v>
      </c>
      <c r="T268" s="29">
        <v>302019</v>
      </c>
      <c r="U268" s="29">
        <v>163857</v>
      </c>
      <c r="V268" s="29">
        <v>138162</v>
      </c>
    </row>
    <row r="269" spans="1:22" x14ac:dyDescent="0.2">
      <c r="A269" s="20" t="s">
        <v>52</v>
      </c>
      <c r="B269" s="20" t="s">
        <v>739</v>
      </c>
      <c r="C269" s="25">
        <v>133.49</v>
      </c>
      <c r="D269" s="27">
        <v>1093.7</v>
      </c>
      <c r="E269" s="25">
        <v>1227.19</v>
      </c>
      <c r="F269" s="25">
        <v>0</v>
      </c>
      <c r="G269" s="29">
        <v>24</v>
      </c>
      <c r="H269" s="27">
        <v>0</v>
      </c>
      <c r="I269" s="29">
        <v>1118</v>
      </c>
      <c r="J269" s="29">
        <v>422018</v>
      </c>
      <c r="K269" s="29">
        <v>0</v>
      </c>
      <c r="L269" s="29">
        <v>422018</v>
      </c>
      <c r="M269" s="29">
        <v>69897</v>
      </c>
      <c r="N269" s="29">
        <v>78294</v>
      </c>
      <c r="O269" s="29">
        <v>0</v>
      </c>
      <c r="P269" s="29">
        <v>44707</v>
      </c>
      <c r="Q269" s="29">
        <v>5314</v>
      </c>
      <c r="R269" s="29">
        <v>620230</v>
      </c>
      <c r="S269" s="29">
        <v>93556</v>
      </c>
      <c r="T269" s="29">
        <v>526674</v>
      </c>
      <c r="U269" s="29">
        <v>280443</v>
      </c>
      <c r="V269" s="29">
        <v>246231</v>
      </c>
    </row>
    <row r="270" spans="1:22" x14ac:dyDescent="0.2">
      <c r="A270" s="20" t="s">
        <v>300</v>
      </c>
      <c r="B270" s="20" t="s">
        <v>688</v>
      </c>
      <c r="C270" s="25">
        <v>32.08</v>
      </c>
      <c r="D270" s="27">
        <v>193.4</v>
      </c>
      <c r="E270" s="25">
        <v>225.48</v>
      </c>
      <c r="F270" s="25">
        <v>0.47</v>
      </c>
      <c r="G270" s="29">
        <v>2</v>
      </c>
      <c r="H270" s="27">
        <v>0</v>
      </c>
      <c r="I270" s="29">
        <v>195</v>
      </c>
      <c r="J270" s="29">
        <v>75297</v>
      </c>
      <c r="K270" s="29">
        <v>4479</v>
      </c>
      <c r="L270" s="29">
        <v>79776</v>
      </c>
      <c r="M270" s="29">
        <v>12123</v>
      </c>
      <c r="N270" s="29">
        <v>13402</v>
      </c>
      <c r="O270" s="29">
        <v>157</v>
      </c>
      <c r="P270" s="29">
        <v>7958</v>
      </c>
      <c r="Q270" s="29">
        <v>856</v>
      </c>
      <c r="R270" s="29">
        <v>114272</v>
      </c>
      <c r="S270" s="29">
        <v>20519</v>
      </c>
      <c r="T270" s="29">
        <v>93753</v>
      </c>
      <c r="U270" s="29">
        <v>47946</v>
      </c>
      <c r="V270" s="29">
        <v>45807</v>
      </c>
    </row>
    <row r="271" spans="1:22" x14ac:dyDescent="0.2">
      <c r="A271" s="20" t="s">
        <v>107</v>
      </c>
      <c r="B271" s="20" t="s">
        <v>505</v>
      </c>
      <c r="C271" s="25">
        <v>231.35</v>
      </c>
      <c r="D271" s="27">
        <v>1447.4</v>
      </c>
      <c r="E271" s="25">
        <v>1678.75</v>
      </c>
      <c r="F271" s="25">
        <v>2.11</v>
      </c>
      <c r="G271" s="29">
        <v>1</v>
      </c>
      <c r="H271" s="27">
        <v>0</v>
      </c>
      <c r="I271" s="29">
        <v>1448</v>
      </c>
      <c r="J271" s="29">
        <v>566175</v>
      </c>
      <c r="K271" s="29">
        <v>0</v>
      </c>
      <c r="L271" s="29">
        <v>566175</v>
      </c>
      <c r="M271" s="29">
        <v>90457</v>
      </c>
      <c r="N271" s="29">
        <v>100853</v>
      </c>
      <c r="O271" s="29">
        <v>712</v>
      </c>
      <c r="P271" s="29">
        <v>70004</v>
      </c>
      <c r="Q271" s="29">
        <v>8058</v>
      </c>
      <c r="R271" s="29">
        <v>836259</v>
      </c>
      <c r="S271" s="29">
        <v>99339</v>
      </c>
      <c r="T271" s="29">
        <v>736920</v>
      </c>
      <c r="U271" s="29">
        <v>422470</v>
      </c>
      <c r="V271" s="29">
        <v>314450</v>
      </c>
    </row>
    <row r="272" spans="1:22" x14ac:dyDescent="0.2">
      <c r="A272" s="20" t="s">
        <v>16</v>
      </c>
      <c r="B272" s="20" t="s">
        <v>426</v>
      </c>
      <c r="C272" s="25">
        <v>86.96</v>
      </c>
      <c r="D272" s="27">
        <v>516.70000000000005</v>
      </c>
      <c r="E272" s="25">
        <v>603.66</v>
      </c>
      <c r="F272" s="25">
        <v>1.61</v>
      </c>
      <c r="G272" s="29">
        <v>172</v>
      </c>
      <c r="H272" s="27">
        <v>4.8</v>
      </c>
      <c r="I272" s="29">
        <v>684</v>
      </c>
      <c r="J272" s="29">
        <v>210158</v>
      </c>
      <c r="K272" s="29">
        <v>0</v>
      </c>
      <c r="L272" s="29">
        <v>210158</v>
      </c>
      <c r="M272" s="29">
        <v>42709</v>
      </c>
      <c r="N272" s="29">
        <v>47579</v>
      </c>
      <c r="O272" s="29">
        <v>561</v>
      </c>
      <c r="P272" s="29">
        <v>20808</v>
      </c>
      <c r="Q272" s="29">
        <v>2258</v>
      </c>
      <c r="R272" s="29">
        <v>324073</v>
      </c>
      <c r="S272" s="29">
        <v>49402</v>
      </c>
      <c r="T272" s="29">
        <v>274671</v>
      </c>
      <c r="U272" s="29">
        <v>133455</v>
      </c>
      <c r="V272" s="29">
        <v>141216</v>
      </c>
    </row>
    <row r="273" spans="1:22" x14ac:dyDescent="0.2">
      <c r="A273" s="20" t="s">
        <v>218</v>
      </c>
      <c r="B273" s="20" t="s">
        <v>609</v>
      </c>
      <c r="C273" s="25">
        <v>1062.68</v>
      </c>
      <c r="D273" s="27">
        <v>7211</v>
      </c>
      <c r="E273" s="25">
        <v>8273.68</v>
      </c>
      <c r="F273" s="25">
        <v>0</v>
      </c>
      <c r="G273" s="29">
        <v>380</v>
      </c>
      <c r="H273" s="27">
        <v>0</v>
      </c>
      <c r="I273" s="29">
        <v>7591</v>
      </c>
      <c r="J273" s="29">
        <v>2696227</v>
      </c>
      <c r="K273" s="29">
        <v>0</v>
      </c>
      <c r="L273" s="29">
        <v>2696227</v>
      </c>
      <c r="M273" s="29">
        <v>470946</v>
      </c>
      <c r="N273" s="29">
        <v>517327</v>
      </c>
      <c r="O273" s="29">
        <v>0</v>
      </c>
      <c r="P273" s="29">
        <v>229595</v>
      </c>
      <c r="Q273" s="29">
        <v>28792</v>
      </c>
      <c r="R273" s="29">
        <v>3942887</v>
      </c>
      <c r="S273" s="29">
        <v>261652</v>
      </c>
      <c r="T273" s="29">
        <v>3681235</v>
      </c>
      <c r="U273" s="29">
        <v>2180987</v>
      </c>
      <c r="V273" s="29">
        <v>1500248</v>
      </c>
    </row>
    <row r="274" spans="1:22" x14ac:dyDescent="0.2">
      <c r="A274" s="20" t="s">
        <v>53</v>
      </c>
      <c r="B274" s="20" t="s">
        <v>460</v>
      </c>
      <c r="C274" s="25">
        <v>383.95</v>
      </c>
      <c r="D274" s="27">
        <v>2025.3</v>
      </c>
      <c r="E274" s="25">
        <v>2409.25</v>
      </c>
      <c r="F274" s="25">
        <v>0</v>
      </c>
      <c r="G274" s="29">
        <v>201</v>
      </c>
      <c r="H274" s="27">
        <v>0.4</v>
      </c>
      <c r="I274" s="29">
        <v>2226</v>
      </c>
      <c r="J274" s="29">
        <v>828517</v>
      </c>
      <c r="K274" s="29">
        <v>0</v>
      </c>
      <c r="L274" s="29">
        <v>828517</v>
      </c>
      <c r="M274" s="29">
        <v>139170</v>
      </c>
      <c r="N274" s="29">
        <v>155887</v>
      </c>
      <c r="O274" s="29">
        <v>0</v>
      </c>
      <c r="P274" s="29">
        <v>87769</v>
      </c>
      <c r="Q274" s="29">
        <v>10432</v>
      </c>
      <c r="R274" s="29">
        <v>1221775</v>
      </c>
      <c r="S274" s="29">
        <v>132688</v>
      </c>
      <c r="T274" s="29">
        <v>1089087</v>
      </c>
      <c r="U274" s="29">
        <v>601555</v>
      </c>
      <c r="V274" s="29">
        <v>487532</v>
      </c>
    </row>
    <row r="275" spans="1:22" x14ac:dyDescent="0.2">
      <c r="A275" s="20" t="s">
        <v>54</v>
      </c>
      <c r="B275" s="20" t="s">
        <v>461</v>
      </c>
      <c r="C275" s="25">
        <v>120.19</v>
      </c>
      <c r="D275" s="27">
        <v>1167.9000000000001</v>
      </c>
      <c r="E275" s="25">
        <v>1288.0899999999999</v>
      </c>
      <c r="F275" s="25">
        <v>0</v>
      </c>
      <c r="G275" s="29">
        <v>0</v>
      </c>
      <c r="H275" s="27">
        <v>0</v>
      </c>
      <c r="I275" s="29">
        <v>1168</v>
      </c>
      <c r="J275" s="29">
        <v>442961</v>
      </c>
      <c r="K275" s="29">
        <v>0</v>
      </c>
      <c r="L275" s="29">
        <v>442961</v>
      </c>
      <c r="M275" s="29">
        <v>73023</v>
      </c>
      <c r="N275" s="29">
        <v>81795</v>
      </c>
      <c r="O275" s="29">
        <v>0</v>
      </c>
      <c r="P275" s="29">
        <v>46925</v>
      </c>
      <c r="Q275" s="29">
        <v>5577</v>
      </c>
      <c r="R275" s="29">
        <v>650281</v>
      </c>
      <c r="S275" s="29">
        <v>73552</v>
      </c>
      <c r="T275" s="29">
        <v>576729</v>
      </c>
      <c r="U275" s="29">
        <v>319006</v>
      </c>
      <c r="V275" s="29">
        <v>257723</v>
      </c>
    </row>
    <row r="276" spans="1:22" x14ac:dyDescent="0.2">
      <c r="A276" s="20" t="s">
        <v>168</v>
      </c>
      <c r="B276" s="20" t="s">
        <v>562</v>
      </c>
      <c r="C276" s="25">
        <v>37.56</v>
      </c>
      <c r="D276" s="27">
        <v>406.7</v>
      </c>
      <c r="E276" s="25">
        <v>444.26</v>
      </c>
      <c r="F276" s="25">
        <v>0.51</v>
      </c>
      <c r="G276" s="29">
        <v>11</v>
      </c>
      <c r="H276" s="27">
        <v>0</v>
      </c>
      <c r="I276" s="29">
        <v>418</v>
      </c>
      <c r="J276" s="29">
        <v>147930</v>
      </c>
      <c r="K276" s="29">
        <v>0</v>
      </c>
      <c r="L276" s="29">
        <v>147930</v>
      </c>
      <c r="M276" s="29">
        <v>25983</v>
      </c>
      <c r="N276" s="29">
        <v>28562</v>
      </c>
      <c r="O276" s="29">
        <v>170</v>
      </c>
      <c r="P276" s="29">
        <v>14003</v>
      </c>
      <c r="Q276" s="29">
        <v>1630</v>
      </c>
      <c r="R276" s="29">
        <v>218278</v>
      </c>
      <c r="S276" s="29">
        <v>28692</v>
      </c>
      <c r="T276" s="29">
        <v>189586</v>
      </c>
      <c r="U276" s="29">
        <v>104360</v>
      </c>
      <c r="V276" s="29">
        <v>85226</v>
      </c>
    </row>
    <row r="277" spans="1:22" x14ac:dyDescent="0.2">
      <c r="A277" s="20" t="s">
        <v>301</v>
      </c>
      <c r="B277" s="20" t="s">
        <v>689</v>
      </c>
      <c r="C277" s="25">
        <v>18.18</v>
      </c>
      <c r="D277" s="27">
        <v>197</v>
      </c>
      <c r="E277" s="25">
        <v>215.18</v>
      </c>
      <c r="F277" s="25">
        <v>0.45</v>
      </c>
      <c r="G277" s="29">
        <v>0</v>
      </c>
      <c r="H277" s="27">
        <v>0</v>
      </c>
      <c r="I277" s="29">
        <v>197</v>
      </c>
      <c r="J277" s="29">
        <v>71857</v>
      </c>
      <c r="K277" s="29">
        <v>0</v>
      </c>
      <c r="L277" s="29">
        <v>71857</v>
      </c>
      <c r="M277" s="29">
        <v>12247</v>
      </c>
      <c r="N277" s="29">
        <v>13540</v>
      </c>
      <c r="O277" s="29">
        <v>150</v>
      </c>
      <c r="P277" s="29">
        <v>7379</v>
      </c>
      <c r="Q277" s="29">
        <v>796</v>
      </c>
      <c r="R277" s="29">
        <v>105969</v>
      </c>
      <c r="S277" s="29">
        <v>15810</v>
      </c>
      <c r="T277" s="29">
        <v>90159</v>
      </c>
      <c r="U277" s="29">
        <v>49291</v>
      </c>
      <c r="V277" s="29">
        <v>40868</v>
      </c>
    </row>
    <row r="278" spans="1:22" x14ac:dyDescent="0.2">
      <c r="A278" s="20" t="s">
        <v>17</v>
      </c>
      <c r="B278" s="20" t="s">
        <v>427</v>
      </c>
      <c r="C278" s="25">
        <v>106.62</v>
      </c>
      <c r="D278" s="27">
        <v>584.6</v>
      </c>
      <c r="E278" s="25">
        <v>691.22</v>
      </c>
      <c r="F278" s="25">
        <v>1.85</v>
      </c>
      <c r="G278" s="29">
        <v>2</v>
      </c>
      <c r="H278" s="27">
        <v>0</v>
      </c>
      <c r="I278" s="29">
        <v>587</v>
      </c>
      <c r="J278" s="29">
        <v>240641</v>
      </c>
      <c r="K278" s="29">
        <v>598</v>
      </c>
      <c r="L278" s="29">
        <v>241239</v>
      </c>
      <c r="M278" s="29">
        <v>36652</v>
      </c>
      <c r="N278" s="29">
        <v>40832</v>
      </c>
      <c r="O278" s="29">
        <v>644</v>
      </c>
      <c r="P278" s="29">
        <v>23859</v>
      </c>
      <c r="Q278" s="29">
        <v>2585</v>
      </c>
      <c r="R278" s="29">
        <v>345811</v>
      </c>
      <c r="S278" s="29">
        <v>54715</v>
      </c>
      <c r="T278" s="29">
        <v>291096</v>
      </c>
      <c r="U278" s="29">
        <v>154699</v>
      </c>
      <c r="V278" s="29">
        <v>136397</v>
      </c>
    </row>
    <row r="279" spans="1:22" x14ac:dyDescent="0.2">
      <c r="A279" s="20" t="s">
        <v>55</v>
      </c>
      <c r="B279" s="20" t="s">
        <v>462</v>
      </c>
      <c r="C279" s="25">
        <v>356</v>
      </c>
      <c r="D279" s="27">
        <v>2531.6999999999998</v>
      </c>
      <c r="E279" s="25">
        <v>2887.7</v>
      </c>
      <c r="F279" s="25">
        <v>0</v>
      </c>
      <c r="G279" s="29">
        <v>176</v>
      </c>
      <c r="H279" s="27">
        <v>5.3</v>
      </c>
      <c r="I279" s="29">
        <v>2702</v>
      </c>
      <c r="J279" s="29">
        <v>993051</v>
      </c>
      <c r="K279" s="29">
        <v>0</v>
      </c>
      <c r="L279" s="29">
        <v>993051</v>
      </c>
      <c r="M279" s="29">
        <v>168929</v>
      </c>
      <c r="N279" s="29">
        <v>189221</v>
      </c>
      <c r="O279" s="29">
        <v>0</v>
      </c>
      <c r="P279" s="29">
        <v>105199</v>
      </c>
      <c r="Q279" s="29">
        <v>12504</v>
      </c>
      <c r="R279" s="29">
        <v>1468904</v>
      </c>
      <c r="S279" s="29">
        <v>117168</v>
      </c>
      <c r="T279" s="29">
        <v>1351736</v>
      </c>
      <c r="U279" s="29">
        <v>762888</v>
      </c>
      <c r="V279" s="29">
        <v>588848</v>
      </c>
    </row>
    <row r="280" spans="1:22" x14ac:dyDescent="0.2">
      <c r="A280" s="20" t="s">
        <v>56</v>
      </c>
      <c r="B280" s="20" t="s">
        <v>463</v>
      </c>
      <c r="C280" s="25">
        <v>23.34</v>
      </c>
      <c r="D280" s="27">
        <v>132.80000000000001</v>
      </c>
      <c r="E280" s="25">
        <v>156.13999999999999</v>
      </c>
      <c r="F280" s="25">
        <v>0</v>
      </c>
      <c r="G280" s="29">
        <v>4</v>
      </c>
      <c r="H280" s="27">
        <v>0</v>
      </c>
      <c r="I280" s="29">
        <v>137</v>
      </c>
      <c r="J280" s="29">
        <v>53695</v>
      </c>
      <c r="K280" s="29">
        <v>9816</v>
      </c>
      <c r="L280" s="29">
        <v>63511</v>
      </c>
      <c r="M280" s="29">
        <v>8565</v>
      </c>
      <c r="N280" s="29">
        <v>9594</v>
      </c>
      <c r="O280" s="29">
        <v>0</v>
      </c>
      <c r="P280" s="29">
        <v>5688</v>
      </c>
      <c r="Q280" s="29">
        <v>676</v>
      </c>
      <c r="R280" s="29">
        <v>88034</v>
      </c>
      <c r="S280" s="29">
        <v>13144</v>
      </c>
      <c r="T280" s="29">
        <v>74890</v>
      </c>
      <c r="U280" s="29">
        <v>34441</v>
      </c>
      <c r="V280" s="29">
        <v>40449</v>
      </c>
    </row>
    <row r="281" spans="1:22" x14ac:dyDescent="0.2">
      <c r="A281" s="20" t="s">
        <v>225</v>
      </c>
      <c r="B281" s="20" t="s">
        <v>616</v>
      </c>
      <c r="C281" s="25">
        <v>146.36000000000001</v>
      </c>
      <c r="D281" s="27">
        <v>947.2</v>
      </c>
      <c r="E281" s="25">
        <v>1093.56</v>
      </c>
      <c r="F281" s="25">
        <v>0</v>
      </c>
      <c r="G281" s="29">
        <v>0</v>
      </c>
      <c r="H281" s="27">
        <v>0</v>
      </c>
      <c r="I281" s="29">
        <v>947</v>
      </c>
      <c r="J281" s="29">
        <v>356369</v>
      </c>
      <c r="K281" s="29">
        <v>0</v>
      </c>
      <c r="L281" s="29">
        <v>356369</v>
      </c>
      <c r="M281" s="29">
        <v>58752</v>
      </c>
      <c r="N281" s="29">
        <v>64538</v>
      </c>
      <c r="O281" s="29">
        <v>0</v>
      </c>
      <c r="P281" s="29">
        <v>30346</v>
      </c>
      <c r="Q281" s="29">
        <v>3806</v>
      </c>
      <c r="R281" s="29">
        <v>513811</v>
      </c>
      <c r="S281" s="29">
        <v>57717</v>
      </c>
      <c r="T281" s="29">
        <v>456094</v>
      </c>
      <c r="U281" s="29">
        <v>265135</v>
      </c>
      <c r="V281" s="29">
        <v>190959</v>
      </c>
    </row>
    <row r="282" spans="1:22" x14ac:dyDescent="0.2">
      <c r="A282" s="20" t="s">
        <v>109</v>
      </c>
      <c r="B282" s="20" t="s">
        <v>507</v>
      </c>
      <c r="C282" s="25">
        <v>120.02</v>
      </c>
      <c r="D282" s="27">
        <v>769.6</v>
      </c>
      <c r="E282" s="25">
        <v>889.62</v>
      </c>
      <c r="F282" s="25">
        <v>1.1200000000000001</v>
      </c>
      <c r="G282" s="29">
        <v>3</v>
      </c>
      <c r="H282" s="27">
        <v>0</v>
      </c>
      <c r="I282" s="29">
        <v>773</v>
      </c>
      <c r="J282" s="29">
        <v>300033</v>
      </c>
      <c r="K282" s="29">
        <v>0</v>
      </c>
      <c r="L282" s="29">
        <v>300033</v>
      </c>
      <c r="M282" s="29">
        <v>48289</v>
      </c>
      <c r="N282" s="29">
        <v>53839</v>
      </c>
      <c r="O282" s="29">
        <v>378</v>
      </c>
      <c r="P282" s="29">
        <v>37097</v>
      </c>
      <c r="Q282" s="29">
        <v>4270</v>
      </c>
      <c r="R282" s="29">
        <v>443906</v>
      </c>
      <c r="S282" s="29">
        <v>63141</v>
      </c>
      <c r="T282" s="29">
        <v>380765</v>
      </c>
      <c r="U282" s="29">
        <v>213381</v>
      </c>
      <c r="V282" s="29">
        <v>167384</v>
      </c>
    </row>
    <row r="283" spans="1:22" x14ac:dyDescent="0.2">
      <c r="A283" s="20" t="s">
        <v>169</v>
      </c>
      <c r="B283" s="20" t="s">
        <v>563</v>
      </c>
      <c r="C283" s="25">
        <v>132.41999999999999</v>
      </c>
      <c r="D283" s="27">
        <v>828.7</v>
      </c>
      <c r="E283" s="25">
        <v>961.12</v>
      </c>
      <c r="F283" s="25">
        <v>1.1100000000000001</v>
      </c>
      <c r="G283" s="29">
        <v>2</v>
      </c>
      <c r="H283" s="27">
        <v>0</v>
      </c>
      <c r="I283" s="29">
        <v>831</v>
      </c>
      <c r="J283" s="29">
        <v>320034</v>
      </c>
      <c r="K283" s="29">
        <v>0</v>
      </c>
      <c r="L283" s="29">
        <v>320034</v>
      </c>
      <c r="M283" s="29">
        <v>51655</v>
      </c>
      <c r="N283" s="29">
        <v>56782</v>
      </c>
      <c r="O283" s="29">
        <v>370</v>
      </c>
      <c r="P283" s="29">
        <v>30295</v>
      </c>
      <c r="Q283" s="29">
        <v>3527</v>
      </c>
      <c r="R283" s="29">
        <v>462663</v>
      </c>
      <c r="S283" s="29">
        <v>50518</v>
      </c>
      <c r="T283" s="29">
        <v>412145</v>
      </c>
      <c r="U283" s="29">
        <v>237333</v>
      </c>
      <c r="V283" s="29">
        <v>174812</v>
      </c>
    </row>
    <row r="284" spans="1:22" x14ac:dyDescent="0.2">
      <c r="A284" s="20" t="s">
        <v>302</v>
      </c>
      <c r="B284" s="20" t="s">
        <v>690</v>
      </c>
      <c r="C284" s="25">
        <v>36.159999999999997</v>
      </c>
      <c r="D284" s="27">
        <v>575.20000000000005</v>
      </c>
      <c r="E284" s="25">
        <v>611.36</v>
      </c>
      <c r="F284" s="25">
        <v>1.28</v>
      </c>
      <c r="G284" s="29">
        <v>38</v>
      </c>
      <c r="H284" s="27">
        <v>0</v>
      </c>
      <c r="I284" s="29">
        <v>613</v>
      </c>
      <c r="J284" s="29">
        <v>204158</v>
      </c>
      <c r="K284" s="29">
        <v>1613</v>
      </c>
      <c r="L284" s="29">
        <v>205771</v>
      </c>
      <c r="M284" s="29">
        <v>38110</v>
      </c>
      <c r="N284" s="29">
        <v>42131</v>
      </c>
      <c r="O284" s="29">
        <v>427</v>
      </c>
      <c r="P284" s="29">
        <v>21099</v>
      </c>
      <c r="Q284" s="29">
        <v>2269</v>
      </c>
      <c r="R284" s="29">
        <v>309807</v>
      </c>
      <c r="S284" s="29">
        <v>29815</v>
      </c>
      <c r="T284" s="29">
        <v>279992</v>
      </c>
      <c r="U284" s="29">
        <v>155290</v>
      </c>
      <c r="V284" s="29">
        <v>124702</v>
      </c>
    </row>
    <row r="285" spans="1:22" x14ac:dyDescent="0.2">
      <c r="A285" s="20" t="s">
        <v>303</v>
      </c>
      <c r="B285" s="20" t="s">
        <v>691</v>
      </c>
      <c r="C285" s="25">
        <v>73.11</v>
      </c>
      <c r="D285" s="27">
        <v>656.1</v>
      </c>
      <c r="E285" s="25">
        <v>729.21</v>
      </c>
      <c r="F285" s="25">
        <v>1.53</v>
      </c>
      <c r="G285" s="29">
        <v>1</v>
      </c>
      <c r="H285" s="27">
        <v>0</v>
      </c>
      <c r="I285" s="29">
        <v>657</v>
      </c>
      <c r="J285" s="29">
        <v>243512</v>
      </c>
      <c r="K285" s="29">
        <v>0</v>
      </c>
      <c r="L285" s="29">
        <v>243512</v>
      </c>
      <c r="M285" s="29">
        <v>40846</v>
      </c>
      <c r="N285" s="29">
        <v>45156</v>
      </c>
      <c r="O285" s="29">
        <v>511</v>
      </c>
      <c r="P285" s="29">
        <v>25005</v>
      </c>
      <c r="Q285" s="29">
        <v>2698</v>
      </c>
      <c r="R285" s="29">
        <v>357728</v>
      </c>
      <c r="S285" s="29">
        <v>43760</v>
      </c>
      <c r="T285" s="29">
        <v>313968</v>
      </c>
      <c r="U285" s="29">
        <v>176858</v>
      </c>
      <c r="V285" s="29">
        <v>137110</v>
      </c>
    </row>
    <row r="286" spans="1:22" x14ac:dyDescent="0.2">
      <c r="A286" s="20" t="s">
        <v>334</v>
      </c>
      <c r="B286" s="20" t="s">
        <v>721</v>
      </c>
      <c r="C286" s="25">
        <v>29.47</v>
      </c>
      <c r="D286" s="27">
        <v>265.8</v>
      </c>
      <c r="E286" s="25">
        <v>295.27</v>
      </c>
      <c r="F286" s="25">
        <v>0.69</v>
      </c>
      <c r="G286" s="29">
        <v>7</v>
      </c>
      <c r="H286" s="27">
        <v>0</v>
      </c>
      <c r="I286" s="29">
        <v>273</v>
      </c>
      <c r="J286" s="29">
        <v>97823</v>
      </c>
      <c r="K286" s="29">
        <v>704</v>
      </c>
      <c r="L286" s="29">
        <v>98527</v>
      </c>
      <c r="M286" s="29">
        <v>16964</v>
      </c>
      <c r="N286" s="29">
        <v>18646</v>
      </c>
      <c r="O286" s="29">
        <v>229</v>
      </c>
      <c r="P286" s="29">
        <v>9832</v>
      </c>
      <c r="Q286" s="29">
        <v>1078</v>
      </c>
      <c r="R286" s="29">
        <v>145276</v>
      </c>
      <c r="S286" s="29">
        <v>22679</v>
      </c>
      <c r="T286" s="29">
        <v>122597</v>
      </c>
      <c r="U286" s="29">
        <v>66364</v>
      </c>
      <c r="V286" s="29">
        <v>56233</v>
      </c>
    </row>
    <row r="287" spans="1:22" x14ac:dyDescent="0.2">
      <c r="A287" s="20" t="s">
        <v>110</v>
      </c>
      <c r="B287" s="20" t="s">
        <v>508</v>
      </c>
      <c r="C287" s="25">
        <v>64.53</v>
      </c>
      <c r="D287" s="27">
        <v>380.7</v>
      </c>
      <c r="E287" s="25">
        <v>445.23</v>
      </c>
      <c r="F287" s="25">
        <v>0.56000000000000005</v>
      </c>
      <c r="G287" s="29">
        <v>1</v>
      </c>
      <c r="H287" s="27">
        <v>0</v>
      </c>
      <c r="I287" s="29">
        <v>382</v>
      </c>
      <c r="J287" s="29">
        <v>150158</v>
      </c>
      <c r="K287" s="29">
        <v>2166</v>
      </c>
      <c r="L287" s="29">
        <v>152324</v>
      </c>
      <c r="M287" s="29">
        <v>23864</v>
      </c>
      <c r="N287" s="29">
        <v>26606</v>
      </c>
      <c r="O287" s="29">
        <v>189</v>
      </c>
      <c r="P287" s="29">
        <v>18566</v>
      </c>
      <c r="Q287" s="29">
        <v>2137</v>
      </c>
      <c r="R287" s="29">
        <v>223686</v>
      </c>
      <c r="S287" s="29">
        <v>29808</v>
      </c>
      <c r="T287" s="29">
        <v>193878</v>
      </c>
      <c r="U287" s="29">
        <v>108584</v>
      </c>
      <c r="V287" s="29">
        <v>85294</v>
      </c>
    </row>
    <row r="288" spans="1:22" x14ac:dyDescent="0.2">
      <c r="A288" s="20" t="s">
        <v>18</v>
      </c>
      <c r="B288" s="20" t="s">
        <v>428</v>
      </c>
      <c r="C288" s="25">
        <v>48.75</v>
      </c>
      <c r="D288" s="27">
        <v>354.8</v>
      </c>
      <c r="E288" s="25">
        <v>403.55</v>
      </c>
      <c r="F288" s="25">
        <v>1.08</v>
      </c>
      <c r="G288" s="29">
        <v>51</v>
      </c>
      <c r="H288" s="27">
        <v>0.4</v>
      </c>
      <c r="I288" s="29">
        <v>405</v>
      </c>
      <c r="J288" s="29">
        <v>140492</v>
      </c>
      <c r="K288" s="29">
        <v>6262</v>
      </c>
      <c r="L288" s="29">
        <v>146754</v>
      </c>
      <c r="M288" s="29">
        <v>25288</v>
      </c>
      <c r="N288" s="29">
        <v>28172</v>
      </c>
      <c r="O288" s="29">
        <v>376</v>
      </c>
      <c r="P288" s="29">
        <v>13910</v>
      </c>
      <c r="Q288" s="29">
        <v>1509</v>
      </c>
      <c r="R288" s="29">
        <v>216009</v>
      </c>
      <c r="S288" s="29">
        <v>38770</v>
      </c>
      <c r="T288" s="29">
        <v>177239</v>
      </c>
      <c r="U288" s="29">
        <v>83471</v>
      </c>
      <c r="V288" s="29">
        <v>93768</v>
      </c>
    </row>
    <row r="289" spans="1:22" x14ac:dyDescent="0.2">
      <c r="A289" s="20" t="s">
        <v>220</v>
      </c>
      <c r="B289" s="20" t="s">
        <v>611</v>
      </c>
      <c r="C289" s="25">
        <v>70.5</v>
      </c>
      <c r="D289" s="27">
        <v>323</v>
      </c>
      <c r="E289" s="25">
        <v>393.5</v>
      </c>
      <c r="F289" s="25">
        <v>0</v>
      </c>
      <c r="G289" s="29">
        <v>13</v>
      </c>
      <c r="H289" s="27">
        <v>0</v>
      </c>
      <c r="I289" s="29">
        <v>336</v>
      </c>
      <c r="J289" s="29">
        <v>128234</v>
      </c>
      <c r="K289" s="29">
        <v>0</v>
      </c>
      <c r="L289" s="29">
        <v>128234</v>
      </c>
      <c r="M289" s="29">
        <v>20845</v>
      </c>
      <c r="N289" s="29">
        <v>22898</v>
      </c>
      <c r="O289" s="29">
        <v>0</v>
      </c>
      <c r="P289" s="29">
        <v>10920</v>
      </c>
      <c r="Q289" s="29">
        <v>1369</v>
      </c>
      <c r="R289" s="29">
        <v>184266</v>
      </c>
      <c r="S289" s="29">
        <v>27523</v>
      </c>
      <c r="T289" s="29">
        <v>156743</v>
      </c>
      <c r="U289" s="29">
        <v>88650</v>
      </c>
      <c r="V289" s="29">
        <v>68093</v>
      </c>
    </row>
    <row r="290" spans="1:22" x14ac:dyDescent="0.2">
      <c r="A290" s="20" t="s">
        <v>57</v>
      </c>
      <c r="B290" s="20" t="s">
        <v>464</v>
      </c>
      <c r="C290" s="25">
        <v>32.299999999999997</v>
      </c>
      <c r="D290" s="27">
        <v>160</v>
      </c>
      <c r="E290" s="25">
        <v>192.3</v>
      </c>
      <c r="F290" s="25">
        <v>0</v>
      </c>
      <c r="G290" s="29">
        <v>16</v>
      </c>
      <c r="H290" s="27">
        <v>0</v>
      </c>
      <c r="I290" s="29">
        <v>176</v>
      </c>
      <c r="J290" s="29">
        <v>66130</v>
      </c>
      <c r="K290" s="29">
        <v>0</v>
      </c>
      <c r="L290" s="29">
        <v>66130</v>
      </c>
      <c r="M290" s="29">
        <v>11004</v>
      </c>
      <c r="N290" s="29">
        <v>12325</v>
      </c>
      <c r="O290" s="29">
        <v>0</v>
      </c>
      <c r="P290" s="29">
        <v>7005</v>
      </c>
      <c r="Q290" s="29">
        <v>833</v>
      </c>
      <c r="R290" s="29">
        <v>97297</v>
      </c>
      <c r="S290" s="29">
        <v>15146</v>
      </c>
      <c r="T290" s="29">
        <v>82151</v>
      </c>
      <c r="U290" s="29">
        <v>43459</v>
      </c>
      <c r="V290" s="29">
        <v>38692</v>
      </c>
    </row>
    <row r="291" spans="1:22" x14ac:dyDescent="0.2">
      <c r="A291" s="20" t="s">
        <v>304</v>
      </c>
      <c r="B291" s="20" t="s">
        <v>692</v>
      </c>
      <c r="C291" s="25">
        <v>77.48</v>
      </c>
      <c r="D291" s="27">
        <v>764.7</v>
      </c>
      <c r="E291" s="25">
        <v>842.18</v>
      </c>
      <c r="F291" s="25">
        <v>1.77</v>
      </c>
      <c r="G291" s="29">
        <v>20</v>
      </c>
      <c r="H291" s="27">
        <v>0</v>
      </c>
      <c r="I291" s="29">
        <v>785</v>
      </c>
      <c r="J291" s="29">
        <v>281238</v>
      </c>
      <c r="K291" s="29">
        <v>0</v>
      </c>
      <c r="L291" s="29">
        <v>281238</v>
      </c>
      <c r="M291" s="29">
        <v>48803</v>
      </c>
      <c r="N291" s="29">
        <v>53953</v>
      </c>
      <c r="O291" s="29">
        <v>591</v>
      </c>
      <c r="P291" s="29">
        <v>28878</v>
      </c>
      <c r="Q291" s="29">
        <v>3116</v>
      </c>
      <c r="R291" s="29">
        <v>416579</v>
      </c>
      <c r="S291" s="29">
        <v>40458</v>
      </c>
      <c r="T291" s="29">
        <v>376121</v>
      </c>
      <c r="U291" s="29">
        <v>214339</v>
      </c>
      <c r="V291" s="29">
        <v>161782</v>
      </c>
    </row>
    <row r="292" spans="1:22" x14ac:dyDescent="0.2">
      <c r="A292" s="20" t="s">
        <v>221</v>
      </c>
      <c r="B292" s="20" t="s">
        <v>612</v>
      </c>
      <c r="C292" s="25">
        <v>38.33</v>
      </c>
      <c r="D292" s="27">
        <v>385.9</v>
      </c>
      <c r="E292" s="25">
        <v>424.23</v>
      </c>
      <c r="F292" s="25">
        <v>0</v>
      </c>
      <c r="G292" s="29">
        <v>9</v>
      </c>
      <c r="H292" s="27">
        <v>0</v>
      </c>
      <c r="I292" s="29">
        <v>395</v>
      </c>
      <c r="J292" s="29">
        <v>138248</v>
      </c>
      <c r="K292" s="29">
        <v>0</v>
      </c>
      <c r="L292" s="29">
        <v>138248</v>
      </c>
      <c r="M292" s="29">
        <v>24506</v>
      </c>
      <c r="N292" s="29">
        <v>26919</v>
      </c>
      <c r="O292" s="29">
        <v>0</v>
      </c>
      <c r="P292" s="29">
        <v>11772</v>
      </c>
      <c r="Q292" s="29">
        <v>1476</v>
      </c>
      <c r="R292" s="29">
        <v>202921</v>
      </c>
      <c r="S292" s="29">
        <v>25843</v>
      </c>
      <c r="T292" s="29">
        <v>177078</v>
      </c>
      <c r="U292" s="29">
        <v>99402</v>
      </c>
      <c r="V292" s="29">
        <v>77676</v>
      </c>
    </row>
    <row r="293" spans="1:22" x14ac:dyDescent="0.2">
      <c r="A293" s="20" t="s">
        <v>222</v>
      </c>
      <c r="B293" s="20" t="s">
        <v>613</v>
      </c>
      <c r="C293" s="25">
        <v>442.89</v>
      </c>
      <c r="D293" s="27">
        <v>3448</v>
      </c>
      <c r="E293" s="25">
        <v>3890.89</v>
      </c>
      <c r="F293" s="25">
        <v>0</v>
      </c>
      <c r="G293" s="29">
        <v>448</v>
      </c>
      <c r="H293" s="27">
        <v>5.2</v>
      </c>
      <c r="I293" s="29">
        <v>3891</v>
      </c>
      <c r="J293" s="29">
        <v>1267963</v>
      </c>
      <c r="K293" s="29">
        <v>0</v>
      </c>
      <c r="L293" s="29">
        <v>1267963</v>
      </c>
      <c r="M293" s="29">
        <v>241398</v>
      </c>
      <c r="N293" s="29">
        <v>265172</v>
      </c>
      <c r="O293" s="29">
        <v>0</v>
      </c>
      <c r="P293" s="29">
        <v>107972</v>
      </c>
      <c r="Q293" s="29">
        <v>13540</v>
      </c>
      <c r="R293" s="29">
        <v>1896045</v>
      </c>
      <c r="S293" s="29">
        <v>181636</v>
      </c>
      <c r="T293" s="29">
        <v>1714409</v>
      </c>
      <c r="U293" s="29">
        <v>967071</v>
      </c>
      <c r="V293" s="29">
        <v>747338</v>
      </c>
    </row>
    <row r="294" spans="1:22" x14ac:dyDescent="0.2">
      <c r="A294" s="20" t="s">
        <v>335</v>
      </c>
      <c r="B294" s="20" t="s">
        <v>737</v>
      </c>
      <c r="C294" s="25">
        <v>145.72</v>
      </c>
      <c r="D294" s="27">
        <v>967.1</v>
      </c>
      <c r="E294" s="25">
        <v>1112.82</v>
      </c>
      <c r="F294" s="25">
        <v>2.61</v>
      </c>
      <c r="G294" s="29">
        <v>0</v>
      </c>
      <c r="H294" s="27">
        <v>0</v>
      </c>
      <c r="I294" s="29">
        <v>967</v>
      </c>
      <c r="J294" s="29">
        <v>368677</v>
      </c>
      <c r="K294" s="29">
        <v>0</v>
      </c>
      <c r="L294" s="29">
        <v>368677</v>
      </c>
      <c r="M294" s="29">
        <v>60089</v>
      </c>
      <c r="N294" s="29">
        <v>66046</v>
      </c>
      <c r="O294" s="29">
        <v>865</v>
      </c>
      <c r="P294" s="29">
        <v>37057</v>
      </c>
      <c r="Q294" s="29">
        <v>4062</v>
      </c>
      <c r="R294" s="29">
        <v>536796</v>
      </c>
      <c r="S294" s="29">
        <v>80727</v>
      </c>
      <c r="T294" s="29">
        <v>456069</v>
      </c>
      <c r="U294" s="29">
        <v>254866</v>
      </c>
      <c r="V294" s="29">
        <v>201203</v>
      </c>
    </row>
    <row r="295" spans="1:22" x14ac:dyDescent="0.2">
      <c r="A295" s="20" t="s">
        <v>223</v>
      </c>
      <c r="B295" s="20" t="s">
        <v>614</v>
      </c>
      <c r="C295" s="25">
        <v>52.3</v>
      </c>
      <c r="D295" s="27">
        <v>894.5</v>
      </c>
      <c r="E295" s="25">
        <v>946.8</v>
      </c>
      <c r="F295" s="25">
        <v>0</v>
      </c>
      <c r="G295" s="29">
        <v>28</v>
      </c>
      <c r="H295" s="27">
        <v>0</v>
      </c>
      <c r="I295" s="29">
        <v>923</v>
      </c>
      <c r="J295" s="29">
        <v>308543</v>
      </c>
      <c r="K295" s="29">
        <v>0</v>
      </c>
      <c r="L295" s="29">
        <v>308543</v>
      </c>
      <c r="M295" s="29">
        <v>57263</v>
      </c>
      <c r="N295" s="29">
        <v>62902</v>
      </c>
      <c r="O295" s="29">
        <v>0</v>
      </c>
      <c r="P295" s="29">
        <v>26274</v>
      </c>
      <c r="Q295" s="29">
        <v>3295</v>
      </c>
      <c r="R295" s="29">
        <v>458277</v>
      </c>
      <c r="S295" s="29">
        <v>29267</v>
      </c>
      <c r="T295" s="29">
        <v>429010</v>
      </c>
      <c r="U295" s="29">
        <v>250257</v>
      </c>
      <c r="V295" s="29">
        <v>178753</v>
      </c>
    </row>
    <row r="296" spans="1:22" x14ac:dyDescent="0.2">
      <c r="A296" s="20" t="s">
        <v>305</v>
      </c>
      <c r="B296" s="20" t="s">
        <v>693</v>
      </c>
      <c r="C296" s="25">
        <v>39.57</v>
      </c>
      <c r="D296" s="27">
        <v>311.10000000000002</v>
      </c>
      <c r="E296" s="25">
        <v>350.67</v>
      </c>
      <c r="F296" s="25">
        <v>0.73</v>
      </c>
      <c r="G296" s="29">
        <v>0</v>
      </c>
      <c r="H296" s="27">
        <v>0</v>
      </c>
      <c r="I296" s="29">
        <v>311</v>
      </c>
      <c r="J296" s="29">
        <v>117103</v>
      </c>
      <c r="K296" s="29">
        <v>0</v>
      </c>
      <c r="L296" s="29">
        <v>117103</v>
      </c>
      <c r="M296" s="29">
        <v>19335</v>
      </c>
      <c r="N296" s="29">
        <v>21375</v>
      </c>
      <c r="O296" s="29">
        <v>244</v>
      </c>
      <c r="P296" s="29">
        <v>12024</v>
      </c>
      <c r="Q296" s="29">
        <v>1297</v>
      </c>
      <c r="R296" s="29">
        <v>171378</v>
      </c>
      <c r="S296" s="29">
        <v>27073</v>
      </c>
      <c r="T296" s="29">
        <v>144305</v>
      </c>
      <c r="U296" s="29">
        <v>79018</v>
      </c>
      <c r="V296" s="29">
        <v>65287</v>
      </c>
    </row>
    <row r="297" spans="1:22" x14ac:dyDescent="0.2">
      <c r="A297" s="20" t="s">
        <v>170</v>
      </c>
      <c r="B297" s="20" t="s">
        <v>564</v>
      </c>
      <c r="C297" s="25">
        <v>229.97</v>
      </c>
      <c r="D297" s="27">
        <v>1621.5</v>
      </c>
      <c r="E297" s="25">
        <v>1851.47</v>
      </c>
      <c r="F297" s="25">
        <v>2.14</v>
      </c>
      <c r="G297" s="29">
        <v>10</v>
      </c>
      <c r="H297" s="27">
        <v>0</v>
      </c>
      <c r="I297" s="29">
        <v>1632</v>
      </c>
      <c r="J297" s="29">
        <v>616502</v>
      </c>
      <c r="K297" s="29">
        <v>0</v>
      </c>
      <c r="L297" s="29">
        <v>616502</v>
      </c>
      <c r="M297" s="29">
        <v>101445</v>
      </c>
      <c r="N297" s="29">
        <v>111515</v>
      </c>
      <c r="O297" s="29">
        <v>713</v>
      </c>
      <c r="P297" s="29">
        <v>58358</v>
      </c>
      <c r="Q297" s="29">
        <v>6795</v>
      </c>
      <c r="R297" s="29">
        <v>895328</v>
      </c>
      <c r="S297" s="29">
        <v>116097</v>
      </c>
      <c r="T297" s="29">
        <v>779231</v>
      </c>
      <c r="U297" s="29">
        <v>438409</v>
      </c>
      <c r="V297" s="29">
        <v>340822</v>
      </c>
    </row>
    <row r="298" spans="1:22" x14ac:dyDescent="0.2">
      <c r="A298" s="20" t="s">
        <v>336</v>
      </c>
      <c r="B298" s="20" t="s">
        <v>722</v>
      </c>
      <c r="C298" s="25">
        <v>72.22</v>
      </c>
      <c r="D298" s="27">
        <v>489.4</v>
      </c>
      <c r="E298" s="25">
        <v>561.62</v>
      </c>
      <c r="F298" s="25">
        <v>1.32</v>
      </c>
      <c r="G298" s="29">
        <v>2</v>
      </c>
      <c r="H298" s="27">
        <v>0</v>
      </c>
      <c r="I298" s="29">
        <v>491</v>
      </c>
      <c r="J298" s="29">
        <v>186065</v>
      </c>
      <c r="K298" s="29">
        <v>0</v>
      </c>
      <c r="L298" s="29">
        <v>186065</v>
      </c>
      <c r="M298" s="29">
        <v>30511</v>
      </c>
      <c r="N298" s="29">
        <v>33535</v>
      </c>
      <c r="O298" s="29">
        <v>437</v>
      </c>
      <c r="P298" s="29">
        <v>18702</v>
      </c>
      <c r="Q298" s="29">
        <v>2050</v>
      </c>
      <c r="R298" s="29">
        <v>271300</v>
      </c>
      <c r="S298" s="29">
        <v>34809</v>
      </c>
      <c r="T298" s="29">
        <v>236491</v>
      </c>
      <c r="U298" s="29">
        <v>134559</v>
      </c>
      <c r="V298" s="29">
        <v>101932</v>
      </c>
    </row>
    <row r="299" spans="1:22" x14ac:dyDescent="0.2">
      <c r="A299" s="20" t="s">
        <v>29</v>
      </c>
      <c r="B299" s="20" t="s">
        <v>438</v>
      </c>
      <c r="C299" s="25">
        <v>116.41</v>
      </c>
      <c r="D299" s="27">
        <v>835.5</v>
      </c>
      <c r="E299" s="25">
        <v>951.91</v>
      </c>
      <c r="F299" s="25">
        <v>0</v>
      </c>
      <c r="G299" s="29">
        <v>44</v>
      </c>
      <c r="H299" s="27">
        <v>0</v>
      </c>
      <c r="I299" s="29">
        <v>880</v>
      </c>
      <c r="J299" s="29">
        <v>327352</v>
      </c>
      <c r="K299" s="29">
        <v>0</v>
      </c>
      <c r="L299" s="29">
        <v>327352</v>
      </c>
      <c r="M299" s="29">
        <v>55018</v>
      </c>
      <c r="N299" s="29">
        <v>61626</v>
      </c>
      <c r="O299" s="29">
        <v>0</v>
      </c>
      <c r="P299" s="29">
        <v>34678</v>
      </c>
      <c r="Q299" s="29">
        <v>4122</v>
      </c>
      <c r="R299" s="29">
        <v>482796</v>
      </c>
      <c r="S299" s="29">
        <v>67954</v>
      </c>
      <c r="T299" s="29">
        <v>414842</v>
      </c>
      <c r="U299" s="29">
        <v>222150</v>
      </c>
      <c r="V299" s="29">
        <v>192692</v>
      </c>
    </row>
    <row r="300" spans="1:22" x14ac:dyDescent="0.2">
      <c r="A300" s="20" t="s">
        <v>337</v>
      </c>
      <c r="B300" s="20" t="s">
        <v>723</v>
      </c>
      <c r="C300" s="25">
        <v>74.14</v>
      </c>
      <c r="D300" s="27">
        <v>534.4</v>
      </c>
      <c r="E300" s="25">
        <v>608.54</v>
      </c>
      <c r="F300" s="25">
        <v>1.43</v>
      </c>
      <c r="G300" s="29">
        <v>1</v>
      </c>
      <c r="H300" s="27">
        <v>0</v>
      </c>
      <c r="I300" s="29">
        <v>535</v>
      </c>
      <c r="J300" s="29">
        <v>201609</v>
      </c>
      <c r="K300" s="29">
        <v>27397</v>
      </c>
      <c r="L300" s="29">
        <v>229006</v>
      </c>
      <c r="M300" s="29">
        <v>33245</v>
      </c>
      <c r="N300" s="29">
        <v>36541</v>
      </c>
      <c r="O300" s="29">
        <v>474</v>
      </c>
      <c r="P300" s="29">
        <v>20264</v>
      </c>
      <c r="Q300" s="29">
        <v>2221</v>
      </c>
      <c r="R300" s="29">
        <v>321751</v>
      </c>
      <c r="S300" s="29">
        <v>45941</v>
      </c>
      <c r="T300" s="29">
        <v>275810</v>
      </c>
      <c r="U300" s="29">
        <v>137576</v>
      </c>
      <c r="V300" s="29">
        <v>138234</v>
      </c>
    </row>
    <row r="301" spans="1:22" x14ac:dyDescent="0.2">
      <c r="A301" s="20" t="s">
        <v>112</v>
      </c>
      <c r="B301" s="20" t="s">
        <v>510</v>
      </c>
      <c r="C301" s="25">
        <v>83.58</v>
      </c>
      <c r="D301" s="27">
        <v>657.7</v>
      </c>
      <c r="E301" s="25">
        <v>741.28</v>
      </c>
      <c r="F301" s="25">
        <v>0.93</v>
      </c>
      <c r="G301" s="29">
        <v>21</v>
      </c>
      <c r="H301" s="27">
        <v>0</v>
      </c>
      <c r="I301" s="29">
        <v>679</v>
      </c>
      <c r="J301" s="29">
        <v>250004</v>
      </c>
      <c r="K301" s="29">
        <v>0</v>
      </c>
      <c r="L301" s="29">
        <v>250004</v>
      </c>
      <c r="M301" s="29">
        <v>42417</v>
      </c>
      <c r="N301" s="29">
        <v>47292</v>
      </c>
      <c r="O301" s="29">
        <v>314</v>
      </c>
      <c r="P301" s="29">
        <v>30911</v>
      </c>
      <c r="Q301" s="29">
        <v>3558</v>
      </c>
      <c r="R301" s="29">
        <v>374496</v>
      </c>
      <c r="S301" s="29">
        <v>44032</v>
      </c>
      <c r="T301" s="29">
        <v>330464</v>
      </c>
      <c r="U301" s="29">
        <v>186380</v>
      </c>
      <c r="V301" s="29">
        <v>144084</v>
      </c>
    </row>
    <row r="302" spans="1:22" x14ac:dyDescent="0.2">
      <c r="A302" s="20" t="s">
        <v>171</v>
      </c>
      <c r="B302" s="20" t="s">
        <v>565</v>
      </c>
      <c r="C302" s="25">
        <v>215.42</v>
      </c>
      <c r="D302" s="27">
        <v>1626</v>
      </c>
      <c r="E302" s="25">
        <v>1841.42</v>
      </c>
      <c r="F302" s="25">
        <v>2.13</v>
      </c>
      <c r="G302" s="29">
        <v>77</v>
      </c>
      <c r="H302" s="27">
        <v>0.4</v>
      </c>
      <c r="I302" s="29">
        <v>1703</v>
      </c>
      <c r="J302" s="29">
        <v>613156</v>
      </c>
      <c r="K302" s="29">
        <v>0</v>
      </c>
      <c r="L302" s="29">
        <v>613156</v>
      </c>
      <c r="M302" s="29">
        <v>105858</v>
      </c>
      <c r="N302" s="29">
        <v>116366</v>
      </c>
      <c r="O302" s="29">
        <v>709</v>
      </c>
      <c r="P302" s="29">
        <v>58042</v>
      </c>
      <c r="Q302" s="29">
        <v>6758</v>
      </c>
      <c r="R302" s="29">
        <v>900889</v>
      </c>
      <c r="S302" s="29">
        <v>105969</v>
      </c>
      <c r="T302" s="29">
        <v>794920</v>
      </c>
      <c r="U302" s="29">
        <v>445528</v>
      </c>
      <c r="V302" s="29">
        <v>349392</v>
      </c>
    </row>
    <row r="303" spans="1:22" x14ac:dyDescent="0.2">
      <c r="A303" s="20" t="s">
        <v>113</v>
      </c>
      <c r="B303" s="20" t="s">
        <v>511</v>
      </c>
      <c r="C303" s="25">
        <v>2292.63</v>
      </c>
      <c r="D303" s="27">
        <v>10672.3</v>
      </c>
      <c r="E303" s="25">
        <v>12964.93</v>
      </c>
      <c r="F303" s="25">
        <v>16.329999999999998</v>
      </c>
      <c r="G303" s="29">
        <v>1125</v>
      </c>
      <c r="H303" s="27">
        <v>12.6</v>
      </c>
      <c r="I303" s="29">
        <v>11785</v>
      </c>
      <c r="J303" s="29">
        <v>4372552</v>
      </c>
      <c r="K303" s="29">
        <v>0</v>
      </c>
      <c r="L303" s="29">
        <v>4372552</v>
      </c>
      <c r="M303" s="29">
        <v>736209</v>
      </c>
      <c r="N303" s="29">
        <v>820825</v>
      </c>
      <c r="O303" s="29">
        <v>5507</v>
      </c>
      <c r="P303" s="29">
        <v>540638</v>
      </c>
      <c r="Q303" s="29">
        <v>62232</v>
      </c>
      <c r="R303" s="29">
        <v>6537963</v>
      </c>
      <c r="S303" s="29">
        <v>711482</v>
      </c>
      <c r="T303" s="29">
        <v>5826481</v>
      </c>
      <c r="U303" s="29">
        <v>3318441</v>
      </c>
      <c r="V303" s="29">
        <v>2508040</v>
      </c>
    </row>
    <row r="304" spans="1:22" x14ac:dyDescent="0.2">
      <c r="A304" s="20" t="s">
        <v>224</v>
      </c>
      <c r="B304" s="20" t="s">
        <v>615</v>
      </c>
      <c r="C304" s="25">
        <v>1385.04</v>
      </c>
      <c r="D304" s="27">
        <v>13153.9</v>
      </c>
      <c r="E304" s="25">
        <v>14538.94</v>
      </c>
      <c r="F304" s="25">
        <v>0</v>
      </c>
      <c r="G304" s="29">
        <v>1262</v>
      </c>
      <c r="H304" s="27">
        <v>0.5</v>
      </c>
      <c r="I304" s="29">
        <v>14415</v>
      </c>
      <c r="J304" s="29">
        <v>4737950</v>
      </c>
      <c r="K304" s="29">
        <v>0</v>
      </c>
      <c r="L304" s="29">
        <v>4737950</v>
      </c>
      <c r="M304" s="29">
        <v>894307</v>
      </c>
      <c r="N304" s="29">
        <v>982382</v>
      </c>
      <c r="O304" s="29">
        <v>0</v>
      </c>
      <c r="P304" s="29">
        <v>403456</v>
      </c>
      <c r="Q304" s="29">
        <v>50596</v>
      </c>
      <c r="R304" s="29">
        <v>7068691</v>
      </c>
      <c r="S304" s="29">
        <v>153289</v>
      </c>
      <c r="T304" s="29">
        <v>6915402</v>
      </c>
      <c r="U304" s="29">
        <v>4139043</v>
      </c>
      <c r="V304" s="29">
        <v>2776359</v>
      </c>
    </row>
    <row r="305" spans="1:22" x14ac:dyDescent="0.2">
      <c r="A305" s="20" t="s">
        <v>114</v>
      </c>
      <c r="B305" s="20" t="s">
        <v>512</v>
      </c>
      <c r="C305" s="25">
        <v>278.08999999999997</v>
      </c>
      <c r="D305" s="27">
        <v>2197.8000000000002</v>
      </c>
      <c r="E305" s="25">
        <v>2475.89</v>
      </c>
      <c r="F305" s="25">
        <v>3.12</v>
      </c>
      <c r="G305" s="29">
        <v>116</v>
      </c>
      <c r="H305" s="27">
        <v>1.2</v>
      </c>
      <c r="I305" s="29">
        <v>2313</v>
      </c>
      <c r="J305" s="29">
        <v>835019</v>
      </c>
      <c r="K305" s="29">
        <v>0</v>
      </c>
      <c r="L305" s="29">
        <v>835019</v>
      </c>
      <c r="M305" s="29">
        <v>144493</v>
      </c>
      <c r="N305" s="29">
        <v>161100</v>
      </c>
      <c r="O305" s="29">
        <v>1052</v>
      </c>
      <c r="P305" s="29">
        <v>103245</v>
      </c>
      <c r="Q305" s="29">
        <v>11884</v>
      </c>
      <c r="R305" s="29">
        <v>1256793</v>
      </c>
      <c r="S305" s="29">
        <v>116224</v>
      </c>
      <c r="T305" s="29">
        <v>1140569</v>
      </c>
      <c r="U305" s="29">
        <v>653364</v>
      </c>
      <c r="V305" s="29">
        <v>487205</v>
      </c>
    </row>
    <row r="306" spans="1:22" x14ac:dyDescent="0.2">
      <c r="A306" s="20" t="s">
        <v>338</v>
      </c>
      <c r="B306" s="20" t="s">
        <v>724</v>
      </c>
      <c r="C306" s="25">
        <v>80.42</v>
      </c>
      <c r="D306" s="27">
        <v>574.5</v>
      </c>
      <c r="E306" s="25">
        <v>654.91999999999996</v>
      </c>
      <c r="F306" s="25">
        <v>1.54</v>
      </c>
      <c r="G306" s="29">
        <v>0</v>
      </c>
      <c r="H306" s="27">
        <v>0</v>
      </c>
      <c r="I306" s="29">
        <v>575</v>
      </c>
      <c r="J306" s="29">
        <v>216975</v>
      </c>
      <c r="K306" s="29">
        <v>0</v>
      </c>
      <c r="L306" s="29">
        <v>216975</v>
      </c>
      <c r="M306" s="29">
        <v>35731</v>
      </c>
      <c r="N306" s="29">
        <v>39273</v>
      </c>
      <c r="O306" s="29">
        <v>510</v>
      </c>
      <c r="P306" s="29">
        <v>21809</v>
      </c>
      <c r="Q306" s="29">
        <v>2390</v>
      </c>
      <c r="R306" s="29">
        <v>316688</v>
      </c>
      <c r="S306" s="29">
        <v>45988</v>
      </c>
      <c r="T306" s="29">
        <v>270700</v>
      </c>
      <c r="U306" s="29">
        <v>151516</v>
      </c>
      <c r="V306" s="29">
        <v>119184</v>
      </c>
    </row>
    <row r="307" spans="1:22" x14ac:dyDescent="0.2">
      <c r="A307" s="20" t="s">
        <v>58</v>
      </c>
      <c r="B307" s="20" t="s">
        <v>465</v>
      </c>
      <c r="C307" s="25">
        <v>189.81</v>
      </c>
      <c r="D307" s="27">
        <v>1729.2</v>
      </c>
      <c r="E307" s="25">
        <v>1919.01</v>
      </c>
      <c r="F307" s="25">
        <v>0</v>
      </c>
      <c r="G307" s="29">
        <v>90</v>
      </c>
      <c r="H307" s="27">
        <v>0.7</v>
      </c>
      <c r="I307" s="29">
        <v>1819</v>
      </c>
      <c r="J307" s="29">
        <v>659928</v>
      </c>
      <c r="K307" s="29">
        <v>0</v>
      </c>
      <c r="L307" s="29">
        <v>659928</v>
      </c>
      <c r="M307" s="29">
        <v>113724</v>
      </c>
      <c r="N307" s="29">
        <v>127385</v>
      </c>
      <c r="O307" s="29">
        <v>0</v>
      </c>
      <c r="P307" s="29">
        <v>69910</v>
      </c>
      <c r="Q307" s="29">
        <v>8309</v>
      </c>
      <c r="R307" s="29">
        <v>979256</v>
      </c>
      <c r="S307" s="29">
        <v>123421</v>
      </c>
      <c r="T307" s="29">
        <v>855835</v>
      </c>
      <c r="U307" s="29">
        <v>461417</v>
      </c>
      <c r="V307" s="29">
        <v>394418</v>
      </c>
    </row>
    <row r="308" spans="1:22" x14ac:dyDescent="0.2">
      <c r="A308" s="20" t="s">
        <v>59</v>
      </c>
      <c r="B308" s="20" t="s">
        <v>466</v>
      </c>
      <c r="C308" s="25">
        <v>29.99</v>
      </c>
      <c r="D308" s="27">
        <v>328.1</v>
      </c>
      <c r="E308" s="25">
        <v>358.09</v>
      </c>
      <c r="F308" s="25">
        <v>0</v>
      </c>
      <c r="G308" s="29">
        <v>27</v>
      </c>
      <c r="H308" s="27">
        <v>0</v>
      </c>
      <c r="I308" s="29">
        <v>355</v>
      </c>
      <c r="J308" s="29">
        <v>123144</v>
      </c>
      <c r="K308" s="29">
        <v>0</v>
      </c>
      <c r="L308" s="29">
        <v>123144</v>
      </c>
      <c r="M308" s="29">
        <v>22195</v>
      </c>
      <c r="N308" s="29">
        <v>24861</v>
      </c>
      <c r="O308" s="29">
        <v>0</v>
      </c>
      <c r="P308" s="29">
        <v>13045</v>
      </c>
      <c r="Q308" s="29">
        <v>1551</v>
      </c>
      <c r="R308" s="29">
        <v>184796</v>
      </c>
      <c r="S308" s="29">
        <v>25688</v>
      </c>
      <c r="T308" s="29">
        <v>159108</v>
      </c>
      <c r="U308" s="29">
        <v>83444</v>
      </c>
      <c r="V308" s="29">
        <v>75664</v>
      </c>
    </row>
    <row r="309" spans="1:22" x14ac:dyDescent="0.2">
      <c r="A309" s="20" t="s">
        <v>172</v>
      </c>
      <c r="B309" s="20" t="s">
        <v>566</v>
      </c>
      <c r="C309" s="25">
        <v>104.25</v>
      </c>
      <c r="D309" s="27">
        <v>785.9</v>
      </c>
      <c r="E309" s="25">
        <v>890.15</v>
      </c>
      <c r="F309" s="25">
        <v>1.03</v>
      </c>
      <c r="G309" s="29">
        <v>15</v>
      </c>
      <c r="H309" s="27">
        <v>0</v>
      </c>
      <c r="I309" s="29">
        <v>801</v>
      </c>
      <c r="J309" s="29">
        <v>296402</v>
      </c>
      <c r="K309" s="29">
        <v>0</v>
      </c>
      <c r="L309" s="29">
        <v>296402</v>
      </c>
      <c r="M309" s="29">
        <v>49790</v>
      </c>
      <c r="N309" s="29">
        <v>54732</v>
      </c>
      <c r="O309" s="29">
        <v>343</v>
      </c>
      <c r="P309" s="29">
        <v>28058</v>
      </c>
      <c r="Q309" s="29">
        <v>3267</v>
      </c>
      <c r="R309" s="29">
        <v>432592</v>
      </c>
      <c r="S309" s="29">
        <v>46027</v>
      </c>
      <c r="T309" s="29">
        <v>386565</v>
      </c>
      <c r="U309" s="29">
        <v>220570</v>
      </c>
      <c r="V309" s="29">
        <v>165995</v>
      </c>
    </row>
    <row r="310" spans="1:22" x14ac:dyDescent="0.2">
      <c r="A310" s="20" t="s">
        <v>339</v>
      </c>
      <c r="B310" s="20" t="s">
        <v>725</v>
      </c>
      <c r="C310" s="25">
        <v>44.08</v>
      </c>
      <c r="D310" s="27">
        <v>405</v>
      </c>
      <c r="E310" s="25">
        <v>449.08</v>
      </c>
      <c r="F310" s="25">
        <v>1.05</v>
      </c>
      <c r="G310" s="29">
        <v>35</v>
      </c>
      <c r="H310" s="27">
        <v>0</v>
      </c>
      <c r="I310" s="29">
        <v>440</v>
      </c>
      <c r="J310" s="29">
        <v>148780</v>
      </c>
      <c r="K310" s="29">
        <v>10096</v>
      </c>
      <c r="L310" s="29">
        <v>158876</v>
      </c>
      <c r="M310" s="29">
        <v>27342</v>
      </c>
      <c r="N310" s="29">
        <v>30052</v>
      </c>
      <c r="O310" s="29">
        <v>348</v>
      </c>
      <c r="P310" s="29">
        <v>15530</v>
      </c>
      <c r="Q310" s="29">
        <v>1697</v>
      </c>
      <c r="R310" s="29">
        <v>233845</v>
      </c>
      <c r="S310" s="29">
        <v>28867</v>
      </c>
      <c r="T310" s="29">
        <v>204978</v>
      </c>
      <c r="U310" s="29">
        <v>107194</v>
      </c>
      <c r="V310" s="29">
        <v>97784</v>
      </c>
    </row>
    <row r="311" spans="1:22" x14ac:dyDescent="0.2">
      <c r="A311" s="20" t="s">
        <v>19</v>
      </c>
      <c r="B311" s="20" t="s">
        <v>429</v>
      </c>
      <c r="C311" s="25">
        <v>33.36</v>
      </c>
      <c r="D311" s="27">
        <v>268.2</v>
      </c>
      <c r="E311" s="25">
        <v>301.56</v>
      </c>
      <c r="F311" s="25">
        <v>0.81</v>
      </c>
      <c r="G311" s="29">
        <v>3</v>
      </c>
      <c r="H311" s="27">
        <v>0</v>
      </c>
      <c r="I311" s="29">
        <v>271</v>
      </c>
      <c r="J311" s="29">
        <v>104985</v>
      </c>
      <c r="K311" s="29">
        <v>0</v>
      </c>
      <c r="L311" s="29">
        <v>104985</v>
      </c>
      <c r="M311" s="29">
        <v>16921</v>
      </c>
      <c r="N311" s="29">
        <v>18851</v>
      </c>
      <c r="O311" s="29">
        <v>282</v>
      </c>
      <c r="P311" s="29">
        <v>10395</v>
      </c>
      <c r="Q311" s="29">
        <v>1128</v>
      </c>
      <c r="R311" s="29">
        <v>152562</v>
      </c>
      <c r="S311" s="29">
        <v>22130</v>
      </c>
      <c r="T311" s="29">
        <v>130432</v>
      </c>
      <c r="U311" s="29">
        <v>69219</v>
      </c>
      <c r="V311" s="29">
        <v>61213</v>
      </c>
    </row>
    <row r="312" spans="1:22" x14ac:dyDescent="0.2">
      <c r="A312" s="20" t="s">
        <v>20</v>
      </c>
      <c r="B312" s="20" t="s">
        <v>430</v>
      </c>
      <c r="C312" s="25">
        <v>185</v>
      </c>
      <c r="D312" s="27">
        <v>1363.5</v>
      </c>
      <c r="E312" s="25">
        <v>1548.5</v>
      </c>
      <c r="F312" s="25">
        <v>4.1399999999999997</v>
      </c>
      <c r="G312" s="29">
        <v>192</v>
      </c>
      <c r="H312" s="27">
        <v>0.7</v>
      </c>
      <c r="I312" s="29">
        <v>1555</v>
      </c>
      <c r="J312" s="29">
        <v>539095</v>
      </c>
      <c r="K312" s="29">
        <v>0</v>
      </c>
      <c r="L312" s="29">
        <v>539095</v>
      </c>
      <c r="M312" s="29">
        <v>97094</v>
      </c>
      <c r="N312" s="29">
        <v>108166</v>
      </c>
      <c r="O312" s="29">
        <v>1441</v>
      </c>
      <c r="P312" s="29">
        <v>53377</v>
      </c>
      <c r="Q312" s="29">
        <v>5791</v>
      </c>
      <c r="R312" s="29">
        <v>804964</v>
      </c>
      <c r="S312" s="29">
        <v>118627</v>
      </c>
      <c r="T312" s="29">
        <v>686337</v>
      </c>
      <c r="U312" s="29">
        <v>350438</v>
      </c>
      <c r="V312" s="29">
        <v>335899</v>
      </c>
    </row>
    <row r="313" spans="1:22" x14ac:dyDescent="0.2">
      <c r="A313" s="20" t="s">
        <v>226</v>
      </c>
      <c r="B313" s="20" t="s">
        <v>617</v>
      </c>
      <c r="C313" s="25">
        <v>1091.19</v>
      </c>
      <c r="D313" s="27">
        <v>8678.6</v>
      </c>
      <c r="E313" s="25">
        <v>9769.7900000000009</v>
      </c>
      <c r="F313" s="25">
        <v>0</v>
      </c>
      <c r="G313" s="29">
        <v>1199</v>
      </c>
      <c r="H313" s="27">
        <v>2.2000000000000002</v>
      </c>
      <c r="I313" s="29">
        <v>9875</v>
      </c>
      <c r="J313" s="29">
        <v>3183779</v>
      </c>
      <c r="K313" s="29">
        <v>0</v>
      </c>
      <c r="L313" s="29">
        <v>3183779</v>
      </c>
      <c r="M313" s="29">
        <v>612645</v>
      </c>
      <c r="N313" s="29">
        <v>672981</v>
      </c>
      <c r="O313" s="29">
        <v>0</v>
      </c>
      <c r="P313" s="29">
        <v>271112</v>
      </c>
      <c r="Q313" s="29">
        <v>33999</v>
      </c>
      <c r="R313" s="29">
        <v>4774516</v>
      </c>
      <c r="S313" s="29">
        <v>513663</v>
      </c>
      <c r="T313" s="29">
        <v>4260853</v>
      </c>
      <c r="U313" s="29">
        <v>2370673</v>
      </c>
      <c r="V313" s="29">
        <v>1890180</v>
      </c>
    </row>
    <row r="314" spans="1:22" x14ac:dyDescent="0.2">
      <c r="A314" s="20" t="s">
        <v>21</v>
      </c>
      <c r="B314" s="20" t="s">
        <v>431</v>
      </c>
      <c r="C314" s="25">
        <v>397.51</v>
      </c>
      <c r="D314" s="27">
        <v>3200.2</v>
      </c>
      <c r="E314" s="25">
        <v>3597.71</v>
      </c>
      <c r="F314" s="25">
        <v>9.6199999999999992</v>
      </c>
      <c r="G314" s="29">
        <v>1020</v>
      </c>
      <c r="H314" s="27">
        <v>3.1</v>
      </c>
      <c r="I314" s="29">
        <v>4217</v>
      </c>
      <c r="J314" s="29">
        <v>1252507</v>
      </c>
      <c r="K314" s="29">
        <v>0</v>
      </c>
      <c r="L314" s="29">
        <v>1252507</v>
      </c>
      <c r="M314" s="29">
        <v>263309</v>
      </c>
      <c r="N314" s="29">
        <v>293335</v>
      </c>
      <c r="O314" s="29">
        <v>3349</v>
      </c>
      <c r="P314" s="29">
        <v>124013</v>
      </c>
      <c r="Q314" s="29">
        <v>13455</v>
      </c>
      <c r="R314" s="29">
        <v>1949968</v>
      </c>
      <c r="S314" s="29">
        <v>184387</v>
      </c>
      <c r="T314" s="29">
        <v>1765581</v>
      </c>
      <c r="U314" s="29">
        <v>905416</v>
      </c>
      <c r="V314" s="29">
        <v>860165</v>
      </c>
    </row>
    <row r="315" spans="1:22" x14ac:dyDescent="0.2">
      <c r="A315" s="20" t="s">
        <v>306</v>
      </c>
      <c r="B315" s="20" t="s">
        <v>694</v>
      </c>
      <c r="C315" s="25">
        <v>56.45</v>
      </c>
      <c r="D315" s="27">
        <v>356.3</v>
      </c>
      <c r="E315" s="25">
        <v>412.75</v>
      </c>
      <c r="F315" s="25">
        <v>0.87</v>
      </c>
      <c r="G315" s="29">
        <v>0</v>
      </c>
      <c r="H315" s="27">
        <v>0</v>
      </c>
      <c r="I315" s="29">
        <v>356</v>
      </c>
      <c r="J315" s="29">
        <v>137834</v>
      </c>
      <c r="K315" s="29">
        <v>10126</v>
      </c>
      <c r="L315" s="29">
        <v>147960</v>
      </c>
      <c r="M315" s="29">
        <v>22133</v>
      </c>
      <c r="N315" s="29">
        <v>24468</v>
      </c>
      <c r="O315" s="29">
        <v>291</v>
      </c>
      <c r="P315" s="29">
        <v>14153</v>
      </c>
      <c r="Q315" s="29">
        <v>1527</v>
      </c>
      <c r="R315" s="29">
        <v>210532</v>
      </c>
      <c r="S315" s="29">
        <v>33342</v>
      </c>
      <c r="T315" s="29">
        <v>177190</v>
      </c>
      <c r="U315" s="29">
        <v>91534</v>
      </c>
      <c r="V315" s="29">
        <v>85656</v>
      </c>
    </row>
    <row r="316" spans="1:22" x14ac:dyDescent="0.2">
      <c r="A316" s="20" t="s">
        <v>138</v>
      </c>
      <c r="B316" s="20" t="s">
        <v>535</v>
      </c>
      <c r="C316" s="25">
        <v>129.12</v>
      </c>
      <c r="D316" s="27">
        <v>1235.0999999999999</v>
      </c>
      <c r="E316" s="25">
        <v>1364.22</v>
      </c>
      <c r="F316" s="25">
        <v>0</v>
      </c>
      <c r="G316" s="29">
        <v>5</v>
      </c>
      <c r="H316" s="27">
        <v>0</v>
      </c>
      <c r="I316" s="29">
        <v>1240</v>
      </c>
      <c r="J316" s="29">
        <v>456877</v>
      </c>
      <c r="K316" s="29">
        <v>0</v>
      </c>
      <c r="L316" s="29">
        <v>456877</v>
      </c>
      <c r="M316" s="29">
        <v>76855</v>
      </c>
      <c r="N316" s="29">
        <v>83985</v>
      </c>
      <c r="O316" s="29">
        <v>0</v>
      </c>
      <c r="P316" s="29">
        <v>41977</v>
      </c>
      <c r="Q316" s="29">
        <v>4925</v>
      </c>
      <c r="R316" s="29">
        <v>664619</v>
      </c>
      <c r="S316" s="29">
        <v>67734</v>
      </c>
      <c r="T316" s="29">
        <v>596885</v>
      </c>
      <c r="U316" s="29">
        <v>339322</v>
      </c>
      <c r="V316" s="29">
        <v>257563</v>
      </c>
    </row>
    <row r="317" spans="1:22" x14ac:dyDescent="0.2">
      <c r="A317" s="20" t="s">
        <v>257</v>
      </c>
      <c r="B317" s="20" t="s">
        <v>648</v>
      </c>
      <c r="C317" s="25">
        <v>86.6</v>
      </c>
      <c r="D317" s="27">
        <v>938.4</v>
      </c>
      <c r="E317" s="25">
        <v>1025</v>
      </c>
      <c r="F317" s="25">
        <v>1.97</v>
      </c>
      <c r="G317" s="29">
        <v>146</v>
      </c>
      <c r="H317" s="27">
        <v>0</v>
      </c>
      <c r="I317" s="29">
        <v>1084</v>
      </c>
      <c r="J317" s="29">
        <v>349033</v>
      </c>
      <c r="K317" s="29">
        <v>0</v>
      </c>
      <c r="L317" s="29">
        <v>349033</v>
      </c>
      <c r="M317" s="29">
        <v>67696</v>
      </c>
      <c r="N317" s="29">
        <v>75804</v>
      </c>
      <c r="O317" s="29">
        <v>671</v>
      </c>
      <c r="P317" s="29">
        <v>35168</v>
      </c>
      <c r="Q317" s="29">
        <v>4192</v>
      </c>
      <c r="R317" s="29">
        <v>532564</v>
      </c>
      <c r="S317" s="29">
        <v>51172</v>
      </c>
      <c r="T317" s="29">
        <v>481392</v>
      </c>
      <c r="U317" s="29">
        <v>259308</v>
      </c>
      <c r="V317" s="29">
        <v>222084</v>
      </c>
    </row>
    <row r="318" spans="1:22" x14ac:dyDescent="0.2">
      <c r="A318" s="20" t="s">
        <v>117</v>
      </c>
      <c r="B318" s="20" t="s">
        <v>515</v>
      </c>
      <c r="C318" s="25">
        <v>74.59</v>
      </c>
      <c r="D318" s="27">
        <v>786.7</v>
      </c>
      <c r="E318" s="25">
        <v>861.29</v>
      </c>
      <c r="F318" s="25">
        <v>1.0900000000000001</v>
      </c>
      <c r="G318" s="29">
        <v>2</v>
      </c>
      <c r="H318" s="27">
        <v>0</v>
      </c>
      <c r="I318" s="29">
        <v>789</v>
      </c>
      <c r="J318" s="29">
        <v>290479</v>
      </c>
      <c r="K318" s="29">
        <v>4284</v>
      </c>
      <c r="L318" s="29">
        <v>294763</v>
      </c>
      <c r="M318" s="29">
        <v>49289</v>
      </c>
      <c r="N318" s="29">
        <v>54954</v>
      </c>
      <c r="O318" s="29">
        <v>368</v>
      </c>
      <c r="P318" s="29">
        <v>36435</v>
      </c>
      <c r="Q318" s="29">
        <v>4190</v>
      </c>
      <c r="R318" s="29">
        <v>439999</v>
      </c>
      <c r="S318" s="29">
        <v>51207</v>
      </c>
      <c r="T318" s="29">
        <v>388792</v>
      </c>
      <c r="U318" s="29">
        <v>217086</v>
      </c>
      <c r="V318" s="29">
        <v>171706</v>
      </c>
    </row>
    <row r="319" spans="1:22" x14ac:dyDescent="0.2">
      <c r="A319" s="20" t="s">
        <v>258</v>
      </c>
      <c r="B319" s="20" t="s">
        <v>649</v>
      </c>
      <c r="C319" s="25">
        <v>109.53</v>
      </c>
      <c r="D319" s="27">
        <v>601.79999999999995</v>
      </c>
      <c r="E319" s="25">
        <v>711.33</v>
      </c>
      <c r="F319" s="25">
        <v>1.37</v>
      </c>
      <c r="G319" s="29">
        <v>4</v>
      </c>
      <c r="H319" s="27">
        <v>0</v>
      </c>
      <c r="I319" s="29">
        <v>606</v>
      </c>
      <c r="J319" s="29">
        <v>242222</v>
      </c>
      <c r="K319" s="29">
        <v>0</v>
      </c>
      <c r="L319" s="29">
        <v>242222</v>
      </c>
      <c r="M319" s="29">
        <v>37845</v>
      </c>
      <c r="N319" s="29">
        <v>42378</v>
      </c>
      <c r="O319" s="29">
        <v>467</v>
      </c>
      <c r="P319" s="29">
        <v>24406</v>
      </c>
      <c r="Q319" s="29">
        <v>2909</v>
      </c>
      <c r="R319" s="29">
        <v>350227</v>
      </c>
      <c r="S319" s="29">
        <v>44237</v>
      </c>
      <c r="T319" s="29">
        <v>305990</v>
      </c>
      <c r="U319" s="29">
        <v>171231</v>
      </c>
      <c r="V319" s="29">
        <v>134759</v>
      </c>
    </row>
    <row r="320" spans="1:22" x14ac:dyDescent="0.2">
      <c r="A320" s="20" t="s">
        <v>259</v>
      </c>
      <c r="B320" s="20" t="s">
        <v>650</v>
      </c>
      <c r="C320" s="25">
        <v>122.76</v>
      </c>
      <c r="D320" s="27">
        <v>795.1</v>
      </c>
      <c r="E320" s="25">
        <v>917.86</v>
      </c>
      <c r="F320" s="25">
        <v>1.77</v>
      </c>
      <c r="G320" s="29">
        <v>76</v>
      </c>
      <c r="H320" s="27">
        <v>0</v>
      </c>
      <c r="I320" s="29">
        <v>871</v>
      </c>
      <c r="J320" s="29">
        <v>312550</v>
      </c>
      <c r="K320" s="29">
        <v>2883</v>
      </c>
      <c r="L320" s="29">
        <v>315433</v>
      </c>
      <c r="M320" s="29">
        <v>54394</v>
      </c>
      <c r="N320" s="29">
        <v>60909</v>
      </c>
      <c r="O320" s="29">
        <v>603</v>
      </c>
      <c r="P320" s="29">
        <v>31513</v>
      </c>
      <c r="Q320" s="29">
        <v>3756</v>
      </c>
      <c r="R320" s="29">
        <v>466608</v>
      </c>
      <c r="S320" s="29">
        <v>48756</v>
      </c>
      <c r="T320" s="29">
        <v>417852</v>
      </c>
      <c r="U320" s="29">
        <v>229295</v>
      </c>
      <c r="V320" s="29">
        <v>188557</v>
      </c>
    </row>
    <row r="321" spans="1:22" x14ac:dyDescent="0.2">
      <c r="A321" s="20" t="s">
        <v>260</v>
      </c>
      <c r="B321" s="20" t="s">
        <v>651</v>
      </c>
      <c r="C321" s="25">
        <v>73.86</v>
      </c>
      <c r="D321" s="27">
        <v>531.70000000000005</v>
      </c>
      <c r="E321" s="25">
        <v>605.55999999999995</v>
      </c>
      <c r="F321" s="25">
        <v>1.17</v>
      </c>
      <c r="G321" s="29">
        <v>7</v>
      </c>
      <c r="H321" s="27">
        <v>0</v>
      </c>
      <c r="I321" s="29">
        <v>539</v>
      </c>
      <c r="J321" s="29">
        <v>206205</v>
      </c>
      <c r="K321" s="29">
        <v>0</v>
      </c>
      <c r="L321" s="29">
        <v>206205</v>
      </c>
      <c r="M321" s="29">
        <v>33661</v>
      </c>
      <c r="N321" s="29">
        <v>37692</v>
      </c>
      <c r="O321" s="29">
        <v>398</v>
      </c>
      <c r="P321" s="29">
        <v>20777</v>
      </c>
      <c r="Q321" s="29">
        <v>2477</v>
      </c>
      <c r="R321" s="29">
        <v>301210</v>
      </c>
      <c r="S321" s="29">
        <v>41952</v>
      </c>
      <c r="T321" s="29">
        <v>259258</v>
      </c>
      <c r="U321" s="29">
        <v>141479</v>
      </c>
      <c r="V321" s="29">
        <v>117779</v>
      </c>
    </row>
    <row r="322" spans="1:22" x14ac:dyDescent="0.2">
      <c r="A322" s="20" t="s">
        <v>261</v>
      </c>
      <c r="B322" s="20" t="s">
        <v>652</v>
      </c>
      <c r="C322" s="25">
        <v>22.91</v>
      </c>
      <c r="D322" s="27">
        <v>184.4</v>
      </c>
      <c r="E322" s="25">
        <v>207.31</v>
      </c>
      <c r="F322" s="25">
        <v>0.4</v>
      </c>
      <c r="G322" s="29">
        <v>0</v>
      </c>
      <c r="H322" s="27">
        <v>0</v>
      </c>
      <c r="I322" s="29">
        <v>184</v>
      </c>
      <c r="J322" s="29">
        <v>70593</v>
      </c>
      <c r="K322" s="29">
        <v>2339</v>
      </c>
      <c r="L322" s="29">
        <v>72932</v>
      </c>
      <c r="M322" s="29">
        <v>11491</v>
      </c>
      <c r="N322" s="29">
        <v>12867</v>
      </c>
      <c r="O322" s="29">
        <v>136</v>
      </c>
      <c r="P322" s="29">
        <v>7289</v>
      </c>
      <c r="Q322" s="29">
        <v>869</v>
      </c>
      <c r="R322" s="29">
        <v>105584</v>
      </c>
      <c r="S322" s="29">
        <v>14447</v>
      </c>
      <c r="T322" s="29">
        <v>91137</v>
      </c>
      <c r="U322" s="29">
        <v>48546</v>
      </c>
      <c r="V322" s="29">
        <v>42591</v>
      </c>
    </row>
    <row r="323" spans="1:22" x14ac:dyDescent="0.2">
      <c r="A323" s="20" t="s">
        <v>173</v>
      </c>
      <c r="B323" s="20" t="s">
        <v>567</v>
      </c>
      <c r="C323" s="25">
        <v>109.24</v>
      </c>
      <c r="D323" s="27">
        <v>1160.2</v>
      </c>
      <c r="E323" s="25">
        <v>1269.44</v>
      </c>
      <c r="F323" s="25">
        <v>1.47</v>
      </c>
      <c r="G323" s="29">
        <v>77</v>
      </c>
      <c r="H323" s="27">
        <v>1.3</v>
      </c>
      <c r="I323" s="29">
        <v>1236</v>
      </c>
      <c r="J323" s="29">
        <v>422698</v>
      </c>
      <c r="K323" s="29">
        <v>0</v>
      </c>
      <c r="L323" s="29">
        <v>422698</v>
      </c>
      <c r="M323" s="29">
        <v>76830</v>
      </c>
      <c r="N323" s="29">
        <v>84456</v>
      </c>
      <c r="O323" s="29">
        <v>489</v>
      </c>
      <c r="P323" s="29">
        <v>40013</v>
      </c>
      <c r="Q323" s="29">
        <v>4659</v>
      </c>
      <c r="R323" s="29">
        <v>629145</v>
      </c>
      <c r="S323" s="29">
        <v>67186</v>
      </c>
      <c r="T323" s="29">
        <v>561959</v>
      </c>
      <c r="U323" s="29">
        <v>313006</v>
      </c>
      <c r="V323" s="29">
        <v>248953</v>
      </c>
    </row>
    <row r="324" spans="1:22" x14ac:dyDescent="0.2">
      <c r="A324" s="20" t="s">
        <v>139</v>
      </c>
      <c r="B324" s="20" t="s">
        <v>536</v>
      </c>
      <c r="C324" s="25">
        <v>92.79</v>
      </c>
      <c r="D324" s="27">
        <v>851.9</v>
      </c>
      <c r="E324" s="25">
        <v>944.69</v>
      </c>
      <c r="F324" s="25">
        <v>0</v>
      </c>
      <c r="G324" s="29">
        <v>0</v>
      </c>
      <c r="H324" s="27">
        <v>0</v>
      </c>
      <c r="I324" s="29">
        <v>852</v>
      </c>
      <c r="J324" s="29">
        <v>316377</v>
      </c>
      <c r="K324" s="29">
        <v>0</v>
      </c>
      <c r="L324" s="29">
        <v>316377</v>
      </c>
      <c r="M324" s="29">
        <v>52807</v>
      </c>
      <c r="N324" s="29">
        <v>57706</v>
      </c>
      <c r="O324" s="29">
        <v>0</v>
      </c>
      <c r="P324" s="29">
        <v>29068</v>
      </c>
      <c r="Q324" s="29">
        <v>3410</v>
      </c>
      <c r="R324" s="29">
        <v>459368</v>
      </c>
      <c r="S324" s="29">
        <v>53251</v>
      </c>
      <c r="T324" s="29">
        <v>406117</v>
      </c>
      <c r="U324" s="29">
        <v>228625</v>
      </c>
      <c r="V324" s="29">
        <v>177492</v>
      </c>
    </row>
    <row r="325" spans="1:22" x14ac:dyDescent="0.2">
      <c r="A325" s="20" t="s">
        <v>340</v>
      </c>
      <c r="B325" s="20" t="s">
        <v>726</v>
      </c>
      <c r="C325" s="25">
        <v>34.4</v>
      </c>
      <c r="D325" s="27">
        <v>306.2</v>
      </c>
      <c r="E325" s="25">
        <v>340.6</v>
      </c>
      <c r="F325" s="25">
        <v>0.8</v>
      </c>
      <c r="G325" s="29">
        <v>0</v>
      </c>
      <c r="H325" s="27">
        <v>0</v>
      </c>
      <c r="I325" s="29">
        <v>306</v>
      </c>
      <c r="J325" s="29">
        <v>112841</v>
      </c>
      <c r="K325" s="29">
        <v>2887</v>
      </c>
      <c r="L325" s="29">
        <v>115728</v>
      </c>
      <c r="M325" s="29">
        <v>19015</v>
      </c>
      <c r="N325" s="29">
        <v>20900</v>
      </c>
      <c r="O325" s="29">
        <v>265</v>
      </c>
      <c r="P325" s="29">
        <v>11342</v>
      </c>
      <c r="Q325" s="29">
        <v>1243</v>
      </c>
      <c r="R325" s="29">
        <v>168493</v>
      </c>
      <c r="S325" s="29">
        <v>23945</v>
      </c>
      <c r="T325" s="29">
        <v>144548</v>
      </c>
      <c r="U325" s="29">
        <v>78770</v>
      </c>
      <c r="V325" s="29">
        <v>65778</v>
      </c>
    </row>
    <row r="326" spans="1:22" x14ac:dyDescent="0.2">
      <c r="A326" s="20" t="s">
        <v>227</v>
      </c>
      <c r="B326" s="20" t="s">
        <v>618</v>
      </c>
      <c r="C326" s="25">
        <v>203.94</v>
      </c>
      <c r="D326" s="27">
        <v>1667.3</v>
      </c>
      <c r="E326" s="25">
        <v>1871.24</v>
      </c>
      <c r="F326" s="25">
        <v>0</v>
      </c>
      <c r="G326" s="29">
        <v>8</v>
      </c>
      <c r="H326" s="27">
        <v>0</v>
      </c>
      <c r="I326" s="29">
        <v>1675</v>
      </c>
      <c r="J326" s="29">
        <v>609800</v>
      </c>
      <c r="K326" s="29">
        <v>0</v>
      </c>
      <c r="L326" s="29">
        <v>609800</v>
      </c>
      <c r="M326" s="29">
        <v>103917</v>
      </c>
      <c r="N326" s="29">
        <v>114151</v>
      </c>
      <c r="O326" s="29">
        <v>0</v>
      </c>
      <c r="P326" s="29">
        <v>51927</v>
      </c>
      <c r="Q326" s="29">
        <v>6512</v>
      </c>
      <c r="R326" s="29">
        <v>886307</v>
      </c>
      <c r="S326" s="29">
        <v>92409</v>
      </c>
      <c r="T326" s="29">
        <v>793898</v>
      </c>
      <c r="U326" s="29">
        <v>460037</v>
      </c>
      <c r="V326" s="29">
        <v>333861</v>
      </c>
    </row>
    <row r="327" spans="1:22" x14ac:dyDescent="0.2">
      <c r="A327" s="20" t="s">
        <v>307</v>
      </c>
      <c r="B327" s="20" t="s">
        <v>695</v>
      </c>
      <c r="C327" s="25">
        <v>55.55</v>
      </c>
      <c r="D327" s="27">
        <v>466</v>
      </c>
      <c r="E327" s="25">
        <v>521.54999999999995</v>
      </c>
      <c r="F327" s="25">
        <v>1.0900000000000001</v>
      </c>
      <c r="G327" s="29">
        <v>5</v>
      </c>
      <c r="H327" s="27">
        <v>0</v>
      </c>
      <c r="I327" s="29">
        <v>471</v>
      </c>
      <c r="J327" s="29">
        <v>174166</v>
      </c>
      <c r="K327" s="29">
        <v>0</v>
      </c>
      <c r="L327" s="29">
        <v>174166</v>
      </c>
      <c r="M327" s="29">
        <v>29282</v>
      </c>
      <c r="N327" s="29">
        <v>32372</v>
      </c>
      <c r="O327" s="29">
        <v>364</v>
      </c>
      <c r="P327" s="29">
        <v>17884</v>
      </c>
      <c r="Q327" s="29">
        <v>1930</v>
      </c>
      <c r="R327" s="29">
        <v>255998</v>
      </c>
      <c r="S327" s="29">
        <v>33313</v>
      </c>
      <c r="T327" s="29">
        <v>222685</v>
      </c>
      <c r="U327" s="29">
        <v>124478</v>
      </c>
      <c r="V327" s="29">
        <v>98207</v>
      </c>
    </row>
    <row r="328" spans="1:22" x14ac:dyDescent="0.2">
      <c r="A328" s="20" t="s">
        <v>262</v>
      </c>
      <c r="B328" s="20" t="s">
        <v>653</v>
      </c>
      <c r="C328" s="25">
        <v>80.12</v>
      </c>
      <c r="D328" s="27">
        <v>516.5</v>
      </c>
      <c r="E328" s="25">
        <v>596.62</v>
      </c>
      <c r="F328" s="25">
        <v>1.1499999999999999</v>
      </c>
      <c r="G328" s="29">
        <v>1</v>
      </c>
      <c r="H328" s="27">
        <v>0</v>
      </c>
      <c r="I328" s="29">
        <v>518</v>
      </c>
      <c r="J328" s="29">
        <v>203161</v>
      </c>
      <c r="K328" s="29">
        <v>1160</v>
      </c>
      <c r="L328" s="29">
        <v>204321</v>
      </c>
      <c r="M328" s="29">
        <v>32349</v>
      </c>
      <c r="N328" s="29">
        <v>36224</v>
      </c>
      <c r="O328" s="29">
        <v>392</v>
      </c>
      <c r="P328" s="29">
        <v>20470</v>
      </c>
      <c r="Q328" s="29">
        <v>2440</v>
      </c>
      <c r="R328" s="29">
        <v>296196</v>
      </c>
      <c r="S328" s="29">
        <v>36101</v>
      </c>
      <c r="T328" s="29">
        <v>260095</v>
      </c>
      <c r="U328" s="29">
        <v>144620</v>
      </c>
      <c r="V328" s="29">
        <v>115475</v>
      </c>
    </row>
    <row r="329" spans="1:22" x14ac:dyDescent="0.2">
      <c r="A329" s="20" t="s">
        <v>228</v>
      </c>
      <c r="B329" s="20" t="s">
        <v>619</v>
      </c>
      <c r="C329" s="25">
        <v>111.9</v>
      </c>
      <c r="D329" s="27">
        <v>1062.9000000000001</v>
      </c>
      <c r="E329" s="25">
        <v>1174.8</v>
      </c>
      <c r="F329" s="25">
        <v>0</v>
      </c>
      <c r="G329" s="29">
        <v>35</v>
      </c>
      <c r="H329" s="27">
        <v>0</v>
      </c>
      <c r="I329" s="29">
        <v>1098</v>
      </c>
      <c r="J329" s="29">
        <v>382844</v>
      </c>
      <c r="K329" s="29">
        <v>0</v>
      </c>
      <c r="L329" s="29">
        <v>382844</v>
      </c>
      <c r="M329" s="29">
        <v>68120</v>
      </c>
      <c r="N329" s="29">
        <v>74829</v>
      </c>
      <c r="O329" s="29">
        <v>0</v>
      </c>
      <c r="P329" s="29">
        <v>32601</v>
      </c>
      <c r="Q329" s="29">
        <v>4088</v>
      </c>
      <c r="R329" s="29">
        <v>562482</v>
      </c>
      <c r="S329" s="29">
        <v>39473</v>
      </c>
      <c r="T329" s="29">
        <v>523009</v>
      </c>
      <c r="U329" s="29">
        <v>307363</v>
      </c>
      <c r="V329" s="29">
        <v>215646</v>
      </c>
    </row>
    <row r="330" spans="1:22" x14ac:dyDescent="0.2">
      <c r="A330" s="24" t="s">
        <v>396</v>
      </c>
      <c r="B330" s="24"/>
      <c r="C330" s="26">
        <v>68651.800000000017</v>
      </c>
      <c r="D330" s="28">
        <v>486475.49999999977</v>
      </c>
      <c r="E330" s="26">
        <v>555127.30000000016</v>
      </c>
      <c r="F330" s="26">
        <v>533.70999999999992</v>
      </c>
      <c r="G330" s="30">
        <v>33692</v>
      </c>
      <c r="H330" s="28">
        <v>251.6999999999999</v>
      </c>
      <c r="I330" s="30">
        <v>519930</v>
      </c>
      <c r="J330" s="30">
        <v>185285026</v>
      </c>
      <c r="K330" s="30">
        <v>578940</v>
      </c>
      <c r="L330" s="30">
        <v>185863966</v>
      </c>
      <c r="M330" s="30">
        <v>32345038</v>
      </c>
      <c r="N330" s="30">
        <v>35735170</v>
      </c>
      <c r="O330" s="30">
        <v>180006</v>
      </c>
      <c r="P330" s="30">
        <v>18160700</v>
      </c>
      <c r="Q330" s="30">
        <v>2129265</v>
      </c>
      <c r="R330" s="30">
        <v>274414145</v>
      </c>
      <c r="S330" s="30">
        <v>29557131</v>
      </c>
      <c r="T330" s="30">
        <v>244857014</v>
      </c>
      <c r="U330" s="30">
        <v>137427339</v>
      </c>
      <c r="V330" s="30">
        <v>107429675</v>
      </c>
    </row>
    <row r="331" spans="1:22" ht="15" x14ac:dyDescent="0.25">
      <c r="A331"/>
      <c r="B331"/>
      <c r="C331"/>
      <c r="D331"/>
      <c r="E331"/>
      <c r="F331"/>
      <c r="G331"/>
      <c r="H331"/>
      <c r="I331"/>
      <c r="J331"/>
      <c r="K331"/>
      <c r="L331"/>
      <c r="M331"/>
      <c r="N331"/>
      <c r="O331"/>
      <c r="P331"/>
      <c r="Q331"/>
      <c r="R331"/>
      <c r="S331"/>
      <c r="T331"/>
      <c r="U331"/>
      <c r="V331"/>
    </row>
    <row r="332" spans="1:22" ht="15" x14ac:dyDescent="0.25">
      <c r="A332"/>
      <c r="B332"/>
      <c r="C332"/>
      <c r="D332"/>
      <c r="E332"/>
      <c r="F332"/>
      <c r="G332"/>
      <c r="H332"/>
      <c r="I332"/>
      <c r="J332"/>
      <c r="K332"/>
      <c r="L332"/>
      <c r="M332"/>
      <c r="N332"/>
      <c r="O332"/>
      <c r="P332"/>
      <c r="Q332"/>
      <c r="R332"/>
      <c r="S332"/>
      <c r="T332"/>
      <c r="U332"/>
      <c r="V332"/>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46" fitToHeight="0"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Summary</vt:lpstr>
      <vt:lpstr>StateAidVsPropertyTax</vt:lpstr>
      <vt:lpstr>Breakdown</vt:lpstr>
      <vt:lpstr>Detail</vt:lpstr>
      <vt:lpstr>Detail By AEA</vt:lpstr>
      <vt:lpstr>Detail!Print_Area</vt:lpstr>
      <vt:lpstr>StateAidVsPropertyTax!Print_Area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[IDOM]</cp:lastModifiedBy>
  <cp:lastPrinted>2023-06-12T19:14:11Z</cp:lastPrinted>
  <dcterms:created xsi:type="dcterms:W3CDTF">2017-04-24T18:31:54Z</dcterms:created>
  <dcterms:modified xsi:type="dcterms:W3CDTF">2023-06-12T19:14:31Z</dcterms:modified>
</cp:coreProperties>
</file>