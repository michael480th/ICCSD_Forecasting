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hidePivotFieldList="1" defaultThemeVersion="124226"/>
  <mc:AlternateContent xmlns:mc="http://schemas.openxmlformats.org/markup-compatibility/2006">
    <mc:Choice Requires="x15">
      <x15ac:absPath xmlns:x15ac="http://schemas.microsoft.com/office/spreadsheetml/2010/11/ac" url="H:\My Drive\AEA\FY2025\"/>
    </mc:Choice>
  </mc:AlternateContent>
  <xr:revisionPtr revIDLastSave="0" documentId="13_ncr:1_{64C813B9-81D2-4AC1-A566-8F75F1CFAC8C}" xr6:coauthVersionLast="36" xr6:coauthVersionMax="36" xr10:uidLastSave="{00000000-0000-0000-0000-000000000000}"/>
  <bookViews>
    <workbookView xWindow="0" yWindow="60" windowWidth="16275" windowHeight="13605" xr2:uid="{00000000-000D-0000-FFFF-FFFF00000000}"/>
  </bookViews>
  <sheets>
    <sheet name="Summary" sheetId="2" r:id="rId1"/>
    <sheet name="Comparison to FY 2024" sheetId="7" state="hidden" r:id="rId2"/>
    <sheet name="StateAidVsPropertyTax" sheetId="5" r:id="rId3"/>
    <sheet name="Breakdown" sheetId="6" state="hidden" r:id="rId4"/>
    <sheet name="Detail" sheetId="1" r:id="rId5"/>
    <sheet name="Detail By AEA" sheetId="4" r:id="rId6"/>
  </sheets>
  <definedNames>
    <definedName name="AEA_Name" localSheetId="2">#REF!</definedName>
    <definedName name="AEA_Name">#REF!</definedName>
    <definedName name="_xlnm.Print_Area" localSheetId="4">Detail!$A$1:$AC$327</definedName>
    <definedName name="_xlnm.Print_Area" localSheetId="2">StateAidVsPropertyTax!$A$1:$I$35</definedName>
    <definedName name="_xlnm.Print_Area" localSheetId="0">Summary!$A$1:$K$38</definedName>
    <definedName name="_xlnm.Print_Titles" localSheetId="4">Detail!$1:$2</definedName>
    <definedName name="_xlnm.Print_Titles" localSheetId="5">'Detail By AEA'!$A:$B,'Detail By AEA'!$4:$4</definedName>
    <definedName name="Slicer_AEA_Name">#N/A</definedName>
  </definedNames>
  <calcPr calcId="191029"/>
  <pivotCaches>
    <pivotCache cacheId="5"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3" i="7" l="1"/>
  <c r="D13" i="5" l="1"/>
  <c r="E13" i="5"/>
  <c r="F13" i="5"/>
  <c r="C13" i="5"/>
  <c r="I1" i="5"/>
  <c r="C25" i="5" l="1"/>
  <c r="D25" i="5"/>
  <c r="E25" i="5"/>
  <c r="F25" i="5"/>
  <c r="G25" i="5"/>
  <c r="B13" i="5"/>
  <c r="B25" i="5" s="1"/>
  <c r="A13" i="5"/>
  <c r="A25" i="5" s="1"/>
  <c r="D1" i="5"/>
  <c r="E1" i="5"/>
  <c r="F1" i="5"/>
  <c r="G1" i="5"/>
  <c r="H1" i="5"/>
  <c r="A2" i="5" a="1"/>
  <c r="A2" i="5" s="1"/>
  <c r="I2" i="5" s="1"/>
  <c r="E4" i="7" s="1"/>
  <c r="C1" i="5"/>
  <c r="F4" i="7" l="1"/>
  <c r="H2" i="5"/>
  <c r="A3" i="5" a="1"/>
  <c r="A3" i="5" s="1"/>
  <c r="I3" i="5" s="1"/>
  <c r="E5" i="7" s="1"/>
  <c r="F5" i="7" s="1"/>
  <c r="B2" i="5"/>
  <c r="E2" i="5"/>
  <c r="C2" i="5"/>
  <c r="D2" i="5"/>
  <c r="F2" i="5"/>
  <c r="G2" i="5"/>
  <c r="A14" i="5"/>
  <c r="E14" i="5" s="1"/>
  <c r="B14" i="5"/>
  <c r="B26" i="5" s="1"/>
  <c r="B1" i="4"/>
  <c r="F14" i="5" l="1"/>
  <c r="D14" i="5"/>
  <c r="C14" i="5"/>
  <c r="A4" i="5" a="1"/>
  <c r="A4" i="5" s="1"/>
  <c r="H3" i="5"/>
  <c r="C3" i="5"/>
  <c r="D3" i="5"/>
  <c r="F3" i="5"/>
  <c r="E3" i="5"/>
  <c r="G3" i="5"/>
  <c r="A15" i="5"/>
  <c r="B3" i="5"/>
  <c r="B15" i="5" s="1"/>
  <c r="B27" i="5" s="1"/>
  <c r="A26" i="5"/>
  <c r="I27" i="2"/>
  <c r="D27" i="2"/>
  <c r="E27" i="2"/>
  <c r="F27" i="2"/>
  <c r="G27" i="2"/>
  <c r="H27" i="2"/>
  <c r="C27" i="2"/>
  <c r="G14" i="2"/>
  <c r="H14" i="2"/>
  <c r="I14" i="2"/>
  <c r="J14" i="2"/>
  <c r="F14" i="2"/>
  <c r="E14" i="2"/>
  <c r="D14" i="2"/>
  <c r="C14" i="2"/>
  <c r="B15" i="2"/>
  <c r="B28" i="2" s="1"/>
  <c r="A15" i="2"/>
  <c r="A28" i="2" s="1"/>
  <c r="K1" i="2"/>
  <c r="J1" i="2"/>
  <c r="I1" i="2"/>
  <c r="H1" i="2"/>
  <c r="G1" i="2"/>
  <c r="F1" i="2"/>
  <c r="E1" i="2"/>
  <c r="D1" i="2"/>
  <c r="C1" i="2"/>
  <c r="A3" i="2" a="1"/>
  <c r="A3" i="2" s="1"/>
  <c r="H4" i="5" l="1"/>
  <c r="I4" i="5"/>
  <c r="E6" i="7" s="1"/>
  <c r="J3" i="2"/>
  <c r="C15" i="5"/>
  <c r="D15" i="5"/>
  <c r="F15" i="5"/>
  <c r="E15" i="5"/>
  <c r="G26" i="5"/>
  <c r="D26" i="5"/>
  <c r="F26" i="5"/>
  <c r="C26" i="5"/>
  <c r="E26" i="5"/>
  <c r="A5" i="5" a="1"/>
  <c r="A5" i="5" s="1"/>
  <c r="I5" i="5" s="1"/>
  <c r="E7" i="7" s="1"/>
  <c r="F7" i="7" s="1"/>
  <c r="D4" i="5"/>
  <c r="C4" i="5"/>
  <c r="E4" i="5"/>
  <c r="F4" i="5"/>
  <c r="G4" i="5"/>
  <c r="A27" i="5"/>
  <c r="B4" i="5"/>
  <c r="B16" i="5" s="1"/>
  <c r="B28" i="5" s="1"/>
  <c r="A16" i="5"/>
  <c r="A4" i="2" a="1"/>
  <c r="A4" i="2" s="1"/>
  <c r="D4" i="2" s="1"/>
  <c r="E3" i="2"/>
  <c r="G3" i="2"/>
  <c r="I3" i="2"/>
  <c r="K3" i="2"/>
  <c r="A16" i="2"/>
  <c r="C16" i="2" s="1"/>
  <c r="D3" i="2"/>
  <c r="F3" i="2"/>
  <c r="H3" i="2"/>
  <c r="C3" i="2"/>
  <c r="B3" i="2"/>
  <c r="B16" i="2" s="1"/>
  <c r="B29" i="2" s="1"/>
  <c r="F6" i="7" l="1"/>
  <c r="A5" i="2" a="1"/>
  <c r="A5" i="2" s="1"/>
  <c r="B5" i="2" s="1"/>
  <c r="B18" i="2" s="1"/>
  <c r="B31" i="2" s="1"/>
  <c r="G27" i="5"/>
  <c r="F27" i="5"/>
  <c r="C27" i="5"/>
  <c r="E27" i="5"/>
  <c r="D27" i="5"/>
  <c r="C16" i="5"/>
  <c r="D16" i="5"/>
  <c r="E16" i="5"/>
  <c r="F16" i="5"/>
  <c r="A6" i="5" a="1"/>
  <c r="A6" i="5" s="1"/>
  <c r="H5" i="5"/>
  <c r="D5" i="5"/>
  <c r="E5" i="5"/>
  <c r="F5" i="5"/>
  <c r="G5" i="5"/>
  <c r="C5" i="5"/>
  <c r="A17" i="5"/>
  <c r="B5" i="5"/>
  <c r="B17" i="5" s="1"/>
  <c r="B29" i="5" s="1"/>
  <c r="A28" i="5"/>
  <c r="A29" i="2"/>
  <c r="F16" i="2"/>
  <c r="I16" i="2"/>
  <c r="E16" i="2"/>
  <c r="H16" i="2"/>
  <c r="D16" i="2"/>
  <c r="G16" i="2"/>
  <c r="G4" i="2"/>
  <c r="J4" i="2"/>
  <c r="H4" i="2"/>
  <c r="C4" i="2"/>
  <c r="A17" i="2"/>
  <c r="F4" i="2"/>
  <c r="K4" i="2"/>
  <c r="I4" i="2"/>
  <c r="B4" i="2"/>
  <c r="B17" i="2" s="1"/>
  <c r="B30" i="2" s="1"/>
  <c r="E4" i="2"/>
  <c r="H6" i="5" l="1"/>
  <c r="I6" i="5"/>
  <c r="E8" i="7" s="1"/>
  <c r="F28" i="5"/>
  <c r="D28" i="5"/>
  <c r="E28" i="5"/>
  <c r="C28" i="5"/>
  <c r="G28" i="5"/>
  <c r="C17" i="5"/>
  <c r="D17" i="5"/>
  <c r="F17" i="5"/>
  <c r="E17" i="5"/>
  <c r="A7" i="5" a="1"/>
  <c r="A7" i="5" s="1"/>
  <c r="I7" i="5" s="1"/>
  <c r="E9" i="7" s="1"/>
  <c r="F9" i="7" s="1"/>
  <c r="D6" i="5"/>
  <c r="E6" i="5"/>
  <c r="F6" i="5"/>
  <c r="C6" i="5"/>
  <c r="G6" i="5"/>
  <c r="A18" i="5"/>
  <c r="B6" i="5"/>
  <c r="B18" i="5" s="1"/>
  <c r="B30" i="5" s="1"/>
  <c r="A29" i="5"/>
  <c r="H29" i="2"/>
  <c r="G29" i="2"/>
  <c r="D29" i="2"/>
  <c r="F29" i="2"/>
  <c r="E29" i="2"/>
  <c r="C29" i="2"/>
  <c r="A30" i="2"/>
  <c r="F17" i="2"/>
  <c r="C17" i="2"/>
  <c r="H17" i="2"/>
  <c r="E17" i="2"/>
  <c r="I17" i="2"/>
  <c r="D17" i="2"/>
  <c r="G17" i="2"/>
  <c r="A6" i="2" a="1"/>
  <c r="A6" i="2" s="1"/>
  <c r="B6" i="2" s="1"/>
  <c r="B19" i="2" s="1"/>
  <c r="B32" i="2" s="1"/>
  <c r="H5" i="2"/>
  <c r="I5" i="2"/>
  <c r="K5" i="2"/>
  <c r="G5" i="2"/>
  <c r="J5" i="2"/>
  <c r="A18" i="2"/>
  <c r="E5" i="2"/>
  <c r="C5" i="2"/>
  <c r="D5" i="2"/>
  <c r="F5" i="2"/>
  <c r="F8" i="7" l="1"/>
  <c r="E29" i="5"/>
  <c r="G29" i="5"/>
  <c r="C29" i="5"/>
  <c r="F29" i="5"/>
  <c r="D29" i="5"/>
  <c r="C18" i="5"/>
  <c r="D18" i="5"/>
  <c r="F18" i="5"/>
  <c r="E18" i="5"/>
  <c r="A8" i="5" a="1"/>
  <c r="A8" i="5" s="1"/>
  <c r="I8" i="5" s="1"/>
  <c r="E10" i="7" s="1"/>
  <c r="F10" i="7" s="1"/>
  <c r="H7" i="5"/>
  <c r="F7" i="5"/>
  <c r="D7" i="5"/>
  <c r="C7" i="5"/>
  <c r="G7" i="5"/>
  <c r="E7" i="5"/>
  <c r="A19" i="5"/>
  <c r="B7" i="5"/>
  <c r="B19" i="5" s="1"/>
  <c r="B31" i="5" s="1"/>
  <c r="A30" i="5"/>
  <c r="H30" i="2"/>
  <c r="G18" i="2"/>
  <c r="F18" i="2"/>
  <c r="C18" i="2"/>
  <c r="A31" i="2"/>
  <c r="H18" i="2"/>
  <c r="D18" i="2"/>
  <c r="I18" i="2"/>
  <c r="E18" i="2"/>
  <c r="F30" i="2"/>
  <c r="C30" i="2"/>
  <c r="G30" i="2"/>
  <c r="D30" i="2"/>
  <c r="E30" i="2"/>
  <c r="A7" i="2" a="1"/>
  <c r="A7" i="2" s="1"/>
  <c r="B7" i="2" s="1"/>
  <c r="B20" i="2" s="1"/>
  <c r="B33" i="2" s="1"/>
  <c r="C6" i="2"/>
  <c r="K6" i="2"/>
  <c r="D6" i="2"/>
  <c r="A19" i="2"/>
  <c r="J6" i="2"/>
  <c r="I6" i="2"/>
  <c r="G6" i="2"/>
  <c r="H6" i="2"/>
  <c r="F6" i="2"/>
  <c r="E6" i="2"/>
  <c r="C19" i="5" l="1"/>
  <c r="D19" i="5"/>
  <c r="E19" i="5"/>
  <c r="F19" i="5"/>
  <c r="D30" i="5"/>
  <c r="C30" i="5"/>
  <c r="F30" i="5"/>
  <c r="E30" i="5"/>
  <c r="G30" i="5"/>
  <c r="A9" i="5" a="1"/>
  <c r="A9" i="5" s="1"/>
  <c r="H8" i="5"/>
  <c r="D8" i="5"/>
  <c r="E8" i="5"/>
  <c r="C8" i="5"/>
  <c r="G8" i="5"/>
  <c r="F8" i="5"/>
  <c r="B8" i="5"/>
  <c r="B20" i="5" s="1"/>
  <c r="B32" i="5" s="1"/>
  <c r="A20" i="5"/>
  <c r="A31" i="5"/>
  <c r="H31" i="2"/>
  <c r="C19" i="2"/>
  <c r="A32" i="2"/>
  <c r="F19" i="2"/>
  <c r="G19" i="2"/>
  <c r="E19" i="2"/>
  <c r="I19" i="2"/>
  <c r="D19" i="2"/>
  <c r="H19" i="2"/>
  <c r="E31" i="2"/>
  <c r="C31" i="2"/>
  <c r="F31" i="2"/>
  <c r="G31" i="2"/>
  <c r="D31" i="2"/>
  <c r="A8" i="2" a="1"/>
  <c r="A8" i="2" s="1"/>
  <c r="A20" i="2"/>
  <c r="J7" i="2"/>
  <c r="D7" i="2"/>
  <c r="H7" i="2"/>
  <c r="I7" i="2"/>
  <c r="K7" i="2"/>
  <c r="C7" i="2"/>
  <c r="E7" i="2"/>
  <c r="G7" i="2"/>
  <c r="F7" i="2"/>
  <c r="H9" i="5" l="1"/>
  <c r="I9" i="5"/>
  <c r="E11" i="7" s="1"/>
  <c r="F11" i="7" s="1"/>
  <c r="C31" i="5"/>
  <c r="D31" i="5"/>
  <c r="F31" i="5"/>
  <c r="E31" i="5"/>
  <c r="G31" i="5"/>
  <c r="C20" i="5"/>
  <c r="D20" i="5"/>
  <c r="F20" i="5"/>
  <c r="E20" i="5"/>
  <c r="A10" i="5" a="1"/>
  <c r="A10" i="5" s="1"/>
  <c r="D9" i="5"/>
  <c r="F9" i="5"/>
  <c r="C9" i="5"/>
  <c r="E9" i="5"/>
  <c r="G9" i="5"/>
  <c r="A32" i="5"/>
  <c r="A21" i="5"/>
  <c r="B9" i="5"/>
  <c r="B21" i="5" s="1"/>
  <c r="B33" i="5" s="1"/>
  <c r="H32" i="2"/>
  <c r="D32" i="2"/>
  <c r="F32" i="2"/>
  <c r="C32" i="2"/>
  <c r="G32" i="2"/>
  <c r="E32" i="2"/>
  <c r="C20" i="2"/>
  <c r="A33" i="2"/>
  <c r="I20" i="2"/>
  <c r="D20" i="2"/>
  <c r="F20" i="2"/>
  <c r="E20" i="2"/>
  <c r="G20" i="2"/>
  <c r="H20" i="2"/>
  <c r="H8" i="2"/>
  <c r="A21" i="2"/>
  <c r="C8" i="2"/>
  <c r="K8" i="2"/>
  <c r="J8" i="2"/>
  <c r="I8" i="2"/>
  <c r="G8" i="2"/>
  <c r="F8" i="2"/>
  <c r="E8" i="2"/>
  <c r="D8" i="2"/>
  <c r="B8" i="2"/>
  <c r="B21" i="2" s="1"/>
  <c r="B34" i="2" s="1"/>
  <c r="A9" i="2" a="1"/>
  <c r="A9" i="2" s="1"/>
  <c r="H10" i="5" l="1"/>
  <c r="H11" i="5" s="1"/>
  <c r="I10" i="5"/>
  <c r="C21" i="5"/>
  <c r="D21" i="5"/>
  <c r="E21" i="5"/>
  <c r="F21" i="5"/>
  <c r="C32" i="5"/>
  <c r="E32" i="5"/>
  <c r="G32" i="5"/>
  <c r="D32" i="5"/>
  <c r="F32" i="5"/>
  <c r="E10" i="5"/>
  <c r="E11" i="5" s="1"/>
  <c r="D10" i="5"/>
  <c r="D11" i="5" s="1"/>
  <c r="F10" i="5"/>
  <c r="F11" i="5" s="1"/>
  <c r="G10" i="5"/>
  <c r="G11" i="5" s="1"/>
  <c r="C10" i="5"/>
  <c r="C11" i="5" s="1"/>
  <c r="A22" i="5"/>
  <c r="B10" i="5"/>
  <c r="B22" i="5" s="1"/>
  <c r="B34" i="5" s="1"/>
  <c r="A33" i="5"/>
  <c r="H33" i="2"/>
  <c r="A34" i="2"/>
  <c r="F21" i="2"/>
  <c r="H21" i="2"/>
  <c r="C21" i="2"/>
  <c r="G21" i="2"/>
  <c r="E21" i="2"/>
  <c r="D21" i="2"/>
  <c r="I21" i="2"/>
  <c r="C33" i="2"/>
  <c r="G33" i="2"/>
  <c r="D33" i="2"/>
  <c r="F33" i="2"/>
  <c r="E33" i="2"/>
  <c r="A10" i="2" a="1"/>
  <c r="A10" i="2" s="1"/>
  <c r="B10" i="2" s="1"/>
  <c r="B23" i="2" s="1"/>
  <c r="B36" i="2" s="1"/>
  <c r="I9" i="2"/>
  <c r="E9" i="2"/>
  <c r="K9" i="2"/>
  <c r="J9" i="2"/>
  <c r="A22" i="2"/>
  <c r="H9" i="2"/>
  <c r="C9" i="2"/>
  <c r="D9" i="2"/>
  <c r="G9" i="2"/>
  <c r="F9" i="2"/>
  <c r="B9" i="2"/>
  <c r="B22" i="2" s="1"/>
  <c r="B35" i="2" s="1"/>
  <c r="I11" i="5" l="1"/>
  <c r="E12" i="7"/>
  <c r="C22" i="5"/>
  <c r="C23" i="5" s="1"/>
  <c r="D22" i="5"/>
  <c r="D23" i="5" s="1"/>
  <c r="F22" i="5"/>
  <c r="F23" i="5" s="1"/>
  <c r="E22" i="5"/>
  <c r="E23" i="5" s="1"/>
  <c r="D33" i="5"/>
  <c r="F33" i="5"/>
  <c r="C33" i="5"/>
  <c r="E33" i="5"/>
  <c r="G33" i="5"/>
  <c r="A34" i="5"/>
  <c r="H34" i="2"/>
  <c r="F34" i="2"/>
  <c r="E34" i="2"/>
  <c r="G34" i="2"/>
  <c r="D34" i="2"/>
  <c r="C34" i="2"/>
  <c r="F22" i="2"/>
  <c r="A35" i="2"/>
  <c r="C22" i="2"/>
  <c r="D22" i="2"/>
  <c r="H22" i="2"/>
  <c r="I22" i="2"/>
  <c r="G22" i="2"/>
  <c r="E22" i="2"/>
  <c r="K10" i="2"/>
  <c r="A23" i="2"/>
  <c r="J10" i="2"/>
  <c r="I10" i="2"/>
  <c r="C10" i="2"/>
  <c r="D10" i="2"/>
  <c r="F10" i="2"/>
  <c r="G10" i="2"/>
  <c r="H10" i="2"/>
  <c r="E10" i="2"/>
  <c r="A11" i="2" a="1"/>
  <c r="A11" i="2" s="1"/>
  <c r="F12" i="7" l="1"/>
  <c r="E13" i="7"/>
  <c r="F13" i="7" s="1"/>
  <c r="C34" i="5"/>
  <c r="C35" i="5" s="1"/>
  <c r="E34" i="5"/>
  <c r="E35" i="5" s="1"/>
  <c r="G34" i="5"/>
  <c r="G35" i="5" s="1"/>
  <c r="D34" i="5"/>
  <c r="D35" i="5" s="1"/>
  <c r="F34" i="5"/>
  <c r="F35" i="5" s="1"/>
  <c r="P3" i="5" s="1"/>
  <c r="H35" i="2"/>
  <c r="C23" i="2"/>
  <c r="A36" i="2"/>
  <c r="F23" i="2"/>
  <c r="H23" i="2"/>
  <c r="I23" i="2"/>
  <c r="E23" i="2"/>
  <c r="D23" i="2"/>
  <c r="G23" i="2"/>
  <c r="E35" i="2"/>
  <c r="F35" i="2"/>
  <c r="D35" i="2"/>
  <c r="C35" i="2"/>
  <c r="G35" i="2"/>
  <c r="J11" i="2"/>
  <c r="H11" i="2"/>
  <c r="H12" i="2" s="1"/>
  <c r="I11" i="2"/>
  <c r="A24" i="2"/>
  <c r="K11" i="2"/>
  <c r="C11" i="2"/>
  <c r="C12" i="2" s="1"/>
  <c r="D11" i="2"/>
  <c r="D12" i="2" s="1"/>
  <c r="G11" i="2"/>
  <c r="G12" i="2" s="1"/>
  <c r="F11" i="2"/>
  <c r="F12" i="2" s="1"/>
  <c r="E11" i="2"/>
  <c r="E12" i="2" s="1"/>
  <c r="B11" i="2"/>
  <c r="B24" i="2" s="1"/>
  <c r="B37" i="2" s="1"/>
  <c r="P2" i="5" l="1"/>
  <c r="H36" i="2"/>
  <c r="C24" i="2"/>
  <c r="A37" i="2"/>
  <c r="F24" i="2"/>
  <c r="I24" i="2"/>
  <c r="I25" i="2" s="1"/>
  <c r="D24" i="2"/>
  <c r="D25" i="2" s="1"/>
  <c r="H24" i="2"/>
  <c r="H25" i="2" s="1"/>
  <c r="E24" i="2"/>
  <c r="E25" i="2" s="1"/>
  <c r="G24" i="2"/>
  <c r="G25" i="2" s="1"/>
  <c r="D36" i="2"/>
  <c r="C36" i="2"/>
  <c r="E36" i="2"/>
  <c r="G36" i="2"/>
  <c r="F36" i="2"/>
  <c r="F25" i="2" l="1"/>
  <c r="H37" i="2"/>
  <c r="H38" i="2" s="1"/>
  <c r="G37" i="2"/>
  <c r="G38" i="2" s="1"/>
  <c r="C37" i="2"/>
  <c r="C38" i="2" s="1"/>
  <c r="F37" i="2"/>
  <c r="F38" i="2" s="1"/>
  <c r="D37" i="2"/>
  <c r="D38" i="2" s="1"/>
  <c r="E37" i="2"/>
  <c r="E38" i="2" l="1"/>
</calcChain>
</file>

<file path=xl/sharedStrings.xml><?xml version="1.0" encoding="utf-8"?>
<sst xmlns="http://schemas.openxmlformats.org/spreadsheetml/2006/main" count="2799" uniqueCount="750">
  <si>
    <t>01</t>
  </si>
  <si>
    <t>0135</t>
  </si>
  <si>
    <t>1080</t>
  </si>
  <si>
    <t>2763</t>
  </si>
  <si>
    <t>1638</t>
  </si>
  <si>
    <t>1863</t>
  </si>
  <si>
    <t>1972</t>
  </si>
  <si>
    <t>1989</t>
  </si>
  <si>
    <t>3029</t>
  </si>
  <si>
    <t>4043</t>
  </si>
  <si>
    <t>4419</t>
  </si>
  <si>
    <t>4662</t>
  </si>
  <si>
    <t>4774</t>
  </si>
  <si>
    <t>4869</t>
  </si>
  <si>
    <t>5310</t>
  </si>
  <si>
    <t>5508</t>
  </si>
  <si>
    <t>6100</t>
  </si>
  <si>
    <t>6175</t>
  </si>
  <si>
    <t>6509</t>
  </si>
  <si>
    <t>6943</t>
  </si>
  <si>
    <t>6950</t>
  </si>
  <si>
    <t>6961</t>
  </si>
  <si>
    <t>05</t>
  </si>
  <si>
    <t>0072</t>
  </si>
  <si>
    <t>0126</t>
  </si>
  <si>
    <t>0171</t>
  </si>
  <si>
    <t>1206</t>
  </si>
  <si>
    <t>1218</t>
  </si>
  <si>
    <t>1944</t>
  </si>
  <si>
    <t>6741</t>
  </si>
  <si>
    <t>2088</t>
  </si>
  <si>
    <t>2124</t>
  </si>
  <si>
    <t>2313</t>
  </si>
  <si>
    <t>2493</t>
  </si>
  <si>
    <t>2556</t>
  </si>
  <si>
    <t>3195</t>
  </si>
  <si>
    <t>2846</t>
  </si>
  <si>
    <t>3060</t>
  </si>
  <si>
    <t>3537</t>
  </si>
  <si>
    <t>4023</t>
  </si>
  <si>
    <t>4644</t>
  </si>
  <si>
    <t>4778</t>
  </si>
  <si>
    <t>0333</t>
  </si>
  <si>
    <t>4860</t>
  </si>
  <si>
    <t>4890</t>
  </si>
  <si>
    <t>5139</t>
  </si>
  <si>
    <t>5283</t>
  </si>
  <si>
    <t>5724</t>
  </si>
  <si>
    <t>5823</t>
  </si>
  <si>
    <t>6048</t>
  </si>
  <si>
    <t>6091</t>
  </si>
  <si>
    <t>6095</t>
  </si>
  <si>
    <t>6096</t>
  </si>
  <si>
    <t>6102</t>
  </si>
  <si>
    <t>6120</t>
  </si>
  <si>
    <t>6219</t>
  </si>
  <si>
    <t>6246</t>
  </si>
  <si>
    <t>6516</t>
  </si>
  <si>
    <t>6867</t>
  </si>
  <si>
    <t>6921</t>
  </si>
  <si>
    <t>07</t>
  </si>
  <si>
    <t>0009</t>
  </si>
  <si>
    <t>AGWSR</t>
  </si>
  <si>
    <t>0108</t>
  </si>
  <si>
    <t>0279</t>
  </si>
  <si>
    <t>0540</t>
  </si>
  <si>
    <t>BCLUW</t>
  </si>
  <si>
    <t>0594</t>
  </si>
  <si>
    <t>0846</t>
  </si>
  <si>
    <t>0916</t>
  </si>
  <si>
    <t>CAL</t>
  </si>
  <si>
    <t>1044</t>
  </si>
  <si>
    <t>4772</t>
  </si>
  <si>
    <t>1116</t>
  </si>
  <si>
    <t>1215</t>
  </si>
  <si>
    <t>1233</t>
  </si>
  <si>
    <t>1719</t>
  </si>
  <si>
    <t>1791</t>
  </si>
  <si>
    <t>1908</t>
  </si>
  <si>
    <t>1963</t>
  </si>
  <si>
    <t>3582</t>
  </si>
  <si>
    <t>2007</t>
  </si>
  <si>
    <t>2295</t>
  </si>
  <si>
    <t>2403</t>
  </si>
  <si>
    <t>2502</t>
  </si>
  <si>
    <t>2682</t>
  </si>
  <si>
    <t>GMG</t>
  </si>
  <si>
    <t>2709</t>
  </si>
  <si>
    <t>2727</t>
  </si>
  <si>
    <t>2781</t>
  </si>
  <si>
    <t>3033</t>
  </si>
  <si>
    <t>3042</t>
  </si>
  <si>
    <t>3105</t>
  </si>
  <si>
    <t>3150</t>
  </si>
  <si>
    <t>3186</t>
  </si>
  <si>
    <t>3204</t>
  </si>
  <si>
    <t>3420</t>
  </si>
  <si>
    <t>4104</t>
  </si>
  <si>
    <t>4131</t>
  </si>
  <si>
    <t>4437</t>
  </si>
  <si>
    <t>4599</t>
  </si>
  <si>
    <t>0153</t>
  </si>
  <si>
    <t>0873</t>
  </si>
  <si>
    <t>4785</t>
  </si>
  <si>
    <t>4788</t>
  </si>
  <si>
    <t>4995</t>
  </si>
  <si>
    <t>5697</t>
  </si>
  <si>
    <t>6098</t>
  </si>
  <si>
    <t>5751</t>
  </si>
  <si>
    <t>6273</t>
  </si>
  <si>
    <t>6471</t>
  </si>
  <si>
    <t>1935</t>
  </si>
  <si>
    <t>6762</t>
  </si>
  <si>
    <t>6795</t>
  </si>
  <si>
    <t>6840</t>
  </si>
  <si>
    <t>5922</t>
  </si>
  <si>
    <t>0819</t>
  </si>
  <si>
    <t>6985</t>
  </si>
  <si>
    <t>09</t>
  </si>
  <si>
    <t>0243</t>
  </si>
  <si>
    <t>0585</t>
  </si>
  <si>
    <t>0603</t>
  </si>
  <si>
    <t>0621</t>
  </si>
  <si>
    <t>0918</t>
  </si>
  <si>
    <t>0936</t>
  </si>
  <si>
    <t>1082</t>
  </si>
  <si>
    <t>1278</t>
  </si>
  <si>
    <t>1368</t>
  </si>
  <si>
    <t>1611</t>
  </si>
  <si>
    <t>1675</t>
  </si>
  <si>
    <t>1926</t>
  </si>
  <si>
    <t>1965</t>
  </si>
  <si>
    <t>3841</t>
  </si>
  <si>
    <t>4041</t>
  </si>
  <si>
    <t>4581</t>
  </si>
  <si>
    <t>4784</t>
  </si>
  <si>
    <t>4773</t>
  </si>
  <si>
    <t>5250</t>
  </si>
  <si>
    <t>6975</t>
  </si>
  <si>
    <t>7038</t>
  </si>
  <si>
    <t>10</t>
  </si>
  <si>
    <t>0099</t>
  </si>
  <si>
    <t>0234</t>
  </si>
  <si>
    <t>0576</t>
  </si>
  <si>
    <t>0609</t>
  </si>
  <si>
    <t>1053</t>
  </si>
  <si>
    <t>1062</t>
  </si>
  <si>
    <t>1089</t>
  </si>
  <si>
    <t>1221</t>
  </si>
  <si>
    <t>1337</t>
  </si>
  <si>
    <t>2097</t>
  </si>
  <si>
    <t>2977</t>
  </si>
  <si>
    <t>2766</t>
  </si>
  <si>
    <t>HLV</t>
  </si>
  <si>
    <t>3141</t>
  </si>
  <si>
    <t>3154</t>
  </si>
  <si>
    <t>3715</t>
  </si>
  <si>
    <t>3744</t>
  </si>
  <si>
    <t>3816</t>
  </si>
  <si>
    <t>4086</t>
  </si>
  <si>
    <t>4271</t>
  </si>
  <si>
    <t>4269</t>
  </si>
  <si>
    <t>4446</t>
  </si>
  <si>
    <t>4554</t>
  </si>
  <si>
    <t>3691</t>
  </si>
  <si>
    <t>4777</t>
  </si>
  <si>
    <t>4905</t>
  </si>
  <si>
    <t>6093</t>
  </si>
  <si>
    <t>6138</t>
  </si>
  <si>
    <t>6408</t>
  </si>
  <si>
    <t>6660</t>
  </si>
  <si>
    <t>6768</t>
  </si>
  <si>
    <t>6930</t>
  </si>
  <si>
    <t>7029</t>
  </si>
  <si>
    <t>11</t>
  </si>
  <si>
    <t>0018</t>
  </si>
  <si>
    <t>0027</t>
  </si>
  <si>
    <t>0225</t>
  </si>
  <si>
    <t>0261</t>
  </si>
  <si>
    <t>0414</t>
  </si>
  <si>
    <t>0472</t>
  </si>
  <si>
    <t>0513</t>
  </si>
  <si>
    <t>0720</t>
  </si>
  <si>
    <t>0729</t>
  </si>
  <si>
    <t>0981</t>
  </si>
  <si>
    <t>0999</t>
  </si>
  <si>
    <t>1332</t>
  </si>
  <si>
    <t>1350</t>
  </si>
  <si>
    <t>1359</t>
  </si>
  <si>
    <t>1413</t>
  </si>
  <si>
    <t>1576</t>
  </si>
  <si>
    <t>1737</t>
  </si>
  <si>
    <t>1953</t>
  </si>
  <si>
    <t>2151</t>
  </si>
  <si>
    <t>2466</t>
  </si>
  <si>
    <t>2520</t>
  </si>
  <si>
    <t>2754</t>
  </si>
  <si>
    <t>3114</t>
  </si>
  <si>
    <t>3119</t>
  </si>
  <si>
    <t>3231</t>
  </si>
  <si>
    <t>3375</t>
  </si>
  <si>
    <t>3906</t>
  </si>
  <si>
    <t>3942</t>
  </si>
  <si>
    <t>4122</t>
  </si>
  <si>
    <t>4212</t>
  </si>
  <si>
    <t>4617</t>
  </si>
  <si>
    <t>4725</t>
  </si>
  <si>
    <t>4779</t>
  </si>
  <si>
    <t>4797</t>
  </si>
  <si>
    <t>4878</t>
  </si>
  <si>
    <t>5121</t>
  </si>
  <si>
    <t>5319</t>
  </si>
  <si>
    <t>PCM</t>
  </si>
  <si>
    <t>5166</t>
  </si>
  <si>
    <t>5184</t>
  </si>
  <si>
    <t>5256</t>
  </si>
  <si>
    <t>5643</t>
  </si>
  <si>
    <t>5805</t>
  </si>
  <si>
    <t>6101</t>
  </si>
  <si>
    <t>6094</t>
  </si>
  <si>
    <t>6512</t>
  </si>
  <si>
    <t>6561</t>
  </si>
  <si>
    <t>6579</t>
  </si>
  <si>
    <t>6615</t>
  </si>
  <si>
    <t>6822</t>
  </si>
  <si>
    <t>6264</t>
  </si>
  <si>
    <t>6957</t>
  </si>
  <si>
    <t>7056</t>
  </si>
  <si>
    <t>7110</t>
  </si>
  <si>
    <t>12</t>
  </si>
  <si>
    <t>0063</t>
  </si>
  <si>
    <t>0355</t>
  </si>
  <si>
    <t>0747</t>
  </si>
  <si>
    <t>1095</t>
  </si>
  <si>
    <t>1134</t>
  </si>
  <si>
    <t>1152</t>
  </si>
  <si>
    <t>1701</t>
  </si>
  <si>
    <t>2376</t>
  </si>
  <si>
    <t>2457</t>
  </si>
  <si>
    <t>2862</t>
  </si>
  <si>
    <t>2988</t>
  </si>
  <si>
    <t>3348</t>
  </si>
  <si>
    <t>3555</t>
  </si>
  <si>
    <t>3600</t>
  </si>
  <si>
    <t>4033</t>
  </si>
  <si>
    <t>4068</t>
  </si>
  <si>
    <t>4149</t>
  </si>
  <si>
    <t>5486</t>
  </si>
  <si>
    <t>1975</t>
  </si>
  <si>
    <t>5607</t>
  </si>
  <si>
    <t>5832</t>
  </si>
  <si>
    <t>5877</t>
  </si>
  <si>
    <t>5949</t>
  </si>
  <si>
    <t>5994</t>
  </si>
  <si>
    <t>6030</t>
  </si>
  <si>
    <t>6039</t>
  </si>
  <si>
    <t>5157</t>
  </si>
  <si>
    <t>6983</t>
  </si>
  <si>
    <t>6987</t>
  </si>
  <si>
    <t>6990</t>
  </si>
  <si>
    <t>6992</t>
  </si>
  <si>
    <t>7002</t>
  </si>
  <si>
    <t>7098</t>
  </si>
  <si>
    <t>13</t>
  </si>
  <si>
    <t>0441</t>
  </si>
  <si>
    <t>0387</t>
  </si>
  <si>
    <t>0549</t>
  </si>
  <si>
    <t>1917</t>
  </si>
  <si>
    <t>0914</t>
  </si>
  <si>
    <t>CAM</t>
  </si>
  <si>
    <t>1093</t>
  </si>
  <si>
    <t>1197</t>
  </si>
  <si>
    <t>1211</t>
  </si>
  <si>
    <t>1431</t>
  </si>
  <si>
    <t>1476</t>
  </si>
  <si>
    <t>1503</t>
  </si>
  <si>
    <t>1782</t>
  </si>
  <si>
    <t>3978</t>
  </si>
  <si>
    <t>1970</t>
  </si>
  <si>
    <t>2113</t>
  </si>
  <si>
    <t>2369</t>
  </si>
  <si>
    <t>2511</t>
  </si>
  <si>
    <t>2718</t>
  </si>
  <si>
    <t>2772</t>
  </si>
  <si>
    <t>2826</t>
  </si>
  <si>
    <t>3168</t>
  </si>
  <si>
    <t>3465</t>
  </si>
  <si>
    <t>3609</t>
  </si>
  <si>
    <t>3645</t>
  </si>
  <si>
    <t>3798</t>
  </si>
  <si>
    <t>4356</t>
  </si>
  <si>
    <t>4505</t>
  </si>
  <si>
    <t>4527</t>
  </si>
  <si>
    <t>4572</t>
  </si>
  <si>
    <t>2673</t>
  </si>
  <si>
    <t>4978</t>
  </si>
  <si>
    <t>5463</t>
  </si>
  <si>
    <t>4824</t>
  </si>
  <si>
    <t>5976</t>
  </si>
  <si>
    <t>6003</t>
  </si>
  <si>
    <t>6097</t>
  </si>
  <si>
    <t>6165</t>
  </si>
  <si>
    <t>6453</t>
  </si>
  <si>
    <t>6460</t>
  </si>
  <si>
    <t>6534</t>
  </si>
  <si>
    <t>6651</t>
  </si>
  <si>
    <t>6969</t>
  </si>
  <si>
    <t>7092</t>
  </si>
  <si>
    <t>15</t>
  </si>
  <si>
    <t>0081</t>
  </si>
  <si>
    <t>0882</t>
  </si>
  <si>
    <t>0977</t>
  </si>
  <si>
    <t>1071</t>
  </si>
  <si>
    <t>1079</t>
  </si>
  <si>
    <t>1107</t>
  </si>
  <si>
    <t>1602</t>
  </si>
  <si>
    <t>1619</t>
  </si>
  <si>
    <t>0657</t>
  </si>
  <si>
    <t>2169</t>
  </si>
  <si>
    <t>2322</t>
  </si>
  <si>
    <t>3312</t>
  </si>
  <si>
    <t>3330</t>
  </si>
  <si>
    <t>4203</t>
  </si>
  <si>
    <t>4491</t>
  </si>
  <si>
    <t>4509</t>
  </si>
  <si>
    <t>4518</t>
  </si>
  <si>
    <t>4536</t>
  </si>
  <si>
    <t>4689</t>
  </si>
  <si>
    <t>4776</t>
  </si>
  <si>
    <t>5013</t>
  </si>
  <si>
    <t>5049</t>
  </si>
  <si>
    <t>5163</t>
  </si>
  <si>
    <t>5895</t>
  </si>
  <si>
    <t>6012</t>
  </si>
  <si>
    <t>6462</t>
  </si>
  <si>
    <t>6592</t>
  </si>
  <si>
    <t>6700</t>
  </si>
  <si>
    <t>6759</t>
  </si>
  <si>
    <t>6854</t>
  </si>
  <si>
    <t>6937</t>
  </si>
  <si>
    <t>7047</t>
  </si>
  <si>
    <t>Total Special Ed Weighting in Addition to 1.0</t>
  </si>
  <si>
    <t>Budget Enrollment</t>
  </si>
  <si>
    <t>AEA Weighted Enrollment</t>
  </si>
  <si>
    <t>AEA Supplementary Weight for Sharing</t>
  </si>
  <si>
    <t>Resident Accredited Nonpublic Students</t>
  </si>
  <si>
    <t>Shared-Time Nonpublic Pupils Counted in Line 1.1</t>
  </si>
  <si>
    <t>Total Enrollment Served - AEA Media and Ed Services</t>
  </si>
  <si>
    <t>AEA Special Ed Support Cost Per Pupil</t>
  </si>
  <si>
    <t>AEA Ed Services Cost Per Pupil</t>
  </si>
  <si>
    <t>AEA Teacher Salary Supplement District Cost Per Pupil</t>
  </si>
  <si>
    <t>Professional Development Supplement District Cost Per Pupil</t>
  </si>
  <si>
    <t>AEA Special Ed Support District Cost without Adjustment</t>
  </si>
  <si>
    <t>Special Education Total Cost</t>
  </si>
  <si>
    <t>AEA Sharing District Cost</t>
  </si>
  <si>
    <t>AEA Teacher Salary Supplement District Cost</t>
  </si>
  <si>
    <t>Subtotal Budget</t>
  </si>
  <si>
    <t>AEA Statewide State Aid Reduction</t>
  </si>
  <si>
    <t>Total Budget</t>
  </si>
  <si>
    <t>State Aid Portion</t>
  </si>
  <si>
    <t>Property Tax Portion</t>
  </si>
  <si>
    <t>AEA</t>
  </si>
  <si>
    <t>AEA Name</t>
  </si>
  <si>
    <t>District</t>
  </si>
  <si>
    <t>AEA Media Cost Per Pupil</t>
  </si>
  <si>
    <t>AEA Special Ed Support Adjustment</t>
  </si>
  <si>
    <t>Special Ed Weights</t>
  </si>
  <si>
    <t>Weighted Enrollment</t>
  </si>
  <si>
    <t>Nonpublic</t>
  </si>
  <si>
    <t xml:space="preserve">Shared-Time  </t>
  </si>
  <si>
    <t>Media/Ed Served</t>
  </si>
  <si>
    <t>Support Cost PP</t>
  </si>
  <si>
    <t>Media Cost PP</t>
  </si>
  <si>
    <t>Ed Cost PP</t>
  </si>
  <si>
    <t>Teach Sal Cost PP</t>
  </si>
  <si>
    <t>Spec ED Support</t>
  </si>
  <si>
    <t>Spec Ed Adjust</t>
  </si>
  <si>
    <t>Special Ed Total Cost</t>
  </si>
  <si>
    <t>Media Services</t>
  </si>
  <si>
    <t>Education Services</t>
  </si>
  <si>
    <t>Sharing Operations</t>
  </si>
  <si>
    <t>Teacher Salary Supplement</t>
  </si>
  <si>
    <t>Prorata Reduction</t>
  </si>
  <si>
    <t xml:space="preserve">State Aid  </t>
  </si>
  <si>
    <t xml:space="preserve">Property Tax  </t>
  </si>
  <si>
    <t>AEA Professional Development Supplement District Cost</t>
  </si>
  <si>
    <t>Total Special Ed Weighting</t>
  </si>
  <si>
    <t xml:space="preserve">Budget Enrollment </t>
  </si>
  <si>
    <t xml:space="preserve">AEA Weighted Enrollment </t>
  </si>
  <si>
    <t xml:space="preserve">AEA Supplementary Weight for Sharing </t>
  </si>
  <si>
    <t xml:space="preserve">Resident Accredited Nonpublic Students </t>
  </si>
  <si>
    <t>Shared-Time Nonpublic Pupils</t>
  </si>
  <si>
    <t>AEA Total</t>
  </si>
  <si>
    <t xml:space="preserve">Total Enrollment Served - AEA Media and Ed Services </t>
  </si>
  <si>
    <t xml:space="preserve">AEA Special Ed Support District Cost without Adjustment </t>
  </si>
  <si>
    <t xml:space="preserve">AEA Special Ed Support Adjustment </t>
  </si>
  <si>
    <t xml:space="preserve">Special Education Total Cost </t>
  </si>
  <si>
    <t xml:space="preserve">AEA Sharing District Cost </t>
  </si>
  <si>
    <t xml:space="preserve">AEA Teacher Salary Supplement District Cost </t>
  </si>
  <si>
    <t xml:space="preserve">AEA Professional Development Supplement District Cost </t>
  </si>
  <si>
    <t xml:space="preserve">Subtotal Budget </t>
  </si>
  <si>
    <t>AEA State Aid Reduction</t>
  </si>
  <si>
    <t xml:space="preserve">Total Budget </t>
  </si>
  <si>
    <t xml:space="preserve">State Aid Portion </t>
  </si>
  <si>
    <t xml:space="preserve">Property Tax Portion </t>
  </si>
  <si>
    <t>Allamakee</t>
  </si>
  <si>
    <t>Central Clayton</t>
  </si>
  <si>
    <t>Clayton Ridge</t>
  </si>
  <si>
    <t>Decorah</t>
  </si>
  <si>
    <t>Dubuque</t>
  </si>
  <si>
    <t>Eastern Allamakee</t>
  </si>
  <si>
    <t>Edgewood-Colesburg</t>
  </si>
  <si>
    <t>Howard-Winneshiek</t>
  </si>
  <si>
    <t>Maquoketa Valley</t>
  </si>
  <si>
    <t>MFL Mar Mac</t>
  </si>
  <si>
    <t>New Hampton</t>
  </si>
  <si>
    <t>North Fayette Valley</t>
  </si>
  <si>
    <t>Oelwein</t>
  </si>
  <si>
    <t>Postville</t>
  </si>
  <si>
    <t>Riceville</t>
  </si>
  <si>
    <t>South Winneshiek</t>
  </si>
  <si>
    <t>Starmont</t>
  </si>
  <si>
    <t>Turkey Valley</t>
  </si>
  <si>
    <t>West Central</t>
  </si>
  <si>
    <t>West Delaware Co</t>
  </si>
  <si>
    <t>Western Dubuque Co</t>
  </si>
  <si>
    <t>Albert City-Truesdale</t>
  </si>
  <si>
    <t>Algona</t>
  </si>
  <si>
    <t>Alta-Aurelia</t>
  </si>
  <si>
    <t>Clarion-Goldfield-Dows</t>
  </si>
  <si>
    <t>Clay Central-Everly</t>
  </si>
  <si>
    <t>Eagle Grove</t>
  </si>
  <si>
    <t>East Sac County</t>
  </si>
  <si>
    <t>Emmetsburg</t>
  </si>
  <si>
    <t>Estherville-Lincoln Central</t>
  </si>
  <si>
    <t>Fort Dodge</t>
  </si>
  <si>
    <t>Gilmore City-Bradgate</t>
  </si>
  <si>
    <t>Graettinger-Terril</t>
  </si>
  <si>
    <t>Greene County</t>
  </si>
  <si>
    <t>Harris-Lake Park</t>
  </si>
  <si>
    <t>Humboldt</t>
  </si>
  <si>
    <t>Laurens-Marathon</t>
  </si>
  <si>
    <t>Manson-Northwest Webster</t>
  </si>
  <si>
    <t>Newell-Fonda</t>
  </si>
  <si>
    <t>North Kossuth</t>
  </si>
  <si>
    <t>North Union</t>
  </si>
  <si>
    <t>Okoboji</t>
  </si>
  <si>
    <t>Paton-Churdan</t>
  </si>
  <si>
    <t>Pocahontas Area</t>
  </si>
  <si>
    <t>Ruthven-Ayrshire</t>
  </si>
  <si>
    <t>Schaller-Crestland</t>
  </si>
  <si>
    <t>Sioux Central</t>
  </si>
  <si>
    <t>South Central Calhoun</t>
  </si>
  <si>
    <t>South Hamilton</t>
  </si>
  <si>
    <t>Spencer</t>
  </si>
  <si>
    <t>Spirit Lake</t>
  </si>
  <si>
    <t>Storm Lake</t>
  </si>
  <si>
    <t>Stratford</t>
  </si>
  <si>
    <t>Twin Rivers</t>
  </si>
  <si>
    <t>Webster City</t>
  </si>
  <si>
    <t>West Bend-Mallard</t>
  </si>
  <si>
    <t>Alden</t>
  </si>
  <si>
    <t>Aplington-Parkersburg</t>
  </si>
  <si>
    <t>Belmond-Klemme</t>
  </si>
  <si>
    <t>Brooklyn-Guernsey-Malcom</t>
  </si>
  <si>
    <t>Cedar Falls</t>
  </si>
  <si>
    <t>Central Springs</t>
  </si>
  <si>
    <t>Charles City</t>
  </si>
  <si>
    <t>Clarksville</t>
  </si>
  <si>
    <t>Clear Lake</t>
  </si>
  <si>
    <t>Denver</t>
  </si>
  <si>
    <t>Dike-New Hartford</t>
  </si>
  <si>
    <t>Dunkerton</t>
  </si>
  <si>
    <t>East Buchanan</t>
  </si>
  <si>
    <t>East Marshall</t>
  </si>
  <si>
    <t>Eldora-New Providence</t>
  </si>
  <si>
    <t>Forest City</t>
  </si>
  <si>
    <t>Garner-Hayfield-Ventura</t>
  </si>
  <si>
    <t>Gladbrook-Reinbeck</t>
  </si>
  <si>
    <t>Grinnell-Newburg</t>
  </si>
  <si>
    <t>Grundy Center</t>
  </si>
  <si>
    <t>Hampton-Dumont</t>
  </si>
  <si>
    <t>Hubbard-Radcliffe</t>
  </si>
  <si>
    <t>Hudson</t>
  </si>
  <si>
    <t>Independence</t>
  </si>
  <si>
    <t>Iowa Falls</t>
  </si>
  <si>
    <t>Janesville</t>
  </si>
  <si>
    <t>Jesup</t>
  </si>
  <si>
    <t>Lake Mills</t>
  </si>
  <si>
    <t>Marshalltown</t>
  </si>
  <si>
    <t>Mason City</t>
  </si>
  <si>
    <t>Montezuma</t>
  </si>
  <si>
    <t>Nashua-Plainfield</t>
  </si>
  <si>
    <t>North Butler</t>
  </si>
  <si>
    <t>North Iowa</t>
  </si>
  <si>
    <t>North Tama</t>
  </si>
  <si>
    <t>Northwood-Kensett</t>
  </si>
  <si>
    <t>Osage</t>
  </si>
  <si>
    <t>Rudd-Rockford-Marble Rock</t>
  </si>
  <si>
    <t>South Tama</t>
  </si>
  <si>
    <t>St Ansgar</t>
  </si>
  <si>
    <t>Sumner-Fredericksburg</t>
  </si>
  <si>
    <t>Tripoli</t>
  </si>
  <si>
    <t>Union</t>
  </si>
  <si>
    <t>Wapsie Valley</t>
  </si>
  <si>
    <t>Waterloo</t>
  </si>
  <si>
    <t>Waverly-Shell Rock</t>
  </si>
  <si>
    <t>West Fork</t>
  </si>
  <si>
    <t>West Hancock</t>
  </si>
  <si>
    <t>West Marshall</t>
  </si>
  <si>
    <t>Andrew</t>
  </si>
  <si>
    <t>Bellevue</t>
  </si>
  <si>
    <t>Bennett</t>
  </si>
  <si>
    <t>Bettendorf</t>
  </si>
  <si>
    <t>Calamus-Wheatland</t>
  </si>
  <si>
    <t>Camanche</t>
  </si>
  <si>
    <t>Central De Witt</t>
  </si>
  <si>
    <t>Clinton</t>
  </si>
  <si>
    <t>Columbus</t>
  </si>
  <si>
    <t>Davenport</t>
  </si>
  <si>
    <t>Delwood</t>
  </si>
  <si>
    <t>Durant</t>
  </si>
  <si>
    <t>Easton Valley</t>
  </si>
  <si>
    <t>Louisa-Muscatine</t>
  </si>
  <si>
    <t>Maquoketa</t>
  </si>
  <si>
    <t>Muscatine</t>
  </si>
  <si>
    <t>North Scott</t>
  </si>
  <si>
    <t>Northeast</t>
  </si>
  <si>
    <t>Pleasant Valley</t>
  </si>
  <si>
    <t>West Liberty</t>
  </si>
  <si>
    <t>Wilton</t>
  </si>
  <si>
    <t>Alburnett</t>
  </si>
  <si>
    <t>Anamosa</t>
  </si>
  <si>
    <t>Belle Plaine</t>
  </si>
  <si>
    <t>Benton</t>
  </si>
  <si>
    <t>Cedar Rapids</t>
  </si>
  <si>
    <t>Center Point-Urbana</t>
  </si>
  <si>
    <t>Central City</t>
  </si>
  <si>
    <t>Clear Creek-Amana</t>
  </si>
  <si>
    <t>College Community</t>
  </si>
  <si>
    <t>English Valleys</t>
  </si>
  <si>
    <t>Highland</t>
  </si>
  <si>
    <t>Iowa City</t>
  </si>
  <si>
    <t>Iowa Valley</t>
  </si>
  <si>
    <t>Linn-Mar</t>
  </si>
  <si>
    <t>Lisbon</t>
  </si>
  <si>
    <t>Lone Tree</t>
  </si>
  <si>
    <t>Marion</t>
  </si>
  <si>
    <t>Mid-Prairie</t>
  </si>
  <si>
    <t>Midland</t>
  </si>
  <si>
    <t>Monticello</t>
  </si>
  <si>
    <t>Mount Vernon</t>
  </si>
  <si>
    <t>North Cedar</t>
  </si>
  <si>
    <t>North Linn</t>
  </si>
  <si>
    <t>Olin</t>
  </si>
  <si>
    <t>Solon</t>
  </si>
  <si>
    <t>Springville</t>
  </si>
  <si>
    <t>Tipton</t>
  </si>
  <si>
    <t>Vinton-Shellsburg</t>
  </si>
  <si>
    <t>Washington</t>
  </si>
  <si>
    <t>West Branch</t>
  </si>
  <si>
    <t>Williamsburg</t>
  </si>
  <si>
    <t>Adair-Casey</t>
  </si>
  <si>
    <t>Adel-Desoto-Minburn</t>
  </si>
  <si>
    <t>Ames</t>
  </si>
  <si>
    <t>Ankeny</t>
  </si>
  <si>
    <t>Audubon</t>
  </si>
  <si>
    <t>Ballard</t>
  </si>
  <si>
    <t>Baxter</t>
  </si>
  <si>
    <t>Bondurant-Farrar</t>
  </si>
  <si>
    <t>Boone</t>
  </si>
  <si>
    <t>Carlisle</t>
  </si>
  <si>
    <t>Carroll</t>
  </si>
  <si>
    <t>Colfax-Mingo</t>
  </si>
  <si>
    <t>Collins-Maxwell</t>
  </si>
  <si>
    <t>Colo-Nesco</t>
  </si>
  <si>
    <t>Coon Rapids-Bayard</t>
  </si>
  <si>
    <t>Dallas Center-Grimes</t>
  </si>
  <si>
    <t>Des Moines</t>
  </si>
  <si>
    <t>Earlham</t>
  </si>
  <si>
    <t>Exira-Elk Horn-Kimballton</t>
  </si>
  <si>
    <t>Gilbert</t>
  </si>
  <si>
    <t>Glidden-Ralston</t>
  </si>
  <si>
    <t>Guthrie Center</t>
  </si>
  <si>
    <t>Indianola</t>
  </si>
  <si>
    <t>Interstate 35</t>
  </si>
  <si>
    <t>Johnston</t>
  </si>
  <si>
    <t>Knoxville</t>
  </si>
  <si>
    <t>Lynnville-Sully</t>
  </si>
  <si>
    <t>Madrid</t>
  </si>
  <si>
    <t>Martensdale-St Marys</t>
  </si>
  <si>
    <t>Melcher-Dallas</t>
  </si>
  <si>
    <t>Nevada</t>
  </si>
  <si>
    <t>Newton</t>
  </si>
  <si>
    <t>North Polk</t>
  </si>
  <si>
    <t>Norwalk</t>
  </si>
  <si>
    <t>Ogden</t>
  </si>
  <si>
    <t>Panorama</t>
  </si>
  <si>
    <t>Pella</t>
  </si>
  <si>
    <t>Perry</t>
  </si>
  <si>
    <t>Pleasantville</t>
  </si>
  <si>
    <t>Roland-Story</t>
  </si>
  <si>
    <t>Saydel</t>
  </si>
  <si>
    <t>Southeast Polk</t>
  </si>
  <si>
    <t>Southeast Warren</t>
  </si>
  <si>
    <t>Twin Cedars</t>
  </si>
  <si>
    <t>United</t>
  </si>
  <si>
    <t>Urbandale</t>
  </si>
  <si>
    <t>Van Meter</t>
  </si>
  <si>
    <t>Waukee</t>
  </si>
  <si>
    <t>West Central Valley</t>
  </si>
  <si>
    <t>West Des Moines</t>
  </si>
  <si>
    <t>Winterset</t>
  </si>
  <si>
    <t>Woodward-Granger</t>
  </si>
  <si>
    <t>Akron-Westfield</t>
  </si>
  <si>
    <t>Ar-We-Va</t>
  </si>
  <si>
    <t>Boyden-Hull</t>
  </si>
  <si>
    <t>Central Lyon</t>
  </si>
  <si>
    <t>Charter Oak-Ute</t>
  </si>
  <si>
    <t>Cherokee</t>
  </si>
  <si>
    <t>Denison</t>
  </si>
  <si>
    <t>Galva-Holstein</t>
  </si>
  <si>
    <t>George-Little Rock</t>
  </si>
  <si>
    <t>Hartley-Melvin-Sanborn</t>
  </si>
  <si>
    <t>Hinton</t>
  </si>
  <si>
    <t>Kingsley-Pierson</t>
  </si>
  <si>
    <t>Lawton-Bronson</t>
  </si>
  <si>
    <t>Le Mars</t>
  </si>
  <si>
    <t>Maple Valley-Anthon Oto</t>
  </si>
  <si>
    <t>Marcus-Meriden Cleghorn</t>
  </si>
  <si>
    <t>Moc-Floyd Valley</t>
  </si>
  <si>
    <t>Odebolt Arthur Battle Creek Ida Grove</t>
  </si>
  <si>
    <t>Remsen-Union</t>
  </si>
  <si>
    <t>River Valley</t>
  </si>
  <si>
    <t>Rock Valley</t>
  </si>
  <si>
    <t>Schleswig</t>
  </si>
  <si>
    <t>Sergeant Bluff-Luton</t>
  </si>
  <si>
    <t>Sheldon</t>
  </si>
  <si>
    <t>Sibley-Ocheyedan</t>
  </si>
  <si>
    <t>Sioux Center</t>
  </si>
  <si>
    <t>Sioux City</t>
  </si>
  <si>
    <t>South O'Brien</t>
  </si>
  <si>
    <t>West Lyon</t>
  </si>
  <si>
    <t>West Monona</t>
  </si>
  <si>
    <t>West Sioux</t>
  </si>
  <si>
    <t>Westwood</t>
  </si>
  <si>
    <t>Whiting</t>
  </si>
  <si>
    <t>Woodbury Central</t>
  </si>
  <si>
    <t>AHSTW</t>
  </si>
  <si>
    <t>Atlantic</t>
  </si>
  <si>
    <t>Bedford</t>
  </si>
  <si>
    <t>Boyer Valley</t>
  </si>
  <si>
    <t>Central Decatur</t>
  </si>
  <si>
    <t>Clarinda</t>
  </si>
  <si>
    <t>Clarke</t>
  </si>
  <si>
    <t>Corning</t>
  </si>
  <si>
    <t>Council Bluffs</t>
  </si>
  <si>
    <t>Creston</t>
  </si>
  <si>
    <t>Diagonal</t>
  </si>
  <si>
    <t>East Mills</t>
  </si>
  <si>
    <t>East Union</t>
  </si>
  <si>
    <t>Essex</t>
  </si>
  <si>
    <t>Fremont-Mills</t>
  </si>
  <si>
    <t>Glenwood</t>
  </si>
  <si>
    <t>Griswold</t>
  </si>
  <si>
    <t>Hamburg</t>
  </si>
  <si>
    <t>Harlan</t>
  </si>
  <si>
    <t>IKM-Manning</t>
  </si>
  <si>
    <t>Lamoni</t>
  </si>
  <si>
    <t>Lenox</t>
  </si>
  <si>
    <t>Lewis Central</t>
  </si>
  <si>
    <t>Logan-Magnolia</t>
  </si>
  <si>
    <t>Missouri Valley</t>
  </si>
  <si>
    <t>Mormon Trail</t>
  </si>
  <si>
    <t>Mount Ayr</t>
  </si>
  <si>
    <t>Murray</t>
  </si>
  <si>
    <t>Nodaway Valley</t>
  </si>
  <si>
    <t>Orient-Macksburg</t>
  </si>
  <si>
    <t>Red Oak</t>
  </si>
  <si>
    <t>Riverside</t>
  </si>
  <si>
    <t>Shenandoah</t>
  </si>
  <si>
    <t>Sidney</t>
  </si>
  <si>
    <t>South Page</t>
  </si>
  <si>
    <t>Stanton</t>
  </si>
  <si>
    <t>Treynor</t>
  </si>
  <si>
    <t>Tri-Center</t>
  </si>
  <si>
    <t>Underwood</t>
  </si>
  <si>
    <t>Villisca</t>
  </si>
  <si>
    <t>West Harrison</t>
  </si>
  <si>
    <t>Woodbine</t>
  </si>
  <si>
    <t>Albia</t>
  </si>
  <si>
    <t>Burlington</t>
  </si>
  <si>
    <t>Cardinal</t>
  </si>
  <si>
    <t>Centerville</t>
  </si>
  <si>
    <t>Central Lee</t>
  </si>
  <si>
    <t>Chariton</t>
  </si>
  <si>
    <t>Danville</t>
  </si>
  <si>
    <t>Davis County</t>
  </si>
  <si>
    <t>Eddyville-Blakesburg-Fremont</t>
  </si>
  <si>
    <t>Fairfield</t>
  </si>
  <si>
    <t>Fort Madison</t>
  </si>
  <si>
    <t>Keokuk</t>
  </si>
  <si>
    <t>Keota</t>
  </si>
  <si>
    <t>Mediapolis</t>
  </si>
  <si>
    <t>Moravia</t>
  </si>
  <si>
    <t>Morning Sun</t>
  </si>
  <si>
    <t>Moulton-Udell</t>
  </si>
  <si>
    <t>Mount Pleasant</t>
  </si>
  <si>
    <t>New London</t>
  </si>
  <si>
    <t>North Mahaska</t>
  </si>
  <si>
    <t>Oskaloosa</t>
  </si>
  <si>
    <t>Ottumwa</t>
  </si>
  <si>
    <t>Pekin</t>
  </si>
  <si>
    <t>Seymour</t>
  </si>
  <si>
    <t>Sigourney</t>
  </si>
  <si>
    <t>Tri-County</t>
  </si>
  <si>
    <t>Waco</t>
  </si>
  <si>
    <t>Wapello</t>
  </si>
  <si>
    <t>Wayne</t>
  </si>
  <si>
    <t>West Burlington</t>
  </si>
  <si>
    <t>Winfield-Mt Union</t>
  </si>
  <si>
    <t>Dist</t>
  </si>
  <si>
    <t>Keystone AEA 1</t>
  </si>
  <si>
    <t>Prairie Lakes AEA 8</t>
  </si>
  <si>
    <t>Central Rivers</t>
  </si>
  <si>
    <t>Mississippi Bend AEA 9</t>
  </si>
  <si>
    <t>Grant Wood AEA 10</t>
  </si>
  <si>
    <t>Heartland AEA 11</t>
  </si>
  <si>
    <t>Northwest AEA</t>
  </si>
  <si>
    <t>Green Hills AEA 13</t>
  </si>
  <si>
    <t>Great Prairie AEA 15</t>
  </si>
  <si>
    <t>Van Buren County</t>
  </si>
  <si>
    <t>Southeast Valley</t>
  </si>
  <si>
    <t>State Aid Portion Special Ed</t>
  </si>
  <si>
    <t>State Aid Special Ed Minus Reduction</t>
  </si>
  <si>
    <t>Special Education Property Tax Portion</t>
  </si>
  <si>
    <t>State Aid Portion Sharing Operations</t>
  </si>
  <si>
    <t>AEA Special Ed Support District Cost Formula Generated</t>
  </si>
  <si>
    <t>Sharing Operations Property Tax</t>
  </si>
  <si>
    <t>Propery Tax Portion</t>
  </si>
  <si>
    <t>Total AEA Sharing Operations</t>
  </si>
  <si>
    <t>Total Special Ed Funding Removing Reduction Including Adjustment</t>
  </si>
  <si>
    <t>Media Services 40%</t>
  </si>
  <si>
    <t>Education Services 40%</t>
  </si>
  <si>
    <t>Total Special Ed Funding with $29.6 million Reduction
FY 2024</t>
  </si>
  <si>
    <t>Change Compared to FY 2024</t>
  </si>
  <si>
    <t>Total Special Ed Funding with $32.5 million Reduction
FY 2025</t>
  </si>
  <si>
    <t>AEA Media Services District Cost - 40%</t>
  </si>
  <si>
    <t>AEA Ed Services District Cost - 40%</t>
  </si>
  <si>
    <t>FY 2025 AEA Weights and Costs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</si>
</sst>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9" tint="0.39997558519241921"/>
        <bgColor indexed="64"/>
      </patternFill>
    </fill>
  </fills>
  <borders count="6">
    <border>
      <left/>
      <right/>
      <top/>
      <bottom/>
      <diagonal/>
    </border>
    <border>
      <left/>
      <right/>
      <top/>
      <bottom style="thin">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right/>
      <top/>
      <bottom style="double">
        <color indexed="64"/>
      </bottom>
      <diagonal/>
    </border>
    <border>
      <left/>
      <right/>
      <top style="thin">
        <color indexed="64"/>
      </top>
      <bottom style="medium">
        <color indexed="64"/>
      </bottom>
      <diagonal/>
    </border>
  </borders>
  <cellStyleXfs count="1">
    <xf numFmtId="0" fontId="0" fillId="0" borderId="0"/>
  </cellStyleXfs>
  <cellXfs count="65">
    <xf numFmtId="0" fontId="0" fillId="0" borderId="0" xfId="0"/>
    <xf numFmtId="49" fontId="0" fillId="0" borderId="0" xfId="0" applyNumberFormat="1"/>
    <xf numFmtId="4" fontId="0" fillId="0" borderId="0" xfId="0" applyNumberFormat="1"/>
    <xf numFmtId="164" fontId="0" fillId="0" borderId="0" xfId="0" applyNumberFormat="1"/>
    <xf numFmtId="3" fontId="0" fillId="0" borderId="0" xfId="0" applyNumberFormat="1"/>
    <xf numFmtId="0" fontId="1" fillId="0" borderId="0" xfId="0" applyFont="1"/>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wrapText="1"/>
    </xf>
    <xf numFmtId="4" fontId="0" fillId="0" borderId="2" xfId="0" applyNumberFormat="1" applyBorder="1"/>
    <xf numFmtId="0" fontId="0" fillId="0" borderId="0" xfId="0" applyAlignment="1">
      <alignment wrapText="1"/>
    </xf>
    <xf numFmtId="0" fontId="0" fillId="0" borderId="0" xfId="0" applyAlignment="1">
      <alignment horizontal="center" wrapText="1"/>
    </xf>
    <xf numFmtId="3" fontId="0" fillId="0" borderId="2" xfId="0" applyNumberFormat="1" applyBorder="1"/>
    <xf numFmtId="0" fontId="0" fillId="2" borderId="0" xfId="0" applyFill="1" applyAlignment="1">
      <alignment wrapText="1"/>
    </xf>
    <xf numFmtId="0" fontId="0" fillId="2" borderId="0" xfId="0" applyFill="1"/>
    <xf numFmtId="0" fontId="1" fillId="0" borderId="1" xfId="0" applyFont="1" applyFill="1" applyBorder="1" applyAlignment="1">
      <alignment horizontal="center" wrapText="1"/>
    </xf>
    <xf numFmtId="0" fontId="1" fillId="0" borderId="0" xfId="0" applyFont="1" applyFill="1" applyBorder="1" applyAlignment="1">
      <alignment horizontal="center" wrapText="1"/>
    </xf>
    <xf numFmtId="0" fontId="0" fillId="0" borderId="0" xfId="0" applyFill="1" applyBorder="1" applyAlignment="1">
      <alignment wrapText="1"/>
    </xf>
    <xf numFmtId="3" fontId="0" fillId="0" borderId="0" xfId="0" applyNumberFormat="1" applyFill="1" applyBorder="1"/>
    <xf numFmtId="164" fontId="0" fillId="0" borderId="2" xfId="0" applyNumberFormat="1" applyBorder="1"/>
    <xf numFmtId="0" fontId="2" fillId="0" borderId="0" xfId="0" applyFont="1"/>
    <xf numFmtId="0" fontId="2" fillId="0" borderId="0" xfId="0" applyFont="1" applyAlignment="1">
      <alignment wrapText="1"/>
    </xf>
    <xf numFmtId="0" fontId="3" fillId="0" borderId="0" xfId="0" pivotButton="1" applyFont="1" applyAlignment="1">
      <alignment wrapText="1"/>
    </xf>
    <xf numFmtId="0" fontId="3" fillId="0" borderId="0" xfId="0" applyFont="1" applyAlignment="1">
      <alignment wrapText="1"/>
    </xf>
    <xf numFmtId="0" fontId="3" fillId="0" borderId="0" xfId="0" applyFont="1"/>
    <xf numFmtId="4" fontId="2" fillId="0" borderId="0" xfId="0" applyNumberFormat="1" applyFont="1"/>
    <xf numFmtId="4" fontId="3" fillId="0" borderId="0" xfId="0" applyNumberFormat="1" applyFont="1"/>
    <xf numFmtId="164" fontId="2" fillId="0" borderId="0" xfId="0" applyNumberFormat="1" applyFont="1"/>
    <xf numFmtId="164" fontId="3" fillId="0" borderId="0" xfId="0" applyNumberFormat="1" applyFont="1"/>
    <xf numFmtId="3" fontId="2" fillId="0" borderId="0" xfId="0" applyNumberFormat="1" applyFont="1"/>
    <xf numFmtId="3" fontId="3" fillId="0" borderId="0" xfId="0" applyNumberFormat="1" applyFont="1"/>
    <xf numFmtId="49" fontId="0" fillId="0" borderId="3" xfId="0" applyNumberFormat="1" applyBorder="1"/>
    <xf numFmtId="4" fontId="0" fillId="0" borderId="3" xfId="0" applyNumberFormat="1" applyBorder="1"/>
    <xf numFmtId="164" fontId="0" fillId="0" borderId="3" xfId="0" applyNumberFormat="1" applyBorder="1"/>
    <xf numFmtId="3" fontId="0" fillId="0" borderId="3" xfId="0" applyNumberFormat="1" applyBorder="1"/>
    <xf numFmtId="0" fontId="0" fillId="0" borderId="0" xfId="0" applyNumberFormat="1"/>
    <xf numFmtId="3" fontId="0" fillId="0" borderId="4" xfId="0" applyNumberFormat="1" applyBorder="1"/>
    <xf numFmtId="0" fontId="0" fillId="0" borderId="3" xfId="0" applyNumberFormat="1" applyBorder="1"/>
    <xf numFmtId="0" fontId="0" fillId="0" borderId="3" xfId="0" applyBorder="1"/>
    <xf numFmtId="0" fontId="0" fillId="0" borderId="0" xfId="0" applyFill="1"/>
    <xf numFmtId="0" fontId="0" fillId="0" borderId="3" xfId="0" applyFill="1" applyBorder="1"/>
    <xf numFmtId="3" fontId="0" fillId="3" borderId="3" xfId="0" applyNumberFormat="1" applyFill="1" applyBorder="1"/>
    <xf numFmtId="3" fontId="0" fillId="3" borderId="4" xfId="0" applyNumberFormat="1" applyFill="1" applyBorder="1"/>
    <xf numFmtId="3" fontId="0" fillId="4" borderId="3" xfId="0" applyNumberFormat="1" applyFill="1" applyBorder="1"/>
    <xf numFmtId="3" fontId="0" fillId="4" borderId="4" xfId="0" applyNumberFormat="1" applyFill="1" applyBorder="1"/>
    <xf numFmtId="3" fontId="1" fillId="0" borderId="3" xfId="0" applyNumberFormat="1" applyFont="1" applyBorder="1"/>
    <xf numFmtId="3" fontId="1" fillId="0" borderId="4" xfId="0" applyNumberFormat="1" applyFont="1" applyBorder="1"/>
    <xf numFmtId="3" fontId="1" fillId="0" borderId="3" xfId="0" applyNumberFormat="1" applyFont="1" applyFill="1" applyBorder="1"/>
    <xf numFmtId="3" fontId="1" fillId="0" borderId="4" xfId="0" applyNumberFormat="1" applyFont="1" applyFill="1" applyBorder="1"/>
    <xf numFmtId="0" fontId="1" fillId="0" borderId="3" xfId="0" applyFont="1" applyBorder="1" applyAlignment="1">
      <alignment wrapText="1"/>
    </xf>
    <xf numFmtId="0" fontId="1" fillId="0" borderId="3" xfId="0" applyFont="1" applyFill="1" applyBorder="1" applyAlignment="1">
      <alignment horizontal="center" wrapText="1"/>
    </xf>
    <xf numFmtId="0" fontId="1" fillId="3" borderId="3" xfId="0" applyFont="1" applyFill="1" applyBorder="1" applyAlignment="1">
      <alignment horizontal="center" wrapText="1"/>
    </xf>
    <xf numFmtId="0" fontId="1" fillId="4" borderId="3" xfId="0" applyFont="1" applyFill="1" applyBorder="1" applyAlignment="1">
      <alignment horizontal="center" wrapText="1"/>
    </xf>
    <xf numFmtId="0" fontId="1" fillId="0" borderId="3" xfId="0" applyFont="1" applyFill="1" applyBorder="1"/>
    <xf numFmtId="3" fontId="0" fillId="4" borderId="3" xfId="0" applyNumberFormat="1" applyFont="1" applyFill="1" applyBorder="1"/>
    <xf numFmtId="3" fontId="0" fillId="4" borderId="4" xfId="0" applyNumberFormat="1" applyFont="1" applyFill="1" applyBorder="1"/>
    <xf numFmtId="0" fontId="0" fillId="0" borderId="3" xfId="0" applyFont="1" applyBorder="1"/>
    <xf numFmtId="0" fontId="1" fillId="0" borderId="3" xfId="0" applyFont="1" applyBorder="1"/>
    <xf numFmtId="0" fontId="1" fillId="0" borderId="3" xfId="0" applyFont="1" applyBorder="1" applyAlignment="1">
      <alignment horizontal="center" wrapText="1"/>
    </xf>
    <xf numFmtId="3" fontId="1" fillId="0" borderId="5" xfId="0" applyNumberFormat="1" applyFont="1" applyBorder="1"/>
    <xf numFmtId="3" fontId="0" fillId="0" borderId="3" xfId="0" applyNumberFormat="1" applyFill="1" applyBorder="1"/>
    <xf numFmtId="3" fontId="0" fillId="0" borderId="4" xfId="0" applyNumberFormat="1" applyFill="1" applyBorder="1"/>
    <xf numFmtId="0" fontId="1" fillId="3" borderId="3" xfId="0" applyFont="1" applyFill="1" applyBorder="1" applyAlignment="1">
      <alignment horizontal="center" vertical="center"/>
    </xf>
    <xf numFmtId="0" fontId="1" fillId="4" borderId="3" xfId="0" applyFont="1" applyFill="1" applyBorder="1" applyAlignment="1">
      <alignment horizontal="center" vertical="center"/>
    </xf>
    <xf numFmtId="0" fontId="4" fillId="0" borderId="0" xfId="0" applyFont="1" applyAlignment="1">
      <alignment horizontal="center" wrapText="1"/>
    </xf>
  </cellXfs>
  <cellStyles count="1">
    <cellStyle name="Normal" xfId="0" builtinId="0"/>
  </cellStyles>
  <dxfs count="102">
    <dxf>
      <alignment wrapText="1" readingOrder="0"/>
    </dxf>
    <dxf>
      <alignment wrapText="1" readingOrder="0"/>
    </dxf>
    <dxf>
      <alignment wrapText="1" readingOrder="0"/>
    </dxf>
    <dxf>
      <font>
        <sz val="10"/>
      </font>
    </dxf>
    <dxf>
      <font>
        <b/>
      </font>
    </dxf>
    <dxf>
      <font>
        <b/>
      </font>
    </dxf>
    <dxf>
      <font>
        <b/>
      </font>
    </dxf>
    <dxf>
      <font>
        <b/>
      </font>
    </dxf>
    <dxf>
      <font>
        <b/>
      </font>
    </dxf>
    <dxf>
      <numFmt numFmtId="4" formatCode="#,##0.00"/>
    </dxf>
    <dxf>
      <numFmt numFmtId="164" formatCode="#,##0.0"/>
    </dxf>
    <dxf>
      <numFmt numFmtId="4" formatCode="#,##0.00"/>
    </dxf>
    <dxf>
      <numFmt numFmtId="4" formatCode="#,##0.00"/>
    </dxf>
    <dxf>
      <numFmt numFmtId="3" formatCode="#,##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3" formatCode="#,##0"/>
    </dxf>
    <dxf>
      <numFmt numFmtId="4" formatCode="#,##0.00"/>
    </dxf>
    <dxf>
      <numFmt numFmtId="4" formatCode="#,##0.00"/>
    </dxf>
    <dxf>
      <numFmt numFmtId="164" formatCode="#,##0.0"/>
    </dxf>
    <dxf>
      <numFmt numFmtId="4" formatCode="#,##0.00"/>
    </dxf>
    <dxf>
      <font>
        <b/>
      </font>
    </dxf>
    <dxf>
      <font>
        <b/>
      </font>
    </dxf>
    <dxf>
      <font>
        <b/>
      </font>
    </dxf>
    <dxf>
      <font>
        <b/>
      </font>
    </dxf>
    <dxf>
      <font>
        <b/>
      </font>
    </dxf>
    <dxf>
      <font>
        <sz val="10"/>
      </font>
    </dxf>
    <dxf>
      <alignment wrapText="1" readingOrder="0"/>
    </dxf>
    <dxf>
      <alignment wrapText="1" readingOrder="0"/>
    </dxf>
    <dxf>
      <alignment wrapText="1" readingOrder="0"/>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0" formatCode="@"/>
    </dxf>
    <dxf>
      <numFmt numFmtId="30" formatCode="@"/>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PivotTable Style 1" table="0" count="1" xr9:uid="{00000000-0011-0000-FFFF-FFFF00000000}">
      <tableStyleElement type="wholeTable" dxfId="10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2</xdr:col>
      <xdr:colOff>676275</xdr:colOff>
      <xdr:row>3</xdr:row>
      <xdr:rowOff>828675</xdr:rowOff>
    </xdr:from>
    <xdr:to>
      <xdr:col>5</xdr:col>
      <xdr:colOff>638176</xdr:colOff>
      <xdr:row>16</xdr:row>
      <xdr:rowOff>76200</xdr:rowOff>
    </xdr:to>
    <mc:AlternateContent xmlns:mc="http://schemas.openxmlformats.org/markup-compatibility/2006">
      <mc:Choice xmlns:a14="http://schemas.microsoft.com/office/drawing/2010/main" Requires="a14">
        <xdr:graphicFrame macro="">
          <xdr:nvGraphicFramePr>
            <xdr:cNvPr id="2" name="AEA Name">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AEA Name"/>
            </a:graphicData>
          </a:graphic>
        </xdr:graphicFrame>
      </mc:Choice>
      <mc:Fallback>
        <xdr:sp macro="" textlink="">
          <xdr:nvSpPr>
            <xdr:cNvPr id="0" name=""/>
            <xdr:cNvSpPr>
              <a:spLocks noTextEdit="1"/>
            </xdr:cNvSpPr>
          </xdr:nvSpPr>
          <xdr:spPr>
            <a:xfrm>
              <a:off x="2266950" y="1438275"/>
              <a:ext cx="2009776"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ker, John [IDOM]" refreshedDate="45484.399501967593" createdVersion="4" refreshedVersion="6" minRefreshableVersion="3" recordCount="325" xr:uid="{00000000-000A-0000-FFFF-FFFF05000000}">
  <cacheSource type="worksheet">
    <worksheetSource name="Detail"/>
  </cacheSource>
  <cacheFields count="29">
    <cacheField name="AEA" numFmtId="49">
      <sharedItems/>
    </cacheField>
    <cacheField name="AEA Name" numFmtId="49">
      <sharedItems count="9">
        <s v="Keystone AEA 1"/>
        <s v="Prairie Lakes AEA 8"/>
        <s v="Central Rivers"/>
        <s v="Mississippi Bend AEA 9"/>
        <s v="Grant Wood AEA 10"/>
        <s v="Heartland AEA 11"/>
        <s v="Northwest AEA"/>
        <s v="Green Hills AEA 13"/>
        <s v="Great Prairie AEA 15"/>
      </sharedItems>
    </cacheField>
    <cacheField name="Dist" numFmtId="49">
      <sharedItems count="333">
        <s v="0135"/>
        <s v="1080"/>
        <s v="2763"/>
        <s v="1638"/>
        <s v="1863"/>
        <s v="1972"/>
        <s v="1989"/>
        <s v="3029"/>
        <s v="4419"/>
        <s v="4043"/>
        <s v="4662"/>
        <s v="4774"/>
        <s v="4869"/>
        <s v="5310"/>
        <s v="5508"/>
        <s v="6100"/>
        <s v="6175"/>
        <s v="6509"/>
        <s v="6943"/>
        <s v="6950"/>
        <s v="6961"/>
        <s v="0072"/>
        <s v="0126"/>
        <s v="0171"/>
        <s v="1206"/>
        <s v="1218"/>
        <s v="1944"/>
        <s v="6741"/>
        <s v="2088"/>
        <s v="2124"/>
        <s v="2313"/>
        <s v="2493"/>
        <s v="2556"/>
        <s v="3195"/>
        <s v="2846"/>
        <s v="3060"/>
        <s v="3537"/>
        <s v="4023"/>
        <s v="4644"/>
        <s v="4778"/>
        <s v="0333"/>
        <s v="4890"/>
        <s v="5139"/>
        <s v="5283"/>
        <s v="5724"/>
        <s v="5823"/>
        <s v="6048"/>
        <s v="6091"/>
        <s v="6095"/>
        <s v="6096"/>
        <s v="6102"/>
        <s v="6120"/>
        <s v="6219"/>
        <s v="6246"/>
        <s v="6516"/>
        <s v="6867"/>
        <s v="6921"/>
        <s v="0009"/>
        <s v="0108"/>
        <s v="0279"/>
        <s v="0540"/>
        <s v="0594"/>
        <s v="0846"/>
        <s v="0916"/>
        <s v="1044"/>
        <s v="4772"/>
        <s v="1116"/>
        <s v="1215"/>
        <s v="1233"/>
        <s v="1719"/>
        <s v="1791"/>
        <s v="1908"/>
        <s v="1963"/>
        <s v="3582"/>
        <s v="2007"/>
        <s v="2295"/>
        <s v="2682"/>
        <s v="2403"/>
        <s v="2502"/>
        <s v="2709"/>
        <s v="2727"/>
        <s v="2781"/>
        <s v="3033"/>
        <s v="3042"/>
        <s v="3105"/>
        <s v="3150"/>
        <s v="3186"/>
        <s v="3204"/>
        <s v="3420"/>
        <s v="4104"/>
        <s v="4131"/>
        <s v="4437"/>
        <s v="4599"/>
        <s v="0153"/>
        <s v="0873"/>
        <s v="4785"/>
        <s v="4788"/>
        <s v="4995"/>
        <s v="5697"/>
        <s v="6098"/>
        <s v="5751"/>
        <s v="6273"/>
        <s v="6471"/>
        <s v="1935"/>
        <s v="6762"/>
        <s v="6795"/>
        <s v="6840"/>
        <s v="5922"/>
        <s v="0819"/>
        <s v="6985"/>
        <s v="0243"/>
        <s v="0585"/>
        <s v="0603"/>
        <s v="0621"/>
        <s v="0918"/>
        <s v="0936"/>
        <s v="1082"/>
        <s v="1278"/>
        <s v="1368"/>
        <s v="1611"/>
        <s v="1675"/>
        <s v="1926"/>
        <s v="1965"/>
        <s v="3841"/>
        <s v="4041"/>
        <s v="4581"/>
        <s v="4784"/>
        <s v="4773"/>
        <s v="5250"/>
        <s v="6975"/>
        <s v="7038"/>
        <s v="0099"/>
        <s v="0234"/>
        <s v="0576"/>
        <s v="0609"/>
        <s v="1053"/>
        <s v="1062"/>
        <s v="1089"/>
        <s v="1221"/>
        <s v="1337"/>
        <s v="2097"/>
        <s v="2766"/>
        <s v="2977"/>
        <s v="3141"/>
        <s v="3154"/>
        <s v="3715"/>
        <s v="3744"/>
        <s v="3816"/>
        <s v="4086"/>
        <s v="4271"/>
        <s v="4269"/>
        <s v="4446"/>
        <s v="4554"/>
        <s v="3691"/>
        <s v="4777"/>
        <s v="4905"/>
        <s v="6093"/>
        <s v="6138"/>
        <s v="6408"/>
        <s v="6660"/>
        <s v="6768"/>
        <s v="6930"/>
        <s v="7029"/>
        <s v="0018"/>
        <s v="0027"/>
        <s v="0225"/>
        <s v="0261"/>
        <s v="0414"/>
        <s v="0472"/>
        <s v="0513"/>
        <s v="0720"/>
        <s v="0729"/>
        <s v="0981"/>
        <s v="0999"/>
        <s v="1332"/>
        <s v="1350"/>
        <s v="1359"/>
        <s v="1413"/>
        <s v="1576"/>
        <s v="1737"/>
        <s v="1953"/>
        <s v="2151"/>
        <s v="2466"/>
        <s v="2520"/>
        <s v="2754"/>
        <s v="3114"/>
        <s v="3119"/>
        <s v="3231"/>
        <s v="3375"/>
        <s v="3906"/>
        <s v="3942"/>
        <s v="4122"/>
        <s v="4212"/>
        <s v="4617"/>
        <s v="4725"/>
        <s v="4779"/>
        <s v="4797"/>
        <s v="4878"/>
        <s v="5319"/>
        <s v="5121"/>
        <s v="5166"/>
        <s v="5184"/>
        <s v="5256"/>
        <s v="5643"/>
        <s v="5805"/>
        <s v="6101"/>
        <s v="6094"/>
        <s v="6512"/>
        <s v="6561"/>
        <s v="6579"/>
        <s v="6615"/>
        <s v="6822"/>
        <s v="6264"/>
        <s v="6957"/>
        <s v="7056"/>
        <s v="7110"/>
        <s v="0063"/>
        <s v="0355"/>
        <s v="0747"/>
        <s v="1095"/>
        <s v="1134"/>
        <s v="1152"/>
        <s v="1701"/>
        <s v="2376"/>
        <s v="2457"/>
        <s v="2862"/>
        <s v="2988"/>
        <s v="3348"/>
        <s v="3555"/>
        <s v="3600"/>
        <s v="4033"/>
        <s v="4068"/>
        <s v="4149"/>
        <s v="4860"/>
        <s v="5486"/>
        <s v="1975"/>
        <s v="5607"/>
        <s v="5832"/>
        <s v="5877"/>
        <s v="5949"/>
        <s v="5994"/>
        <s v="6030"/>
        <s v="6039"/>
        <s v="5157"/>
        <s v="6983"/>
        <s v="6987"/>
        <s v="6990"/>
        <s v="6992"/>
        <s v="7002"/>
        <s v="7098"/>
        <s v="0441"/>
        <s v="0387"/>
        <s v="0549"/>
        <s v="1917"/>
        <s v="0914"/>
        <s v="1093"/>
        <s v="1197"/>
        <s v="1211"/>
        <s v="1431"/>
        <s v="1476"/>
        <s v="1503"/>
        <s v="1782"/>
        <s v="3978"/>
        <s v="1970"/>
        <s v="2113"/>
        <s v="2369"/>
        <s v="2511"/>
        <s v="2718"/>
        <s v="2772"/>
        <s v="2826"/>
        <s v="3168"/>
        <s v="3465"/>
        <s v="3609"/>
        <s v="3645"/>
        <s v="3798"/>
        <s v="4356"/>
        <s v="4505"/>
        <s v="4527"/>
        <s v="4572"/>
        <s v="2673"/>
        <s v="4978"/>
        <s v="5463"/>
        <s v="4824"/>
        <s v="5976"/>
        <s v="6003"/>
        <s v="6097"/>
        <s v="6165"/>
        <s v="6453"/>
        <s v="6460"/>
        <s v="6534"/>
        <s v="6651"/>
        <s v="6969"/>
        <s v="7092"/>
        <s v="0081"/>
        <s v="0882"/>
        <s v="0977"/>
        <s v="1071"/>
        <s v="1079"/>
        <s v="1107"/>
        <s v="1602"/>
        <s v="1619"/>
        <s v="0657"/>
        <s v="2169"/>
        <s v="2322"/>
        <s v="3312"/>
        <s v="3330"/>
        <s v="4203"/>
        <s v="4491"/>
        <s v="4509"/>
        <s v="4518"/>
        <s v="4536"/>
        <s v="4689"/>
        <s v="4776"/>
        <s v="5013"/>
        <s v="5049"/>
        <s v="5163"/>
        <s v="5895"/>
        <s v="6012"/>
        <s v="6462"/>
        <s v="6592"/>
        <s v="6700"/>
        <s v="6759"/>
        <s v="6854"/>
        <s v="6937"/>
        <s v="7047"/>
        <s v="6591" u="1"/>
        <s v="0504" u="1"/>
        <s v="5323" u="1"/>
        <s v="3897" u="1"/>
        <s v="4775" u="1"/>
        <s v="4787" u="1"/>
        <s v="0423" u="1"/>
        <s v="2834" u="1"/>
      </sharedItems>
    </cacheField>
    <cacheField name="District" numFmtId="49">
      <sharedItems count="356">
        <s v="Allamakee"/>
        <s v="Central Clayton"/>
        <s v="Clayton Ridge"/>
        <s v="Decorah"/>
        <s v="Dubuque"/>
        <s v="Eastern Allamakee"/>
        <s v="Edgewood-Colesburg"/>
        <s v="Howard-Winneshiek"/>
        <s v="MFL Mar Mac"/>
        <s v="Maquoketa Valley"/>
        <s v="New Hampton"/>
        <s v="North Fayette Valley"/>
        <s v="Oelwein"/>
        <s v="Postville"/>
        <s v="Riceville"/>
        <s v="South Winneshiek"/>
        <s v="Starmont"/>
        <s v="Turkey Valley"/>
        <s v="West Central"/>
        <s v="West Delaware Co"/>
        <s v="Western Dubuque Co"/>
        <s v="Albert City-Truesdale"/>
        <s v="Algona"/>
        <s v="Alta-Aurelia"/>
        <s v="Clarion-Goldfield-Dows"/>
        <s v="Clay Central-Everly"/>
        <s v="Eagle Grove"/>
        <s v="East Sac County"/>
        <s v="Emmetsburg"/>
        <s v="Estherville-Lincoln Central"/>
        <s v="Fort Dodge"/>
        <s v="Gilmore City-Bradgate"/>
        <s v="Graettinger-Terril"/>
        <s v="Greene County"/>
        <s v="Harris-Lake Park"/>
        <s v="Humboldt"/>
        <s v="Laurens-Marathon"/>
        <s v="Manson-Northwest Webster"/>
        <s v="Newell-Fonda"/>
        <s v="North Kossuth"/>
        <s v="North Union"/>
        <s v="Okoboji"/>
        <s v="Paton-Churdan"/>
        <s v="Pocahontas Area"/>
        <s v="Ruthven-Ayrshire"/>
        <s v="Schaller-Crestland"/>
        <s v="Sioux Central"/>
        <s v="South Central Calhoun"/>
        <s v="South Hamilton"/>
        <s v="Southeast Valley"/>
        <s v="Spencer"/>
        <s v="Spirit Lake"/>
        <s v="Storm Lake"/>
        <s v="Stratford"/>
        <s v="Twin Rivers"/>
        <s v="Webster City"/>
        <s v="West Bend-Mallard"/>
        <s v="AGWSR"/>
        <s v="Alden"/>
        <s v="Aplington-Parkersburg"/>
        <s v="BCLUW"/>
        <s v="Belmond-Klemme"/>
        <s v="Brooklyn-Guernsey-Malcom"/>
        <s v="CAL"/>
        <s v="Cedar Falls"/>
        <s v="Central Springs"/>
        <s v="Charles City"/>
        <s v="Clarksville"/>
        <s v="Clear Lake"/>
        <s v="Denver"/>
        <s v="Dike-New Hartford"/>
        <s v="Dunkerton"/>
        <s v="East Buchanan"/>
        <s v="East Marshall"/>
        <s v="Eldora-New Providence"/>
        <s v="Forest City"/>
        <s v="GMG"/>
        <s v="Garner-Hayfield-Ventura"/>
        <s v="Gladbrook-Reinbeck"/>
        <s v="Grinnell-Newburg"/>
        <s v="Grundy Center"/>
        <s v="Hampton-Dumont"/>
        <s v="Hubbard-Radcliffe"/>
        <s v="Hudson"/>
        <s v="Independence"/>
        <s v="Iowa Falls"/>
        <s v="Janesville"/>
        <s v="Jesup"/>
        <s v="Lake Mills"/>
        <s v="Marshalltown"/>
        <s v="Mason City"/>
        <s v="Montezuma"/>
        <s v="Nashua-Plainfield"/>
        <s v="North Butler"/>
        <s v="North Iowa"/>
        <s v="North Tama"/>
        <s v="Northwood-Kensett"/>
        <s v="Osage"/>
        <s v="Rudd-Rockford-Marble Rock"/>
        <s v="South Tama"/>
        <s v="St Ansgar"/>
        <s v="Sumner-Fredericksburg"/>
        <s v="Tripoli"/>
        <s v="Union"/>
        <s v="Wapsie Valley"/>
        <s v="Waterloo"/>
        <s v="Waverly-Shell Rock"/>
        <s v="West Fork"/>
        <s v="West Hancock"/>
        <s v="West Marshall"/>
        <s v="Andrew"/>
        <s v="Bellevue"/>
        <s v="Bennett"/>
        <s v="Bettendorf"/>
        <s v="Calamus-Wheatland"/>
        <s v="Camanche"/>
        <s v="Central De Witt"/>
        <s v="Clinton"/>
        <s v="Columbus"/>
        <s v="Davenport"/>
        <s v="Delwood"/>
        <s v="Durant"/>
        <s v="Easton Valley"/>
        <s v="Louisa-Muscatine"/>
        <s v="Maquoketa"/>
        <s v="Muscatine"/>
        <s v="North Scott"/>
        <s v="Northeast"/>
        <s v="Pleasant Valley"/>
        <s v="West Liberty"/>
        <s v="Wilton"/>
        <s v="Alburnett"/>
        <s v="Anamosa"/>
        <s v="Belle Plaine"/>
        <s v="Benton"/>
        <s v="Cedar Rapids"/>
        <s v="Center Point-Urbana"/>
        <s v="Central City"/>
        <s v="Clear Creek-Amana"/>
        <s v="College Community"/>
        <s v="English Valleys"/>
        <s v="HLV"/>
        <s v="Highland"/>
        <s v="Iowa City"/>
        <s v="Iowa Valley"/>
        <s v="Linn-Mar"/>
        <s v="Lisbon"/>
        <s v="Lone Tree"/>
        <s v="Marion"/>
        <s v="Mid-Prairie"/>
        <s v="Midland"/>
        <s v="Monticello"/>
        <s v="Mount Vernon"/>
        <s v="North Cedar"/>
        <s v="North Linn"/>
        <s v="Olin"/>
        <s v="Solon"/>
        <s v="Springville"/>
        <s v="Tipton"/>
        <s v="Vinton-Shellsburg"/>
        <s v="Washington"/>
        <s v="West Branch"/>
        <s v="Williamsburg"/>
        <s v="Adair-Casey"/>
        <s v="Adel-Desoto-Minburn"/>
        <s v="Ames"/>
        <s v="Ankeny"/>
        <s v="Audubon"/>
        <s v="Ballard"/>
        <s v="Baxter"/>
        <s v="Bondurant-Farrar"/>
        <s v="Boone"/>
        <s v="Carlisle"/>
        <s v="Carroll"/>
        <s v="Colfax-Mingo"/>
        <s v="Collins-Maxwell"/>
        <s v="Colo-Nesco"/>
        <s v="Coon Rapids-Bayard"/>
        <s v="Dallas Center-Grimes"/>
        <s v="Des Moines"/>
        <s v="Earlham"/>
        <s v="Exira-Elk Horn-Kimballton"/>
        <s v="Gilbert"/>
        <s v="Glidden-Ralston"/>
        <s v="Guthrie Center"/>
        <s v="Indianola"/>
        <s v="Interstate 35"/>
        <s v="Johnston"/>
        <s v="Knoxville"/>
        <s v="Lynnville-Sully"/>
        <s v="Madrid"/>
        <s v="Martensdale-St Marys"/>
        <s v="Melcher-Dallas"/>
        <s v="Nevada"/>
        <s v="Newton"/>
        <s v="North Polk"/>
        <s v="Norwalk"/>
        <s v="Ogden"/>
        <s v="PCM"/>
        <s v="Panorama"/>
        <s v="Pella"/>
        <s v="Perry"/>
        <s v="Pleasantville"/>
        <s v="Roland-Story"/>
        <s v="Saydel"/>
        <s v="Southeast Polk"/>
        <s v="Southeast Warren"/>
        <s v="Twin Cedars"/>
        <s v="United"/>
        <s v="Urbandale"/>
        <s v="Van Meter"/>
        <s v="Waukee"/>
        <s v="West Central Valley"/>
        <s v="West Des Moines"/>
        <s v="Winterset"/>
        <s v="Woodward-Granger"/>
        <s v="Akron-Westfield"/>
        <s v="Ar-We-Va"/>
        <s v="Boyden-Hull"/>
        <s v="Central Lyon"/>
        <s v="Charter Oak-Ute"/>
        <s v="Cherokee"/>
        <s v="Denison"/>
        <s v="Galva-Holstein"/>
        <s v="George-Little Rock"/>
        <s v="Hartley-Melvin-Sanborn"/>
        <s v="Hinton"/>
        <s v="Kingsley-Pierson"/>
        <s v="Lawton-Bronson"/>
        <s v="Le Mars"/>
        <s v="Maple Valley-Anthon Oto"/>
        <s v="Marcus-Meriden Cleghorn"/>
        <s v="Moc-Floyd Valley"/>
        <s v="Odebolt Arthur Battle Creek Ida Grove"/>
        <s v="Remsen-Union"/>
        <s v="River Valley"/>
        <s v="Rock Valley"/>
        <s v="Schleswig"/>
        <s v="Sergeant Bluff-Luton"/>
        <s v="Sheldon"/>
        <s v="Sibley-Ocheyedan"/>
        <s v="Sioux Center"/>
        <s v="Sioux City"/>
        <s v="South O'Brien"/>
        <s v="West Lyon"/>
        <s v="West Monona"/>
        <s v="West Sioux"/>
        <s v="Westwood"/>
        <s v="Whiting"/>
        <s v="Woodbury Central"/>
        <s v="AHSTW"/>
        <s v="Atlantic"/>
        <s v="Bedford"/>
        <s v="Boyer Valley"/>
        <s v="CAM"/>
        <s v="Central Decatur"/>
        <s v="Clarinda"/>
        <s v="Clarke"/>
        <s v="Corning"/>
        <s v="Council Bluffs"/>
        <s v="Creston"/>
        <s v="Diagonal"/>
        <s v="East Mills"/>
        <s v="East Union"/>
        <s v="Essex"/>
        <s v="Fremont-Mills"/>
        <s v="Glenwood"/>
        <s v="Griswold"/>
        <s v="Hamburg"/>
        <s v="Harlan"/>
        <s v="IKM-Manning"/>
        <s v="Lamoni"/>
        <s v="Lenox"/>
        <s v="Lewis Central"/>
        <s v="Logan-Magnolia"/>
        <s v="Missouri Valley"/>
        <s v="Mormon Trail"/>
        <s v="Mount Ayr"/>
        <s v="Murray"/>
        <s v="Nodaway Valley"/>
        <s v="Orient-Macksburg"/>
        <s v="Red Oak"/>
        <s v="Riverside"/>
        <s v="Shenandoah"/>
        <s v="Sidney"/>
        <s v="South Page"/>
        <s v="Stanton"/>
        <s v="Treynor"/>
        <s v="Tri-Center"/>
        <s v="Underwood"/>
        <s v="Villisca"/>
        <s v="West Harrison"/>
        <s v="Woodbine"/>
        <s v="Albia"/>
        <s v="Burlington"/>
        <s v="Cardinal"/>
        <s v="Centerville"/>
        <s v="Central Lee"/>
        <s v="Chariton"/>
        <s v="Danville"/>
        <s v="Davis County"/>
        <s v="Eddyville-Blakesburg-Fremont"/>
        <s v="Fairfield"/>
        <s v="Fort Madison"/>
        <s v="Keokuk"/>
        <s v="Keota"/>
        <s v="Mediapolis"/>
        <s v="Moravia"/>
        <s v="Morning Sun"/>
        <s v="Moulton-Udell"/>
        <s v="Mount Pleasant"/>
        <s v="New London"/>
        <s v="North Mahaska"/>
        <s v="Oskaloosa"/>
        <s v="Ottumwa"/>
        <s v="Pekin"/>
        <s v="Seymour"/>
        <s v="Sigourney"/>
        <s v="Tri-County"/>
        <s v="Van Buren County"/>
        <s v="Waco"/>
        <s v="Wapello"/>
        <s v="Wayne"/>
        <s v="West Burlington"/>
        <s v="Winfield-Mt Union"/>
        <s v="CLARION-GOLDFIELD-DOWS (C" u="1"/>
        <s v="FOREST CITY(FOREST CITY)" u="1"/>
        <s v="COLLEGE" u="1"/>
        <s v="NORTH BUTLER (ALLISON BRI" u="1"/>
        <s v="NODAWAY VALLEY (GREENFIEL" u="1"/>
        <s v="ALGONA (ALGONA)" u="1"/>
        <s v="AHSTW (AHST)" u="1"/>
        <s v="MAPLE VALLEY-ANTHON OTO (" u="1"/>
        <s v="Lu Verne" u="1"/>
        <s v="GREENE COUNTY (JEFFERSON-" u="1"/>
        <s v="NORTH UNION (ARMSTRONG-RI" u="1"/>
        <s v="ODEBOLT-ARTHUR" u="1"/>
        <s v="GARNER-HAYFIELD-VENTURA (" u="1"/>
        <s v="Prairie Valley" u="1"/>
        <s v="AURELIA" u="1"/>
        <s v="CLEAR CREEK-AMANA (CLEAR" u="1"/>
        <s v="EAST MILLS (MALVERN)" u="1"/>
        <s v="BATTLE CREEK-IDA GROVE" u="1"/>
        <s v="Van Buren" u="1"/>
        <s v="CALAMUS/WHEATLAND" u="1"/>
        <s v="ENGLISH VALLEYS (ENGLISH" u="1"/>
        <s v="Southeast Webster-Grand" u="1"/>
        <s v="ESTHERVILLE-LINCOLN CENTR" u="1"/>
        <s v="NORTH FAYETTE" u="1"/>
        <s v="Northeast Hamilton" u="1"/>
        <s v="Harmony" u="1"/>
        <s v="EDDYVILLE-BLAKESBURG-FREM" u="1"/>
        <s v="ALTA" u="1"/>
        <s v="CRESTON (CRESTON)" u="1"/>
        <s v="North Winneshiek" u="1"/>
        <s v="VALLEY" u="1"/>
      </sharedItems>
    </cacheField>
    <cacheField name="Total Special Ed Weighting in Addition to 1.0" numFmtId="4">
      <sharedItems containsSemiMixedTypes="0" containsString="0" containsNumber="1" minValue="8.5299999999999994" maxValue="5444.12"/>
    </cacheField>
    <cacheField name="Budget Enrollment" numFmtId="164">
      <sharedItems containsSemiMixedTypes="0" containsString="0" containsNumber="1" minValue="87" maxValue="30801.7"/>
    </cacheField>
    <cacheField name="AEA Weighted Enrollment" numFmtId="4">
      <sharedItems containsSemiMixedTypes="0" containsString="0" containsNumber="1" minValue="95.53" maxValue="36245.82"/>
    </cacheField>
    <cacheField name="AEA Supplementary Weight for Sharing" numFmtId="4">
      <sharedItems containsSemiMixedTypes="0" containsString="0" containsNumber="1" minValue="0" maxValue="32.340000000000003"/>
    </cacheField>
    <cacheField name="Resident Accredited Nonpublic Students" numFmtId="3">
      <sharedItems containsSemiMixedTypes="0" containsString="0" containsNumber="1" containsInteger="1" minValue="0" maxValue="2481"/>
    </cacheField>
    <cacheField name="Shared-Time Nonpublic Pupils Counted in Line 1.1" numFmtId="164">
      <sharedItems containsSemiMixedTypes="0" containsString="0" containsNumber="1" minValue="0" maxValue="51.1"/>
    </cacheField>
    <cacheField name="Total Enrollment Served - AEA Media and Ed Services" numFmtId="3">
      <sharedItems containsSemiMixedTypes="0" containsString="0" containsNumber="1" containsInteger="1" minValue="87" maxValue="33232"/>
    </cacheField>
    <cacheField name="AEA Special Ed Support Cost Per Pupil" numFmtId="4">
      <sharedItems containsSemiMixedTypes="0" containsString="0" containsNumber="1" minValue="334.22" maxValue="356.48"/>
    </cacheField>
    <cacheField name="AEA Media Cost Per Pupil" numFmtId="4">
      <sharedItems containsSemiMixedTypes="0" containsString="0" containsNumber="1" minValue="63.53" maxValue="64.069999999999993"/>
    </cacheField>
    <cacheField name="AEA Ed Services Cost Per Pupil" numFmtId="4">
      <sharedItems containsSemiMixedTypes="0" containsString="0" containsNumber="1" minValue="69.45" maxValue="71.75"/>
    </cacheField>
    <cacheField name="AEA Teacher Salary Supplement District Cost Per Pupil" numFmtId="4">
      <sharedItems containsSemiMixedTypes="0" containsString="0" containsNumber="1" minValue="28.61" maxValue="42.56"/>
    </cacheField>
    <cacheField name="Professional Development Supplement District Cost Per Pupil" numFmtId="4">
      <sharedItems containsSemiMixedTypes="0" containsString="0" containsNumber="1" minValue="3.58" maxValue="4.9000000000000004"/>
    </cacheField>
    <cacheField name="AEA Special Ed Support District Cost without Adjustment" numFmtId="3">
      <sharedItems containsSemiMixedTypes="0" containsString="0" containsNumber="1" containsInteger="1" minValue="32698" maxValue="12114078"/>
    </cacheField>
    <cacheField name="AEA Special Ed Support Adjustment" numFmtId="3">
      <sharedItems containsSemiMixedTypes="0" containsString="0" containsNumber="1" containsInteger="1" minValue="0" maxValue="32314"/>
    </cacheField>
    <cacheField name="Special Education Total Cost" numFmtId="3">
      <sharedItems containsSemiMixedTypes="0" containsString="0" containsNumber="1" containsInteger="1" minValue="42020" maxValue="12114078"/>
    </cacheField>
    <cacheField name="Media Services 40%" numFmtId="3">
      <sharedItems containsSemiMixedTypes="0" containsString="0" containsNumber="1" containsInteger="1" minValue="2218" maxValue="845289"/>
    </cacheField>
    <cacheField name="Education Services 40%" numFmtId="3">
      <sharedItems containsSemiMixedTypes="0" containsString="0" containsNumber="1" containsInteger="1" minValue="2452" maxValue="928768"/>
    </cacheField>
    <cacheField name="AEA Sharing District Cost" numFmtId="3">
      <sharedItems containsSemiMixedTypes="0" containsString="0" containsNumber="1" containsInteger="1" minValue="0" maxValue="11282"/>
    </cacheField>
    <cacheField name="AEA Teacher Salary Supplement District Cost" numFmtId="3">
      <sharedItems containsSemiMixedTypes="0" containsString="0" containsNumber="1" containsInteger="1" minValue="4315" maxValue="1036993"/>
    </cacheField>
    <cacheField name="AEA Professional Development Supplement District Cost" numFmtId="3">
      <sharedItems containsSemiMixedTypes="0" containsString="0" containsNumber="1" containsInteger="1" minValue="0" maxValue="0"/>
    </cacheField>
    <cacheField name="Subtotal Budget" numFmtId="3">
      <sharedItems containsSemiMixedTypes="0" containsString="0" containsNumber="1" containsInteger="1" minValue="51073" maxValue="14925128"/>
    </cacheField>
    <cacheField name="AEA Statewide State Aid Reduction" numFmtId="3">
      <sharedItems containsSemiMixedTypes="0" containsString="0" containsNumber="1" containsInteger="1" minValue="5623" maxValue="2133328"/>
    </cacheField>
    <cacheField name="Total Budget" numFmtId="3">
      <sharedItems containsSemiMixedTypes="0" containsString="0" containsNumber="1" containsInteger="1" minValue="45450" maxValue="12791800"/>
    </cacheField>
    <cacheField name="State Aid Portion" numFmtId="3">
      <sharedItems containsSemiMixedTypes="0" containsString="0" containsNumber="1" containsInteger="1" minValue="24539" maxValue="8690036"/>
    </cacheField>
    <cacheField name="Property Tax Portion" numFmtId="3">
      <sharedItems containsSemiMixedTypes="0" containsString="0" containsNumber="1" containsInteger="1" minValue="20911" maxValue="410176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5">
  <r>
    <s v="01"/>
    <x v="0"/>
    <x v="0"/>
    <x v="0"/>
    <n v="155.66999999999999"/>
    <n v="1109.8"/>
    <n v="1265.47"/>
    <n v="3.31"/>
    <n v="148"/>
    <n v="1.3"/>
    <n v="1257"/>
    <n v="356.48"/>
    <n v="63.99"/>
    <n v="71.28"/>
    <n v="35.33"/>
    <n v="3.84"/>
    <n v="451115"/>
    <n v="0"/>
    <n v="451115"/>
    <n v="32174"/>
    <n v="35840"/>
    <n v="1180"/>
    <n v="44709"/>
    <n v="0"/>
    <n v="565018"/>
    <n v="74482"/>
    <n v="490536"/>
    <n v="312798"/>
    <n v="177738"/>
  </r>
  <r>
    <s v="01"/>
    <x v="0"/>
    <x v="1"/>
    <x v="1"/>
    <n v="69.91"/>
    <n v="467.3"/>
    <n v="537.21"/>
    <n v="1.41"/>
    <n v="0"/>
    <n v="0"/>
    <n v="467"/>
    <n v="356.48"/>
    <n v="63.99"/>
    <n v="71.28"/>
    <n v="35.33"/>
    <n v="3.84"/>
    <n v="191505"/>
    <n v="0"/>
    <n v="191505"/>
    <n v="11953"/>
    <n v="13315"/>
    <n v="503"/>
    <n v="18980"/>
    <n v="0"/>
    <n v="236256"/>
    <n v="31619"/>
    <n v="204637"/>
    <n v="132788"/>
    <n v="71849"/>
  </r>
  <r>
    <s v="01"/>
    <x v="0"/>
    <x v="2"/>
    <x v="2"/>
    <n v="87.49"/>
    <n v="628"/>
    <n v="715.49"/>
    <n v="1.87"/>
    <n v="11"/>
    <n v="0"/>
    <n v="639"/>
    <n v="356.48"/>
    <n v="63.99"/>
    <n v="71.28"/>
    <n v="35.33"/>
    <n v="3.84"/>
    <n v="255058"/>
    <n v="0"/>
    <n v="255058"/>
    <n v="16356"/>
    <n v="18219"/>
    <n v="667"/>
    <n v="25278"/>
    <n v="0"/>
    <n v="315578"/>
    <n v="42111"/>
    <n v="273467"/>
    <n v="176854"/>
    <n v="96613"/>
  </r>
  <r>
    <s v="01"/>
    <x v="0"/>
    <x v="3"/>
    <x v="3"/>
    <n v="186.83"/>
    <n v="1508.6"/>
    <n v="1695.43"/>
    <n v="4.43"/>
    <n v="146"/>
    <n v="0.8"/>
    <n v="1654"/>
    <n v="356.48"/>
    <n v="63.99"/>
    <n v="71.28"/>
    <n v="35.33"/>
    <n v="3.84"/>
    <n v="604387"/>
    <n v="0"/>
    <n v="604387"/>
    <n v="42336"/>
    <n v="47159"/>
    <n v="1579"/>
    <n v="59900"/>
    <n v="0"/>
    <n v="755361"/>
    <n v="99788"/>
    <n v="655573"/>
    <n v="419074"/>
    <n v="236499"/>
  </r>
  <r>
    <s v="01"/>
    <x v="0"/>
    <x v="4"/>
    <x v="4"/>
    <n v="1923.48"/>
    <n v="9996"/>
    <n v="11919.48"/>
    <n v="31.15"/>
    <n v="1777"/>
    <n v="6.4"/>
    <n v="11767"/>
    <n v="356.48"/>
    <n v="63.99"/>
    <n v="71.28"/>
    <n v="35.33"/>
    <n v="3.84"/>
    <n v="4249056"/>
    <n v="0"/>
    <n v="4249056"/>
    <n v="301188"/>
    <n v="335501"/>
    <n v="11104"/>
    <n v="421115"/>
    <n v="0"/>
    <n v="5317964"/>
    <n v="701548"/>
    <n v="4616416"/>
    <n v="2946237"/>
    <n v="1670179"/>
  </r>
  <r>
    <s v="01"/>
    <x v="0"/>
    <x v="5"/>
    <x v="5"/>
    <n v="35.01"/>
    <n v="301.3"/>
    <n v="336.31"/>
    <n v="0.88"/>
    <n v="8"/>
    <n v="0"/>
    <n v="309"/>
    <n v="356.48"/>
    <n v="63.99"/>
    <n v="71.28"/>
    <n v="35.33"/>
    <n v="3.84"/>
    <n v="119888"/>
    <n v="11434"/>
    <n v="131322"/>
    <n v="7909"/>
    <n v="8810"/>
    <n v="314"/>
    <n v="13002"/>
    <n v="0"/>
    <n v="161357"/>
    <n v="19795"/>
    <n v="141562"/>
    <n v="84248"/>
    <n v="57314"/>
  </r>
  <r>
    <s v="01"/>
    <x v="0"/>
    <x v="6"/>
    <x v="6"/>
    <n v="25.85"/>
    <n v="392"/>
    <n v="417.85"/>
    <n v="1.0900000000000001"/>
    <n v="23"/>
    <n v="0"/>
    <n v="415"/>
    <n v="356.48"/>
    <n v="63.99"/>
    <n v="71.28"/>
    <n v="35.33"/>
    <n v="3.84"/>
    <n v="148955"/>
    <n v="0"/>
    <n v="148955"/>
    <n v="10622"/>
    <n v="11832"/>
    <n v="389"/>
    <n v="14763"/>
    <n v="0"/>
    <n v="186561"/>
    <n v="24593"/>
    <n v="161968"/>
    <n v="103284"/>
    <n v="58684"/>
  </r>
  <r>
    <s v="01"/>
    <x v="0"/>
    <x v="7"/>
    <x v="7"/>
    <n v="167.41"/>
    <n v="1135"/>
    <n v="1302.4100000000001"/>
    <n v="3.41"/>
    <n v="125"/>
    <n v="1.6"/>
    <n v="1258"/>
    <n v="356.48"/>
    <n v="63.99"/>
    <n v="71.28"/>
    <n v="35.33"/>
    <n v="3.84"/>
    <n v="464283"/>
    <n v="0"/>
    <n v="464283"/>
    <n v="32200"/>
    <n v="35868"/>
    <n v="1216"/>
    <n v="46014"/>
    <n v="0"/>
    <n v="579581"/>
    <n v="76657"/>
    <n v="502924"/>
    <n v="321928"/>
    <n v="180996"/>
  </r>
  <r>
    <s v="01"/>
    <x v="0"/>
    <x v="8"/>
    <x v="8"/>
    <n v="101.95"/>
    <n v="812.3"/>
    <n v="914.25"/>
    <n v="2.39"/>
    <n v="5"/>
    <n v="0"/>
    <n v="817"/>
    <n v="356.48"/>
    <n v="63.99"/>
    <n v="71.28"/>
    <n v="35.33"/>
    <n v="3.84"/>
    <n v="325912"/>
    <n v="0"/>
    <n v="325912"/>
    <n v="20912"/>
    <n v="23294"/>
    <n v="852"/>
    <n v="32300"/>
    <n v="0"/>
    <n v="403270"/>
    <n v="53811"/>
    <n v="349459"/>
    <n v="225982"/>
    <n v="123477"/>
  </r>
  <r>
    <s v="01"/>
    <x v="0"/>
    <x v="9"/>
    <x v="9"/>
    <n v="86.92"/>
    <n v="674.3"/>
    <n v="761.22"/>
    <n v="1.99"/>
    <n v="37"/>
    <n v="0"/>
    <n v="711"/>
    <n v="356.48"/>
    <n v="63.99"/>
    <n v="71.28"/>
    <n v="35.33"/>
    <n v="3.84"/>
    <n v="271360"/>
    <n v="0"/>
    <n v="271360"/>
    <n v="18199"/>
    <n v="20272"/>
    <n v="709"/>
    <n v="26894"/>
    <n v="0"/>
    <n v="337434"/>
    <n v="44803"/>
    <n v="292631"/>
    <n v="188158"/>
    <n v="104473"/>
  </r>
  <r>
    <s v="01"/>
    <x v="0"/>
    <x v="10"/>
    <x v="10"/>
    <n v="106.56"/>
    <n v="970.6"/>
    <n v="1077.1600000000001"/>
    <n v="2.82"/>
    <n v="66"/>
    <n v="1.1000000000000001"/>
    <n v="1036"/>
    <n v="356.48"/>
    <n v="63.99"/>
    <n v="71.28"/>
    <n v="35.33"/>
    <n v="3.84"/>
    <n v="383986"/>
    <n v="0"/>
    <n v="383986"/>
    <n v="26518"/>
    <n v="29538"/>
    <n v="1005"/>
    <n v="38056"/>
    <n v="0"/>
    <n v="479103"/>
    <n v="63398"/>
    <n v="415705"/>
    <n v="266253"/>
    <n v="149452"/>
  </r>
  <r>
    <s v="01"/>
    <x v="0"/>
    <x v="11"/>
    <x v="11"/>
    <n v="209.74"/>
    <n v="1106.5999999999999"/>
    <n v="1316.34"/>
    <n v="3.44"/>
    <n v="3"/>
    <n v="0"/>
    <n v="1110"/>
    <n v="356.48"/>
    <n v="63.99"/>
    <n v="71.28"/>
    <n v="35.33"/>
    <n v="3.84"/>
    <n v="469249"/>
    <n v="0"/>
    <n v="469249"/>
    <n v="28412"/>
    <n v="31648"/>
    <n v="1226"/>
    <n v="46506"/>
    <n v="0"/>
    <n v="577041"/>
    <n v="77476"/>
    <n v="499565"/>
    <n v="325371"/>
    <n v="174194"/>
  </r>
  <r>
    <s v="01"/>
    <x v="0"/>
    <x v="12"/>
    <x v="12"/>
    <n v="268.66000000000003"/>
    <n v="1318.9"/>
    <n v="1587.56"/>
    <n v="4.1500000000000004"/>
    <n v="12"/>
    <n v="0"/>
    <n v="1331"/>
    <n v="356.48"/>
    <n v="63.99"/>
    <n v="71.28"/>
    <n v="35.33"/>
    <n v="3.84"/>
    <n v="565933"/>
    <n v="0"/>
    <n v="565933"/>
    <n v="34068"/>
    <n v="37950"/>
    <n v="1479"/>
    <n v="56088"/>
    <n v="0"/>
    <n v="695518"/>
    <n v="93440"/>
    <n v="602078"/>
    <n v="392410"/>
    <n v="209668"/>
  </r>
  <r>
    <s v="01"/>
    <x v="0"/>
    <x v="13"/>
    <x v="13"/>
    <n v="101.31"/>
    <n v="757.3"/>
    <n v="858.61"/>
    <n v="2.2400000000000002"/>
    <n v="6"/>
    <n v="0"/>
    <n v="763"/>
    <n v="356.48"/>
    <n v="63.99"/>
    <n v="71.28"/>
    <n v="35.33"/>
    <n v="3.84"/>
    <n v="306077"/>
    <n v="0"/>
    <n v="306077"/>
    <n v="19530"/>
    <n v="21755"/>
    <n v="799"/>
    <n v="30335"/>
    <n v="0"/>
    <n v="378496"/>
    <n v="50535"/>
    <n v="327961"/>
    <n v="212230"/>
    <n v="115731"/>
  </r>
  <r>
    <s v="01"/>
    <x v="0"/>
    <x v="14"/>
    <x v="14"/>
    <n v="39.770000000000003"/>
    <n v="344.2"/>
    <n v="383.97"/>
    <n v="1"/>
    <n v="2"/>
    <n v="0"/>
    <n v="346"/>
    <n v="356.48"/>
    <n v="63.99"/>
    <n v="71.28"/>
    <n v="35.33"/>
    <n v="3.84"/>
    <n v="136878"/>
    <n v="0"/>
    <n v="136878"/>
    <n v="8856"/>
    <n v="9865"/>
    <n v="356"/>
    <n v="13566"/>
    <n v="0"/>
    <n v="169521"/>
    <n v="22600"/>
    <n v="146921"/>
    <n v="94908"/>
    <n v="52013"/>
  </r>
  <r>
    <s v="01"/>
    <x v="0"/>
    <x v="15"/>
    <x v="15"/>
    <n v="91.72"/>
    <n v="532.9"/>
    <n v="624.62"/>
    <n v="1.63"/>
    <n v="166"/>
    <n v="5.0999999999999996"/>
    <n v="694"/>
    <n v="356.48"/>
    <n v="63.99"/>
    <n v="71.28"/>
    <n v="35.33"/>
    <n v="3.84"/>
    <n v="222665"/>
    <n v="0"/>
    <n v="222665"/>
    <n v="17764"/>
    <n v="19787"/>
    <n v="581"/>
    <n v="22068"/>
    <n v="0"/>
    <n v="282865"/>
    <n v="36764"/>
    <n v="246101"/>
    <n v="154392"/>
    <n v="91709"/>
  </r>
  <r>
    <s v="01"/>
    <x v="0"/>
    <x v="16"/>
    <x v="16"/>
    <n v="103.78"/>
    <n v="574.9"/>
    <n v="678.68"/>
    <n v="1.77"/>
    <n v="2"/>
    <n v="0"/>
    <n v="577"/>
    <n v="356.48"/>
    <n v="63.99"/>
    <n v="71.28"/>
    <n v="35.33"/>
    <n v="3.84"/>
    <n v="241936"/>
    <n v="0"/>
    <n v="241936"/>
    <n v="14769"/>
    <n v="16452"/>
    <n v="631"/>
    <n v="23978"/>
    <n v="0"/>
    <n v="297766"/>
    <n v="39945"/>
    <n v="257821"/>
    <n v="167755"/>
    <n v="90066"/>
  </r>
  <r>
    <s v="01"/>
    <x v="0"/>
    <x v="17"/>
    <x v="17"/>
    <n v="48.29"/>
    <n v="356.3"/>
    <n v="404.59"/>
    <n v="1.06"/>
    <n v="55"/>
    <n v="0.1"/>
    <n v="411"/>
    <n v="356.48"/>
    <n v="63.99"/>
    <n v="71.28"/>
    <n v="35.33"/>
    <n v="3.84"/>
    <n v="144228"/>
    <n v="2526"/>
    <n v="146754"/>
    <n v="10520"/>
    <n v="11718"/>
    <n v="378"/>
    <n v="14294"/>
    <n v="0"/>
    <n v="183664"/>
    <n v="23813"/>
    <n v="159851"/>
    <n v="100007"/>
    <n v="59844"/>
  </r>
  <r>
    <s v="01"/>
    <x v="0"/>
    <x v="18"/>
    <x v="18"/>
    <n v="39.56"/>
    <n v="254.3"/>
    <n v="293.86"/>
    <n v="0.77"/>
    <n v="0"/>
    <n v="0"/>
    <n v="254"/>
    <n v="356.48"/>
    <n v="63.99"/>
    <n v="71.28"/>
    <n v="35.33"/>
    <n v="3.84"/>
    <n v="104755"/>
    <n v="230"/>
    <n v="104985"/>
    <n v="6501"/>
    <n v="7242"/>
    <n v="274"/>
    <n v="10395"/>
    <n v="0"/>
    <n v="129397"/>
    <n v="17296"/>
    <n v="112101"/>
    <n v="72649"/>
    <n v="39452"/>
  </r>
  <r>
    <s v="01"/>
    <x v="0"/>
    <x v="19"/>
    <x v="19"/>
    <n v="186.71"/>
    <n v="1327.5"/>
    <n v="1514.21"/>
    <n v="3.96"/>
    <n v="222"/>
    <n v="1.3"/>
    <n v="1548"/>
    <n v="356.48"/>
    <n v="63.99"/>
    <n v="71.28"/>
    <n v="35.33"/>
    <n v="3.84"/>
    <n v="539786"/>
    <n v="0"/>
    <n v="539786"/>
    <n v="39623"/>
    <n v="44136"/>
    <n v="1412"/>
    <n v="53497"/>
    <n v="0"/>
    <n v="678454"/>
    <n v="89122"/>
    <n v="589332"/>
    <n v="374281"/>
    <n v="215051"/>
  </r>
  <r>
    <s v="01"/>
    <x v="0"/>
    <x v="20"/>
    <x v="20"/>
    <n v="402"/>
    <n v="3189.7"/>
    <n v="3591.7"/>
    <n v="9.39"/>
    <n v="1006"/>
    <n v="2.8"/>
    <n v="4193"/>
    <n v="356.48"/>
    <n v="63.99"/>
    <n v="71.28"/>
    <n v="35.33"/>
    <n v="3.84"/>
    <n v="1280369"/>
    <n v="0"/>
    <n v="1280369"/>
    <n v="107324"/>
    <n v="119551"/>
    <n v="3347"/>
    <n v="126895"/>
    <n v="0"/>
    <n v="1637486"/>
    <n v="211397"/>
    <n v="1426089"/>
    <n v="887792"/>
    <n v="538297"/>
  </r>
  <r>
    <s v="05"/>
    <x v="1"/>
    <x v="21"/>
    <x v="21"/>
    <n v="17.78"/>
    <n v="198.3"/>
    <n v="216.08"/>
    <n v="0"/>
    <n v="8"/>
    <n v="0"/>
    <n v="206"/>
    <n v="352.23"/>
    <n v="64.069999999999993"/>
    <n v="71.75"/>
    <n v="37.29"/>
    <n v="4.43"/>
    <n v="76110"/>
    <n v="4976"/>
    <n v="81086"/>
    <n v="5279"/>
    <n v="5912"/>
    <n v="0"/>
    <n v="8590"/>
    <n v="0"/>
    <n v="100867"/>
    <n v="12718"/>
    <n v="88149"/>
    <n v="54214"/>
    <n v="33935"/>
  </r>
  <r>
    <s v="05"/>
    <x v="1"/>
    <x v="22"/>
    <x v="22"/>
    <n v="183.75"/>
    <n v="1411.5"/>
    <n v="1595.25"/>
    <n v="0"/>
    <n v="302"/>
    <n v="4.9000000000000004"/>
    <n v="1709"/>
    <n v="352.23"/>
    <n v="64.069999999999993"/>
    <n v="71.75"/>
    <n v="37.29"/>
    <n v="4.43"/>
    <n v="561895"/>
    <n v="14224"/>
    <n v="576119"/>
    <n v="43798"/>
    <n v="49048"/>
    <n v="0"/>
    <n v="61031"/>
    <n v="0"/>
    <n v="729996"/>
    <n v="93892"/>
    <n v="636104"/>
    <n v="397857"/>
    <n v="238247"/>
  </r>
  <r>
    <s v="05"/>
    <x v="1"/>
    <x v="23"/>
    <x v="23"/>
    <n v="71.16"/>
    <n v="840.7"/>
    <n v="911.86"/>
    <n v="0"/>
    <n v="13"/>
    <n v="0"/>
    <n v="854"/>
    <n v="352.23"/>
    <n v="64.069999999999993"/>
    <n v="71.75"/>
    <n v="37.29"/>
    <n v="4.43"/>
    <n v="321184"/>
    <n v="6904"/>
    <n v="328088"/>
    <n v="21886"/>
    <n v="24510"/>
    <n v="0"/>
    <n v="34756"/>
    <n v="0"/>
    <n v="409240"/>
    <n v="53670"/>
    <n v="355570"/>
    <n v="227288"/>
    <n v="128282"/>
  </r>
  <r>
    <s v="05"/>
    <x v="1"/>
    <x v="24"/>
    <x v="24"/>
    <n v="109.9"/>
    <n v="975.6"/>
    <n v="1085.5"/>
    <n v="0"/>
    <n v="0"/>
    <n v="0"/>
    <n v="976"/>
    <n v="352.23"/>
    <n v="64.069999999999993"/>
    <n v="71.75"/>
    <n v="37.29"/>
    <n v="4.43"/>
    <n v="382346"/>
    <n v="7949"/>
    <n v="390295"/>
    <n v="25013"/>
    <n v="28011"/>
    <n v="0"/>
    <n v="41346"/>
    <n v="0"/>
    <n v="484665"/>
    <n v="63889"/>
    <n v="420776"/>
    <n v="270542"/>
    <n v="150234"/>
  </r>
  <r>
    <s v="05"/>
    <x v="1"/>
    <x v="25"/>
    <x v="25"/>
    <n v="24.26"/>
    <n v="265"/>
    <n v="289.26"/>
    <n v="0"/>
    <n v="28"/>
    <n v="0"/>
    <n v="293"/>
    <n v="352.23"/>
    <n v="64.069999999999993"/>
    <n v="71.75"/>
    <n v="37.29"/>
    <n v="4.43"/>
    <n v="101886"/>
    <n v="23147"/>
    <n v="125033"/>
    <n v="7509"/>
    <n v="8409"/>
    <n v="0"/>
    <n v="11854"/>
    <n v="0"/>
    <n v="152805"/>
    <n v="17025"/>
    <n v="135780"/>
    <n v="72929"/>
    <n v="62851"/>
  </r>
  <r>
    <s v="05"/>
    <x v="1"/>
    <x v="26"/>
    <x v="26"/>
    <n v="141.12"/>
    <n v="979.8"/>
    <n v="1120.92"/>
    <n v="0"/>
    <n v="6"/>
    <n v="0"/>
    <n v="986"/>
    <n v="352.23"/>
    <n v="64.069999999999993"/>
    <n v="71.75"/>
    <n v="37.29"/>
    <n v="4.43"/>
    <n v="394822"/>
    <n v="0"/>
    <n v="394822"/>
    <n v="25269"/>
    <n v="28298"/>
    <n v="0"/>
    <n v="41799"/>
    <n v="0"/>
    <n v="490188"/>
    <n v="65975"/>
    <n v="424213"/>
    <n v="278472"/>
    <n v="145741"/>
  </r>
  <r>
    <s v="05"/>
    <x v="1"/>
    <x v="27"/>
    <x v="27"/>
    <n v="96.98"/>
    <n v="844.4"/>
    <n v="941.38"/>
    <n v="0"/>
    <n v="48"/>
    <n v="0"/>
    <n v="892"/>
    <n v="352.23"/>
    <n v="64.069999999999993"/>
    <n v="71.75"/>
    <n v="37.29"/>
    <n v="4.43"/>
    <n v="331582"/>
    <n v="0"/>
    <n v="331582"/>
    <n v="22860"/>
    <n v="25600"/>
    <n v="0"/>
    <n v="35104"/>
    <n v="0"/>
    <n v="415146"/>
    <n v="55406"/>
    <n v="359740"/>
    <n v="233871"/>
    <n v="125869"/>
  </r>
  <r>
    <s v="05"/>
    <x v="1"/>
    <x v="28"/>
    <x v="28"/>
    <n v="104.83"/>
    <n v="642.29999999999995"/>
    <n v="747.13"/>
    <n v="0"/>
    <n v="76"/>
    <n v="2.2999999999999998"/>
    <n v="716"/>
    <n v="352.23"/>
    <n v="64.069999999999993"/>
    <n v="71.75"/>
    <n v="37.29"/>
    <n v="4.43"/>
    <n v="263162"/>
    <n v="2104"/>
    <n v="265266"/>
    <n v="18350"/>
    <n v="20549"/>
    <n v="0"/>
    <n v="28101"/>
    <n v="0"/>
    <n v="332266"/>
    <n v="43974"/>
    <n v="288292"/>
    <n v="185852"/>
    <n v="102440"/>
  </r>
  <r>
    <s v="05"/>
    <x v="1"/>
    <x v="29"/>
    <x v="29"/>
    <n v="138.05000000000001"/>
    <n v="1168.0999999999999"/>
    <n v="1306.1500000000001"/>
    <n v="0"/>
    <n v="0"/>
    <n v="0"/>
    <n v="1168"/>
    <n v="352.23"/>
    <n v="64.069999999999993"/>
    <n v="71.75"/>
    <n v="37.29"/>
    <n v="4.43"/>
    <n v="460065"/>
    <n v="6949"/>
    <n v="467014"/>
    <n v="29934"/>
    <n v="33522"/>
    <n v="0"/>
    <n v="49047"/>
    <n v="0"/>
    <n v="579517"/>
    <n v="76876"/>
    <n v="502641"/>
    <n v="324832"/>
    <n v="177809"/>
  </r>
  <r>
    <s v="05"/>
    <x v="1"/>
    <x v="30"/>
    <x v="30"/>
    <n v="551.23"/>
    <n v="3521.8"/>
    <n v="4073.03"/>
    <n v="0"/>
    <n v="602"/>
    <n v="4.3"/>
    <n v="4120"/>
    <n v="352.23"/>
    <n v="64.069999999999993"/>
    <n v="71.75"/>
    <n v="37.29"/>
    <n v="4.43"/>
    <n v="1434643"/>
    <n v="0"/>
    <n v="1434643"/>
    <n v="105587"/>
    <n v="118244"/>
    <n v="0"/>
    <n v="151883"/>
    <n v="0"/>
    <n v="1810357"/>
    <n v="239727"/>
    <n v="1570630"/>
    <n v="1011874"/>
    <n v="558756"/>
  </r>
  <r>
    <s v="05"/>
    <x v="1"/>
    <x v="31"/>
    <x v="31"/>
    <n v="28.91"/>
    <n v="159.4"/>
    <n v="188.31"/>
    <n v="0"/>
    <n v="5"/>
    <n v="0"/>
    <n v="164"/>
    <n v="352.23"/>
    <n v="64.069999999999993"/>
    <n v="71.75"/>
    <n v="37.29"/>
    <n v="4.43"/>
    <n v="66328"/>
    <n v="7000"/>
    <n v="73328"/>
    <n v="4203"/>
    <n v="4707"/>
    <n v="0"/>
    <n v="7768"/>
    <n v="0"/>
    <n v="90006"/>
    <n v="11083"/>
    <n v="78923"/>
    <n v="47529"/>
    <n v="31394"/>
  </r>
  <r>
    <s v="05"/>
    <x v="1"/>
    <x v="32"/>
    <x v="32"/>
    <n v="35.119999999999997"/>
    <n v="375.6"/>
    <n v="410.72"/>
    <n v="0"/>
    <n v="6"/>
    <n v="0"/>
    <n v="382"/>
    <n v="352.23"/>
    <n v="64.069999999999993"/>
    <n v="71.75"/>
    <n v="37.29"/>
    <n v="4.43"/>
    <n v="144668"/>
    <n v="0"/>
    <n v="144668"/>
    <n v="9790"/>
    <n v="10964"/>
    <n v="0"/>
    <n v="15316"/>
    <n v="0"/>
    <n v="180738"/>
    <n v="24174"/>
    <n v="156564"/>
    <n v="102036"/>
    <n v="54528"/>
  </r>
  <r>
    <s v="05"/>
    <x v="1"/>
    <x v="33"/>
    <x v="33"/>
    <n v="155.84"/>
    <n v="1182.3"/>
    <n v="1338.14"/>
    <n v="0"/>
    <n v="9"/>
    <n v="0"/>
    <n v="1191"/>
    <n v="352.23"/>
    <n v="64.069999999999993"/>
    <n v="71.75"/>
    <n v="37.29"/>
    <n v="4.43"/>
    <n v="471333"/>
    <n v="0"/>
    <n v="471333"/>
    <n v="30523"/>
    <n v="34182"/>
    <n v="0"/>
    <n v="49899"/>
    <n v="0"/>
    <n v="585937"/>
    <n v="78759"/>
    <n v="507178"/>
    <n v="332438"/>
    <n v="174740"/>
  </r>
  <r>
    <s v="05"/>
    <x v="1"/>
    <x v="34"/>
    <x v="34"/>
    <n v="34.6"/>
    <n v="298"/>
    <n v="332.6"/>
    <n v="0"/>
    <n v="0"/>
    <n v="0"/>
    <n v="298"/>
    <n v="352.23"/>
    <n v="64.069999999999993"/>
    <n v="71.75"/>
    <n v="37.29"/>
    <n v="4.43"/>
    <n v="117152"/>
    <n v="0"/>
    <n v="117152"/>
    <n v="7637"/>
    <n v="8553"/>
    <n v="0"/>
    <n v="12403"/>
    <n v="0"/>
    <n v="145745"/>
    <n v="19576"/>
    <n v="126169"/>
    <n v="82629"/>
    <n v="43540"/>
  </r>
  <r>
    <s v="05"/>
    <x v="1"/>
    <x v="35"/>
    <x v="35"/>
    <n v="126.31"/>
    <n v="1214.7"/>
    <n v="1341.01"/>
    <n v="0"/>
    <n v="122"/>
    <n v="1.9"/>
    <n v="1335"/>
    <n v="352.23"/>
    <n v="64.069999999999993"/>
    <n v="71.75"/>
    <n v="37.29"/>
    <n v="4.43"/>
    <n v="472344"/>
    <n v="4924"/>
    <n v="477268"/>
    <n v="34213"/>
    <n v="38314"/>
    <n v="0"/>
    <n v="50559"/>
    <n v="0"/>
    <n v="600354"/>
    <n v="78928"/>
    <n v="521426"/>
    <n v="333704"/>
    <n v="187722"/>
  </r>
  <r>
    <s v="05"/>
    <x v="1"/>
    <x v="36"/>
    <x v="36"/>
    <n v="63.84"/>
    <n v="316"/>
    <n v="379.84"/>
    <n v="0"/>
    <n v="2"/>
    <n v="0"/>
    <n v="318"/>
    <n v="352.23"/>
    <n v="64.069999999999993"/>
    <n v="71.75"/>
    <n v="37.29"/>
    <n v="4.43"/>
    <n v="133791"/>
    <n v="0"/>
    <n v="133791"/>
    <n v="8150"/>
    <n v="9127"/>
    <n v="0"/>
    <n v="14164"/>
    <n v="0"/>
    <n v="165232"/>
    <n v="22356"/>
    <n v="142876"/>
    <n v="94365"/>
    <n v="48511"/>
  </r>
  <r>
    <s v="05"/>
    <x v="1"/>
    <x v="37"/>
    <x v="37"/>
    <n v="69.260000000000005"/>
    <n v="661.5"/>
    <n v="730.76"/>
    <n v="0"/>
    <n v="65"/>
    <n v="0"/>
    <n v="727"/>
    <n v="352.23"/>
    <n v="64.069999999999993"/>
    <n v="71.75"/>
    <n v="37.29"/>
    <n v="4.43"/>
    <n v="257396"/>
    <n v="0"/>
    <n v="257396"/>
    <n v="18632"/>
    <n v="20865"/>
    <n v="0"/>
    <n v="27250"/>
    <n v="0"/>
    <n v="324143"/>
    <n v="43011"/>
    <n v="281132"/>
    <n v="181544"/>
    <n v="99588"/>
  </r>
  <r>
    <s v="05"/>
    <x v="1"/>
    <x v="38"/>
    <x v="38"/>
    <n v="50.38"/>
    <n v="476.5"/>
    <n v="526.88"/>
    <n v="0"/>
    <n v="9"/>
    <n v="0"/>
    <n v="486"/>
    <n v="352.23"/>
    <n v="64.069999999999993"/>
    <n v="71.75"/>
    <n v="37.29"/>
    <n v="4.43"/>
    <n v="185583"/>
    <n v="2559"/>
    <n v="188142"/>
    <n v="12455"/>
    <n v="13948"/>
    <n v="0"/>
    <n v="19931"/>
    <n v="0"/>
    <n v="234476"/>
    <n v="31011"/>
    <n v="203465"/>
    <n v="131178"/>
    <n v="72287"/>
  </r>
  <r>
    <s v="05"/>
    <x v="1"/>
    <x v="39"/>
    <x v="39"/>
    <n v="45.73"/>
    <n v="243.2"/>
    <n v="288.93"/>
    <n v="0"/>
    <n v="25"/>
    <n v="0"/>
    <n v="268"/>
    <n v="352.23"/>
    <n v="64.069999999999993"/>
    <n v="71.75"/>
    <n v="37.29"/>
    <n v="4.43"/>
    <n v="101770"/>
    <n v="7251"/>
    <n v="109021"/>
    <n v="6868"/>
    <n v="7692"/>
    <n v="0"/>
    <n v="10774"/>
    <n v="0"/>
    <n v="134355"/>
    <n v="17006"/>
    <n v="117349"/>
    <n v="71779"/>
    <n v="45570"/>
  </r>
  <r>
    <s v="05"/>
    <x v="1"/>
    <x v="40"/>
    <x v="40"/>
    <n v="49.32"/>
    <n v="397"/>
    <n v="446.32"/>
    <n v="0"/>
    <n v="15"/>
    <n v="0"/>
    <n v="412"/>
    <n v="352.23"/>
    <n v="64.069999999999993"/>
    <n v="71.75"/>
    <n v="37.29"/>
    <n v="4.43"/>
    <n v="157207"/>
    <n v="13028"/>
    <n v="170235"/>
    <n v="10559"/>
    <n v="11824"/>
    <n v="0"/>
    <n v="16643"/>
    <n v="0"/>
    <n v="209261"/>
    <n v="26269"/>
    <n v="182992"/>
    <n v="110880"/>
    <n v="72112"/>
  </r>
  <r>
    <s v="05"/>
    <x v="1"/>
    <x v="41"/>
    <x v="41"/>
    <n v="116.56"/>
    <n v="1024.4000000000001"/>
    <n v="1140.96"/>
    <n v="0"/>
    <n v="8"/>
    <n v="0"/>
    <n v="1032"/>
    <n v="352.23"/>
    <n v="64.069999999999993"/>
    <n v="71.75"/>
    <n v="37.29"/>
    <n v="4.43"/>
    <n v="401880"/>
    <n v="9003"/>
    <n v="410883"/>
    <n v="26448"/>
    <n v="29618"/>
    <n v="0"/>
    <n v="43527"/>
    <n v="0"/>
    <n v="510476"/>
    <n v="67154"/>
    <n v="443322"/>
    <n v="284432"/>
    <n v="158890"/>
  </r>
  <r>
    <s v="05"/>
    <x v="1"/>
    <x v="42"/>
    <x v="42"/>
    <n v="15.5"/>
    <n v="188.2"/>
    <n v="203.7"/>
    <n v="0"/>
    <n v="5"/>
    <n v="0"/>
    <n v="193"/>
    <n v="352.23"/>
    <n v="64.069999999999993"/>
    <n v="71.75"/>
    <n v="37.29"/>
    <n v="4.43"/>
    <n v="71749"/>
    <n v="366"/>
    <n v="72115"/>
    <n v="4946"/>
    <n v="5539"/>
    <n v="0"/>
    <n v="7596"/>
    <n v="0"/>
    <n v="90196"/>
    <n v="11989"/>
    <n v="78207"/>
    <n v="50606"/>
    <n v="27601"/>
  </r>
  <r>
    <s v="05"/>
    <x v="1"/>
    <x v="43"/>
    <x v="43"/>
    <n v="92.17"/>
    <n v="650"/>
    <n v="742.17"/>
    <n v="0"/>
    <n v="85"/>
    <n v="6.9"/>
    <n v="728"/>
    <n v="352.23"/>
    <n v="64.069999999999993"/>
    <n v="71.75"/>
    <n v="37.29"/>
    <n v="4.43"/>
    <n v="261415"/>
    <n v="4632"/>
    <n v="266047"/>
    <n v="18657"/>
    <n v="20894"/>
    <n v="0"/>
    <n v="27886"/>
    <n v="0"/>
    <n v="333484"/>
    <n v="43682"/>
    <n v="289802"/>
    <n v="184590"/>
    <n v="105212"/>
  </r>
  <r>
    <s v="05"/>
    <x v="1"/>
    <x v="44"/>
    <x v="44"/>
    <n v="21.26"/>
    <n v="177"/>
    <n v="198.26"/>
    <n v="0"/>
    <n v="5"/>
    <n v="0"/>
    <n v="182"/>
    <n v="352.23"/>
    <n v="64.069999999999993"/>
    <n v="71.75"/>
    <n v="37.29"/>
    <n v="4.43"/>
    <n v="69833"/>
    <n v="16642"/>
    <n v="86475"/>
    <n v="4664"/>
    <n v="5224"/>
    <n v="0"/>
    <n v="8186"/>
    <n v="0"/>
    <n v="104549"/>
    <n v="11669"/>
    <n v="92880"/>
    <n v="50047"/>
    <n v="42833"/>
  </r>
  <r>
    <s v="05"/>
    <x v="1"/>
    <x v="45"/>
    <x v="45"/>
    <n v="45.95"/>
    <n v="365"/>
    <n v="410.95"/>
    <n v="0"/>
    <n v="12"/>
    <n v="0"/>
    <n v="377"/>
    <n v="352.23"/>
    <n v="64.069999999999993"/>
    <n v="71.75"/>
    <n v="37.29"/>
    <n v="4.43"/>
    <n v="144749"/>
    <n v="0"/>
    <n v="144749"/>
    <n v="9662"/>
    <n v="10820"/>
    <n v="0"/>
    <n v="15324"/>
    <n v="0"/>
    <n v="180555"/>
    <n v="24187"/>
    <n v="156368"/>
    <n v="102094"/>
    <n v="54274"/>
  </r>
  <r>
    <s v="05"/>
    <x v="1"/>
    <x v="46"/>
    <x v="46"/>
    <n v="59.4"/>
    <n v="436"/>
    <n v="495.4"/>
    <n v="0"/>
    <n v="12"/>
    <n v="0"/>
    <n v="448"/>
    <n v="352.23"/>
    <n v="64.069999999999993"/>
    <n v="71.75"/>
    <n v="37.29"/>
    <n v="4.43"/>
    <n v="174495"/>
    <n v="81"/>
    <n v="174576"/>
    <n v="11481"/>
    <n v="12858"/>
    <n v="0"/>
    <n v="18494"/>
    <n v="0"/>
    <n v="217409"/>
    <n v="29158"/>
    <n v="188251"/>
    <n v="123094"/>
    <n v="65157"/>
  </r>
  <r>
    <s v="05"/>
    <x v="1"/>
    <x v="47"/>
    <x v="47"/>
    <n v="105.15"/>
    <n v="926.1"/>
    <n v="1031.25"/>
    <n v="0"/>
    <n v="36"/>
    <n v="0"/>
    <n v="962"/>
    <n v="352.23"/>
    <n v="64.069999999999993"/>
    <n v="71.75"/>
    <n v="37.29"/>
    <n v="4.43"/>
    <n v="363237"/>
    <n v="0"/>
    <n v="363237"/>
    <n v="24654"/>
    <n v="27610"/>
    <n v="0"/>
    <n v="38455"/>
    <n v="0"/>
    <n v="453956"/>
    <n v="60697"/>
    <n v="393259"/>
    <n v="256196"/>
    <n v="137063"/>
  </r>
  <r>
    <s v="05"/>
    <x v="1"/>
    <x v="48"/>
    <x v="48"/>
    <n v="63.54"/>
    <n v="608.5"/>
    <n v="672.04"/>
    <n v="0"/>
    <n v="4"/>
    <n v="0"/>
    <n v="613"/>
    <n v="352.23"/>
    <n v="64.069999999999993"/>
    <n v="71.75"/>
    <n v="37.29"/>
    <n v="4.43"/>
    <n v="236713"/>
    <n v="262"/>
    <n v="236975"/>
    <n v="15710"/>
    <n v="17593"/>
    <n v="0"/>
    <n v="25104"/>
    <n v="0"/>
    <n v="295382"/>
    <n v="39555"/>
    <n v="255827"/>
    <n v="167000"/>
    <n v="88827"/>
  </r>
  <r>
    <s v="05"/>
    <x v="1"/>
    <x v="49"/>
    <x v="49"/>
    <n v="134.65"/>
    <n v="1104.5999999999999"/>
    <n v="1239.25"/>
    <n v="0"/>
    <n v="26"/>
    <n v="0"/>
    <n v="1131"/>
    <n v="352.23"/>
    <n v="64.069999999999993"/>
    <n v="71.75"/>
    <n v="37.29"/>
    <n v="4.43"/>
    <n v="436501"/>
    <n v="0"/>
    <n v="436501"/>
    <n v="28985"/>
    <n v="32460"/>
    <n v="0"/>
    <n v="46212"/>
    <n v="0"/>
    <n v="544158"/>
    <n v="72939"/>
    <n v="471219"/>
    <n v="307871"/>
    <n v="163348"/>
  </r>
  <r>
    <s v="05"/>
    <x v="1"/>
    <x v="50"/>
    <x v="50"/>
    <n v="368.42"/>
    <n v="2011.9"/>
    <n v="2380.3200000000002"/>
    <n v="0"/>
    <n v="214"/>
    <n v="0.4"/>
    <n v="2226"/>
    <n v="352.23"/>
    <n v="64.069999999999993"/>
    <n v="71.75"/>
    <n v="37.29"/>
    <n v="4.43"/>
    <n v="838420"/>
    <n v="0"/>
    <n v="838420"/>
    <n v="57048"/>
    <n v="63886"/>
    <n v="0"/>
    <n v="88762"/>
    <n v="0"/>
    <n v="1048116"/>
    <n v="140099"/>
    <n v="908017"/>
    <n v="591349"/>
    <n v="316668"/>
  </r>
  <r>
    <s v="05"/>
    <x v="1"/>
    <x v="51"/>
    <x v="51"/>
    <n v="126.8"/>
    <n v="1170.7"/>
    <n v="1297.5"/>
    <n v="0"/>
    <n v="0"/>
    <n v="0"/>
    <n v="1171"/>
    <n v="352.23"/>
    <n v="64.069999999999993"/>
    <n v="71.75"/>
    <n v="37.29"/>
    <n v="4.43"/>
    <n v="457018"/>
    <n v="0"/>
    <n v="457018"/>
    <n v="30010"/>
    <n v="33608"/>
    <n v="0"/>
    <n v="48384"/>
    <n v="0"/>
    <n v="569020"/>
    <n v="76367"/>
    <n v="492653"/>
    <n v="322342"/>
    <n v="170311"/>
  </r>
  <r>
    <s v="05"/>
    <x v="1"/>
    <x v="52"/>
    <x v="52"/>
    <n v="331.95"/>
    <n v="2582.1"/>
    <n v="2914.05"/>
    <n v="0"/>
    <n v="194"/>
    <n v="2.1"/>
    <n v="2774"/>
    <n v="352.23"/>
    <n v="64.069999999999993"/>
    <n v="71.75"/>
    <n v="37.29"/>
    <n v="4.43"/>
    <n v="1026416"/>
    <n v="0"/>
    <n v="1026416"/>
    <n v="71092"/>
    <n v="79614"/>
    <n v="0"/>
    <n v="108665"/>
    <n v="0"/>
    <n v="1285787"/>
    <n v="171513"/>
    <n v="1114274"/>
    <n v="723946"/>
    <n v="390328"/>
  </r>
  <r>
    <s v="05"/>
    <x v="1"/>
    <x v="53"/>
    <x v="53"/>
    <n v="25.22"/>
    <n v="145.9"/>
    <n v="171.12"/>
    <n v="0"/>
    <n v="4"/>
    <n v="0"/>
    <n v="150"/>
    <n v="352.23"/>
    <n v="64.069999999999993"/>
    <n v="71.75"/>
    <n v="37.29"/>
    <n v="4.43"/>
    <n v="60274"/>
    <n v="3237"/>
    <n v="63511"/>
    <n v="3844"/>
    <n v="4305"/>
    <n v="0"/>
    <n v="6381"/>
    <n v="0"/>
    <n v="78041"/>
    <n v="10071"/>
    <n v="67970"/>
    <n v="42512"/>
    <n v="25458"/>
  </r>
  <r>
    <s v="05"/>
    <x v="1"/>
    <x v="54"/>
    <x v="54"/>
    <n v="23.43"/>
    <n v="156"/>
    <n v="179.43"/>
    <n v="0"/>
    <n v="14"/>
    <n v="0"/>
    <n v="170"/>
    <n v="352.23"/>
    <n v="64.069999999999993"/>
    <n v="71.75"/>
    <n v="37.29"/>
    <n v="4.43"/>
    <n v="63201"/>
    <n v="2929"/>
    <n v="66130"/>
    <n v="4357"/>
    <n v="4879"/>
    <n v="0"/>
    <n v="7005"/>
    <n v="0"/>
    <n v="82371"/>
    <n v="10560"/>
    <n v="71811"/>
    <n v="44891"/>
    <n v="26920"/>
  </r>
  <r>
    <s v="05"/>
    <x v="1"/>
    <x v="55"/>
    <x v="55"/>
    <n v="186.19"/>
    <n v="1756.7"/>
    <n v="1942.89"/>
    <n v="0"/>
    <n v="87"/>
    <n v="1.6"/>
    <n v="1842"/>
    <n v="352.23"/>
    <n v="64.069999999999993"/>
    <n v="71.75"/>
    <n v="37.29"/>
    <n v="4.43"/>
    <n v="684344"/>
    <n v="0"/>
    <n v="684344"/>
    <n v="47207"/>
    <n v="52866"/>
    <n v="0"/>
    <n v="72450"/>
    <n v="0"/>
    <n v="856867"/>
    <n v="114353"/>
    <n v="742514"/>
    <n v="482677"/>
    <n v="259837"/>
  </r>
  <r>
    <s v="05"/>
    <x v="1"/>
    <x v="56"/>
    <x v="56"/>
    <n v="27.24"/>
    <n v="340.1"/>
    <n v="367.34"/>
    <n v="0"/>
    <n v="29"/>
    <n v="0"/>
    <n v="369"/>
    <n v="352.23"/>
    <n v="64.069999999999993"/>
    <n v="71.75"/>
    <n v="37.29"/>
    <n v="4.43"/>
    <n v="129388"/>
    <n v="0"/>
    <n v="129388"/>
    <n v="9457"/>
    <n v="10590"/>
    <n v="0"/>
    <n v="13698"/>
    <n v="0"/>
    <n v="163133"/>
    <n v="21621"/>
    <n v="141512"/>
    <n v="91259"/>
    <n v="50253"/>
  </r>
  <r>
    <s v="07"/>
    <x v="2"/>
    <x v="57"/>
    <x v="57"/>
    <n v="116.81"/>
    <n v="709.2"/>
    <n v="826.01"/>
    <n v="1.02"/>
    <n v="19"/>
    <n v="0"/>
    <n v="728"/>
    <n v="345.6"/>
    <n v="64.02"/>
    <n v="71.37"/>
    <n v="42.56"/>
    <n v="4.9000000000000004"/>
    <n v="285469"/>
    <n v="0"/>
    <n v="285469"/>
    <n v="18643"/>
    <n v="20783"/>
    <n v="353"/>
    <n v="35155"/>
    <n v="0"/>
    <n v="360403"/>
    <n v="48616"/>
    <n v="311787"/>
    <n v="209837"/>
    <n v="101950"/>
  </r>
  <r>
    <s v="07"/>
    <x v="2"/>
    <x v="58"/>
    <x v="58"/>
    <n v="21.07"/>
    <n v="267.3"/>
    <n v="288.37"/>
    <n v="0.36"/>
    <n v="0"/>
    <n v="0"/>
    <n v="267"/>
    <n v="345.6"/>
    <n v="64.02"/>
    <n v="71.37"/>
    <n v="42.56"/>
    <n v="4.9000000000000004"/>
    <n v="99661"/>
    <n v="294"/>
    <n v="99955"/>
    <n v="6837"/>
    <n v="7622"/>
    <n v="124"/>
    <n v="12273"/>
    <n v="0"/>
    <n v="126811"/>
    <n v="16973"/>
    <n v="109838"/>
    <n v="73257"/>
    <n v="36581"/>
  </r>
  <r>
    <s v="07"/>
    <x v="2"/>
    <x v="59"/>
    <x v="59"/>
    <n v="118.8"/>
    <n v="793.9"/>
    <n v="912.7"/>
    <n v="1.1299999999999999"/>
    <n v="19"/>
    <n v="0"/>
    <n v="813"/>
    <n v="345.6"/>
    <n v="64.02"/>
    <n v="71.37"/>
    <n v="42.56"/>
    <n v="4.9000000000000004"/>
    <n v="315429"/>
    <n v="0"/>
    <n v="315429"/>
    <n v="20819"/>
    <n v="23210"/>
    <n v="391"/>
    <n v="38845"/>
    <n v="0"/>
    <n v="398694"/>
    <n v="53719"/>
    <n v="344975"/>
    <n v="231860"/>
    <n v="113115"/>
  </r>
  <r>
    <s v="07"/>
    <x v="2"/>
    <x v="60"/>
    <x v="60"/>
    <n v="67.67"/>
    <n v="445.7"/>
    <n v="513.37"/>
    <n v="0.63"/>
    <n v="5"/>
    <n v="0"/>
    <n v="451"/>
    <n v="345.6"/>
    <n v="64.02"/>
    <n v="71.37"/>
    <n v="42.56"/>
    <n v="4.9000000000000004"/>
    <n v="177421"/>
    <n v="9091"/>
    <n v="186512"/>
    <n v="11549"/>
    <n v="12875"/>
    <n v="218"/>
    <n v="22036"/>
    <n v="0"/>
    <n v="233190"/>
    <n v="30216"/>
    <n v="202974"/>
    <n v="130600"/>
    <n v="72374"/>
  </r>
  <r>
    <s v="07"/>
    <x v="2"/>
    <x v="61"/>
    <x v="61"/>
    <n v="89.7"/>
    <n v="747.1"/>
    <n v="836.8"/>
    <n v="1.03"/>
    <n v="0"/>
    <n v="0"/>
    <n v="747"/>
    <n v="345.6"/>
    <n v="64.02"/>
    <n v="71.37"/>
    <n v="42.56"/>
    <n v="4.9000000000000004"/>
    <n v="289198"/>
    <n v="0"/>
    <n v="289198"/>
    <n v="19129"/>
    <n v="21325"/>
    <n v="356"/>
    <n v="35614"/>
    <n v="0"/>
    <n v="365622"/>
    <n v="49252"/>
    <n v="316370"/>
    <n v="212576"/>
    <n v="103794"/>
  </r>
  <r>
    <s v="07"/>
    <x v="2"/>
    <x v="62"/>
    <x v="62"/>
    <n v="70.69"/>
    <n v="512.5"/>
    <n v="583.19000000000005"/>
    <n v="0.72"/>
    <n v="0"/>
    <n v="0"/>
    <n v="513"/>
    <n v="345.6"/>
    <n v="64.02"/>
    <n v="71.37"/>
    <n v="42.56"/>
    <n v="4.9000000000000004"/>
    <n v="201550"/>
    <n v="0"/>
    <n v="201550"/>
    <n v="13137"/>
    <n v="14645"/>
    <n v="249"/>
    <n v="24821"/>
    <n v="0"/>
    <n v="254402"/>
    <n v="34325"/>
    <n v="220077"/>
    <n v="148152"/>
    <n v="71925"/>
  </r>
  <r>
    <s v="07"/>
    <x v="2"/>
    <x v="63"/>
    <x v="63"/>
    <n v="41.76"/>
    <n v="284.89999999999998"/>
    <n v="326.66000000000003"/>
    <n v="0.4"/>
    <n v="17"/>
    <n v="0.4"/>
    <n v="302"/>
    <n v="345.6"/>
    <n v="64.02"/>
    <n v="71.37"/>
    <n v="42.56"/>
    <n v="4.9000000000000004"/>
    <n v="112894"/>
    <n v="0"/>
    <n v="112894"/>
    <n v="7734"/>
    <n v="8622"/>
    <n v="138"/>
    <n v="13903"/>
    <n v="0"/>
    <n v="143291"/>
    <n v="19227"/>
    <n v="124064"/>
    <n v="82982"/>
    <n v="41082"/>
  </r>
  <r>
    <s v="07"/>
    <x v="2"/>
    <x v="64"/>
    <x v="64"/>
    <n v="817.12"/>
    <n v="5525.2"/>
    <n v="6342.32"/>
    <n v="7.84"/>
    <n v="339"/>
    <n v="2.1"/>
    <n v="5862"/>
    <n v="345.6"/>
    <n v="64.02"/>
    <n v="71.37"/>
    <n v="42.56"/>
    <n v="4.9000000000000004"/>
    <n v="2191906"/>
    <n v="0"/>
    <n v="2191906"/>
    <n v="150114"/>
    <n v="167348"/>
    <n v="2710"/>
    <n v="269929"/>
    <n v="0"/>
    <n v="2782007"/>
    <n v="373291"/>
    <n v="2408716"/>
    <n v="1611181"/>
    <n v="797535"/>
  </r>
  <r>
    <s v="07"/>
    <x v="2"/>
    <x v="65"/>
    <x v="65"/>
    <n v="99.58"/>
    <n v="782.8"/>
    <n v="882.38"/>
    <n v="1.0900000000000001"/>
    <n v="45"/>
    <n v="0"/>
    <n v="828"/>
    <n v="345.6"/>
    <n v="64.02"/>
    <n v="71.37"/>
    <n v="42.56"/>
    <n v="4.9000000000000004"/>
    <n v="304951"/>
    <n v="4684"/>
    <n v="309635"/>
    <n v="21204"/>
    <n v="23638"/>
    <n v="377"/>
    <n v="38284"/>
    <n v="0"/>
    <n v="393138"/>
    <n v="51935"/>
    <n v="341203"/>
    <n v="224886"/>
    <n v="116317"/>
  </r>
  <r>
    <s v="07"/>
    <x v="2"/>
    <x v="66"/>
    <x v="66"/>
    <n v="306.54000000000002"/>
    <n v="1469.4"/>
    <n v="1775.94"/>
    <n v="2.19"/>
    <n v="175"/>
    <n v="8.1999999999999993"/>
    <n v="1636"/>
    <n v="345.6"/>
    <n v="64.02"/>
    <n v="71.37"/>
    <n v="42.56"/>
    <n v="4.9000000000000004"/>
    <n v="613765"/>
    <n v="0"/>
    <n v="613765"/>
    <n v="41895"/>
    <n v="46704"/>
    <n v="757"/>
    <n v="75584"/>
    <n v="0"/>
    <n v="778705"/>
    <n v="104527"/>
    <n v="674178"/>
    <n v="451152"/>
    <n v="223026"/>
  </r>
  <r>
    <s v="07"/>
    <x v="2"/>
    <x v="67"/>
    <x v="67"/>
    <n v="45.65"/>
    <n v="280.60000000000002"/>
    <n v="326.25"/>
    <n v="0.4"/>
    <n v="4"/>
    <n v="0"/>
    <n v="285"/>
    <n v="345.6"/>
    <n v="64.02"/>
    <n v="71.37"/>
    <n v="42.56"/>
    <n v="4.9000000000000004"/>
    <n v="112752"/>
    <n v="5042"/>
    <n v="117794"/>
    <n v="7298"/>
    <n v="8136"/>
    <n v="138"/>
    <n v="14184"/>
    <n v="0"/>
    <n v="147550"/>
    <n v="19202"/>
    <n v="128348"/>
    <n v="83178"/>
    <n v="45170"/>
  </r>
  <r>
    <s v="07"/>
    <x v="2"/>
    <x v="68"/>
    <x v="68"/>
    <n v="151.34"/>
    <n v="1159.2"/>
    <n v="1310.54"/>
    <n v="1.62"/>
    <n v="58"/>
    <n v="0"/>
    <n v="1217"/>
    <n v="345.6"/>
    <n v="64.02"/>
    <n v="71.37"/>
    <n v="42.56"/>
    <n v="4.9000000000000004"/>
    <n v="452923"/>
    <n v="2502"/>
    <n v="455425"/>
    <n v="31165"/>
    <n v="34743"/>
    <n v="560"/>
    <n v="55777"/>
    <n v="0"/>
    <n v="577670"/>
    <n v="77135"/>
    <n v="500535"/>
    <n v="332925"/>
    <n v="167610"/>
  </r>
  <r>
    <s v="07"/>
    <x v="2"/>
    <x v="69"/>
    <x v="69"/>
    <n v="78.239999999999995"/>
    <n v="864.3"/>
    <n v="942.54"/>
    <n v="1.1599999999999999"/>
    <n v="12"/>
    <n v="0"/>
    <n v="876"/>
    <n v="345.6"/>
    <n v="64.02"/>
    <n v="71.37"/>
    <n v="42.56"/>
    <n v="4.9000000000000004"/>
    <n v="325742"/>
    <n v="0"/>
    <n v="325742"/>
    <n v="22433"/>
    <n v="25008"/>
    <n v="401"/>
    <n v="40115"/>
    <n v="0"/>
    <n v="413699"/>
    <n v="55475"/>
    <n v="358224"/>
    <n v="239439"/>
    <n v="118785"/>
  </r>
  <r>
    <s v="07"/>
    <x v="2"/>
    <x v="70"/>
    <x v="70"/>
    <n v="114.51"/>
    <n v="872.5"/>
    <n v="987.01"/>
    <n v="1.22"/>
    <n v="13"/>
    <n v="0"/>
    <n v="886"/>
    <n v="345.6"/>
    <n v="64.02"/>
    <n v="71.37"/>
    <n v="42.56"/>
    <n v="4.9000000000000004"/>
    <n v="341111"/>
    <n v="0"/>
    <n v="341111"/>
    <n v="22689"/>
    <n v="25294"/>
    <n v="422"/>
    <n v="42007"/>
    <n v="0"/>
    <n v="431523"/>
    <n v="58093"/>
    <n v="373430"/>
    <n v="250736"/>
    <n v="122694"/>
  </r>
  <r>
    <s v="07"/>
    <x v="2"/>
    <x v="71"/>
    <x v="71"/>
    <n v="54.75"/>
    <n v="359.4"/>
    <n v="414.15"/>
    <n v="0.51"/>
    <n v="17"/>
    <n v="0"/>
    <n v="376"/>
    <n v="345.6"/>
    <n v="64.02"/>
    <n v="71.37"/>
    <n v="42.56"/>
    <n v="4.9000000000000004"/>
    <n v="143130"/>
    <n v="10552"/>
    <n v="153682"/>
    <n v="9629"/>
    <n v="10734"/>
    <n v="176"/>
    <n v="17626"/>
    <n v="0"/>
    <n v="191847"/>
    <n v="24375"/>
    <n v="167472"/>
    <n v="105209"/>
    <n v="62263"/>
  </r>
  <r>
    <s v="07"/>
    <x v="2"/>
    <x v="72"/>
    <x v="72"/>
    <n v="85.83"/>
    <n v="534.5"/>
    <n v="620.33000000000004"/>
    <n v="0.77"/>
    <n v="4"/>
    <n v="0"/>
    <n v="539"/>
    <n v="345.6"/>
    <n v="64.02"/>
    <n v="71.37"/>
    <n v="42.56"/>
    <n v="4.9000000000000004"/>
    <n v="214386"/>
    <n v="374"/>
    <n v="214760"/>
    <n v="13803"/>
    <n v="15387"/>
    <n v="266"/>
    <n v="26554"/>
    <n v="0"/>
    <n v="270770"/>
    <n v="36511"/>
    <n v="234259"/>
    <n v="157740"/>
    <n v="76519"/>
  </r>
  <r>
    <s v="07"/>
    <x v="2"/>
    <x v="73"/>
    <x v="73"/>
    <n v="74.959999999999994"/>
    <n v="511.5"/>
    <n v="586.46"/>
    <n v="0.72"/>
    <n v="12"/>
    <n v="0"/>
    <n v="524"/>
    <n v="345.6"/>
    <n v="64.02"/>
    <n v="71.37"/>
    <n v="42.56"/>
    <n v="4.9000000000000004"/>
    <n v="202681"/>
    <n v="12922"/>
    <n v="215603"/>
    <n v="13418"/>
    <n v="14959"/>
    <n v="249"/>
    <n v="24960"/>
    <n v="0"/>
    <n v="269189"/>
    <n v="34518"/>
    <n v="234671"/>
    <n v="148981"/>
    <n v="85690"/>
  </r>
  <r>
    <s v="07"/>
    <x v="2"/>
    <x v="74"/>
    <x v="74"/>
    <n v="103.5"/>
    <n v="540.79999999999995"/>
    <n v="644.29999999999995"/>
    <n v="0.8"/>
    <n v="9"/>
    <n v="0"/>
    <n v="550"/>
    <n v="345.6"/>
    <n v="64.02"/>
    <n v="71.37"/>
    <n v="42.56"/>
    <n v="4.9000000000000004"/>
    <n v="222670"/>
    <n v="12831"/>
    <n v="235501"/>
    <n v="14084"/>
    <n v="15702"/>
    <n v="276"/>
    <n v="28669"/>
    <n v="0"/>
    <n v="294232"/>
    <n v="37921"/>
    <n v="256311"/>
    <n v="164925"/>
    <n v="91386"/>
  </r>
  <r>
    <s v="07"/>
    <x v="2"/>
    <x v="75"/>
    <x v="75"/>
    <n v="169.21"/>
    <n v="1055.7"/>
    <n v="1224.9100000000001"/>
    <n v="1.51"/>
    <n v="29"/>
    <n v="0"/>
    <n v="1085"/>
    <n v="345.6"/>
    <n v="64.02"/>
    <n v="71.37"/>
    <n v="42.56"/>
    <n v="4.9000000000000004"/>
    <n v="423329"/>
    <n v="0"/>
    <n v="423329"/>
    <n v="27785"/>
    <n v="30974"/>
    <n v="522"/>
    <n v="52132"/>
    <n v="0"/>
    <n v="534742"/>
    <n v="72095"/>
    <n v="462647"/>
    <n v="311170"/>
    <n v="151477"/>
  </r>
  <r>
    <s v="07"/>
    <x v="2"/>
    <x v="76"/>
    <x v="76"/>
    <n v="27.78"/>
    <n v="246.3"/>
    <n v="274.08"/>
    <n v="0.34"/>
    <n v="3"/>
    <n v="0"/>
    <n v="249"/>
    <n v="345.6"/>
    <n v="64.02"/>
    <n v="71.37"/>
    <n v="42.56"/>
    <n v="4.9000000000000004"/>
    <n v="94722"/>
    <n v="10653"/>
    <n v="105375"/>
    <n v="6376"/>
    <n v="7108"/>
    <n v="118"/>
    <n v="11759"/>
    <n v="0"/>
    <n v="130736"/>
    <n v="16132"/>
    <n v="114604"/>
    <n v="69720"/>
    <n v="44884"/>
  </r>
  <r>
    <s v="07"/>
    <x v="2"/>
    <x v="77"/>
    <x v="77"/>
    <n v="90.23"/>
    <n v="845.1"/>
    <n v="935.33"/>
    <n v="1.1499999999999999"/>
    <n v="41"/>
    <n v="0"/>
    <n v="886"/>
    <n v="345.6"/>
    <n v="64.02"/>
    <n v="71.37"/>
    <n v="42.56"/>
    <n v="4.9000000000000004"/>
    <n v="323250"/>
    <n v="12900"/>
    <n v="336150"/>
    <n v="22689"/>
    <n v="25294"/>
    <n v="397"/>
    <n v="39808"/>
    <n v="0"/>
    <n v="424338"/>
    <n v="55051"/>
    <n v="369287"/>
    <n v="237607"/>
    <n v="131680"/>
  </r>
  <r>
    <s v="07"/>
    <x v="2"/>
    <x v="78"/>
    <x v="78"/>
    <n v="97.17"/>
    <n v="614.29999999999995"/>
    <n v="711.47"/>
    <n v="0.88"/>
    <n v="3"/>
    <n v="0"/>
    <n v="617"/>
    <n v="345.6"/>
    <n v="64.02"/>
    <n v="71.37"/>
    <n v="42.56"/>
    <n v="4.9000000000000004"/>
    <n v="245884"/>
    <n v="0"/>
    <n v="245884"/>
    <n v="15800"/>
    <n v="17614"/>
    <n v="304"/>
    <n v="30280"/>
    <n v="0"/>
    <n v="309882"/>
    <n v="41876"/>
    <n v="268006"/>
    <n v="180739"/>
    <n v="87267"/>
  </r>
  <r>
    <s v="07"/>
    <x v="2"/>
    <x v="79"/>
    <x v="79"/>
    <n v="236.5"/>
    <n v="1495.4"/>
    <n v="1731.9"/>
    <n v="2.14"/>
    <n v="53"/>
    <n v="0"/>
    <n v="1548"/>
    <n v="345.6"/>
    <n v="64.02"/>
    <n v="71.37"/>
    <n v="42.56"/>
    <n v="4.9000000000000004"/>
    <n v="598545"/>
    <n v="0"/>
    <n v="598545"/>
    <n v="39641"/>
    <n v="44192"/>
    <n v="740"/>
    <n v="73710"/>
    <n v="0"/>
    <n v="756828"/>
    <n v="101935"/>
    <n v="654893"/>
    <n v="439966"/>
    <n v="214927"/>
  </r>
  <r>
    <s v="07"/>
    <x v="2"/>
    <x v="80"/>
    <x v="80"/>
    <n v="86.79"/>
    <n v="670.2"/>
    <n v="756.99"/>
    <n v="0.93"/>
    <n v="8"/>
    <n v="0"/>
    <n v="678"/>
    <n v="345.6"/>
    <n v="64.02"/>
    <n v="71.37"/>
    <n v="42.56"/>
    <n v="4.9000000000000004"/>
    <n v="261616"/>
    <n v="0"/>
    <n v="261616"/>
    <n v="17362"/>
    <n v="19356"/>
    <n v="321"/>
    <n v="32217"/>
    <n v="0"/>
    <n v="330872"/>
    <n v="44555"/>
    <n v="286317"/>
    <n v="192300"/>
    <n v="94017"/>
  </r>
  <r>
    <s v="07"/>
    <x v="2"/>
    <x v="81"/>
    <x v="81"/>
    <n v="150.19"/>
    <n v="1091.0999999999999"/>
    <n v="1241.29"/>
    <n v="1.53"/>
    <n v="11"/>
    <n v="0"/>
    <n v="1102"/>
    <n v="345.6"/>
    <n v="64.02"/>
    <n v="71.37"/>
    <n v="42.56"/>
    <n v="4.9000000000000004"/>
    <n v="428990"/>
    <n v="0"/>
    <n v="428990"/>
    <n v="28220"/>
    <n v="31460"/>
    <n v="529"/>
    <n v="52829"/>
    <n v="0"/>
    <n v="542028"/>
    <n v="73060"/>
    <n v="468968"/>
    <n v="315330"/>
    <n v="153638"/>
  </r>
  <r>
    <s v="07"/>
    <x v="2"/>
    <x v="82"/>
    <x v="82"/>
    <n v="40.770000000000003"/>
    <n v="411.3"/>
    <n v="452.07"/>
    <n v="0.56000000000000005"/>
    <n v="0"/>
    <n v="0"/>
    <n v="411"/>
    <n v="345.6"/>
    <n v="64.02"/>
    <n v="71.37"/>
    <n v="42.56"/>
    <n v="4.9000000000000004"/>
    <n v="156235"/>
    <n v="0"/>
    <n v="156235"/>
    <n v="10525"/>
    <n v="11733"/>
    <n v="194"/>
    <n v="19240"/>
    <n v="0"/>
    <n v="197927"/>
    <n v="26607"/>
    <n v="171320"/>
    <n v="114843"/>
    <n v="56477"/>
  </r>
  <r>
    <s v="07"/>
    <x v="2"/>
    <x v="83"/>
    <x v="83"/>
    <n v="85.49"/>
    <n v="725.7"/>
    <n v="811.19"/>
    <n v="1"/>
    <n v="19"/>
    <n v="0"/>
    <n v="745"/>
    <n v="345.6"/>
    <n v="64.02"/>
    <n v="71.37"/>
    <n v="42.56"/>
    <n v="4.9000000000000004"/>
    <n v="280347"/>
    <n v="0"/>
    <n v="280347"/>
    <n v="19078"/>
    <n v="21268"/>
    <n v="346"/>
    <n v="34524"/>
    <n v="0"/>
    <n v="355563"/>
    <n v="47745"/>
    <n v="307818"/>
    <n v="206070"/>
    <n v="101748"/>
  </r>
  <r>
    <s v="07"/>
    <x v="2"/>
    <x v="84"/>
    <x v="84"/>
    <n v="183.13"/>
    <n v="1377.7"/>
    <n v="1560.83"/>
    <n v="1.93"/>
    <n v="121"/>
    <n v="4.9000000000000004"/>
    <n v="1494"/>
    <n v="345.6"/>
    <n v="64.02"/>
    <n v="71.37"/>
    <n v="42.56"/>
    <n v="4.9000000000000004"/>
    <n v="539423"/>
    <n v="0"/>
    <n v="539423"/>
    <n v="38258"/>
    <n v="42651"/>
    <n v="667"/>
    <n v="66429"/>
    <n v="0"/>
    <n v="687428"/>
    <n v="91867"/>
    <n v="595561"/>
    <n v="396507"/>
    <n v="199054"/>
  </r>
  <r>
    <s v="07"/>
    <x v="2"/>
    <x v="85"/>
    <x v="85"/>
    <n v="113.72"/>
    <n v="1003.7"/>
    <n v="1117.42"/>
    <n v="1.38"/>
    <n v="2"/>
    <n v="0"/>
    <n v="1006"/>
    <n v="345.6"/>
    <n v="64.02"/>
    <n v="71.37"/>
    <n v="42.56"/>
    <n v="4.9000000000000004"/>
    <n v="386180"/>
    <n v="0"/>
    <n v="386180"/>
    <n v="25762"/>
    <n v="28719"/>
    <n v="477"/>
    <n v="47557"/>
    <n v="0"/>
    <n v="488695"/>
    <n v="65768"/>
    <n v="422927"/>
    <n v="283865"/>
    <n v="139062"/>
  </r>
  <r>
    <s v="07"/>
    <x v="2"/>
    <x v="86"/>
    <x v="86"/>
    <n v="50.11"/>
    <n v="428.7"/>
    <n v="478.81"/>
    <n v="0.59"/>
    <n v="22"/>
    <n v="0"/>
    <n v="451"/>
    <n v="345.6"/>
    <n v="64.02"/>
    <n v="71.37"/>
    <n v="42.56"/>
    <n v="4.9000000000000004"/>
    <n v="165477"/>
    <n v="2229"/>
    <n v="167706"/>
    <n v="11549"/>
    <n v="12875"/>
    <n v="204"/>
    <n v="20736"/>
    <n v="0"/>
    <n v="213070"/>
    <n v="28181"/>
    <n v="184889"/>
    <n v="121993"/>
    <n v="62896"/>
  </r>
  <r>
    <s v="07"/>
    <x v="2"/>
    <x v="87"/>
    <x v="87"/>
    <n v="105.58"/>
    <n v="873.7"/>
    <n v="979.28"/>
    <n v="1.21"/>
    <n v="109"/>
    <n v="0.4"/>
    <n v="982"/>
    <n v="345.6"/>
    <n v="64.02"/>
    <n v="71.37"/>
    <n v="42.56"/>
    <n v="4.9000000000000004"/>
    <n v="338439"/>
    <n v="3772"/>
    <n v="342211"/>
    <n v="25147"/>
    <n v="28034"/>
    <n v="418"/>
    <n v="42312"/>
    <n v="0"/>
    <n v="438122"/>
    <n v="57638"/>
    <n v="380484"/>
    <n v="249406"/>
    <n v="131078"/>
  </r>
  <r>
    <s v="07"/>
    <x v="2"/>
    <x v="88"/>
    <x v="88"/>
    <n v="75.680000000000007"/>
    <n v="560.79999999999995"/>
    <n v="636.48"/>
    <n v="0.79"/>
    <n v="1"/>
    <n v="0"/>
    <n v="562"/>
    <n v="345.6"/>
    <n v="64.02"/>
    <n v="71.37"/>
    <n v="42.56"/>
    <n v="4.9000000000000004"/>
    <n v="219967"/>
    <n v="0"/>
    <n v="219967"/>
    <n v="14392"/>
    <n v="16044"/>
    <n v="273"/>
    <n v="27089"/>
    <n v="0"/>
    <n v="277765"/>
    <n v="37462"/>
    <n v="240303"/>
    <n v="161690"/>
    <n v="78613"/>
  </r>
  <r>
    <s v="07"/>
    <x v="2"/>
    <x v="89"/>
    <x v="89"/>
    <n v="765.52"/>
    <n v="5352.3"/>
    <n v="6117.82"/>
    <n v="7.56"/>
    <n v="275"/>
    <n v="6.9"/>
    <n v="5620"/>
    <n v="345.6"/>
    <n v="64.02"/>
    <n v="71.37"/>
    <n v="42.56"/>
    <n v="4.9000000000000004"/>
    <n v="2114319"/>
    <n v="0"/>
    <n v="2114319"/>
    <n v="143917"/>
    <n v="160440"/>
    <n v="2613"/>
    <n v="260374"/>
    <n v="0"/>
    <n v="2681663"/>
    <n v="360078"/>
    <n v="2321585"/>
    <n v="1554149"/>
    <n v="767436"/>
  </r>
  <r>
    <s v="07"/>
    <x v="2"/>
    <x v="90"/>
    <x v="90"/>
    <n v="632.5"/>
    <n v="3351"/>
    <n v="3983.5"/>
    <n v="4.92"/>
    <n v="533"/>
    <n v="7.6"/>
    <n v="3876"/>
    <n v="345.6"/>
    <n v="64.02"/>
    <n v="71.37"/>
    <n v="42.56"/>
    <n v="4.9000000000000004"/>
    <n v="1376698"/>
    <n v="0"/>
    <n v="1376698"/>
    <n v="99257"/>
    <n v="110652"/>
    <n v="1700"/>
    <n v="169538"/>
    <n v="0"/>
    <n v="1757845"/>
    <n v="234458"/>
    <n v="1523387"/>
    <n v="1011953"/>
    <n v="511434"/>
  </r>
  <r>
    <s v="07"/>
    <x v="2"/>
    <x v="91"/>
    <x v="91"/>
    <n v="46.02"/>
    <n v="465.7"/>
    <n v="511.72"/>
    <n v="0.63"/>
    <n v="6"/>
    <n v="0"/>
    <n v="472"/>
    <n v="345.6"/>
    <n v="64.02"/>
    <n v="71.37"/>
    <n v="42.56"/>
    <n v="4.9000000000000004"/>
    <n v="176850"/>
    <n v="4529"/>
    <n v="181379"/>
    <n v="12087"/>
    <n v="13475"/>
    <n v="218"/>
    <n v="21865"/>
    <n v="0"/>
    <n v="229024"/>
    <n v="30118"/>
    <n v="198906"/>
    <n v="130082"/>
    <n v="68824"/>
  </r>
  <r>
    <s v="07"/>
    <x v="2"/>
    <x v="92"/>
    <x v="92"/>
    <n v="69.47"/>
    <n v="593.79999999999995"/>
    <n v="663.27"/>
    <n v="0.82"/>
    <n v="8"/>
    <n v="0"/>
    <n v="602"/>
    <n v="345.6"/>
    <n v="64.02"/>
    <n v="71.37"/>
    <n v="42.56"/>
    <n v="4.9000000000000004"/>
    <n v="229226"/>
    <n v="0"/>
    <n v="229226"/>
    <n v="15416"/>
    <n v="17186"/>
    <n v="283"/>
    <n v="28229"/>
    <n v="0"/>
    <n v="290340"/>
    <n v="39039"/>
    <n v="251301"/>
    <n v="168494"/>
    <n v="82807"/>
  </r>
  <r>
    <s v="07"/>
    <x v="2"/>
    <x v="93"/>
    <x v="93"/>
    <n v="78.569999999999993"/>
    <n v="515.29999999999995"/>
    <n v="593.87"/>
    <n v="0.73"/>
    <n v="3"/>
    <n v="0"/>
    <n v="518"/>
    <n v="345.6"/>
    <n v="64.02"/>
    <n v="71.37"/>
    <n v="42.56"/>
    <n v="4.9000000000000004"/>
    <n v="205241"/>
    <n v="3972"/>
    <n v="209213"/>
    <n v="13265"/>
    <n v="14788"/>
    <n v="252"/>
    <n v="25784"/>
    <n v="0"/>
    <n v="263302"/>
    <n v="34953"/>
    <n v="228349"/>
    <n v="151373"/>
    <n v="76976"/>
  </r>
  <r>
    <s v="07"/>
    <x v="2"/>
    <x v="94"/>
    <x v="94"/>
    <n v="75.02"/>
    <n v="471.9"/>
    <n v="546.91999999999996"/>
    <n v="0.68"/>
    <n v="0"/>
    <n v="0"/>
    <n v="472"/>
    <n v="345.6"/>
    <n v="64.02"/>
    <n v="71.37"/>
    <n v="42.56"/>
    <n v="4.9000000000000004"/>
    <n v="189016"/>
    <n v="0"/>
    <n v="189016"/>
    <n v="12087"/>
    <n v="13475"/>
    <n v="235"/>
    <n v="23277"/>
    <n v="0"/>
    <n v="238090"/>
    <n v="32191"/>
    <n v="205899"/>
    <n v="138938"/>
    <n v="66961"/>
  </r>
  <r>
    <s v="07"/>
    <x v="2"/>
    <x v="95"/>
    <x v="95"/>
    <n v="65.239999999999995"/>
    <n v="450.2"/>
    <n v="515.44000000000005"/>
    <n v="0.64"/>
    <n v="1"/>
    <n v="0"/>
    <n v="451"/>
    <n v="345.6"/>
    <n v="64.02"/>
    <n v="71.37"/>
    <n v="42.56"/>
    <n v="4.9000000000000004"/>
    <n v="178136"/>
    <n v="0"/>
    <n v="178136"/>
    <n v="11549"/>
    <n v="12875"/>
    <n v="221"/>
    <n v="21937"/>
    <n v="0"/>
    <n v="224718"/>
    <n v="30338"/>
    <n v="194380"/>
    <n v="130941"/>
    <n v="63439"/>
  </r>
  <r>
    <s v="07"/>
    <x v="2"/>
    <x v="96"/>
    <x v="96"/>
    <n v="69.41"/>
    <n v="512.6"/>
    <n v="582.01"/>
    <n v="0.72"/>
    <n v="0"/>
    <n v="0"/>
    <n v="513"/>
    <n v="345.6"/>
    <n v="64.02"/>
    <n v="71.37"/>
    <n v="42.56"/>
    <n v="4.9000000000000004"/>
    <n v="201143"/>
    <n v="0"/>
    <n v="201143"/>
    <n v="13137"/>
    <n v="14645"/>
    <n v="249"/>
    <n v="24770"/>
    <n v="0"/>
    <n v="253944"/>
    <n v="34255"/>
    <n v="219689"/>
    <n v="147852"/>
    <n v="71837"/>
  </r>
  <r>
    <s v="07"/>
    <x v="2"/>
    <x v="97"/>
    <x v="97"/>
    <n v="79.790000000000006"/>
    <n v="902.1"/>
    <n v="981.89"/>
    <n v="1.21"/>
    <n v="3"/>
    <n v="0"/>
    <n v="905"/>
    <n v="345.6"/>
    <n v="64.02"/>
    <n v="71.37"/>
    <n v="42.56"/>
    <n v="4.9000000000000004"/>
    <n v="339341"/>
    <n v="0"/>
    <n v="339341"/>
    <n v="23175"/>
    <n v="25836"/>
    <n v="418"/>
    <n v="41789"/>
    <n v="0"/>
    <n v="430559"/>
    <n v="57791"/>
    <n v="372768"/>
    <n v="249435"/>
    <n v="123333"/>
  </r>
  <r>
    <s v="07"/>
    <x v="2"/>
    <x v="98"/>
    <x v="98"/>
    <n v="70.760000000000005"/>
    <n v="420"/>
    <n v="490.76"/>
    <n v="0.61"/>
    <n v="7"/>
    <n v="0"/>
    <n v="427"/>
    <n v="345.6"/>
    <n v="64.02"/>
    <n v="71.37"/>
    <n v="42.56"/>
    <n v="4.9000000000000004"/>
    <n v="169607"/>
    <n v="0"/>
    <n v="169607"/>
    <n v="10935"/>
    <n v="12190"/>
    <n v="211"/>
    <n v="20887"/>
    <n v="0"/>
    <n v="213830"/>
    <n v="28885"/>
    <n v="184945"/>
    <n v="124672"/>
    <n v="60273"/>
  </r>
  <r>
    <s v="07"/>
    <x v="2"/>
    <x v="99"/>
    <x v="99"/>
    <n v="237.8"/>
    <n v="1400.5"/>
    <n v="1638.3"/>
    <n v="2.0299999999999998"/>
    <n v="1"/>
    <n v="0"/>
    <n v="1402"/>
    <n v="345.6"/>
    <n v="64.02"/>
    <n v="71.37"/>
    <n v="42.56"/>
    <n v="4.9000000000000004"/>
    <n v="566196"/>
    <n v="0"/>
    <n v="566196"/>
    <n v="35902"/>
    <n v="40024"/>
    <n v="702"/>
    <n v="70004"/>
    <n v="0"/>
    <n v="712828"/>
    <n v="96425"/>
    <n v="616403"/>
    <n v="416468"/>
    <n v="199935"/>
  </r>
  <r>
    <s v="07"/>
    <x v="2"/>
    <x v="100"/>
    <x v="100"/>
    <n v="61.17"/>
    <n v="574.20000000000005"/>
    <n v="635.37"/>
    <n v="0.78"/>
    <n v="0"/>
    <n v="0"/>
    <n v="574"/>
    <n v="345.6"/>
    <n v="64.02"/>
    <n v="71.37"/>
    <n v="42.56"/>
    <n v="4.9000000000000004"/>
    <n v="219584"/>
    <n v="0"/>
    <n v="219584"/>
    <n v="14699"/>
    <n v="16386"/>
    <n v="270"/>
    <n v="27041"/>
    <n v="0"/>
    <n v="277980"/>
    <n v="37397"/>
    <n v="240583"/>
    <n v="161405"/>
    <n v="79178"/>
  </r>
  <r>
    <s v="07"/>
    <x v="2"/>
    <x v="101"/>
    <x v="101"/>
    <n v="133.36000000000001"/>
    <n v="777.3"/>
    <n v="910.66"/>
    <n v="1.1299999999999999"/>
    <n v="4"/>
    <n v="0"/>
    <n v="781"/>
    <n v="345.6"/>
    <n v="64.02"/>
    <n v="71.37"/>
    <n v="42.56"/>
    <n v="4.9000000000000004"/>
    <n v="314724"/>
    <n v="0"/>
    <n v="314724"/>
    <n v="20000"/>
    <n v="22296"/>
    <n v="391"/>
    <n v="38758"/>
    <n v="0"/>
    <n v="396169"/>
    <n v="53599"/>
    <n v="342570"/>
    <n v="231342"/>
    <n v="111228"/>
  </r>
  <r>
    <s v="07"/>
    <x v="2"/>
    <x v="102"/>
    <x v="102"/>
    <n v="58.82"/>
    <n v="381.3"/>
    <n v="440.12"/>
    <n v="0.54"/>
    <n v="2"/>
    <n v="0"/>
    <n v="383"/>
    <n v="345.6"/>
    <n v="64.02"/>
    <n v="71.37"/>
    <n v="42.56"/>
    <n v="4.9000000000000004"/>
    <n v="152105"/>
    <n v="219"/>
    <n v="152324"/>
    <n v="9808"/>
    <n v="10934"/>
    <n v="187"/>
    <n v="18732"/>
    <n v="0"/>
    <n v="191985"/>
    <n v="25905"/>
    <n v="166080"/>
    <n v="111805"/>
    <n v="54275"/>
  </r>
  <r>
    <s v="07"/>
    <x v="2"/>
    <x v="103"/>
    <x v="103"/>
    <n v="149.19"/>
    <n v="944.8"/>
    <n v="1093.99"/>
    <n v="1.35"/>
    <n v="30"/>
    <n v="0"/>
    <n v="975"/>
    <n v="345.6"/>
    <n v="64.02"/>
    <n v="71.37"/>
    <n v="42.56"/>
    <n v="4.9000000000000004"/>
    <n v="378083"/>
    <n v="11787"/>
    <n v="389870"/>
    <n v="24968"/>
    <n v="27834"/>
    <n v="467"/>
    <n v="46990"/>
    <n v="0"/>
    <n v="490129"/>
    <n v="64389"/>
    <n v="425740"/>
    <n v="278343"/>
    <n v="147397"/>
  </r>
  <r>
    <s v="07"/>
    <x v="2"/>
    <x v="104"/>
    <x v="104"/>
    <n v="80.959999999999994"/>
    <n v="639.9"/>
    <n v="720.86"/>
    <n v="0.89"/>
    <n v="28"/>
    <n v="0"/>
    <n v="668"/>
    <n v="345.6"/>
    <n v="64.02"/>
    <n v="71.37"/>
    <n v="42.56"/>
    <n v="4.9000000000000004"/>
    <n v="249129"/>
    <n v="875"/>
    <n v="250004"/>
    <n v="17106"/>
    <n v="19070"/>
    <n v="308"/>
    <n v="30911"/>
    <n v="0"/>
    <n v="317399"/>
    <n v="42428"/>
    <n v="274971"/>
    <n v="183356"/>
    <n v="91615"/>
  </r>
  <r>
    <s v="07"/>
    <x v="2"/>
    <x v="105"/>
    <x v="105"/>
    <n v="2299.54"/>
    <n v="10731.7"/>
    <n v="13031.24"/>
    <n v="16.100000000000001"/>
    <n v="1222"/>
    <n v="20.5"/>
    <n v="11933"/>
    <n v="345.6"/>
    <n v="64.02"/>
    <n v="71.37"/>
    <n v="42.56"/>
    <n v="4.9000000000000004"/>
    <n v="4503597"/>
    <n v="0"/>
    <n v="4503597"/>
    <n v="305580"/>
    <n v="340663"/>
    <n v="5564"/>
    <n v="554610"/>
    <n v="0"/>
    <n v="5710014"/>
    <n v="766983"/>
    <n v="4943031"/>
    <n v="3310409"/>
    <n v="1632622"/>
  </r>
  <r>
    <s v="07"/>
    <x v="2"/>
    <x v="106"/>
    <x v="106"/>
    <n v="285.62"/>
    <n v="2183.6999999999998"/>
    <n v="2469.3200000000002"/>
    <n v="3.05"/>
    <n v="141"/>
    <n v="1.4"/>
    <n v="2323"/>
    <n v="345.6"/>
    <n v="64.02"/>
    <n v="71.37"/>
    <n v="42.56"/>
    <n v="4.9000000000000004"/>
    <n v="853397"/>
    <n v="0"/>
    <n v="853397"/>
    <n v="59487"/>
    <n v="66317"/>
    <n v="1054"/>
    <n v="105094"/>
    <n v="0"/>
    <n v="1085349"/>
    <n v="145337"/>
    <n v="940012"/>
    <n v="627297"/>
    <n v="312715"/>
  </r>
  <r>
    <s v="07"/>
    <x v="2"/>
    <x v="107"/>
    <x v="107"/>
    <n v="98.06"/>
    <n v="750.2"/>
    <n v="848.26"/>
    <n v="1.05"/>
    <n v="59"/>
    <n v="0"/>
    <n v="809"/>
    <n v="345.6"/>
    <n v="64.02"/>
    <n v="71.37"/>
    <n v="42.56"/>
    <n v="4.9000000000000004"/>
    <n v="293159"/>
    <n v="915"/>
    <n v="294074"/>
    <n v="20717"/>
    <n v="23095"/>
    <n v="363"/>
    <n v="36360"/>
    <n v="0"/>
    <n v="374609"/>
    <n v="49926"/>
    <n v="324683"/>
    <n v="215748"/>
    <n v="108935"/>
  </r>
  <r>
    <s v="07"/>
    <x v="2"/>
    <x v="108"/>
    <x v="108"/>
    <n v="48.41"/>
    <n v="580.5"/>
    <n v="628.91"/>
    <n v="0.78"/>
    <n v="9"/>
    <n v="0"/>
    <n v="590"/>
    <n v="345.6"/>
    <n v="64.02"/>
    <n v="71.37"/>
    <n v="42.56"/>
    <n v="4.9000000000000004"/>
    <n v="217351"/>
    <n v="0"/>
    <n v="217351"/>
    <n v="15109"/>
    <n v="16843"/>
    <n v="270"/>
    <n v="26766"/>
    <n v="0"/>
    <n v="276339"/>
    <n v="37016"/>
    <n v="239323"/>
    <n v="159766"/>
    <n v="79557"/>
  </r>
  <r>
    <s v="07"/>
    <x v="2"/>
    <x v="109"/>
    <x v="109"/>
    <n v="66.55"/>
    <n v="757.6"/>
    <n v="824.15"/>
    <n v="1.02"/>
    <n v="6"/>
    <n v="0"/>
    <n v="764"/>
    <n v="345.6"/>
    <n v="64.02"/>
    <n v="71.37"/>
    <n v="42.56"/>
    <n v="4.9000000000000004"/>
    <n v="284826"/>
    <n v="9937"/>
    <n v="294763"/>
    <n v="19564"/>
    <n v="21811"/>
    <n v="353"/>
    <n v="35916"/>
    <n v="0"/>
    <n v="372407"/>
    <n v="48507"/>
    <n v="323900"/>
    <n v="210205"/>
    <n v="113695"/>
  </r>
  <r>
    <s v="09"/>
    <x v="3"/>
    <x v="110"/>
    <x v="110"/>
    <n v="22.17"/>
    <n v="222"/>
    <n v="244.17"/>
    <n v="0.42"/>
    <n v="29"/>
    <n v="0"/>
    <n v="251"/>
    <n v="343.24"/>
    <n v="63.53"/>
    <n v="69.45"/>
    <n v="31.63"/>
    <n v="3.71"/>
    <n v="83809"/>
    <n v="9522"/>
    <n v="93331"/>
    <n v="6378"/>
    <n v="6973"/>
    <n v="144"/>
    <n v="7973"/>
    <n v="0"/>
    <n v="114799"/>
    <n v="14371"/>
    <n v="100428"/>
    <n v="59641"/>
    <n v="40787"/>
  </r>
  <r>
    <s v="09"/>
    <x v="3"/>
    <x v="111"/>
    <x v="111"/>
    <n v="49.45"/>
    <n v="621.29999999999995"/>
    <n v="670.75"/>
    <n v="1.1499999999999999"/>
    <n v="175"/>
    <n v="0"/>
    <n v="796"/>
    <n v="343.24"/>
    <n v="63.53"/>
    <n v="69.45"/>
    <n v="31.63"/>
    <n v="3.71"/>
    <n v="230228"/>
    <n v="0"/>
    <n v="230228"/>
    <n v="20228"/>
    <n v="22113"/>
    <n v="395"/>
    <n v="21216"/>
    <n v="0"/>
    <n v="294180"/>
    <n v="39478"/>
    <n v="254702"/>
    <n v="163151"/>
    <n v="91551"/>
  </r>
  <r>
    <s v="09"/>
    <x v="3"/>
    <x v="112"/>
    <x v="112"/>
    <n v="15.53"/>
    <n v="160.30000000000001"/>
    <n v="175.83"/>
    <n v="0.31"/>
    <n v="0"/>
    <n v="0"/>
    <n v="160"/>
    <n v="343.24"/>
    <n v="63.53"/>
    <n v="69.45"/>
    <n v="31.63"/>
    <n v="3.71"/>
    <n v="60352"/>
    <n v="12435"/>
    <n v="72787"/>
    <n v="4066"/>
    <n v="4445"/>
    <n v="106"/>
    <n v="6087"/>
    <n v="0"/>
    <n v="87491"/>
    <n v="10348"/>
    <n v="77143"/>
    <n v="43297"/>
    <n v="33846"/>
  </r>
  <r>
    <s v="09"/>
    <x v="3"/>
    <x v="113"/>
    <x v="113"/>
    <n v="510.56"/>
    <n v="3952.5"/>
    <n v="4463.0600000000004"/>
    <n v="7.65"/>
    <n v="354"/>
    <n v="1"/>
    <n v="4306"/>
    <n v="343.24"/>
    <n v="63.53"/>
    <n v="69.45"/>
    <n v="31.63"/>
    <n v="3.71"/>
    <n v="1531901"/>
    <n v="0"/>
    <n v="1531901"/>
    <n v="109424"/>
    <n v="119621"/>
    <n v="2626"/>
    <n v="141167"/>
    <n v="0"/>
    <n v="1904739"/>
    <n v="262684"/>
    <n v="1642055"/>
    <n v="1085575"/>
    <n v="556480"/>
  </r>
  <r>
    <s v="09"/>
    <x v="3"/>
    <x v="114"/>
    <x v="114"/>
    <n v="49.92"/>
    <n v="362.3"/>
    <n v="412.22"/>
    <n v="0.71"/>
    <n v="3"/>
    <n v="0"/>
    <n v="365"/>
    <n v="343.24"/>
    <n v="63.53"/>
    <n v="69.45"/>
    <n v="31.63"/>
    <n v="3.71"/>
    <n v="141490"/>
    <n v="14229"/>
    <n v="155719"/>
    <n v="9275"/>
    <n v="10140"/>
    <n v="244"/>
    <n v="13174"/>
    <n v="0"/>
    <n v="188552"/>
    <n v="24262"/>
    <n v="164290"/>
    <n v="100403"/>
    <n v="63887"/>
  </r>
  <r>
    <s v="09"/>
    <x v="3"/>
    <x v="115"/>
    <x v="115"/>
    <n v="111.74"/>
    <n v="822.3"/>
    <n v="934.04"/>
    <n v="1.6"/>
    <n v="15"/>
    <n v="0"/>
    <n v="837"/>
    <n v="343.24"/>
    <n v="63.53"/>
    <n v="69.45"/>
    <n v="31.63"/>
    <n v="3.71"/>
    <n v="320600"/>
    <n v="0"/>
    <n v="320600"/>
    <n v="21270"/>
    <n v="23252"/>
    <n v="549"/>
    <n v="29544"/>
    <n v="0"/>
    <n v="395215"/>
    <n v="54975"/>
    <n v="340240"/>
    <n v="227192"/>
    <n v="113048"/>
  </r>
  <r>
    <s v="09"/>
    <x v="3"/>
    <x v="116"/>
    <x v="116"/>
    <n v="195.57"/>
    <n v="1472.6"/>
    <n v="1668.17"/>
    <n v="2.86"/>
    <n v="152"/>
    <n v="0.3"/>
    <n v="1624"/>
    <n v="343.24"/>
    <n v="63.53"/>
    <n v="69.45"/>
    <n v="31.63"/>
    <n v="3.71"/>
    <n v="572583"/>
    <n v="0"/>
    <n v="572583"/>
    <n v="41269"/>
    <n v="45115"/>
    <n v="982"/>
    <n v="52764"/>
    <n v="0"/>
    <n v="712713"/>
    <n v="98184"/>
    <n v="614529"/>
    <n v="405758"/>
    <n v="208771"/>
  </r>
  <r>
    <s v="09"/>
    <x v="3"/>
    <x v="117"/>
    <x v="117"/>
    <n v="814.51"/>
    <n v="3558.4"/>
    <n v="4372.91"/>
    <n v="7.5"/>
    <n v="185"/>
    <n v="0"/>
    <n v="3743"/>
    <n v="343.24"/>
    <n v="63.53"/>
    <n v="69.45"/>
    <n v="31.63"/>
    <n v="3.71"/>
    <n v="1500958"/>
    <n v="0"/>
    <n v="1500958"/>
    <n v="95117"/>
    <n v="103980"/>
    <n v="2574"/>
    <n v="138315"/>
    <n v="0"/>
    <n v="1840944"/>
    <n v="257378"/>
    <n v="1583566"/>
    <n v="1063648"/>
    <n v="519918"/>
  </r>
  <r>
    <s v="09"/>
    <x v="3"/>
    <x v="118"/>
    <x v="118"/>
    <n v="115.17"/>
    <n v="757.2"/>
    <n v="872.37"/>
    <n v="1.49"/>
    <n v="0"/>
    <n v="0"/>
    <n v="757"/>
    <n v="343.24"/>
    <n v="63.53"/>
    <n v="69.45"/>
    <n v="31.63"/>
    <n v="3.71"/>
    <n v="299432"/>
    <n v="0"/>
    <n v="299432"/>
    <n v="19237"/>
    <n v="21030"/>
    <n v="511"/>
    <n v="27593"/>
    <n v="0"/>
    <n v="367803"/>
    <n v="51346"/>
    <n v="316457"/>
    <n v="212189"/>
    <n v="104268"/>
  </r>
  <r>
    <s v="09"/>
    <x v="3"/>
    <x v="119"/>
    <x v="119"/>
    <n v="2446.5500000000002"/>
    <n v="13786.1"/>
    <n v="16232.65"/>
    <n v="27.83"/>
    <n v="1871"/>
    <n v="2.2000000000000002"/>
    <n v="15655"/>
    <n v="343.24"/>
    <n v="63.53"/>
    <n v="69.45"/>
    <n v="31.63"/>
    <n v="3.71"/>
    <n v="5571695"/>
    <n v="31313"/>
    <n v="5603008"/>
    <n v="397825"/>
    <n v="434896"/>
    <n v="9552"/>
    <n v="513439"/>
    <n v="0"/>
    <n v="6958720"/>
    <n v="955409"/>
    <n v="6003311"/>
    <n v="3948360"/>
    <n v="2054951"/>
  </r>
  <r>
    <s v="09"/>
    <x v="3"/>
    <x v="120"/>
    <x v="120"/>
    <n v="21.51"/>
    <n v="183"/>
    <n v="204.51"/>
    <n v="0.35"/>
    <n v="0"/>
    <n v="0"/>
    <n v="183"/>
    <n v="343.24"/>
    <n v="63.53"/>
    <n v="69.45"/>
    <n v="31.63"/>
    <n v="3.71"/>
    <n v="70196"/>
    <n v="5662"/>
    <n v="75858"/>
    <n v="4650"/>
    <n v="5084"/>
    <n v="120"/>
    <n v="6970"/>
    <n v="0"/>
    <n v="92682"/>
    <n v="12037"/>
    <n v="80645"/>
    <n v="50245"/>
    <n v="30400"/>
  </r>
  <r>
    <s v="09"/>
    <x v="3"/>
    <x v="121"/>
    <x v="121"/>
    <n v="56.95"/>
    <n v="490.3"/>
    <n v="547.25"/>
    <n v="0.94"/>
    <n v="8"/>
    <n v="0"/>
    <n v="498"/>
    <n v="343.24"/>
    <n v="63.53"/>
    <n v="69.45"/>
    <n v="31.63"/>
    <n v="3.71"/>
    <n v="187838"/>
    <n v="5202"/>
    <n v="193040"/>
    <n v="12655"/>
    <n v="13834"/>
    <n v="323"/>
    <n v="17310"/>
    <n v="0"/>
    <n v="237162"/>
    <n v="32210"/>
    <n v="204952"/>
    <n v="133111"/>
    <n v="71841"/>
  </r>
  <r>
    <s v="09"/>
    <x v="3"/>
    <x v="122"/>
    <x v="122"/>
    <n v="83.34"/>
    <n v="554.29999999999995"/>
    <n v="637.64"/>
    <n v="1.0900000000000001"/>
    <n v="3"/>
    <n v="3.9"/>
    <n v="553"/>
    <n v="343.24"/>
    <n v="63.53"/>
    <n v="69.45"/>
    <n v="31.63"/>
    <n v="3.71"/>
    <n v="218864"/>
    <n v="3285"/>
    <n v="222149"/>
    <n v="14053"/>
    <n v="15362"/>
    <n v="374"/>
    <n v="20411"/>
    <n v="0"/>
    <n v="272349"/>
    <n v="37530"/>
    <n v="234819"/>
    <n v="155338"/>
    <n v="79481"/>
  </r>
  <r>
    <s v="09"/>
    <x v="3"/>
    <x v="123"/>
    <x v="123"/>
    <n v="86.4"/>
    <n v="675.5"/>
    <n v="761.9"/>
    <n v="1.31"/>
    <n v="7"/>
    <n v="0"/>
    <n v="683"/>
    <n v="343.24"/>
    <n v="63.53"/>
    <n v="69.45"/>
    <n v="31.63"/>
    <n v="3.71"/>
    <n v="261515"/>
    <n v="0"/>
    <n v="261515"/>
    <n v="17356"/>
    <n v="18974"/>
    <n v="450"/>
    <n v="24099"/>
    <n v="0"/>
    <n v="322394"/>
    <n v="44843"/>
    <n v="277551"/>
    <n v="185323"/>
    <n v="92228"/>
  </r>
  <r>
    <s v="09"/>
    <x v="3"/>
    <x v="124"/>
    <x v="124"/>
    <n v="267.47000000000003"/>
    <n v="1234.9000000000001"/>
    <n v="1502.37"/>
    <n v="2.58"/>
    <n v="138"/>
    <n v="0.2"/>
    <n v="1373"/>
    <n v="343.24"/>
    <n v="63.53"/>
    <n v="69.45"/>
    <n v="31.63"/>
    <n v="3.71"/>
    <n v="515673"/>
    <n v="0"/>
    <n v="515673"/>
    <n v="34891"/>
    <n v="38142"/>
    <n v="886"/>
    <n v="47520"/>
    <n v="0"/>
    <n v="637112"/>
    <n v="88426"/>
    <n v="548686"/>
    <n v="365431"/>
    <n v="183255"/>
  </r>
  <r>
    <s v="09"/>
    <x v="3"/>
    <x v="125"/>
    <x v="125"/>
    <n v="658.44"/>
    <n v="4422.8"/>
    <n v="5081.24"/>
    <n v="8.7100000000000009"/>
    <n v="248"/>
    <n v="0"/>
    <n v="4671"/>
    <n v="343.24"/>
    <n v="63.53"/>
    <n v="69.45"/>
    <n v="31.63"/>
    <n v="3.71"/>
    <n v="1744085"/>
    <n v="13597"/>
    <n v="1757682"/>
    <n v="118700"/>
    <n v="129760"/>
    <n v="2990"/>
    <n v="161493"/>
    <n v="0"/>
    <n v="2170625"/>
    <n v="299068"/>
    <n v="1871557"/>
    <n v="1236712"/>
    <n v="634845"/>
  </r>
  <r>
    <s v="09"/>
    <x v="3"/>
    <x v="126"/>
    <x v="126"/>
    <n v="284.98"/>
    <n v="3018.2"/>
    <n v="3303.18"/>
    <n v="5.66"/>
    <n v="54"/>
    <n v="0"/>
    <n v="3072"/>
    <n v="343.24"/>
    <n v="63.53"/>
    <n v="69.45"/>
    <n v="31.63"/>
    <n v="3.71"/>
    <n v="1133784"/>
    <n v="5964"/>
    <n v="1139748"/>
    <n v="78066"/>
    <n v="85340"/>
    <n v="1943"/>
    <n v="104718"/>
    <n v="0"/>
    <n v="1409815"/>
    <n v="194416"/>
    <n v="1215399"/>
    <n v="803689"/>
    <n v="411710"/>
  </r>
  <r>
    <s v="09"/>
    <x v="3"/>
    <x v="127"/>
    <x v="127"/>
    <n v="57"/>
    <n v="506.6"/>
    <n v="563.6"/>
    <n v="0.97"/>
    <n v="5"/>
    <n v="0"/>
    <n v="512"/>
    <n v="343.24"/>
    <n v="63.53"/>
    <n v="69.45"/>
    <n v="31.63"/>
    <n v="3.71"/>
    <n v="193450"/>
    <n v="4623"/>
    <n v="198073"/>
    <n v="13011"/>
    <n v="14223"/>
    <n v="333"/>
    <n v="18199"/>
    <n v="0"/>
    <n v="243839"/>
    <n v="33172"/>
    <n v="210667"/>
    <n v="137461"/>
    <n v="73206"/>
  </r>
  <r>
    <s v="09"/>
    <x v="3"/>
    <x v="128"/>
    <x v="128"/>
    <n v="447.22"/>
    <n v="5537.9"/>
    <n v="5985.12"/>
    <n v="10.26"/>
    <n v="160"/>
    <n v="0"/>
    <n v="5698"/>
    <n v="343.24"/>
    <n v="63.53"/>
    <n v="69.45"/>
    <n v="31.63"/>
    <n v="3.71"/>
    <n v="2054333"/>
    <n v="0"/>
    <n v="2054333"/>
    <n v="144798"/>
    <n v="158290"/>
    <n v="3522"/>
    <n v="189309"/>
    <n v="0"/>
    <n v="2550252"/>
    <n v="352268"/>
    <n v="2197984"/>
    <n v="1455794"/>
    <n v="742190"/>
  </r>
  <r>
    <s v="09"/>
    <x v="3"/>
    <x v="129"/>
    <x v="129"/>
    <n v="147.1"/>
    <n v="1250.4000000000001"/>
    <n v="1397.5"/>
    <n v="2.4"/>
    <n v="2"/>
    <n v="0"/>
    <n v="1252"/>
    <n v="343.24"/>
    <n v="63.53"/>
    <n v="69.45"/>
    <n v="31.63"/>
    <n v="3.71"/>
    <n v="479678"/>
    <n v="0"/>
    <n v="479678"/>
    <n v="31816"/>
    <n v="34780"/>
    <n v="824"/>
    <n v="44203"/>
    <n v="0"/>
    <n v="591301"/>
    <n v="82253"/>
    <n v="509048"/>
    <n v="339923"/>
    <n v="169125"/>
  </r>
  <r>
    <s v="09"/>
    <x v="3"/>
    <x v="130"/>
    <x v="130"/>
    <n v="87.44"/>
    <n v="851.5"/>
    <n v="938.94"/>
    <n v="1.61"/>
    <n v="0"/>
    <n v="0"/>
    <n v="852"/>
    <n v="343.24"/>
    <n v="63.53"/>
    <n v="69.45"/>
    <n v="31.63"/>
    <n v="3.71"/>
    <n v="322282"/>
    <n v="0"/>
    <n v="322282"/>
    <n v="21651"/>
    <n v="23668"/>
    <n v="553"/>
    <n v="29699"/>
    <n v="0"/>
    <n v="397853"/>
    <n v="55263"/>
    <n v="342590"/>
    <n v="228385"/>
    <n v="114205"/>
  </r>
  <r>
    <s v="10"/>
    <x v="4"/>
    <x v="131"/>
    <x v="131"/>
    <n v="38.299999999999997"/>
    <n v="542.1"/>
    <n v="580.4"/>
    <n v="0.66"/>
    <n v="27"/>
    <n v="0"/>
    <n v="569"/>
    <n v="341.32"/>
    <n v="63.71"/>
    <n v="70.05"/>
    <n v="32.380000000000003"/>
    <n v="3.77"/>
    <n v="198102"/>
    <n v="0"/>
    <n v="198102"/>
    <n v="14500"/>
    <n v="15943"/>
    <n v="225"/>
    <n v="18793"/>
    <n v="0"/>
    <n v="247563"/>
    <n v="34161"/>
    <n v="213402"/>
    <n v="141518"/>
    <n v="71884"/>
  </r>
  <r>
    <s v="10"/>
    <x v="4"/>
    <x v="132"/>
    <x v="132"/>
    <n v="132.29"/>
    <n v="1256.8"/>
    <n v="1389.09"/>
    <n v="1.57"/>
    <n v="61"/>
    <n v="0"/>
    <n v="1318"/>
    <n v="341.32"/>
    <n v="63.71"/>
    <n v="70.05"/>
    <n v="32.380000000000003"/>
    <n v="3.77"/>
    <n v="474124"/>
    <n v="0"/>
    <n v="474124"/>
    <n v="33588"/>
    <n v="36930"/>
    <n v="536"/>
    <n v="44979"/>
    <n v="0"/>
    <n v="590157"/>
    <n v="81757"/>
    <n v="508400"/>
    <n v="338700"/>
    <n v="169700"/>
  </r>
  <r>
    <s v="10"/>
    <x v="4"/>
    <x v="133"/>
    <x v="133"/>
    <n v="51.01"/>
    <n v="474"/>
    <n v="525.01"/>
    <n v="0.59"/>
    <n v="7"/>
    <n v="0"/>
    <n v="481"/>
    <n v="341.32"/>
    <n v="63.71"/>
    <n v="70.05"/>
    <n v="32.380000000000003"/>
    <n v="3.77"/>
    <n v="179196"/>
    <n v="0"/>
    <n v="179196"/>
    <n v="12258"/>
    <n v="13478"/>
    <n v="201"/>
    <n v="17000"/>
    <n v="0"/>
    <n v="222133"/>
    <n v="30901"/>
    <n v="191232"/>
    <n v="128011"/>
    <n v="63221"/>
  </r>
  <r>
    <s v="10"/>
    <x v="4"/>
    <x v="134"/>
    <x v="134"/>
    <n v="134.33000000000001"/>
    <n v="1482"/>
    <n v="1616.33"/>
    <n v="1.83"/>
    <n v="130"/>
    <n v="0.5"/>
    <n v="1612"/>
    <n v="341.32"/>
    <n v="63.71"/>
    <n v="70.05"/>
    <n v="32.380000000000003"/>
    <n v="3.77"/>
    <n v="551686"/>
    <n v="10607"/>
    <n v="562293"/>
    <n v="41080"/>
    <n v="45168"/>
    <n v="625"/>
    <n v="53227"/>
    <n v="0"/>
    <n v="702393"/>
    <n v="95133"/>
    <n v="607260"/>
    <n v="394997"/>
    <n v="212263"/>
  </r>
  <r>
    <s v="10"/>
    <x v="4"/>
    <x v="135"/>
    <x v="135"/>
    <n v="2463.8000000000002"/>
    <n v="16139.5"/>
    <n v="18603.3"/>
    <n v="21.07"/>
    <n v="2006"/>
    <n v="13.9"/>
    <n v="18132"/>
    <n v="341.32"/>
    <n v="63.71"/>
    <n v="70.05"/>
    <n v="32.380000000000003"/>
    <n v="3.77"/>
    <n v="6349678"/>
    <n v="0"/>
    <n v="6349678"/>
    <n v="462076"/>
    <n v="508059"/>
    <n v="7192"/>
    <n v="602375"/>
    <n v="0"/>
    <n v="7929380"/>
    <n v="1094939"/>
    <n v="6834441"/>
    <n v="4536016"/>
    <n v="2298425"/>
  </r>
  <r>
    <s v="10"/>
    <x v="4"/>
    <x v="136"/>
    <x v="136"/>
    <n v="101.93"/>
    <n v="1174.2"/>
    <n v="1276.1300000000001"/>
    <n v="1.44"/>
    <n v="10"/>
    <n v="0"/>
    <n v="1184"/>
    <n v="341.32"/>
    <n v="63.71"/>
    <n v="70.05"/>
    <n v="32.380000000000003"/>
    <n v="3.77"/>
    <n v="435569"/>
    <n v="26224"/>
    <n v="461793"/>
    <n v="30173"/>
    <n v="33176"/>
    <n v="492"/>
    <n v="41321"/>
    <n v="0"/>
    <n v="566955"/>
    <n v="75110"/>
    <n v="491845"/>
    <n v="311155"/>
    <n v="180690"/>
  </r>
  <r>
    <s v="10"/>
    <x v="4"/>
    <x v="137"/>
    <x v="137"/>
    <n v="38.35"/>
    <n v="420.9"/>
    <n v="459.25"/>
    <n v="0.52"/>
    <n v="11"/>
    <n v="0"/>
    <n v="432"/>
    <n v="341.32"/>
    <n v="63.71"/>
    <n v="70.05"/>
    <n v="32.380000000000003"/>
    <n v="3.77"/>
    <n v="156751"/>
    <n v="8157"/>
    <n v="164908"/>
    <n v="11009"/>
    <n v="12105"/>
    <n v="177"/>
    <n v="14871"/>
    <n v="0"/>
    <n v="203070"/>
    <n v="27030"/>
    <n v="176040"/>
    <n v="111979"/>
    <n v="64061"/>
  </r>
  <r>
    <s v="10"/>
    <x v="4"/>
    <x v="138"/>
    <x v="138"/>
    <n v="408.79"/>
    <n v="3035.9"/>
    <n v="3444.69"/>
    <n v="3.9"/>
    <n v="52"/>
    <n v="0"/>
    <n v="3088"/>
    <n v="341.32"/>
    <n v="63.71"/>
    <n v="70.05"/>
    <n v="32.380000000000003"/>
    <n v="3.77"/>
    <n v="1175742"/>
    <n v="0"/>
    <n v="1175742"/>
    <n v="78694"/>
    <n v="86526"/>
    <n v="1331"/>
    <n v="111539"/>
    <n v="0"/>
    <n v="1453832"/>
    <n v="202745"/>
    <n v="1251087"/>
    <n v="839913"/>
    <n v="411174"/>
  </r>
  <r>
    <s v="10"/>
    <x v="4"/>
    <x v="139"/>
    <x v="139"/>
    <n v="586"/>
    <n v="5075.2"/>
    <n v="5661.2"/>
    <n v="6.41"/>
    <n v="147"/>
    <n v="0"/>
    <n v="5222"/>
    <n v="341.32"/>
    <n v="63.71"/>
    <n v="70.05"/>
    <n v="32.380000000000003"/>
    <n v="3.77"/>
    <n v="1932281"/>
    <n v="0"/>
    <n v="1932281"/>
    <n v="133078"/>
    <n v="146320"/>
    <n v="2188"/>
    <n v="183310"/>
    <n v="0"/>
    <n v="2397177"/>
    <n v="333203"/>
    <n v="2063974"/>
    <n v="1380362"/>
    <n v="683612"/>
  </r>
  <r>
    <s v="10"/>
    <x v="4"/>
    <x v="140"/>
    <x v="140"/>
    <n v="43.74"/>
    <n v="449.4"/>
    <n v="493.14"/>
    <n v="0.56000000000000005"/>
    <n v="6"/>
    <n v="0"/>
    <n v="455"/>
    <n v="341.32"/>
    <n v="63.71"/>
    <n v="70.05"/>
    <n v="32.380000000000003"/>
    <n v="3.77"/>
    <n v="168319"/>
    <n v="6867"/>
    <n v="175186"/>
    <n v="11595"/>
    <n v="12749"/>
    <n v="191"/>
    <n v="16147"/>
    <n v="0"/>
    <n v="215868"/>
    <n v="29025"/>
    <n v="186843"/>
    <n v="120421"/>
    <n v="66422"/>
  </r>
  <r>
    <s v="10"/>
    <x v="4"/>
    <x v="141"/>
    <x v="141"/>
    <n v="34.99"/>
    <n v="315.8"/>
    <n v="350.79"/>
    <n v="0.4"/>
    <n v="6"/>
    <n v="0"/>
    <n v="322"/>
    <n v="341.32"/>
    <n v="63.71"/>
    <n v="70.05"/>
    <n v="32.380000000000003"/>
    <n v="3.77"/>
    <n v="119732"/>
    <n v="964"/>
    <n v="120696"/>
    <n v="8206"/>
    <n v="9022"/>
    <n v="137"/>
    <n v="11359"/>
    <n v="0"/>
    <n v="149420"/>
    <n v="20647"/>
    <n v="128773"/>
    <n v="85533"/>
    <n v="43240"/>
  </r>
  <r>
    <s v="10"/>
    <x v="4"/>
    <x v="142"/>
    <x v="142"/>
    <n v="63.86"/>
    <n v="589.20000000000005"/>
    <n v="653.05999999999995"/>
    <n v="0.74"/>
    <n v="13"/>
    <n v="0"/>
    <n v="602"/>
    <n v="341.32"/>
    <n v="63.71"/>
    <n v="70.05"/>
    <n v="32.380000000000003"/>
    <n v="3.77"/>
    <n v="222902"/>
    <n v="0"/>
    <n v="222902"/>
    <n v="15341"/>
    <n v="16868"/>
    <n v="253"/>
    <n v="21146"/>
    <n v="0"/>
    <n v="276510"/>
    <n v="38437"/>
    <n v="238073"/>
    <n v="159235"/>
    <n v="78838"/>
  </r>
  <r>
    <s v="10"/>
    <x v="4"/>
    <x v="143"/>
    <x v="143"/>
    <n v="1580.42"/>
    <n v="14378.7"/>
    <n v="15959.12"/>
    <n v="18.079999999999998"/>
    <n v="1280"/>
    <n v="4"/>
    <n v="15655"/>
    <n v="341.32"/>
    <n v="63.71"/>
    <n v="70.05"/>
    <n v="32.380000000000003"/>
    <n v="3.77"/>
    <n v="5447167"/>
    <n v="0"/>
    <n v="5447167"/>
    <n v="398952"/>
    <n v="438653"/>
    <n v="6171"/>
    <n v="516756"/>
    <n v="0"/>
    <n v="6807699"/>
    <n v="939311"/>
    <n v="5868388"/>
    <n v="3891289"/>
    <n v="1977099"/>
  </r>
  <r>
    <s v="10"/>
    <x v="4"/>
    <x v="144"/>
    <x v="144"/>
    <n v="57.82"/>
    <n v="504.7"/>
    <n v="562.52"/>
    <n v="0.64"/>
    <n v="4"/>
    <n v="0"/>
    <n v="509"/>
    <n v="341.32"/>
    <n v="63.71"/>
    <n v="70.05"/>
    <n v="32.380000000000003"/>
    <n v="3.77"/>
    <n v="191999"/>
    <n v="0"/>
    <n v="191999"/>
    <n v="12971"/>
    <n v="14262"/>
    <n v="218"/>
    <n v="18214"/>
    <n v="0"/>
    <n v="237664"/>
    <n v="33108"/>
    <n v="204556"/>
    <n v="137159"/>
    <n v="67397"/>
  </r>
  <r>
    <s v="10"/>
    <x v="4"/>
    <x v="145"/>
    <x v="145"/>
    <n v="820.9"/>
    <n v="7566.6"/>
    <n v="8387.5"/>
    <n v="9.5"/>
    <n v="579"/>
    <n v="0"/>
    <n v="8146"/>
    <n v="341.32"/>
    <n v="63.71"/>
    <n v="70.05"/>
    <n v="32.380000000000003"/>
    <n v="3.77"/>
    <n v="2862822"/>
    <n v="0"/>
    <n v="2862822"/>
    <n v="207593"/>
    <n v="228251"/>
    <n v="3243"/>
    <n v="271587"/>
    <n v="0"/>
    <n v="3573496"/>
    <n v="493666"/>
    <n v="3079830"/>
    <n v="2045111"/>
    <n v="1034719"/>
  </r>
  <r>
    <s v="10"/>
    <x v="4"/>
    <x v="146"/>
    <x v="146"/>
    <n v="65.64"/>
    <n v="681.4"/>
    <n v="747.04"/>
    <n v="0.85"/>
    <n v="10"/>
    <n v="0"/>
    <n v="691"/>
    <n v="341.32"/>
    <n v="63.71"/>
    <n v="70.05"/>
    <n v="32.380000000000003"/>
    <n v="3.77"/>
    <n v="254980"/>
    <n v="0"/>
    <n v="254980"/>
    <n v="17610"/>
    <n v="19362"/>
    <n v="290"/>
    <n v="24189"/>
    <n v="0"/>
    <n v="316431"/>
    <n v="43969"/>
    <n v="272462"/>
    <n v="182150"/>
    <n v="90312"/>
  </r>
  <r>
    <s v="10"/>
    <x v="4"/>
    <x v="147"/>
    <x v="147"/>
    <n v="18.78"/>
    <n v="308"/>
    <n v="326.77999999999997"/>
    <n v="0.4"/>
    <n v="4"/>
    <n v="0"/>
    <n v="312"/>
    <n v="341.32"/>
    <n v="63.71"/>
    <n v="70.05"/>
    <n v="32.380000000000003"/>
    <n v="3.77"/>
    <n v="111537"/>
    <n v="17061"/>
    <n v="128598"/>
    <n v="7951"/>
    <n v="8742"/>
    <n v="137"/>
    <n v="10940"/>
    <n v="0"/>
    <n v="156368"/>
    <n v="19233"/>
    <n v="137135"/>
    <n v="80046"/>
    <n v="57089"/>
  </r>
  <r>
    <s v="10"/>
    <x v="4"/>
    <x v="148"/>
    <x v="148"/>
    <n v="280.83"/>
    <n v="1750.4"/>
    <n v="2031.23"/>
    <n v="2.29"/>
    <n v="115"/>
    <n v="0.7"/>
    <n v="1865"/>
    <n v="341.32"/>
    <n v="63.71"/>
    <n v="70.05"/>
    <n v="32.380000000000003"/>
    <n v="3.77"/>
    <n v="693299"/>
    <n v="0"/>
    <n v="693299"/>
    <n v="47528"/>
    <n v="52257"/>
    <n v="782"/>
    <n v="65771"/>
    <n v="0"/>
    <n v="859637"/>
    <n v="119552"/>
    <n v="740085"/>
    <n v="495269"/>
    <n v="244816"/>
  </r>
  <r>
    <s v="10"/>
    <x v="4"/>
    <x v="149"/>
    <x v="149"/>
    <n v="135.93"/>
    <n v="1194.0999999999999"/>
    <n v="1330.03"/>
    <n v="1.51"/>
    <n v="61"/>
    <n v="0.3"/>
    <n v="1255"/>
    <n v="341.32"/>
    <n v="63.71"/>
    <n v="70.05"/>
    <n v="32.380000000000003"/>
    <n v="3.77"/>
    <n v="453966"/>
    <n v="4847"/>
    <n v="458813"/>
    <n v="31982"/>
    <n v="35165"/>
    <n v="515"/>
    <n v="43431"/>
    <n v="0"/>
    <n v="569906"/>
    <n v="78282"/>
    <n v="491624"/>
    <n v="324665"/>
    <n v="166959"/>
  </r>
  <r>
    <s v="10"/>
    <x v="4"/>
    <x v="150"/>
    <x v="150"/>
    <n v="74.180000000000007"/>
    <n v="489.6"/>
    <n v="563.78"/>
    <n v="0.64"/>
    <n v="5"/>
    <n v="0"/>
    <n v="495"/>
    <n v="341.32"/>
    <n v="63.71"/>
    <n v="70.05"/>
    <n v="32.380000000000003"/>
    <n v="3.77"/>
    <n v="192429"/>
    <n v="868"/>
    <n v="193297"/>
    <n v="12614"/>
    <n v="13870"/>
    <n v="218"/>
    <n v="18255"/>
    <n v="0"/>
    <n v="238254"/>
    <n v="33183"/>
    <n v="205071"/>
    <n v="137465"/>
    <n v="67606"/>
  </r>
  <r>
    <s v="10"/>
    <x v="4"/>
    <x v="151"/>
    <x v="151"/>
    <n v="119.35"/>
    <n v="968.6"/>
    <n v="1087.95"/>
    <n v="1.23"/>
    <n v="49"/>
    <n v="0"/>
    <n v="1018"/>
    <n v="341.32"/>
    <n v="63.71"/>
    <n v="70.05"/>
    <n v="32.380000000000003"/>
    <n v="3.77"/>
    <n v="371339"/>
    <n v="0"/>
    <n v="371339"/>
    <n v="25943"/>
    <n v="28524"/>
    <n v="420"/>
    <n v="35228"/>
    <n v="0"/>
    <n v="461454"/>
    <n v="64034"/>
    <n v="397420"/>
    <n v="265273"/>
    <n v="132147"/>
  </r>
  <r>
    <s v="10"/>
    <x v="4"/>
    <x v="152"/>
    <x v="152"/>
    <n v="89.13"/>
    <n v="1097.5999999999999"/>
    <n v="1186.73"/>
    <n v="1.34"/>
    <n v="32"/>
    <n v="0"/>
    <n v="1130"/>
    <n v="341.32"/>
    <n v="63.71"/>
    <n v="70.05"/>
    <n v="32.380000000000003"/>
    <n v="3.77"/>
    <n v="405055"/>
    <n v="0"/>
    <n v="405055"/>
    <n v="28797"/>
    <n v="31663"/>
    <n v="457"/>
    <n v="38426"/>
    <n v="0"/>
    <n v="504398"/>
    <n v="69848"/>
    <n v="434550"/>
    <n v="289357"/>
    <n v="145193"/>
  </r>
  <r>
    <s v="10"/>
    <x v="4"/>
    <x v="153"/>
    <x v="153"/>
    <n v="107.3"/>
    <n v="701.8"/>
    <n v="809.1"/>
    <n v="0.92"/>
    <n v="2"/>
    <n v="0"/>
    <n v="704"/>
    <n v="341.32"/>
    <n v="63.71"/>
    <n v="70.05"/>
    <n v="32.380000000000003"/>
    <n v="3.77"/>
    <n v="276162"/>
    <n v="4862"/>
    <n v="281024"/>
    <n v="17941"/>
    <n v="19726"/>
    <n v="314"/>
    <n v="26538"/>
    <n v="0"/>
    <n v="345543"/>
    <n v="47622"/>
    <n v="297921"/>
    <n v="197621"/>
    <n v="100300"/>
  </r>
  <r>
    <s v="10"/>
    <x v="4"/>
    <x v="154"/>
    <x v="154"/>
    <n v="42.4"/>
    <n v="545.20000000000005"/>
    <n v="587.6"/>
    <n v="0.67"/>
    <n v="4"/>
    <n v="0"/>
    <n v="549"/>
    <n v="341.32"/>
    <n v="63.71"/>
    <n v="70.05"/>
    <n v="32.380000000000003"/>
    <n v="3.77"/>
    <n v="200560"/>
    <n v="15209"/>
    <n v="215769"/>
    <n v="13991"/>
    <n v="15383"/>
    <n v="229"/>
    <n v="19026"/>
    <n v="0"/>
    <n v="264398"/>
    <n v="34584"/>
    <n v="229814"/>
    <n v="143275"/>
    <n v="86539"/>
  </r>
  <r>
    <s v="10"/>
    <x v="4"/>
    <x v="155"/>
    <x v="155"/>
    <n v="23.69"/>
    <n v="193.6"/>
    <n v="217.29"/>
    <n v="0.25"/>
    <n v="5"/>
    <n v="0"/>
    <n v="199"/>
    <n v="341.32"/>
    <n v="63.71"/>
    <n v="70.05"/>
    <n v="32.380000000000003"/>
    <n v="3.77"/>
    <n v="74165"/>
    <n v="5114"/>
    <n v="79279"/>
    <n v="5071"/>
    <n v="5576"/>
    <n v="85"/>
    <n v="7505"/>
    <n v="0"/>
    <n v="97516"/>
    <n v="12789"/>
    <n v="84727"/>
    <n v="53452"/>
    <n v="31275"/>
  </r>
  <r>
    <s v="10"/>
    <x v="4"/>
    <x v="156"/>
    <x v="156"/>
    <n v="107.9"/>
    <n v="1442.4"/>
    <n v="1550.3"/>
    <n v="1.75"/>
    <n v="12"/>
    <n v="0"/>
    <n v="1454"/>
    <n v="341.32"/>
    <n v="63.71"/>
    <n v="70.05"/>
    <n v="32.380000000000003"/>
    <n v="3.77"/>
    <n v="529148"/>
    <n v="0"/>
    <n v="529148"/>
    <n v="37054"/>
    <n v="40741"/>
    <n v="597"/>
    <n v="50199"/>
    <n v="0"/>
    <n v="657739"/>
    <n v="91247"/>
    <n v="566492"/>
    <n v="378006"/>
    <n v="188486"/>
  </r>
  <r>
    <s v="10"/>
    <x v="4"/>
    <x v="157"/>
    <x v="157"/>
    <n v="32.270000000000003"/>
    <n v="411.1"/>
    <n v="443.37"/>
    <n v="0.5"/>
    <n v="10"/>
    <n v="0"/>
    <n v="421"/>
    <n v="341.32"/>
    <n v="63.71"/>
    <n v="70.05"/>
    <n v="32.380000000000003"/>
    <n v="3.77"/>
    <n v="151331"/>
    <n v="0"/>
    <n v="151331"/>
    <n v="10729"/>
    <n v="11796"/>
    <n v="171"/>
    <n v="14356"/>
    <n v="0"/>
    <n v="188383"/>
    <n v="26095"/>
    <n v="162288"/>
    <n v="108106"/>
    <n v="54182"/>
  </r>
  <r>
    <s v="10"/>
    <x v="4"/>
    <x v="158"/>
    <x v="158"/>
    <n v="110.96"/>
    <n v="809.8"/>
    <n v="920.76"/>
    <n v="1.04"/>
    <n v="0"/>
    <n v="0"/>
    <n v="810"/>
    <n v="341.32"/>
    <n v="63.71"/>
    <n v="70.05"/>
    <n v="32.380000000000003"/>
    <n v="3.77"/>
    <n v="314274"/>
    <n v="5760"/>
    <n v="320034"/>
    <n v="20642"/>
    <n v="22696"/>
    <n v="355"/>
    <n v="30295"/>
    <n v="0"/>
    <n v="394022"/>
    <n v="54193"/>
    <n v="339829"/>
    <n v="224988"/>
    <n v="114841"/>
  </r>
  <r>
    <s v="10"/>
    <x v="4"/>
    <x v="159"/>
    <x v="159"/>
    <n v="201.51"/>
    <n v="1612.4"/>
    <n v="1813.91"/>
    <n v="2.0499999999999998"/>
    <n v="13"/>
    <n v="0"/>
    <n v="1625"/>
    <n v="341.32"/>
    <n v="63.71"/>
    <n v="70.05"/>
    <n v="32.380000000000003"/>
    <n v="3.77"/>
    <n v="619124"/>
    <n v="0"/>
    <n v="619124"/>
    <n v="41412"/>
    <n v="45532"/>
    <n v="700"/>
    <n v="58734"/>
    <n v="0"/>
    <n v="765502"/>
    <n v="106762"/>
    <n v="658740"/>
    <n v="442281"/>
    <n v="216459"/>
  </r>
  <r>
    <s v="10"/>
    <x v="4"/>
    <x v="160"/>
    <x v="160"/>
    <n v="229.91"/>
    <n v="1648"/>
    <n v="1877.91"/>
    <n v="2.13"/>
    <n v="83"/>
    <n v="0.9"/>
    <n v="1730"/>
    <n v="341.32"/>
    <n v="63.71"/>
    <n v="70.05"/>
    <n v="32.380000000000003"/>
    <n v="3.77"/>
    <n v="640968"/>
    <n v="0"/>
    <n v="640968"/>
    <n v="44087"/>
    <n v="48475"/>
    <n v="727"/>
    <n v="60807"/>
    <n v="0"/>
    <n v="795064"/>
    <n v="110529"/>
    <n v="684535"/>
    <n v="457889"/>
    <n v="226646"/>
  </r>
  <r>
    <s v="10"/>
    <x v="4"/>
    <x v="161"/>
    <x v="161"/>
    <n v="97.88"/>
    <n v="779.5"/>
    <n v="877.38"/>
    <n v="0.99"/>
    <n v="16"/>
    <n v="0"/>
    <n v="796"/>
    <n v="341.32"/>
    <n v="63.71"/>
    <n v="70.05"/>
    <n v="32.380000000000003"/>
    <n v="3.77"/>
    <n v="299467"/>
    <n v="0"/>
    <n v="299467"/>
    <n v="20285"/>
    <n v="22304"/>
    <n v="338"/>
    <n v="28410"/>
    <n v="0"/>
    <n v="370804"/>
    <n v="51640"/>
    <n v="319164"/>
    <n v="213930"/>
    <n v="105234"/>
  </r>
  <r>
    <s v="10"/>
    <x v="4"/>
    <x v="162"/>
    <x v="162"/>
    <n v="106.91"/>
    <n v="1151"/>
    <n v="1257.9100000000001"/>
    <n v="1.42"/>
    <n v="70"/>
    <n v="0.6"/>
    <n v="1220"/>
    <n v="341.32"/>
    <n v="63.71"/>
    <n v="70.05"/>
    <n v="32.380000000000003"/>
    <n v="3.77"/>
    <n v="429350"/>
    <n v="0"/>
    <n v="429350"/>
    <n v="31090"/>
    <n v="34184"/>
    <n v="485"/>
    <n v="40731"/>
    <n v="0"/>
    <n v="535840"/>
    <n v="74037"/>
    <n v="461803"/>
    <n v="306713"/>
    <n v="155090"/>
  </r>
  <r>
    <s v="11"/>
    <x v="5"/>
    <x v="163"/>
    <x v="163"/>
    <n v="45.62"/>
    <n v="284.39999999999998"/>
    <n v="330.02"/>
    <n v="0"/>
    <n v="0"/>
    <n v="0"/>
    <n v="284"/>
    <n v="334.22"/>
    <n v="63.59"/>
    <n v="69.87"/>
    <n v="28.61"/>
    <n v="3.58"/>
    <n v="110299"/>
    <n v="5369"/>
    <n v="115668"/>
    <n v="7224"/>
    <n v="7937"/>
    <n v="0"/>
    <n v="9850"/>
    <n v="0"/>
    <n v="140679"/>
    <n v="19424"/>
    <n v="121255"/>
    <n v="79531"/>
    <n v="41724"/>
  </r>
  <r>
    <s v="11"/>
    <x v="5"/>
    <x v="164"/>
    <x v="164"/>
    <n v="251.02"/>
    <n v="2165.5"/>
    <n v="2416.52"/>
    <n v="0"/>
    <n v="38"/>
    <n v="0"/>
    <n v="2204"/>
    <n v="334.22"/>
    <n v="63.59"/>
    <n v="69.87"/>
    <n v="28.61"/>
    <n v="3.58"/>
    <n v="807649"/>
    <n v="0"/>
    <n v="807649"/>
    <n v="56061"/>
    <n v="61597"/>
    <n v="0"/>
    <n v="69137"/>
    <n v="0"/>
    <n v="994444"/>
    <n v="142230"/>
    <n v="852214"/>
    <n v="579367"/>
    <n v="272847"/>
  </r>
  <r>
    <s v="11"/>
    <x v="5"/>
    <x v="165"/>
    <x v="165"/>
    <n v="664.08"/>
    <n v="4546.5"/>
    <n v="5210.58"/>
    <n v="0"/>
    <n v="143"/>
    <n v="0.9"/>
    <n v="4689"/>
    <n v="334.22"/>
    <n v="63.59"/>
    <n v="69.87"/>
    <n v="28.61"/>
    <n v="3.58"/>
    <n v="1741480"/>
    <n v="0"/>
    <n v="1741480"/>
    <n v="119270"/>
    <n v="131048"/>
    <n v="0"/>
    <n v="149075"/>
    <n v="0"/>
    <n v="2140873"/>
    <n v="306680"/>
    <n v="1834193"/>
    <n v="1249252"/>
    <n v="584941"/>
  </r>
  <r>
    <s v="11"/>
    <x v="5"/>
    <x v="166"/>
    <x v="166"/>
    <n v="1409.4"/>
    <n v="12637.2"/>
    <n v="14046.6"/>
    <n v="0"/>
    <n v="1081"/>
    <n v="2.5"/>
    <n v="13716"/>
    <n v="334.22"/>
    <n v="63.59"/>
    <n v="69.87"/>
    <n v="28.61"/>
    <n v="3.58"/>
    <n v="4694655"/>
    <n v="0"/>
    <n v="4694655"/>
    <n v="348880"/>
    <n v="383335"/>
    <n v="0"/>
    <n v="401873"/>
    <n v="0"/>
    <n v="5828743"/>
    <n v="826744"/>
    <n v="5001999"/>
    <n v="3367711"/>
    <n v="1634288"/>
  </r>
  <r>
    <s v="11"/>
    <x v="5"/>
    <x v="167"/>
    <x v="167"/>
    <n v="67.22"/>
    <n v="510.5"/>
    <n v="577.72"/>
    <n v="0"/>
    <n v="10"/>
    <n v="0"/>
    <n v="521"/>
    <n v="334.22"/>
    <n v="63.59"/>
    <n v="69.87"/>
    <n v="28.61"/>
    <n v="3.58"/>
    <n v="193086"/>
    <n v="0"/>
    <n v="193086"/>
    <n v="13252"/>
    <n v="14561"/>
    <n v="0"/>
    <n v="16529"/>
    <n v="0"/>
    <n v="237428"/>
    <n v="34003"/>
    <n v="203425"/>
    <n v="138510"/>
    <n v="64915"/>
  </r>
  <r>
    <s v="11"/>
    <x v="5"/>
    <x v="168"/>
    <x v="168"/>
    <n v="176.6"/>
    <n v="1733.2"/>
    <n v="1909.8"/>
    <n v="0"/>
    <n v="32"/>
    <n v="0"/>
    <n v="1765"/>
    <n v="334.22"/>
    <n v="63.59"/>
    <n v="69.87"/>
    <n v="28.61"/>
    <n v="3.58"/>
    <n v="638293"/>
    <n v="0"/>
    <n v="638293"/>
    <n v="44894"/>
    <n v="49328"/>
    <n v="0"/>
    <n v="54639"/>
    <n v="0"/>
    <n v="787154"/>
    <n v="112406"/>
    <n v="674748"/>
    <n v="457879"/>
    <n v="216869"/>
  </r>
  <r>
    <s v="11"/>
    <x v="5"/>
    <x v="169"/>
    <x v="169"/>
    <n v="31.58"/>
    <n v="338.6"/>
    <n v="370.18"/>
    <n v="0"/>
    <n v="4"/>
    <n v="0"/>
    <n v="343"/>
    <n v="334.22"/>
    <n v="63.59"/>
    <n v="69.87"/>
    <n v="28.61"/>
    <n v="3.58"/>
    <n v="123722"/>
    <n v="5750"/>
    <n v="129472"/>
    <n v="8724"/>
    <n v="9586"/>
    <n v="0"/>
    <n v="11025"/>
    <n v="0"/>
    <n v="158807"/>
    <n v="21788"/>
    <n v="137019"/>
    <n v="89186"/>
    <n v="47833"/>
  </r>
  <r>
    <s v="11"/>
    <x v="5"/>
    <x v="170"/>
    <x v="170"/>
    <n v="271.81"/>
    <n v="2559.9"/>
    <n v="2831.71"/>
    <n v="0"/>
    <n v="63"/>
    <n v="0"/>
    <n v="2623"/>
    <n v="334.22"/>
    <n v="63.59"/>
    <n v="69.87"/>
    <n v="28.61"/>
    <n v="3.58"/>
    <n v="946414"/>
    <n v="0"/>
    <n v="946414"/>
    <n v="66719"/>
    <n v="73308"/>
    <n v="0"/>
    <n v="81015"/>
    <n v="0"/>
    <n v="1167456"/>
    <n v="166667"/>
    <n v="1000789"/>
    <n v="678910"/>
    <n v="321879"/>
  </r>
  <r>
    <s v="11"/>
    <x v="5"/>
    <x v="171"/>
    <x v="171"/>
    <n v="353.33"/>
    <n v="1996.2"/>
    <n v="2349.5300000000002"/>
    <n v="0"/>
    <n v="168"/>
    <n v="4"/>
    <n v="2160"/>
    <n v="334.22"/>
    <n v="63.59"/>
    <n v="69.87"/>
    <n v="28.61"/>
    <n v="3.58"/>
    <n v="785260"/>
    <n v="0"/>
    <n v="785260"/>
    <n v="54942"/>
    <n v="60368"/>
    <n v="0"/>
    <n v="67220"/>
    <n v="0"/>
    <n v="967790"/>
    <n v="138287"/>
    <n v="829503"/>
    <n v="563306"/>
    <n v="266197"/>
  </r>
  <r>
    <s v="11"/>
    <x v="5"/>
    <x v="172"/>
    <x v="172"/>
    <n v="226.01"/>
    <n v="1984.8"/>
    <n v="2210.81"/>
    <n v="0"/>
    <n v="54"/>
    <n v="0"/>
    <n v="2039"/>
    <n v="334.22"/>
    <n v="63.59"/>
    <n v="69.87"/>
    <n v="28.61"/>
    <n v="3.58"/>
    <n v="738897"/>
    <n v="0"/>
    <n v="738897"/>
    <n v="51864"/>
    <n v="56986"/>
    <n v="0"/>
    <n v="63251"/>
    <n v="0"/>
    <n v="910998"/>
    <n v="130122"/>
    <n v="780876"/>
    <n v="530048"/>
    <n v="250828"/>
  </r>
  <r>
    <s v="11"/>
    <x v="5"/>
    <x v="173"/>
    <x v="173"/>
    <n v="278.76"/>
    <n v="1613.7"/>
    <n v="1892.46"/>
    <n v="0"/>
    <n v="935"/>
    <n v="15.1"/>
    <n v="2534"/>
    <n v="334.22"/>
    <n v="63.59"/>
    <n v="69.87"/>
    <n v="28.61"/>
    <n v="3.58"/>
    <n v="632498"/>
    <n v="0"/>
    <n v="632498"/>
    <n v="64455"/>
    <n v="70820"/>
    <n v="0"/>
    <n v="54143"/>
    <n v="0"/>
    <n v="821916"/>
    <n v="111384"/>
    <n v="710532"/>
    <n v="453723"/>
    <n v="256809"/>
  </r>
  <r>
    <s v="11"/>
    <x v="5"/>
    <x v="174"/>
    <x v="174"/>
    <n v="102.99"/>
    <n v="710.6"/>
    <n v="813.59"/>
    <n v="0"/>
    <n v="9"/>
    <n v="0"/>
    <n v="720"/>
    <n v="334.22"/>
    <n v="63.59"/>
    <n v="69.87"/>
    <n v="28.61"/>
    <n v="3.58"/>
    <n v="271918"/>
    <n v="0"/>
    <n v="271918"/>
    <n v="18314"/>
    <n v="20122"/>
    <n v="0"/>
    <n v="23277"/>
    <n v="0"/>
    <n v="333631"/>
    <n v="47886"/>
    <n v="285745"/>
    <n v="195060"/>
    <n v="90685"/>
  </r>
  <r>
    <s v="11"/>
    <x v="5"/>
    <x v="175"/>
    <x v="175"/>
    <n v="69.680000000000007"/>
    <n v="441.7"/>
    <n v="511.38"/>
    <n v="0"/>
    <n v="5"/>
    <n v="0"/>
    <n v="447"/>
    <n v="334.22"/>
    <n v="63.59"/>
    <n v="69.87"/>
    <n v="28.61"/>
    <n v="3.58"/>
    <n v="170913"/>
    <n v="950"/>
    <n v="171863"/>
    <n v="11370"/>
    <n v="12493"/>
    <n v="0"/>
    <n v="14635"/>
    <n v="0"/>
    <n v="210361"/>
    <n v="30099"/>
    <n v="180262"/>
    <n v="122609"/>
    <n v="57653"/>
  </r>
  <r>
    <s v="11"/>
    <x v="5"/>
    <x v="176"/>
    <x v="176"/>
    <n v="55.49"/>
    <n v="454.9"/>
    <n v="510.39"/>
    <n v="0"/>
    <n v="0"/>
    <n v="0"/>
    <n v="455"/>
    <n v="334.22"/>
    <n v="63.59"/>
    <n v="69.87"/>
    <n v="28.61"/>
    <n v="3.58"/>
    <n v="170583"/>
    <n v="0"/>
    <n v="170583"/>
    <n v="11573"/>
    <n v="12716"/>
    <n v="0"/>
    <n v="14602"/>
    <n v="0"/>
    <n v="209474"/>
    <n v="30040"/>
    <n v="179434"/>
    <n v="122367"/>
    <n v="57067"/>
  </r>
  <r>
    <s v="11"/>
    <x v="5"/>
    <x v="177"/>
    <x v="177"/>
    <n v="70.27"/>
    <n v="435"/>
    <n v="505.27"/>
    <n v="0"/>
    <n v="1"/>
    <n v="0"/>
    <n v="436"/>
    <n v="334.22"/>
    <n v="63.59"/>
    <n v="69.87"/>
    <n v="28.61"/>
    <n v="3.58"/>
    <n v="168871"/>
    <n v="0"/>
    <n v="168871"/>
    <n v="11090"/>
    <n v="12185"/>
    <n v="0"/>
    <n v="14456"/>
    <n v="0"/>
    <n v="206602"/>
    <n v="29739"/>
    <n v="176863"/>
    <n v="121140"/>
    <n v="55723"/>
  </r>
  <r>
    <s v="11"/>
    <x v="5"/>
    <x v="178"/>
    <x v="178"/>
    <n v="387.06"/>
    <n v="3501.5"/>
    <n v="3888.56"/>
    <n v="0"/>
    <n v="93"/>
    <n v="0"/>
    <n v="3595"/>
    <n v="334.22"/>
    <n v="63.59"/>
    <n v="69.87"/>
    <n v="28.61"/>
    <n v="3.58"/>
    <n v="1299635"/>
    <n v="0"/>
    <n v="1299635"/>
    <n v="91442"/>
    <n v="100473"/>
    <n v="0"/>
    <n v="111252"/>
    <n v="0"/>
    <n v="1602802"/>
    <n v="228870"/>
    <n v="1373932"/>
    <n v="932293"/>
    <n v="441639"/>
  </r>
  <r>
    <s v="11"/>
    <x v="5"/>
    <x v="179"/>
    <x v="179"/>
    <n v="5444.12"/>
    <n v="30801.7"/>
    <n v="36245.82"/>
    <n v="0"/>
    <n v="2481"/>
    <n v="51.1"/>
    <n v="33232"/>
    <n v="334.22"/>
    <n v="63.59"/>
    <n v="69.87"/>
    <n v="28.61"/>
    <n v="3.58"/>
    <n v="12114078"/>
    <n v="0"/>
    <n v="12114078"/>
    <n v="845289"/>
    <n v="928768"/>
    <n v="0"/>
    <n v="1036993"/>
    <n v="0"/>
    <n v="14925128"/>
    <n v="2133328"/>
    <n v="12791800"/>
    <n v="8690036"/>
    <n v="4101764"/>
  </r>
  <r>
    <s v="11"/>
    <x v="5"/>
    <x v="180"/>
    <x v="180"/>
    <n v="47.86"/>
    <n v="576.6"/>
    <n v="624.46"/>
    <n v="0"/>
    <n v="5"/>
    <n v="0"/>
    <n v="582"/>
    <n v="334.22"/>
    <n v="63.59"/>
    <n v="69.87"/>
    <n v="28.61"/>
    <n v="3.58"/>
    <n v="208707"/>
    <n v="0"/>
    <n v="208707"/>
    <n v="14804"/>
    <n v="16266"/>
    <n v="0"/>
    <n v="17866"/>
    <n v="0"/>
    <n v="257643"/>
    <n v="36754"/>
    <n v="220889"/>
    <n v="149716"/>
    <n v="71173"/>
  </r>
  <r>
    <s v="11"/>
    <x v="5"/>
    <x v="181"/>
    <x v="181"/>
    <n v="58.88"/>
    <n v="417"/>
    <n v="475.88"/>
    <n v="0"/>
    <n v="0"/>
    <n v="0"/>
    <n v="417"/>
    <n v="334.22"/>
    <n v="63.59"/>
    <n v="69.87"/>
    <n v="28.61"/>
    <n v="3.58"/>
    <n v="159049"/>
    <n v="0"/>
    <n v="159049"/>
    <n v="10607"/>
    <n v="11654"/>
    <n v="0"/>
    <n v="13615"/>
    <n v="0"/>
    <n v="194925"/>
    <n v="28009"/>
    <n v="166916"/>
    <n v="114094"/>
    <n v="52822"/>
  </r>
  <r>
    <s v="11"/>
    <x v="5"/>
    <x v="182"/>
    <x v="182"/>
    <n v="115.16"/>
    <n v="1607.6"/>
    <n v="1722.76"/>
    <n v="0"/>
    <n v="39"/>
    <n v="0"/>
    <n v="1647"/>
    <n v="334.22"/>
    <n v="63.59"/>
    <n v="69.87"/>
    <n v="28.61"/>
    <n v="3.58"/>
    <n v="575781"/>
    <n v="0"/>
    <n v="575781"/>
    <n v="41893"/>
    <n v="46030"/>
    <n v="0"/>
    <n v="49288"/>
    <n v="0"/>
    <n v="712992"/>
    <n v="101397"/>
    <n v="611595"/>
    <n v="413036"/>
    <n v="198559"/>
  </r>
  <r>
    <s v="11"/>
    <x v="5"/>
    <x v="183"/>
    <x v="183"/>
    <n v="36.619999999999997"/>
    <n v="307.3"/>
    <n v="343.92"/>
    <n v="0"/>
    <n v="17"/>
    <n v="0"/>
    <n v="324"/>
    <n v="334.22"/>
    <n v="63.59"/>
    <n v="69.87"/>
    <n v="28.61"/>
    <n v="3.58"/>
    <n v="114945"/>
    <n v="0"/>
    <n v="114945"/>
    <n v="8241"/>
    <n v="9055"/>
    <n v="0"/>
    <n v="9840"/>
    <n v="0"/>
    <n v="142081"/>
    <n v="20242"/>
    <n v="121839"/>
    <n v="82456"/>
    <n v="39383"/>
  </r>
  <r>
    <s v="11"/>
    <x v="5"/>
    <x v="184"/>
    <x v="184"/>
    <n v="44.1"/>
    <n v="395.4"/>
    <n v="439.5"/>
    <n v="0"/>
    <n v="0"/>
    <n v="0"/>
    <n v="395"/>
    <n v="334.22"/>
    <n v="63.59"/>
    <n v="69.87"/>
    <n v="28.61"/>
    <n v="3.58"/>
    <n v="146890"/>
    <n v="2990"/>
    <n v="149880"/>
    <n v="10047"/>
    <n v="11040"/>
    <n v="0"/>
    <n v="12574"/>
    <n v="0"/>
    <n v="183541"/>
    <n v="25867"/>
    <n v="157674"/>
    <n v="105372"/>
    <n v="52302"/>
  </r>
  <r>
    <s v="11"/>
    <x v="5"/>
    <x v="185"/>
    <x v="185"/>
    <n v="467.84"/>
    <n v="3422.7"/>
    <n v="3890.54"/>
    <n v="0"/>
    <n v="106"/>
    <n v="0"/>
    <n v="3529"/>
    <n v="334.22"/>
    <n v="63.59"/>
    <n v="69.87"/>
    <n v="28.61"/>
    <n v="3.58"/>
    <n v="1300296"/>
    <n v="0"/>
    <n v="1300296"/>
    <n v="89764"/>
    <n v="98628"/>
    <n v="0"/>
    <n v="111308"/>
    <n v="0"/>
    <n v="1599996"/>
    <n v="228986"/>
    <n v="1371010"/>
    <n v="932768"/>
    <n v="438242"/>
  </r>
  <r>
    <s v="11"/>
    <x v="5"/>
    <x v="186"/>
    <x v="186"/>
    <n v="92.31"/>
    <n v="825"/>
    <n v="917.31"/>
    <n v="0"/>
    <n v="14"/>
    <n v="0"/>
    <n v="839"/>
    <n v="334.22"/>
    <n v="63.59"/>
    <n v="69.87"/>
    <n v="28.61"/>
    <n v="3.58"/>
    <n v="306583"/>
    <n v="0"/>
    <n v="306583"/>
    <n v="21341"/>
    <n v="23448"/>
    <n v="0"/>
    <n v="26244"/>
    <n v="0"/>
    <n v="377616"/>
    <n v="53990"/>
    <n v="323626"/>
    <n v="219928"/>
    <n v="103698"/>
  </r>
  <r>
    <s v="11"/>
    <x v="5"/>
    <x v="187"/>
    <x v="187"/>
    <n v="803.06"/>
    <n v="6838.4"/>
    <n v="7641.46"/>
    <n v="0"/>
    <n v="455"/>
    <n v="0"/>
    <n v="7293"/>
    <n v="334.22"/>
    <n v="63.59"/>
    <n v="69.87"/>
    <n v="28.61"/>
    <n v="3.58"/>
    <n v="2553929"/>
    <n v="0"/>
    <n v="2553929"/>
    <n v="185505"/>
    <n v="203825"/>
    <n v="0"/>
    <n v="218622"/>
    <n v="0"/>
    <n v="3161881"/>
    <n v="449755"/>
    <n v="2712126"/>
    <n v="1832061"/>
    <n v="880065"/>
  </r>
  <r>
    <s v="11"/>
    <x v="5"/>
    <x v="188"/>
    <x v="188"/>
    <n v="241.12"/>
    <n v="1717.4"/>
    <n v="1958.52"/>
    <n v="0"/>
    <n v="11"/>
    <n v="0"/>
    <n v="1728"/>
    <n v="334.22"/>
    <n v="63.59"/>
    <n v="69.87"/>
    <n v="28.61"/>
    <n v="3.58"/>
    <n v="654577"/>
    <n v="0"/>
    <n v="654577"/>
    <n v="43954"/>
    <n v="48294"/>
    <n v="0"/>
    <n v="56033"/>
    <n v="0"/>
    <n v="802858"/>
    <n v="115273"/>
    <n v="687585"/>
    <n v="469560"/>
    <n v="218025"/>
  </r>
  <r>
    <s v="11"/>
    <x v="5"/>
    <x v="189"/>
    <x v="189"/>
    <n v="58.29"/>
    <n v="437.5"/>
    <n v="495.79"/>
    <n v="0"/>
    <n v="61"/>
    <n v="0"/>
    <n v="499"/>
    <n v="334.22"/>
    <n v="63.59"/>
    <n v="69.87"/>
    <n v="28.61"/>
    <n v="3.58"/>
    <n v="165703"/>
    <n v="0"/>
    <n v="165703"/>
    <n v="12692"/>
    <n v="13946"/>
    <n v="0"/>
    <n v="14185"/>
    <n v="0"/>
    <n v="206526"/>
    <n v="29181"/>
    <n v="177345"/>
    <n v="118867"/>
    <n v="58478"/>
  </r>
  <r>
    <s v="11"/>
    <x v="5"/>
    <x v="190"/>
    <x v="190"/>
    <n v="82.85"/>
    <n v="643.70000000000005"/>
    <n v="726.55"/>
    <n v="0"/>
    <n v="1"/>
    <n v="0"/>
    <n v="645"/>
    <n v="334.22"/>
    <n v="63.59"/>
    <n v="69.87"/>
    <n v="28.61"/>
    <n v="3.58"/>
    <n v="242828"/>
    <n v="2980"/>
    <n v="245808"/>
    <n v="16406"/>
    <n v="18026"/>
    <n v="0"/>
    <n v="20932"/>
    <n v="0"/>
    <n v="301172"/>
    <n v="42763"/>
    <n v="258409"/>
    <n v="174338"/>
    <n v="84071"/>
  </r>
  <r>
    <s v="11"/>
    <x v="5"/>
    <x v="191"/>
    <x v="191"/>
    <n v="52.66"/>
    <n v="487.5"/>
    <n v="540.16"/>
    <n v="0"/>
    <n v="22"/>
    <n v="0"/>
    <n v="510"/>
    <n v="334.22"/>
    <n v="63.59"/>
    <n v="69.87"/>
    <n v="28.61"/>
    <n v="3.58"/>
    <n v="180532"/>
    <n v="0"/>
    <n v="180532"/>
    <n v="12972"/>
    <n v="14254"/>
    <n v="0"/>
    <n v="15454"/>
    <n v="0"/>
    <n v="223212"/>
    <n v="31792"/>
    <n v="191420"/>
    <n v="129505"/>
    <n v="61915"/>
  </r>
  <r>
    <s v="11"/>
    <x v="5"/>
    <x v="192"/>
    <x v="192"/>
    <n v="31.72"/>
    <n v="283.39999999999998"/>
    <n v="315.12"/>
    <n v="0"/>
    <n v="0"/>
    <n v="0"/>
    <n v="283"/>
    <n v="334.22"/>
    <n v="63.59"/>
    <n v="69.87"/>
    <n v="28.61"/>
    <n v="3.58"/>
    <n v="105319"/>
    <n v="11586"/>
    <n v="116905"/>
    <n v="7198"/>
    <n v="7909"/>
    <n v="0"/>
    <n v="9476"/>
    <n v="0"/>
    <n v="141488"/>
    <n v="18547"/>
    <n v="122941"/>
    <n v="76011"/>
    <n v="46930"/>
  </r>
  <r>
    <s v="11"/>
    <x v="5"/>
    <x v="193"/>
    <x v="193"/>
    <n v="164.39"/>
    <n v="1385.9"/>
    <n v="1550.29"/>
    <n v="0"/>
    <n v="9"/>
    <n v="0"/>
    <n v="1395"/>
    <n v="334.22"/>
    <n v="63.59"/>
    <n v="69.87"/>
    <n v="28.61"/>
    <n v="3.58"/>
    <n v="518138"/>
    <n v="0"/>
    <n v="518138"/>
    <n v="35483"/>
    <n v="38988"/>
    <n v="0"/>
    <n v="44354"/>
    <n v="0"/>
    <n v="636963"/>
    <n v="91246"/>
    <n v="545717"/>
    <n v="371686"/>
    <n v="174031"/>
  </r>
  <r>
    <s v="11"/>
    <x v="5"/>
    <x v="194"/>
    <x v="194"/>
    <n v="538.69000000000005"/>
    <n v="2911.7"/>
    <n v="3450.39"/>
    <n v="0"/>
    <n v="101"/>
    <n v="0.3"/>
    <n v="3012"/>
    <n v="334.22"/>
    <n v="63.59"/>
    <n v="69.87"/>
    <n v="28.61"/>
    <n v="3.58"/>
    <n v="1153189"/>
    <n v="0"/>
    <n v="1153189"/>
    <n v="76613"/>
    <n v="84179"/>
    <n v="0"/>
    <n v="98716"/>
    <n v="0"/>
    <n v="1412697"/>
    <n v="203080"/>
    <n v="1209617"/>
    <n v="827241"/>
    <n v="382376"/>
  </r>
  <r>
    <s v="11"/>
    <x v="5"/>
    <x v="195"/>
    <x v="195"/>
    <n v="163.51"/>
    <n v="2145.5"/>
    <n v="2309.0100000000002"/>
    <n v="0"/>
    <n v="49"/>
    <n v="0"/>
    <n v="2195"/>
    <n v="334.22"/>
    <n v="63.59"/>
    <n v="69.87"/>
    <n v="28.61"/>
    <n v="3.58"/>
    <n v="771717"/>
    <n v="0"/>
    <n v="771717"/>
    <n v="55832"/>
    <n v="61346"/>
    <n v="0"/>
    <n v="66061"/>
    <n v="0"/>
    <n v="954956"/>
    <n v="135902"/>
    <n v="819054"/>
    <n v="553592"/>
    <n v="265462"/>
  </r>
  <r>
    <s v="11"/>
    <x v="5"/>
    <x v="196"/>
    <x v="196"/>
    <n v="384.76"/>
    <n v="3430.8"/>
    <n v="3815.56"/>
    <n v="0"/>
    <n v="132"/>
    <n v="0"/>
    <n v="3563"/>
    <n v="334.22"/>
    <n v="63.59"/>
    <n v="69.87"/>
    <n v="28.61"/>
    <n v="3.58"/>
    <n v="1275236"/>
    <n v="0"/>
    <n v="1275236"/>
    <n v="90628"/>
    <n v="99579"/>
    <n v="0"/>
    <n v="109163"/>
    <n v="0"/>
    <n v="1574606"/>
    <n v="224574"/>
    <n v="1350032"/>
    <n v="914790"/>
    <n v="435242"/>
  </r>
  <r>
    <s v="11"/>
    <x v="5"/>
    <x v="197"/>
    <x v="197"/>
    <n v="39.549999999999997"/>
    <n v="590.29999999999995"/>
    <n v="629.85"/>
    <n v="0"/>
    <n v="17"/>
    <n v="0"/>
    <n v="607"/>
    <n v="334.22"/>
    <n v="63.59"/>
    <n v="69.87"/>
    <n v="28.61"/>
    <n v="3.58"/>
    <n v="210508"/>
    <n v="0"/>
    <n v="210508"/>
    <n v="15440"/>
    <n v="16964"/>
    <n v="0"/>
    <n v="18020"/>
    <n v="0"/>
    <n v="260932"/>
    <n v="37072"/>
    <n v="223860"/>
    <n v="151008"/>
    <n v="72852"/>
  </r>
  <r>
    <s v="11"/>
    <x v="5"/>
    <x v="198"/>
    <x v="198"/>
    <n v="100.76"/>
    <n v="999.3"/>
    <n v="1100.06"/>
    <n v="0"/>
    <n v="21"/>
    <n v="0"/>
    <n v="1020"/>
    <n v="334.22"/>
    <n v="63.59"/>
    <n v="69.87"/>
    <n v="28.61"/>
    <n v="3.58"/>
    <n v="367662"/>
    <n v="4421"/>
    <n v="372083"/>
    <n v="25945"/>
    <n v="28507"/>
    <n v="0"/>
    <n v="31684"/>
    <n v="0"/>
    <n v="458219"/>
    <n v="64747"/>
    <n v="393472"/>
    <n v="263953"/>
    <n v="129519"/>
  </r>
  <r>
    <s v="11"/>
    <x v="5"/>
    <x v="199"/>
    <x v="199"/>
    <n v="96.19"/>
    <n v="642.5"/>
    <n v="738.69"/>
    <n v="0"/>
    <n v="4"/>
    <n v="0"/>
    <n v="647"/>
    <n v="334.22"/>
    <n v="63.59"/>
    <n v="69.87"/>
    <n v="28.61"/>
    <n v="3.58"/>
    <n v="246885"/>
    <n v="0"/>
    <n v="246885"/>
    <n v="16457"/>
    <n v="18082"/>
    <n v="0"/>
    <n v="21134"/>
    <n v="0"/>
    <n v="302558"/>
    <n v="43477"/>
    <n v="259081"/>
    <n v="177103"/>
    <n v="81978"/>
  </r>
  <r>
    <s v="11"/>
    <x v="5"/>
    <x v="200"/>
    <x v="200"/>
    <n v="256.24"/>
    <n v="2135.9"/>
    <n v="2392.14"/>
    <n v="0"/>
    <n v="625"/>
    <n v="0.7"/>
    <n v="2760"/>
    <n v="334.22"/>
    <n v="63.59"/>
    <n v="69.87"/>
    <n v="28.61"/>
    <n v="3.58"/>
    <n v="799501"/>
    <n v="0"/>
    <n v="799501"/>
    <n v="70203"/>
    <n v="77136"/>
    <n v="0"/>
    <n v="68439"/>
    <n v="0"/>
    <n v="1015279"/>
    <n v="140794"/>
    <n v="874485"/>
    <n v="573523"/>
    <n v="300962"/>
  </r>
  <r>
    <s v="11"/>
    <x v="5"/>
    <x v="201"/>
    <x v="201"/>
    <n v="276.39999999999998"/>
    <n v="1918.7"/>
    <n v="2195.1"/>
    <n v="0"/>
    <n v="82"/>
    <n v="8.1"/>
    <n v="1993"/>
    <n v="334.22"/>
    <n v="63.59"/>
    <n v="69.87"/>
    <n v="28.61"/>
    <n v="3.58"/>
    <n v="733646"/>
    <n v="0"/>
    <n v="733646"/>
    <n v="50694"/>
    <n v="55700"/>
    <n v="0"/>
    <n v="62802"/>
    <n v="0"/>
    <n v="902842"/>
    <n v="129198"/>
    <n v="773644"/>
    <n v="526281"/>
    <n v="247363"/>
  </r>
  <r>
    <s v="11"/>
    <x v="5"/>
    <x v="202"/>
    <x v="202"/>
    <n v="99.14"/>
    <n v="693"/>
    <n v="792.14"/>
    <n v="0"/>
    <n v="0"/>
    <n v="0"/>
    <n v="693"/>
    <n v="334.22"/>
    <n v="63.59"/>
    <n v="69.87"/>
    <n v="28.61"/>
    <n v="3.58"/>
    <n v="264749"/>
    <n v="0"/>
    <n v="264749"/>
    <n v="17627"/>
    <n v="19368"/>
    <n v="0"/>
    <n v="22663"/>
    <n v="0"/>
    <n v="324407"/>
    <n v="46623"/>
    <n v="277784"/>
    <n v="189918"/>
    <n v="87866"/>
  </r>
  <r>
    <s v="11"/>
    <x v="5"/>
    <x v="203"/>
    <x v="203"/>
    <n v="96.1"/>
    <n v="983.2"/>
    <n v="1079.3"/>
    <n v="0"/>
    <n v="5"/>
    <n v="0"/>
    <n v="988"/>
    <n v="334.22"/>
    <n v="63.59"/>
    <n v="69.87"/>
    <n v="28.61"/>
    <n v="3.58"/>
    <n v="360724"/>
    <n v="0"/>
    <n v="360724"/>
    <n v="25131"/>
    <n v="27613"/>
    <n v="0"/>
    <n v="30879"/>
    <n v="0"/>
    <n v="444347"/>
    <n v="63525"/>
    <n v="380822"/>
    <n v="258765"/>
    <n v="122057"/>
  </r>
  <r>
    <s v="11"/>
    <x v="5"/>
    <x v="204"/>
    <x v="204"/>
    <n v="156.36000000000001"/>
    <n v="1023"/>
    <n v="1179.3599999999999"/>
    <n v="0"/>
    <n v="68"/>
    <n v="0"/>
    <n v="1091"/>
    <n v="334.22"/>
    <n v="63.59"/>
    <n v="69.87"/>
    <n v="28.61"/>
    <n v="3.58"/>
    <n v="394166"/>
    <n v="0"/>
    <n v="394166"/>
    <n v="27751"/>
    <n v="30491"/>
    <n v="0"/>
    <n v="33741"/>
    <n v="0"/>
    <n v="486149"/>
    <n v="69414"/>
    <n v="416735"/>
    <n v="282754"/>
    <n v="133981"/>
  </r>
  <r>
    <s v="11"/>
    <x v="5"/>
    <x v="205"/>
    <x v="205"/>
    <n v="1074.8499999999999"/>
    <n v="7199.6"/>
    <n v="8274.4500000000007"/>
    <n v="0"/>
    <n v="398"/>
    <n v="0"/>
    <n v="7598"/>
    <n v="334.22"/>
    <n v="63.59"/>
    <n v="69.87"/>
    <n v="28.61"/>
    <n v="3.58"/>
    <n v="2765487"/>
    <n v="0"/>
    <n v="2765487"/>
    <n v="193263"/>
    <n v="212349"/>
    <n v="0"/>
    <n v="236732"/>
    <n v="0"/>
    <n v="3407831"/>
    <n v="487012"/>
    <n v="2920819"/>
    <n v="1983822"/>
    <n v="936997"/>
  </r>
  <r>
    <s v="11"/>
    <x v="5"/>
    <x v="206"/>
    <x v="206"/>
    <n v="62.26"/>
    <n v="487.8"/>
    <n v="550.05999999999995"/>
    <n v="0"/>
    <n v="7"/>
    <n v="0"/>
    <n v="495"/>
    <n v="334.22"/>
    <n v="63.59"/>
    <n v="69.87"/>
    <n v="28.61"/>
    <n v="3.58"/>
    <n v="183841"/>
    <n v="6715"/>
    <n v="190556"/>
    <n v="12591"/>
    <n v="13834"/>
    <n v="0"/>
    <n v="15737"/>
    <n v="0"/>
    <n v="232718"/>
    <n v="32375"/>
    <n v="200343"/>
    <n v="131878"/>
    <n v="68465"/>
  </r>
  <r>
    <s v="11"/>
    <x v="5"/>
    <x v="207"/>
    <x v="207"/>
    <n v="66.36"/>
    <n v="314.2"/>
    <n v="380.56"/>
    <n v="0"/>
    <n v="12"/>
    <n v="0"/>
    <n v="326"/>
    <n v="334.22"/>
    <n v="63.59"/>
    <n v="69.87"/>
    <n v="28.61"/>
    <n v="3.58"/>
    <n v="127191"/>
    <n v="1043"/>
    <n v="128234"/>
    <n v="8292"/>
    <n v="9111"/>
    <n v="0"/>
    <n v="10920"/>
    <n v="0"/>
    <n v="156557"/>
    <n v="22399"/>
    <n v="134158"/>
    <n v="91272"/>
    <n v="42886"/>
  </r>
  <r>
    <s v="11"/>
    <x v="5"/>
    <x v="208"/>
    <x v="208"/>
    <n v="34.869999999999997"/>
    <n v="363.5"/>
    <n v="398.37"/>
    <n v="0"/>
    <n v="7"/>
    <n v="0"/>
    <n v="371"/>
    <n v="334.22"/>
    <n v="63.59"/>
    <n v="69.87"/>
    <n v="28.61"/>
    <n v="3.58"/>
    <n v="133143"/>
    <n v="5105"/>
    <n v="138248"/>
    <n v="9437"/>
    <n v="10369"/>
    <n v="0"/>
    <n v="11772"/>
    <n v="0"/>
    <n v="169826"/>
    <n v="23447"/>
    <n v="146379"/>
    <n v="95885"/>
    <n v="50494"/>
  </r>
  <r>
    <s v="11"/>
    <x v="5"/>
    <x v="209"/>
    <x v="209"/>
    <n v="466.15"/>
    <n v="3441.5"/>
    <n v="3907.65"/>
    <n v="0"/>
    <n v="529"/>
    <n v="8.8000000000000007"/>
    <n v="3962"/>
    <n v="334.22"/>
    <n v="63.59"/>
    <n v="69.87"/>
    <n v="28.61"/>
    <n v="3.58"/>
    <n v="1306015"/>
    <n v="0"/>
    <n v="1306015"/>
    <n v="100778"/>
    <n v="110730"/>
    <n v="0"/>
    <n v="111798"/>
    <n v="0"/>
    <n v="1629321"/>
    <n v="229993"/>
    <n v="1399328"/>
    <n v="936871"/>
    <n v="462457"/>
  </r>
  <r>
    <s v="11"/>
    <x v="5"/>
    <x v="210"/>
    <x v="210"/>
    <n v="55.4"/>
    <n v="935.9"/>
    <n v="991.3"/>
    <n v="0"/>
    <n v="36"/>
    <n v="0"/>
    <n v="972"/>
    <n v="334.22"/>
    <n v="63.59"/>
    <n v="69.87"/>
    <n v="28.61"/>
    <n v="3.58"/>
    <n v="331312"/>
    <n v="0"/>
    <n v="331312"/>
    <n v="24724"/>
    <n v="27166"/>
    <n v="0"/>
    <n v="28361"/>
    <n v="0"/>
    <n v="411563"/>
    <n v="58345"/>
    <n v="353218"/>
    <n v="237667"/>
    <n v="115551"/>
  </r>
  <r>
    <s v="11"/>
    <x v="5"/>
    <x v="211"/>
    <x v="211"/>
    <n v="1530.77"/>
    <n v="13674"/>
    <n v="15204.77"/>
    <n v="0"/>
    <n v="1308"/>
    <n v="0.3"/>
    <n v="14982"/>
    <n v="334.22"/>
    <n v="63.59"/>
    <n v="69.87"/>
    <n v="28.61"/>
    <n v="3.58"/>
    <n v="5081738"/>
    <n v="0"/>
    <n v="5081738"/>
    <n v="381082"/>
    <n v="418717"/>
    <n v="0"/>
    <n v="435008"/>
    <n v="0"/>
    <n v="6316545"/>
    <n v="894911"/>
    <n v="5421634"/>
    <n v="3645385"/>
    <n v="1776249"/>
  </r>
  <r>
    <s v="11"/>
    <x v="5"/>
    <x v="212"/>
    <x v="212"/>
    <n v="132.71"/>
    <n v="940.8"/>
    <n v="1073.51"/>
    <n v="0"/>
    <n v="2"/>
    <n v="0"/>
    <n v="943"/>
    <n v="334.22"/>
    <n v="63.59"/>
    <n v="69.87"/>
    <n v="28.61"/>
    <n v="3.58"/>
    <n v="358789"/>
    <n v="0"/>
    <n v="358789"/>
    <n v="23986"/>
    <n v="26355"/>
    <n v="0"/>
    <n v="30713"/>
    <n v="0"/>
    <n v="439843"/>
    <n v="63184"/>
    <n v="376659"/>
    <n v="257377"/>
    <n v="119282"/>
  </r>
  <r>
    <s v="11"/>
    <x v="5"/>
    <x v="213"/>
    <x v="213"/>
    <n v="1132.79"/>
    <n v="8614.2000000000007"/>
    <n v="9746.99"/>
    <n v="0"/>
    <n v="1234"/>
    <n v="1.8"/>
    <n v="9846"/>
    <n v="334.22"/>
    <n v="63.59"/>
    <n v="69.87"/>
    <n v="28.61"/>
    <n v="3.58"/>
    <n v="3257639"/>
    <n v="0"/>
    <n v="3257639"/>
    <n v="250443"/>
    <n v="275176"/>
    <n v="0"/>
    <n v="278861"/>
    <n v="0"/>
    <n v="4062119"/>
    <n v="573681"/>
    <n v="3488438"/>
    <n v="2336867"/>
    <n v="1151571"/>
  </r>
  <r>
    <s v="11"/>
    <x v="5"/>
    <x v="214"/>
    <x v="214"/>
    <n v="217.79"/>
    <n v="1667.8"/>
    <n v="1885.59"/>
    <n v="0"/>
    <n v="12"/>
    <n v="0"/>
    <n v="1680"/>
    <n v="334.22"/>
    <n v="63.59"/>
    <n v="69.87"/>
    <n v="28.61"/>
    <n v="3.58"/>
    <n v="630202"/>
    <n v="0"/>
    <n v="630202"/>
    <n v="42732"/>
    <n v="46953"/>
    <n v="0"/>
    <n v="53947"/>
    <n v="0"/>
    <n v="773834"/>
    <n v="110981"/>
    <n v="662853"/>
    <n v="452075"/>
    <n v="210778"/>
  </r>
  <r>
    <s v="11"/>
    <x v="5"/>
    <x v="215"/>
    <x v="215"/>
    <n v="102.44"/>
    <n v="1078.5999999999999"/>
    <n v="1181.04"/>
    <n v="0"/>
    <n v="28"/>
    <n v="0"/>
    <n v="1107"/>
    <n v="334.22"/>
    <n v="63.59"/>
    <n v="69.87"/>
    <n v="28.61"/>
    <n v="3.58"/>
    <n v="394727"/>
    <n v="0"/>
    <n v="394727"/>
    <n v="28158"/>
    <n v="30938"/>
    <n v="0"/>
    <n v="33790"/>
    <n v="0"/>
    <n v="487613"/>
    <n v="69513"/>
    <n v="418100"/>
    <n v="283158"/>
    <n v="134942"/>
  </r>
  <r>
    <s v="12"/>
    <x v="6"/>
    <x v="216"/>
    <x v="216"/>
    <n v="73.63"/>
    <n v="537.5"/>
    <n v="611.13"/>
    <n v="1.1599999999999999"/>
    <n v="13"/>
    <n v="0"/>
    <n v="551"/>
    <n v="348.86"/>
    <n v="64"/>
    <n v="71.650000000000006"/>
    <n v="35.17"/>
    <n v="4.1900000000000004"/>
    <n v="213199"/>
    <n v="2108"/>
    <n v="215307"/>
    <n v="14106"/>
    <n v="15792"/>
    <n v="405"/>
    <n v="21694"/>
    <n v="0"/>
    <n v="267304"/>
    <n v="35970"/>
    <n v="231334"/>
    <n v="151042"/>
    <n v="80292"/>
  </r>
  <r>
    <s v="12"/>
    <x v="6"/>
    <x v="217"/>
    <x v="217"/>
    <n v="41.86"/>
    <n v="292.7"/>
    <n v="334.56"/>
    <n v="0.64"/>
    <n v="63"/>
    <n v="0"/>
    <n v="356"/>
    <n v="348.86"/>
    <n v="64"/>
    <n v="71.650000000000006"/>
    <n v="35.17"/>
    <n v="4.1900000000000004"/>
    <n v="116715"/>
    <n v="0"/>
    <n v="116715"/>
    <n v="9114"/>
    <n v="10203"/>
    <n v="223"/>
    <n v="11766"/>
    <n v="0"/>
    <n v="148021"/>
    <n v="19691"/>
    <n v="128330"/>
    <n v="82579"/>
    <n v="45751"/>
  </r>
  <r>
    <s v="12"/>
    <x v="6"/>
    <x v="218"/>
    <x v="218"/>
    <n v="74.22"/>
    <n v="563.6"/>
    <n v="637.82000000000005"/>
    <n v="1.21"/>
    <n v="398"/>
    <n v="4.2"/>
    <n v="957"/>
    <n v="348.86"/>
    <n v="64"/>
    <n v="71.650000000000006"/>
    <n v="35.17"/>
    <n v="4.1900000000000004"/>
    <n v="222510"/>
    <n v="37"/>
    <n v="222547"/>
    <n v="24499"/>
    <n v="27428"/>
    <n v="422"/>
    <n v="22432"/>
    <n v="0"/>
    <n v="297328"/>
    <n v="37540"/>
    <n v="259788"/>
    <n v="157430"/>
    <n v="102358"/>
  </r>
  <r>
    <s v="12"/>
    <x v="6"/>
    <x v="219"/>
    <x v="219"/>
    <n v="89.28"/>
    <n v="759.4"/>
    <n v="848.68"/>
    <n v="1.61"/>
    <n v="141"/>
    <n v="0"/>
    <n v="900"/>
    <n v="348.86"/>
    <n v="64"/>
    <n v="71.650000000000006"/>
    <n v="35.17"/>
    <n v="4.1900000000000004"/>
    <n v="296071"/>
    <n v="0"/>
    <n v="296071"/>
    <n v="23040"/>
    <n v="25794"/>
    <n v="562"/>
    <n v="29848"/>
    <n v="0"/>
    <n v="375315"/>
    <n v="49951"/>
    <n v="325364"/>
    <n v="209475"/>
    <n v="115889"/>
  </r>
  <r>
    <s v="12"/>
    <x v="6"/>
    <x v="220"/>
    <x v="220"/>
    <n v="46.74"/>
    <n v="278.2"/>
    <n v="324.94"/>
    <n v="0.62"/>
    <n v="1"/>
    <n v="0"/>
    <n v="279"/>
    <n v="348.86"/>
    <n v="64"/>
    <n v="71.650000000000006"/>
    <n v="35.17"/>
    <n v="4.1900000000000004"/>
    <n v="113359"/>
    <n v="1427"/>
    <n v="114786"/>
    <n v="7142"/>
    <n v="7996"/>
    <n v="216"/>
    <n v="11566"/>
    <n v="0"/>
    <n v="141706"/>
    <n v="19125"/>
    <n v="122581"/>
    <n v="80342"/>
    <n v="42239"/>
  </r>
  <r>
    <s v="12"/>
    <x v="6"/>
    <x v="221"/>
    <x v="221"/>
    <n v="153.74"/>
    <n v="1039.3"/>
    <n v="1193.04"/>
    <n v="2.27"/>
    <n v="2"/>
    <n v="0"/>
    <n v="1041"/>
    <n v="348.86"/>
    <n v="64"/>
    <n v="71.650000000000006"/>
    <n v="35.17"/>
    <n v="4.1900000000000004"/>
    <n v="416204"/>
    <n v="0"/>
    <n v="416204"/>
    <n v="26650"/>
    <n v="29835"/>
    <n v="792"/>
    <n v="41959"/>
    <n v="0"/>
    <n v="515440"/>
    <n v="70219"/>
    <n v="445221"/>
    <n v="294474"/>
    <n v="150747"/>
  </r>
  <r>
    <s v="12"/>
    <x v="6"/>
    <x v="222"/>
    <x v="222"/>
    <n v="255.9"/>
    <n v="1958.5"/>
    <n v="2214.4"/>
    <n v="4.21"/>
    <n v="144"/>
    <n v="0"/>
    <n v="2103"/>
    <n v="348.86"/>
    <n v="64"/>
    <n v="71.650000000000006"/>
    <n v="35.17"/>
    <n v="4.1900000000000004"/>
    <n v="772516"/>
    <n v="15110"/>
    <n v="787626"/>
    <n v="53837"/>
    <n v="60272"/>
    <n v="1469"/>
    <n v="79359"/>
    <n v="0"/>
    <n v="982563"/>
    <n v="130334"/>
    <n v="852229"/>
    <n v="548050"/>
    <n v="304179"/>
  </r>
  <r>
    <s v="12"/>
    <x v="6"/>
    <x v="223"/>
    <x v="223"/>
    <n v="42.51"/>
    <n v="458"/>
    <n v="500.51"/>
    <n v="0.95"/>
    <n v="7"/>
    <n v="0"/>
    <n v="465"/>
    <n v="348.86"/>
    <n v="64"/>
    <n v="71.650000000000006"/>
    <n v="35.17"/>
    <n v="4.1900000000000004"/>
    <n v="174608"/>
    <n v="0"/>
    <n v="174608"/>
    <n v="11904"/>
    <n v="13327"/>
    <n v="331"/>
    <n v="17603"/>
    <n v="0"/>
    <n v="217773"/>
    <n v="29458"/>
    <n v="188315"/>
    <n v="123539"/>
    <n v="64776"/>
  </r>
  <r>
    <s v="12"/>
    <x v="6"/>
    <x v="224"/>
    <x v="224"/>
    <n v="54.62"/>
    <n v="454"/>
    <n v="508.62"/>
    <n v="0.97"/>
    <n v="14"/>
    <n v="0"/>
    <n v="468"/>
    <n v="348.86"/>
    <n v="64"/>
    <n v="71.650000000000006"/>
    <n v="35.17"/>
    <n v="4.1900000000000004"/>
    <n v="177437"/>
    <n v="0"/>
    <n v="177437"/>
    <n v="11981"/>
    <n v="13413"/>
    <n v="338"/>
    <n v="17888"/>
    <n v="0"/>
    <n v="221057"/>
    <n v="29936"/>
    <n v="191121"/>
    <n v="125541"/>
    <n v="65580"/>
  </r>
  <r>
    <s v="12"/>
    <x v="6"/>
    <x v="225"/>
    <x v="225"/>
    <n v="115.01"/>
    <n v="636.6"/>
    <n v="751.61"/>
    <n v="1.43"/>
    <n v="133"/>
    <n v="0"/>
    <n v="770"/>
    <n v="348.86"/>
    <n v="64"/>
    <n v="71.650000000000006"/>
    <n v="35.17"/>
    <n v="4.1900000000000004"/>
    <n v="262207"/>
    <n v="0"/>
    <n v="262207"/>
    <n v="19712"/>
    <n v="22068"/>
    <n v="499"/>
    <n v="26434"/>
    <n v="0"/>
    <n v="330920"/>
    <n v="44238"/>
    <n v="286682"/>
    <n v="185517"/>
    <n v="101165"/>
  </r>
  <r>
    <s v="12"/>
    <x v="6"/>
    <x v="226"/>
    <x v="226"/>
    <n v="54.56"/>
    <n v="562.1"/>
    <n v="616.66"/>
    <n v="1.17"/>
    <n v="8"/>
    <n v="0"/>
    <n v="570"/>
    <n v="348.86"/>
    <n v="64"/>
    <n v="71.650000000000006"/>
    <n v="35.17"/>
    <n v="4.1900000000000004"/>
    <n v="215128"/>
    <n v="0"/>
    <n v="215128"/>
    <n v="14592"/>
    <n v="16336"/>
    <n v="408"/>
    <n v="21688"/>
    <n v="0"/>
    <n v="268152"/>
    <n v="36296"/>
    <n v="231856"/>
    <n v="152206"/>
    <n v="79650"/>
  </r>
  <r>
    <s v="12"/>
    <x v="6"/>
    <x v="227"/>
    <x v="227"/>
    <n v="68.03"/>
    <n v="465"/>
    <n v="533.03"/>
    <n v="1.01"/>
    <n v="14"/>
    <n v="0"/>
    <n v="479"/>
    <n v="348.86"/>
    <n v="64"/>
    <n v="71.650000000000006"/>
    <n v="35.17"/>
    <n v="4.1900000000000004"/>
    <n v="185953"/>
    <n v="0"/>
    <n v="185953"/>
    <n v="12262"/>
    <n v="13728"/>
    <n v="352"/>
    <n v="18747"/>
    <n v="0"/>
    <n v="231042"/>
    <n v="31373"/>
    <n v="199669"/>
    <n v="131565"/>
    <n v="68104"/>
  </r>
  <r>
    <s v="12"/>
    <x v="6"/>
    <x v="228"/>
    <x v="228"/>
    <n v="66.92"/>
    <n v="612.4"/>
    <n v="679.32"/>
    <n v="1.29"/>
    <n v="10"/>
    <n v="0"/>
    <n v="622"/>
    <n v="348.86"/>
    <n v="64"/>
    <n v="71.650000000000006"/>
    <n v="35.17"/>
    <n v="4.1900000000000004"/>
    <n v="236988"/>
    <n v="0"/>
    <n v="236988"/>
    <n v="15923"/>
    <n v="17826"/>
    <n v="450"/>
    <n v="23892"/>
    <n v="0"/>
    <n v="295079"/>
    <n v="39983"/>
    <n v="255096"/>
    <n v="167674"/>
    <n v="87422"/>
  </r>
  <r>
    <s v="12"/>
    <x v="6"/>
    <x v="229"/>
    <x v="229"/>
    <n v="328.23"/>
    <n v="2199"/>
    <n v="2527.23"/>
    <n v="4.8099999999999996"/>
    <n v="472"/>
    <n v="1.6"/>
    <n v="2669"/>
    <n v="348.86"/>
    <n v="64"/>
    <n v="71.650000000000006"/>
    <n v="35.17"/>
    <n v="4.1900000000000004"/>
    <n v="881649"/>
    <n v="0"/>
    <n v="881649"/>
    <n v="68326"/>
    <n v="76494"/>
    <n v="1678"/>
    <n v="88883"/>
    <n v="0"/>
    <n v="1117030"/>
    <n v="148746"/>
    <n v="968284"/>
    <n v="623788"/>
    <n v="344496"/>
  </r>
  <r>
    <s v="12"/>
    <x v="6"/>
    <x v="230"/>
    <x v="230"/>
    <n v="67.62"/>
    <n v="574.5"/>
    <n v="642.12"/>
    <n v="1.22"/>
    <n v="31"/>
    <n v="0.1"/>
    <n v="605"/>
    <n v="348.86"/>
    <n v="64"/>
    <n v="71.650000000000006"/>
    <n v="35.17"/>
    <n v="4.1900000000000004"/>
    <n v="224010"/>
    <n v="11367"/>
    <n v="235377"/>
    <n v="15488"/>
    <n v="17339"/>
    <n v="426"/>
    <n v="23098"/>
    <n v="0"/>
    <n v="291728"/>
    <n v="37794"/>
    <n v="253934"/>
    <n v="159006"/>
    <n v="94928"/>
  </r>
  <r>
    <s v="12"/>
    <x v="6"/>
    <x v="231"/>
    <x v="231"/>
    <n v="60.62"/>
    <n v="465.3"/>
    <n v="525.91999999999996"/>
    <n v="1"/>
    <n v="13"/>
    <n v="0"/>
    <n v="478"/>
    <n v="348.86"/>
    <n v="64"/>
    <n v="71.650000000000006"/>
    <n v="35.17"/>
    <n v="4.1900000000000004"/>
    <n v="183472"/>
    <n v="0"/>
    <n v="183472"/>
    <n v="12237"/>
    <n v="13700"/>
    <n v="349"/>
    <n v="18497"/>
    <n v="0"/>
    <n v="228255"/>
    <n v="30954"/>
    <n v="197301"/>
    <n v="129811"/>
    <n v="67490"/>
  </r>
  <r>
    <s v="12"/>
    <x v="6"/>
    <x v="232"/>
    <x v="232"/>
    <n v="200.95"/>
    <n v="1506.3"/>
    <n v="1707.25"/>
    <n v="3.25"/>
    <n v="573"/>
    <n v="6.3"/>
    <n v="2073"/>
    <n v="348.86"/>
    <n v="64"/>
    <n v="71.650000000000006"/>
    <n v="35.17"/>
    <n v="4.1900000000000004"/>
    <n v="595591"/>
    <n v="0"/>
    <n v="595591"/>
    <n v="53069"/>
    <n v="59412"/>
    <n v="1134"/>
    <n v="60044"/>
    <n v="0"/>
    <n v="769250"/>
    <n v="100484"/>
    <n v="668766"/>
    <n v="421395"/>
    <n v="247371"/>
  </r>
  <r>
    <s v="12"/>
    <x v="6"/>
    <x v="233"/>
    <x v="233"/>
    <n v="131.13"/>
    <n v="903.5"/>
    <n v="1034.6300000000001"/>
    <n v="1.97"/>
    <n v="17"/>
    <n v="0"/>
    <n v="921"/>
    <n v="348.86"/>
    <n v="64"/>
    <n v="71.650000000000006"/>
    <n v="35.17"/>
    <n v="4.1900000000000004"/>
    <n v="360941"/>
    <n v="0"/>
    <n v="360941"/>
    <n v="23578"/>
    <n v="26396"/>
    <n v="687"/>
    <n v="36388"/>
    <n v="0"/>
    <n v="447990"/>
    <n v="60896"/>
    <n v="387094"/>
    <n v="255374"/>
    <n v="131720"/>
  </r>
  <r>
    <s v="12"/>
    <x v="6"/>
    <x v="234"/>
    <x v="234"/>
    <n v="60.53"/>
    <n v="317"/>
    <n v="377.53"/>
    <n v="0.72"/>
    <n v="204"/>
    <n v="4.8"/>
    <n v="516"/>
    <n v="348.86"/>
    <n v="64"/>
    <n v="71.650000000000006"/>
    <n v="35.17"/>
    <n v="4.1900000000000004"/>
    <n v="131705"/>
    <n v="2705"/>
    <n v="134410"/>
    <n v="13210"/>
    <n v="14788"/>
    <n v="251"/>
    <n v="13543"/>
    <n v="0"/>
    <n v="176202"/>
    <n v="22221"/>
    <n v="153981"/>
    <n v="93450"/>
    <n v="60531"/>
  </r>
  <r>
    <s v="12"/>
    <x v="6"/>
    <x v="235"/>
    <x v="235"/>
    <n v="75.510000000000005"/>
    <n v="371.1"/>
    <n v="446.61"/>
    <n v="0.85"/>
    <n v="5"/>
    <n v="0"/>
    <n v="376"/>
    <n v="348.86"/>
    <n v="64"/>
    <n v="71.650000000000006"/>
    <n v="35.17"/>
    <n v="4.1900000000000004"/>
    <n v="155804"/>
    <n v="0"/>
    <n v="155804"/>
    <n v="9626"/>
    <n v="10776"/>
    <n v="297"/>
    <n v="15707"/>
    <n v="0"/>
    <n v="192210"/>
    <n v="26286"/>
    <n v="165924"/>
    <n v="110235"/>
    <n v="55689"/>
  </r>
  <r>
    <s v="12"/>
    <x v="6"/>
    <x v="236"/>
    <x v="236"/>
    <n v="74.540000000000006"/>
    <n v="820.8"/>
    <n v="895.34"/>
    <n v="1.7"/>
    <n v="430"/>
    <n v="1.4"/>
    <n v="1249"/>
    <n v="348.86"/>
    <n v="64"/>
    <n v="71.650000000000006"/>
    <n v="35.17"/>
    <n v="4.1900000000000004"/>
    <n v="312348"/>
    <n v="4223"/>
    <n v="316571"/>
    <n v="31974"/>
    <n v="35796"/>
    <n v="593"/>
    <n v="31897"/>
    <n v="0"/>
    <n v="416831"/>
    <n v="52698"/>
    <n v="364133"/>
    <n v="221400"/>
    <n v="142733"/>
  </r>
  <r>
    <s v="12"/>
    <x v="6"/>
    <x v="237"/>
    <x v="237"/>
    <n v="33.81"/>
    <n v="238"/>
    <n v="271.81"/>
    <n v="0.52"/>
    <n v="3"/>
    <n v="0"/>
    <n v="241"/>
    <n v="348.86"/>
    <n v="64"/>
    <n v="71.650000000000006"/>
    <n v="35.17"/>
    <n v="4.1900000000000004"/>
    <n v="94824"/>
    <n v="10135"/>
    <n v="104959"/>
    <n v="6170"/>
    <n v="6907"/>
    <n v="181"/>
    <n v="9560"/>
    <n v="0"/>
    <n v="127777"/>
    <n v="15998"/>
    <n v="111779"/>
    <n v="67091"/>
    <n v="44688"/>
  </r>
  <r>
    <s v="12"/>
    <x v="6"/>
    <x v="238"/>
    <x v="238"/>
    <n v="180.53"/>
    <n v="1437.7"/>
    <n v="1618.23"/>
    <n v="3.08"/>
    <n v="43"/>
    <n v="0"/>
    <n v="1481"/>
    <n v="348.86"/>
    <n v="64"/>
    <n v="71.650000000000006"/>
    <n v="35.17"/>
    <n v="4.1900000000000004"/>
    <n v="564536"/>
    <n v="0"/>
    <n v="564536"/>
    <n v="37914"/>
    <n v="42446"/>
    <n v="1074"/>
    <n v="56913"/>
    <n v="0"/>
    <n v="702883"/>
    <n v="95245"/>
    <n v="607638"/>
    <n v="399422"/>
    <n v="208216"/>
  </r>
  <r>
    <s v="12"/>
    <x v="6"/>
    <x v="239"/>
    <x v="239"/>
    <n v="159.44"/>
    <n v="1122.7"/>
    <n v="1282.1400000000001"/>
    <n v="2.44"/>
    <n v="164"/>
    <n v="2"/>
    <n v="1285"/>
    <n v="348.86"/>
    <n v="64"/>
    <n v="71.650000000000006"/>
    <n v="35.17"/>
    <n v="4.1900000000000004"/>
    <n v="447287"/>
    <n v="0"/>
    <n v="447287"/>
    <n v="32896"/>
    <n v="36828"/>
    <n v="851"/>
    <n v="45093"/>
    <n v="0"/>
    <n v="562955"/>
    <n v="75463"/>
    <n v="487492"/>
    <n v="316467"/>
    <n v="171025"/>
  </r>
  <r>
    <s v="12"/>
    <x v="6"/>
    <x v="240"/>
    <x v="240"/>
    <n v="72.38"/>
    <n v="648.79999999999995"/>
    <n v="721.18"/>
    <n v="1.37"/>
    <n v="25"/>
    <n v="0"/>
    <n v="674"/>
    <n v="348.86"/>
    <n v="64"/>
    <n v="71.650000000000006"/>
    <n v="35.17"/>
    <n v="4.1900000000000004"/>
    <n v="251591"/>
    <n v="9118"/>
    <n v="260709"/>
    <n v="17254"/>
    <n v="19317"/>
    <n v="478"/>
    <n v="26268"/>
    <n v="0"/>
    <n v="324026"/>
    <n v="42447"/>
    <n v="281579"/>
    <n v="178910"/>
    <n v="102669"/>
  </r>
  <r>
    <s v="12"/>
    <x v="6"/>
    <x v="241"/>
    <x v="241"/>
    <n v="212.14"/>
    <n v="1493.5"/>
    <n v="1705.64"/>
    <n v="3.24"/>
    <n v="712"/>
    <n v="0.2"/>
    <n v="2205"/>
    <n v="348.86"/>
    <n v="64"/>
    <n v="71.650000000000006"/>
    <n v="35.17"/>
    <n v="4.1900000000000004"/>
    <n v="595030"/>
    <n v="0"/>
    <n v="595030"/>
    <n v="56448"/>
    <n v="63195"/>
    <n v="1130"/>
    <n v="59987"/>
    <n v="0"/>
    <n v="775790"/>
    <n v="100390"/>
    <n v="675400"/>
    <n v="420995"/>
    <n v="254405"/>
  </r>
  <r>
    <s v="12"/>
    <x v="6"/>
    <x v="242"/>
    <x v="242"/>
    <n v="2409.4299999999998"/>
    <n v="14588.6"/>
    <n v="16998.03"/>
    <n v="32.340000000000003"/>
    <n v="1589"/>
    <n v="13.4"/>
    <n v="16164"/>
    <n v="348.86"/>
    <n v="64"/>
    <n v="71.650000000000006"/>
    <n v="35.17"/>
    <n v="4.1900000000000004"/>
    <n v="5929933"/>
    <n v="0"/>
    <n v="5929933"/>
    <n v="413798"/>
    <n v="463260"/>
    <n v="11282"/>
    <n v="597821"/>
    <n v="0"/>
    <n v="7416094"/>
    <n v="1000458"/>
    <n v="6415636"/>
    <n v="4195563"/>
    <n v="2220073"/>
  </r>
  <r>
    <s v="12"/>
    <x v="6"/>
    <x v="243"/>
    <x v="243"/>
    <n v="117.82"/>
    <n v="579"/>
    <n v="696.82"/>
    <n v="1.36"/>
    <n v="77"/>
    <n v="2.7"/>
    <n v="653"/>
    <n v="348.86"/>
    <n v="64"/>
    <n v="71.650000000000006"/>
    <n v="35.17"/>
    <n v="4.1900000000000004"/>
    <n v="243093"/>
    <n v="0"/>
    <n v="243093"/>
    <n v="16717"/>
    <n v="18715"/>
    <n v="474"/>
    <n v="24507"/>
    <n v="0"/>
    <n v="303506"/>
    <n v="41013"/>
    <n v="262493"/>
    <n v="172003"/>
    <n v="90490"/>
  </r>
  <r>
    <s v="12"/>
    <x v="6"/>
    <x v="244"/>
    <x v="244"/>
    <n v="82.39"/>
    <n v="949.5"/>
    <n v="1031.8900000000001"/>
    <n v="1.96"/>
    <n v="157"/>
    <n v="0"/>
    <n v="1107"/>
    <n v="348.86"/>
    <n v="64"/>
    <n v="71.650000000000006"/>
    <n v="35.17"/>
    <n v="4.1900000000000004"/>
    <n v="359985"/>
    <n v="0"/>
    <n v="359985"/>
    <n v="28339"/>
    <n v="31727"/>
    <n v="684"/>
    <n v="36292"/>
    <n v="0"/>
    <n v="457027"/>
    <n v="60734"/>
    <n v="396293"/>
    <n v="254698"/>
    <n v="141595"/>
  </r>
  <r>
    <s v="12"/>
    <x v="6"/>
    <x v="245"/>
    <x v="245"/>
    <n v="99.08"/>
    <n v="578.79999999999995"/>
    <n v="677.88"/>
    <n v="1.29"/>
    <n v="4"/>
    <n v="0"/>
    <n v="583"/>
    <n v="348.86"/>
    <n v="64"/>
    <n v="71.650000000000006"/>
    <n v="35.17"/>
    <n v="4.1900000000000004"/>
    <n v="236485"/>
    <n v="5737"/>
    <n v="242222"/>
    <n v="14925"/>
    <n v="16709"/>
    <n v="450"/>
    <n v="24406"/>
    <n v="0"/>
    <n v="298712"/>
    <n v="39898"/>
    <n v="258814"/>
    <n v="167884"/>
    <n v="90930"/>
  </r>
  <r>
    <s v="12"/>
    <x v="6"/>
    <x v="246"/>
    <x v="246"/>
    <n v="96.13"/>
    <n v="757.3"/>
    <n v="853.43"/>
    <n v="1.62"/>
    <n v="84"/>
    <n v="0"/>
    <n v="841"/>
    <n v="348.86"/>
    <n v="64"/>
    <n v="71.650000000000006"/>
    <n v="35.17"/>
    <n v="4.1900000000000004"/>
    <n v="297728"/>
    <n v="17705"/>
    <n v="315433"/>
    <n v="21530"/>
    <n v="24103"/>
    <n v="565"/>
    <n v="31492"/>
    <n v="0"/>
    <n v="393123"/>
    <n v="50231"/>
    <n v="342892"/>
    <n v="212125"/>
    <n v="130767"/>
  </r>
  <r>
    <s v="12"/>
    <x v="6"/>
    <x v="247"/>
    <x v="247"/>
    <n v="87.1"/>
    <n v="532.9"/>
    <n v="620"/>
    <n v="1.18"/>
    <n v="10"/>
    <n v="0"/>
    <n v="543"/>
    <n v="348.86"/>
    <n v="64"/>
    <n v="71.650000000000006"/>
    <n v="35.17"/>
    <n v="4.1900000000000004"/>
    <n v="216293"/>
    <n v="0"/>
    <n v="216293"/>
    <n v="13901"/>
    <n v="15562"/>
    <n v="412"/>
    <n v="21805"/>
    <n v="0"/>
    <n v="267973"/>
    <n v="36491"/>
    <n v="231482"/>
    <n v="153033"/>
    <n v="78449"/>
  </r>
  <r>
    <s v="12"/>
    <x v="6"/>
    <x v="248"/>
    <x v="248"/>
    <n v="23.39"/>
    <n v="192.7"/>
    <n v="216.09"/>
    <n v="0.41"/>
    <n v="0"/>
    <n v="0"/>
    <n v="193"/>
    <n v="348.86"/>
    <n v="64"/>
    <n v="71.650000000000006"/>
    <n v="35.17"/>
    <n v="4.1900000000000004"/>
    <n v="75385"/>
    <n v="0"/>
    <n v="75385"/>
    <n v="4941"/>
    <n v="5531"/>
    <n v="143"/>
    <n v="7600"/>
    <n v="0"/>
    <n v="93600"/>
    <n v="12718"/>
    <n v="80882"/>
    <n v="53337"/>
    <n v="27545"/>
  </r>
  <r>
    <s v="12"/>
    <x v="6"/>
    <x v="249"/>
    <x v="249"/>
    <n v="85.87"/>
    <n v="509.2"/>
    <n v="595.07000000000005"/>
    <n v="1.1299999999999999"/>
    <n v="5"/>
    <n v="0"/>
    <n v="514"/>
    <n v="348.86"/>
    <n v="64"/>
    <n v="71.650000000000006"/>
    <n v="35.17"/>
    <n v="4.1900000000000004"/>
    <n v="207596"/>
    <n v="0"/>
    <n v="207596"/>
    <n v="13158"/>
    <n v="14731"/>
    <n v="394"/>
    <n v="20929"/>
    <n v="0"/>
    <n v="256808"/>
    <n v="35025"/>
    <n v="221783"/>
    <n v="146878"/>
    <n v="74905"/>
  </r>
  <r>
    <s v="13"/>
    <x v="7"/>
    <x v="250"/>
    <x v="250"/>
    <n v="94.62"/>
    <n v="780.7"/>
    <n v="875.32"/>
    <n v="1.8"/>
    <n v="3"/>
    <n v="0"/>
    <n v="784"/>
    <n v="342.28"/>
    <n v="63.72"/>
    <n v="70.45"/>
    <n v="35.15"/>
    <n v="3.8"/>
    <n v="299605"/>
    <n v="0"/>
    <n v="299605"/>
    <n v="19982"/>
    <n v="22093"/>
    <n v="616"/>
    <n v="30767"/>
    <n v="0"/>
    <n v="373063"/>
    <n v="51519"/>
    <n v="321544"/>
    <n v="216070"/>
    <n v="105474"/>
  </r>
  <r>
    <s v="13"/>
    <x v="7"/>
    <x v="251"/>
    <x v="251"/>
    <n v="246.65"/>
    <n v="1414.2"/>
    <n v="1660.85"/>
    <n v="3.42"/>
    <n v="1"/>
    <n v="0"/>
    <n v="1415"/>
    <n v="342.28"/>
    <n v="63.72"/>
    <n v="70.45"/>
    <n v="35.15"/>
    <n v="3.8"/>
    <n v="568476"/>
    <n v="0"/>
    <n v="568476"/>
    <n v="36066"/>
    <n v="39875"/>
    <n v="1171"/>
    <n v="58379"/>
    <n v="0"/>
    <n v="703967"/>
    <n v="97753"/>
    <n v="606214"/>
    <n v="409979"/>
    <n v="196235"/>
  </r>
  <r>
    <s v="13"/>
    <x v="7"/>
    <x v="252"/>
    <x v="252"/>
    <n v="64.069999999999993"/>
    <n v="511"/>
    <n v="575.07000000000005"/>
    <n v="1.18"/>
    <n v="6"/>
    <n v="0"/>
    <n v="517"/>
    <n v="342.28"/>
    <n v="63.72"/>
    <n v="70.45"/>
    <n v="35.15"/>
    <n v="3.8"/>
    <n v="196835"/>
    <n v="0"/>
    <n v="196835"/>
    <n v="13177"/>
    <n v="14569"/>
    <n v="404"/>
    <n v="20214"/>
    <n v="0"/>
    <n v="245199"/>
    <n v="33847"/>
    <n v="211352"/>
    <n v="141955"/>
    <n v="69397"/>
  </r>
  <r>
    <s v="13"/>
    <x v="7"/>
    <x v="253"/>
    <x v="253"/>
    <n v="38.479999999999997"/>
    <n v="385.6"/>
    <n v="424.08"/>
    <n v="0.87"/>
    <n v="3"/>
    <n v="0"/>
    <n v="389"/>
    <n v="342.28"/>
    <n v="63.72"/>
    <n v="70.45"/>
    <n v="35.15"/>
    <n v="3.8"/>
    <n v="145154"/>
    <n v="0"/>
    <n v="145154"/>
    <n v="9915"/>
    <n v="10962"/>
    <n v="298"/>
    <n v="14906"/>
    <n v="0"/>
    <n v="181235"/>
    <n v="24960"/>
    <n v="156275"/>
    <n v="104683"/>
    <n v="51592"/>
  </r>
  <r>
    <s v="13"/>
    <x v="7"/>
    <x v="254"/>
    <x v="254"/>
    <n v="57.93"/>
    <n v="447.6"/>
    <n v="505.53"/>
    <n v="1.04"/>
    <n v="2"/>
    <n v="0"/>
    <n v="450"/>
    <n v="342.28"/>
    <n v="63.72"/>
    <n v="70.45"/>
    <n v="35.15"/>
    <n v="3.8"/>
    <n v="173033"/>
    <n v="38"/>
    <n v="173071"/>
    <n v="11470"/>
    <n v="12681"/>
    <n v="356"/>
    <n v="17771"/>
    <n v="0"/>
    <n v="215349"/>
    <n v="29754"/>
    <n v="185595"/>
    <n v="124791"/>
    <n v="60804"/>
  </r>
  <r>
    <s v="13"/>
    <x v="7"/>
    <x v="255"/>
    <x v="255"/>
    <n v="120.12"/>
    <n v="632.4"/>
    <n v="752.52"/>
    <n v="1.55"/>
    <n v="0"/>
    <n v="0"/>
    <n v="632"/>
    <n v="342.28"/>
    <n v="63.72"/>
    <n v="70.45"/>
    <n v="35.15"/>
    <n v="3.8"/>
    <n v="257573"/>
    <n v="0"/>
    <n v="257573"/>
    <n v="16108"/>
    <n v="17810"/>
    <n v="531"/>
    <n v="26451"/>
    <n v="0"/>
    <n v="318473"/>
    <n v="44291"/>
    <n v="274182"/>
    <n v="185759"/>
    <n v="88423"/>
  </r>
  <r>
    <s v="13"/>
    <x v="7"/>
    <x v="256"/>
    <x v="256"/>
    <n v="113.58"/>
    <n v="958.7"/>
    <n v="1072.28"/>
    <n v="2.21"/>
    <n v="64"/>
    <n v="1.2"/>
    <n v="1022"/>
    <n v="342.28"/>
    <n v="63.72"/>
    <n v="70.45"/>
    <n v="35.15"/>
    <n v="3.8"/>
    <n v="367020"/>
    <n v="5273"/>
    <n v="372293"/>
    <n v="26049"/>
    <n v="28800"/>
    <n v="756"/>
    <n v="38228"/>
    <n v="0"/>
    <n v="466126"/>
    <n v="63111"/>
    <n v="403015"/>
    <n v="265229"/>
    <n v="137786"/>
  </r>
  <r>
    <s v="13"/>
    <x v="7"/>
    <x v="257"/>
    <x v="257"/>
    <n v="185.18"/>
    <n v="1429.1"/>
    <n v="1614.28"/>
    <n v="3.32"/>
    <n v="6"/>
    <n v="0"/>
    <n v="1435"/>
    <n v="342.28"/>
    <n v="63.72"/>
    <n v="70.45"/>
    <n v="35.15"/>
    <n v="3.8"/>
    <n v="552536"/>
    <n v="0"/>
    <n v="552536"/>
    <n v="36575"/>
    <n v="40438"/>
    <n v="1136"/>
    <n v="56742"/>
    <n v="0"/>
    <n v="687427"/>
    <n v="95012"/>
    <n v="592415"/>
    <n v="398482"/>
    <n v="193933"/>
  </r>
  <r>
    <s v="13"/>
    <x v="7"/>
    <x v="258"/>
    <x v="258"/>
    <n v="48"/>
    <n v="376.2"/>
    <n v="424.2"/>
    <n v="0.87"/>
    <n v="4"/>
    <n v="0"/>
    <n v="380"/>
    <n v="342.28"/>
    <n v="63.72"/>
    <n v="70.45"/>
    <n v="35.15"/>
    <n v="3.8"/>
    <n v="145195"/>
    <n v="6355"/>
    <n v="151550"/>
    <n v="9686"/>
    <n v="10708"/>
    <n v="298"/>
    <n v="14911"/>
    <n v="0"/>
    <n v="187153"/>
    <n v="24967"/>
    <n v="162186"/>
    <n v="104713"/>
    <n v="57473"/>
  </r>
  <r>
    <s v="13"/>
    <x v="7"/>
    <x v="259"/>
    <x v="259"/>
    <n v="2225.1"/>
    <n v="8632.4"/>
    <n v="10857.5"/>
    <n v="22.33"/>
    <n v="465"/>
    <n v="0"/>
    <n v="9097"/>
    <n v="342.28"/>
    <n v="63.72"/>
    <n v="70.45"/>
    <n v="35.15"/>
    <n v="3.8"/>
    <n v="3716305"/>
    <n v="0"/>
    <n v="3716305"/>
    <n v="231864"/>
    <n v="256354"/>
    <n v="7643"/>
    <n v="381641"/>
    <n v="0"/>
    <n v="4593807"/>
    <n v="639043"/>
    <n v="3954764"/>
    <n v="2680152"/>
    <n v="1274612"/>
  </r>
  <r>
    <s v="13"/>
    <x v="7"/>
    <x v="260"/>
    <x v="260"/>
    <n v="190.55"/>
    <n v="1369.4"/>
    <n v="1559.95"/>
    <n v="3.21"/>
    <n v="115"/>
    <n v="1"/>
    <n v="1483"/>
    <n v="342.28"/>
    <n v="63.72"/>
    <n v="70.45"/>
    <n v="35.15"/>
    <n v="3.8"/>
    <n v="533940"/>
    <n v="0"/>
    <n v="533940"/>
    <n v="37799"/>
    <n v="41791"/>
    <n v="1099"/>
    <n v="54832"/>
    <n v="0"/>
    <n v="669461"/>
    <n v="91815"/>
    <n v="577646"/>
    <n v="385070"/>
    <n v="192576"/>
  </r>
  <r>
    <s v="13"/>
    <x v="7"/>
    <x v="261"/>
    <x v="261"/>
    <n v="8.5299999999999994"/>
    <n v="87"/>
    <n v="95.53"/>
    <n v="0.2"/>
    <n v="0"/>
    <n v="0"/>
    <n v="87"/>
    <n v="342.28"/>
    <n v="63.72"/>
    <n v="70.45"/>
    <n v="35.15"/>
    <n v="3.8"/>
    <n v="32698"/>
    <n v="9322"/>
    <n v="42020"/>
    <n v="2218"/>
    <n v="2452"/>
    <n v="68"/>
    <n v="4315"/>
    <n v="0"/>
    <n v="51073"/>
    <n v="5623"/>
    <n v="45450"/>
    <n v="24539"/>
    <n v="20911"/>
  </r>
  <r>
    <s v="13"/>
    <x v="7"/>
    <x v="262"/>
    <x v="262"/>
    <n v="90.95"/>
    <n v="542.1"/>
    <n v="633.04999999999995"/>
    <n v="1.3"/>
    <n v="7"/>
    <n v="0"/>
    <n v="549"/>
    <n v="342.28"/>
    <n v="63.72"/>
    <n v="70.45"/>
    <n v="35.15"/>
    <n v="3.8"/>
    <n v="216680"/>
    <n v="0"/>
    <n v="216680"/>
    <n v="13993"/>
    <n v="15471"/>
    <n v="445"/>
    <n v="22252"/>
    <n v="0"/>
    <n v="268841"/>
    <n v="37259"/>
    <n v="231582"/>
    <n v="156268"/>
    <n v="75314"/>
  </r>
  <r>
    <s v="13"/>
    <x v="7"/>
    <x v="263"/>
    <x v="263"/>
    <n v="46.04"/>
    <n v="435.5"/>
    <n v="481.54"/>
    <n v="0.99"/>
    <n v="5"/>
    <n v="0"/>
    <n v="441"/>
    <n v="342.28"/>
    <n v="63.72"/>
    <n v="70.45"/>
    <n v="35.15"/>
    <n v="3.8"/>
    <n v="164822"/>
    <n v="16317"/>
    <n v="181139"/>
    <n v="11240"/>
    <n v="12427"/>
    <n v="339"/>
    <n v="18600"/>
    <n v="0"/>
    <n v="223745"/>
    <n v="28342"/>
    <n v="195403"/>
    <n v="120541"/>
    <n v="74862"/>
  </r>
  <r>
    <s v="13"/>
    <x v="7"/>
    <x v="264"/>
    <x v="264"/>
    <n v="16.97"/>
    <n v="176.2"/>
    <n v="193.17"/>
    <n v="0.4"/>
    <n v="4"/>
    <n v="0"/>
    <n v="180"/>
    <n v="342.28"/>
    <n v="63.72"/>
    <n v="70.45"/>
    <n v="35.15"/>
    <n v="3.8"/>
    <n v="66118"/>
    <n v="7027"/>
    <n v="73145"/>
    <n v="4588"/>
    <n v="5072"/>
    <n v="137"/>
    <n v="7436"/>
    <n v="0"/>
    <n v="90378"/>
    <n v="11369"/>
    <n v="79009"/>
    <n v="48331"/>
    <n v="30678"/>
  </r>
  <r>
    <s v="13"/>
    <x v="7"/>
    <x v="265"/>
    <x v="265"/>
    <n v="67.430000000000007"/>
    <n v="445.1"/>
    <n v="512.53"/>
    <n v="1.05"/>
    <n v="1"/>
    <n v="0"/>
    <n v="446"/>
    <n v="342.28"/>
    <n v="63.72"/>
    <n v="70.45"/>
    <n v="35.15"/>
    <n v="3.8"/>
    <n v="175429"/>
    <n v="0"/>
    <n v="175429"/>
    <n v="11368"/>
    <n v="12568"/>
    <n v="359"/>
    <n v="18015"/>
    <n v="0"/>
    <n v="217739"/>
    <n v="30166"/>
    <n v="187573"/>
    <n v="126516"/>
    <n v="61057"/>
  </r>
  <r>
    <s v="13"/>
    <x v="7"/>
    <x v="266"/>
    <x v="266"/>
    <n v="219.53"/>
    <n v="1928.5"/>
    <n v="2148.0300000000002"/>
    <n v="4.42"/>
    <n v="23"/>
    <n v="0"/>
    <n v="1952"/>
    <n v="342.28"/>
    <n v="63.72"/>
    <n v="70.45"/>
    <n v="35.15"/>
    <n v="3.8"/>
    <n v="735228"/>
    <n v="0"/>
    <n v="735228"/>
    <n v="49752"/>
    <n v="55007"/>
    <n v="1513"/>
    <n v="75503"/>
    <n v="0"/>
    <n v="917003"/>
    <n v="126428"/>
    <n v="790575"/>
    <n v="530237"/>
    <n v="260338"/>
  </r>
  <r>
    <s v="13"/>
    <x v="7"/>
    <x v="267"/>
    <x v="267"/>
    <n v="97.25"/>
    <n v="459.7"/>
    <n v="556.95000000000005"/>
    <n v="1.1499999999999999"/>
    <n v="0"/>
    <n v="0"/>
    <n v="460"/>
    <n v="342.28"/>
    <n v="63.72"/>
    <n v="70.45"/>
    <n v="35.15"/>
    <n v="3.8"/>
    <n v="190633"/>
    <n v="0"/>
    <n v="190633"/>
    <n v="11724"/>
    <n v="12963"/>
    <n v="394"/>
    <n v="19577"/>
    <n v="0"/>
    <n v="235291"/>
    <n v="32780"/>
    <n v="202511"/>
    <n v="137484"/>
    <n v="65027"/>
  </r>
  <r>
    <s v="13"/>
    <x v="7"/>
    <x v="268"/>
    <x v="268"/>
    <n v="32.1"/>
    <n v="208"/>
    <n v="240.1"/>
    <n v="0.49"/>
    <n v="0"/>
    <n v="0"/>
    <n v="208"/>
    <n v="342.28"/>
    <n v="63.72"/>
    <n v="70.45"/>
    <n v="35.15"/>
    <n v="3.8"/>
    <n v="82181"/>
    <n v="3565"/>
    <n v="85746"/>
    <n v="5302"/>
    <n v="5862"/>
    <n v="168"/>
    <n v="8805"/>
    <n v="0"/>
    <n v="105883"/>
    <n v="14131"/>
    <n v="91752"/>
    <n v="59633"/>
    <n v="32119"/>
  </r>
  <r>
    <s v="13"/>
    <x v="7"/>
    <x v="269"/>
    <x v="269"/>
    <n v="174.92"/>
    <n v="1364.2"/>
    <n v="1539.12"/>
    <n v="3.17"/>
    <n v="72"/>
    <n v="1.4"/>
    <n v="1435"/>
    <n v="342.28"/>
    <n v="63.72"/>
    <n v="70.45"/>
    <n v="35.15"/>
    <n v="3.8"/>
    <n v="526810"/>
    <n v="0"/>
    <n v="526810"/>
    <n v="36575"/>
    <n v="40438"/>
    <n v="1085"/>
    <n v="54100"/>
    <n v="0"/>
    <n v="659008"/>
    <n v="90588"/>
    <n v="568420"/>
    <n v="379930"/>
    <n v="188490"/>
  </r>
  <r>
    <s v="13"/>
    <x v="7"/>
    <x v="270"/>
    <x v="270"/>
    <n v="102.88"/>
    <n v="672.4"/>
    <n v="775.28"/>
    <n v="1.6"/>
    <n v="12"/>
    <n v="0"/>
    <n v="684"/>
    <n v="342.28"/>
    <n v="63.72"/>
    <n v="70.45"/>
    <n v="35.15"/>
    <n v="3.8"/>
    <n v="265363"/>
    <n v="0"/>
    <n v="265363"/>
    <n v="17434"/>
    <n v="19275"/>
    <n v="548"/>
    <n v="27251"/>
    <n v="0"/>
    <n v="329871"/>
    <n v="45630"/>
    <n v="284241"/>
    <n v="191379"/>
    <n v="92862"/>
  </r>
  <r>
    <s v="13"/>
    <x v="7"/>
    <x v="271"/>
    <x v="271"/>
    <n v="37.54"/>
    <n v="305.39999999999998"/>
    <n v="342.94"/>
    <n v="0.7"/>
    <n v="0"/>
    <n v="0"/>
    <n v="305"/>
    <n v="342.28"/>
    <n v="63.72"/>
    <n v="70.45"/>
    <n v="35.15"/>
    <n v="3.8"/>
    <n v="117382"/>
    <n v="13836"/>
    <n v="131218"/>
    <n v="7774"/>
    <n v="8595"/>
    <n v="240"/>
    <n v="13474"/>
    <n v="0"/>
    <n v="161301"/>
    <n v="20185"/>
    <n v="141116"/>
    <n v="86072"/>
    <n v="55044"/>
  </r>
  <r>
    <s v="13"/>
    <x v="7"/>
    <x v="272"/>
    <x v="272"/>
    <n v="48.62"/>
    <n v="461.5"/>
    <n v="510.12"/>
    <n v="1.05"/>
    <n v="0"/>
    <n v="0"/>
    <n v="462"/>
    <n v="342.28"/>
    <n v="63.72"/>
    <n v="70.45"/>
    <n v="35.15"/>
    <n v="3.8"/>
    <n v="174604"/>
    <n v="0"/>
    <n v="174604"/>
    <n v="11776"/>
    <n v="13019"/>
    <n v="359"/>
    <n v="17931"/>
    <n v="0"/>
    <n v="217689"/>
    <n v="30024"/>
    <n v="187665"/>
    <n v="125923"/>
    <n v="61742"/>
  </r>
  <r>
    <s v="13"/>
    <x v="7"/>
    <x v="273"/>
    <x v="273"/>
    <n v="418"/>
    <n v="2672.4"/>
    <n v="3090.4"/>
    <n v="6.36"/>
    <n v="225"/>
    <n v="0.5"/>
    <n v="2897"/>
    <n v="342.28"/>
    <n v="63.72"/>
    <n v="70.45"/>
    <n v="35.15"/>
    <n v="3.8"/>
    <n v="1057782"/>
    <n v="0"/>
    <n v="1057782"/>
    <n v="73839"/>
    <n v="81638"/>
    <n v="2177"/>
    <n v="108628"/>
    <n v="0"/>
    <n v="1324064"/>
    <n v="181892"/>
    <n v="1142172"/>
    <n v="762861"/>
    <n v="379311"/>
  </r>
  <r>
    <s v="13"/>
    <x v="7"/>
    <x v="274"/>
    <x v="274"/>
    <n v="57.12"/>
    <n v="588.5"/>
    <n v="645.62"/>
    <n v="1.33"/>
    <n v="0"/>
    <n v="0"/>
    <n v="589"/>
    <n v="342.28"/>
    <n v="63.72"/>
    <n v="70.45"/>
    <n v="35.15"/>
    <n v="3.8"/>
    <n v="220983"/>
    <n v="0"/>
    <n v="220983"/>
    <n v="15012"/>
    <n v="16598"/>
    <n v="455"/>
    <n v="22694"/>
    <n v="0"/>
    <n v="275742"/>
    <n v="37999"/>
    <n v="237743"/>
    <n v="159372"/>
    <n v="78371"/>
  </r>
  <r>
    <s v="13"/>
    <x v="7"/>
    <x v="275"/>
    <x v="275"/>
    <n v="115.09"/>
    <n v="725.8"/>
    <n v="840.89"/>
    <n v="1.73"/>
    <n v="8"/>
    <n v="0"/>
    <n v="734"/>
    <n v="342.28"/>
    <n v="63.72"/>
    <n v="70.45"/>
    <n v="35.15"/>
    <n v="3.8"/>
    <n v="287820"/>
    <n v="5249"/>
    <n v="293069"/>
    <n v="18708"/>
    <n v="20684"/>
    <n v="592"/>
    <n v="30093"/>
    <n v="0"/>
    <n v="363146"/>
    <n v="49492"/>
    <n v="313654"/>
    <n v="208108"/>
    <n v="105546"/>
  </r>
  <r>
    <s v="13"/>
    <x v="7"/>
    <x v="276"/>
    <x v="276"/>
    <n v="42.57"/>
    <n v="221.3"/>
    <n v="263.87"/>
    <n v="0.54"/>
    <n v="0"/>
    <n v="0"/>
    <n v="221"/>
    <n v="342.28"/>
    <n v="63.72"/>
    <n v="70.45"/>
    <n v="35.15"/>
    <n v="3.8"/>
    <n v="90317"/>
    <n v="2551"/>
    <n v="92868"/>
    <n v="5633"/>
    <n v="6228"/>
    <n v="185"/>
    <n v="9275"/>
    <n v="0"/>
    <n v="114189"/>
    <n v="15531"/>
    <n v="98658"/>
    <n v="65135"/>
    <n v="33523"/>
  </r>
  <r>
    <s v="13"/>
    <x v="7"/>
    <x v="277"/>
    <x v="277"/>
    <n v="98.79"/>
    <n v="598.4"/>
    <n v="697.19"/>
    <n v="1.43"/>
    <n v="0"/>
    <n v="0"/>
    <n v="598"/>
    <n v="342.28"/>
    <n v="63.72"/>
    <n v="70.45"/>
    <n v="35.15"/>
    <n v="3.8"/>
    <n v="238634"/>
    <n v="0"/>
    <n v="238634"/>
    <n v="15242"/>
    <n v="16852"/>
    <n v="489"/>
    <n v="24506"/>
    <n v="0"/>
    <n v="295723"/>
    <n v="41035"/>
    <n v="254688"/>
    <n v="172098"/>
    <n v="82590"/>
  </r>
  <r>
    <s v="13"/>
    <x v="7"/>
    <x v="278"/>
    <x v="278"/>
    <n v="33.159999999999997"/>
    <n v="220.4"/>
    <n v="253.56"/>
    <n v="0.52"/>
    <n v="2"/>
    <n v="0"/>
    <n v="222"/>
    <n v="342.28"/>
    <n v="63.72"/>
    <n v="70.45"/>
    <n v="35.15"/>
    <n v="3.8"/>
    <n v="86789"/>
    <n v="1304"/>
    <n v="88093"/>
    <n v="5658"/>
    <n v="6256"/>
    <n v="178"/>
    <n v="8913"/>
    <n v="0"/>
    <n v="109098"/>
    <n v="14924"/>
    <n v="94174"/>
    <n v="62591"/>
    <n v="31583"/>
  </r>
  <r>
    <s v="13"/>
    <x v="7"/>
    <x v="279"/>
    <x v="279"/>
    <n v="92.15"/>
    <n v="664.3"/>
    <n v="756.45"/>
    <n v="1.56"/>
    <n v="13"/>
    <n v="0"/>
    <n v="677"/>
    <n v="342.28"/>
    <n v="63.72"/>
    <n v="70.45"/>
    <n v="35.15"/>
    <n v="3.8"/>
    <n v="258918"/>
    <n v="0"/>
    <n v="258918"/>
    <n v="17255"/>
    <n v="19078"/>
    <n v="534"/>
    <n v="26589"/>
    <n v="0"/>
    <n v="322374"/>
    <n v="44522"/>
    <n v="277852"/>
    <n v="186730"/>
    <n v="91122"/>
  </r>
  <r>
    <s v="13"/>
    <x v="7"/>
    <x v="280"/>
    <x v="280"/>
    <n v="27.12"/>
    <n v="163.9"/>
    <n v="191.02"/>
    <n v="0.39"/>
    <n v="7"/>
    <n v="0"/>
    <n v="171"/>
    <n v="342.28"/>
    <n v="63.72"/>
    <n v="70.45"/>
    <n v="35.15"/>
    <n v="3.8"/>
    <n v="65382"/>
    <n v="7384"/>
    <n v="72766"/>
    <n v="4358"/>
    <n v="4819"/>
    <n v="133"/>
    <n v="7452"/>
    <n v="0"/>
    <n v="89528"/>
    <n v="11243"/>
    <n v="78285"/>
    <n v="47890"/>
    <n v="30395"/>
  </r>
  <r>
    <s v="13"/>
    <x v="7"/>
    <x v="281"/>
    <x v="281"/>
    <n v="128.09"/>
    <n v="1059.5999999999999"/>
    <n v="1187.69"/>
    <n v="2.44"/>
    <n v="0"/>
    <n v="0"/>
    <n v="1060"/>
    <n v="342.28"/>
    <n v="63.72"/>
    <n v="70.45"/>
    <n v="35.15"/>
    <n v="3.8"/>
    <n v="406523"/>
    <n v="0"/>
    <n v="406523"/>
    <n v="27017"/>
    <n v="29871"/>
    <n v="835"/>
    <n v="41747"/>
    <n v="0"/>
    <n v="505993"/>
    <n v="69904"/>
    <n v="436089"/>
    <n v="293178"/>
    <n v="142911"/>
  </r>
  <r>
    <s v="13"/>
    <x v="7"/>
    <x v="282"/>
    <x v="282"/>
    <n v="107.19"/>
    <n v="710.4"/>
    <n v="817.59"/>
    <n v="1.68"/>
    <n v="0"/>
    <n v="0"/>
    <n v="710"/>
    <n v="342.28"/>
    <n v="63.72"/>
    <n v="70.45"/>
    <n v="35.15"/>
    <n v="3.8"/>
    <n v="279845"/>
    <n v="0"/>
    <n v="279845"/>
    <n v="18096"/>
    <n v="20008"/>
    <n v="575"/>
    <n v="28738"/>
    <n v="0"/>
    <n v="347262"/>
    <n v="48121"/>
    <n v="299141"/>
    <n v="201820"/>
    <n v="97321"/>
  </r>
  <r>
    <s v="13"/>
    <x v="7"/>
    <x v="283"/>
    <x v="283"/>
    <n v="148.26"/>
    <n v="1057"/>
    <n v="1205.26"/>
    <n v="2.48"/>
    <n v="7"/>
    <n v="0"/>
    <n v="1064"/>
    <n v="342.28"/>
    <n v="63.72"/>
    <n v="70.45"/>
    <n v="35.15"/>
    <n v="3.8"/>
    <n v="412536"/>
    <n v="0"/>
    <n v="412536"/>
    <n v="27119"/>
    <n v="29984"/>
    <n v="849"/>
    <n v="42365"/>
    <n v="0"/>
    <n v="512853"/>
    <n v="70938"/>
    <n v="441915"/>
    <n v="297517"/>
    <n v="144398"/>
  </r>
  <r>
    <s v="13"/>
    <x v="7"/>
    <x v="284"/>
    <x v="284"/>
    <n v="49.55"/>
    <n v="389"/>
    <n v="438.55"/>
    <n v="0.9"/>
    <n v="0"/>
    <n v="0"/>
    <n v="389"/>
    <n v="342.28"/>
    <n v="63.72"/>
    <n v="70.45"/>
    <n v="35.15"/>
    <n v="3.8"/>
    <n v="150107"/>
    <n v="0"/>
    <n v="150107"/>
    <n v="9915"/>
    <n v="10962"/>
    <n v="308"/>
    <n v="15415"/>
    <n v="0"/>
    <n v="186707"/>
    <n v="25812"/>
    <n v="160895"/>
    <n v="108255"/>
    <n v="52640"/>
  </r>
  <r>
    <s v="13"/>
    <x v="7"/>
    <x v="285"/>
    <x v="285"/>
    <n v="31.76"/>
    <n v="197.3"/>
    <n v="229.06"/>
    <n v="0.47"/>
    <n v="0"/>
    <n v="0"/>
    <n v="197"/>
    <n v="342.28"/>
    <n v="63.72"/>
    <n v="70.45"/>
    <n v="35.15"/>
    <n v="3.8"/>
    <n v="78403"/>
    <n v="1373"/>
    <n v="79776"/>
    <n v="5021"/>
    <n v="5552"/>
    <n v="161"/>
    <n v="8051"/>
    <n v="0"/>
    <n v="98561"/>
    <n v="13481"/>
    <n v="85080"/>
    <n v="56543"/>
    <n v="28537"/>
  </r>
  <r>
    <s v="13"/>
    <x v="7"/>
    <x v="286"/>
    <x v="286"/>
    <n v="18.41"/>
    <n v="187.1"/>
    <n v="205.51"/>
    <n v="0.42"/>
    <n v="0"/>
    <n v="0"/>
    <n v="187"/>
    <n v="342.28"/>
    <n v="63.72"/>
    <n v="70.45"/>
    <n v="35.15"/>
    <n v="3.8"/>
    <n v="70342"/>
    <n v="1515"/>
    <n v="71857"/>
    <n v="4766"/>
    <n v="5270"/>
    <n v="144"/>
    <n v="7379"/>
    <n v="0"/>
    <n v="89416"/>
    <n v="12096"/>
    <n v="77320"/>
    <n v="50884"/>
    <n v="26436"/>
  </r>
  <r>
    <s v="13"/>
    <x v="7"/>
    <x v="287"/>
    <x v="287"/>
    <n v="34.229999999999997"/>
    <n v="573.29999999999995"/>
    <n v="607.53"/>
    <n v="1.25"/>
    <n v="36"/>
    <n v="0"/>
    <n v="609"/>
    <n v="342.28"/>
    <n v="63.72"/>
    <n v="70.45"/>
    <n v="35.15"/>
    <n v="3.8"/>
    <n v="207945"/>
    <n v="0"/>
    <n v="207945"/>
    <n v="15522"/>
    <n v="17162"/>
    <n v="428"/>
    <n v="21355"/>
    <n v="0"/>
    <n v="262412"/>
    <n v="35757"/>
    <n v="226655"/>
    <n v="149969"/>
    <n v="76686"/>
  </r>
  <r>
    <s v="13"/>
    <x v="7"/>
    <x v="288"/>
    <x v="288"/>
    <n v="72.47"/>
    <n v="655.5"/>
    <n v="727.97"/>
    <n v="1.5"/>
    <n v="5"/>
    <n v="0"/>
    <n v="661"/>
    <n v="342.28"/>
    <n v="63.72"/>
    <n v="70.45"/>
    <n v="35.15"/>
    <n v="3.8"/>
    <n v="249170"/>
    <n v="0"/>
    <n v="249170"/>
    <n v="16848"/>
    <n v="18627"/>
    <n v="513"/>
    <n v="25588"/>
    <n v="0"/>
    <n v="310746"/>
    <n v="42846"/>
    <n v="267900"/>
    <n v="179699"/>
    <n v="88201"/>
  </r>
  <r>
    <s v="13"/>
    <x v="7"/>
    <x v="289"/>
    <x v="289"/>
    <n v="78.45"/>
    <n v="734.3"/>
    <n v="812.75"/>
    <n v="1.67"/>
    <n v="25"/>
    <n v="0"/>
    <n v="759"/>
    <n v="342.28"/>
    <n v="63.72"/>
    <n v="70.45"/>
    <n v="35.15"/>
    <n v="3.8"/>
    <n v="278188"/>
    <n v="3050"/>
    <n v="281238"/>
    <n v="19345"/>
    <n v="21389"/>
    <n v="572"/>
    <n v="28878"/>
    <n v="0"/>
    <n v="351422"/>
    <n v="47836"/>
    <n v="303586"/>
    <n v="200935"/>
    <n v="102651"/>
  </r>
  <r>
    <s v="13"/>
    <x v="7"/>
    <x v="290"/>
    <x v="290"/>
    <n v="42.08"/>
    <n v="282"/>
    <n v="324.08"/>
    <n v="0.67"/>
    <n v="0"/>
    <n v="0"/>
    <n v="282"/>
    <n v="342.28"/>
    <n v="63.72"/>
    <n v="70.45"/>
    <n v="35.15"/>
    <n v="3.8"/>
    <n v="110926"/>
    <n v="6177"/>
    <n v="117103"/>
    <n v="7188"/>
    <n v="7947"/>
    <n v="229"/>
    <n v="12024"/>
    <n v="0"/>
    <n v="144491"/>
    <n v="19075"/>
    <n v="125416"/>
    <n v="80632"/>
    <n v="44784"/>
  </r>
  <r>
    <s v="13"/>
    <x v="7"/>
    <x v="291"/>
    <x v="291"/>
    <n v="47.73"/>
    <n v="350.7"/>
    <n v="398.43"/>
    <n v="0.82"/>
    <n v="0"/>
    <n v="0"/>
    <n v="351"/>
    <n v="342.28"/>
    <n v="63.72"/>
    <n v="70.45"/>
    <n v="35.15"/>
    <n v="3.8"/>
    <n v="136375"/>
    <n v="11585"/>
    <n v="147960"/>
    <n v="8946"/>
    <n v="9891"/>
    <n v="281"/>
    <n v="14153"/>
    <n v="0"/>
    <n v="181231"/>
    <n v="23451"/>
    <n v="157780"/>
    <n v="98500"/>
    <n v="59280"/>
  </r>
  <r>
    <s v="13"/>
    <x v="7"/>
    <x v="292"/>
    <x v="292"/>
    <n v="63.6"/>
    <n v="507"/>
    <n v="570.6"/>
    <n v="1.17"/>
    <n v="3"/>
    <n v="0"/>
    <n v="510"/>
    <n v="342.28"/>
    <n v="63.72"/>
    <n v="70.45"/>
    <n v="35.15"/>
    <n v="3.8"/>
    <n v="195305"/>
    <n v="0"/>
    <n v="195305"/>
    <n v="12999"/>
    <n v="14372"/>
    <n v="400"/>
    <n v="20057"/>
    <n v="0"/>
    <n v="243133"/>
    <n v="33584"/>
    <n v="209549"/>
    <n v="140851"/>
    <n v="68698"/>
  </r>
  <r>
    <s v="15"/>
    <x v="8"/>
    <x v="293"/>
    <x v="293"/>
    <n v="131.33000000000001"/>
    <n v="1081.0999999999999"/>
    <n v="1212.43"/>
    <n v="2.81"/>
    <n v="5"/>
    <n v="0"/>
    <n v="1086"/>
    <n v="339.64"/>
    <n v="63.69"/>
    <n v="70.02"/>
    <n v="34.159999999999997"/>
    <n v="3.75"/>
    <n v="411790"/>
    <n v="0"/>
    <n v="411790"/>
    <n v="27667"/>
    <n v="30417"/>
    <n v="954"/>
    <n v="41417"/>
    <n v="0"/>
    <n v="512245"/>
    <n v="71361"/>
    <n v="440884"/>
    <n v="298171"/>
    <n v="142713"/>
  </r>
  <r>
    <s v="15"/>
    <x v="8"/>
    <x v="294"/>
    <x v="294"/>
    <n v="732.8"/>
    <n v="3796.6"/>
    <n v="4529.3999999999996"/>
    <n v="10.48"/>
    <n v="307"/>
    <n v="3.6"/>
    <n v="4100"/>
    <n v="339.64"/>
    <n v="63.69"/>
    <n v="70.02"/>
    <n v="34.159999999999997"/>
    <n v="3.75"/>
    <n v="1538365"/>
    <n v="0"/>
    <n v="1538365"/>
    <n v="104452"/>
    <n v="114833"/>
    <n v="3559"/>
    <n v="154724"/>
    <n v="0"/>
    <n v="1915933"/>
    <n v="266588"/>
    <n v="1649345"/>
    <n v="1113904"/>
    <n v="535441"/>
  </r>
  <r>
    <s v="15"/>
    <x v="8"/>
    <x v="295"/>
    <x v="295"/>
    <n v="80.599999999999994"/>
    <n v="540.29999999999995"/>
    <n v="620.9"/>
    <n v="1.44"/>
    <n v="0"/>
    <n v="0"/>
    <n v="540"/>
    <n v="339.64"/>
    <n v="63.69"/>
    <n v="70.02"/>
    <n v="34.159999999999997"/>
    <n v="3.75"/>
    <n v="210882"/>
    <n v="9088"/>
    <n v="219970"/>
    <n v="13757"/>
    <n v="15124"/>
    <n v="489"/>
    <n v="22110"/>
    <n v="0"/>
    <n v="271450"/>
    <n v="36544"/>
    <n v="234906"/>
    <n v="153598"/>
    <n v="81308"/>
  </r>
  <r>
    <s v="15"/>
    <x v="8"/>
    <x v="296"/>
    <x v="296"/>
    <n v="182.64"/>
    <n v="1330.5"/>
    <n v="1513.14"/>
    <n v="3.5"/>
    <n v="0"/>
    <n v="0"/>
    <n v="1331"/>
    <n v="339.64"/>
    <n v="63.69"/>
    <n v="70.02"/>
    <n v="34.159999999999997"/>
    <n v="3.75"/>
    <n v="513923"/>
    <n v="0"/>
    <n v="513923"/>
    <n v="33908"/>
    <n v="37279"/>
    <n v="1189"/>
    <n v="51689"/>
    <n v="0"/>
    <n v="637988"/>
    <n v="89059"/>
    <n v="548929"/>
    <n v="372123"/>
    <n v="176806"/>
  </r>
  <r>
    <s v="15"/>
    <x v="8"/>
    <x v="297"/>
    <x v="297"/>
    <n v="90.95"/>
    <n v="811.5"/>
    <n v="902.45"/>
    <n v="2.09"/>
    <n v="14"/>
    <n v="0"/>
    <n v="826"/>
    <n v="339.64"/>
    <n v="63.69"/>
    <n v="70.02"/>
    <n v="34.159999999999997"/>
    <n v="3.75"/>
    <n v="306508"/>
    <n v="0"/>
    <n v="306508"/>
    <n v="21043"/>
    <n v="23135"/>
    <n v="710"/>
    <n v="30828"/>
    <n v="0"/>
    <n v="382224"/>
    <n v="53115"/>
    <n v="329109"/>
    <n v="221939"/>
    <n v="107170"/>
  </r>
  <r>
    <s v="15"/>
    <x v="8"/>
    <x v="298"/>
    <x v="298"/>
    <n v="161.83000000000001"/>
    <n v="1310.3"/>
    <n v="1472.13"/>
    <n v="3.41"/>
    <n v="4"/>
    <n v="0"/>
    <n v="1314"/>
    <n v="339.64"/>
    <n v="63.69"/>
    <n v="70.02"/>
    <n v="34.159999999999997"/>
    <n v="3.75"/>
    <n v="499994"/>
    <n v="0"/>
    <n v="499994"/>
    <n v="33476"/>
    <n v="36802"/>
    <n v="1158"/>
    <n v="50288"/>
    <n v="0"/>
    <n v="621718"/>
    <n v="86645"/>
    <n v="535073"/>
    <n v="362039"/>
    <n v="173034"/>
  </r>
  <r>
    <s v="15"/>
    <x v="8"/>
    <x v="299"/>
    <x v="299"/>
    <n v="41.94"/>
    <n v="442.1"/>
    <n v="484.04"/>
    <n v="1.1200000000000001"/>
    <n v="11"/>
    <n v="0"/>
    <n v="453"/>
    <n v="339.64"/>
    <n v="63.69"/>
    <n v="70.02"/>
    <n v="34.159999999999997"/>
    <n v="3.75"/>
    <n v="164399"/>
    <n v="8711"/>
    <n v="173110"/>
    <n v="11541"/>
    <n v="12688"/>
    <n v="380"/>
    <n v="16535"/>
    <n v="0"/>
    <n v="214254"/>
    <n v="28489"/>
    <n v="185765"/>
    <n v="119039"/>
    <n v="66726"/>
  </r>
  <r>
    <s v="15"/>
    <x v="8"/>
    <x v="300"/>
    <x v="300"/>
    <n v="128.78"/>
    <n v="1117.9000000000001"/>
    <n v="1246.68"/>
    <n v="2.89"/>
    <n v="6"/>
    <n v="0"/>
    <n v="1124"/>
    <n v="339.64"/>
    <n v="63.69"/>
    <n v="70.02"/>
    <n v="34.159999999999997"/>
    <n v="3.75"/>
    <n v="423422"/>
    <n v="0"/>
    <n v="423422"/>
    <n v="28635"/>
    <n v="31481"/>
    <n v="982"/>
    <n v="42587"/>
    <n v="0"/>
    <n v="527107"/>
    <n v="73376"/>
    <n v="453731"/>
    <n v="306595"/>
    <n v="147136"/>
  </r>
  <r>
    <s v="15"/>
    <x v="8"/>
    <x v="301"/>
    <x v="301"/>
    <n v="80.34"/>
    <n v="794.9"/>
    <n v="875.24"/>
    <n v="2.0299999999999998"/>
    <n v="16"/>
    <n v="0"/>
    <n v="811"/>
    <n v="339.64"/>
    <n v="63.69"/>
    <n v="70.02"/>
    <n v="34.159999999999997"/>
    <n v="3.75"/>
    <n v="297267"/>
    <n v="10315"/>
    <n v="307582"/>
    <n v="20661"/>
    <n v="22714"/>
    <n v="689"/>
    <n v="30514"/>
    <n v="0"/>
    <n v="382160"/>
    <n v="51515"/>
    <n v="330645"/>
    <n v="215862"/>
    <n v="114783"/>
  </r>
  <r>
    <s v="15"/>
    <x v="8"/>
    <x v="302"/>
    <x v="302"/>
    <n v="242.26"/>
    <n v="1525.8"/>
    <n v="1768.06"/>
    <n v="4.09"/>
    <n v="152"/>
    <n v="0"/>
    <n v="1678"/>
    <n v="339.64"/>
    <n v="63.69"/>
    <n v="70.02"/>
    <n v="34.159999999999997"/>
    <n v="3.75"/>
    <n v="600504"/>
    <n v="5851"/>
    <n v="606355"/>
    <n v="42749"/>
    <n v="46998"/>
    <n v="1389"/>
    <n v="60863"/>
    <n v="0"/>
    <n v="758354"/>
    <n v="104063"/>
    <n v="654291"/>
    <n v="435281"/>
    <n v="219010"/>
  </r>
  <r>
    <s v="15"/>
    <x v="8"/>
    <x v="303"/>
    <x v="303"/>
    <n v="348.09"/>
    <n v="2064.6"/>
    <n v="2412.69"/>
    <n v="5.59"/>
    <n v="302"/>
    <n v="4"/>
    <n v="2363"/>
    <n v="339.64"/>
    <n v="63.69"/>
    <n v="70.02"/>
    <n v="34.159999999999997"/>
    <n v="3.75"/>
    <n v="819446"/>
    <n v="0"/>
    <n v="819446"/>
    <n v="60200"/>
    <n v="66183"/>
    <n v="1899"/>
    <n v="82417"/>
    <n v="0"/>
    <n v="1030145"/>
    <n v="142004"/>
    <n v="888141"/>
    <n v="593349"/>
    <n v="294792"/>
  </r>
  <r>
    <s v="15"/>
    <x v="8"/>
    <x v="304"/>
    <x v="304"/>
    <n v="352.4"/>
    <n v="1824.3"/>
    <n v="2176.6999999999998"/>
    <n v="5.04"/>
    <n v="97"/>
    <n v="0"/>
    <n v="1921"/>
    <n v="339.64"/>
    <n v="63.69"/>
    <n v="70.02"/>
    <n v="34.159999999999997"/>
    <n v="3.75"/>
    <n v="739294"/>
    <n v="0"/>
    <n v="739294"/>
    <n v="48939"/>
    <n v="53803"/>
    <n v="1712"/>
    <n v="74356"/>
    <n v="0"/>
    <n v="918104"/>
    <n v="128115"/>
    <n v="789989"/>
    <n v="535311"/>
    <n v="254678"/>
  </r>
  <r>
    <s v="15"/>
    <x v="8"/>
    <x v="305"/>
    <x v="305"/>
    <n v="46.91"/>
    <n v="346.4"/>
    <n v="393.31"/>
    <n v="0.91"/>
    <n v="2"/>
    <n v="0"/>
    <n v="348"/>
    <n v="339.64"/>
    <n v="63.69"/>
    <n v="70.02"/>
    <n v="34.159999999999997"/>
    <n v="3.75"/>
    <n v="133584"/>
    <n v="0"/>
    <n v="133584"/>
    <n v="8866"/>
    <n v="9747"/>
    <n v="309"/>
    <n v="13435"/>
    <n v="0"/>
    <n v="165941"/>
    <n v="23149"/>
    <n v="142792"/>
    <n v="96725"/>
    <n v="46067"/>
  </r>
  <r>
    <s v="15"/>
    <x v="8"/>
    <x v="306"/>
    <x v="306"/>
    <n v="89.69"/>
    <n v="885.9"/>
    <n v="975.59"/>
    <n v="2.2599999999999998"/>
    <n v="1"/>
    <n v="0"/>
    <n v="887"/>
    <n v="339.64"/>
    <n v="63.69"/>
    <n v="70.02"/>
    <n v="34.159999999999997"/>
    <n v="3.75"/>
    <n v="331349"/>
    <n v="0"/>
    <n v="331349"/>
    <n v="22597"/>
    <n v="24843"/>
    <n v="768"/>
    <n v="33326"/>
    <n v="0"/>
    <n v="412883"/>
    <n v="57421"/>
    <n v="355462"/>
    <n v="239925"/>
    <n v="115537"/>
  </r>
  <r>
    <s v="15"/>
    <x v="8"/>
    <x v="307"/>
    <x v="307"/>
    <n v="41.98"/>
    <n v="319.89999999999998"/>
    <n v="361.88"/>
    <n v="0.84"/>
    <n v="0"/>
    <n v="0"/>
    <n v="320"/>
    <n v="339.64"/>
    <n v="63.69"/>
    <n v="70.02"/>
    <n v="34.159999999999997"/>
    <n v="3.75"/>
    <n v="122909"/>
    <n v="5655"/>
    <n v="128564"/>
    <n v="8152"/>
    <n v="8962"/>
    <n v="285"/>
    <n v="12922"/>
    <n v="0"/>
    <n v="158885"/>
    <n v="21299"/>
    <n v="137586"/>
    <n v="89557"/>
    <n v="48029"/>
  </r>
  <r>
    <s v="15"/>
    <x v="8"/>
    <x v="308"/>
    <x v="308"/>
    <n v="25.36"/>
    <n v="199"/>
    <n v="224.36"/>
    <n v="0.52"/>
    <n v="0"/>
    <n v="0"/>
    <n v="199"/>
    <n v="339.64"/>
    <n v="63.69"/>
    <n v="70.02"/>
    <n v="34.159999999999997"/>
    <n v="3.75"/>
    <n v="76202"/>
    <n v="0"/>
    <n v="76202"/>
    <n v="5070"/>
    <n v="5574"/>
    <n v="177"/>
    <n v="7664"/>
    <n v="0"/>
    <n v="94687"/>
    <n v="13205"/>
    <n v="81482"/>
    <n v="55177"/>
    <n v="26305"/>
  </r>
  <r>
    <s v="15"/>
    <x v="8"/>
    <x v="309"/>
    <x v="309"/>
    <n v="20.170000000000002"/>
    <n v="194.6"/>
    <n v="214.77"/>
    <n v="0.5"/>
    <n v="0"/>
    <n v="0"/>
    <n v="195"/>
    <n v="339.64"/>
    <n v="63.69"/>
    <n v="70.02"/>
    <n v="34.159999999999997"/>
    <n v="3.75"/>
    <n v="72944"/>
    <n v="1203"/>
    <n v="74147"/>
    <n v="4968"/>
    <n v="5462"/>
    <n v="170"/>
    <n v="7337"/>
    <n v="0"/>
    <n v="92084"/>
    <n v="12640"/>
    <n v="79444"/>
    <n v="52820"/>
    <n v="26624"/>
  </r>
  <r>
    <s v="15"/>
    <x v="8"/>
    <x v="310"/>
    <x v="310"/>
    <n v="236.16"/>
    <n v="1733.3"/>
    <n v="1969.46"/>
    <n v="4.5599999999999996"/>
    <n v="8"/>
    <n v="0"/>
    <n v="1741"/>
    <n v="339.64"/>
    <n v="63.69"/>
    <n v="70.02"/>
    <n v="34.159999999999997"/>
    <n v="3.75"/>
    <n v="668907"/>
    <n v="8217"/>
    <n v="677124"/>
    <n v="44354"/>
    <n v="48762"/>
    <n v="1549"/>
    <n v="68060"/>
    <n v="0"/>
    <n v="839849"/>
    <n v="115917"/>
    <n v="723932"/>
    <n v="485128"/>
    <n v="238804"/>
  </r>
  <r>
    <s v="15"/>
    <x v="8"/>
    <x v="311"/>
    <x v="311"/>
    <n v="62.2"/>
    <n v="533.1"/>
    <n v="595.29999999999995"/>
    <n v="1.38"/>
    <n v="3"/>
    <n v="0"/>
    <n v="536"/>
    <n v="339.64"/>
    <n v="63.69"/>
    <n v="70.02"/>
    <n v="34.159999999999997"/>
    <n v="3.75"/>
    <n v="202188"/>
    <n v="0"/>
    <n v="202188"/>
    <n v="13655"/>
    <n v="15012"/>
    <n v="469"/>
    <n v="20335"/>
    <n v="0"/>
    <n v="251659"/>
    <n v="35038"/>
    <n v="216621"/>
    <n v="146401"/>
    <n v="70220"/>
  </r>
  <r>
    <s v="15"/>
    <x v="8"/>
    <x v="312"/>
    <x v="312"/>
    <n v="63.61"/>
    <n v="471.5"/>
    <n v="535.11"/>
    <n v="1.24"/>
    <n v="30"/>
    <n v="0"/>
    <n v="502"/>
    <n v="339.64"/>
    <n v="63.69"/>
    <n v="70.02"/>
    <n v="34.159999999999997"/>
    <n v="3.75"/>
    <n v="181745"/>
    <n v="4909"/>
    <n v="186654"/>
    <n v="12789"/>
    <n v="14060"/>
    <n v="421"/>
    <n v="18761"/>
    <n v="0"/>
    <n v="232685"/>
    <n v="31495"/>
    <n v="201190"/>
    <n v="132081"/>
    <n v="69109"/>
  </r>
  <r>
    <s v="15"/>
    <x v="8"/>
    <x v="313"/>
    <x v="313"/>
    <n v="257.36"/>
    <n v="2221.8000000000002"/>
    <n v="2479.16"/>
    <n v="5.74"/>
    <n v="187"/>
    <n v="0.2"/>
    <n v="2409"/>
    <n v="339.64"/>
    <n v="63.69"/>
    <n v="70.02"/>
    <n v="34.159999999999997"/>
    <n v="3.75"/>
    <n v="842022"/>
    <n v="0"/>
    <n v="842022"/>
    <n v="61372"/>
    <n v="67471"/>
    <n v="1950"/>
    <n v="84688"/>
    <n v="0"/>
    <n v="1057503"/>
    <n v="145916"/>
    <n v="911587"/>
    <n v="609695"/>
    <n v="301892"/>
  </r>
  <r>
    <s v="15"/>
    <x v="8"/>
    <x v="314"/>
    <x v="314"/>
    <n v="669.56"/>
    <n v="5113.3999999999996"/>
    <n v="5782.96"/>
    <n v="13.36"/>
    <n v="138"/>
    <n v="1.8"/>
    <n v="5250"/>
    <n v="339.64"/>
    <n v="63.69"/>
    <n v="70.02"/>
    <n v="34.159999999999997"/>
    <n v="3.75"/>
    <n v="1964125"/>
    <n v="0"/>
    <n v="1964125"/>
    <n v="133749"/>
    <n v="147042"/>
    <n v="4538"/>
    <n v="197546"/>
    <n v="0"/>
    <n v="2447000"/>
    <n v="340369"/>
    <n v="2106631"/>
    <n v="1422183"/>
    <n v="684448"/>
  </r>
  <r>
    <s v="15"/>
    <x v="8"/>
    <x v="315"/>
    <x v="315"/>
    <n v="57.37"/>
    <n v="530.70000000000005"/>
    <n v="588.07000000000005"/>
    <n v="1.36"/>
    <n v="0"/>
    <n v="0"/>
    <n v="531"/>
    <n v="339.64"/>
    <n v="63.69"/>
    <n v="70.02"/>
    <n v="34.159999999999997"/>
    <n v="3.75"/>
    <n v="199732"/>
    <n v="9998"/>
    <n v="209730"/>
    <n v="13528"/>
    <n v="14872"/>
    <n v="462"/>
    <n v="20462"/>
    <n v="0"/>
    <n v="259054"/>
    <n v="34612"/>
    <n v="224442"/>
    <n v="144996"/>
    <n v="79446"/>
  </r>
  <r>
    <s v="15"/>
    <x v="8"/>
    <x v="316"/>
    <x v="316"/>
    <n v="20.57"/>
    <n v="233.2"/>
    <n v="253.77"/>
    <n v="0.59"/>
    <n v="0"/>
    <n v="0"/>
    <n v="233"/>
    <n v="339.64"/>
    <n v="63.69"/>
    <n v="70.02"/>
    <n v="34.159999999999997"/>
    <n v="3.75"/>
    <n v="86190"/>
    <n v="6709"/>
    <n v="92899"/>
    <n v="5936"/>
    <n v="6526"/>
    <n v="200"/>
    <n v="8669"/>
    <n v="0"/>
    <n v="114230"/>
    <n v="14937"/>
    <n v="99293"/>
    <n v="62409"/>
    <n v="36884"/>
  </r>
  <r>
    <s v="15"/>
    <x v="8"/>
    <x v="317"/>
    <x v="317"/>
    <n v="62.52"/>
    <n v="564.29999999999995"/>
    <n v="626.82000000000005"/>
    <n v="1.45"/>
    <n v="1"/>
    <n v="0"/>
    <n v="565"/>
    <n v="339.64"/>
    <n v="63.69"/>
    <n v="70.02"/>
    <n v="34.159999999999997"/>
    <n v="3.75"/>
    <n v="212893"/>
    <n v="0"/>
    <n v="212893"/>
    <n v="14394"/>
    <n v="15824"/>
    <n v="492"/>
    <n v="21412"/>
    <n v="0"/>
    <n v="265015"/>
    <n v="36893"/>
    <n v="228122"/>
    <n v="154152"/>
    <n v="73970"/>
  </r>
  <r>
    <s v="15"/>
    <x v="8"/>
    <x v="318"/>
    <x v="318"/>
    <n v="32.5"/>
    <n v="256.8"/>
    <n v="289.3"/>
    <n v="0.67"/>
    <n v="6"/>
    <n v="0"/>
    <n v="263"/>
    <n v="339.64"/>
    <n v="63.69"/>
    <n v="70.02"/>
    <n v="34.159999999999997"/>
    <n v="3.75"/>
    <n v="98258"/>
    <n v="269"/>
    <n v="98527"/>
    <n v="6700"/>
    <n v="7366"/>
    <n v="228"/>
    <n v="9882"/>
    <n v="0"/>
    <n v="122703"/>
    <n v="17027"/>
    <n v="105676"/>
    <n v="71147"/>
    <n v="34529"/>
  </r>
  <r>
    <s v="15"/>
    <x v="8"/>
    <x v="319"/>
    <x v="319"/>
    <n v="131.69999999999999"/>
    <n v="959.7"/>
    <n v="1091.4000000000001"/>
    <n v="2.5299999999999998"/>
    <n v="4"/>
    <n v="0"/>
    <n v="964"/>
    <n v="339.64"/>
    <n v="63.69"/>
    <n v="70.02"/>
    <n v="34.159999999999997"/>
    <n v="3.75"/>
    <n v="370683"/>
    <n v="0"/>
    <n v="370683"/>
    <n v="24559"/>
    <n v="27000"/>
    <n v="859"/>
    <n v="37282"/>
    <n v="0"/>
    <n v="460383"/>
    <n v="64237"/>
    <n v="396146"/>
    <n v="268406"/>
    <n v="127740"/>
  </r>
  <r>
    <s v="15"/>
    <x v="8"/>
    <x v="320"/>
    <x v="320"/>
    <n v="68.459999999999994"/>
    <n v="459.6"/>
    <n v="528.05999999999995"/>
    <n v="1.22"/>
    <n v="2"/>
    <n v="0"/>
    <n v="462"/>
    <n v="339.64"/>
    <n v="63.69"/>
    <n v="70.02"/>
    <n v="34.159999999999997"/>
    <n v="3.75"/>
    <n v="179350"/>
    <n v="6715"/>
    <n v="186065"/>
    <n v="11770"/>
    <n v="12940"/>
    <n v="414"/>
    <n v="18702"/>
    <n v="0"/>
    <n v="229891"/>
    <n v="31080"/>
    <n v="198811"/>
    <n v="130528"/>
    <n v="68283"/>
  </r>
  <r>
    <s v="15"/>
    <x v="8"/>
    <x v="321"/>
    <x v="321"/>
    <n v="72.319999999999993"/>
    <n v="506.8"/>
    <n v="579.12"/>
    <n v="1.34"/>
    <n v="1"/>
    <n v="0"/>
    <n v="508"/>
    <n v="339.64"/>
    <n v="63.69"/>
    <n v="70.02"/>
    <n v="34.159999999999997"/>
    <n v="3.75"/>
    <n v="196692"/>
    <n v="32314"/>
    <n v="229006"/>
    <n v="12942"/>
    <n v="14228"/>
    <n v="455"/>
    <n v="20264"/>
    <n v="0"/>
    <n v="276895"/>
    <n v="34086"/>
    <n v="242809"/>
    <n v="142902"/>
    <n v="99907"/>
  </r>
  <r>
    <s v="15"/>
    <x v="8"/>
    <x v="322"/>
    <x v="322"/>
    <n v="93.95"/>
    <n v="570.79999999999995"/>
    <n v="664.75"/>
    <n v="1.54"/>
    <n v="0"/>
    <n v="0"/>
    <n v="571"/>
    <n v="339.64"/>
    <n v="63.69"/>
    <n v="70.02"/>
    <n v="34.159999999999997"/>
    <n v="3.75"/>
    <n v="225776"/>
    <n v="0"/>
    <n v="225776"/>
    <n v="14547"/>
    <n v="15992"/>
    <n v="523"/>
    <n v="22708"/>
    <n v="0"/>
    <n v="279546"/>
    <n v="39126"/>
    <n v="240420"/>
    <n v="163480"/>
    <n v="76940"/>
  </r>
  <r>
    <s v="15"/>
    <x v="8"/>
    <x v="323"/>
    <x v="323"/>
    <n v="50.27"/>
    <n v="384"/>
    <n v="434.27"/>
    <n v="1"/>
    <n v="31"/>
    <n v="0"/>
    <n v="415"/>
    <n v="339.64"/>
    <n v="63.69"/>
    <n v="70.02"/>
    <n v="34.159999999999997"/>
    <n v="3.75"/>
    <n v="147495"/>
    <n v="11381"/>
    <n v="158876"/>
    <n v="10572"/>
    <n v="11623"/>
    <n v="340"/>
    <n v="14954"/>
    <n v="0"/>
    <n v="196365"/>
    <n v="25560"/>
    <n v="170805"/>
    <n v="106917"/>
    <n v="63888"/>
  </r>
  <r>
    <s v="15"/>
    <x v="8"/>
    <x v="324"/>
    <x v="324"/>
    <n v="40.31"/>
    <n v="316.60000000000002"/>
    <n v="356.91"/>
    <n v="0.83"/>
    <n v="0"/>
    <n v="0"/>
    <n v="317"/>
    <n v="339.64"/>
    <n v="63.69"/>
    <n v="70.02"/>
    <n v="34.159999999999997"/>
    <n v="3.75"/>
    <n v="121221"/>
    <n v="0"/>
    <n v="121221"/>
    <n v="8076"/>
    <n v="8878"/>
    <n v="282"/>
    <n v="12192"/>
    <n v="0"/>
    <n v="150649"/>
    <n v="21007"/>
    <n v="129642"/>
    <n v="87775"/>
    <n v="418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5" applyNumberFormats="0" applyBorderFormats="0" applyFontFormats="0" applyPatternFormats="0" applyAlignmentFormats="0" applyWidthHeightFormats="1" dataCaption="Values" grandTotalCaption="AEA Total" updatedVersion="6" minRefreshableVersion="3" showDrill="0" useAutoFormatting="1" itemPrintTitles="1" createdVersion="4" indent="0" compact="0" compactData="0" multipleFieldFilters="0">
  <location ref="A4:T48" firstHeaderRow="0" firstDataRow="1" firstDataCol="2"/>
  <pivotFields count="29">
    <pivotField compact="0" outline="0" showAll="0" defaultSubtotal="0"/>
    <pivotField compact="0" outline="0" showAll="0" defaultSubtotal="0">
      <items count="9">
        <item h="1" x="2"/>
        <item h="1" x="4"/>
        <item h="1" x="8"/>
        <item x="7"/>
        <item h="1" x="5"/>
        <item h="1" x="0"/>
        <item h="1" x="3"/>
        <item h="1" x="6"/>
        <item h="1" x="1"/>
      </items>
    </pivotField>
    <pivotField axis="axisRow" compact="0" outline="0" showAll="0" defaultSubtotal="0">
      <items count="333">
        <item x="57"/>
        <item x="163"/>
        <item x="164"/>
        <item x="216"/>
        <item x="21"/>
        <item x="293"/>
        <item x="131"/>
        <item x="58"/>
        <item x="22"/>
        <item x="0"/>
        <item x="93"/>
        <item x="23"/>
        <item x="165"/>
        <item x="132"/>
        <item x="110"/>
        <item x="166"/>
        <item x="59"/>
        <item x="40"/>
        <item x="217"/>
        <item x="251"/>
        <item x="167"/>
        <item m="1" x="331"/>
        <item x="250"/>
        <item x="168"/>
        <item m="1" x="326"/>
        <item x="169"/>
        <item x="60"/>
        <item x="252"/>
        <item x="133"/>
        <item x="111"/>
        <item x="61"/>
        <item x="112"/>
        <item x="134"/>
        <item x="113"/>
        <item x="301"/>
        <item x="170"/>
        <item x="171"/>
        <item x="218"/>
        <item x="108"/>
        <item x="62"/>
        <item x="94"/>
        <item x="294"/>
        <item x="254"/>
        <item x="63"/>
        <item x="114"/>
        <item x="115"/>
        <item x="295"/>
        <item x="172"/>
        <item x="173"/>
        <item x="64"/>
        <item x="135"/>
        <item x="136"/>
        <item x="296"/>
        <item x="297"/>
        <item x="1"/>
        <item x="116"/>
        <item x="137"/>
        <item x="255"/>
        <item x="219"/>
        <item x="298"/>
        <item x="66"/>
        <item x="220"/>
        <item x="221"/>
        <item x="256"/>
        <item x="24"/>
        <item x="257"/>
        <item x="67"/>
        <item x="25"/>
        <item x="138"/>
        <item x="68"/>
        <item x="117"/>
        <item x="174"/>
        <item x="139"/>
        <item x="175"/>
        <item x="176"/>
        <item x="118"/>
        <item x="177"/>
        <item x="258"/>
        <item x="259"/>
        <item x="260"/>
        <item x="178"/>
        <item x="299"/>
        <item x="119"/>
        <item x="300"/>
        <item x="3"/>
        <item x="120"/>
        <item x="222"/>
        <item x="69"/>
        <item x="179"/>
        <item x="261"/>
        <item x="70"/>
        <item x="4"/>
        <item x="71"/>
        <item x="253"/>
        <item x="121"/>
        <item x="103"/>
        <item x="26"/>
        <item x="180"/>
        <item x="72"/>
        <item x="122"/>
        <item x="263"/>
        <item x="5"/>
        <item x="235"/>
        <item x="6"/>
        <item x="74"/>
        <item x="28"/>
        <item x="140"/>
        <item x="264"/>
        <item x="29"/>
        <item x="181"/>
        <item x="302"/>
        <item x="75"/>
        <item x="30"/>
        <item x="303"/>
        <item x="265"/>
        <item x="223"/>
        <item x="77"/>
        <item x="224"/>
        <item x="182"/>
        <item x="31"/>
        <item x="78"/>
        <item x="266"/>
        <item x="183"/>
        <item x="32"/>
        <item x="279"/>
        <item x="76"/>
        <item x="79"/>
        <item x="267"/>
        <item x="80"/>
        <item x="184"/>
        <item x="2"/>
        <item x="141"/>
        <item x="268"/>
        <item x="81"/>
        <item x="269"/>
        <item m="1" x="332"/>
        <item x="34"/>
        <item x="225"/>
        <item x="142"/>
        <item x="226"/>
        <item x="7"/>
        <item x="82"/>
        <item x="83"/>
        <item x="35"/>
        <item x="84"/>
        <item x="185"/>
        <item x="186"/>
        <item x="143"/>
        <item x="85"/>
        <item x="144"/>
        <item x="270"/>
        <item x="86"/>
        <item x="33"/>
        <item x="87"/>
        <item x="187"/>
        <item x="304"/>
        <item x="305"/>
        <item x="227"/>
        <item x="188"/>
        <item x="88"/>
        <item x="271"/>
        <item x="36"/>
        <item x="228"/>
        <item x="73"/>
        <item x="229"/>
        <item x="272"/>
        <item x="273"/>
        <item x="153"/>
        <item x="145"/>
        <item x="146"/>
        <item x="274"/>
        <item x="147"/>
        <item x="123"/>
        <item m="1" x="328"/>
        <item x="189"/>
        <item x="190"/>
        <item x="262"/>
        <item x="37"/>
        <item x="230"/>
        <item x="124"/>
        <item x="9"/>
        <item x="231"/>
        <item x="148"/>
        <item x="89"/>
        <item x="191"/>
        <item x="90"/>
        <item x="232"/>
        <item x="306"/>
        <item x="192"/>
        <item x="150"/>
        <item x="149"/>
        <item x="275"/>
        <item x="8"/>
        <item x="91"/>
        <item x="151"/>
        <item x="307"/>
        <item x="276"/>
        <item x="308"/>
        <item x="309"/>
        <item x="277"/>
        <item x="310"/>
        <item x="152"/>
        <item x="278"/>
        <item x="125"/>
        <item x="92"/>
        <item x="193"/>
        <item x="38"/>
        <item x="10"/>
        <item x="311"/>
        <item x="194"/>
        <item x="65"/>
        <item x="127"/>
        <item x="11"/>
        <item m="1" x="329"/>
        <item x="312"/>
        <item x="154"/>
        <item x="39"/>
        <item x="195"/>
        <item x="126"/>
        <item x="95"/>
        <item m="1" x="330"/>
        <item x="96"/>
        <item x="196"/>
        <item x="282"/>
        <item x="233"/>
        <item x="12"/>
        <item x="197"/>
        <item x="41"/>
        <item x="155"/>
        <item x="280"/>
        <item x="97"/>
        <item x="313"/>
        <item x="314"/>
        <item x="199"/>
        <item x="42"/>
        <item x="243"/>
        <item x="315"/>
        <item x="200"/>
        <item x="201"/>
        <item x="128"/>
        <item x="202"/>
        <item x="43"/>
        <item x="13"/>
        <item x="198"/>
        <item m="1" x="327"/>
        <item x="281"/>
        <item x="234"/>
        <item x="14"/>
        <item x="236"/>
        <item x="203"/>
        <item x="98"/>
        <item x="44"/>
        <item x="100"/>
        <item x="204"/>
        <item x="45"/>
        <item x="237"/>
        <item x="238"/>
        <item x="316"/>
        <item x="107"/>
        <item x="239"/>
        <item x="283"/>
        <item x="240"/>
        <item x="284"/>
        <item x="317"/>
        <item x="241"/>
        <item x="242"/>
        <item x="46"/>
        <item x="47"/>
        <item x="156"/>
        <item x="206"/>
        <item x="48"/>
        <item x="49"/>
        <item x="285"/>
        <item x="99"/>
        <item x="15"/>
        <item x="205"/>
        <item x="50"/>
        <item x="51"/>
        <item x="157"/>
        <item x="286"/>
        <item x="16"/>
        <item x="52"/>
        <item x="53"/>
        <item x="212"/>
        <item x="101"/>
        <item x="158"/>
        <item x="287"/>
        <item x="288"/>
        <item x="318"/>
        <item x="102"/>
        <item x="17"/>
        <item x="207"/>
        <item x="54"/>
        <item x="289"/>
        <item x="208"/>
        <item x="209"/>
        <item m="1" x="325"/>
        <item x="319"/>
        <item x="210"/>
        <item x="290"/>
        <item x="159"/>
        <item x="320"/>
        <item x="27"/>
        <item x="321"/>
        <item x="104"/>
        <item x="160"/>
        <item x="105"/>
        <item x="211"/>
        <item x="106"/>
        <item x="322"/>
        <item x="55"/>
        <item x="56"/>
        <item x="161"/>
        <item x="323"/>
        <item x="18"/>
        <item x="19"/>
        <item x="213"/>
        <item x="20"/>
        <item x="291"/>
        <item x="129"/>
        <item x="244"/>
        <item x="109"/>
        <item x="245"/>
        <item x="246"/>
        <item x="247"/>
        <item x="248"/>
        <item x="162"/>
        <item x="130"/>
        <item x="324"/>
        <item x="214"/>
        <item x="292"/>
        <item x="249"/>
        <item x="215"/>
      </items>
    </pivotField>
    <pivotField axis="axisRow" compact="0" outline="0" showAll="0" defaultSubtotal="0">
      <items count="356">
        <item x="163"/>
        <item x="164"/>
        <item x="57"/>
        <item m="1" x="331"/>
        <item x="216"/>
        <item x="21"/>
        <item x="293"/>
        <item x="131"/>
        <item x="58"/>
        <item m="1" x="330"/>
        <item x="0"/>
        <item m="1" x="352"/>
        <item x="165"/>
        <item x="132"/>
        <item x="110"/>
        <item x="166"/>
        <item x="59"/>
        <item x="217"/>
        <item x="251"/>
        <item x="167"/>
        <item m="1" x="339"/>
        <item x="168"/>
        <item m="1" x="342"/>
        <item x="169"/>
        <item x="60"/>
        <item x="252"/>
        <item x="133"/>
        <item x="111"/>
        <item x="61"/>
        <item x="112"/>
        <item x="134"/>
        <item x="113"/>
        <item x="170"/>
        <item x="171"/>
        <item x="218"/>
        <item x="253"/>
        <item x="62"/>
        <item x="294"/>
        <item x="63"/>
        <item m="1" x="344"/>
        <item x="254"/>
        <item x="115"/>
        <item x="295"/>
        <item x="172"/>
        <item x="173"/>
        <item x="64"/>
        <item x="135"/>
        <item x="136"/>
        <item x="296"/>
        <item x="137"/>
        <item x="1"/>
        <item x="116"/>
        <item x="255"/>
        <item x="297"/>
        <item x="219"/>
        <item x="65"/>
        <item x="298"/>
        <item x="66"/>
        <item x="220"/>
        <item x="221"/>
        <item x="256"/>
        <item m="1" x="325"/>
        <item x="257"/>
        <item x="67"/>
        <item x="25"/>
        <item x="2"/>
        <item m="1" x="340"/>
        <item x="68"/>
        <item x="117"/>
        <item x="174"/>
        <item m="1" x="327"/>
        <item x="175"/>
        <item x="176"/>
        <item x="118"/>
        <item x="177"/>
        <item x="258"/>
        <item x="259"/>
        <item m="1" x="353"/>
        <item x="178"/>
        <item x="299"/>
        <item x="119"/>
        <item x="300"/>
        <item x="3"/>
        <item x="120"/>
        <item x="222"/>
        <item x="69"/>
        <item x="179"/>
        <item x="261"/>
        <item x="70"/>
        <item x="4"/>
        <item x="71"/>
        <item x="121"/>
        <item x="26"/>
        <item x="180"/>
        <item x="72"/>
        <item x="73"/>
        <item m="1" x="341"/>
        <item x="27"/>
        <item x="263"/>
        <item x="5"/>
        <item x="122"/>
        <item m="1" x="351"/>
        <item x="6"/>
        <item x="74"/>
        <item x="28"/>
        <item m="1" x="345"/>
        <item x="264"/>
        <item m="1" x="347"/>
        <item x="181"/>
        <item x="302"/>
        <item m="1" x="326"/>
        <item x="30"/>
        <item x="303"/>
        <item x="265"/>
        <item x="223"/>
        <item m="1" x="337"/>
        <item x="224"/>
        <item x="182"/>
        <item x="31"/>
        <item x="78"/>
        <item x="266"/>
        <item x="183"/>
        <item x="76"/>
        <item x="32"/>
        <item m="1" x="334"/>
        <item x="79"/>
        <item x="267"/>
        <item x="80"/>
        <item x="184"/>
        <item x="268"/>
        <item x="81"/>
        <item x="269"/>
        <item m="1" x="350"/>
        <item x="34"/>
        <item x="225"/>
        <item x="142"/>
        <item x="226"/>
        <item x="141"/>
        <item x="7"/>
        <item x="82"/>
        <item x="83"/>
        <item x="35"/>
        <item x="270"/>
        <item x="84"/>
        <item x="185"/>
        <item x="186"/>
        <item x="143"/>
        <item x="85"/>
        <item x="144"/>
        <item x="86"/>
        <item x="87"/>
        <item x="187"/>
        <item x="304"/>
        <item x="305"/>
        <item x="227"/>
        <item x="188"/>
        <item x="88"/>
        <item x="271"/>
        <item x="36"/>
        <item x="228"/>
        <item x="229"/>
        <item x="272"/>
        <item x="273"/>
        <item x="145"/>
        <item x="146"/>
        <item x="274"/>
        <item x="147"/>
        <item x="123"/>
        <item m="1" x="333"/>
        <item x="189"/>
        <item x="190"/>
        <item x="37"/>
        <item m="1" x="332"/>
        <item x="124"/>
        <item x="9"/>
        <item x="231"/>
        <item x="148"/>
        <item x="89"/>
        <item x="191"/>
        <item x="90"/>
        <item x="306"/>
        <item x="192"/>
        <item x="8"/>
        <item x="150"/>
        <item x="149"/>
        <item x="275"/>
        <item x="232"/>
        <item x="91"/>
        <item x="151"/>
        <item x="307"/>
        <item x="276"/>
        <item x="308"/>
        <item x="309"/>
        <item x="277"/>
        <item x="310"/>
        <item x="152"/>
        <item x="278"/>
        <item x="125"/>
        <item x="92"/>
        <item x="193"/>
        <item x="10"/>
        <item x="311"/>
        <item x="38"/>
        <item x="194"/>
        <item m="1" x="329"/>
        <item m="1" x="328"/>
        <item x="153"/>
        <item m="1" x="348"/>
        <item x="94"/>
        <item x="39"/>
        <item x="154"/>
        <item x="312"/>
        <item x="195"/>
        <item x="126"/>
        <item x="95"/>
        <item m="1" x="335"/>
        <item m="1" x="354"/>
        <item x="127"/>
        <item m="1" x="349"/>
        <item x="96"/>
        <item x="196"/>
        <item m="1" x="336"/>
        <item x="12"/>
        <item x="197"/>
        <item x="41"/>
        <item x="155"/>
        <item x="280"/>
        <item x="97"/>
        <item x="313"/>
        <item x="314"/>
        <item x="199"/>
        <item x="42"/>
        <item x="198"/>
        <item x="315"/>
        <item x="200"/>
        <item x="201"/>
        <item x="128"/>
        <item x="202"/>
        <item x="43"/>
        <item x="13"/>
        <item m="1" x="338"/>
        <item x="281"/>
        <item x="234"/>
        <item x="14"/>
        <item x="235"/>
        <item x="282"/>
        <item x="236"/>
        <item x="203"/>
        <item x="98"/>
        <item x="44"/>
        <item x="204"/>
        <item x="45"/>
        <item x="237"/>
        <item x="238"/>
        <item x="316"/>
        <item x="239"/>
        <item x="283"/>
        <item x="240"/>
        <item x="284"/>
        <item x="317"/>
        <item x="241"/>
        <item x="46"/>
        <item x="242"/>
        <item x="156"/>
        <item x="47"/>
        <item x="48"/>
        <item x="243"/>
        <item x="285"/>
        <item x="99"/>
        <item x="15"/>
        <item x="205"/>
        <item x="206"/>
        <item m="1" x="346"/>
        <item x="50"/>
        <item x="51"/>
        <item x="157"/>
        <item x="100"/>
        <item x="286"/>
        <item x="16"/>
        <item x="52"/>
        <item x="53"/>
        <item x="101"/>
        <item x="158"/>
        <item x="287"/>
        <item x="288"/>
        <item x="318"/>
        <item x="102"/>
        <item x="17"/>
        <item x="207"/>
        <item x="54"/>
        <item x="289"/>
        <item x="103"/>
        <item x="208"/>
        <item x="209"/>
        <item m="1" x="355"/>
        <item m="1" x="343"/>
        <item x="210"/>
        <item x="290"/>
        <item x="159"/>
        <item x="320"/>
        <item x="321"/>
        <item x="104"/>
        <item x="160"/>
        <item x="105"/>
        <item x="211"/>
        <item x="106"/>
        <item x="322"/>
        <item x="55"/>
        <item x="56"/>
        <item x="161"/>
        <item x="323"/>
        <item x="18"/>
        <item x="212"/>
        <item x="19"/>
        <item x="213"/>
        <item x="107"/>
        <item x="108"/>
        <item x="291"/>
        <item x="129"/>
        <item x="244"/>
        <item x="109"/>
        <item x="245"/>
        <item x="246"/>
        <item x="20"/>
        <item x="247"/>
        <item x="248"/>
        <item x="162"/>
        <item x="130"/>
        <item x="324"/>
        <item x="214"/>
        <item x="292"/>
        <item x="249"/>
        <item x="215"/>
        <item x="11"/>
        <item x="22"/>
        <item x="23"/>
        <item x="24"/>
        <item x="29"/>
        <item x="33"/>
        <item x="40"/>
        <item x="75"/>
        <item x="77"/>
        <item x="93"/>
        <item x="114"/>
        <item x="138"/>
        <item x="139"/>
        <item x="140"/>
        <item x="230"/>
        <item x="233"/>
        <item x="250"/>
        <item x="260"/>
        <item x="262"/>
        <item x="279"/>
        <item x="301"/>
        <item x="319"/>
        <item x="49"/>
      </items>
    </pivotField>
    <pivotField dataField="1" compact="0" numFmtId="4" outline="0" showAll="0" defaultSubtotal="0"/>
    <pivotField dataField="1" compact="0" numFmtId="164" outline="0" showAll="0" defaultSubtotal="0"/>
    <pivotField dataField="1" compact="0" numFmtId="4" outline="0" showAll="0" defaultSubtotal="0"/>
    <pivotField dataField="1" compact="0" numFmtId="4" outline="0" showAll="0" defaultSubtotal="0"/>
    <pivotField dataField="1" compact="0" numFmtId="3" outline="0" showAll="0" defaultSubtotal="0"/>
    <pivotField dataField="1" compact="0" numFmtId="164" outline="0" showAll="0" defaultSubtotal="0"/>
    <pivotField dataField="1" compact="0" numFmtId="3"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3" outline="0" showAll="0" defaultSubtotal="0"/>
    <pivotField dataField="1" compact="0" numFmtId="3" outline="0" showAll="0" defaultSubtotal="0"/>
    <pivotField dataField="1" compact="0" numFmtId="3" outline="0" showAll="0" defaultSubtotal="0"/>
    <pivotField compact="0" numFmtId="3" outline="0" showAll="0"/>
    <pivotField compact="0" numFmtId="3" outline="0" showAl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s>
  <rowFields count="2">
    <field x="2"/>
    <field x="3"/>
  </rowFields>
  <rowItems count="44">
    <i>
      <x v="19"/>
      <x v="18"/>
    </i>
    <i>
      <x v="22"/>
      <x v="349"/>
    </i>
    <i>
      <x v="27"/>
      <x v="25"/>
    </i>
    <i>
      <x v="42"/>
      <x v="40"/>
    </i>
    <i>
      <x v="57"/>
      <x v="52"/>
    </i>
    <i>
      <x v="63"/>
      <x v="60"/>
    </i>
    <i>
      <x v="65"/>
      <x v="62"/>
    </i>
    <i>
      <x v="77"/>
      <x v="75"/>
    </i>
    <i>
      <x v="78"/>
      <x v="76"/>
    </i>
    <i>
      <x v="79"/>
      <x v="350"/>
    </i>
    <i>
      <x v="89"/>
      <x v="87"/>
    </i>
    <i>
      <x v="93"/>
      <x v="35"/>
    </i>
    <i>
      <x v="100"/>
      <x v="98"/>
    </i>
    <i>
      <x v="107"/>
      <x v="106"/>
    </i>
    <i>
      <x v="114"/>
      <x v="113"/>
    </i>
    <i>
      <x v="121"/>
      <x v="120"/>
    </i>
    <i>
      <x v="124"/>
      <x v="352"/>
    </i>
    <i>
      <x v="127"/>
      <x v="126"/>
    </i>
    <i>
      <x v="132"/>
      <x v="129"/>
    </i>
    <i>
      <x v="134"/>
      <x v="131"/>
    </i>
    <i>
      <x v="150"/>
      <x v="142"/>
    </i>
    <i>
      <x v="160"/>
      <x v="157"/>
    </i>
    <i>
      <x v="165"/>
      <x v="161"/>
    </i>
    <i>
      <x v="166"/>
      <x v="162"/>
    </i>
    <i>
      <x v="170"/>
      <x v="165"/>
    </i>
    <i>
      <x v="176"/>
      <x v="351"/>
    </i>
    <i>
      <x v="191"/>
      <x v="185"/>
    </i>
    <i>
      <x v="196"/>
      <x v="190"/>
    </i>
    <i>
      <x v="199"/>
      <x v="193"/>
    </i>
    <i>
      <x v="202"/>
      <x v="196"/>
    </i>
    <i>
      <x v="223"/>
      <x v="245"/>
    </i>
    <i>
      <x v="229"/>
      <x v="226"/>
    </i>
    <i>
      <x v="245"/>
      <x v="241"/>
    </i>
    <i>
      <x v="260"/>
      <x v="256"/>
    </i>
    <i>
      <x v="262"/>
      <x v="258"/>
    </i>
    <i>
      <x v="272"/>
      <x v="267"/>
    </i>
    <i>
      <x v="279"/>
      <x v="277"/>
    </i>
    <i>
      <x v="286"/>
      <x v="283"/>
    </i>
    <i>
      <x v="287"/>
      <x v="284"/>
    </i>
    <i>
      <x v="293"/>
      <x v="290"/>
    </i>
    <i>
      <x v="299"/>
      <x v="297"/>
    </i>
    <i>
      <x v="318"/>
      <x v="317"/>
    </i>
    <i>
      <x v="330"/>
      <x v="330"/>
    </i>
    <i t="grand">
      <x/>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name="Total Special Ed Weighting" fld="4" baseField="3" baseItem="1" numFmtId="4"/>
    <dataField name="Budget Enrollment " fld="5" baseField="3" baseItem="0" numFmtId="164"/>
    <dataField name="AEA Weighted Enrollment " fld="6" baseField="3" baseItem="0" numFmtId="4"/>
    <dataField name="AEA Supplementary Weight for Sharing " fld="7" baseField="3" baseItem="0" numFmtId="4"/>
    <dataField name="Resident Accredited Nonpublic Students " fld="8" baseField="3" baseItem="0" numFmtId="3"/>
    <dataField name="Shared-Time Nonpublic Pupils" fld="9" baseField="3" baseItem="0" numFmtId="164"/>
    <dataField name="Total Enrollment Served - AEA Media and Ed Services " fld="10" baseField="3" baseItem="130" numFmtId="3"/>
    <dataField name="AEA Special Ed Support District Cost without Adjustment " fld="16" baseField="3" baseItem="130" numFmtId="3"/>
    <dataField name="AEA Special Ed Support Adjustment " fld="17" baseField="3" baseItem="130" numFmtId="3"/>
    <dataField name="Special Education Total Cost " fld="18" baseField="3" baseItem="130" numFmtId="3"/>
    <dataField name="AEA Sharing District Cost " fld="21" baseField="3" baseItem="130" numFmtId="3"/>
    <dataField name="AEA Teacher Salary Supplement District Cost " fld="22" baseField="3" baseItem="130" numFmtId="3"/>
    <dataField name="AEA Professional Development Supplement District Cost " fld="23" baseField="3" baseItem="130" numFmtId="3"/>
    <dataField name="Subtotal Budget " fld="24" baseField="3" baseItem="130" numFmtId="3"/>
    <dataField name="AEA State Aid Reduction" fld="25" baseField="3" baseItem="130" numFmtId="3"/>
    <dataField name="Total Budget " fld="26" baseField="3" baseItem="130" numFmtId="3"/>
    <dataField name="State Aid Portion " fld="27" baseField="3" baseItem="130" numFmtId="3"/>
    <dataField name="Property Tax Portion " fld="28" baseField="3" baseItem="130" numFmtId="3"/>
  </dataFields>
  <formats count="27">
    <format dxfId="53">
      <pivotArea field="2" type="button" dataOnly="0" labelOnly="1" outline="0" axis="axisRow" fieldPosition="0"/>
    </format>
    <format dxfId="52">
      <pivotArea field="3" type="button" dataOnly="0" labelOnly="1" outline="0" axis="axisRow" fieldPosition="1"/>
    </format>
    <format dxfId="51">
      <pivotArea dataOnly="0" labelOnly="1" outline="0" fieldPosition="0">
        <references count="1">
          <reference field="4294967294" count="18">
            <x v="0"/>
            <x v="1"/>
            <x v="2"/>
            <x v="3"/>
            <x v="4"/>
            <x v="5"/>
            <x v="6"/>
            <x v="7"/>
            <x v="8"/>
            <x v="9"/>
            <x v="10"/>
            <x v="11"/>
            <x v="12"/>
            <x v="13"/>
            <x v="14"/>
            <x v="15"/>
            <x v="16"/>
            <x v="17"/>
          </reference>
        </references>
      </pivotArea>
    </format>
    <format dxfId="50">
      <pivotArea type="all" dataOnly="0" outline="0" fieldPosition="0"/>
    </format>
    <format dxfId="49">
      <pivotArea field="2" type="button" dataOnly="0" labelOnly="1" outline="0" axis="axisRow" fieldPosition="0"/>
    </format>
    <format dxfId="48">
      <pivotArea field="3" type="button" dataOnly="0" labelOnly="1" outline="0" axis="axisRow" fieldPosition="1"/>
    </format>
    <format dxfId="47">
      <pivotArea dataOnly="0" labelOnly="1" outline="0" fieldPosition="0">
        <references count="1">
          <reference field="4294967294" count="18">
            <x v="0"/>
            <x v="1"/>
            <x v="2"/>
            <x v="3"/>
            <x v="4"/>
            <x v="5"/>
            <x v="6"/>
            <x v="7"/>
            <x v="8"/>
            <x v="9"/>
            <x v="10"/>
            <x v="11"/>
            <x v="12"/>
            <x v="13"/>
            <x v="14"/>
            <x v="15"/>
            <x v="16"/>
            <x v="17"/>
          </reference>
        </references>
      </pivotArea>
    </format>
    <format dxfId="46">
      <pivotArea grandRow="1" outline="0" collapsedLevelsAreSubtotals="1" fieldPosition="0"/>
    </format>
    <format dxfId="45">
      <pivotArea dataOnly="0" labelOnly="1" grandRow="1" outline="0" fieldPosition="0"/>
    </format>
    <format dxfId="44">
      <pivotArea outline="0" fieldPosition="0">
        <references count="1">
          <reference field="4294967294" count="1">
            <x v="0"/>
          </reference>
        </references>
      </pivotArea>
    </format>
    <format dxfId="43">
      <pivotArea outline="0" fieldPosition="0">
        <references count="1">
          <reference field="4294967294" count="1">
            <x v="1"/>
          </reference>
        </references>
      </pivotArea>
    </format>
    <format dxfId="42">
      <pivotArea outline="0" fieldPosition="0">
        <references count="1">
          <reference field="4294967294" count="1">
            <x v="2"/>
          </reference>
        </references>
      </pivotArea>
    </format>
    <format dxfId="41">
      <pivotArea outline="0" fieldPosition="0">
        <references count="1">
          <reference field="4294967294" count="1">
            <x v="3"/>
          </reference>
        </references>
      </pivotArea>
    </format>
    <format dxfId="40">
      <pivotArea outline="0" fieldPosition="0">
        <references count="1">
          <reference field="4294967294" count="1">
            <x v="4"/>
          </reference>
        </references>
      </pivotArea>
    </format>
    <format dxfId="39">
      <pivotArea outline="0" fieldPosition="0">
        <references count="1">
          <reference field="4294967294" count="1">
            <x v="5"/>
          </reference>
        </references>
      </pivotArea>
    </format>
    <format dxfId="38">
      <pivotArea outline="0" fieldPosition="0">
        <references count="1">
          <reference field="4294967294" count="1">
            <x v="6"/>
          </reference>
        </references>
      </pivotArea>
    </format>
    <format dxfId="37">
      <pivotArea outline="0" fieldPosition="0">
        <references count="1">
          <reference field="4294967294" count="1">
            <x v="7"/>
          </reference>
        </references>
      </pivotArea>
    </format>
    <format dxfId="36">
      <pivotArea outline="0" fieldPosition="0">
        <references count="1">
          <reference field="4294967294" count="1">
            <x v="8"/>
          </reference>
        </references>
      </pivotArea>
    </format>
    <format dxfId="35">
      <pivotArea outline="0" fieldPosition="0">
        <references count="1">
          <reference field="4294967294" count="1">
            <x v="9"/>
          </reference>
        </references>
      </pivotArea>
    </format>
    <format dxfId="34">
      <pivotArea outline="0" fieldPosition="0">
        <references count="1">
          <reference field="4294967294" count="1">
            <x v="10"/>
          </reference>
        </references>
      </pivotArea>
    </format>
    <format dxfId="33">
      <pivotArea outline="0" fieldPosition="0">
        <references count="1">
          <reference field="4294967294" count="1">
            <x v="11"/>
          </reference>
        </references>
      </pivotArea>
    </format>
    <format dxfId="32">
      <pivotArea outline="0" fieldPosition="0">
        <references count="1">
          <reference field="4294967294" count="1">
            <x v="12"/>
          </reference>
        </references>
      </pivotArea>
    </format>
    <format dxfId="31">
      <pivotArea outline="0" fieldPosition="0">
        <references count="1">
          <reference field="4294967294" count="1">
            <x v="13"/>
          </reference>
        </references>
      </pivotArea>
    </format>
    <format dxfId="30">
      <pivotArea outline="0" fieldPosition="0">
        <references count="1">
          <reference field="4294967294" count="1">
            <x v="14"/>
          </reference>
        </references>
      </pivotArea>
    </format>
    <format dxfId="29">
      <pivotArea outline="0" fieldPosition="0">
        <references count="1">
          <reference field="4294967294" count="1">
            <x v="15"/>
          </reference>
        </references>
      </pivotArea>
    </format>
    <format dxfId="28">
      <pivotArea outline="0" fieldPosition="0">
        <references count="1">
          <reference field="4294967294" count="1">
            <x v="16"/>
          </reference>
        </references>
      </pivotArea>
    </format>
    <format dxfId="27">
      <pivotArea outline="0" fieldPosition="0">
        <references count="1">
          <reference field="4294967294" count="1">
            <x v="17"/>
          </reference>
        </references>
      </pivotArea>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EA_Name" xr10:uid="{00000000-0013-0000-FFFF-FFFF01000000}" sourceName="AEA Name">
  <pivotTables>
    <pivotTable tabId="4" name="PivotTable1"/>
  </pivotTables>
  <data>
    <tabular pivotCacheId="1">
      <items count="9">
        <i x="2"/>
        <i x="4"/>
        <i x="8"/>
        <i x="7" s="1"/>
        <i x="5"/>
        <i x="0"/>
        <i x="3"/>
        <i x="6"/>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EA Name" xr10:uid="{00000000-0014-0000-FFFF-FFFF01000000}" cache="Slicer_AEA_Name" caption="AEA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0A6035-B394-4104-AF2A-7E0922E382B7}" name="Breakdown" displayName="Breakdown" ref="A1:U326" totalsRowShown="0">
  <autoFilter ref="A1:U326" xr:uid="{50AAE653-3C0E-4CE4-8115-B0AAA33589C6}"/>
  <tableColumns count="21">
    <tableColumn id="1" xr3:uid="{BB6F7C9A-5E70-4DEB-B8F2-25E8DF22276E}" name="AEA" dataDxfId="100"/>
    <tableColumn id="2" xr3:uid="{1DFFFA89-7664-4642-9554-486414639FC5}" name="AEA Name"/>
    <tableColumn id="3" xr3:uid="{27EFC537-60F3-48A5-A642-F6ED8259A88E}" name="Dist" dataDxfId="99"/>
    <tableColumn id="4" xr3:uid="{8432758F-F06C-44B1-B52D-B61E1ABB36C1}" name="District"/>
    <tableColumn id="5" xr3:uid="{6EF56C84-0321-4075-ADFE-F9C18F04725A}" name="AEA Special Ed Support District Cost Formula Generated" dataDxfId="98"/>
    <tableColumn id="6" xr3:uid="{7A87F51F-FBC3-4F3B-8F0E-02BEF3306874}" name="State Aid Portion Special Ed" dataDxfId="97"/>
    <tableColumn id="7" xr3:uid="{182A85FD-11E8-4C3F-8FA5-B29FB6F3E4C5}" name="AEA Statewide State Aid Reduction" dataDxfId="96"/>
    <tableColumn id="8" xr3:uid="{4B4DE84C-D2AF-4EA2-98B4-A038A27B3E2D}" name="State Aid Special Ed Minus Reduction" dataDxfId="95"/>
    <tableColumn id="9" xr3:uid="{8DEC4ED8-2CE5-485D-9F09-622F544ACE0F}" name="Special Education Property Tax Portion" dataDxfId="94"/>
    <tableColumn id="10" xr3:uid="{74748503-EE09-48F4-B938-DDF04ECA9474}" name="AEA Special Ed Support Adjustment"/>
    <tableColumn id="11" xr3:uid="{91E09D71-8A59-422C-95F3-B14D290A49C4}" name="Total Special Ed Funding Removing Reduction Including Adjustment"/>
    <tableColumn id="12" xr3:uid="{06EBAD71-97C8-4126-ADA8-F9160C90D5CA}" name="State Aid Portion Sharing Operations"/>
    <tableColumn id="13" xr3:uid="{06ADAC0E-85F7-466E-8566-20400F419DED}" name="Sharing Operations Property Tax" dataDxfId="93"/>
    <tableColumn id="14" xr3:uid="{997335BF-E2B5-402E-93CD-D75BA5CC1E40}" name="Total AEA Sharing Operations" dataDxfId="92"/>
    <tableColumn id="15" xr3:uid="{49EA1A3B-92B3-4A98-8DFA-6F4B52B885D7}" name="AEA Teacher Salary Supplement District Cost" dataDxfId="91"/>
    <tableColumn id="16" xr3:uid="{801D485E-3FF5-400C-9782-FA0FA7C9CBB0}" name="AEA Professional Development Supplement District Cost" dataDxfId="90"/>
    <tableColumn id="17" xr3:uid="{55310980-75BB-41A9-8CEE-4C678F8472FB}" name="AEA Media Services District Cost - 40%" dataDxfId="89"/>
    <tableColumn id="18" xr3:uid="{394E2127-117F-455F-BB9A-1BD40C1A0C9F}" name="AEA Ed Services District Cost - 40%" dataDxfId="88"/>
    <tableColumn id="19" xr3:uid="{DF47A1F0-D4BF-4940-A00F-B97C145CA762}" name="Total Budget" dataDxfId="87"/>
    <tableColumn id="20" xr3:uid="{FC3C11CD-D550-4596-8820-A66ADE1EDF74}" name="State Aid Portion" dataDxfId="86"/>
    <tableColumn id="21" xr3:uid="{99FFD5E3-611A-4B7F-B560-F1F07A60FE7C}" name="Property Tax Portion" dataDxfId="8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tail" displayName="Detail" ref="A2:AC327" totalsRowShown="0" headerRowDxfId="84" headerRowBorderDxfId="83">
  <tableColumns count="29">
    <tableColumn id="1" xr3:uid="{00000000-0010-0000-0000-000001000000}" name="AEA" dataDxfId="82"/>
    <tableColumn id="2" xr3:uid="{00000000-0010-0000-0000-000002000000}" name="AEA Name" dataDxfId="81"/>
    <tableColumn id="3" xr3:uid="{00000000-0010-0000-0000-000003000000}" name="Dist" dataDxfId="80"/>
    <tableColumn id="4" xr3:uid="{00000000-0010-0000-0000-000004000000}" name="District" dataDxfId="79"/>
    <tableColumn id="5" xr3:uid="{00000000-0010-0000-0000-000005000000}" name="Total Special Ed Weighting in Addition to 1.0" dataDxfId="78"/>
    <tableColumn id="6" xr3:uid="{00000000-0010-0000-0000-000006000000}" name="Budget Enrollment" dataDxfId="77"/>
    <tableColumn id="7" xr3:uid="{00000000-0010-0000-0000-000007000000}" name="AEA Weighted Enrollment" dataDxfId="76"/>
    <tableColumn id="8" xr3:uid="{00000000-0010-0000-0000-000008000000}" name="AEA Supplementary Weight for Sharing" dataDxfId="75"/>
    <tableColumn id="9" xr3:uid="{00000000-0010-0000-0000-000009000000}" name="Resident Accredited Nonpublic Students" dataDxfId="74"/>
    <tableColumn id="10" xr3:uid="{00000000-0010-0000-0000-00000A000000}" name="Shared-Time Nonpublic Pupils Counted in Line 1.1" dataDxfId="73"/>
    <tableColumn id="11" xr3:uid="{00000000-0010-0000-0000-00000B000000}" name="Total Enrollment Served - AEA Media and Ed Services" dataDxfId="72"/>
    <tableColumn id="12" xr3:uid="{00000000-0010-0000-0000-00000C000000}" name="AEA Special Ed Support Cost Per Pupil" dataDxfId="71"/>
    <tableColumn id="13" xr3:uid="{00000000-0010-0000-0000-00000D000000}" name="AEA Media Cost Per Pupil" dataDxfId="70"/>
    <tableColumn id="14" xr3:uid="{00000000-0010-0000-0000-00000E000000}" name="AEA Ed Services Cost Per Pupil" dataDxfId="69"/>
    <tableColumn id="15" xr3:uid="{00000000-0010-0000-0000-00000F000000}" name="AEA Teacher Salary Supplement District Cost Per Pupil" dataDxfId="68"/>
    <tableColumn id="16" xr3:uid="{00000000-0010-0000-0000-000010000000}" name="Professional Development Supplement District Cost Per Pupil" dataDxfId="67"/>
    <tableColumn id="17" xr3:uid="{00000000-0010-0000-0000-000011000000}" name="AEA Special Ed Support District Cost without Adjustment" dataDxfId="66"/>
    <tableColumn id="18" xr3:uid="{00000000-0010-0000-0000-000012000000}" name="AEA Special Ed Support Adjustment" dataDxfId="65"/>
    <tableColumn id="19" xr3:uid="{00000000-0010-0000-0000-000013000000}" name="Special Education Total Cost" dataDxfId="64"/>
    <tableColumn id="20" xr3:uid="{00000000-0010-0000-0000-000014000000}" name="Media Services 40%" dataDxfId="63"/>
    <tableColumn id="21" xr3:uid="{00000000-0010-0000-0000-000015000000}" name="Education Services 40%" dataDxfId="62"/>
    <tableColumn id="22" xr3:uid="{00000000-0010-0000-0000-000016000000}" name="AEA Sharing District Cost" dataDxfId="61"/>
    <tableColumn id="23" xr3:uid="{00000000-0010-0000-0000-000017000000}" name="AEA Teacher Salary Supplement District Cost" dataDxfId="60"/>
    <tableColumn id="24" xr3:uid="{00000000-0010-0000-0000-000018000000}" name="AEA Professional Development Supplement District Cost" dataDxfId="59"/>
    <tableColumn id="25" xr3:uid="{00000000-0010-0000-0000-000019000000}" name="Subtotal Budget" dataDxfId="58"/>
    <tableColumn id="26" xr3:uid="{00000000-0010-0000-0000-00001A000000}" name="AEA Statewide State Aid Reduction" dataDxfId="57"/>
    <tableColumn id="27" xr3:uid="{00000000-0010-0000-0000-00001B000000}" name="Total Budget" dataDxfId="56"/>
    <tableColumn id="28" xr3:uid="{00000000-0010-0000-0000-00001C000000}" name="State Aid Portion" dataDxfId="55"/>
    <tableColumn id="29" xr3:uid="{00000000-0010-0000-0000-00001D000000}" name="Property Tax Portion" dataDxfId="54"/>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1"/>
  <sheetViews>
    <sheetView tabSelected="1" topLeftCell="A2" workbookViewId="0">
      <selection activeCell="A2" sqref="A2"/>
    </sheetView>
  </sheetViews>
  <sheetFormatPr defaultRowHeight="15" x14ac:dyDescent="0.25"/>
  <cols>
    <col min="1" max="1" width="7" customWidth="1"/>
    <col min="2" max="2" width="22.42578125" bestFit="1" customWidth="1"/>
    <col min="3" max="3" width="11.85546875" bestFit="1" customWidth="1"/>
    <col min="4" max="4" width="14.140625" customWidth="1"/>
    <col min="5" max="5" width="13.85546875" customWidth="1"/>
    <col min="6" max="6" width="11.42578125" bestFit="1" customWidth="1"/>
    <col min="7" max="8" width="12.28515625" bestFit="1" customWidth="1"/>
    <col min="9" max="9" width="11.42578125" customWidth="1"/>
    <col min="10" max="10" width="10.7109375" customWidth="1"/>
    <col min="11" max="11" width="8.28515625" bestFit="1" customWidth="1"/>
    <col min="12" max="12" width="11.42578125" customWidth="1"/>
  </cols>
  <sheetData>
    <row r="1" spans="1:12" s="10" customFormat="1" ht="87" hidden="1" customHeight="1" x14ac:dyDescent="0.25">
      <c r="A1" s="13"/>
      <c r="B1" s="13"/>
      <c r="C1" s="13" t="str">
        <f>Detail[[#Headers],[Total Special Ed Weighting in Addition to 1.0]]</f>
        <v>Total Special Ed Weighting in Addition to 1.0</v>
      </c>
      <c r="D1" s="13" t="str">
        <f>Detail[[#Headers],[Budget Enrollment]]</f>
        <v>Budget Enrollment</v>
      </c>
      <c r="E1" s="13" t="str">
        <f>Detail[[#Headers],[AEA Weighted Enrollment]]</f>
        <v>AEA Weighted Enrollment</v>
      </c>
      <c r="F1" s="13" t="str">
        <f>Detail[[#Headers],[Resident Accredited Nonpublic Students]]</f>
        <v>Resident Accredited Nonpublic Students</v>
      </c>
      <c r="G1" s="13" t="str">
        <f>Detail[[#Headers],[Shared-Time Nonpublic Pupils Counted in Line 1.1]]</f>
        <v>Shared-Time Nonpublic Pupils Counted in Line 1.1</v>
      </c>
      <c r="H1" s="13" t="str">
        <f>Detail[[#Headers],[Total Enrollment Served - AEA Media and Ed Services]]</f>
        <v>Total Enrollment Served - AEA Media and Ed Services</v>
      </c>
      <c r="I1" s="13" t="str">
        <f>Detail[[#Headers],[AEA Special Ed Support Cost Per Pupil]]</f>
        <v>AEA Special Ed Support Cost Per Pupil</v>
      </c>
      <c r="J1" s="13" t="str">
        <f>Detail[[#Headers],[AEA Media Cost Per Pupil]]</f>
        <v>AEA Media Cost Per Pupil</v>
      </c>
      <c r="K1" s="13" t="str">
        <f>Detail[[#Headers],[AEA Ed Services Cost Per Pupil]]</f>
        <v>AEA Ed Services Cost Per Pupil</v>
      </c>
    </row>
    <row r="2" spans="1:12" s="10" customFormat="1" ht="31.5" customHeight="1" x14ac:dyDescent="0.25">
      <c r="A2" s="7" t="s">
        <v>361</v>
      </c>
      <c r="B2" s="7" t="s">
        <v>362</v>
      </c>
      <c r="C2" s="8" t="s">
        <v>366</v>
      </c>
      <c r="D2" s="8" t="s">
        <v>342</v>
      </c>
      <c r="E2" s="8" t="s">
        <v>367</v>
      </c>
      <c r="F2" s="8" t="s">
        <v>368</v>
      </c>
      <c r="G2" s="8" t="s">
        <v>369</v>
      </c>
      <c r="H2" s="8" t="s">
        <v>370</v>
      </c>
      <c r="I2" s="8" t="s">
        <v>371</v>
      </c>
      <c r="J2" s="8" t="s">
        <v>372</v>
      </c>
      <c r="K2" s="8" t="s">
        <v>373</v>
      </c>
    </row>
    <row r="3" spans="1:12" x14ac:dyDescent="0.25">
      <c r="A3" s="1" t="str">
        <f t="array" ref="A3">IFERROR(INDEX(Detail[AEA], MATCH(0,COUNTIF(Summary!$A$2:'Summary'!A2, Detail[AEA]), 0)),"")</f>
        <v>01</v>
      </c>
      <c r="B3" t="str">
        <f>INDEX(Detail[],MATCH(Summary!$A3,Detail[AEA],0),2)</f>
        <v>Keystone AEA 1</v>
      </c>
      <c r="C3" s="2">
        <f>SUMIFS(INDEX(Detail[],0,MATCH(C$1,Detail[#Headers],0)),Detail[AEA],$A3)</f>
        <v>4438.619999999999</v>
      </c>
      <c r="D3" s="3">
        <f>SUMIFS(INDEX(Detail[],0,MATCH(D$1,Detail[#Headers],0)),Detail[AEA],$A3)</f>
        <v>27757.8</v>
      </c>
      <c r="E3" s="2">
        <f>SUMIFS(INDEX(Detail[],0,MATCH(E$1,Detail[#Headers],0)),Detail[AEA],$A3)</f>
        <v>32196.420000000002</v>
      </c>
      <c r="F3" s="4">
        <f>SUMIFS(INDEX(Detail[],0,MATCH(F$1,Detail[#Headers],0)),Detail[AEA],$A3)</f>
        <v>3820</v>
      </c>
      <c r="G3" s="3">
        <f>SUMIFS(INDEX(Detail[],0,MATCH(G$1,Detail[#Headers],0)),Detail[AEA],$A3)</f>
        <v>20.5</v>
      </c>
      <c r="H3" s="4">
        <f>SUMIFS(INDEX(Detail[],0,MATCH(H$1,Detail[#Headers],0)),Detail[AEA],$A3)</f>
        <v>31557</v>
      </c>
      <c r="I3" s="2">
        <f>INDEX(Detail[],MATCH($A3,Detail[AEA],0),MATCH(I$1,Detail[#Headers],0))</f>
        <v>356.48</v>
      </c>
      <c r="J3" s="2">
        <f>INDEX(Detail[],MATCH($A3,Detail[AEA],0),MATCH(J$1,Detail[#Headers],0))</f>
        <v>63.99</v>
      </c>
      <c r="K3" s="2">
        <f>INDEX(Detail[],MATCH($A3,Detail[AEA],0),MATCH(K$1,Detail[#Headers],0))</f>
        <v>71.28</v>
      </c>
    </row>
    <row r="4" spans="1:12" x14ac:dyDescent="0.25">
      <c r="A4" s="1" t="str">
        <f t="array" ref="A4">IFERROR(INDEX(Detail[AEA], MATCH(0,COUNTIF(Summary!$A$2:'Summary'!A3, Detail[AEA]), 0)),"")</f>
        <v>05</v>
      </c>
      <c r="B4" t="str">
        <f>INDEX(Detail[],MATCH(Summary!$A4,Detail[AEA],0),2)</f>
        <v>Prairie Lakes AEA 8</v>
      </c>
      <c r="C4" s="2">
        <f>SUMIFS(INDEX(Detail[],0,MATCH(C$1,Detail[#Headers],0)),Detail[AEA],$A4)</f>
        <v>3841.7999999999997</v>
      </c>
      <c r="D4" s="3">
        <f>SUMIFS(INDEX(Detail[],0,MATCH(D$1,Detail[#Headers],0)),Detail[AEA],$A4)</f>
        <v>29814.9</v>
      </c>
      <c r="E4" s="2">
        <f>SUMIFS(INDEX(Detail[],0,MATCH(E$1,Detail[#Headers],0)),Detail[AEA],$A4)</f>
        <v>33656.699999999997</v>
      </c>
      <c r="F4" s="4">
        <f>SUMIFS(INDEX(Detail[],0,MATCH(F$1,Detail[#Headers],0)),Detail[AEA],$A4)</f>
        <v>2076</v>
      </c>
      <c r="G4" s="3">
        <f>SUMIFS(INDEX(Detail[],0,MATCH(G$1,Detail[#Headers],0)),Detail[AEA],$A4)</f>
        <v>24.400000000000002</v>
      </c>
      <c r="H4" s="4">
        <f>SUMIFS(INDEX(Detail[],0,MATCH(H$1,Detail[#Headers],0)),Detail[AEA],$A4)</f>
        <v>31869</v>
      </c>
      <c r="I4" s="2">
        <f>INDEX(Detail[],MATCH($A4,Detail[AEA],0),MATCH(I$1,Detail[#Headers],0))</f>
        <v>352.23</v>
      </c>
      <c r="J4" s="2">
        <f>INDEX(Detail[],MATCH($A4,Detail[AEA],0),MATCH(J$1,Detail[#Headers],0))</f>
        <v>64.069999999999993</v>
      </c>
      <c r="K4" s="2">
        <f>INDEX(Detail[],MATCH($A4,Detail[AEA],0),MATCH(K$1,Detail[#Headers],0))</f>
        <v>71.75</v>
      </c>
    </row>
    <row r="5" spans="1:12" x14ac:dyDescent="0.25">
      <c r="A5" s="35" t="str">
        <f t="array" ref="A5">IFERROR(INDEX(Detail[AEA], MATCH(0,COUNTIF(Summary!$A$2:'Summary'!A4, Detail[AEA]), 0)),"")</f>
        <v>07</v>
      </c>
      <c r="B5" t="str">
        <f>INDEX(Detail[],MATCH(Summary!$A5,Detail[AEA],0),2)</f>
        <v>Central Rivers</v>
      </c>
      <c r="C5" s="2">
        <f>SUMIFS(INDEX(Detail[],0,MATCH(C$1,Detail[#Headers],0)),Detail[AEA],$A5)</f>
        <v>9442.6499999999978</v>
      </c>
      <c r="D5" s="3">
        <f>SUMIFS(INDEX(Detail[],0,MATCH(D$1,Detail[#Headers],0)),Detail[AEA],$A5)</f>
        <v>60817.1</v>
      </c>
      <c r="E5" s="2">
        <f>SUMIFS(INDEX(Detail[],0,MATCH(E$1,Detail[#Headers],0)),Detail[AEA],$A5)</f>
        <v>70259.750000000015</v>
      </c>
      <c r="F5" s="4">
        <f>SUMIFS(INDEX(Detail[],0,MATCH(F$1,Detail[#Headers],0)),Detail[AEA],$A5)</f>
        <v>3508</v>
      </c>
      <c r="G5" s="3">
        <f>SUMIFS(INDEX(Detail[],0,MATCH(G$1,Detail[#Headers],0)),Detail[AEA],$A5)</f>
        <v>52.4</v>
      </c>
      <c r="H5" s="4">
        <f>SUMIFS(INDEX(Detail[],0,MATCH(H$1,Detail[#Headers],0)),Detail[AEA],$A5)</f>
        <v>64274</v>
      </c>
      <c r="I5" s="2">
        <f>INDEX(Detail[],MATCH($A5,Detail[AEA],0),MATCH(I$1,Detail[#Headers],0))</f>
        <v>345.6</v>
      </c>
      <c r="J5" s="2">
        <f>INDEX(Detail[],MATCH($A5,Detail[AEA],0),MATCH(J$1,Detail[#Headers],0))</f>
        <v>64.02</v>
      </c>
      <c r="K5" s="2">
        <f>INDEX(Detail[],MATCH($A5,Detail[AEA],0),MATCH(K$1,Detail[#Headers],0))</f>
        <v>71.37</v>
      </c>
    </row>
    <row r="6" spans="1:12" x14ac:dyDescent="0.25">
      <c r="A6" s="1" t="str">
        <f t="array" ref="A6">IFERROR(INDEX(Detail[AEA], MATCH(0,COUNTIF(Summary!$A$2:'Summary'!A5, Detail[AEA]), 0)),"")</f>
        <v>09</v>
      </c>
      <c r="B6" t="str">
        <f>INDEX(Detail[],MATCH(Summary!$A6,Detail[AEA],0),2)</f>
        <v>Mississippi Bend AEA 9</v>
      </c>
      <c r="C6" s="2">
        <f>SUMIFS(INDEX(Detail[],0,MATCH(C$1,Detail[#Headers],0)),Detail[AEA],$A6)</f>
        <v>6529.02</v>
      </c>
      <c r="D6" s="3">
        <f>SUMIFS(INDEX(Detail[],0,MATCH(D$1,Detail[#Headers],0)),Detail[AEA],$A6)</f>
        <v>44440.4</v>
      </c>
      <c r="E6" s="2">
        <f>SUMIFS(INDEX(Detail[],0,MATCH(E$1,Detail[#Headers],0)),Detail[AEA],$A6)</f>
        <v>50969.420000000006</v>
      </c>
      <c r="F6" s="4">
        <f>SUMIFS(INDEX(Detail[],0,MATCH(F$1,Detail[#Headers],0)),Detail[AEA],$A6)</f>
        <v>3409</v>
      </c>
      <c r="G6" s="3">
        <f>SUMIFS(INDEX(Detail[],0,MATCH(G$1,Detail[#Headers],0)),Detail[AEA],$A6)</f>
        <v>7.6000000000000005</v>
      </c>
      <c r="H6" s="4">
        <f>SUMIFS(INDEX(Detail[],0,MATCH(H$1,Detail[#Headers],0)),Detail[AEA],$A6)</f>
        <v>47841</v>
      </c>
      <c r="I6" s="2">
        <f>INDEX(Detail[],MATCH($A6,Detail[AEA],0),MATCH(I$1,Detail[#Headers],0))</f>
        <v>343.24</v>
      </c>
      <c r="J6" s="2">
        <f>INDEX(Detail[],MATCH($A6,Detail[AEA],0),MATCH(J$1,Detail[#Headers],0))</f>
        <v>63.53</v>
      </c>
      <c r="K6" s="2">
        <f>INDEX(Detail[],MATCH($A6,Detail[AEA],0),MATCH(K$1,Detail[#Headers],0))</f>
        <v>69.45</v>
      </c>
    </row>
    <row r="7" spans="1:12" x14ac:dyDescent="0.25">
      <c r="A7" s="1" t="str">
        <f t="array" ref="A7">IFERROR(INDEX(Detail[AEA], MATCH(0,COUNTIF(Summary!$A$2:'Summary'!A6, Detail[AEA]), 0)),"")</f>
        <v>10</v>
      </c>
      <c r="B7" t="str">
        <f>INDEX(Detail[],MATCH(Summary!$A7,Detail[AEA],0),2)</f>
        <v>Grant Wood AEA 10</v>
      </c>
      <c r="C7" s="2">
        <f>SUMIFS(INDEX(Detail[],0,MATCH(C$1,Detail[#Headers],0)),Detail[AEA],$A7)</f>
        <v>8401.0999999999985</v>
      </c>
      <c r="D7" s="3">
        <f>SUMIFS(INDEX(Detail[],0,MATCH(D$1,Detail[#Headers],0)),Detail[AEA],$A7)</f>
        <v>69189.5</v>
      </c>
      <c r="E7" s="2">
        <f>SUMIFS(INDEX(Detail[],0,MATCH(E$1,Detail[#Headers],0)),Detail[AEA],$A7)</f>
        <v>77590.600000000006</v>
      </c>
      <c r="F7" s="4">
        <f>SUMIFS(INDEX(Detail[],0,MATCH(F$1,Detail[#Headers],0)),Detail[AEA],$A7)</f>
        <v>4830</v>
      </c>
      <c r="G7" s="3">
        <f>SUMIFS(INDEX(Detail[],0,MATCH(G$1,Detail[#Headers],0)),Detail[AEA],$A7)</f>
        <v>20.9</v>
      </c>
      <c r="H7" s="4">
        <f>SUMIFS(INDEX(Detail[],0,MATCH(H$1,Detail[#Headers],0)),Detail[AEA],$A7)</f>
        <v>74001</v>
      </c>
      <c r="I7" s="2">
        <f>INDEX(Detail[],MATCH($A7,Detail[AEA],0),MATCH(I$1,Detail[#Headers],0))</f>
        <v>341.32</v>
      </c>
      <c r="J7" s="2">
        <f>INDEX(Detail[],MATCH($A7,Detail[AEA],0),MATCH(J$1,Detail[#Headers],0))</f>
        <v>63.71</v>
      </c>
      <c r="K7" s="2">
        <f>INDEX(Detail[],MATCH($A7,Detail[AEA],0),MATCH(K$1,Detail[#Headers],0))</f>
        <v>70.05</v>
      </c>
    </row>
    <row r="8" spans="1:12" x14ac:dyDescent="0.25">
      <c r="A8" s="1" t="str">
        <f t="array" ref="A8">IFERROR(INDEX(Detail[AEA], MATCH(0,COUNTIF(Summary!$A$2:'Summary'!A7, Detail[AEA]), 0)),"")</f>
        <v>11</v>
      </c>
      <c r="B8" t="str">
        <f>INDEX(Detail[],MATCH(Summary!$A8,Detail[AEA],0),2)</f>
        <v>Heartland AEA 11</v>
      </c>
      <c r="C8" s="2">
        <f>SUMIFS(INDEX(Detail[],0,MATCH(C$1,Detail[#Headers],0)),Detail[AEA],$A8)</f>
        <v>19285.990000000002</v>
      </c>
      <c r="D8" s="3">
        <f>SUMIFS(INDEX(Detail[],0,MATCH(D$1,Detail[#Headers],0)),Detail[AEA],$A8)</f>
        <v>142253.09999999998</v>
      </c>
      <c r="E8" s="2">
        <f>SUMIFS(INDEX(Detail[],0,MATCH(E$1,Detail[#Headers],0)),Detail[AEA],$A8)</f>
        <v>161539.08999999997</v>
      </c>
      <c r="F8" s="4">
        <f>SUMIFS(INDEX(Detail[],0,MATCH(F$1,Detail[#Headers],0)),Detail[AEA],$A8)</f>
        <v>10534</v>
      </c>
      <c r="G8" s="3">
        <f>SUMIFS(INDEX(Detail[],0,MATCH(G$1,Detail[#Headers],0)),Detail[AEA],$A8)</f>
        <v>93.59999999999998</v>
      </c>
      <c r="H8" s="4">
        <f>SUMIFS(INDEX(Detail[],0,MATCH(H$1,Detail[#Headers],0)),Detail[AEA],$A8)</f>
        <v>152700</v>
      </c>
      <c r="I8" s="2">
        <f>INDEX(Detail[],MATCH($A8,Detail[AEA],0),MATCH(I$1,Detail[#Headers],0))</f>
        <v>334.22</v>
      </c>
      <c r="J8" s="2">
        <f>INDEX(Detail[],MATCH($A8,Detail[AEA],0),MATCH(J$1,Detail[#Headers],0))</f>
        <v>63.59</v>
      </c>
      <c r="K8" s="2">
        <f>INDEX(Detail[],MATCH($A8,Detail[AEA],0),MATCH(K$1,Detail[#Headers],0))</f>
        <v>69.87</v>
      </c>
    </row>
    <row r="9" spans="1:12" x14ac:dyDescent="0.25">
      <c r="A9" s="1" t="str">
        <f t="array" ref="A9">IFERROR(INDEX(Detail[AEA], MATCH(0,COUNTIF(Summary!$A$2:'Summary'!A8, Detail[AEA]), 0)),"")</f>
        <v>12</v>
      </c>
      <c r="B9" t="str">
        <f>INDEX(Detail[],MATCH(Summary!$A9,Detail[AEA],0),2)</f>
        <v>Northwest AEA</v>
      </c>
      <c r="C9" s="2">
        <f>SUMIFS(INDEX(Detail[],0,MATCH(C$1,Detail[#Headers],0)),Detail[AEA],$A9)</f>
        <v>5795.66</v>
      </c>
      <c r="D9" s="3">
        <f>SUMIFS(INDEX(Detail[],0,MATCH(D$1,Detail[#Headers],0)),Detail[AEA],$A9)</f>
        <v>39403.5</v>
      </c>
      <c r="E9" s="2">
        <f>SUMIFS(INDEX(Detail[],0,MATCH(E$1,Detail[#Headers],0)),Detail[AEA],$A9)</f>
        <v>45199.159999999989</v>
      </c>
      <c r="F9" s="4">
        <f>SUMIFS(INDEX(Detail[],0,MATCH(F$1,Detail[#Headers],0)),Detail[AEA],$A9)</f>
        <v>5566</v>
      </c>
      <c r="G9" s="3">
        <f>SUMIFS(INDEX(Detail[],0,MATCH(G$1,Detail[#Headers],0)),Detail[AEA],$A9)</f>
        <v>36.700000000000003</v>
      </c>
      <c r="H9" s="4">
        <f>SUMIFS(INDEX(Detail[],0,MATCH(H$1,Detail[#Headers],0)),Detail[AEA],$A9)</f>
        <v>44932</v>
      </c>
      <c r="I9" s="2">
        <f>INDEX(Detail[],MATCH($A9,Detail[AEA],0),MATCH(I$1,Detail[#Headers],0))</f>
        <v>348.86</v>
      </c>
      <c r="J9" s="2">
        <f>INDEX(Detail[],MATCH($A9,Detail[AEA],0),MATCH(J$1,Detail[#Headers],0))</f>
        <v>64</v>
      </c>
      <c r="K9" s="2">
        <f>INDEX(Detail[],MATCH($A9,Detail[AEA],0),MATCH(K$1,Detail[#Headers],0))</f>
        <v>71.650000000000006</v>
      </c>
    </row>
    <row r="10" spans="1:12" x14ac:dyDescent="0.25">
      <c r="A10" s="1" t="str">
        <f t="array" ref="A10">IFERROR(INDEX(Detail[AEA], MATCH(0,COUNTIF(Summary!$A$2:'Summary'!A9, Detail[AEA]), 0)),"")</f>
        <v>13</v>
      </c>
      <c r="B10" t="str">
        <f>INDEX(Detail[],MATCH(Summary!$A10,Detail[AEA],0),2)</f>
        <v>Green Hills AEA 13</v>
      </c>
      <c r="C10" s="2">
        <f>SUMIFS(INDEX(Detail[],0,MATCH(C$1,Detail[#Headers],0)),Detail[AEA],$A10)</f>
        <v>6032.8599999999988</v>
      </c>
      <c r="D10" s="3">
        <f>SUMIFS(INDEX(Detail[],0,MATCH(D$1,Detail[#Headers],0)),Detail[AEA],$A10)</f>
        <v>36581.100000000013</v>
      </c>
      <c r="E10" s="2">
        <f>SUMIFS(INDEX(Detail[],0,MATCH(E$1,Detail[#Headers],0)),Detail[AEA],$A10)</f>
        <v>42613.959999999992</v>
      </c>
      <c r="F10" s="4">
        <f>SUMIFS(INDEX(Detail[],0,MATCH(F$1,Detail[#Headers],0)),Detail[AEA],$A10)</f>
        <v>1124</v>
      </c>
      <c r="G10" s="3">
        <f>SUMIFS(INDEX(Detail[],0,MATCH(G$1,Detail[#Headers],0)),Detail[AEA],$A10)</f>
        <v>4.0999999999999996</v>
      </c>
      <c r="H10" s="4">
        <f>SUMIFS(INDEX(Detail[],0,MATCH(H$1,Detail[#Headers],0)),Detail[AEA],$A10)</f>
        <v>37701</v>
      </c>
      <c r="I10" s="2">
        <f>INDEX(Detail[],MATCH($A10,Detail[AEA],0),MATCH(I$1,Detail[#Headers],0))</f>
        <v>342.28</v>
      </c>
      <c r="J10" s="2">
        <f>INDEX(Detail[],MATCH($A10,Detail[AEA],0),MATCH(J$1,Detail[#Headers],0))</f>
        <v>63.72</v>
      </c>
      <c r="K10" s="2">
        <f>INDEX(Detail[],MATCH($A10,Detail[AEA],0),MATCH(K$1,Detail[#Headers],0))</f>
        <v>70.45</v>
      </c>
    </row>
    <row r="11" spans="1:12" x14ac:dyDescent="0.25">
      <c r="A11" s="1" t="str">
        <f t="array" ref="A11">IFERROR(INDEX(Detail[AEA], MATCH(0,COUNTIF(Summary!$A$2:'Summary'!A10, Detail[AEA]), 0)),"")</f>
        <v>15</v>
      </c>
      <c r="B11" t="str">
        <f>INDEX(Detail[],MATCH(Summary!$A11,Detail[AEA],0),2)</f>
        <v>Great Prairie AEA 15</v>
      </c>
      <c r="C11" s="2">
        <f>SUMIFS(INDEX(Detail[],0,MATCH(C$1,Detail[#Headers],0)),Detail[AEA],$A11)</f>
        <v>4716.93</v>
      </c>
      <c r="D11" s="3">
        <f>SUMIFS(INDEX(Detail[],0,MATCH(D$1,Detail[#Headers],0)),Detail[AEA],$A11)</f>
        <v>33441.299999999996</v>
      </c>
      <c r="E11" s="2">
        <f>SUMIFS(INDEX(Detail[],0,MATCH(E$1,Detail[#Headers],0)),Detail[AEA],$A11)</f>
        <v>38158.230000000003</v>
      </c>
      <c r="F11" s="4">
        <f>SUMIFS(INDEX(Detail[],0,MATCH(F$1,Detail[#Headers],0)),Detail[AEA],$A11)</f>
        <v>1328</v>
      </c>
      <c r="G11" s="3">
        <f>SUMIFS(INDEX(Detail[],0,MATCH(G$1,Detail[#Headers],0)),Detail[AEA],$A11)</f>
        <v>9.6</v>
      </c>
      <c r="H11" s="4">
        <f>SUMIFS(INDEX(Detail[],0,MATCH(H$1,Detail[#Headers],0)),Detail[AEA],$A11)</f>
        <v>34763</v>
      </c>
      <c r="I11" s="2">
        <f>INDEX(Detail[],MATCH($A11,Detail[AEA],0),MATCH(I$1,Detail[#Headers],0))</f>
        <v>339.64</v>
      </c>
      <c r="J11" s="2">
        <f>INDEX(Detail[],MATCH($A11,Detail[AEA],0),MATCH(J$1,Detail[#Headers],0))</f>
        <v>63.69</v>
      </c>
      <c r="K11" s="2">
        <f>INDEX(Detail[],MATCH($A11,Detail[AEA],0),MATCH(K$1,Detail[#Headers],0))</f>
        <v>70.02</v>
      </c>
    </row>
    <row r="12" spans="1:12" ht="15.75" thickBot="1" x14ac:dyDescent="0.3">
      <c r="C12" s="9">
        <f t="shared" ref="C12:H12" si="0">SUM(C3:C11)</f>
        <v>68484.63</v>
      </c>
      <c r="D12" s="19">
        <f t="shared" si="0"/>
        <v>483698.69999999995</v>
      </c>
      <c r="E12" s="9">
        <f t="shared" si="0"/>
        <v>552183.32999999996</v>
      </c>
      <c r="F12" s="12">
        <f t="shared" si="0"/>
        <v>36195</v>
      </c>
      <c r="G12" s="19">
        <f t="shared" si="0"/>
        <v>269.8</v>
      </c>
      <c r="H12" s="12">
        <f t="shared" si="0"/>
        <v>519638</v>
      </c>
    </row>
    <row r="13" spans="1:12" ht="7.5" customHeight="1" thickTop="1" x14ac:dyDescent="0.25"/>
    <row r="14" spans="1:12" ht="93" hidden="1" customHeight="1" x14ac:dyDescent="0.25">
      <c r="A14" s="14"/>
      <c r="B14" s="14"/>
      <c r="C14" s="13" t="str">
        <f>Detail[[#Headers],[AEA Teacher Salary Supplement District Cost Per Pupil]]</f>
        <v>AEA Teacher Salary Supplement District Cost Per Pupil</v>
      </c>
      <c r="D14" s="13" t="str">
        <f>Detail[[#Headers],[Professional Development Supplement District Cost Per Pupil]]</f>
        <v>Professional Development Supplement District Cost Per Pupil</v>
      </c>
      <c r="E14" s="13" t="str">
        <f>Detail[[#Headers],[AEA Special Ed Support District Cost without Adjustment]]</f>
        <v>AEA Special Ed Support District Cost without Adjustment</v>
      </c>
      <c r="F14" s="13" t="str">
        <f>Detail[[#Headers],[AEA Special Ed Support Adjustment]]</f>
        <v>AEA Special Ed Support Adjustment</v>
      </c>
      <c r="G14" s="13" t="str">
        <f>Detail[[#Headers],[Special Education Total Cost]]</f>
        <v>Special Education Total Cost</v>
      </c>
      <c r="H14" s="13" t="str">
        <f>Detail[[#Headers],[Media Services 40%]]</f>
        <v>Media Services 40%</v>
      </c>
      <c r="I14" s="13" t="str">
        <f>Detail[[#Headers],[Education Services 40%]]</f>
        <v>Education Services 40%</v>
      </c>
      <c r="J14" s="13" t="str">
        <f>Detail[[#Headers],[AEA Sharing District Cost]]</f>
        <v>AEA Sharing District Cost</v>
      </c>
      <c r="K14" s="14"/>
    </row>
    <row r="15" spans="1:12" ht="31.5" customHeight="1" x14ac:dyDescent="0.25">
      <c r="A15" s="6" t="str">
        <f>A2</f>
        <v>AEA</v>
      </c>
      <c r="B15" s="6" t="str">
        <f>B2</f>
        <v>AEA Name</v>
      </c>
      <c r="C15" s="8" t="s">
        <v>374</v>
      </c>
      <c r="D15" s="8" t="s">
        <v>375</v>
      </c>
      <c r="E15" s="8" t="s">
        <v>376</v>
      </c>
      <c r="F15" s="8" t="s">
        <v>377</v>
      </c>
      <c r="G15" s="8" t="s">
        <v>378</v>
      </c>
      <c r="H15" s="8" t="s">
        <v>379</v>
      </c>
      <c r="I15" s="8" t="s">
        <v>380</v>
      </c>
      <c r="J15" s="11"/>
    </row>
    <row r="16" spans="1:12" x14ac:dyDescent="0.25">
      <c r="A16" t="str">
        <f t="shared" ref="A16:B16" si="1">A3</f>
        <v>01</v>
      </c>
      <c r="B16" t="str">
        <f t="shared" si="1"/>
        <v>Keystone AEA 1</v>
      </c>
      <c r="C16" s="2">
        <f>INDEX(Detail[],MATCH($A16,Detail[AEA],0),MATCH(C$14,Detail[#Headers],0))</f>
        <v>35.33</v>
      </c>
      <c r="D16" s="4">
        <f>SUMIFS(INDEX(Detail[],0,MATCH(E$14,Detail[#Headers],0)),Detail[AEA],$A16)</f>
        <v>11477381</v>
      </c>
      <c r="E16" s="4">
        <f>SUMIFS(INDEX(Detail[],0,MATCH(F$14,Detail[#Headers],0)),Detail[AEA],$A16)</f>
        <v>14190</v>
      </c>
      <c r="F16" s="4">
        <f>SUMIFS(INDEX(Detail[],0,MATCH(G$14,Detail[#Headers],0)),Detail[AEA],$A16)</f>
        <v>11491571</v>
      </c>
      <c r="G16" s="4">
        <f>SUMIFS(INDEX(Detail[],0,MATCH(H$14,Detail[#Headers],0)),Detail[AEA],$A16)</f>
        <v>807734</v>
      </c>
      <c r="H16" s="4">
        <f>SUMIFS(INDEX(Detail[],0,MATCH(I$14,Detail[#Headers],0)),Detail[AEA],$A16)</f>
        <v>899752</v>
      </c>
      <c r="I16" s="4">
        <f>SUMIFS(INDEX(Detail[],0,MATCH(J$14,Detail[#Headers],0)),Detail[AEA],$A16)</f>
        <v>30001</v>
      </c>
      <c r="K16" s="4"/>
      <c r="L16" s="4"/>
    </row>
    <row r="17" spans="1:15" x14ac:dyDescent="0.25">
      <c r="A17" t="str">
        <f t="shared" ref="A17:B17" si="2">A4</f>
        <v>05</v>
      </c>
      <c r="B17" t="str">
        <f t="shared" si="2"/>
        <v>Prairie Lakes AEA 8</v>
      </c>
      <c r="C17" s="2">
        <f>INDEX(Detail[],MATCH($A17,Detail[AEA],0),MATCH(C$14,Detail[#Headers],0))</f>
        <v>37.29</v>
      </c>
      <c r="D17" s="4">
        <f>SUMIFS(INDEX(Detail[],0,MATCH(E$14,Detail[#Headers],0)),Detail[AEA],$A17)</f>
        <v>11854900</v>
      </c>
      <c r="E17" s="4">
        <f>SUMIFS(INDEX(Detail[],0,MATCH(F$14,Detail[#Headers],0)),Detail[AEA],$A17)</f>
        <v>138167</v>
      </c>
      <c r="F17" s="4">
        <f>SUMIFS(INDEX(Detail[],0,MATCH(G$14,Detail[#Headers],0)),Detail[AEA],$A17)</f>
        <v>11993067</v>
      </c>
      <c r="G17" s="4">
        <f>SUMIFS(INDEX(Detail[],0,MATCH(H$14,Detail[#Headers],0)),Detail[AEA],$A17)</f>
        <v>816737</v>
      </c>
      <c r="H17" s="4">
        <f>SUMIFS(INDEX(Detail[],0,MATCH(I$14,Detail[#Headers],0)),Detail[AEA],$A17)</f>
        <v>914643</v>
      </c>
      <c r="I17" s="4">
        <f>SUMIFS(INDEX(Detail[],0,MATCH(J$14,Detail[#Headers],0)),Detail[AEA],$A17)</f>
        <v>0</v>
      </c>
      <c r="K17" s="4"/>
      <c r="L17" s="4"/>
    </row>
    <row r="18" spans="1:15" x14ac:dyDescent="0.25">
      <c r="A18" t="str">
        <f t="shared" ref="A18:B18" si="3">A5</f>
        <v>07</v>
      </c>
      <c r="B18" t="str">
        <f t="shared" si="3"/>
        <v>Central Rivers</v>
      </c>
      <c r="C18" s="2">
        <f>INDEX(Detail[],MATCH($A18,Detail[AEA],0),MATCH(C$14,Detail[#Headers],0))</f>
        <v>42.56</v>
      </c>
      <c r="D18" s="4">
        <f>SUMIFS(INDEX(Detail[],0,MATCH(E$14,Detail[#Headers],0)),Detail[AEA],$A18)</f>
        <v>24281771</v>
      </c>
      <c r="E18" s="4">
        <f>SUMIFS(INDEX(Detail[],0,MATCH(F$14,Detail[#Headers],0)),Detail[AEA],$A18)</f>
        <v>120080</v>
      </c>
      <c r="F18" s="4">
        <f>SUMIFS(INDEX(Detail[],0,MATCH(G$14,Detail[#Headers],0)),Detail[AEA],$A18)</f>
        <v>24401851</v>
      </c>
      <c r="G18" s="4">
        <f>SUMIFS(INDEX(Detail[],0,MATCH(H$14,Detail[#Headers],0)),Detail[AEA],$A18)</f>
        <v>1645929</v>
      </c>
      <c r="H18" s="4">
        <f>SUMIFS(INDEX(Detail[],0,MATCH(I$14,Detail[#Headers],0)),Detail[AEA],$A18)</f>
        <v>1834892</v>
      </c>
      <c r="I18" s="4">
        <f>SUMIFS(INDEX(Detail[],0,MATCH(J$14,Detail[#Headers],0)),Detail[AEA],$A18)</f>
        <v>30000</v>
      </c>
      <c r="K18" s="4"/>
      <c r="L18" s="4"/>
    </row>
    <row r="19" spans="1:15" x14ac:dyDescent="0.25">
      <c r="A19" t="str">
        <f t="shared" ref="A19:B19" si="4">A6</f>
        <v>09</v>
      </c>
      <c r="B19" t="str">
        <f t="shared" si="4"/>
        <v>Mississippi Bend AEA 9</v>
      </c>
      <c r="C19" s="2">
        <f>INDEX(Detail[],MATCH($A19,Detail[AEA],0),MATCH(C$14,Detail[#Headers],0))</f>
        <v>31.63</v>
      </c>
      <c r="D19" s="4">
        <f>SUMIFS(INDEX(Detail[],0,MATCH(E$14,Detail[#Headers],0)),Detail[AEA],$A19)</f>
        <v>17494746</v>
      </c>
      <c r="E19" s="4">
        <f>SUMIFS(INDEX(Detail[],0,MATCH(F$14,Detail[#Headers],0)),Detail[AEA],$A19)</f>
        <v>105832</v>
      </c>
      <c r="F19" s="4">
        <f>SUMIFS(INDEX(Detail[],0,MATCH(G$14,Detail[#Headers],0)),Detail[AEA],$A19)</f>
        <v>17600578</v>
      </c>
      <c r="G19" s="4">
        <f>SUMIFS(INDEX(Detail[],0,MATCH(H$14,Detail[#Headers],0)),Detail[AEA],$A19)</f>
        <v>1215736</v>
      </c>
      <c r="H19" s="4">
        <f>SUMIFS(INDEX(Detail[],0,MATCH(I$14,Detail[#Headers],0)),Detail[AEA],$A19)</f>
        <v>1329022</v>
      </c>
      <c r="I19" s="4">
        <f>SUMIFS(INDEX(Detail[],0,MATCH(J$14,Detail[#Headers],0)),Detail[AEA],$A19)</f>
        <v>30001</v>
      </c>
      <c r="K19" s="4"/>
      <c r="L19" s="4"/>
    </row>
    <row r="20" spans="1:15" x14ac:dyDescent="0.25">
      <c r="A20" t="str">
        <f t="shared" ref="A20:B20" si="5">A7</f>
        <v>10</v>
      </c>
      <c r="B20" t="str">
        <f t="shared" si="5"/>
        <v>Grant Wood AEA 10</v>
      </c>
      <c r="C20" s="2">
        <f>INDEX(Detail[],MATCH($A20,Detail[AEA],0),MATCH(C$14,Detail[#Headers],0))</f>
        <v>32.380000000000003</v>
      </c>
      <c r="D20" s="4">
        <f>SUMIFS(INDEX(Detail[],0,MATCH(E$14,Detail[#Headers],0)),Detail[AEA],$A20)</f>
        <v>26483224</v>
      </c>
      <c r="E20" s="4">
        <f>SUMIFS(INDEX(Detail[],0,MATCH(F$14,Detail[#Headers],0)),Detail[AEA],$A20)</f>
        <v>106540</v>
      </c>
      <c r="F20" s="4">
        <f>SUMIFS(INDEX(Detail[],0,MATCH(G$14,Detail[#Headers],0)),Detail[AEA],$A20)</f>
        <v>26589764</v>
      </c>
      <c r="G20" s="4">
        <f>SUMIFS(INDEX(Detail[],0,MATCH(H$14,Detail[#Headers],0)),Detail[AEA],$A20)</f>
        <v>1885841</v>
      </c>
      <c r="H20" s="4">
        <f>SUMIFS(INDEX(Detail[],0,MATCH(I$14,Detail[#Headers],0)),Detail[AEA],$A20)</f>
        <v>2073506</v>
      </c>
      <c r="I20" s="4">
        <f>SUMIFS(INDEX(Detail[],0,MATCH(J$14,Detail[#Headers],0)),Detail[AEA],$A20)</f>
        <v>30000</v>
      </c>
      <c r="K20" s="4"/>
      <c r="L20" s="4"/>
    </row>
    <row r="21" spans="1:15" x14ac:dyDescent="0.25">
      <c r="A21" t="str">
        <f t="shared" ref="A21:B21" si="6">A8</f>
        <v>11</v>
      </c>
      <c r="B21" t="str">
        <f t="shared" si="6"/>
        <v>Heartland AEA 11</v>
      </c>
      <c r="C21" s="2">
        <f>INDEX(Detail[],MATCH($A21,Detail[AEA],0),MATCH(C$14,Detail[#Headers],0))</f>
        <v>28.61</v>
      </c>
      <c r="D21" s="4">
        <f>SUMIFS(INDEX(Detail[],0,MATCH(E$14,Detail[#Headers],0)),Detail[AEA],$A21)</f>
        <v>53989595</v>
      </c>
      <c r="E21" s="4">
        <f>SUMIFS(INDEX(Detail[],0,MATCH(F$14,Detail[#Headers],0)),Detail[AEA],$A21)</f>
        <v>46909</v>
      </c>
      <c r="F21" s="4">
        <f>SUMIFS(INDEX(Detail[],0,MATCH(G$14,Detail[#Headers],0)),Detail[AEA],$A21)</f>
        <v>54036504</v>
      </c>
      <c r="G21" s="4">
        <f>SUMIFS(INDEX(Detail[],0,MATCH(H$14,Detail[#Headers],0)),Detail[AEA],$A21)</f>
        <v>3884077</v>
      </c>
      <c r="H21" s="4">
        <f>SUMIFS(INDEX(Detail[],0,MATCH(I$14,Detail[#Headers],0)),Detail[AEA],$A21)</f>
        <v>4267657</v>
      </c>
      <c r="I21" s="4">
        <f>SUMIFS(INDEX(Detail[],0,MATCH(J$14,Detail[#Headers],0)),Detail[AEA],$A21)</f>
        <v>0</v>
      </c>
      <c r="K21" s="4"/>
      <c r="L21" s="4"/>
    </row>
    <row r="22" spans="1:15" x14ac:dyDescent="0.25">
      <c r="A22" t="str">
        <f t="shared" ref="A22:B22" si="7">A9</f>
        <v>12</v>
      </c>
      <c r="B22" t="str">
        <f t="shared" si="7"/>
        <v>Northwest AEA</v>
      </c>
      <c r="C22" s="2">
        <f>INDEX(Detail[],MATCH($A22,Detail[AEA],0),MATCH(C$14,Detail[#Headers],0))</f>
        <v>35.17</v>
      </c>
      <c r="D22" s="4">
        <f>SUMIFS(INDEX(Detail[],0,MATCH(E$14,Detail[#Headers],0)),Detail[AEA],$A22)</f>
        <v>15768181</v>
      </c>
      <c r="E22" s="4">
        <f>SUMIFS(INDEX(Detail[],0,MATCH(F$14,Detail[#Headers],0)),Detail[AEA],$A22)</f>
        <v>79672</v>
      </c>
      <c r="F22" s="4">
        <f>SUMIFS(INDEX(Detail[],0,MATCH(G$14,Detail[#Headers],0)),Detail[AEA],$A22)</f>
        <v>15847853</v>
      </c>
      <c r="G22" s="4">
        <f>SUMIFS(INDEX(Detail[],0,MATCH(H$14,Detail[#Headers],0)),Detail[AEA],$A22)</f>
        <v>1150261</v>
      </c>
      <c r="H22" s="4">
        <f>SUMIFS(INDEX(Detail[],0,MATCH(I$14,Detail[#Headers],0)),Detail[AEA],$A22)</f>
        <v>1287750</v>
      </c>
      <c r="I22" s="4">
        <f>SUMIFS(INDEX(Detail[],0,MATCH(J$14,Detail[#Headers],0)),Detail[AEA],$A22)</f>
        <v>30000</v>
      </c>
      <c r="K22" s="4"/>
      <c r="L22" s="4"/>
    </row>
    <row r="23" spans="1:15" x14ac:dyDescent="0.25">
      <c r="A23" t="str">
        <f t="shared" ref="A23:B23" si="8">A10</f>
        <v>13</v>
      </c>
      <c r="B23" t="str">
        <f t="shared" si="8"/>
        <v>Green Hills AEA 13</v>
      </c>
      <c r="C23" s="2">
        <f>INDEX(Detail[],MATCH($A23,Detail[AEA],0),MATCH(C$14,Detail[#Headers],0))</f>
        <v>35.15</v>
      </c>
      <c r="D23" s="4">
        <f>SUMIFS(INDEX(Detail[],0,MATCH(E$14,Detail[#Headers],0)),Detail[AEA],$A23)</f>
        <v>14585910</v>
      </c>
      <c r="E23" s="4">
        <f>SUMIFS(INDEX(Detail[],0,MATCH(F$14,Detail[#Headers],0)),Detail[AEA],$A23)</f>
        <v>101921</v>
      </c>
      <c r="F23" s="4">
        <f>SUMIFS(INDEX(Detail[],0,MATCH(G$14,Detail[#Headers],0)),Detail[AEA],$A23)</f>
        <v>14687831</v>
      </c>
      <c r="G23" s="4">
        <f>SUMIFS(INDEX(Detail[],0,MATCH(H$14,Detail[#Headers],0)),Detail[AEA],$A23)</f>
        <v>960922</v>
      </c>
      <c r="H23" s="4">
        <f>SUMIFS(INDEX(Detail[],0,MATCH(I$14,Detail[#Headers],0)),Detail[AEA],$A23)</f>
        <v>1062418</v>
      </c>
      <c r="I23" s="4">
        <f>SUMIFS(INDEX(Detail[],0,MATCH(J$14,Detail[#Headers],0)),Detail[AEA],$A23)</f>
        <v>30001</v>
      </c>
      <c r="K23" s="4"/>
      <c r="L23" s="4"/>
    </row>
    <row r="24" spans="1:15" x14ac:dyDescent="0.25">
      <c r="A24" t="str">
        <f t="shared" ref="A24:B24" si="9">A11</f>
        <v>15</v>
      </c>
      <c r="B24" t="str">
        <f t="shared" si="9"/>
        <v>Great Prairie AEA 15</v>
      </c>
      <c r="C24" s="2">
        <f>INDEX(Detail[],MATCH($A24,Detail[AEA],0),MATCH(C$14,Detail[#Headers],0))</f>
        <v>34.159999999999997</v>
      </c>
      <c r="D24" s="4">
        <f>SUMIFS(INDEX(Detail[],0,MATCH(E$14,Detail[#Headers],0)),Detail[AEA],$A24)</f>
        <v>12960059</v>
      </c>
      <c r="E24" s="4">
        <f>SUMIFS(INDEX(Detail[],0,MATCH(F$14,Detail[#Headers],0)),Detail[AEA],$A24)</f>
        <v>121335</v>
      </c>
      <c r="F24" s="4">
        <f>SUMIFS(INDEX(Detail[],0,MATCH(G$14,Detail[#Headers],0)),Detail[AEA],$A24)</f>
        <v>13081394</v>
      </c>
      <c r="G24" s="4">
        <f>SUMIFS(INDEX(Detail[],0,MATCH(H$14,Detail[#Headers],0)),Detail[AEA],$A24)</f>
        <v>885624</v>
      </c>
      <c r="H24" s="4">
        <f>SUMIFS(INDEX(Detail[],0,MATCH(I$14,Detail[#Headers],0)),Detail[AEA],$A24)</f>
        <v>973641</v>
      </c>
      <c r="I24" s="4">
        <f>SUMIFS(INDEX(Detail[],0,MATCH(J$14,Detail[#Headers],0)),Detail[AEA],$A24)</f>
        <v>30001</v>
      </c>
      <c r="K24" s="4"/>
      <c r="L24" s="4"/>
    </row>
    <row r="25" spans="1:15" ht="15.75" thickBot="1" x14ac:dyDescent="0.3">
      <c r="D25" s="12">
        <f t="shared" ref="D25:I25" si="10">SUM(D16:D24)</f>
        <v>188895767</v>
      </c>
      <c r="E25" s="12">
        <f t="shared" si="10"/>
        <v>834646</v>
      </c>
      <c r="F25" s="12">
        <f t="shared" si="10"/>
        <v>189730413</v>
      </c>
      <c r="G25" s="12">
        <f t="shared" si="10"/>
        <v>13252861</v>
      </c>
      <c r="H25" s="12">
        <f t="shared" si="10"/>
        <v>14643281</v>
      </c>
      <c r="I25" s="12">
        <f t="shared" si="10"/>
        <v>210004</v>
      </c>
    </row>
    <row r="26" spans="1:15" ht="7.5" customHeight="1" thickTop="1" x14ac:dyDescent="0.25">
      <c r="F26" s="4"/>
      <c r="G26" s="4"/>
      <c r="H26" s="4"/>
      <c r="I26" s="4"/>
      <c r="J26" s="4"/>
    </row>
    <row r="27" spans="1:15" ht="81.75" hidden="1" customHeight="1" x14ac:dyDescent="0.25">
      <c r="A27" s="14"/>
      <c r="B27" s="14"/>
      <c r="C27" s="13" t="str">
        <f>Detail[[#Headers],[AEA Teacher Salary Supplement District Cost]]</f>
        <v>AEA Teacher Salary Supplement District Cost</v>
      </c>
      <c r="D27" s="13" t="str">
        <f>Detail[[#Headers],[AEA Professional Development Supplement District Cost]]</f>
        <v>AEA Professional Development Supplement District Cost</v>
      </c>
      <c r="E27" s="13" t="str">
        <f>Detail[[#Headers],[Subtotal Budget]]</f>
        <v>Subtotal Budget</v>
      </c>
      <c r="F27" s="13" t="str">
        <f>Detail[[#Headers],[AEA Statewide State Aid Reduction]]</f>
        <v>AEA Statewide State Aid Reduction</v>
      </c>
      <c r="G27" s="13" t="str">
        <f>Detail[[#Headers],[Total Budget]]</f>
        <v>Total Budget</v>
      </c>
      <c r="H27" s="13" t="str">
        <f>Detail[[#Headers],[State Aid Portion]]</f>
        <v>State Aid Portion</v>
      </c>
      <c r="I27" s="13" t="str">
        <f>Detail[[#Headers],[Property Tax Portion]]</f>
        <v>Property Tax Portion</v>
      </c>
      <c r="J27" s="17"/>
    </row>
    <row r="28" spans="1:15" ht="45" x14ac:dyDescent="0.25">
      <c r="A28" s="6" t="str">
        <f>A15</f>
        <v>AEA</v>
      </c>
      <c r="B28" s="6" t="str">
        <f>B15</f>
        <v>AEA Name</v>
      </c>
      <c r="C28" s="8" t="s">
        <v>381</v>
      </c>
      <c r="D28" s="8" t="s">
        <v>356</v>
      </c>
      <c r="E28" s="8" t="s">
        <v>382</v>
      </c>
      <c r="F28" s="8" t="s">
        <v>358</v>
      </c>
      <c r="G28" s="8" t="s">
        <v>383</v>
      </c>
      <c r="H28" s="15" t="s">
        <v>384</v>
      </c>
      <c r="I28" s="16"/>
    </row>
    <row r="29" spans="1:15" x14ac:dyDescent="0.25">
      <c r="A29" t="str">
        <f t="shared" ref="A29:B29" si="11">A16</f>
        <v>01</v>
      </c>
      <c r="B29" t="str">
        <f t="shared" si="11"/>
        <v>Keystone AEA 1</v>
      </c>
      <c r="C29" s="4">
        <f>SUMIFS(INDEX(Detail[],0,MATCH(C$27,Detail[#Headers],0)),Detail[AEA],$A29)</f>
        <v>1138633</v>
      </c>
      <c r="D29" s="4">
        <f>SUMIFS(INDEX(Detail[],0,MATCH(E$27,Detail[#Headers],0)),Detail[AEA],$A29)</f>
        <v>14367691</v>
      </c>
      <c r="E29" s="4">
        <f>SUMIFS(INDEX(Detail[],0,MATCH(F$27,Detail[#Headers],0)),Detail[AEA],$A29)</f>
        <v>1894993</v>
      </c>
      <c r="F29" s="4">
        <f>SUMIFS(INDEX(Detail[],0,MATCH(G$27,Detail[#Headers],0)),Detail[AEA],$A29)</f>
        <v>12472698</v>
      </c>
      <c r="G29" s="4">
        <f>SUMIFS(INDEX(Detail[],0,MATCH(H$27,Detail[#Headers],0)),Detail[AEA],$A29)</f>
        <v>7959399</v>
      </c>
      <c r="H29" s="4">
        <f>SUMIFS(INDEX(Detail[],0,MATCH(I$27,Detail[#Headers],0)),Detail[AEA],$A29)</f>
        <v>4513299</v>
      </c>
      <c r="I29" s="18"/>
    </row>
    <row r="30" spans="1:15" x14ac:dyDescent="0.25">
      <c r="A30" t="str">
        <f t="shared" ref="A30:B30" si="12">A17</f>
        <v>05</v>
      </c>
      <c r="B30" t="str">
        <f t="shared" si="12"/>
        <v>Prairie Lakes AEA 8</v>
      </c>
      <c r="C30" s="4">
        <f>SUMIFS(INDEX(Detail[],0,MATCH(C$27,Detail[#Headers],0)),Detail[AEA],$A30)</f>
        <v>1264347</v>
      </c>
      <c r="D30" s="4">
        <f>SUMIFS(INDEX(Detail[],0,MATCH(E$27,Detail[#Headers],0)),Detail[AEA],$A30)</f>
        <v>14988794</v>
      </c>
      <c r="E30" s="4">
        <f>SUMIFS(INDEX(Detail[],0,MATCH(F$27,Detail[#Headers],0)),Detail[AEA],$A30)</f>
        <v>1980939</v>
      </c>
      <c r="F30" s="4">
        <f>SUMIFS(INDEX(Detail[],0,MATCH(G$27,Detail[#Headers],0)),Detail[AEA],$A30)</f>
        <v>13007855</v>
      </c>
      <c r="G30" s="4">
        <f>SUMIFS(INDEX(Detail[],0,MATCH(H$27,Detail[#Headers],0)),Detail[AEA],$A30)</f>
        <v>8370719</v>
      </c>
      <c r="H30" s="4">
        <f>SUMIFS(INDEX(Detail[],0,MATCH(I$27,Detail[#Headers],0)),Detail[AEA],$A30)</f>
        <v>4637136</v>
      </c>
      <c r="I30" s="18"/>
    </row>
    <row r="31" spans="1:15" x14ac:dyDescent="0.25">
      <c r="A31" t="str">
        <f t="shared" ref="A31:B31" si="13">A18</f>
        <v>07</v>
      </c>
      <c r="B31" t="str">
        <f t="shared" si="13"/>
        <v>Central Rivers</v>
      </c>
      <c r="C31" s="4">
        <f>SUMIFS(INDEX(Detail[],0,MATCH(C$27,Detail[#Headers],0)),Detail[AEA],$A31)</f>
        <v>2996590</v>
      </c>
      <c r="D31" s="4">
        <f>SUMIFS(INDEX(Detail[],0,MATCH(E$27,Detail[#Headers],0)),Detail[AEA],$A31)</f>
        <v>30909262</v>
      </c>
      <c r="E31" s="4">
        <f>SUMIFS(INDEX(Detail[],0,MATCH(F$27,Detail[#Headers],0)),Detail[AEA],$A31)</f>
        <v>4135301</v>
      </c>
      <c r="F31" s="4">
        <f>SUMIFS(INDEX(Detail[],0,MATCH(G$27,Detail[#Headers],0)),Detail[AEA],$A31)</f>
        <v>26773961</v>
      </c>
      <c r="G31" s="4">
        <f>SUMIFS(INDEX(Detail[],0,MATCH(H$27,Detail[#Headers],0)),Detail[AEA],$A31)</f>
        <v>17854855</v>
      </c>
      <c r="H31" s="4">
        <f>SUMIFS(INDEX(Detail[],0,MATCH(I$27,Detail[#Headers],0)),Detail[AEA],$A31)</f>
        <v>8919106</v>
      </c>
      <c r="I31" s="18"/>
      <c r="N31" s="4"/>
      <c r="O31" s="4"/>
    </row>
    <row r="32" spans="1:15" x14ac:dyDescent="0.25">
      <c r="A32" t="str">
        <f t="shared" ref="A32:B32" si="14">A19</f>
        <v>09</v>
      </c>
      <c r="B32" t="str">
        <f t="shared" si="14"/>
        <v>Mississippi Bend AEA 9</v>
      </c>
      <c r="C32" s="4">
        <f>SUMIFS(INDEX(Detail[],0,MATCH(C$27,Detail[#Headers],0)),Detail[AEA],$A32)</f>
        <v>1615203</v>
      </c>
      <c r="D32" s="4">
        <f>SUMIFS(INDEX(Detail[],0,MATCH(E$27,Detail[#Headers],0)),Detail[AEA],$A32)</f>
        <v>21790540</v>
      </c>
      <c r="E32" s="4">
        <f>SUMIFS(INDEX(Detail[],0,MATCH(F$27,Detail[#Headers],0)),Detail[AEA],$A32)</f>
        <v>2999921</v>
      </c>
      <c r="F32" s="4">
        <f>SUMIFS(INDEX(Detail[],0,MATCH(G$27,Detail[#Headers],0)),Detail[AEA],$A32)</f>
        <v>18790619</v>
      </c>
      <c r="G32" s="4">
        <f>SUMIFS(INDEX(Detail[],0,MATCH(H$27,Detail[#Headers],0)),Detail[AEA],$A32)</f>
        <v>12400626</v>
      </c>
      <c r="H32" s="4">
        <f>SUMIFS(INDEX(Detail[],0,MATCH(I$27,Detail[#Headers],0)),Detail[AEA],$A32)</f>
        <v>6389993</v>
      </c>
      <c r="I32" s="18"/>
    </row>
    <row r="33" spans="1:9" x14ac:dyDescent="0.25">
      <c r="A33" t="str">
        <f t="shared" ref="A33:B33" si="15">A20</f>
        <v>10</v>
      </c>
      <c r="B33" t="str">
        <f t="shared" si="15"/>
        <v>Grant Wood AEA 10</v>
      </c>
      <c r="C33" s="4">
        <f>SUMIFS(INDEX(Detail[],0,MATCH(C$27,Detail[#Headers],0)),Detail[AEA],$A33)</f>
        <v>2515465</v>
      </c>
      <c r="D33" s="4">
        <f>SUMIFS(INDEX(Detail[],0,MATCH(E$27,Detail[#Headers],0)),Detail[AEA],$A33)</f>
        <v>33094576</v>
      </c>
      <c r="E33" s="4">
        <f>SUMIFS(INDEX(Detail[],0,MATCH(F$27,Detail[#Headers],0)),Detail[AEA],$A33)</f>
        <v>4566772</v>
      </c>
      <c r="F33" s="4">
        <f>SUMIFS(INDEX(Detail[],0,MATCH(G$27,Detail[#Headers],0)),Detail[AEA],$A33)</f>
        <v>28527804</v>
      </c>
      <c r="G33" s="4">
        <f>SUMIFS(INDEX(Detail[],0,MATCH(H$27,Detail[#Headers],0)),Detail[AEA],$A33)</f>
        <v>18921885</v>
      </c>
      <c r="H33" s="4">
        <f>SUMIFS(INDEX(Detail[],0,MATCH(I$27,Detail[#Headers],0)),Detail[AEA],$A33)</f>
        <v>9605919</v>
      </c>
      <c r="I33" s="18"/>
    </row>
    <row r="34" spans="1:9" x14ac:dyDescent="0.25">
      <c r="A34" t="str">
        <f t="shared" ref="A34:B34" si="16">A21</f>
        <v>11</v>
      </c>
      <c r="B34" t="str">
        <f t="shared" si="16"/>
        <v>Heartland AEA 11</v>
      </c>
      <c r="C34" s="4">
        <f>SUMIFS(INDEX(Detail[],0,MATCH(C$27,Detail[#Headers],0)),Detail[AEA],$A34)</f>
        <v>4623704</v>
      </c>
      <c r="D34" s="4">
        <f>SUMIFS(INDEX(Detail[],0,MATCH(E$27,Detail[#Headers],0)),Detail[AEA],$A34)</f>
        <v>66811942</v>
      </c>
      <c r="E34" s="4">
        <f>SUMIFS(INDEX(Detail[],0,MATCH(F$27,Detail[#Headers],0)),Detail[AEA],$A34)</f>
        <v>9507746</v>
      </c>
      <c r="F34" s="4">
        <f>SUMIFS(INDEX(Detail[],0,MATCH(G$27,Detail[#Headers],0)),Detail[AEA],$A34)</f>
        <v>57304196</v>
      </c>
      <c r="G34" s="4">
        <f>SUMIFS(INDEX(Detail[],0,MATCH(H$27,Detail[#Headers],0)),Detail[AEA],$A34)</f>
        <v>38731511</v>
      </c>
      <c r="H34" s="4">
        <f>SUMIFS(INDEX(Detail[],0,MATCH(I$27,Detail[#Headers],0)),Detail[AEA],$A34)</f>
        <v>18572685</v>
      </c>
      <c r="I34" s="18"/>
    </row>
    <row r="35" spans="1:9" x14ac:dyDescent="0.25">
      <c r="A35" t="str">
        <f t="shared" ref="A35:B35" si="17">A22</f>
        <v>12</v>
      </c>
      <c r="B35" t="str">
        <f t="shared" si="17"/>
        <v>Northwest AEA</v>
      </c>
      <c r="C35" s="4">
        <f>SUMIFS(INDEX(Detail[],0,MATCH(C$27,Detail[#Headers],0)),Detail[AEA],$A35)</f>
        <v>1595606</v>
      </c>
      <c r="D35" s="4">
        <f>SUMIFS(INDEX(Detail[],0,MATCH(E$27,Detail[#Headers],0)),Detail[AEA],$A35)</f>
        <v>19911470</v>
      </c>
      <c r="E35" s="4">
        <f>SUMIFS(INDEX(Detail[],0,MATCH(F$27,Detail[#Headers],0)),Detail[AEA],$A35)</f>
        <v>2660304</v>
      </c>
      <c r="F35" s="4">
        <f>SUMIFS(INDEX(Detail[],0,MATCH(G$27,Detail[#Headers],0)),Detail[AEA],$A35)</f>
        <v>17251166</v>
      </c>
      <c r="G35" s="4">
        <f>SUMIFS(INDEX(Detail[],0,MATCH(H$27,Detail[#Headers],0)),Detail[AEA],$A35)</f>
        <v>11162299</v>
      </c>
      <c r="H35" s="4">
        <f>SUMIFS(INDEX(Detail[],0,MATCH(I$27,Detail[#Headers],0)),Detail[AEA],$A35)</f>
        <v>6088867</v>
      </c>
      <c r="I35" s="18"/>
    </row>
    <row r="36" spans="1:9" x14ac:dyDescent="0.25">
      <c r="A36" t="str">
        <f t="shared" ref="A36:B36" si="18">A23</f>
        <v>13</v>
      </c>
      <c r="B36" t="str">
        <f t="shared" si="18"/>
        <v>Green Hills AEA 13</v>
      </c>
      <c r="C36" s="4">
        <f>SUMIFS(INDEX(Detail[],0,MATCH(C$27,Detail[#Headers],0)),Detail[AEA],$A36)</f>
        <v>1506001</v>
      </c>
      <c r="D36" s="4">
        <f>SUMIFS(INDEX(Detail[],0,MATCH(E$27,Detail[#Headers],0)),Detail[AEA],$A36)</f>
        <v>18247173</v>
      </c>
      <c r="E36" s="4">
        <f>SUMIFS(INDEX(Detail[],0,MATCH(F$27,Detail[#Headers],0)),Detail[AEA],$A36)</f>
        <v>2508136</v>
      </c>
      <c r="F36" s="4">
        <f>SUMIFS(INDEX(Detail[],0,MATCH(G$27,Detail[#Headers],0)),Detail[AEA],$A36)</f>
        <v>15739037</v>
      </c>
      <c r="G36" s="4">
        <f>SUMIFS(INDEX(Detail[],0,MATCH(H$27,Detail[#Headers],0)),Detail[AEA],$A36)</f>
        <v>10527304</v>
      </c>
      <c r="H36" s="4">
        <f>SUMIFS(INDEX(Detail[],0,MATCH(I$27,Detail[#Headers],0)),Detail[AEA],$A36)</f>
        <v>5211733</v>
      </c>
      <c r="I36" s="18"/>
    </row>
    <row r="37" spans="1:9" x14ac:dyDescent="0.25">
      <c r="A37" t="str">
        <f t="shared" ref="A37:B37" si="19">A24</f>
        <v>15</v>
      </c>
      <c r="B37" t="str">
        <f t="shared" si="19"/>
        <v>Great Prairie AEA 15</v>
      </c>
      <c r="C37" s="4">
        <f>SUMIFS(INDEX(Detail[],0,MATCH(C$27,Detail[#Headers],0)),Detail[AEA],$A37)</f>
        <v>1308929</v>
      </c>
      <c r="D37" s="4">
        <f>SUMIFS(INDEX(Detail[],0,MATCH(E$27,Detail[#Headers],0)),Detail[AEA],$A37)</f>
        <v>16279589</v>
      </c>
      <c r="E37" s="4">
        <f>SUMIFS(INDEX(Detail[],0,MATCH(F$27,Detail[#Headers],0)),Detail[AEA],$A37)</f>
        <v>2245888</v>
      </c>
      <c r="F37" s="4">
        <f>SUMIFS(INDEX(Detail[],0,MATCH(G$27,Detail[#Headers],0)),Detail[AEA],$A37)</f>
        <v>14033701</v>
      </c>
      <c r="G37" s="4">
        <f>SUMIFS(INDEX(Detail[],0,MATCH(H$27,Detail[#Headers],0)),Detail[AEA],$A37)</f>
        <v>9389615</v>
      </c>
      <c r="H37" s="4">
        <f>SUMIFS(INDEX(Detail[],0,MATCH(I$27,Detail[#Headers],0)),Detail[AEA],$A37)</f>
        <v>4644086</v>
      </c>
      <c r="I37" s="18"/>
    </row>
    <row r="38" spans="1:9" ht="15.75" thickBot="1" x14ac:dyDescent="0.3">
      <c r="C38" s="12">
        <f t="shared" ref="C38:H38" si="20">SUM(C29:C37)</f>
        <v>18564478</v>
      </c>
      <c r="D38" s="12">
        <f t="shared" si="20"/>
        <v>236401037</v>
      </c>
      <c r="E38" s="12">
        <f t="shared" si="20"/>
        <v>32500000</v>
      </c>
      <c r="F38" s="12">
        <f t="shared" si="20"/>
        <v>203901037</v>
      </c>
      <c r="G38" s="12">
        <f t="shared" si="20"/>
        <v>135318213</v>
      </c>
      <c r="H38" s="12">
        <f t="shared" si="20"/>
        <v>68582824</v>
      </c>
      <c r="I38" s="18"/>
    </row>
    <row r="39" spans="1:9" ht="15.75" thickTop="1" x14ac:dyDescent="0.25"/>
    <row r="41" spans="1:9" x14ac:dyDescent="0.25">
      <c r="H41" s="4"/>
    </row>
  </sheetData>
  <sheetProtection sheet="1" objects="1" scenarios="1"/>
  <pageMargins left="0.25" right="0.25" top="0.75" bottom="0.75" header="0.3" footer="0.3"/>
  <pageSetup scale="90" fitToWidth="0" orientation="landscape" r:id="rId1"/>
  <headerFooter>
    <oddHeader xml:space="preserve">&amp;C&amp;"-,Bold"&amp;14FY 2025 AEA Enrollments and Cost - Final - 2.5% of Growth - $32.5 million Proportional Reduction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348D5-903C-4AD5-AFD0-60FA08551A91}">
  <dimension ref="C3:F13"/>
  <sheetViews>
    <sheetView workbookViewId="0">
      <selection activeCell="E4" sqref="E4:E12"/>
    </sheetView>
  </sheetViews>
  <sheetFormatPr defaultRowHeight="15" x14ac:dyDescent="0.25"/>
  <cols>
    <col min="3" max="3" width="21.5703125" bestFit="1" customWidth="1"/>
    <col min="4" max="4" width="23.28515625" customWidth="1"/>
    <col min="5" max="5" width="23.85546875" customWidth="1"/>
    <col min="6" max="6" width="15.85546875" customWidth="1"/>
  </cols>
  <sheetData>
    <row r="3" spans="3:6" ht="60" x14ac:dyDescent="0.25">
      <c r="C3" s="57" t="s">
        <v>362</v>
      </c>
      <c r="D3" s="58" t="s">
        <v>744</v>
      </c>
      <c r="E3" s="58" t="s">
        <v>746</v>
      </c>
      <c r="F3" s="58" t="s">
        <v>745</v>
      </c>
    </row>
    <row r="4" spans="3:6" x14ac:dyDescent="0.25">
      <c r="C4" s="56" t="s">
        <v>722</v>
      </c>
      <c r="D4" s="34">
        <v>9131830</v>
      </c>
      <c r="E4" s="34">
        <f>StateAidVsPropertyTax!I2</f>
        <v>9596578</v>
      </c>
      <c r="F4" s="34">
        <f>E4-D4</f>
        <v>464748</v>
      </c>
    </row>
    <row r="5" spans="3:6" x14ac:dyDescent="0.25">
      <c r="C5" s="56" t="s">
        <v>723</v>
      </c>
      <c r="D5" s="34">
        <v>9579835</v>
      </c>
      <c r="E5" s="34">
        <f>StateAidVsPropertyTax!I3</f>
        <v>10012128</v>
      </c>
      <c r="F5" s="34">
        <f t="shared" ref="F5:F12" si="0">E5-D5</f>
        <v>432293</v>
      </c>
    </row>
    <row r="6" spans="3:6" x14ac:dyDescent="0.25">
      <c r="C6" s="56" t="s">
        <v>724</v>
      </c>
      <c r="D6" s="34">
        <v>19800340</v>
      </c>
      <c r="E6" s="34">
        <f>StateAidVsPropertyTax!I4</f>
        <v>20266550</v>
      </c>
      <c r="F6" s="34">
        <f t="shared" si="0"/>
        <v>466210</v>
      </c>
    </row>
    <row r="7" spans="3:6" x14ac:dyDescent="0.25">
      <c r="C7" s="56" t="s">
        <v>725</v>
      </c>
      <c r="D7" s="34">
        <v>14446352</v>
      </c>
      <c r="E7" s="34">
        <f>StateAidVsPropertyTax!I5</f>
        <v>14600657</v>
      </c>
      <c r="F7" s="34">
        <f t="shared" si="0"/>
        <v>154305</v>
      </c>
    </row>
    <row r="8" spans="3:6" x14ac:dyDescent="0.25">
      <c r="C8" s="56" t="s">
        <v>726</v>
      </c>
      <c r="D8" s="34">
        <v>22192132</v>
      </c>
      <c r="E8" s="34">
        <f>StateAidVsPropertyTax!I6</f>
        <v>22022992</v>
      </c>
      <c r="F8" s="34">
        <f t="shared" si="0"/>
        <v>-169140</v>
      </c>
    </row>
    <row r="9" spans="3:6" x14ac:dyDescent="0.25">
      <c r="C9" s="56" t="s">
        <v>727</v>
      </c>
      <c r="D9" s="34">
        <v>45803064</v>
      </c>
      <c r="E9" s="34">
        <f>StateAidVsPropertyTax!I7</f>
        <v>44528758</v>
      </c>
      <c r="F9" s="34">
        <f>E9-D9</f>
        <v>-1274306</v>
      </c>
    </row>
    <row r="10" spans="3:6" x14ac:dyDescent="0.25">
      <c r="C10" s="56" t="s">
        <v>728</v>
      </c>
      <c r="D10" s="34">
        <v>13081985</v>
      </c>
      <c r="E10" s="34">
        <f>StateAidVsPropertyTax!I8</f>
        <v>13187549</v>
      </c>
      <c r="F10" s="34">
        <f t="shared" si="0"/>
        <v>105564</v>
      </c>
    </row>
    <row r="11" spans="3:6" x14ac:dyDescent="0.25">
      <c r="C11" s="56" t="s">
        <v>729</v>
      </c>
      <c r="D11" s="34">
        <v>11787978</v>
      </c>
      <c r="E11" s="34">
        <f>StateAidVsPropertyTax!I9</f>
        <v>12179695</v>
      </c>
      <c r="F11" s="34">
        <f t="shared" si="0"/>
        <v>391717</v>
      </c>
    </row>
    <row r="12" spans="3:6" x14ac:dyDescent="0.25">
      <c r="C12" s="56" t="s">
        <v>730</v>
      </c>
      <c r="D12" s="34">
        <v>10483319</v>
      </c>
      <c r="E12" s="34">
        <f>StateAidVsPropertyTax!I10</f>
        <v>10835506</v>
      </c>
      <c r="F12" s="34">
        <f t="shared" si="0"/>
        <v>352187</v>
      </c>
    </row>
    <row r="13" spans="3:6" ht="15.75" thickBot="1" x14ac:dyDescent="0.3">
      <c r="D13" s="59">
        <f>SUM(D4:D12)</f>
        <v>156306835</v>
      </c>
      <c r="E13" s="59">
        <f>SUM(E4:E12)</f>
        <v>157230413</v>
      </c>
      <c r="F13" s="59">
        <f>E13-D13</f>
        <v>923578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6AEB-9DE9-4E46-B41E-405ABE38BB9A}">
  <sheetPr>
    <pageSetUpPr fitToPage="1"/>
  </sheetPr>
  <dimension ref="A1:P38"/>
  <sheetViews>
    <sheetView zoomScaleNormal="100" workbookViewId="0"/>
  </sheetViews>
  <sheetFormatPr defaultRowHeight="15" x14ac:dyDescent="0.25"/>
  <cols>
    <col min="1" max="1" width="7" customWidth="1"/>
    <col min="2" max="2" width="22.42578125" bestFit="1" customWidth="1"/>
    <col min="3" max="3" width="20.28515625" customWidth="1"/>
    <col min="4" max="4" width="19" customWidth="1"/>
    <col min="5" max="5" width="15.85546875" customWidth="1"/>
    <col min="6" max="6" width="18.140625" customWidth="1"/>
    <col min="7" max="7" width="23.42578125" customWidth="1"/>
    <col min="8" max="8" width="22.85546875" customWidth="1"/>
    <col min="9" max="9" width="22.7109375" customWidth="1"/>
    <col min="16" max="16" width="0" hidden="1" customWidth="1"/>
  </cols>
  <sheetData>
    <row r="1" spans="1:16" s="10" customFormat="1" ht="45" x14ac:dyDescent="0.25">
      <c r="A1" s="49" t="s">
        <v>361</v>
      </c>
      <c r="B1" s="49" t="s">
        <v>362</v>
      </c>
      <c r="C1" s="50" t="str">
        <f>Breakdown[[#Headers],[AEA Special Ed Support District Cost Formula Generated]]</f>
        <v>AEA Special Ed Support District Cost Formula Generated</v>
      </c>
      <c r="D1" s="50" t="str">
        <f>Breakdown[[#Headers],[State Aid Portion Special Ed]]</f>
        <v>State Aid Portion Special Ed</v>
      </c>
      <c r="E1" s="50" t="str">
        <f>Breakdown[[#Headers],[AEA Statewide State Aid Reduction]]</f>
        <v>AEA Statewide State Aid Reduction</v>
      </c>
      <c r="F1" s="51" t="str">
        <f>Breakdown[[#Headers],[State Aid Special Ed Minus Reduction]]</f>
        <v>State Aid Special Ed Minus Reduction</v>
      </c>
      <c r="G1" s="52" t="str">
        <f>Breakdown[[#Headers],[Special Education Property Tax Portion]]</f>
        <v>Special Education Property Tax Portion</v>
      </c>
      <c r="H1" s="52" t="str">
        <f>Breakdown[[#Headers],[AEA Special Ed Support Adjustment]]</f>
        <v>AEA Special Ed Support Adjustment</v>
      </c>
      <c r="I1" s="50" t="str">
        <f>Breakdown[[#Headers],[Total Special Ed Funding Removing Reduction Including Adjustment]]</f>
        <v>Total Special Ed Funding Removing Reduction Including Adjustment</v>
      </c>
    </row>
    <row r="2" spans="1:16" x14ac:dyDescent="0.25">
      <c r="A2" s="37" t="str">
        <f t="array" ref="A2">IFERROR(INDEX(Detail[AEA], MATCH(0,COUNTIF(StateAidVsPropertyTax!$A$1:'StateAidVsPropertyTax'!A1, Detail[AEA]), 0)),"")</f>
        <v>01</v>
      </c>
      <c r="B2" s="38" t="str">
        <f>INDEX(Detail[],MATCH(StateAidVsPropertyTax!$A2,Detail[AEA],0),2)</f>
        <v>Keystone AEA 1</v>
      </c>
      <c r="C2" s="34">
        <f>SUMIFS(INDEX(Breakdown[],0,MATCH(C$1,Breakdown[#Headers],0)),Breakdown[AEA],$A2)</f>
        <v>11477381</v>
      </c>
      <c r="D2" s="34">
        <f>SUMIFS(INDEX(Breakdown[],0,MATCH(D$1,Breakdown[#Headers],0)),Breakdown[AEA],$A2)</f>
        <v>8693035</v>
      </c>
      <c r="E2" s="34">
        <f>SUMIFS(INDEX(Breakdown[],0,MATCH(E$1,Breakdown[#Headers],0)),Breakdown[AEA],$A2)</f>
        <v>1894993</v>
      </c>
      <c r="F2" s="41">
        <f>SUMIFS(INDEX(Breakdown[],0,MATCH(F$1,Breakdown[#Headers],0)),Breakdown[AEA],$A2)</f>
        <v>6798042</v>
      </c>
      <c r="G2" s="43">
        <f>SUMIFS(INDEX(Breakdown[],0,MATCH(G$1,Breakdown[#Headers],0)),Breakdown[AEA],$A2)</f>
        <v>2784346</v>
      </c>
      <c r="H2" s="54">
        <f>SUMIFS(INDEX(Breakdown[],0,MATCH(H$1,Breakdown[#Headers],0)),Breakdown[AEA],$A2)</f>
        <v>14190</v>
      </c>
      <c r="I2" s="45">
        <f>SUMIFS(INDEX(Breakdown[],0,MATCH(I$1,Breakdown[#Headers],0)),Breakdown[AEA],$A2)</f>
        <v>9596578</v>
      </c>
      <c r="K2" s="4"/>
      <c r="P2" s="4">
        <f>G11+D23+H11+C35+D35-G35</f>
        <v>0</v>
      </c>
    </row>
    <row r="3" spans="1:16" x14ac:dyDescent="0.25">
      <c r="A3" s="37" t="str">
        <f t="array" ref="A3">IFERROR(INDEX(Detail[AEA], MATCH(0,COUNTIF(StateAidVsPropertyTax!$A$1:'StateAidVsPropertyTax'!A2, Detail[AEA]), 0)),"")</f>
        <v>05</v>
      </c>
      <c r="B3" s="38" t="str">
        <f>INDEX(Detail[],MATCH(StateAidVsPropertyTax!$A3,Detail[AEA],0),2)</f>
        <v>Prairie Lakes AEA 8</v>
      </c>
      <c r="C3" s="34">
        <f>SUMIFS(INDEX(Breakdown[],0,MATCH(C$1,Breakdown[#Headers],0)),Breakdown[AEA],$A3)</f>
        <v>11854900</v>
      </c>
      <c r="D3" s="34">
        <f>SUMIFS(INDEX(Breakdown[],0,MATCH(D$1,Breakdown[#Headers],0)),Breakdown[AEA],$A3)</f>
        <v>9087311</v>
      </c>
      <c r="E3" s="34">
        <f>SUMIFS(INDEX(Breakdown[],0,MATCH(E$1,Breakdown[#Headers],0)),Breakdown[AEA],$A3)</f>
        <v>1980939</v>
      </c>
      <c r="F3" s="41">
        <f>SUMIFS(INDEX(Breakdown[],0,MATCH(F$1,Breakdown[#Headers],0)),Breakdown[AEA],$A3)</f>
        <v>7106372</v>
      </c>
      <c r="G3" s="43">
        <f>SUMIFS(INDEX(Breakdown[],0,MATCH(G$1,Breakdown[#Headers],0)),Breakdown[AEA],$A3)</f>
        <v>2767589</v>
      </c>
      <c r="H3" s="54">
        <f>SUMIFS(INDEX(Breakdown[],0,MATCH(H$1,Breakdown[#Headers],0)),Breakdown[AEA],$A3)</f>
        <v>138167</v>
      </c>
      <c r="I3" s="45">
        <f>SUMIFS(INDEX(Breakdown[],0,MATCH(I$1,Breakdown[#Headers],0)),Breakdown[AEA],$A3)</f>
        <v>10012128</v>
      </c>
      <c r="K3" s="4"/>
      <c r="P3" s="4">
        <f>F11+C23+F23-F35</f>
        <v>0</v>
      </c>
    </row>
    <row r="4" spans="1:16" x14ac:dyDescent="0.25">
      <c r="A4" s="37" t="str">
        <f t="array" ref="A4">IFERROR(INDEX(Detail[AEA], MATCH(0,COUNTIF(StateAidVsPropertyTax!$A$1:'StateAidVsPropertyTax'!A3, Detail[AEA]), 0)),"")</f>
        <v>07</v>
      </c>
      <c r="B4" s="38" t="str">
        <f>INDEX(Detail[],MATCH(StateAidVsPropertyTax!$A4,Detail[AEA],0),2)</f>
        <v>Central Rivers</v>
      </c>
      <c r="C4" s="34">
        <f>SUMIFS(INDEX(Breakdown[],0,MATCH(C$1,Breakdown[#Headers],0)),Breakdown[AEA],$A4)</f>
        <v>24281771</v>
      </c>
      <c r="D4" s="34">
        <f>SUMIFS(INDEX(Breakdown[],0,MATCH(D$1,Breakdown[#Headers],0)),Breakdown[AEA],$A4)</f>
        <v>18970133</v>
      </c>
      <c r="E4" s="34">
        <f>SUMIFS(INDEX(Breakdown[],0,MATCH(E$1,Breakdown[#Headers],0)),Breakdown[AEA],$A4)</f>
        <v>4135301</v>
      </c>
      <c r="F4" s="41">
        <f>SUMIFS(INDEX(Breakdown[],0,MATCH(F$1,Breakdown[#Headers],0)),Breakdown[AEA],$A4)</f>
        <v>14834832</v>
      </c>
      <c r="G4" s="43">
        <f>SUMIFS(INDEX(Breakdown[],0,MATCH(G$1,Breakdown[#Headers],0)),Breakdown[AEA],$A4)</f>
        <v>5311638</v>
      </c>
      <c r="H4" s="54">
        <f>SUMIFS(INDEX(Breakdown[],0,MATCH(H$1,Breakdown[#Headers],0)),Breakdown[AEA],$A4)</f>
        <v>120080</v>
      </c>
      <c r="I4" s="45">
        <f>SUMIFS(INDEX(Breakdown[],0,MATCH(I$1,Breakdown[#Headers],0)),Breakdown[AEA],$A4)</f>
        <v>20266550</v>
      </c>
      <c r="K4" s="4"/>
    </row>
    <row r="5" spans="1:16" x14ac:dyDescent="0.25">
      <c r="A5" s="37" t="str">
        <f t="array" ref="A5">IFERROR(INDEX(Detail[AEA], MATCH(0,COUNTIF(StateAidVsPropertyTax!$A$1:'StateAidVsPropertyTax'!A4, Detail[AEA]), 0)),"")</f>
        <v>09</v>
      </c>
      <c r="B5" s="38" t="str">
        <f>INDEX(Detail[],MATCH(StateAidVsPropertyTax!$A5,Detail[AEA],0),2)</f>
        <v>Mississippi Bend AEA 9</v>
      </c>
      <c r="C5" s="34">
        <f>SUMIFS(INDEX(Breakdown[],0,MATCH(C$1,Breakdown[#Headers],0)),Breakdown[AEA],$A5)</f>
        <v>17494746</v>
      </c>
      <c r="D5" s="34">
        <f>SUMIFS(INDEX(Breakdown[],0,MATCH(D$1,Breakdown[#Headers],0)),Breakdown[AEA],$A5)</f>
        <v>13761746</v>
      </c>
      <c r="E5" s="34">
        <f>SUMIFS(INDEX(Breakdown[],0,MATCH(E$1,Breakdown[#Headers],0)),Breakdown[AEA],$A5)</f>
        <v>2999921</v>
      </c>
      <c r="F5" s="41">
        <f>SUMIFS(INDEX(Breakdown[],0,MATCH(F$1,Breakdown[#Headers],0)),Breakdown[AEA],$A5)</f>
        <v>10761825</v>
      </c>
      <c r="G5" s="43">
        <f>SUMIFS(INDEX(Breakdown[],0,MATCH(G$1,Breakdown[#Headers],0)),Breakdown[AEA],$A5)</f>
        <v>3733000</v>
      </c>
      <c r="H5" s="54">
        <f>SUMIFS(INDEX(Breakdown[],0,MATCH(H$1,Breakdown[#Headers],0)),Breakdown[AEA],$A5)</f>
        <v>105832</v>
      </c>
      <c r="I5" s="45">
        <f>SUMIFS(INDEX(Breakdown[],0,MATCH(I$1,Breakdown[#Headers],0)),Breakdown[AEA],$A5)</f>
        <v>14600657</v>
      </c>
      <c r="K5" s="4"/>
    </row>
    <row r="6" spans="1:16" x14ac:dyDescent="0.25">
      <c r="A6" s="37" t="str">
        <f t="array" ref="A6">IFERROR(INDEX(Detail[AEA], MATCH(0,COUNTIF(StateAidVsPropertyTax!$A$1:'StateAidVsPropertyTax'!A5, Detail[AEA]), 0)),"")</f>
        <v>10</v>
      </c>
      <c r="B6" s="38" t="str">
        <f>INDEX(Detail[],MATCH(StateAidVsPropertyTax!$A6,Detail[AEA],0),2)</f>
        <v>Grant Wood AEA 10</v>
      </c>
      <c r="C6" s="34">
        <f>SUMIFS(INDEX(Breakdown[],0,MATCH(C$1,Breakdown[#Headers],0)),Breakdown[AEA],$A6)</f>
        <v>26483224</v>
      </c>
      <c r="D6" s="34">
        <f>SUMIFS(INDEX(Breakdown[],0,MATCH(D$1,Breakdown[#Headers],0)),Breakdown[AEA],$A6)</f>
        <v>20949463</v>
      </c>
      <c r="E6" s="34">
        <f>SUMIFS(INDEX(Breakdown[],0,MATCH(E$1,Breakdown[#Headers],0)),Breakdown[AEA],$A6)</f>
        <v>4566772</v>
      </c>
      <c r="F6" s="41">
        <f>SUMIFS(INDEX(Breakdown[],0,MATCH(F$1,Breakdown[#Headers],0)),Breakdown[AEA],$A6)</f>
        <v>16382691</v>
      </c>
      <c r="G6" s="43">
        <f>SUMIFS(INDEX(Breakdown[],0,MATCH(G$1,Breakdown[#Headers],0)),Breakdown[AEA],$A6)</f>
        <v>5533761</v>
      </c>
      <c r="H6" s="54">
        <f>SUMIFS(INDEX(Breakdown[],0,MATCH(H$1,Breakdown[#Headers],0)),Breakdown[AEA],$A6)</f>
        <v>106540</v>
      </c>
      <c r="I6" s="45">
        <f>SUMIFS(INDEX(Breakdown[],0,MATCH(I$1,Breakdown[#Headers],0)),Breakdown[AEA],$A6)</f>
        <v>22022992</v>
      </c>
      <c r="K6" s="4"/>
    </row>
    <row r="7" spans="1:16" x14ac:dyDescent="0.25">
      <c r="A7" s="37" t="str">
        <f t="array" ref="A7">IFERROR(INDEX(Detail[AEA], MATCH(0,COUNTIF(StateAidVsPropertyTax!$A$1:'StateAidVsPropertyTax'!A6, Detail[AEA]), 0)),"")</f>
        <v>11</v>
      </c>
      <c r="B7" s="38" t="str">
        <f>INDEX(Detail[],MATCH(StateAidVsPropertyTax!$A7,Detail[AEA],0),2)</f>
        <v>Heartland AEA 11</v>
      </c>
      <c r="C7" s="34">
        <f>SUMIFS(INDEX(Breakdown[],0,MATCH(C$1,Breakdown[#Headers],0)),Breakdown[AEA],$A7)</f>
        <v>53989595</v>
      </c>
      <c r="D7" s="34">
        <f>SUMIFS(INDEX(Breakdown[],0,MATCH(D$1,Breakdown[#Headers],0)),Breakdown[AEA],$A7)</f>
        <v>43615553</v>
      </c>
      <c r="E7" s="34">
        <f>SUMIFS(INDEX(Breakdown[],0,MATCH(E$1,Breakdown[#Headers],0)),Breakdown[AEA],$A7)</f>
        <v>9507746</v>
      </c>
      <c r="F7" s="41">
        <f>SUMIFS(INDEX(Breakdown[],0,MATCH(F$1,Breakdown[#Headers],0)),Breakdown[AEA],$A7)</f>
        <v>34107807</v>
      </c>
      <c r="G7" s="43">
        <f>SUMIFS(INDEX(Breakdown[],0,MATCH(G$1,Breakdown[#Headers],0)),Breakdown[AEA],$A7)</f>
        <v>10374042</v>
      </c>
      <c r="H7" s="54">
        <f>SUMIFS(INDEX(Breakdown[],0,MATCH(H$1,Breakdown[#Headers],0)),Breakdown[AEA],$A7)</f>
        <v>46909</v>
      </c>
      <c r="I7" s="45">
        <f>SUMIFS(INDEX(Breakdown[],0,MATCH(I$1,Breakdown[#Headers],0)),Breakdown[AEA],$A7)</f>
        <v>44528758</v>
      </c>
      <c r="K7" s="4"/>
    </row>
    <row r="8" spans="1:16" x14ac:dyDescent="0.25">
      <c r="A8" s="37" t="str">
        <f t="array" ref="A8">IFERROR(INDEX(Detail[AEA], MATCH(0,COUNTIF(StateAidVsPropertyTax!$A$1:'StateAidVsPropertyTax'!A7, Detail[AEA]), 0)),"")</f>
        <v>12</v>
      </c>
      <c r="B8" s="38" t="str">
        <f>INDEX(Detail[],MATCH(StateAidVsPropertyTax!$A8,Detail[AEA],0),2)</f>
        <v>Northwest AEA</v>
      </c>
      <c r="C8" s="34">
        <f>SUMIFS(INDEX(Breakdown[],0,MATCH(C$1,Breakdown[#Headers],0)),Breakdown[AEA],$A8)</f>
        <v>15768181</v>
      </c>
      <c r="D8" s="34">
        <f>SUMIFS(INDEX(Breakdown[],0,MATCH(D$1,Breakdown[#Headers],0)),Breakdown[AEA],$A8)</f>
        <v>12203773</v>
      </c>
      <c r="E8" s="34">
        <f>SUMIFS(INDEX(Breakdown[],0,MATCH(E$1,Breakdown[#Headers],0)),Breakdown[AEA],$A8)</f>
        <v>2660304</v>
      </c>
      <c r="F8" s="41">
        <f>SUMIFS(INDEX(Breakdown[],0,MATCH(F$1,Breakdown[#Headers],0)),Breakdown[AEA],$A8)</f>
        <v>9543469</v>
      </c>
      <c r="G8" s="43">
        <f>SUMIFS(INDEX(Breakdown[],0,MATCH(G$1,Breakdown[#Headers],0)),Breakdown[AEA],$A8)</f>
        <v>3564408</v>
      </c>
      <c r="H8" s="54">
        <f>SUMIFS(INDEX(Breakdown[],0,MATCH(H$1,Breakdown[#Headers],0)),Breakdown[AEA],$A8)</f>
        <v>79672</v>
      </c>
      <c r="I8" s="45">
        <f>SUMIFS(INDEX(Breakdown[],0,MATCH(I$1,Breakdown[#Headers],0)),Breakdown[AEA],$A8)</f>
        <v>13187549</v>
      </c>
      <c r="K8" s="4"/>
    </row>
    <row r="9" spans="1:16" x14ac:dyDescent="0.25">
      <c r="A9" s="37" t="str">
        <f t="array" ref="A9">IFERROR(INDEX(Detail[AEA], MATCH(0,COUNTIF(StateAidVsPropertyTax!$A$1:'StateAidVsPropertyTax'!A8, Detail[AEA]), 0)),"")</f>
        <v>13</v>
      </c>
      <c r="B9" s="38" t="str">
        <f>INDEX(Detail[],MATCH(StateAidVsPropertyTax!$A9,Detail[AEA],0),2)</f>
        <v>Green Hills AEA 13</v>
      </c>
      <c r="C9" s="34">
        <f>SUMIFS(INDEX(Breakdown[],0,MATCH(C$1,Breakdown[#Headers],0)),Breakdown[AEA],$A9)</f>
        <v>14585910</v>
      </c>
      <c r="D9" s="34">
        <f>SUMIFS(INDEX(Breakdown[],0,MATCH(D$1,Breakdown[#Headers],0)),Breakdown[AEA],$A9)</f>
        <v>11505771</v>
      </c>
      <c r="E9" s="34">
        <f>SUMIFS(INDEX(Breakdown[],0,MATCH(E$1,Breakdown[#Headers],0)),Breakdown[AEA],$A9)</f>
        <v>2508136</v>
      </c>
      <c r="F9" s="41">
        <f>SUMIFS(INDEX(Breakdown[],0,MATCH(F$1,Breakdown[#Headers],0)),Breakdown[AEA],$A9)</f>
        <v>8997635</v>
      </c>
      <c r="G9" s="43">
        <f>SUMIFS(INDEX(Breakdown[],0,MATCH(G$1,Breakdown[#Headers],0)),Breakdown[AEA],$A9)</f>
        <v>3080139</v>
      </c>
      <c r="H9" s="54">
        <f>SUMIFS(INDEX(Breakdown[],0,MATCH(H$1,Breakdown[#Headers],0)),Breakdown[AEA],$A9)</f>
        <v>101921</v>
      </c>
      <c r="I9" s="45">
        <f>SUMIFS(INDEX(Breakdown[],0,MATCH(I$1,Breakdown[#Headers],0)),Breakdown[AEA],$A9)</f>
        <v>12179695</v>
      </c>
      <c r="K9" s="4"/>
    </row>
    <row r="10" spans="1:16" x14ac:dyDescent="0.25">
      <c r="A10" s="37" t="str">
        <f t="array" ref="A10">IFERROR(INDEX(Detail[AEA], MATCH(0,COUNTIF(StateAidVsPropertyTax!$A$1:'StateAidVsPropertyTax'!A9, Detail[AEA]), 0)),"")</f>
        <v>15</v>
      </c>
      <c r="B10" s="38" t="str">
        <f>INDEX(Detail[],MATCH(StateAidVsPropertyTax!$A10,Detail[AEA],0),2)</f>
        <v>Great Prairie AEA 15</v>
      </c>
      <c r="C10" s="34">
        <f>SUMIFS(INDEX(Breakdown[],0,MATCH(C$1,Breakdown[#Headers],0)),Breakdown[AEA],$A10)</f>
        <v>12960059</v>
      </c>
      <c r="D10" s="34">
        <f>SUMIFS(INDEX(Breakdown[],0,MATCH(D$1,Breakdown[#Headers],0)),Breakdown[AEA],$A10)</f>
        <v>10302723</v>
      </c>
      <c r="E10" s="34">
        <f>SUMIFS(INDEX(Breakdown[],0,MATCH(E$1,Breakdown[#Headers],0)),Breakdown[AEA],$A10)</f>
        <v>2245888</v>
      </c>
      <c r="F10" s="41">
        <f>SUMIFS(INDEX(Breakdown[],0,MATCH(F$1,Breakdown[#Headers],0)),Breakdown[AEA],$A10)</f>
        <v>8056835</v>
      </c>
      <c r="G10" s="43">
        <f>SUMIFS(INDEX(Breakdown[],0,MATCH(G$1,Breakdown[#Headers],0)),Breakdown[AEA],$A10)</f>
        <v>2657336</v>
      </c>
      <c r="H10" s="54">
        <f>SUMIFS(INDEX(Breakdown[],0,MATCH(H$1,Breakdown[#Headers],0)),Breakdown[AEA],$A10)</f>
        <v>121335</v>
      </c>
      <c r="I10" s="45">
        <f>SUMIFS(INDEX(Breakdown[],0,MATCH(I$1,Breakdown[#Headers],0)),Breakdown[AEA],$A10)</f>
        <v>10835506</v>
      </c>
      <c r="K10" s="4"/>
    </row>
    <row r="11" spans="1:16" ht="15.75" thickBot="1" x14ac:dyDescent="0.3">
      <c r="C11" s="36">
        <f>SUM(C2:C10)</f>
        <v>188895767</v>
      </c>
      <c r="D11" s="36">
        <f t="shared" ref="D11:H11" si="0">SUM(D2:D10)</f>
        <v>149089508</v>
      </c>
      <c r="E11" s="36">
        <f t="shared" si="0"/>
        <v>32500000</v>
      </c>
      <c r="F11" s="42">
        <f t="shared" si="0"/>
        <v>116589508</v>
      </c>
      <c r="G11" s="44">
        <f t="shared" si="0"/>
        <v>39806259</v>
      </c>
      <c r="H11" s="55">
        <f t="shared" si="0"/>
        <v>834646</v>
      </c>
      <c r="I11" s="46">
        <f t="shared" ref="I11" si="1">SUM(I2:I10)</f>
        <v>157230413</v>
      </c>
    </row>
    <row r="12" spans="1:16" ht="7.5" customHeight="1" thickTop="1" x14ac:dyDescent="0.25"/>
    <row r="13" spans="1:16" ht="45" x14ac:dyDescent="0.25">
      <c r="A13" s="53" t="str">
        <f t="shared" ref="A13:B22" si="2">A1</f>
        <v>AEA</v>
      </c>
      <c r="B13" s="53" t="str">
        <f t="shared" si="2"/>
        <v>AEA Name</v>
      </c>
      <c r="C13" s="51" t="str">
        <f>Breakdown[[#Headers],[State Aid Portion Sharing Operations]]</f>
        <v>State Aid Portion Sharing Operations</v>
      </c>
      <c r="D13" s="52" t="str">
        <f>Breakdown[[#Headers],[Sharing Operations Property Tax]]</f>
        <v>Sharing Operations Property Tax</v>
      </c>
      <c r="E13" s="50" t="str">
        <f>Breakdown[[#Headers],[Total AEA Sharing Operations]]</f>
        <v>Total AEA Sharing Operations</v>
      </c>
      <c r="F13" s="51" t="str">
        <f>Breakdown[[#Headers],[AEA Teacher Salary Supplement District Cost]]</f>
        <v>AEA Teacher Salary Supplement District Cost</v>
      </c>
    </row>
    <row r="14" spans="1:16" x14ac:dyDescent="0.25">
      <c r="A14" s="40" t="str">
        <f t="shared" si="2"/>
        <v>01</v>
      </c>
      <c r="B14" s="40" t="str">
        <f t="shared" si="2"/>
        <v>Keystone AEA 1</v>
      </c>
      <c r="C14" s="41">
        <f>SUMIFS(INDEX(Breakdown[],0,MATCH(C$13,Breakdown[#Headers],0)),Breakdown[AEA],$A14)</f>
        <v>22724</v>
      </c>
      <c r="D14" s="43">
        <f>SUMIFS(INDEX(Breakdown[],0,MATCH(D$13,Breakdown[#Headers],0)),Breakdown[AEA],$A14)</f>
        <v>7277</v>
      </c>
      <c r="E14" s="47">
        <f>SUMIFS(INDEX(Breakdown[],0,MATCH(E$13,Breakdown[#Headers],0)),Breakdown[AEA],$A14)</f>
        <v>30001</v>
      </c>
      <c r="F14" s="41">
        <f>SUMIFS(INDEX(Breakdown[],0,MATCH(F$13,Breakdown[#Headers],0)),Breakdown[AEA],$A14)</f>
        <v>1138633</v>
      </c>
    </row>
    <row r="15" spans="1:16" x14ac:dyDescent="0.25">
      <c r="A15" s="40" t="str">
        <f t="shared" si="2"/>
        <v>05</v>
      </c>
      <c r="B15" s="40" t="str">
        <f t="shared" si="2"/>
        <v>Prairie Lakes AEA 8</v>
      </c>
      <c r="C15" s="41">
        <f>SUMIFS(INDEX(Breakdown[],0,MATCH(C$13,Breakdown[#Headers],0)),Breakdown[AEA],$A15)</f>
        <v>0</v>
      </c>
      <c r="D15" s="43">
        <f>SUMIFS(INDEX(Breakdown[],0,MATCH(D$13,Breakdown[#Headers],0)),Breakdown[AEA],$A15)</f>
        <v>0</v>
      </c>
      <c r="E15" s="47">
        <f>SUMIFS(INDEX(Breakdown[],0,MATCH(E$13,Breakdown[#Headers],0)),Breakdown[AEA],$A15)</f>
        <v>0</v>
      </c>
      <c r="F15" s="41">
        <f>SUMIFS(INDEX(Breakdown[],0,MATCH(F$13,Breakdown[#Headers],0)),Breakdown[AEA],$A15)</f>
        <v>1264347</v>
      </c>
      <c r="G15" s="62" t="s">
        <v>359</v>
      </c>
    </row>
    <row r="16" spans="1:16" x14ac:dyDescent="0.25">
      <c r="A16" s="40" t="str">
        <f t="shared" si="2"/>
        <v>07</v>
      </c>
      <c r="B16" s="40" t="str">
        <f t="shared" si="2"/>
        <v>Central Rivers</v>
      </c>
      <c r="C16" s="41">
        <f>SUMIFS(INDEX(Breakdown[],0,MATCH(C$13,Breakdown[#Headers],0)),Breakdown[AEA],$A16)</f>
        <v>23433</v>
      </c>
      <c r="D16" s="43">
        <f>SUMIFS(INDEX(Breakdown[],0,MATCH(D$13,Breakdown[#Headers],0)),Breakdown[AEA],$A16)</f>
        <v>6567</v>
      </c>
      <c r="E16" s="47">
        <f>SUMIFS(INDEX(Breakdown[],0,MATCH(E$13,Breakdown[#Headers],0)),Breakdown[AEA],$A16)</f>
        <v>30000</v>
      </c>
      <c r="F16" s="41">
        <f>SUMIFS(INDEX(Breakdown[],0,MATCH(F$13,Breakdown[#Headers],0)),Breakdown[AEA],$A16)</f>
        <v>2996590</v>
      </c>
      <c r="G16" s="62"/>
    </row>
    <row r="17" spans="1:11" x14ac:dyDescent="0.25">
      <c r="A17" s="40" t="str">
        <f t="shared" si="2"/>
        <v>09</v>
      </c>
      <c r="B17" s="40" t="str">
        <f t="shared" si="2"/>
        <v>Mississippi Bend AEA 9</v>
      </c>
      <c r="C17" s="41">
        <f>SUMIFS(INDEX(Breakdown[],0,MATCH(C$13,Breakdown[#Headers],0)),Breakdown[AEA],$A17)</f>
        <v>23600</v>
      </c>
      <c r="D17" s="43">
        <f>SUMIFS(INDEX(Breakdown[],0,MATCH(D$13,Breakdown[#Headers],0)),Breakdown[AEA],$A17)</f>
        <v>6401</v>
      </c>
      <c r="E17" s="47">
        <f>SUMIFS(INDEX(Breakdown[],0,MATCH(E$13,Breakdown[#Headers],0)),Breakdown[AEA],$A17)</f>
        <v>30001</v>
      </c>
      <c r="F17" s="41">
        <f>SUMIFS(INDEX(Breakdown[],0,MATCH(F$13,Breakdown[#Headers],0)),Breakdown[AEA],$A17)</f>
        <v>1615203</v>
      </c>
      <c r="G17" s="63" t="s">
        <v>739</v>
      </c>
    </row>
    <row r="18" spans="1:11" x14ac:dyDescent="0.25">
      <c r="A18" s="40" t="str">
        <f t="shared" si="2"/>
        <v>10</v>
      </c>
      <c r="B18" s="40" t="str">
        <f t="shared" si="2"/>
        <v>Grant Wood AEA 10</v>
      </c>
      <c r="C18" s="41">
        <f>SUMIFS(INDEX(Breakdown[],0,MATCH(C$13,Breakdown[#Headers],0)),Breakdown[AEA],$A18)</f>
        <v>23732</v>
      </c>
      <c r="D18" s="43">
        <f>SUMIFS(INDEX(Breakdown[],0,MATCH(D$13,Breakdown[#Headers],0)),Breakdown[AEA],$A18)</f>
        <v>6268</v>
      </c>
      <c r="E18" s="47">
        <f>SUMIFS(INDEX(Breakdown[],0,MATCH(E$13,Breakdown[#Headers],0)),Breakdown[AEA],$A18)</f>
        <v>30000</v>
      </c>
      <c r="F18" s="41">
        <f>SUMIFS(INDEX(Breakdown[],0,MATCH(F$13,Breakdown[#Headers],0)),Breakdown[AEA],$A18)</f>
        <v>2515465</v>
      </c>
      <c r="G18" s="63"/>
    </row>
    <row r="19" spans="1:11" x14ac:dyDescent="0.25">
      <c r="A19" s="40" t="str">
        <f t="shared" si="2"/>
        <v>11</v>
      </c>
      <c r="B19" s="40" t="str">
        <f t="shared" si="2"/>
        <v>Heartland AEA 11</v>
      </c>
      <c r="C19" s="41">
        <f>SUMIFS(INDEX(Breakdown[],0,MATCH(C$13,Breakdown[#Headers],0)),Breakdown[AEA],$A19)</f>
        <v>0</v>
      </c>
      <c r="D19" s="43">
        <f>SUMIFS(INDEX(Breakdown[],0,MATCH(D$13,Breakdown[#Headers],0)),Breakdown[AEA],$A19)</f>
        <v>0</v>
      </c>
      <c r="E19" s="47">
        <f>SUMIFS(INDEX(Breakdown[],0,MATCH(E$13,Breakdown[#Headers],0)),Breakdown[AEA],$A19)</f>
        <v>0</v>
      </c>
      <c r="F19" s="41">
        <f>SUMIFS(INDEX(Breakdown[],0,MATCH(F$13,Breakdown[#Headers],0)),Breakdown[AEA],$A19)</f>
        <v>4623704</v>
      </c>
    </row>
    <row r="20" spans="1:11" x14ac:dyDescent="0.25">
      <c r="A20" s="40" t="str">
        <f t="shared" si="2"/>
        <v>12</v>
      </c>
      <c r="B20" s="40" t="str">
        <f t="shared" si="2"/>
        <v>Northwest AEA</v>
      </c>
      <c r="C20" s="41">
        <f>SUMIFS(INDEX(Breakdown[],0,MATCH(C$13,Breakdown[#Headers],0)),Breakdown[AEA],$A20)</f>
        <v>23222</v>
      </c>
      <c r="D20" s="43">
        <f>SUMIFS(INDEX(Breakdown[],0,MATCH(D$13,Breakdown[#Headers],0)),Breakdown[AEA],$A20)</f>
        <v>6778</v>
      </c>
      <c r="E20" s="47">
        <f>SUMIFS(INDEX(Breakdown[],0,MATCH(E$13,Breakdown[#Headers],0)),Breakdown[AEA],$A20)</f>
        <v>30000</v>
      </c>
      <c r="F20" s="41">
        <f>SUMIFS(INDEX(Breakdown[],0,MATCH(F$13,Breakdown[#Headers],0)),Breakdown[AEA],$A20)</f>
        <v>1595606</v>
      </c>
    </row>
    <row r="21" spans="1:11" x14ac:dyDescent="0.25">
      <c r="A21" s="40" t="str">
        <f t="shared" si="2"/>
        <v>13</v>
      </c>
      <c r="B21" s="40" t="str">
        <f t="shared" si="2"/>
        <v>Green Hills AEA 13</v>
      </c>
      <c r="C21" s="41">
        <f>SUMIFS(INDEX(Breakdown[],0,MATCH(C$13,Breakdown[#Headers],0)),Breakdown[AEA],$A21)</f>
        <v>23667</v>
      </c>
      <c r="D21" s="43">
        <f>SUMIFS(INDEX(Breakdown[],0,MATCH(D$13,Breakdown[#Headers],0)),Breakdown[AEA],$A21)</f>
        <v>6334</v>
      </c>
      <c r="E21" s="47">
        <f>SUMIFS(INDEX(Breakdown[],0,MATCH(E$13,Breakdown[#Headers],0)),Breakdown[AEA],$A21)</f>
        <v>30001</v>
      </c>
      <c r="F21" s="41">
        <f>SUMIFS(INDEX(Breakdown[],0,MATCH(F$13,Breakdown[#Headers],0)),Breakdown[AEA],$A21)</f>
        <v>1506001</v>
      </c>
    </row>
    <row r="22" spans="1:11" x14ac:dyDescent="0.25">
      <c r="A22" s="40" t="str">
        <f t="shared" si="2"/>
        <v>15</v>
      </c>
      <c r="B22" s="40" t="str">
        <f t="shared" si="2"/>
        <v>Great Prairie AEA 15</v>
      </c>
      <c r="C22" s="41">
        <f>SUMIFS(INDEX(Breakdown[],0,MATCH(C$13,Breakdown[#Headers],0)),Breakdown[AEA],$A22)</f>
        <v>23849</v>
      </c>
      <c r="D22" s="43">
        <f>SUMIFS(INDEX(Breakdown[],0,MATCH(D$13,Breakdown[#Headers],0)),Breakdown[AEA],$A22)</f>
        <v>6152</v>
      </c>
      <c r="E22" s="47">
        <f>SUMIFS(INDEX(Breakdown[],0,MATCH(E$13,Breakdown[#Headers],0)),Breakdown[AEA],$A22)</f>
        <v>30001</v>
      </c>
      <c r="F22" s="41">
        <f>SUMIFS(INDEX(Breakdown[],0,MATCH(F$13,Breakdown[#Headers],0)),Breakdown[AEA],$A22)</f>
        <v>1308929</v>
      </c>
    </row>
    <row r="23" spans="1:11" ht="15.75" thickBot="1" x14ac:dyDescent="0.3">
      <c r="A23" s="39"/>
      <c r="B23" s="39"/>
      <c r="C23" s="42">
        <f>SUM(C14:C22)</f>
        <v>164227</v>
      </c>
      <c r="D23" s="44">
        <f>SUM(D14:D22)</f>
        <v>45777</v>
      </c>
      <c r="E23" s="48">
        <f>SUM(E14:E22)</f>
        <v>210004</v>
      </c>
      <c r="F23" s="42">
        <f>SUM(F14:F22)</f>
        <v>18564478</v>
      </c>
    </row>
    <row r="24" spans="1:11" ht="7.5" customHeight="1" thickTop="1" x14ac:dyDescent="0.25">
      <c r="A24" s="39"/>
      <c r="B24" s="39"/>
      <c r="F24" s="4"/>
      <c r="G24" s="4"/>
      <c r="H24" s="4"/>
    </row>
    <row r="25" spans="1:11" ht="30" x14ac:dyDescent="0.25">
      <c r="A25" s="53" t="str">
        <f t="shared" ref="A25:B34" si="3">A13</f>
        <v>AEA</v>
      </c>
      <c r="B25" s="53" t="str">
        <f t="shared" si="3"/>
        <v>AEA Name</v>
      </c>
      <c r="C25" s="52" t="str">
        <f>Breakdown[[#Headers],[AEA Media Services District Cost - 40%]]</f>
        <v>AEA Media Services District Cost - 40%</v>
      </c>
      <c r="D25" s="52" t="str">
        <f>Breakdown[[#Headers],[AEA Ed Services District Cost - 40%]]</f>
        <v>AEA Ed Services District Cost - 40%</v>
      </c>
      <c r="E25" s="50" t="str">
        <f>Breakdown[[#Headers],[Total Budget]]</f>
        <v>Total Budget</v>
      </c>
      <c r="F25" s="50" t="str">
        <f>Breakdown[[#Headers],[State Aid Portion]]</f>
        <v>State Aid Portion</v>
      </c>
      <c r="G25" s="50" t="str">
        <f>Breakdown[[#Headers],[Property Tax Portion]]</f>
        <v>Property Tax Portion</v>
      </c>
    </row>
    <row r="26" spans="1:11" x14ac:dyDescent="0.25">
      <c r="A26" s="38" t="str">
        <f t="shared" si="3"/>
        <v>01</v>
      </c>
      <c r="B26" s="38" t="str">
        <f t="shared" si="3"/>
        <v>Keystone AEA 1</v>
      </c>
      <c r="C26" s="43">
        <f>SUMIFS(INDEX(Breakdown[],0,MATCH(C$25,Breakdown[#Headers],0)),Breakdown[AEA],$A26)</f>
        <v>807734</v>
      </c>
      <c r="D26" s="43">
        <f>SUMIFS(INDEX(Breakdown[],0,MATCH(D$25,Breakdown[#Headers],0)),Breakdown[AEA],$A26)</f>
        <v>899752</v>
      </c>
      <c r="E26" s="47">
        <f>SUMIFS(INDEX(Breakdown[],0,MATCH(E$25,Breakdown[#Headers],0)),Breakdown[AEA],$A26)</f>
        <v>12472698</v>
      </c>
      <c r="F26" s="60">
        <f>SUMIFS(INDEX(Breakdown[],0,MATCH(F$25,Breakdown[#Headers],0)),Breakdown[AEA],$A26)</f>
        <v>7959399</v>
      </c>
      <c r="G26" s="60">
        <f>SUMIFS(INDEX(Breakdown[],0,MATCH(G$25,Breakdown[#Headers],0)),Breakdown[AEA],$A26)</f>
        <v>4513299</v>
      </c>
    </row>
    <row r="27" spans="1:11" x14ac:dyDescent="0.25">
      <c r="A27" s="38" t="str">
        <f t="shared" si="3"/>
        <v>05</v>
      </c>
      <c r="B27" s="38" t="str">
        <f t="shared" si="3"/>
        <v>Prairie Lakes AEA 8</v>
      </c>
      <c r="C27" s="43">
        <f>SUMIFS(INDEX(Breakdown[],0,MATCH(C$25,Breakdown[#Headers],0)),Breakdown[AEA],$A27)</f>
        <v>816737</v>
      </c>
      <c r="D27" s="43">
        <f>SUMIFS(INDEX(Breakdown[],0,MATCH(D$25,Breakdown[#Headers],0)),Breakdown[AEA],$A27)</f>
        <v>914643</v>
      </c>
      <c r="E27" s="47">
        <f>SUMIFS(INDEX(Breakdown[],0,MATCH(E$25,Breakdown[#Headers],0)),Breakdown[AEA],$A27)</f>
        <v>13007855</v>
      </c>
      <c r="F27" s="60">
        <f>SUMIFS(INDEX(Breakdown[],0,MATCH(F$25,Breakdown[#Headers],0)),Breakdown[AEA],$A27)</f>
        <v>8370719</v>
      </c>
      <c r="G27" s="60">
        <f>SUMIFS(INDEX(Breakdown[],0,MATCH(G$25,Breakdown[#Headers],0)),Breakdown[AEA],$A27)</f>
        <v>4637136</v>
      </c>
    </row>
    <row r="28" spans="1:11" x14ac:dyDescent="0.25">
      <c r="A28" s="38" t="str">
        <f t="shared" si="3"/>
        <v>07</v>
      </c>
      <c r="B28" s="38" t="str">
        <f t="shared" si="3"/>
        <v>Central Rivers</v>
      </c>
      <c r="C28" s="43">
        <f>SUMIFS(INDEX(Breakdown[],0,MATCH(C$25,Breakdown[#Headers],0)),Breakdown[AEA],$A28)</f>
        <v>1645929</v>
      </c>
      <c r="D28" s="43">
        <f>SUMIFS(INDEX(Breakdown[],0,MATCH(D$25,Breakdown[#Headers],0)),Breakdown[AEA],$A28)</f>
        <v>1834892</v>
      </c>
      <c r="E28" s="47">
        <f>SUMIFS(INDEX(Breakdown[],0,MATCH(E$25,Breakdown[#Headers],0)),Breakdown[AEA],$A28)</f>
        <v>26773961</v>
      </c>
      <c r="F28" s="60">
        <f>SUMIFS(INDEX(Breakdown[],0,MATCH(F$25,Breakdown[#Headers],0)),Breakdown[AEA],$A28)</f>
        <v>17854855</v>
      </c>
      <c r="G28" s="60">
        <f>SUMIFS(INDEX(Breakdown[],0,MATCH(G$25,Breakdown[#Headers],0)),Breakdown[AEA],$A28)</f>
        <v>8919106</v>
      </c>
      <c r="J28" s="4"/>
      <c r="K28" s="4"/>
    </row>
    <row r="29" spans="1:11" x14ac:dyDescent="0.25">
      <c r="A29" s="38" t="str">
        <f t="shared" si="3"/>
        <v>09</v>
      </c>
      <c r="B29" s="38" t="str">
        <f t="shared" si="3"/>
        <v>Mississippi Bend AEA 9</v>
      </c>
      <c r="C29" s="43">
        <f>SUMIFS(INDEX(Breakdown[],0,MATCH(C$25,Breakdown[#Headers],0)),Breakdown[AEA],$A29)</f>
        <v>1215736</v>
      </c>
      <c r="D29" s="43">
        <f>SUMIFS(INDEX(Breakdown[],0,MATCH(D$25,Breakdown[#Headers],0)),Breakdown[AEA],$A29)</f>
        <v>1329022</v>
      </c>
      <c r="E29" s="47">
        <f>SUMIFS(INDEX(Breakdown[],0,MATCH(E$25,Breakdown[#Headers],0)),Breakdown[AEA],$A29)</f>
        <v>18790619</v>
      </c>
      <c r="F29" s="60">
        <f>SUMIFS(INDEX(Breakdown[],0,MATCH(F$25,Breakdown[#Headers],0)),Breakdown[AEA],$A29)</f>
        <v>12400626</v>
      </c>
      <c r="G29" s="60">
        <f>SUMIFS(INDEX(Breakdown[],0,MATCH(G$25,Breakdown[#Headers],0)),Breakdown[AEA],$A29)</f>
        <v>6389993</v>
      </c>
    </row>
    <row r="30" spans="1:11" x14ac:dyDescent="0.25">
      <c r="A30" s="38" t="str">
        <f t="shared" si="3"/>
        <v>10</v>
      </c>
      <c r="B30" s="38" t="str">
        <f t="shared" si="3"/>
        <v>Grant Wood AEA 10</v>
      </c>
      <c r="C30" s="43">
        <f>SUMIFS(INDEX(Breakdown[],0,MATCH(C$25,Breakdown[#Headers],0)),Breakdown[AEA],$A30)</f>
        <v>1885841</v>
      </c>
      <c r="D30" s="43">
        <f>SUMIFS(INDEX(Breakdown[],0,MATCH(D$25,Breakdown[#Headers],0)),Breakdown[AEA],$A30)</f>
        <v>2073506</v>
      </c>
      <c r="E30" s="47">
        <f>SUMIFS(INDEX(Breakdown[],0,MATCH(E$25,Breakdown[#Headers],0)),Breakdown[AEA],$A30)</f>
        <v>28527804</v>
      </c>
      <c r="F30" s="60">
        <f>SUMIFS(INDEX(Breakdown[],0,MATCH(F$25,Breakdown[#Headers],0)),Breakdown[AEA],$A30)</f>
        <v>18921885</v>
      </c>
      <c r="G30" s="60">
        <f>SUMIFS(INDEX(Breakdown[],0,MATCH(G$25,Breakdown[#Headers],0)),Breakdown[AEA],$A30)</f>
        <v>9605919</v>
      </c>
    </row>
    <row r="31" spans="1:11" x14ac:dyDescent="0.25">
      <c r="A31" s="38" t="str">
        <f t="shared" si="3"/>
        <v>11</v>
      </c>
      <c r="B31" s="38" t="str">
        <f t="shared" si="3"/>
        <v>Heartland AEA 11</v>
      </c>
      <c r="C31" s="43">
        <f>SUMIFS(INDEX(Breakdown[],0,MATCH(C$25,Breakdown[#Headers],0)),Breakdown[AEA],$A31)</f>
        <v>3884077</v>
      </c>
      <c r="D31" s="43">
        <f>SUMIFS(INDEX(Breakdown[],0,MATCH(D$25,Breakdown[#Headers],0)),Breakdown[AEA],$A31)</f>
        <v>4267657</v>
      </c>
      <c r="E31" s="47">
        <f>SUMIFS(INDEX(Breakdown[],0,MATCH(E$25,Breakdown[#Headers],0)),Breakdown[AEA],$A31)</f>
        <v>57304196</v>
      </c>
      <c r="F31" s="60">
        <f>SUMIFS(INDEX(Breakdown[],0,MATCH(F$25,Breakdown[#Headers],0)),Breakdown[AEA],$A31)</f>
        <v>38731511</v>
      </c>
      <c r="G31" s="60">
        <f>SUMIFS(INDEX(Breakdown[],0,MATCH(G$25,Breakdown[#Headers],0)),Breakdown[AEA],$A31)</f>
        <v>18572685</v>
      </c>
    </row>
    <row r="32" spans="1:11" x14ac:dyDescent="0.25">
      <c r="A32" s="38" t="str">
        <f t="shared" si="3"/>
        <v>12</v>
      </c>
      <c r="B32" s="38" t="str">
        <f t="shared" si="3"/>
        <v>Northwest AEA</v>
      </c>
      <c r="C32" s="43">
        <f>SUMIFS(INDEX(Breakdown[],0,MATCH(C$25,Breakdown[#Headers],0)),Breakdown[AEA],$A32)</f>
        <v>1150261</v>
      </c>
      <c r="D32" s="43">
        <f>SUMIFS(INDEX(Breakdown[],0,MATCH(D$25,Breakdown[#Headers],0)),Breakdown[AEA],$A32)</f>
        <v>1287750</v>
      </c>
      <c r="E32" s="47">
        <f>SUMIFS(INDEX(Breakdown[],0,MATCH(E$25,Breakdown[#Headers],0)),Breakdown[AEA],$A32)</f>
        <v>17251166</v>
      </c>
      <c r="F32" s="60">
        <f>SUMIFS(INDEX(Breakdown[],0,MATCH(F$25,Breakdown[#Headers],0)),Breakdown[AEA],$A32)</f>
        <v>11162299</v>
      </c>
      <c r="G32" s="60">
        <f>SUMIFS(INDEX(Breakdown[],0,MATCH(G$25,Breakdown[#Headers],0)),Breakdown[AEA],$A32)</f>
        <v>6088867</v>
      </c>
    </row>
    <row r="33" spans="1:8" x14ac:dyDescent="0.25">
      <c r="A33" s="38" t="str">
        <f t="shared" si="3"/>
        <v>13</v>
      </c>
      <c r="B33" s="38" t="str">
        <f t="shared" si="3"/>
        <v>Green Hills AEA 13</v>
      </c>
      <c r="C33" s="43">
        <f>SUMIFS(INDEX(Breakdown[],0,MATCH(C$25,Breakdown[#Headers],0)),Breakdown[AEA],$A33)</f>
        <v>960922</v>
      </c>
      <c r="D33" s="43">
        <f>SUMIFS(INDEX(Breakdown[],0,MATCH(D$25,Breakdown[#Headers],0)),Breakdown[AEA],$A33)</f>
        <v>1062418</v>
      </c>
      <c r="E33" s="47">
        <f>SUMIFS(INDEX(Breakdown[],0,MATCH(E$25,Breakdown[#Headers],0)),Breakdown[AEA],$A33)</f>
        <v>15739037</v>
      </c>
      <c r="F33" s="60">
        <f>SUMIFS(INDEX(Breakdown[],0,MATCH(F$25,Breakdown[#Headers],0)),Breakdown[AEA],$A33)</f>
        <v>10527304</v>
      </c>
      <c r="G33" s="60">
        <f>SUMIFS(INDEX(Breakdown[],0,MATCH(G$25,Breakdown[#Headers],0)),Breakdown[AEA],$A33)</f>
        <v>5211733</v>
      </c>
    </row>
    <row r="34" spans="1:8" x14ac:dyDescent="0.25">
      <c r="A34" s="38" t="str">
        <f t="shared" si="3"/>
        <v>15</v>
      </c>
      <c r="B34" s="38" t="str">
        <f t="shared" si="3"/>
        <v>Great Prairie AEA 15</v>
      </c>
      <c r="C34" s="43">
        <f>SUMIFS(INDEX(Breakdown[],0,MATCH(C$25,Breakdown[#Headers],0)),Breakdown[AEA],$A34)</f>
        <v>885624</v>
      </c>
      <c r="D34" s="43">
        <f>SUMIFS(INDEX(Breakdown[],0,MATCH(D$25,Breakdown[#Headers],0)),Breakdown[AEA],$A34)</f>
        <v>973641</v>
      </c>
      <c r="E34" s="47">
        <f>SUMIFS(INDEX(Breakdown[],0,MATCH(E$25,Breakdown[#Headers],0)),Breakdown[AEA],$A34)</f>
        <v>14033701</v>
      </c>
      <c r="F34" s="60">
        <f>SUMIFS(INDEX(Breakdown[],0,MATCH(F$25,Breakdown[#Headers],0)),Breakdown[AEA],$A34)</f>
        <v>9389615</v>
      </c>
      <c r="G34" s="60">
        <f>SUMIFS(INDEX(Breakdown[],0,MATCH(G$25,Breakdown[#Headers],0)),Breakdown[AEA],$A34)</f>
        <v>4644086</v>
      </c>
    </row>
    <row r="35" spans="1:8" ht="15.75" thickBot="1" x14ac:dyDescent="0.3">
      <c r="C35" s="44">
        <f t="shared" ref="C35:G35" si="4">SUM(C26:C34)</f>
        <v>13252861</v>
      </c>
      <c r="D35" s="44">
        <f t="shared" si="4"/>
        <v>14643281</v>
      </c>
      <c r="E35" s="48">
        <f t="shared" si="4"/>
        <v>203901037</v>
      </c>
      <c r="F35" s="61">
        <f t="shared" si="4"/>
        <v>135318213</v>
      </c>
      <c r="G35" s="61">
        <f t="shared" si="4"/>
        <v>68582824</v>
      </c>
    </row>
    <row r="36" spans="1:8" ht="15.75" thickTop="1" x14ac:dyDescent="0.25"/>
    <row r="38" spans="1:8" x14ac:dyDescent="0.25">
      <c r="H38" s="4"/>
    </row>
  </sheetData>
  <sheetProtection sheet="1" objects="1" scenarios="1"/>
  <mergeCells count="2">
    <mergeCell ref="G15:G16"/>
    <mergeCell ref="G17:G18"/>
  </mergeCells>
  <pageMargins left="0.25" right="0.25" top="0.75" bottom="0.75" header="0.3" footer="0.3"/>
  <pageSetup scale="77" orientation="landscape" r:id="rId1"/>
  <headerFooter>
    <oddHeader xml:space="preserve">&amp;C&amp;"-,Bold"&amp;14FY 2025 AEA Enrollments and Cost - Final - State Aid and Property Tax Breakdown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B26CD-5AB5-4E72-97C5-65916541106C}">
  <dimension ref="A1:U326"/>
  <sheetViews>
    <sheetView workbookViewId="0">
      <selection sqref="A1:U326"/>
    </sheetView>
  </sheetViews>
  <sheetFormatPr defaultRowHeight="15" x14ac:dyDescent="0.25"/>
  <cols>
    <col min="1" max="1" width="9.140625" style="1"/>
    <col min="2" max="2" width="12.42578125" customWidth="1"/>
    <col min="3" max="3" width="9.140625" style="1"/>
    <col min="4" max="4" width="9.42578125" customWidth="1"/>
    <col min="5" max="5" width="52.7109375" customWidth="1"/>
    <col min="6" max="6" width="27.42578125" customWidth="1"/>
    <col min="7" max="7" width="34" customWidth="1"/>
    <col min="8" max="8" width="35.85546875" customWidth="1"/>
    <col min="9" max="9" width="37.140625" customWidth="1"/>
    <col min="10" max="10" width="24.7109375" customWidth="1"/>
    <col min="11" max="11" width="35.42578125" customWidth="1"/>
    <col min="12" max="12" width="30.28515625" customWidth="1"/>
    <col min="13" max="13" width="42.140625" customWidth="1"/>
    <col min="14" max="14" width="53" customWidth="1"/>
    <col min="15" max="15" width="34.28515625" customWidth="1"/>
    <col min="16" max="16" width="31.5703125" customWidth="1"/>
    <col min="17" max="17" width="28" customWidth="1"/>
    <col min="18" max="18" width="14.28515625" customWidth="1"/>
    <col min="19" max="19" width="21.28515625" customWidth="1"/>
    <col min="20" max="20" width="18.140625" customWidth="1"/>
  </cols>
  <sheetData>
    <row r="1" spans="1:21" x14ac:dyDescent="0.25">
      <c r="A1" s="1" t="s">
        <v>361</v>
      </c>
      <c r="B1" t="s">
        <v>362</v>
      </c>
      <c r="C1" s="1" t="s">
        <v>721</v>
      </c>
      <c r="D1" t="s">
        <v>363</v>
      </c>
      <c r="E1" t="s">
        <v>737</v>
      </c>
      <c r="F1" t="s">
        <v>733</v>
      </c>
      <c r="G1" t="s">
        <v>357</v>
      </c>
      <c r="H1" t="s">
        <v>734</v>
      </c>
      <c r="I1" t="s">
        <v>735</v>
      </c>
      <c r="J1" t="s">
        <v>365</v>
      </c>
      <c r="K1" t="s">
        <v>741</v>
      </c>
      <c r="L1" t="s">
        <v>736</v>
      </c>
      <c r="M1" t="s">
        <v>738</v>
      </c>
      <c r="N1" t="s">
        <v>740</v>
      </c>
      <c r="O1" t="s">
        <v>355</v>
      </c>
      <c r="P1" t="s">
        <v>385</v>
      </c>
      <c r="Q1" t="s">
        <v>747</v>
      </c>
      <c r="R1" t="s">
        <v>748</v>
      </c>
      <c r="S1" t="s">
        <v>358</v>
      </c>
      <c r="T1" t="s">
        <v>359</v>
      </c>
      <c r="U1" t="s">
        <v>360</v>
      </c>
    </row>
    <row r="2" spans="1:21" x14ac:dyDescent="0.25">
      <c r="A2" s="1" t="s">
        <v>0</v>
      </c>
      <c r="B2" t="s">
        <v>722</v>
      </c>
      <c r="C2" s="1" t="s">
        <v>1</v>
      </c>
      <c r="D2" t="s">
        <v>405</v>
      </c>
      <c r="E2" s="4">
        <v>451115</v>
      </c>
      <c r="F2" s="4">
        <v>341677</v>
      </c>
      <c r="G2" s="4">
        <v>74482</v>
      </c>
      <c r="H2" s="4">
        <v>267195</v>
      </c>
      <c r="I2" s="4">
        <v>109438</v>
      </c>
      <c r="J2" s="4">
        <v>0</v>
      </c>
      <c r="K2" s="4">
        <v>376633</v>
      </c>
      <c r="L2">
        <v>894</v>
      </c>
      <c r="M2" s="4">
        <v>286</v>
      </c>
      <c r="N2" s="4">
        <v>1180</v>
      </c>
      <c r="O2" s="4">
        <v>44709</v>
      </c>
      <c r="P2" s="4">
        <v>0</v>
      </c>
      <c r="Q2" s="4">
        <v>32174</v>
      </c>
      <c r="R2" s="4">
        <v>35840</v>
      </c>
      <c r="S2" s="4">
        <v>490536</v>
      </c>
      <c r="T2" s="4">
        <v>312798</v>
      </c>
      <c r="U2" s="4">
        <v>177738</v>
      </c>
    </row>
    <row r="3" spans="1:21" x14ac:dyDescent="0.25">
      <c r="A3" s="1" t="s">
        <v>0</v>
      </c>
      <c r="B3" t="s">
        <v>722</v>
      </c>
      <c r="C3" s="1" t="s">
        <v>2</v>
      </c>
      <c r="D3" t="s">
        <v>406</v>
      </c>
      <c r="E3" s="4">
        <v>191505</v>
      </c>
      <c r="F3" s="4">
        <v>145047</v>
      </c>
      <c r="G3" s="4">
        <v>31619</v>
      </c>
      <c r="H3" s="4">
        <v>113428</v>
      </c>
      <c r="I3" s="4">
        <v>46458</v>
      </c>
      <c r="J3">
        <v>0</v>
      </c>
      <c r="K3">
        <v>159886</v>
      </c>
      <c r="L3">
        <v>381</v>
      </c>
      <c r="M3" s="4">
        <v>122</v>
      </c>
      <c r="N3" s="4">
        <v>503</v>
      </c>
      <c r="O3" s="4">
        <v>18980</v>
      </c>
      <c r="P3" s="4">
        <v>0</v>
      </c>
      <c r="Q3" s="4">
        <v>11953</v>
      </c>
      <c r="R3" s="4">
        <v>13315</v>
      </c>
      <c r="S3" s="4">
        <v>204637</v>
      </c>
      <c r="T3" s="4">
        <v>132788</v>
      </c>
      <c r="U3" s="4">
        <v>71849</v>
      </c>
    </row>
    <row r="4" spans="1:21" x14ac:dyDescent="0.25">
      <c r="A4" s="1" t="s">
        <v>0</v>
      </c>
      <c r="B4" t="s">
        <v>722</v>
      </c>
      <c r="C4" s="1" t="s">
        <v>3</v>
      </c>
      <c r="D4" t="s">
        <v>407</v>
      </c>
      <c r="E4" s="4">
        <v>255058</v>
      </c>
      <c r="F4" s="4">
        <v>193182</v>
      </c>
      <c r="G4" s="4">
        <v>42111</v>
      </c>
      <c r="H4" s="4">
        <v>151071</v>
      </c>
      <c r="I4" s="4">
        <v>61876</v>
      </c>
      <c r="J4">
        <v>0</v>
      </c>
      <c r="K4">
        <v>212947</v>
      </c>
      <c r="L4">
        <v>505</v>
      </c>
      <c r="M4" s="4">
        <v>162</v>
      </c>
      <c r="N4" s="4">
        <v>667</v>
      </c>
      <c r="O4" s="4">
        <v>25278</v>
      </c>
      <c r="P4" s="4">
        <v>0</v>
      </c>
      <c r="Q4" s="4">
        <v>16356</v>
      </c>
      <c r="R4" s="4">
        <v>18219</v>
      </c>
      <c r="S4" s="4">
        <v>273467</v>
      </c>
      <c r="T4" s="4">
        <v>176854</v>
      </c>
      <c r="U4" s="4">
        <v>96613</v>
      </c>
    </row>
    <row r="5" spans="1:21" x14ac:dyDescent="0.25">
      <c r="A5" s="1" t="s">
        <v>0</v>
      </c>
      <c r="B5" t="s">
        <v>722</v>
      </c>
      <c r="C5" s="1" t="s">
        <v>4</v>
      </c>
      <c r="D5" t="s">
        <v>408</v>
      </c>
      <c r="E5" s="4">
        <v>604387</v>
      </c>
      <c r="F5" s="4">
        <v>457766</v>
      </c>
      <c r="G5" s="4">
        <v>99788</v>
      </c>
      <c r="H5" s="4">
        <v>357978</v>
      </c>
      <c r="I5" s="4">
        <v>146621</v>
      </c>
      <c r="J5" s="4">
        <v>0</v>
      </c>
      <c r="K5" s="4">
        <v>504599</v>
      </c>
      <c r="L5" s="4">
        <v>1196</v>
      </c>
      <c r="M5" s="4">
        <v>383</v>
      </c>
      <c r="N5" s="4">
        <v>1579</v>
      </c>
      <c r="O5" s="4">
        <v>59900</v>
      </c>
      <c r="P5" s="4">
        <v>0</v>
      </c>
      <c r="Q5" s="4">
        <v>42336</v>
      </c>
      <c r="R5" s="4">
        <v>47159</v>
      </c>
      <c r="S5" s="4">
        <v>655573</v>
      </c>
      <c r="T5" s="4">
        <v>419074</v>
      </c>
      <c r="U5" s="4">
        <v>236499</v>
      </c>
    </row>
    <row r="6" spans="1:21" x14ac:dyDescent="0.25">
      <c r="A6" s="1" t="s">
        <v>0</v>
      </c>
      <c r="B6" t="s">
        <v>722</v>
      </c>
      <c r="C6" s="1" t="s">
        <v>5</v>
      </c>
      <c r="D6" t="s">
        <v>409</v>
      </c>
      <c r="E6" s="4">
        <v>4249056</v>
      </c>
      <c r="F6" s="4">
        <v>3218260</v>
      </c>
      <c r="G6" s="4">
        <v>701548</v>
      </c>
      <c r="H6" s="4">
        <v>2516712</v>
      </c>
      <c r="I6" s="4">
        <v>1030796</v>
      </c>
      <c r="J6" s="4">
        <v>0</v>
      </c>
      <c r="K6" s="4">
        <v>3547508</v>
      </c>
      <c r="L6" s="4">
        <v>8411</v>
      </c>
      <c r="M6" s="4">
        <v>2693</v>
      </c>
      <c r="N6" s="4">
        <v>11104</v>
      </c>
      <c r="O6" s="4">
        <v>421115</v>
      </c>
      <c r="P6" s="4">
        <v>0</v>
      </c>
      <c r="Q6" s="4">
        <v>301188</v>
      </c>
      <c r="R6" s="4">
        <v>335501</v>
      </c>
      <c r="S6" s="4">
        <v>4616416</v>
      </c>
      <c r="T6" s="4">
        <v>2946237</v>
      </c>
      <c r="U6" s="4">
        <v>1670179</v>
      </c>
    </row>
    <row r="7" spans="1:21" x14ac:dyDescent="0.25">
      <c r="A7" s="1" t="s">
        <v>0</v>
      </c>
      <c r="B7" t="s">
        <v>722</v>
      </c>
      <c r="C7" s="1" t="s">
        <v>6</v>
      </c>
      <c r="D7" t="s">
        <v>410</v>
      </c>
      <c r="E7" s="4">
        <v>119888</v>
      </c>
      <c r="F7" s="4">
        <v>90804</v>
      </c>
      <c r="G7" s="4">
        <v>19795</v>
      </c>
      <c r="H7" s="4">
        <v>71009</v>
      </c>
      <c r="I7" s="4">
        <v>29084</v>
      </c>
      <c r="J7" s="4">
        <v>11434</v>
      </c>
      <c r="K7">
        <v>111527</v>
      </c>
      <c r="L7">
        <v>238</v>
      </c>
      <c r="M7" s="4">
        <v>76</v>
      </c>
      <c r="N7" s="4">
        <v>314</v>
      </c>
      <c r="O7" s="4">
        <v>13002</v>
      </c>
      <c r="P7" s="4">
        <v>0</v>
      </c>
      <c r="Q7" s="4">
        <v>7909</v>
      </c>
      <c r="R7" s="4">
        <v>8810</v>
      </c>
      <c r="S7" s="4">
        <v>141562</v>
      </c>
      <c r="T7" s="4">
        <v>84248</v>
      </c>
      <c r="U7" s="4">
        <v>57314</v>
      </c>
    </row>
    <row r="8" spans="1:21" x14ac:dyDescent="0.25">
      <c r="A8" s="1" t="s">
        <v>0</v>
      </c>
      <c r="B8" t="s">
        <v>722</v>
      </c>
      <c r="C8" s="1" t="s">
        <v>7</v>
      </c>
      <c r="D8" t="s">
        <v>411</v>
      </c>
      <c r="E8" s="4">
        <v>148955</v>
      </c>
      <c r="F8" s="4">
        <v>112820</v>
      </c>
      <c r="G8" s="4">
        <v>24593</v>
      </c>
      <c r="H8" s="4">
        <v>88227</v>
      </c>
      <c r="I8" s="4">
        <v>36135</v>
      </c>
      <c r="J8">
        <v>0</v>
      </c>
      <c r="K8">
        <v>124362</v>
      </c>
      <c r="L8">
        <v>294</v>
      </c>
      <c r="M8" s="4">
        <v>95</v>
      </c>
      <c r="N8" s="4">
        <v>389</v>
      </c>
      <c r="O8" s="4">
        <v>14763</v>
      </c>
      <c r="P8" s="4">
        <v>0</v>
      </c>
      <c r="Q8" s="4">
        <v>10622</v>
      </c>
      <c r="R8" s="4">
        <v>11832</v>
      </c>
      <c r="S8" s="4">
        <v>161968</v>
      </c>
      <c r="T8" s="4">
        <v>103284</v>
      </c>
      <c r="U8" s="4">
        <v>58684</v>
      </c>
    </row>
    <row r="9" spans="1:21" x14ac:dyDescent="0.25">
      <c r="A9" s="1" t="s">
        <v>0</v>
      </c>
      <c r="B9" t="s">
        <v>722</v>
      </c>
      <c r="C9" s="1" t="s">
        <v>8</v>
      </c>
      <c r="D9" t="s">
        <v>412</v>
      </c>
      <c r="E9" s="4">
        <v>464283</v>
      </c>
      <c r="F9" s="4">
        <v>351651</v>
      </c>
      <c r="G9" s="4">
        <v>76657</v>
      </c>
      <c r="H9" s="4">
        <v>274994</v>
      </c>
      <c r="I9" s="4">
        <v>112632</v>
      </c>
      <c r="J9" s="4">
        <v>0</v>
      </c>
      <c r="K9" s="4">
        <v>387626</v>
      </c>
      <c r="L9">
        <v>921</v>
      </c>
      <c r="M9" s="4">
        <v>295</v>
      </c>
      <c r="N9" s="4">
        <v>1216</v>
      </c>
      <c r="O9" s="4">
        <v>46014</v>
      </c>
      <c r="P9" s="4">
        <v>0</v>
      </c>
      <c r="Q9" s="4">
        <v>32200</v>
      </c>
      <c r="R9" s="4">
        <v>35868</v>
      </c>
      <c r="S9" s="4">
        <v>502924</v>
      </c>
      <c r="T9" s="4">
        <v>321928</v>
      </c>
      <c r="U9" s="4">
        <v>180996</v>
      </c>
    </row>
    <row r="10" spans="1:21" x14ac:dyDescent="0.25">
      <c r="A10" s="1" t="s">
        <v>0</v>
      </c>
      <c r="B10" t="s">
        <v>722</v>
      </c>
      <c r="C10" s="1" t="s">
        <v>10</v>
      </c>
      <c r="D10" t="s">
        <v>414</v>
      </c>
      <c r="E10" s="4">
        <v>325912</v>
      </c>
      <c r="F10" s="4">
        <v>246848</v>
      </c>
      <c r="G10" s="4">
        <v>53811</v>
      </c>
      <c r="H10" s="4">
        <v>193037</v>
      </c>
      <c r="I10" s="4">
        <v>79064</v>
      </c>
      <c r="J10">
        <v>0</v>
      </c>
      <c r="K10">
        <v>272101</v>
      </c>
      <c r="L10">
        <v>645</v>
      </c>
      <c r="M10" s="4">
        <v>207</v>
      </c>
      <c r="N10" s="4">
        <v>852</v>
      </c>
      <c r="O10" s="4">
        <v>32300</v>
      </c>
      <c r="P10" s="4">
        <v>0</v>
      </c>
      <c r="Q10" s="4">
        <v>20912</v>
      </c>
      <c r="R10" s="4">
        <v>23294</v>
      </c>
      <c r="S10" s="4">
        <v>349459</v>
      </c>
      <c r="T10" s="4">
        <v>225982</v>
      </c>
      <c r="U10" s="4">
        <v>123477</v>
      </c>
    </row>
    <row r="11" spans="1:21" x14ac:dyDescent="0.25">
      <c r="A11" s="1" t="s">
        <v>0</v>
      </c>
      <c r="B11" t="s">
        <v>722</v>
      </c>
      <c r="C11" s="1" t="s">
        <v>9</v>
      </c>
      <c r="D11" t="s">
        <v>413</v>
      </c>
      <c r="E11" s="4">
        <v>271360</v>
      </c>
      <c r="F11" s="4">
        <v>205529</v>
      </c>
      <c r="G11" s="4">
        <v>44803</v>
      </c>
      <c r="H11" s="4">
        <v>160726</v>
      </c>
      <c r="I11" s="4">
        <v>65831</v>
      </c>
      <c r="J11">
        <v>0</v>
      </c>
      <c r="K11">
        <v>226557</v>
      </c>
      <c r="L11">
        <v>537</v>
      </c>
      <c r="M11" s="4">
        <v>172</v>
      </c>
      <c r="N11" s="4">
        <v>709</v>
      </c>
      <c r="O11" s="4">
        <v>26894</v>
      </c>
      <c r="P11" s="4">
        <v>0</v>
      </c>
      <c r="Q11" s="4">
        <v>18199</v>
      </c>
      <c r="R11" s="4">
        <v>20272</v>
      </c>
      <c r="S11" s="4">
        <v>292631</v>
      </c>
      <c r="T11" s="4">
        <v>188158</v>
      </c>
      <c r="U11" s="4">
        <v>104473</v>
      </c>
    </row>
    <row r="12" spans="1:21" x14ac:dyDescent="0.25">
      <c r="A12" s="1" t="s">
        <v>0</v>
      </c>
      <c r="B12" t="s">
        <v>722</v>
      </c>
      <c r="C12" s="1" t="s">
        <v>11</v>
      </c>
      <c r="D12" t="s">
        <v>415</v>
      </c>
      <c r="E12" s="4">
        <v>383986</v>
      </c>
      <c r="F12" s="4">
        <v>290833</v>
      </c>
      <c r="G12" s="4">
        <v>63398</v>
      </c>
      <c r="H12" s="4">
        <v>227435</v>
      </c>
      <c r="I12" s="4">
        <v>93153</v>
      </c>
      <c r="J12">
        <v>0</v>
      </c>
      <c r="K12">
        <v>320588</v>
      </c>
      <c r="L12">
        <v>761</v>
      </c>
      <c r="M12" s="4">
        <v>244</v>
      </c>
      <c r="N12" s="4">
        <v>1005</v>
      </c>
      <c r="O12" s="4">
        <v>38056</v>
      </c>
      <c r="P12" s="4">
        <v>0</v>
      </c>
      <c r="Q12" s="4">
        <v>26518</v>
      </c>
      <c r="R12" s="4">
        <v>29538</v>
      </c>
      <c r="S12" s="4">
        <v>415705</v>
      </c>
      <c r="T12" s="4">
        <v>266253</v>
      </c>
      <c r="U12" s="4">
        <v>149452</v>
      </c>
    </row>
    <row r="13" spans="1:21" x14ac:dyDescent="0.25">
      <c r="A13" s="1" t="s">
        <v>0</v>
      </c>
      <c r="B13" t="s">
        <v>722</v>
      </c>
      <c r="C13" s="1" t="s">
        <v>12</v>
      </c>
      <c r="D13" t="s">
        <v>416</v>
      </c>
      <c r="E13" s="4">
        <v>469249</v>
      </c>
      <c r="F13" s="4">
        <v>355412</v>
      </c>
      <c r="G13" s="4">
        <v>77476</v>
      </c>
      <c r="H13" s="4">
        <v>277936</v>
      </c>
      <c r="I13" s="4">
        <v>113837</v>
      </c>
      <c r="J13" s="4">
        <v>0</v>
      </c>
      <c r="K13" s="4">
        <v>391773</v>
      </c>
      <c r="L13">
        <v>929</v>
      </c>
      <c r="M13" s="4">
        <v>297</v>
      </c>
      <c r="N13" s="4">
        <v>1226</v>
      </c>
      <c r="O13" s="4">
        <v>46506</v>
      </c>
      <c r="P13" s="4">
        <v>0</v>
      </c>
      <c r="Q13" s="4">
        <v>28412</v>
      </c>
      <c r="R13" s="4">
        <v>31648</v>
      </c>
      <c r="S13" s="4">
        <v>499565</v>
      </c>
      <c r="T13" s="4">
        <v>325371</v>
      </c>
      <c r="U13" s="4">
        <v>174194</v>
      </c>
    </row>
    <row r="14" spans="1:21" x14ac:dyDescent="0.25">
      <c r="A14" s="1" t="s">
        <v>0</v>
      </c>
      <c r="B14" t="s">
        <v>722</v>
      </c>
      <c r="C14" s="1" t="s">
        <v>13</v>
      </c>
      <c r="D14" t="s">
        <v>417</v>
      </c>
      <c r="E14" s="4">
        <v>565933</v>
      </c>
      <c r="F14" s="4">
        <v>428641</v>
      </c>
      <c r="G14" s="4">
        <v>93440</v>
      </c>
      <c r="H14" s="4">
        <v>335201</v>
      </c>
      <c r="I14" s="4">
        <v>137292</v>
      </c>
      <c r="J14" s="4">
        <v>0</v>
      </c>
      <c r="K14" s="4">
        <v>472493</v>
      </c>
      <c r="L14" s="4">
        <v>1121</v>
      </c>
      <c r="M14" s="4">
        <v>358</v>
      </c>
      <c r="N14" s="4">
        <v>1479</v>
      </c>
      <c r="O14" s="4">
        <v>56088</v>
      </c>
      <c r="P14" s="4">
        <v>0</v>
      </c>
      <c r="Q14" s="4">
        <v>34068</v>
      </c>
      <c r="R14" s="4">
        <v>37950</v>
      </c>
      <c r="S14" s="4">
        <v>602078</v>
      </c>
      <c r="T14" s="4">
        <v>392410</v>
      </c>
      <c r="U14" s="4">
        <v>209668</v>
      </c>
    </row>
    <row r="15" spans="1:21" x14ac:dyDescent="0.25">
      <c r="A15" s="1" t="s">
        <v>0</v>
      </c>
      <c r="B15" t="s">
        <v>722</v>
      </c>
      <c r="C15" s="1" t="s">
        <v>14</v>
      </c>
      <c r="D15" t="s">
        <v>418</v>
      </c>
      <c r="E15" s="4">
        <v>306077</v>
      </c>
      <c r="F15" s="4">
        <v>231825</v>
      </c>
      <c r="G15" s="4">
        <v>50535</v>
      </c>
      <c r="H15" s="4">
        <v>181290</v>
      </c>
      <c r="I15" s="4">
        <v>74252</v>
      </c>
      <c r="J15" s="4">
        <v>0</v>
      </c>
      <c r="K15">
        <v>255542</v>
      </c>
      <c r="L15">
        <v>605</v>
      </c>
      <c r="M15" s="4">
        <v>194</v>
      </c>
      <c r="N15" s="4">
        <v>799</v>
      </c>
      <c r="O15" s="4">
        <v>30335</v>
      </c>
      <c r="P15" s="4">
        <v>0</v>
      </c>
      <c r="Q15" s="4">
        <v>19530</v>
      </c>
      <c r="R15" s="4">
        <v>21755</v>
      </c>
      <c r="S15" s="4">
        <v>327961</v>
      </c>
      <c r="T15" s="4">
        <v>212230</v>
      </c>
      <c r="U15" s="4">
        <v>115731</v>
      </c>
    </row>
    <row r="16" spans="1:21" x14ac:dyDescent="0.25">
      <c r="A16" s="1" t="s">
        <v>0</v>
      </c>
      <c r="B16" t="s">
        <v>722</v>
      </c>
      <c r="C16" s="1" t="s">
        <v>15</v>
      </c>
      <c r="D16" t="s">
        <v>419</v>
      </c>
      <c r="E16" s="4">
        <v>136878</v>
      </c>
      <c r="F16" s="4">
        <v>103672</v>
      </c>
      <c r="G16" s="4">
        <v>22600</v>
      </c>
      <c r="H16" s="4">
        <v>81072</v>
      </c>
      <c r="I16" s="4">
        <v>33206</v>
      </c>
      <c r="J16">
        <v>0</v>
      </c>
      <c r="K16">
        <v>114278</v>
      </c>
      <c r="L16">
        <v>270</v>
      </c>
      <c r="M16" s="4">
        <v>86</v>
      </c>
      <c r="N16" s="4">
        <v>356</v>
      </c>
      <c r="O16" s="4">
        <v>13566</v>
      </c>
      <c r="P16" s="4">
        <v>0</v>
      </c>
      <c r="Q16" s="4">
        <v>8856</v>
      </c>
      <c r="R16" s="4">
        <v>9865</v>
      </c>
      <c r="S16" s="4">
        <v>146921</v>
      </c>
      <c r="T16" s="4">
        <v>94908</v>
      </c>
      <c r="U16" s="4">
        <v>52013</v>
      </c>
    </row>
    <row r="17" spans="1:21" x14ac:dyDescent="0.25">
      <c r="A17" s="1" t="s">
        <v>0</v>
      </c>
      <c r="B17" t="s">
        <v>722</v>
      </c>
      <c r="C17" s="1" t="s">
        <v>16</v>
      </c>
      <c r="D17" t="s">
        <v>420</v>
      </c>
      <c r="E17" s="4">
        <v>222665</v>
      </c>
      <c r="F17" s="4">
        <v>168647</v>
      </c>
      <c r="G17" s="4">
        <v>36764</v>
      </c>
      <c r="H17" s="4">
        <v>131883</v>
      </c>
      <c r="I17" s="4">
        <v>54018</v>
      </c>
      <c r="J17">
        <v>0</v>
      </c>
      <c r="K17">
        <v>185901</v>
      </c>
      <c r="L17">
        <v>440</v>
      </c>
      <c r="M17" s="4">
        <v>141</v>
      </c>
      <c r="N17" s="4">
        <v>581</v>
      </c>
      <c r="O17" s="4">
        <v>22068</v>
      </c>
      <c r="P17" s="4">
        <v>0</v>
      </c>
      <c r="Q17" s="4">
        <v>17764</v>
      </c>
      <c r="R17" s="4">
        <v>19787</v>
      </c>
      <c r="S17" s="4">
        <v>246101</v>
      </c>
      <c r="T17" s="4">
        <v>154392</v>
      </c>
      <c r="U17" s="4">
        <v>91709</v>
      </c>
    </row>
    <row r="18" spans="1:21" x14ac:dyDescent="0.25">
      <c r="A18" s="1" t="s">
        <v>0</v>
      </c>
      <c r="B18" t="s">
        <v>722</v>
      </c>
      <c r="C18" s="1" t="s">
        <v>17</v>
      </c>
      <c r="D18" t="s">
        <v>421</v>
      </c>
      <c r="E18" s="4">
        <v>241936</v>
      </c>
      <c r="F18" s="4">
        <v>183244</v>
      </c>
      <c r="G18" s="4">
        <v>39945</v>
      </c>
      <c r="H18" s="4">
        <v>143299</v>
      </c>
      <c r="I18" s="4">
        <v>58692</v>
      </c>
      <c r="J18">
        <v>0</v>
      </c>
      <c r="K18">
        <v>201991</v>
      </c>
      <c r="L18">
        <v>478</v>
      </c>
      <c r="M18" s="4">
        <v>153</v>
      </c>
      <c r="N18" s="4">
        <v>631</v>
      </c>
      <c r="O18" s="4">
        <v>23978</v>
      </c>
      <c r="P18" s="4">
        <v>0</v>
      </c>
      <c r="Q18" s="4">
        <v>14769</v>
      </c>
      <c r="R18" s="4">
        <v>16452</v>
      </c>
      <c r="S18" s="4">
        <v>257821</v>
      </c>
      <c r="T18" s="4">
        <v>167755</v>
      </c>
      <c r="U18" s="4">
        <v>90066</v>
      </c>
    </row>
    <row r="19" spans="1:21" x14ac:dyDescent="0.25">
      <c r="A19" s="1" t="s">
        <v>0</v>
      </c>
      <c r="B19" t="s">
        <v>722</v>
      </c>
      <c r="C19" s="1" t="s">
        <v>18</v>
      </c>
      <c r="D19" t="s">
        <v>422</v>
      </c>
      <c r="E19" s="4">
        <v>144228</v>
      </c>
      <c r="F19" s="4">
        <v>109239</v>
      </c>
      <c r="G19" s="4">
        <v>23813</v>
      </c>
      <c r="H19" s="4">
        <v>85426</v>
      </c>
      <c r="I19" s="4">
        <v>34989</v>
      </c>
      <c r="J19" s="4">
        <v>2526</v>
      </c>
      <c r="K19">
        <v>122941</v>
      </c>
      <c r="L19">
        <v>286</v>
      </c>
      <c r="M19" s="4">
        <v>92</v>
      </c>
      <c r="N19" s="4">
        <v>378</v>
      </c>
      <c r="O19" s="4">
        <v>14294</v>
      </c>
      <c r="P19" s="4">
        <v>0</v>
      </c>
      <c r="Q19" s="4">
        <v>10520</v>
      </c>
      <c r="R19" s="4">
        <v>11718</v>
      </c>
      <c r="S19" s="4">
        <v>159851</v>
      </c>
      <c r="T19" s="4">
        <v>100007</v>
      </c>
      <c r="U19" s="4">
        <v>59844</v>
      </c>
    </row>
    <row r="20" spans="1:21" x14ac:dyDescent="0.25">
      <c r="A20" s="1" t="s">
        <v>0</v>
      </c>
      <c r="B20" t="s">
        <v>722</v>
      </c>
      <c r="C20" s="1" t="s">
        <v>19</v>
      </c>
      <c r="D20" t="s">
        <v>423</v>
      </c>
      <c r="E20" s="4">
        <v>104755</v>
      </c>
      <c r="F20" s="4">
        <v>79342</v>
      </c>
      <c r="G20" s="4">
        <v>17296</v>
      </c>
      <c r="H20" s="4">
        <v>62046</v>
      </c>
      <c r="I20" s="4">
        <v>25413</v>
      </c>
      <c r="J20">
        <v>230</v>
      </c>
      <c r="K20">
        <v>87689</v>
      </c>
      <c r="L20">
        <v>208</v>
      </c>
      <c r="M20" s="4">
        <v>66</v>
      </c>
      <c r="N20" s="4">
        <v>274</v>
      </c>
      <c r="O20" s="4">
        <v>10395</v>
      </c>
      <c r="P20" s="4">
        <v>0</v>
      </c>
      <c r="Q20" s="4">
        <v>6501</v>
      </c>
      <c r="R20" s="4">
        <v>7242</v>
      </c>
      <c r="S20" s="4">
        <v>112101</v>
      </c>
      <c r="T20" s="4">
        <v>72649</v>
      </c>
      <c r="U20" s="4">
        <v>39452</v>
      </c>
    </row>
    <row r="21" spans="1:21" x14ac:dyDescent="0.25">
      <c r="A21" s="1" t="s">
        <v>0</v>
      </c>
      <c r="B21" t="s">
        <v>722</v>
      </c>
      <c r="C21" s="1" t="s">
        <v>20</v>
      </c>
      <c r="D21" t="s">
        <v>424</v>
      </c>
      <c r="E21" s="4">
        <v>539786</v>
      </c>
      <c r="F21" s="4">
        <v>408837</v>
      </c>
      <c r="G21" s="4">
        <v>89122</v>
      </c>
      <c r="H21" s="4">
        <v>319715</v>
      </c>
      <c r="I21" s="4">
        <v>130949</v>
      </c>
      <c r="J21" s="4">
        <v>0</v>
      </c>
      <c r="K21" s="4">
        <v>450664</v>
      </c>
      <c r="L21" s="4">
        <v>1069</v>
      </c>
      <c r="M21" s="4">
        <v>343</v>
      </c>
      <c r="N21" s="4">
        <v>1412</v>
      </c>
      <c r="O21" s="4">
        <v>53497</v>
      </c>
      <c r="P21" s="4">
        <v>0</v>
      </c>
      <c r="Q21" s="4">
        <v>39623</v>
      </c>
      <c r="R21" s="4">
        <v>44136</v>
      </c>
      <c r="S21" s="4">
        <v>589332</v>
      </c>
      <c r="T21" s="4">
        <v>374281</v>
      </c>
      <c r="U21" s="4">
        <v>215051</v>
      </c>
    </row>
    <row r="22" spans="1:21" x14ac:dyDescent="0.25">
      <c r="A22" s="1" t="s">
        <v>0</v>
      </c>
      <c r="B22" t="s">
        <v>722</v>
      </c>
      <c r="C22" s="1" t="s">
        <v>21</v>
      </c>
      <c r="D22" t="s">
        <v>425</v>
      </c>
      <c r="E22" s="4">
        <v>1280369</v>
      </c>
      <c r="F22" s="4">
        <v>969759</v>
      </c>
      <c r="G22" s="4">
        <v>211397</v>
      </c>
      <c r="H22" s="4">
        <v>758362</v>
      </c>
      <c r="I22" s="4">
        <v>310610</v>
      </c>
      <c r="J22" s="4">
        <v>0</v>
      </c>
      <c r="K22" s="4">
        <v>1068972</v>
      </c>
      <c r="L22" s="4">
        <v>2535</v>
      </c>
      <c r="M22" s="4">
        <v>812</v>
      </c>
      <c r="N22" s="4">
        <v>3347</v>
      </c>
      <c r="O22" s="4">
        <v>126895</v>
      </c>
      <c r="P22" s="4">
        <v>0</v>
      </c>
      <c r="Q22" s="4">
        <v>107324</v>
      </c>
      <c r="R22" s="4">
        <v>119551</v>
      </c>
      <c r="S22" s="4">
        <v>1426089</v>
      </c>
      <c r="T22" s="4">
        <v>887792</v>
      </c>
      <c r="U22" s="4">
        <v>538297</v>
      </c>
    </row>
    <row r="23" spans="1:21" x14ac:dyDescent="0.25">
      <c r="A23" s="1" t="s">
        <v>22</v>
      </c>
      <c r="B23" t="s">
        <v>723</v>
      </c>
      <c r="C23" s="1" t="s">
        <v>23</v>
      </c>
      <c r="D23" t="s">
        <v>426</v>
      </c>
      <c r="E23" s="4">
        <v>76110</v>
      </c>
      <c r="F23" s="4">
        <v>58342</v>
      </c>
      <c r="G23" s="4">
        <v>12718</v>
      </c>
      <c r="H23" s="4">
        <v>45624</v>
      </c>
      <c r="I23" s="4">
        <v>17768</v>
      </c>
      <c r="J23" s="4">
        <v>4976</v>
      </c>
      <c r="K23">
        <v>68368</v>
      </c>
      <c r="L23">
        <v>0</v>
      </c>
      <c r="M23" s="4">
        <v>0</v>
      </c>
      <c r="N23" s="4">
        <v>0</v>
      </c>
      <c r="O23" s="4">
        <v>8590</v>
      </c>
      <c r="P23" s="4">
        <v>0</v>
      </c>
      <c r="Q23" s="4">
        <v>5279</v>
      </c>
      <c r="R23" s="4">
        <v>5912</v>
      </c>
      <c r="S23" s="4">
        <v>88149</v>
      </c>
      <c r="T23" s="4">
        <v>54214</v>
      </c>
      <c r="U23" s="4">
        <v>33935</v>
      </c>
    </row>
    <row r="24" spans="1:21" x14ac:dyDescent="0.25">
      <c r="A24" s="1" t="s">
        <v>22</v>
      </c>
      <c r="B24" t="s">
        <v>723</v>
      </c>
      <c r="C24" s="1" t="s">
        <v>24</v>
      </c>
      <c r="D24" t="s">
        <v>427</v>
      </c>
      <c r="E24" s="4">
        <v>561895</v>
      </c>
      <c r="F24" s="4">
        <v>430718</v>
      </c>
      <c r="G24" s="4">
        <v>93892</v>
      </c>
      <c r="H24" s="4">
        <v>336826</v>
      </c>
      <c r="I24" s="4">
        <v>131177</v>
      </c>
      <c r="J24" s="4">
        <v>14224</v>
      </c>
      <c r="K24">
        <v>482227</v>
      </c>
      <c r="L24">
        <v>0</v>
      </c>
      <c r="M24" s="4">
        <v>0</v>
      </c>
      <c r="N24" s="4">
        <v>0</v>
      </c>
      <c r="O24" s="4">
        <v>61031</v>
      </c>
      <c r="P24" s="4">
        <v>0</v>
      </c>
      <c r="Q24" s="4">
        <v>43798</v>
      </c>
      <c r="R24" s="4">
        <v>49048</v>
      </c>
      <c r="S24" s="4">
        <v>636104</v>
      </c>
      <c r="T24" s="4">
        <v>397857</v>
      </c>
      <c r="U24" s="4">
        <v>238247</v>
      </c>
    </row>
    <row r="25" spans="1:21" x14ac:dyDescent="0.25">
      <c r="A25" s="1" t="s">
        <v>22</v>
      </c>
      <c r="B25" t="s">
        <v>723</v>
      </c>
      <c r="C25" s="1" t="s">
        <v>25</v>
      </c>
      <c r="D25" t="s">
        <v>428</v>
      </c>
      <c r="E25" s="4">
        <v>321184</v>
      </c>
      <c r="F25" s="4">
        <v>246202</v>
      </c>
      <c r="G25" s="4">
        <v>53670</v>
      </c>
      <c r="H25" s="4">
        <v>192532</v>
      </c>
      <c r="I25" s="4">
        <v>74982</v>
      </c>
      <c r="J25" s="4">
        <v>6904</v>
      </c>
      <c r="K25">
        <v>274418</v>
      </c>
      <c r="L25">
        <v>0</v>
      </c>
      <c r="M25" s="4">
        <v>0</v>
      </c>
      <c r="N25" s="4">
        <v>0</v>
      </c>
      <c r="O25" s="4">
        <v>34756</v>
      </c>
      <c r="P25" s="4">
        <v>0</v>
      </c>
      <c r="Q25" s="4">
        <v>21886</v>
      </c>
      <c r="R25" s="4">
        <v>24510</v>
      </c>
      <c r="S25" s="4">
        <v>355570</v>
      </c>
      <c r="T25" s="4">
        <v>227288</v>
      </c>
      <c r="U25" s="4">
        <v>128282</v>
      </c>
    </row>
    <row r="26" spans="1:21" x14ac:dyDescent="0.25">
      <c r="A26" s="1" t="s">
        <v>22</v>
      </c>
      <c r="B26" t="s">
        <v>723</v>
      </c>
      <c r="C26" s="1" t="s">
        <v>26</v>
      </c>
      <c r="D26" t="s">
        <v>429</v>
      </c>
      <c r="E26" s="4">
        <v>382346</v>
      </c>
      <c r="F26" s="4">
        <v>293085</v>
      </c>
      <c r="G26" s="4">
        <v>63889</v>
      </c>
      <c r="H26" s="4">
        <v>229196</v>
      </c>
      <c r="I26" s="4">
        <v>89261</v>
      </c>
      <c r="J26" s="4">
        <v>7949</v>
      </c>
      <c r="K26">
        <v>326406</v>
      </c>
      <c r="L26">
        <v>0</v>
      </c>
      <c r="M26" s="4">
        <v>0</v>
      </c>
      <c r="N26" s="4">
        <v>0</v>
      </c>
      <c r="O26" s="4">
        <v>41346</v>
      </c>
      <c r="P26" s="4">
        <v>0</v>
      </c>
      <c r="Q26" s="4">
        <v>25013</v>
      </c>
      <c r="R26" s="4">
        <v>28011</v>
      </c>
      <c r="S26" s="4">
        <v>420776</v>
      </c>
      <c r="T26" s="4">
        <v>270542</v>
      </c>
      <c r="U26" s="4">
        <v>150234</v>
      </c>
    </row>
    <row r="27" spans="1:21" x14ac:dyDescent="0.25">
      <c r="A27" s="1" t="s">
        <v>22</v>
      </c>
      <c r="B27" t="s">
        <v>723</v>
      </c>
      <c r="C27" s="1" t="s">
        <v>27</v>
      </c>
      <c r="D27" t="s">
        <v>430</v>
      </c>
      <c r="E27" s="4">
        <v>101886</v>
      </c>
      <c r="F27" s="4">
        <v>78100</v>
      </c>
      <c r="G27" s="4">
        <v>17025</v>
      </c>
      <c r="H27" s="4">
        <v>61075</v>
      </c>
      <c r="I27" s="4">
        <v>23786</v>
      </c>
      <c r="J27" s="4">
        <v>23147</v>
      </c>
      <c r="K27">
        <v>108008</v>
      </c>
      <c r="L27">
        <v>0</v>
      </c>
      <c r="M27" s="4">
        <v>0</v>
      </c>
      <c r="N27" s="4">
        <v>0</v>
      </c>
      <c r="O27" s="4">
        <v>11854</v>
      </c>
      <c r="P27" s="4">
        <v>0</v>
      </c>
      <c r="Q27" s="4">
        <v>7509</v>
      </c>
      <c r="R27" s="4">
        <v>8409</v>
      </c>
      <c r="S27" s="4">
        <v>135780</v>
      </c>
      <c r="T27" s="4">
        <v>72929</v>
      </c>
      <c r="U27" s="4">
        <v>62851</v>
      </c>
    </row>
    <row r="28" spans="1:21" x14ac:dyDescent="0.25">
      <c r="A28" s="1" t="s">
        <v>22</v>
      </c>
      <c r="B28" t="s">
        <v>723</v>
      </c>
      <c r="C28" s="1" t="s">
        <v>28</v>
      </c>
      <c r="D28" t="s">
        <v>431</v>
      </c>
      <c r="E28" s="4">
        <v>394822</v>
      </c>
      <c r="F28" s="4">
        <v>302648</v>
      </c>
      <c r="G28" s="4">
        <v>65975</v>
      </c>
      <c r="H28" s="4">
        <v>236673</v>
      </c>
      <c r="I28" s="4">
        <v>92174</v>
      </c>
      <c r="J28">
        <v>0</v>
      </c>
      <c r="K28">
        <v>328847</v>
      </c>
      <c r="L28">
        <v>0</v>
      </c>
      <c r="M28" s="4">
        <v>0</v>
      </c>
      <c r="N28" s="4">
        <v>0</v>
      </c>
      <c r="O28" s="4">
        <v>41799</v>
      </c>
      <c r="P28" s="4">
        <v>0</v>
      </c>
      <c r="Q28" s="4">
        <v>25269</v>
      </c>
      <c r="R28" s="4">
        <v>28298</v>
      </c>
      <c r="S28" s="4">
        <v>424213</v>
      </c>
      <c r="T28" s="4">
        <v>278472</v>
      </c>
      <c r="U28" s="4">
        <v>145741</v>
      </c>
    </row>
    <row r="29" spans="1:21" x14ac:dyDescent="0.25">
      <c r="A29" s="1" t="s">
        <v>22</v>
      </c>
      <c r="B29" t="s">
        <v>723</v>
      </c>
      <c r="C29" s="1" t="s">
        <v>29</v>
      </c>
      <c r="D29" t="s">
        <v>432</v>
      </c>
      <c r="E29" s="4">
        <v>331582</v>
      </c>
      <c r="F29" s="4">
        <v>254173</v>
      </c>
      <c r="G29" s="4">
        <v>55406</v>
      </c>
      <c r="H29" s="4">
        <v>198767</v>
      </c>
      <c r="I29" s="4">
        <v>77409</v>
      </c>
      <c r="J29">
        <v>0</v>
      </c>
      <c r="K29">
        <v>276176</v>
      </c>
      <c r="L29">
        <v>0</v>
      </c>
      <c r="M29" s="4">
        <v>0</v>
      </c>
      <c r="N29" s="4">
        <v>0</v>
      </c>
      <c r="O29" s="4">
        <v>35104</v>
      </c>
      <c r="P29" s="4">
        <v>0</v>
      </c>
      <c r="Q29" s="4">
        <v>22860</v>
      </c>
      <c r="R29" s="4">
        <v>25600</v>
      </c>
      <c r="S29" s="4">
        <v>359740</v>
      </c>
      <c r="T29" s="4">
        <v>233871</v>
      </c>
      <c r="U29" s="4">
        <v>125869</v>
      </c>
    </row>
    <row r="30" spans="1:21" x14ac:dyDescent="0.25">
      <c r="A30" s="1" t="s">
        <v>22</v>
      </c>
      <c r="B30" t="s">
        <v>723</v>
      </c>
      <c r="C30" s="1" t="s">
        <v>30</v>
      </c>
      <c r="D30" t="s">
        <v>433</v>
      </c>
      <c r="E30" s="4">
        <v>263162</v>
      </c>
      <c r="F30" s="4">
        <v>201725</v>
      </c>
      <c r="G30" s="4">
        <v>43974</v>
      </c>
      <c r="H30" s="4">
        <v>157751</v>
      </c>
      <c r="I30" s="4">
        <v>61437</v>
      </c>
      <c r="J30" s="4">
        <v>2104</v>
      </c>
      <c r="K30">
        <v>221292</v>
      </c>
      <c r="L30">
        <v>0</v>
      </c>
      <c r="M30" s="4">
        <v>0</v>
      </c>
      <c r="N30" s="4">
        <v>0</v>
      </c>
      <c r="O30" s="4">
        <v>28101</v>
      </c>
      <c r="P30" s="4">
        <v>0</v>
      </c>
      <c r="Q30" s="4">
        <v>18350</v>
      </c>
      <c r="R30" s="4">
        <v>20549</v>
      </c>
      <c r="S30" s="4">
        <v>288292</v>
      </c>
      <c r="T30" s="4">
        <v>185852</v>
      </c>
      <c r="U30" s="4">
        <v>102440</v>
      </c>
    </row>
    <row r="31" spans="1:21" x14ac:dyDescent="0.25">
      <c r="A31" s="1" t="s">
        <v>22</v>
      </c>
      <c r="B31" t="s">
        <v>723</v>
      </c>
      <c r="C31" s="1" t="s">
        <v>31</v>
      </c>
      <c r="D31" t="s">
        <v>434</v>
      </c>
      <c r="E31" s="4">
        <v>460065</v>
      </c>
      <c r="F31" s="4">
        <v>352661</v>
      </c>
      <c r="G31" s="4">
        <v>76876</v>
      </c>
      <c r="H31" s="4">
        <v>275785</v>
      </c>
      <c r="I31" s="4">
        <v>107404</v>
      </c>
      <c r="J31" s="4">
        <v>6949</v>
      </c>
      <c r="K31">
        <v>390138</v>
      </c>
      <c r="L31">
        <v>0</v>
      </c>
      <c r="M31" s="4">
        <v>0</v>
      </c>
      <c r="N31" s="4">
        <v>0</v>
      </c>
      <c r="O31" s="4">
        <v>49047</v>
      </c>
      <c r="P31" s="4">
        <v>0</v>
      </c>
      <c r="Q31" s="4">
        <v>29934</v>
      </c>
      <c r="R31" s="4">
        <v>33522</v>
      </c>
      <c r="S31" s="4">
        <v>502641</v>
      </c>
      <c r="T31" s="4">
        <v>324832</v>
      </c>
      <c r="U31" s="4">
        <v>177809</v>
      </c>
    </row>
    <row r="32" spans="1:21" x14ac:dyDescent="0.25">
      <c r="A32" s="1" t="s">
        <v>22</v>
      </c>
      <c r="B32" t="s">
        <v>723</v>
      </c>
      <c r="C32" s="1" t="s">
        <v>32</v>
      </c>
      <c r="D32" t="s">
        <v>435</v>
      </c>
      <c r="E32" s="4">
        <v>1434643</v>
      </c>
      <c r="F32" s="4">
        <v>1099718</v>
      </c>
      <c r="G32" s="4">
        <v>239727</v>
      </c>
      <c r="H32" s="4">
        <v>859991</v>
      </c>
      <c r="I32" s="4">
        <v>334925</v>
      </c>
      <c r="J32">
        <v>0</v>
      </c>
      <c r="K32">
        <v>1194916</v>
      </c>
      <c r="L32">
        <v>0</v>
      </c>
      <c r="M32" s="4">
        <v>0</v>
      </c>
      <c r="N32" s="4">
        <v>0</v>
      </c>
      <c r="O32" s="4">
        <v>151883</v>
      </c>
      <c r="P32" s="4">
        <v>0</v>
      </c>
      <c r="Q32" s="4">
        <v>105587</v>
      </c>
      <c r="R32" s="4">
        <v>118244</v>
      </c>
      <c r="S32" s="4">
        <v>1570630</v>
      </c>
      <c r="T32" s="4">
        <v>1011874</v>
      </c>
      <c r="U32" s="4">
        <v>558756</v>
      </c>
    </row>
    <row r="33" spans="1:21" x14ac:dyDescent="0.25">
      <c r="A33" s="1" t="s">
        <v>22</v>
      </c>
      <c r="B33" t="s">
        <v>723</v>
      </c>
      <c r="C33" s="1" t="s">
        <v>33</v>
      </c>
      <c r="D33" t="s">
        <v>436</v>
      </c>
      <c r="E33" s="4">
        <v>66328</v>
      </c>
      <c r="F33" s="4">
        <v>50844</v>
      </c>
      <c r="G33" s="4">
        <v>11083</v>
      </c>
      <c r="H33" s="4">
        <v>39761</v>
      </c>
      <c r="I33" s="4">
        <v>15484</v>
      </c>
      <c r="J33" s="4">
        <v>7000</v>
      </c>
      <c r="K33">
        <v>62245</v>
      </c>
      <c r="L33">
        <v>0</v>
      </c>
      <c r="M33" s="4">
        <v>0</v>
      </c>
      <c r="N33" s="4">
        <v>0</v>
      </c>
      <c r="O33" s="4">
        <v>7768</v>
      </c>
      <c r="P33" s="4">
        <v>0</v>
      </c>
      <c r="Q33" s="4">
        <v>4203</v>
      </c>
      <c r="R33" s="4">
        <v>4707</v>
      </c>
      <c r="S33" s="4">
        <v>78923</v>
      </c>
      <c r="T33" s="4">
        <v>47529</v>
      </c>
      <c r="U33" s="4">
        <v>31394</v>
      </c>
    </row>
    <row r="34" spans="1:21" x14ac:dyDescent="0.25">
      <c r="A34" s="1" t="s">
        <v>22</v>
      </c>
      <c r="B34" t="s">
        <v>723</v>
      </c>
      <c r="C34" s="1" t="s">
        <v>34</v>
      </c>
      <c r="D34" t="s">
        <v>437</v>
      </c>
      <c r="E34" s="4">
        <v>144668</v>
      </c>
      <c r="F34" s="4">
        <v>110894</v>
      </c>
      <c r="G34" s="4">
        <v>24174</v>
      </c>
      <c r="H34" s="4">
        <v>86720</v>
      </c>
      <c r="I34" s="4">
        <v>33774</v>
      </c>
      <c r="J34">
        <v>0</v>
      </c>
      <c r="K34">
        <v>120494</v>
      </c>
      <c r="L34">
        <v>0</v>
      </c>
      <c r="M34" s="4">
        <v>0</v>
      </c>
      <c r="N34" s="4">
        <v>0</v>
      </c>
      <c r="O34" s="4">
        <v>15316</v>
      </c>
      <c r="P34" s="4">
        <v>0</v>
      </c>
      <c r="Q34" s="4">
        <v>9790</v>
      </c>
      <c r="R34" s="4">
        <v>10964</v>
      </c>
      <c r="S34" s="4">
        <v>156564</v>
      </c>
      <c r="T34" s="4">
        <v>102036</v>
      </c>
      <c r="U34" s="4">
        <v>54528</v>
      </c>
    </row>
    <row r="35" spans="1:21" x14ac:dyDescent="0.25">
      <c r="A35" s="1" t="s">
        <v>22</v>
      </c>
      <c r="B35" t="s">
        <v>723</v>
      </c>
      <c r="C35" s="1" t="s">
        <v>35</v>
      </c>
      <c r="D35" t="s">
        <v>438</v>
      </c>
      <c r="E35" s="4">
        <v>471333</v>
      </c>
      <c r="F35" s="4">
        <v>361298</v>
      </c>
      <c r="G35" s="4">
        <v>78759</v>
      </c>
      <c r="H35" s="4">
        <v>282539</v>
      </c>
      <c r="I35" s="4">
        <v>110035</v>
      </c>
      <c r="J35">
        <v>0</v>
      </c>
      <c r="K35">
        <v>392574</v>
      </c>
      <c r="L35">
        <v>0</v>
      </c>
      <c r="M35" s="4">
        <v>0</v>
      </c>
      <c r="N35" s="4">
        <v>0</v>
      </c>
      <c r="O35" s="4">
        <v>49899</v>
      </c>
      <c r="P35" s="4">
        <v>0</v>
      </c>
      <c r="Q35" s="4">
        <v>30523</v>
      </c>
      <c r="R35" s="4">
        <v>34182</v>
      </c>
      <c r="S35" s="4">
        <v>507178</v>
      </c>
      <c r="T35" s="4">
        <v>332438</v>
      </c>
      <c r="U35" s="4">
        <v>174740</v>
      </c>
    </row>
    <row r="36" spans="1:21" x14ac:dyDescent="0.25">
      <c r="A36" s="1" t="s">
        <v>22</v>
      </c>
      <c r="B36" t="s">
        <v>723</v>
      </c>
      <c r="C36" s="1" t="s">
        <v>36</v>
      </c>
      <c r="D36" t="s">
        <v>439</v>
      </c>
      <c r="E36" s="4">
        <v>117152</v>
      </c>
      <c r="F36" s="4">
        <v>89802</v>
      </c>
      <c r="G36" s="4">
        <v>19576</v>
      </c>
      <c r="H36" s="4">
        <v>70226</v>
      </c>
      <c r="I36" s="4">
        <v>27350</v>
      </c>
      <c r="J36">
        <v>0</v>
      </c>
      <c r="K36">
        <v>97576</v>
      </c>
      <c r="L36">
        <v>0</v>
      </c>
      <c r="M36" s="4">
        <v>0</v>
      </c>
      <c r="N36" s="4">
        <v>0</v>
      </c>
      <c r="O36" s="4">
        <v>12403</v>
      </c>
      <c r="P36" s="4">
        <v>0</v>
      </c>
      <c r="Q36" s="4">
        <v>7637</v>
      </c>
      <c r="R36" s="4">
        <v>8553</v>
      </c>
      <c r="S36" s="4">
        <v>126169</v>
      </c>
      <c r="T36" s="4">
        <v>82629</v>
      </c>
      <c r="U36" s="4">
        <v>43540</v>
      </c>
    </row>
    <row r="37" spans="1:21" x14ac:dyDescent="0.25">
      <c r="A37" s="1" t="s">
        <v>22</v>
      </c>
      <c r="B37" t="s">
        <v>723</v>
      </c>
      <c r="C37" s="1" t="s">
        <v>37</v>
      </c>
      <c r="D37" t="s">
        <v>440</v>
      </c>
      <c r="E37" s="4">
        <v>472344</v>
      </c>
      <c r="F37" s="4">
        <v>362073</v>
      </c>
      <c r="G37" s="4">
        <v>78928</v>
      </c>
      <c r="H37" s="4">
        <v>283145</v>
      </c>
      <c r="I37" s="4">
        <v>110271</v>
      </c>
      <c r="J37" s="4">
        <v>4924</v>
      </c>
      <c r="K37">
        <v>398340</v>
      </c>
      <c r="L37">
        <v>0</v>
      </c>
      <c r="M37" s="4">
        <v>0</v>
      </c>
      <c r="N37" s="4">
        <v>0</v>
      </c>
      <c r="O37" s="4">
        <v>50559</v>
      </c>
      <c r="P37" s="4">
        <v>0</v>
      </c>
      <c r="Q37" s="4">
        <v>34213</v>
      </c>
      <c r="R37" s="4">
        <v>38314</v>
      </c>
      <c r="S37" s="4">
        <v>521426</v>
      </c>
      <c r="T37" s="4">
        <v>333704</v>
      </c>
      <c r="U37" s="4">
        <v>187722</v>
      </c>
    </row>
    <row r="38" spans="1:21" x14ac:dyDescent="0.25">
      <c r="A38" s="1" t="s">
        <v>22</v>
      </c>
      <c r="B38" t="s">
        <v>723</v>
      </c>
      <c r="C38" s="1" t="s">
        <v>38</v>
      </c>
      <c r="D38" t="s">
        <v>441</v>
      </c>
      <c r="E38" s="4">
        <v>133791</v>
      </c>
      <c r="F38" s="4">
        <v>102557</v>
      </c>
      <c r="G38" s="4">
        <v>22356</v>
      </c>
      <c r="H38" s="4">
        <v>80201</v>
      </c>
      <c r="I38" s="4">
        <v>31234</v>
      </c>
      <c r="J38">
        <v>0</v>
      </c>
      <c r="K38">
        <v>111435</v>
      </c>
      <c r="L38">
        <v>0</v>
      </c>
      <c r="M38" s="4">
        <v>0</v>
      </c>
      <c r="N38" s="4">
        <v>0</v>
      </c>
      <c r="O38" s="4">
        <v>14164</v>
      </c>
      <c r="P38" s="4">
        <v>0</v>
      </c>
      <c r="Q38" s="4">
        <v>8150</v>
      </c>
      <c r="R38" s="4">
        <v>9127</v>
      </c>
      <c r="S38" s="4">
        <v>142876</v>
      </c>
      <c r="T38" s="4">
        <v>94365</v>
      </c>
      <c r="U38" s="4">
        <v>48511</v>
      </c>
    </row>
    <row r="39" spans="1:21" x14ac:dyDescent="0.25">
      <c r="A39" s="1" t="s">
        <v>22</v>
      </c>
      <c r="B39" t="s">
        <v>723</v>
      </c>
      <c r="C39" s="1" t="s">
        <v>39</v>
      </c>
      <c r="D39" t="s">
        <v>442</v>
      </c>
      <c r="E39" s="4">
        <v>257396</v>
      </c>
      <c r="F39" s="4">
        <v>197305</v>
      </c>
      <c r="G39" s="4">
        <v>43011</v>
      </c>
      <c r="H39" s="4">
        <v>154294</v>
      </c>
      <c r="I39" s="4">
        <v>60091</v>
      </c>
      <c r="J39">
        <v>0</v>
      </c>
      <c r="K39">
        <v>214385</v>
      </c>
      <c r="L39">
        <v>0</v>
      </c>
      <c r="M39" s="4">
        <v>0</v>
      </c>
      <c r="N39" s="4">
        <v>0</v>
      </c>
      <c r="O39" s="4">
        <v>27250</v>
      </c>
      <c r="P39" s="4">
        <v>0</v>
      </c>
      <c r="Q39" s="4">
        <v>18632</v>
      </c>
      <c r="R39" s="4">
        <v>20865</v>
      </c>
      <c r="S39" s="4">
        <v>281132</v>
      </c>
      <c r="T39" s="4">
        <v>181544</v>
      </c>
      <c r="U39" s="4">
        <v>99588</v>
      </c>
    </row>
    <row r="40" spans="1:21" x14ac:dyDescent="0.25">
      <c r="A40" s="1" t="s">
        <v>22</v>
      </c>
      <c r="B40" t="s">
        <v>723</v>
      </c>
      <c r="C40" s="1" t="s">
        <v>40</v>
      </c>
      <c r="D40" t="s">
        <v>443</v>
      </c>
      <c r="E40" s="4">
        <v>185583</v>
      </c>
      <c r="F40" s="4">
        <v>142258</v>
      </c>
      <c r="G40" s="4">
        <v>31011</v>
      </c>
      <c r="H40" s="4">
        <v>111247</v>
      </c>
      <c r="I40" s="4">
        <v>43325</v>
      </c>
      <c r="J40" s="4">
        <v>2559</v>
      </c>
      <c r="K40">
        <v>157131</v>
      </c>
      <c r="L40">
        <v>0</v>
      </c>
      <c r="M40" s="4">
        <v>0</v>
      </c>
      <c r="N40" s="4">
        <v>0</v>
      </c>
      <c r="O40" s="4">
        <v>19931</v>
      </c>
      <c r="P40" s="4">
        <v>0</v>
      </c>
      <c r="Q40" s="4">
        <v>12455</v>
      </c>
      <c r="R40" s="4">
        <v>13948</v>
      </c>
      <c r="S40" s="4">
        <v>203465</v>
      </c>
      <c r="T40" s="4">
        <v>131178</v>
      </c>
      <c r="U40" s="4">
        <v>72287</v>
      </c>
    </row>
    <row r="41" spans="1:21" x14ac:dyDescent="0.25">
      <c r="A41" s="1" t="s">
        <v>22</v>
      </c>
      <c r="B41" t="s">
        <v>723</v>
      </c>
      <c r="C41" s="1" t="s">
        <v>41</v>
      </c>
      <c r="D41" t="s">
        <v>444</v>
      </c>
      <c r="E41" s="4">
        <v>101770</v>
      </c>
      <c r="F41" s="4">
        <v>78011</v>
      </c>
      <c r="G41" s="4">
        <v>17006</v>
      </c>
      <c r="H41" s="4">
        <v>61005</v>
      </c>
      <c r="I41" s="4">
        <v>23759</v>
      </c>
      <c r="J41" s="4">
        <v>7251</v>
      </c>
      <c r="K41">
        <v>92015</v>
      </c>
      <c r="L41">
        <v>0</v>
      </c>
      <c r="M41" s="4">
        <v>0</v>
      </c>
      <c r="N41" s="4">
        <v>0</v>
      </c>
      <c r="O41" s="4">
        <v>10774</v>
      </c>
      <c r="P41" s="4">
        <v>0</v>
      </c>
      <c r="Q41" s="4">
        <v>6868</v>
      </c>
      <c r="R41" s="4">
        <v>7692</v>
      </c>
      <c r="S41" s="4">
        <v>117349</v>
      </c>
      <c r="T41" s="4">
        <v>71779</v>
      </c>
      <c r="U41" s="4">
        <v>45570</v>
      </c>
    </row>
    <row r="42" spans="1:21" x14ac:dyDescent="0.25">
      <c r="A42" s="1" t="s">
        <v>22</v>
      </c>
      <c r="B42" t="s">
        <v>723</v>
      </c>
      <c r="C42" s="1" t="s">
        <v>42</v>
      </c>
      <c r="D42" t="s">
        <v>445</v>
      </c>
      <c r="E42" s="4">
        <v>157207</v>
      </c>
      <c r="F42" s="4">
        <v>120506</v>
      </c>
      <c r="G42" s="4">
        <v>26269</v>
      </c>
      <c r="H42" s="4">
        <v>94237</v>
      </c>
      <c r="I42" s="4">
        <v>36701</v>
      </c>
      <c r="J42" s="4">
        <v>13028</v>
      </c>
      <c r="K42">
        <v>143966</v>
      </c>
      <c r="L42">
        <v>0</v>
      </c>
      <c r="M42" s="4">
        <v>0</v>
      </c>
      <c r="N42" s="4">
        <v>0</v>
      </c>
      <c r="O42" s="4">
        <v>16643</v>
      </c>
      <c r="P42" s="4">
        <v>0</v>
      </c>
      <c r="Q42" s="4">
        <v>10559</v>
      </c>
      <c r="R42" s="4">
        <v>11824</v>
      </c>
      <c r="S42" s="4">
        <v>182992</v>
      </c>
      <c r="T42" s="4">
        <v>110880</v>
      </c>
      <c r="U42" s="4">
        <v>72112</v>
      </c>
    </row>
    <row r="43" spans="1:21" x14ac:dyDescent="0.25">
      <c r="A43" s="1" t="s">
        <v>22</v>
      </c>
      <c r="B43" t="s">
        <v>723</v>
      </c>
      <c r="C43" s="1" t="s">
        <v>44</v>
      </c>
      <c r="D43" t="s">
        <v>446</v>
      </c>
      <c r="E43" s="4">
        <v>401880</v>
      </c>
      <c r="F43" s="4">
        <v>308059</v>
      </c>
      <c r="G43" s="4">
        <v>67154</v>
      </c>
      <c r="H43" s="4">
        <v>240905</v>
      </c>
      <c r="I43" s="4">
        <v>93821</v>
      </c>
      <c r="J43" s="4">
        <v>9003</v>
      </c>
      <c r="K43">
        <v>343729</v>
      </c>
      <c r="L43">
        <v>0</v>
      </c>
      <c r="M43" s="4">
        <v>0</v>
      </c>
      <c r="N43" s="4">
        <v>0</v>
      </c>
      <c r="O43" s="4">
        <v>43527</v>
      </c>
      <c r="P43" s="4">
        <v>0</v>
      </c>
      <c r="Q43" s="4">
        <v>26448</v>
      </c>
      <c r="R43" s="4">
        <v>29618</v>
      </c>
      <c r="S43" s="4">
        <v>443322</v>
      </c>
      <c r="T43" s="4">
        <v>284432</v>
      </c>
      <c r="U43" s="4">
        <v>158890</v>
      </c>
    </row>
    <row r="44" spans="1:21" x14ac:dyDescent="0.25">
      <c r="A44" s="1" t="s">
        <v>22</v>
      </c>
      <c r="B44" t="s">
        <v>723</v>
      </c>
      <c r="C44" s="1" t="s">
        <v>45</v>
      </c>
      <c r="D44" t="s">
        <v>447</v>
      </c>
      <c r="E44" s="4">
        <v>71749</v>
      </c>
      <c r="F44" s="4">
        <v>54999</v>
      </c>
      <c r="G44" s="4">
        <v>11989</v>
      </c>
      <c r="H44" s="4">
        <v>43010</v>
      </c>
      <c r="I44" s="4">
        <v>16750</v>
      </c>
      <c r="J44" s="4">
        <v>366</v>
      </c>
      <c r="K44">
        <v>60126</v>
      </c>
      <c r="L44">
        <v>0</v>
      </c>
      <c r="M44" s="4">
        <v>0</v>
      </c>
      <c r="N44" s="4">
        <v>0</v>
      </c>
      <c r="O44" s="4">
        <v>7596</v>
      </c>
      <c r="P44" s="4">
        <v>0</v>
      </c>
      <c r="Q44" s="4">
        <v>4946</v>
      </c>
      <c r="R44" s="4">
        <v>5539</v>
      </c>
      <c r="S44" s="4">
        <v>78207</v>
      </c>
      <c r="T44" s="4">
        <v>50606</v>
      </c>
      <c r="U44" s="4">
        <v>27601</v>
      </c>
    </row>
    <row r="45" spans="1:21" x14ac:dyDescent="0.25">
      <c r="A45" s="1" t="s">
        <v>22</v>
      </c>
      <c r="B45" t="s">
        <v>723</v>
      </c>
      <c r="C45" s="1" t="s">
        <v>46</v>
      </c>
      <c r="D45" t="s">
        <v>448</v>
      </c>
      <c r="E45" s="4">
        <v>261415</v>
      </c>
      <c r="F45" s="4">
        <v>200386</v>
      </c>
      <c r="G45" s="4">
        <v>43682</v>
      </c>
      <c r="H45" s="4">
        <v>156704</v>
      </c>
      <c r="I45" s="4">
        <v>61029</v>
      </c>
      <c r="J45" s="4">
        <v>4632</v>
      </c>
      <c r="K45">
        <v>222365</v>
      </c>
      <c r="L45">
        <v>0</v>
      </c>
      <c r="M45" s="4">
        <v>0</v>
      </c>
      <c r="N45" s="4">
        <v>0</v>
      </c>
      <c r="O45" s="4">
        <v>27886</v>
      </c>
      <c r="P45" s="4">
        <v>0</v>
      </c>
      <c r="Q45" s="4">
        <v>18657</v>
      </c>
      <c r="R45" s="4">
        <v>20894</v>
      </c>
      <c r="S45" s="4">
        <v>289802</v>
      </c>
      <c r="T45" s="4">
        <v>184590</v>
      </c>
      <c r="U45" s="4">
        <v>105212</v>
      </c>
    </row>
    <row r="46" spans="1:21" x14ac:dyDescent="0.25">
      <c r="A46" s="1" t="s">
        <v>22</v>
      </c>
      <c r="B46" t="s">
        <v>723</v>
      </c>
      <c r="C46" s="1" t="s">
        <v>47</v>
      </c>
      <c r="D46" t="s">
        <v>449</v>
      </c>
      <c r="E46" s="4">
        <v>69833</v>
      </c>
      <c r="F46" s="4">
        <v>53530</v>
      </c>
      <c r="G46" s="4">
        <v>11669</v>
      </c>
      <c r="H46" s="4">
        <v>41861</v>
      </c>
      <c r="I46" s="4">
        <v>16303</v>
      </c>
      <c r="J46" s="4">
        <v>16642</v>
      </c>
      <c r="K46">
        <v>74806</v>
      </c>
      <c r="L46">
        <v>0</v>
      </c>
      <c r="M46" s="4">
        <v>0</v>
      </c>
      <c r="N46" s="4">
        <v>0</v>
      </c>
      <c r="O46" s="4">
        <v>8186</v>
      </c>
      <c r="P46" s="4">
        <v>0</v>
      </c>
      <c r="Q46" s="4">
        <v>4664</v>
      </c>
      <c r="R46" s="4">
        <v>5224</v>
      </c>
      <c r="S46" s="4">
        <v>92880</v>
      </c>
      <c r="T46" s="4">
        <v>50047</v>
      </c>
      <c r="U46" s="4">
        <v>42833</v>
      </c>
    </row>
    <row r="47" spans="1:21" x14ac:dyDescent="0.25">
      <c r="A47" s="1" t="s">
        <v>22</v>
      </c>
      <c r="B47" t="s">
        <v>723</v>
      </c>
      <c r="C47" s="1" t="s">
        <v>48</v>
      </c>
      <c r="D47" t="s">
        <v>450</v>
      </c>
      <c r="E47" s="4">
        <v>144749</v>
      </c>
      <c r="F47" s="4">
        <v>110957</v>
      </c>
      <c r="G47" s="4">
        <v>24187</v>
      </c>
      <c r="H47" s="4">
        <v>86770</v>
      </c>
      <c r="I47" s="4">
        <v>33792</v>
      </c>
      <c r="J47" s="4">
        <v>0</v>
      </c>
      <c r="K47">
        <v>120562</v>
      </c>
      <c r="L47">
        <v>0</v>
      </c>
      <c r="M47" s="4">
        <v>0</v>
      </c>
      <c r="N47" s="4">
        <v>0</v>
      </c>
      <c r="O47" s="4">
        <v>15324</v>
      </c>
      <c r="P47" s="4">
        <v>0</v>
      </c>
      <c r="Q47" s="4">
        <v>9662</v>
      </c>
      <c r="R47" s="4">
        <v>10820</v>
      </c>
      <c r="S47" s="4">
        <v>156368</v>
      </c>
      <c r="T47" s="4">
        <v>102094</v>
      </c>
      <c r="U47" s="4">
        <v>54274</v>
      </c>
    </row>
    <row r="48" spans="1:21" x14ac:dyDescent="0.25">
      <c r="A48" s="1" t="s">
        <v>22</v>
      </c>
      <c r="B48" t="s">
        <v>723</v>
      </c>
      <c r="C48" s="1" t="s">
        <v>49</v>
      </c>
      <c r="D48" t="s">
        <v>451</v>
      </c>
      <c r="E48" s="4">
        <v>174495</v>
      </c>
      <c r="F48" s="4">
        <v>133758</v>
      </c>
      <c r="G48" s="4">
        <v>29158</v>
      </c>
      <c r="H48" s="4">
        <v>104600</v>
      </c>
      <c r="I48" s="4">
        <v>40737</v>
      </c>
      <c r="J48">
        <v>81</v>
      </c>
      <c r="K48">
        <v>145418</v>
      </c>
      <c r="L48">
        <v>0</v>
      </c>
      <c r="M48" s="4">
        <v>0</v>
      </c>
      <c r="N48" s="4">
        <v>0</v>
      </c>
      <c r="O48" s="4">
        <v>18494</v>
      </c>
      <c r="P48" s="4">
        <v>0</v>
      </c>
      <c r="Q48" s="4">
        <v>11481</v>
      </c>
      <c r="R48" s="4">
        <v>12858</v>
      </c>
      <c r="S48" s="4">
        <v>188251</v>
      </c>
      <c r="T48" s="4">
        <v>123094</v>
      </c>
      <c r="U48" s="4">
        <v>65157</v>
      </c>
    </row>
    <row r="49" spans="1:21" x14ac:dyDescent="0.25">
      <c r="A49" s="1" t="s">
        <v>22</v>
      </c>
      <c r="B49" t="s">
        <v>723</v>
      </c>
      <c r="C49" s="1" t="s">
        <v>50</v>
      </c>
      <c r="D49" t="s">
        <v>452</v>
      </c>
      <c r="E49" s="4">
        <v>363237</v>
      </c>
      <c r="F49" s="4">
        <v>278438</v>
      </c>
      <c r="G49" s="4">
        <v>60697</v>
      </c>
      <c r="H49" s="4">
        <v>217741</v>
      </c>
      <c r="I49" s="4">
        <v>84799</v>
      </c>
      <c r="J49">
        <v>0</v>
      </c>
      <c r="K49">
        <v>302540</v>
      </c>
      <c r="L49">
        <v>0</v>
      </c>
      <c r="M49" s="4">
        <v>0</v>
      </c>
      <c r="N49" s="4">
        <v>0</v>
      </c>
      <c r="O49" s="4">
        <v>38455</v>
      </c>
      <c r="P49" s="4">
        <v>0</v>
      </c>
      <c r="Q49" s="4">
        <v>24654</v>
      </c>
      <c r="R49" s="4">
        <v>27610</v>
      </c>
      <c r="S49" s="4">
        <v>393259</v>
      </c>
      <c r="T49" s="4">
        <v>256196</v>
      </c>
      <c r="U49" s="4">
        <v>137063</v>
      </c>
    </row>
    <row r="50" spans="1:21" x14ac:dyDescent="0.25">
      <c r="A50" s="1" t="s">
        <v>22</v>
      </c>
      <c r="B50" t="s">
        <v>723</v>
      </c>
      <c r="C50" s="1" t="s">
        <v>51</v>
      </c>
      <c r="D50" t="s">
        <v>453</v>
      </c>
      <c r="E50" s="4">
        <v>236713</v>
      </c>
      <c r="F50" s="4">
        <v>181451</v>
      </c>
      <c r="G50" s="4">
        <v>39555</v>
      </c>
      <c r="H50" s="4">
        <v>141896</v>
      </c>
      <c r="I50" s="4">
        <v>55262</v>
      </c>
      <c r="J50">
        <v>262</v>
      </c>
      <c r="K50">
        <v>197420</v>
      </c>
      <c r="L50">
        <v>0</v>
      </c>
      <c r="M50" s="4">
        <v>0</v>
      </c>
      <c r="N50" s="4">
        <v>0</v>
      </c>
      <c r="O50" s="4">
        <v>25104</v>
      </c>
      <c r="P50" s="4">
        <v>0</v>
      </c>
      <c r="Q50" s="4">
        <v>15710</v>
      </c>
      <c r="R50" s="4">
        <v>17593</v>
      </c>
      <c r="S50" s="4">
        <v>255827</v>
      </c>
      <c r="T50" s="4">
        <v>167000</v>
      </c>
      <c r="U50" s="4">
        <v>88827</v>
      </c>
    </row>
    <row r="51" spans="1:21" x14ac:dyDescent="0.25">
      <c r="A51" s="1" t="s">
        <v>22</v>
      </c>
      <c r="B51" t="s">
        <v>723</v>
      </c>
      <c r="C51" s="1" t="s">
        <v>52</v>
      </c>
      <c r="D51" t="s">
        <v>732</v>
      </c>
      <c r="E51" s="4">
        <v>436501</v>
      </c>
      <c r="F51" s="4">
        <v>334598</v>
      </c>
      <c r="G51" s="4">
        <v>72939</v>
      </c>
      <c r="H51" s="4">
        <v>261659</v>
      </c>
      <c r="I51" s="4">
        <v>101903</v>
      </c>
      <c r="J51">
        <v>0</v>
      </c>
      <c r="K51">
        <v>363562</v>
      </c>
      <c r="L51">
        <v>0</v>
      </c>
      <c r="M51" s="4">
        <v>0</v>
      </c>
      <c r="N51" s="4">
        <v>0</v>
      </c>
      <c r="O51" s="4">
        <v>46212</v>
      </c>
      <c r="P51" s="4">
        <v>0</v>
      </c>
      <c r="Q51" s="4">
        <v>28985</v>
      </c>
      <c r="R51" s="4">
        <v>32460</v>
      </c>
      <c r="S51" s="4">
        <v>471219</v>
      </c>
      <c r="T51" s="4">
        <v>307871</v>
      </c>
      <c r="U51" s="4">
        <v>163348</v>
      </c>
    </row>
    <row r="52" spans="1:21" x14ac:dyDescent="0.25">
      <c r="A52" s="1" t="s">
        <v>22</v>
      </c>
      <c r="B52" t="s">
        <v>723</v>
      </c>
      <c r="C52" s="1" t="s">
        <v>53</v>
      </c>
      <c r="D52" t="s">
        <v>454</v>
      </c>
      <c r="E52" s="4">
        <v>838420</v>
      </c>
      <c r="F52" s="4">
        <v>642686</v>
      </c>
      <c r="G52" s="4">
        <v>140099</v>
      </c>
      <c r="H52" s="4">
        <v>502587</v>
      </c>
      <c r="I52" s="4">
        <v>195734</v>
      </c>
      <c r="J52">
        <v>0</v>
      </c>
      <c r="K52">
        <v>698321</v>
      </c>
      <c r="L52">
        <v>0</v>
      </c>
      <c r="M52" s="4">
        <v>0</v>
      </c>
      <c r="N52" s="4">
        <v>0</v>
      </c>
      <c r="O52" s="4">
        <v>88762</v>
      </c>
      <c r="P52" s="4">
        <v>0</v>
      </c>
      <c r="Q52" s="4">
        <v>57048</v>
      </c>
      <c r="R52" s="4">
        <v>63886</v>
      </c>
      <c r="S52" s="4">
        <v>908017</v>
      </c>
      <c r="T52" s="4">
        <v>591349</v>
      </c>
      <c r="U52" s="4">
        <v>316668</v>
      </c>
    </row>
    <row r="53" spans="1:21" x14ac:dyDescent="0.25">
      <c r="A53" s="1" t="s">
        <v>22</v>
      </c>
      <c r="B53" t="s">
        <v>723</v>
      </c>
      <c r="C53" s="1" t="s">
        <v>54</v>
      </c>
      <c r="D53" t="s">
        <v>455</v>
      </c>
      <c r="E53" s="4">
        <v>457018</v>
      </c>
      <c r="F53" s="4">
        <v>350325</v>
      </c>
      <c r="G53" s="4">
        <v>76367</v>
      </c>
      <c r="H53" s="4">
        <v>273958</v>
      </c>
      <c r="I53" s="4">
        <v>106693</v>
      </c>
      <c r="J53">
        <v>0</v>
      </c>
      <c r="K53">
        <v>380651</v>
      </c>
      <c r="L53">
        <v>0</v>
      </c>
      <c r="M53" s="4">
        <v>0</v>
      </c>
      <c r="N53" s="4">
        <v>0</v>
      </c>
      <c r="O53" s="4">
        <v>48384</v>
      </c>
      <c r="P53" s="4">
        <v>0</v>
      </c>
      <c r="Q53" s="4">
        <v>30010</v>
      </c>
      <c r="R53" s="4">
        <v>33608</v>
      </c>
      <c r="S53" s="4">
        <v>492653</v>
      </c>
      <c r="T53" s="4">
        <v>322342</v>
      </c>
      <c r="U53" s="4">
        <v>170311</v>
      </c>
    </row>
    <row r="54" spans="1:21" x14ac:dyDescent="0.25">
      <c r="A54" s="1" t="s">
        <v>22</v>
      </c>
      <c r="B54" t="s">
        <v>723</v>
      </c>
      <c r="C54" s="1" t="s">
        <v>55</v>
      </c>
      <c r="D54" t="s">
        <v>456</v>
      </c>
      <c r="E54" s="4">
        <v>1026416</v>
      </c>
      <c r="F54" s="4">
        <v>786794</v>
      </c>
      <c r="G54" s="4">
        <v>171513</v>
      </c>
      <c r="H54" s="4">
        <v>615281</v>
      </c>
      <c r="I54" s="4">
        <v>239622</v>
      </c>
      <c r="J54">
        <v>0</v>
      </c>
      <c r="K54">
        <v>854903</v>
      </c>
      <c r="L54">
        <v>0</v>
      </c>
      <c r="M54" s="4">
        <v>0</v>
      </c>
      <c r="N54" s="4">
        <v>0</v>
      </c>
      <c r="O54" s="4">
        <v>108665</v>
      </c>
      <c r="P54" s="4">
        <v>0</v>
      </c>
      <c r="Q54" s="4">
        <v>71092</v>
      </c>
      <c r="R54" s="4">
        <v>79614</v>
      </c>
      <c r="S54" s="4">
        <v>1114274</v>
      </c>
      <c r="T54" s="4">
        <v>723946</v>
      </c>
      <c r="U54" s="4">
        <v>390328</v>
      </c>
    </row>
    <row r="55" spans="1:21" x14ac:dyDescent="0.25">
      <c r="A55" s="1" t="s">
        <v>22</v>
      </c>
      <c r="B55" t="s">
        <v>723</v>
      </c>
      <c r="C55" s="1" t="s">
        <v>56</v>
      </c>
      <c r="D55" t="s">
        <v>457</v>
      </c>
      <c r="E55" s="4">
        <v>60274</v>
      </c>
      <c r="F55" s="4">
        <v>46202</v>
      </c>
      <c r="G55" s="4">
        <v>10071</v>
      </c>
      <c r="H55" s="4">
        <v>36131</v>
      </c>
      <c r="I55" s="4">
        <v>14072</v>
      </c>
      <c r="J55" s="4">
        <v>3237</v>
      </c>
      <c r="K55">
        <v>53440</v>
      </c>
      <c r="L55">
        <v>0</v>
      </c>
      <c r="M55" s="4">
        <v>0</v>
      </c>
      <c r="N55" s="4">
        <v>0</v>
      </c>
      <c r="O55" s="4">
        <v>6381</v>
      </c>
      <c r="P55" s="4">
        <v>0</v>
      </c>
      <c r="Q55" s="4">
        <v>3844</v>
      </c>
      <c r="R55" s="4">
        <v>4305</v>
      </c>
      <c r="S55" s="4">
        <v>67970</v>
      </c>
      <c r="T55" s="4">
        <v>42512</v>
      </c>
      <c r="U55" s="4">
        <v>25458</v>
      </c>
    </row>
    <row r="56" spans="1:21" x14ac:dyDescent="0.25">
      <c r="A56" s="1" t="s">
        <v>22</v>
      </c>
      <c r="B56" t="s">
        <v>723</v>
      </c>
      <c r="C56" s="1" t="s">
        <v>57</v>
      </c>
      <c r="D56" t="s">
        <v>458</v>
      </c>
      <c r="E56" s="4">
        <v>63201</v>
      </c>
      <c r="F56" s="4">
        <v>48446</v>
      </c>
      <c r="G56" s="4">
        <v>10560</v>
      </c>
      <c r="H56" s="4">
        <v>37886</v>
      </c>
      <c r="I56" s="4">
        <v>14755</v>
      </c>
      <c r="J56" s="4">
        <v>2929</v>
      </c>
      <c r="K56">
        <v>55570</v>
      </c>
      <c r="L56">
        <v>0</v>
      </c>
      <c r="M56" s="4">
        <v>0</v>
      </c>
      <c r="N56" s="4">
        <v>0</v>
      </c>
      <c r="O56" s="4">
        <v>7005</v>
      </c>
      <c r="P56" s="4">
        <v>0</v>
      </c>
      <c r="Q56" s="4">
        <v>4357</v>
      </c>
      <c r="R56" s="4">
        <v>4879</v>
      </c>
      <c r="S56" s="4">
        <v>71811</v>
      </c>
      <c r="T56" s="4">
        <v>44891</v>
      </c>
      <c r="U56" s="4">
        <v>26920</v>
      </c>
    </row>
    <row r="57" spans="1:21" x14ac:dyDescent="0.25">
      <c r="A57" s="1" t="s">
        <v>22</v>
      </c>
      <c r="B57" t="s">
        <v>723</v>
      </c>
      <c r="C57" s="1" t="s">
        <v>58</v>
      </c>
      <c r="D57" t="s">
        <v>459</v>
      </c>
      <c r="E57" s="4">
        <v>684344</v>
      </c>
      <c r="F57" s="4">
        <v>524580</v>
      </c>
      <c r="G57" s="4">
        <v>114353</v>
      </c>
      <c r="H57" s="4">
        <v>410227</v>
      </c>
      <c r="I57" s="4">
        <v>159764</v>
      </c>
      <c r="J57">
        <v>0</v>
      </c>
      <c r="K57">
        <v>569991</v>
      </c>
      <c r="L57">
        <v>0</v>
      </c>
      <c r="M57" s="4">
        <v>0</v>
      </c>
      <c r="N57" s="4">
        <v>0</v>
      </c>
      <c r="O57" s="4">
        <v>72450</v>
      </c>
      <c r="P57" s="4">
        <v>0</v>
      </c>
      <c r="Q57" s="4">
        <v>47207</v>
      </c>
      <c r="R57" s="4">
        <v>52866</v>
      </c>
      <c r="S57" s="4">
        <v>742514</v>
      </c>
      <c r="T57" s="4">
        <v>482677</v>
      </c>
      <c r="U57" s="4">
        <v>259837</v>
      </c>
    </row>
    <row r="58" spans="1:21" x14ac:dyDescent="0.25">
      <c r="A58" s="1" t="s">
        <v>22</v>
      </c>
      <c r="B58" t="s">
        <v>723</v>
      </c>
      <c r="C58" s="1" t="s">
        <v>59</v>
      </c>
      <c r="D58" t="s">
        <v>460</v>
      </c>
      <c r="E58" s="4">
        <v>129388</v>
      </c>
      <c r="F58" s="4">
        <v>99182</v>
      </c>
      <c r="G58" s="4">
        <v>21621</v>
      </c>
      <c r="H58" s="4">
        <v>77561</v>
      </c>
      <c r="I58" s="4">
        <v>30206</v>
      </c>
      <c r="J58">
        <v>0</v>
      </c>
      <c r="K58">
        <v>107767</v>
      </c>
      <c r="L58">
        <v>0</v>
      </c>
      <c r="M58" s="4">
        <v>0</v>
      </c>
      <c r="N58" s="4">
        <v>0</v>
      </c>
      <c r="O58" s="4">
        <v>13698</v>
      </c>
      <c r="P58" s="4">
        <v>0</v>
      </c>
      <c r="Q58" s="4">
        <v>9457</v>
      </c>
      <c r="R58" s="4">
        <v>10590</v>
      </c>
      <c r="S58" s="4">
        <v>141512</v>
      </c>
      <c r="T58" s="4">
        <v>91259</v>
      </c>
      <c r="U58" s="4">
        <v>50253</v>
      </c>
    </row>
    <row r="59" spans="1:21" x14ac:dyDescent="0.25">
      <c r="A59" s="1" t="s">
        <v>60</v>
      </c>
      <c r="B59" t="s">
        <v>724</v>
      </c>
      <c r="C59" s="1" t="s">
        <v>61</v>
      </c>
      <c r="D59" t="s">
        <v>62</v>
      </c>
      <c r="E59" s="4">
        <v>285469</v>
      </c>
      <c r="F59" s="4">
        <v>223023</v>
      </c>
      <c r="G59" s="4">
        <v>48616</v>
      </c>
      <c r="H59" s="4">
        <v>174407</v>
      </c>
      <c r="I59" s="4">
        <v>62446</v>
      </c>
      <c r="J59">
        <v>0</v>
      </c>
      <c r="K59">
        <v>236853</v>
      </c>
      <c r="L59">
        <v>275</v>
      </c>
      <c r="M59" s="4">
        <v>78</v>
      </c>
      <c r="N59" s="4">
        <v>353</v>
      </c>
      <c r="O59" s="4">
        <v>35155</v>
      </c>
      <c r="P59" s="4">
        <v>0</v>
      </c>
      <c r="Q59" s="4">
        <v>18643</v>
      </c>
      <c r="R59" s="4">
        <v>20783</v>
      </c>
      <c r="S59" s="4">
        <v>311787</v>
      </c>
      <c r="T59" s="4">
        <v>209837</v>
      </c>
      <c r="U59" s="4">
        <v>101950</v>
      </c>
    </row>
    <row r="60" spans="1:21" x14ac:dyDescent="0.25">
      <c r="A60" s="1" t="s">
        <v>60</v>
      </c>
      <c r="B60" t="s">
        <v>724</v>
      </c>
      <c r="C60" s="1" t="s">
        <v>63</v>
      </c>
      <c r="D60" t="s">
        <v>461</v>
      </c>
      <c r="E60" s="4">
        <v>99661</v>
      </c>
      <c r="F60" s="4">
        <v>77860</v>
      </c>
      <c r="G60" s="4">
        <v>16973</v>
      </c>
      <c r="H60" s="4">
        <v>60887</v>
      </c>
      <c r="I60" s="4">
        <v>21801</v>
      </c>
      <c r="J60" s="4">
        <v>294</v>
      </c>
      <c r="K60">
        <v>82982</v>
      </c>
      <c r="L60">
        <v>97</v>
      </c>
      <c r="M60" s="4">
        <v>27</v>
      </c>
      <c r="N60" s="4">
        <v>124</v>
      </c>
      <c r="O60" s="4">
        <v>12273</v>
      </c>
      <c r="P60" s="4">
        <v>0</v>
      </c>
      <c r="Q60" s="4">
        <v>6837</v>
      </c>
      <c r="R60" s="4">
        <v>7622</v>
      </c>
      <c r="S60" s="4">
        <v>109838</v>
      </c>
      <c r="T60" s="4">
        <v>73257</v>
      </c>
      <c r="U60" s="4">
        <v>36581</v>
      </c>
    </row>
    <row r="61" spans="1:21" x14ac:dyDescent="0.25">
      <c r="A61" s="1" t="s">
        <v>60</v>
      </c>
      <c r="B61" t="s">
        <v>724</v>
      </c>
      <c r="C61" s="1" t="s">
        <v>64</v>
      </c>
      <c r="D61" t="s">
        <v>462</v>
      </c>
      <c r="E61" s="4">
        <v>315429</v>
      </c>
      <c r="F61" s="4">
        <v>246429</v>
      </c>
      <c r="G61" s="4">
        <v>53719</v>
      </c>
      <c r="H61" s="4">
        <v>192710</v>
      </c>
      <c r="I61" s="4">
        <v>69000</v>
      </c>
      <c r="J61">
        <v>0</v>
      </c>
      <c r="K61">
        <v>261710</v>
      </c>
      <c r="L61">
        <v>305</v>
      </c>
      <c r="M61" s="4">
        <v>86</v>
      </c>
      <c r="N61" s="4">
        <v>391</v>
      </c>
      <c r="O61" s="4">
        <v>38845</v>
      </c>
      <c r="P61" s="4">
        <v>0</v>
      </c>
      <c r="Q61" s="4">
        <v>20819</v>
      </c>
      <c r="R61" s="4">
        <v>23210</v>
      </c>
      <c r="S61" s="4">
        <v>344975</v>
      </c>
      <c r="T61" s="4">
        <v>231860</v>
      </c>
      <c r="U61" s="4">
        <v>113115</v>
      </c>
    </row>
    <row r="62" spans="1:21" x14ac:dyDescent="0.25">
      <c r="A62" s="1" t="s">
        <v>60</v>
      </c>
      <c r="B62" t="s">
        <v>724</v>
      </c>
      <c r="C62" s="1" t="s">
        <v>65</v>
      </c>
      <c r="D62" t="s">
        <v>66</v>
      </c>
      <c r="E62" s="4">
        <v>177421</v>
      </c>
      <c r="F62" s="4">
        <v>138610</v>
      </c>
      <c r="G62" s="4">
        <v>30216</v>
      </c>
      <c r="H62" s="4">
        <v>108394</v>
      </c>
      <c r="I62" s="4">
        <v>38811</v>
      </c>
      <c r="J62" s="4">
        <v>9091</v>
      </c>
      <c r="K62">
        <v>156296</v>
      </c>
      <c r="L62">
        <v>170</v>
      </c>
      <c r="M62" s="4">
        <v>48</v>
      </c>
      <c r="N62" s="4">
        <v>218</v>
      </c>
      <c r="O62" s="4">
        <v>22036</v>
      </c>
      <c r="P62" s="4">
        <v>0</v>
      </c>
      <c r="Q62" s="4">
        <v>11549</v>
      </c>
      <c r="R62" s="4">
        <v>12875</v>
      </c>
      <c r="S62" s="4">
        <v>202974</v>
      </c>
      <c r="T62" s="4">
        <v>130600</v>
      </c>
      <c r="U62" s="4">
        <v>72374</v>
      </c>
    </row>
    <row r="63" spans="1:21" x14ac:dyDescent="0.25">
      <c r="A63" s="1" t="s">
        <v>60</v>
      </c>
      <c r="B63" t="s">
        <v>724</v>
      </c>
      <c r="C63" s="1" t="s">
        <v>67</v>
      </c>
      <c r="D63" t="s">
        <v>463</v>
      </c>
      <c r="E63" s="4">
        <v>289198</v>
      </c>
      <c r="F63" s="4">
        <v>225936</v>
      </c>
      <c r="G63" s="4">
        <v>49252</v>
      </c>
      <c r="H63" s="4">
        <v>176684</v>
      </c>
      <c r="I63" s="4">
        <v>63262</v>
      </c>
      <c r="J63">
        <v>0</v>
      </c>
      <c r="K63">
        <v>239946</v>
      </c>
      <c r="L63">
        <v>278</v>
      </c>
      <c r="M63" s="4">
        <v>78</v>
      </c>
      <c r="N63" s="4">
        <v>356</v>
      </c>
      <c r="O63" s="4">
        <v>35614</v>
      </c>
      <c r="P63" s="4">
        <v>0</v>
      </c>
      <c r="Q63" s="4">
        <v>19129</v>
      </c>
      <c r="R63" s="4">
        <v>21325</v>
      </c>
      <c r="S63" s="4">
        <v>316370</v>
      </c>
      <c r="T63" s="4">
        <v>212576</v>
      </c>
      <c r="U63" s="4">
        <v>103794</v>
      </c>
    </row>
    <row r="64" spans="1:21" x14ac:dyDescent="0.25">
      <c r="A64" s="1" t="s">
        <v>60</v>
      </c>
      <c r="B64" t="s">
        <v>724</v>
      </c>
      <c r="C64" s="1" t="s">
        <v>68</v>
      </c>
      <c r="D64" t="s">
        <v>464</v>
      </c>
      <c r="E64" s="4">
        <v>201550</v>
      </c>
      <c r="F64" s="4">
        <v>157461</v>
      </c>
      <c r="G64" s="4">
        <v>34325</v>
      </c>
      <c r="H64" s="4">
        <v>123136</v>
      </c>
      <c r="I64" s="4">
        <v>44089</v>
      </c>
      <c r="J64">
        <v>0</v>
      </c>
      <c r="K64">
        <v>167225</v>
      </c>
      <c r="L64">
        <v>194</v>
      </c>
      <c r="M64" s="4">
        <v>55</v>
      </c>
      <c r="N64" s="4">
        <v>249</v>
      </c>
      <c r="O64" s="4">
        <v>24821</v>
      </c>
      <c r="P64" s="4">
        <v>0</v>
      </c>
      <c r="Q64" s="4">
        <v>13137</v>
      </c>
      <c r="R64" s="4">
        <v>14645</v>
      </c>
      <c r="S64" s="4">
        <v>220077</v>
      </c>
      <c r="T64" s="4">
        <v>148152</v>
      </c>
      <c r="U64" s="4">
        <v>71925</v>
      </c>
    </row>
    <row r="65" spans="1:21" x14ac:dyDescent="0.25">
      <c r="A65" s="1" t="s">
        <v>60</v>
      </c>
      <c r="B65" t="s">
        <v>724</v>
      </c>
      <c r="C65" s="1" t="s">
        <v>69</v>
      </c>
      <c r="D65" t="s">
        <v>70</v>
      </c>
      <c r="E65" s="4">
        <v>112894</v>
      </c>
      <c r="F65" s="4">
        <v>88198</v>
      </c>
      <c r="G65" s="4">
        <v>19227</v>
      </c>
      <c r="H65" s="4">
        <v>68971</v>
      </c>
      <c r="I65" s="4">
        <v>24696</v>
      </c>
      <c r="J65">
        <v>0</v>
      </c>
      <c r="K65">
        <v>93667</v>
      </c>
      <c r="L65">
        <v>108</v>
      </c>
      <c r="M65" s="4">
        <v>30</v>
      </c>
      <c r="N65" s="4">
        <v>138</v>
      </c>
      <c r="O65" s="4">
        <v>13903</v>
      </c>
      <c r="P65" s="4">
        <v>0</v>
      </c>
      <c r="Q65" s="4">
        <v>7734</v>
      </c>
      <c r="R65" s="4">
        <v>8622</v>
      </c>
      <c r="S65" s="4">
        <v>124064</v>
      </c>
      <c r="T65" s="4">
        <v>82982</v>
      </c>
      <c r="U65" s="4">
        <v>41082</v>
      </c>
    </row>
    <row r="66" spans="1:21" x14ac:dyDescent="0.25">
      <c r="A66" s="1" t="s">
        <v>60</v>
      </c>
      <c r="B66" t="s">
        <v>724</v>
      </c>
      <c r="C66" s="1" t="s">
        <v>71</v>
      </c>
      <c r="D66" t="s">
        <v>465</v>
      </c>
      <c r="E66" s="4">
        <v>2191906</v>
      </c>
      <c r="F66" s="4">
        <v>1712426</v>
      </c>
      <c r="G66" s="4">
        <v>373291</v>
      </c>
      <c r="H66" s="4">
        <v>1339135</v>
      </c>
      <c r="I66" s="4">
        <v>479480</v>
      </c>
      <c r="J66" s="4">
        <v>0</v>
      </c>
      <c r="K66" s="4">
        <v>1818615</v>
      </c>
      <c r="L66" s="4">
        <v>2117</v>
      </c>
      <c r="M66" s="4">
        <v>593</v>
      </c>
      <c r="N66" s="4">
        <v>2710</v>
      </c>
      <c r="O66" s="4">
        <v>269929</v>
      </c>
      <c r="P66" s="4">
        <v>0</v>
      </c>
      <c r="Q66" s="4">
        <v>150114</v>
      </c>
      <c r="R66" s="4">
        <v>167348</v>
      </c>
      <c r="S66" s="4">
        <v>2408716</v>
      </c>
      <c r="T66" s="4">
        <v>1611181</v>
      </c>
      <c r="U66" s="4">
        <v>797535</v>
      </c>
    </row>
    <row r="67" spans="1:21" x14ac:dyDescent="0.25">
      <c r="A67" s="1" t="s">
        <v>60</v>
      </c>
      <c r="B67" t="s">
        <v>724</v>
      </c>
      <c r="C67" s="1" t="s">
        <v>72</v>
      </c>
      <c r="D67" t="s">
        <v>466</v>
      </c>
      <c r="E67" s="4">
        <v>304951</v>
      </c>
      <c r="F67" s="4">
        <v>238243</v>
      </c>
      <c r="G67" s="4">
        <v>51935</v>
      </c>
      <c r="H67" s="4">
        <v>186308</v>
      </c>
      <c r="I67" s="4">
        <v>66708</v>
      </c>
      <c r="J67" s="4">
        <v>4684</v>
      </c>
      <c r="K67">
        <v>257700</v>
      </c>
      <c r="L67">
        <v>294</v>
      </c>
      <c r="M67" s="4">
        <v>83</v>
      </c>
      <c r="N67" s="4">
        <v>377</v>
      </c>
      <c r="O67" s="4">
        <v>38284</v>
      </c>
      <c r="P67" s="4">
        <v>0</v>
      </c>
      <c r="Q67" s="4">
        <v>21204</v>
      </c>
      <c r="R67" s="4">
        <v>23638</v>
      </c>
      <c r="S67" s="4">
        <v>341203</v>
      </c>
      <c r="T67" s="4">
        <v>224886</v>
      </c>
      <c r="U67" s="4">
        <v>116317</v>
      </c>
    </row>
    <row r="68" spans="1:21" x14ac:dyDescent="0.25">
      <c r="A68" s="1" t="s">
        <v>60</v>
      </c>
      <c r="B68" t="s">
        <v>724</v>
      </c>
      <c r="C68" s="1" t="s">
        <v>73</v>
      </c>
      <c r="D68" t="s">
        <v>467</v>
      </c>
      <c r="E68" s="4">
        <v>613765</v>
      </c>
      <c r="F68" s="4">
        <v>479504</v>
      </c>
      <c r="G68" s="4">
        <v>104527</v>
      </c>
      <c r="H68" s="4">
        <v>374977</v>
      </c>
      <c r="I68" s="4">
        <v>134261</v>
      </c>
      <c r="J68">
        <v>0</v>
      </c>
      <c r="K68">
        <v>509238</v>
      </c>
      <c r="L68">
        <v>591</v>
      </c>
      <c r="M68" s="4">
        <v>166</v>
      </c>
      <c r="N68" s="4">
        <v>757</v>
      </c>
      <c r="O68" s="4">
        <v>75584</v>
      </c>
      <c r="P68" s="4">
        <v>0</v>
      </c>
      <c r="Q68" s="4">
        <v>41895</v>
      </c>
      <c r="R68" s="4">
        <v>46704</v>
      </c>
      <c r="S68" s="4">
        <v>674178</v>
      </c>
      <c r="T68" s="4">
        <v>451152</v>
      </c>
      <c r="U68" s="4">
        <v>223026</v>
      </c>
    </row>
    <row r="69" spans="1:21" x14ac:dyDescent="0.25">
      <c r="A69" s="1" t="s">
        <v>60</v>
      </c>
      <c r="B69" t="s">
        <v>724</v>
      </c>
      <c r="C69" s="1" t="s">
        <v>74</v>
      </c>
      <c r="D69" t="s">
        <v>468</v>
      </c>
      <c r="E69" s="4">
        <v>112752</v>
      </c>
      <c r="F69" s="4">
        <v>88088</v>
      </c>
      <c r="G69" s="4">
        <v>19202</v>
      </c>
      <c r="H69" s="4">
        <v>68886</v>
      </c>
      <c r="I69" s="4">
        <v>24664</v>
      </c>
      <c r="J69" s="4">
        <v>5042</v>
      </c>
      <c r="K69">
        <v>98592</v>
      </c>
      <c r="L69">
        <v>108</v>
      </c>
      <c r="M69" s="4">
        <v>30</v>
      </c>
      <c r="N69" s="4">
        <v>138</v>
      </c>
      <c r="O69" s="4">
        <v>14184</v>
      </c>
      <c r="P69" s="4">
        <v>0</v>
      </c>
      <c r="Q69" s="4">
        <v>7298</v>
      </c>
      <c r="R69" s="4">
        <v>8136</v>
      </c>
      <c r="S69" s="4">
        <v>128348</v>
      </c>
      <c r="T69" s="4">
        <v>83178</v>
      </c>
      <c r="U69" s="4">
        <v>45170</v>
      </c>
    </row>
    <row r="70" spans="1:21" x14ac:dyDescent="0.25">
      <c r="A70" s="1" t="s">
        <v>60</v>
      </c>
      <c r="B70" t="s">
        <v>724</v>
      </c>
      <c r="C70" s="1" t="s">
        <v>75</v>
      </c>
      <c r="D70" t="s">
        <v>469</v>
      </c>
      <c r="E70" s="4">
        <v>452923</v>
      </c>
      <c r="F70" s="4">
        <v>353846</v>
      </c>
      <c r="G70" s="4">
        <v>77135</v>
      </c>
      <c r="H70" s="4">
        <v>276711</v>
      </c>
      <c r="I70" s="4">
        <v>99077</v>
      </c>
      <c r="J70" s="4">
        <v>2502</v>
      </c>
      <c r="K70">
        <v>378290</v>
      </c>
      <c r="L70">
        <v>437</v>
      </c>
      <c r="M70" s="4">
        <v>123</v>
      </c>
      <c r="N70" s="4">
        <v>560</v>
      </c>
      <c r="O70" s="4">
        <v>55777</v>
      </c>
      <c r="P70" s="4">
        <v>0</v>
      </c>
      <c r="Q70" s="4">
        <v>31165</v>
      </c>
      <c r="R70" s="4">
        <v>34743</v>
      </c>
      <c r="S70" s="4">
        <v>500535</v>
      </c>
      <c r="T70" s="4">
        <v>332925</v>
      </c>
      <c r="U70" s="4">
        <v>167610</v>
      </c>
    </row>
    <row r="71" spans="1:21" x14ac:dyDescent="0.25">
      <c r="A71" s="1" t="s">
        <v>60</v>
      </c>
      <c r="B71" t="s">
        <v>724</v>
      </c>
      <c r="C71" s="1" t="s">
        <v>76</v>
      </c>
      <c r="D71" t="s">
        <v>470</v>
      </c>
      <c r="E71" s="4">
        <v>325742</v>
      </c>
      <c r="F71" s="4">
        <v>254486</v>
      </c>
      <c r="G71" s="4">
        <v>55475</v>
      </c>
      <c r="H71" s="4">
        <v>199011</v>
      </c>
      <c r="I71" s="4">
        <v>71256</v>
      </c>
      <c r="J71">
        <v>0</v>
      </c>
      <c r="K71">
        <v>270267</v>
      </c>
      <c r="L71">
        <v>313</v>
      </c>
      <c r="M71" s="4">
        <v>88</v>
      </c>
      <c r="N71" s="4">
        <v>401</v>
      </c>
      <c r="O71" s="4">
        <v>40115</v>
      </c>
      <c r="P71" s="4">
        <v>0</v>
      </c>
      <c r="Q71" s="4">
        <v>22433</v>
      </c>
      <c r="R71" s="4">
        <v>25008</v>
      </c>
      <c r="S71" s="4">
        <v>358224</v>
      </c>
      <c r="T71" s="4">
        <v>239439</v>
      </c>
      <c r="U71" s="4">
        <v>118785</v>
      </c>
    </row>
    <row r="72" spans="1:21" x14ac:dyDescent="0.25">
      <c r="A72" s="1" t="s">
        <v>60</v>
      </c>
      <c r="B72" t="s">
        <v>724</v>
      </c>
      <c r="C72" s="1" t="s">
        <v>77</v>
      </c>
      <c r="D72" t="s">
        <v>471</v>
      </c>
      <c r="E72" s="4">
        <v>341111</v>
      </c>
      <c r="F72" s="4">
        <v>266493</v>
      </c>
      <c r="G72" s="4">
        <v>58093</v>
      </c>
      <c r="H72" s="4">
        <v>208400</v>
      </c>
      <c r="I72" s="4">
        <v>74618</v>
      </c>
      <c r="J72">
        <v>0</v>
      </c>
      <c r="K72">
        <v>283018</v>
      </c>
      <c r="L72">
        <v>329</v>
      </c>
      <c r="M72" s="4">
        <v>93</v>
      </c>
      <c r="N72" s="4">
        <v>422</v>
      </c>
      <c r="O72" s="4">
        <v>42007</v>
      </c>
      <c r="P72" s="4">
        <v>0</v>
      </c>
      <c r="Q72" s="4">
        <v>22689</v>
      </c>
      <c r="R72" s="4">
        <v>25294</v>
      </c>
      <c r="S72" s="4">
        <v>373430</v>
      </c>
      <c r="T72" s="4">
        <v>250736</v>
      </c>
      <c r="U72" s="4">
        <v>122694</v>
      </c>
    </row>
    <row r="73" spans="1:21" x14ac:dyDescent="0.25">
      <c r="A73" s="1" t="s">
        <v>60</v>
      </c>
      <c r="B73" t="s">
        <v>724</v>
      </c>
      <c r="C73" s="1" t="s">
        <v>78</v>
      </c>
      <c r="D73" t="s">
        <v>472</v>
      </c>
      <c r="E73" s="4">
        <v>143130</v>
      </c>
      <c r="F73" s="4">
        <v>111821</v>
      </c>
      <c r="G73" s="4">
        <v>24375</v>
      </c>
      <c r="H73" s="4">
        <v>87446</v>
      </c>
      <c r="I73" s="4">
        <v>31309</v>
      </c>
      <c r="J73" s="4">
        <v>10552</v>
      </c>
      <c r="K73">
        <v>129307</v>
      </c>
      <c r="L73">
        <v>138</v>
      </c>
      <c r="M73" s="4">
        <v>38</v>
      </c>
      <c r="N73" s="4">
        <v>176</v>
      </c>
      <c r="O73" s="4">
        <v>17626</v>
      </c>
      <c r="P73" s="4">
        <v>0</v>
      </c>
      <c r="Q73" s="4">
        <v>9629</v>
      </c>
      <c r="R73" s="4">
        <v>10734</v>
      </c>
      <c r="S73" s="4">
        <v>167472</v>
      </c>
      <c r="T73" s="4">
        <v>105209</v>
      </c>
      <c r="U73" s="4">
        <v>62263</v>
      </c>
    </row>
    <row r="74" spans="1:21" x14ac:dyDescent="0.25">
      <c r="A74" s="1" t="s">
        <v>60</v>
      </c>
      <c r="B74" t="s">
        <v>724</v>
      </c>
      <c r="C74" s="1" t="s">
        <v>79</v>
      </c>
      <c r="D74" t="s">
        <v>473</v>
      </c>
      <c r="E74" s="4">
        <v>214386</v>
      </c>
      <c r="F74" s="4">
        <v>167489</v>
      </c>
      <c r="G74" s="4">
        <v>36511</v>
      </c>
      <c r="H74" s="4">
        <v>130978</v>
      </c>
      <c r="I74" s="4">
        <v>46897</v>
      </c>
      <c r="J74">
        <v>374</v>
      </c>
      <c r="K74">
        <v>178249</v>
      </c>
      <c r="L74">
        <v>208</v>
      </c>
      <c r="M74" s="4">
        <v>58</v>
      </c>
      <c r="N74" s="4">
        <v>266</v>
      </c>
      <c r="O74" s="4">
        <v>26554</v>
      </c>
      <c r="P74" s="4">
        <v>0</v>
      </c>
      <c r="Q74" s="4">
        <v>13803</v>
      </c>
      <c r="R74" s="4">
        <v>15387</v>
      </c>
      <c r="S74" s="4">
        <v>234259</v>
      </c>
      <c r="T74" s="4">
        <v>157740</v>
      </c>
      <c r="U74" s="4">
        <v>76519</v>
      </c>
    </row>
    <row r="75" spans="1:21" x14ac:dyDescent="0.25">
      <c r="A75" s="1" t="s">
        <v>60</v>
      </c>
      <c r="B75" t="s">
        <v>724</v>
      </c>
      <c r="C75" s="1" t="s">
        <v>80</v>
      </c>
      <c r="D75" t="s">
        <v>474</v>
      </c>
      <c r="E75" s="4">
        <v>202681</v>
      </c>
      <c r="F75" s="4">
        <v>158344</v>
      </c>
      <c r="G75" s="4">
        <v>34518</v>
      </c>
      <c r="H75" s="4">
        <v>123826</v>
      </c>
      <c r="I75" s="4">
        <v>44337</v>
      </c>
      <c r="J75" s="4">
        <v>12922</v>
      </c>
      <c r="K75">
        <v>181085</v>
      </c>
      <c r="L75">
        <v>194</v>
      </c>
      <c r="M75" s="4">
        <v>55</v>
      </c>
      <c r="N75" s="4">
        <v>249</v>
      </c>
      <c r="O75" s="4">
        <v>24960</v>
      </c>
      <c r="P75" s="4">
        <v>0</v>
      </c>
      <c r="Q75" s="4">
        <v>13418</v>
      </c>
      <c r="R75" s="4">
        <v>14959</v>
      </c>
      <c r="S75" s="4">
        <v>234671</v>
      </c>
      <c r="T75" s="4">
        <v>148981</v>
      </c>
      <c r="U75" s="4">
        <v>85690</v>
      </c>
    </row>
    <row r="76" spans="1:21" x14ac:dyDescent="0.25">
      <c r="A76" s="1" t="s">
        <v>60</v>
      </c>
      <c r="B76" t="s">
        <v>724</v>
      </c>
      <c r="C76" s="1" t="s">
        <v>81</v>
      </c>
      <c r="D76" t="s">
        <v>475</v>
      </c>
      <c r="E76" s="4">
        <v>222670</v>
      </c>
      <c r="F76" s="4">
        <v>173961</v>
      </c>
      <c r="G76" s="4">
        <v>37921</v>
      </c>
      <c r="H76" s="4">
        <v>136040</v>
      </c>
      <c r="I76" s="4">
        <v>48709</v>
      </c>
      <c r="J76" s="4">
        <v>12831</v>
      </c>
      <c r="K76">
        <v>197580</v>
      </c>
      <c r="L76">
        <v>216</v>
      </c>
      <c r="M76" s="4">
        <v>60</v>
      </c>
      <c r="N76" s="4">
        <v>276</v>
      </c>
      <c r="O76" s="4">
        <v>28669</v>
      </c>
      <c r="P76" s="4">
        <v>0</v>
      </c>
      <c r="Q76" s="4">
        <v>14084</v>
      </c>
      <c r="R76" s="4">
        <v>15702</v>
      </c>
      <c r="S76" s="4">
        <v>256311</v>
      </c>
      <c r="T76" s="4">
        <v>164925</v>
      </c>
      <c r="U76" s="4">
        <v>91386</v>
      </c>
    </row>
    <row r="77" spans="1:21" x14ac:dyDescent="0.25">
      <c r="A77" s="1" t="s">
        <v>60</v>
      </c>
      <c r="B77" t="s">
        <v>724</v>
      </c>
      <c r="C77" s="1" t="s">
        <v>82</v>
      </c>
      <c r="D77" t="s">
        <v>476</v>
      </c>
      <c r="E77" s="4">
        <v>423329</v>
      </c>
      <c r="F77" s="4">
        <v>330726</v>
      </c>
      <c r="G77" s="4">
        <v>72095</v>
      </c>
      <c r="H77" s="4">
        <v>258631</v>
      </c>
      <c r="I77" s="4">
        <v>92603</v>
      </c>
      <c r="J77" s="4">
        <v>0</v>
      </c>
      <c r="K77">
        <v>351234</v>
      </c>
      <c r="L77">
        <v>408</v>
      </c>
      <c r="M77" s="4">
        <v>114</v>
      </c>
      <c r="N77" s="4">
        <v>522</v>
      </c>
      <c r="O77" s="4">
        <v>52132</v>
      </c>
      <c r="P77" s="4">
        <v>0</v>
      </c>
      <c r="Q77" s="4">
        <v>27785</v>
      </c>
      <c r="R77" s="4">
        <v>30974</v>
      </c>
      <c r="S77" s="4">
        <v>462647</v>
      </c>
      <c r="T77" s="4">
        <v>311170</v>
      </c>
      <c r="U77" s="4">
        <v>151477</v>
      </c>
    </row>
    <row r="78" spans="1:21" x14ac:dyDescent="0.25">
      <c r="A78" s="1" t="s">
        <v>60</v>
      </c>
      <c r="B78" t="s">
        <v>724</v>
      </c>
      <c r="C78" s="1" t="s">
        <v>85</v>
      </c>
      <c r="D78" t="s">
        <v>86</v>
      </c>
      <c r="E78" s="4">
        <v>94722</v>
      </c>
      <c r="F78" s="4">
        <v>74002</v>
      </c>
      <c r="G78" s="4">
        <v>16132</v>
      </c>
      <c r="H78" s="4">
        <v>57870</v>
      </c>
      <c r="I78" s="4">
        <v>20720</v>
      </c>
      <c r="J78" s="4">
        <v>10653</v>
      </c>
      <c r="K78">
        <v>89243</v>
      </c>
      <c r="L78">
        <v>92</v>
      </c>
      <c r="M78" s="4">
        <v>26</v>
      </c>
      <c r="N78" s="4">
        <v>118</v>
      </c>
      <c r="O78" s="4">
        <v>11759</v>
      </c>
      <c r="P78" s="4">
        <v>0</v>
      </c>
      <c r="Q78" s="4">
        <v>6376</v>
      </c>
      <c r="R78" s="4">
        <v>7108</v>
      </c>
      <c r="S78" s="4">
        <v>114604</v>
      </c>
      <c r="T78" s="4">
        <v>69720</v>
      </c>
      <c r="U78" s="4">
        <v>44884</v>
      </c>
    </row>
    <row r="79" spans="1:21" x14ac:dyDescent="0.25">
      <c r="A79" s="1" t="s">
        <v>60</v>
      </c>
      <c r="B79" t="s">
        <v>724</v>
      </c>
      <c r="C79" s="1" t="s">
        <v>83</v>
      </c>
      <c r="D79" t="s">
        <v>477</v>
      </c>
      <c r="E79" s="4">
        <v>323250</v>
      </c>
      <c r="F79" s="4">
        <v>252539</v>
      </c>
      <c r="G79" s="4">
        <v>55051</v>
      </c>
      <c r="H79" s="4">
        <v>197488</v>
      </c>
      <c r="I79" s="4">
        <v>70711</v>
      </c>
      <c r="J79" s="4">
        <v>12900</v>
      </c>
      <c r="K79">
        <v>281099</v>
      </c>
      <c r="L79">
        <v>311</v>
      </c>
      <c r="M79" s="4">
        <v>86</v>
      </c>
      <c r="N79" s="4">
        <v>397</v>
      </c>
      <c r="O79" s="4">
        <v>39808</v>
      </c>
      <c r="P79" s="4">
        <v>0</v>
      </c>
      <c r="Q79" s="4">
        <v>22689</v>
      </c>
      <c r="R79" s="4">
        <v>25294</v>
      </c>
      <c r="S79" s="4">
        <v>369287</v>
      </c>
      <c r="T79" s="4">
        <v>237607</v>
      </c>
      <c r="U79" s="4">
        <v>131680</v>
      </c>
    </row>
    <row r="80" spans="1:21" x14ac:dyDescent="0.25">
      <c r="A80" s="1" t="s">
        <v>60</v>
      </c>
      <c r="B80" t="s">
        <v>724</v>
      </c>
      <c r="C80" s="1" t="s">
        <v>84</v>
      </c>
      <c r="D80" t="s">
        <v>478</v>
      </c>
      <c r="E80" s="4">
        <v>245884</v>
      </c>
      <c r="F80" s="4">
        <v>192097</v>
      </c>
      <c r="G80" s="4">
        <v>41876</v>
      </c>
      <c r="H80" s="4">
        <v>150221</v>
      </c>
      <c r="I80" s="4">
        <v>53787</v>
      </c>
      <c r="J80">
        <v>0</v>
      </c>
      <c r="K80">
        <v>204008</v>
      </c>
      <c r="L80">
        <v>238</v>
      </c>
      <c r="M80" s="4">
        <v>66</v>
      </c>
      <c r="N80" s="4">
        <v>304</v>
      </c>
      <c r="O80" s="4">
        <v>30280</v>
      </c>
      <c r="P80" s="4">
        <v>0</v>
      </c>
      <c r="Q80" s="4">
        <v>15800</v>
      </c>
      <c r="R80" s="4">
        <v>17614</v>
      </c>
      <c r="S80" s="4">
        <v>268006</v>
      </c>
      <c r="T80" s="4">
        <v>180739</v>
      </c>
      <c r="U80" s="4">
        <v>87267</v>
      </c>
    </row>
    <row r="81" spans="1:21" x14ac:dyDescent="0.25">
      <c r="A81" s="1" t="s">
        <v>60</v>
      </c>
      <c r="B81" t="s">
        <v>724</v>
      </c>
      <c r="C81" s="1" t="s">
        <v>87</v>
      </c>
      <c r="D81" t="s">
        <v>479</v>
      </c>
      <c r="E81" s="4">
        <v>598545</v>
      </c>
      <c r="F81" s="4">
        <v>467613</v>
      </c>
      <c r="G81" s="4">
        <v>101935</v>
      </c>
      <c r="H81" s="4">
        <v>365678</v>
      </c>
      <c r="I81" s="4">
        <v>130932</v>
      </c>
      <c r="J81">
        <v>0</v>
      </c>
      <c r="K81">
        <v>496610</v>
      </c>
      <c r="L81">
        <v>578</v>
      </c>
      <c r="M81" s="4">
        <v>162</v>
      </c>
      <c r="N81" s="4">
        <v>740</v>
      </c>
      <c r="O81" s="4">
        <v>73710</v>
      </c>
      <c r="P81" s="4">
        <v>0</v>
      </c>
      <c r="Q81" s="4">
        <v>39641</v>
      </c>
      <c r="R81" s="4">
        <v>44192</v>
      </c>
      <c r="S81" s="4">
        <v>654893</v>
      </c>
      <c r="T81" s="4">
        <v>439966</v>
      </c>
      <c r="U81" s="4">
        <v>214927</v>
      </c>
    </row>
    <row r="82" spans="1:21" x14ac:dyDescent="0.25">
      <c r="A82" s="1" t="s">
        <v>60</v>
      </c>
      <c r="B82" t="s">
        <v>724</v>
      </c>
      <c r="C82" s="1" t="s">
        <v>88</v>
      </c>
      <c r="D82" t="s">
        <v>480</v>
      </c>
      <c r="E82" s="4">
        <v>261616</v>
      </c>
      <c r="F82" s="4">
        <v>204387</v>
      </c>
      <c r="G82" s="4">
        <v>44555</v>
      </c>
      <c r="H82" s="4">
        <v>159832</v>
      </c>
      <c r="I82" s="4">
        <v>57229</v>
      </c>
      <c r="J82">
        <v>0</v>
      </c>
      <c r="K82">
        <v>217061</v>
      </c>
      <c r="L82">
        <v>251</v>
      </c>
      <c r="M82" s="4">
        <v>70</v>
      </c>
      <c r="N82" s="4">
        <v>321</v>
      </c>
      <c r="O82" s="4">
        <v>32217</v>
      </c>
      <c r="P82" s="4">
        <v>0</v>
      </c>
      <c r="Q82" s="4">
        <v>17362</v>
      </c>
      <c r="R82" s="4">
        <v>19356</v>
      </c>
      <c r="S82" s="4">
        <v>286317</v>
      </c>
      <c r="T82" s="4">
        <v>192300</v>
      </c>
      <c r="U82" s="4">
        <v>94017</v>
      </c>
    </row>
    <row r="83" spans="1:21" x14ac:dyDescent="0.25">
      <c r="A83" s="1" t="s">
        <v>60</v>
      </c>
      <c r="B83" t="s">
        <v>724</v>
      </c>
      <c r="C83" s="1" t="s">
        <v>89</v>
      </c>
      <c r="D83" t="s">
        <v>481</v>
      </c>
      <c r="E83" s="4">
        <v>428990</v>
      </c>
      <c r="F83" s="4">
        <v>335148</v>
      </c>
      <c r="G83" s="4">
        <v>73060</v>
      </c>
      <c r="H83" s="4">
        <v>262088</v>
      </c>
      <c r="I83" s="4">
        <v>93842</v>
      </c>
      <c r="J83">
        <v>0</v>
      </c>
      <c r="K83">
        <v>355930</v>
      </c>
      <c r="L83">
        <v>413</v>
      </c>
      <c r="M83" s="4">
        <v>116</v>
      </c>
      <c r="N83" s="4">
        <v>529</v>
      </c>
      <c r="O83" s="4">
        <v>52829</v>
      </c>
      <c r="P83" s="4">
        <v>0</v>
      </c>
      <c r="Q83" s="4">
        <v>28220</v>
      </c>
      <c r="R83" s="4">
        <v>31460</v>
      </c>
      <c r="S83" s="4">
        <v>468968</v>
      </c>
      <c r="T83" s="4">
        <v>315330</v>
      </c>
      <c r="U83" s="4">
        <v>153638</v>
      </c>
    </row>
    <row r="84" spans="1:21" x14ac:dyDescent="0.25">
      <c r="A84" s="1" t="s">
        <v>60</v>
      </c>
      <c r="B84" t="s">
        <v>724</v>
      </c>
      <c r="C84" s="1" t="s">
        <v>90</v>
      </c>
      <c r="D84" t="s">
        <v>482</v>
      </c>
      <c r="E84" s="4">
        <v>156235</v>
      </c>
      <c r="F84" s="4">
        <v>122059</v>
      </c>
      <c r="G84" s="4">
        <v>26607</v>
      </c>
      <c r="H84" s="4">
        <v>95452</v>
      </c>
      <c r="I84" s="4">
        <v>34176</v>
      </c>
      <c r="J84">
        <v>0</v>
      </c>
      <c r="K84">
        <v>129628</v>
      </c>
      <c r="L84">
        <v>151</v>
      </c>
      <c r="M84" s="4">
        <v>43</v>
      </c>
      <c r="N84" s="4">
        <v>194</v>
      </c>
      <c r="O84" s="4">
        <v>19240</v>
      </c>
      <c r="P84" s="4">
        <v>0</v>
      </c>
      <c r="Q84" s="4">
        <v>10525</v>
      </c>
      <c r="R84" s="4">
        <v>11733</v>
      </c>
      <c r="S84" s="4">
        <v>171320</v>
      </c>
      <c r="T84" s="4">
        <v>114843</v>
      </c>
      <c r="U84" s="4">
        <v>56477</v>
      </c>
    </row>
    <row r="85" spans="1:21" x14ac:dyDescent="0.25">
      <c r="A85" s="1" t="s">
        <v>60</v>
      </c>
      <c r="B85" t="s">
        <v>724</v>
      </c>
      <c r="C85" s="1" t="s">
        <v>91</v>
      </c>
      <c r="D85" t="s">
        <v>483</v>
      </c>
      <c r="E85" s="4">
        <v>280347</v>
      </c>
      <c r="F85" s="4">
        <v>219021</v>
      </c>
      <c r="G85" s="4">
        <v>47745</v>
      </c>
      <c r="H85" s="4">
        <v>171276</v>
      </c>
      <c r="I85" s="4">
        <v>61326</v>
      </c>
      <c r="J85">
        <v>0</v>
      </c>
      <c r="K85">
        <v>232602</v>
      </c>
      <c r="L85">
        <v>270</v>
      </c>
      <c r="M85" s="4">
        <v>76</v>
      </c>
      <c r="N85" s="4">
        <v>346</v>
      </c>
      <c r="O85" s="4">
        <v>34524</v>
      </c>
      <c r="P85" s="4">
        <v>0</v>
      </c>
      <c r="Q85" s="4">
        <v>19078</v>
      </c>
      <c r="R85" s="4">
        <v>21268</v>
      </c>
      <c r="S85" s="4">
        <v>307818</v>
      </c>
      <c r="T85" s="4">
        <v>206070</v>
      </c>
      <c r="U85" s="4">
        <v>101748</v>
      </c>
    </row>
    <row r="86" spans="1:21" x14ac:dyDescent="0.25">
      <c r="A86" s="1" t="s">
        <v>60</v>
      </c>
      <c r="B86" t="s">
        <v>724</v>
      </c>
      <c r="C86" s="1" t="s">
        <v>92</v>
      </c>
      <c r="D86" t="s">
        <v>484</v>
      </c>
      <c r="E86" s="4">
        <v>539423</v>
      </c>
      <c r="F86" s="4">
        <v>421424</v>
      </c>
      <c r="G86" s="4">
        <v>91867</v>
      </c>
      <c r="H86" s="4">
        <v>329557</v>
      </c>
      <c r="I86" s="4">
        <v>117999</v>
      </c>
      <c r="J86">
        <v>0</v>
      </c>
      <c r="K86">
        <v>447556</v>
      </c>
      <c r="L86">
        <v>521</v>
      </c>
      <c r="M86" s="4">
        <v>146</v>
      </c>
      <c r="N86" s="4">
        <v>667</v>
      </c>
      <c r="O86" s="4">
        <v>66429</v>
      </c>
      <c r="P86" s="4">
        <v>0</v>
      </c>
      <c r="Q86" s="4">
        <v>38258</v>
      </c>
      <c r="R86" s="4">
        <v>42651</v>
      </c>
      <c r="S86" s="4">
        <v>595561</v>
      </c>
      <c r="T86" s="4">
        <v>396507</v>
      </c>
      <c r="U86" s="4">
        <v>199054</v>
      </c>
    </row>
    <row r="87" spans="1:21" x14ac:dyDescent="0.25">
      <c r="A87" s="1" t="s">
        <v>60</v>
      </c>
      <c r="B87" t="s">
        <v>724</v>
      </c>
      <c r="C87" s="1" t="s">
        <v>93</v>
      </c>
      <c r="D87" t="s">
        <v>485</v>
      </c>
      <c r="E87" s="4">
        <v>386180</v>
      </c>
      <c r="F87" s="4">
        <v>301703</v>
      </c>
      <c r="G87" s="4">
        <v>65768</v>
      </c>
      <c r="H87" s="4">
        <v>235935</v>
      </c>
      <c r="I87" s="4">
        <v>84477</v>
      </c>
      <c r="J87">
        <v>0</v>
      </c>
      <c r="K87">
        <v>320412</v>
      </c>
      <c r="L87">
        <v>373</v>
      </c>
      <c r="M87" s="4">
        <v>104</v>
      </c>
      <c r="N87" s="4">
        <v>477</v>
      </c>
      <c r="O87" s="4">
        <v>47557</v>
      </c>
      <c r="P87" s="4">
        <v>0</v>
      </c>
      <c r="Q87" s="4">
        <v>25762</v>
      </c>
      <c r="R87" s="4">
        <v>28719</v>
      </c>
      <c r="S87" s="4">
        <v>422927</v>
      </c>
      <c r="T87" s="4">
        <v>283865</v>
      </c>
      <c r="U87" s="4">
        <v>139062</v>
      </c>
    </row>
    <row r="88" spans="1:21" x14ac:dyDescent="0.25">
      <c r="A88" s="1" t="s">
        <v>60</v>
      </c>
      <c r="B88" t="s">
        <v>724</v>
      </c>
      <c r="C88" s="1" t="s">
        <v>94</v>
      </c>
      <c r="D88" t="s">
        <v>486</v>
      </c>
      <c r="E88" s="4">
        <v>165477</v>
      </c>
      <c r="F88" s="4">
        <v>129279</v>
      </c>
      <c r="G88" s="4">
        <v>28181</v>
      </c>
      <c r="H88" s="4">
        <v>101098</v>
      </c>
      <c r="I88" s="4">
        <v>36198</v>
      </c>
      <c r="J88" s="4">
        <v>2229</v>
      </c>
      <c r="K88">
        <v>139525</v>
      </c>
      <c r="L88">
        <v>159</v>
      </c>
      <c r="M88" s="4">
        <v>45</v>
      </c>
      <c r="N88" s="4">
        <v>204</v>
      </c>
      <c r="O88" s="4">
        <v>20736</v>
      </c>
      <c r="P88" s="4">
        <v>0</v>
      </c>
      <c r="Q88" s="4">
        <v>11549</v>
      </c>
      <c r="R88" s="4">
        <v>12875</v>
      </c>
      <c r="S88" s="4">
        <v>184889</v>
      </c>
      <c r="T88" s="4">
        <v>121993</v>
      </c>
      <c r="U88" s="4">
        <v>62896</v>
      </c>
    </row>
    <row r="89" spans="1:21" x14ac:dyDescent="0.25">
      <c r="A89" s="1" t="s">
        <v>60</v>
      </c>
      <c r="B89" t="s">
        <v>724</v>
      </c>
      <c r="C89" s="1" t="s">
        <v>95</v>
      </c>
      <c r="D89" t="s">
        <v>487</v>
      </c>
      <c r="E89" s="4">
        <v>338439</v>
      </c>
      <c r="F89" s="4">
        <v>264406</v>
      </c>
      <c r="G89" s="4">
        <v>57638</v>
      </c>
      <c r="H89" s="4">
        <v>206768</v>
      </c>
      <c r="I89" s="4">
        <v>74033</v>
      </c>
      <c r="J89" s="4">
        <v>3772</v>
      </c>
      <c r="K89">
        <v>284573</v>
      </c>
      <c r="L89">
        <v>327</v>
      </c>
      <c r="M89" s="4">
        <v>91</v>
      </c>
      <c r="N89" s="4">
        <v>418</v>
      </c>
      <c r="O89" s="4">
        <v>42312</v>
      </c>
      <c r="P89" s="4">
        <v>0</v>
      </c>
      <c r="Q89" s="4">
        <v>25147</v>
      </c>
      <c r="R89" s="4">
        <v>28034</v>
      </c>
      <c r="S89" s="4">
        <v>380484</v>
      </c>
      <c r="T89" s="4">
        <v>249406</v>
      </c>
      <c r="U89" s="4">
        <v>131078</v>
      </c>
    </row>
    <row r="90" spans="1:21" x14ac:dyDescent="0.25">
      <c r="A90" s="1" t="s">
        <v>60</v>
      </c>
      <c r="B90" t="s">
        <v>724</v>
      </c>
      <c r="C90" s="1" t="s">
        <v>96</v>
      </c>
      <c r="D90" t="s">
        <v>488</v>
      </c>
      <c r="E90" s="4">
        <v>219967</v>
      </c>
      <c r="F90" s="4">
        <v>171850</v>
      </c>
      <c r="G90" s="4">
        <v>37462</v>
      </c>
      <c r="H90" s="4">
        <v>134388</v>
      </c>
      <c r="I90" s="4">
        <v>48117</v>
      </c>
      <c r="J90">
        <v>0</v>
      </c>
      <c r="K90">
        <v>182505</v>
      </c>
      <c r="L90">
        <v>213</v>
      </c>
      <c r="M90" s="4">
        <v>60</v>
      </c>
      <c r="N90" s="4">
        <v>273</v>
      </c>
      <c r="O90" s="4">
        <v>27089</v>
      </c>
      <c r="P90" s="4">
        <v>0</v>
      </c>
      <c r="Q90" s="4">
        <v>14392</v>
      </c>
      <c r="R90" s="4">
        <v>16044</v>
      </c>
      <c r="S90" s="4">
        <v>240303</v>
      </c>
      <c r="T90" s="4">
        <v>161690</v>
      </c>
      <c r="U90" s="4">
        <v>78613</v>
      </c>
    </row>
    <row r="91" spans="1:21" x14ac:dyDescent="0.25">
      <c r="A91" s="1" t="s">
        <v>60</v>
      </c>
      <c r="B91" t="s">
        <v>724</v>
      </c>
      <c r="C91" s="1" t="s">
        <v>97</v>
      </c>
      <c r="D91" t="s">
        <v>489</v>
      </c>
      <c r="E91" s="4">
        <v>2114319</v>
      </c>
      <c r="F91" s="4">
        <v>1651811</v>
      </c>
      <c r="G91" s="4">
        <v>360078</v>
      </c>
      <c r="H91" s="4">
        <v>1291733</v>
      </c>
      <c r="I91" s="4">
        <v>462508</v>
      </c>
      <c r="J91" s="4">
        <v>0</v>
      </c>
      <c r="K91" s="4">
        <v>1754241</v>
      </c>
      <c r="L91" s="4">
        <v>2041</v>
      </c>
      <c r="M91" s="4">
        <v>572</v>
      </c>
      <c r="N91" s="4">
        <v>2613</v>
      </c>
      <c r="O91" s="4">
        <v>260374</v>
      </c>
      <c r="P91" s="4">
        <v>0</v>
      </c>
      <c r="Q91" s="4">
        <v>143917</v>
      </c>
      <c r="R91" s="4">
        <v>160440</v>
      </c>
      <c r="S91" s="4">
        <v>2321585</v>
      </c>
      <c r="T91" s="4">
        <v>1554149</v>
      </c>
      <c r="U91" s="4">
        <v>767436</v>
      </c>
    </row>
    <row r="92" spans="1:21" x14ac:dyDescent="0.25">
      <c r="A92" s="1" t="s">
        <v>60</v>
      </c>
      <c r="B92" t="s">
        <v>724</v>
      </c>
      <c r="C92" s="1" t="s">
        <v>98</v>
      </c>
      <c r="D92" t="s">
        <v>490</v>
      </c>
      <c r="E92" s="4">
        <v>1376698</v>
      </c>
      <c r="F92" s="4">
        <v>1075545</v>
      </c>
      <c r="G92" s="4">
        <v>234458</v>
      </c>
      <c r="H92" s="4">
        <v>841087</v>
      </c>
      <c r="I92" s="4">
        <v>301153</v>
      </c>
      <c r="J92" s="4">
        <v>0</v>
      </c>
      <c r="K92" s="4">
        <v>1142240</v>
      </c>
      <c r="L92" s="4">
        <v>1328</v>
      </c>
      <c r="M92" s="4">
        <v>372</v>
      </c>
      <c r="N92" s="4">
        <v>1700</v>
      </c>
      <c r="O92" s="4">
        <v>169538</v>
      </c>
      <c r="P92" s="4">
        <v>0</v>
      </c>
      <c r="Q92" s="4">
        <v>99257</v>
      </c>
      <c r="R92" s="4">
        <v>110652</v>
      </c>
      <c r="S92" s="4">
        <v>1523387</v>
      </c>
      <c r="T92" s="4">
        <v>1011953</v>
      </c>
      <c r="U92" s="4">
        <v>511434</v>
      </c>
    </row>
    <row r="93" spans="1:21" x14ac:dyDescent="0.25">
      <c r="A93" s="1" t="s">
        <v>60</v>
      </c>
      <c r="B93" t="s">
        <v>724</v>
      </c>
      <c r="C93" s="1" t="s">
        <v>99</v>
      </c>
      <c r="D93" t="s">
        <v>491</v>
      </c>
      <c r="E93" s="4">
        <v>176850</v>
      </c>
      <c r="F93" s="4">
        <v>138164</v>
      </c>
      <c r="G93" s="4">
        <v>30118</v>
      </c>
      <c r="H93" s="4">
        <v>108046</v>
      </c>
      <c r="I93" s="4">
        <v>38686</v>
      </c>
      <c r="J93" s="4">
        <v>4529</v>
      </c>
      <c r="K93">
        <v>151261</v>
      </c>
      <c r="L93">
        <v>170</v>
      </c>
      <c r="M93" s="4">
        <v>48</v>
      </c>
      <c r="N93" s="4">
        <v>218</v>
      </c>
      <c r="O93" s="4">
        <v>21865</v>
      </c>
      <c r="P93" s="4">
        <v>0</v>
      </c>
      <c r="Q93" s="4">
        <v>12087</v>
      </c>
      <c r="R93" s="4">
        <v>13475</v>
      </c>
      <c r="S93" s="4">
        <v>198906</v>
      </c>
      <c r="T93" s="4">
        <v>130082</v>
      </c>
      <c r="U93" s="4">
        <v>68824</v>
      </c>
    </row>
    <row r="94" spans="1:21" x14ac:dyDescent="0.25">
      <c r="A94" s="1" t="s">
        <v>60</v>
      </c>
      <c r="B94" t="s">
        <v>724</v>
      </c>
      <c r="C94" s="1" t="s">
        <v>100</v>
      </c>
      <c r="D94" t="s">
        <v>492</v>
      </c>
      <c r="E94" s="4">
        <v>229226</v>
      </c>
      <c r="F94" s="4">
        <v>179083</v>
      </c>
      <c r="G94" s="4">
        <v>39039</v>
      </c>
      <c r="H94" s="4">
        <v>140044</v>
      </c>
      <c r="I94" s="4">
        <v>50143</v>
      </c>
      <c r="J94">
        <v>0</v>
      </c>
      <c r="K94">
        <v>190187</v>
      </c>
      <c r="L94">
        <v>221</v>
      </c>
      <c r="M94" s="4">
        <v>62</v>
      </c>
      <c r="N94" s="4">
        <v>283</v>
      </c>
      <c r="O94" s="4">
        <v>28229</v>
      </c>
      <c r="P94" s="4">
        <v>0</v>
      </c>
      <c r="Q94" s="4">
        <v>15416</v>
      </c>
      <c r="R94" s="4">
        <v>17186</v>
      </c>
      <c r="S94" s="4">
        <v>251301</v>
      </c>
      <c r="T94" s="4">
        <v>168494</v>
      </c>
      <c r="U94" s="4">
        <v>82807</v>
      </c>
    </row>
    <row r="95" spans="1:21" x14ac:dyDescent="0.25">
      <c r="A95" s="1" t="s">
        <v>60</v>
      </c>
      <c r="B95" t="s">
        <v>724</v>
      </c>
      <c r="C95" s="1" t="s">
        <v>101</v>
      </c>
      <c r="D95" t="s">
        <v>493</v>
      </c>
      <c r="E95" s="4">
        <v>205241</v>
      </c>
      <c r="F95" s="4">
        <v>160345</v>
      </c>
      <c r="G95" s="4">
        <v>34953</v>
      </c>
      <c r="H95" s="4">
        <v>125392</v>
      </c>
      <c r="I95" s="4">
        <v>44896</v>
      </c>
      <c r="J95" s="4">
        <v>3972</v>
      </c>
      <c r="K95">
        <v>174260</v>
      </c>
      <c r="L95">
        <v>197</v>
      </c>
      <c r="M95" s="4">
        <v>55</v>
      </c>
      <c r="N95" s="4">
        <v>252</v>
      </c>
      <c r="O95" s="4">
        <v>25784</v>
      </c>
      <c r="P95" s="4">
        <v>0</v>
      </c>
      <c r="Q95" s="4">
        <v>13265</v>
      </c>
      <c r="R95" s="4">
        <v>14788</v>
      </c>
      <c r="S95" s="4">
        <v>228349</v>
      </c>
      <c r="T95" s="4">
        <v>151373</v>
      </c>
      <c r="U95" s="4">
        <v>76976</v>
      </c>
    </row>
    <row r="96" spans="1:21" x14ac:dyDescent="0.25">
      <c r="A96" s="1" t="s">
        <v>60</v>
      </c>
      <c r="B96" t="s">
        <v>724</v>
      </c>
      <c r="C96" s="1" t="s">
        <v>102</v>
      </c>
      <c r="D96" t="s">
        <v>494</v>
      </c>
      <c r="E96" s="4">
        <v>189016</v>
      </c>
      <c r="F96" s="4">
        <v>147668</v>
      </c>
      <c r="G96" s="4">
        <v>32191</v>
      </c>
      <c r="H96" s="4">
        <v>115477</v>
      </c>
      <c r="I96" s="4">
        <v>41348</v>
      </c>
      <c r="J96">
        <v>0</v>
      </c>
      <c r="K96">
        <v>156825</v>
      </c>
      <c r="L96">
        <v>184</v>
      </c>
      <c r="M96" s="4">
        <v>51</v>
      </c>
      <c r="N96" s="4">
        <v>235</v>
      </c>
      <c r="O96" s="4">
        <v>23277</v>
      </c>
      <c r="P96" s="4">
        <v>0</v>
      </c>
      <c r="Q96" s="4">
        <v>12087</v>
      </c>
      <c r="R96" s="4">
        <v>13475</v>
      </c>
      <c r="S96" s="4">
        <v>205899</v>
      </c>
      <c r="T96" s="4">
        <v>138938</v>
      </c>
      <c r="U96" s="4">
        <v>66961</v>
      </c>
    </row>
    <row r="97" spans="1:21" x14ac:dyDescent="0.25">
      <c r="A97" s="1" t="s">
        <v>60</v>
      </c>
      <c r="B97" t="s">
        <v>724</v>
      </c>
      <c r="C97" s="1" t="s">
        <v>103</v>
      </c>
      <c r="D97" t="s">
        <v>495</v>
      </c>
      <c r="E97" s="4">
        <v>178136</v>
      </c>
      <c r="F97" s="4">
        <v>139169</v>
      </c>
      <c r="G97" s="4">
        <v>30338</v>
      </c>
      <c r="H97" s="4">
        <v>108831</v>
      </c>
      <c r="I97" s="4">
        <v>38967</v>
      </c>
      <c r="J97">
        <v>0</v>
      </c>
      <c r="K97">
        <v>147798</v>
      </c>
      <c r="L97">
        <v>173</v>
      </c>
      <c r="M97" s="4">
        <v>48</v>
      </c>
      <c r="N97" s="4">
        <v>221</v>
      </c>
      <c r="O97" s="4">
        <v>21937</v>
      </c>
      <c r="P97" s="4">
        <v>0</v>
      </c>
      <c r="Q97" s="4">
        <v>11549</v>
      </c>
      <c r="R97" s="4">
        <v>12875</v>
      </c>
      <c r="S97" s="4">
        <v>194380</v>
      </c>
      <c r="T97" s="4">
        <v>130941</v>
      </c>
      <c r="U97" s="4">
        <v>63439</v>
      </c>
    </row>
    <row r="98" spans="1:21" x14ac:dyDescent="0.25">
      <c r="A98" s="1" t="s">
        <v>60</v>
      </c>
      <c r="B98" t="s">
        <v>724</v>
      </c>
      <c r="C98" s="1" t="s">
        <v>104</v>
      </c>
      <c r="D98" t="s">
        <v>496</v>
      </c>
      <c r="E98" s="4">
        <v>201143</v>
      </c>
      <c r="F98" s="4">
        <v>157143</v>
      </c>
      <c r="G98" s="4">
        <v>34255</v>
      </c>
      <c r="H98" s="4">
        <v>122888</v>
      </c>
      <c r="I98" s="4">
        <v>44000</v>
      </c>
      <c r="J98">
        <v>0</v>
      </c>
      <c r="K98">
        <v>166888</v>
      </c>
      <c r="L98">
        <v>194</v>
      </c>
      <c r="M98" s="4">
        <v>55</v>
      </c>
      <c r="N98" s="4">
        <v>249</v>
      </c>
      <c r="O98" s="4">
        <v>24770</v>
      </c>
      <c r="P98" s="4">
        <v>0</v>
      </c>
      <c r="Q98" s="4">
        <v>13137</v>
      </c>
      <c r="R98" s="4">
        <v>14645</v>
      </c>
      <c r="S98" s="4">
        <v>219689</v>
      </c>
      <c r="T98" s="4">
        <v>147852</v>
      </c>
      <c r="U98" s="4">
        <v>71837</v>
      </c>
    </row>
    <row r="99" spans="1:21" x14ac:dyDescent="0.25">
      <c r="A99" s="1" t="s">
        <v>60</v>
      </c>
      <c r="B99" t="s">
        <v>724</v>
      </c>
      <c r="C99" s="1" t="s">
        <v>105</v>
      </c>
      <c r="D99" t="s">
        <v>497</v>
      </c>
      <c r="E99" s="4">
        <v>339341</v>
      </c>
      <c r="F99" s="4">
        <v>265110</v>
      </c>
      <c r="G99" s="4">
        <v>57791</v>
      </c>
      <c r="H99" s="4">
        <v>207319</v>
      </c>
      <c r="I99" s="4">
        <v>74231</v>
      </c>
      <c r="J99">
        <v>0</v>
      </c>
      <c r="K99">
        <v>281550</v>
      </c>
      <c r="L99">
        <v>327</v>
      </c>
      <c r="M99" s="4">
        <v>91</v>
      </c>
      <c r="N99" s="4">
        <v>418</v>
      </c>
      <c r="O99" s="4">
        <v>41789</v>
      </c>
      <c r="P99" s="4">
        <v>0</v>
      </c>
      <c r="Q99" s="4">
        <v>23175</v>
      </c>
      <c r="R99" s="4">
        <v>25836</v>
      </c>
      <c r="S99" s="4">
        <v>372768</v>
      </c>
      <c r="T99" s="4">
        <v>249435</v>
      </c>
      <c r="U99" s="4">
        <v>123333</v>
      </c>
    </row>
    <row r="100" spans="1:21" x14ac:dyDescent="0.25">
      <c r="A100" s="1" t="s">
        <v>60</v>
      </c>
      <c r="B100" t="s">
        <v>724</v>
      </c>
      <c r="C100" s="1" t="s">
        <v>106</v>
      </c>
      <c r="D100" t="s">
        <v>498</v>
      </c>
      <c r="E100" s="4">
        <v>169607</v>
      </c>
      <c r="F100" s="4">
        <v>132505</v>
      </c>
      <c r="G100" s="4">
        <v>28885</v>
      </c>
      <c r="H100" s="4">
        <v>103620</v>
      </c>
      <c r="I100" s="4">
        <v>37102</v>
      </c>
      <c r="J100">
        <v>0</v>
      </c>
      <c r="K100">
        <v>140722</v>
      </c>
      <c r="L100">
        <v>165</v>
      </c>
      <c r="M100" s="4">
        <v>46</v>
      </c>
      <c r="N100" s="4">
        <v>211</v>
      </c>
      <c r="O100" s="4">
        <v>20887</v>
      </c>
      <c r="P100" s="4">
        <v>0</v>
      </c>
      <c r="Q100" s="4">
        <v>10935</v>
      </c>
      <c r="R100" s="4">
        <v>12190</v>
      </c>
      <c r="S100" s="4">
        <v>184945</v>
      </c>
      <c r="T100" s="4">
        <v>124672</v>
      </c>
      <c r="U100" s="4">
        <v>60273</v>
      </c>
    </row>
    <row r="101" spans="1:21" x14ac:dyDescent="0.25">
      <c r="A101" s="1" t="s">
        <v>60</v>
      </c>
      <c r="B101" t="s">
        <v>724</v>
      </c>
      <c r="C101" s="1" t="s">
        <v>107</v>
      </c>
      <c r="D101" t="s">
        <v>499</v>
      </c>
      <c r="E101" s="4">
        <v>566196</v>
      </c>
      <c r="F101" s="4">
        <v>442341</v>
      </c>
      <c r="G101" s="4">
        <v>96425</v>
      </c>
      <c r="H101" s="4">
        <v>345916</v>
      </c>
      <c r="I101" s="4">
        <v>123855</v>
      </c>
      <c r="J101">
        <v>0</v>
      </c>
      <c r="K101">
        <v>469771</v>
      </c>
      <c r="L101">
        <v>548</v>
      </c>
      <c r="M101" s="4">
        <v>154</v>
      </c>
      <c r="N101" s="4">
        <v>702</v>
      </c>
      <c r="O101" s="4">
        <v>70004</v>
      </c>
      <c r="P101" s="4">
        <v>0</v>
      </c>
      <c r="Q101" s="4">
        <v>35902</v>
      </c>
      <c r="R101" s="4">
        <v>40024</v>
      </c>
      <c r="S101" s="4">
        <v>616403</v>
      </c>
      <c r="T101" s="4">
        <v>416468</v>
      </c>
      <c r="U101" s="4">
        <v>199935</v>
      </c>
    </row>
    <row r="102" spans="1:21" x14ac:dyDescent="0.25">
      <c r="A102" s="1" t="s">
        <v>60</v>
      </c>
      <c r="B102" t="s">
        <v>724</v>
      </c>
      <c r="C102" s="1" t="s">
        <v>108</v>
      </c>
      <c r="D102" t="s">
        <v>500</v>
      </c>
      <c r="E102" s="4">
        <v>219584</v>
      </c>
      <c r="F102" s="4">
        <v>171550</v>
      </c>
      <c r="G102" s="4">
        <v>37397</v>
      </c>
      <c r="H102" s="4">
        <v>134153</v>
      </c>
      <c r="I102" s="4">
        <v>48034</v>
      </c>
      <c r="J102">
        <v>0</v>
      </c>
      <c r="K102">
        <v>182187</v>
      </c>
      <c r="L102">
        <v>211</v>
      </c>
      <c r="M102" s="4">
        <v>59</v>
      </c>
      <c r="N102" s="4">
        <v>270</v>
      </c>
      <c r="O102" s="4">
        <v>27041</v>
      </c>
      <c r="P102" s="4">
        <v>0</v>
      </c>
      <c r="Q102" s="4">
        <v>14699</v>
      </c>
      <c r="R102" s="4">
        <v>16386</v>
      </c>
      <c r="S102" s="4">
        <v>240583</v>
      </c>
      <c r="T102" s="4">
        <v>161405</v>
      </c>
      <c r="U102" s="4">
        <v>79178</v>
      </c>
    </row>
    <row r="103" spans="1:21" x14ac:dyDescent="0.25">
      <c r="A103" s="1" t="s">
        <v>60</v>
      </c>
      <c r="B103" t="s">
        <v>724</v>
      </c>
      <c r="C103" s="1" t="s">
        <v>109</v>
      </c>
      <c r="D103" t="s">
        <v>501</v>
      </c>
      <c r="E103" s="4">
        <v>314724</v>
      </c>
      <c r="F103" s="4">
        <v>245878</v>
      </c>
      <c r="G103" s="4">
        <v>53599</v>
      </c>
      <c r="H103" s="4">
        <v>192279</v>
      </c>
      <c r="I103" s="4">
        <v>68846</v>
      </c>
      <c r="J103">
        <v>0</v>
      </c>
      <c r="K103">
        <v>261125</v>
      </c>
      <c r="L103">
        <v>305</v>
      </c>
      <c r="M103" s="4">
        <v>86</v>
      </c>
      <c r="N103" s="4">
        <v>391</v>
      </c>
      <c r="O103" s="4">
        <v>38758</v>
      </c>
      <c r="P103" s="4">
        <v>0</v>
      </c>
      <c r="Q103" s="4">
        <v>20000</v>
      </c>
      <c r="R103" s="4">
        <v>22296</v>
      </c>
      <c r="S103" s="4">
        <v>342570</v>
      </c>
      <c r="T103" s="4">
        <v>231342</v>
      </c>
      <c r="U103" s="4">
        <v>111228</v>
      </c>
    </row>
    <row r="104" spans="1:21" x14ac:dyDescent="0.25">
      <c r="A104" s="1" t="s">
        <v>60</v>
      </c>
      <c r="B104" t="s">
        <v>724</v>
      </c>
      <c r="C104" s="1" t="s">
        <v>110</v>
      </c>
      <c r="D104" t="s">
        <v>502</v>
      </c>
      <c r="E104" s="4">
        <v>152105</v>
      </c>
      <c r="F104" s="4">
        <v>118832</v>
      </c>
      <c r="G104" s="4">
        <v>25905</v>
      </c>
      <c r="H104" s="4">
        <v>92927</v>
      </c>
      <c r="I104" s="4">
        <v>33273</v>
      </c>
      <c r="J104" s="4">
        <v>219</v>
      </c>
      <c r="K104">
        <v>126419</v>
      </c>
      <c r="L104">
        <v>146</v>
      </c>
      <c r="M104" s="4">
        <v>41</v>
      </c>
      <c r="N104" s="4">
        <v>187</v>
      </c>
      <c r="O104" s="4">
        <v>18732</v>
      </c>
      <c r="P104" s="4">
        <v>0</v>
      </c>
      <c r="Q104" s="4">
        <v>9808</v>
      </c>
      <c r="R104" s="4">
        <v>10934</v>
      </c>
      <c r="S104" s="4">
        <v>166080</v>
      </c>
      <c r="T104" s="4">
        <v>111805</v>
      </c>
      <c r="U104" s="4">
        <v>54275</v>
      </c>
    </row>
    <row r="105" spans="1:21" x14ac:dyDescent="0.25">
      <c r="A105" s="1" t="s">
        <v>60</v>
      </c>
      <c r="B105" t="s">
        <v>724</v>
      </c>
      <c r="C105" s="1" t="s">
        <v>111</v>
      </c>
      <c r="D105" t="s">
        <v>503</v>
      </c>
      <c r="E105" s="4">
        <v>378083</v>
      </c>
      <c r="F105" s="4">
        <v>295377</v>
      </c>
      <c r="G105" s="4">
        <v>64389</v>
      </c>
      <c r="H105" s="4">
        <v>230988</v>
      </c>
      <c r="I105" s="4">
        <v>82706</v>
      </c>
      <c r="J105" s="4">
        <v>11787</v>
      </c>
      <c r="K105">
        <v>325481</v>
      </c>
      <c r="L105">
        <v>365</v>
      </c>
      <c r="M105" s="4">
        <v>102</v>
      </c>
      <c r="N105" s="4">
        <v>467</v>
      </c>
      <c r="O105" s="4">
        <v>46990</v>
      </c>
      <c r="P105" s="4">
        <v>0</v>
      </c>
      <c r="Q105" s="4">
        <v>24968</v>
      </c>
      <c r="R105" s="4">
        <v>27834</v>
      </c>
      <c r="S105" s="4">
        <v>425740</v>
      </c>
      <c r="T105" s="4">
        <v>278343</v>
      </c>
      <c r="U105" s="4">
        <v>147397</v>
      </c>
    </row>
    <row r="106" spans="1:21" x14ac:dyDescent="0.25">
      <c r="A106" s="1" t="s">
        <v>60</v>
      </c>
      <c r="B106" t="s">
        <v>724</v>
      </c>
      <c r="C106" s="1" t="s">
        <v>112</v>
      </c>
      <c r="D106" t="s">
        <v>504</v>
      </c>
      <c r="E106" s="4">
        <v>249129</v>
      </c>
      <c r="F106" s="4">
        <v>194632</v>
      </c>
      <c r="G106" s="4">
        <v>42428</v>
      </c>
      <c r="H106" s="4">
        <v>152204</v>
      </c>
      <c r="I106" s="4">
        <v>54497</v>
      </c>
      <c r="J106">
        <v>875</v>
      </c>
      <c r="K106">
        <v>207576</v>
      </c>
      <c r="L106">
        <v>240</v>
      </c>
      <c r="M106" s="4">
        <v>68</v>
      </c>
      <c r="N106" s="4">
        <v>308</v>
      </c>
      <c r="O106" s="4">
        <v>30911</v>
      </c>
      <c r="P106" s="4">
        <v>0</v>
      </c>
      <c r="Q106" s="4">
        <v>17106</v>
      </c>
      <c r="R106" s="4">
        <v>19070</v>
      </c>
      <c r="S106" s="4">
        <v>274971</v>
      </c>
      <c r="T106" s="4">
        <v>183356</v>
      </c>
      <c r="U106" s="4">
        <v>91615</v>
      </c>
    </row>
    <row r="107" spans="1:21" x14ac:dyDescent="0.25">
      <c r="A107" s="1" t="s">
        <v>60</v>
      </c>
      <c r="B107" t="s">
        <v>724</v>
      </c>
      <c r="C107" s="1" t="s">
        <v>113</v>
      </c>
      <c r="D107" t="s">
        <v>505</v>
      </c>
      <c r="E107" s="4">
        <v>4503597</v>
      </c>
      <c r="F107" s="4">
        <v>3518435</v>
      </c>
      <c r="G107" s="4">
        <v>766983</v>
      </c>
      <c r="H107" s="4">
        <v>2751452</v>
      </c>
      <c r="I107" s="4">
        <v>985162</v>
      </c>
      <c r="J107" s="4">
        <v>0</v>
      </c>
      <c r="K107" s="4">
        <v>3736614</v>
      </c>
      <c r="L107" s="4">
        <v>4347</v>
      </c>
      <c r="M107" s="4">
        <v>1217</v>
      </c>
      <c r="N107" s="4">
        <v>5564</v>
      </c>
      <c r="O107" s="4">
        <v>554610</v>
      </c>
      <c r="P107" s="4">
        <v>0</v>
      </c>
      <c r="Q107" s="4">
        <v>305580</v>
      </c>
      <c r="R107" s="4">
        <v>340663</v>
      </c>
      <c r="S107" s="4">
        <v>4943031</v>
      </c>
      <c r="T107" s="4">
        <v>3310409</v>
      </c>
      <c r="U107" s="4">
        <v>1632622</v>
      </c>
    </row>
    <row r="108" spans="1:21" x14ac:dyDescent="0.25">
      <c r="A108" s="1" t="s">
        <v>60</v>
      </c>
      <c r="B108" t="s">
        <v>724</v>
      </c>
      <c r="C108" s="1" t="s">
        <v>114</v>
      </c>
      <c r="D108" t="s">
        <v>506</v>
      </c>
      <c r="E108" s="4">
        <v>853397</v>
      </c>
      <c r="F108" s="4">
        <v>666716</v>
      </c>
      <c r="G108" s="4">
        <v>145337</v>
      </c>
      <c r="H108" s="4">
        <v>521379</v>
      </c>
      <c r="I108" s="4">
        <v>186681</v>
      </c>
      <c r="J108" s="4">
        <v>0</v>
      </c>
      <c r="K108" s="4">
        <v>708060</v>
      </c>
      <c r="L108">
        <v>824</v>
      </c>
      <c r="M108" s="4">
        <v>230</v>
      </c>
      <c r="N108" s="4">
        <v>1054</v>
      </c>
      <c r="O108" s="4">
        <v>105094</v>
      </c>
      <c r="P108" s="4">
        <v>0</v>
      </c>
      <c r="Q108" s="4">
        <v>59487</v>
      </c>
      <c r="R108" s="4">
        <v>66317</v>
      </c>
      <c r="S108" s="4">
        <v>940012</v>
      </c>
      <c r="T108" s="4">
        <v>627297</v>
      </c>
      <c r="U108" s="4">
        <v>312715</v>
      </c>
    </row>
    <row r="109" spans="1:21" x14ac:dyDescent="0.25">
      <c r="A109" s="1" t="s">
        <v>60</v>
      </c>
      <c r="B109" t="s">
        <v>724</v>
      </c>
      <c r="C109" s="1" t="s">
        <v>115</v>
      </c>
      <c r="D109" t="s">
        <v>507</v>
      </c>
      <c r="E109" s="4">
        <v>293159</v>
      </c>
      <c r="F109" s="4">
        <v>229030</v>
      </c>
      <c r="G109" s="4">
        <v>49926</v>
      </c>
      <c r="H109" s="4">
        <v>179104</v>
      </c>
      <c r="I109" s="4">
        <v>64129</v>
      </c>
      <c r="J109">
        <v>915</v>
      </c>
      <c r="K109">
        <v>244148</v>
      </c>
      <c r="L109">
        <v>284</v>
      </c>
      <c r="M109" s="4">
        <v>79</v>
      </c>
      <c r="N109" s="4">
        <v>363</v>
      </c>
      <c r="O109" s="4">
        <v>36360</v>
      </c>
      <c r="P109" s="4">
        <v>0</v>
      </c>
      <c r="Q109" s="4">
        <v>20717</v>
      </c>
      <c r="R109" s="4">
        <v>23095</v>
      </c>
      <c r="S109" s="4">
        <v>324683</v>
      </c>
      <c r="T109" s="4">
        <v>215748</v>
      </c>
      <c r="U109" s="4">
        <v>108935</v>
      </c>
    </row>
    <row r="110" spans="1:21" x14ac:dyDescent="0.25">
      <c r="A110" s="1" t="s">
        <v>60</v>
      </c>
      <c r="B110" t="s">
        <v>724</v>
      </c>
      <c r="C110" s="1" t="s">
        <v>116</v>
      </c>
      <c r="D110" t="s">
        <v>508</v>
      </c>
      <c r="E110" s="4">
        <v>217351</v>
      </c>
      <c r="F110" s="4">
        <v>169806</v>
      </c>
      <c r="G110" s="4">
        <v>37016</v>
      </c>
      <c r="H110" s="4">
        <v>132790</v>
      </c>
      <c r="I110" s="4">
        <v>47545</v>
      </c>
      <c r="J110">
        <v>0</v>
      </c>
      <c r="K110">
        <v>180335</v>
      </c>
      <c r="L110">
        <v>211</v>
      </c>
      <c r="M110" s="4">
        <v>59</v>
      </c>
      <c r="N110" s="4">
        <v>270</v>
      </c>
      <c r="O110" s="4">
        <v>26766</v>
      </c>
      <c r="P110" s="4">
        <v>0</v>
      </c>
      <c r="Q110" s="4">
        <v>15109</v>
      </c>
      <c r="R110" s="4">
        <v>16843</v>
      </c>
      <c r="S110" s="4">
        <v>239323</v>
      </c>
      <c r="T110" s="4">
        <v>159766</v>
      </c>
      <c r="U110" s="4">
        <v>79557</v>
      </c>
    </row>
    <row r="111" spans="1:21" x14ac:dyDescent="0.25">
      <c r="A111" s="1" t="s">
        <v>60</v>
      </c>
      <c r="B111" t="s">
        <v>724</v>
      </c>
      <c r="C111" s="1" t="s">
        <v>117</v>
      </c>
      <c r="D111" t="s">
        <v>509</v>
      </c>
      <c r="E111" s="4">
        <v>284826</v>
      </c>
      <c r="F111" s="4">
        <v>222521</v>
      </c>
      <c r="G111" s="4">
        <v>48507</v>
      </c>
      <c r="H111" s="4">
        <v>174014</v>
      </c>
      <c r="I111" s="4">
        <v>62305</v>
      </c>
      <c r="J111" s="4">
        <v>9937</v>
      </c>
      <c r="K111">
        <v>246256</v>
      </c>
      <c r="L111">
        <v>275</v>
      </c>
      <c r="M111" s="4">
        <v>78</v>
      </c>
      <c r="N111" s="4">
        <v>353</v>
      </c>
      <c r="O111" s="4">
        <v>35916</v>
      </c>
      <c r="P111" s="4">
        <v>0</v>
      </c>
      <c r="Q111" s="4">
        <v>19564</v>
      </c>
      <c r="R111" s="4">
        <v>21811</v>
      </c>
      <c r="S111" s="4">
        <v>323900</v>
      </c>
      <c r="T111" s="4">
        <v>210205</v>
      </c>
      <c r="U111" s="4">
        <v>113695</v>
      </c>
    </row>
    <row r="112" spans="1:21" x14ac:dyDescent="0.25">
      <c r="A112" s="1" t="s">
        <v>118</v>
      </c>
      <c r="B112" t="s">
        <v>725</v>
      </c>
      <c r="C112" s="1" t="s">
        <v>119</v>
      </c>
      <c r="D112" t="s">
        <v>510</v>
      </c>
      <c r="E112" s="4">
        <v>83809</v>
      </c>
      <c r="F112" s="4">
        <v>65926</v>
      </c>
      <c r="G112" s="4">
        <v>14371</v>
      </c>
      <c r="H112" s="4">
        <v>51555</v>
      </c>
      <c r="I112" s="4">
        <v>17883</v>
      </c>
      <c r="J112" s="4">
        <v>9522</v>
      </c>
      <c r="K112">
        <v>78960</v>
      </c>
      <c r="L112">
        <v>113</v>
      </c>
      <c r="M112" s="4">
        <v>31</v>
      </c>
      <c r="N112" s="4">
        <v>144</v>
      </c>
      <c r="O112" s="4">
        <v>7973</v>
      </c>
      <c r="P112" s="4">
        <v>0</v>
      </c>
      <c r="Q112" s="4">
        <v>6378</v>
      </c>
      <c r="R112" s="4">
        <v>6973</v>
      </c>
      <c r="S112" s="4">
        <v>100428</v>
      </c>
      <c r="T112" s="4">
        <v>59641</v>
      </c>
      <c r="U112" s="4">
        <v>40787</v>
      </c>
    </row>
    <row r="113" spans="1:21" x14ac:dyDescent="0.25">
      <c r="A113" s="1" t="s">
        <v>118</v>
      </c>
      <c r="B113" t="s">
        <v>725</v>
      </c>
      <c r="C113" s="1" t="s">
        <v>120</v>
      </c>
      <c r="D113" t="s">
        <v>511</v>
      </c>
      <c r="E113" s="4">
        <v>230228</v>
      </c>
      <c r="F113" s="4">
        <v>181103</v>
      </c>
      <c r="G113" s="4">
        <v>39478</v>
      </c>
      <c r="H113" s="4">
        <v>141625</v>
      </c>
      <c r="I113" s="4">
        <v>49125</v>
      </c>
      <c r="J113">
        <v>0</v>
      </c>
      <c r="K113">
        <v>190750</v>
      </c>
      <c r="L113">
        <v>311</v>
      </c>
      <c r="M113" s="4">
        <v>84</v>
      </c>
      <c r="N113" s="4">
        <v>395</v>
      </c>
      <c r="O113" s="4">
        <v>21216</v>
      </c>
      <c r="P113" s="4">
        <v>0</v>
      </c>
      <c r="Q113" s="4">
        <v>20228</v>
      </c>
      <c r="R113" s="4">
        <v>22113</v>
      </c>
      <c r="S113" s="4">
        <v>254702</v>
      </c>
      <c r="T113" s="4">
        <v>163151</v>
      </c>
      <c r="U113" s="4">
        <v>91551</v>
      </c>
    </row>
    <row r="114" spans="1:21" x14ac:dyDescent="0.25">
      <c r="A114" s="1" t="s">
        <v>118</v>
      </c>
      <c r="B114" t="s">
        <v>725</v>
      </c>
      <c r="C114" s="1" t="s">
        <v>121</v>
      </c>
      <c r="D114" t="s">
        <v>512</v>
      </c>
      <c r="E114" s="4">
        <v>60352</v>
      </c>
      <c r="F114" s="4">
        <v>47474</v>
      </c>
      <c r="G114" s="4">
        <v>10348</v>
      </c>
      <c r="H114" s="4">
        <v>37126</v>
      </c>
      <c r="I114" s="4">
        <v>12878</v>
      </c>
      <c r="J114" s="4">
        <v>12435</v>
      </c>
      <c r="K114">
        <v>62439</v>
      </c>
      <c r="L114">
        <v>84</v>
      </c>
      <c r="M114" s="4">
        <v>22</v>
      </c>
      <c r="N114" s="4">
        <v>106</v>
      </c>
      <c r="O114" s="4">
        <v>6087</v>
      </c>
      <c r="P114" s="4">
        <v>0</v>
      </c>
      <c r="Q114" s="4">
        <v>4066</v>
      </c>
      <c r="R114" s="4">
        <v>4445</v>
      </c>
      <c r="S114" s="4">
        <v>77143</v>
      </c>
      <c r="T114" s="4">
        <v>43297</v>
      </c>
      <c r="U114" s="4">
        <v>33846</v>
      </c>
    </row>
    <row r="115" spans="1:21" x14ac:dyDescent="0.25">
      <c r="A115" s="1" t="s">
        <v>118</v>
      </c>
      <c r="B115" t="s">
        <v>725</v>
      </c>
      <c r="C115" s="1" t="s">
        <v>122</v>
      </c>
      <c r="D115" t="s">
        <v>513</v>
      </c>
      <c r="E115" s="4">
        <v>1531901</v>
      </c>
      <c r="F115" s="4">
        <v>1205026</v>
      </c>
      <c r="G115" s="4">
        <v>262684</v>
      </c>
      <c r="H115" s="4">
        <v>942342</v>
      </c>
      <c r="I115" s="4">
        <v>326875</v>
      </c>
      <c r="J115">
        <v>0</v>
      </c>
      <c r="K115">
        <v>1269217</v>
      </c>
      <c r="L115" s="4">
        <v>2066</v>
      </c>
      <c r="M115" s="4">
        <v>560</v>
      </c>
      <c r="N115" s="4">
        <v>2626</v>
      </c>
      <c r="O115" s="4">
        <v>141167</v>
      </c>
      <c r="P115" s="4">
        <v>0</v>
      </c>
      <c r="Q115" s="4">
        <v>109424</v>
      </c>
      <c r="R115" s="4">
        <v>119621</v>
      </c>
      <c r="S115" s="4">
        <v>1642055</v>
      </c>
      <c r="T115" s="4">
        <v>1085575</v>
      </c>
      <c r="U115" s="4">
        <v>556480</v>
      </c>
    </row>
    <row r="116" spans="1:21" x14ac:dyDescent="0.25">
      <c r="A116" s="1" t="s">
        <v>118</v>
      </c>
      <c r="B116" t="s">
        <v>725</v>
      </c>
      <c r="C116" s="1" t="s">
        <v>123</v>
      </c>
      <c r="D116" t="s">
        <v>514</v>
      </c>
      <c r="E116" s="4">
        <v>141490</v>
      </c>
      <c r="F116" s="4">
        <v>111299</v>
      </c>
      <c r="G116" s="4">
        <v>24262</v>
      </c>
      <c r="H116" s="4">
        <v>87037</v>
      </c>
      <c r="I116" s="4">
        <v>30191</v>
      </c>
      <c r="J116" s="4">
        <v>14229</v>
      </c>
      <c r="K116">
        <v>131457</v>
      </c>
      <c r="L116">
        <v>192</v>
      </c>
      <c r="M116" s="4">
        <v>52</v>
      </c>
      <c r="N116" s="4">
        <v>244</v>
      </c>
      <c r="O116" s="4">
        <v>13174</v>
      </c>
      <c r="P116" s="4">
        <v>0</v>
      </c>
      <c r="Q116" s="4">
        <v>9275</v>
      </c>
      <c r="R116" s="4">
        <v>10140</v>
      </c>
      <c r="S116" s="4">
        <v>164290</v>
      </c>
      <c r="T116" s="4">
        <v>100403</v>
      </c>
      <c r="U116" s="4">
        <v>63887</v>
      </c>
    </row>
    <row r="117" spans="1:21" x14ac:dyDescent="0.25">
      <c r="A117" s="1" t="s">
        <v>118</v>
      </c>
      <c r="B117" t="s">
        <v>725</v>
      </c>
      <c r="C117" s="1" t="s">
        <v>124</v>
      </c>
      <c r="D117" t="s">
        <v>515</v>
      </c>
      <c r="E117" s="4">
        <v>320600</v>
      </c>
      <c r="F117" s="4">
        <v>252191</v>
      </c>
      <c r="G117" s="4">
        <v>54975</v>
      </c>
      <c r="H117" s="4">
        <v>197216</v>
      </c>
      <c r="I117" s="4">
        <v>68409</v>
      </c>
      <c r="J117">
        <v>0</v>
      </c>
      <c r="K117">
        <v>265625</v>
      </c>
      <c r="L117">
        <v>432</v>
      </c>
      <c r="M117" s="4">
        <v>117</v>
      </c>
      <c r="N117" s="4">
        <v>549</v>
      </c>
      <c r="O117" s="4">
        <v>29544</v>
      </c>
      <c r="P117" s="4">
        <v>0</v>
      </c>
      <c r="Q117" s="4">
        <v>21270</v>
      </c>
      <c r="R117" s="4">
        <v>23252</v>
      </c>
      <c r="S117" s="4">
        <v>340240</v>
      </c>
      <c r="T117" s="4">
        <v>227192</v>
      </c>
      <c r="U117" s="4">
        <v>113048</v>
      </c>
    </row>
    <row r="118" spans="1:21" x14ac:dyDescent="0.25">
      <c r="A118" s="1" t="s">
        <v>118</v>
      </c>
      <c r="B118" t="s">
        <v>725</v>
      </c>
      <c r="C118" s="1" t="s">
        <v>125</v>
      </c>
      <c r="D118" t="s">
        <v>516</v>
      </c>
      <c r="E118" s="4">
        <v>572583</v>
      </c>
      <c r="F118" s="4">
        <v>450406</v>
      </c>
      <c r="G118" s="4">
        <v>98184</v>
      </c>
      <c r="H118" s="4">
        <v>352222</v>
      </c>
      <c r="I118" s="4">
        <v>122177</v>
      </c>
      <c r="J118">
        <v>0</v>
      </c>
      <c r="K118">
        <v>474399</v>
      </c>
      <c r="L118">
        <v>772</v>
      </c>
      <c r="M118" s="4">
        <v>210</v>
      </c>
      <c r="N118" s="4">
        <v>982</v>
      </c>
      <c r="O118" s="4">
        <v>52764</v>
      </c>
      <c r="P118" s="4">
        <v>0</v>
      </c>
      <c r="Q118" s="4">
        <v>41269</v>
      </c>
      <c r="R118" s="4">
        <v>45115</v>
      </c>
      <c r="S118" s="4">
        <v>614529</v>
      </c>
      <c r="T118" s="4">
        <v>405758</v>
      </c>
      <c r="U118" s="4">
        <v>208771</v>
      </c>
    </row>
    <row r="119" spans="1:21" x14ac:dyDescent="0.25">
      <c r="A119" s="1" t="s">
        <v>118</v>
      </c>
      <c r="B119" t="s">
        <v>725</v>
      </c>
      <c r="C119" s="1" t="s">
        <v>126</v>
      </c>
      <c r="D119" t="s">
        <v>517</v>
      </c>
      <c r="E119" s="4">
        <v>1500958</v>
      </c>
      <c r="F119" s="4">
        <v>1180686</v>
      </c>
      <c r="G119" s="4">
        <v>257378</v>
      </c>
      <c r="H119" s="4">
        <v>923308</v>
      </c>
      <c r="I119" s="4">
        <v>320272</v>
      </c>
      <c r="J119">
        <v>0</v>
      </c>
      <c r="K119">
        <v>1243580</v>
      </c>
      <c r="L119" s="4">
        <v>2025</v>
      </c>
      <c r="M119" s="4">
        <v>549</v>
      </c>
      <c r="N119" s="4">
        <v>2574</v>
      </c>
      <c r="O119" s="4">
        <v>138315</v>
      </c>
      <c r="P119" s="4">
        <v>0</v>
      </c>
      <c r="Q119" s="4">
        <v>95117</v>
      </c>
      <c r="R119" s="4">
        <v>103980</v>
      </c>
      <c r="S119" s="4">
        <v>1583566</v>
      </c>
      <c r="T119" s="4">
        <v>1063648</v>
      </c>
      <c r="U119" s="4">
        <v>519918</v>
      </c>
    </row>
    <row r="120" spans="1:21" x14ac:dyDescent="0.25">
      <c r="A120" s="1" t="s">
        <v>118</v>
      </c>
      <c r="B120" t="s">
        <v>725</v>
      </c>
      <c r="C120" s="1" t="s">
        <v>127</v>
      </c>
      <c r="D120" t="s">
        <v>518</v>
      </c>
      <c r="E120" s="4">
        <v>299432</v>
      </c>
      <c r="F120" s="4">
        <v>235540</v>
      </c>
      <c r="G120" s="4">
        <v>51346</v>
      </c>
      <c r="H120" s="4">
        <v>184194</v>
      </c>
      <c r="I120" s="4">
        <v>63892</v>
      </c>
      <c r="J120" s="4">
        <v>0</v>
      </c>
      <c r="K120">
        <v>248086</v>
      </c>
      <c r="L120">
        <v>402</v>
      </c>
      <c r="M120" s="4">
        <v>109</v>
      </c>
      <c r="N120" s="4">
        <v>511</v>
      </c>
      <c r="O120" s="4">
        <v>27593</v>
      </c>
      <c r="P120" s="4">
        <v>0</v>
      </c>
      <c r="Q120" s="4">
        <v>19237</v>
      </c>
      <c r="R120" s="4">
        <v>21030</v>
      </c>
      <c r="S120" s="4">
        <v>316457</v>
      </c>
      <c r="T120" s="4">
        <v>212189</v>
      </c>
      <c r="U120" s="4">
        <v>104268</v>
      </c>
    </row>
    <row r="121" spans="1:21" x14ac:dyDescent="0.25">
      <c r="A121" s="1" t="s">
        <v>118</v>
      </c>
      <c r="B121" t="s">
        <v>725</v>
      </c>
      <c r="C121" s="1" t="s">
        <v>128</v>
      </c>
      <c r="D121" t="s">
        <v>519</v>
      </c>
      <c r="E121" s="4">
        <v>5571695</v>
      </c>
      <c r="F121" s="4">
        <v>4382816</v>
      </c>
      <c r="G121" s="4">
        <v>955409</v>
      </c>
      <c r="H121" s="4">
        <v>3427407</v>
      </c>
      <c r="I121" s="4">
        <v>1188879</v>
      </c>
      <c r="J121" s="4">
        <v>31313</v>
      </c>
      <c r="K121">
        <v>4647599</v>
      </c>
      <c r="L121" s="4">
        <v>7514</v>
      </c>
      <c r="M121" s="4">
        <v>2038</v>
      </c>
      <c r="N121" s="4">
        <v>9552</v>
      </c>
      <c r="O121" s="4">
        <v>513439</v>
      </c>
      <c r="P121" s="4">
        <v>0</v>
      </c>
      <c r="Q121" s="4">
        <v>397825</v>
      </c>
      <c r="R121" s="4">
        <v>434896</v>
      </c>
      <c r="S121" s="4">
        <v>6003311</v>
      </c>
      <c r="T121" s="4">
        <v>3948360</v>
      </c>
      <c r="U121" s="4">
        <v>2054951</v>
      </c>
    </row>
    <row r="122" spans="1:21" x14ac:dyDescent="0.25">
      <c r="A122" s="1" t="s">
        <v>118</v>
      </c>
      <c r="B122" t="s">
        <v>725</v>
      </c>
      <c r="C122" s="1" t="s">
        <v>129</v>
      </c>
      <c r="D122" t="s">
        <v>520</v>
      </c>
      <c r="E122" s="4">
        <v>70196</v>
      </c>
      <c r="F122" s="4">
        <v>55218</v>
      </c>
      <c r="G122" s="4">
        <v>12037</v>
      </c>
      <c r="H122" s="4">
        <v>43181</v>
      </c>
      <c r="I122" s="4">
        <v>14978</v>
      </c>
      <c r="J122" s="4">
        <v>5662</v>
      </c>
      <c r="K122">
        <v>63821</v>
      </c>
      <c r="L122">
        <v>95</v>
      </c>
      <c r="M122" s="4">
        <v>25</v>
      </c>
      <c r="N122" s="4">
        <v>120</v>
      </c>
      <c r="O122" s="4">
        <v>6970</v>
      </c>
      <c r="P122" s="4">
        <v>0</v>
      </c>
      <c r="Q122" s="4">
        <v>4650</v>
      </c>
      <c r="R122" s="4">
        <v>5084</v>
      </c>
      <c r="S122" s="4">
        <v>80645</v>
      </c>
      <c r="T122" s="4">
        <v>50245</v>
      </c>
      <c r="U122" s="4">
        <v>30400</v>
      </c>
    </row>
    <row r="123" spans="1:21" x14ac:dyDescent="0.25">
      <c r="A123" s="1" t="s">
        <v>118</v>
      </c>
      <c r="B123" t="s">
        <v>725</v>
      </c>
      <c r="C123" s="1" t="s">
        <v>130</v>
      </c>
      <c r="D123" t="s">
        <v>521</v>
      </c>
      <c r="E123" s="4">
        <v>187838</v>
      </c>
      <c r="F123" s="4">
        <v>147758</v>
      </c>
      <c r="G123" s="4">
        <v>32210</v>
      </c>
      <c r="H123" s="4">
        <v>115548</v>
      </c>
      <c r="I123" s="4">
        <v>40080</v>
      </c>
      <c r="J123" s="4">
        <v>5202</v>
      </c>
      <c r="K123">
        <v>160830</v>
      </c>
      <c r="L123">
        <v>254</v>
      </c>
      <c r="M123" s="4">
        <v>69</v>
      </c>
      <c r="N123" s="4">
        <v>323</v>
      </c>
      <c r="O123" s="4">
        <v>17310</v>
      </c>
      <c r="P123" s="4">
        <v>0</v>
      </c>
      <c r="Q123" s="4">
        <v>12655</v>
      </c>
      <c r="R123" s="4">
        <v>13834</v>
      </c>
      <c r="S123" s="4">
        <v>204952</v>
      </c>
      <c r="T123" s="4">
        <v>133111</v>
      </c>
      <c r="U123" s="4">
        <v>71841</v>
      </c>
    </row>
    <row r="124" spans="1:21" x14ac:dyDescent="0.25">
      <c r="A124" s="1" t="s">
        <v>118</v>
      </c>
      <c r="B124" t="s">
        <v>725</v>
      </c>
      <c r="C124" s="1" t="s">
        <v>131</v>
      </c>
      <c r="D124" t="s">
        <v>522</v>
      </c>
      <c r="E124" s="4">
        <v>218864</v>
      </c>
      <c r="F124" s="4">
        <v>172163</v>
      </c>
      <c r="G124" s="4">
        <v>37530</v>
      </c>
      <c r="H124" s="4">
        <v>134633</v>
      </c>
      <c r="I124" s="4">
        <v>46701</v>
      </c>
      <c r="J124" s="4">
        <v>3285</v>
      </c>
      <c r="K124">
        <v>184619</v>
      </c>
      <c r="L124">
        <v>294</v>
      </c>
      <c r="M124" s="4">
        <v>80</v>
      </c>
      <c r="N124" s="4">
        <v>374</v>
      </c>
      <c r="O124" s="4">
        <v>20411</v>
      </c>
      <c r="P124" s="4">
        <v>0</v>
      </c>
      <c r="Q124" s="4">
        <v>14053</v>
      </c>
      <c r="R124" s="4">
        <v>15362</v>
      </c>
      <c r="S124" s="4">
        <v>234819</v>
      </c>
      <c r="T124" s="4">
        <v>155338</v>
      </c>
      <c r="U124" s="4">
        <v>79481</v>
      </c>
    </row>
    <row r="125" spans="1:21" x14ac:dyDescent="0.25">
      <c r="A125" s="1" t="s">
        <v>118</v>
      </c>
      <c r="B125" t="s">
        <v>725</v>
      </c>
      <c r="C125" s="1" t="s">
        <v>132</v>
      </c>
      <c r="D125" t="s">
        <v>523</v>
      </c>
      <c r="E125" s="4">
        <v>261515</v>
      </c>
      <c r="F125" s="4">
        <v>205713</v>
      </c>
      <c r="G125" s="4">
        <v>44843</v>
      </c>
      <c r="H125" s="4">
        <v>160870</v>
      </c>
      <c r="I125" s="4">
        <v>55802</v>
      </c>
      <c r="J125">
        <v>0</v>
      </c>
      <c r="K125">
        <v>216672</v>
      </c>
      <c r="L125">
        <v>354</v>
      </c>
      <c r="M125" s="4">
        <v>96</v>
      </c>
      <c r="N125" s="4">
        <v>450</v>
      </c>
      <c r="O125" s="4">
        <v>24099</v>
      </c>
      <c r="P125" s="4">
        <v>0</v>
      </c>
      <c r="Q125" s="4">
        <v>17356</v>
      </c>
      <c r="R125" s="4">
        <v>18974</v>
      </c>
      <c r="S125" s="4">
        <v>277551</v>
      </c>
      <c r="T125" s="4">
        <v>185323</v>
      </c>
      <c r="U125" s="4">
        <v>92228</v>
      </c>
    </row>
    <row r="126" spans="1:21" x14ac:dyDescent="0.25">
      <c r="A126" s="1" t="s">
        <v>118</v>
      </c>
      <c r="B126" t="s">
        <v>725</v>
      </c>
      <c r="C126" s="1" t="s">
        <v>133</v>
      </c>
      <c r="D126" t="s">
        <v>524</v>
      </c>
      <c r="E126" s="4">
        <v>515673</v>
      </c>
      <c r="F126" s="4">
        <v>405640</v>
      </c>
      <c r="G126" s="4">
        <v>88426</v>
      </c>
      <c r="H126" s="4">
        <v>317214</v>
      </c>
      <c r="I126" s="4">
        <v>110033</v>
      </c>
      <c r="J126" s="4">
        <v>0</v>
      </c>
      <c r="K126">
        <v>427247</v>
      </c>
      <c r="L126">
        <v>697</v>
      </c>
      <c r="M126" s="4">
        <v>189</v>
      </c>
      <c r="N126" s="4">
        <v>886</v>
      </c>
      <c r="O126" s="4">
        <v>47520</v>
      </c>
      <c r="P126" s="4">
        <v>0</v>
      </c>
      <c r="Q126" s="4">
        <v>34891</v>
      </c>
      <c r="R126" s="4">
        <v>38142</v>
      </c>
      <c r="S126" s="4">
        <v>548686</v>
      </c>
      <c r="T126" s="4">
        <v>365431</v>
      </c>
      <c r="U126" s="4">
        <v>183255</v>
      </c>
    </row>
    <row r="127" spans="1:21" x14ac:dyDescent="0.25">
      <c r="A127" s="1" t="s">
        <v>118</v>
      </c>
      <c r="B127" t="s">
        <v>725</v>
      </c>
      <c r="C127" s="1" t="s">
        <v>134</v>
      </c>
      <c r="D127" t="s">
        <v>525</v>
      </c>
      <c r="E127" s="4">
        <v>1744085</v>
      </c>
      <c r="F127" s="4">
        <v>1371935</v>
      </c>
      <c r="G127" s="4">
        <v>299068</v>
      </c>
      <c r="H127" s="4">
        <v>1072867</v>
      </c>
      <c r="I127" s="4">
        <v>372150</v>
      </c>
      <c r="J127" s="4">
        <v>13597</v>
      </c>
      <c r="K127">
        <v>1458614</v>
      </c>
      <c r="L127" s="4">
        <v>2352</v>
      </c>
      <c r="M127" s="4">
        <v>638</v>
      </c>
      <c r="N127" s="4">
        <v>2990</v>
      </c>
      <c r="O127" s="4">
        <v>161493</v>
      </c>
      <c r="P127" s="4">
        <v>0</v>
      </c>
      <c r="Q127" s="4">
        <v>118700</v>
      </c>
      <c r="R127" s="4">
        <v>129760</v>
      </c>
      <c r="S127" s="4">
        <v>1871557</v>
      </c>
      <c r="T127" s="4">
        <v>1236712</v>
      </c>
      <c r="U127" s="4">
        <v>634845</v>
      </c>
    </row>
    <row r="128" spans="1:21" x14ac:dyDescent="0.25">
      <c r="A128" s="1" t="s">
        <v>118</v>
      </c>
      <c r="B128" t="s">
        <v>725</v>
      </c>
      <c r="C128" s="1" t="s">
        <v>135</v>
      </c>
      <c r="D128" t="s">
        <v>526</v>
      </c>
      <c r="E128" s="4">
        <v>1133784</v>
      </c>
      <c r="F128" s="4">
        <v>891859</v>
      </c>
      <c r="G128" s="4">
        <v>194416</v>
      </c>
      <c r="H128" s="4">
        <v>697443</v>
      </c>
      <c r="I128" s="4">
        <v>241925</v>
      </c>
      <c r="J128" s="4">
        <v>5964</v>
      </c>
      <c r="K128">
        <v>945332</v>
      </c>
      <c r="L128" s="4">
        <v>1528</v>
      </c>
      <c r="M128" s="4">
        <v>415</v>
      </c>
      <c r="N128" s="4">
        <v>1943</v>
      </c>
      <c r="O128" s="4">
        <v>104718</v>
      </c>
      <c r="P128" s="4">
        <v>0</v>
      </c>
      <c r="Q128" s="4">
        <v>78066</v>
      </c>
      <c r="R128" s="4">
        <v>85340</v>
      </c>
      <c r="S128" s="4">
        <v>1215399</v>
      </c>
      <c r="T128" s="4">
        <v>803689</v>
      </c>
      <c r="U128" s="4">
        <v>411710</v>
      </c>
    </row>
    <row r="129" spans="1:21" x14ac:dyDescent="0.25">
      <c r="A129" s="1" t="s">
        <v>118</v>
      </c>
      <c r="B129" t="s">
        <v>725</v>
      </c>
      <c r="C129" s="1" t="s">
        <v>136</v>
      </c>
      <c r="D129" t="s">
        <v>527</v>
      </c>
      <c r="E129" s="4">
        <v>193450</v>
      </c>
      <c r="F129" s="4">
        <v>152172</v>
      </c>
      <c r="G129" s="4">
        <v>33172</v>
      </c>
      <c r="H129" s="4">
        <v>119000</v>
      </c>
      <c r="I129" s="4">
        <v>41278</v>
      </c>
      <c r="J129" s="4">
        <v>4623</v>
      </c>
      <c r="K129">
        <v>164901</v>
      </c>
      <c r="L129">
        <v>262</v>
      </c>
      <c r="M129" s="4">
        <v>71</v>
      </c>
      <c r="N129" s="4">
        <v>333</v>
      </c>
      <c r="O129" s="4">
        <v>18199</v>
      </c>
      <c r="P129" s="4">
        <v>0</v>
      </c>
      <c r="Q129" s="4">
        <v>13011</v>
      </c>
      <c r="R129" s="4">
        <v>14223</v>
      </c>
      <c r="S129" s="4">
        <v>210667</v>
      </c>
      <c r="T129" s="4">
        <v>137461</v>
      </c>
      <c r="U129" s="4">
        <v>73206</v>
      </c>
    </row>
    <row r="130" spans="1:21" x14ac:dyDescent="0.25">
      <c r="A130" s="1" t="s">
        <v>118</v>
      </c>
      <c r="B130" t="s">
        <v>725</v>
      </c>
      <c r="C130" s="1" t="s">
        <v>137</v>
      </c>
      <c r="D130" t="s">
        <v>528</v>
      </c>
      <c r="E130" s="4">
        <v>2054333</v>
      </c>
      <c r="F130" s="4">
        <v>1615982</v>
      </c>
      <c r="G130" s="4">
        <v>352268</v>
      </c>
      <c r="H130" s="4">
        <v>1263714</v>
      </c>
      <c r="I130" s="4">
        <v>438351</v>
      </c>
      <c r="J130">
        <v>0</v>
      </c>
      <c r="K130">
        <v>1702065</v>
      </c>
      <c r="L130" s="4">
        <v>2770</v>
      </c>
      <c r="M130" s="4">
        <v>752</v>
      </c>
      <c r="N130" s="4">
        <v>3522</v>
      </c>
      <c r="O130" s="4">
        <v>189309</v>
      </c>
      <c r="P130" s="4">
        <v>0</v>
      </c>
      <c r="Q130" s="4">
        <v>144798</v>
      </c>
      <c r="R130" s="4">
        <v>158290</v>
      </c>
      <c r="S130" s="4">
        <v>2197984</v>
      </c>
      <c r="T130" s="4">
        <v>1455794</v>
      </c>
      <c r="U130" s="4">
        <v>742190</v>
      </c>
    </row>
    <row r="131" spans="1:21" x14ac:dyDescent="0.25">
      <c r="A131" s="1" t="s">
        <v>118</v>
      </c>
      <c r="B131" t="s">
        <v>725</v>
      </c>
      <c r="C131" s="1" t="s">
        <v>138</v>
      </c>
      <c r="D131" t="s">
        <v>529</v>
      </c>
      <c r="E131" s="4">
        <v>479678</v>
      </c>
      <c r="F131" s="4">
        <v>377325</v>
      </c>
      <c r="G131" s="4">
        <v>82253</v>
      </c>
      <c r="H131" s="4">
        <v>295072</v>
      </c>
      <c r="I131" s="4">
        <v>102353</v>
      </c>
      <c r="J131">
        <v>0</v>
      </c>
      <c r="K131">
        <v>397425</v>
      </c>
      <c r="L131">
        <v>648</v>
      </c>
      <c r="M131" s="4">
        <v>176</v>
      </c>
      <c r="N131" s="4">
        <v>824</v>
      </c>
      <c r="O131" s="4">
        <v>44203</v>
      </c>
      <c r="P131" s="4">
        <v>0</v>
      </c>
      <c r="Q131" s="4">
        <v>31816</v>
      </c>
      <c r="R131" s="4">
        <v>34780</v>
      </c>
      <c r="S131" s="4">
        <v>509048</v>
      </c>
      <c r="T131" s="4">
        <v>339923</v>
      </c>
      <c r="U131" s="4">
        <v>169125</v>
      </c>
    </row>
    <row r="132" spans="1:21" x14ac:dyDescent="0.25">
      <c r="A132" s="1" t="s">
        <v>118</v>
      </c>
      <c r="B132" t="s">
        <v>725</v>
      </c>
      <c r="C132" s="1" t="s">
        <v>139</v>
      </c>
      <c r="D132" t="s">
        <v>530</v>
      </c>
      <c r="E132" s="4">
        <v>322282</v>
      </c>
      <c r="F132" s="4">
        <v>253514</v>
      </c>
      <c r="G132" s="4">
        <v>55263</v>
      </c>
      <c r="H132" s="4">
        <v>198251</v>
      </c>
      <c r="I132" s="4">
        <v>68768</v>
      </c>
      <c r="J132">
        <v>0</v>
      </c>
      <c r="K132">
        <v>267019</v>
      </c>
      <c r="L132">
        <v>435</v>
      </c>
      <c r="M132" s="4">
        <v>118</v>
      </c>
      <c r="N132" s="4">
        <v>553</v>
      </c>
      <c r="O132" s="4">
        <v>29699</v>
      </c>
      <c r="P132" s="4">
        <v>0</v>
      </c>
      <c r="Q132" s="4">
        <v>21651</v>
      </c>
      <c r="R132" s="4">
        <v>23668</v>
      </c>
      <c r="S132" s="4">
        <v>342590</v>
      </c>
      <c r="T132" s="4">
        <v>228385</v>
      </c>
      <c r="U132" s="4">
        <v>114205</v>
      </c>
    </row>
    <row r="133" spans="1:21" x14ac:dyDescent="0.25">
      <c r="A133" s="1" t="s">
        <v>140</v>
      </c>
      <c r="B133" t="s">
        <v>726</v>
      </c>
      <c r="C133" s="1" t="s">
        <v>141</v>
      </c>
      <c r="D133" t="s">
        <v>531</v>
      </c>
      <c r="E133" s="4">
        <v>198102</v>
      </c>
      <c r="F133" s="4">
        <v>156708</v>
      </c>
      <c r="G133" s="4">
        <v>34161</v>
      </c>
      <c r="H133" s="4">
        <v>122547</v>
      </c>
      <c r="I133" s="4">
        <v>41394</v>
      </c>
      <c r="J133">
        <v>0</v>
      </c>
      <c r="K133">
        <v>163941</v>
      </c>
      <c r="L133">
        <v>178</v>
      </c>
      <c r="M133" s="4">
        <v>47</v>
      </c>
      <c r="N133" s="4">
        <v>225</v>
      </c>
      <c r="O133" s="4">
        <v>18793</v>
      </c>
      <c r="P133" s="4">
        <v>0</v>
      </c>
      <c r="Q133" s="4">
        <v>14500</v>
      </c>
      <c r="R133" s="4">
        <v>15943</v>
      </c>
      <c r="S133" s="4">
        <v>213402</v>
      </c>
      <c r="T133" s="4">
        <v>141518</v>
      </c>
      <c r="U133" s="4">
        <v>71884</v>
      </c>
    </row>
    <row r="134" spans="1:21" x14ac:dyDescent="0.25">
      <c r="A134" s="1" t="s">
        <v>140</v>
      </c>
      <c r="B134" t="s">
        <v>726</v>
      </c>
      <c r="C134" s="1" t="s">
        <v>142</v>
      </c>
      <c r="D134" t="s">
        <v>532</v>
      </c>
      <c r="E134" s="4">
        <v>474124</v>
      </c>
      <c r="F134" s="4">
        <v>375054</v>
      </c>
      <c r="G134" s="4">
        <v>81757</v>
      </c>
      <c r="H134" s="4">
        <v>293297</v>
      </c>
      <c r="I134" s="4">
        <v>99070</v>
      </c>
      <c r="J134">
        <v>0</v>
      </c>
      <c r="K134">
        <v>392367</v>
      </c>
      <c r="L134">
        <v>424</v>
      </c>
      <c r="M134" s="4">
        <v>112</v>
      </c>
      <c r="N134" s="4">
        <v>536</v>
      </c>
      <c r="O134" s="4">
        <v>44979</v>
      </c>
      <c r="P134" s="4">
        <v>0</v>
      </c>
      <c r="Q134" s="4">
        <v>33588</v>
      </c>
      <c r="R134" s="4">
        <v>36930</v>
      </c>
      <c r="S134" s="4">
        <v>508400</v>
      </c>
      <c r="T134" s="4">
        <v>338700</v>
      </c>
      <c r="U134" s="4">
        <v>169700</v>
      </c>
    </row>
    <row r="135" spans="1:21" x14ac:dyDescent="0.25">
      <c r="A135" s="1" t="s">
        <v>140</v>
      </c>
      <c r="B135" t="s">
        <v>726</v>
      </c>
      <c r="C135" s="1" t="s">
        <v>143</v>
      </c>
      <c r="D135" t="s">
        <v>533</v>
      </c>
      <c r="E135" s="4">
        <v>179196</v>
      </c>
      <c r="F135" s="4">
        <v>141753</v>
      </c>
      <c r="G135" s="4">
        <v>30901</v>
      </c>
      <c r="H135" s="4">
        <v>110852</v>
      </c>
      <c r="I135" s="4">
        <v>37443</v>
      </c>
      <c r="J135" s="4">
        <v>0</v>
      </c>
      <c r="K135">
        <v>148295</v>
      </c>
      <c r="L135">
        <v>159</v>
      </c>
      <c r="M135" s="4">
        <v>42</v>
      </c>
      <c r="N135" s="4">
        <v>201</v>
      </c>
      <c r="O135" s="4">
        <v>17000</v>
      </c>
      <c r="P135" s="4">
        <v>0</v>
      </c>
      <c r="Q135" s="4">
        <v>12258</v>
      </c>
      <c r="R135" s="4">
        <v>13478</v>
      </c>
      <c r="S135" s="4">
        <v>191232</v>
      </c>
      <c r="T135" s="4">
        <v>128011</v>
      </c>
      <c r="U135" s="4">
        <v>63221</v>
      </c>
    </row>
    <row r="136" spans="1:21" x14ac:dyDescent="0.25">
      <c r="A136" s="1" t="s">
        <v>140</v>
      </c>
      <c r="B136" t="s">
        <v>726</v>
      </c>
      <c r="C136" s="1" t="s">
        <v>144</v>
      </c>
      <c r="D136" t="s">
        <v>534</v>
      </c>
      <c r="E136" s="4">
        <v>551686</v>
      </c>
      <c r="F136" s="4">
        <v>436409</v>
      </c>
      <c r="G136" s="4">
        <v>95133</v>
      </c>
      <c r="H136" s="4">
        <v>341276</v>
      </c>
      <c r="I136" s="4">
        <v>115277</v>
      </c>
      <c r="J136" s="4">
        <v>10607</v>
      </c>
      <c r="K136">
        <v>467160</v>
      </c>
      <c r="L136">
        <v>494</v>
      </c>
      <c r="M136" s="4">
        <v>131</v>
      </c>
      <c r="N136" s="4">
        <v>625</v>
      </c>
      <c r="O136" s="4">
        <v>53227</v>
      </c>
      <c r="P136" s="4">
        <v>0</v>
      </c>
      <c r="Q136" s="4">
        <v>41080</v>
      </c>
      <c r="R136" s="4">
        <v>45168</v>
      </c>
      <c r="S136" s="4">
        <v>607260</v>
      </c>
      <c r="T136" s="4">
        <v>394997</v>
      </c>
      <c r="U136" s="4">
        <v>212263</v>
      </c>
    </row>
    <row r="137" spans="1:21" x14ac:dyDescent="0.25">
      <c r="A137" s="1" t="s">
        <v>140</v>
      </c>
      <c r="B137" t="s">
        <v>726</v>
      </c>
      <c r="C137" s="1" t="s">
        <v>145</v>
      </c>
      <c r="D137" t="s">
        <v>535</v>
      </c>
      <c r="E137" s="4">
        <v>6349678</v>
      </c>
      <c r="F137" s="4">
        <v>5022891</v>
      </c>
      <c r="G137" s="4">
        <v>1094939</v>
      </c>
      <c r="H137" s="4">
        <v>3927952</v>
      </c>
      <c r="I137" s="4">
        <v>1326787</v>
      </c>
      <c r="J137" s="4">
        <v>0</v>
      </c>
      <c r="K137" s="4">
        <v>5254739</v>
      </c>
      <c r="L137" s="4">
        <v>5689</v>
      </c>
      <c r="M137" s="4">
        <v>1503</v>
      </c>
      <c r="N137" s="4">
        <v>7192</v>
      </c>
      <c r="O137" s="4">
        <v>602375</v>
      </c>
      <c r="P137" s="4">
        <v>0</v>
      </c>
      <c r="Q137" s="4">
        <v>462076</v>
      </c>
      <c r="R137" s="4">
        <v>508059</v>
      </c>
      <c r="S137" s="4">
        <v>6834441</v>
      </c>
      <c r="T137" s="4">
        <v>4536016</v>
      </c>
      <c r="U137" s="4">
        <v>2298425</v>
      </c>
    </row>
    <row r="138" spans="1:21" x14ac:dyDescent="0.25">
      <c r="A138" s="1" t="s">
        <v>140</v>
      </c>
      <c r="B138" t="s">
        <v>726</v>
      </c>
      <c r="C138" s="1" t="s">
        <v>146</v>
      </c>
      <c r="D138" t="s">
        <v>536</v>
      </c>
      <c r="E138" s="4">
        <v>435569</v>
      </c>
      <c r="F138" s="4">
        <v>344555</v>
      </c>
      <c r="G138" s="4">
        <v>75110</v>
      </c>
      <c r="H138" s="4">
        <v>269445</v>
      </c>
      <c r="I138" s="4">
        <v>91014</v>
      </c>
      <c r="J138" s="4">
        <v>26224</v>
      </c>
      <c r="K138">
        <v>386683</v>
      </c>
      <c r="L138">
        <v>389</v>
      </c>
      <c r="M138" s="4">
        <v>103</v>
      </c>
      <c r="N138" s="4">
        <v>492</v>
      </c>
      <c r="O138" s="4">
        <v>41321</v>
      </c>
      <c r="P138" s="4">
        <v>0</v>
      </c>
      <c r="Q138" s="4">
        <v>30173</v>
      </c>
      <c r="R138" s="4">
        <v>33176</v>
      </c>
      <c r="S138" s="4">
        <v>491845</v>
      </c>
      <c r="T138" s="4">
        <v>311155</v>
      </c>
      <c r="U138" s="4">
        <v>180690</v>
      </c>
    </row>
    <row r="139" spans="1:21" x14ac:dyDescent="0.25">
      <c r="A139" s="1" t="s">
        <v>140</v>
      </c>
      <c r="B139" t="s">
        <v>726</v>
      </c>
      <c r="C139" s="1" t="s">
        <v>147</v>
      </c>
      <c r="D139" t="s">
        <v>537</v>
      </c>
      <c r="E139" s="4">
        <v>156751</v>
      </c>
      <c r="F139" s="4">
        <v>123998</v>
      </c>
      <c r="G139" s="4">
        <v>27030</v>
      </c>
      <c r="H139" s="4">
        <v>96968</v>
      </c>
      <c r="I139" s="4">
        <v>32753</v>
      </c>
      <c r="J139" s="4">
        <v>8157</v>
      </c>
      <c r="K139">
        <v>137878</v>
      </c>
      <c r="L139">
        <v>140</v>
      </c>
      <c r="M139" s="4">
        <v>37</v>
      </c>
      <c r="N139" s="4">
        <v>177</v>
      </c>
      <c r="O139" s="4">
        <v>14871</v>
      </c>
      <c r="P139" s="4">
        <v>0</v>
      </c>
      <c r="Q139" s="4">
        <v>11009</v>
      </c>
      <c r="R139" s="4">
        <v>12105</v>
      </c>
      <c r="S139" s="4">
        <v>176040</v>
      </c>
      <c r="T139" s="4">
        <v>111979</v>
      </c>
      <c r="U139" s="4">
        <v>64061</v>
      </c>
    </row>
    <row r="140" spans="1:21" x14ac:dyDescent="0.25">
      <c r="A140" s="1" t="s">
        <v>140</v>
      </c>
      <c r="B140" t="s">
        <v>726</v>
      </c>
      <c r="C140" s="1" t="s">
        <v>148</v>
      </c>
      <c r="D140" t="s">
        <v>538</v>
      </c>
      <c r="E140" s="4">
        <v>1175742</v>
      </c>
      <c r="F140" s="4">
        <v>930066</v>
      </c>
      <c r="G140" s="4">
        <v>202745</v>
      </c>
      <c r="H140" s="4">
        <v>727321</v>
      </c>
      <c r="I140" s="4">
        <v>245676</v>
      </c>
      <c r="J140" s="4">
        <v>0</v>
      </c>
      <c r="K140" s="4">
        <v>972997</v>
      </c>
      <c r="L140" s="4">
        <v>1053</v>
      </c>
      <c r="M140" s="4">
        <v>278</v>
      </c>
      <c r="N140" s="4">
        <v>1331</v>
      </c>
      <c r="O140" s="4">
        <v>111539</v>
      </c>
      <c r="P140" s="4">
        <v>0</v>
      </c>
      <c r="Q140" s="4">
        <v>78694</v>
      </c>
      <c r="R140" s="4">
        <v>86526</v>
      </c>
      <c r="S140" s="4">
        <v>1251087</v>
      </c>
      <c r="T140" s="4">
        <v>839913</v>
      </c>
      <c r="U140" s="4">
        <v>411174</v>
      </c>
    </row>
    <row r="141" spans="1:21" x14ac:dyDescent="0.25">
      <c r="A141" s="1" t="s">
        <v>140</v>
      </c>
      <c r="B141" t="s">
        <v>726</v>
      </c>
      <c r="C141" s="1" t="s">
        <v>149</v>
      </c>
      <c r="D141" t="s">
        <v>539</v>
      </c>
      <c r="E141" s="4">
        <v>1932281</v>
      </c>
      <c r="F141" s="4">
        <v>1528524</v>
      </c>
      <c r="G141" s="4">
        <v>333203</v>
      </c>
      <c r="H141" s="4">
        <v>1195321</v>
      </c>
      <c r="I141" s="4">
        <v>403757</v>
      </c>
      <c r="J141" s="4">
        <v>0</v>
      </c>
      <c r="K141" s="4">
        <v>1599078</v>
      </c>
      <c r="L141" s="4">
        <v>1731</v>
      </c>
      <c r="M141" s="4">
        <v>457</v>
      </c>
      <c r="N141" s="4">
        <v>2188</v>
      </c>
      <c r="O141" s="4">
        <v>183310</v>
      </c>
      <c r="P141" s="4">
        <v>0</v>
      </c>
      <c r="Q141" s="4">
        <v>133078</v>
      </c>
      <c r="R141" s="4">
        <v>146320</v>
      </c>
      <c r="S141" s="4">
        <v>2063974</v>
      </c>
      <c r="T141" s="4">
        <v>1380362</v>
      </c>
      <c r="U141" s="4">
        <v>683612</v>
      </c>
    </row>
    <row r="142" spans="1:21" x14ac:dyDescent="0.25">
      <c r="A142" s="1" t="s">
        <v>140</v>
      </c>
      <c r="B142" t="s">
        <v>726</v>
      </c>
      <c r="C142" s="1" t="s">
        <v>150</v>
      </c>
      <c r="D142" t="s">
        <v>540</v>
      </c>
      <c r="E142" s="4">
        <v>168319</v>
      </c>
      <c r="F142" s="4">
        <v>133148</v>
      </c>
      <c r="G142" s="4">
        <v>29025</v>
      </c>
      <c r="H142" s="4">
        <v>104123</v>
      </c>
      <c r="I142" s="4">
        <v>35171</v>
      </c>
      <c r="J142" s="4">
        <v>6867</v>
      </c>
      <c r="K142">
        <v>146161</v>
      </c>
      <c r="L142">
        <v>151</v>
      </c>
      <c r="M142" s="4">
        <v>40</v>
      </c>
      <c r="N142" s="4">
        <v>191</v>
      </c>
      <c r="O142" s="4">
        <v>16147</v>
      </c>
      <c r="P142" s="4">
        <v>0</v>
      </c>
      <c r="Q142" s="4">
        <v>11595</v>
      </c>
      <c r="R142" s="4">
        <v>12749</v>
      </c>
      <c r="S142" s="4">
        <v>186843</v>
      </c>
      <c r="T142" s="4">
        <v>120421</v>
      </c>
      <c r="U142" s="4">
        <v>66422</v>
      </c>
    </row>
    <row r="143" spans="1:21" x14ac:dyDescent="0.25">
      <c r="A143" s="1" t="s">
        <v>140</v>
      </c>
      <c r="B143" t="s">
        <v>726</v>
      </c>
      <c r="C143" s="1" t="s">
        <v>152</v>
      </c>
      <c r="D143" t="s">
        <v>153</v>
      </c>
      <c r="E143" s="4">
        <v>119732</v>
      </c>
      <c r="F143" s="4">
        <v>94713</v>
      </c>
      <c r="G143" s="4">
        <v>20647</v>
      </c>
      <c r="H143" s="4">
        <v>74066</v>
      </c>
      <c r="I143" s="4">
        <v>25019</v>
      </c>
      <c r="J143" s="4">
        <v>964</v>
      </c>
      <c r="K143">
        <v>100049</v>
      </c>
      <c r="L143">
        <v>108</v>
      </c>
      <c r="M143" s="4">
        <v>29</v>
      </c>
      <c r="N143" s="4">
        <v>137</v>
      </c>
      <c r="O143" s="4">
        <v>11359</v>
      </c>
      <c r="P143" s="4">
        <v>0</v>
      </c>
      <c r="Q143" s="4">
        <v>8206</v>
      </c>
      <c r="R143" s="4">
        <v>9022</v>
      </c>
      <c r="S143" s="4">
        <v>128773</v>
      </c>
      <c r="T143" s="4">
        <v>85533</v>
      </c>
      <c r="U143" s="4">
        <v>43240</v>
      </c>
    </row>
    <row r="144" spans="1:21" x14ac:dyDescent="0.25">
      <c r="A144" s="1" t="s">
        <v>140</v>
      </c>
      <c r="B144" t="s">
        <v>726</v>
      </c>
      <c r="C144" s="1" t="s">
        <v>151</v>
      </c>
      <c r="D144" t="s">
        <v>541</v>
      </c>
      <c r="E144" s="4">
        <v>222902</v>
      </c>
      <c r="F144" s="4">
        <v>176326</v>
      </c>
      <c r="G144" s="4">
        <v>38437</v>
      </c>
      <c r="H144" s="4">
        <v>137889</v>
      </c>
      <c r="I144" s="4">
        <v>46576</v>
      </c>
      <c r="J144">
        <v>0</v>
      </c>
      <c r="K144">
        <v>184465</v>
      </c>
      <c r="L144">
        <v>200</v>
      </c>
      <c r="M144" s="4">
        <v>53</v>
      </c>
      <c r="N144" s="4">
        <v>253</v>
      </c>
      <c r="O144" s="4">
        <v>21146</v>
      </c>
      <c r="P144" s="4">
        <v>0</v>
      </c>
      <c r="Q144" s="4">
        <v>15341</v>
      </c>
      <c r="R144" s="4">
        <v>16868</v>
      </c>
      <c r="S144" s="4">
        <v>238073</v>
      </c>
      <c r="T144" s="4">
        <v>159235</v>
      </c>
      <c r="U144" s="4">
        <v>78838</v>
      </c>
    </row>
    <row r="145" spans="1:21" x14ac:dyDescent="0.25">
      <c r="A145" s="1" t="s">
        <v>140</v>
      </c>
      <c r="B145" t="s">
        <v>726</v>
      </c>
      <c r="C145" s="1" t="s">
        <v>154</v>
      </c>
      <c r="D145" t="s">
        <v>542</v>
      </c>
      <c r="E145" s="4">
        <v>5447167</v>
      </c>
      <c r="F145" s="4">
        <v>4308962</v>
      </c>
      <c r="G145" s="4">
        <v>939311</v>
      </c>
      <c r="H145" s="4">
        <v>3369651</v>
      </c>
      <c r="I145" s="4">
        <v>1138205</v>
      </c>
      <c r="J145" s="4">
        <v>0</v>
      </c>
      <c r="K145" s="4">
        <v>4507856</v>
      </c>
      <c r="L145" s="4">
        <v>4882</v>
      </c>
      <c r="M145" s="4">
        <v>1289</v>
      </c>
      <c r="N145" s="4">
        <v>6171</v>
      </c>
      <c r="O145" s="4">
        <v>516756</v>
      </c>
      <c r="P145" s="4">
        <v>0</v>
      </c>
      <c r="Q145" s="4">
        <v>398952</v>
      </c>
      <c r="R145" s="4">
        <v>438653</v>
      </c>
      <c r="S145" s="4">
        <v>5868388</v>
      </c>
      <c r="T145" s="4">
        <v>3891289</v>
      </c>
      <c r="U145" s="4">
        <v>1977099</v>
      </c>
    </row>
    <row r="146" spans="1:21" x14ac:dyDescent="0.25">
      <c r="A146" s="1" t="s">
        <v>140</v>
      </c>
      <c r="B146" t="s">
        <v>726</v>
      </c>
      <c r="C146" s="1" t="s">
        <v>155</v>
      </c>
      <c r="D146" t="s">
        <v>543</v>
      </c>
      <c r="E146" s="4">
        <v>191999</v>
      </c>
      <c r="F146" s="4">
        <v>151880</v>
      </c>
      <c r="G146" s="4">
        <v>33108</v>
      </c>
      <c r="H146" s="4">
        <v>118772</v>
      </c>
      <c r="I146" s="4">
        <v>40119</v>
      </c>
      <c r="J146" s="4">
        <v>0</v>
      </c>
      <c r="K146">
        <v>158891</v>
      </c>
      <c r="L146">
        <v>173</v>
      </c>
      <c r="M146" s="4">
        <v>45</v>
      </c>
      <c r="N146" s="4">
        <v>218</v>
      </c>
      <c r="O146" s="4">
        <v>18214</v>
      </c>
      <c r="P146" s="4">
        <v>0</v>
      </c>
      <c r="Q146" s="4">
        <v>12971</v>
      </c>
      <c r="R146" s="4">
        <v>14262</v>
      </c>
      <c r="S146" s="4">
        <v>204556</v>
      </c>
      <c r="T146" s="4">
        <v>137159</v>
      </c>
      <c r="U146" s="4">
        <v>67397</v>
      </c>
    </row>
    <row r="147" spans="1:21" x14ac:dyDescent="0.25">
      <c r="A147" s="1" t="s">
        <v>140</v>
      </c>
      <c r="B147" t="s">
        <v>726</v>
      </c>
      <c r="C147" s="1" t="s">
        <v>156</v>
      </c>
      <c r="D147" t="s">
        <v>544</v>
      </c>
      <c r="E147" s="4">
        <v>2862822</v>
      </c>
      <c r="F147" s="4">
        <v>2264625</v>
      </c>
      <c r="G147" s="4">
        <v>493666</v>
      </c>
      <c r="H147" s="4">
        <v>1770959</v>
      </c>
      <c r="I147" s="4">
        <v>598197</v>
      </c>
      <c r="J147" s="4">
        <v>0</v>
      </c>
      <c r="K147" s="4">
        <v>2369156</v>
      </c>
      <c r="L147" s="4">
        <v>2565</v>
      </c>
      <c r="M147" s="4">
        <v>678</v>
      </c>
      <c r="N147" s="4">
        <v>3243</v>
      </c>
      <c r="O147" s="4">
        <v>271587</v>
      </c>
      <c r="P147" s="4">
        <v>0</v>
      </c>
      <c r="Q147" s="4">
        <v>207593</v>
      </c>
      <c r="R147" s="4">
        <v>228251</v>
      </c>
      <c r="S147" s="4">
        <v>3079830</v>
      </c>
      <c r="T147" s="4">
        <v>2045111</v>
      </c>
      <c r="U147" s="4">
        <v>1034719</v>
      </c>
    </row>
    <row r="148" spans="1:21" x14ac:dyDescent="0.25">
      <c r="A148" s="1" t="s">
        <v>140</v>
      </c>
      <c r="B148" t="s">
        <v>726</v>
      </c>
      <c r="C148" s="1" t="s">
        <v>157</v>
      </c>
      <c r="D148" t="s">
        <v>545</v>
      </c>
      <c r="E148" s="4">
        <v>254980</v>
      </c>
      <c r="F148" s="4">
        <v>201701</v>
      </c>
      <c r="G148" s="4">
        <v>43969</v>
      </c>
      <c r="H148" s="4">
        <v>157732</v>
      </c>
      <c r="I148" s="4">
        <v>53279</v>
      </c>
      <c r="J148">
        <v>0</v>
      </c>
      <c r="K148">
        <v>211011</v>
      </c>
      <c r="L148">
        <v>230</v>
      </c>
      <c r="M148" s="4">
        <v>60</v>
      </c>
      <c r="N148" s="4">
        <v>290</v>
      </c>
      <c r="O148" s="4">
        <v>24189</v>
      </c>
      <c r="P148" s="4">
        <v>0</v>
      </c>
      <c r="Q148" s="4">
        <v>17610</v>
      </c>
      <c r="R148" s="4">
        <v>19362</v>
      </c>
      <c r="S148" s="4">
        <v>272462</v>
      </c>
      <c r="T148" s="4">
        <v>182150</v>
      </c>
      <c r="U148" s="4">
        <v>90312</v>
      </c>
    </row>
    <row r="149" spans="1:21" x14ac:dyDescent="0.25">
      <c r="A149" s="1" t="s">
        <v>140</v>
      </c>
      <c r="B149" t="s">
        <v>726</v>
      </c>
      <c r="C149" s="1" t="s">
        <v>158</v>
      </c>
      <c r="D149" t="s">
        <v>546</v>
      </c>
      <c r="E149" s="4">
        <v>111537</v>
      </c>
      <c r="F149" s="4">
        <v>88231</v>
      </c>
      <c r="G149" s="4">
        <v>19233</v>
      </c>
      <c r="H149" s="4">
        <v>68998</v>
      </c>
      <c r="I149" s="4">
        <v>23306</v>
      </c>
      <c r="J149" s="4">
        <v>17061</v>
      </c>
      <c r="K149">
        <v>109365</v>
      </c>
      <c r="L149">
        <v>108</v>
      </c>
      <c r="M149" s="4">
        <v>29</v>
      </c>
      <c r="N149" s="4">
        <v>137</v>
      </c>
      <c r="O149" s="4">
        <v>10940</v>
      </c>
      <c r="P149" s="4">
        <v>0</v>
      </c>
      <c r="Q149" s="4">
        <v>7951</v>
      </c>
      <c r="R149" s="4">
        <v>8742</v>
      </c>
      <c r="S149" s="4">
        <v>137135</v>
      </c>
      <c r="T149" s="4">
        <v>80046</v>
      </c>
      <c r="U149" s="4">
        <v>57089</v>
      </c>
    </row>
    <row r="150" spans="1:21" x14ac:dyDescent="0.25">
      <c r="A150" s="1" t="s">
        <v>140</v>
      </c>
      <c r="B150" t="s">
        <v>726</v>
      </c>
      <c r="C150" s="1" t="s">
        <v>159</v>
      </c>
      <c r="D150" t="s">
        <v>547</v>
      </c>
      <c r="E150" s="4">
        <v>693299</v>
      </c>
      <c r="F150" s="4">
        <v>548432</v>
      </c>
      <c r="G150" s="4">
        <v>119552</v>
      </c>
      <c r="H150" s="4">
        <v>428880</v>
      </c>
      <c r="I150" s="4">
        <v>144867</v>
      </c>
      <c r="J150">
        <v>0</v>
      </c>
      <c r="K150">
        <v>573747</v>
      </c>
      <c r="L150">
        <v>618</v>
      </c>
      <c r="M150" s="4">
        <v>164</v>
      </c>
      <c r="N150" s="4">
        <v>782</v>
      </c>
      <c r="O150" s="4">
        <v>65771</v>
      </c>
      <c r="P150" s="4">
        <v>0</v>
      </c>
      <c r="Q150" s="4">
        <v>47528</v>
      </c>
      <c r="R150" s="4">
        <v>52257</v>
      </c>
      <c r="S150" s="4">
        <v>740085</v>
      </c>
      <c r="T150" s="4">
        <v>495269</v>
      </c>
      <c r="U150" s="4">
        <v>244816</v>
      </c>
    </row>
    <row r="151" spans="1:21" x14ac:dyDescent="0.25">
      <c r="A151" s="1" t="s">
        <v>140</v>
      </c>
      <c r="B151" t="s">
        <v>726</v>
      </c>
      <c r="C151" s="1" t="s">
        <v>160</v>
      </c>
      <c r="D151" t="s">
        <v>548</v>
      </c>
      <c r="E151" s="4">
        <v>453966</v>
      </c>
      <c r="F151" s="4">
        <v>359108</v>
      </c>
      <c r="G151" s="4">
        <v>78282</v>
      </c>
      <c r="H151" s="4">
        <v>280826</v>
      </c>
      <c r="I151" s="4">
        <v>94858</v>
      </c>
      <c r="J151" s="4">
        <v>4847</v>
      </c>
      <c r="K151">
        <v>380531</v>
      </c>
      <c r="L151">
        <v>408</v>
      </c>
      <c r="M151" s="4">
        <v>107</v>
      </c>
      <c r="N151" s="4">
        <v>515</v>
      </c>
      <c r="O151" s="4">
        <v>43431</v>
      </c>
      <c r="P151" s="4">
        <v>0</v>
      </c>
      <c r="Q151" s="4">
        <v>31982</v>
      </c>
      <c r="R151" s="4">
        <v>35165</v>
      </c>
      <c r="S151" s="4">
        <v>491624</v>
      </c>
      <c r="T151" s="4">
        <v>324665</v>
      </c>
      <c r="U151" s="4">
        <v>166959</v>
      </c>
    </row>
    <row r="152" spans="1:21" x14ac:dyDescent="0.25">
      <c r="A152" s="1" t="s">
        <v>140</v>
      </c>
      <c r="B152" t="s">
        <v>726</v>
      </c>
      <c r="C152" s="1" t="s">
        <v>161</v>
      </c>
      <c r="D152" t="s">
        <v>549</v>
      </c>
      <c r="E152" s="4">
        <v>192429</v>
      </c>
      <c r="F152" s="4">
        <v>152221</v>
      </c>
      <c r="G152" s="4">
        <v>33183</v>
      </c>
      <c r="H152" s="4">
        <v>119038</v>
      </c>
      <c r="I152" s="4">
        <v>40208</v>
      </c>
      <c r="J152">
        <v>868</v>
      </c>
      <c r="K152">
        <v>160114</v>
      </c>
      <c r="L152">
        <v>173</v>
      </c>
      <c r="M152" s="4">
        <v>45</v>
      </c>
      <c r="N152" s="4">
        <v>218</v>
      </c>
      <c r="O152" s="4">
        <v>18255</v>
      </c>
      <c r="P152" s="4">
        <v>0</v>
      </c>
      <c r="Q152" s="4">
        <v>12614</v>
      </c>
      <c r="R152" s="4">
        <v>13870</v>
      </c>
      <c r="S152" s="4">
        <v>205071</v>
      </c>
      <c r="T152" s="4">
        <v>137465</v>
      </c>
      <c r="U152" s="4">
        <v>67606</v>
      </c>
    </row>
    <row r="153" spans="1:21" x14ac:dyDescent="0.25">
      <c r="A153" s="1" t="s">
        <v>140</v>
      </c>
      <c r="B153" t="s">
        <v>726</v>
      </c>
      <c r="C153" s="1" t="s">
        <v>162</v>
      </c>
      <c r="D153" t="s">
        <v>550</v>
      </c>
      <c r="E153" s="4">
        <v>371339</v>
      </c>
      <c r="F153" s="4">
        <v>293747</v>
      </c>
      <c r="G153" s="4">
        <v>64034</v>
      </c>
      <c r="H153" s="4">
        <v>229713</v>
      </c>
      <c r="I153" s="4">
        <v>77592</v>
      </c>
      <c r="J153">
        <v>0</v>
      </c>
      <c r="K153">
        <v>307305</v>
      </c>
      <c r="L153">
        <v>332</v>
      </c>
      <c r="M153" s="4">
        <v>88</v>
      </c>
      <c r="N153" s="4">
        <v>420</v>
      </c>
      <c r="O153" s="4">
        <v>35228</v>
      </c>
      <c r="P153" s="4">
        <v>0</v>
      </c>
      <c r="Q153" s="4">
        <v>25943</v>
      </c>
      <c r="R153" s="4">
        <v>28524</v>
      </c>
      <c r="S153" s="4">
        <v>397420</v>
      </c>
      <c r="T153" s="4">
        <v>265273</v>
      </c>
      <c r="U153" s="4">
        <v>132147</v>
      </c>
    </row>
    <row r="154" spans="1:21" x14ac:dyDescent="0.25">
      <c r="A154" s="1" t="s">
        <v>140</v>
      </c>
      <c r="B154" t="s">
        <v>726</v>
      </c>
      <c r="C154" s="1" t="s">
        <v>163</v>
      </c>
      <c r="D154" t="s">
        <v>551</v>
      </c>
      <c r="E154" s="4">
        <v>405055</v>
      </c>
      <c r="F154" s="4">
        <v>320417</v>
      </c>
      <c r="G154" s="4">
        <v>69848</v>
      </c>
      <c r="H154" s="4">
        <v>250569</v>
      </c>
      <c r="I154" s="4">
        <v>84638</v>
      </c>
      <c r="J154">
        <v>0</v>
      </c>
      <c r="K154">
        <v>335207</v>
      </c>
      <c r="L154">
        <v>362</v>
      </c>
      <c r="M154" s="4">
        <v>95</v>
      </c>
      <c r="N154" s="4">
        <v>457</v>
      </c>
      <c r="O154" s="4">
        <v>38426</v>
      </c>
      <c r="P154" s="4">
        <v>0</v>
      </c>
      <c r="Q154" s="4">
        <v>28797</v>
      </c>
      <c r="R154" s="4">
        <v>31663</v>
      </c>
      <c r="S154" s="4">
        <v>434550</v>
      </c>
      <c r="T154" s="4">
        <v>289357</v>
      </c>
      <c r="U154" s="4">
        <v>145193</v>
      </c>
    </row>
    <row r="155" spans="1:21" x14ac:dyDescent="0.25">
      <c r="A155" s="1" t="s">
        <v>140</v>
      </c>
      <c r="B155" t="s">
        <v>726</v>
      </c>
      <c r="C155" s="1" t="s">
        <v>164</v>
      </c>
      <c r="D155" t="s">
        <v>552</v>
      </c>
      <c r="E155" s="4">
        <v>276162</v>
      </c>
      <c r="F155" s="4">
        <v>218457</v>
      </c>
      <c r="G155" s="4">
        <v>47622</v>
      </c>
      <c r="H155" s="4">
        <v>170835</v>
      </c>
      <c r="I155" s="4">
        <v>57705</v>
      </c>
      <c r="J155" s="4">
        <v>4862</v>
      </c>
      <c r="K155">
        <v>233402</v>
      </c>
      <c r="L155">
        <v>248</v>
      </c>
      <c r="M155" s="4">
        <v>66</v>
      </c>
      <c r="N155" s="4">
        <v>314</v>
      </c>
      <c r="O155" s="4">
        <v>26538</v>
      </c>
      <c r="P155" s="4">
        <v>0</v>
      </c>
      <c r="Q155" s="4">
        <v>17941</v>
      </c>
      <c r="R155" s="4">
        <v>19726</v>
      </c>
      <c r="S155" s="4">
        <v>297921</v>
      </c>
      <c r="T155" s="4">
        <v>197621</v>
      </c>
      <c r="U155" s="4">
        <v>100300</v>
      </c>
    </row>
    <row r="156" spans="1:21" x14ac:dyDescent="0.25">
      <c r="A156" s="1" t="s">
        <v>140</v>
      </c>
      <c r="B156" t="s">
        <v>726</v>
      </c>
      <c r="C156" s="1" t="s">
        <v>165</v>
      </c>
      <c r="D156" t="s">
        <v>553</v>
      </c>
      <c r="E156" s="4">
        <v>200560</v>
      </c>
      <c r="F156" s="4">
        <v>158652</v>
      </c>
      <c r="G156" s="4">
        <v>34584</v>
      </c>
      <c r="H156" s="4">
        <v>124068</v>
      </c>
      <c r="I156" s="4">
        <v>41908</v>
      </c>
      <c r="J156" s="4">
        <v>15209</v>
      </c>
      <c r="K156">
        <v>181185</v>
      </c>
      <c r="L156">
        <v>181</v>
      </c>
      <c r="M156" s="4">
        <v>48</v>
      </c>
      <c r="N156" s="4">
        <v>229</v>
      </c>
      <c r="O156" s="4">
        <v>19026</v>
      </c>
      <c r="P156" s="4">
        <v>0</v>
      </c>
      <c r="Q156" s="4">
        <v>13991</v>
      </c>
      <c r="R156" s="4">
        <v>15383</v>
      </c>
      <c r="S156" s="4">
        <v>229814</v>
      </c>
      <c r="T156" s="4">
        <v>143275</v>
      </c>
      <c r="U156" s="4">
        <v>86539</v>
      </c>
    </row>
    <row r="157" spans="1:21" x14ac:dyDescent="0.25">
      <c r="A157" s="1" t="s">
        <v>140</v>
      </c>
      <c r="B157" t="s">
        <v>726</v>
      </c>
      <c r="C157" s="1" t="s">
        <v>166</v>
      </c>
      <c r="D157" t="s">
        <v>554</v>
      </c>
      <c r="E157" s="4">
        <v>74165</v>
      </c>
      <c r="F157" s="4">
        <v>58668</v>
      </c>
      <c r="G157" s="4">
        <v>12789</v>
      </c>
      <c r="H157" s="4">
        <v>45879</v>
      </c>
      <c r="I157" s="4">
        <v>15497</v>
      </c>
      <c r="J157" s="4">
        <v>5114</v>
      </c>
      <c r="K157">
        <v>66490</v>
      </c>
      <c r="L157">
        <v>68</v>
      </c>
      <c r="M157" s="4">
        <v>17</v>
      </c>
      <c r="N157" s="4">
        <v>85</v>
      </c>
      <c r="O157" s="4">
        <v>7505</v>
      </c>
      <c r="P157" s="4">
        <v>0</v>
      </c>
      <c r="Q157" s="4">
        <v>5071</v>
      </c>
      <c r="R157" s="4">
        <v>5576</v>
      </c>
      <c r="S157" s="4">
        <v>84727</v>
      </c>
      <c r="T157" s="4">
        <v>53452</v>
      </c>
      <c r="U157" s="4">
        <v>31275</v>
      </c>
    </row>
    <row r="158" spans="1:21" x14ac:dyDescent="0.25">
      <c r="A158" s="1" t="s">
        <v>140</v>
      </c>
      <c r="B158" t="s">
        <v>726</v>
      </c>
      <c r="C158" s="1" t="s">
        <v>167</v>
      </c>
      <c r="D158" t="s">
        <v>555</v>
      </c>
      <c r="E158" s="4">
        <v>529148</v>
      </c>
      <c r="F158" s="4">
        <v>418581</v>
      </c>
      <c r="G158" s="4">
        <v>91247</v>
      </c>
      <c r="H158" s="4">
        <v>327334</v>
      </c>
      <c r="I158" s="4">
        <v>110567</v>
      </c>
      <c r="J158">
        <v>0</v>
      </c>
      <c r="K158">
        <v>437901</v>
      </c>
      <c r="L158">
        <v>473</v>
      </c>
      <c r="M158" s="4">
        <v>124</v>
      </c>
      <c r="N158" s="4">
        <v>597</v>
      </c>
      <c r="O158" s="4">
        <v>50199</v>
      </c>
      <c r="P158" s="4">
        <v>0</v>
      </c>
      <c r="Q158" s="4">
        <v>37054</v>
      </c>
      <c r="R158" s="4">
        <v>40741</v>
      </c>
      <c r="S158" s="4">
        <v>566492</v>
      </c>
      <c r="T158" s="4">
        <v>378006</v>
      </c>
      <c r="U158" s="4">
        <v>188486</v>
      </c>
    </row>
    <row r="159" spans="1:21" x14ac:dyDescent="0.25">
      <c r="A159" s="1" t="s">
        <v>140</v>
      </c>
      <c r="B159" t="s">
        <v>726</v>
      </c>
      <c r="C159" s="1" t="s">
        <v>168</v>
      </c>
      <c r="D159" t="s">
        <v>556</v>
      </c>
      <c r="E159" s="4">
        <v>151331</v>
      </c>
      <c r="F159" s="4">
        <v>119710</v>
      </c>
      <c r="G159" s="4">
        <v>26095</v>
      </c>
      <c r="H159" s="4">
        <v>93615</v>
      </c>
      <c r="I159" s="4">
        <v>31621</v>
      </c>
      <c r="J159">
        <v>0</v>
      </c>
      <c r="K159">
        <v>125236</v>
      </c>
      <c r="L159">
        <v>135</v>
      </c>
      <c r="M159" s="4">
        <v>36</v>
      </c>
      <c r="N159" s="4">
        <v>171</v>
      </c>
      <c r="O159" s="4">
        <v>14356</v>
      </c>
      <c r="P159" s="4">
        <v>0</v>
      </c>
      <c r="Q159" s="4">
        <v>10729</v>
      </c>
      <c r="R159" s="4">
        <v>11796</v>
      </c>
      <c r="S159" s="4">
        <v>162288</v>
      </c>
      <c r="T159" s="4">
        <v>108106</v>
      </c>
      <c r="U159" s="4">
        <v>54182</v>
      </c>
    </row>
    <row r="160" spans="1:21" x14ac:dyDescent="0.25">
      <c r="A160" s="1" t="s">
        <v>140</v>
      </c>
      <c r="B160" t="s">
        <v>726</v>
      </c>
      <c r="C160" s="1" t="s">
        <v>169</v>
      </c>
      <c r="D160" t="s">
        <v>557</v>
      </c>
      <c r="E160" s="4">
        <v>314274</v>
      </c>
      <c r="F160" s="4">
        <v>248605</v>
      </c>
      <c r="G160" s="4">
        <v>54193</v>
      </c>
      <c r="H160" s="4">
        <v>194412</v>
      </c>
      <c r="I160" s="4">
        <v>65669</v>
      </c>
      <c r="J160" s="4">
        <v>5760</v>
      </c>
      <c r="K160">
        <v>265841</v>
      </c>
      <c r="L160">
        <v>281</v>
      </c>
      <c r="M160" s="4">
        <v>74</v>
      </c>
      <c r="N160" s="4">
        <v>355</v>
      </c>
      <c r="O160" s="4">
        <v>30295</v>
      </c>
      <c r="P160" s="4">
        <v>0</v>
      </c>
      <c r="Q160" s="4">
        <v>20642</v>
      </c>
      <c r="R160" s="4">
        <v>22696</v>
      </c>
      <c r="S160" s="4">
        <v>339829</v>
      </c>
      <c r="T160" s="4">
        <v>224988</v>
      </c>
      <c r="U160" s="4">
        <v>114841</v>
      </c>
    </row>
    <row r="161" spans="1:21" x14ac:dyDescent="0.25">
      <c r="A161" s="1" t="s">
        <v>140</v>
      </c>
      <c r="B161" t="s">
        <v>726</v>
      </c>
      <c r="C161" s="1" t="s">
        <v>170</v>
      </c>
      <c r="D161" t="s">
        <v>558</v>
      </c>
      <c r="E161" s="4">
        <v>619124</v>
      </c>
      <c r="F161" s="4">
        <v>489756</v>
      </c>
      <c r="G161" s="4">
        <v>106762</v>
      </c>
      <c r="H161" s="4">
        <v>382994</v>
      </c>
      <c r="I161" s="4">
        <v>129368</v>
      </c>
      <c r="J161">
        <v>0</v>
      </c>
      <c r="K161">
        <v>512362</v>
      </c>
      <c r="L161">
        <v>554</v>
      </c>
      <c r="M161" s="4">
        <v>146</v>
      </c>
      <c r="N161" s="4">
        <v>700</v>
      </c>
      <c r="O161" s="4">
        <v>58734</v>
      </c>
      <c r="P161" s="4">
        <v>0</v>
      </c>
      <c r="Q161" s="4">
        <v>41412</v>
      </c>
      <c r="R161" s="4">
        <v>45532</v>
      </c>
      <c r="S161" s="4">
        <v>658740</v>
      </c>
      <c r="T161" s="4">
        <v>442281</v>
      </c>
      <c r="U161" s="4">
        <v>216459</v>
      </c>
    </row>
    <row r="162" spans="1:21" x14ac:dyDescent="0.25">
      <c r="A162" s="1" t="s">
        <v>140</v>
      </c>
      <c r="B162" t="s">
        <v>726</v>
      </c>
      <c r="C162" s="1" t="s">
        <v>171</v>
      </c>
      <c r="D162" t="s">
        <v>559</v>
      </c>
      <c r="E162" s="4">
        <v>640968</v>
      </c>
      <c r="F162" s="4">
        <v>507036</v>
      </c>
      <c r="G162" s="4">
        <v>110529</v>
      </c>
      <c r="H162" s="4">
        <v>396507</v>
      </c>
      <c r="I162" s="4">
        <v>133932</v>
      </c>
      <c r="J162">
        <v>0</v>
      </c>
      <c r="K162">
        <v>530439</v>
      </c>
      <c r="L162">
        <v>575</v>
      </c>
      <c r="M162" s="4">
        <v>152</v>
      </c>
      <c r="N162" s="4">
        <v>727</v>
      </c>
      <c r="O162" s="4">
        <v>60807</v>
      </c>
      <c r="P162" s="4">
        <v>0</v>
      </c>
      <c r="Q162" s="4">
        <v>44087</v>
      </c>
      <c r="R162" s="4">
        <v>48475</v>
      </c>
      <c r="S162" s="4">
        <v>684535</v>
      </c>
      <c r="T162" s="4">
        <v>457889</v>
      </c>
      <c r="U162" s="4">
        <v>226646</v>
      </c>
    </row>
    <row r="163" spans="1:21" x14ac:dyDescent="0.25">
      <c r="A163" s="1" t="s">
        <v>140</v>
      </c>
      <c r="B163" t="s">
        <v>726</v>
      </c>
      <c r="C163" s="1" t="s">
        <v>172</v>
      </c>
      <c r="D163" t="s">
        <v>560</v>
      </c>
      <c r="E163" s="4">
        <v>299467</v>
      </c>
      <c r="F163" s="4">
        <v>236893</v>
      </c>
      <c r="G163" s="4">
        <v>51640</v>
      </c>
      <c r="H163" s="4">
        <v>185253</v>
      </c>
      <c r="I163" s="4">
        <v>62574</v>
      </c>
      <c r="J163">
        <v>0</v>
      </c>
      <c r="K163">
        <v>247827</v>
      </c>
      <c r="L163">
        <v>267</v>
      </c>
      <c r="M163" s="4">
        <v>71</v>
      </c>
      <c r="N163" s="4">
        <v>338</v>
      </c>
      <c r="O163" s="4">
        <v>28410</v>
      </c>
      <c r="P163" s="4">
        <v>0</v>
      </c>
      <c r="Q163" s="4">
        <v>20285</v>
      </c>
      <c r="R163" s="4">
        <v>22304</v>
      </c>
      <c r="S163" s="4">
        <v>319164</v>
      </c>
      <c r="T163" s="4">
        <v>213930</v>
      </c>
      <c r="U163" s="4">
        <v>105234</v>
      </c>
    </row>
    <row r="164" spans="1:21" x14ac:dyDescent="0.25">
      <c r="A164" s="1" t="s">
        <v>140</v>
      </c>
      <c r="B164" t="s">
        <v>726</v>
      </c>
      <c r="C164" s="1" t="s">
        <v>173</v>
      </c>
      <c r="D164" t="s">
        <v>561</v>
      </c>
      <c r="E164" s="4">
        <v>429350</v>
      </c>
      <c r="F164" s="4">
        <v>339636</v>
      </c>
      <c r="G164" s="4">
        <v>74037</v>
      </c>
      <c r="H164" s="4">
        <v>265599</v>
      </c>
      <c r="I164" s="4">
        <v>89714</v>
      </c>
      <c r="J164">
        <v>0</v>
      </c>
      <c r="K164">
        <v>355313</v>
      </c>
      <c r="L164">
        <v>383</v>
      </c>
      <c r="M164" s="4">
        <v>102</v>
      </c>
      <c r="N164" s="4">
        <v>485</v>
      </c>
      <c r="O164" s="4">
        <v>40731</v>
      </c>
      <c r="P164" s="4">
        <v>0</v>
      </c>
      <c r="Q164" s="4">
        <v>31090</v>
      </c>
      <c r="R164" s="4">
        <v>34184</v>
      </c>
      <c r="S164" s="4">
        <v>461803</v>
      </c>
      <c r="T164" s="4">
        <v>306713</v>
      </c>
      <c r="U164" s="4">
        <v>155090</v>
      </c>
    </row>
    <row r="165" spans="1:21" x14ac:dyDescent="0.25">
      <c r="A165" s="1" t="s">
        <v>174</v>
      </c>
      <c r="B165" t="s">
        <v>727</v>
      </c>
      <c r="C165" s="1" t="s">
        <v>175</v>
      </c>
      <c r="D165" t="s">
        <v>562</v>
      </c>
      <c r="E165" s="4">
        <v>110299</v>
      </c>
      <c r="F165" s="4">
        <v>89105</v>
      </c>
      <c r="G165" s="4">
        <v>19424</v>
      </c>
      <c r="H165" s="4">
        <v>69681</v>
      </c>
      <c r="I165" s="4">
        <v>21194</v>
      </c>
      <c r="J165" s="4">
        <v>5369</v>
      </c>
      <c r="K165">
        <v>96244</v>
      </c>
      <c r="L165">
        <v>0</v>
      </c>
      <c r="M165" s="4">
        <v>0</v>
      </c>
      <c r="N165" s="4">
        <v>0</v>
      </c>
      <c r="O165" s="4">
        <v>9850</v>
      </c>
      <c r="P165" s="4">
        <v>0</v>
      </c>
      <c r="Q165" s="4">
        <v>7224</v>
      </c>
      <c r="R165" s="4">
        <v>7937</v>
      </c>
      <c r="S165" s="4">
        <v>121255</v>
      </c>
      <c r="T165" s="4">
        <v>79531</v>
      </c>
      <c r="U165" s="4">
        <v>41724</v>
      </c>
    </row>
    <row r="166" spans="1:21" x14ac:dyDescent="0.25">
      <c r="A166" s="1" t="s">
        <v>174</v>
      </c>
      <c r="B166" t="s">
        <v>727</v>
      </c>
      <c r="C166" s="1" t="s">
        <v>176</v>
      </c>
      <c r="D166" t="s">
        <v>563</v>
      </c>
      <c r="E166" s="4">
        <v>807649</v>
      </c>
      <c r="F166" s="4">
        <v>652460</v>
      </c>
      <c r="G166" s="4">
        <v>142230</v>
      </c>
      <c r="H166" s="4">
        <v>510230</v>
      </c>
      <c r="I166" s="4">
        <v>155189</v>
      </c>
      <c r="J166">
        <v>0</v>
      </c>
      <c r="K166">
        <v>665419</v>
      </c>
      <c r="L166">
        <v>0</v>
      </c>
      <c r="M166" s="4">
        <v>0</v>
      </c>
      <c r="N166" s="4">
        <v>0</v>
      </c>
      <c r="O166" s="4">
        <v>69137</v>
      </c>
      <c r="P166" s="4">
        <v>0</v>
      </c>
      <c r="Q166" s="4">
        <v>56061</v>
      </c>
      <c r="R166" s="4">
        <v>61597</v>
      </c>
      <c r="S166" s="4">
        <v>852214</v>
      </c>
      <c r="T166" s="4">
        <v>579367</v>
      </c>
      <c r="U166" s="4">
        <v>272847</v>
      </c>
    </row>
    <row r="167" spans="1:21" x14ac:dyDescent="0.25">
      <c r="A167" s="1" t="s">
        <v>174</v>
      </c>
      <c r="B167" t="s">
        <v>727</v>
      </c>
      <c r="C167" s="1" t="s">
        <v>177</v>
      </c>
      <c r="D167" t="s">
        <v>564</v>
      </c>
      <c r="E167" s="4">
        <v>1741480</v>
      </c>
      <c r="F167" s="4">
        <v>1406857</v>
      </c>
      <c r="G167" s="4">
        <v>306680</v>
      </c>
      <c r="H167" s="4">
        <v>1100177</v>
      </c>
      <c r="I167" s="4">
        <v>334623</v>
      </c>
      <c r="J167">
        <v>0</v>
      </c>
      <c r="K167">
        <v>1434800</v>
      </c>
      <c r="L167">
        <v>0</v>
      </c>
      <c r="M167" s="4">
        <v>0</v>
      </c>
      <c r="N167" s="4">
        <v>0</v>
      </c>
      <c r="O167" s="4">
        <v>149075</v>
      </c>
      <c r="P167" s="4">
        <v>0</v>
      </c>
      <c r="Q167" s="4">
        <v>119270</v>
      </c>
      <c r="R167" s="4">
        <v>131048</v>
      </c>
      <c r="S167" s="4">
        <v>1834193</v>
      </c>
      <c r="T167" s="4">
        <v>1249252</v>
      </c>
      <c r="U167" s="4">
        <v>584941</v>
      </c>
    </row>
    <row r="168" spans="1:21" x14ac:dyDescent="0.25">
      <c r="A168" s="1" t="s">
        <v>174</v>
      </c>
      <c r="B168" t="s">
        <v>727</v>
      </c>
      <c r="C168" s="1" t="s">
        <v>178</v>
      </c>
      <c r="D168" t="s">
        <v>565</v>
      </c>
      <c r="E168" s="4">
        <v>4694655</v>
      </c>
      <c r="F168" s="4">
        <v>3792582</v>
      </c>
      <c r="G168" s="4">
        <v>826744</v>
      </c>
      <c r="H168" s="4">
        <v>2965838</v>
      </c>
      <c r="I168" s="4">
        <v>902073</v>
      </c>
      <c r="J168">
        <v>0</v>
      </c>
      <c r="K168">
        <v>3867911</v>
      </c>
      <c r="L168">
        <v>0</v>
      </c>
      <c r="M168" s="4">
        <v>0</v>
      </c>
      <c r="N168" s="4">
        <v>0</v>
      </c>
      <c r="O168" s="4">
        <v>401873</v>
      </c>
      <c r="P168" s="4">
        <v>0</v>
      </c>
      <c r="Q168" s="4">
        <v>348880</v>
      </c>
      <c r="R168" s="4">
        <v>383335</v>
      </c>
      <c r="S168" s="4">
        <v>5001999</v>
      </c>
      <c r="T168" s="4">
        <v>3367711</v>
      </c>
      <c r="U168" s="4">
        <v>1634288</v>
      </c>
    </row>
    <row r="169" spans="1:21" x14ac:dyDescent="0.25">
      <c r="A169" s="1" t="s">
        <v>174</v>
      </c>
      <c r="B169" t="s">
        <v>727</v>
      </c>
      <c r="C169" s="1" t="s">
        <v>179</v>
      </c>
      <c r="D169" t="s">
        <v>566</v>
      </c>
      <c r="E169" s="4">
        <v>193086</v>
      </c>
      <c r="F169" s="4">
        <v>155984</v>
      </c>
      <c r="G169" s="4">
        <v>34003</v>
      </c>
      <c r="H169" s="4">
        <v>121981</v>
      </c>
      <c r="I169" s="4">
        <v>37102</v>
      </c>
      <c r="J169">
        <v>0</v>
      </c>
      <c r="K169">
        <v>159083</v>
      </c>
      <c r="L169">
        <v>0</v>
      </c>
      <c r="M169" s="4">
        <v>0</v>
      </c>
      <c r="N169" s="4">
        <v>0</v>
      </c>
      <c r="O169" s="4">
        <v>16529</v>
      </c>
      <c r="P169" s="4">
        <v>0</v>
      </c>
      <c r="Q169" s="4">
        <v>13252</v>
      </c>
      <c r="R169" s="4">
        <v>14561</v>
      </c>
      <c r="S169" s="4">
        <v>203425</v>
      </c>
      <c r="T169" s="4">
        <v>138510</v>
      </c>
      <c r="U169" s="4">
        <v>64915</v>
      </c>
    </row>
    <row r="170" spans="1:21" x14ac:dyDescent="0.25">
      <c r="A170" s="1" t="s">
        <v>174</v>
      </c>
      <c r="B170" t="s">
        <v>727</v>
      </c>
      <c r="C170" s="1" t="s">
        <v>180</v>
      </c>
      <c r="D170" t="s">
        <v>567</v>
      </c>
      <c r="E170" s="4">
        <v>638293</v>
      </c>
      <c r="F170" s="4">
        <v>515646</v>
      </c>
      <c r="G170" s="4">
        <v>112406</v>
      </c>
      <c r="H170" s="4">
        <v>403240</v>
      </c>
      <c r="I170" s="4">
        <v>122647</v>
      </c>
      <c r="J170">
        <v>0</v>
      </c>
      <c r="K170">
        <v>525887</v>
      </c>
      <c r="L170">
        <v>0</v>
      </c>
      <c r="M170" s="4">
        <v>0</v>
      </c>
      <c r="N170" s="4">
        <v>0</v>
      </c>
      <c r="O170" s="4">
        <v>54639</v>
      </c>
      <c r="P170" s="4">
        <v>0</v>
      </c>
      <c r="Q170" s="4">
        <v>44894</v>
      </c>
      <c r="R170" s="4">
        <v>49328</v>
      </c>
      <c r="S170" s="4">
        <v>674748</v>
      </c>
      <c r="T170" s="4">
        <v>457879</v>
      </c>
      <c r="U170" s="4">
        <v>216869</v>
      </c>
    </row>
    <row r="171" spans="1:21" x14ac:dyDescent="0.25">
      <c r="A171" s="1" t="s">
        <v>174</v>
      </c>
      <c r="B171" t="s">
        <v>727</v>
      </c>
      <c r="C171" s="1" t="s">
        <v>181</v>
      </c>
      <c r="D171" t="s">
        <v>568</v>
      </c>
      <c r="E171" s="4">
        <v>123722</v>
      </c>
      <c r="F171" s="4">
        <v>99949</v>
      </c>
      <c r="G171" s="4">
        <v>21788</v>
      </c>
      <c r="H171" s="4">
        <v>78161</v>
      </c>
      <c r="I171" s="4">
        <v>23773</v>
      </c>
      <c r="J171" s="4">
        <v>5750</v>
      </c>
      <c r="K171">
        <v>107684</v>
      </c>
      <c r="L171">
        <v>0</v>
      </c>
      <c r="M171" s="4">
        <v>0</v>
      </c>
      <c r="N171" s="4">
        <v>0</v>
      </c>
      <c r="O171" s="4">
        <v>11025</v>
      </c>
      <c r="P171" s="4">
        <v>0</v>
      </c>
      <c r="Q171" s="4">
        <v>8724</v>
      </c>
      <c r="R171" s="4">
        <v>9586</v>
      </c>
      <c r="S171" s="4">
        <v>137019</v>
      </c>
      <c r="T171" s="4">
        <v>89186</v>
      </c>
      <c r="U171" s="4">
        <v>47833</v>
      </c>
    </row>
    <row r="172" spans="1:21" x14ac:dyDescent="0.25">
      <c r="A172" s="1" t="s">
        <v>174</v>
      </c>
      <c r="B172" t="s">
        <v>727</v>
      </c>
      <c r="C172" s="1" t="s">
        <v>182</v>
      </c>
      <c r="D172" t="s">
        <v>569</v>
      </c>
      <c r="E172" s="4">
        <v>946414</v>
      </c>
      <c r="F172" s="4">
        <v>764562</v>
      </c>
      <c r="G172" s="4">
        <v>166667</v>
      </c>
      <c r="H172" s="4">
        <v>597895</v>
      </c>
      <c r="I172" s="4">
        <v>181852</v>
      </c>
      <c r="J172">
        <v>0</v>
      </c>
      <c r="K172">
        <v>779747</v>
      </c>
      <c r="L172">
        <v>0</v>
      </c>
      <c r="M172" s="4">
        <v>0</v>
      </c>
      <c r="N172" s="4">
        <v>0</v>
      </c>
      <c r="O172" s="4">
        <v>81015</v>
      </c>
      <c r="P172" s="4">
        <v>0</v>
      </c>
      <c r="Q172" s="4">
        <v>66719</v>
      </c>
      <c r="R172" s="4">
        <v>73308</v>
      </c>
      <c r="S172" s="4">
        <v>1000789</v>
      </c>
      <c r="T172" s="4">
        <v>678910</v>
      </c>
      <c r="U172" s="4">
        <v>321879</v>
      </c>
    </row>
    <row r="173" spans="1:21" x14ac:dyDescent="0.25">
      <c r="A173" s="1" t="s">
        <v>174</v>
      </c>
      <c r="B173" t="s">
        <v>727</v>
      </c>
      <c r="C173" s="1" t="s">
        <v>183</v>
      </c>
      <c r="D173" t="s">
        <v>570</v>
      </c>
      <c r="E173" s="4">
        <v>785260</v>
      </c>
      <c r="F173" s="4">
        <v>634373</v>
      </c>
      <c r="G173" s="4">
        <v>138287</v>
      </c>
      <c r="H173" s="4">
        <v>496086</v>
      </c>
      <c r="I173" s="4">
        <v>150887</v>
      </c>
      <c r="J173">
        <v>0</v>
      </c>
      <c r="K173">
        <v>646973</v>
      </c>
      <c r="L173">
        <v>0</v>
      </c>
      <c r="M173" s="4">
        <v>0</v>
      </c>
      <c r="N173" s="4">
        <v>0</v>
      </c>
      <c r="O173" s="4">
        <v>67220</v>
      </c>
      <c r="P173" s="4">
        <v>0</v>
      </c>
      <c r="Q173" s="4">
        <v>54942</v>
      </c>
      <c r="R173" s="4">
        <v>60368</v>
      </c>
      <c r="S173" s="4">
        <v>829503</v>
      </c>
      <c r="T173" s="4">
        <v>563306</v>
      </c>
      <c r="U173" s="4">
        <v>266197</v>
      </c>
    </row>
    <row r="174" spans="1:21" x14ac:dyDescent="0.25">
      <c r="A174" s="1" t="s">
        <v>174</v>
      </c>
      <c r="B174" t="s">
        <v>727</v>
      </c>
      <c r="C174" s="1" t="s">
        <v>184</v>
      </c>
      <c r="D174" t="s">
        <v>571</v>
      </c>
      <c r="E174" s="4">
        <v>738897</v>
      </c>
      <c r="F174" s="4">
        <v>596919</v>
      </c>
      <c r="G174" s="4">
        <v>130122</v>
      </c>
      <c r="H174" s="4">
        <v>466797</v>
      </c>
      <c r="I174" s="4">
        <v>141978</v>
      </c>
      <c r="J174">
        <v>0</v>
      </c>
      <c r="K174">
        <v>608775</v>
      </c>
      <c r="L174">
        <v>0</v>
      </c>
      <c r="M174" s="4">
        <v>0</v>
      </c>
      <c r="N174" s="4">
        <v>0</v>
      </c>
      <c r="O174" s="4">
        <v>63251</v>
      </c>
      <c r="P174" s="4">
        <v>0</v>
      </c>
      <c r="Q174" s="4">
        <v>51864</v>
      </c>
      <c r="R174" s="4">
        <v>56986</v>
      </c>
      <c r="S174" s="4">
        <v>780876</v>
      </c>
      <c r="T174" s="4">
        <v>530048</v>
      </c>
      <c r="U174" s="4">
        <v>250828</v>
      </c>
    </row>
    <row r="175" spans="1:21" x14ac:dyDescent="0.25">
      <c r="A175" s="1" t="s">
        <v>174</v>
      </c>
      <c r="B175" t="s">
        <v>727</v>
      </c>
      <c r="C175" s="1" t="s">
        <v>185</v>
      </c>
      <c r="D175" t="s">
        <v>572</v>
      </c>
      <c r="E175" s="4">
        <v>632498</v>
      </c>
      <c r="F175" s="4">
        <v>510964</v>
      </c>
      <c r="G175" s="4">
        <v>111384</v>
      </c>
      <c r="H175" s="4">
        <v>399580</v>
      </c>
      <c r="I175" s="4">
        <v>121534</v>
      </c>
      <c r="J175">
        <v>0</v>
      </c>
      <c r="K175">
        <v>521114</v>
      </c>
      <c r="L175">
        <v>0</v>
      </c>
      <c r="M175" s="4">
        <v>0</v>
      </c>
      <c r="N175" s="4">
        <v>0</v>
      </c>
      <c r="O175" s="4">
        <v>54143</v>
      </c>
      <c r="P175" s="4">
        <v>0</v>
      </c>
      <c r="Q175" s="4">
        <v>64455</v>
      </c>
      <c r="R175" s="4">
        <v>70820</v>
      </c>
      <c r="S175" s="4">
        <v>710532</v>
      </c>
      <c r="T175" s="4">
        <v>453723</v>
      </c>
      <c r="U175" s="4">
        <v>256809</v>
      </c>
    </row>
    <row r="176" spans="1:21" x14ac:dyDescent="0.25">
      <c r="A176" s="1" t="s">
        <v>174</v>
      </c>
      <c r="B176" t="s">
        <v>727</v>
      </c>
      <c r="C176" s="1" t="s">
        <v>186</v>
      </c>
      <c r="D176" t="s">
        <v>573</v>
      </c>
      <c r="E176" s="4">
        <v>271918</v>
      </c>
      <c r="F176" s="4">
        <v>219669</v>
      </c>
      <c r="G176" s="4">
        <v>47886</v>
      </c>
      <c r="H176" s="4">
        <v>171783</v>
      </c>
      <c r="I176" s="4">
        <v>52249</v>
      </c>
      <c r="J176">
        <v>0</v>
      </c>
      <c r="K176">
        <v>224032</v>
      </c>
      <c r="L176">
        <v>0</v>
      </c>
      <c r="M176" s="4">
        <v>0</v>
      </c>
      <c r="N176" s="4">
        <v>0</v>
      </c>
      <c r="O176" s="4">
        <v>23277</v>
      </c>
      <c r="P176" s="4">
        <v>0</v>
      </c>
      <c r="Q176" s="4">
        <v>18314</v>
      </c>
      <c r="R176" s="4">
        <v>20122</v>
      </c>
      <c r="S176" s="4">
        <v>285745</v>
      </c>
      <c r="T176" s="4">
        <v>195060</v>
      </c>
      <c r="U176" s="4">
        <v>90685</v>
      </c>
    </row>
    <row r="177" spans="1:21" x14ac:dyDescent="0.25">
      <c r="A177" s="1" t="s">
        <v>174</v>
      </c>
      <c r="B177" t="s">
        <v>727</v>
      </c>
      <c r="C177" s="1" t="s">
        <v>187</v>
      </c>
      <c r="D177" t="s">
        <v>574</v>
      </c>
      <c r="E177" s="4">
        <v>170913</v>
      </c>
      <c r="F177" s="4">
        <v>138073</v>
      </c>
      <c r="G177" s="4">
        <v>30099</v>
      </c>
      <c r="H177" s="4">
        <v>107974</v>
      </c>
      <c r="I177" s="4">
        <v>32840</v>
      </c>
      <c r="J177">
        <v>950</v>
      </c>
      <c r="K177">
        <v>141764</v>
      </c>
      <c r="L177">
        <v>0</v>
      </c>
      <c r="M177" s="4">
        <v>0</v>
      </c>
      <c r="N177" s="4">
        <v>0</v>
      </c>
      <c r="O177" s="4">
        <v>14635</v>
      </c>
      <c r="P177" s="4">
        <v>0</v>
      </c>
      <c r="Q177" s="4">
        <v>11370</v>
      </c>
      <c r="R177" s="4">
        <v>12493</v>
      </c>
      <c r="S177" s="4">
        <v>180262</v>
      </c>
      <c r="T177" s="4">
        <v>122609</v>
      </c>
      <c r="U177" s="4">
        <v>57653</v>
      </c>
    </row>
    <row r="178" spans="1:21" x14ac:dyDescent="0.25">
      <c r="A178" s="1" t="s">
        <v>174</v>
      </c>
      <c r="B178" t="s">
        <v>727</v>
      </c>
      <c r="C178" s="1" t="s">
        <v>188</v>
      </c>
      <c r="D178" t="s">
        <v>575</v>
      </c>
      <c r="E178" s="4">
        <v>170583</v>
      </c>
      <c r="F178" s="4">
        <v>137805</v>
      </c>
      <c r="G178" s="4">
        <v>30040</v>
      </c>
      <c r="H178" s="4">
        <v>107765</v>
      </c>
      <c r="I178" s="4">
        <v>32778</v>
      </c>
      <c r="J178">
        <v>0</v>
      </c>
      <c r="K178">
        <v>140543</v>
      </c>
      <c r="L178">
        <v>0</v>
      </c>
      <c r="M178" s="4">
        <v>0</v>
      </c>
      <c r="N178" s="4">
        <v>0</v>
      </c>
      <c r="O178" s="4">
        <v>14602</v>
      </c>
      <c r="P178" s="4">
        <v>0</v>
      </c>
      <c r="Q178" s="4">
        <v>11573</v>
      </c>
      <c r="R178" s="4">
        <v>12716</v>
      </c>
      <c r="S178" s="4">
        <v>179434</v>
      </c>
      <c r="T178" s="4">
        <v>122367</v>
      </c>
      <c r="U178" s="4">
        <v>57067</v>
      </c>
    </row>
    <row r="179" spans="1:21" x14ac:dyDescent="0.25">
      <c r="A179" s="1" t="s">
        <v>174</v>
      </c>
      <c r="B179" t="s">
        <v>727</v>
      </c>
      <c r="C179" s="1" t="s">
        <v>189</v>
      </c>
      <c r="D179" t="s">
        <v>576</v>
      </c>
      <c r="E179" s="4">
        <v>168871</v>
      </c>
      <c r="F179" s="4">
        <v>136423</v>
      </c>
      <c r="G179" s="4">
        <v>29739</v>
      </c>
      <c r="H179" s="4">
        <v>106684</v>
      </c>
      <c r="I179" s="4">
        <v>32448</v>
      </c>
      <c r="J179">
        <v>0</v>
      </c>
      <c r="K179">
        <v>139132</v>
      </c>
      <c r="L179">
        <v>0</v>
      </c>
      <c r="M179" s="4">
        <v>0</v>
      </c>
      <c r="N179" s="4">
        <v>0</v>
      </c>
      <c r="O179" s="4">
        <v>14456</v>
      </c>
      <c r="P179" s="4">
        <v>0</v>
      </c>
      <c r="Q179" s="4">
        <v>11090</v>
      </c>
      <c r="R179" s="4">
        <v>12185</v>
      </c>
      <c r="S179" s="4">
        <v>176863</v>
      </c>
      <c r="T179" s="4">
        <v>121140</v>
      </c>
      <c r="U179" s="4">
        <v>55723</v>
      </c>
    </row>
    <row r="180" spans="1:21" x14ac:dyDescent="0.25">
      <c r="A180" s="1" t="s">
        <v>174</v>
      </c>
      <c r="B180" t="s">
        <v>727</v>
      </c>
      <c r="C180" s="1" t="s">
        <v>190</v>
      </c>
      <c r="D180" t="s">
        <v>577</v>
      </c>
      <c r="E180" s="4">
        <v>1299635</v>
      </c>
      <c r="F180" s="4">
        <v>1049911</v>
      </c>
      <c r="G180" s="4">
        <v>228870</v>
      </c>
      <c r="H180" s="4">
        <v>821041</v>
      </c>
      <c r="I180" s="4">
        <v>249724</v>
      </c>
      <c r="J180">
        <v>0</v>
      </c>
      <c r="K180">
        <v>1070765</v>
      </c>
      <c r="L180">
        <v>0</v>
      </c>
      <c r="M180" s="4">
        <v>0</v>
      </c>
      <c r="N180" s="4">
        <v>0</v>
      </c>
      <c r="O180" s="4">
        <v>111252</v>
      </c>
      <c r="P180" s="4">
        <v>0</v>
      </c>
      <c r="Q180" s="4">
        <v>91442</v>
      </c>
      <c r="R180" s="4">
        <v>100473</v>
      </c>
      <c r="S180" s="4">
        <v>1373932</v>
      </c>
      <c r="T180" s="4">
        <v>932293</v>
      </c>
      <c r="U180" s="4">
        <v>441639</v>
      </c>
    </row>
    <row r="181" spans="1:21" x14ac:dyDescent="0.25">
      <c r="A181" s="1" t="s">
        <v>174</v>
      </c>
      <c r="B181" t="s">
        <v>727</v>
      </c>
      <c r="C181" s="1" t="s">
        <v>191</v>
      </c>
      <c r="D181" t="s">
        <v>578</v>
      </c>
      <c r="E181" s="4">
        <v>12114078</v>
      </c>
      <c r="F181" s="4">
        <v>9786371</v>
      </c>
      <c r="G181" s="4">
        <v>2133328</v>
      </c>
      <c r="H181" s="4">
        <v>7653043</v>
      </c>
      <c r="I181" s="4">
        <v>2327707</v>
      </c>
      <c r="J181">
        <v>0</v>
      </c>
      <c r="K181">
        <v>9980750</v>
      </c>
      <c r="L181">
        <v>0</v>
      </c>
      <c r="M181" s="4">
        <v>0</v>
      </c>
      <c r="N181" s="4">
        <v>0</v>
      </c>
      <c r="O181" s="4">
        <v>1036993</v>
      </c>
      <c r="P181" s="4">
        <v>0</v>
      </c>
      <c r="Q181" s="4">
        <v>845289</v>
      </c>
      <c r="R181" s="4">
        <v>928768</v>
      </c>
      <c r="S181" s="4">
        <v>12791800</v>
      </c>
      <c r="T181" s="4">
        <v>8690036</v>
      </c>
      <c r="U181" s="4">
        <v>4101764</v>
      </c>
    </row>
    <row r="182" spans="1:21" x14ac:dyDescent="0.25">
      <c r="A182" s="1" t="s">
        <v>174</v>
      </c>
      <c r="B182" t="s">
        <v>727</v>
      </c>
      <c r="C182" s="1" t="s">
        <v>192</v>
      </c>
      <c r="D182" t="s">
        <v>579</v>
      </c>
      <c r="E182" s="4">
        <v>208707</v>
      </c>
      <c r="F182" s="4">
        <v>168604</v>
      </c>
      <c r="G182" s="4">
        <v>36754</v>
      </c>
      <c r="H182" s="4">
        <v>131850</v>
      </c>
      <c r="I182" s="4">
        <v>40103</v>
      </c>
      <c r="J182">
        <v>0</v>
      </c>
      <c r="K182">
        <v>171953</v>
      </c>
      <c r="L182">
        <v>0</v>
      </c>
      <c r="M182" s="4">
        <v>0</v>
      </c>
      <c r="N182" s="4">
        <v>0</v>
      </c>
      <c r="O182" s="4">
        <v>17866</v>
      </c>
      <c r="P182" s="4">
        <v>0</v>
      </c>
      <c r="Q182" s="4">
        <v>14804</v>
      </c>
      <c r="R182" s="4">
        <v>16266</v>
      </c>
      <c r="S182" s="4">
        <v>220889</v>
      </c>
      <c r="T182" s="4">
        <v>149716</v>
      </c>
      <c r="U182" s="4">
        <v>71173</v>
      </c>
    </row>
    <row r="183" spans="1:21" x14ac:dyDescent="0.25">
      <c r="A183" s="1" t="s">
        <v>174</v>
      </c>
      <c r="B183" t="s">
        <v>727</v>
      </c>
      <c r="C183" s="1" t="s">
        <v>193</v>
      </c>
      <c r="D183" t="s">
        <v>580</v>
      </c>
      <c r="E183" s="4">
        <v>159049</v>
      </c>
      <c r="F183" s="4">
        <v>128488</v>
      </c>
      <c r="G183" s="4">
        <v>28009</v>
      </c>
      <c r="H183" s="4">
        <v>100479</v>
      </c>
      <c r="I183" s="4">
        <v>30561</v>
      </c>
      <c r="J183">
        <v>0</v>
      </c>
      <c r="K183">
        <v>131040</v>
      </c>
      <c r="L183">
        <v>0</v>
      </c>
      <c r="M183" s="4">
        <v>0</v>
      </c>
      <c r="N183" s="4">
        <v>0</v>
      </c>
      <c r="O183" s="4">
        <v>13615</v>
      </c>
      <c r="P183" s="4">
        <v>0</v>
      </c>
      <c r="Q183" s="4">
        <v>10607</v>
      </c>
      <c r="R183" s="4">
        <v>11654</v>
      </c>
      <c r="S183" s="4">
        <v>166916</v>
      </c>
      <c r="T183" s="4">
        <v>114094</v>
      </c>
      <c r="U183" s="4">
        <v>52822</v>
      </c>
    </row>
    <row r="184" spans="1:21" x14ac:dyDescent="0.25">
      <c r="A184" s="1" t="s">
        <v>174</v>
      </c>
      <c r="B184" t="s">
        <v>727</v>
      </c>
      <c r="C184" s="1" t="s">
        <v>194</v>
      </c>
      <c r="D184" t="s">
        <v>581</v>
      </c>
      <c r="E184" s="4">
        <v>575781</v>
      </c>
      <c r="F184" s="4">
        <v>465145</v>
      </c>
      <c r="G184" s="4">
        <v>101397</v>
      </c>
      <c r="H184" s="4">
        <v>363748</v>
      </c>
      <c r="I184" s="4">
        <v>110636</v>
      </c>
      <c r="J184">
        <v>0</v>
      </c>
      <c r="K184">
        <v>474384</v>
      </c>
      <c r="L184">
        <v>0</v>
      </c>
      <c r="M184" s="4">
        <v>0</v>
      </c>
      <c r="N184" s="4">
        <v>0</v>
      </c>
      <c r="O184" s="4">
        <v>49288</v>
      </c>
      <c r="P184" s="4">
        <v>0</v>
      </c>
      <c r="Q184" s="4">
        <v>41893</v>
      </c>
      <c r="R184" s="4">
        <v>46030</v>
      </c>
      <c r="S184" s="4">
        <v>611595</v>
      </c>
      <c r="T184" s="4">
        <v>413036</v>
      </c>
      <c r="U184" s="4">
        <v>198559</v>
      </c>
    </row>
    <row r="185" spans="1:21" x14ac:dyDescent="0.25">
      <c r="A185" s="1" t="s">
        <v>174</v>
      </c>
      <c r="B185" t="s">
        <v>727</v>
      </c>
      <c r="C185" s="1" t="s">
        <v>195</v>
      </c>
      <c r="D185" t="s">
        <v>582</v>
      </c>
      <c r="E185" s="4">
        <v>114945</v>
      </c>
      <c r="F185" s="4">
        <v>92858</v>
      </c>
      <c r="G185" s="4">
        <v>20242</v>
      </c>
      <c r="H185" s="4">
        <v>72616</v>
      </c>
      <c r="I185" s="4">
        <v>22087</v>
      </c>
      <c r="J185">
        <v>0</v>
      </c>
      <c r="K185">
        <v>94703</v>
      </c>
      <c r="L185">
        <v>0</v>
      </c>
      <c r="M185" s="4">
        <v>0</v>
      </c>
      <c r="N185" s="4">
        <v>0</v>
      </c>
      <c r="O185" s="4">
        <v>9840</v>
      </c>
      <c r="P185" s="4">
        <v>0</v>
      </c>
      <c r="Q185" s="4">
        <v>8241</v>
      </c>
      <c r="R185" s="4">
        <v>9055</v>
      </c>
      <c r="S185" s="4">
        <v>121839</v>
      </c>
      <c r="T185" s="4">
        <v>82456</v>
      </c>
      <c r="U185" s="4">
        <v>39383</v>
      </c>
    </row>
    <row r="186" spans="1:21" x14ac:dyDescent="0.25">
      <c r="A186" s="1" t="s">
        <v>174</v>
      </c>
      <c r="B186" t="s">
        <v>727</v>
      </c>
      <c r="C186" s="1" t="s">
        <v>196</v>
      </c>
      <c r="D186" t="s">
        <v>583</v>
      </c>
      <c r="E186" s="4">
        <v>146890</v>
      </c>
      <c r="F186" s="4">
        <v>118665</v>
      </c>
      <c r="G186" s="4">
        <v>25867</v>
      </c>
      <c r="H186" s="4">
        <v>92798</v>
      </c>
      <c r="I186" s="4">
        <v>28225</v>
      </c>
      <c r="J186" s="4">
        <v>2990</v>
      </c>
      <c r="K186">
        <v>124013</v>
      </c>
      <c r="L186">
        <v>0</v>
      </c>
      <c r="M186" s="4">
        <v>0</v>
      </c>
      <c r="N186" s="4">
        <v>0</v>
      </c>
      <c r="O186" s="4">
        <v>12574</v>
      </c>
      <c r="P186" s="4">
        <v>0</v>
      </c>
      <c r="Q186" s="4">
        <v>10047</v>
      </c>
      <c r="R186" s="4">
        <v>11040</v>
      </c>
      <c r="S186" s="4">
        <v>157674</v>
      </c>
      <c r="T186" s="4">
        <v>105372</v>
      </c>
      <c r="U186" s="4">
        <v>52302</v>
      </c>
    </row>
    <row r="187" spans="1:21" x14ac:dyDescent="0.25">
      <c r="A187" s="1" t="s">
        <v>174</v>
      </c>
      <c r="B187" t="s">
        <v>727</v>
      </c>
      <c r="C187" s="1" t="s">
        <v>197</v>
      </c>
      <c r="D187" t="s">
        <v>584</v>
      </c>
      <c r="E187" s="4">
        <v>1300296</v>
      </c>
      <c r="F187" s="4">
        <v>1050446</v>
      </c>
      <c r="G187" s="4">
        <v>228986</v>
      </c>
      <c r="H187" s="4">
        <v>821460</v>
      </c>
      <c r="I187" s="4">
        <v>249850</v>
      </c>
      <c r="J187">
        <v>0</v>
      </c>
      <c r="K187">
        <v>1071310</v>
      </c>
      <c r="L187">
        <v>0</v>
      </c>
      <c r="M187" s="4">
        <v>0</v>
      </c>
      <c r="N187" s="4">
        <v>0</v>
      </c>
      <c r="O187" s="4">
        <v>111308</v>
      </c>
      <c r="P187" s="4">
        <v>0</v>
      </c>
      <c r="Q187" s="4">
        <v>89764</v>
      </c>
      <c r="R187" s="4">
        <v>98628</v>
      </c>
      <c r="S187" s="4">
        <v>1371010</v>
      </c>
      <c r="T187" s="4">
        <v>932768</v>
      </c>
      <c r="U187" s="4">
        <v>438242</v>
      </c>
    </row>
    <row r="188" spans="1:21" x14ac:dyDescent="0.25">
      <c r="A188" s="1" t="s">
        <v>174</v>
      </c>
      <c r="B188" t="s">
        <v>727</v>
      </c>
      <c r="C188" s="1" t="s">
        <v>198</v>
      </c>
      <c r="D188" t="s">
        <v>585</v>
      </c>
      <c r="E188" s="4">
        <v>306583</v>
      </c>
      <c r="F188" s="4">
        <v>247674</v>
      </c>
      <c r="G188" s="4">
        <v>53990</v>
      </c>
      <c r="H188" s="4">
        <v>193684</v>
      </c>
      <c r="I188" s="4">
        <v>58909</v>
      </c>
      <c r="J188">
        <v>0</v>
      </c>
      <c r="K188">
        <v>252593</v>
      </c>
      <c r="L188">
        <v>0</v>
      </c>
      <c r="M188" s="4">
        <v>0</v>
      </c>
      <c r="N188" s="4">
        <v>0</v>
      </c>
      <c r="O188" s="4">
        <v>26244</v>
      </c>
      <c r="P188" s="4">
        <v>0</v>
      </c>
      <c r="Q188" s="4">
        <v>21341</v>
      </c>
      <c r="R188" s="4">
        <v>23448</v>
      </c>
      <c r="S188" s="4">
        <v>323626</v>
      </c>
      <c r="T188" s="4">
        <v>219928</v>
      </c>
      <c r="U188" s="4">
        <v>103698</v>
      </c>
    </row>
    <row r="189" spans="1:21" x14ac:dyDescent="0.25">
      <c r="A189" s="1" t="s">
        <v>174</v>
      </c>
      <c r="B189" t="s">
        <v>727</v>
      </c>
      <c r="C189" s="1" t="s">
        <v>199</v>
      </c>
      <c r="D189" t="s">
        <v>586</v>
      </c>
      <c r="E189" s="4">
        <v>2553929</v>
      </c>
      <c r="F189" s="4">
        <v>2063194</v>
      </c>
      <c r="G189" s="4">
        <v>449755</v>
      </c>
      <c r="H189" s="4">
        <v>1613439</v>
      </c>
      <c r="I189" s="4">
        <v>490735</v>
      </c>
      <c r="J189">
        <v>0</v>
      </c>
      <c r="K189">
        <v>2104174</v>
      </c>
      <c r="L189">
        <v>0</v>
      </c>
      <c r="M189" s="4">
        <v>0</v>
      </c>
      <c r="N189" s="4">
        <v>0</v>
      </c>
      <c r="O189" s="4">
        <v>218622</v>
      </c>
      <c r="P189" s="4">
        <v>0</v>
      </c>
      <c r="Q189" s="4">
        <v>185505</v>
      </c>
      <c r="R189" s="4">
        <v>203825</v>
      </c>
      <c r="S189" s="4">
        <v>2712126</v>
      </c>
      <c r="T189" s="4">
        <v>1832061</v>
      </c>
      <c r="U189" s="4">
        <v>880065</v>
      </c>
    </row>
    <row r="190" spans="1:21" x14ac:dyDescent="0.25">
      <c r="A190" s="1" t="s">
        <v>174</v>
      </c>
      <c r="B190" t="s">
        <v>727</v>
      </c>
      <c r="C190" s="1" t="s">
        <v>200</v>
      </c>
      <c r="D190" t="s">
        <v>587</v>
      </c>
      <c r="E190" s="4">
        <v>654577</v>
      </c>
      <c r="F190" s="4">
        <v>528800</v>
      </c>
      <c r="G190" s="4">
        <v>115273</v>
      </c>
      <c r="H190" s="4">
        <v>413527</v>
      </c>
      <c r="I190" s="4">
        <v>125777</v>
      </c>
      <c r="J190">
        <v>0</v>
      </c>
      <c r="K190">
        <v>539304</v>
      </c>
      <c r="L190">
        <v>0</v>
      </c>
      <c r="M190" s="4">
        <v>0</v>
      </c>
      <c r="N190" s="4">
        <v>0</v>
      </c>
      <c r="O190" s="4">
        <v>56033</v>
      </c>
      <c r="P190" s="4">
        <v>0</v>
      </c>
      <c r="Q190" s="4">
        <v>43954</v>
      </c>
      <c r="R190" s="4">
        <v>48294</v>
      </c>
      <c r="S190" s="4">
        <v>687585</v>
      </c>
      <c r="T190" s="4">
        <v>469560</v>
      </c>
      <c r="U190" s="4">
        <v>218025</v>
      </c>
    </row>
    <row r="191" spans="1:21" x14ac:dyDescent="0.25">
      <c r="A191" s="1" t="s">
        <v>174</v>
      </c>
      <c r="B191" t="s">
        <v>727</v>
      </c>
      <c r="C191" s="1" t="s">
        <v>201</v>
      </c>
      <c r="D191" t="s">
        <v>588</v>
      </c>
      <c r="E191" s="4">
        <v>165703</v>
      </c>
      <c r="F191" s="4">
        <v>133863</v>
      </c>
      <c r="G191" s="4">
        <v>29181</v>
      </c>
      <c r="H191" s="4">
        <v>104682</v>
      </c>
      <c r="I191" s="4">
        <v>31840</v>
      </c>
      <c r="J191">
        <v>0</v>
      </c>
      <c r="K191">
        <v>136522</v>
      </c>
      <c r="L191">
        <v>0</v>
      </c>
      <c r="M191" s="4">
        <v>0</v>
      </c>
      <c r="N191" s="4">
        <v>0</v>
      </c>
      <c r="O191" s="4">
        <v>14185</v>
      </c>
      <c r="P191" s="4">
        <v>0</v>
      </c>
      <c r="Q191" s="4">
        <v>12692</v>
      </c>
      <c r="R191" s="4">
        <v>13946</v>
      </c>
      <c r="S191" s="4">
        <v>177345</v>
      </c>
      <c r="T191" s="4">
        <v>118867</v>
      </c>
      <c r="U191" s="4">
        <v>58478</v>
      </c>
    </row>
    <row r="192" spans="1:21" x14ac:dyDescent="0.25">
      <c r="A192" s="1" t="s">
        <v>174</v>
      </c>
      <c r="B192" t="s">
        <v>727</v>
      </c>
      <c r="C192" s="1" t="s">
        <v>202</v>
      </c>
      <c r="D192" t="s">
        <v>589</v>
      </c>
      <c r="E192" s="4">
        <v>242828</v>
      </c>
      <c r="F192" s="4">
        <v>196169</v>
      </c>
      <c r="G192" s="4">
        <v>42763</v>
      </c>
      <c r="H192" s="4">
        <v>153406</v>
      </c>
      <c r="I192" s="4">
        <v>46659</v>
      </c>
      <c r="J192" s="4">
        <v>2980</v>
      </c>
      <c r="K192">
        <v>203045</v>
      </c>
      <c r="L192">
        <v>0</v>
      </c>
      <c r="M192" s="4">
        <v>0</v>
      </c>
      <c r="N192" s="4">
        <v>0</v>
      </c>
      <c r="O192" s="4">
        <v>20932</v>
      </c>
      <c r="P192" s="4">
        <v>0</v>
      </c>
      <c r="Q192" s="4">
        <v>16406</v>
      </c>
      <c r="R192" s="4">
        <v>18026</v>
      </c>
      <c r="S192" s="4">
        <v>258409</v>
      </c>
      <c r="T192" s="4">
        <v>174338</v>
      </c>
      <c r="U192" s="4">
        <v>84071</v>
      </c>
    </row>
    <row r="193" spans="1:21" x14ac:dyDescent="0.25">
      <c r="A193" s="1" t="s">
        <v>174</v>
      </c>
      <c r="B193" t="s">
        <v>727</v>
      </c>
      <c r="C193" s="1" t="s">
        <v>203</v>
      </c>
      <c r="D193" t="s">
        <v>590</v>
      </c>
      <c r="E193" s="4">
        <v>180532</v>
      </c>
      <c r="F193" s="4">
        <v>145843</v>
      </c>
      <c r="G193" s="4">
        <v>31792</v>
      </c>
      <c r="H193" s="4">
        <v>114051</v>
      </c>
      <c r="I193" s="4">
        <v>34689</v>
      </c>
      <c r="J193">
        <v>0</v>
      </c>
      <c r="K193">
        <v>148740</v>
      </c>
      <c r="L193">
        <v>0</v>
      </c>
      <c r="M193" s="4">
        <v>0</v>
      </c>
      <c r="N193" s="4">
        <v>0</v>
      </c>
      <c r="O193" s="4">
        <v>15454</v>
      </c>
      <c r="P193" s="4">
        <v>0</v>
      </c>
      <c r="Q193" s="4">
        <v>12972</v>
      </c>
      <c r="R193" s="4">
        <v>14254</v>
      </c>
      <c r="S193" s="4">
        <v>191420</v>
      </c>
      <c r="T193" s="4">
        <v>129505</v>
      </c>
      <c r="U193" s="4">
        <v>61915</v>
      </c>
    </row>
    <row r="194" spans="1:21" x14ac:dyDescent="0.25">
      <c r="A194" s="1" t="s">
        <v>174</v>
      </c>
      <c r="B194" t="s">
        <v>727</v>
      </c>
      <c r="C194" s="1" t="s">
        <v>204</v>
      </c>
      <c r="D194" t="s">
        <v>591</v>
      </c>
      <c r="E194" s="4">
        <v>105319</v>
      </c>
      <c r="F194" s="4">
        <v>85082</v>
      </c>
      <c r="G194" s="4">
        <v>18547</v>
      </c>
      <c r="H194" s="4">
        <v>66535</v>
      </c>
      <c r="I194" s="4">
        <v>20237</v>
      </c>
      <c r="J194" s="4">
        <v>11586</v>
      </c>
      <c r="K194">
        <v>98358</v>
      </c>
      <c r="L194">
        <v>0</v>
      </c>
      <c r="M194" s="4">
        <v>0</v>
      </c>
      <c r="N194" s="4">
        <v>0</v>
      </c>
      <c r="O194" s="4">
        <v>9476</v>
      </c>
      <c r="P194" s="4">
        <v>0</v>
      </c>
      <c r="Q194" s="4">
        <v>7198</v>
      </c>
      <c r="R194" s="4">
        <v>7909</v>
      </c>
      <c r="S194" s="4">
        <v>122941</v>
      </c>
      <c r="T194" s="4">
        <v>76011</v>
      </c>
      <c r="U194" s="4">
        <v>46930</v>
      </c>
    </row>
    <row r="195" spans="1:21" x14ac:dyDescent="0.25">
      <c r="A195" s="1" t="s">
        <v>174</v>
      </c>
      <c r="B195" t="s">
        <v>727</v>
      </c>
      <c r="C195" s="1" t="s">
        <v>205</v>
      </c>
      <c r="D195" t="s">
        <v>592</v>
      </c>
      <c r="E195" s="4">
        <v>518138</v>
      </c>
      <c r="F195" s="4">
        <v>418578</v>
      </c>
      <c r="G195" s="4">
        <v>91246</v>
      </c>
      <c r="H195" s="4">
        <v>327332</v>
      </c>
      <c r="I195" s="4">
        <v>99560</v>
      </c>
      <c r="J195">
        <v>0</v>
      </c>
      <c r="K195">
        <v>426892</v>
      </c>
      <c r="L195">
        <v>0</v>
      </c>
      <c r="M195" s="4">
        <v>0</v>
      </c>
      <c r="N195" s="4">
        <v>0</v>
      </c>
      <c r="O195" s="4">
        <v>44354</v>
      </c>
      <c r="P195" s="4">
        <v>0</v>
      </c>
      <c r="Q195" s="4">
        <v>35483</v>
      </c>
      <c r="R195" s="4">
        <v>38988</v>
      </c>
      <c r="S195" s="4">
        <v>545717</v>
      </c>
      <c r="T195" s="4">
        <v>371686</v>
      </c>
      <c r="U195" s="4">
        <v>174031</v>
      </c>
    </row>
    <row r="196" spans="1:21" x14ac:dyDescent="0.25">
      <c r="A196" s="1" t="s">
        <v>174</v>
      </c>
      <c r="B196" t="s">
        <v>727</v>
      </c>
      <c r="C196" s="1" t="s">
        <v>206</v>
      </c>
      <c r="D196" t="s">
        <v>593</v>
      </c>
      <c r="E196" s="4">
        <v>1153189</v>
      </c>
      <c r="F196" s="4">
        <v>931605</v>
      </c>
      <c r="G196" s="4">
        <v>203080</v>
      </c>
      <c r="H196" s="4">
        <v>728525</v>
      </c>
      <c r="I196" s="4">
        <v>221584</v>
      </c>
      <c r="J196">
        <v>0</v>
      </c>
      <c r="K196">
        <v>950109</v>
      </c>
      <c r="L196">
        <v>0</v>
      </c>
      <c r="M196" s="4">
        <v>0</v>
      </c>
      <c r="N196" s="4">
        <v>0</v>
      </c>
      <c r="O196" s="4">
        <v>98716</v>
      </c>
      <c r="P196" s="4">
        <v>0</v>
      </c>
      <c r="Q196" s="4">
        <v>76613</v>
      </c>
      <c r="R196" s="4">
        <v>84179</v>
      </c>
      <c r="S196" s="4">
        <v>1209617</v>
      </c>
      <c r="T196" s="4">
        <v>827241</v>
      </c>
      <c r="U196" s="4">
        <v>382376</v>
      </c>
    </row>
    <row r="197" spans="1:21" x14ac:dyDescent="0.25">
      <c r="A197" s="1" t="s">
        <v>174</v>
      </c>
      <c r="B197" t="s">
        <v>727</v>
      </c>
      <c r="C197" s="1" t="s">
        <v>207</v>
      </c>
      <c r="D197" t="s">
        <v>594</v>
      </c>
      <c r="E197" s="4">
        <v>771717</v>
      </c>
      <c r="F197" s="4">
        <v>623433</v>
      </c>
      <c r="G197" s="4">
        <v>135902</v>
      </c>
      <c r="H197" s="4">
        <v>487531</v>
      </c>
      <c r="I197" s="4">
        <v>148284</v>
      </c>
      <c r="J197">
        <v>0</v>
      </c>
      <c r="K197">
        <v>635815</v>
      </c>
      <c r="L197">
        <v>0</v>
      </c>
      <c r="M197" s="4">
        <v>0</v>
      </c>
      <c r="N197" s="4">
        <v>0</v>
      </c>
      <c r="O197" s="4">
        <v>66061</v>
      </c>
      <c r="P197" s="4">
        <v>0</v>
      </c>
      <c r="Q197" s="4">
        <v>55832</v>
      </c>
      <c r="R197" s="4">
        <v>61346</v>
      </c>
      <c r="S197" s="4">
        <v>819054</v>
      </c>
      <c r="T197" s="4">
        <v>553592</v>
      </c>
      <c r="U197" s="4">
        <v>265462</v>
      </c>
    </row>
    <row r="198" spans="1:21" x14ac:dyDescent="0.25">
      <c r="A198" s="1" t="s">
        <v>174</v>
      </c>
      <c r="B198" t="s">
        <v>727</v>
      </c>
      <c r="C198" s="1" t="s">
        <v>208</v>
      </c>
      <c r="D198" t="s">
        <v>595</v>
      </c>
      <c r="E198" s="4">
        <v>1275236</v>
      </c>
      <c r="F198" s="4">
        <v>1030201</v>
      </c>
      <c r="G198" s="4">
        <v>224574</v>
      </c>
      <c r="H198" s="4">
        <v>805627</v>
      </c>
      <c r="I198" s="4">
        <v>245035</v>
      </c>
      <c r="J198">
        <v>0</v>
      </c>
      <c r="K198">
        <v>1050662</v>
      </c>
      <c r="L198">
        <v>0</v>
      </c>
      <c r="M198" s="4">
        <v>0</v>
      </c>
      <c r="N198" s="4">
        <v>0</v>
      </c>
      <c r="O198" s="4">
        <v>109163</v>
      </c>
      <c r="P198" s="4">
        <v>0</v>
      </c>
      <c r="Q198" s="4">
        <v>90628</v>
      </c>
      <c r="R198" s="4">
        <v>99579</v>
      </c>
      <c r="S198" s="4">
        <v>1350032</v>
      </c>
      <c r="T198" s="4">
        <v>914790</v>
      </c>
      <c r="U198" s="4">
        <v>435242</v>
      </c>
    </row>
    <row r="199" spans="1:21" x14ac:dyDescent="0.25">
      <c r="A199" s="1" t="s">
        <v>174</v>
      </c>
      <c r="B199" t="s">
        <v>727</v>
      </c>
      <c r="C199" s="1" t="s">
        <v>209</v>
      </c>
      <c r="D199" t="s">
        <v>596</v>
      </c>
      <c r="E199" s="4">
        <v>210508</v>
      </c>
      <c r="F199" s="4">
        <v>170060</v>
      </c>
      <c r="G199" s="4">
        <v>37072</v>
      </c>
      <c r="H199" s="4">
        <v>132988</v>
      </c>
      <c r="I199" s="4">
        <v>40448</v>
      </c>
      <c r="J199">
        <v>0</v>
      </c>
      <c r="K199">
        <v>173436</v>
      </c>
      <c r="L199">
        <v>0</v>
      </c>
      <c r="M199" s="4">
        <v>0</v>
      </c>
      <c r="N199" s="4">
        <v>0</v>
      </c>
      <c r="O199" s="4">
        <v>18020</v>
      </c>
      <c r="P199" s="4">
        <v>0</v>
      </c>
      <c r="Q199" s="4">
        <v>15440</v>
      </c>
      <c r="R199" s="4">
        <v>16964</v>
      </c>
      <c r="S199" s="4">
        <v>223860</v>
      </c>
      <c r="T199" s="4">
        <v>151008</v>
      </c>
      <c r="U199" s="4">
        <v>72852</v>
      </c>
    </row>
    <row r="200" spans="1:21" x14ac:dyDescent="0.25">
      <c r="A200" s="1" t="s">
        <v>174</v>
      </c>
      <c r="B200" t="s">
        <v>727</v>
      </c>
      <c r="C200" s="1" t="s">
        <v>211</v>
      </c>
      <c r="D200" t="s">
        <v>212</v>
      </c>
      <c r="E200" s="4">
        <v>367662</v>
      </c>
      <c r="F200" s="4">
        <v>297016</v>
      </c>
      <c r="G200" s="4">
        <v>64747</v>
      </c>
      <c r="H200" s="4">
        <v>232269</v>
      </c>
      <c r="I200" s="4">
        <v>70646</v>
      </c>
      <c r="J200" s="4">
        <v>4421</v>
      </c>
      <c r="K200">
        <v>307336</v>
      </c>
      <c r="L200">
        <v>0</v>
      </c>
      <c r="M200" s="4">
        <v>0</v>
      </c>
      <c r="N200" s="4">
        <v>0</v>
      </c>
      <c r="O200" s="4">
        <v>31684</v>
      </c>
      <c r="P200" s="4">
        <v>0</v>
      </c>
      <c r="Q200" s="4">
        <v>25945</v>
      </c>
      <c r="R200" s="4">
        <v>28507</v>
      </c>
      <c r="S200" s="4">
        <v>393472</v>
      </c>
      <c r="T200" s="4">
        <v>263953</v>
      </c>
      <c r="U200" s="4">
        <v>129519</v>
      </c>
    </row>
    <row r="201" spans="1:21" x14ac:dyDescent="0.25">
      <c r="A201" s="1" t="s">
        <v>174</v>
      </c>
      <c r="B201" t="s">
        <v>727</v>
      </c>
      <c r="C201" s="1" t="s">
        <v>210</v>
      </c>
      <c r="D201" t="s">
        <v>597</v>
      </c>
      <c r="E201" s="4">
        <v>246885</v>
      </c>
      <c r="F201" s="4">
        <v>199446</v>
      </c>
      <c r="G201" s="4">
        <v>43477</v>
      </c>
      <c r="H201" s="4">
        <v>155969</v>
      </c>
      <c r="I201" s="4">
        <v>47439</v>
      </c>
      <c r="J201" s="4">
        <v>0</v>
      </c>
      <c r="K201">
        <v>203408</v>
      </c>
      <c r="L201">
        <v>0</v>
      </c>
      <c r="M201" s="4">
        <v>0</v>
      </c>
      <c r="N201" s="4">
        <v>0</v>
      </c>
      <c r="O201" s="4">
        <v>21134</v>
      </c>
      <c r="P201" s="4">
        <v>0</v>
      </c>
      <c r="Q201" s="4">
        <v>16457</v>
      </c>
      <c r="R201" s="4">
        <v>18082</v>
      </c>
      <c r="S201" s="4">
        <v>259081</v>
      </c>
      <c r="T201" s="4">
        <v>177103</v>
      </c>
      <c r="U201" s="4">
        <v>81978</v>
      </c>
    </row>
    <row r="202" spans="1:21" x14ac:dyDescent="0.25">
      <c r="A202" s="1" t="s">
        <v>174</v>
      </c>
      <c r="B202" t="s">
        <v>727</v>
      </c>
      <c r="C202" s="1" t="s">
        <v>213</v>
      </c>
      <c r="D202" t="s">
        <v>598</v>
      </c>
      <c r="E202" s="4">
        <v>799501</v>
      </c>
      <c r="F202" s="4">
        <v>645878</v>
      </c>
      <c r="G202" s="4">
        <v>140794</v>
      </c>
      <c r="H202" s="4">
        <v>505084</v>
      </c>
      <c r="I202" s="4">
        <v>153623</v>
      </c>
      <c r="J202">
        <v>0</v>
      </c>
      <c r="K202">
        <v>658707</v>
      </c>
      <c r="L202">
        <v>0</v>
      </c>
      <c r="M202" s="4">
        <v>0</v>
      </c>
      <c r="N202" s="4">
        <v>0</v>
      </c>
      <c r="O202" s="4">
        <v>68439</v>
      </c>
      <c r="P202" s="4">
        <v>0</v>
      </c>
      <c r="Q202" s="4">
        <v>70203</v>
      </c>
      <c r="R202" s="4">
        <v>77136</v>
      </c>
      <c r="S202" s="4">
        <v>874485</v>
      </c>
      <c r="T202" s="4">
        <v>573523</v>
      </c>
      <c r="U202" s="4">
        <v>300962</v>
      </c>
    </row>
    <row r="203" spans="1:21" x14ac:dyDescent="0.25">
      <c r="A203" s="1" t="s">
        <v>174</v>
      </c>
      <c r="B203" t="s">
        <v>727</v>
      </c>
      <c r="C203" s="1" t="s">
        <v>214</v>
      </c>
      <c r="D203" t="s">
        <v>599</v>
      </c>
      <c r="E203" s="4">
        <v>733646</v>
      </c>
      <c r="F203" s="4">
        <v>592677</v>
      </c>
      <c r="G203" s="4">
        <v>129198</v>
      </c>
      <c r="H203" s="4">
        <v>463479</v>
      </c>
      <c r="I203" s="4">
        <v>140969</v>
      </c>
      <c r="J203">
        <v>0</v>
      </c>
      <c r="K203">
        <v>604448</v>
      </c>
      <c r="L203">
        <v>0</v>
      </c>
      <c r="M203" s="4">
        <v>0</v>
      </c>
      <c r="N203" s="4">
        <v>0</v>
      </c>
      <c r="O203" s="4">
        <v>62802</v>
      </c>
      <c r="P203" s="4">
        <v>0</v>
      </c>
      <c r="Q203" s="4">
        <v>50694</v>
      </c>
      <c r="R203" s="4">
        <v>55700</v>
      </c>
      <c r="S203" s="4">
        <v>773644</v>
      </c>
      <c r="T203" s="4">
        <v>526281</v>
      </c>
      <c r="U203" s="4">
        <v>247363</v>
      </c>
    </row>
    <row r="204" spans="1:21" x14ac:dyDescent="0.25">
      <c r="A204" s="1" t="s">
        <v>174</v>
      </c>
      <c r="B204" t="s">
        <v>727</v>
      </c>
      <c r="C204" s="1" t="s">
        <v>215</v>
      </c>
      <c r="D204" t="s">
        <v>600</v>
      </c>
      <c r="E204" s="4">
        <v>264749</v>
      </c>
      <c r="F204" s="4">
        <v>213878</v>
      </c>
      <c r="G204" s="4">
        <v>46623</v>
      </c>
      <c r="H204" s="4">
        <v>167255</v>
      </c>
      <c r="I204" s="4">
        <v>50871</v>
      </c>
      <c r="J204">
        <v>0</v>
      </c>
      <c r="K204">
        <v>218126</v>
      </c>
      <c r="L204">
        <v>0</v>
      </c>
      <c r="M204" s="4">
        <v>0</v>
      </c>
      <c r="N204" s="4">
        <v>0</v>
      </c>
      <c r="O204" s="4">
        <v>22663</v>
      </c>
      <c r="P204" s="4">
        <v>0</v>
      </c>
      <c r="Q204" s="4">
        <v>17627</v>
      </c>
      <c r="R204" s="4">
        <v>19368</v>
      </c>
      <c r="S204" s="4">
        <v>277784</v>
      </c>
      <c r="T204" s="4">
        <v>189918</v>
      </c>
      <c r="U204" s="4">
        <v>87866</v>
      </c>
    </row>
    <row r="205" spans="1:21" x14ac:dyDescent="0.25">
      <c r="A205" s="1" t="s">
        <v>174</v>
      </c>
      <c r="B205" t="s">
        <v>727</v>
      </c>
      <c r="C205" s="1" t="s">
        <v>216</v>
      </c>
      <c r="D205" t="s">
        <v>601</v>
      </c>
      <c r="E205" s="4">
        <v>360724</v>
      </c>
      <c r="F205" s="4">
        <v>291411</v>
      </c>
      <c r="G205" s="4">
        <v>63525</v>
      </c>
      <c r="H205" s="4">
        <v>227886</v>
      </c>
      <c r="I205" s="4">
        <v>69313</v>
      </c>
      <c r="J205">
        <v>0</v>
      </c>
      <c r="K205">
        <v>297199</v>
      </c>
      <c r="L205">
        <v>0</v>
      </c>
      <c r="M205" s="4">
        <v>0</v>
      </c>
      <c r="N205" s="4">
        <v>0</v>
      </c>
      <c r="O205" s="4">
        <v>30879</v>
      </c>
      <c r="P205" s="4">
        <v>0</v>
      </c>
      <c r="Q205" s="4">
        <v>25131</v>
      </c>
      <c r="R205" s="4">
        <v>27613</v>
      </c>
      <c r="S205" s="4">
        <v>380822</v>
      </c>
      <c r="T205" s="4">
        <v>258765</v>
      </c>
      <c r="U205" s="4">
        <v>122057</v>
      </c>
    </row>
    <row r="206" spans="1:21" x14ac:dyDescent="0.25">
      <c r="A206" s="1" t="s">
        <v>174</v>
      </c>
      <c r="B206" t="s">
        <v>727</v>
      </c>
      <c r="C206" s="1" t="s">
        <v>217</v>
      </c>
      <c r="D206" t="s">
        <v>602</v>
      </c>
      <c r="E206" s="4">
        <v>394166</v>
      </c>
      <c r="F206" s="4">
        <v>318427</v>
      </c>
      <c r="G206" s="4">
        <v>69414</v>
      </c>
      <c r="H206" s="4">
        <v>249013</v>
      </c>
      <c r="I206" s="4">
        <v>75739</v>
      </c>
      <c r="J206">
        <v>0</v>
      </c>
      <c r="K206">
        <v>324752</v>
      </c>
      <c r="L206">
        <v>0</v>
      </c>
      <c r="M206" s="4">
        <v>0</v>
      </c>
      <c r="N206" s="4">
        <v>0</v>
      </c>
      <c r="O206" s="4">
        <v>33741</v>
      </c>
      <c r="P206" s="4">
        <v>0</v>
      </c>
      <c r="Q206" s="4">
        <v>27751</v>
      </c>
      <c r="R206" s="4">
        <v>30491</v>
      </c>
      <c r="S206" s="4">
        <v>416735</v>
      </c>
      <c r="T206" s="4">
        <v>282754</v>
      </c>
      <c r="U206" s="4">
        <v>133981</v>
      </c>
    </row>
    <row r="207" spans="1:21" x14ac:dyDescent="0.25">
      <c r="A207" s="1" t="s">
        <v>174</v>
      </c>
      <c r="B207" t="s">
        <v>727</v>
      </c>
      <c r="C207" s="1" t="s">
        <v>218</v>
      </c>
      <c r="D207" t="s">
        <v>603</v>
      </c>
      <c r="E207" s="4">
        <v>2765487</v>
      </c>
      <c r="F207" s="4">
        <v>2234102</v>
      </c>
      <c r="G207" s="4">
        <v>487012</v>
      </c>
      <c r="H207" s="4">
        <v>1747090</v>
      </c>
      <c r="I207" s="4">
        <v>531385</v>
      </c>
      <c r="J207">
        <v>0</v>
      </c>
      <c r="K207">
        <v>2278475</v>
      </c>
      <c r="L207">
        <v>0</v>
      </c>
      <c r="M207" s="4">
        <v>0</v>
      </c>
      <c r="N207" s="4">
        <v>0</v>
      </c>
      <c r="O207" s="4">
        <v>236732</v>
      </c>
      <c r="P207" s="4">
        <v>0</v>
      </c>
      <c r="Q207" s="4">
        <v>193263</v>
      </c>
      <c r="R207" s="4">
        <v>212349</v>
      </c>
      <c r="S207" s="4">
        <v>2920819</v>
      </c>
      <c r="T207" s="4">
        <v>1983822</v>
      </c>
      <c r="U207" s="4">
        <v>936997</v>
      </c>
    </row>
    <row r="208" spans="1:21" x14ac:dyDescent="0.25">
      <c r="A208" s="1" t="s">
        <v>174</v>
      </c>
      <c r="B208" t="s">
        <v>727</v>
      </c>
      <c r="C208" s="1" t="s">
        <v>219</v>
      </c>
      <c r="D208" t="s">
        <v>604</v>
      </c>
      <c r="E208" s="4">
        <v>183841</v>
      </c>
      <c r="F208" s="4">
        <v>148516</v>
      </c>
      <c r="G208" s="4">
        <v>32375</v>
      </c>
      <c r="H208" s="4">
        <v>116141</v>
      </c>
      <c r="I208" s="4">
        <v>35325</v>
      </c>
      <c r="J208" s="4">
        <v>6715</v>
      </c>
      <c r="K208">
        <v>158181</v>
      </c>
      <c r="L208">
        <v>0</v>
      </c>
      <c r="M208" s="4">
        <v>0</v>
      </c>
      <c r="N208" s="4">
        <v>0</v>
      </c>
      <c r="O208" s="4">
        <v>15737</v>
      </c>
      <c r="P208" s="4">
        <v>0</v>
      </c>
      <c r="Q208" s="4">
        <v>12591</v>
      </c>
      <c r="R208" s="4">
        <v>13834</v>
      </c>
      <c r="S208" s="4">
        <v>200343</v>
      </c>
      <c r="T208" s="4">
        <v>131878</v>
      </c>
      <c r="U208" s="4">
        <v>68465</v>
      </c>
    </row>
    <row r="209" spans="1:21" x14ac:dyDescent="0.25">
      <c r="A209" s="1" t="s">
        <v>174</v>
      </c>
      <c r="B209" t="s">
        <v>727</v>
      </c>
      <c r="C209" s="1" t="s">
        <v>220</v>
      </c>
      <c r="D209" t="s">
        <v>605</v>
      </c>
      <c r="E209" s="4">
        <v>127191</v>
      </c>
      <c r="F209" s="4">
        <v>102751</v>
      </c>
      <c r="G209" s="4">
        <v>22399</v>
      </c>
      <c r="H209" s="4">
        <v>80352</v>
      </c>
      <c r="I209" s="4">
        <v>24440</v>
      </c>
      <c r="J209" s="4">
        <v>1043</v>
      </c>
      <c r="K209">
        <v>105835</v>
      </c>
      <c r="L209">
        <v>0</v>
      </c>
      <c r="M209" s="4">
        <v>0</v>
      </c>
      <c r="N209" s="4">
        <v>0</v>
      </c>
      <c r="O209" s="4">
        <v>10920</v>
      </c>
      <c r="P209" s="4">
        <v>0</v>
      </c>
      <c r="Q209" s="4">
        <v>8292</v>
      </c>
      <c r="R209" s="4">
        <v>9111</v>
      </c>
      <c r="S209" s="4">
        <v>134158</v>
      </c>
      <c r="T209" s="4">
        <v>91272</v>
      </c>
      <c r="U209" s="4">
        <v>42886</v>
      </c>
    </row>
    <row r="210" spans="1:21" x14ac:dyDescent="0.25">
      <c r="A210" s="1" t="s">
        <v>174</v>
      </c>
      <c r="B210" t="s">
        <v>727</v>
      </c>
      <c r="C210" s="1" t="s">
        <v>221</v>
      </c>
      <c r="D210" t="s">
        <v>606</v>
      </c>
      <c r="E210" s="4">
        <v>133143</v>
      </c>
      <c r="F210" s="4">
        <v>107560</v>
      </c>
      <c r="G210" s="4">
        <v>23447</v>
      </c>
      <c r="H210" s="4">
        <v>84113</v>
      </c>
      <c r="I210" s="4">
        <v>25583</v>
      </c>
      <c r="J210" s="4">
        <v>5105</v>
      </c>
      <c r="K210">
        <v>114801</v>
      </c>
      <c r="L210">
        <v>0</v>
      </c>
      <c r="M210" s="4">
        <v>0</v>
      </c>
      <c r="N210" s="4">
        <v>0</v>
      </c>
      <c r="O210" s="4">
        <v>11772</v>
      </c>
      <c r="P210" s="4">
        <v>0</v>
      </c>
      <c r="Q210" s="4">
        <v>9437</v>
      </c>
      <c r="R210" s="4">
        <v>10369</v>
      </c>
      <c r="S210" s="4">
        <v>146379</v>
      </c>
      <c r="T210" s="4">
        <v>95885</v>
      </c>
      <c r="U210" s="4">
        <v>50494</v>
      </c>
    </row>
    <row r="211" spans="1:21" x14ac:dyDescent="0.25">
      <c r="A211" s="1" t="s">
        <v>174</v>
      </c>
      <c r="B211" t="s">
        <v>727</v>
      </c>
      <c r="C211" s="1" t="s">
        <v>222</v>
      </c>
      <c r="D211" t="s">
        <v>607</v>
      </c>
      <c r="E211" s="4">
        <v>1306015</v>
      </c>
      <c r="F211" s="4">
        <v>1055066</v>
      </c>
      <c r="G211" s="4">
        <v>229993</v>
      </c>
      <c r="H211" s="4">
        <v>825073</v>
      </c>
      <c r="I211" s="4">
        <v>250949</v>
      </c>
      <c r="J211">
        <v>0</v>
      </c>
      <c r="K211">
        <v>1076022</v>
      </c>
      <c r="L211">
        <v>0</v>
      </c>
      <c r="M211" s="4">
        <v>0</v>
      </c>
      <c r="N211" s="4">
        <v>0</v>
      </c>
      <c r="O211" s="4">
        <v>111798</v>
      </c>
      <c r="P211" s="4">
        <v>0</v>
      </c>
      <c r="Q211" s="4">
        <v>100778</v>
      </c>
      <c r="R211" s="4">
        <v>110730</v>
      </c>
      <c r="S211" s="4">
        <v>1399328</v>
      </c>
      <c r="T211" s="4">
        <v>936871</v>
      </c>
      <c r="U211" s="4">
        <v>462457</v>
      </c>
    </row>
    <row r="212" spans="1:21" x14ac:dyDescent="0.25">
      <c r="A212" s="1" t="s">
        <v>174</v>
      </c>
      <c r="B212" t="s">
        <v>727</v>
      </c>
      <c r="C212" s="1" t="s">
        <v>223</v>
      </c>
      <c r="D212" t="s">
        <v>608</v>
      </c>
      <c r="E212" s="4">
        <v>331312</v>
      </c>
      <c r="F212" s="4">
        <v>267651</v>
      </c>
      <c r="G212" s="4">
        <v>58345</v>
      </c>
      <c r="H212" s="4">
        <v>209306</v>
      </c>
      <c r="I212" s="4">
        <v>63661</v>
      </c>
      <c r="J212">
        <v>0</v>
      </c>
      <c r="K212">
        <v>272967</v>
      </c>
      <c r="L212">
        <v>0</v>
      </c>
      <c r="M212" s="4">
        <v>0</v>
      </c>
      <c r="N212" s="4">
        <v>0</v>
      </c>
      <c r="O212" s="4">
        <v>28361</v>
      </c>
      <c r="P212" s="4">
        <v>0</v>
      </c>
      <c r="Q212" s="4">
        <v>24724</v>
      </c>
      <c r="R212" s="4">
        <v>27166</v>
      </c>
      <c r="S212" s="4">
        <v>353218</v>
      </c>
      <c r="T212" s="4">
        <v>237667</v>
      </c>
      <c r="U212" s="4">
        <v>115551</v>
      </c>
    </row>
    <row r="213" spans="1:21" x14ac:dyDescent="0.25">
      <c r="A213" s="1" t="s">
        <v>174</v>
      </c>
      <c r="B213" t="s">
        <v>727</v>
      </c>
      <c r="C213" s="1" t="s">
        <v>224</v>
      </c>
      <c r="D213" t="s">
        <v>609</v>
      </c>
      <c r="E213" s="4">
        <v>5081738</v>
      </c>
      <c r="F213" s="4">
        <v>4105288</v>
      </c>
      <c r="G213" s="4">
        <v>894911</v>
      </c>
      <c r="H213" s="4">
        <v>3210377</v>
      </c>
      <c r="I213" s="4">
        <v>976450</v>
      </c>
      <c r="J213">
        <v>0</v>
      </c>
      <c r="K213">
        <v>4186827</v>
      </c>
      <c r="L213">
        <v>0</v>
      </c>
      <c r="M213" s="4">
        <v>0</v>
      </c>
      <c r="N213" s="4">
        <v>0</v>
      </c>
      <c r="O213" s="4">
        <v>435008</v>
      </c>
      <c r="P213" s="4">
        <v>0</v>
      </c>
      <c r="Q213" s="4">
        <v>381082</v>
      </c>
      <c r="R213" s="4">
        <v>418717</v>
      </c>
      <c r="S213" s="4">
        <v>5421634</v>
      </c>
      <c r="T213" s="4">
        <v>3645385</v>
      </c>
      <c r="U213" s="4">
        <v>1776249</v>
      </c>
    </row>
    <row r="214" spans="1:21" x14ac:dyDescent="0.25">
      <c r="A214" s="1" t="s">
        <v>174</v>
      </c>
      <c r="B214" t="s">
        <v>727</v>
      </c>
      <c r="C214" s="1" t="s">
        <v>225</v>
      </c>
      <c r="D214" t="s">
        <v>610</v>
      </c>
      <c r="E214" s="4">
        <v>358789</v>
      </c>
      <c r="F214" s="4">
        <v>289848</v>
      </c>
      <c r="G214" s="4">
        <v>63184</v>
      </c>
      <c r="H214" s="4">
        <v>226664</v>
      </c>
      <c r="I214" s="4">
        <v>68941</v>
      </c>
      <c r="J214">
        <v>0</v>
      </c>
      <c r="K214">
        <v>295605</v>
      </c>
      <c r="L214">
        <v>0</v>
      </c>
      <c r="M214" s="4">
        <v>0</v>
      </c>
      <c r="N214" s="4">
        <v>0</v>
      </c>
      <c r="O214" s="4">
        <v>30713</v>
      </c>
      <c r="P214" s="4">
        <v>0</v>
      </c>
      <c r="Q214" s="4">
        <v>23986</v>
      </c>
      <c r="R214" s="4">
        <v>26355</v>
      </c>
      <c r="S214" s="4">
        <v>376659</v>
      </c>
      <c r="T214" s="4">
        <v>257377</v>
      </c>
      <c r="U214" s="4">
        <v>119282</v>
      </c>
    </row>
    <row r="215" spans="1:21" x14ac:dyDescent="0.25">
      <c r="A215" s="1" t="s">
        <v>174</v>
      </c>
      <c r="B215" t="s">
        <v>727</v>
      </c>
      <c r="C215" s="1" t="s">
        <v>226</v>
      </c>
      <c r="D215" t="s">
        <v>611</v>
      </c>
      <c r="E215" s="4">
        <v>3257639</v>
      </c>
      <c r="F215" s="4">
        <v>2631687</v>
      </c>
      <c r="G215" s="4">
        <v>573681</v>
      </c>
      <c r="H215" s="4">
        <v>2058006</v>
      </c>
      <c r="I215" s="4">
        <v>625952</v>
      </c>
      <c r="J215">
        <v>0</v>
      </c>
      <c r="K215">
        <v>2683958</v>
      </c>
      <c r="L215">
        <v>0</v>
      </c>
      <c r="M215" s="4">
        <v>0</v>
      </c>
      <c r="N215" s="4">
        <v>0</v>
      </c>
      <c r="O215" s="4">
        <v>278861</v>
      </c>
      <c r="P215" s="4">
        <v>0</v>
      </c>
      <c r="Q215" s="4">
        <v>250443</v>
      </c>
      <c r="R215" s="4">
        <v>275176</v>
      </c>
      <c r="S215" s="4">
        <v>3488438</v>
      </c>
      <c r="T215" s="4">
        <v>2336867</v>
      </c>
      <c r="U215" s="4">
        <v>1151571</v>
      </c>
    </row>
    <row r="216" spans="1:21" x14ac:dyDescent="0.25">
      <c r="A216" s="1" t="s">
        <v>174</v>
      </c>
      <c r="B216" t="s">
        <v>727</v>
      </c>
      <c r="C216" s="1" t="s">
        <v>227</v>
      </c>
      <c r="D216" t="s">
        <v>612</v>
      </c>
      <c r="E216" s="4">
        <v>630202</v>
      </c>
      <c r="F216" s="4">
        <v>509109</v>
      </c>
      <c r="G216" s="4">
        <v>110981</v>
      </c>
      <c r="H216" s="4">
        <v>398128</v>
      </c>
      <c r="I216" s="4">
        <v>121093</v>
      </c>
      <c r="J216">
        <v>0</v>
      </c>
      <c r="K216">
        <v>519221</v>
      </c>
      <c r="L216">
        <v>0</v>
      </c>
      <c r="M216" s="4">
        <v>0</v>
      </c>
      <c r="N216" s="4">
        <v>0</v>
      </c>
      <c r="O216" s="4">
        <v>53947</v>
      </c>
      <c r="P216" s="4">
        <v>0</v>
      </c>
      <c r="Q216" s="4">
        <v>42732</v>
      </c>
      <c r="R216" s="4">
        <v>46953</v>
      </c>
      <c r="S216" s="4">
        <v>662853</v>
      </c>
      <c r="T216" s="4">
        <v>452075</v>
      </c>
      <c r="U216" s="4">
        <v>210778</v>
      </c>
    </row>
    <row r="217" spans="1:21" x14ac:dyDescent="0.25">
      <c r="A217" s="1" t="s">
        <v>174</v>
      </c>
      <c r="B217" t="s">
        <v>727</v>
      </c>
      <c r="C217" s="1" t="s">
        <v>228</v>
      </c>
      <c r="D217" t="s">
        <v>613</v>
      </c>
      <c r="E217" s="4">
        <v>394727</v>
      </c>
      <c r="F217" s="4">
        <v>318881</v>
      </c>
      <c r="G217" s="4">
        <v>69513</v>
      </c>
      <c r="H217" s="4">
        <v>249368</v>
      </c>
      <c r="I217" s="4">
        <v>75846</v>
      </c>
      <c r="J217">
        <v>0</v>
      </c>
      <c r="K217">
        <v>325214</v>
      </c>
      <c r="L217">
        <v>0</v>
      </c>
      <c r="M217" s="4">
        <v>0</v>
      </c>
      <c r="N217" s="4">
        <v>0</v>
      </c>
      <c r="O217" s="4">
        <v>33790</v>
      </c>
      <c r="P217" s="4">
        <v>0</v>
      </c>
      <c r="Q217" s="4">
        <v>28158</v>
      </c>
      <c r="R217" s="4">
        <v>30938</v>
      </c>
      <c r="S217" s="4">
        <v>418100</v>
      </c>
      <c r="T217" s="4">
        <v>283158</v>
      </c>
      <c r="U217" s="4">
        <v>134942</v>
      </c>
    </row>
    <row r="218" spans="1:21" x14ac:dyDescent="0.25">
      <c r="A218" s="1" t="s">
        <v>229</v>
      </c>
      <c r="B218" t="s">
        <v>728</v>
      </c>
      <c r="C218" s="1" t="s">
        <v>230</v>
      </c>
      <c r="D218" t="s">
        <v>614</v>
      </c>
      <c r="E218" s="4">
        <v>213199</v>
      </c>
      <c r="F218" s="4">
        <v>165005</v>
      </c>
      <c r="G218" s="4">
        <v>35970</v>
      </c>
      <c r="H218" s="4">
        <v>129035</v>
      </c>
      <c r="I218" s="4">
        <v>48194</v>
      </c>
      <c r="J218" s="4">
        <v>2108</v>
      </c>
      <c r="K218">
        <v>179337</v>
      </c>
      <c r="L218">
        <v>313</v>
      </c>
      <c r="M218" s="4">
        <v>92</v>
      </c>
      <c r="N218" s="4">
        <v>405</v>
      </c>
      <c r="O218" s="4">
        <v>21694</v>
      </c>
      <c r="P218" s="4">
        <v>0</v>
      </c>
      <c r="Q218" s="4">
        <v>14106</v>
      </c>
      <c r="R218" s="4">
        <v>15792</v>
      </c>
      <c r="S218" s="4">
        <v>231334</v>
      </c>
      <c r="T218" s="4">
        <v>151042</v>
      </c>
      <c r="U218" s="4">
        <v>80292</v>
      </c>
    </row>
    <row r="219" spans="1:21" x14ac:dyDescent="0.25">
      <c r="A219" s="1" t="s">
        <v>229</v>
      </c>
      <c r="B219" t="s">
        <v>728</v>
      </c>
      <c r="C219" s="1" t="s">
        <v>231</v>
      </c>
      <c r="D219" t="s">
        <v>615</v>
      </c>
      <c r="E219" s="4">
        <v>116715</v>
      </c>
      <c r="F219" s="4">
        <v>90331</v>
      </c>
      <c r="G219" s="4">
        <v>19691</v>
      </c>
      <c r="H219" s="4">
        <v>70640</v>
      </c>
      <c r="I219" s="4">
        <v>26384</v>
      </c>
      <c r="J219">
        <v>0</v>
      </c>
      <c r="K219">
        <v>97024</v>
      </c>
      <c r="L219">
        <v>173</v>
      </c>
      <c r="M219" s="4">
        <v>50</v>
      </c>
      <c r="N219" s="4">
        <v>223</v>
      </c>
      <c r="O219" s="4">
        <v>11766</v>
      </c>
      <c r="P219" s="4">
        <v>0</v>
      </c>
      <c r="Q219" s="4">
        <v>9114</v>
      </c>
      <c r="R219" s="4">
        <v>10203</v>
      </c>
      <c r="S219" s="4">
        <v>128330</v>
      </c>
      <c r="T219" s="4">
        <v>82579</v>
      </c>
      <c r="U219" s="4">
        <v>45751</v>
      </c>
    </row>
    <row r="220" spans="1:21" x14ac:dyDescent="0.25">
      <c r="A220" s="1" t="s">
        <v>229</v>
      </c>
      <c r="B220" t="s">
        <v>728</v>
      </c>
      <c r="C220" s="1" t="s">
        <v>232</v>
      </c>
      <c r="D220" t="s">
        <v>616</v>
      </c>
      <c r="E220" s="4">
        <v>222510</v>
      </c>
      <c r="F220" s="4">
        <v>172211</v>
      </c>
      <c r="G220" s="4">
        <v>37540</v>
      </c>
      <c r="H220" s="4">
        <v>134671</v>
      </c>
      <c r="I220" s="4">
        <v>50299</v>
      </c>
      <c r="J220">
        <v>37</v>
      </c>
      <c r="K220">
        <v>185007</v>
      </c>
      <c r="L220">
        <v>327</v>
      </c>
      <c r="M220" s="4">
        <v>95</v>
      </c>
      <c r="N220" s="4">
        <v>422</v>
      </c>
      <c r="O220" s="4">
        <v>22432</v>
      </c>
      <c r="P220" s="4">
        <v>0</v>
      </c>
      <c r="Q220" s="4">
        <v>24499</v>
      </c>
      <c r="R220" s="4">
        <v>27428</v>
      </c>
      <c r="S220" s="4">
        <v>259788</v>
      </c>
      <c r="T220" s="4">
        <v>157430</v>
      </c>
      <c r="U220" s="4">
        <v>102358</v>
      </c>
    </row>
    <row r="221" spans="1:21" x14ac:dyDescent="0.25">
      <c r="A221" s="1" t="s">
        <v>229</v>
      </c>
      <c r="B221" t="s">
        <v>728</v>
      </c>
      <c r="C221" s="1" t="s">
        <v>233</v>
      </c>
      <c r="D221" t="s">
        <v>617</v>
      </c>
      <c r="E221" s="4">
        <v>296071</v>
      </c>
      <c r="F221" s="4">
        <v>229144</v>
      </c>
      <c r="G221" s="4">
        <v>49951</v>
      </c>
      <c r="H221" s="4">
        <v>179193</v>
      </c>
      <c r="I221" s="4">
        <v>66927</v>
      </c>
      <c r="J221">
        <v>0</v>
      </c>
      <c r="K221">
        <v>246120</v>
      </c>
      <c r="L221">
        <v>435</v>
      </c>
      <c r="M221" s="4">
        <v>127</v>
      </c>
      <c r="N221" s="4">
        <v>562</v>
      </c>
      <c r="O221" s="4">
        <v>29848</v>
      </c>
      <c r="P221" s="4">
        <v>0</v>
      </c>
      <c r="Q221" s="4">
        <v>23040</v>
      </c>
      <c r="R221" s="4">
        <v>25794</v>
      </c>
      <c r="S221" s="4">
        <v>325364</v>
      </c>
      <c r="T221" s="4">
        <v>209475</v>
      </c>
      <c r="U221" s="4">
        <v>115889</v>
      </c>
    </row>
    <row r="222" spans="1:21" x14ac:dyDescent="0.25">
      <c r="A222" s="1" t="s">
        <v>229</v>
      </c>
      <c r="B222" t="s">
        <v>728</v>
      </c>
      <c r="C222" s="1" t="s">
        <v>234</v>
      </c>
      <c r="D222" t="s">
        <v>618</v>
      </c>
      <c r="E222" s="4">
        <v>113359</v>
      </c>
      <c r="F222" s="4">
        <v>87734</v>
      </c>
      <c r="G222" s="4">
        <v>19125</v>
      </c>
      <c r="H222" s="4">
        <v>68609</v>
      </c>
      <c r="I222" s="4">
        <v>25625</v>
      </c>
      <c r="J222" s="4">
        <v>1427</v>
      </c>
      <c r="K222">
        <v>95661</v>
      </c>
      <c r="L222">
        <v>167</v>
      </c>
      <c r="M222" s="4">
        <v>49</v>
      </c>
      <c r="N222" s="4">
        <v>216</v>
      </c>
      <c r="O222" s="4">
        <v>11566</v>
      </c>
      <c r="P222" s="4">
        <v>0</v>
      </c>
      <c r="Q222" s="4">
        <v>7142</v>
      </c>
      <c r="R222" s="4">
        <v>7996</v>
      </c>
      <c r="S222" s="4">
        <v>122581</v>
      </c>
      <c r="T222" s="4">
        <v>80342</v>
      </c>
      <c r="U222" s="4">
        <v>42239</v>
      </c>
    </row>
    <row r="223" spans="1:21" x14ac:dyDescent="0.25">
      <c r="A223" s="1" t="s">
        <v>229</v>
      </c>
      <c r="B223" t="s">
        <v>728</v>
      </c>
      <c r="C223" s="1" t="s">
        <v>235</v>
      </c>
      <c r="D223" t="s">
        <v>619</v>
      </c>
      <c r="E223" s="4">
        <v>416204</v>
      </c>
      <c r="F223" s="4">
        <v>322121</v>
      </c>
      <c r="G223" s="4">
        <v>70219</v>
      </c>
      <c r="H223" s="4">
        <v>251902</v>
      </c>
      <c r="I223" s="4">
        <v>94083</v>
      </c>
      <c r="J223">
        <v>0</v>
      </c>
      <c r="K223">
        <v>345985</v>
      </c>
      <c r="L223">
        <v>613</v>
      </c>
      <c r="M223" s="4">
        <v>179</v>
      </c>
      <c r="N223" s="4">
        <v>792</v>
      </c>
      <c r="O223" s="4">
        <v>41959</v>
      </c>
      <c r="P223" s="4">
        <v>0</v>
      </c>
      <c r="Q223" s="4">
        <v>26650</v>
      </c>
      <c r="R223" s="4">
        <v>29835</v>
      </c>
      <c r="S223" s="4">
        <v>445221</v>
      </c>
      <c r="T223" s="4">
        <v>294474</v>
      </c>
      <c r="U223" s="4">
        <v>150747</v>
      </c>
    </row>
    <row r="224" spans="1:21" x14ac:dyDescent="0.25">
      <c r="A224" s="1" t="s">
        <v>229</v>
      </c>
      <c r="B224" t="s">
        <v>728</v>
      </c>
      <c r="C224" s="1" t="s">
        <v>236</v>
      </c>
      <c r="D224" t="s">
        <v>620</v>
      </c>
      <c r="E224" s="4">
        <v>772516</v>
      </c>
      <c r="F224" s="4">
        <v>597888</v>
      </c>
      <c r="G224" s="4">
        <v>130334</v>
      </c>
      <c r="H224" s="4">
        <v>467554</v>
      </c>
      <c r="I224" s="4">
        <v>174628</v>
      </c>
      <c r="J224" s="4">
        <v>15110</v>
      </c>
      <c r="K224" s="4">
        <v>657292</v>
      </c>
      <c r="L224" s="4">
        <v>1137</v>
      </c>
      <c r="M224" s="4">
        <v>332</v>
      </c>
      <c r="N224" s="4">
        <v>1469</v>
      </c>
      <c r="O224" s="4">
        <v>79359</v>
      </c>
      <c r="P224" s="4">
        <v>0</v>
      </c>
      <c r="Q224" s="4">
        <v>53837</v>
      </c>
      <c r="R224" s="4">
        <v>60272</v>
      </c>
      <c r="S224" s="4">
        <v>852229</v>
      </c>
      <c r="T224" s="4">
        <v>548050</v>
      </c>
      <c r="U224" s="4">
        <v>304179</v>
      </c>
    </row>
    <row r="225" spans="1:21" x14ac:dyDescent="0.25">
      <c r="A225" s="1" t="s">
        <v>229</v>
      </c>
      <c r="B225" t="s">
        <v>728</v>
      </c>
      <c r="C225" s="1" t="s">
        <v>237</v>
      </c>
      <c r="D225" t="s">
        <v>621</v>
      </c>
      <c r="E225" s="4">
        <v>174608</v>
      </c>
      <c r="F225" s="4">
        <v>135138</v>
      </c>
      <c r="G225" s="4">
        <v>29458</v>
      </c>
      <c r="H225" s="4">
        <v>105680</v>
      </c>
      <c r="I225" s="4">
        <v>39470</v>
      </c>
      <c r="J225">
        <v>0</v>
      </c>
      <c r="K225">
        <v>145150</v>
      </c>
      <c r="L225">
        <v>257</v>
      </c>
      <c r="M225" s="4">
        <v>74</v>
      </c>
      <c r="N225" s="4">
        <v>331</v>
      </c>
      <c r="O225" s="4">
        <v>17603</v>
      </c>
      <c r="P225" s="4">
        <v>0</v>
      </c>
      <c r="Q225" s="4">
        <v>11904</v>
      </c>
      <c r="R225" s="4">
        <v>13327</v>
      </c>
      <c r="S225" s="4">
        <v>188315</v>
      </c>
      <c r="T225" s="4">
        <v>123539</v>
      </c>
      <c r="U225" s="4">
        <v>64776</v>
      </c>
    </row>
    <row r="226" spans="1:21" x14ac:dyDescent="0.25">
      <c r="A226" s="1" t="s">
        <v>229</v>
      </c>
      <c r="B226" t="s">
        <v>728</v>
      </c>
      <c r="C226" s="1" t="s">
        <v>238</v>
      </c>
      <c r="D226" t="s">
        <v>622</v>
      </c>
      <c r="E226" s="4">
        <v>177437</v>
      </c>
      <c r="F226" s="4">
        <v>137327</v>
      </c>
      <c r="G226" s="4">
        <v>29936</v>
      </c>
      <c r="H226" s="4">
        <v>107391</v>
      </c>
      <c r="I226" s="4">
        <v>40110</v>
      </c>
      <c r="J226">
        <v>0</v>
      </c>
      <c r="K226">
        <v>147501</v>
      </c>
      <c r="L226">
        <v>262</v>
      </c>
      <c r="M226" s="4">
        <v>76</v>
      </c>
      <c r="N226" s="4">
        <v>338</v>
      </c>
      <c r="O226" s="4">
        <v>17888</v>
      </c>
      <c r="P226" s="4">
        <v>0</v>
      </c>
      <c r="Q226" s="4">
        <v>11981</v>
      </c>
      <c r="R226" s="4">
        <v>13413</v>
      </c>
      <c r="S226" s="4">
        <v>191121</v>
      </c>
      <c r="T226" s="4">
        <v>125541</v>
      </c>
      <c r="U226" s="4">
        <v>65580</v>
      </c>
    </row>
    <row r="227" spans="1:21" x14ac:dyDescent="0.25">
      <c r="A227" s="1" t="s">
        <v>229</v>
      </c>
      <c r="B227" t="s">
        <v>728</v>
      </c>
      <c r="C227" s="1" t="s">
        <v>239</v>
      </c>
      <c r="D227" t="s">
        <v>623</v>
      </c>
      <c r="E227" s="4">
        <v>262207</v>
      </c>
      <c r="F227" s="4">
        <v>202935</v>
      </c>
      <c r="G227" s="4">
        <v>44238</v>
      </c>
      <c r="H227" s="4">
        <v>158697</v>
      </c>
      <c r="I227" s="4">
        <v>59272</v>
      </c>
      <c r="J227">
        <v>0</v>
      </c>
      <c r="K227">
        <v>217969</v>
      </c>
      <c r="L227">
        <v>386</v>
      </c>
      <c r="M227" s="4">
        <v>113</v>
      </c>
      <c r="N227" s="4">
        <v>499</v>
      </c>
      <c r="O227" s="4">
        <v>26434</v>
      </c>
      <c r="P227" s="4">
        <v>0</v>
      </c>
      <c r="Q227" s="4">
        <v>19712</v>
      </c>
      <c r="R227" s="4">
        <v>22068</v>
      </c>
      <c r="S227" s="4">
        <v>286682</v>
      </c>
      <c r="T227" s="4">
        <v>185517</v>
      </c>
      <c r="U227" s="4">
        <v>101165</v>
      </c>
    </row>
    <row r="228" spans="1:21" x14ac:dyDescent="0.25">
      <c r="A228" s="1" t="s">
        <v>229</v>
      </c>
      <c r="B228" t="s">
        <v>728</v>
      </c>
      <c r="C228" s="1" t="s">
        <v>240</v>
      </c>
      <c r="D228" t="s">
        <v>624</v>
      </c>
      <c r="E228" s="4">
        <v>215128</v>
      </c>
      <c r="F228" s="4">
        <v>166498</v>
      </c>
      <c r="G228" s="4">
        <v>36296</v>
      </c>
      <c r="H228" s="4">
        <v>130202</v>
      </c>
      <c r="I228" s="4">
        <v>48630</v>
      </c>
      <c r="J228">
        <v>0</v>
      </c>
      <c r="K228">
        <v>178832</v>
      </c>
      <c r="L228">
        <v>316</v>
      </c>
      <c r="M228" s="4">
        <v>92</v>
      </c>
      <c r="N228" s="4">
        <v>408</v>
      </c>
      <c r="O228" s="4">
        <v>21688</v>
      </c>
      <c r="P228" s="4">
        <v>0</v>
      </c>
      <c r="Q228" s="4">
        <v>14592</v>
      </c>
      <c r="R228" s="4">
        <v>16336</v>
      </c>
      <c r="S228" s="4">
        <v>231856</v>
      </c>
      <c r="T228" s="4">
        <v>152206</v>
      </c>
      <c r="U228" s="4">
        <v>79650</v>
      </c>
    </row>
    <row r="229" spans="1:21" x14ac:dyDescent="0.25">
      <c r="A229" s="1" t="s">
        <v>229</v>
      </c>
      <c r="B229" t="s">
        <v>728</v>
      </c>
      <c r="C229" s="1" t="s">
        <v>241</v>
      </c>
      <c r="D229" t="s">
        <v>625</v>
      </c>
      <c r="E229" s="4">
        <v>185953</v>
      </c>
      <c r="F229" s="4">
        <v>143918</v>
      </c>
      <c r="G229" s="4">
        <v>31373</v>
      </c>
      <c r="H229" s="4">
        <v>112545</v>
      </c>
      <c r="I229" s="4">
        <v>42035</v>
      </c>
      <c r="J229">
        <v>0</v>
      </c>
      <c r="K229">
        <v>154580</v>
      </c>
      <c r="L229">
        <v>273</v>
      </c>
      <c r="M229" s="4">
        <v>79</v>
      </c>
      <c r="N229" s="4">
        <v>352</v>
      </c>
      <c r="O229" s="4">
        <v>18747</v>
      </c>
      <c r="P229" s="4">
        <v>0</v>
      </c>
      <c r="Q229" s="4">
        <v>12262</v>
      </c>
      <c r="R229" s="4">
        <v>13728</v>
      </c>
      <c r="S229" s="4">
        <v>199669</v>
      </c>
      <c r="T229" s="4">
        <v>131565</v>
      </c>
      <c r="U229" s="4">
        <v>68104</v>
      </c>
    </row>
    <row r="230" spans="1:21" x14ac:dyDescent="0.25">
      <c r="A230" s="1" t="s">
        <v>229</v>
      </c>
      <c r="B230" t="s">
        <v>728</v>
      </c>
      <c r="C230" s="1" t="s">
        <v>242</v>
      </c>
      <c r="D230" t="s">
        <v>626</v>
      </c>
      <c r="E230" s="4">
        <v>236988</v>
      </c>
      <c r="F230" s="4">
        <v>183416</v>
      </c>
      <c r="G230" s="4">
        <v>39983</v>
      </c>
      <c r="H230" s="4">
        <v>143433</v>
      </c>
      <c r="I230" s="4">
        <v>53572</v>
      </c>
      <c r="J230">
        <v>0</v>
      </c>
      <c r="K230">
        <v>197005</v>
      </c>
      <c r="L230">
        <v>348</v>
      </c>
      <c r="M230" s="4">
        <v>102</v>
      </c>
      <c r="N230" s="4">
        <v>450</v>
      </c>
      <c r="O230" s="4">
        <v>23892</v>
      </c>
      <c r="P230" s="4">
        <v>0</v>
      </c>
      <c r="Q230" s="4">
        <v>15923</v>
      </c>
      <c r="R230" s="4">
        <v>17826</v>
      </c>
      <c r="S230" s="4">
        <v>255096</v>
      </c>
      <c r="T230" s="4">
        <v>167674</v>
      </c>
      <c r="U230" s="4">
        <v>87422</v>
      </c>
    </row>
    <row r="231" spans="1:21" x14ac:dyDescent="0.25">
      <c r="A231" s="1" t="s">
        <v>229</v>
      </c>
      <c r="B231" t="s">
        <v>728</v>
      </c>
      <c r="C231" s="1" t="s">
        <v>243</v>
      </c>
      <c r="D231" t="s">
        <v>627</v>
      </c>
      <c r="E231" s="4">
        <v>881649</v>
      </c>
      <c r="F231" s="4">
        <v>682352</v>
      </c>
      <c r="G231" s="4">
        <v>148746</v>
      </c>
      <c r="H231" s="4">
        <v>533606</v>
      </c>
      <c r="I231" s="4">
        <v>199297</v>
      </c>
      <c r="J231" s="4">
        <v>0</v>
      </c>
      <c r="K231" s="4">
        <v>732903</v>
      </c>
      <c r="L231" s="4">
        <v>1299</v>
      </c>
      <c r="M231" s="4">
        <v>379</v>
      </c>
      <c r="N231" s="4">
        <v>1678</v>
      </c>
      <c r="O231" s="4">
        <v>88883</v>
      </c>
      <c r="P231" s="4">
        <v>0</v>
      </c>
      <c r="Q231" s="4">
        <v>68326</v>
      </c>
      <c r="R231" s="4">
        <v>76494</v>
      </c>
      <c r="S231" s="4">
        <v>968284</v>
      </c>
      <c r="T231" s="4">
        <v>623788</v>
      </c>
      <c r="U231" s="4">
        <v>344496</v>
      </c>
    </row>
    <row r="232" spans="1:21" x14ac:dyDescent="0.25">
      <c r="A232" s="1" t="s">
        <v>229</v>
      </c>
      <c r="B232" t="s">
        <v>728</v>
      </c>
      <c r="C232" s="1" t="s">
        <v>244</v>
      </c>
      <c r="D232" t="s">
        <v>628</v>
      </c>
      <c r="E232" s="4">
        <v>224010</v>
      </c>
      <c r="F232" s="4">
        <v>173372</v>
      </c>
      <c r="G232" s="4">
        <v>37794</v>
      </c>
      <c r="H232" s="4">
        <v>135578</v>
      </c>
      <c r="I232" s="4">
        <v>50638</v>
      </c>
      <c r="J232" s="4">
        <v>11367</v>
      </c>
      <c r="K232">
        <v>197583</v>
      </c>
      <c r="L232">
        <v>329</v>
      </c>
      <c r="M232" s="4">
        <v>97</v>
      </c>
      <c r="N232" s="4">
        <v>426</v>
      </c>
      <c r="O232" s="4">
        <v>23098</v>
      </c>
      <c r="P232" s="4">
        <v>0</v>
      </c>
      <c r="Q232" s="4">
        <v>15488</v>
      </c>
      <c r="R232" s="4">
        <v>17339</v>
      </c>
      <c r="S232" s="4">
        <v>253934</v>
      </c>
      <c r="T232" s="4">
        <v>159006</v>
      </c>
      <c r="U232" s="4">
        <v>94928</v>
      </c>
    </row>
    <row r="233" spans="1:21" x14ac:dyDescent="0.25">
      <c r="A233" s="1" t="s">
        <v>229</v>
      </c>
      <c r="B233" t="s">
        <v>728</v>
      </c>
      <c r="C233" s="1" t="s">
        <v>245</v>
      </c>
      <c r="D233" t="s">
        <v>629</v>
      </c>
      <c r="E233" s="4">
        <v>183472</v>
      </c>
      <c r="F233" s="4">
        <v>141998</v>
      </c>
      <c r="G233" s="4">
        <v>30954</v>
      </c>
      <c r="H233" s="4">
        <v>111044</v>
      </c>
      <c r="I233" s="4">
        <v>41474</v>
      </c>
      <c r="J233">
        <v>0</v>
      </c>
      <c r="K233">
        <v>152518</v>
      </c>
      <c r="L233">
        <v>270</v>
      </c>
      <c r="M233" s="4">
        <v>79</v>
      </c>
      <c r="N233" s="4">
        <v>349</v>
      </c>
      <c r="O233" s="4">
        <v>18497</v>
      </c>
      <c r="P233" s="4">
        <v>0</v>
      </c>
      <c r="Q233" s="4">
        <v>12237</v>
      </c>
      <c r="R233" s="4">
        <v>13700</v>
      </c>
      <c r="S233" s="4">
        <v>197301</v>
      </c>
      <c r="T233" s="4">
        <v>129811</v>
      </c>
      <c r="U233" s="4">
        <v>67490</v>
      </c>
    </row>
    <row r="234" spans="1:21" x14ac:dyDescent="0.25">
      <c r="A234" s="1" t="s">
        <v>229</v>
      </c>
      <c r="B234" t="s">
        <v>728</v>
      </c>
      <c r="C234" s="1" t="s">
        <v>246</v>
      </c>
      <c r="D234" t="s">
        <v>630</v>
      </c>
      <c r="E234" s="4">
        <v>595591</v>
      </c>
      <c r="F234" s="4">
        <v>460958</v>
      </c>
      <c r="G234" s="4">
        <v>100484</v>
      </c>
      <c r="H234" s="4">
        <v>360474</v>
      </c>
      <c r="I234" s="4">
        <v>134633</v>
      </c>
      <c r="J234" s="4">
        <v>0</v>
      </c>
      <c r="K234" s="4">
        <v>495107</v>
      </c>
      <c r="L234">
        <v>878</v>
      </c>
      <c r="M234" s="4">
        <v>256</v>
      </c>
      <c r="N234" s="4">
        <v>1134</v>
      </c>
      <c r="O234" s="4">
        <v>60044</v>
      </c>
      <c r="P234" s="4">
        <v>0</v>
      </c>
      <c r="Q234" s="4">
        <v>53069</v>
      </c>
      <c r="R234" s="4">
        <v>59412</v>
      </c>
      <c r="S234" s="4">
        <v>668766</v>
      </c>
      <c r="T234" s="4">
        <v>421395</v>
      </c>
      <c r="U234" s="4">
        <v>247371</v>
      </c>
    </row>
    <row r="235" spans="1:21" x14ac:dyDescent="0.25">
      <c r="A235" s="1" t="s">
        <v>229</v>
      </c>
      <c r="B235" t="s">
        <v>728</v>
      </c>
      <c r="C235" s="1" t="s">
        <v>43</v>
      </c>
      <c r="D235" t="s">
        <v>631</v>
      </c>
      <c r="E235" s="4">
        <v>360941</v>
      </c>
      <c r="F235" s="4">
        <v>279350</v>
      </c>
      <c r="G235" s="4">
        <v>60896</v>
      </c>
      <c r="H235" s="4">
        <v>218454</v>
      </c>
      <c r="I235" s="4">
        <v>81591</v>
      </c>
      <c r="J235">
        <v>0</v>
      </c>
      <c r="K235">
        <v>300045</v>
      </c>
      <c r="L235">
        <v>532</v>
      </c>
      <c r="M235" s="4">
        <v>155</v>
      </c>
      <c r="N235" s="4">
        <v>687</v>
      </c>
      <c r="O235" s="4">
        <v>36388</v>
      </c>
      <c r="P235" s="4">
        <v>0</v>
      </c>
      <c r="Q235" s="4">
        <v>23578</v>
      </c>
      <c r="R235" s="4">
        <v>26396</v>
      </c>
      <c r="S235" s="4">
        <v>387094</v>
      </c>
      <c r="T235" s="4">
        <v>255374</v>
      </c>
      <c r="U235" s="4">
        <v>131720</v>
      </c>
    </row>
    <row r="236" spans="1:21" x14ac:dyDescent="0.25">
      <c r="A236" s="1" t="s">
        <v>229</v>
      </c>
      <c r="B236" t="s">
        <v>728</v>
      </c>
      <c r="C236" s="1" t="s">
        <v>247</v>
      </c>
      <c r="D236" t="s">
        <v>632</v>
      </c>
      <c r="E236" s="4">
        <v>131705</v>
      </c>
      <c r="F236" s="4">
        <v>101933</v>
      </c>
      <c r="G236" s="4">
        <v>22221</v>
      </c>
      <c r="H236" s="4">
        <v>79712</v>
      </c>
      <c r="I236" s="4">
        <v>29772</v>
      </c>
      <c r="J236" s="4">
        <v>2705</v>
      </c>
      <c r="K236">
        <v>112189</v>
      </c>
      <c r="L236">
        <v>194</v>
      </c>
      <c r="M236" s="4">
        <v>57</v>
      </c>
      <c r="N236" s="4">
        <v>251</v>
      </c>
      <c r="O236" s="4">
        <v>13543</v>
      </c>
      <c r="P236" s="4">
        <v>0</v>
      </c>
      <c r="Q236" s="4">
        <v>13210</v>
      </c>
      <c r="R236" s="4">
        <v>14788</v>
      </c>
      <c r="S236" s="4">
        <v>153981</v>
      </c>
      <c r="T236" s="4">
        <v>93450</v>
      </c>
      <c r="U236" s="4">
        <v>60531</v>
      </c>
    </row>
    <row r="237" spans="1:21" x14ac:dyDescent="0.25">
      <c r="A237" s="1" t="s">
        <v>229</v>
      </c>
      <c r="B237" t="s">
        <v>728</v>
      </c>
      <c r="C237" s="1" t="s">
        <v>248</v>
      </c>
      <c r="D237" t="s">
        <v>633</v>
      </c>
      <c r="E237" s="4">
        <v>155804</v>
      </c>
      <c r="F237" s="4">
        <v>120585</v>
      </c>
      <c r="G237" s="4">
        <v>26286</v>
      </c>
      <c r="H237" s="4">
        <v>94299</v>
      </c>
      <c r="I237" s="4">
        <v>35219</v>
      </c>
      <c r="J237">
        <v>0</v>
      </c>
      <c r="K237">
        <v>129518</v>
      </c>
      <c r="L237">
        <v>230</v>
      </c>
      <c r="M237" s="4">
        <v>67</v>
      </c>
      <c r="N237" s="4">
        <v>297</v>
      </c>
      <c r="O237" s="4">
        <v>15707</v>
      </c>
      <c r="P237" s="4">
        <v>0</v>
      </c>
      <c r="Q237" s="4">
        <v>9626</v>
      </c>
      <c r="R237" s="4">
        <v>10776</v>
      </c>
      <c r="S237" s="4">
        <v>165924</v>
      </c>
      <c r="T237" s="4">
        <v>110235</v>
      </c>
      <c r="U237" s="4">
        <v>55689</v>
      </c>
    </row>
    <row r="238" spans="1:21" x14ac:dyDescent="0.25">
      <c r="A238" s="1" t="s">
        <v>229</v>
      </c>
      <c r="B238" t="s">
        <v>728</v>
      </c>
      <c r="C238" s="1" t="s">
        <v>249</v>
      </c>
      <c r="D238" t="s">
        <v>634</v>
      </c>
      <c r="E238" s="4">
        <v>312348</v>
      </c>
      <c r="F238" s="4">
        <v>241742</v>
      </c>
      <c r="G238" s="4">
        <v>52698</v>
      </c>
      <c r="H238" s="4">
        <v>189044</v>
      </c>
      <c r="I238" s="4">
        <v>70606</v>
      </c>
      <c r="J238" s="4">
        <v>4223</v>
      </c>
      <c r="K238">
        <v>263873</v>
      </c>
      <c r="L238">
        <v>459</v>
      </c>
      <c r="M238" s="4">
        <v>134</v>
      </c>
      <c r="N238" s="4">
        <v>593</v>
      </c>
      <c r="O238" s="4">
        <v>31897</v>
      </c>
      <c r="P238" s="4">
        <v>0</v>
      </c>
      <c r="Q238" s="4">
        <v>31974</v>
      </c>
      <c r="R238" s="4">
        <v>35796</v>
      </c>
      <c r="S238" s="4">
        <v>364133</v>
      </c>
      <c r="T238" s="4">
        <v>221400</v>
      </c>
      <c r="U238" s="4">
        <v>142733</v>
      </c>
    </row>
    <row r="239" spans="1:21" x14ac:dyDescent="0.25">
      <c r="A239" s="1" t="s">
        <v>229</v>
      </c>
      <c r="B239" t="s">
        <v>728</v>
      </c>
      <c r="C239" s="1" t="s">
        <v>250</v>
      </c>
      <c r="D239" t="s">
        <v>635</v>
      </c>
      <c r="E239" s="4">
        <v>94824</v>
      </c>
      <c r="F239" s="4">
        <v>73389</v>
      </c>
      <c r="G239" s="4">
        <v>15998</v>
      </c>
      <c r="H239" s="4">
        <v>57391</v>
      </c>
      <c r="I239" s="4">
        <v>21435</v>
      </c>
      <c r="J239" s="4">
        <v>10135</v>
      </c>
      <c r="K239">
        <v>88961</v>
      </c>
      <c r="L239">
        <v>140</v>
      </c>
      <c r="M239" s="4">
        <v>41</v>
      </c>
      <c r="N239" s="4">
        <v>181</v>
      </c>
      <c r="O239" s="4">
        <v>9560</v>
      </c>
      <c r="P239" s="4">
        <v>0</v>
      </c>
      <c r="Q239" s="4">
        <v>6170</v>
      </c>
      <c r="R239" s="4">
        <v>6907</v>
      </c>
      <c r="S239" s="4">
        <v>111779</v>
      </c>
      <c r="T239" s="4">
        <v>67091</v>
      </c>
      <c r="U239" s="4">
        <v>44688</v>
      </c>
    </row>
    <row r="240" spans="1:21" x14ac:dyDescent="0.25">
      <c r="A240" s="1" t="s">
        <v>229</v>
      </c>
      <c r="B240" t="s">
        <v>728</v>
      </c>
      <c r="C240" s="1" t="s">
        <v>251</v>
      </c>
      <c r="D240" t="s">
        <v>636</v>
      </c>
      <c r="E240" s="4">
        <v>564536</v>
      </c>
      <c r="F240" s="4">
        <v>436922</v>
      </c>
      <c r="G240" s="4">
        <v>95245</v>
      </c>
      <c r="H240" s="4">
        <v>341677</v>
      </c>
      <c r="I240" s="4">
        <v>127614</v>
      </c>
      <c r="J240" s="4">
        <v>0</v>
      </c>
      <c r="K240" s="4">
        <v>469291</v>
      </c>
      <c r="L240">
        <v>832</v>
      </c>
      <c r="M240" s="4">
        <v>242</v>
      </c>
      <c r="N240" s="4">
        <v>1074</v>
      </c>
      <c r="O240" s="4">
        <v>56913</v>
      </c>
      <c r="P240" s="4">
        <v>0</v>
      </c>
      <c r="Q240" s="4">
        <v>37914</v>
      </c>
      <c r="R240" s="4">
        <v>42446</v>
      </c>
      <c r="S240" s="4">
        <v>607638</v>
      </c>
      <c r="T240" s="4">
        <v>399422</v>
      </c>
      <c r="U240" s="4">
        <v>208216</v>
      </c>
    </row>
    <row r="241" spans="1:21" x14ac:dyDescent="0.25">
      <c r="A241" s="1" t="s">
        <v>229</v>
      </c>
      <c r="B241" t="s">
        <v>728</v>
      </c>
      <c r="C241" s="1" t="s">
        <v>252</v>
      </c>
      <c r="D241" t="s">
        <v>637</v>
      </c>
      <c r="E241" s="4">
        <v>447287</v>
      </c>
      <c r="F241" s="4">
        <v>346178</v>
      </c>
      <c r="G241" s="4">
        <v>75463</v>
      </c>
      <c r="H241" s="4">
        <v>270715</v>
      </c>
      <c r="I241" s="4">
        <v>101109</v>
      </c>
      <c r="J241">
        <v>0</v>
      </c>
      <c r="K241">
        <v>371824</v>
      </c>
      <c r="L241">
        <v>659</v>
      </c>
      <c r="M241" s="4">
        <v>192</v>
      </c>
      <c r="N241" s="4">
        <v>851</v>
      </c>
      <c r="O241" s="4">
        <v>45093</v>
      </c>
      <c r="P241" s="4">
        <v>0</v>
      </c>
      <c r="Q241" s="4">
        <v>32896</v>
      </c>
      <c r="R241" s="4">
        <v>36828</v>
      </c>
      <c r="S241" s="4">
        <v>487492</v>
      </c>
      <c r="T241" s="4">
        <v>316467</v>
      </c>
      <c r="U241" s="4">
        <v>171025</v>
      </c>
    </row>
    <row r="242" spans="1:21" x14ac:dyDescent="0.25">
      <c r="A242" s="1" t="s">
        <v>229</v>
      </c>
      <c r="B242" t="s">
        <v>728</v>
      </c>
      <c r="C242" s="1" t="s">
        <v>253</v>
      </c>
      <c r="D242" t="s">
        <v>638</v>
      </c>
      <c r="E242" s="4">
        <v>251591</v>
      </c>
      <c r="F242" s="4">
        <v>194719</v>
      </c>
      <c r="G242" s="4">
        <v>42447</v>
      </c>
      <c r="H242" s="4">
        <v>152272</v>
      </c>
      <c r="I242" s="4">
        <v>56872</v>
      </c>
      <c r="J242" s="4">
        <v>9118</v>
      </c>
      <c r="K242">
        <v>218262</v>
      </c>
      <c r="L242">
        <v>370</v>
      </c>
      <c r="M242" s="4">
        <v>108</v>
      </c>
      <c r="N242" s="4">
        <v>478</v>
      </c>
      <c r="O242" s="4">
        <v>26268</v>
      </c>
      <c r="P242" s="4">
        <v>0</v>
      </c>
      <c r="Q242" s="4">
        <v>17254</v>
      </c>
      <c r="R242" s="4">
        <v>19317</v>
      </c>
      <c r="S242" s="4">
        <v>281579</v>
      </c>
      <c r="T242" s="4">
        <v>178910</v>
      </c>
      <c r="U242" s="4">
        <v>102669</v>
      </c>
    </row>
    <row r="243" spans="1:21" x14ac:dyDescent="0.25">
      <c r="A243" s="1" t="s">
        <v>229</v>
      </c>
      <c r="B243" t="s">
        <v>728</v>
      </c>
      <c r="C243" s="1" t="s">
        <v>254</v>
      </c>
      <c r="D243" t="s">
        <v>639</v>
      </c>
      <c r="E243" s="4">
        <v>595030</v>
      </c>
      <c r="F243" s="4">
        <v>460523</v>
      </c>
      <c r="G243" s="4">
        <v>100390</v>
      </c>
      <c r="H243" s="4">
        <v>360133</v>
      </c>
      <c r="I243" s="4">
        <v>134507</v>
      </c>
      <c r="J243" s="4">
        <v>0</v>
      </c>
      <c r="K243" s="4">
        <v>494640</v>
      </c>
      <c r="L243">
        <v>875</v>
      </c>
      <c r="M243" s="4">
        <v>255</v>
      </c>
      <c r="N243" s="4">
        <v>1130</v>
      </c>
      <c r="O243" s="4">
        <v>59987</v>
      </c>
      <c r="P243" s="4">
        <v>0</v>
      </c>
      <c r="Q243" s="4">
        <v>56448</v>
      </c>
      <c r="R243" s="4">
        <v>63195</v>
      </c>
      <c r="S243" s="4">
        <v>675400</v>
      </c>
      <c r="T243" s="4">
        <v>420995</v>
      </c>
      <c r="U243" s="4">
        <v>254405</v>
      </c>
    </row>
    <row r="244" spans="1:21" x14ac:dyDescent="0.25">
      <c r="A244" s="1" t="s">
        <v>229</v>
      </c>
      <c r="B244" t="s">
        <v>728</v>
      </c>
      <c r="C244" s="1" t="s">
        <v>255</v>
      </c>
      <c r="D244" t="s">
        <v>640</v>
      </c>
      <c r="E244" s="4">
        <v>5929933</v>
      </c>
      <c r="F244" s="4">
        <v>4589468</v>
      </c>
      <c r="G244" s="4">
        <v>1000458</v>
      </c>
      <c r="H244" s="4">
        <v>3589010</v>
      </c>
      <c r="I244" s="4">
        <v>1340465</v>
      </c>
      <c r="J244" s="4">
        <v>0</v>
      </c>
      <c r="K244" s="4">
        <v>4929475</v>
      </c>
      <c r="L244" s="4">
        <v>8732</v>
      </c>
      <c r="M244" s="4">
        <v>2550</v>
      </c>
      <c r="N244" s="4">
        <v>11282</v>
      </c>
      <c r="O244" s="4">
        <v>597821</v>
      </c>
      <c r="P244" s="4">
        <v>0</v>
      </c>
      <c r="Q244" s="4">
        <v>413798</v>
      </c>
      <c r="R244" s="4">
        <v>463260</v>
      </c>
      <c r="S244" s="4">
        <v>6415636</v>
      </c>
      <c r="T244" s="4">
        <v>4195563</v>
      </c>
      <c r="U244" s="4">
        <v>2220073</v>
      </c>
    </row>
    <row r="245" spans="1:21" x14ac:dyDescent="0.25">
      <c r="A245" s="1" t="s">
        <v>229</v>
      </c>
      <c r="B245" t="s">
        <v>728</v>
      </c>
      <c r="C245" s="1" t="s">
        <v>256</v>
      </c>
      <c r="D245" t="s">
        <v>641</v>
      </c>
      <c r="E245" s="4">
        <v>243093</v>
      </c>
      <c r="F245" s="4">
        <v>188141</v>
      </c>
      <c r="G245" s="4">
        <v>41013</v>
      </c>
      <c r="H245" s="4">
        <v>147128</v>
      </c>
      <c r="I245" s="4">
        <v>54952</v>
      </c>
      <c r="J245">
        <v>0</v>
      </c>
      <c r="K245">
        <v>202080</v>
      </c>
      <c r="L245">
        <v>367</v>
      </c>
      <c r="M245" s="4">
        <v>107</v>
      </c>
      <c r="N245" s="4">
        <v>474</v>
      </c>
      <c r="O245" s="4">
        <v>24507</v>
      </c>
      <c r="P245" s="4">
        <v>0</v>
      </c>
      <c r="Q245" s="4">
        <v>16717</v>
      </c>
      <c r="R245" s="4">
        <v>18715</v>
      </c>
      <c r="S245" s="4">
        <v>262493</v>
      </c>
      <c r="T245" s="4">
        <v>172003</v>
      </c>
      <c r="U245" s="4">
        <v>90490</v>
      </c>
    </row>
    <row r="246" spans="1:21" x14ac:dyDescent="0.25">
      <c r="A246" s="1" t="s">
        <v>229</v>
      </c>
      <c r="B246" t="s">
        <v>728</v>
      </c>
      <c r="C246" s="1" t="s">
        <v>257</v>
      </c>
      <c r="D246" t="s">
        <v>642</v>
      </c>
      <c r="E246" s="4">
        <v>359985</v>
      </c>
      <c r="F246" s="4">
        <v>278610</v>
      </c>
      <c r="G246" s="4">
        <v>60734</v>
      </c>
      <c r="H246" s="4">
        <v>217876</v>
      </c>
      <c r="I246" s="4">
        <v>81375</v>
      </c>
      <c r="J246">
        <v>0</v>
      </c>
      <c r="K246">
        <v>299251</v>
      </c>
      <c r="L246">
        <v>529</v>
      </c>
      <c r="M246" s="4">
        <v>155</v>
      </c>
      <c r="N246" s="4">
        <v>684</v>
      </c>
      <c r="O246" s="4">
        <v>36292</v>
      </c>
      <c r="P246" s="4">
        <v>0</v>
      </c>
      <c r="Q246" s="4">
        <v>28339</v>
      </c>
      <c r="R246" s="4">
        <v>31727</v>
      </c>
      <c r="S246" s="4">
        <v>396293</v>
      </c>
      <c r="T246" s="4">
        <v>254698</v>
      </c>
      <c r="U246" s="4">
        <v>141595</v>
      </c>
    </row>
    <row r="247" spans="1:21" x14ac:dyDescent="0.25">
      <c r="A247" s="1" t="s">
        <v>229</v>
      </c>
      <c r="B247" t="s">
        <v>728</v>
      </c>
      <c r="C247" s="1" t="s">
        <v>258</v>
      </c>
      <c r="D247" t="s">
        <v>643</v>
      </c>
      <c r="E247" s="4">
        <v>236485</v>
      </c>
      <c r="F247" s="4">
        <v>183028</v>
      </c>
      <c r="G247" s="4">
        <v>39898</v>
      </c>
      <c r="H247" s="4">
        <v>143130</v>
      </c>
      <c r="I247" s="4">
        <v>53457</v>
      </c>
      <c r="J247" s="4">
        <v>5737</v>
      </c>
      <c r="K247">
        <v>202324</v>
      </c>
      <c r="L247">
        <v>348</v>
      </c>
      <c r="M247" s="4">
        <v>102</v>
      </c>
      <c r="N247" s="4">
        <v>450</v>
      </c>
      <c r="O247" s="4">
        <v>24406</v>
      </c>
      <c r="P247" s="4">
        <v>0</v>
      </c>
      <c r="Q247" s="4">
        <v>14925</v>
      </c>
      <c r="R247" s="4">
        <v>16709</v>
      </c>
      <c r="S247" s="4">
        <v>258814</v>
      </c>
      <c r="T247" s="4">
        <v>167884</v>
      </c>
      <c r="U247" s="4">
        <v>90930</v>
      </c>
    </row>
    <row r="248" spans="1:21" x14ac:dyDescent="0.25">
      <c r="A248" s="1" t="s">
        <v>229</v>
      </c>
      <c r="B248" t="s">
        <v>728</v>
      </c>
      <c r="C248" s="1" t="s">
        <v>259</v>
      </c>
      <c r="D248" t="s">
        <v>644</v>
      </c>
      <c r="E248" s="4">
        <v>297728</v>
      </c>
      <c r="F248" s="4">
        <v>230426</v>
      </c>
      <c r="G248" s="4">
        <v>50231</v>
      </c>
      <c r="H248" s="4">
        <v>180195</v>
      </c>
      <c r="I248" s="4">
        <v>67302</v>
      </c>
      <c r="J248" s="4">
        <v>17705</v>
      </c>
      <c r="K248">
        <v>265202</v>
      </c>
      <c r="L248">
        <v>437</v>
      </c>
      <c r="M248" s="4">
        <v>128</v>
      </c>
      <c r="N248" s="4">
        <v>565</v>
      </c>
      <c r="O248" s="4">
        <v>31492</v>
      </c>
      <c r="P248" s="4">
        <v>0</v>
      </c>
      <c r="Q248" s="4">
        <v>21530</v>
      </c>
      <c r="R248" s="4">
        <v>24103</v>
      </c>
      <c r="S248" s="4">
        <v>342892</v>
      </c>
      <c r="T248" s="4">
        <v>212125</v>
      </c>
      <c r="U248" s="4">
        <v>130767</v>
      </c>
    </row>
    <row r="249" spans="1:21" x14ac:dyDescent="0.25">
      <c r="A249" s="1" t="s">
        <v>229</v>
      </c>
      <c r="B249" t="s">
        <v>728</v>
      </c>
      <c r="C249" s="1" t="s">
        <v>260</v>
      </c>
      <c r="D249" t="s">
        <v>645</v>
      </c>
      <c r="E249" s="4">
        <v>216293</v>
      </c>
      <c r="F249" s="4">
        <v>167400</v>
      </c>
      <c r="G249" s="4">
        <v>36491</v>
      </c>
      <c r="H249" s="4">
        <v>130909</v>
      </c>
      <c r="I249" s="4">
        <v>48893</v>
      </c>
      <c r="J249">
        <v>0</v>
      </c>
      <c r="K249">
        <v>179802</v>
      </c>
      <c r="L249">
        <v>319</v>
      </c>
      <c r="M249" s="4">
        <v>93</v>
      </c>
      <c r="N249" s="4">
        <v>412</v>
      </c>
      <c r="O249" s="4">
        <v>21805</v>
      </c>
      <c r="P249" s="4">
        <v>0</v>
      </c>
      <c r="Q249" s="4">
        <v>13901</v>
      </c>
      <c r="R249" s="4">
        <v>15562</v>
      </c>
      <c r="S249" s="4">
        <v>231482</v>
      </c>
      <c r="T249" s="4">
        <v>153033</v>
      </c>
      <c r="U249" s="4">
        <v>78449</v>
      </c>
    </row>
    <row r="250" spans="1:21" x14ac:dyDescent="0.25">
      <c r="A250" s="1" t="s">
        <v>229</v>
      </c>
      <c r="B250" t="s">
        <v>728</v>
      </c>
      <c r="C250" s="1" t="s">
        <v>261</v>
      </c>
      <c r="D250" t="s">
        <v>646</v>
      </c>
      <c r="E250" s="4">
        <v>75385</v>
      </c>
      <c r="F250" s="4">
        <v>58344</v>
      </c>
      <c r="G250" s="4">
        <v>12718</v>
      </c>
      <c r="H250" s="4">
        <v>45626</v>
      </c>
      <c r="I250" s="4">
        <v>17041</v>
      </c>
      <c r="J250" s="4">
        <v>0</v>
      </c>
      <c r="K250">
        <v>62667</v>
      </c>
      <c r="L250">
        <v>111</v>
      </c>
      <c r="M250" s="4">
        <v>32</v>
      </c>
      <c r="N250" s="4">
        <v>143</v>
      </c>
      <c r="O250" s="4">
        <v>7600</v>
      </c>
      <c r="P250" s="4">
        <v>0</v>
      </c>
      <c r="Q250" s="4">
        <v>4941</v>
      </c>
      <c r="R250" s="4">
        <v>5531</v>
      </c>
      <c r="S250" s="4">
        <v>80882</v>
      </c>
      <c r="T250" s="4">
        <v>53337</v>
      </c>
      <c r="U250" s="4">
        <v>27545</v>
      </c>
    </row>
    <row r="251" spans="1:21" x14ac:dyDescent="0.25">
      <c r="A251" s="1" t="s">
        <v>229</v>
      </c>
      <c r="B251" t="s">
        <v>728</v>
      </c>
      <c r="C251" s="1" t="s">
        <v>262</v>
      </c>
      <c r="D251" t="s">
        <v>647</v>
      </c>
      <c r="E251" s="4">
        <v>207596</v>
      </c>
      <c r="F251" s="4">
        <v>160669</v>
      </c>
      <c r="G251" s="4">
        <v>35025</v>
      </c>
      <c r="H251" s="4">
        <v>125644</v>
      </c>
      <c r="I251" s="4">
        <v>46927</v>
      </c>
      <c r="J251" s="4">
        <v>0</v>
      </c>
      <c r="K251">
        <v>172571</v>
      </c>
      <c r="L251">
        <v>305</v>
      </c>
      <c r="M251" s="4">
        <v>89</v>
      </c>
      <c r="N251" s="4">
        <v>394</v>
      </c>
      <c r="O251" s="4">
        <v>20929</v>
      </c>
      <c r="P251" s="4">
        <v>0</v>
      </c>
      <c r="Q251" s="4">
        <v>13158</v>
      </c>
      <c r="R251" s="4">
        <v>14731</v>
      </c>
      <c r="S251" s="4">
        <v>221783</v>
      </c>
      <c r="T251" s="4">
        <v>146878</v>
      </c>
      <c r="U251" s="4">
        <v>74905</v>
      </c>
    </row>
    <row r="252" spans="1:21" x14ac:dyDescent="0.25">
      <c r="A252" s="1" t="s">
        <v>263</v>
      </c>
      <c r="B252" t="s">
        <v>729</v>
      </c>
      <c r="C252" s="1" t="s">
        <v>264</v>
      </c>
      <c r="D252" t="s">
        <v>648</v>
      </c>
      <c r="E252" s="4">
        <v>299605</v>
      </c>
      <c r="F252" s="4">
        <v>236336</v>
      </c>
      <c r="G252" s="4">
        <v>51519</v>
      </c>
      <c r="H252" s="4">
        <v>184817</v>
      </c>
      <c r="I252" s="4">
        <v>63269</v>
      </c>
      <c r="J252">
        <v>0</v>
      </c>
      <c r="K252">
        <v>248086</v>
      </c>
      <c r="L252">
        <v>486</v>
      </c>
      <c r="M252" s="4">
        <v>130</v>
      </c>
      <c r="N252" s="4">
        <v>616</v>
      </c>
      <c r="O252" s="4">
        <v>30767</v>
      </c>
      <c r="P252" s="4">
        <v>0</v>
      </c>
      <c r="Q252" s="4">
        <v>19982</v>
      </c>
      <c r="R252" s="4">
        <v>22093</v>
      </c>
      <c r="S252" s="4">
        <v>321544</v>
      </c>
      <c r="T252" s="4">
        <v>216070</v>
      </c>
      <c r="U252" s="4">
        <v>105474</v>
      </c>
    </row>
    <row r="253" spans="1:21" x14ac:dyDescent="0.25">
      <c r="A253" s="1" t="s">
        <v>263</v>
      </c>
      <c r="B253" t="s">
        <v>729</v>
      </c>
      <c r="C253" s="1" t="s">
        <v>265</v>
      </c>
      <c r="D253" t="s">
        <v>649</v>
      </c>
      <c r="E253" s="4">
        <v>568476</v>
      </c>
      <c r="F253" s="4">
        <v>448430</v>
      </c>
      <c r="G253" s="4">
        <v>97753</v>
      </c>
      <c r="H253" s="4">
        <v>350677</v>
      </c>
      <c r="I253" s="4">
        <v>120046</v>
      </c>
      <c r="J253" s="4">
        <v>0</v>
      </c>
      <c r="K253" s="4">
        <v>470723</v>
      </c>
      <c r="L253">
        <v>923</v>
      </c>
      <c r="M253" s="4">
        <v>248</v>
      </c>
      <c r="N253" s="4">
        <v>1171</v>
      </c>
      <c r="O253" s="4">
        <v>58379</v>
      </c>
      <c r="P253" s="4">
        <v>0</v>
      </c>
      <c r="Q253" s="4">
        <v>36066</v>
      </c>
      <c r="R253" s="4">
        <v>39875</v>
      </c>
      <c r="S253" s="4">
        <v>606214</v>
      </c>
      <c r="T253" s="4">
        <v>409979</v>
      </c>
      <c r="U253" s="4">
        <v>196235</v>
      </c>
    </row>
    <row r="254" spans="1:21" x14ac:dyDescent="0.25">
      <c r="A254" s="1" t="s">
        <v>263</v>
      </c>
      <c r="B254" t="s">
        <v>729</v>
      </c>
      <c r="C254" s="1" t="s">
        <v>266</v>
      </c>
      <c r="D254" t="s">
        <v>650</v>
      </c>
      <c r="E254" s="4">
        <v>196835</v>
      </c>
      <c r="F254" s="4">
        <v>155269</v>
      </c>
      <c r="G254" s="4">
        <v>33847</v>
      </c>
      <c r="H254" s="4">
        <v>121422</v>
      </c>
      <c r="I254" s="4">
        <v>41566</v>
      </c>
      <c r="J254">
        <v>0</v>
      </c>
      <c r="K254">
        <v>162988</v>
      </c>
      <c r="L254">
        <v>319</v>
      </c>
      <c r="M254" s="4">
        <v>85</v>
      </c>
      <c r="N254" s="4">
        <v>404</v>
      </c>
      <c r="O254" s="4">
        <v>20214</v>
      </c>
      <c r="P254" s="4">
        <v>0</v>
      </c>
      <c r="Q254" s="4">
        <v>13177</v>
      </c>
      <c r="R254" s="4">
        <v>14569</v>
      </c>
      <c r="S254" s="4">
        <v>211352</v>
      </c>
      <c r="T254" s="4">
        <v>141955</v>
      </c>
      <c r="U254" s="4">
        <v>69397</v>
      </c>
    </row>
    <row r="255" spans="1:21" x14ac:dyDescent="0.25">
      <c r="A255" s="1" t="s">
        <v>263</v>
      </c>
      <c r="B255" t="s">
        <v>729</v>
      </c>
      <c r="C255" s="1" t="s">
        <v>267</v>
      </c>
      <c r="D255" t="s">
        <v>651</v>
      </c>
      <c r="E255" s="4">
        <v>145154</v>
      </c>
      <c r="F255" s="4">
        <v>114502</v>
      </c>
      <c r="G255" s="4">
        <v>24960</v>
      </c>
      <c r="H255" s="4">
        <v>89542</v>
      </c>
      <c r="I255" s="4">
        <v>30652</v>
      </c>
      <c r="J255" s="4">
        <v>0</v>
      </c>
      <c r="K255">
        <v>120194</v>
      </c>
      <c r="L255">
        <v>235</v>
      </c>
      <c r="M255" s="4">
        <v>63</v>
      </c>
      <c r="N255" s="4">
        <v>298</v>
      </c>
      <c r="O255" s="4">
        <v>14906</v>
      </c>
      <c r="P255" s="4">
        <v>0</v>
      </c>
      <c r="Q255" s="4">
        <v>9915</v>
      </c>
      <c r="R255" s="4">
        <v>10962</v>
      </c>
      <c r="S255" s="4">
        <v>156275</v>
      </c>
      <c r="T255" s="4">
        <v>104683</v>
      </c>
      <c r="U255" s="4">
        <v>51592</v>
      </c>
    </row>
    <row r="256" spans="1:21" x14ac:dyDescent="0.25">
      <c r="A256" s="1" t="s">
        <v>263</v>
      </c>
      <c r="B256" t="s">
        <v>729</v>
      </c>
      <c r="C256" s="1" t="s">
        <v>268</v>
      </c>
      <c r="D256" t="s">
        <v>269</v>
      </c>
      <c r="E256" s="4">
        <v>173033</v>
      </c>
      <c r="F256" s="4">
        <v>136493</v>
      </c>
      <c r="G256" s="4">
        <v>29754</v>
      </c>
      <c r="H256" s="4">
        <v>106739</v>
      </c>
      <c r="I256" s="4">
        <v>36540</v>
      </c>
      <c r="J256">
        <v>38</v>
      </c>
      <c r="K256">
        <v>143317</v>
      </c>
      <c r="L256">
        <v>281</v>
      </c>
      <c r="M256" s="4">
        <v>75</v>
      </c>
      <c r="N256" s="4">
        <v>356</v>
      </c>
      <c r="O256" s="4">
        <v>17771</v>
      </c>
      <c r="P256" s="4">
        <v>0</v>
      </c>
      <c r="Q256" s="4">
        <v>11470</v>
      </c>
      <c r="R256" s="4">
        <v>12681</v>
      </c>
      <c r="S256" s="4">
        <v>185595</v>
      </c>
      <c r="T256" s="4">
        <v>124791</v>
      </c>
      <c r="U256" s="4">
        <v>60804</v>
      </c>
    </row>
    <row r="257" spans="1:21" x14ac:dyDescent="0.25">
      <c r="A257" s="1" t="s">
        <v>263</v>
      </c>
      <c r="B257" t="s">
        <v>729</v>
      </c>
      <c r="C257" s="1" t="s">
        <v>270</v>
      </c>
      <c r="D257" t="s">
        <v>652</v>
      </c>
      <c r="E257" s="4">
        <v>257573</v>
      </c>
      <c r="F257" s="4">
        <v>203180</v>
      </c>
      <c r="G257" s="4">
        <v>44291</v>
      </c>
      <c r="H257" s="4">
        <v>158889</v>
      </c>
      <c r="I257" s="4">
        <v>54393</v>
      </c>
      <c r="J257">
        <v>0</v>
      </c>
      <c r="K257">
        <v>213282</v>
      </c>
      <c r="L257">
        <v>419</v>
      </c>
      <c r="M257" s="4">
        <v>112</v>
      </c>
      <c r="N257" s="4">
        <v>531</v>
      </c>
      <c r="O257" s="4">
        <v>26451</v>
      </c>
      <c r="P257" s="4">
        <v>0</v>
      </c>
      <c r="Q257" s="4">
        <v>16108</v>
      </c>
      <c r="R257" s="4">
        <v>17810</v>
      </c>
      <c r="S257" s="4">
        <v>274182</v>
      </c>
      <c r="T257" s="4">
        <v>185759</v>
      </c>
      <c r="U257" s="4">
        <v>88423</v>
      </c>
    </row>
    <row r="258" spans="1:21" x14ac:dyDescent="0.25">
      <c r="A258" s="1" t="s">
        <v>263</v>
      </c>
      <c r="B258" t="s">
        <v>729</v>
      </c>
      <c r="C258" s="1" t="s">
        <v>271</v>
      </c>
      <c r="D258" t="s">
        <v>653</v>
      </c>
      <c r="E258" s="4">
        <v>367020</v>
      </c>
      <c r="F258" s="4">
        <v>289516</v>
      </c>
      <c r="G258" s="4">
        <v>63111</v>
      </c>
      <c r="H258" s="4">
        <v>226405</v>
      </c>
      <c r="I258" s="4">
        <v>77504</v>
      </c>
      <c r="J258" s="4">
        <v>5273</v>
      </c>
      <c r="K258">
        <v>309182</v>
      </c>
      <c r="L258">
        <v>597</v>
      </c>
      <c r="M258" s="4">
        <v>159</v>
      </c>
      <c r="N258" s="4">
        <v>756</v>
      </c>
      <c r="O258" s="4">
        <v>38228</v>
      </c>
      <c r="P258" s="4">
        <v>0</v>
      </c>
      <c r="Q258" s="4">
        <v>26049</v>
      </c>
      <c r="R258" s="4">
        <v>28800</v>
      </c>
      <c r="S258" s="4">
        <v>403015</v>
      </c>
      <c r="T258" s="4">
        <v>265229</v>
      </c>
      <c r="U258" s="4">
        <v>137786</v>
      </c>
    </row>
    <row r="259" spans="1:21" x14ac:dyDescent="0.25">
      <c r="A259" s="1" t="s">
        <v>263</v>
      </c>
      <c r="B259" t="s">
        <v>729</v>
      </c>
      <c r="C259" s="1" t="s">
        <v>272</v>
      </c>
      <c r="D259" t="s">
        <v>654</v>
      </c>
      <c r="E259" s="4">
        <v>552536</v>
      </c>
      <c r="F259" s="4">
        <v>435856</v>
      </c>
      <c r="G259" s="4">
        <v>95012</v>
      </c>
      <c r="H259" s="4">
        <v>340844</v>
      </c>
      <c r="I259" s="4">
        <v>116680</v>
      </c>
      <c r="J259" s="4">
        <v>0</v>
      </c>
      <c r="K259" s="4">
        <v>457524</v>
      </c>
      <c r="L259">
        <v>896</v>
      </c>
      <c r="M259" s="4">
        <v>240</v>
      </c>
      <c r="N259" s="4">
        <v>1136</v>
      </c>
      <c r="O259" s="4">
        <v>56742</v>
      </c>
      <c r="P259" s="4">
        <v>0</v>
      </c>
      <c r="Q259" s="4">
        <v>36575</v>
      </c>
      <c r="R259" s="4">
        <v>40438</v>
      </c>
      <c r="S259" s="4">
        <v>592415</v>
      </c>
      <c r="T259" s="4">
        <v>398482</v>
      </c>
      <c r="U259" s="4">
        <v>193933</v>
      </c>
    </row>
    <row r="260" spans="1:21" x14ac:dyDescent="0.25">
      <c r="A260" s="1" t="s">
        <v>263</v>
      </c>
      <c r="B260" t="s">
        <v>729</v>
      </c>
      <c r="C260" s="1" t="s">
        <v>273</v>
      </c>
      <c r="D260" t="s">
        <v>655</v>
      </c>
      <c r="E260" s="4">
        <v>145195</v>
      </c>
      <c r="F260" s="4">
        <v>114534</v>
      </c>
      <c r="G260" s="4">
        <v>24967</v>
      </c>
      <c r="H260" s="4">
        <v>89567</v>
      </c>
      <c r="I260" s="4">
        <v>30661</v>
      </c>
      <c r="J260" s="4">
        <v>6355</v>
      </c>
      <c r="K260">
        <v>126583</v>
      </c>
      <c r="L260">
        <v>235</v>
      </c>
      <c r="M260" s="4">
        <v>63</v>
      </c>
      <c r="N260" s="4">
        <v>298</v>
      </c>
      <c r="O260" s="4">
        <v>14911</v>
      </c>
      <c r="P260" s="4">
        <v>0</v>
      </c>
      <c r="Q260" s="4">
        <v>9686</v>
      </c>
      <c r="R260" s="4">
        <v>10708</v>
      </c>
      <c r="S260" s="4">
        <v>162186</v>
      </c>
      <c r="T260" s="4">
        <v>104713</v>
      </c>
      <c r="U260" s="4">
        <v>57473</v>
      </c>
    </row>
    <row r="261" spans="1:21" x14ac:dyDescent="0.25">
      <c r="A261" s="1" t="s">
        <v>263</v>
      </c>
      <c r="B261" t="s">
        <v>729</v>
      </c>
      <c r="C261" s="1" t="s">
        <v>274</v>
      </c>
      <c r="D261" t="s">
        <v>656</v>
      </c>
      <c r="E261" s="4">
        <v>3716305</v>
      </c>
      <c r="F261" s="4">
        <v>2931525</v>
      </c>
      <c r="G261" s="4">
        <v>639043</v>
      </c>
      <c r="H261" s="4">
        <v>2292482</v>
      </c>
      <c r="I261" s="4">
        <v>784780</v>
      </c>
      <c r="J261" s="4">
        <v>0</v>
      </c>
      <c r="K261" s="4">
        <v>3077262</v>
      </c>
      <c r="L261" s="4">
        <v>6029</v>
      </c>
      <c r="M261" s="4">
        <v>1614</v>
      </c>
      <c r="N261" s="4">
        <v>7643</v>
      </c>
      <c r="O261" s="4">
        <v>381641</v>
      </c>
      <c r="P261" s="4">
        <v>0</v>
      </c>
      <c r="Q261" s="4">
        <v>231864</v>
      </c>
      <c r="R261" s="4">
        <v>256354</v>
      </c>
      <c r="S261" s="4">
        <v>3954764</v>
      </c>
      <c r="T261" s="4">
        <v>2680152</v>
      </c>
      <c r="U261" s="4">
        <v>1274612</v>
      </c>
    </row>
    <row r="262" spans="1:21" x14ac:dyDescent="0.25">
      <c r="A262" s="1" t="s">
        <v>263</v>
      </c>
      <c r="B262" t="s">
        <v>729</v>
      </c>
      <c r="C262" s="1" t="s">
        <v>275</v>
      </c>
      <c r="D262" t="s">
        <v>657</v>
      </c>
      <c r="E262" s="4">
        <v>533940</v>
      </c>
      <c r="F262" s="4">
        <v>421187</v>
      </c>
      <c r="G262" s="4">
        <v>91815</v>
      </c>
      <c r="H262" s="4">
        <v>329372</v>
      </c>
      <c r="I262" s="4">
        <v>112753</v>
      </c>
      <c r="J262" s="4">
        <v>0</v>
      </c>
      <c r="K262" s="4">
        <v>442125</v>
      </c>
      <c r="L262">
        <v>867</v>
      </c>
      <c r="M262" s="4">
        <v>232</v>
      </c>
      <c r="N262" s="4">
        <v>1099</v>
      </c>
      <c r="O262" s="4">
        <v>54832</v>
      </c>
      <c r="P262" s="4">
        <v>0</v>
      </c>
      <c r="Q262" s="4">
        <v>37799</v>
      </c>
      <c r="R262" s="4">
        <v>41791</v>
      </c>
      <c r="S262" s="4">
        <v>577646</v>
      </c>
      <c r="T262" s="4">
        <v>385070</v>
      </c>
      <c r="U262" s="4">
        <v>192576</v>
      </c>
    </row>
    <row r="263" spans="1:21" x14ac:dyDescent="0.25">
      <c r="A263" s="1" t="s">
        <v>263</v>
      </c>
      <c r="B263" t="s">
        <v>729</v>
      </c>
      <c r="C263" s="1" t="s">
        <v>276</v>
      </c>
      <c r="D263" t="s">
        <v>658</v>
      </c>
      <c r="E263" s="4">
        <v>32698</v>
      </c>
      <c r="F263" s="4">
        <v>25793</v>
      </c>
      <c r="G263" s="4">
        <v>5623</v>
      </c>
      <c r="H263" s="4">
        <v>20170</v>
      </c>
      <c r="I263" s="4">
        <v>6905</v>
      </c>
      <c r="J263" s="4">
        <v>9322</v>
      </c>
      <c r="K263">
        <v>36397</v>
      </c>
      <c r="L263">
        <v>54</v>
      </c>
      <c r="M263" s="4">
        <v>14</v>
      </c>
      <c r="N263" s="4">
        <v>68</v>
      </c>
      <c r="O263" s="4">
        <v>4315</v>
      </c>
      <c r="P263" s="4">
        <v>0</v>
      </c>
      <c r="Q263" s="4">
        <v>2218</v>
      </c>
      <c r="R263" s="4">
        <v>2452</v>
      </c>
      <c r="S263" s="4">
        <v>45450</v>
      </c>
      <c r="T263" s="4">
        <v>24539</v>
      </c>
      <c r="U263" s="4">
        <v>20911</v>
      </c>
    </row>
    <row r="264" spans="1:21" x14ac:dyDescent="0.25">
      <c r="A264" s="1" t="s">
        <v>263</v>
      </c>
      <c r="B264" t="s">
        <v>729</v>
      </c>
      <c r="C264" s="1" t="s">
        <v>277</v>
      </c>
      <c r="D264" t="s">
        <v>659</v>
      </c>
      <c r="E264" s="4">
        <v>216680</v>
      </c>
      <c r="F264" s="4">
        <v>170924</v>
      </c>
      <c r="G264" s="4">
        <v>37259</v>
      </c>
      <c r="H264" s="4">
        <v>133665</v>
      </c>
      <c r="I264" s="4">
        <v>45756</v>
      </c>
      <c r="J264">
        <v>0</v>
      </c>
      <c r="K264">
        <v>179421</v>
      </c>
      <c r="L264">
        <v>351</v>
      </c>
      <c r="M264" s="4">
        <v>94</v>
      </c>
      <c r="N264" s="4">
        <v>445</v>
      </c>
      <c r="O264" s="4">
        <v>22252</v>
      </c>
      <c r="P264" s="4">
        <v>0</v>
      </c>
      <c r="Q264" s="4">
        <v>13993</v>
      </c>
      <c r="R264" s="4">
        <v>15471</v>
      </c>
      <c r="S264" s="4">
        <v>231582</v>
      </c>
      <c r="T264" s="4">
        <v>156268</v>
      </c>
      <c r="U264" s="4">
        <v>75314</v>
      </c>
    </row>
    <row r="265" spans="1:21" x14ac:dyDescent="0.25">
      <c r="A265" s="1" t="s">
        <v>263</v>
      </c>
      <c r="B265" t="s">
        <v>729</v>
      </c>
      <c r="C265" s="1" t="s">
        <v>278</v>
      </c>
      <c r="D265" t="s">
        <v>660</v>
      </c>
      <c r="E265" s="4">
        <v>164822</v>
      </c>
      <c r="F265" s="4">
        <v>130016</v>
      </c>
      <c r="G265" s="4">
        <v>28342</v>
      </c>
      <c r="H265" s="4">
        <v>101674</v>
      </c>
      <c r="I265" s="4">
        <v>34806</v>
      </c>
      <c r="J265" s="4">
        <v>16317</v>
      </c>
      <c r="K265">
        <v>152797</v>
      </c>
      <c r="L265">
        <v>267</v>
      </c>
      <c r="M265" s="4">
        <v>72</v>
      </c>
      <c r="N265" s="4">
        <v>339</v>
      </c>
      <c r="O265" s="4">
        <v>18600</v>
      </c>
      <c r="P265" s="4">
        <v>0</v>
      </c>
      <c r="Q265" s="4">
        <v>11240</v>
      </c>
      <c r="R265" s="4">
        <v>12427</v>
      </c>
      <c r="S265" s="4">
        <v>195403</v>
      </c>
      <c r="T265" s="4">
        <v>120541</v>
      </c>
      <c r="U265" s="4">
        <v>74862</v>
      </c>
    </row>
    <row r="266" spans="1:21" x14ac:dyDescent="0.25">
      <c r="A266" s="1" t="s">
        <v>263</v>
      </c>
      <c r="B266" t="s">
        <v>729</v>
      </c>
      <c r="C266" s="1" t="s">
        <v>279</v>
      </c>
      <c r="D266" t="s">
        <v>661</v>
      </c>
      <c r="E266" s="4">
        <v>66118</v>
      </c>
      <c r="F266" s="4">
        <v>52156</v>
      </c>
      <c r="G266" s="4">
        <v>11369</v>
      </c>
      <c r="H266" s="4">
        <v>40787</v>
      </c>
      <c r="I266" s="4">
        <v>13962</v>
      </c>
      <c r="J266" s="4">
        <v>7027</v>
      </c>
      <c r="K266">
        <v>61776</v>
      </c>
      <c r="L266">
        <v>108</v>
      </c>
      <c r="M266" s="4">
        <v>29</v>
      </c>
      <c r="N266" s="4">
        <v>137</v>
      </c>
      <c r="O266" s="4">
        <v>7436</v>
      </c>
      <c r="P266" s="4">
        <v>0</v>
      </c>
      <c r="Q266" s="4">
        <v>4588</v>
      </c>
      <c r="R266" s="4">
        <v>5072</v>
      </c>
      <c r="S266" s="4">
        <v>79009</v>
      </c>
      <c r="T266" s="4">
        <v>48331</v>
      </c>
      <c r="U266" s="4">
        <v>30678</v>
      </c>
    </row>
    <row r="267" spans="1:21" x14ac:dyDescent="0.25">
      <c r="A267" s="1" t="s">
        <v>263</v>
      </c>
      <c r="B267" t="s">
        <v>729</v>
      </c>
      <c r="C267" s="1" t="s">
        <v>280</v>
      </c>
      <c r="D267" t="s">
        <v>662</v>
      </c>
      <c r="E267" s="4">
        <v>175429</v>
      </c>
      <c r="F267" s="4">
        <v>138383</v>
      </c>
      <c r="G267" s="4">
        <v>30166</v>
      </c>
      <c r="H267" s="4">
        <v>108217</v>
      </c>
      <c r="I267" s="4">
        <v>37046</v>
      </c>
      <c r="J267">
        <v>0</v>
      </c>
      <c r="K267">
        <v>145263</v>
      </c>
      <c r="L267">
        <v>284</v>
      </c>
      <c r="M267" s="4">
        <v>75</v>
      </c>
      <c r="N267" s="4">
        <v>359</v>
      </c>
      <c r="O267" s="4">
        <v>18015</v>
      </c>
      <c r="P267" s="4">
        <v>0</v>
      </c>
      <c r="Q267" s="4">
        <v>11368</v>
      </c>
      <c r="R267" s="4">
        <v>12568</v>
      </c>
      <c r="S267" s="4">
        <v>187573</v>
      </c>
      <c r="T267" s="4">
        <v>126516</v>
      </c>
      <c r="U267" s="4">
        <v>61057</v>
      </c>
    </row>
    <row r="268" spans="1:21" x14ac:dyDescent="0.25">
      <c r="A268" s="1" t="s">
        <v>263</v>
      </c>
      <c r="B268" t="s">
        <v>729</v>
      </c>
      <c r="C268" s="1" t="s">
        <v>281</v>
      </c>
      <c r="D268" t="s">
        <v>663</v>
      </c>
      <c r="E268" s="4">
        <v>735228</v>
      </c>
      <c r="F268" s="4">
        <v>579968</v>
      </c>
      <c r="G268" s="4">
        <v>126428</v>
      </c>
      <c r="H268" s="4">
        <v>453540</v>
      </c>
      <c r="I268" s="4">
        <v>155260</v>
      </c>
      <c r="J268" s="4">
        <v>0</v>
      </c>
      <c r="K268" s="4">
        <v>608800</v>
      </c>
      <c r="L268" s="4">
        <v>1193</v>
      </c>
      <c r="M268" s="4">
        <v>320</v>
      </c>
      <c r="N268" s="4">
        <v>1513</v>
      </c>
      <c r="O268" s="4">
        <v>75503</v>
      </c>
      <c r="P268" s="4">
        <v>0</v>
      </c>
      <c r="Q268" s="4">
        <v>49752</v>
      </c>
      <c r="R268" s="4">
        <v>55007</v>
      </c>
      <c r="S268" s="4">
        <v>790575</v>
      </c>
      <c r="T268" s="4">
        <v>530237</v>
      </c>
      <c r="U268" s="4">
        <v>260338</v>
      </c>
    </row>
    <row r="269" spans="1:21" x14ac:dyDescent="0.25">
      <c r="A269" s="1" t="s">
        <v>263</v>
      </c>
      <c r="B269" t="s">
        <v>729</v>
      </c>
      <c r="C269" s="1" t="s">
        <v>282</v>
      </c>
      <c r="D269" t="s">
        <v>664</v>
      </c>
      <c r="E269" s="4">
        <v>190633</v>
      </c>
      <c r="F269" s="4">
        <v>150377</v>
      </c>
      <c r="G269" s="4">
        <v>32780</v>
      </c>
      <c r="H269" s="4">
        <v>117597</v>
      </c>
      <c r="I269" s="4">
        <v>40256</v>
      </c>
      <c r="J269" s="4">
        <v>0</v>
      </c>
      <c r="K269">
        <v>157853</v>
      </c>
      <c r="L269">
        <v>311</v>
      </c>
      <c r="M269" s="4">
        <v>83</v>
      </c>
      <c r="N269" s="4">
        <v>394</v>
      </c>
      <c r="O269" s="4">
        <v>19577</v>
      </c>
      <c r="P269" s="4">
        <v>0</v>
      </c>
      <c r="Q269" s="4">
        <v>11724</v>
      </c>
      <c r="R269" s="4">
        <v>12963</v>
      </c>
      <c r="S269" s="4">
        <v>202511</v>
      </c>
      <c r="T269" s="4">
        <v>137484</v>
      </c>
      <c r="U269" s="4">
        <v>65027</v>
      </c>
    </row>
    <row r="270" spans="1:21" x14ac:dyDescent="0.25">
      <c r="A270" s="1" t="s">
        <v>263</v>
      </c>
      <c r="B270" t="s">
        <v>729</v>
      </c>
      <c r="C270" s="1" t="s">
        <v>283</v>
      </c>
      <c r="D270" t="s">
        <v>665</v>
      </c>
      <c r="E270" s="4">
        <v>82181</v>
      </c>
      <c r="F270" s="4">
        <v>64827</v>
      </c>
      <c r="G270" s="4">
        <v>14131</v>
      </c>
      <c r="H270" s="4">
        <v>50696</v>
      </c>
      <c r="I270" s="4">
        <v>17354</v>
      </c>
      <c r="J270" s="4">
        <v>3565</v>
      </c>
      <c r="K270">
        <v>71615</v>
      </c>
      <c r="L270">
        <v>132</v>
      </c>
      <c r="M270" s="4">
        <v>36</v>
      </c>
      <c r="N270" s="4">
        <v>168</v>
      </c>
      <c r="O270" s="4">
        <v>8805</v>
      </c>
      <c r="P270" s="4">
        <v>0</v>
      </c>
      <c r="Q270" s="4">
        <v>5302</v>
      </c>
      <c r="R270" s="4">
        <v>5862</v>
      </c>
      <c r="S270" s="4">
        <v>91752</v>
      </c>
      <c r="T270" s="4">
        <v>59633</v>
      </c>
      <c r="U270" s="4">
        <v>32119</v>
      </c>
    </row>
    <row r="271" spans="1:21" x14ac:dyDescent="0.25">
      <c r="A271" s="1" t="s">
        <v>263</v>
      </c>
      <c r="B271" t="s">
        <v>729</v>
      </c>
      <c r="C271" s="1" t="s">
        <v>284</v>
      </c>
      <c r="D271" t="s">
        <v>666</v>
      </c>
      <c r="E271" s="4">
        <v>526810</v>
      </c>
      <c r="F271" s="4">
        <v>415562</v>
      </c>
      <c r="G271" s="4">
        <v>90588</v>
      </c>
      <c r="H271" s="4">
        <v>324974</v>
      </c>
      <c r="I271" s="4">
        <v>111248</v>
      </c>
      <c r="J271" s="4">
        <v>0</v>
      </c>
      <c r="K271" s="4">
        <v>436222</v>
      </c>
      <c r="L271">
        <v>856</v>
      </c>
      <c r="M271" s="4">
        <v>229</v>
      </c>
      <c r="N271" s="4">
        <v>1085</v>
      </c>
      <c r="O271" s="4">
        <v>54100</v>
      </c>
      <c r="P271" s="4">
        <v>0</v>
      </c>
      <c r="Q271" s="4">
        <v>36575</v>
      </c>
      <c r="R271" s="4">
        <v>40438</v>
      </c>
      <c r="S271" s="4">
        <v>568420</v>
      </c>
      <c r="T271" s="4">
        <v>379930</v>
      </c>
      <c r="U271" s="4">
        <v>188490</v>
      </c>
    </row>
    <row r="272" spans="1:21" x14ac:dyDescent="0.25">
      <c r="A272" s="1" t="s">
        <v>263</v>
      </c>
      <c r="B272" t="s">
        <v>729</v>
      </c>
      <c r="C272" s="1" t="s">
        <v>285</v>
      </c>
      <c r="D272" t="s">
        <v>667</v>
      </c>
      <c r="E272" s="4">
        <v>265363</v>
      </c>
      <c r="F272" s="4">
        <v>209326</v>
      </c>
      <c r="G272" s="4">
        <v>45630</v>
      </c>
      <c r="H272" s="4">
        <v>163696</v>
      </c>
      <c r="I272" s="4">
        <v>56037</v>
      </c>
      <c r="J272">
        <v>0</v>
      </c>
      <c r="K272">
        <v>219733</v>
      </c>
      <c r="L272">
        <v>432</v>
      </c>
      <c r="M272" s="4">
        <v>116</v>
      </c>
      <c r="N272" s="4">
        <v>548</v>
      </c>
      <c r="O272" s="4">
        <v>27251</v>
      </c>
      <c r="P272" s="4">
        <v>0</v>
      </c>
      <c r="Q272" s="4">
        <v>17434</v>
      </c>
      <c r="R272" s="4">
        <v>19275</v>
      </c>
      <c r="S272" s="4">
        <v>284241</v>
      </c>
      <c r="T272" s="4">
        <v>191379</v>
      </c>
      <c r="U272" s="4">
        <v>92862</v>
      </c>
    </row>
    <row r="273" spans="1:21" x14ac:dyDescent="0.25">
      <c r="A273" s="1" t="s">
        <v>263</v>
      </c>
      <c r="B273" t="s">
        <v>729</v>
      </c>
      <c r="C273" s="1" t="s">
        <v>286</v>
      </c>
      <c r="D273" t="s">
        <v>668</v>
      </c>
      <c r="E273" s="4">
        <v>117382</v>
      </c>
      <c r="F273" s="4">
        <v>92594</v>
      </c>
      <c r="G273" s="4">
        <v>20185</v>
      </c>
      <c r="H273" s="4">
        <v>72409</v>
      </c>
      <c r="I273" s="4">
        <v>24788</v>
      </c>
      <c r="J273" s="4">
        <v>13836</v>
      </c>
      <c r="K273">
        <v>111033</v>
      </c>
      <c r="L273">
        <v>189</v>
      </c>
      <c r="M273" s="4">
        <v>51</v>
      </c>
      <c r="N273" s="4">
        <v>240</v>
      </c>
      <c r="O273" s="4">
        <v>13474</v>
      </c>
      <c r="P273" s="4">
        <v>0</v>
      </c>
      <c r="Q273" s="4">
        <v>7774</v>
      </c>
      <c r="R273" s="4">
        <v>8595</v>
      </c>
      <c r="S273" s="4">
        <v>141116</v>
      </c>
      <c r="T273" s="4">
        <v>86072</v>
      </c>
      <c r="U273" s="4">
        <v>55044</v>
      </c>
    </row>
    <row r="274" spans="1:21" x14ac:dyDescent="0.25">
      <c r="A274" s="1" t="s">
        <v>263</v>
      </c>
      <c r="B274" t="s">
        <v>729</v>
      </c>
      <c r="C274" s="1" t="s">
        <v>287</v>
      </c>
      <c r="D274" t="s">
        <v>669</v>
      </c>
      <c r="E274" s="4">
        <v>174604</v>
      </c>
      <c r="F274" s="4">
        <v>137732</v>
      </c>
      <c r="G274" s="4">
        <v>30024</v>
      </c>
      <c r="H274" s="4">
        <v>107708</v>
      </c>
      <c r="I274" s="4">
        <v>36872</v>
      </c>
      <c r="J274">
        <v>0</v>
      </c>
      <c r="K274">
        <v>144580</v>
      </c>
      <c r="L274">
        <v>284</v>
      </c>
      <c r="M274" s="4">
        <v>75</v>
      </c>
      <c r="N274" s="4">
        <v>359</v>
      </c>
      <c r="O274" s="4">
        <v>17931</v>
      </c>
      <c r="P274" s="4">
        <v>0</v>
      </c>
      <c r="Q274" s="4">
        <v>11776</v>
      </c>
      <c r="R274" s="4">
        <v>13019</v>
      </c>
      <c r="S274" s="4">
        <v>187665</v>
      </c>
      <c r="T274" s="4">
        <v>125923</v>
      </c>
      <c r="U274" s="4">
        <v>61742</v>
      </c>
    </row>
    <row r="275" spans="1:21" x14ac:dyDescent="0.25">
      <c r="A275" s="1" t="s">
        <v>263</v>
      </c>
      <c r="B275" t="s">
        <v>729</v>
      </c>
      <c r="C275" s="1" t="s">
        <v>288</v>
      </c>
      <c r="D275" t="s">
        <v>670</v>
      </c>
      <c r="E275" s="4">
        <v>1057782</v>
      </c>
      <c r="F275" s="4">
        <v>834408</v>
      </c>
      <c r="G275" s="4">
        <v>181892</v>
      </c>
      <c r="H275" s="4">
        <v>652516</v>
      </c>
      <c r="I275" s="4">
        <v>223374</v>
      </c>
      <c r="J275" s="4">
        <v>0</v>
      </c>
      <c r="K275" s="4">
        <v>875890</v>
      </c>
      <c r="L275" s="4">
        <v>1717</v>
      </c>
      <c r="M275" s="4">
        <v>460</v>
      </c>
      <c r="N275" s="4">
        <v>2177</v>
      </c>
      <c r="O275" s="4">
        <v>108628</v>
      </c>
      <c r="P275" s="4">
        <v>0</v>
      </c>
      <c r="Q275" s="4">
        <v>73839</v>
      </c>
      <c r="R275" s="4">
        <v>81638</v>
      </c>
      <c r="S275" s="4">
        <v>1142172</v>
      </c>
      <c r="T275" s="4">
        <v>762861</v>
      </c>
      <c r="U275" s="4">
        <v>379311</v>
      </c>
    </row>
    <row r="276" spans="1:21" x14ac:dyDescent="0.25">
      <c r="A276" s="1" t="s">
        <v>263</v>
      </c>
      <c r="B276" t="s">
        <v>729</v>
      </c>
      <c r="C276" s="1" t="s">
        <v>289</v>
      </c>
      <c r="D276" t="s">
        <v>671</v>
      </c>
      <c r="E276" s="4">
        <v>220983</v>
      </c>
      <c r="F276" s="4">
        <v>174317</v>
      </c>
      <c r="G276" s="4">
        <v>37999</v>
      </c>
      <c r="H276" s="4">
        <v>136318</v>
      </c>
      <c r="I276" s="4">
        <v>46666</v>
      </c>
      <c r="J276">
        <v>0</v>
      </c>
      <c r="K276">
        <v>182984</v>
      </c>
      <c r="L276">
        <v>359</v>
      </c>
      <c r="M276" s="4">
        <v>96</v>
      </c>
      <c r="N276" s="4">
        <v>455</v>
      </c>
      <c r="O276" s="4">
        <v>22694</v>
      </c>
      <c r="P276" s="4">
        <v>0</v>
      </c>
      <c r="Q276" s="4">
        <v>15012</v>
      </c>
      <c r="R276" s="4">
        <v>16598</v>
      </c>
      <c r="S276" s="4">
        <v>237743</v>
      </c>
      <c r="T276" s="4">
        <v>159372</v>
      </c>
      <c r="U276" s="4">
        <v>78371</v>
      </c>
    </row>
    <row r="277" spans="1:21" x14ac:dyDescent="0.25">
      <c r="A277" s="1" t="s">
        <v>263</v>
      </c>
      <c r="B277" t="s">
        <v>729</v>
      </c>
      <c r="C277" s="1" t="s">
        <v>290</v>
      </c>
      <c r="D277" t="s">
        <v>672</v>
      </c>
      <c r="E277" s="4">
        <v>287820</v>
      </c>
      <c r="F277" s="4">
        <v>227040</v>
      </c>
      <c r="G277" s="4">
        <v>49492</v>
      </c>
      <c r="H277" s="4">
        <v>177548</v>
      </c>
      <c r="I277" s="4">
        <v>60780</v>
      </c>
      <c r="J277" s="4">
        <v>5249</v>
      </c>
      <c r="K277">
        <v>243577</v>
      </c>
      <c r="L277">
        <v>467</v>
      </c>
      <c r="M277" s="4">
        <v>125</v>
      </c>
      <c r="N277" s="4">
        <v>592</v>
      </c>
      <c r="O277" s="4">
        <v>30093</v>
      </c>
      <c r="P277" s="4">
        <v>0</v>
      </c>
      <c r="Q277" s="4">
        <v>18708</v>
      </c>
      <c r="R277" s="4">
        <v>20684</v>
      </c>
      <c r="S277" s="4">
        <v>313654</v>
      </c>
      <c r="T277" s="4">
        <v>208108</v>
      </c>
      <c r="U277" s="4">
        <v>105546</v>
      </c>
    </row>
    <row r="278" spans="1:21" x14ac:dyDescent="0.25">
      <c r="A278" s="1" t="s">
        <v>263</v>
      </c>
      <c r="B278" t="s">
        <v>729</v>
      </c>
      <c r="C278" s="1" t="s">
        <v>291</v>
      </c>
      <c r="D278" t="s">
        <v>673</v>
      </c>
      <c r="E278" s="4">
        <v>90317</v>
      </c>
      <c r="F278" s="4">
        <v>71245</v>
      </c>
      <c r="G278" s="4">
        <v>15531</v>
      </c>
      <c r="H278" s="4">
        <v>55714</v>
      </c>
      <c r="I278" s="4">
        <v>19072</v>
      </c>
      <c r="J278" s="4">
        <v>2551</v>
      </c>
      <c r="K278">
        <v>77337</v>
      </c>
      <c r="L278">
        <v>146</v>
      </c>
      <c r="M278" s="4">
        <v>39</v>
      </c>
      <c r="N278" s="4">
        <v>185</v>
      </c>
      <c r="O278" s="4">
        <v>9275</v>
      </c>
      <c r="P278" s="4">
        <v>0</v>
      </c>
      <c r="Q278" s="4">
        <v>5633</v>
      </c>
      <c r="R278" s="4">
        <v>6228</v>
      </c>
      <c r="S278" s="4">
        <v>98658</v>
      </c>
      <c r="T278" s="4">
        <v>65135</v>
      </c>
      <c r="U278" s="4">
        <v>33523</v>
      </c>
    </row>
    <row r="279" spans="1:21" x14ac:dyDescent="0.25">
      <c r="A279" s="1" t="s">
        <v>263</v>
      </c>
      <c r="B279" t="s">
        <v>729</v>
      </c>
      <c r="C279" s="1" t="s">
        <v>292</v>
      </c>
      <c r="D279" t="s">
        <v>674</v>
      </c>
      <c r="E279" s="4">
        <v>238634</v>
      </c>
      <c r="F279" s="4">
        <v>188241</v>
      </c>
      <c r="G279" s="4">
        <v>41035</v>
      </c>
      <c r="H279" s="4">
        <v>147206</v>
      </c>
      <c r="I279" s="4">
        <v>50393</v>
      </c>
      <c r="J279">
        <v>0</v>
      </c>
      <c r="K279">
        <v>197599</v>
      </c>
      <c r="L279">
        <v>386</v>
      </c>
      <c r="M279" s="4">
        <v>103</v>
      </c>
      <c r="N279" s="4">
        <v>489</v>
      </c>
      <c r="O279" s="4">
        <v>24506</v>
      </c>
      <c r="P279" s="4">
        <v>0</v>
      </c>
      <c r="Q279" s="4">
        <v>15242</v>
      </c>
      <c r="R279" s="4">
        <v>16852</v>
      </c>
      <c r="S279" s="4">
        <v>254688</v>
      </c>
      <c r="T279" s="4">
        <v>172098</v>
      </c>
      <c r="U279" s="4">
        <v>82590</v>
      </c>
    </row>
    <row r="280" spans="1:21" x14ac:dyDescent="0.25">
      <c r="A280" s="1" t="s">
        <v>263</v>
      </c>
      <c r="B280" t="s">
        <v>729</v>
      </c>
      <c r="C280" s="1" t="s">
        <v>293</v>
      </c>
      <c r="D280" t="s">
        <v>675</v>
      </c>
      <c r="E280" s="4">
        <v>86789</v>
      </c>
      <c r="F280" s="4">
        <v>68461</v>
      </c>
      <c r="G280" s="4">
        <v>14924</v>
      </c>
      <c r="H280" s="4">
        <v>53537</v>
      </c>
      <c r="I280" s="4">
        <v>18328</v>
      </c>
      <c r="J280" s="4">
        <v>1304</v>
      </c>
      <c r="K280">
        <v>73169</v>
      </c>
      <c r="L280">
        <v>140</v>
      </c>
      <c r="M280" s="4">
        <v>38</v>
      </c>
      <c r="N280" s="4">
        <v>178</v>
      </c>
      <c r="O280" s="4">
        <v>8913</v>
      </c>
      <c r="P280" s="4">
        <v>0</v>
      </c>
      <c r="Q280" s="4">
        <v>5658</v>
      </c>
      <c r="R280" s="4">
        <v>6256</v>
      </c>
      <c r="S280" s="4">
        <v>94174</v>
      </c>
      <c r="T280" s="4">
        <v>62591</v>
      </c>
      <c r="U280" s="4">
        <v>31583</v>
      </c>
    </row>
    <row r="281" spans="1:21" x14ac:dyDescent="0.25">
      <c r="A281" s="1" t="s">
        <v>263</v>
      </c>
      <c r="B281" t="s">
        <v>729</v>
      </c>
      <c r="C281" s="1" t="s">
        <v>294</v>
      </c>
      <c r="D281" t="s">
        <v>676</v>
      </c>
      <c r="E281" s="4">
        <v>258918</v>
      </c>
      <c r="F281" s="4">
        <v>204242</v>
      </c>
      <c r="G281" s="4">
        <v>44522</v>
      </c>
      <c r="H281" s="4">
        <v>159720</v>
      </c>
      <c r="I281" s="4">
        <v>54676</v>
      </c>
      <c r="J281">
        <v>0</v>
      </c>
      <c r="K281">
        <v>214396</v>
      </c>
      <c r="L281">
        <v>421</v>
      </c>
      <c r="M281" s="4">
        <v>113</v>
      </c>
      <c r="N281" s="4">
        <v>534</v>
      </c>
      <c r="O281" s="4">
        <v>26589</v>
      </c>
      <c r="P281" s="4">
        <v>0</v>
      </c>
      <c r="Q281" s="4">
        <v>17255</v>
      </c>
      <c r="R281" s="4">
        <v>19078</v>
      </c>
      <c r="S281" s="4">
        <v>277852</v>
      </c>
      <c r="T281" s="4">
        <v>186730</v>
      </c>
      <c r="U281" s="4">
        <v>91122</v>
      </c>
    </row>
    <row r="282" spans="1:21" x14ac:dyDescent="0.25">
      <c r="A282" s="1" t="s">
        <v>263</v>
      </c>
      <c r="B282" t="s">
        <v>729</v>
      </c>
      <c r="C282" s="1" t="s">
        <v>295</v>
      </c>
      <c r="D282" t="s">
        <v>677</v>
      </c>
      <c r="E282" s="4">
        <v>65382</v>
      </c>
      <c r="F282" s="4">
        <v>51575</v>
      </c>
      <c r="G282" s="4">
        <v>11243</v>
      </c>
      <c r="H282" s="4">
        <v>40332</v>
      </c>
      <c r="I282" s="4">
        <v>13807</v>
      </c>
      <c r="J282" s="4">
        <v>7384</v>
      </c>
      <c r="K282">
        <v>61523</v>
      </c>
      <c r="L282">
        <v>105</v>
      </c>
      <c r="M282" s="4">
        <v>28</v>
      </c>
      <c r="N282" s="4">
        <v>133</v>
      </c>
      <c r="O282" s="4">
        <v>7452</v>
      </c>
      <c r="P282" s="4">
        <v>0</v>
      </c>
      <c r="Q282" s="4">
        <v>4358</v>
      </c>
      <c r="R282" s="4">
        <v>4819</v>
      </c>
      <c r="S282" s="4">
        <v>78285</v>
      </c>
      <c r="T282" s="4">
        <v>47890</v>
      </c>
      <c r="U282" s="4">
        <v>30395</v>
      </c>
    </row>
    <row r="283" spans="1:21" x14ac:dyDescent="0.25">
      <c r="A283" s="1" t="s">
        <v>263</v>
      </c>
      <c r="B283" t="s">
        <v>729</v>
      </c>
      <c r="C283" s="1" t="s">
        <v>296</v>
      </c>
      <c r="D283" t="s">
        <v>678</v>
      </c>
      <c r="E283" s="4">
        <v>406523</v>
      </c>
      <c r="F283" s="4">
        <v>320676</v>
      </c>
      <c r="G283" s="4">
        <v>69904</v>
      </c>
      <c r="H283" s="4">
        <v>250772</v>
      </c>
      <c r="I283" s="4">
        <v>85847</v>
      </c>
      <c r="J283" s="4">
        <v>0</v>
      </c>
      <c r="K283">
        <v>336619</v>
      </c>
      <c r="L283">
        <v>659</v>
      </c>
      <c r="M283" s="4">
        <v>176</v>
      </c>
      <c r="N283" s="4">
        <v>835</v>
      </c>
      <c r="O283" s="4">
        <v>41747</v>
      </c>
      <c r="P283" s="4">
        <v>0</v>
      </c>
      <c r="Q283" s="4">
        <v>27017</v>
      </c>
      <c r="R283" s="4">
        <v>29871</v>
      </c>
      <c r="S283" s="4">
        <v>436089</v>
      </c>
      <c r="T283" s="4">
        <v>293178</v>
      </c>
      <c r="U283" s="4">
        <v>142911</v>
      </c>
    </row>
    <row r="284" spans="1:21" x14ac:dyDescent="0.25">
      <c r="A284" s="1" t="s">
        <v>263</v>
      </c>
      <c r="B284" t="s">
        <v>729</v>
      </c>
      <c r="C284" s="1" t="s">
        <v>297</v>
      </c>
      <c r="D284" t="s">
        <v>679</v>
      </c>
      <c r="E284" s="4">
        <v>279845</v>
      </c>
      <c r="F284" s="4">
        <v>220749</v>
      </c>
      <c r="G284" s="4">
        <v>48121</v>
      </c>
      <c r="H284" s="4">
        <v>172628</v>
      </c>
      <c r="I284" s="4">
        <v>59096</v>
      </c>
      <c r="J284">
        <v>0</v>
      </c>
      <c r="K284">
        <v>231724</v>
      </c>
      <c r="L284">
        <v>454</v>
      </c>
      <c r="M284" s="4">
        <v>121</v>
      </c>
      <c r="N284" s="4">
        <v>575</v>
      </c>
      <c r="O284" s="4">
        <v>28738</v>
      </c>
      <c r="P284" s="4">
        <v>0</v>
      </c>
      <c r="Q284" s="4">
        <v>18096</v>
      </c>
      <c r="R284" s="4">
        <v>20008</v>
      </c>
      <c r="S284" s="4">
        <v>299141</v>
      </c>
      <c r="T284" s="4">
        <v>201820</v>
      </c>
      <c r="U284" s="4">
        <v>97321</v>
      </c>
    </row>
    <row r="285" spans="1:21" x14ac:dyDescent="0.25">
      <c r="A285" s="1" t="s">
        <v>263</v>
      </c>
      <c r="B285" t="s">
        <v>729</v>
      </c>
      <c r="C285" s="1" t="s">
        <v>298</v>
      </c>
      <c r="D285" t="s">
        <v>680</v>
      </c>
      <c r="E285" s="4">
        <v>412536</v>
      </c>
      <c r="F285" s="4">
        <v>325420</v>
      </c>
      <c r="G285" s="4">
        <v>70938</v>
      </c>
      <c r="H285" s="4">
        <v>254482</v>
      </c>
      <c r="I285" s="4">
        <v>87116</v>
      </c>
      <c r="J285">
        <v>0</v>
      </c>
      <c r="K285">
        <v>341598</v>
      </c>
      <c r="L285">
        <v>670</v>
      </c>
      <c r="M285" s="4">
        <v>179</v>
      </c>
      <c r="N285" s="4">
        <v>849</v>
      </c>
      <c r="O285" s="4">
        <v>42365</v>
      </c>
      <c r="P285" s="4">
        <v>0</v>
      </c>
      <c r="Q285" s="4">
        <v>27119</v>
      </c>
      <c r="R285" s="4">
        <v>29984</v>
      </c>
      <c r="S285" s="4">
        <v>441915</v>
      </c>
      <c r="T285" s="4">
        <v>297517</v>
      </c>
      <c r="U285" s="4">
        <v>144398</v>
      </c>
    </row>
    <row r="286" spans="1:21" x14ac:dyDescent="0.25">
      <c r="A286" s="1" t="s">
        <v>263</v>
      </c>
      <c r="B286" t="s">
        <v>729</v>
      </c>
      <c r="C286" s="1" t="s">
        <v>299</v>
      </c>
      <c r="D286" t="s">
        <v>681</v>
      </c>
      <c r="E286" s="4">
        <v>150107</v>
      </c>
      <c r="F286" s="4">
        <v>118409</v>
      </c>
      <c r="G286" s="4">
        <v>25812</v>
      </c>
      <c r="H286" s="4">
        <v>92597</v>
      </c>
      <c r="I286" s="4">
        <v>31698</v>
      </c>
      <c r="J286">
        <v>0</v>
      </c>
      <c r="K286">
        <v>124295</v>
      </c>
      <c r="L286">
        <v>243</v>
      </c>
      <c r="M286" s="4">
        <v>65</v>
      </c>
      <c r="N286" s="4">
        <v>308</v>
      </c>
      <c r="O286" s="4">
        <v>15415</v>
      </c>
      <c r="P286" s="4">
        <v>0</v>
      </c>
      <c r="Q286" s="4">
        <v>9915</v>
      </c>
      <c r="R286" s="4">
        <v>10962</v>
      </c>
      <c r="S286" s="4">
        <v>160895</v>
      </c>
      <c r="T286" s="4">
        <v>108255</v>
      </c>
      <c r="U286" s="4">
        <v>52640</v>
      </c>
    </row>
    <row r="287" spans="1:21" x14ac:dyDescent="0.25">
      <c r="A287" s="1" t="s">
        <v>263</v>
      </c>
      <c r="B287" t="s">
        <v>729</v>
      </c>
      <c r="C287" s="1" t="s">
        <v>300</v>
      </c>
      <c r="D287" t="s">
        <v>682</v>
      </c>
      <c r="E287" s="4">
        <v>78403</v>
      </c>
      <c r="F287" s="4">
        <v>61846</v>
      </c>
      <c r="G287" s="4">
        <v>13481</v>
      </c>
      <c r="H287" s="4">
        <v>48365</v>
      </c>
      <c r="I287" s="4">
        <v>16557</v>
      </c>
      <c r="J287" s="4">
        <v>1373</v>
      </c>
      <c r="K287">
        <v>66295</v>
      </c>
      <c r="L287">
        <v>127</v>
      </c>
      <c r="M287" s="4">
        <v>34</v>
      </c>
      <c r="N287" s="4">
        <v>161</v>
      </c>
      <c r="O287" s="4">
        <v>8051</v>
      </c>
      <c r="P287" s="4">
        <v>0</v>
      </c>
      <c r="Q287" s="4">
        <v>5021</v>
      </c>
      <c r="R287" s="4">
        <v>5552</v>
      </c>
      <c r="S287" s="4">
        <v>85080</v>
      </c>
      <c r="T287" s="4">
        <v>56543</v>
      </c>
      <c r="U287" s="4">
        <v>28537</v>
      </c>
    </row>
    <row r="288" spans="1:21" x14ac:dyDescent="0.25">
      <c r="A288" s="1" t="s">
        <v>263</v>
      </c>
      <c r="B288" t="s">
        <v>729</v>
      </c>
      <c r="C288" s="1" t="s">
        <v>301</v>
      </c>
      <c r="D288" t="s">
        <v>683</v>
      </c>
      <c r="E288" s="4">
        <v>70342</v>
      </c>
      <c r="F288" s="4">
        <v>55488</v>
      </c>
      <c r="G288" s="4">
        <v>12096</v>
      </c>
      <c r="H288" s="4">
        <v>43392</v>
      </c>
      <c r="I288" s="4">
        <v>14854</v>
      </c>
      <c r="J288" s="4">
        <v>1515</v>
      </c>
      <c r="K288">
        <v>59761</v>
      </c>
      <c r="L288">
        <v>113</v>
      </c>
      <c r="M288" s="4">
        <v>31</v>
      </c>
      <c r="N288" s="4">
        <v>144</v>
      </c>
      <c r="O288" s="4">
        <v>7379</v>
      </c>
      <c r="P288" s="4">
        <v>0</v>
      </c>
      <c r="Q288" s="4">
        <v>4766</v>
      </c>
      <c r="R288" s="4">
        <v>5270</v>
      </c>
      <c r="S288" s="4">
        <v>77320</v>
      </c>
      <c r="T288" s="4">
        <v>50884</v>
      </c>
      <c r="U288" s="4">
        <v>26436</v>
      </c>
    </row>
    <row r="289" spans="1:21" x14ac:dyDescent="0.25">
      <c r="A289" s="1" t="s">
        <v>263</v>
      </c>
      <c r="B289" t="s">
        <v>729</v>
      </c>
      <c r="C289" s="1" t="s">
        <v>302</v>
      </c>
      <c r="D289" t="s">
        <v>684</v>
      </c>
      <c r="E289" s="4">
        <v>207945</v>
      </c>
      <c r="F289" s="4">
        <v>164033</v>
      </c>
      <c r="G289" s="4">
        <v>35757</v>
      </c>
      <c r="H289" s="4">
        <v>128276</v>
      </c>
      <c r="I289" s="4">
        <v>43912</v>
      </c>
      <c r="J289" s="4">
        <v>0</v>
      </c>
      <c r="K289">
        <v>172188</v>
      </c>
      <c r="L289">
        <v>338</v>
      </c>
      <c r="M289" s="4">
        <v>90</v>
      </c>
      <c r="N289" s="4">
        <v>428</v>
      </c>
      <c r="O289" s="4">
        <v>21355</v>
      </c>
      <c r="P289" s="4">
        <v>0</v>
      </c>
      <c r="Q289" s="4">
        <v>15522</v>
      </c>
      <c r="R289" s="4">
        <v>17162</v>
      </c>
      <c r="S289" s="4">
        <v>226655</v>
      </c>
      <c r="T289" s="4">
        <v>149969</v>
      </c>
      <c r="U289" s="4">
        <v>76686</v>
      </c>
    </row>
    <row r="290" spans="1:21" x14ac:dyDescent="0.25">
      <c r="A290" s="1" t="s">
        <v>263</v>
      </c>
      <c r="B290" t="s">
        <v>729</v>
      </c>
      <c r="C290" s="1" t="s">
        <v>303</v>
      </c>
      <c r="D290" t="s">
        <v>685</v>
      </c>
      <c r="E290" s="4">
        <v>249170</v>
      </c>
      <c r="F290" s="4">
        <v>196552</v>
      </c>
      <c r="G290" s="4">
        <v>42846</v>
      </c>
      <c r="H290" s="4">
        <v>153706</v>
      </c>
      <c r="I290" s="4">
        <v>52618</v>
      </c>
      <c r="J290">
        <v>0</v>
      </c>
      <c r="K290">
        <v>206324</v>
      </c>
      <c r="L290">
        <v>405</v>
      </c>
      <c r="M290" s="4">
        <v>108</v>
      </c>
      <c r="N290" s="4">
        <v>513</v>
      </c>
      <c r="O290" s="4">
        <v>25588</v>
      </c>
      <c r="P290" s="4">
        <v>0</v>
      </c>
      <c r="Q290" s="4">
        <v>16848</v>
      </c>
      <c r="R290" s="4">
        <v>18627</v>
      </c>
      <c r="S290" s="4">
        <v>267900</v>
      </c>
      <c r="T290" s="4">
        <v>179699</v>
      </c>
      <c r="U290" s="4">
        <v>88201</v>
      </c>
    </row>
    <row r="291" spans="1:21" x14ac:dyDescent="0.25">
      <c r="A291" s="1" t="s">
        <v>263</v>
      </c>
      <c r="B291" t="s">
        <v>729</v>
      </c>
      <c r="C291" s="1" t="s">
        <v>304</v>
      </c>
      <c r="D291" t="s">
        <v>686</v>
      </c>
      <c r="E291" s="4">
        <v>278188</v>
      </c>
      <c r="F291" s="4">
        <v>219443</v>
      </c>
      <c r="G291" s="4">
        <v>47836</v>
      </c>
      <c r="H291" s="4">
        <v>171607</v>
      </c>
      <c r="I291" s="4">
        <v>58745</v>
      </c>
      <c r="J291" s="4">
        <v>3050</v>
      </c>
      <c r="K291">
        <v>233402</v>
      </c>
      <c r="L291">
        <v>451</v>
      </c>
      <c r="M291" s="4">
        <v>121</v>
      </c>
      <c r="N291" s="4">
        <v>572</v>
      </c>
      <c r="O291" s="4">
        <v>28878</v>
      </c>
      <c r="P291" s="4">
        <v>0</v>
      </c>
      <c r="Q291" s="4">
        <v>19345</v>
      </c>
      <c r="R291" s="4">
        <v>21389</v>
      </c>
      <c r="S291" s="4">
        <v>303586</v>
      </c>
      <c r="T291" s="4">
        <v>200935</v>
      </c>
      <c r="U291" s="4">
        <v>102651</v>
      </c>
    </row>
    <row r="292" spans="1:21" x14ac:dyDescent="0.25">
      <c r="A292" s="1" t="s">
        <v>263</v>
      </c>
      <c r="B292" t="s">
        <v>729</v>
      </c>
      <c r="C292" s="1" t="s">
        <v>305</v>
      </c>
      <c r="D292" t="s">
        <v>687</v>
      </c>
      <c r="E292" s="4">
        <v>110926</v>
      </c>
      <c r="F292" s="4">
        <v>87502</v>
      </c>
      <c r="G292" s="4">
        <v>19075</v>
      </c>
      <c r="H292" s="4">
        <v>68427</v>
      </c>
      <c r="I292" s="4">
        <v>23424</v>
      </c>
      <c r="J292" s="4">
        <v>6177</v>
      </c>
      <c r="K292">
        <v>98028</v>
      </c>
      <c r="L292">
        <v>181</v>
      </c>
      <c r="M292" s="4">
        <v>48</v>
      </c>
      <c r="N292" s="4">
        <v>229</v>
      </c>
      <c r="O292" s="4">
        <v>12024</v>
      </c>
      <c r="P292" s="4">
        <v>0</v>
      </c>
      <c r="Q292" s="4">
        <v>7188</v>
      </c>
      <c r="R292" s="4">
        <v>7947</v>
      </c>
      <c r="S292" s="4">
        <v>125416</v>
      </c>
      <c r="T292" s="4">
        <v>80632</v>
      </c>
      <c r="U292" s="4">
        <v>44784</v>
      </c>
    </row>
    <row r="293" spans="1:21" x14ac:dyDescent="0.25">
      <c r="A293" s="1" t="s">
        <v>263</v>
      </c>
      <c r="B293" t="s">
        <v>729</v>
      </c>
      <c r="C293" s="1" t="s">
        <v>306</v>
      </c>
      <c r="D293" t="s">
        <v>688</v>
      </c>
      <c r="E293" s="4">
        <v>136375</v>
      </c>
      <c r="F293" s="4">
        <v>107576</v>
      </c>
      <c r="G293" s="4">
        <v>23451</v>
      </c>
      <c r="H293" s="4">
        <v>84125</v>
      </c>
      <c r="I293" s="4">
        <v>28799</v>
      </c>
      <c r="J293" s="4">
        <v>11585</v>
      </c>
      <c r="K293">
        <v>124509</v>
      </c>
      <c r="L293">
        <v>221</v>
      </c>
      <c r="M293" s="4">
        <v>60</v>
      </c>
      <c r="N293" s="4">
        <v>281</v>
      </c>
      <c r="O293" s="4">
        <v>14153</v>
      </c>
      <c r="P293" s="4">
        <v>0</v>
      </c>
      <c r="Q293" s="4">
        <v>8946</v>
      </c>
      <c r="R293" s="4">
        <v>9891</v>
      </c>
      <c r="S293" s="4">
        <v>157780</v>
      </c>
      <c r="T293" s="4">
        <v>98500</v>
      </c>
      <c r="U293" s="4">
        <v>59280</v>
      </c>
    </row>
    <row r="294" spans="1:21" x14ac:dyDescent="0.25">
      <c r="A294" s="1" t="s">
        <v>263</v>
      </c>
      <c r="B294" t="s">
        <v>729</v>
      </c>
      <c r="C294" s="1" t="s">
        <v>307</v>
      </c>
      <c r="D294" t="s">
        <v>689</v>
      </c>
      <c r="E294" s="4">
        <v>195305</v>
      </c>
      <c r="F294" s="4">
        <v>154062</v>
      </c>
      <c r="G294" s="4">
        <v>33584</v>
      </c>
      <c r="H294" s="4">
        <v>120478</v>
      </c>
      <c r="I294" s="4">
        <v>41243</v>
      </c>
      <c r="J294">
        <v>0</v>
      </c>
      <c r="K294">
        <v>161721</v>
      </c>
      <c r="L294">
        <v>316</v>
      </c>
      <c r="M294" s="4">
        <v>84</v>
      </c>
      <c r="N294" s="4">
        <v>400</v>
      </c>
      <c r="O294" s="4">
        <v>20057</v>
      </c>
      <c r="P294" s="4">
        <v>0</v>
      </c>
      <c r="Q294" s="4">
        <v>12999</v>
      </c>
      <c r="R294" s="4">
        <v>14372</v>
      </c>
      <c r="S294" s="4">
        <v>209549</v>
      </c>
      <c r="T294" s="4">
        <v>140851</v>
      </c>
      <c r="U294" s="4">
        <v>68698</v>
      </c>
    </row>
    <row r="295" spans="1:21" x14ac:dyDescent="0.25">
      <c r="A295" s="1" t="s">
        <v>308</v>
      </c>
      <c r="B295" t="s">
        <v>730</v>
      </c>
      <c r="C295" s="1" t="s">
        <v>309</v>
      </c>
      <c r="D295" t="s">
        <v>690</v>
      </c>
      <c r="E295" s="4">
        <v>411790</v>
      </c>
      <c r="F295" s="4">
        <v>327356</v>
      </c>
      <c r="G295" s="4">
        <v>71361</v>
      </c>
      <c r="H295" s="4">
        <v>255995</v>
      </c>
      <c r="I295" s="4">
        <v>84434</v>
      </c>
      <c r="J295">
        <v>0</v>
      </c>
      <c r="K295">
        <v>340429</v>
      </c>
      <c r="L295">
        <v>759</v>
      </c>
      <c r="M295" s="4">
        <v>195</v>
      </c>
      <c r="N295" s="4">
        <v>954</v>
      </c>
      <c r="O295" s="4">
        <v>41417</v>
      </c>
      <c r="P295" s="4">
        <v>0</v>
      </c>
      <c r="Q295" s="4">
        <v>27667</v>
      </c>
      <c r="R295" s="4">
        <v>30417</v>
      </c>
      <c r="S295" s="4">
        <v>440884</v>
      </c>
      <c r="T295" s="4">
        <v>298171</v>
      </c>
      <c r="U295" s="4">
        <v>142713</v>
      </c>
    </row>
    <row r="296" spans="1:21" x14ac:dyDescent="0.25">
      <c r="A296" s="1" t="s">
        <v>308</v>
      </c>
      <c r="B296" t="s">
        <v>730</v>
      </c>
      <c r="C296" s="1" t="s">
        <v>310</v>
      </c>
      <c r="D296" t="s">
        <v>691</v>
      </c>
      <c r="E296" s="4">
        <v>1538365</v>
      </c>
      <c r="F296" s="4">
        <v>1222938</v>
      </c>
      <c r="G296" s="4">
        <v>266588</v>
      </c>
      <c r="H296" s="4">
        <v>956350</v>
      </c>
      <c r="I296" s="4">
        <v>315427</v>
      </c>
      <c r="J296" s="4">
        <v>0</v>
      </c>
      <c r="K296" s="4">
        <v>1271777</v>
      </c>
      <c r="L296" s="4">
        <v>2830</v>
      </c>
      <c r="M296" s="4">
        <v>729</v>
      </c>
      <c r="N296" s="4">
        <v>3559</v>
      </c>
      <c r="O296" s="4">
        <v>154724</v>
      </c>
      <c r="P296" s="4">
        <v>0</v>
      </c>
      <c r="Q296" s="4">
        <v>104452</v>
      </c>
      <c r="R296" s="4">
        <v>114833</v>
      </c>
      <c r="S296" s="4">
        <v>1649345</v>
      </c>
      <c r="T296" s="4">
        <v>1113904</v>
      </c>
      <c r="U296" s="4">
        <v>535441</v>
      </c>
    </row>
    <row r="297" spans="1:21" x14ac:dyDescent="0.25">
      <c r="A297" s="1" t="s">
        <v>308</v>
      </c>
      <c r="B297" t="s">
        <v>730</v>
      </c>
      <c r="C297" s="1" t="s">
        <v>311</v>
      </c>
      <c r="D297" t="s">
        <v>692</v>
      </c>
      <c r="E297" s="4">
        <v>210882</v>
      </c>
      <c r="F297" s="4">
        <v>167643</v>
      </c>
      <c r="G297" s="4">
        <v>36544</v>
      </c>
      <c r="H297" s="4">
        <v>131099</v>
      </c>
      <c r="I297" s="4">
        <v>43239</v>
      </c>
      <c r="J297" s="4">
        <v>9088</v>
      </c>
      <c r="K297">
        <v>183426</v>
      </c>
      <c r="L297">
        <v>389</v>
      </c>
      <c r="M297" s="4">
        <v>100</v>
      </c>
      <c r="N297" s="4">
        <v>489</v>
      </c>
      <c r="O297" s="4">
        <v>22110</v>
      </c>
      <c r="P297" s="4">
        <v>0</v>
      </c>
      <c r="Q297" s="4">
        <v>13757</v>
      </c>
      <c r="R297" s="4">
        <v>15124</v>
      </c>
      <c r="S297" s="4">
        <v>234906</v>
      </c>
      <c r="T297" s="4">
        <v>153598</v>
      </c>
      <c r="U297" s="4">
        <v>81308</v>
      </c>
    </row>
    <row r="298" spans="1:21" x14ac:dyDescent="0.25">
      <c r="A298" s="1" t="s">
        <v>308</v>
      </c>
      <c r="B298" t="s">
        <v>730</v>
      </c>
      <c r="C298" s="1" t="s">
        <v>312</v>
      </c>
      <c r="D298" t="s">
        <v>693</v>
      </c>
      <c r="E298" s="4">
        <v>513923</v>
      </c>
      <c r="F298" s="4">
        <v>408548</v>
      </c>
      <c r="G298" s="4">
        <v>89059</v>
      </c>
      <c r="H298" s="4">
        <v>319489</v>
      </c>
      <c r="I298" s="4">
        <v>105375</v>
      </c>
      <c r="J298" s="4">
        <v>0</v>
      </c>
      <c r="K298" s="4">
        <v>424864</v>
      </c>
      <c r="L298">
        <v>945</v>
      </c>
      <c r="M298" s="4">
        <v>244</v>
      </c>
      <c r="N298" s="4">
        <v>1189</v>
      </c>
      <c r="O298" s="4">
        <v>51689</v>
      </c>
      <c r="P298" s="4">
        <v>0</v>
      </c>
      <c r="Q298" s="4">
        <v>33908</v>
      </c>
      <c r="R298" s="4">
        <v>37279</v>
      </c>
      <c r="S298" s="4">
        <v>548929</v>
      </c>
      <c r="T298" s="4">
        <v>372123</v>
      </c>
      <c r="U298" s="4">
        <v>176806</v>
      </c>
    </row>
    <row r="299" spans="1:21" x14ac:dyDescent="0.25">
      <c r="A299" s="1" t="s">
        <v>308</v>
      </c>
      <c r="B299" t="s">
        <v>730</v>
      </c>
      <c r="C299" s="1" t="s">
        <v>313</v>
      </c>
      <c r="D299" t="s">
        <v>694</v>
      </c>
      <c r="E299" s="4">
        <v>306508</v>
      </c>
      <c r="F299" s="4">
        <v>243662</v>
      </c>
      <c r="G299" s="4">
        <v>53115</v>
      </c>
      <c r="H299" s="4">
        <v>190547</v>
      </c>
      <c r="I299" s="4">
        <v>62846</v>
      </c>
      <c r="J299">
        <v>0</v>
      </c>
      <c r="K299">
        <v>253393</v>
      </c>
      <c r="L299">
        <v>564</v>
      </c>
      <c r="M299" s="4">
        <v>146</v>
      </c>
      <c r="N299" s="4">
        <v>710</v>
      </c>
      <c r="O299" s="4">
        <v>30828</v>
      </c>
      <c r="P299" s="4">
        <v>0</v>
      </c>
      <c r="Q299" s="4">
        <v>21043</v>
      </c>
      <c r="R299" s="4">
        <v>23135</v>
      </c>
      <c r="S299" s="4">
        <v>329109</v>
      </c>
      <c r="T299" s="4">
        <v>221939</v>
      </c>
      <c r="U299" s="4">
        <v>107170</v>
      </c>
    </row>
    <row r="300" spans="1:21" x14ac:dyDescent="0.25">
      <c r="A300" s="1" t="s">
        <v>308</v>
      </c>
      <c r="B300" t="s">
        <v>730</v>
      </c>
      <c r="C300" s="1" t="s">
        <v>314</v>
      </c>
      <c r="D300" t="s">
        <v>695</v>
      </c>
      <c r="E300" s="4">
        <v>499994</v>
      </c>
      <c r="F300" s="4">
        <v>397475</v>
      </c>
      <c r="G300" s="4">
        <v>86645</v>
      </c>
      <c r="H300" s="4">
        <v>310830</v>
      </c>
      <c r="I300" s="4">
        <v>102519</v>
      </c>
      <c r="J300" s="4">
        <v>0</v>
      </c>
      <c r="K300" s="4">
        <v>413349</v>
      </c>
      <c r="L300">
        <v>921</v>
      </c>
      <c r="M300" s="4">
        <v>237</v>
      </c>
      <c r="N300" s="4">
        <v>1158</v>
      </c>
      <c r="O300" s="4">
        <v>50288</v>
      </c>
      <c r="P300" s="4">
        <v>0</v>
      </c>
      <c r="Q300" s="4">
        <v>33476</v>
      </c>
      <c r="R300" s="4">
        <v>36802</v>
      </c>
      <c r="S300" s="4">
        <v>535073</v>
      </c>
      <c r="T300" s="4">
        <v>362039</v>
      </c>
      <c r="U300" s="4">
        <v>173034</v>
      </c>
    </row>
    <row r="301" spans="1:21" x14ac:dyDescent="0.25">
      <c r="A301" s="1" t="s">
        <v>308</v>
      </c>
      <c r="B301" t="s">
        <v>730</v>
      </c>
      <c r="C301" s="1" t="s">
        <v>315</v>
      </c>
      <c r="D301" t="s">
        <v>696</v>
      </c>
      <c r="E301" s="4">
        <v>164399</v>
      </c>
      <c r="F301" s="4">
        <v>130691</v>
      </c>
      <c r="G301" s="4">
        <v>28489</v>
      </c>
      <c r="H301" s="4">
        <v>102202</v>
      </c>
      <c r="I301" s="4">
        <v>33708</v>
      </c>
      <c r="J301" s="4">
        <v>8711</v>
      </c>
      <c r="K301">
        <v>144621</v>
      </c>
      <c r="L301">
        <v>302</v>
      </c>
      <c r="M301" s="4">
        <v>78</v>
      </c>
      <c r="N301" s="4">
        <v>380</v>
      </c>
      <c r="O301" s="4">
        <v>16535</v>
      </c>
      <c r="P301" s="4">
        <v>0</v>
      </c>
      <c r="Q301" s="4">
        <v>11541</v>
      </c>
      <c r="R301" s="4">
        <v>12688</v>
      </c>
      <c r="S301" s="4">
        <v>185765</v>
      </c>
      <c r="T301" s="4">
        <v>119039</v>
      </c>
      <c r="U301" s="4">
        <v>66726</v>
      </c>
    </row>
    <row r="302" spans="1:21" x14ac:dyDescent="0.25">
      <c r="A302" s="1" t="s">
        <v>308</v>
      </c>
      <c r="B302" t="s">
        <v>730</v>
      </c>
      <c r="C302" s="1" t="s">
        <v>316</v>
      </c>
      <c r="D302" t="s">
        <v>697</v>
      </c>
      <c r="E302" s="4">
        <v>423422</v>
      </c>
      <c r="F302" s="4">
        <v>336604</v>
      </c>
      <c r="G302" s="4">
        <v>73376</v>
      </c>
      <c r="H302" s="4">
        <v>263228</v>
      </c>
      <c r="I302" s="4">
        <v>86818</v>
      </c>
      <c r="J302">
        <v>0</v>
      </c>
      <c r="K302">
        <v>350046</v>
      </c>
      <c r="L302">
        <v>780</v>
      </c>
      <c r="M302" s="4">
        <v>202</v>
      </c>
      <c r="N302" s="4">
        <v>982</v>
      </c>
      <c r="O302" s="4">
        <v>42587</v>
      </c>
      <c r="P302" s="4">
        <v>0</v>
      </c>
      <c r="Q302" s="4">
        <v>28635</v>
      </c>
      <c r="R302" s="4">
        <v>31481</v>
      </c>
      <c r="S302" s="4">
        <v>453731</v>
      </c>
      <c r="T302" s="4">
        <v>306595</v>
      </c>
      <c r="U302" s="4">
        <v>147136</v>
      </c>
    </row>
    <row r="303" spans="1:21" x14ac:dyDescent="0.25">
      <c r="A303" s="1" t="s">
        <v>308</v>
      </c>
      <c r="B303" t="s">
        <v>730</v>
      </c>
      <c r="C303" s="1" t="s">
        <v>317</v>
      </c>
      <c r="D303" t="s">
        <v>698</v>
      </c>
      <c r="E303" s="4">
        <v>297267</v>
      </c>
      <c r="F303" s="4">
        <v>236315</v>
      </c>
      <c r="G303" s="4">
        <v>51515</v>
      </c>
      <c r="H303" s="4">
        <v>184800</v>
      </c>
      <c r="I303" s="4">
        <v>60952</v>
      </c>
      <c r="J303" s="4">
        <v>10315</v>
      </c>
      <c r="K303">
        <v>256067</v>
      </c>
      <c r="L303">
        <v>548</v>
      </c>
      <c r="M303" s="4">
        <v>141</v>
      </c>
      <c r="N303" s="4">
        <v>689</v>
      </c>
      <c r="O303" s="4">
        <v>30514</v>
      </c>
      <c r="P303" s="4">
        <v>0</v>
      </c>
      <c r="Q303" s="4">
        <v>20661</v>
      </c>
      <c r="R303" s="4">
        <v>22714</v>
      </c>
      <c r="S303" s="4">
        <v>330645</v>
      </c>
      <c r="T303" s="4">
        <v>215862</v>
      </c>
      <c r="U303" s="4">
        <v>114783</v>
      </c>
    </row>
    <row r="304" spans="1:21" x14ac:dyDescent="0.25">
      <c r="A304" s="1" t="s">
        <v>308</v>
      </c>
      <c r="B304" t="s">
        <v>730</v>
      </c>
      <c r="C304" s="1" t="s">
        <v>318</v>
      </c>
      <c r="D304" t="s">
        <v>699</v>
      </c>
      <c r="E304" s="4">
        <v>600504</v>
      </c>
      <c r="F304" s="4">
        <v>477376</v>
      </c>
      <c r="G304" s="4">
        <v>104063</v>
      </c>
      <c r="H304" s="4">
        <v>373313</v>
      </c>
      <c r="I304" s="4">
        <v>123128</v>
      </c>
      <c r="J304" s="4">
        <v>5851</v>
      </c>
      <c r="K304" s="4">
        <v>502292</v>
      </c>
      <c r="L304" s="4">
        <v>1104</v>
      </c>
      <c r="M304" s="4">
        <v>285</v>
      </c>
      <c r="N304" s="4">
        <v>1389</v>
      </c>
      <c r="O304" s="4">
        <v>60863</v>
      </c>
      <c r="P304" s="4">
        <v>0</v>
      </c>
      <c r="Q304" s="4">
        <v>42749</v>
      </c>
      <c r="R304" s="4">
        <v>46998</v>
      </c>
      <c r="S304" s="4">
        <v>654291</v>
      </c>
      <c r="T304" s="4">
        <v>435281</v>
      </c>
      <c r="U304" s="4">
        <v>219010</v>
      </c>
    </row>
    <row r="305" spans="1:21" x14ac:dyDescent="0.25">
      <c r="A305" s="1" t="s">
        <v>308</v>
      </c>
      <c r="B305" t="s">
        <v>730</v>
      </c>
      <c r="C305" s="1" t="s">
        <v>319</v>
      </c>
      <c r="D305" t="s">
        <v>700</v>
      </c>
      <c r="E305" s="4">
        <v>819446</v>
      </c>
      <c r="F305" s="4">
        <v>651426</v>
      </c>
      <c r="G305" s="4">
        <v>142004</v>
      </c>
      <c r="H305" s="4">
        <v>509422</v>
      </c>
      <c r="I305" s="4">
        <v>168020</v>
      </c>
      <c r="J305" s="4">
        <v>0</v>
      </c>
      <c r="K305" s="4">
        <v>677442</v>
      </c>
      <c r="L305" s="4">
        <v>1509</v>
      </c>
      <c r="M305" s="4">
        <v>390</v>
      </c>
      <c r="N305" s="4">
        <v>1899</v>
      </c>
      <c r="O305" s="4">
        <v>82417</v>
      </c>
      <c r="P305" s="4">
        <v>0</v>
      </c>
      <c r="Q305" s="4">
        <v>60200</v>
      </c>
      <c r="R305" s="4">
        <v>66183</v>
      </c>
      <c r="S305" s="4">
        <v>888141</v>
      </c>
      <c r="T305" s="4">
        <v>593349</v>
      </c>
      <c r="U305" s="4">
        <v>294792</v>
      </c>
    </row>
    <row r="306" spans="1:21" x14ac:dyDescent="0.25">
      <c r="A306" s="1" t="s">
        <v>308</v>
      </c>
      <c r="B306" t="s">
        <v>730</v>
      </c>
      <c r="C306" s="1" t="s">
        <v>320</v>
      </c>
      <c r="D306" t="s">
        <v>701</v>
      </c>
      <c r="E306" s="4">
        <v>739294</v>
      </c>
      <c r="F306" s="4">
        <v>587709</v>
      </c>
      <c r="G306" s="4">
        <v>128115</v>
      </c>
      <c r="H306" s="4">
        <v>459594</v>
      </c>
      <c r="I306" s="4">
        <v>151585</v>
      </c>
      <c r="J306" s="4">
        <v>0</v>
      </c>
      <c r="K306" s="4">
        <v>611179</v>
      </c>
      <c r="L306" s="4">
        <v>1361</v>
      </c>
      <c r="M306" s="4">
        <v>351</v>
      </c>
      <c r="N306" s="4">
        <v>1712</v>
      </c>
      <c r="O306" s="4">
        <v>74356</v>
      </c>
      <c r="P306" s="4">
        <v>0</v>
      </c>
      <c r="Q306" s="4">
        <v>48939</v>
      </c>
      <c r="R306" s="4">
        <v>53803</v>
      </c>
      <c r="S306" s="4">
        <v>789989</v>
      </c>
      <c r="T306" s="4">
        <v>535311</v>
      </c>
      <c r="U306" s="4">
        <v>254678</v>
      </c>
    </row>
    <row r="307" spans="1:21" x14ac:dyDescent="0.25">
      <c r="A307" s="1" t="s">
        <v>308</v>
      </c>
      <c r="B307" t="s">
        <v>730</v>
      </c>
      <c r="C307" s="1" t="s">
        <v>321</v>
      </c>
      <c r="D307" t="s">
        <v>702</v>
      </c>
      <c r="E307" s="4">
        <v>133584</v>
      </c>
      <c r="F307" s="4">
        <v>106194</v>
      </c>
      <c r="G307" s="4">
        <v>23149</v>
      </c>
      <c r="H307" s="4">
        <v>83045</v>
      </c>
      <c r="I307" s="4">
        <v>27390</v>
      </c>
      <c r="J307">
        <v>0</v>
      </c>
      <c r="K307">
        <v>110435</v>
      </c>
      <c r="L307">
        <v>246</v>
      </c>
      <c r="M307" s="4">
        <v>63</v>
      </c>
      <c r="N307" s="4">
        <v>309</v>
      </c>
      <c r="O307" s="4">
        <v>13435</v>
      </c>
      <c r="P307" s="4">
        <v>0</v>
      </c>
      <c r="Q307" s="4">
        <v>8866</v>
      </c>
      <c r="R307" s="4">
        <v>9747</v>
      </c>
      <c r="S307" s="4">
        <v>142792</v>
      </c>
      <c r="T307" s="4">
        <v>96725</v>
      </c>
      <c r="U307" s="4">
        <v>46067</v>
      </c>
    </row>
    <row r="308" spans="1:21" x14ac:dyDescent="0.25">
      <c r="A308" s="1" t="s">
        <v>308</v>
      </c>
      <c r="B308" t="s">
        <v>730</v>
      </c>
      <c r="C308" s="1" t="s">
        <v>322</v>
      </c>
      <c r="D308" t="s">
        <v>703</v>
      </c>
      <c r="E308" s="4">
        <v>331349</v>
      </c>
      <c r="F308" s="4">
        <v>263409</v>
      </c>
      <c r="G308" s="4">
        <v>57421</v>
      </c>
      <c r="H308" s="4">
        <v>205988</v>
      </c>
      <c r="I308" s="4">
        <v>67940</v>
      </c>
      <c r="J308">
        <v>0</v>
      </c>
      <c r="K308">
        <v>273928</v>
      </c>
      <c r="L308">
        <v>610</v>
      </c>
      <c r="M308" s="4">
        <v>158</v>
      </c>
      <c r="N308" s="4">
        <v>768</v>
      </c>
      <c r="O308" s="4">
        <v>33326</v>
      </c>
      <c r="P308" s="4">
        <v>0</v>
      </c>
      <c r="Q308" s="4">
        <v>22597</v>
      </c>
      <c r="R308" s="4">
        <v>24843</v>
      </c>
      <c r="S308" s="4">
        <v>355462</v>
      </c>
      <c r="T308" s="4">
        <v>239925</v>
      </c>
      <c r="U308" s="4">
        <v>115537</v>
      </c>
    </row>
    <row r="309" spans="1:21" x14ac:dyDescent="0.25">
      <c r="A309" s="1" t="s">
        <v>308</v>
      </c>
      <c r="B309" t="s">
        <v>730</v>
      </c>
      <c r="C309" s="1" t="s">
        <v>323</v>
      </c>
      <c r="D309" t="s">
        <v>704</v>
      </c>
      <c r="E309" s="4">
        <v>122909</v>
      </c>
      <c r="F309" s="4">
        <v>97708</v>
      </c>
      <c r="G309" s="4">
        <v>21299</v>
      </c>
      <c r="H309" s="4">
        <v>76409</v>
      </c>
      <c r="I309" s="4">
        <v>25201</v>
      </c>
      <c r="J309" s="4">
        <v>5655</v>
      </c>
      <c r="K309">
        <v>107265</v>
      </c>
      <c r="L309">
        <v>227</v>
      </c>
      <c r="M309" s="4">
        <v>58</v>
      </c>
      <c r="N309" s="4">
        <v>285</v>
      </c>
      <c r="O309" s="4">
        <v>12922</v>
      </c>
      <c r="P309" s="4">
        <v>0</v>
      </c>
      <c r="Q309" s="4">
        <v>8152</v>
      </c>
      <c r="R309" s="4">
        <v>8962</v>
      </c>
      <c r="S309" s="4">
        <v>137586</v>
      </c>
      <c r="T309" s="4">
        <v>89557</v>
      </c>
      <c r="U309" s="4">
        <v>48029</v>
      </c>
    </row>
    <row r="310" spans="1:21" x14ac:dyDescent="0.25">
      <c r="A310" s="1" t="s">
        <v>308</v>
      </c>
      <c r="B310" t="s">
        <v>730</v>
      </c>
      <c r="C310" s="1" t="s">
        <v>324</v>
      </c>
      <c r="D310" t="s">
        <v>705</v>
      </c>
      <c r="E310" s="4">
        <v>76202</v>
      </c>
      <c r="F310" s="4">
        <v>60577</v>
      </c>
      <c r="G310" s="4">
        <v>13205</v>
      </c>
      <c r="H310" s="4">
        <v>47372</v>
      </c>
      <c r="I310" s="4">
        <v>15625</v>
      </c>
      <c r="J310">
        <v>0</v>
      </c>
      <c r="K310">
        <v>62997</v>
      </c>
      <c r="L310">
        <v>140</v>
      </c>
      <c r="M310" s="4">
        <v>37</v>
      </c>
      <c r="N310" s="4">
        <v>177</v>
      </c>
      <c r="O310" s="4">
        <v>7664</v>
      </c>
      <c r="P310" s="4">
        <v>0</v>
      </c>
      <c r="Q310" s="4">
        <v>5070</v>
      </c>
      <c r="R310" s="4">
        <v>5574</v>
      </c>
      <c r="S310" s="4">
        <v>81482</v>
      </c>
      <c r="T310" s="4">
        <v>55177</v>
      </c>
      <c r="U310" s="4">
        <v>26305</v>
      </c>
    </row>
    <row r="311" spans="1:21" x14ac:dyDescent="0.25">
      <c r="A311" s="1" t="s">
        <v>308</v>
      </c>
      <c r="B311" t="s">
        <v>730</v>
      </c>
      <c r="C311" s="1" t="s">
        <v>325</v>
      </c>
      <c r="D311" t="s">
        <v>706</v>
      </c>
      <c r="E311" s="4">
        <v>72944</v>
      </c>
      <c r="F311" s="4">
        <v>57988</v>
      </c>
      <c r="G311" s="4">
        <v>12640</v>
      </c>
      <c r="H311" s="4">
        <v>45348</v>
      </c>
      <c r="I311" s="4">
        <v>14956</v>
      </c>
      <c r="J311" s="4">
        <v>1203</v>
      </c>
      <c r="K311">
        <v>61507</v>
      </c>
      <c r="L311">
        <v>135</v>
      </c>
      <c r="M311" s="4">
        <v>35</v>
      </c>
      <c r="N311" s="4">
        <v>170</v>
      </c>
      <c r="O311" s="4">
        <v>7337</v>
      </c>
      <c r="P311" s="4">
        <v>0</v>
      </c>
      <c r="Q311" s="4">
        <v>4968</v>
      </c>
      <c r="R311" s="4">
        <v>5462</v>
      </c>
      <c r="S311" s="4">
        <v>79444</v>
      </c>
      <c r="T311" s="4">
        <v>52820</v>
      </c>
      <c r="U311" s="4">
        <v>26624</v>
      </c>
    </row>
    <row r="312" spans="1:21" x14ac:dyDescent="0.25">
      <c r="A312" s="1" t="s">
        <v>308</v>
      </c>
      <c r="B312" t="s">
        <v>730</v>
      </c>
      <c r="C312" s="1" t="s">
        <v>326</v>
      </c>
      <c r="D312" t="s">
        <v>707</v>
      </c>
      <c r="E312" s="4">
        <v>668907</v>
      </c>
      <c r="F312" s="4">
        <v>531754</v>
      </c>
      <c r="G312" s="4">
        <v>115917</v>
      </c>
      <c r="H312" s="4">
        <v>415837</v>
      </c>
      <c r="I312" s="4">
        <v>137153</v>
      </c>
      <c r="J312" s="4">
        <v>8217</v>
      </c>
      <c r="K312" s="4">
        <v>561207</v>
      </c>
      <c r="L312" s="4">
        <v>1231</v>
      </c>
      <c r="M312" s="4">
        <v>318</v>
      </c>
      <c r="N312" s="4">
        <v>1549</v>
      </c>
      <c r="O312" s="4">
        <v>68060</v>
      </c>
      <c r="P312" s="4">
        <v>0</v>
      </c>
      <c r="Q312" s="4">
        <v>44354</v>
      </c>
      <c r="R312" s="4">
        <v>48762</v>
      </c>
      <c r="S312" s="4">
        <v>723932</v>
      </c>
      <c r="T312" s="4">
        <v>485128</v>
      </c>
      <c r="U312" s="4">
        <v>238804</v>
      </c>
    </row>
    <row r="313" spans="1:21" x14ac:dyDescent="0.25">
      <c r="A313" s="1" t="s">
        <v>308</v>
      </c>
      <c r="B313" t="s">
        <v>730</v>
      </c>
      <c r="C313" s="1" t="s">
        <v>327</v>
      </c>
      <c r="D313" t="s">
        <v>708</v>
      </c>
      <c r="E313" s="4">
        <v>202188</v>
      </c>
      <c r="F313" s="4">
        <v>160731</v>
      </c>
      <c r="G313" s="4">
        <v>35038</v>
      </c>
      <c r="H313" s="4">
        <v>125693</v>
      </c>
      <c r="I313" s="4">
        <v>41457</v>
      </c>
      <c r="J313">
        <v>0</v>
      </c>
      <c r="K313">
        <v>167150</v>
      </c>
      <c r="L313">
        <v>373</v>
      </c>
      <c r="M313" s="4">
        <v>96</v>
      </c>
      <c r="N313" s="4">
        <v>469</v>
      </c>
      <c r="O313" s="4">
        <v>20335</v>
      </c>
      <c r="P313" s="4">
        <v>0</v>
      </c>
      <c r="Q313" s="4">
        <v>13655</v>
      </c>
      <c r="R313" s="4">
        <v>15012</v>
      </c>
      <c r="S313" s="4">
        <v>216621</v>
      </c>
      <c r="T313" s="4">
        <v>146401</v>
      </c>
      <c r="U313" s="4">
        <v>70220</v>
      </c>
    </row>
    <row r="314" spans="1:21" x14ac:dyDescent="0.25">
      <c r="A314" s="1" t="s">
        <v>308</v>
      </c>
      <c r="B314" t="s">
        <v>730</v>
      </c>
      <c r="C314" s="1" t="s">
        <v>328</v>
      </c>
      <c r="D314" t="s">
        <v>709</v>
      </c>
      <c r="E314" s="4">
        <v>181745</v>
      </c>
      <c r="F314" s="4">
        <v>144480</v>
      </c>
      <c r="G314" s="4">
        <v>31495</v>
      </c>
      <c r="H314" s="4">
        <v>112985</v>
      </c>
      <c r="I314" s="4">
        <v>37265</v>
      </c>
      <c r="J314" s="4">
        <v>4909</v>
      </c>
      <c r="K314">
        <v>155159</v>
      </c>
      <c r="L314">
        <v>335</v>
      </c>
      <c r="M314" s="4">
        <v>86</v>
      </c>
      <c r="N314" s="4">
        <v>421</v>
      </c>
      <c r="O314" s="4">
        <v>18761</v>
      </c>
      <c r="P314" s="4">
        <v>0</v>
      </c>
      <c r="Q314" s="4">
        <v>12789</v>
      </c>
      <c r="R314" s="4">
        <v>14060</v>
      </c>
      <c r="S314" s="4">
        <v>201190</v>
      </c>
      <c r="T314" s="4">
        <v>132081</v>
      </c>
      <c r="U314" s="4">
        <v>69109</v>
      </c>
    </row>
    <row r="315" spans="1:21" x14ac:dyDescent="0.25">
      <c r="A315" s="1" t="s">
        <v>308</v>
      </c>
      <c r="B315" t="s">
        <v>730</v>
      </c>
      <c r="C315" s="1" t="s">
        <v>329</v>
      </c>
      <c r="D315" t="s">
        <v>710</v>
      </c>
      <c r="E315" s="4">
        <v>842022</v>
      </c>
      <c r="F315" s="4">
        <v>669373</v>
      </c>
      <c r="G315" s="4">
        <v>145916</v>
      </c>
      <c r="H315" s="4">
        <v>523457</v>
      </c>
      <c r="I315" s="4">
        <v>172649</v>
      </c>
      <c r="J315" s="4">
        <v>0</v>
      </c>
      <c r="K315" s="4">
        <v>696106</v>
      </c>
      <c r="L315" s="4">
        <v>1550</v>
      </c>
      <c r="M315" s="4">
        <v>400</v>
      </c>
      <c r="N315" s="4">
        <v>1950</v>
      </c>
      <c r="O315" s="4">
        <v>84688</v>
      </c>
      <c r="P315" s="4">
        <v>0</v>
      </c>
      <c r="Q315" s="4">
        <v>61372</v>
      </c>
      <c r="R315" s="4">
        <v>67471</v>
      </c>
      <c r="S315" s="4">
        <v>911587</v>
      </c>
      <c r="T315" s="4">
        <v>609695</v>
      </c>
      <c r="U315" s="4">
        <v>301892</v>
      </c>
    </row>
    <row r="316" spans="1:21" x14ac:dyDescent="0.25">
      <c r="A316" s="1" t="s">
        <v>308</v>
      </c>
      <c r="B316" t="s">
        <v>730</v>
      </c>
      <c r="C316" s="1" t="s">
        <v>330</v>
      </c>
      <c r="D316" t="s">
        <v>711</v>
      </c>
      <c r="E316" s="4">
        <v>1964125</v>
      </c>
      <c r="F316" s="4">
        <v>1561399</v>
      </c>
      <c r="G316" s="4">
        <v>340369</v>
      </c>
      <c r="H316" s="4">
        <v>1221030</v>
      </c>
      <c r="I316" s="4">
        <v>402726</v>
      </c>
      <c r="J316" s="4">
        <v>0</v>
      </c>
      <c r="K316" s="4">
        <v>1623756</v>
      </c>
      <c r="L316" s="4">
        <v>3607</v>
      </c>
      <c r="M316" s="4">
        <v>931</v>
      </c>
      <c r="N316" s="4">
        <v>4538</v>
      </c>
      <c r="O316" s="4">
        <v>197546</v>
      </c>
      <c r="P316" s="4">
        <v>0</v>
      </c>
      <c r="Q316" s="4">
        <v>133749</v>
      </c>
      <c r="R316" s="4">
        <v>147042</v>
      </c>
      <c r="S316" s="4">
        <v>2106631</v>
      </c>
      <c r="T316" s="4">
        <v>1422183</v>
      </c>
      <c r="U316" s="4">
        <v>684448</v>
      </c>
    </row>
    <row r="317" spans="1:21" x14ac:dyDescent="0.25">
      <c r="A317" s="1" t="s">
        <v>308</v>
      </c>
      <c r="B317" t="s">
        <v>730</v>
      </c>
      <c r="C317" s="1" t="s">
        <v>331</v>
      </c>
      <c r="D317" t="s">
        <v>712</v>
      </c>
      <c r="E317" s="4">
        <v>199732</v>
      </c>
      <c r="F317" s="4">
        <v>158779</v>
      </c>
      <c r="G317" s="4">
        <v>34612</v>
      </c>
      <c r="H317" s="4">
        <v>124167</v>
      </c>
      <c r="I317" s="4">
        <v>40953</v>
      </c>
      <c r="J317" s="4">
        <v>9998</v>
      </c>
      <c r="K317">
        <v>175118</v>
      </c>
      <c r="L317">
        <v>367</v>
      </c>
      <c r="M317" s="4">
        <v>95</v>
      </c>
      <c r="N317" s="4">
        <v>462</v>
      </c>
      <c r="O317" s="4">
        <v>20462</v>
      </c>
      <c r="P317" s="4">
        <v>0</v>
      </c>
      <c r="Q317" s="4">
        <v>13528</v>
      </c>
      <c r="R317" s="4">
        <v>14872</v>
      </c>
      <c r="S317" s="4">
        <v>224442</v>
      </c>
      <c r="T317" s="4">
        <v>144996</v>
      </c>
      <c r="U317" s="4">
        <v>79446</v>
      </c>
    </row>
    <row r="318" spans="1:21" x14ac:dyDescent="0.25">
      <c r="A318" s="1" t="s">
        <v>308</v>
      </c>
      <c r="B318" t="s">
        <v>730</v>
      </c>
      <c r="C318" s="1" t="s">
        <v>332</v>
      </c>
      <c r="D318" t="s">
        <v>713</v>
      </c>
      <c r="E318" s="4">
        <v>86190</v>
      </c>
      <c r="F318" s="4">
        <v>68518</v>
      </c>
      <c r="G318" s="4">
        <v>14937</v>
      </c>
      <c r="H318" s="4">
        <v>53581</v>
      </c>
      <c r="I318" s="4">
        <v>17672</v>
      </c>
      <c r="J318" s="4">
        <v>6709</v>
      </c>
      <c r="K318">
        <v>77962</v>
      </c>
      <c r="L318">
        <v>159</v>
      </c>
      <c r="M318" s="4">
        <v>41</v>
      </c>
      <c r="N318" s="4">
        <v>200</v>
      </c>
      <c r="O318" s="4">
        <v>8669</v>
      </c>
      <c r="P318" s="4">
        <v>0</v>
      </c>
      <c r="Q318" s="4">
        <v>5936</v>
      </c>
      <c r="R318" s="4">
        <v>6526</v>
      </c>
      <c r="S318" s="4">
        <v>99293</v>
      </c>
      <c r="T318" s="4">
        <v>62409</v>
      </c>
      <c r="U318" s="4">
        <v>36884</v>
      </c>
    </row>
    <row r="319" spans="1:21" x14ac:dyDescent="0.25">
      <c r="A319" s="1" t="s">
        <v>308</v>
      </c>
      <c r="B319" t="s">
        <v>730</v>
      </c>
      <c r="C319" s="1" t="s">
        <v>333</v>
      </c>
      <c r="D319" t="s">
        <v>714</v>
      </c>
      <c r="E319" s="4">
        <v>212893</v>
      </c>
      <c r="F319" s="4">
        <v>169241</v>
      </c>
      <c r="G319" s="4">
        <v>36893</v>
      </c>
      <c r="H319" s="4">
        <v>132348</v>
      </c>
      <c r="I319" s="4">
        <v>43652</v>
      </c>
      <c r="J319">
        <v>0</v>
      </c>
      <c r="K319">
        <v>176000</v>
      </c>
      <c r="L319">
        <v>392</v>
      </c>
      <c r="M319" s="4">
        <v>100</v>
      </c>
      <c r="N319" s="4">
        <v>492</v>
      </c>
      <c r="O319" s="4">
        <v>21412</v>
      </c>
      <c r="P319" s="4">
        <v>0</v>
      </c>
      <c r="Q319" s="4">
        <v>14394</v>
      </c>
      <c r="R319" s="4">
        <v>15824</v>
      </c>
      <c r="S319" s="4">
        <v>228122</v>
      </c>
      <c r="T319" s="4">
        <v>154152</v>
      </c>
      <c r="U319" s="4">
        <v>73970</v>
      </c>
    </row>
    <row r="320" spans="1:21" x14ac:dyDescent="0.25">
      <c r="A320" s="1" t="s">
        <v>308</v>
      </c>
      <c r="B320" t="s">
        <v>730</v>
      </c>
      <c r="C320" s="1" t="s">
        <v>334</v>
      </c>
      <c r="D320" t="s">
        <v>715</v>
      </c>
      <c r="E320" s="4">
        <v>98258</v>
      </c>
      <c r="F320" s="4">
        <v>78111</v>
      </c>
      <c r="G320" s="4">
        <v>17027</v>
      </c>
      <c r="H320" s="4">
        <v>61084</v>
      </c>
      <c r="I320" s="4">
        <v>20147</v>
      </c>
      <c r="J320">
        <v>269</v>
      </c>
      <c r="K320">
        <v>81500</v>
      </c>
      <c r="L320">
        <v>181</v>
      </c>
      <c r="M320" s="4">
        <v>47</v>
      </c>
      <c r="N320" s="4">
        <v>228</v>
      </c>
      <c r="O320" s="4">
        <v>9882</v>
      </c>
      <c r="P320" s="4">
        <v>0</v>
      </c>
      <c r="Q320" s="4">
        <v>6700</v>
      </c>
      <c r="R320" s="4">
        <v>7366</v>
      </c>
      <c r="S320" s="4">
        <v>105676</v>
      </c>
      <c r="T320" s="4">
        <v>71147</v>
      </c>
      <c r="U320" s="4">
        <v>34529</v>
      </c>
    </row>
    <row r="321" spans="1:21" x14ac:dyDescent="0.25">
      <c r="A321" s="1" t="s">
        <v>308</v>
      </c>
      <c r="B321" t="s">
        <v>730</v>
      </c>
      <c r="C321" s="1" t="s">
        <v>335</v>
      </c>
      <c r="D321" t="s">
        <v>731</v>
      </c>
      <c r="E321" s="4">
        <v>370683</v>
      </c>
      <c r="F321" s="4">
        <v>294678</v>
      </c>
      <c r="G321" s="4">
        <v>64237</v>
      </c>
      <c r="H321" s="4">
        <v>230441</v>
      </c>
      <c r="I321" s="4">
        <v>76005</v>
      </c>
      <c r="J321">
        <v>0</v>
      </c>
      <c r="K321">
        <v>306446</v>
      </c>
      <c r="L321">
        <v>683</v>
      </c>
      <c r="M321" s="4">
        <v>176</v>
      </c>
      <c r="N321" s="4">
        <v>859</v>
      </c>
      <c r="O321" s="4">
        <v>37282</v>
      </c>
      <c r="P321" s="4">
        <v>0</v>
      </c>
      <c r="Q321" s="4">
        <v>24559</v>
      </c>
      <c r="R321" s="4">
        <v>27000</v>
      </c>
      <c r="S321" s="4">
        <v>396146</v>
      </c>
      <c r="T321" s="4">
        <v>268406</v>
      </c>
      <c r="U321" s="4">
        <v>127740</v>
      </c>
    </row>
    <row r="322" spans="1:21" x14ac:dyDescent="0.25">
      <c r="A322" s="1" t="s">
        <v>308</v>
      </c>
      <c r="B322" t="s">
        <v>730</v>
      </c>
      <c r="C322" s="1" t="s">
        <v>336</v>
      </c>
      <c r="D322" t="s">
        <v>716</v>
      </c>
      <c r="E322" s="4">
        <v>179350</v>
      </c>
      <c r="F322" s="4">
        <v>142576</v>
      </c>
      <c r="G322" s="4">
        <v>31080</v>
      </c>
      <c r="H322" s="4">
        <v>111496</v>
      </c>
      <c r="I322" s="4">
        <v>36774</v>
      </c>
      <c r="J322" s="4">
        <v>6715</v>
      </c>
      <c r="K322">
        <v>154985</v>
      </c>
      <c r="L322">
        <v>329</v>
      </c>
      <c r="M322" s="4">
        <v>85</v>
      </c>
      <c r="N322" s="4">
        <v>414</v>
      </c>
      <c r="O322" s="4">
        <v>18702</v>
      </c>
      <c r="P322" s="4">
        <v>0</v>
      </c>
      <c r="Q322" s="4">
        <v>11770</v>
      </c>
      <c r="R322" s="4">
        <v>12940</v>
      </c>
      <c r="S322" s="4">
        <v>198811</v>
      </c>
      <c r="T322" s="4">
        <v>130528</v>
      </c>
      <c r="U322" s="4">
        <v>68283</v>
      </c>
    </row>
    <row r="323" spans="1:21" x14ac:dyDescent="0.25">
      <c r="A323" s="1" t="s">
        <v>308</v>
      </c>
      <c r="B323" t="s">
        <v>730</v>
      </c>
      <c r="C323" s="1" t="s">
        <v>337</v>
      </c>
      <c r="D323" t="s">
        <v>717</v>
      </c>
      <c r="E323" s="4">
        <v>196692</v>
      </c>
      <c r="F323" s="4">
        <v>156362</v>
      </c>
      <c r="G323" s="4">
        <v>34086</v>
      </c>
      <c r="H323" s="4">
        <v>122276</v>
      </c>
      <c r="I323" s="4">
        <v>40330</v>
      </c>
      <c r="J323" s="4">
        <v>32314</v>
      </c>
      <c r="K323">
        <v>194920</v>
      </c>
      <c r="L323">
        <v>362</v>
      </c>
      <c r="M323" s="4">
        <v>93</v>
      </c>
      <c r="N323" s="4">
        <v>455</v>
      </c>
      <c r="O323" s="4">
        <v>20264</v>
      </c>
      <c r="P323" s="4">
        <v>0</v>
      </c>
      <c r="Q323" s="4">
        <v>12942</v>
      </c>
      <c r="R323" s="4">
        <v>14228</v>
      </c>
      <c r="S323" s="4">
        <v>242809</v>
      </c>
      <c r="T323" s="4">
        <v>142902</v>
      </c>
      <c r="U323" s="4">
        <v>99907</v>
      </c>
    </row>
    <row r="324" spans="1:21" x14ac:dyDescent="0.25">
      <c r="A324" s="1" t="s">
        <v>308</v>
      </c>
      <c r="B324" t="s">
        <v>730</v>
      </c>
      <c r="C324" s="1" t="s">
        <v>338</v>
      </c>
      <c r="D324" t="s">
        <v>718</v>
      </c>
      <c r="E324" s="4">
        <v>225776</v>
      </c>
      <c r="F324" s="4">
        <v>179483</v>
      </c>
      <c r="G324" s="4">
        <v>39126</v>
      </c>
      <c r="H324" s="4">
        <v>140357</v>
      </c>
      <c r="I324" s="4">
        <v>46293</v>
      </c>
      <c r="J324">
        <v>0</v>
      </c>
      <c r="K324">
        <v>186650</v>
      </c>
      <c r="L324">
        <v>416</v>
      </c>
      <c r="M324" s="4">
        <v>107</v>
      </c>
      <c r="N324" s="4">
        <v>523</v>
      </c>
      <c r="O324" s="4">
        <v>22708</v>
      </c>
      <c r="P324" s="4">
        <v>0</v>
      </c>
      <c r="Q324" s="4">
        <v>14547</v>
      </c>
      <c r="R324" s="4">
        <v>15992</v>
      </c>
      <c r="S324" s="4">
        <v>240420</v>
      </c>
      <c r="T324" s="4">
        <v>163480</v>
      </c>
      <c r="U324" s="4">
        <v>76940</v>
      </c>
    </row>
    <row r="325" spans="1:21" x14ac:dyDescent="0.25">
      <c r="A325" s="1" t="s">
        <v>308</v>
      </c>
      <c r="B325" t="s">
        <v>730</v>
      </c>
      <c r="C325" s="1" t="s">
        <v>339</v>
      </c>
      <c r="D325" t="s">
        <v>719</v>
      </c>
      <c r="E325" s="4">
        <v>147495</v>
      </c>
      <c r="F325" s="4">
        <v>117253</v>
      </c>
      <c r="G325" s="4">
        <v>25560</v>
      </c>
      <c r="H325" s="4">
        <v>91693</v>
      </c>
      <c r="I325" s="4">
        <v>30242</v>
      </c>
      <c r="J325" s="4">
        <v>11381</v>
      </c>
      <c r="K325">
        <v>133316</v>
      </c>
      <c r="L325">
        <v>270</v>
      </c>
      <c r="M325" s="4">
        <v>70</v>
      </c>
      <c r="N325" s="4">
        <v>340</v>
      </c>
      <c r="O325" s="4">
        <v>14954</v>
      </c>
      <c r="P325" s="4">
        <v>0</v>
      </c>
      <c r="Q325" s="4">
        <v>10572</v>
      </c>
      <c r="R325" s="4">
        <v>11623</v>
      </c>
      <c r="S325" s="4">
        <v>170805</v>
      </c>
      <c r="T325" s="4">
        <v>106917</v>
      </c>
      <c r="U325" s="4">
        <v>63888</v>
      </c>
    </row>
    <row r="326" spans="1:21" x14ac:dyDescent="0.25">
      <c r="A326" s="1" t="s">
        <v>308</v>
      </c>
      <c r="B326" t="s">
        <v>730</v>
      </c>
      <c r="C326" s="1" t="s">
        <v>340</v>
      </c>
      <c r="D326" t="s">
        <v>720</v>
      </c>
      <c r="E326" s="4">
        <v>121221</v>
      </c>
      <c r="F326" s="4">
        <v>96366</v>
      </c>
      <c r="G326" s="4">
        <v>21007</v>
      </c>
      <c r="H326" s="4">
        <v>75359</v>
      </c>
      <c r="I326" s="4">
        <v>24855</v>
      </c>
      <c r="J326" s="4">
        <v>0</v>
      </c>
      <c r="K326">
        <v>100214</v>
      </c>
      <c r="L326">
        <v>224</v>
      </c>
      <c r="M326" s="4">
        <v>58</v>
      </c>
      <c r="N326" s="4">
        <v>282</v>
      </c>
      <c r="O326" s="4">
        <v>12192</v>
      </c>
      <c r="P326" s="4">
        <v>0</v>
      </c>
      <c r="Q326" s="4">
        <v>8076</v>
      </c>
      <c r="R326" s="4">
        <v>8878</v>
      </c>
      <c r="S326" s="4">
        <v>129642</v>
      </c>
      <c r="T326" s="4">
        <v>87775</v>
      </c>
      <c r="U326" s="4">
        <v>41867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327"/>
  <sheetViews>
    <sheetView workbookViewId="0">
      <pane xSplit="4" ySplit="2" topLeftCell="E300" activePane="bottomRight" state="frozen"/>
      <selection pane="topRight" activeCell="E1" sqref="E1"/>
      <selection pane="bottomLeft" activeCell="A3" sqref="A3"/>
      <selection pane="bottomRight"/>
    </sheetView>
  </sheetViews>
  <sheetFormatPr defaultRowHeight="15" x14ac:dyDescent="0.25"/>
  <cols>
    <col min="1" max="1" width="6.7109375" customWidth="1"/>
    <col min="2" max="2" width="22.42578125" bestFit="1" customWidth="1"/>
    <col min="3" max="3" width="6.42578125" customWidth="1"/>
    <col min="4" max="4" width="30.42578125" bestFit="1" customWidth="1"/>
    <col min="5" max="5" width="14.85546875" bestFit="1" customWidth="1"/>
    <col min="6" max="6" width="10.85546875" bestFit="1" customWidth="1"/>
    <col min="7" max="7" width="14" bestFit="1" customWidth="1"/>
    <col min="8" max="8" width="17.85546875" bestFit="1" customWidth="1"/>
    <col min="9" max="9" width="13.85546875" customWidth="1"/>
    <col min="10" max="10" width="14.5703125" bestFit="1" customWidth="1"/>
    <col min="11" max="11" width="15.42578125" customWidth="1"/>
    <col min="12" max="13" width="13.28515625" customWidth="1"/>
    <col min="14" max="14" width="15" bestFit="1" customWidth="1"/>
    <col min="15" max="15" width="18.5703125" customWidth="1"/>
    <col min="16" max="16" width="18.85546875" hidden="1" customWidth="1"/>
    <col min="17" max="17" width="19" customWidth="1"/>
    <col min="18" max="18" width="14" bestFit="1" customWidth="1"/>
    <col min="19" max="19" width="10.140625" bestFit="1" customWidth="1"/>
    <col min="20" max="20" width="12.28515625" customWidth="1"/>
    <col min="21" max="22" width="11.5703125" bestFit="1" customWidth="1"/>
    <col min="23" max="23" width="12" bestFit="1" customWidth="1"/>
    <col min="24" max="24" width="13.28515625" hidden="1" customWidth="1"/>
    <col min="25" max="25" width="18" bestFit="1" customWidth="1"/>
    <col min="26" max="26" width="10.140625" bestFit="1" customWidth="1"/>
    <col min="27" max="27" width="19.28515625" bestFit="1" customWidth="1"/>
    <col min="28" max="28" width="10.140625" bestFit="1" customWidth="1"/>
    <col min="29" max="29" width="9.140625" bestFit="1" customWidth="1"/>
  </cols>
  <sheetData>
    <row r="1" spans="1:29" x14ac:dyDescent="0.25">
      <c r="A1" s="5" t="s">
        <v>749</v>
      </c>
    </row>
    <row r="2" spans="1:29" s="7" customFormat="1" ht="89.25" customHeight="1" x14ac:dyDescent="0.25">
      <c r="A2" s="7" t="s">
        <v>361</v>
      </c>
      <c r="B2" s="7" t="s">
        <v>362</v>
      </c>
      <c r="C2" s="7" t="s">
        <v>721</v>
      </c>
      <c r="D2" s="7" t="s">
        <v>363</v>
      </c>
      <c r="E2" s="8" t="s">
        <v>341</v>
      </c>
      <c r="F2" s="8" t="s">
        <v>342</v>
      </c>
      <c r="G2" s="8" t="s">
        <v>343</v>
      </c>
      <c r="H2" s="8" t="s">
        <v>344</v>
      </c>
      <c r="I2" s="8" t="s">
        <v>345</v>
      </c>
      <c r="J2" s="8" t="s">
        <v>346</v>
      </c>
      <c r="K2" s="8" t="s">
        <v>347</v>
      </c>
      <c r="L2" s="8" t="s">
        <v>348</v>
      </c>
      <c r="M2" s="8" t="s">
        <v>364</v>
      </c>
      <c r="N2" s="8" t="s">
        <v>349</v>
      </c>
      <c r="O2" s="8" t="s">
        <v>350</v>
      </c>
      <c r="P2" s="8" t="s">
        <v>351</v>
      </c>
      <c r="Q2" s="8" t="s">
        <v>352</v>
      </c>
      <c r="R2" s="8" t="s">
        <v>365</v>
      </c>
      <c r="S2" s="8" t="s">
        <v>353</v>
      </c>
      <c r="T2" s="8" t="s">
        <v>742</v>
      </c>
      <c r="U2" s="8" t="s">
        <v>743</v>
      </c>
      <c r="V2" s="8" t="s">
        <v>354</v>
      </c>
      <c r="W2" s="8" t="s">
        <v>355</v>
      </c>
      <c r="X2" s="8" t="s">
        <v>385</v>
      </c>
      <c r="Y2" s="8" t="s">
        <v>356</v>
      </c>
      <c r="Z2" s="8" t="s">
        <v>357</v>
      </c>
      <c r="AA2" s="8" t="s">
        <v>358</v>
      </c>
      <c r="AB2" s="8" t="s">
        <v>359</v>
      </c>
      <c r="AC2" s="8" t="s">
        <v>360</v>
      </c>
    </row>
    <row r="3" spans="1:29" x14ac:dyDescent="0.25">
      <c r="A3" s="31" t="s">
        <v>0</v>
      </c>
      <c r="B3" s="31" t="s">
        <v>722</v>
      </c>
      <c r="C3" s="31" t="s">
        <v>1</v>
      </c>
      <c r="D3" s="31" t="s">
        <v>405</v>
      </c>
      <c r="E3" s="32">
        <v>155.66999999999999</v>
      </c>
      <c r="F3" s="33">
        <v>1109.8</v>
      </c>
      <c r="G3" s="32">
        <v>1265.47</v>
      </c>
      <c r="H3" s="32">
        <v>3.31</v>
      </c>
      <c r="I3" s="34">
        <v>148</v>
      </c>
      <c r="J3" s="33">
        <v>1.3</v>
      </c>
      <c r="K3" s="34">
        <v>1257</v>
      </c>
      <c r="L3" s="32">
        <v>356.48</v>
      </c>
      <c r="M3" s="32">
        <v>63.99</v>
      </c>
      <c r="N3" s="32">
        <v>71.28</v>
      </c>
      <c r="O3" s="32">
        <v>35.33</v>
      </c>
      <c r="P3" s="32">
        <v>3.84</v>
      </c>
      <c r="Q3" s="34">
        <v>451115</v>
      </c>
      <c r="R3" s="34">
        <v>0</v>
      </c>
      <c r="S3" s="34">
        <v>451115</v>
      </c>
      <c r="T3" s="34">
        <v>32174</v>
      </c>
      <c r="U3" s="34">
        <v>35840</v>
      </c>
      <c r="V3" s="34">
        <v>1180</v>
      </c>
      <c r="W3" s="34">
        <v>44709</v>
      </c>
      <c r="X3" s="34">
        <v>0</v>
      </c>
      <c r="Y3" s="34">
        <v>565018</v>
      </c>
      <c r="Z3" s="34">
        <v>74482</v>
      </c>
      <c r="AA3" s="34">
        <v>490536</v>
      </c>
      <c r="AB3" s="34">
        <v>312798</v>
      </c>
      <c r="AC3" s="34">
        <v>177738</v>
      </c>
    </row>
    <row r="4" spans="1:29" x14ac:dyDescent="0.25">
      <c r="A4" s="31" t="s">
        <v>0</v>
      </c>
      <c r="B4" s="31" t="s">
        <v>722</v>
      </c>
      <c r="C4" s="31" t="s">
        <v>2</v>
      </c>
      <c r="D4" s="31" t="s">
        <v>406</v>
      </c>
      <c r="E4" s="32">
        <v>69.91</v>
      </c>
      <c r="F4" s="33">
        <v>467.3</v>
      </c>
      <c r="G4" s="32">
        <v>537.21</v>
      </c>
      <c r="H4" s="32">
        <v>1.41</v>
      </c>
      <c r="I4" s="34">
        <v>0</v>
      </c>
      <c r="J4" s="33">
        <v>0</v>
      </c>
      <c r="K4" s="34">
        <v>467</v>
      </c>
      <c r="L4" s="32">
        <v>356.48</v>
      </c>
      <c r="M4" s="32">
        <v>63.99</v>
      </c>
      <c r="N4" s="32">
        <v>71.28</v>
      </c>
      <c r="O4" s="32">
        <v>35.33</v>
      </c>
      <c r="P4" s="32">
        <v>3.84</v>
      </c>
      <c r="Q4" s="34">
        <v>191505</v>
      </c>
      <c r="R4" s="34">
        <v>0</v>
      </c>
      <c r="S4" s="34">
        <v>191505</v>
      </c>
      <c r="T4" s="34">
        <v>11953</v>
      </c>
      <c r="U4" s="34">
        <v>13315</v>
      </c>
      <c r="V4" s="34">
        <v>503</v>
      </c>
      <c r="W4" s="34">
        <v>18980</v>
      </c>
      <c r="X4" s="34">
        <v>0</v>
      </c>
      <c r="Y4" s="34">
        <v>236256</v>
      </c>
      <c r="Z4" s="34">
        <v>31619</v>
      </c>
      <c r="AA4" s="34">
        <v>204637</v>
      </c>
      <c r="AB4" s="34">
        <v>132788</v>
      </c>
      <c r="AC4" s="34">
        <v>71849</v>
      </c>
    </row>
    <row r="5" spans="1:29" x14ac:dyDescent="0.25">
      <c r="A5" s="31" t="s">
        <v>0</v>
      </c>
      <c r="B5" s="31" t="s">
        <v>722</v>
      </c>
      <c r="C5" s="31" t="s">
        <v>3</v>
      </c>
      <c r="D5" s="31" t="s">
        <v>407</v>
      </c>
      <c r="E5" s="32">
        <v>87.49</v>
      </c>
      <c r="F5" s="33">
        <v>628</v>
      </c>
      <c r="G5" s="32">
        <v>715.49</v>
      </c>
      <c r="H5" s="32">
        <v>1.87</v>
      </c>
      <c r="I5" s="34">
        <v>11</v>
      </c>
      <c r="J5" s="33">
        <v>0</v>
      </c>
      <c r="K5" s="34">
        <v>639</v>
      </c>
      <c r="L5" s="32">
        <v>356.48</v>
      </c>
      <c r="M5" s="32">
        <v>63.99</v>
      </c>
      <c r="N5" s="32">
        <v>71.28</v>
      </c>
      <c r="O5" s="32">
        <v>35.33</v>
      </c>
      <c r="P5" s="32">
        <v>3.84</v>
      </c>
      <c r="Q5" s="34">
        <v>255058</v>
      </c>
      <c r="R5" s="34">
        <v>0</v>
      </c>
      <c r="S5" s="34">
        <v>255058</v>
      </c>
      <c r="T5" s="34">
        <v>16356</v>
      </c>
      <c r="U5" s="34">
        <v>18219</v>
      </c>
      <c r="V5" s="34">
        <v>667</v>
      </c>
      <c r="W5" s="34">
        <v>25278</v>
      </c>
      <c r="X5" s="34">
        <v>0</v>
      </c>
      <c r="Y5" s="34">
        <v>315578</v>
      </c>
      <c r="Z5" s="34">
        <v>42111</v>
      </c>
      <c r="AA5" s="34">
        <v>273467</v>
      </c>
      <c r="AB5" s="34">
        <v>176854</v>
      </c>
      <c r="AC5" s="34">
        <v>96613</v>
      </c>
    </row>
    <row r="6" spans="1:29" x14ac:dyDescent="0.25">
      <c r="A6" s="31" t="s">
        <v>0</v>
      </c>
      <c r="B6" s="31" t="s">
        <v>722</v>
      </c>
      <c r="C6" s="31" t="s">
        <v>4</v>
      </c>
      <c r="D6" s="31" t="s">
        <v>408</v>
      </c>
      <c r="E6" s="32">
        <v>186.83</v>
      </c>
      <c r="F6" s="33">
        <v>1508.6</v>
      </c>
      <c r="G6" s="32">
        <v>1695.43</v>
      </c>
      <c r="H6" s="32">
        <v>4.43</v>
      </c>
      <c r="I6" s="34">
        <v>146</v>
      </c>
      <c r="J6" s="33">
        <v>0.8</v>
      </c>
      <c r="K6" s="34">
        <v>1654</v>
      </c>
      <c r="L6" s="32">
        <v>356.48</v>
      </c>
      <c r="M6" s="32">
        <v>63.99</v>
      </c>
      <c r="N6" s="32">
        <v>71.28</v>
      </c>
      <c r="O6" s="32">
        <v>35.33</v>
      </c>
      <c r="P6" s="32">
        <v>3.84</v>
      </c>
      <c r="Q6" s="34">
        <v>604387</v>
      </c>
      <c r="R6" s="34">
        <v>0</v>
      </c>
      <c r="S6" s="34">
        <v>604387</v>
      </c>
      <c r="T6" s="34">
        <v>42336</v>
      </c>
      <c r="U6" s="34">
        <v>47159</v>
      </c>
      <c r="V6" s="34">
        <v>1579</v>
      </c>
      <c r="W6" s="34">
        <v>59900</v>
      </c>
      <c r="X6" s="34">
        <v>0</v>
      </c>
      <c r="Y6" s="34">
        <v>755361</v>
      </c>
      <c r="Z6" s="34">
        <v>99788</v>
      </c>
      <c r="AA6" s="34">
        <v>655573</v>
      </c>
      <c r="AB6" s="34">
        <v>419074</v>
      </c>
      <c r="AC6" s="34">
        <v>236499</v>
      </c>
    </row>
    <row r="7" spans="1:29" x14ac:dyDescent="0.25">
      <c r="A7" s="31" t="s">
        <v>0</v>
      </c>
      <c r="B7" s="31" t="s">
        <v>722</v>
      </c>
      <c r="C7" s="31" t="s">
        <v>5</v>
      </c>
      <c r="D7" s="31" t="s">
        <v>409</v>
      </c>
      <c r="E7" s="32">
        <v>1923.48</v>
      </c>
      <c r="F7" s="33">
        <v>9996</v>
      </c>
      <c r="G7" s="32">
        <v>11919.48</v>
      </c>
      <c r="H7" s="32">
        <v>31.15</v>
      </c>
      <c r="I7" s="34">
        <v>1777</v>
      </c>
      <c r="J7" s="33">
        <v>6.4</v>
      </c>
      <c r="K7" s="34">
        <v>11767</v>
      </c>
      <c r="L7" s="32">
        <v>356.48</v>
      </c>
      <c r="M7" s="32">
        <v>63.99</v>
      </c>
      <c r="N7" s="32">
        <v>71.28</v>
      </c>
      <c r="O7" s="32">
        <v>35.33</v>
      </c>
      <c r="P7" s="32">
        <v>3.84</v>
      </c>
      <c r="Q7" s="34">
        <v>4249056</v>
      </c>
      <c r="R7" s="34">
        <v>0</v>
      </c>
      <c r="S7" s="34">
        <v>4249056</v>
      </c>
      <c r="T7" s="34">
        <v>301188</v>
      </c>
      <c r="U7" s="34">
        <v>335501</v>
      </c>
      <c r="V7" s="34">
        <v>11104</v>
      </c>
      <c r="W7" s="34">
        <v>421115</v>
      </c>
      <c r="X7" s="34">
        <v>0</v>
      </c>
      <c r="Y7" s="34">
        <v>5317964</v>
      </c>
      <c r="Z7" s="34">
        <v>701548</v>
      </c>
      <c r="AA7" s="34">
        <v>4616416</v>
      </c>
      <c r="AB7" s="34">
        <v>2946237</v>
      </c>
      <c r="AC7" s="34">
        <v>1670179</v>
      </c>
    </row>
    <row r="8" spans="1:29" x14ac:dyDescent="0.25">
      <c r="A8" s="31" t="s">
        <v>0</v>
      </c>
      <c r="B8" s="31" t="s">
        <v>722</v>
      </c>
      <c r="C8" s="31" t="s">
        <v>6</v>
      </c>
      <c r="D8" s="31" t="s">
        <v>410</v>
      </c>
      <c r="E8" s="32">
        <v>35.01</v>
      </c>
      <c r="F8" s="33">
        <v>301.3</v>
      </c>
      <c r="G8" s="32">
        <v>336.31</v>
      </c>
      <c r="H8" s="32">
        <v>0.88</v>
      </c>
      <c r="I8" s="34">
        <v>8</v>
      </c>
      <c r="J8" s="33">
        <v>0</v>
      </c>
      <c r="K8" s="34">
        <v>309</v>
      </c>
      <c r="L8" s="32">
        <v>356.48</v>
      </c>
      <c r="M8" s="32">
        <v>63.99</v>
      </c>
      <c r="N8" s="32">
        <v>71.28</v>
      </c>
      <c r="O8" s="32">
        <v>35.33</v>
      </c>
      <c r="P8" s="32">
        <v>3.84</v>
      </c>
      <c r="Q8" s="34">
        <v>119888</v>
      </c>
      <c r="R8" s="34">
        <v>11434</v>
      </c>
      <c r="S8" s="34">
        <v>131322</v>
      </c>
      <c r="T8" s="34">
        <v>7909</v>
      </c>
      <c r="U8" s="34">
        <v>8810</v>
      </c>
      <c r="V8" s="34">
        <v>314</v>
      </c>
      <c r="W8" s="34">
        <v>13002</v>
      </c>
      <c r="X8" s="34">
        <v>0</v>
      </c>
      <c r="Y8" s="34">
        <v>161357</v>
      </c>
      <c r="Z8" s="34">
        <v>19795</v>
      </c>
      <c r="AA8" s="34">
        <v>141562</v>
      </c>
      <c r="AB8" s="34">
        <v>84248</v>
      </c>
      <c r="AC8" s="34">
        <v>57314</v>
      </c>
    </row>
    <row r="9" spans="1:29" x14ac:dyDescent="0.25">
      <c r="A9" s="31" t="s">
        <v>0</v>
      </c>
      <c r="B9" s="31" t="s">
        <v>722</v>
      </c>
      <c r="C9" s="31" t="s">
        <v>7</v>
      </c>
      <c r="D9" s="31" t="s">
        <v>411</v>
      </c>
      <c r="E9" s="32">
        <v>25.85</v>
      </c>
      <c r="F9" s="33">
        <v>392</v>
      </c>
      <c r="G9" s="32">
        <v>417.85</v>
      </c>
      <c r="H9" s="32">
        <v>1.0900000000000001</v>
      </c>
      <c r="I9" s="34">
        <v>23</v>
      </c>
      <c r="J9" s="33">
        <v>0</v>
      </c>
      <c r="K9" s="34">
        <v>415</v>
      </c>
      <c r="L9" s="32">
        <v>356.48</v>
      </c>
      <c r="M9" s="32">
        <v>63.99</v>
      </c>
      <c r="N9" s="32">
        <v>71.28</v>
      </c>
      <c r="O9" s="32">
        <v>35.33</v>
      </c>
      <c r="P9" s="32">
        <v>3.84</v>
      </c>
      <c r="Q9" s="34">
        <v>148955</v>
      </c>
      <c r="R9" s="34">
        <v>0</v>
      </c>
      <c r="S9" s="34">
        <v>148955</v>
      </c>
      <c r="T9" s="34">
        <v>10622</v>
      </c>
      <c r="U9" s="34">
        <v>11832</v>
      </c>
      <c r="V9" s="34">
        <v>389</v>
      </c>
      <c r="W9" s="34">
        <v>14763</v>
      </c>
      <c r="X9" s="34">
        <v>0</v>
      </c>
      <c r="Y9" s="34">
        <v>186561</v>
      </c>
      <c r="Z9" s="34">
        <v>24593</v>
      </c>
      <c r="AA9" s="34">
        <v>161968</v>
      </c>
      <c r="AB9" s="34">
        <v>103284</v>
      </c>
      <c r="AC9" s="34">
        <v>58684</v>
      </c>
    </row>
    <row r="10" spans="1:29" x14ac:dyDescent="0.25">
      <c r="A10" s="31" t="s">
        <v>0</v>
      </c>
      <c r="B10" s="31" t="s">
        <v>722</v>
      </c>
      <c r="C10" s="31" t="s">
        <v>8</v>
      </c>
      <c r="D10" s="31" t="s">
        <v>412</v>
      </c>
      <c r="E10" s="32">
        <v>167.41</v>
      </c>
      <c r="F10" s="33">
        <v>1135</v>
      </c>
      <c r="G10" s="32">
        <v>1302.4100000000001</v>
      </c>
      <c r="H10" s="32">
        <v>3.41</v>
      </c>
      <c r="I10" s="34">
        <v>125</v>
      </c>
      <c r="J10" s="33">
        <v>1.6</v>
      </c>
      <c r="K10" s="34">
        <v>1258</v>
      </c>
      <c r="L10" s="32">
        <v>356.48</v>
      </c>
      <c r="M10" s="32">
        <v>63.99</v>
      </c>
      <c r="N10" s="32">
        <v>71.28</v>
      </c>
      <c r="O10" s="32">
        <v>35.33</v>
      </c>
      <c r="P10" s="32">
        <v>3.84</v>
      </c>
      <c r="Q10" s="34">
        <v>464283</v>
      </c>
      <c r="R10" s="34">
        <v>0</v>
      </c>
      <c r="S10" s="34">
        <v>464283</v>
      </c>
      <c r="T10" s="34">
        <v>32200</v>
      </c>
      <c r="U10" s="34">
        <v>35868</v>
      </c>
      <c r="V10" s="34">
        <v>1216</v>
      </c>
      <c r="W10" s="34">
        <v>46014</v>
      </c>
      <c r="X10" s="34">
        <v>0</v>
      </c>
      <c r="Y10" s="34">
        <v>579581</v>
      </c>
      <c r="Z10" s="34">
        <v>76657</v>
      </c>
      <c r="AA10" s="34">
        <v>502924</v>
      </c>
      <c r="AB10" s="34">
        <v>321928</v>
      </c>
      <c r="AC10" s="34">
        <v>180996</v>
      </c>
    </row>
    <row r="11" spans="1:29" x14ac:dyDescent="0.25">
      <c r="A11" s="31" t="s">
        <v>0</v>
      </c>
      <c r="B11" s="31" t="s">
        <v>722</v>
      </c>
      <c r="C11" s="31" t="s">
        <v>10</v>
      </c>
      <c r="D11" s="31" t="s">
        <v>414</v>
      </c>
      <c r="E11" s="32">
        <v>101.95</v>
      </c>
      <c r="F11" s="33">
        <v>812.3</v>
      </c>
      <c r="G11" s="32">
        <v>914.25</v>
      </c>
      <c r="H11" s="32">
        <v>2.39</v>
      </c>
      <c r="I11" s="34">
        <v>5</v>
      </c>
      <c r="J11" s="33">
        <v>0</v>
      </c>
      <c r="K11" s="34">
        <v>817</v>
      </c>
      <c r="L11" s="32">
        <v>356.48</v>
      </c>
      <c r="M11" s="32">
        <v>63.99</v>
      </c>
      <c r="N11" s="32">
        <v>71.28</v>
      </c>
      <c r="O11" s="32">
        <v>35.33</v>
      </c>
      <c r="P11" s="32">
        <v>3.84</v>
      </c>
      <c r="Q11" s="34">
        <v>325912</v>
      </c>
      <c r="R11" s="34">
        <v>0</v>
      </c>
      <c r="S11" s="34">
        <v>325912</v>
      </c>
      <c r="T11" s="34">
        <v>20912</v>
      </c>
      <c r="U11" s="34">
        <v>23294</v>
      </c>
      <c r="V11" s="34">
        <v>852</v>
      </c>
      <c r="W11" s="34">
        <v>32300</v>
      </c>
      <c r="X11" s="34">
        <v>0</v>
      </c>
      <c r="Y11" s="34">
        <v>403270</v>
      </c>
      <c r="Z11" s="34">
        <v>53811</v>
      </c>
      <c r="AA11" s="34">
        <v>349459</v>
      </c>
      <c r="AB11" s="34">
        <v>225982</v>
      </c>
      <c r="AC11" s="34">
        <v>123477</v>
      </c>
    </row>
    <row r="12" spans="1:29" x14ac:dyDescent="0.25">
      <c r="A12" s="31" t="s">
        <v>0</v>
      </c>
      <c r="B12" s="31" t="s">
        <v>722</v>
      </c>
      <c r="C12" s="31" t="s">
        <v>9</v>
      </c>
      <c r="D12" s="31" t="s">
        <v>413</v>
      </c>
      <c r="E12" s="32">
        <v>86.92</v>
      </c>
      <c r="F12" s="33">
        <v>674.3</v>
      </c>
      <c r="G12" s="32">
        <v>761.22</v>
      </c>
      <c r="H12" s="32">
        <v>1.99</v>
      </c>
      <c r="I12" s="34">
        <v>37</v>
      </c>
      <c r="J12" s="33">
        <v>0</v>
      </c>
      <c r="K12" s="34">
        <v>711</v>
      </c>
      <c r="L12" s="32">
        <v>356.48</v>
      </c>
      <c r="M12" s="32">
        <v>63.99</v>
      </c>
      <c r="N12" s="32">
        <v>71.28</v>
      </c>
      <c r="O12" s="32">
        <v>35.33</v>
      </c>
      <c r="P12" s="32">
        <v>3.84</v>
      </c>
      <c r="Q12" s="34">
        <v>271360</v>
      </c>
      <c r="R12" s="34">
        <v>0</v>
      </c>
      <c r="S12" s="34">
        <v>271360</v>
      </c>
      <c r="T12" s="34">
        <v>18199</v>
      </c>
      <c r="U12" s="34">
        <v>20272</v>
      </c>
      <c r="V12" s="34">
        <v>709</v>
      </c>
      <c r="W12" s="34">
        <v>26894</v>
      </c>
      <c r="X12" s="34">
        <v>0</v>
      </c>
      <c r="Y12" s="34">
        <v>337434</v>
      </c>
      <c r="Z12" s="34">
        <v>44803</v>
      </c>
      <c r="AA12" s="34">
        <v>292631</v>
      </c>
      <c r="AB12" s="34">
        <v>188158</v>
      </c>
      <c r="AC12" s="34">
        <v>104473</v>
      </c>
    </row>
    <row r="13" spans="1:29" x14ac:dyDescent="0.25">
      <c r="A13" s="31" t="s">
        <v>0</v>
      </c>
      <c r="B13" s="31" t="s">
        <v>722</v>
      </c>
      <c r="C13" s="31" t="s">
        <v>11</v>
      </c>
      <c r="D13" s="31" t="s">
        <v>415</v>
      </c>
      <c r="E13" s="32">
        <v>106.56</v>
      </c>
      <c r="F13" s="33">
        <v>970.6</v>
      </c>
      <c r="G13" s="32">
        <v>1077.1600000000001</v>
      </c>
      <c r="H13" s="32">
        <v>2.82</v>
      </c>
      <c r="I13" s="34">
        <v>66</v>
      </c>
      <c r="J13" s="33">
        <v>1.1000000000000001</v>
      </c>
      <c r="K13" s="34">
        <v>1036</v>
      </c>
      <c r="L13" s="32">
        <v>356.48</v>
      </c>
      <c r="M13" s="32">
        <v>63.99</v>
      </c>
      <c r="N13" s="32">
        <v>71.28</v>
      </c>
      <c r="O13" s="32">
        <v>35.33</v>
      </c>
      <c r="P13" s="32">
        <v>3.84</v>
      </c>
      <c r="Q13" s="34">
        <v>383986</v>
      </c>
      <c r="R13" s="34">
        <v>0</v>
      </c>
      <c r="S13" s="34">
        <v>383986</v>
      </c>
      <c r="T13" s="34">
        <v>26518</v>
      </c>
      <c r="U13" s="34">
        <v>29538</v>
      </c>
      <c r="V13" s="34">
        <v>1005</v>
      </c>
      <c r="W13" s="34">
        <v>38056</v>
      </c>
      <c r="X13" s="34">
        <v>0</v>
      </c>
      <c r="Y13" s="34">
        <v>479103</v>
      </c>
      <c r="Z13" s="34">
        <v>63398</v>
      </c>
      <c r="AA13" s="34">
        <v>415705</v>
      </c>
      <c r="AB13" s="34">
        <v>266253</v>
      </c>
      <c r="AC13" s="34">
        <v>149452</v>
      </c>
    </row>
    <row r="14" spans="1:29" x14ac:dyDescent="0.25">
      <c r="A14" s="31" t="s">
        <v>0</v>
      </c>
      <c r="B14" s="31" t="s">
        <v>722</v>
      </c>
      <c r="C14" s="31" t="s">
        <v>12</v>
      </c>
      <c r="D14" s="31" t="s">
        <v>416</v>
      </c>
      <c r="E14" s="32">
        <v>209.74</v>
      </c>
      <c r="F14" s="33">
        <v>1106.5999999999999</v>
      </c>
      <c r="G14" s="32">
        <v>1316.34</v>
      </c>
      <c r="H14" s="32">
        <v>3.44</v>
      </c>
      <c r="I14" s="34">
        <v>3</v>
      </c>
      <c r="J14" s="33">
        <v>0</v>
      </c>
      <c r="K14" s="34">
        <v>1110</v>
      </c>
      <c r="L14" s="32">
        <v>356.48</v>
      </c>
      <c r="M14" s="32">
        <v>63.99</v>
      </c>
      <c r="N14" s="32">
        <v>71.28</v>
      </c>
      <c r="O14" s="32">
        <v>35.33</v>
      </c>
      <c r="P14" s="32">
        <v>3.84</v>
      </c>
      <c r="Q14" s="34">
        <v>469249</v>
      </c>
      <c r="R14" s="34">
        <v>0</v>
      </c>
      <c r="S14" s="34">
        <v>469249</v>
      </c>
      <c r="T14" s="34">
        <v>28412</v>
      </c>
      <c r="U14" s="34">
        <v>31648</v>
      </c>
      <c r="V14" s="34">
        <v>1226</v>
      </c>
      <c r="W14" s="34">
        <v>46506</v>
      </c>
      <c r="X14" s="34">
        <v>0</v>
      </c>
      <c r="Y14" s="34">
        <v>577041</v>
      </c>
      <c r="Z14" s="34">
        <v>77476</v>
      </c>
      <c r="AA14" s="34">
        <v>499565</v>
      </c>
      <c r="AB14" s="34">
        <v>325371</v>
      </c>
      <c r="AC14" s="34">
        <v>174194</v>
      </c>
    </row>
    <row r="15" spans="1:29" x14ac:dyDescent="0.25">
      <c r="A15" s="31" t="s">
        <v>0</v>
      </c>
      <c r="B15" s="31" t="s">
        <v>722</v>
      </c>
      <c r="C15" s="31" t="s">
        <v>13</v>
      </c>
      <c r="D15" s="31" t="s">
        <v>417</v>
      </c>
      <c r="E15" s="32">
        <v>268.66000000000003</v>
      </c>
      <c r="F15" s="33">
        <v>1318.9</v>
      </c>
      <c r="G15" s="32">
        <v>1587.56</v>
      </c>
      <c r="H15" s="32">
        <v>4.1500000000000004</v>
      </c>
      <c r="I15" s="34">
        <v>12</v>
      </c>
      <c r="J15" s="33">
        <v>0</v>
      </c>
      <c r="K15" s="34">
        <v>1331</v>
      </c>
      <c r="L15" s="32">
        <v>356.48</v>
      </c>
      <c r="M15" s="32">
        <v>63.99</v>
      </c>
      <c r="N15" s="32">
        <v>71.28</v>
      </c>
      <c r="O15" s="32">
        <v>35.33</v>
      </c>
      <c r="P15" s="32">
        <v>3.84</v>
      </c>
      <c r="Q15" s="34">
        <v>565933</v>
      </c>
      <c r="R15" s="34">
        <v>0</v>
      </c>
      <c r="S15" s="34">
        <v>565933</v>
      </c>
      <c r="T15" s="34">
        <v>34068</v>
      </c>
      <c r="U15" s="34">
        <v>37950</v>
      </c>
      <c r="V15" s="34">
        <v>1479</v>
      </c>
      <c r="W15" s="34">
        <v>56088</v>
      </c>
      <c r="X15" s="34">
        <v>0</v>
      </c>
      <c r="Y15" s="34">
        <v>695518</v>
      </c>
      <c r="Z15" s="34">
        <v>93440</v>
      </c>
      <c r="AA15" s="34">
        <v>602078</v>
      </c>
      <c r="AB15" s="34">
        <v>392410</v>
      </c>
      <c r="AC15" s="34">
        <v>209668</v>
      </c>
    </row>
    <row r="16" spans="1:29" x14ac:dyDescent="0.25">
      <c r="A16" s="31" t="s">
        <v>0</v>
      </c>
      <c r="B16" s="31" t="s">
        <v>722</v>
      </c>
      <c r="C16" s="31" t="s">
        <v>14</v>
      </c>
      <c r="D16" s="31" t="s">
        <v>418</v>
      </c>
      <c r="E16" s="32">
        <v>101.31</v>
      </c>
      <c r="F16" s="33">
        <v>757.3</v>
      </c>
      <c r="G16" s="32">
        <v>858.61</v>
      </c>
      <c r="H16" s="32">
        <v>2.2400000000000002</v>
      </c>
      <c r="I16" s="34">
        <v>6</v>
      </c>
      <c r="J16" s="33">
        <v>0</v>
      </c>
      <c r="K16" s="34">
        <v>763</v>
      </c>
      <c r="L16" s="32">
        <v>356.48</v>
      </c>
      <c r="M16" s="32">
        <v>63.99</v>
      </c>
      <c r="N16" s="32">
        <v>71.28</v>
      </c>
      <c r="O16" s="32">
        <v>35.33</v>
      </c>
      <c r="P16" s="32">
        <v>3.84</v>
      </c>
      <c r="Q16" s="34">
        <v>306077</v>
      </c>
      <c r="R16" s="34">
        <v>0</v>
      </c>
      <c r="S16" s="34">
        <v>306077</v>
      </c>
      <c r="T16" s="34">
        <v>19530</v>
      </c>
      <c r="U16" s="34">
        <v>21755</v>
      </c>
      <c r="V16" s="34">
        <v>799</v>
      </c>
      <c r="W16" s="34">
        <v>30335</v>
      </c>
      <c r="X16" s="34">
        <v>0</v>
      </c>
      <c r="Y16" s="34">
        <v>378496</v>
      </c>
      <c r="Z16" s="34">
        <v>50535</v>
      </c>
      <c r="AA16" s="34">
        <v>327961</v>
      </c>
      <c r="AB16" s="34">
        <v>212230</v>
      </c>
      <c r="AC16" s="34">
        <v>115731</v>
      </c>
    </row>
    <row r="17" spans="1:29" x14ac:dyDescent="0.25">
      <c r="A17" s="31" t="s">
        <v>0</v>
      </c>
      <c r="B17" s="31" t="s">
        <v>722</v>
      </c>
      <c r="C17" s="31" t="s">
        <v>15</v>
      </c>
      <c r="D17" s="31" t="s">
        <v>419</v>
      </c>
      <c r="E17" s="32">
        <v>39.770000000000003</v>
      </c>
      <c r="F17" s="33">
        <v>344.2</v>
      </c>
      <c r="G17" s="32">
        <v>383.97</v>
      </c>
      <c r="H17" s="32">
        <v>1</v>
      </c>
      <c r="I17" s="34">
        <v>2</v>
      </c>
      <c r="J17" s="33">
        <v>0</v>
      </c>
      <c r="K17" s="34">
        <v>346</v>
      </c>
      <c r="L17" s="32">
        <v>356.48</v>
      </c>
      <c r="M17" s="32">
        <v>63.99</v>
      </c>
      <c r="N17" s="32">
        <v>71.28</v>
      </c>
      <c r="O17" s="32">
        <v>35.33</v>
      </c>
      <c r="P17" s="32">
        <v>3.84</v>
      </c>
      <c r="Q17" s="34">
        <v>136878</v>
      </c>
      <c r="R17" s="34">
        <v>0</v>
      </c>
      <c r="S17" s="34">
        <v>136878</v>
      </c>
      <c r="T17" s="34">
        <v>8856</v>
      </c>
      <c r="U17" s="34">
        <v>9865</v>
      </c>
      <c r="V17" s="34">
        <v>356</v>
      </c>
      <c r="W17" s="34">
        <v>13566</v>
      </c>
      <c r="X17" s="34">
        <v>0</v>
      </c>
      <c r="Y17" s="34">
        <v>169521</v>
      </c>
      <c r="Z17" s="34">
        <v>22600</v>
      </c>
      <c r="AA17" s="34">
        <v>146921</v>
      </c>
      <c r="AB17" s="34">
        <v>94908</v>
      </c>
      <c r="AC17" s="34">
        <v>52013</v>
      </c>
    </row>
    <row r="18" spans="1:29" x14ac:dyDescent="0.25">
      <c r="A18" s="31" t="s">
        <v>0</v>
      </c>
      <c r="B18" s="31" t="s">
        <v>722</v>
      </c>
      <c r="C18" s="31" t="s">
        <v>16</v>
      </c>
      <c r="D18" s="31" t="s">
        <v>420</v>
      </c>
      <c r="E18" s="32">
        <v>91.72</v>
      </c>
      <c r="F18" s="33">
        <v>532.9</v>
      </c>
      <c r="G18" s="32">
        <v>624.62</v>
      </c>
      <c r="H18" s="32">
        <v>1.63</v>
      </c>
      <c r="I18" s="34">
        <v>166</v>
      </c>
      <c r="J18" s="33">
        <v>5.0999999999999996</v>
      </c>
      <c r="K18" s="34">
        <v>694</v>
      </c>
      <c r="L18" s="32">
        <v>356.48</v>
      </c>
      <c r="M18" s="32">
        <v>63.99</v>
      </c>
      <c r="N18" s="32">
        <v>71.28</v>
      </c>
      <c r="O18" s="32">
        <v>35.33</v>
      </c>
      <c r="P18" s="32">
        <v>3.84</v>
      </c>
      <c r="Q18" s="34">
        <v>222665</v>
      </c>
      <c r="R18" s="34">
        <v>0</v>
      </c>
      <c r="S18" s="34">
        <v>222665</v>
      </c>
      <c r="T18" s="34">
        <v>17764</v>
      </c>
      <c r="U18" s="34">
        <v>19787</v>
      </c>
      <c r="V18" s="34">
        <v>581</v>
      </c>
      <c r="W18" s="34">
        <v>22068</v>
      </c>
      <c r="X18" s="34">
        <v>0</v>
      </c>
      <c r="Y18" s="34">
        <v>282865</v>
      </c>
      <c r="Z18" s="34">
        <v>36764</v>
      </c>
      <c r="AA18" s="34">
        <v>246101</v>
      </c>
      <c r="AB18" s="34">
        <v>154392</v>
      </c>
      <c r="AC18" s="34">
        <v>91709</v>
      </c>
    </row>
    <row r="19" spans="1:29" x14ac:dyDescent="0.25">
      <c r="A19" s="31" t="s">
        <v>0</v>
      </c>
      <c r="B19" s="31" t="s">
        <v>722</v>
      </c>
      <c r="C19" s="31" t="s">
        <v>17</v>
      </c>
      <c r="D19" s="31" t="s">
        <v>421</v>
      </c>
      <c r="E19" s="32">
        <v>103.78</v>
      </c>
      <c r="F19" s="33">
        <v>574.9</v>
      </c>
      <c r="G19" s="32">
        <v>678.68</v>
      </c>
      <c r="H19" s="32">
        <v>1.77</v>
      </c>
      <c r="I19" s="34">
        <v>2</v>
      </c>
      <c r="J19" s="33">
        <v>0</v>
      </c>
      <c r="K19" s="34">
        <v>577</v>
      </c>
      <c r="L19" s="32">
        <v>356.48</v>
      </c>
      <c r="M19" s="32">
        <v>63.99</v>
      </c>
      <c r="N19" s="32">
        <v>71.28</v>
      </c>
      <c r="O19" s="32">
        <v>35.33</v>
      </c>
      <c r="P19" s="32">
        <v>3.84</v>
      </c>
      <c r="Q19" s="34">
        <v>241936</v>
      </c>
      <c r="R19" s="34">
        <v>0</v>
      </c>
      <c r="S19" s="34">
        <v>241936</v>
      </c>
      <c r="T19" s="34">
        <v>14769</v>
      </c>
      <c r="U19" s="34">
        <v>16452</v>
      </c>
      <c r="V19" s="34">
        <v>631</v>
      </c>
      <c r="W19" s="34">
        <v>23978</v>
      </c>
      <c r="X19" s="34">
        <v>0</v>
      </c>
      <c r="Y19" s="34">
        <v>297766</v>
      </c>
      <c r="Z19" s="34">
        <v>39945</v>
      </c>
      <c r="AA19" s="34">
        <v>257821</v>
      </c>
      <c r="AB19" s="34">
        <v>167755</v>
      </c>
      <c r="AC19" s="34">
        <v>90066</v>
      </c>
    </row>
    <row r="20" spans="1:29" x14ac:dyDescent="0.25">
      <c r="A20" s="31" t="s">
        <v>0</v>
      </c>
      <c r="B20" s="31" t="s">
        <v>722</v>
      </c>
      <c r="C20" s="31" t="s">
        <v>18</v>
      </c>
      <c r="D20" s="31" t="s">
        <v>422</v>
      </c>
      <c r="E20" s="32">
        <v>48.29</v>
      </c>
      <c r="F20" s="33">
        <v>356.3</v>
      </c>
      <c r="G20" s="32">
        <v>404.59</v>
      </c>
      <c r="H20" s="32">
        <v>1.06</v>
      </c>
      <c r="I20" s="34">
        <v>55</v>
      </c>
      <c r="J20" s="33">
        <v>0.1</v>
      </c>
      <c r="K20" s="34">
        <v>411</v>
      </c>
      <c r="L20" s="32">
        <v>356.48</v>
      </c>
      <c r="M20" s="32">
        <v>63.99</v>
      </c>
      <c r="N20" s="32">
        <v>71.28</v>
      </c>
      <c r="O20" s="32">
        <v>35.33</v>
      </c>
      <c r="P20" s="32">
        <v>3.84</v>
      </c>
      <c r="Q20" s="34">
        <v>144228</v>
      </c>
      <c r="R20" s="34">
        <v>2526</v>
      </c>
      <c r="S20" s="34">
        <v>146754</v>
      </c>
      <c r="T20" s="34">
        <v>10520</v>
      </c>
      <c r="U20" s="34">
        <v>11718</v>
      </c>
      <c r="V20" s="34">
        <v>378</v>
      </c>
      <c r="W20" s="34">
        <v>14294</v>
      </c>
      <c r="X20" s="34">
        <v>0</v>
      </c>
      <c r="Y20" s="34">
        <v>183664</v>
      </c>
      <c r="Z20" s="34">
        <v>23813</v>
      </c>
      <c r="AA20" s="34">
        <v>159851</v>
      </c>
      <c r="AB20" s="34">
        <v>100007</v>
      </c>
      <c r="AC20" s="34">
        <v>59844</v>
      </c>
    </row>
    <row r="21" spans="1:29" x14ac:dyDescent="0.25">
      <c r="A21" s="31" t="s">
        <v>0</v>
      </c>
      <c r="B21" s="31" t="s">
        <v>722</v>
      </c>
      <c r="C21" s="31" t="s">
        <v>19</v>
      </c>
      <c r="D21" s="31" t="s">
        <v>423</v>
      </c>
      <c r="E21" s="32">
        <v>39.56</v>
      </c>
      <c r="F21" s="33">
        <v>254.3</v>
      </c>
      <c r="G21" s="32">
        <v>293.86</v>
      </c>
      <c r="H21" s="32">
        <v>0.77</v>
      </c>
      <c r="I21" s="34">
        <v>0</v>
      </c>
      <c r="J21" s="33">
        <v>0</v>
      </c>
      <c r="K21" s="34">
        <v>254</v>
      </c>
      <c r="L21" s="32">
        <v>356.48</v>
      </c>
      <c r="M21" s="32">
        <v>63.99</v>
      </c>
      <c r="N21" s="32">
        <v>71.28</v>
      </c>
      <c r="O21" s="32">
        <v>35.33</v>
      </c>
      <c r="P21" s="32">
        <v>3.84</v>
      </c>
      <c r="Q21" s="34">
        <v>104755</v>
      </c>
      <c r="R21" s="34">
        <v>230</v>
      </c>
      <c r="S21" s="34">
        <v>104985</v>
      </c>
      <c r="T21" s="34">
        <v>6501</v>
      </c>
      <c r="U21" s="34">
        <v>7242</v>
      </c>
      <c r="V21" s="34">
        <v>274</v>
      </c>
      <c r="W21" s="34">
        <v>10395</v>
      </c>
      <c r="X21" s="34">
        <v>0</v>
      </c>
      <c r="Y21" s="34">
        <v>129397</v>
      </c>
      <c r="Z21" s="34">
        <v>17296</v>
      </c>
      <c r="AA21" s="34">
        <v>112101</v>
      </c>
      <c r="AB21" s="34">
        <v>72649</v>
      </c>
      <c r="AC21" s="34">
        <v>39452</v>
      </c>
    </row>
    <row r="22" spans="1:29" x14ac:dyDescent="0.25">
      <c r="A22" s="31" t="s">
        <v>0</v>
      </c>
      <c r="B22" s="31" t="s">
        <v>722</v>
      </c>
      <c r="C22" s="31" t="s">
        <v>20</v>
      </c>
      <c r="D22" s="31" t="s">
        <v>424</v>
      </c>
      <c r="E22" s="32">
        <v>186.71</v>
      </c>
      <c r="F22" s="33">
        <v>1327.5</v>
      </c>
      <c r="G22" s="32">
        <v>1514.21</v>
      </c>
      <c r="H22" s="32">
        <v>3.96</v>
      </c>
      <c r="I22" s="34">
        <v>222</v>
      </c>
      <c r="J22" s="33">
        <v>1.3</v>
      </c>
      <c r="K22" s="34">
        <v>1548</v>
      </c>
      <c r="L22" s="32">
        <v>356.48</v>
      </c>
      <c r="M22" s="32">
        <v>63.99</v>
      </c>
      <c r="N22" s="32">
        <v>71.28</v>
      </c>
      <c r="O22" s="32">
        <v>35.33</v>
      </c>
      <c r="P22" s="32">
        <v>3.84</v>
      </c>
      <c r="Q22" s="34">
        <v>539786</v>
      </c>
      <c r="R22" s="34">
        <v>0</v>
      </c>
      <c r="S22" s="34">
        <v>539786</v>
      </c>
      <c r="T22" s="34">
        <v>39623</v>
      </c>
      <c r="U22" s="34">
        <v>44136</v>
      </c>
      <c r="V22" s="34">
        <v>1412</v>
      </c>
      <c r="W22" s="34">
        <v>53497</v>
      </c>
      <c r="X22" s="34">
        <v>0</v>
      </c>
      <c r="Y22" s="34">
        <v>678454</v>
      </c>
      <c r="Z22" s="34">
        <v>89122</v>
      </c>
      <c r="AA22" s="34">
        <v>589332</v>
      </c>
      <c r="AB22" s="34">
        <v>374281</v>
      </c>
      <c r="AC22" s="34">
        <v>215051</v>
      </c>
    </row>
    <row r="23" spans="1:29" x14ac:dyDescent="0.25">
      <c r="A23" s="31" t="s">
        <v>0</v>
      </c>
      <c r="B23" s="31" t="s">
        <v>722</v>
      </c>
      <c r="C23" s="31" t="s">
        <v>21</v>
      </c>
      <c r="D23" s="31" t="s">
        <v>425</v>
      </c>
      <c r="E23" s="32">
        <v>402</v>
      </c>
      <c r="F23" s="33">
        <v>3189.7</v>
      </c>
      <c r="G23" s="32">
        <v>3591.7</v>
      </c>
      <c r="H23" s="32">
        <v>9.39</v>
      </c>
      <c r="I23" s="34">
        <v>1006</v>
      </c>
      <c r="J23" s="33">
        <v>2.8</v>
      </c>
      <c r="K23" s="34">
        <v>4193</v>
      </c>
      <c r="L23" s="32">
        <v>356.48</v>
      </c>
      <c r="M23" s="32">
        <v>63.99</v>
      </c>
      <c r="N23" s="32">
        <v>71.28</v>
      </c>
      <c r="O23" s="32">
        <v>35.33</v>
      </c>
      <c r="P23" s="32">
        <v>3.84</v>
      </c>
      <c r="Q23" s="34">
        <v>1280369</v>
      </c>
      <c r="R23" s="34">
        <v>0</v>
      </c>
      <c r="S23" s="34">
        <v>1280369</v>
      </c>
      <c r="T23" s="34">
        <v>107324</v>
      </c>
      <c r="U23" s="34">
        <v>119551</v>
      </c>
      <c r="V23" s="34">
        <v>3347</v>
      </c>
      <c r="W23" s="34">
        <v>126895</v>
      </c>
      <c r="X23" s="34">
        <v>0</v>
      </c>
      <c r="Y23" s="34">
        <v>1637486</v>
      </c>
      <c r="Z23" s="34">
        <v>211397</v>
      </c>
      <c r="AA23" s="34">
        <v>1426089</v>
      </c>
      <c r="AB23" s="34">
        <v>887792</v>
      </c>
      <c r="AC23" s="34">
        <v>538297</v>
      </c>
    </row>
    <row r="24" spans="1:29" x14ac:dyDescent="0.25">
      <c r="A24" s="31" t="s">
        <v>22</v>
      </c>
      <c r="B24" s="31" t="s">
        <v>723</v>
      </c>
      <c r="C24" s="31" t="s">
        <v>23</v>
      </c>
      <c r="D24" s="31" t="s">
        <v>426</v>
      </c>
      <c r="E24" s="32">
        <v>17.78</v>
      </c>
      <c r="F24" s="33">
        <v>198.3</v>
      </c>
      <c r="G24" s="32">
        <v>216.08</v>
      </c>
      <c r="H24" s="32">
        <v>0</v>
      </c>
      <c r="I24" s="34">
        <v>8</v>
      </c>
      <c r="J24" s="33">
        <v>0</v>
      </c>
      <c r="K24" s="34">
        <v>206</v>
      </c>
      <c r="L24" s="32">
        <v>352.23</v>
      </c>
      <c r="M24" s="32">
        <v>64.069999999999993</v>
      </c>
      <c r="N24" s="32">
        <v>71.75</v>
      </c>
      <c r="O24" s="32">
        <v>37.29</v>
      </c>
      <c r="P24" s="32">
        <v>4.43</v>
      </c>
      <c r="Q24" s="34">
        <v>76110</v>
      </c>
      <c r="R24" s="34">
        <v>4976</v>
      </c>
      <c r="S24" s="34">
        <v>81086</v>
      </c>
      <c r="T24" s="34">
        <v>5279</v>
      </c>
      <c r="U24" s="34">
        <v>5912</v>
      </c>
      <c r="V24" s="34">
        <v>0</v>
      </c>
      <c r="W24" s="34">
        <v>8590</v>
      </c>
      <c r="X24" s="34">
        <v>0</v>
      </c>
      <c r="Y24" s="34">
        <v>100867</v>
      </c>
      <c r="Z24" s="34">
        <v>12718</v>
      </c>
      <c r="AA24" s="34">
        <v>88149</v>
      </c>
      <c r="AB24" s="34">
        <v>54214</v>
      </c>
      <c r="AC24" s="34">
        <v>33935</v>
      </c>
    </row>
    <row r="25" spans="1:29" x14ac:dyDescent="0.25">
      <c r="A25" s="31" t="s">
        <v>22</v>
      </c>
      <c r="B25" s="31" t="s">
        <v>723</v>
      </c>
      <c r="C25" s="31" t="s">
        <v>24</v>
      </c>
      <c r="D25" s="31" t="s">
        <v>427</v>
      </c>
      <c r="E25" s="32">
        <v>183.75</v>
      </c>
      <c r="F25" s="33">
        <v>1411.5</v>
      </c>
      <c r="G25" s="32">
        <v>1595.25</v>
      </c>
      <c r="H25" s="32">
        <v>0</v>
      </c>
      <c r="I25" s="34">
        <v>302</v>
      </c>
      <c r="J25" s="33">
        <v>4.9000000000000004</v>
      </c>
      <c r="K25" s="34">
        <v>1709</v>
      </c>
      <c r="L25" s="32">
        <v>352.23</v>
      </c>
      <c r="M25" s="32">
        <v>64.069999999999993</v>
      </c>
      <c r="N25" s="32">
        <v>71.75</v>
      </c>
      <c r="O25" s="32">
        <v>37.29</v>
      </c>
      <c r="P25" s="32">
        <v>4.43</v>
      </c>
      <c r="Q25" s="34">
        <v>561895</v>
      </c>
      <c r="R25" s="34">
        <v>14224</v>
      </c>
      <c r="S25" s="34">
        <v>576119</v>
      </c>
      <c r="T25" s="34">
        <v>43798</v>
      </c>
      <c r="U25" s="34">
        <v>49048</v>
      </c>
      <c r="V25" s="34">
        <v>0</v>
      </c>
      <c r="W25" s="34">
        <v>61031</v>
      </c>
      <c r="X25" s="34">
        <v>0</v>
      </c>
      <c r="Y25" s="34">
        <v>729996</v>
      </c>
      <c r="Z25" s="34">
        <v>93892</v>
      </c>
      <c r="AA25" s="34">
        <v>636104</v>
      </c>
      <c r="AB25" s="34">
        <v>397857</v>
      </c>
      <c r="AC25" s="34">
        <v>238247</v>
      </c>
    </row>
    <row r="26" spans="1:29" x14ac:dyDescent="0.25">
      <c r="A26" s="31" t="s">
        <v>22</v>
      </c>
      <c r="B26" s="31" t="s">
        <v>723</v>
      </c>
      <c r="C26" s="31" t="s">
        <v>25</v>
      </c>
      <c r="D26" s="31" t="s">
        <v>428</v>
      </c>
      <c r="E26" s="32">
        <v>71.16</v>
      </c>
      <c r="F26" s="33">
        <v>840.7</v>
      </c>
      <c r="G26" s="32">
        <v>911.86</v>
      </c>
      <c r="H26" s="32">
        <v>0</v>
      </c>
      <c r="I26" s="34">
        <v>13</v>
      </c>
      <c r="J26" s="33">
        <v>0</v>
      </c>
      <c r="K26" s="34">
        <v>854</v>
      </c>
      <c r="L26" s="32">
        <v>352.23</v>
      </c>
      <c r="M26" s="32">
        <v>64.069999999999993</v>
      </c>
      <c r="N26" s="32">
        <v>71.75</v>
      </c>
      <c r="O26" s="32">
        <v>37.29</v>
      </c>
      <c r="P26" s="32">
        <v>4.43</v>
      </c>
      <c r="Q26" s="34">
        <v>321184</v>
      </c>
      <c r="R26" s="34">
        <v>6904</v>
      </c>
      <c r="S26" s="34">
        <v>328088</v>
      </c>
      <c r="T26" s="34">
        <v>21886</v>
      </c>
      <c r="U26" s="34">
        <v>24510</v>
      </c>
      <c r="V26" s="34">
        <v>0</v>
      </c>
      <c r="W26" s="34">
        <v>34756</v>
      </c>
      <c r="X26" s="34">
        <v>0</v>
      </c>
      <c r="Y26" s="34">
        <v>409240</v>
      </c>
      <c r="Z26" s="34">
        <v>53670</v>
      </c>
      <c r="AA26" s="34">
        <v>355570</v>
      </c>
      <c r="AB26" s="34">
        <v>227288</v>
      </c>
      <c r="AC26" s="34">
        <v>128282</v>
      </c>
    </row>
    <row r="27" spans="1:29" x14ac:dyDescent="0.25">
      <c r="A27" s="31" t="s">
        <v>22</v>
      </c>
      <c r="B27" s="31" t="s">
        <v>723</v>
      </c>
      <c r="C27" s="31" t="s">
        <v>26</v>
      </c>
      <c r="D27" s="31" t="s">
        <v>429</v>
      </c>
      <c r="E27" s="32">
        <v>109.9</v>
      </c>
      <c r="F27" s="33">
        <v>975.6</v>
      </c>
      <c r="G27" s="32">
        <v>1085.5</v>
      </c>
      <c r="H27" s="32">
        <v>0</v>
      </c>
      <c r="I27" s="34">
        <v>0</v>
      </c>
      <c r="J27" s="33">
        <v>0</v>
      </c>
      <c r="K27" s="34">
        <v>976</v>
      </c>
      <c r="L27" s="32">
        <v>352.23</v>
      </c>
      <c r="M27" s="32">
        <v>64.069999999999993</v>
      </c>
      <c r="N27" s="32">
        <v>71.75</v>
      </c>
      <c r="O27" s="32">
        <v>37.29</v>
      </c>
      <c r="P27" s="32">
        <v>4.43</v>
      </c>
      <c r="Q27" s="34">
        <v>382346</v>
      </c>
      <c r="R27" s="34">
        <v>7949</v>
      </c>
      <c r="S27" s="34">
        <v>390295</v>
      </c>
      <c r="T27" s="34">
        <v>25013</v>
      </c>
      <c r="U27" s="34">
        <v>28011</v>
      </c>
      <c r="V27" s="34">
        <v>0</v>
      </c>
      <c r="W27" s="34">
        <v>41346</v>
      </c>
      <c r="X27" s="34">
        <v>0</v>
      </c>
      <c r="Y27" s="34">
        <v>484665</v>
      </c>
      <c r="Z27" s="34">
        <v>63889</v>
      </c>
      <c r="AA27" s="34">
        <v>420776</v>
      </c>
      <c r="AB27" s="34">
        <v>270542</v>
      </c>
      <c r="AC27" s="34">
        <v>150234</v>
      </c>
    </row>
    <row r="28" spans="1:29" x14ac:dyDescent="0.25">
      <c r="A28" s="31" t="s">
        <v>22</v>
      </c>
      <c r="B28" s="31" t="s">
        <v>723</v>
      </c>
      <c r="C28" s="31" t="s">
        <v>27</v>
      </c>
      <c r="D28" s="31" t="s">
        <v>430</v>
      </c>
      <c r="E28" s="32">
        <v>24.26</v>
      </c>
      <c r="F28" s="33">
        <v>265</v>
      </c>
      <c r="G28" s="32">
        <v>289.26</v>
      </c>
      <c r="H28" s="32">
        <v>0</v>
      </c>
      <c r="I28" s="34">
        <v>28</v>
      </c>
      <c r="J28" s="33">
        <v>0</v>
      </c>
      <c r="K28" s="34">
        <v>293</v>
      </c>
      <c r="L28" s="32">
        <v>352.23</v>
      </c>
      <c r="M28" s="32">
        <v>64.069999999999993</v>
      </c>
      <c r="N28" s="32">
        <v>71.75</v>
      </c>
      <c r="O28" s="32">
        <v>37.29</v>
      </c>
      <c r="P28" s="32">
        <v>4.43</v>
      </c>
      <c r="Q28" s="34">
        <v>101886</v>
      </c>
      <c r="R28" s="34">
        <v>23147</v>
      </c>
      <c r="S28" s="34">
        <v>125033</v>
      </c>
      <c r="T28" s="34">
        <v>7509</v>
      </c>
      <c r="U28" s="34">
        <v>8409</v>
      </c>
      <c r="V28" s="34">
        <v>0</v>
      </c>
      <c r="W28" s="34">
        <v>11854</v>
      </c>
      <c r="X28" s="34">
        <v>0</v>
      </c>
      <c r="Y28" s="34">
        <v>152805</v>
      </c>
      <c r="Z28" s="34">
        <v>17025</v>
      </c>
      <c r="AA28" s="34">
        <v>135780</v>
      </c>
      <c r="AB28" s="34">
        <v>72929</v>
      </c>
      <c r="AC28" s="34">
        <v>62851</v>
      </c>
    </row>
    <row r="29" spans="1:29" x14ac:dyDescent="0.25">
      <c r="A29" s="31" t="s">
        <v>22</v>
      </c>
      <c r="B29" s="31" t="s">
        <v>723</v>
      </c>
      <c r="C29" s="31" t="s">
        <v>28</v>
      </c>
      <c r="D29" s="31" t="s">
        <v>431</v>
      </c>
      <c r="E29" s="32">
        <v>141.12</v>
      </c>
      <c r="F29" s="33">
        <v>979.8</v>
      </c>
      <c r="G29" s="32">
        <v>1120.92</v>
      </c>
      <c r="H29" s="32">
        <v>0</v>
      </c>
      <c r="I29" s="34">
        <v>6</v>
      </c>
      <c r="J29" s="33">
        <v>0</v>
      </c>
      <c r="K29" s="34">
        <v>986</v>
      </c>
      <c r="L29" s="32">
        <v>352.23</v>
      </c>
      <c r="M29" s="32">
        <v>64.069999999999993</v>
      </c>
      <c r="N29" s="32">
        <v>71.75</v>
      </c>
      <c r="O29" s="32">
        <v>37.29</v>
      </c>
      <c r="P29" s="32">
        <v>4.43</v>
      </c>
      <c r="Q29" s="34">
        <v>394822</v>
      </c>
      <c r="R29" s="34">
        <v>0</v>
      </c>
      <c r="S29" s="34">
        <v>394822</v>
      </c>
      <c r="T29" s="34">
        <v>25269</v>
      </c>
      <c r="U29" s="34">
        <v>28298</v>
      </c>
      <c r="V29" s="34">
        <v>0</v>
      </c>
      <c r="W29" s="34">
        <v>41799</v>
      </c>
      <c r="X29" s="34">
        <v>0</v>
      </c>
      <c r="Y29" s="34">
        <v>490188</v>
      </c>
      <c r="Z29" s="34">
        <v>65975</v>
      </c>
      <c r="AA29" s="34">
        <v>424213</v>
      </c>
      <c r="AB29" s="34">
        <v>278472</v>
      </c>
      <c r="AC29" s="34">
        <v>145741</v>
      </c>
    </row>
    <row r="30" spans="1:29" x14ac:dyDescent="0.25">
      <c r="A30" s="31" t="s">
        <v>22</v>
      </c>
      <c r="B30" s="31" t="s">
        <v>723</v>
      </c>
      <c r="C30" s="31" t="s">
        <v>29</v>
      </c>
      <c r="D30" s="31" t="s">
        <v>432</v>
      </c>
      <c r="E30" s="32">
        <v>96.98</v>
      </c>
      <c r="F30" s="33">
        <v>844.4</v>
      </c>
      <c r="G30" s="32">
        <v>941.38</v>
      </c>
      <c r="H30" s="32">
        <v>0</v>
      </c>
      <c r="I30" s="34">
        <v>48</v>
      </c>
      <c r="J30" s="33">
        <v>0</v>
      </c>
      <c r="K30" s="34">
        <v>892</v>
      </c>
      <c r="L30" s="32">
        <v>352.23</v>
      </c>
      <c r="M30" s="32">
        <v>64.069999999999993</v>
      </c>
      <c r="N30" s="32">
        <v>71.75</v>
      </c>
      <c r="O30" s="32">
        <v>37.29</v>
      </c>
      <c r="P30" s="32">
        <v>4.43</v>
      </c>
      <c r="Q30" s="34">
        <v>331582</v>
      </c>
      <c r="R30" s="34">
        <v>0</v>
      </c>
      <c r="S30" s="34">
        <v>331582</v>
      </c>
      <c r="T30" s="34">
        <v>22860</v>
      </c>
      <c r="U30" s="34">
        <v>25600</v>
      </c>
      <c r="V30" s="34">
        <v>0</v>
      </c>
      <c r="W30" s="34">
        <v>35104</v>
      </c>
      <c r="X30" s="34">
        <v>0</v>
      </c>
      <c r="Y30" s="34">
        <v>415146</v>
      </c>
      <c r="Z30" s="34">
        <v>55406</v>
      </c>
      <c r="AA30" s="34">
        <v>359740</v>
      </c>
      <c r="AB30" s="34">
        <v>233871</v>
      </c>
      <c r="AC30" s="34">
        <v>125869</v>
      </c>
    </row>
    <row r="31" spans="1:29" x14ac:dyDescent="0.25">
      <c r="A31" s="31" t="s">
        <v>22</v>
      </c>
      <c r="B31" s="31" t="s">
        <v>723</v>
      </c>
      <c r="C31" s="31" t="s">
        <v>30</v>
      </c>
      <c r="D31" s="31" t="s">
        <v>433</v>
      </c>
      <c r="E31" s="32">
        <v>104.83</v>
      </c>
      <c r="F31" s="33">
        <v>642.29999999999995</v>
      </c>
      <c r="G31" s="32">
        <v>747.13</v>
      </c>
      <c r="H31" s="32">
        <v>0</v>
      </c>
      <c r="I31" s="34">
        <v>76</v>
      </c>
      <c r="J31" s="33">
        <v>2.2999999999999998</v>
      </c>
      <c r="K31" s="34">
        <v>716</v>
      </c>
      <c r="L31" s="32">
        <v>352.23</v>
      </c>
      <c r="M31" s="32">
        <v>64.069999999999993</v>
      </c>
      <c r="N31" s="32">
        <v>71.75</v>
      </c>
      <c r="O31" s="32">
        <v>37.29</v>
      </c>
      <c r="P31" s="32">
        <v>4.43</v>
      </c>
      <c r="Q31" s="34">
        <v>263162</v>
      </c>
      <c r="R31" s="34">
        <v>2104</v>
      </c>
      <c r="S31" s="34">
        <v>265266</v>
      </c>
      <c r="T31" s="34">
        <v>18350</v>
      </c>
      <c r="U31" s="34">
        <v>20549</v>
      </c>
      <c r="V31" s="34">
        <v>0</v>
      </c>
      <c r="W31" s="34">
        <v>28101</v>
      </c>
      <c r="X31" s="34">
        <v>0</v>
      </c>
      <c r="Y31" s="34">
        <v>332266</v>
      </c>
      <c r="Z31" s="34">
        <v>43974</v>
      </c>
      <c r="AA31" s="34">
        <v>288292</v>
      </c>
      <c r="AB31" s="34">
        <v>185852</v>
      </c>
      <c r="AC31" s="34">
        <v>102440</v>
      </c>
    </row>
    <row r="32" spans="1:29" x14ac:dyDescent="0.25">
      <c r="A32" s="31" t="s">
        <v>22</v>
      </c>
      <c r="B32" s="31" t="s">
        <v>723</v>
      </c>
      <c r="C32" s="31" t="s">
        <v>31</v>
      </c>
      <c r="D32" s="31" t="s">
        <v>434</v>
      </c>
      <c r="E32" s="32">
        <v>138.05000000000001</v>
      </c>
      <c r="F32" s="33">
        <v>1168.0999999999999</v>
      </c>
      <c r="G32" s="32">
        <v>1306.1500000000001</v>
      </c>
      <c r="H32" s="32">
        <v>0</v>
      </c>
      <c r="I32" s="34">
        <v>0</v>
      </c>
      <c r="J32" s="33">
        <v>0</v>
      </c>
      <c r="K32" s="34">
        <v>1168</v>
      </c>
      <c r="L32" s="32">
        <v>352.23</v>
      </c>
      <c r="M32" s="32">
        <v>64.069999999999993</v>
      </c>
      <c r="N32" s="32">
        <v>71.75</v>
      </c>
      <c r="O32" s="32">
        <v>37.29</v>
      </c>
      <c r="P32" s="32">
        <v>4.43</v>
      </c>
      <c r="Q32" s="34">
        <v>460065</v>
      </c>
      <c r="R32" s="34">
        <v>6949</v>
      </c>
      <c r="S32" s="34">
        <v>467014</v>
      </c>
      <c r="T32" s="34">
        <v>29934</v>
      </c>
      <c r="U32" s="34">
        <v>33522</v>
      </c>
      <c r="V32" s="34">
        <v>0</v>
      </c>
      <c r="W32" s="34">
        <v>49047</v>
      </c>
      <c r="X32" s="34">
        <v>0</v>
      </c>
      <c r="Y32" s="34">
        <v>579517</v>
      </c>
      <c r="Z32" s="34">
        <v>76876</v>
      </c>
      <c r="AA32" s="34">
        <v>502641</v>
      </c>
      <c r="AB32" s="34">
        <v>324832</v>
      </c>
      <c r="AC32" s="34">
        <v>177809</v>
      </c>
    </row>
    <row r="33" spans="1:29" x14ac:dyDescent="0.25">
      <c r="A33" s="31" t="s">
        <v>22</v>
      </c>
      <c r="B33" s="31" t="s">
        <v>723</v>
      </c>
      <c r="C33" s="31" t="s">
        <v>32</v>
      </c>
      <c r="D33" s="31" t="s">
        <v>435</v>
      </c>
      <c r="E33" s="32">
        <v>551.23</v>
      </c>
      <c r="F33" s="33">
        <v>3521.8</v>
      </c>
      <c r="G33" s="32">
        <v>4073.03</v>
      </c>
      <c r="H33" s="32">
        <v>0</v>
      </c>
      <c r="I33" s="34">
        <v>602</v>
      </c>
      <c r="J33" s="33">
        <v>4.3</v>
      </c>
      <c r="K33" s="34">
        <v>4120</v>
      </c>
      <c r="L33" s="32">
        <v>352.23</v>
      </c>
      <c r="M33" s="32">
        <v>64.069999999999993</v>
      </c>
      <c r="N33" s="32">
        <v>71.75</v>
      </c>
      <c r="O33" s="32">
        <v>37.29</v>
      </c>
      <c r="P33" s="32">
        <v>4.43</v>
      </c>
      <c r="Q33" s="34">
        <v>1434643</v>
      </c>
      <c r="R33" s="34">
        <v>0</v>
      </c>
      <c r="S33" s="34">
        <v>1434643</v>
      </c>
      <c r="T33" s="34">
        <v>105587</v>
      </c>
      <c r="U33" s="34">
        <v>118244</v>
      </c>
      <c r="V33" s="34">
        <v>0</v>
      </c>
      <c r="W33" s="34">
        <v>151883</v>
      </c>
      <c r="X33" s="34">
        <v>0</v>
      </c>
      <c r="Y33" s="34">
        <v>1810357</v>
      </c>
      <c r="Z33" s="34">
        <v>239727</v>
      </c>
      <c r="AA33" s="34">
        <v>1570630</v>
      </c>
      <c r="AB33" s="34">
        <v>1011874</v>
      </c>
      <c r="AC33" s="34">
        <v>558756</v>
      </c>
    </row>
    <row r="34" spans="1:29" x14ac:dyDescent="0.25">
      <c r="A34" s="31" t="s">
        <v>22</v>
      </c>
      <c r="B34" s="31" t="s">
        <v>723</v>
      </c>
      <c r="C34" s="31" t="s">
        <v>33</v>
      </c>
      <c r="D34" s="31" t="s">
        <v>436</v>
      </c>
      <c r="E34" s="32">
        <v>28.91</v>
      </c>
      <c r="F34" s="33">
        <v>159.4</v>
      </c>
      <c r="G34" s="32">
        <v>188.31</v>
      </c>
      <c r="H34" s="32">
        <v>0</v>
      </c>
      <c r="I34" s="34">
        <v>5</v>
      </c>
      <c r="J34" s="33">
        <v>0</v>
      </c>
      <c r="K34" s="34">
        <v>164</v>
      </c>
      <c r="L34" s="32">
        <v>352.23</v>
      </c>
      <c r="M34" s="32">
        <v>64.069999999999993</v>
      </c>
      <c r="N34" s="32">
        <v>71.75</v>
      </c>
      <c r="O34" s="32">
        <v>37.29</v>
      </c>
      <c r="P34" s="32">
        <v>4.43</v>
      </c>
      <c r="Q34" s="34">
        <v>66328</v>
      </c>
      <c r="R34" s="34">
        <v>7000</v>
      </c>
      <c r="S34" s="34">
        <v>73328</v>
      </c>
      <c r="T34" s="34">
        <v>4203</v>
      </c>
      <c r="U34" s="34">
        <v>4707</v>
      </c>
      <c r="V34" s="34">
        <v>0</v>
      </c>
      <c r="W34" s="34">
        <v>7768</v>
      </c>
      <c r="X34" s="34">
        <v>0</v>
      </c>
      <c r="Y34" s="34">
        <v>90006</v>
      </c>
      <c r="Z34" s="34">
        <v>11083</v>
      </c>
      <c r="AA34" s="34">
        <v>78923</v>
      </c>
      <c r="AB34" s="34">
        <v>47529</v>
      </c>
      <c r="AC34" s="34">
        <v>31394</v>
      </c>
    </row>
    <row r="35" spans="1:29" x14ac:dyDescent="0.25">
      <c r="A35" s="31" t="s">
        <v>22</v>
      </c>
      <c r="B35" s="31" t="s">
        <v>723</v>
      </c>
      <c r="C35" s="31" t="s">
        <v>34</v>
      </c>
      <c r="D35" s="31" t="s">
        <v>437</v>
      </c>
      <c r="E35" s="32">
        <v>35.119999999999997</v>
      </c>
      <c r="F35" s="33">
        <v>375.6</v>
      </c>
      <c r="G35" s="32">
        <v>410.72</v>
      </c>
      <c r="H35" s="32">
        <v>0</v>
      </c>
      <c r="I35" s="34">
        <v>6</v>
      </c>
      <c r="J35" s="33">
        <v>0</v>
      </c>
      <c r="K35" s="34">
        <v>382</v>
      </c>
      <c r="L35" s="32">
        <v>352.23</v>
      </c>
      <c r="M35" s="32">
        <v>64.069999999999993</v>
      </c>
      <c r="N35" s="32">
        <v>71.75</v>
      </c>
      <c r="O35" s="32">
        <v>37.29</v>
      </c>
      <c r="P35" s="32">
        <v>4.43</v>
      </c>
      <c r="Q35" s="34">
        <v>144668</v>
      </c>
      <c r="R35" s="34">
        <v>0</v>
      </c>
      <c r="S35" s="34">
        <v>144668</v>
      </c>
      <c r="T35" s="34">
        <v>9790</v>
      </c>
      <c r="U35" s="34">
        <v>10964</v>
      </c>
      <c r="V35" s="34">
        <v>0</v>
      </c>
      <c r="W35" s="34">
        <v>15316</v>
      </c>
      <c r="X35" s="34">
        <v>0</v>
      </c>
      <c r="Y35" s="34">
        <v>180738</v>
      </c>
      <c r="Z35" s="34">
        <v>24174</v>
      </c>
      <c r="AA35" s="34">
        <v>156564</v>
      </c>
      <c r="AB35" s="34">
        <v>102036</v>
      </c>
      <c r="AC35" s="34">
        <v>54528</v>
      </c>
    </row>
    <row r="36" spans="1:29" x14ac:dyDescent="0.25">
      <c r="A36" s="31" t="s">
        <v>22</v>
      </c>
      <c r="B36" s="31" t="s">
        <v>723</v>
      </c>
      <c r="C36" s="31" t="s">
        <v>35</v>
      </c>
      <c r="D36" s="31" t="s">
        <v>438</v>
      </c>
      <c r="E36" s="32">
        <v>155.84</v>
      </c>
      <c r="F36" s="33">
        <v>1182.3</v>
      </c>
      <c r="G36" s="32">
        <v>1338.14</v>
      </c>
      <c r="H36" s="32">
        <v>0</v>
      </c>
      <c r="I36" s="34">
        <v>9</v>
      </c>
      <c r="J36" s="33">
        <v>0</v>
      </c>
      <c r="K36" s="34">
        <v>1191</v>
      </c>
      <c r="L36" s="32">
        <v>352.23</v>
      </c>
      <c r="M36" s="32">
        <v>64.069999999999993</v>
      </c>
      <c r="N36" s="32">
        <v>71.75</v>
      </c>
      <c r="O36" s="32">
        <v>37.29</v>
      </c>
      <c r="P36" s="32">
        <v>4.43</v>
      </c>
      <c r="Q36" s="34">
        <v>471333</v>
      </c>
      <c r="R36" s="34">
        <v>0</v>
      </c>
      <c r="S36" s="34">
        <v>471333</v>
      </c>
      <c r="T36" s="34">
        <v>30523</v>
      </c>
      <c r="U36" s="34">
        <v>34182</v>
      </c>
      <c r="V36" s="34">
        <v>0</v>
      </c>
      <c r="W36" s="34">
        <v>49899</v>
      </c>
      <c r="X36" s="34">
        <v>0</v>
      </c>
      <c r="Y36" s="34">
        <v>585937</v>
      </c>
      <c r="Z36" s="34">
        <v>78759</v>
      </c>
      <c r="AA36" s="34">
        <v>507178</v>
      </c>
      <c r="AB36" s="34">
        <v>332438</v>
      </c>
      <c r="AC36" s="34">
        <v>174740</v>
      </c>
    </row>
    <row r="37" spans="1:29" x14ac:dyDescent="0.25">
      <c r="A37" s="31" t="s">
        <v>22</v>
      </c>
      <c r="B37" s="31" t="s">
        <v>723</v>
      </c>
      <c r="C37" s="31" t="s">
        <v>36</v>
      </c>
      <c r="D37" s="31" t="s">
        <v>439</v>
      </c>
      <c r="E37" s="32">
        <v>34.6</v>
      </c>
      <c r="F37" s="33">
        <v>298</v>
      </c>
      <c r="G37" s="32">
        <v>332.6</v>
      </c>
      <c r="H37" s="32">
        <v>0</v>
      </c>
      <c r="I37" s="34">
        <v>0</v>
      </c>
      <c r="J37" s="33">
        <v>0</v>
      </c>
      <c r="K37" s="34">
        <v>298</v>
      </c>
      <c r="L37" s="32">
        <v>352.23</v>
      </c>
      <c r="M37" s="32">
        <v>64.069999999999993</v>
      </c>
      <c r="N37" s="32">
        <v>71.75</v>
      </c>
      <c r="O37" s="32">
        <v>37.29</v>
      </c>
      <c r="P37" s="32">
        <v>4.43</v>
      </c>
      <c r="Q37" s="34">
        <v>117152</v>
      </c>
      <c r="R37" s="34">
        <v>0</v>
      </c>
      <c r="S37" s="34">
        <v>117152</v>
      </c>
      <c r="T37" s="34">
        <v>7637</v>
      </c>
      <c r="U37" s="34">
        <v>8553</v>
      </c>
      <c r="V37" s="34">
        <v>0</v>
      </c>
      <c r="W37" s="34">
        <v>12403</v>
      </c>
      <c r="X37" s="34">
        <v>0</v>
      </c>
      <c r="Y37" s="34">
        <v>145745</v>
      </c>
      <c r="Z37" s="34">
        <v>19576</v>
      </c>
      <c r="AA37" s="34">
        <v>126169</v>
      </c>
      <c r="AB37" s="34">
        <v>82629</v>
      </c>
      <c r="AC37" s="34">
        <v>43540</v>
      </c>
    </row>
    <row r="38" spans="1:29" x14ac:dyDescent="0.25">
      <c r="A38" s="31" t="s">
        <v>22</v>
      </c>
      <c r="B38" s="31" t="s">
        <v>723</v>
      </c>
      <c r="C38" s="31" t="s">
        <v>37</v>
      </c>
      <c r="D38" s="31" t="s">
        <v>440</v>
      </c>
      <c r="E38" s="32">
        <v>126.31</v>
      </c>
      <c r="F38" s="33">
        <v>1214.7</v>
      </c>
      <c r="G38" s="32">
        <v>1341.01</v>
      </c>
      <c r="H38" s="32">
        <v>0</v>
      </c>
      <c r="I38" s="34">
        <v>122</v>
      </c>
      <c r="J38" s="33">
        <v>1.9</v>
      </c>
      <c r="K38" s="34">
        <v>1335</v>
      </c>
      <c r="L38" s="32">
        <v>352.23</v>
      </c>
      <c r="M38" s="32">
        <v>64.069999999999993</v>
      </c>
      <c r="N38" s="32">
        <v>71.75</v>
      </c>
      <c r="O38" s="32">
        <v>37.29</v>
      </c>
      <c r="P38" s="32">
        <v>4.43</v>
      </c>
      <c r="Q38" s="34">
        <v>472344</v>
      </c>
      <c r="R38" s="34">
        <v>4924</v>
      </c>
      <c r="S38" s="34">
        <v>477268</v>
      </c>
      <c r="T38" s="34">
        <v>34213</v>
      </c>
      <c r="U38" s="34">
        <v>38314</v>
      </c>
      <c r="V38" s="34">
        <v>0</v>
      </c>
      <c r="W38" s="34">
        <v>50559</v>
      </c>
      <c r="X38" s="34">
        <v>0</v>
      </c>
      <c r="Y38" s="34">
        <v>600354</v>
      </c>
      <c r="Z38" s="34">
        <v>78928</v>
      </c>
      <c r="AA38" s="34">
        <v>521426</v>
      </c>
      <c r="AB38" s="34">
        <v>333704</v>
      </c>
      <c r="AC38" s="34">
        <v>187722</v>
      </c>
    </row>
    <row r="39" spans="1:29" x14ac:dyDescent="0.25">
      <c r="A39" s="31" t="s">
        <v>22</v>
      </c>
      <c r="B39" s="31" t="s">
        <v>723</v>
      </c>
      <c r="C39" s="31" t="s">
        <v>38</v>
      </c>
      <c r="D39" s="31" t="s">
        <v>441</v>
      </c>
      <c r="E39" s="32">
        <v>63.84</v>
      </c>
      <c r="F39" s="33">
        <v>316</v>
      </c>
      <c r="G39" s="32">
        <v>379.84</v>
      </c>
      <c r="H39" s="32">
        <v>0</v>
      </c>
      <c r="I39" s="34">
        <v>2</v>
      </c>
      <c r="J39" s="33">
        <v>0</v>
      </c>
      <c r="K39" s="34">
        <v>318</v>
      </c>
      <c r="L39" s="32">
        <v>352.23</v>
      </c>
      <c r="M39" s="32">
        <v>64.069999999999993</v>
      </c>
      <c r="N39" s="32">
        <v>71.75</v>
      </c>
      <c r="O39" s="32">
        <v>37.29</v>
      </c>
      <c r="P39" s="32">
        <v>4.43</v>
      </c>
      <c r="Q39" s="34">
        <v>133791</v>
      </c>
      <c r="R39" s="34">
        <v>0</v>
      </c>
      <c r="S39" s="34">
        <v>133791</v>
      </c>
      <c r="T39" s="34">
        <v>8150</v>
      </c>
      <c r="U39" s="34">
        <v>9127</v>
      </c>
      <c r="V39" s="34">
        <v>0</v>
      </c>
      <c r="W39" s="34">
        <v>14164</v>
      </c>
      <c r="X39" s="34">
        <v>0</v>
      </c>
      <c r="Y39" s="34">
        <v>165232</v>
      </c>
      <c r="Z39" s="34">
        <v>22356</v>
      </c>
      <c r="AA39" s="34">
        <v>142876</v>
      </c>
      <c r="AB39" s="34">
        <v>94365</v>
      </c>
      <c r="AC39" s="34">
        <v>48511</v>
      </c>
    </row>
    <row r="40" spans="1:29" x14ac:dyDescent="0.25">
      <c r="A40" s="31" t="s">
        <v>22</v>
      </c>
      <c r="B40" s="31" t="s">
        <v>723</v>
      </c>
      <c r="C40" s="31" t="s">
        <v>39</v>
      </c>
      <c r="D40" s="31" t="s">
        <v>442</v>
      </c>
      <c r="E40" s="32">
        <v>69.260000000000005</v>
      </c>
      <c r="F40" s="33">
        <v>661.5</v>
      </c>
      <c r="G40" s="32">
        <v>730.76</v>
      </c>
      <c r="H40" s="32">
        <v>0</v>
      </c>
      <c r="I40" s="34">
        <v>65</v>
      </c>
      <c r="J40" s="33">
        <v>0</v>
      </c>
      <c r="K40" s="34">
        <v>727</v>
      </c>
      <c r="L40" s="32">
        <v>352.23</v>
      </c>
      <c r="M40" s="32">
        <v>64.069999999999993</v>
      </c>
      <c r="N40" s="32">
        <v>71.75</v>
      </c>
      <c r="O40" s="32">
        <v>37.29</v>
      </c>
      <c r="P40" s="32">
        <v>4.43</v>
      </c>
      <c r="Q40" s="34">
        <v>257396</v>
      </c>
      <c r="R40" s="34">
        <v>0</v>
      </c>
      <c r="S40" s="34">
        <v>257396</v>
      </c>
      <c r="T40" s="34">
        <v>18632</v>
      </c>
      <c r="U40" s="34">
        <v>20865</v>
      </c>
      <c r="V40" s="34">
        <v>0</v>
      </c>
      <c r="W40" s="34">
        <v>27250</v>
      </c>
      <c r="X40" s="34">
        <v>0</v>
      </c>
      <c r="Y40" s="34">
        <v>324143</v>
      </c>
      <c r="Z40" s="34">
        <v>43011</v>
      </c>
      <c r="AA40" s="34">
        <v>281132</v>
      </c>
      <c r="AB40" s="34">
        <v>181544</v>
      </c>
      <c r="AC40" s="34">
        <v>99588</v>
      </c>
    </row>
    <row r="41" spans="1:29" x14ac:dyDescent="0.25">
      <c r="A41" s="31" t="s">
        <v>22</v>
      </c>
      <c r="B41" s="31" t="s">
        <v>723</v>
      </c>
      <c r="C41" s="31" t="s">
        <v>40</v>
      </c>
      <c r="D41" s="31" t="s">
        <v>443</v>
      </c>
      <c r="E41" s="32">
        <v>50.38</v>
      </c>
      <c r="F41" s="33">
        <v>476.5</v>
      </c>
      <c r="G41" s="32">
        <v>526.88</v>
      </c>
      <c r="H41" s="32">
        <v>0</v>
      </c>
      <c r="I41" s="34">
        <v>9</v>
      </c>
      <c r="J41" s="33">
        <v>0</v>
      </c>
      <c r="K41" s="34">
        <v>486</v>
      </c>
      <c r="L41" s="32">
        <v>352.23</v>
      </c>
      <c r="M41" s="32">
        <v>64.069999999999993</v>
      </c>
      <c r="N41" s="32">
        <v>71.75</v>
      </c>
      <c r="O41" s="32">
        <v>37.29</v>
      </c>
      <c r="P41" s="32">
        <v>4.43</v>
      </c>
      <c r="Q41" s="34">
        <v>185583</v>
      </c>
      <c r="R41" s="34">
        <v>2559</v>
      </c>
      <c r="S41" s="34">
        <v>188142</v>
      </c>
      <c r="T41" s="34">
        <v>12455</v>
      </c>
      <c r="U41" s="34">
        <v>13948</v>
      </c>
      <c r="V41" s="34">
        <v>0</v>
      </c>
      <c r="W41" s="34">
        <v>19931</v>
      </c>
      <c r="X41" s="34">
        <v>0</v>
      </c>
      <c r="Y41" s="34">
        <v>234476</v>
      </c>
      <c r="Z41" s="34">
        <v>31011</v>
      </c>
      <c r="AA41" s="34">
        <v>203465</v>
      </c>
      <c r="AB41" s="34">
        <v>131178</v>
      </c>
      <c r="AC41" s="34">
        <v>72287</v>
      </c>
    </row>
    <row r="42" spans="1:29" x14ac:dyDescent="0.25">
      <c r="A42" s="31" t="s">
        <v>22</v>
      </c>
      <c r="B42" s="31" t="s">
        <v>723</v>
      </c>
      <c r="C42" s="31" t="s">
        <v>41</v>
      </c>
      <c r="D42" s="31" t="s">
        <v>444</v>
      </c>
      <c r="E42" s="32">
        <v>45.73</v>
      </c>
      <c r="F42" s="33">
        <v>243.2</v>
      </c>
      <c r="G42" s="32">
        <v>288.93</v>
      </c>
      <c r="H42" s="32">
        <v>0</v>
      </c>
      <c r="I42" s="34">
        <v>25</v>
      </c>
      <c r="J42" s="33">
        <v>0</v>
      </c>
      <c r="K42" s="34">
        <v>268</v>
      </c>
      <c r="L42" s="32">
        <v>352.23</v>
      </c>
      <c r="M42" s="32">
        <v>64.069999999999993</v>
      </c>
      <c r="N42" s="32">
        <v>71.75</v>
      </c>
      <c r="O42" s="32">
        <v>37.29</v>
      </c>
      <c r="P42" s="32">
        <v>4.43</v>
      </c>
      <c r="Q42" s="34">
        <v>101770</v>
      </c>
      <c r="R42" s="34">
        <v>7251</v>
      </c>
      <c r="S42" s="34">
        <v>109021</v>
      </c>
      <c r="T42" s="34">
        <v>6868</v>
      </c>
      <c r="U42" s="34">
        <v>7692</v>
      </c>
      <c r="V42" s="34">
        <v>0</v>
      </c>
      <c r="W42" s="34">
        <v>10774</v>
      </c>
      <c r="X42" s="34">
        <v>0</v>
      </c>
      <c r="Y42" s="34">
        <v>134355</v>
      </c>
      <c r="Z42" s="34">
        <v>17006</v>
      </c>
      <c r="AA42" s="34">
        <v>117349</v>
      </c>
      <c r="AB42" s="34">
        <v>71779</v>
      </c>
      <c r="AC42" s="34">
        <v>45570</v>
      </c>
    </row>
    <row r="43" spans="1:29" x14ac:dyDescent="0.25">
      <c r="A43" s="31" t="s">
        <v>22</v>
      </c>
      <c r="B43" s="31" t="s">
        <v>723</v>
      </c>
      <c r="C43" s="31" t="s">
        <v>42</v>
      </c>
      <c r="D43" s="31" t="s">
        <v>445</v>
      </c>
      <c r="E43" s="32">
        <v>49.32</v>
      </c>
      <c r="F43" s="33">
        <v>397</v>
      </c>
      <c r="G43" s="32">
        <v>446.32</v>
      </c>
      <c r="H43" s="32">
        <v>0</v>
      </c>
      <c r="I43" s="34">
        <v>15</v>
      </c>
      <c r="J43" s="33">
        <v>0</v>
      </c>
      <c r="K43" s="34">
        <v>412</v>
      </c>
      <c r="L43" s="32">
        <v>352.23</v>
      </c>
      <c r="M43" s="32">
        <v>64.069999999999993</v>
      </c>
      <c r="N43" s="32">
        <v>71.75</v>
      </c>
      <c r="O43" s="32">
        <v>37.29</v>
      </c>
      <c r="P43" s="32">
        <v>4.43</v>
      </c>
      <c r="Q43" s="34">
        <v>157207</v>
      </c>
      <c r="R43" s="34">
        <v>13028</v>
      </c>
      <c r="S43" s="34">
        <v>170235</v>
      </c>
      <c r="T43" s="34">
        <v>10559</v>
      </c>
      <c r="U43" s="34">
        <v>11824</v>
      </c>
      <c r="V43" s="34">
        <v>0</v>
      </c>
      <c r="W43" s="34">
        <v>16643</v>
      </c>
      <c r="X43" s="34">
        <v>0</v>
      </c>
      <c r="Y43" s="34">
        <v>209261</v>
      </c>
      <c r="Z43" s="34">
        <v>26269</v>
      </c>
      <c r="AA43" s="34">
        <v>182992</v>
      </c>
      <c r="AB43" s="34">
        <v>110880</v>
      </c>
      <c r="AC43" s="34">
        <v>72112</v>
      </c>
    </row>
    <row r="44" spans="1:29" x14ac:dyDescent="0.25">
      <c r="A44" s="31" t="s">
        <v>22</v>
      </c>
      <c r="B44" s="31" t="s">
        <v>723</v>
      </c>
      <c r="C44" s="31" t="s">
        <v>44</v>
      </c>
      <c r="D44" s="31" t="s">
        <v>446</v>
      </c>
      <c r="E44" s="32">
        <v>116.56</v>
      </c>
      <c r="F44" s="33">
        <v>1024.4000000000001</v>
      </c>
      <c r="G44" s="32">
        <v>1140.96</v>
      </c>
      <c r="H44" s="32">
        <v>0</v>
      </c>
      <c r="I44" s="34">
        <v>8</v>
      </c>
      <c r="J44" s="33">
        <v>0</v>
      </c>
      <c r="K44" s="34">
        <v>1032</v>
      </c>
      <c r="L44" s="32">
        <v>352.23</v>
      </c>
      <c r="M44" s="32">
        <v>64.069999999999993</v>
      </c>
      <c r="N44" s="32">
        <v>71.75</v>
      </c>
      <c r="O44" s="32">
        <v>37.29</v>
      </c>
      <c r="P44" s="32">
        <v>4.43</v>
      </c>
      <c r="Q44" s="34">
        <v>401880</v>
      </c>
      <c r="R44" s="34">
        <v>9003</v>
      </c>
      <c r="S44" s="34">
        <v>410883</v>
      </c>
      <c r="T44" s="34">
        <v>26448</v>
      </c>
      <c r="U44" s="34">
        <v>29618</v>
      </c>
      <c r="V44" s="34">
        <v>0</v>
      </c>
      <c r="W44" s="34">
        <v>43527</v>
      </c>
      <c r="X44" s="34">
        <v>0</v>
      </c>
      <c r="Y44" s="34">
        <v>510476</v>
      </c>
      <c r="Z44" s="34">
        <v>67154</v>
      </c>
      <c r="AA44" s="34">
        <v>443322</v>
      </c>
      <c r="AB44" s="34">
        <v>284432</v>
      </c>
      <c r="AC44" s="34">
        <v>158890</v>
      </c>
    </row>
    <row r="45" spans="1:29" x14ac:dyDescent="0.25">
      <c r="A45" s="31" t="s">
        <v>22</v>
      </c>
      <c r="B45" s="31" t="s">
        <v>723</v>
      </c>
      <c r="C45" s="31" t="s">
        <v>45</v>
      </c>
      <c r="D45" s="31" t="s">
        <v>447</v>
      </c>
      <c r="E45" s="32">
        <v>15.5</v>
      </c>
      <c r="F45" s="33">
        <v>188.2</v>
      </c>
      <c r="G45" s="32">
        <v>203.7</v>
      </c>
      <c r="H45" s="32">
        <v>0</v>
      </c>
      <c r="I45" s="34">
        <v>5</v>
      </c>
      <c r="J45" s="33">
        <v>0</v>
      </c>
      <c r="K45" s="34">
        <v>193</v>
      </c>
      <c r="L45" s="32">
        <v>352.23</v>
      </c>
      <c r="M45" s="32">
        <v>64.069999999999993</v>
      </c>
      <c r="N45" s="32">
        <v>71.75</v>
      </c>
      <c r="O45" s="32">
        <v>37.29</v>
      </c>
      <c r="P45" s="32">
        <v>4.43</v>
      </c>
      <c r="Q45" s="34">
        <v>71749</v>
      </c>
      <c r="R45" s="34">
        <v>366</v>
      </c>
      <c r="S45" s="34">
        <v>72115</v>
      </c>
      <c r="T45" s="34">
        <v>4946</v>
      </c>
      <c r="U45" s="34">
        <v>5539</v>
      </c>
      <c r="V45" s="34">
        <v>0</v>
      </c>
      <c r="W45" s="34">
        <v>7596</v>
      </c>
      <c r="X45" s="34">
        <v>0</v>
      </c>
      <c r="Y45" s="34">
        <v>90196</v>
      </c>
      <c r="Z45" s="34">
        <v>11989</v>
      </c>
      <c r="AA45" s="34">
        <v>78207</v>
      </c>
      <c r="AB45" s="34">
        <v>50606</v>
      </c>
      <c r="AC45" s="34">
        <v>27601</v>
      </c>
    </row>
    <row r="46" spans="1:29" x14ac:dyDescent="0.25">
      <c r="A46" s="31" t="s">
        <v>22</v>
      </c>
      <c r="B46" s="31" t="s">
        <v>723</v>
      </c>
      <c r="C46" s="31" t="s">
        <v>46</v>
      </c>
      <c r="D46" s="31" t="s">
        <v>448</v>
      </c>
      <c r="E46" s="32">
        <v>92.17</v>
      </c>
      <c r="F46" s="33">
        <v>650</v>
      </c>
      <c r="G46" s="32">
        <v>742.17</v>
      </c>
      <c r="H46" s="32">
        <v>0</v>
      </c>
      <c r="I46" s="34">
        <v>85</v>
      </c>
      <c r="J46" s="33">
        <v>6.9</v>
      </c>
      <c r="K46" s="34">
        <v>728</v>
      </c>
      <c r="L46" s="32">
        <v>352.23</v>
      </c>
      <c r="M46" s="32">
        <v>64.069999999999993</v>
      </c>
      <c r="N46" s="32">
        <v>71.75</v>
      </c>
      <c r="O46" s="32">
        <v>37.29</v>
      </c>
      <c r="P46" s="32">
        <v>4.43</v>
      </c>
      <c r="Q46" s="34">
        <v>261415</v>
      </c>
      <c r="R46" s="34">
        <v>4632</v>
      </c>
      <c r="S46" s="34">
        <v>266047</v>
      </c>
      <c r="T46" s="34">
        <v>18657</v>
      </c>
      <c r="U46" s="34">
        <v>20894</v>
      </c>
      <c r="V46" s="34">
        <v>0</v>
      </c>
      <c r="W46" s="34">
        <v>27886</v>
      </c>
      <c r="X46" s="34">
        <v>0</v>
      </c>
      <c r="Y46" s="34">
        <v>333484</v>
      </c>
      <c r="Z46" s="34">
        <v>43682</v>
      </c>
      <c r="AA46" s="34">
        <v>289802</v>
      </c>
      <c r="AB46" s="34">
        <v>184590</v>
      </c>
      <c r="AC46" s="34">
        <v>105212</v>
      </c>
    </row>
    <row r="47" spans="1:29" x14ac:dyDescent="0.25">
      <c r="A47" s="31" t="s">
        <v>22</v>
      </c>
      <c r="B47" s="31" t="s">
        <v>723</v>
      </c>
      <c r="C47" s="31" t="s">
        <v>47</v>
      </c>
      <c r="D47" s="31" t="s">
        <v>449</v>
      </c>
      <c r="E47" s="32">
        <v>21.26</v>
      </c>
      <c r="F47" s="33">
        <v>177</v>
      </c>
      <c r="G47" s="32">
        <v>198.26</v>
      </c>
      <c r="H47" s="32">
        <v>0</v>
      </c>
      <c r="I47" s="34">
        <v>5</v>
      </c>
      <c r="J47" s="33">
        <v>0</v>
      </c>
      <c r="K47" s="34">
        <v>182</v>
      </c>
      <c r="L47" s="32">
        <v>352.23</v>
      </c>
      <c r="M47" s="32">
        <v>64.069999999999993</v>
      </c>
      <c r="N47" s="32">
        <v>71.75</v>
      </c>
      <c r="O47" s="32">
        <v>37.29</v>
      </c>
      <c r="P47" s="32">
        <v>4.43</v>
      </c>
      <c r="Q47" s="34">
        <v>69833</v>
      </c>
      <c r="R47" s="34">
        <v>16642</v>
      </c>
      <c r="S47" s="34">
        <v>86475</v>
      </c>
      <c r="T47" s="34">
        <v>4664</v>
      </c>
      <c r="U47" s="34">
        <v>5224</v>
      </c>
      <c r="V47" s="34">
        <v>0</v>
      </c>
      <c r="W47" s="34">
        <v>8186</v>
      </c>
      <c r="X47" s="34">
        <v>0</v>
      </c>
      <c r="Y47" s="34">
        <v>104549</v>
      </c>
      <c r="Z47" s="34">
        <v>11669</v>
      </c>
      <c r="AA47" s="34">
        <v>92880</v>
      </c>
      <c r="AB47" s="34">
        <v>50047</v>
      </c>
      <c r="AC47" s="34">
        <v>42833</v>
      </c>
    </row>
    <row r="48" spans="1:29" x14ac:dyDescent="0.25">
      <c r="A48" s="31" t="s">
        <v>22</v>
      </c>
      <c r="B48" s="31" t="s">
        <v>723</v>
      </c>
      <c r="C48" s="31" t="s">
        <v>48</v>
      </c>
      <c r="D48" s="31" t="s">
        <v>450</v>
      </c>
      <c r="E48" s="32">
        <v>45.95</v>
      </c>
      <c r="F48" s="33">
        <v>365</v>
      </c>
      <c r="G48" s="32">
        <v>410.95</v>
      </c>
      <c r="H48" s="32">
        <v>0</v>
      </c>
      <c r="I48" s="34">
        <v>12</v>
      </c>
      <c r="J48" s="33">
        <v>0</v>
      </c>
      <c r="K48" s="34">
        <v>377</v>
      </c>
      <c r="L48" s="32">
        <v>352.23</v>
      </c>
      <c r="M48" s="32">
        <v>64.069999999999993</v>
      </c>
      <c r="N48" s="32">
        <v>71.75</v>
      </c>
      <c r="O48" s="32">
        <v>37.29</v>
      </c>
      <c r="P48" s="32">
        <v>4.43</v>
      </c>
      <c r="Q48" s="34">
        <v>144749</v>
      </c>
      <c r="R48" s="34">
        <v>0</v>
      </c>
      <c r="S48" s="34">
        <v>144749</v>
      </c>
      <c r="T48" s="34">
        <v>9662</v>
      </c>
      <c r="U48" s="34">
        <v>10820</v>
      </c>
      <c r="V48" s="34">
        <v>0</v>
      </c>
      <c r="W48" s="34">
        <v>15324</v>
      </c>
      <c r="X48" s="34">
        <v>0</v>
      </c>
      <c r="Y48" s="34">
        <v>180555</v>
      </c>
      <c r="Z48" s="34">
        <v>24187</v>
      </c>
      <c r="AA48" s="34">
        <v>156368</v>
      </c>
      <c r="AB48" s="34">
        <v>102094</v>
      </c>
      <c r="AC48" s="34">
        <v>54274</v>
      </c>
    </row>
    <row r="49" spans="1:29" x14ac:dyDescent="0.25">
      <c r="A49" s="31" t="s">
        <v>22</v>
      </c>
      <c r="B49" s="31" t="s">
        <v>723</v>
      </c>
      <c r="C49" s="31" t="s">
        <v>49</v>
      </c>
      <c r="D49" s="31" t="s">
        <v>451</v>
      </c>
      <c r="E49" s="32">
        <v>59.4</v>
      </c>
      <c r="F49" s="33">
        <v>436</v>
      </c>
      <c r="G49" s="32">
        <v>495.4</v>
      </c>
      <c r="H49" s="32">
        <v>0</v>
      </c>
      <c r="I49" s="34">
        <v>12</v>
      </c>
      <c r="J49" s="33">
        <v>0</v>
      </c>
      <c r="K49" s="34">
        <v>448</v>
      </c>
      <c r="L49" s="32">
        <v>352.23</v>
      </c>
      <c r="M49" s="32">
        <v>64.069999999999993</v>
      </c>
      <c r="N49" s="32">
        <v>71.75</v>
      </c>
      <c r="O49" s="32">
        <v>37.29</v>
      </c>
      <c r="P49" s="32">
        <v>4.43</v>
      </c>
      <c r="Q49" s="34">
        <v>174495</v>
      </c>
      <c r="R49" s="34">
        <v>81</v>
      </c>
      <c r="S49" s="34">
        <v>174576</v>
      </c>
      <c r="T49" s="34">
        <v>11481</v>
      </c>
      <c r="U49" s="34">
        <v>12858</v>
      </c>
      <c r="V49" s="34">
        <v>0</v>
      </c>
      <c r="W49" s="34">
        <v>18494</v>
      </c>
      <c r="X49" s="34">
        <v>0</v>
      </c>
      <c r="Y49" s="34">
        <v>217409</v>
      </c>
      <c r="Z49" s="34">
        <v>29158</v>
      </c>
      <c r="AA49" s="34">
        <v>188251</v>
      </c>
      <c r="AB49" s="34">
        <v>123094</v>
      </c>
      <c r="AC49" s="34">
        <v>65157</v>
      </c>
    </row>
    <row r="50" spans="1:29" x14ac:dyDescent="0.25">
      <c r="A50" s="31" t="s">
        <v>22</v>
      </c>
      <c r="B50" s="31" t="s">
        <v>723</v>
      </c>
      <c r="C50" s="31" t="s">
        <v>50</v>
      </c>
      <c r="D50" s="31" t="s">
        <v>452</v>
      </c>
      <c r="E50" s="32">
        <v>105.15</v>
      </c>
      <c r="F50" s="33">
        <v>926.1</v>
      </c>
      <c r="G50" s="32">
        <v>1031.25</v>
      </c>
      <c r="H50" s="32">
        <v>0</v>
      </c>
      <c r="I50" s="34">
        <v>36</v>
      </c>
      <c r="J50" s="33">
        <v>0</v>
      </c>
      <c r="K50" s="34">
        <v>962</v>
      </c>
      <c r="L50" s="32">
        <v>352.23</v>
      </c>
      <c r="M50" s="32">
        <v>64.069999999999993</v>
      </c>
      <c r="N50" s="32">
        <v>71.75</v>
      </c>
      <c r="O50" s="32">
        <v>37.29</v>
      </c>
      <c r="P50" s="32">
        <v>4.43</v>
      </c>
      <c r="Q50" s="34">
        <v>363237</v>
      </c>
      <c r="R50" s="34">
        <v>0</v>
      </c>
      <c r="S50" s="34">
        <v>363237</v>
      </c>
      <c r="T50" s="34">
        <v>24654</v>
      </c>
      <c r="U50" s="34">
        <v>27610</v>
      </c>
      <c r="V50" s="34">
        <v>0</v>
      </c>
      <c r="W50" s="34">
        <v>38455</v>
      </c>
      <c r="X50" s="34">
        <v>0</v>
      </c>
      <c r="Y50" s="34">
        <v>453956</v>
      </c>
      <c r="Z50" s="34">
        <v>60697</v>
      </c>
      <c r="AA50" s="34">
        <v>393259</v>
      </c>
      <c r="AB50" s="34">
        <v>256196</v>
      </c>
      <c r="AC50" s="34">
        <v>137063</v>
      </c>
    </row>
    <row r="51" spans="1:29" x14ac:dyDescent="0.25">
      <c r="A51" s="31" t="s">
        <v>22</v>
      </c>
      <c r="B51" s="31" t="s">
        <v>723</v>
      </c>
      <c r="C51" s="31" t="s">
        <v>51</v>
      </c>
      <c r="D51" s="31" t="s">
        <v>453</v>
      </c>
      <c r="E51" s="32">
        <v>63.54</v>
      </c>
      <c r="F51" s="33">
        <v>608.5</v>
      </c>
      <c r="G51" s="32">
        <v>672.04</v>
      </c>
      <c r="H51" s="32">
        <v>0</v>
      </c>
      <c r="I51" s="34">
        <v>4</v>
      </c>
      <c r="J51" s="33">
        <v>0</v>
      </c>
      <c r="K51" s="34">
        <v>613</v>
      </c>
      <c r="L51" s="32">
        <v>352.23</v>
      </c>
      <c r="M51" s="32">
        <v>64.069999999999993</v>
      </c>
      <c r="N51" s="32">
        <v>71.75</v>
      </c>
      <c r="O51" s="32">
        <v>37.29</v>
      </c>
      <c r="P51" s="32">
        <v>4.43</v>
      </c>
      <c r="Q51" s="34">
        <v>236713</v>
      </c>
      <c r="R51" s="34">
        <v>262</v>
      </c>
      <c r="S51" s="34">
        <v>236975</v>
      </c>
      <c r="T51" s="34">
        <v>15710</v>
      </c>
      <c r="U51" s="34">
        <v>17593</v>
      </c>
      <c r="V51" s="34">
        <v>0</v>
      </c>
      <c r="W51" s="34">
        <v>25104</v>
      </c>
      <c r="X51" s="34">
        <v>0</v>
      </c>
      <c r="Y51" s="34">
        <v>295382</v>
      </c>
      <c r="Z51" s="34">
        <v>39555</v>
      </c>
      <c r="AA51" s="34">
        <v>255827</v>
      </c>
      <c r="AB51" s="34">
        <v>167000</v>
      </c>
      <c r="AC51" s="34">
        <v>88827</v>
      </c>
    </row>
    <row r="52" spans="1:29" x14ac:dyDescent="0.25">
      <c r="A52" s="31" t="s">
        <v>22</v>
      </c>
      <c r="B52" s="31" t="s">
        <v>723</v>
      </c>
      <c r="C52" s="31" t="s">
        <v>52</v>
      </c>
      <c r="D52" s="31" t="s">
        <v>732</v>
      </c>
      <c r="E52" s="32">
        <v>134.65</v>
      </c>
      <c r="F52" s="33">
        <v>1104.5999999999999</v>
      </c>
      <c r="G52" s="32">
        <v>1239.25</v>
      </c>
      <c r="H52" s="32">
        <v>0</v>
      </c>
      <c r="I52" s="34">
        <v>26</v>
      </c>
      <c r="J52" s="33">
        <v>0</v>
      </c>
      <c r="K52" s="34">
        <v>1131</v>
      </c>
      <c r="L52" s="32">
        <v>352.23</v>
      </c>
      <c r="M52" s="32">
        <v>64.069999999999993</v>
      </c>
      <c r="N52" s="32">
        <v>71.75</v>
      </c>
      <c r="O52" s="32">
        <v>37.29</v>
      </c>
      <c r="P52" s="32">
        <v>4.43</v>
      </c>
      <c r="Q52" s="34">
        <v>436501</v>
      </c>
      <c r="R52" s="34">
        <v>0</v>
      </c>
      <c r="S52" s="34">
        <v>436501</v>
      </c>
      <c r="T52" s="34">
        <v>28985</v>
      </c>
      <c r="U52" s="34">
        <v>32460</v>
      </c>
      <c r="V52" s="34">
        <v>0</v>
      </c>
      <c r="W52" s="34">
        <v>46212</v>
      </c>
      <c r="X52" s="34">
        <v>0</v>
      </c>
      <c r="Y52" s="34">
        <v>544158</v>
      </c>
      <c r="Z52" s="34">
        <v>72939</v>
      </c>
      <c r="AA52" s="34">
        <v>471219</v>
      </c>
      <c r="AB52" s="34">
        <v>307871</v>
      </c>
      <c r="AC52" s="34">
        <v>163348</v>
      </c>
    </row>
    <row r="53" spans="1:29" x14ac:dyDescent="0.25">
      <c r="A53" s="31" t="s">
        <v>22</v>
      </c>
      <c r="B53" s="31" t="s">
        <v>723</v>
      </c>
      <c r="C53" s="31" t="s">
        <v>53</v>
      </c>
      <c r="D53" s="31" t="s">
        <v>454</v>
      </c>
      <c r="E53" s="32">
        <v>368.42</v>
      </c>
      <c r="F53" s="33">
        <v>2011.9</v>
      </c>
      <c r="G53" s="32">
        <v>2380.3200000000002</v>
      </c>
      <c r="H53" s="32">
        <v>0</v>
      </c>
      <c r="I53" s="34">
        <v>214</v>
      </c>
      <c r="J53" s="33">
        <v>0.4</v>
      </c>
      <c r="K53" s="34">
        <v>2226</v>
      </c>
      <c r="L53" s="32">
        <v>352.23</v>
      </c>
      <c r="M53" s="32">
        <v>64.069999999999993</v>
      </c>
      <c r="N53" s="32">
        <v>71.75</v>
      </c>
      <c r="O53" s="32">
        <v>37.29</v>
      </c>
      <c r="P53" s="32">
        <v>4.43</v>
      </c>
      <c r="Q53" s="34">
        <v>838420</v>
      </c>
      <c r="R53" s="34">
        <v>0</v>
      </c>
      <c r="S53" s="34">
        <v>838420</v>
      </c>
      <c r="T53" s="34">
        <v>57048</v>
      </c>
      <c r="U53" s="34">
        <v>63886</v>
      </c>
      <c r="V53" s="34">
        <v>0</v>
      </c>
      <c r="W53" s="34">
        <v>88762</v>
      </c>
      <c r="X53" s="34">
        <v>0</v>
      </c>
      <c r="Y53" s="34">
        <v>1048116</v>
      </c>
      <c r="Z53" s="34">
        <v>140099</v>
      </c>
      <c r="AA53" s="34">
        <v>908017</v>
      </c>
      <c r="AB53" s="34">
        <v>591349</v>
      </c>
      <c r="AC53" s="34">
        <v>316668</v>
      </c>
    </row>
    <row r="54" spans="1:29" x14ac:dyDescent="0.25">
      <c r="A54" s="31" t="s">
        <v>22</v>
      </c>
      <c r="B54" s="31" t="s">
        <v>723</v>
      </c>
      <c r="C54" s="31" t="s">
        <v>54</v>
      </c>
      <c r="D54" s="31" t="s">
        <v>455</v>
      </c>
      <c r="E54" s="32">
        <v>126.8</v>
      </c>
      <c r="F54" s="33">
        <v>1170.7</v>
      </c>
      <c r="G54" s="32">
        <v>1297.5</v>
      </c>
      <c r="H54" s="32">
        <v>0</v>
      </c>
      <c r="I54" s="34">
        <v>0</v>
      </c>
      <c r="J54" s="33">
        <v>0</v>
      </c>
      <c r="K54" s="34">
        <v>1171</v>
      </c>
      <c r="L54" s="32">
        <v>352.23</v>
      </c>
      <c r="M54" s="32">
        <v>64.069999999999993</v>
      </c>
      <c r="N54" s="32">
        <v>71.75</v>
      </c>
      <c r="O54" s="32">
        <v>37.29</v>
      </c>
      <c r="P54" s="32">
        <v>4.43</v>
      </c>
      <c r="Q54" s="34">
        <v>457018</v>
      </c>
      <c r="R54" s="34">
        <v>0</v>
      </c>
      <c r="S54" s="34">
        <v>457018</v>
      </c>
      <c r="T54" s="34">
        <v>30010</v>
      </c>
      <c r="U54" s="34">
        <v>33608</v>
      </c>
      <c r="V54" s="34">
        <v>0</v>
      </c>
      <c r="W54" s="34">
        <v>48384</v>
      </c>
      <c r="X54" s="34">
        <v>0</v>
      </c>
      <c r="Y54" s="34">
        <v>569020</v>
      </c>
      <c r="Z54" s="34">
        <v>76367</v>
      </c>
      <c r="AA54" s="34">
        <v>492653</v>
      </c>
      <c r="AB54" s="34">
        <v>322342</v>
      </c>
      <c r="AC54" s="34">
        <v>170311</v>
      </c>
    </row>
    <row r="55" spans="1:29" x14ac:dyDescent="0.25">
      <c r="A55" s="31" t="s">
        <v>22</v>
      </c>
      <c r="B55" s="31" t="s">
        <v>723</v>
      </c>
      <c r="C55" s="31" t="s">
        <v>55</v>
      </c>
      <c r="D55" s="31" t="s">
        <v>456</v>
      </c>
      <c r="E55" s="32">
        <v>331.95</v>
      </c>
      <c r="F55" s="33">
        <v>2582.1</v>
      </c>
      <c r="G55" s="32">
        <v>2914.05</v>
      </c>
      <c r="H55" s="32">
        <v>0</v>
      </c>
      <c r="I55" s="34">
        <v>194</v>
      </c>
      <c r="J55" s="33">
        <v>2.1</v>
      </c>
      <c r="K55" s="34">
        <v>2774</v>
      </c>
      <c r="L55" s="32">
        <v>352.23</v>
      </c>
      <c r="M55" s="32">
        <v>64.069999999999993</v>
      </c>
      <c r="N55" s="32">
        <v>71.75</v>
      </c>
      <c r="O55" s="32">
        <v>37.29</v>
      </c>
      <c r="P55" s="32">
        <v>4.43</v>
      </c>
      <c r="Q55" s="34">
        <v>1026416</v>
      </c>
      <c r="R55" s="34">
        <v>0</v>
      </c>
      <c r="S55" s="34">
        <v>1026416</v>
      </c>
      <c r="T55" s="34">
        <v>71092</v>
      </c>
      <c r="U55" s="34">
        <v>79614</v>
      </c>
      <c r="V55" s="34">
        <v>0</v>
      </c>
      <c r="W55" s="34">
        <v>108665</v>
      </c>
      <c r="X55" s="34">
        <v>0</v>
      </c>
      <c r="Y55" s="34">
        <v>1285787</v>
      </c>
      <c r="Z55" s="34">
        <v>171513</v>
      </c>
      <c r="AA55" s="34">
        <v>1114274</v>
      </c>
      <c r="AB55" s="34">
        <v>723946</v>
      </c>
      <c r="AC55" s="34">
        <v>390328</v>
      </c>
    </row>
    <row r="56" spans="1:29" x14ac:dyDescent="0.25">
      <c r="A56" s="31" t="s">
        <v>22</v>
      </c>
      <c r="B56" s="31" t="s">
        <v>723</v>
      </c>
      <c r="C56" s="31" t="s">
        <v>56</v>
      </c>
      <c r="D56" s="31" t="s">
        <v>457</v>
      </c>
      <c r="E56" s="32">
        <v>25.22</v>
      </c>
      <c r="F56" s="33">
        <v>145.9</v>
      </c>
      <c r="G56" s="32">
        <v>171.12</v>
      </c>
      <c r="H56" s="32">
        <v>0</v>
      </c>
      <c r="I56" s="34">
        <v>4</v>
      </c>
      <c r="J56" s="33">
        <v>0</v>
      </c>
      <c r="K56" s="34">
        <v>150</v>
      </c>
      <c r="L56" s="32">
        <v>352.23</v>
      </c>
      <c r="M56" s="32">
        <v>64.069999999999993</v>
      </c>
      <c r="N56" s="32">
        <v>71.75</v>
      </c>
      <c r="O56" s="32">
        <v>37.29</v>
      </c>
      <c r="P56" s="32">
        <v>4.43</v>
      </c>
      <c r="Q56" s="34">
        <v>60274</v>
      </c>
      <c r="R56" s="34">
        <v>3237</v>
      </c>
      <c r="S56" s="34">
        <v>63511</v>
      </c>
      <c r="T56" s="34">
        <v>3844</v>
      </c>
      <c r="U56" s="34">
        <v>4305</v>
      </c>
      <c r="V56" s="34">
        <v>0</v>
      </c>
      <c r="W56" s="34">
        <v>6381</v>
      </c>
      <c r="X56" s="34">
        <v>0</v>
      </c>
      <c r="Y56" s="34">
        <v>78041</v>
      </c>
      <c r="Z56" s="34">
        <v>10071</v>
      </c>
      <c r="AA56" s="34">
        <v>67970</v>
      </c>
      <c r="AB56" s="34">
        <v>42512</v>
      </c>
      <c r="AC56" s="34">
        <v>25458</v>
      </c>
    </row>
    <row r="57" spans="1:29" x14ac:dyDescent="0.25">
      <c r="A57" s="31" t="s">
        <v>22</v>
      </c>
      <c r="B57" s="31" t="s">
        <v>723</v>
      </c>
      <c r="C57" s="31" t="s">
        <v>57</v>
      </c>
      <c r="D57" s="31" t="s">
        <v>458</v>
      </c>
      <c r="E57" s="32">
        <v>23.43</v>
      </c>
      <c r="F57" s="33">
        <v>156</v>
      </c>
      <c r="G57" s="32">
        <v>179.43</v>
      </c>
      <c r="H57" s="32">
        <v>0</v>
      </c>
      <c r="I57" s="34">
        <v>14</v>
      </c>
      <c r="J57" s="33">
        <v>0</v>
      </c>
      <c r="K57" s="34">
        <v>170</v>
      </c>
      <c r="L57" s="32">
        <v>352.23</v>
      </c>
      <c r="M57" s="32">
        <v>64.069999999999993</v>
      </c>
      <c r="N57" s="32">
        <v>71.75</v>
      </c>
      <c r="O57" s="32">
        <v>37.29</v>
      </c>
      <c r="P57" s="32">
        <v>4.43</v>
      </c>
      <c r="Q57" s="34">
        <v>63201</v>
      </c>
      <c r="R57" s="34">
        <v>2929</v>
      </c>
      <c r="S57" s="34">
        <v>66130</v>
      </c>
      <c r="T57" s="34">
        <v>4357</v>
      </c>
      <c r="U57" s="34">
        <v>4879</v>
      </c>
      <c r="V57" s="34">
        <v>0</v>
      </c>
      <c r="W57" s="34">
        <v>7005</v>
      </c>
      <c r="X57" s="34">
        <v>0</v>
      </c>
      <c r="Y57" s="34">
        <v>82371</v>
      </c>
      <c r="Z57" s="34">
        <v>10560</v>
      </c>
      <c r="AA57" s="34">
        <v>71811</v>
      </c>
      <c r="AB57" s="34">
        <v>44891</v>
      </c>
      <c r="AC57" s="34">
        <v>26920</v>
      </c>
    </row>
    <row r="58" spans="1:29" x14ac:dyDescent="0.25">
      <c r="A58" s="31" t="s">
        <v>22</v>
      </c>
      <c r="B58" s="31" t="s">
        <v>723</v>
      </c>
      <c r="C58" s="31" t="s">
        <v>58</v>
      </c>
      <c r="D58" s="31" t="s">
        <v>459</v>
      </c>
      <c r="E58" s="32">
        <v>186.19</v>
      </c>
      <c r="F58" s="33">
        <v>1756.7</v>
      </c>
      <c r="G58" s="32">
        <v>1942.89</v>
      </c>
      <c r="H58" s="32">
        <v>0</v>
      </c>
      <c r="I58" s="34">
        <v>87</v>
      </c>
      <c r="J58" s="33">
        <v>1.6</v>
      </c>
      <c r="K58" s="34">
        <v>1842</v>
      </c>
      <c r="L58" s="32">
        <v>352.23</v>
      </c>
      <c r="M58" s="32">
        <v>64.069999999999993</v>
      </c>
      <c r="N58" s="32">
        <v>71.75</v>
      </c>
      <c r="O58" s="32">
        <v>37.29</v>
      </c>
      <c r="P58" s="32">
        <v>4.43</v>
      </c>
      <c r="Q58" s="34">
        <v>684344</v>
      </c>
      <c r="R58" s="34">
        <v>0</v>
      </c>
      <c r="S58" s="34">
        <v>684344</v>
      </c>
      <c r="T58" s="34">
        <v>47207</v>
      </c>
      <c r="U58" s="34">
        <v>52866</v>
      </c>
      <c r="V58" s="34">
        <v>0</v>
      </c>
      <c r="W58" s="34">
        <v>72450</v>
      </c>
      <c r="X58" s="34">
        <v>0</v>
      </c>
      <c r="Y58" s="34">
        <v>856867</v>
      </c>
      <c r="Z58" s="34">
        <v>114353</v>
      </c>
      <c r="AA58" s="34">
        <v>742514</v>
      </c>
      <c r="AB58" s="34">
        <v>482677</v>
      </c>
      <c r="AC58" s="34">
        <v>259837</v>
      </c>
    </row>
    <row r="59" spans="1:29" x14ac:dyDescent="0.25">
      <c r="A59" s="31" t="s">
        <v>22</v>
      </c>
      <c r="B59" s="31" t="s">
        <v>723</v>
      </c>
      <c r="C59" s="31" t="s">
        <v>59</v>
      </c>
      <c r="D59" s="31" t="s">
        <v>460</v>
      </c>
      <c r="E59" s="32">
        <v>27.24</v>
      </c>
      <c r="F59" s="33">
        <v>340.1</v>
      </c>
      <c r="G59" s="32">
        <v>367.34</v>
      </c>
      <c r="H59" s="32">
        <v>0</v>
      </c>
      <c r="I59" s="34">
        <v>29</v>
      </c>
      <c r="J59" s="33">
        <v>0</v>
      </c>
      <c r="K59" s="34">
        <v>369</v>
      </c>
      <c r="L59" s="32">
        <v>352.23</v>
      </c>
      <c r="M59" s="32">
        <v>64.069999999999993</v>
      </c>
      <c r="N59" s="32">
        <v>71.75</v>
      </c>
      <c r="O59" s="32">
        <v>37.29</v>
      </c>
      <c r="P59" s="32">
        <v>4.43</v>
      </c>
      <c r="Q59" s="34">
        <v>129388</v>
      </c>
      <c r="R59" s="34">
        <v>0</v>
      </c>
      <c r="S59" s="34">
        <v>129388</v>
      </c>
      <c r="T59" s="34">
        <v>9457</v>
      </c>
      <c r="U59" s="34">
        <v>10590</v>
      </c>
      <c r="V59" s="34">
        <v>0</v>
      </c>
      <c r="W59" s="34">
        <v>13698</v>
      </c>
      <c r="X59" s="34">
        <v>0</v>
      </c>
      <c r="Y59" s="34">
        <v>163133</v>
      </c>
      <c r="Z59" s="34">
        <v>21621</v>
      </c>
      <c r="AA59" s="34">
        <v>141512</v>
      </c>
      <c r="AB59" s="34">
        <v>91259</v>
      </c>
      <c r="AC59" s="34">
        <v>50253</v>
      </c>
    </row>
    <row r="60" spans="1:29" x14ac:dyDescent="0.25">
      <c r="A60" s="31" t="s">
        <v>60</v>
      </c>
      <c r="B60" s="31" t="s">
        <v>724</v>
      </c>
      <c r="C60" s="31" t="s">
        <v>61</v>
      </c>
      <c r="D60" s="31" t="s">
        <v>62</v>
      </c>
      <c r="E60" s="32">
        <v>116.81</v>
      </c>
      <c r="F60" s="33">
        <v>709.2</v>
      </c>
      <c r="G60" s="32">
        <v>826.01</v>
      </c>
      <c r="H60" s="32">
        <v>1.02</v>
      </c>
      <c r="I60" s="34">
        <v>19</v>
      </c>
      <c r="J60" s="33">
        <v>0</v>
      </c>
      <c r="K60" s="34">
        <v>728</v>
      </c>
      <c r="L60" s="32">
        <v>345.6</v>
      </c>
      <c r="M60" s="32">
        <v>64.02</v>
      </c>
      <c r="N60" s="32">
        <v>71.37</v>
      </c>
      <c r="O60" s="32">
        <v>42.56</v>
      </c>
      <c r="P60" s="32">
        <v>4.9000000000000004</v>
      </c>
      <c r="Q60" s="34">
        <v>285469</v>
      </c>
      <c r="R60" s="34">
        <v>0</v>
      </c>
      <c r="S60" s="34">
        <v>285469</v>
      </c>
      <c r="T60" s="34">
        <v>18643</v>
      </c>
      <c r="U60" s="34">
        <v>20783</v>
      </c>
      <c r="V60" s="34">
        <v>353</v>
      </c>
      <c r="W60" s="34">
        <v>35155</v>
      </c>
      <c r="X60" s="34">
        <v>0</v>
      </c>
      <c r="Y60" s="34">
        <v>360403</v>
      </c>
      <c r="Z60" s="34">
        <v>48616</v>
      </c>
      <c r="AA60" s="34">
        <v>311787</v>
      </c>
      <c r="AB60" s="34">
        <v>209837</v>
      </c>
      <c r="AC60" s="34">
        <v>101950</v>
      </c>
    </row>
    <row r="61" spans="1:29" x14ac:dyDescent="0.25">
      <c r="A61" s="31" t="s">
        <v>60</v>
      </c>
      <c r="B61" s="31" t="s">
        <v>724</v>
      </c>
      <c r="C61" s="31" t="s">
        <v>63</v>
      </c>
      <c r="D61" s="31" t="s">
        <v>461</v>
      </c>
      <c r="E61" s="32">
        <v>21.07</v>
      </c>
      <c r="F61" s="33">
        <v>267.3</v>
      </c>
      <c r="G61" s="32">
        <v>288.37</v>
      </c>
      <c r="H61" s="32">
        <v>0.36</v>
      </c>
      <c r="I61" s="34">
        <v>0</v>
      </c>
      <c r="J61" s="33">
        <v>0</v>
      </c>
      <c r="K61" s="34">
        <v>267</v>
      </c>
      <c r="L61" s="32">
        <v>345.6</v>
      </c>
      <c r="M61" s="32">
        <v>64.02</v>
      </c>
      <c r="N61" s="32">
        <v>71.37</v>
      </c>
      <c r="O61" s="32">
        <v>42.56</v>
      </c>
      <c r="P61" s="32">
        <v>4.9000000000000004</v>
      </c>
      <c r="Q61" s="34">
        <v>99661</v>
      </c>
      <c r="R61" s="34">
        <v>294</v>
      </c>
      <c r="S61" s="34">
        <v>99955</v>
      </c>
      <c r="T61" s="34">
        <v>6837</v>
      </c>
      <c r="U61" s="34">
        <v>7622</v>
      </c>
      <c r="V61" s="34">
        <v>124</v>
      </c>
      <c r="W61" s="34">
        <v>12273</v>
      </c>
      <c r="X61" s="34">
        <v>0</v>
      </c>
      <c r="Y61" s="34">
        <v>126811</v>
      </c>
      <c r="Z61" s="34">
        <v>16973</v>
      </c>
      <c r="AA61" s="34">
        <v>109838</v>
      </c>
      <c r="AB61" s="34">
        <v>73257</v>
      </c>
      <c r="AC61" s="34">
        <v>36581</v>
      </c>
    </row>
    <row r="62" spans="1:29" x14ac:dyDescent="0.25">
      <c r="A62" s="31" t="s">
        <v>60</v>
      </c>
      <c r="B62" s="31" t="s">
        <v>724</v>
      </c>
      <c r="C62" s="31" t="s">
        <v>64</v>
      </c>
      <c r="D62" s="31" t="s">
        <v>462</v>
      </c>
      <c r="E62" s="32">
        <v>118.8</v>
      </c>
      <c r="F62" s="33">
        <v>793.9</v>
      </c>
      <c r="G62" s="32">
        <v>912.7</v>
      </c>
      <c r="H62" s="32">
        <v>1.1299999999999999</v>
      </c>
      <c r="I62" s="34">
        <v>19</v>
      </c>
      <c r="J62" s="33">
        <v>0</v>
      </c>
      <c r="K62" s="34">
        <v>813</v>
      </c>
      <c r="L62" s="32">
        <v>345.6</v>
      </c>
      <c r="M62" s="32">
        <v>64.02</v>
      </c>
      <c r="N62" s="32">
        <v>71.37</v>
      </c>
      <c r="O62" s="32">
        <v>42.56</v>
      </c>
      <c r="P62" s="32">
        <v>4.9000000000000004</v>
      </c>
      <c r="Q62" s="34">
        <v>315429</v>
      </c>
      <c r="R62" s="34">
        <v>0</v>
      </c>
      <c r="S62" s="34">
        <v>315429</v>
      </c>
      <c r="T62" s="34">
        <v>20819</v>
      </c>
      <c r="U62" s="34">
        <v>23210</v>
      </c>
      <c r="V62" s="34">
        <v>391</v>
      </c>
      <c r="W62" s="34">
        <v>38845</v>
      </c>
      <c r="X62" s="34">
        <v>0</v>
      </c>
      <c r="Y62" s="34">
        <v>398694</v>
      </c>
      <c r="Z62" s="34">
        <v>53719</v>
      </c>
      <c r="AA62" s="34">
        <v>344975</v>
      </c>
      <c r="AB62" s="34">
        <v>231860</v>
      </c>
      <c r="AC62" s="34">
        <v>113115</v>
      </c>
    </row>
    <row r="63" spans="1:29" x14ac:dyDescent="0.25">
      <c r="A63" s="31" t="s">
        <v>60</v>
      </c>
      <c r="B63" s="31" t="s">
        <v>724</v>
      </c>
      <c r="C63" s="31" t="s">
        <v>65</v>
      </c>
      <c r="D63" s="31" t="s">
        <v>66</v>
      </c>
      <c r="E63" s="32">
        <v>67.67</v>
      </c>
      <c r="F63" s="33">
        <v>445.7</v>
      </c>
      <c r="G63" s="32">
        <v>513.37</v>
      </c>
      <c r="H63" s="32">
        <v>0.63</v>
      </c>
      <c r="I63" s="34">
        <v>5</v>
      </c>
      <c r="J63" s="33">
        <v>0</v>
      </c>
      <c r="K63" s="34">
        <v>451</v>
      </c>
      <c r="L63" s="32">
        <v>345.6</v>
      </c>
      <c r="M63" s="32">
        <v>64.02</v>
      </c>
      <c r="N63" s="32">
        <v>71.37</v>
      </c>
      <c r="O63" s="32">
        <v>42.56</v>
      </c>
      <c r="P63" s="32">
        <v>4.9000000000000004</v>
      </c>
      <c r="Q63" s="34">
        <v>177421</v>
      </c>
      <c r="R63" s="34">
        <v>9091</v>
      </c>
      <c r="S63" s="34">
        <v>186512</v>
      </c>
      <c r="T63" s="34">
        <v>11549</v>
      </c>
      <c r="U63" s="34">
        <v>12875</v>
      </c>
      <c r="V63" s="34">
        <v>218</v>
      </c>
      <c r="W63" s="34">
        <v>22036</v>
      </c>
      <c r="X63" s="34">
        <v>0</v>
      </c>
      <c r="Y63" s="34">
        <v>233190</v>
      </c>
      <c r="Z63" s="34">
        <v>30216</v>
      </c>
      <c r="AA63" s="34">
        <v>202974</v>
      </c>
      <c r="AB63" s="34">
        <v>130600</v>
      </c>
      <c r="AC63" s="34">
        <v>72374</v>
      </c>
    </row>
    <row r="64" spans="1:29" x14ac:dyDescent="0.25">
      <c r="A64" s="31" t="s">
        <v>60</v>
      </c>
      <c r="B64" s="31" t="s">
        <v>724</v>
      </c>
      <c r="C64" s="31" t="s">
        <v>67</v>
      </c>
      <c r="D64" s="31" t="s">
        <v>463</v>
      </c>
      <c r="E64" s="32">
        <v>89.7</v>
      </c>
      <c r="F64" s="33">
        <v>747.1</v>
      </c>
      <c r="G64" s="32">
        <v>836.8</v>
      </c>
      <c r="H64" s="32">
        <v>1.03</v>
      </c>
      <c r="I64" s="34">
        <v>0</v>
      </c>
      <c r="J64" s="33">
        <v>0</v>
      </c>
      <c r="K64" s="34">
        <v>747</v>
      </c>
      <c r="L64" s="32">
        <v>345.6</v>
      </c>
      <c r="M64" s="32">
        <v>64.02</v>
      </c>
      <c r="N64" s="32">
        <v>71.37</v>
      </c>
      <c r="O64" s="32">
        <v>42.56</v>
      </c>
      <c r="P64" s="32">
        <v>4.9000000000000004</v>
      </c>
      <c r="Q64" s="34">
        <v>289198</v>
      </c>
      <c r="R64" s="34">
        <v>0</v>
      </c>
      <c r="S64" s="34">
        <v>289198</v>
      </c>
      <c r="T64" s="34">
        <v>19129</v>
      </c>
      <c r="U64" s="34">
        <v>21325</v>
      </c>
      <c r="V64" s="34">
        <v>356</v>
      </c>
      <c r="W64" s="34">
        <v>35614</v>
      </c>
      <c r="X64" s="34">
        <v>0</v>
      </c>
      <c r="Y64" s="34">
        <v>365622</v>
      </c>
      <c r="Z64" s="34">
        <v>49252</v>
      </c>
      <c r="AA64" s="34">
        <v>316370</v>
      </c>
      <c r="AB64" s="34">
        <v>212576</v>
      </c>
      <c r="AC64" s="34">
        <v>103794</v>
      </c>
    </row>
    <row r="65" spans="1:29" x14ac:dyDescent="0.25">
      <c r="A65" s="31" t="s">
        <v>60</v>
      </c>
      <c r="B65" s="31" t="s">
        <v>724</v>
      </c>
      <c r="C65" s="31" t="s">
        <v>68</v>
      </c>
      <c r="D65" s="31" t="s">
        <v>464</v>
      </c>
      <c r="E65" s="32">
        <v>70.69</v>
      </c>
      <c r="F65" s="33">
        <v>512.5</v>
      </c>
      <c r="G65" s="32">
        <v>583.19000000000005</v>
      </c>
      <c r="H65" s="32">
        <v>0.72</v>
      </c>
      <c r="I65" s="34">
        <v>0</v>
      </c>
      <c r="J65" s="33">
        <v>0</v>
      </c>
      <c r="K65" s="34">
        <v>513</v>
      </c>
      <c r="L65" s="32">
        <v>345.6</v>
      </c>
      <c r="M65" s="32">
        <v>64.02</v>
      </c>
      <c r="N65" s="32">
        <v>71.37</v>
      </c>
      <c r="O65" s="32">
        <v>42.56</v>
      </c>
      <c r="P65" s="32">
        <v>4.9000000000000004</v>
      </c>
      <c r="Q65" s="34">
        <v>201550</v>
      </c>
      <c r="R65" s="34">
        <v>0</v>
      </c>
      <c r="S65" s="34">
        <v>201550</v>
      </c>
      <c r="T65" s="34">
        <v>13137</v>
      </c>
      <c r="U65" s="34">
        <v>14645</v>
      </c>
      <c r="V65" s="34">
        <v>249</v>
      </c>
      <c r="W65" s="34">
        <v>24821</v>
      </c>
      <c r="X65" s="34">
        <v>0</v>
      </c>
      <c r="Y65" s="34">
        <v>254402</v>
      </c>
      <c r="Z65" s="34">
        <v>34325</v>
      </c>
      <c r="AA65" s="34">
        <v>220077</v>
      </c>
      <c r="AB65" s="34">
        <v>148152</v>
      </c>
      <c r="AC65" s="34">
        <v>71925</v>
      </c>
    </row>
    <row r="66" spans="1:29" x14ac:dyDescent="0.25">
      <c r="A66" s="31" t="s">
        <v>60</v>
      </c>
      <c r="B66" s="31" t="s">
        <v>724</v>
      </c>
      <c r="C66" s="31" t="s">
        <v>69</v>
      </c>
      <c r="D66" s="31" t="s">
        <v>70</v>
      </c>
      <c r="E66" s="32">
        <v>41.76</v>
      </c>
      <c r="F66" s="33">
        <v>284.89999999999998</v>
      </c>
      <c r="G66" s="32">
        <v>326.66000000000003</v>
      </c>
      <c r="H66" s="32">
        <v>0.4</v>
      </c>
      <c r="I66" s="34">
        <v>17</v>
      </c>
      <c r="J66" s="33">
        <v>0.4</v>
      </c>
      <c r="K66" s="34">
        <v>302</v>
      </c>
      <c r="L66" s="32">
        <v>345.6</v>
      </c>
      <c r="M66" s="32">
        <v>64.02</v>
      </c>
      <c r="N66" s="32">
        <v>71.37</v>
      </c>
      <c r="O66" s="32">
        <v>42.56</v>
      </c>
      <c r="P66" s="32">
        <v>4.9000000000000004</v>
      </c>
      <c r="Q66" s="34">
        <v>112894</v>
      </c>
      <c r="R66" s="34">
        <v>0</v>
      </c>
      <c r="S66" s="34">
        <v>112894</v>
      </c>
      <c r="T66" s="34">
        <v>7734</v>
      </c>
      <c r="U66" s="34">
        <v>8622</v>
      </c>
      <c r="V66" s="34">
        <v>138</v>
      </c>
      <c r="W66" s="34">
        <v>13903</v>
      </c>
      <c r="X66" s="34">
        <v>0</v>
      </c>
      <c r="Y66" s="34">
        <v>143291</v>
      </c>
      <c r="Z66" s="34">
        <v>19227</v>
      </c>
      <c r="AA66" s="34">
        <v>124064</v>
      </c>
      <c r="AB66" s="34">
        <v>82982</v>
      </c>
      <c r="AC66" s="34">
        <v>41082</v>
      </c>
    </row>
    <row r="67" spans="1:29" x14ac:dyDescent="0.25">
      <c r="A67" s="31" t="s">
        <v>60</v>
      </c>
      <c r="B67" s="31" t="s">
        <v>724</v>
      </c>
      <c r="C67" s="31" t="s">
        <v>71</v>
      </c>
      <c r="D67" s="31" t="s">
        <v>465</v>
      </c>
      <c r="E67" s="32">
        <v>817.12</v>
      </c>
      <c r="F67" s="33">
        <v>5525.2</v>
      </c>
      <c r="G67" s="32">
        <v>6342.32</v>
      </c>
      <c r="H67" s="32">
        <v>7.84</v>
      </c>
      <c r="I67" s="34">
        <v>339</v>
      </c>
      <c r="J67" s="33">
        <v>2.1</v>
      </c>
      <c r="K67" s="34">
        <v>5862</v>
      </c>
      <c r="L67" s="32">
        <v>345.6</v>
      </c>
      <c r="M67" s="32">
        <v>64.02</v>
      </c>
      <c r="N67" s="32">
        <v>71.37</v>
      </c>
      <c r="O67" s="32">
        <v>42.56</v>
      </c>
      <c r="P67" s="32">
        <v>4.9000000000000004</v>
      </c>
      <c r="Q67" s="34">
        <v>2191906</v>
      </c>
      <c r="R67" s="34">
        <v>0</v>
      </c>
      <c r="S67" s="34">
        <v>2191906</v>
      </c>
      <c r="T67" s="34">
        <v>150114</v>
      </c>
      <c r="U67" s="34">
        <v>167348</v>
      </c>
      <c r="V67" s="34">
        <v>2710</v>
      </c>
      <c r="W67" s="34">
        <v>269929</v>
      </c>
      <c r="X67" s="34">
        <v>0</v>
      </c>
      <c r="Y67" s="34">
        <v>2782007</v>
      </c>
      <c r="Z67" s="34">
        <v>373291</v>
      </c>
      <c r="AA67" s="34">
        <v>2408716</v>
      </c>
      <c r="AB67" s="34">
        <v>1611181</v>
      </c>
      <c r="AC67" s="34">
        <v>797535</v>
      </c>
    </row>
    <row r="68" spans="1:29" x14ac:dyDescent="0.25">
      <c r="A68" s="31" t="s">
        <v>60</v>
      </c>
      <c r="B68" s="31" t="s">
        <v>724</v>
      </c>
      <c r="C68" s="31" t="s">
        <v>72</v>
      </c>
      <c r="D68" s="31" t="s">
        <v>466</v>
      </c>
      <c r="E68" s="32">
        <v>99.58</v>
      </c>
      <c r="F68" s="33">
        <v>782.8</v>
      </c>
      <c r="G68" s="32">
        <v>882.38</v>
      </c>
      <c r="H68" s="32">
        <v>1.0900000000000001</v>
      </c>
      <c r="I68" s="34">
        <v>45</v>
      </c>
      <c r="J68" s="33">
        <v>0</v>
      </c>
      <c r="K68" s="34">
        <v>828</v>
      </c>
      <c r="L68" s="32">
        <v>345.6</v>
      </c>
      <c r="M68" s="32">
        <v>64.02</v>
      </c>
      <c r="N68" s="32">
        <v>71.37</v>
      </c>
      <c r="O68" s="32">
        <v>42.56</v>
      </c>
      <c r="P68" s="32">
        <v>4.9000000000000004</v>
      </c>
      <c r="Q68" s="34">
        <v>304951</v>
      </c>
      <c r="R68" s="34">
        <v>4684</v>
      </c>
      <c r="S68" s="34">
        <v>309635</v>
      </c>
      <c r="T68" s="34">
        <v>21204</v>
      </c>
      <c r="U68" s="34">
        <v>23638</v>
      </c>
      <c r="V68" s="34">
        <v>377</v>
      </c>
      <c r="W68" s="34">
        <v>38284</v>
      </c>
      <c r="X68" s="34">
        <v>0</v>
      </c>
      <c r="Y68" s="34">
        <v>393138</v>
      </c>
      <c r="Z68" s="34">
        <v>51935</v>
      </c>
      <c r="AA68" s="34">
        <v>341203</v>
      </c>
      <c r="AB68" s="34">
        <v>224886</v>
      </c>
      <c r="AC68" s="34">
        <v>116317</v>
      </c>
    </row>
    <row r="69" spans="1:29" x14ac:dyDescent="0.25">
      <c r="A69" s="31" t="s">
        <v>60</v>
      </c>
      <c r="B69" s="31" t="s">
        <v>724</v>
      </c>
      <c r="C69" s="31" t="s">
        <v>73</v>
      </c>
      <c r="D69" s="31" t="s">
        <v>467</v>
      </c>
      <c r="E69" s="32">
        <v>306.54000000000002</v>
      </c>
      <c r="F69" s="33">
        <v>1469.4</v>
      </c>
      <c r="G69" s="32">
        <v>1775.94</v>
      </c>
      <c r="H69" s="32">
        <v>2.19</v>
      </c>
      <c r="I69" s="34">
        <v>175</v>
      </c>
      <c r="J69" s="33">
        <v>8.1999999999999993</v>
      </c>
      <c r="K69" s="34">
        <v>1636</v>
      </c>
      <c r="L69" s="32">
        <v>345.6</v>
      </c>
      <c r="M69" s="32">
        <v>64.02</v>
      </c>
      <c r="N69" s="32">
        <v>71.37</v>
      </c>
      <c r="O69" s="32">
        <v>42.56</v>
      </c>
      <c r="P69" s="32">
        <v>4.9000000000000004</v>
      </c>
      <c r="Q69" s="34">
        <v>613765</v>
      </c>
      <c r="R69" s="34">
        <v>0</v>
      </c>
      <c r="S69" s="34">
        <v>613765</v>
      </c>
      <c r="T69" s="34">
        <v>41895</v>
      </c>
      <c r="U69" s="34">
        <v>46704</v>
      </c>
      <c r="V69" s="34">
        <v>757</v>
      </c>
      <c r="W69" s="34">
        <v>75584</v>
      </c>
      <c r="X69" s="34">
        <v>0</v>
      </c>
      <c r="Y69" s="34">
        <v>778705</v>
      </c>
      <c r="Z69" s="34">
        <v>104527</v>
      </c>
      <c r="AA69" s="34">
        <v>674178</v>
      </c>
      <c r="AB69" s="34">
        <v>451152</v>
      </c>
      <c r="AC69" s="34">
        <v>223026</v>
      </c>
    </row>
    <row r="70" spans="1:29" x14ac:dyDescent="0.25">
      <c r="A70" s="31" t="s">
        <v>60</v>
      </c>
      <c r="B70" s="31" t="s">
        <v>724</v>
      </c>
      <c r="C70" s="31" t="s">
        <v>74</v>
      </c>
      <c r="D70" s="31" t="s">
        <v>468</v>
      </c>
      <c r="E70" s="32">
        <v>45.65</v>
      </c>
      <c r="F70" s="33">
        <v>280.60000000000002</v>
      </c>
      <c r="G70" s="32">
        <v>326.25</v>
      </c>
      <c r="H70" s="32">
        <v>0.4</v>
      </c>
      <c r="I70" s="34">
        <v>4</v>
      </c>
      <c r="J70" s="33">
        <v>0</v>
      </c>
      <c r="K70" s="34">
        <v>285</v>
      </c>
      <c r="L70" s="32">
        <v>345.6</v>
      </c>
      <c r="M70" s="32">
        <v>64.02</v>
      </c>
      <c r="N70" s="32">
        <v>71.37</v>
      </c>
      <c r="O70" s="32">
        <v>42.56</v>
      </c>
      <c r="P70" s="32">
        <v>4.9000000000000004</v>
      </c>
      <c r="Q70" s="34">
        <v>112752</v>
      </c>
      <c r="R70" s="34">
        <v>5042</v>
      </c>
      <c r="S70" s="34">
        <v>117794</v>
      </c>
      <c r="T70" s="34">
        <v>7298</v>
      </c>
      <c r="U70" s="34">
        <v>8136</v>
      </c>
      <c r="V70" s="34">
        <v>138</v>
      </c>
      <c r="W70" s="34">
        <v>14184</v>
      </c>
      <c r="X70" s="34">
        <v>0</v>
      </c>
      <c r="Y70" s="34">
        <v>147550</v>
      </c>
      <c r="Z70" s="34">
        <v>19202</v>
      </c>
      <c r="AA70" s="34">
        <v>128348</v>
      </c>
      <c r="AB70" s="34">
        <v>83178</v>
      </c>
      <c r="AC70" s="34">
        <v>45170</v>
      </c>
    </row>
    <row r="71" spans="1:29" x14ac:dyDescent="0.25">
      <c r="A71" s="31" t="s">
        <v>60</v>
      </c>
      <c r="B71" s="31" t="s">
        <v>724</v>
      </c>
      <c r="C71" s="31" t="s">
        <v>75</v>
      </c>
      <c r="D71" s="31" t="s">
        <v>469</v>
      </c>
      <c r="E71" s="32">
        <v>151.34</v>
      </c>
      <c r="F71" s="33">
        <v>1159.2</v>
      </c>
      <c r="G71" s="32">
        <v>1310.54</v>
      </c>
      <c r="H71" s="32">
        <v>1.62</v>
      </c>
      <c r="I71" s="34">
        <v>58</v>
      </c>
      <c r="J71" s="33">
        <v>0</v>
      </c>
      <c r="K71" s="34">
        <v>1217</v>
      </c>
      <c r="L71" s="32">
        <v>345.6</v>
      </c>
      <c r="M71" s="32">
        <v>64.02</v>
      </c>
      <c r="N71" s="32">
        <v>71.37</v>
      </c>
      <c r="O71" s="32">
        <v>42.56</v>
      </c>
      <c r="P71" s="32">
        <v>4.9000000000000004</v>
      </c>
      <c r="Q71" s="34">
        <v>452923</v>
      </c>
      <c r="R71" s="34">
        <v>2502</v>
      </c>
      <c r="S71" s="34">
        <v>455425</v>
      </c>
      <c r="T71" s="34">
        <v>31165</v>
      </c>
      <c r="U71" s="34">
        <v>34743</v>
      </c>
      <c r="V71" s="34">
        <v>560</v>
      </c>
      <c r="W71" s="34">
        <v>55777</v>
      </c>
      <c r="X71" s="34">
        <v>0</v>
      </c>
      <c r="Y71" s="34">
        <v>577670</v>
      </c>
      <c r="Z71" s="34">
        <v>77135</v>
      </c>
      <c r="AA71" s="34">
        <v>500535</v>
      </c>
      <c r="AB71" s="34">
        <v>332925</v>
      </c>
      <c r="AC71" s="34">
        <v>167610</v>
      </c>
    </row>
    <row r="72" spans="1:29" x14ac:dyDescent="0.25">
      <c r="A72" s="31" t="s">
        <v>60</v>
      </c>
      <c r="B72" s="31" t="s">
        <v>724</v>
      </c>
      <c r="C72" s="31" t="s">
        <v>76</v>
      </c>
      <c r="D72" s="31" t="s">
        <v>470</v>
      </c>
      <c r="E72" s="32">
        <v>78.239999999999995</v>
      </c>
      <c r="F72" s="33">
        <v>864.3</v>
      </c>
      <c r="G72" s="32">
        <v>942.54</v>
      </c>
      <c r="H72" s="32">
        <v>1.1599999999999999</v>
      </c>
      <c r="I72" s="34">
        <v>12</v>
      </c>
      <c r="J72" s="33">
        <v>0</v>
      </c>
      <c r="K72" s="34">
        <v>876</v>
      </c>
      <c r="L72" s="32">
        <v>345.6</v>
      </c>
      <c r="M72" s="32">
        <v>64.02</v>
      </c>
      <c r="N72" s="32">
        <v>71.37</v>
      </c>
      <c r="O72" s="32">
        <v>42.56</v>
      </c>
      <c r="P72" s="32">
        <v>4.9000000000000004</v>
      </c>
      <c r="Q72" s="34">
        <v>325742</v>
      </c>
      <c r="R72" s="34">
        <v>0</v>
      </c>
      <c r="S72" s="34">
        <v>325742</v>
      </c>
      <c r="T72" s="34">
        <v>22433</v>
      </c>
      <c r="U72" s="34">
        <v>25008</v>
      </c>
      <c r="V72" s="34">
        <v>401</v>
      </c>
      <c r="W72" s="34">
        <v>40115</v>
      </c>
      <c r="X72" s="34">
        <v>0</v>
      </c>
      <c r="Y72" s="34">
        <v>413699</v>
      </c>
      <c r="Z72" s="34">
        <v>55475</v>
      </c>
      <c r="AA72" s="34">
        <v>358224</v>
      </c>
      <c r="AB72" s="34">
        <v>239439</v>
      </c>
      <c r="AC72" s="34">
        <v>118785</v>
      </c>
    </row>
    <row r="73" spans="1:29" x14ac:dyDescent="0.25">
      <c r="A73" s="31" t="s">
        <v>60</v>
      </c>
      <c r="B73" s="31" t="s">
        <v>724</v>
      </c>
      <c r="C73" s="31" t="s">
        <v>77</v>
      </c>
      <c r="D73" s="31" t="s">
        <v>471</v>
      </c>
      <c r="E73" s="32">
        <v>114.51</v>
      </c>
      <c r="F73" s="33">
        <v>872.5</v>
      </c>
      <c r="G73" s="32">
        <v>987.01</v>
      </c>
      <c r="H73" s="32">
        <v>1.22</v>
      </c>
      <c r="I73" s="34">
        <v>13</v>
      </c>
      <c r="J73" s="33">
        <v>0</v>
      </c>
      <c r="K73" s="34">
        <v>886</v>
      </c>
      <c r="L73" s="32">
        <v>345.6</v>
      </c>
      <c r="M73" s="32">
        <v>64.02</v>
      </c>
      <c r="N73" s="32">
        <v>71.37</v>
      </c>
      <c r="O73" s="32">
        <v>42.56</v>
      </c>
      <c r="P73" s="32">
        <v>4.9000000000000004</v>
      </c>
      <c r="Q73" s="34">
        <v>341111</v>
      </c>
      <c r="R73" s="34">
        <v>0</v>
      </c>
      <c r="S73" s="34">
        <v>341111</v>
      </c>
      <c r="T73" s="34">
        <v>22689</v>
      </c>
      <c r="U73" s="34">
        <v>25294</v>
      </c>
      <c r="V73" s="34">
        <v>422</v>
      </c>
      <c r="W73" s="34">
        <v>42007</v>
      </c>
      <c r="X73" s="34">
        <v>0</v>
      </c>
      <c r="Y73" s="34">
        <v>431523</v>
      </c>
      <c r="Z73" s="34">
        <v>58093</v>
      </c>
      <c r="AA73" s="34">
        <v>373430</v>
      </c>
      <c r="AB73" s="34">
        <v>250736</v>
      </c>
      <c r="AC73" s="34">
        <v>122694</v>
      </c>
    </row>
    <row r="74" spans="1:29" x14ac:dyDescent="0.25">
      <c r="A74" s="31" t="s">
        <v>60</v>
      </c>
      <c r="B74" s="31" t="s">
        <v>724</v>
      </c>
      <c r="C74" s="31" t="s">
        <v>78</v>
      </c>
      <c r="D74" s="31" t="s">
        <v>472</v>
      </c>
      <c r="E74" s="32">
        <v>54.75</v>
      </c>
      <c r="F74" s="33">
        <v>359.4</v>
      </c>
      <c r="G74" s="32">
        <v>414.15</v>
      </c>
      <c r="H74" s="32">
        <v>0.51</v>
      </c>
      <c r="I74" s="34">
        <v>17</v>
      </c>
      <c r="J74" s="33">
        <v>0</v>
      </c>
      <c r="K74" s="34">
        <v>376</v>
      </c>
      <c r="L74" s="32">
        <v>345.6</v>
      </c>
      <c r="M74" s="32">
        <v>64.02</v>
      </c>
      <c r="N74" s="32">
        <v>71.37</v>
      </c>
      <c r="O74" s="32">
        <v>42.56</v>
      </c>
      <c r="P74" s="32">
        <v>4.9000000000000004</v>
      </c>
      <c r="Q74" s="34">
        <v>143130</v>
      </c>
      <c r="R74" s="34">
        <v>10552</v>
      </c>
      <c r="S74" s="34">
        <v>153682</v>
      </c>
      <c r="T74" s="34">
        <v>9629</v>
      </c>
      <c r="U74" s="34">
        <v>10734</v>
      </c>
      <c r="V74" s="34">
        <v>176</v>
      </c>
      <c r="W74" s="34">
        <v>17626</v>
      </c>
      <c r="X74" s="34">
        <v>0</v>
      </c>
      <c r="Y74" s="34">
        <v>191847</v>
      </c>
      <c r="Z74" s="34">
        <v>24375</v>
      </c>
      <c r="AA74" s="34">
        <v>167472</v>
      </c>
      <c r="AB74" s="34">
        <v>105209</v>
      </c>
      <c r="AC74" s="34">
        <v>62263</v>
      </c>
    </row>
    <row r="75" spans="1:29" x14ac:dyDescent="0.25">
      <c r="A75" s="31" t="s">
        <v>60</v>
      </c>
      <c r="B75" s="31" t="s">
        <v>724</v>
      </c>
      <c r="C75" s="31" t="s">
        <v>79</v>
      </c>
      <c r="D75" s="31" t="s">
        <v>473</v>
      </c>
      <c r="E75" s="32">
        <v>85.83</v>
      </c>
      <c r="F75" s="33">
        <v>534.5</v>
      </c>
      <c r="G75" s="32">
        <v>620.33000000000004</v>
      </c>
      <c r="H75" s="32">
        <v>0.77</v>
      </c>
      <c r="I75" s="34">
        <v>4</v>
      </c>
      <c r="J75" s="33">
        <v>0</v>
      </c>
      <c r="K75" s="34">
        <v>539</v>
      </c>
      <c r="L75" s="32">
        <v>345.6</v>
      </c>
      <c r="M75" s="32">
        <v>64.02</v>
      </c>
      <c r="N75" s="32">
        <v>71.37</v>
      </c>
      <c r="O75" s="32">
        <v>42.56</v>
      </c>
      <c r="P75" s="32">
        <v>4.9000000000000004</v>
      </c>
      <c r="Q75" s="34">
        <v>214386</v>
      </c>
      <c r="R75" s="34">
        <v>374</v>
      </c>
      <c r="S75" s="34">
        <v>214760</v>
      </c>
      <c r="T75" s="34">
        <v>13803</v>
      </c>
      <c r="U75" s="34">
        <v>15387</v>
      </c>
      <c r="V75" s="34">
        <v>266</v>
      </c>
      <c r="W75" s="34">
        <v>26554</v>
      </c>
      <c r="X75" s="34">
        <v>0</v>
      </c>
      <c r="Y75" s="34">
        <v>270770</v>
      </c>
      <c r="Z75" s="34">
        <v>36511</v>
      </c>
      <c r="AA75" s="34">
        <v>234259</v>
      </c>
      <c r="AB75" s="34">
        <v>157740</v>
      </c>
      <c r="AC75" s="34">
        <v>76519</v>
      </c>
    </row>
    <row r="76" spans="1:29" x14ac:dyDescent="0.25">
      <c r="A76" s="31" t="s">
        <v>60</v>
      </c>
      <c r="B76" s="31" t="s">
        <v>724</v>
      </c>
      <c r="C76" s="31" t="s">
        <v>80</v>
      </c>
      <c r="D76" s="31" t="s">
        <v>474</v>
      </c>
      <c r="E76" s="32">
        <v>74.959999999999994</v>
      </c>
      <c r="F76" s="33">
        <v>511.5</v>
      </c>
      <c r="G76" s="32">
        <v>586.46</v>
      </c>
      <c r="H76" s="32">
        <v>0.72</v>
      </c>
      <c r="I76" s="34">
        <v>12</v>
      </c>
      <c r="J76" s="33">
        <v>0</v>
      </c>
      <c r="K76" s="34">
        <v>524</v>
      </c>
      <c r="L76" s="32">
        <v>345.6</v>
      </c>
      <c r="M76" s="32">
        <v>64.02</v>
      </c>
      <c r="N76" s="32">
        <v>71.37</v>
      </c>
      <c r="O76" s="32">
        <v>42.56</v>
      </c>
      <c r="P76" s="32">
        <v>4.9000000000000004</v>
      </c>
      <c r="Q76" s="34">
        <v>202681</v>
      </c>
      <c r="R76" s="34">
        <v>12922</v>
      </c>
      <c r="S76" s="34">
        <v>215603</v>
      </c>
      <c r="T76" s="34">
        <v>13418</v>
      </c>
      <c r="U76" s="34">
        <v>14959</v>
      </c>
      <c r="V76" s="34">
        <v>249</v>
      </c>
      <c r="W76" s="34">
        <v>24960</v>
      </c>
      <c r="X76" s="34">
        <v>0</v>
      </c>
      <c r="Y76" s="34">
        <v>269189</v>
      </c>
      <c r="Z76" s="34">
        <v>34518</v>
      </c>
      <c r="AA76" s="34">
        <v>234671</v>
      </c>
      <c r="AB76" s="34">
        <v>148981</v>
      </c>
      <c r="AC76" s="34">
        <v>85690</v>
      </c>
    </row>
    <row r="77" spans="1:29" x14ac:dyDescent="0.25">
      <c r="A77" s="31" t="s">
        <v>60</v>
      </c>
      <c r="B77" s="31" t="s">
        <v>724</v>
      </c>
      <c r="C77" s="31" t="s">
        <v>81</v>
      </c>
      <c r="D77" s="31" t="s">
        <v>475</v>
      </c>
      <c r="E77" s="32">
        <v>103.5</v>
      </c>
      <c r="F77" s="33">
        <v>540.79999999999995</v>
      </c>
      <c r="G77" s="32">
        <v>644.29999999999995</v>
      </c>
      <c r="H77" s="32">
        <v>0.8</v>
      </c>
      <c r="I77" s="34">
        <v>9</v>
      </c>
      <c r="J77" s="33">
        <v>0</v>
      </c>
      <c r="K77" s="34">
        <v>550</v>
      </c>
      <c r="L77" s="32">
        <v>345.6</v>
      </c>
      <c r="M77" s="32">
        <v>64.02</v>
      </c>
      <c r="N77" s="32">
        <v>71.37</v>
      </c>
      <c r="O77" s="32">
        <v>42.56</v>
      </c>
      <c r="P77" s="32">
        <v>4.9000000000000004</v>
      </c>
      <c r="Q77" s="34">
        <v>222670</v>
      </c>
      <c r="R77" s="34">
        <v>12831</v>
      </c>
      <c r="S77" s="34">
        <v>235501</v>
      </c>
      <c r="T77" s="34">
        <v>14084</v>
      </c>
      <c r="U77" s="34">
        <v>15702</v>
      </c>
      <c r="V77" s="34">
        <v>276</v>
      </c>
      <c r="W77" s="34">
        <v>28669</v>
      </c>
      <c r="X77" s="34">
        <v>0</v>
      </c>
      <c r="Y77" s="34">
        <v>294232</v>
      </c>
      <c r="Z77" s="34">
        <v>37921</v>
      </c>
      <c r="AA77" s="34">
        <v>256311</v>
      </c>
      <c r="AB77" s="34">
        <v>164925</v>
      </c>
      <c r="AC77" s="34">
        <v>91386</v>
      </c>
    </row>
    <row r="78" spans="1:29" x14ac:dyDescent="0.25">
      <c r="A78" s="31" t="s">
        <v>60</v>
      </c>
      <c r="B78" s="31" t="s">
        <v>724</v>
      </c>
      <c r="C78" s="31" t="s">
        <v>82</v>
      </c>
      <c r="D78" s="31" t="s">
        <v>476</v>
      </c>
      <c r="E78" s="32">
        <v>169.21</v>
      </c>
      <c r="F78" s="33">
        <v>1055.7</v>
      </c>
      <c r="G78" s="32">
        <v>1224.9100000000001</v>
      </c>
      <c r="H78" s="32">
        <v>1.51</v>
      </c>
      <c r="I78" s="34">
        <v>29</v>
      </c>
      <c r="J78" s="33">
        <v>0</v>
      </c>
      <c r="K78" s="34">
        <v>1085</v>
      </c>
      <c r="L78" s="32">
        <v>345.6</v>
      </c>
      <c r="M78" s="32">
        <v>64.02</v>
      </c>
      <c r="N78" s="32">
        <v>71.37</v>
      </c>
      <c r="O78" s="32">
        <v>42.56</v>
      </c>
      <c r="P78" s="32">
        <v>4.9000000000000004</v>
      </c>
      <c r="Q78" s="34">
        <v>423329</v>
      </c>
      <c r="R78" s="34">
        <v>0</v>
      </c>
      <c r="S78" s="34">
        <v>423329</v>
      </c>
      <c r="T78" s="34">
        <v>27785</v>
      </c>
      <c r="U78" s="34">
        <v>30974</v>
      </c>
      <c r="V78" s="34">
        <v>522</v>
      </c>
      <c r="W78" s="34">
        <v>52132</v>
      </c>
      <c r="X78" s="34">
        <v>0</v>
      </c>
      <c r="Y78" s="34">
        <v>534742</v>
      </c>
      <c r="Z78" s="34">
        <v>72095</v>
      </c>
      <c r="AA78" s="34">
        <v>462647</v>
      </c>
      <c r="AB78" s="34">
        <v>311170</v>
      </c>
      <c r="AC78" s="34">
        <v>151477</v>
      </c>
    </row>
    <row r="79" spans="1:29" x14ac:dyDescent="0.25">
      <c r="A79" s="31" t="s">
        <v>60</v>
      </c>
      <c r="B79" s="31" t="s">
        <v>724</v>
      </c>
      <c r="C79" s="31" t="s">
        <v>85</v>
      </c>
      <c r="D79" s="31" t="s">
        <v>86</v>
      </c>
      <c r="E79" s="32">
        <v>27.78</v>
      </c>
      <c r="F79" s="33">
        <v>246.3</v>
      </c>
      <c r="G79" s="32">
        <v>274.08</v>
      </c>
      <c r="H79" s="32">
        <v>0.34</v>
      </c>
      <c r="I79" s="34">
        <v>3</v>
      </c>
      <c r="J79" s="33">
        <v>0</v>
      </c>
      <c r="K79" s="34">
        <v>249</v>
      </c>
      <c r="L79" s="32">
        <v>345.6</v>
      </c>
      <c r="M79" s="32">
        <v>64.02</v>
      </c>
      <c r="N79" s="32">
        <v>71.37</v>
      </c>
      <c r="O79" s="32">
        <v>42.56</v>
      </c>
      <c r="P79" s="32">
        <v>4.9000000000000004</v>
      </c>
      <c r="Q79" s="34">
        <v>94722</v>
      </c>
      <c r="R79" s="34">
        <v>10653</v>
      </c>
      <c r="S79" s="34">
        <v>105375</v>
      </c>
      <c r="T79" s="34">
        <v>6376</v>
      </c>
      <c r="U79" s="34">
        <v>7108</v>
      </c>
      <c r="V79" s="34">
        <v>118</v>
      </c>
      <c r="W79" s="34">
        <v>11759</v>
      </c>
      <c r="X79" s="34">
        <v>0</v>
      </c>
      <c r="Y79" s="34">
        <v>130736</v>
      </c>
      <c r="Z79" s="34">
        <v>16132</v>
      </c>
      <c r="AA79" s="34">
        <v>114604</v>
      </c>
      <c r="AB79" s="34">
        <v>69720</v>
      </c>
      <c r="AC79" s="34">
        <v>44884</v>
      </c>
    </row>
    <row r="80" spans="1:29" x14ac:dyDescent="0.25">
      <c r="A80" s="31" t="s">
        <v>60</v>
      </c>
      <c r="B80" s="31" t="s">
        <v>724</v>
      </c>
      <c r="C80" s="31" t="s">
        <v>83</v>
      </c>
      <c r="D80" s="31" t="s">
        <v>477</v>
      </c>
      <c r="E80" s="32">
        <v>90.23</v>
      </c>
      <c r="F80" s="33">
        <v>845.1</v>
      </c>
      <c r="G80" s="32">
        <v>935.33</v>
      </c>
      <c r="H80" s="32">
        <v>1.1499999999999999</v>
      </c>
      <c r="I80" s="34">
        <v>41</v>
      </c>
      <c r="J80" s="33">
        <v>0</v>
      </c>
      <c r="K80" s="34">
        <v>886</v>
      </c>
      <c r="L80" s="32">
        <v>345.6</v>
      </c>
      <c r="M80" s="32">
        <v>64.02</v>
      </c>
      <c r="N80" s="32">
        <v>71.37</v>
      </c>
      <c r="O80" s="32">
        <v>42.56</v>
      </c>
      <c r="P80" s="32">
        <v>4.9000000000000004</v>
      </c>
      <c r="Q80" s="34">
        <v>323250</v>
      </c>
      <c r="R80" s="34">
        <v>12900</v>
      </c>
      <c r="S80" s="34">
        <v>336150</v>
      </c>
      <c r="T80" s="34">
        <v>22689</v>
      </c>
      <c r="U80" s="34">
        <v>25294</v>
      </c>
      <c r="V80" s="34">
        <v>397</v>
      </c>
      <c r="W80" s="34">
        <v>39808</v>
      </c>
      <c r="X80" s="34">
        <v>0</v>
      </c>
      <c r="Y80" s="34">
        <v>424338</v>
      </c>
      <c r="Z80" s="34">
        <v>55051</v>
      </c>
      <c r="AA80" s="34">
        <v>369287</v>
      </c>
      <c r="AB80" s="34">
        <v>237607</v>
      </c>
      <c r="AC80" s="34">
        <v>131680</v>
      </c>
    </row>
    <row r="81" spans="1:29" x14ac:dyDescent="0.25">
      <c r="A81" s="31" t="s">
        <v>60</v>
      </c>
      <c r="B81" s="31" t="s">
        <v>724</v>
      </c>
      <c r="C81" s="31" t="s">
        <v>84</v>
      </c>
      <c r="D81" s="31" t="s">
        <v>478</v>
      </c>
      <c r="E81" s="32">
        <v>97.17</v>
      </c>
      <c r="F81" s="33">
        <v>614.29999999999995</v>
      </c>
      <c r="G81" s="32">
        <v>711.47</v>
      </c>
      <c r="H81" s="32">
        <v>0.88</v>
      </c>
      <c r="I81" s="34">
        <v>3</v>
      </c>
      <c r="J81" s="33">
        <v>0</v>
      </c>
      <c r="K81" s="34">
        <v>617</v>
      </c>
      <c r="L81" s="32">
        <v>345.6</v>
      </c>
      <c r="M81" s="32">
        <v>64.02</v>
      </c>
      <c r="N81" s="32">
        <v>71.37</v>
      </c>
      <c r="O81" s="32">
        <v>42.56</v>
      </c>
      <c r="P81" s="32">
        <v>4.9000000000000004</v>
      </c>
      <c r="Q81" s="34">
        <v>245884</v>
      </c>
      <c r="R81" s="34">
        <v>0</v>
      </c>
      <c r="S81" s="34">
        <v>245884</v>
      </c>
      <c r="T81" s="34">
        <v>15800</v>
      </c>
      <c r="U81" s="34">
        <v>17614</v>
      </c>
      <c r="V81" s="34">
        <v>304</v>
      </c>
      <c r="W81" s="34">
        <v>30280</v>
      </c>
      <c r="X81" s="34">
        <v>0</v>
      </c>
      <c r="Y81" s="34">
        <v>309882</v>
      </c>
      <c r="Z81" s="34">
        <v>41876</v>
      </c>
      <c r="AA81" s="34">
        <v>268006</v>
      </c>
      <c r="AB81" s="34">
        <v>180739</v>
      </c>
      <c r="AC81" s="34">
        <v>87267</v>
      </c>
    </row>
    <row r="82" spans="1:29" x14ac:dyDescent="0.25">
      <c r="A82" s="31" t="s">
        <v>60</v>
      </c>
      <c r="B82" s="31" t="s">
        <v>724</v>
      </c>
      <c r="C82" s="31" t="s">
        <v>87</v>
      </c>
      <c r="D82" s="31" t="s">
        <v>479</v>
      </c>
      <c r="E82" s="32">
        <v>236.5</v>
      </c>
      <c r="F82" s="33">
        <v>1495.4</v>
      </c>
      <c r="G82" s="32">
        <v>1731.9</v>
      </c>
      <c r="H82" s="32">
        <v>2.14</v>
      </c>
      <c r="I82" s="34">
        <v>53</v>
      </c>
      <c r="J82" s="33">
        <v>0</v>
      </c>
      <c r="K82" s="34">
        <v>1548</v>
      </c>
      <c r="L82" s="32">
        <v>345.6</v>
      </c>
      <c r="M82" s="32">
        <v>64.02</v>
      </c>
      <c r="N82" s="32">
        <v>71.37</v>
      </c>
      <c r="O82" s="32">
        <v>42.56</v>
      </c>
      <c r="P82" s="32">
        <v>4.9000000000000004</v>
      </c>
      <c r="Q82" s="34">
        <v>598545</v>
      </c>
      <c r="R82" s="34">
        <v>0</v>
      </c>
      <c r="S82" s="34">
        <v>598545</v>
      </c>
      <c r="T82" s="34">
        <v>39641</v>
      </c>
      <c r="U82" s="34">
        <v>44192</v>
      </c>
      <c r="V82" s="34">
        <v>740</v>
      </c>
      <c r="W82" s="34">
        <v>73710</v>
      </c>
      <c r="X82" s="34">
        <v>0</v>
      </c>
      <c r="Y82" s="34">
        <v>756828</v>
      </c>
      <c r="Z82" s="34">
        <v>101935</v>
      </c>
      <c r="AA82" s="34">
        <v>654893</v>
      </c>
      <c r="AB82" s="34">
        <v>439966</v>
      </c>
      <c r="AC82" s="34">
        <v>214927</v>
      </c>
    </row>
    <row r="83" spans="1:29" x14ac:dyDescent="0.25">
      <c r="A83" s="31" t="s">
        <v>60</v>
      </c>
      <c r="B83" s="31" t="s">
        <v>724</v>
      </c>
      <c r="C83" s="31" t="s">
        <v>88</v>
      </c>
      <c r="D83" s="31" t="s">
        <v>480</v>
      </c>
      <c r="E83" s="32">
        <v>86.79</v>
      </c>
      <c r="F83" s="33">
        <v>670.2</v>
      </c>
      <c r="G83" s="32">
        <v>756.99</v>
      </c>
      <c r="H83" s="32">
        <v>0.93</v>
      </c>
      <c r="I83" s="34">
        <v>8</v>
      </c>
      <c r="J83" s="33">
        <v>0</v>
      </c>
      <c r="K83" s="34">
        <v>678</v>
      </c>
      <c r="L83" s="32">
        <v>345.6</v>
      </c>
      <c r="M83" s="32">
        <v>64.02</v>
      </c>
      <c r="N83" s="32">
        <v>71.37</v>
      </c>
      <c r="O83" s="32">
        <v>42.56</v>
      </c>
      <c r="P83" s="32">
        <v>4.9000000000000004</v>
      </c>
      <c r="Q83" s="34">
        <v>261616</v>
      </c>
      <c r="R83" s="34">
        <v>0</v>
      </c>
      <c r="S83" s="34">
        <v>261616</v>
      </c>
      <c r="T83" s="34">
        <v>17362</v>
      </c>
      <c r="U83" s="34">
        <v>19356</v>
      </c>
      <c r="V83" s="34">
        <v>321</v>
      </c>
      <c r="W83" s="34">
        <v>32217</v>
      </c>
      <c r="X83" s="34">
        <v>0</v>
      </c>
      <c r="Y83" s="34">
        <v>330872</v>
      </c>
      <c r="Z83" s="34">
        <v>44555</v>
      </c>
      <c r="AA83" s="34">
        <v>286317</v>
      </c>
      <c r="AB83" s="34">
        <v>192300</v>
      </c>
      <c r="AC83" s="34">
        <v>94017</v>
      </c>
    </row>
    <row r="84" spans="1:29" x14ac:dyDescent="0.25">
      <c r="A84" s="31" t="s">
        <v>60</v>
      </c>
      <c r="B84" s="31" t="s">
        <v>724</v>
      </c>
      <c r="C84" s="31" t="s">
        <v>89</v>
      </c>
      <c r="D84" s="31" t="s">
        <v>481</v>
      </c>
      <c r="E84" s="32">
        <v>150.19</v>
      </c>
      <c r="F84" s="33">
        <v>1091.0999999999999</v>
      </c>
      <c r="G84" s="32">
        <v>1241.29</v>
      </c>
      <c r="H84" s="32">
        <v>1.53</v>
      </c>
      <c r="I84" s="34">
        <v>11</v>
      </c>
      <c r="J84" s="33">
        <v>0</v>
      </c>
      <c r="K84" s="34">
        <v>1102</v>
      </c>
      <c r="L84" s="32">
        <v>345.6</v>
      </c>
      <c r="M84" s="32">
        <v>64.02</v>
      </c>
      <c r="N84" s="32">
        <v>71.37</v>
      </c>
      <c r="O84" s="32">
        <v>42.56</v>
      </c>
      <c r="P84" s="32">
        <v>4.9000000000000004</v>
      </c>
      <c r="Q84" s="34">
        <v>428990</v>
      </c>
      <c r="R84" s="34">
        <v>0</v>
      </c>
      <c r="S84" s="34">
        <v>428990</v>
      </c>
      <c r="T84" s="34">
        <v>28220</v>
      </c>
      <c r="U84" s="34">
        <v>31460</v>
      </c>
      <c r="V84" s="34">
        <v>529</v>
      </c>
      <c r="W84" s="34">
        <v>52829</v>
      </c>
      <c r="X84" s="34">
        <v>0</v>
      </c>
      <c r="Y84" s="34">
        <v>542028</v>
      </c>
      <c r="Z84" s="34">
        <v>73060</v>
      </c>
      <c r="AA84" s="34">
        <v>468968</v>
      </c>
      <c r="AB84" s="34">
        <v>315330</v>
      </c>
      <c r="AC84" s="34">
        <v>153638</v>
      </c>
    </row>
    <row r="85" spans="1:29" x14ac:dyDescent="0.25">
      <c r="A85" s="31" t="s">
        <v>60</v>
      </c>
      <c r="B85" s="31" t="s">
        <v>724</v>
      </c>
      <c r="C85" s="31" t="s">
        <v>90</v>
      </c>
      <c r="D85" s="31" t="s">
        <v>482</v>
      </c>
      <c r="E85" s="32">
        <v>40.770000000000003</v>
      </c>
      <c r="F85" s="33">
        <v>411.3</v>
      </c>
      <c r="G85" s="32">
        <v>452.07</v>
      </c>
      <c r="H85" s="32">
        <v>0.56000000000000005</v>
      </c>
      <c r="I85" s="34">
        <v>0</v>
      </c>
      <c r="J85" s="33">
        <v>0</v>
      </c>
      <c r="K85" s="34">
        <v>411</v>
      </c>
      <c r="L85" s="32">
        <v>345.6</v>
      </c>
      <c r="M85" s="32">
        <v>64.02</v>
      </c>
      <c r="N85" s="32">
        <v>71.37</v>
      </c>
      <c r="O85" s="32">
        <v>42.56</v>
      </c>
      <c r="P85" s="32">
        <v>4.9000000000000004</v>
      </c>
      <c r="Q85" s="34">
        <v>156235</v>
      </c>
      <c r="R85" s="34">
        <v>0</v>
      </c>
      <c r="S85" s="34">
        <v>156235</v>
      </c>
      <c r="T85" s="34">
        <v>10525</v>
      </c>
      <c r="U85" s="34">
        <v>11733</v>
      </c>
      <c r="V85" s="34">
        <v>194</v>
      </c>
      <c r="W85" s="34">
        <v>19240</v>
      </c>
      <c r="X85" s="34">
        <v>0</v>
      </c>
      <c r="Y85" s="34">
        <v>197927</v>
      </c>
      <c r="Z85" s="34">
        <v>26607</v>
      </c>
      <c r="AA85" s="34">
        <v>171320</v>
      </c>
      <c r="AB85" s="34">
        <v>114843</v>
      </c>
      <c r="AC85" s="34">
        <v>56477</v>
      </c>
    </row>
    <row r="86" spans="1:29" x14ac:dyDescent="0.25">
      <c r="A86" s="31" t="s">
        <v>60</v>
      </c>
      <c r="B86" s="31" t="s">
        <v>724</v>
      </c>
      <c r="C86" s="31" t="s">
        <v>91</v>
      </c>
      <c r="D86" s="31" t="s">
        <v>483</v>
      </c>
      <c r="E86" s="32">
        <v>85.49</v>
      </c>
      <c r="F86" s="33">
        <v>725.7</v>
      </c>
      <c r="G86" s="32">
        <v>811.19</v>
      </c>
      <c r="H86" s="32">
        <v>1</v>
      </c>
      <c r="I86" s="34">
        <v>19</v>
      </c>
      <c r="J86" s="33">
        <v>0</v>
      </c>
      <c r="K86" s="34">
        <v>745</v>
      </c>
      <c r="L86" s="32">
        <v>345.6</v>
      </c>
      <c r="M86" s="32">
        <v>64.02</v>
      </c>
      <c r="N86" s="32">
        <v>71.37</v>
      </c>
      <c r="O86" s="32">
        <v>42.56</v>
      </c>
      <c r="P86" s="32">
        <v>4.9000000000000004</v>
      </c>
      <c r="Q86" s="34">
        <v>280347</v>
      </c>
      <c r="R86" s="34">
        <v>0</v>
      </c>
      <c r="S86" s="34">
        <v>280347</v>
      </c>
      <c r="T86" s="34">
        <v>19078</v>
      </c>
      <c r="U86" s="34">
        <v>21268</v>
      </c>
      <c r="V86" s="34">
        <v>346</v>
      </c>
      <c r="W86" s="34">
        <v>34524</v>
      </c>
      <c r="X86" s="34">
        <v>0</v>
      </c>
      <c r="Y86" s="34">
        <v>355563</v>
      </c>
      <c r="Z86" s="34">
        <v>47745</v>
      </c>
      <c r="AA86" s="34">
        <v>307818</v>
      </c>
      <c r="AB86" s="34">
        <v>206070</v>
      </c>
      <c r="AC86" s="34">
        <v>101748</v>
      </c>
    </row>
    <row r="87" spans="1:29" x14ac:dyDescent="0.25">
      <c r="A87" s="31" t="s">
        <v>60</v>
      </c>
      <c r="B87" s="31" t="s">
        <v>724</v>
      </c>
      <c r="C87" s="31" t="s">
        <v>92</v>
      </c>
      <c r="D87" s="31" t="s">
        <v>484</v>
      </c>
      <c r="E87" s="32">
        <v>183.13</v>
      </c>
      <c r="F87" s="33">
        <v>1377.7</v>
      </c>
      <c r="G87" s="32">
        <v>1560.83</v>
      </c>
      <c r="H87" s="32">
        <v>1.93</v>
      </c>
      <c r="I87" s="34">
        <v>121</v>
      </c>
      <c r="J87" s="33">
        <v>4.9000000000000004</v>
      </c>
      <c r="K87" s="34">
        <v>1494</v>
      </c>
      <c r="L87" s="32">
        <v>345.6</v>
      </c>
      <c r="M87" s="32">
        <v>64.02</v>
      </c>
      <c r="N87" s="32">
        <v>71.37</v>
      </c>
      <c r="O87" s="32">
        <v>42.56</v>
      </c>
      <c r="P87" s="32">
        <v>4.9000000000000004</v>
      </c>
      <c r="Q87" s="34">
        <v>539423</v>
      </c>
      <c r="R87" s="34">
        <v>0</v>
      </c>
      <c r="S87" s="34">
        <v>539423</v>
      </c>
      <c r="T87" s="34">
        <v>38258</v>
      </c>
      <c r="U87" s="34">
        <v>42651</v>
      </c>
      <c r="V87" s="34">
        <v>667</v>
      </c>
      <c r="W87" s="34">
        <v>66429</v>
      </c>
      <c r="X87" s="34">
        <v>0</v>
      </c>
      <c r="Y87" s="34">
        <v>687428</v>
      </c>
      <c r="Z87" s="34">
        <v>91867</v>
      </c>
      <c r="AA87" s="34">
        <v>595561</v>
      </c>
      <c r="AB87" s="34">
        <v>396507</v>
      </c>
      <c r="AC87" s="34">
        <v>199054</v>
      </c>
    </row>
    <row r="88" spans="1:29" x14ac:dyDescent="0.25">
      <c r="A88" s="31" t="s">
        <v>60</v>
      </c>
      <c r="B88" s="31" t="s">
        <v>724</v>
      </c>
      <c r="C88" s="31" t="s">
        <v>93</v>
      </c>
      <c r="D88" s="31" t="s">
        <v>485</v>
      </c>
      <c r="E88" s="32">
        <v>113.72</v>
      </c>
      <c r="F88" s="33">
        <v>1003.7</v>
      </c>
      <c r="G88" s="32">
        <v>1117.42</v>
      </c>
      <c r="H88" s="32">
        <v>1.38</v>
      </c>
      <c r="I88" s="34">
        <v>2</v>
      </c>
      <c r="J88" s="33">
        <v>0</v>
      </c>
      <c r="K88" s="34">
        <v>1006</v>
      </c>
      <c r="L88" s="32">
        <v>345.6</v>
      </c>
      <c r="M88" s="32">
        <v>64.02</v>
      </c>
      <c r="N88" s="32">
        <v>71.37</v>
      </c>
      <c r="O88" s="32">
        <v>42.56</v>
      </c>
      <c r="P88" s="32">
        <v>4.9000000000000004</v>
      </c>
      <c r="Q88" s="34">
        <v>386180</v>
      </c>
      <c r="R88" s="34">
        <v>0</v>
      </c>
      <c r="S88" s="34">
        <v>386180</v>
      </c>
      <c r="T88" s="34">
        <v>25762</v>
      </c>
      <c r="U88" s="34">
        <v>28719</v>
      </c>
      <c r="V88" s="34">
        <v>477</v>
      </c>
      <c r="W88" s="34">
        <v>47557</v>
      </c>
      <c r="X88" s="34">
        <v>0</v>
      </c>
      <c r="Y88" s="34">
        <v>488695</v>
      </c>
      <c r="Z88" s="34">
        <v>65768</v>
      </c>
      <c r="AA88" s="34">
        <v>422927</v>
      </c>
      <c r="AB88" s="34">
        <v>283865</v>
      </c>
      <c r="AC88" s="34">
        <v>139062</v>
      </c>
    </row>
    <row r="89" spans="1:29" x14ac:dyDescent="0.25">
      <c r="A89" s="31" t="s">
        <v>60</v>
      </c>
      <c r="B89" s="31" t="s">
        <v>724</v>
      </c>
      <c r="C89" s="31" t="s">
        <v>94</v>
      </c>
      <c r="D89" s="31" t="s">
        <v>486</v>
      </c>
      <c r="E89" s="32">
        <v>50.11</v>
      </c>
      <c r="F89" s="33">
        <v>428.7</v>
      </c>
      <c r="G89" s="32">
        <v>478.81</v>
      </c>
      <c r="H89" s="32">
        <v>0.59</v>
      </c>
      <c r="I89" s="34">
        <v>22</v>
      </c>
      <c r="J89" s="33">
        <v>0</v>
      </c>
      <c r="K89" s="34">
        <v>451</v>
      </c>
      <c r="L89" s="32">
        <v>345.6</v>
      </c>
      <c r="M89" s="32">
        <v>64.02</v>
      </c>
      <c r="N89" s="32">
        <v>71.37</v>
      </c>
      <c r="O89" s="32">
        <v>42.56</v>
      </c>
      <c r="P89" s="32">
        <v>4.9000000000000004</v>
      </c>
      <c r="Q89" s="34">
        <v>165477</v>
      </c>
      <c r="R89" s="34">
        <v>2229</v>
      </c>
      <c r="S89" s="34">
        <v>167706</v>
      </c>
      <c r="T89" s="34">
        <v>11549</v>
      </c>
      <c r="U89" s="34">
        <v>12875</v>
      </c>
      <c r="V89" s="34">
        <v>204</v>
      </c>
      <c r="W89" s="34">
        <v>20736</v>
      </c>
      <c r="X89" s="34">
        <v>0</v>
      </c>
      <c r="Y89" s="34">
        <v>213070</v>
      </c>
      <c r="Z89" s="34">
        <v>28181</v>
      </c>
      <c r="AA89" s="34">
        <v>184889</v>
      </c>
      <c r="AB89" s="34">
        <v>121993</v>
      </c>
      <c r="AC89" s="34">
        <v>62896</v>
      </c>
    </row>
    <row r="90" spans="1:29" x14ac:dyDescent="0.25">
      <c r="A90" s="31" t="s">
        <v>60</v>
      </c>
      <c r="B90" s="31" t="s">
        <v>724</v>
      </c>
      <c r="C90" s="31" t="s">
        <v>95</v>
      </c>
      <c r="D90" s="31" t="s">
        <v>487</v>
      </c>
      <c r="E90" s="32">
        <v>105.58</v>
      </c>
      <c r="F90" s="33">
        <v>873.7</v>
      </c>
      <c r="G90" s="32">
        <v>979.28</v>
      </c>
      <c r="H90" s="32">
        <v>1.21</v>
      </c>
      <c r="I90" s="34">
        <v>109</v>
      </c>
      <c r="J90" s="33">
        <v>0.4</v>
      </c>
      <c r="K90" s="34">
        <v>982</v>
      </c>
      <c r="L90" s="32">
        <v>345.6</v>
      </c>
      <c r="M90" s="32">
        <v>64.02</v>
      </c>
      <c r="N90" s="32">
        <v>71.37</v>
      </c>
      <c r="O90" s="32">
        <v>42.56</v>
      </c>
      <c r="P90" s="32">
        <v>4.9000000000000004</v>
      </c>
      <c r="Q90" s="34">
        <v>338439</v>
      </c>
      <c r="R90" s="34">
        <v>3772</v>
      </c>
      <c r="S90" s="34">
        <v>342211</v>
      </c>
      <c r="T90" s="34">
        <v>25147</v>
      </c>
      <c r="U90" s="34">
        <v>28034</v>
      </c>
      <c r="V90" s="34">
        <v>418</v>
      </c>
      <c r="W90" s="34">
        <v>42312</v>
      </c>
      <c r="X90" s="34">
        <v>0</v>
      </c>
      <c r="Y90" s="34">
        <v>438122</v>
      </c>
      <c r="Z90" s="34">
        <v>57638</v>
      </c>
      <c r="AA90" s="34">
        <v>380484</v>
      </c>
      <c r="AB90" s="34">
        <v>249406</v>
      </c>
      <c r="AC90" s="34">
        <v>131078</v>
      </c>
    </row>
    <row r="91" spans="1:29" x14ac:dyDescent="0.25">
      <c r="A91" s="31" t="s">
        <v>60</v>
      </c>
      <c r="B91" s="31" t="s">
        <v>724</v>
      </c>
      <c r="C91" s="31" t="s">
        <v>96</v>
      </c>
      <c r="D91" s="31" t="s">
        <v>488</v>
      </c>
      <c r="E91" s="32">
        <v>75.680000000000007</v>
      </c>
      <c r="F91" s="33">
        <v>560.79999999999995</v>
      </c>
      <c r="G91" s="32">
        <v>636.48</v>
      </c>
      <c r="H91" s="32">
        <v>0.79</v>
      </c>
      <c r="I91" s="34">
        <v>1</v>
      </c>
      <c r="J91" s="33">
        <v>0</v>
      </c>
      <c r="K91" s="34">
        <v>562</v>
      </c>
      <c r="L91" s="32">
        <v>345.6</v>
      </c>
      <c r="M91" s="32">
        <v>64.02</v>
      </c>
      <c r="N91" s="32">
        <v>71.37</v>
      </c>
      <c r="O91" s="32">
        <v>42.56</v>
      </c>
      <c r="P91" s="32">
        <v>4.9000000000000004</v>
      </c>
      <c r="Q91" s="34">
        <v>219967</v>
      </c>
      <c r="R91" s="34">
        <v>0</v>
      </c>
      <c r="S91" s="34">
        <v>219967</v>
      </c>
      <c r="T91" s="34">
        <v>14392</v>
      </c>
      <c r="U91" s="34">
        <v>16044</v>
      </c>
      <c r="V91" s="34">
        <v>273</v>
      </c>
      <c r="W91" s="34">
        <v>27089</v>
      </c>
      <c r="X91" s="34">
        <v>0</v>
      </c>
      <c r="Y91" s="34">
        <v>277765</v>
      </c>
      <c r="Z91" s="34">
        <v>37462</v>
      </c>
      <c r="AA91" s="34">
        <v>240303</v>
      </c>
      <c r="AB91" s="34">
        <v>161690</v>
      </c>
      <c r="AC91" s="34">
        <v>78613</v>
      </c>
    </row>
    <row r="92" spans="1:29" x14ac:dyDescent="0.25">
      <c r="A92" s="31" t="s">
        <v>60</v>
      </c>
      <c r="B92" s="31" t="s">
        <v>724</v>
      </c>
      <c r="C92" s="31" t="s">
        <v>97</v>
      </c>
      <c r="D92" s="31" t="s">
        <v>489</v>
      </c>
      <c r="E92" s="32">
        <v>765.52</v>
      </c>
      <c r="F92" s="33">
        <v>5352.3</v>
      </c>
      <c r="G92" s="32">
        <v>6117.82</v>
      </c>
      <c r="H92" s="32">
        <v>7.56</v>
      </c>
      <c r="I92" s="34">
        <v>275</v>
      </c>
      <c r="J92" s="33">
        <v>6.9</v>
      </c>
      <c r="K92" s="34">
        <v>5620</v>
      </c>
      <c r="L92" s="32">
        <v>345.6</v>
      </c>
      <c r="M92" s="32">
        <v>64.02</v>
      </c>
      <c r="N92" s="32">
        <v>71.37</v>
      </c>
      <c r="O92" s="32">
        <v>42.56</v>
      </c>
      <c r="P92" s="32">
        <v>4.9000000000000004</v>
      </c>
      <c r="Q92" s="34">
        <v>2114319</v>
      </c>
      <c r="R92" s="34">
        <v>0</v>
      </c>
      <c r="S92" s="34">
        <v>2114319</v>
      </c>
      <c r="T92" s="34">
        <v>143917</v>
      </c>
      <c r="U92" s="34">
        <v>160440</v>
      </c>
      <c r="V92" s="34">
        <v>2613</v>
      </c>
      <c r="W92" s="34">
        <v>260374</v>
      </c>
      <c r="X92" s="34">
        <v>0</v>
      </c>
      <c r="Y92" s="34">
        <v>2681663</v>
      </c>
      <c r="Z92" s="34">
        <v>360078</v>
      </c>
      <c r="AA92" s="34">
        <v>2321585</v>
      </c>
      <c r="AB92" s="34">
        <v>1554149</v>
      </c>
      <c r="AC92" s="34">
        <v>767436</v>
      </c>
    </row>
    <row r="93" spans="1:29" x14ac:dyDescent="0.25">
      <c r="A93" s="31" t="s">
        <v>60</v>
      </c>
      <c r="B93" s="31" t="s">
        <v>724</v>
      </c>
      <c r="C93" s="31" t="s">
        <v>98</v>
      </c>
      <c r="D93" s="31" t="s">
        <v>490</v>
      </c>
      <c r="E93" s="32">
        <v>632.5</v>
      </c>
      <c r="F93" s="33">
        <v>3351</v>
      </c>
      <c r="G93" s="32">
        <v>3983.5</v>
      </c>
      <c r="H93" s="32">
        <v>4.92</v>
      </c>
      <c r="I93" s="34">
        <v>533</v>
      </c>
      <c r="J93" s="33">
        <v>7.6</v>
      </c>
      <c r="K93" s="34">
        <v>3876</v>
      </c>
      <c r="L93" s="32">
        <v>345.6</v>
      </c>
      <c r="M93" s="32">
        <v>64.02</v>
      </c>
      <c r="N93" s="32">
        <v>71.37</v>
      </c>
      <c r="O93" s="32">
        <v>42.56</v>
      </c>
      <c r="P93" s="32">
        <v>4.9000000000000004</v>
      </c>
      <c r="Q93" s="34">
        <v>1376698</v>
      </c>
      <c r="R93" s="34">
        <v>0</v>
      </c>
      <c r="S93" s="34">
        <v>1376698</v>
      </c>
      <c r="T93" s="34">
        <v>99257</v>
      </c>
      <c r="U93" s="34">
        <v>110652</v>
      </c>
      <c r="V93" s="34">
        <v>1700</v>
      </c>
      <c r="W93" s="34">
        <v>169538</v>
      </c>
      <c r="X93" s="34">
        <v>0</v>
      </c>
      <c r="Y93" s="34">
        <v>1757845</v>
      </c>
      <c r="Z93" s="34">
        <v>234458</v>
      </c>
      <c r="AA93" s="34">
        <v>1523387</v>
      </c>
      <c r="AB93" s="34">
        <v>1011953</v>
      </c>
      <c r="AC93" s="34">
        <v>511434</v>
      </c>
    </row>
    <row r="94" spans="1:29" x14ac:dyDescent="0.25">
      <c r="A94" s="31" t="s">
        <v>60</v>
      </c>
      <c r="B94" s="31" t="s">
        <v>724</v>
      </c>
      <c r="C94" s="31" t="s">
        <v>99</v>
      </c>
      <c r="D94" s="31" t="s">
        <v>491</v>
      </c>
      <c r="E94" s="32">
        <v>46.02</v>
      </c>
      <c r="F94" s="33">
        <v>465.7</v>
      </c>
      <c r="G94" s="32">
        <v>511.72</v>
      </c>
      <c r="H94" s="32">
        <v>0.63</v>
      </c>
      <c r="I94" s="34">
        <v>6</v>
      </c>
      <c r="J94" s="33">
        <v>0</v>
      </c>
      <c r="K94" s="34">
        <v>472</v>
      </c>
      <c r="L94" s="32">
        <v>345.6</v>
      </c>
      <c r="M94" s="32">
        <v>64.02</v>
      </c>
      <c r="N94" s="32">
        <v>71.37</v>
      </c>
      <c r="O94" s="32">
        <v>42.56</v>
      </c>
      <c r="P94" s="32">
        <v>4.9000000000000004</v>
      </c>
      <c r="Q94" s="34">
        <v>176850</v>
      </c>
      <c r="R94" s="34">
        <v>4529</v>
      </c>
      <c r="S94" s="34">
        <v>181379</v>
      </c>
      <c r="T94" s="34">
        <v>12087</v>
      </c>
      <c r="U94" s="34">
        <v>13475</v>
      </c>
      <c r="V94" s="34">
        <v>218</v>
      </c>
      <c r="W94" s="34">
        <v>21865</v>
      </c>
      <c r="X94" s="34">
        <v>0</v>
      </c>
      <c r="Y94" s="34">
        <v>229024</v>
      </c>
      <c r="Z94" s="34">
        <v>30118</v>
      </c>
      <c r="AA94" s="34">
        <v>198906</v>
      </c>
      <c r="AB94" s="34">
        <v>130082</v>
      </c>
      <c r="AC94" s="34">
        <v>68824</v>
      </c>
    </row>
    <row r="95" spans="1:29" x14ac:dyDescent="0.25">
      <c r="A95" s="31" t="s">
        <v>60</v>
      </c>
      <c r="B95" s="31" t="s">
        <v>724</v>
      </c>
      <c r="C95" s="31" t="s">
        <v>100</v>
      </c>
      <c r="D95" s="31" t="s">
        <v>492</v>
      </c>
      <c r="E95" s="32">
        <v>69.47</v>
      </c>
      <c r="F95" s="33">
        <v>593.79999999999995</v>
      </c>
      <c r="G95" s="32">
        <v>663.27</v>
      </c>
      <c r="H95" s="32">
        <v>0.82</v>
      </c>
      <c r="I95" s="34">
        <v>8</v>
      </c>
      <c r="J95" s="33">
        <v>0</v>
      </c>
      <c r="K95" s="34">
        <v>602</v>
      </c>
      <c r="L95" s="32">
        <v>345.6</v>
      </c>
      <c r="M95" s="32">
        <v>64.02</v>
      </c>
      <c r="N95" s="32">
        <v>71.37</v>
      </c>
      <c r="O95" s="32">
        <v>42.56</v>
      </c>
      <c r="P95" s="32">
        <v>4.9000000000000004</v>
      </c>
      <c r="Q95" s="34">
        <v>229226</v>
      </c>
      <c r="R95" s="34">
        <v>0</v>
      </c>
      <c r="S95" s="34">
        <v>229226</v>
      </c>
      <c r="T95" s="34">
        <v>15416</v>
      </c>
      <c r="U95" s="34">
        <v>17186</v>
      </c>
      <c r="V95" s="34">
        <v>283</v>
      </c>
      <c r="W95" s="34">
        <v>28229</v>
      </c>
      <c r="X95" s="34">
        <v>0</v>
      </c>
      <c r="Y95" s="34">
        <v>290340</v>
      </c>
      <c r="Z95" s="34">
        <v>39039</v>
      </c>
      <c r="AA95" s="34">
        <v>251301</v>
      </c>
      <c r="AB95" s="34">
        <v>168494</v>
      </c>
      <c r="AC95" s="34">
        <v>82807</v>
      </c>
    </row>
    <row r="96" spans="1:29" x14ac:dyDescent="0.25">
      <c r="A96" s="31" t="s">
        <v>60</v>
      </c>
      <c r="B96" s="31" t="s">
        <v>724</v>
      </c>
      <c r="C96" s="31" t="s">
        <v>101</v>
      </c>
      <c r="D96" s="31" t="s">
        <v>493</v>
      </c>
      <c r="E96" s="32">
        <v>78.569999999999993</v>
      </c>
      <c r="F96" s="33">
        <v>515.29999999999995</v>
      </c>
      <c r="G96" s="32">
        <v>593.87</v>
      </c>
      <c r="H96" s="32">
        <v>0.73</v>
      </c>
      <c r="I96" s="34">
        <v>3</v>
      </c>
      <c r="J96" s="33">
        <v>0</v>
      </c>
      <c r="K96" s="34">
        <v>518</v>
      </c>
      <c r="L96" s="32">
        <v>345.6</v>
      </c>
      <c r="M96" s="32">
        <v>64.02</v>
      </c>
      <c r="N96" s="32">
        <v>71.37</v>
      </c>
      <c r="O96" s="32">
        <v>42.56</v>
      </c>
      <c r="P96" s="32">
        <v>4.9000000000000004</v>
      </c>
      <c r="Q96" s="34">
        <v>205241</v>
      </c>
      <c r="R96" s="34">
        <v>3972</v>
      </c>
      <c r="S96" s="34">
        <v>209213</v>
      </c>
      <c r="T96" s="34">
        <v>13265</v>
      </c>
      <c r="U96" s="34">
        <v>14788</v>
      </c>
      <c r="V96" s="34">
        <v>252</v>
      </c>
      <c r="W96" s="34">
        <v>25784</v>
      </c>
      <c r="X96" s="34">
        <v>0</v>
      </c>
      <c r="Y96" s="34">
        <v>263302</v>
      </c>
      <c r="Z96" s="34">
        <v>34953</v>
      </c>
      <c r="AA96" s="34">
        <v>228349</v>
      </c>
      <c r="AB96" s="34">
        <v>151373</v>
      </c>
      <c r="AC96" s="34">
        <v>76976</v>
      </c>
    </row>
    <row r="97" spans="1:29" x14ac:dyDescent="0.25">
      <c r="A97" s="31" t="s">
        <v>60</v>
      </c>
      <c r="B97" s="31" t="s">
        <v>724</v>
      </c>
      <c r="C97" s="31" t="s">
        <v>102</v>
      </c>
      <c r="D97" s="31" t="s">
        <v>494</v>
      </c>
      <c r="E97" s="32">
        <v>75.02</v>
      </c>
      <c r="F97" s="33">
        <v>471.9</v>
      </c>
      <c r="G97" s="32">
        <v>546.91999999999996</v>
      </c>
      <c r="H97" s="32">
        <v>0.68</v>
      </c>
      <c r="I97" s="34">
        <v>0</v>
      </c>
      <c r="J97" s="33">
        <v>0</v>
      </c>
      <c r="K97" s="34">
        <v>472</v>
      </c>
      <c r="L97" s="32">
        <v>345.6</v>
      </c>
      <c r="M97" s="32">
        <v>64.02</v>
      </c>
      <c r="N97" s="32">
        <v>71.37</v>
      </c>
      <c r="O97" s="32">
        <v>42.56</v>
      </c>
      <c r="P97" s="32">
        <v>4.9000000000000004</v>
      </c>
      <c r="Q97" s="34">
        <v>189016</v>
      </c>
      <c r="R97" s="34">
        <v>0</v>
      </c>
      <c r="S97" s="34">
        <v>189016</v>
      </c>
      <c r="T97" s="34">
        <v>12087</v>
      </c>
      <c r="U97" s="34">
        <v>13475</v>
      </c>
      <c r="V97" s="34">
        <v>235</v>
      </c>
      <c r="W97" s="34">
        <v>23277</v>
      </c>
      <c r="X97" s="34">
        <v>0</v>
      </c>
      <c r="Y97" s="34">
        <v>238090</v>
      </c>
      <c r="Z97" s="34">
        <v>32191</v>
      </c>
      <c r="AA97" s="34">
        <v>205899</v>
      </c>
      <c r="AB97" s="34">
        <v>138938</v>
      </c>
      <c r="AC97" s="34">
        <v>66961</v>
      </c>
    </row>
    <row r="98" spans="1:29" x14ac:dyDescent="0.25">
      <c r="A98" s="31" t="s">
        <v>60</v>
      </c>
      <c r="B98" s="31" t="s">
        <v>724</v>
      </c>
      <c r="C98" s="31" t="s">
        <v>103</v>
      </c>
      <c r="D98" s="31" t="s">
        <v>495</v>
      </c>
      <c r="E98" s="32">
        <v>65.239999999999995</v>
      </c>
      <c r="F98" s="33">
        <v>450.2</v>
      </c>
      <c r="G98" s="32">
        <v>515.44000000000005</v>
      </c>
      <c r="H98" s="32">
        <v>0.64</v>
      </c>
      <c r="I98" s="34">
        <v>1</v>
      </c>
      <c r="J98" s="33">
        <v>0</v>
      </c>
      <c r="K98" s="34">
        <v>451</v>
      </c>
      <c r="L98" s="32">
        <v>345.6</v>
      </c>
      <c r="M98" s="32">
        <v>64.02</v>
      </c>
      <c r="N98" s="32">
        <v>71.37</v>
      </c>
      <c r="O98" s="32">
        <v>42.56</v>
      </c>
      <c r="P98" s="32">
        <v>4.9000000000000004</v>
      </c>
      <c r="Q98" s="34">
        <v>178136</v>
      </c>
      <c r="R98" s="34">
        <v>0</v>
      </c>
      <c r="S98" s="34">
        <v>178136</v>
      </c>
      <c r="T98" s="34">
        <v>11549</v>
      </c>
      <c r="U98" s="34">
        <v>12875</v>
      </c>
      <c r="V98" s="34">
        <v>221</v>
      </c>
      <c r="W98" s="34">
        <v>21937</v>
      </c>
      <c r="X98" s="34">
        <v>0</v>
      </c>
      <c r="Y98" s="34">
        <v>224718</v>
      </c>
      <c r="Z98" s="34">
        <v>30338</v>
      </c>
      <c r="AA98" s="34">
        <v>194380</v>
      </c>
      <c r="AB98" s="34">
        <v>130941</v>
      </c>
      <c r="AC98" s="34">
        <v>63439</v>
      </c>
    </row>
    <row r="99" spans="1:29" x14ac:dyDescent="0.25">
      <c r="A99" s="31" t="s">
        <v>60</v>
      </c>
      <c r="B99" s="31" t="s">
        <v>724</v>
      </c>
      <c r="C99" s="31" t="s">
        <v>104</v>
      </c>
      <c r="D99" s="31" t="s">
        <v>496</v>
      </c>
      <c r="E99" s="32">
        <v>69.41</v>
      </c>
      <c r="F99" s="33">
        <v>512.6</v>
      </c>
      <c r="G99" s="32">
        <v>582.01</v>
      </c>
      <c r="H99" s="32">
        <v>0.72</v>
      </c>
      <c r="I99" s="34">
        <v>0</v>
      </c>
      <c r="J99" s="33">
        <v>0</v>
      </c>
      <c r="K99" s="34">
        <v>513</v>
      </c>
      <c r="L99" s="32">
        <v>345.6</v>
      </c>
      <c r="M99" s="32">
        <v>64.02</v>
      </c>
      <c r="N99" s="32">
        <v>71.37</v>
      </c>
      <c r="O99" s="32">
        <v>42.56</v>
      </c>
      <c r="P99" s="32">
        <v>4.9000000000000004</v>
      </c>
      <c r="Q99" s="34">
        <v>201143</v>
      </c>
      <c r="R99" s="34">
        <v>0</v>
      </c>
      <c r="S99" s="34">
        <v>201143</v>
      </c>
      <c r="T99" s="34">
        <v>13137</v>
      </c>
      <c r="U99" s="34">
        <v>14645</v>
      </c>
      <c r="V99" s="34">
        <v>249</v>
      </c>
      <c r="W99" s="34">
        <v>24770</v>
      </c>
      <c r="X99" s="34">
        <v>0</v>
      </c>
      <c r="Y99" s="34">
        <v>253944</v>
      </c>
      <c r="Z99" s="34">
        <v>34255</v>
      </c>
      <c r="AA99" s="34">
        <v>219689</v>
      </c>
      <c r="AB99" s="34">
        <v>147852</v>
      </c>
      <c r="AC99" s="34">
        <v>71837</v>
      </c>
    </row>
    <row r="100" spans="1:29" x14ac:dyDescent="0.25">
      <c r="A100" s="31" t="s">
        <v>60</v>
      </c>
      <c r="B100" s="31" t="s">
        <v>724</v>
      </c>
      <c r="C100" s="31" t="s">
        <v>105</v>
      </c>
      <c r="D100" s="31" t="s">
        <v>497</v>
      </c>
      <c r="E100" s="32">
        <v>79.790000000000006</v>
      </c>
      <c r="F100" s="33">
        <v>902.1</v>
      </c>
      <c r="G100" s="32">
        <v>981.89</v>
      </c>
      <c r="H100" s="32">
        <v>1.21</v>
      </c>
      <c r="I100" s="34">
        <v>3</v>
      </c>
      <c r="J100" s="33">
        <v>0</v>
      </c>
      <c r="K100" s="34">
        <v>905</v>
      </c>
      <c r="L100" s="32">
        <v>345.6</v>
      </c>
      <c r="M100" s="32">
        <v>64.02</v>
      </c>
      <c r="N100" s="32">
        <v>71.37</v>
      </c>
      <c r="O100" s="32">
        <v>42.56</v>
      </c>
      <c r="P100" s="32">
        <v>4.9000000000000004</v>
      </c>
      <c r="Q100" s="34">
        <v>339341</v>
      </c>
      <c r="R100" s="34">
        <v>0</v>
      </c>
      <c r="S100" s="34">
        <v>339341</v>
      </c>
      <c r="T100" s="34">
        <v>23175</v>
      </c>
      <c r="U100" s="34">
        <v>25836</v>
      </c>
      <c r="V100" s="34">
        <v>418</v>
      </c>
      <c r="W100" s="34">
        <v>41789</v>
      </c>
      <c r="X100" s="34">
        <v>0</v>
      </c>
      <c r="Y100" s="34">
        <v>430559</v>
      </c>
      <c r="Z100" s="34">
        <v>57791</v>
      </c>
      <c r="AA100" s="34">
        <v>372768</v>
      </c>
      <c r="AB100" s="34">
        <v>249435</v>
      </c>
      <c r="AC100" s="34">
        <v>123333</v>
      </c>
    </row>
    <row r="101" spans="1:29" x14ac:dyDescent="0.25">
      <c r="A101" s="31" t="s">
        <v>60</v>
      </c>
      <c r="B101" s="31" t="s">
        <v>724</v>
      </c>
      <c r="C101" s="31" t="s">
        <v>106</v>
      </c>
      <c r="D101" s="31" t="s">
        <v>498</v>
      </c>
      <c r="E101" s="32">
        <v>70.760000000000005</v>
      </c>
      <c r="F101" s="33">
        <v>420</v>
      </c>
      <c r="G101" s="32">
        <v>490.76</v>
      </c>
      <c r="H101" s="32">
        <v>0.61</v>
      </c>
      <c r="I101" s="34">
        <v>7</v>
      </c>
      <c r="J101" s="33">
        <v>0</v>
      </c>
      <c r="K101" s="34">
        <v>427</v>
      </c>
      <c r="L101" s="32">
        <v>345.6</v>
      </c>
      <c r="M101" s="32">
        <v>64.02</v>
      </c>
      <c r="N101" s="32">
        <v>71.37</v>
      </c>
      <c r="O101" s="32">
        <v>42.56</v>
      </c>
      <c r="P101" s="32">
        <v>4.9000000000000004</v>
      </c>
      <c r="Q101" s="34">
        <v>169607</v>
      </c>
      <c r="R101" s="34">
        <v>0</v>
      </c>
      <c r="S101" s="34">
        <v>169607</v>
      </c>
      <c r="T101" s="34">
        <v>10935</v>
      </c>
      <c r="U101" s="34">
        <v>12190</v>
      </c>
      <c r="V101" s="34">
        <v>211</v>
      </c>
      <c r="W101" s="34">
        <v>20887</v>
      </c>
      <c r="X101" s="34">
        <v>0</v>
      </c>
      <c r="Y101" s="34">
        <v>213830</v>
      </c>
      <c r="Z101" s="34">
        <v>28885</v>
      </c>
      <c r="AA101" s="34">
        <v>184945</v>
      </c>
      <c r="AB101" s="34">
        <v>124672</v>
      </c>
      <c r="AC101" s="34">
        <v>60273</v>
      </c>
    </row>
    <row r="102" spans="1:29" x14ac:dyDescent="0.25">
      <c r="A102" s="31" t="s">
        <v>60</v>
      </c>
      <c r="B102" s="31" t="s">
        <v>724</v>
      </c>
      <c r="C102" s="31" t="s">
        <v>107</v>
      </c>
      <c r="D102" s="31" t="s">
        <v>499</v>
      </c>
      <c r="E102" s="32">
        <v>237.8</v>
      </c>
      <c r="F102" s="33">
        <v>1400.5</v>
      </c>
      <c r="G102" s="32">
        <v>1638.3</v>
      </c>
      <c r="H102" s="32">
        <v>2.0299999999999998</v>
      </c>
      <c r="I102" s="34">
        <v>1</v>
      </c>
      <c r="J102" s="33">
        <v>0</v>
      </c>
      <c r="K102" s="34">
        <v>1402</v>
      </c>
      <c r="L102" s="32">
        <v>345.6</v>
      </c>
      <c r="M102" s="32">
        <v>64.02</v>
      </c>
      <c r="N102" s="32">
        <v>71.37</v>
      </c>
      <c r="O102" s="32">
        <v>42.56</v>
      </c>
      <c r="P102" s="32">
        <v>4.9000000000000004</v>
      </c>
      <c r="Q102" s="34">
        <v>566196</v>
      </c>
      <c r="R102" s="34">
        <v>0</v>
      </c>
      <c r="S102" s="34">
        <v>566196</v>
      </c>
      <c r="T102" s="34">
        <v>35902</v>
      </c>
      <c r="U102" s="34">
        <v>40024</v>
      </c>
      <c r="V102" s="34">
        <v>702</v>
      </c>
      <c r="W102" s="34">
        <v>70004</v>
      </c>
      <c r="X102" s="34">
        <v>0</v>
      </c>
      <c r="Y102" s="34">
        <v>712828</v>
      </c>
      <c r="Z102" s="34">
        <v>96425</v>
      </c>
      <c r="AA102" s="34">
        <v>616403</v>
      </c>
      <c r="AB102" s="34">
        <v>416468</v>
      </c>
      <c r="AC102" s="34">
        <v>199935</v>
      </c>
    </row>
    <row r="103" spans="1:29" x14ac:dyDescent="0.25">
      <c r="A103" s="31" t="s">
        <v>60</v>
      </c>
      <c r="B103" s="31" t="s">
        <v>724</v>
      </c>
      <c r="C103" s="31" t="s">
        <v>108</v>
      </c>
      <c r="D103" s="31" t="s">
        <v>500</v>
      </c>
      <c r="E103" s="32">
        <v>61.17</v>
      </c>
      <c r="F103" s="33">
        <v>574.20000000000005</v>
      </c>
      <c r="G103" s="32">
        <v>635.37</v>
      </c>
      <c r="H103" s="32">
        <v>0.78</v>
      </c>
      <c r="I103" s="34">
        <v>0</v>
      </c>
      <c r="J103" s="33">
        <v>0</v>
      </c>
      <c r="K103" s="34">
        <v>574</v>
      </c>
      <c r="L103" s="32">
        <v>345.6</v>
      </c>
      <c r="M103" s="32">
        <v>64.02</v>
      </c>
      <c r="N103" s="32">
        <v>71.37</v>
      </c>
      <c r="O103" s="32">
        <v>42.56</v>
      </c>
      <c r="P103" s="32">
        <v>4.9000000000000004</v>
      </c>
      <c r="Q103" s="34">
        <v>219584</v>
      </c>
      <c r="R103" s="34">
        <v>0</v>
      </c>
      <c r="S103" s="34">
        <v>219584</v>
      </c>
      <c r="T103" s="34">
        <v>14699</v>
      </c>
      <c r="U103" s="34">
        <v>16386</v>
      </c>
      <c r="V103" s="34">
        <v>270</v>
      </c>
      <c r="W103" s="34">
        <v>27041</v>
      </c>
      <c r="X103" s="34">
        <v>0</v>
      </c>
      <c r="Y103" s="34">
        <v>277980</v>
      </c>
      <c r="Z103" s="34">
        <v>37397</v>
      </c>
      <c r="AA103" s="34">
        <v>240583</v>
      </c>
      <c r="AB103" s="34">
        <v>161405</v>
      </c>
      <c r="AC103" s="34">
        <v>79178</v>
      </c>
    </row>
    <row r="104" spans="1:29" x14ac:dyDescent="0.25">
      <c r="A104" s="31" t="s">
        <v>60</v>
      </c>
      <c r="B104" s="31" t="s">
        <v>724</v>
      </c>
      <c r="C104" s="31" t="s">
        <v>109</v>
      </c>
      <c r="D104" s="31" t="s">
        <v>501</v>
      </c>
      <c r="E104" s="32">
        <v>133.36000000000001</v>
      </c>
      <c r="F104" s="33">
        <v>777.3</v>
      </c>
      <c r="G104" s="32">
        <v>910.66</v>
      </c>
      <c r="H104" s="32">
        <v>1.1299999999999999</v>
      </c>
      <c r="I104" s="34">
        <v>4</v>
      </c>
      <c r="J104" s="33">
        <v>0</v>
      </c>
      <c r="K104" s="34">
        <v>781</v>
      </c>
      <c r="L104" s="32">
        <v>345.6</v>
      </c>
      <c r="M104" s="32">
        <v>64.02</v>
      </c>
      <c r="N104" s="32">
        <v>71.37</v>
      </c>
      <c r="O104" s="32">
        <v>42.56</v>
      </c>
      <c r="P104" s="32">
        <v>4.9000000000000004</v>
      </c>
      <c r="Q104" s="34">
        <v>314724</v>
      </c>
      <c r="R104" s="34">
        <v>0</v>
      </c>
      <c r="S104" s="34">
        <v>314724</v>
      </c>
      <c r="T104" s="34">
        <v>20000</v>
      </c>
      <c r="U104" s="34">
        <v>22296</v>
      </c>
      <c r="V104" s="34">
        <v>391</v>
      </c>
      <c r="W104" s="34">
        <v>38758</v>
      </c>
      <c r="X104" s="34">
        <v>0</v>
      </c>
      <c r="Y104" s="34">
        <v>396169</v>
      </c>
      <c r="Z104" s="34">
        <v>53599</v>
      </c>
      <c r="AA104" s="34">
        <v>342570</v>
      </c>
      <c r="AB104" s="34">
        <v>231342</v>
      </c>
      <c r="AC104" s="34">
        <v>111228</v>
      </c>
    </row>
    <row r="105" spans="1:29" x14ac:dyDescent="0.25">
      <c r="A105" s="31" t="s">
        <v>60</v>
      </c>
      <c r="B105" s="31" t="s">
        <v>724</v>
      </c>
      <c r="C105" s="31" t="s">
        <v>110</v>
      </c>
      <c r="D105" s="31" t="s">
        <v>502</v>
      </c>
      <c r="E105" s="32">
        <v>58.82</v>
      </c>
      <c r="F105" s="33">
        <v>381.3</v>
      </c>
      <c r="G105" s="32">
        <v>440.12</v>
      </c>
      <c r="H105" s="32">
        <v>0.54</v>
      </c>
      <c r="I105" s="34">
        <v>2</v>
      </c>
      <c r="J105" s="33">
        <v>0</v>
      </c>
      <c r="K105" s="34">
        <v>383</v>
      </c>
      <c r="L105" s="32">
        <v>345.6</v>
      </c>
      <c r="M105" s="32">
        <v>64.02</v>
      </c>
      <c r="N105" s="32">
        <v>71.37</v>
      </c>
      <c r="O105" s="32">
        <v>42.56</v>
      </c>
      <c r="P105" s="32">
        <v>4.9000000000000004</v>
      </c>
      <c r="Q105" s="34">
        <v>152105</v>
      </c>
      <c r="R105" s="34">
        <v>219</v>
      </c>
      <c r="S105" s="34">
        <v>152324</v>
      </c>
      <c r="T105" s="34">
        <v>9808</v>
      </c>
      <c r="U105" s="34">
        <v>10934</v>
      </c>
      <c r="V105" s="34">
        <v>187</v>
      </c>
      <c r="W105" s="34">
        <v>18732</v>
      </c>
      <c r="X105" s="34">
        <v>0</v>
      </c>
      <c r="Y105" s="34">
        <v>191985</v>
      </c>
      <c r="Z105" s="34">
        <v>25905</v>
      </c>
      <c r="AA105" s="34">
        <v>166080</v>
      </c>
      <c r="AB105" s="34">
        <v>111805</v>
      </c>
      <c r="AC105" s="34">
        <v>54275</v>
      </c>
    </row>
    <row r="106" spans="1:29" x14ac:dyDescent="0.25">
      <c r="A106" s="31" t="s">
        <v>60</v>
      </c>
      <c r="B106" s="31" t="s">
        <v>724</v>
      </c>
      <c r="C106" s="31" t="s">
        <v>111</v>
      </c>
      <c r="D106" s="31" t="s">
        <v>503</v>
      </c>
      <c r="E106" s="32">
        <v>149.19</v>
      </c>
      <c r="F106" s="33">
        <v>944.8</v>
      </c>
      <c r="G106" s="32">
        <v>1093.99</v>
      </c>
      <c r="H106" s="32">
        <v>1.35</v>
      </c>
      <c r="I106" s="34">
        <v>30</v>
      </c>
      <c r="J106" s="33">
        <v>0</v>
      </c>
      <c r="K106" s="34">
        <v>975</v>
      </c>
      <c r="L106" s="32">
        <v>345.6</v>
      </c>
      <c r="M106" s="32">
        <v>64.02</v>
      </c>
      <c r="N106" s="32">
        <v>71.37</v>
      </c>
      <c r="O106" s="32">
        <v>42.56</v>
      </c>
      <c r="P106" s="32">
        <v>4.9000000000000004</v>
      </c>
      <c r="Q106" s="34">
        <v>378083</v>
      </c>
      <c r="R106" s="34">
        <v>11787</v>
      </c>
      <c r="S106" s="34">
        <v>389870</v>
      </c>
      <c r="T106" s="34">
        <v>24968</v>
      </c>
      <c r="U106" s="34">
        <v>27834</v>
      </c>
      <c r="V106" s="34">
        <v>467</v>
      </c>
      <c r="W106" s="34">
        <v>46990</v>
      </c>
      <c r="X106" s="34">
        <v>0</v>
      </c>
      <c r="Y106" s="34">
        <v>490129</v>
      </c>
      <c r="Z106" s="34">
        <v>64389</v>
      </c>
      <c r="AA106" s="34">
        <v>425740</v>
      </c>
      <c r="AB106" s="34">
        <v>278343</v>
      </c>
      <c r="AC106" s="34">
        <v>147397</v>
      </c>
    </row>
    <row r="107" spans="1:29" x14ac:dyDescent="0.25">
      <c r="A107" s="31" t="s">
        <v>60</v>
      </c>
      <c r="B107" s="31" t="s">
        <v>724</v>
      </c>
      <c r="C107" s="31" t="s">
        <v>112</v>
      </c>
      <c r="D107" s="31" t="s">
        <v>504</v>
      </c>
      <c r="E107" s="32">
        <v>80.959999999999994</v>
      </c>
      <c r="F107" s="33">
        <v>639.9</v>
      </c>
      <c r="G107" s="32">
        <v>720.86</v>
      </c>
      <c r="H107" s="32">
        <v>0.89</v>
      </c>
      <c r="I107" s="34">
        <v>28</v>
      </c>
      <c r="J107" s="33">
        <v>0</v>
      </c>
      <c r="K107" s="34">
        <v>668</v>
      </c>
      <c r="L107" s="32">
        <v>345.6</v>
      </c>
      <c r="M107" s="32">
        <v>64.02</v>
      </c>
      <c r="N107" s="32">
        <v>71.37</v>
      </c>
      <c r="O107" s="32">
        <v>42.56</v>
      </c>
      <c r="P107" s="32">
        <v>4.9000000000000004</v>
      </c>
      <c r="Q107" s="34">
        <v>249129</v>
      </c>
      <c r="R107" s="34">
        <v>875</v>
      </c>
      <c r="S107" s="34">
        <v>250004</v>
      </c>
      <c r="T107" s="34">
        <v>17106</v>
      </c>
      <c r="U107" s="34">
        <v>19070</v>
      </c>
      <c r="V107" s="34">
        <v>308</v>
      </c>
      <c r="W107" s="34">
        <v>30911</v>
      </c>
      <c r="X107" s="34">
        <v>0</v>
      </c>
      <c r="Y107" s="34">
        <v>317399</v>
      </c>
      <c r="Z107" s="34">
        <v>42428</v>
      </c>
      <c r="AA107" s="34">
        <v>274971</v>
      </c>
      <c r="AB107" s="34">
        <v>183356</v>
      </c>
      <c r="AC107" s="34">
        <v>91615</v>
      </c>
    </row>
    <row r="108" spans="1:29" x14ac:dyDescent="0.25">
      <c r="A108" s="31" t="s">
        <v>60</v>
      </c>
      <c r="B108" s="31" t="s">
        <v>724</v>
      </c>
      <c r="C108" s="31" t="s">
        <v>113</v>
      </c>
      <c r="D108" s="31" t="s">
        <v>505</v>
      </c>
      <c r="E108" s="32">
        <v>2299.54</v>
      </c>
      <c r="F108" s="33">
        <v>10731.7</v>
      </c>
      <c r="G108" s="32">
        <v>13031.24</v>
      </c>
      <c r="H108" s="32">
        <v>16.100000000000001</v>
      </c>
      <c r="I108" s="34">
        <v>1222</v>
      </c>
      <c r="J108" s="33">
        <v>20.5</v>
      </c>
      <c r="K108" s="34">
        <v>11933</v>
      </c>
      <c r="L108" s="32">
        <v>345.6</v>
      </c>
      <c r="M108" s="32">
        <v>64.02</v>
      </c>
      <c r="N108" s="32">
        <v>71.37</v>
      </c>
      <c r="O108" s="32">
        <v>42.56</v>
      </c>
      <c r="P108" s="32">
        <v>4.9000000000000004</v>
      </c>
      <c r="Q108" s="34">
        <v>4503597</v>
      </c>
      <c r="R108" s="34">
        <v>0</v>
      </c>
      <c r="S108" s="34">
        <v>4503597</v>
      </c>
      <c r="T108" s="34">
        <v>305580</v>
      </c>
      <c r="U108" s="34">
        <v>340663</v>
      </c>
      <c r="V108" s="34">
        <v>5564</v>
      </c>
      <c r="W108" s="34">
        <v>554610</v>
      </c>
      <c r="X108" s="34">
        <v>0</v>
      </c>
      <c r="Y108" s="34">
        <v>5710014</v>
      </c>
      <c r="Z108" s="34">
        <v>766983</v>
      </c>
      <c r="AA108" s="34">
        <v>4943031</v>
      </c>
      <c r="AB108" s="34">
        <v>3310409</v>
      </c>
      <c r="AC108" s="34">
        <v>1632622</v>
      </c>
    </row>
    <row r="109" spans="1:29" x14ac:dyDescent="0.25">
      <c r="A109" s="31" t="s">
        <v>60</v>
      </c>
      <c r="B109" s="31" t="s">
        <v>724</v>
      </c>
      <c r="C109" s="31" t="s">
        <v>114</v>
      </c>
      <c r="D109" s="31" t="s">
        <v>506</v>
      </c>
      <c r="E109" s="32">
        <v>285.62</v>
      </c>
      <c r="F109" s="33">
        <v>2183.6999999999998</v>
      </c>
      <c r="G109" s="32">
        <v>2469.3200000000002</v>
      </c>
      <c r="H109" s="32">
        <v>3.05</v>
      </c>
      <c r="I109" s="34">
        <v>141</v>
      </c>
      <c r="J109" s="33">
        <v>1.4</v>
      </c>
      <c r="K109" s="34">
        <v>2323</v>
      </c>
      <c r="L109" s="32">
        <v>345.6</v>
      </c>
      <c r="M109" s="32">
        <v>64.02</v>
      </c>
      <c r="N109" s="32">
        <v>71.37</v>
      </c>
      <c r="O109" s="32">
        <v>42.56</v>
      </c>
      <c r="P109" s="32">
        <v>4.9000000000000004</v>
      </c>
      <c r="Q109" s="34">
        <v>853397</v>
      </c>
      <c r="R109" s="34">
        <v>0</v>
      </c>
      <c r="S109" s="34">
        <v>853397</v>
      </c>
      <c r="T109" s="34">
        <v>59487</v>
      </c>
      <c r="U109" s="34">
        <v>66317</v>
      </c>
      <c r="V109" s="34">
        <v>1054</v>
      </c>
      <c r="W109" s="34">
        <v>105094</v>
      </c>
      <c r="X109" s="34">
        <v>0</v>
      </c>
      <c r="Y109" s="34">
        <v>1085349</v>
      </c>
      <c r="Z109" s="34">
        <v>145337</v>
      </c>
      <c r="AA109" s="34">
        <v>940012</v>
      </c>
      <c r="AB109" s="34">
        <v>627297</v>
      </c>
      <c r="AC109" s="34">
        <v>312715</v>
      </c>
    </row>
    <row r="110" spans="1:29" x14ac:dyDescent="0.25">
      <c r="A110" s="31" t="s">
        <v>60</v>
      </c>
      <c r="B110" s="31" t="s">
        <v>724</v>
      </c>
      <c r="C110" s="31" t="s">
        <v>115</v>
      </c>
      <c r="D110" s="31" t="s">
        <v>507</v>
      </c>
      <c r="E110" s="32">
        <v>98.06</v>
      </c>
      <c r="F110" s="33">
        <v>750.2</v>
      </c>
      <c r="G110" s="32">
        <v>848.26</v>
      </c>
      <c r="H110" s="32">
        <v>1.05</v>
      </c>
      <c r="I110" s="34">
        <v>59</v>
      </c>
      <c r="J110" s="33">
        <v>0</v>
      </c>
      <c r="K110" s="34">
        <v>809</v>
      </c>
      <c r="L110" s="32">
        <v>345.6</v>
      </c>
      <c r="M110" s="32">
        <v>64.02</v>
      </c>
      <c r="N110" s="32">
        <v>71.37</v>
      </c>
      <c r="O110" s="32">
        <v>42.56</v>
      </c>
      <c r="P110" s="32">
        <v>4.9000000000000004</v>
      </c>
      <c r="Q110" s="34">
        <v>293159</v>
      </c>
      <c r="R110" s="34">
        <v>915</v>
      </c>
      <c r="S110" s="34">
        <v>294074</v>
      </c>
      <c r="T110" s="34">
        <v>20717</v>
      </c>
      <c r="U110" s="34">
        <v>23095</v>
      </c>
      <c r="V110" s="34">
        <v>363</v>
      </c>
      <c r="W110" s="34">
        <v>36360</v>
      </c>
      <c r="X110" s="34">
        <v>0</v>
      </c>
      <c r="Y110" s="34">
        <v>374609</v>
      </c>
      <c r="Z110" s="34">
        <v>49926</v>
      </c>
      <c r="AA110" s="34">
        <v>324683</v>
      </c>
      <c r="AB110" s="34">
        <v>215748</v>
      </c>
      <c r="AC110" s="34">
        <v>108935</v>
      </c>
    </row>
    <row r="111" spans="1:29" x14ac:dyDescent="0.25">
      <c r="A111" s="31" t="s">
        <v>60</v>
      </c>
      <c r="B111" s="31" t="s">
        <v>724</v>
      </c>
      <c r="C111" s="31" t="s">
        <v>116</v>
      </c>
      <c r="D111" s="31" t="s">
        <v>508</v>
      </c>
      <c r="E111" s="32">
        <v>48.41</v>
      </c>
      <c r="F111" s="33">
        <v>580.5</v>
      </c>
      <c r="G111" s="32">
        <v>628.91</v>
      </c>
      <c r="H111" s="32">
        <v>0.78</v>
      </c>
      <c r="I111" s="34">
        <v>9</v>
      </c>
      <c r="J111" s="33">
        <v>0</v>
      </c>
      <c r="K111" s="34">
        <v>590</v>
      </c>
      <c r="L111" s="32">
        <v>345.6</v>
      </c>
      <c r="M111" s="32">
        <v>64.02</v>
      </c>
      <c r="N111" s="32">
        <v>71.37</v>
      </c>
      <c r="O111" s="32">
        <v>42.56</v>
      </c>
      <c r="P111" s="32">
        <v>4.9000000000000004</v>
      </c>
      <c r="Q111" s="34">
        <v>217351</v>
      </c>
      <c r="R111" s="34">
        <v>0</v>
      </c>
      <c r="S111" s="34">
        <v>217351</v>
      </c>
      <c r="T111" s="34">
        <v>15109</v>
      </c>
      <c r="U111" s="34">
        <v>16843</v>
      </c>
      <c r="V111" s="34">
        <v>270</v>
      </c>
      <c r="W111" s="34">
        <v>26766</v>
      </c>
      <c r="X111" s="34">
        <v>0</v>
      </c>
      <c r="Y111" s="34">
        <v>276339</v>
      </c>
      <c r="Z111" s="34">
        <v>37016</v>
      </c>
      <c r="AA111" s="34">
        <v>239323</v>
      </c>
      <c r="AB111" s="34">
        <v>159766</v>
      </c>
      <c r="AC111" s="34">
        <v>79557</v>
      </c>
    </row>
    <row r="112" spans="1:29" x14ac:dyDescent="0.25">
      <c r="A112" s="31" t="s">
        <v>60</v>
      </c>
      <c r="B112" s="31" t="s">
        <v>724</v>
      </c>
      <c r="C112" s="31" t="s">
        <v>117</v>
      </c>
      <c r="D112" s="31" t="s">
        <v>509</v>
      </c>
      <c r="E112" s="32">
        <v>66.55</v>
      </c>
      <c r="F112" s="33">
        <v>757.6</v>
      </c>
      <c r="G112" s="32">
        <v>824.15</v>
      </c>
      <c r="H112" s="32">
        <v>1.02</v>
      </c>
      <c r="I112" s="34">
        <v>6</v>
      </c>
      <c r="J112" s="33">
        <v>0</v>
      </c>
      <c r="K112" s="34">
        <v>764</v>
      </c>
      <c r="L112" s="32">
        <v>345.6</v>
      </c>
      <c r="M112" s="32">
        <v>64.02</v>
      </c>
      <c r="N112" s="32">
        <v>71.37</v>
      </c>
      <c r="O112" s="32">
        <v>42.56</v>
      </c>
      <c r="P112" s="32">
        <v>4.9000000000000004</v>
      </c>
      <c r="Q112" s="34">
        <v>284826</v>
      </c>
      <c r="R112" s="34">
        <v>9937</v>
      </c>
      <c r="S112" s="34">
        <v>294763</v>
      </c>
      <c r="T112" s="34">
        <v>19564</v>
      </c>
      <c r="U112" s="34">
        <v>21811</v>
      </c>
      <c r="V112" s="34">
        <v>353</v>
      </c>
      <c r="W112" s="34">
        <v>35916</v>
      </c>
      <c r="X112" s="34">
        <v>0</v>
      </c>
      <c r="Y112" s="34">
        <v>372407</v>
      </c>
      <c r="Z112" s="34">
        <v>48507</v>
      </c>
      <c r="AA112" s="34">
        <v>323900</v>
      </c>
      <c r="AB112" s="34">
        <v>210205</v>
      </c>
      <c r="AC112" s="34">
        <v>113695</v>
      </c>
    </row>
    <row r="113" spans="1:29" x14ac:dyDescent="0.25">
      <c r="A113" s="31" t="s">
        <v>118</v>
      </c>
      <c r="B113" s="31" t="s">
        <v>725</v>
      </c>
      <c r="C113" s="31" t="s">
        <v>119</v>
      </c>
      <c r="D113" s="31" t="s">
        <v>510</v>
      </c>
      <c r="E113" s="32">
        <v>22.17</v>
      </c>
      <c r="F113" s="33">
        <v>222</v>
      </c>
      <c r="G113" s="32">
        <v>244.17</v>
      </c>
      <c r="H113" s="32">
        <v>0.42</v>
      </c>
      <c r="I113" s="34">
        <v>29</v>
      </c>
      <c r="J113" s="33">
        <v>0</v>
      </c>
      <c r="K113" s="34">
        <v>251</v>
      </c>
      <c r="L113" s="32">
        <v>343.24</v>
      </c>
      <c r="M113" s="32">
        <v>63.53</v>
      </c>
      <c r="N113" s="32">
        <v>69.45</v>
      </c>
      <c r="O113" s="32">
        <v>31.63</v>
      </c>
      <c r="P113" s="32">
        <v>3.71</v>
      </c>
      <c r="Q113" s="34">
        <v>83809</v>
      </c>
      <c r="R113" s="34">
        <v>9522</v>
      </c>
      <c r="S113" s="34">
        <v>93331</v>
      </c>
      <c r="T113" s="34">
        <v>6378</v>
      </c>
      <c r="U113" s="34">
        <v>6973</v>
      </c>
      <c r="V113" s="34">
        <v>144</v>
      </c>
      <c r="W113" s="34">
        <v>7973</v>
      </c>
      <c r="X113" s="34">
        <v>0</v>
      </c>
      <c r="Y113" s="34">
        <v>114799</v>
      </c>
      <c r="Z113" s="34">
        <v>14371</v>
      </c>
      <c r="AA113" s="34">
        <v>100428</v>
      </c>
      <c r="AB113" s="34">
        <v>59641</v>
      </c>
      <c r="AC113" s="34">
        <v>40787</v>
      </c>
    </row>
    <row r="114" spans="1:29" x14ac:dyDescent="0.25">
      <c r="A114" s="31" t="s">
        <v>118</v>
      </c>
      <c r="B114" s="31" t="s">
        <v>725</v>
      </c>
      <c r="C114" s="31" t="s">
        <v>120</v>
      </c>
      <c r="D114" s="31" t="s">
        <v>511</v>
      </c>
      <c r="E114" s="32">
        <v>49.45</v>
      </c>
      <c r="F114" s="33">
        <v>621.29999999999995</v>
      </c>
      <c r="G114" s="32">
        <v>670.75</v>
      </c>
      <c r="H114" s="32">
        <v>1.1499999999999999</v>
      </c>
      <c r="I114" s="34">
        <v>175</v>
      </c>
      <c r="J114" s="33">
        <v>0</v>
      </c>
      <c r="K114" s="34">
        <v>796</v>
      </c>
      <c r="L114" s="32">
        <v>343.24</v>
      </c>
      <c r="M114" s="32">
        <v>63.53</v>
      </c>
      <c r="N114" s="32">
        <v>69.45</v>
      </c>
      <c r="O114" s="32">
        <v>31.63</v>
      </c>
      <c r="P114" s="32">
        <v>3.71</v>
      </c>
      <c r="Q114" s="34">
        <v>230228</v>
      </c>
      <c r="R114" s="34">
        <v>0</v>
      </c>
      <c r="S114" s="34">
        <v>230228</v>
      </c>
      <c r="T114" s="34">
        <v>20228</v>
      </c>
      <c r="U114" s="34">
        <v>22113</v>
      </c>
      <c r="V114" s="34">
        <v>395</v>
      </c>
      <c r="W114" s="34">
        <v>21216</v>
      </c>
      <c r="X114" s="34">
        <v>0</v>
      </c>
      <c r="Y114" s="34">
        <v>294180</v>
      </c>
      <c r="Z114" s="34">
        <v>39478</v>
      </c>
      <c r="AA114" s="34">
        <v>254702</v>
      </c>
      <c r="AB114" s="34">
        <v>163151</v>
      </c>
      <c r="AC114" s="34">
        <v>91551</v>
      </c>
    </row>
    <row r="115" spans="1:29" x14ac:dyDescent="0.25">
      <c r="A115" s="31" t="s">
        <v>118</v>
      </c>
      <c r="B115" s="31" t="s">
        <v>725</v>
      </c>
      <c r="C115" s="31" t="s">
        <v>121</v>
      </c>
      <c r="D115" s="31" t="s">
        <v>512</v>
      </c>
      <c r="E115" s="32">
        <v>15.53</v>
      </c>
      <c r="F115" s="33">
        <v>160.30000000000001</v>
      </c>
      <c r="G115" s="32">
        <v>175.83</v>
      </c>
      <c r="H115" s="32">
        <v>0.31</v>
      </c>
      <c r="I115" s="34">
        <v>0</v>
      </c>
      <c r="J115" s="33">
        <v>0</v>
      </c>
      <c r="K115" s="34">
        <v>160</v>
      </c>
      <c r="L115" s="32">
        <v>343.24</v>
      </c>
      <c r="M115" s="32">
        <v>63.53</v>
      </c>
      <c r="N115" s="32">
        <v>69.45</v>
      </c>
      <c r="O115" s="32">
        <v>31.63</v>
      </c>
      <c r="P115" s="32">
        <v>3.71</v>
      </c>
      <c r="Q115" s="34">
        <v>60352</v>
      </c>
      <c r="R115" s="34">
        <v>12435</v>
      </c>
      <c r="S115" s="34">
        <v>72787</v>
      </c>
      <c r="T115" s="34">
        <v>4066</v>
      </c>
      <c r="U115" s="34">
        <v>4445</v>
      </c>
      <c r="V115" s="34">
        <v>106</v>
      </c>
      <c r="W115" s="34">
        <v>6087</v>
      </c>
      <c r="X115" s="34">
        <v>0</v>
      </c>
      <c r="Y115" s="34">
        <v>87491</v>
      </c>
      <c r="Z115" s="34">
        <v>10348</v>
      </c>
      <c r="AA115" s="34">
        <v>77143</v>
      </c>
      <c r="AB115" s="34">
        <v>43297</v>
      </c>
      <c r="AC115" s="34">
        <v>33846</v>
      </c>
    </row>
    <row r="116" spans="1:29" x14ac:dyDescent="0.25">
      <c r="A116" s="31" t="s">
        <v>118</v>
      </c>
      <c r="B116" s="31" t="s">
        <v>725</v>
      </c>
      <c r="C116" s="31" t="s">
        <v>122</v>
      </c>
      <c r="D116" s="31" t="s">
        <v>513</v>
      </c>
      <c r="E116" s="32">
        <v>510.56</v>
      </c>
      <c r="F116" s="33">
        <v>3952.5</v>
      </c>
      <c r="G116" s="32">
        <v>4463.0600000000004</v>
      </c>
      <c r="H116" s="32">
        <v>7.65</v>
      </c>
      <c r="I116" s="34">
        <v>354</v>
      </c>
      <c r="J116" s="33">
        <v>1</v>
      </c>
      <c r="K116" s="34">
        <v>4306</v>
      </c>
      <c r="L116" s="32">
        <v>343.24</v>
      </c>
      <c r="M116" s="32">
        <v>63.53</v>
      </c>
      <c r="N116" s="32">
        <v>69.45</v>
      </c>
      <c r="O116" s="32">
        <v>31.63</v>
      </c>
      <c r="P116" s="32">
        <v>3.71</v>
      </c>
      <c r="Q116" s="34">
        <v>1531901</v>
      </c>
      <c r="R116" s="34">
        <v>0</v>
      </c>
      <c r="S116" s="34">
        <v>1531901</v>
      </c>
      <c r="T116" s="34">
        <v>109424</v>
      </c>
      <c r="U116" s="34">
        <v>119621</v>
      </c>
      <c r="V116" s="34">
        <v>2626</v>
      </c>
      <c r="W116" s="34">
        <v>141167</v>
      </c>
      <c r="X116" s="34">
        <v>0</v>
      </c>
      <c r="Y116" s="34">
        <v>1904739</v>
      </c>
      <c r="Z116" s="34">
        <v>262684</v>
      </c>
      <c r="AA116" s="34">
        <v>1642055</v>
      </c>
      <c r="AB116" s="34">
        <v>1085575</v>
      </c>
      <c r="AC116" s="34">
        <v>556480</v>
      </c>
    </row>
    <row r="117" spans="1:29" x14ac:dyDescent="0.25">
      <c r="A117" s="31" t="s">
        <v>118</v>
      </c>
      <c r="B117" s="31" t="s">
        <v>725</v>
      </c>
      <c r="C117" s="31" t="s">
        <v>123</v>
      </c>
      <c r="D117" s="31" t="s">
        <v>514</v>
      </c>
      <c r="E117" s="32">
        <v>49.92</v>
      </c>
      <c r="F117" s="33">
        <v>362.3</v>
      </c>
      <c r="G117" s="32">
        <v>412.22</v>
      </c>
      <c r="H117" s="32">
        <v>0.71</v>
      </c>
      <c r="I117" s="34">
        <v>3</v>
      </c>
      <c r="J117" s="33">
        <v>0</v>
      </c>
      <c r="K117" s="34">
        <v>365</v>
      </c>
      <c r="L117" s="32">
        <v>343.24</v>
      </c>
      <c r="M117" s="32">
        <v>63.53</v>
      </c>
      <c r="N117" s="32">
        <v>69.45</v>
      </c>
      <c r="O117" s="32">
        <v>31.63</v>
      </c>
      <c r="P117" s="32">
        <v>3.71</v>
      </c>
      <c r="Q117" s="34">
        <v>141490</v>
      </c>
      <c r="R117" s="34">
        <v>14229</v>
      </c>
      <c r="S117" s="34">
        <v>155719</v>
      </c>
      <c r="T117" s="34">
        <v>9275</v>
      </c>
      <c r="U117" s="34">
        <v>10140</v>
      </c>
      <c r="V117" s="34">
        <v>244</v>
      </c>
      <c r="W117" s="34">
        <v>13174</v>
      </c>
      <c r="X117" s="34">
        <v>0</v>
      </c>
      <c r="Y117" s="34">
        <v>188552</v>
      </c>
      <c r="Z117" s="34">
        <v>24262</v>
      </c>
      <c r="AA117" s="34">
        <v>164290</v>
      </c>
      <c r="AB117" s="34">
        <v>100403</v>
      </c>
      <c r="AC117" s="34">
        <v>63887</v>
      </c>
    </row>
    <row r="118" spans="1:29" x14ac:dyDescent="0.25">
      <c r="A118" s="31" t="s">
        <v>118</v>
      </c>
      <c r="B118" s="31" t="s">
        <v>725</v>
      </c>
      <c r="C118" s="31" t="s">
        <v>124</v>
      </c>
      <c r="D118" s="31" t="s">
        <v>515</v>
      </c>
      <c r="E118" s="32">
        <v>111.74</v>
      </c>
      <c r="F118" s="33">
        <v>822.3</v>
      </c>
      <c r="G118" s="32">
        <v>934.04</v>
      </c>
      <c r="H118" s="32">
        <v>1.6</v>
      </c>
      <c r="I118" s="34">
        <v>15</v>
      </c>
      <c r="J118" s="33">
        <v>0</v>
      </c>
      <c r="K118" s="34">
        <v>837</v>
      </c>
      <c r="L118" s="32">
        <v>343.24</v>
      </c>
      <c r="M118" s="32">
        <v>63.53</v>
      </c>
      <c r="N118" s="32">
        <v>69.45</v>
      </c>
      <c r="O118" s="32">
        <v>31.63</v>
      </c>
      <c r="P118" s="32">
        <v>3.71</v>
      </c>
      <c r="Q118" s="34">
        <v>320600</v>
      </c>
      <c r="R118" s="34">
        <v>0</v>
      </c>
      <c r="S118" s="34">
        <v>320600</v>
      </c>
      <c r="T118" s="34">
        <v>21270</v>
      </c>
      <c r="U118" s="34">
        <v>23252</v>
      </c>
      <c r="V118" s="34">
        <v>549</v>
      </c>
      <c r="W118" s="34">
        <v>29544</v>
      </c>
      <c r="X118" s="34">
        <v>0</v>
      </c>
      <c r="Y118" s="34">
        <v>395215</v>
      </c>
      <c r="Z118" s="34">
        <v>54975</v>
      </c>
      <c r="AA118" s="34">
        <v>340240</v>
      </c>
      <c r="AB118" s="34">
        <v>227192</v>
      </c>
      <c r="AC118" s="34">
        <v>113048</v>
      </c>
    </row>
    <row r="119" spans="1:29" x14ac:dyDescent="0.25">
      <c r="A119" s="31" t="s">
        <v>118</v>
      </c>
      <c r="B119" s="31" t="s">
        <v>725</v>
      </c>
      <c r="C119" s="31" t="s">
        <v>125</v>
      </c>
      <c r="D119" s="31" t="s">
        <v>516</v>
      </c>
      <c r="E119" s="32">
        <v>195.57</v>
      </c>
      <c r="F119" s="33">
        <v>1472.6</v>
      </c>
      <c r="G119" s="32">
        <v>1668.17</v>
      </c>
      <c r="H119" s="32">
        <v>2.86</v>
      </c>
      <c r="I119" s="34">
        <v>152</v>
      </c>
      <c r="J119" s="33">
        <v>0.3</v>
      </c>
      <c r="K119" s="34">
        <v>1624</v>
      </c>
      <c r="L119" s="32">
        <v>343.24</v>
      </c>
      <c r="M119" s="32">
        <v>63.53</v>
      </c>
      <c r="N119" s="32">
        <v>69.45</v>
      </c>
      <c r="O119" s="32">
        <v>31.63</v>
      </c>
      <c r="P119" s="32">
        <v>3.71</v>
      </c>
      <c r="Q119" s="34">
        <v>572583</v>
      </c>
      <c r="R119" s="34">
        <v>0</v>
      </c>
      <c r="S119" s="34">
        <v>572583</v>
      </c>
      <c r="T119" s="34">
        <v>41269</v>
      </c>
      <c r="U119" s="34">
        <v>45115</v>
      </c>
      <c r="V119" s="34">
        <v>982</v>
      </c>
      <c r="W119" s="34">
        <v>52764</v>
      </c>
      <c r="X119" s="34">
        <v>0</v>
      </c>
      <c r="Y119" s="34">
        <v>712713</v>
      </c>
      <c r="Z119" s="34">
        <v>98184</v>
      </c>
      <c r="AA119" s="34">
        <v>614529</v>
      </c>
      <c r="AB119" s="34">
        <v>405758</v>
      </c>
      <c r="AC119" s="34">
        <v>208771</v>
      </c>
    </row>
    <row r="120" spans="1:29" x14ac:dyDescent="0.25">
      <c r="A120" s="31" t="s">
        <v>118</v>
      </c>
      <c r="B120" s="31" t="s">
        <v>725</v>
      </c>
      <c r="C120" s="31" t="s">
        <v>126</v>
      </c>
      <c r="D120" s="31" t="s">
        <v>517</v>
      </c>
      <c r="E120" s="32">
        <v>814.51</v>
      </c>
      <c r="F120" s="33">
        <v>3558.4</v>
      </c>
      <c r="G120" s="32">
        <v>4372.91</v>
      </c>
      <c r="H120" s="32">
        <v>7.5</v>
      </c>
      <c r="I120" s="34">
        <v>185</v>
      </c>
      <c r="J120" s="33">
        <v>0</v>
      </c>
      <c r="K120" s="34">
        <v>3743</v>
      </c>
      <c r="L120" s="32">
        <v>343.24</v>
      </c>
      <c r="M120" s="32">
        <v>63.53</v>
      </c>
      <c r="N120" s="32">
        <v>69.45</v>
      </c>
      <c r="O120" s="32">
        <v>31.63</v>
      </c>
      <c r="P120" s="32">
        <v>3.71</v>
      </c>
      <c r="Q120" s="34">
        <v>1500958</v>
      </c>
      <c r="R120" s="34">
        <v>0</v>
      </c>
      <c r="S120" s="34">
        <v>1500958</v>
      </c>
      <c r="T120" s="34">
        <v>95117</v>
      </c>
      <c r="U120" s="34">
        <v>103980</v>
      </c>
      <c r="V120" s="34">
        <v>2574</v>
      </c>
      <c r="W120" s="34">
        <v>138315</v>
      </c>
      <c r="X120" s="34">
        <v>0</v>
      </c>
      <c r="Y120" s="34">
        <v>1840944</v>
      </c>
      <c r="Z120" s="34">
        <v>257378</v>
      </c>
      <c r="AA120" s="34">
        <v>1583566</v>
      </c>
      <c r="AB120" s="34">
        <v>1063648</v>
      </c>
      <c r="AC120" s="34">
        <v>519918</v>
      </c>
    </row>
    <row r="121" spans="1:29" x14ac:dyDescent="0.25">
      <c r="A121" s="31" t="s">
        <v>118</v>
      </c>
      <c r="B121" s="31" t="s">
        <v>725</v>
      </c>
      <c r="C121" s="31" t="s">
        <v>127</v>
      </c>
      <c r="D121" s="31" t="s">
        <v>518</v>
      </c>
      <c r="E121" s="32">
        <v>115.17</v>
      </c>
      <c r="F121" s="33">
        <v>757.2</v>
      </c>
      <c r="G121" s="32">
        <v>872.37</v>
      </c>
      <c r="H121" s="32">
        <v>1.49</v>
      </c>
      <c r="I121" s="34">
        <v>0</v>
      </c>
      <c r="J121" s="33">
        <v>0</v>
      </c>
      <c r="K121" s="34">
        <v>757</v>
      </c>
      <c r="L121" s="32">
        <v>343.24</v>
      </c>
      <c r="M121" s="32">
        <v>63.53</v>
      </c>
      <c r="N121" s="32">
        <v>69.45</v>
      </c>
      <c r="O121" s="32">
        <v>31.63</v>
      </c>
      <c r="P121" s="32">
        <v>3.71</v>
      </c>
      <c r="Q121" s="34">
        <v>299432</v>
      </c>
      <c r="R121" s="34">
        <v>0</v>
      </c>
      <c r="S121" s="34">
        <v>299432</v>
      </c>
      <c r="T121" s="34">
        <v>19237</v>
      </c>
      <c r="U121" s="34">
        <v>21030</v>
      </c>
      <c r="V121" s="34">
        <v>511</v>
      </c>
      <c r="W121" s="34">
        <v>27593</v>
      </c>
      <c r="X121" s="34">
        <v>0</v>
      </c>
      <c r="Y121" s="34">
        <v>367803</v>
      </c>
      <c r="Z121" s="34">
        <v>51346</v>
      </c>
      <c r="AA121" s="34">
        <v>316457</v>
      </c>
      <c r="AB121" s="34">
        <v>212189</v>
      </c>
      <c r="AC121" s="34">
        <v>104268</v>
      </c>
    </row>
    <row r="122" spans="1:29" x14ac:dyDescent="0.25">
      <c r="A122" s="31" t="s">
        <v>118</v>
      </c>
      <c r="B122" s="31" t="s">
        <v>725</v>
      </c>
      <c r="C122" s="31" t="s">
        <v>128</v>
      </c>
      <c r="D122" s="31" t="s">
        <v>519</v>
      </c>
      <c r="E122" s="32">
        <v>2446.5500000000002</v>
      </c>
      <c r="F122" s="33">
        <v>13786.1</v>
      </c>
      <c r="G122" s="32">
        <v>16232.65</v>
      </c>
      <c r="H122" s="32">
        <v>27.83</v>
      </c>
      <c r="I122" s="34">
        <v>1871</v>
      </c>
      <c r="J122" s="33">
        <v>2.2000000000000002</v>
      </c>
      <c r="K122" s="34">
        <v>15655</v>
      </c>
      <c r="L122" s="32">
        <v>343.24</v>
      </c>
      <c r="M122" s="32">
        <v>63.53</v>
      </c>
      <c r="N122" s="32">
        <v>69.45</v>
      </c>
      <c r="O122" s="32">
        <v>31.63</v>
      </c>
      <c r="P122" s="32">
        <v>3.71</v>
      </c>
      <c r="Q122" s="34">
        <v>5571695</v>
      </c>
      <c r="R122" s="34">
        <v>31313</v>
      </c>
      <c r="S122" s="34">
        <v>5603008</v>
      </c>
      <c r="T122" s="34">
        <v>397825</v>
      </c>
      <c r="U122" s="34">
        <v>434896</v>
      </c>
      <c r="V122" s="34">
        <v>9552</v>
      </c>
      <c r="W122" s="34">
        <v>513439</v>
      </c>
      <c r="X122" s="34">
        <v>0</v>
      </c>
      <c r="Y122" s="34">
        <v>6958720</v>
      </c>
      <c r="Z122" s="34">
        <v>955409</v>
      </c>
      <c r="AA122" s="34">
        <v>6003311</v>
      </c>
      <c r="AB122" s="34">
        <v>3948360</v>
      </c>
      <c r="AC122" s="34">
        <v>2054951</v>
      </c>
    </row>
    <row r="123" spans="1:29" x14ac:dyDescent="0.25">
      <c r="A123" s="31" t="s">
        <v>118</v>
      </c>
      <c r="B123" s="31" t="s">
        <v>725</v>
      </c>
      <c r="C123" s="31" t="s">
        <v>129</v>
      </c>
      <c r="D123" s="31" t="s">
        <v>520</v>
      </c>
      <c r="E123" s="32">
        <v>21.51</v>
      </c>
      <c r="F123" s="33">
        <v>183</v>
      </c>
      <c r="G123" s="32">
        <v>204.51</v>
      </c>
      <c r="H123" s="32">
        <v>0.35</v>
      </c>
      <c r="I123" s="34">
        <v>0</v>
      </c>
      <c r="J123" s="33">
        <v>0</v>
      </c>
      <c r="K123" s="34">
        <v>183</v>
      </c>
      <c r="L123" s="32">
        <v>343.24</v>
      </c>
      <c r="M123" s="32">
        <v>63.53</v>
      </c>
      <c r="N123" s="32">
        <v>69.45</v>
      </c>
      <c r="O123" s="32">
        <v>31.63</v>
      </c>
      <c r="P123" s="32">
        <v>3.71</v>
      </c>
      <c r="Q123" s="34">
        <v>70196</v>
      </c>
      <c r="R123" s="34">
        <v>5662</v>
      </c>
      <c r="S123" s="34">
        <v>75858</v>
      </c>
      <c r="T123" s="34">
        <v>4650</v>
      </c>
      <c r="U123" s="34">
        <v>5084</v>
      </c>
      <c r="V123" s="34">
        <v>120</v>
      </c>
      <c r="W123" s="34">
        <v>6970</v>
      </c>
      <c r="X123" s="34">
        <v>0</v>
      </c>
      <c r="Y123" s="34">
        <v>92682</v>
      </c>
      <c r="Z123" s="34">
        <v>12037</v>
      </c>
      <c r="AA123" s="34">
        <v>80645</v>
      </c>
      <c r="AB123" s="34">
        <v>50245</v>
      </c>
      <c r="AC123" s="34">
        <v>30400</v>
      </c>
    </row>
    <row r="124" spans="1:29" x14ac:dyDescent="0.25">
      <c r="A124" s="31" t="s">
        <v>118</v>
      </c>
      <c r="B124" s="31" t="s">
        <v>725</v>
      </c>
      <c r="C124" s="31" t="s">
        <v>130</v>
      </c>
      <c r="D124" s="31" t="s">
        <v>521</v>
      </c>
      <c r="E124" s="32">
        <v>56.95</v>
      </c>
      <c r="F124" s="33">
        <v>490.3</v>
      </c>
      <c r="G124" s="32">
        <v>547.25</v>
      </c>
      <c r="H124" s="32">
        <v>0.94</v>
      </c>
      <c r="I124" s="34">
        <v>8</v>
      </c>
      <c r="J124" s="33">
        <v>0</v>
      </c>
      <c r="K124" s="34">
        <v>498</v>
      </c>
      <c r="L124" s="32">
        <v>343.24</v>
      </c>
      <c r="M124" s="32">
        <v>63.53</v>
      </c>
      <c r="N124" s="32">
        <v>69.45</v>
      </c>
      <c r="O124" s="32">
        <v>31.63</v>
      </c>
      <c r="P124" s="32">
        <v>3.71</v>
      </c>
      <c r="Q124" s="34">
        <v>187838</v>
      </c>
      <c r="R124" s="34">
        <v>5202</v>
      </c>
      <c r="S124" s="34">
        <v>193040</v>
      </c>
      <c r="T124" s="34">
        <v>12655</v>
      </c>
      <c r="U124" s="34">
        <v>13834</v>
      </c>
      <c r="V124" s="34">
        <v>323</v>
      </c>
      <c r="W124" s="34">
        <v>17310</v>
      </c>
      <c r="X124" s="34">
        <v>0</v>
      </c>
      <c r="Y124" s="34">
        <v>237162</v>
      </c>
      <c r="Z124" s="34">
        <v>32210</v>
      </c>
      <c r="AA124" s="34">
        <v>204952</v>
      </c>
      <c r="AB124" s="34">
        <v>133111</v>
      </c>
      <c r="AC124" s="34">
        <v>71841</v>
      </c>
    </row>
    <row r="125" spans="1:29" x14ac:dyDescent="0.25">
      <c r="A125" s="31" t="s">
        <v>118</v>
      </c>
      <c r="B125" s="31" t="s">
        <v>725</v>
      </c>
      <c r="C125" s="31" t="s">
        <v>131</v>
      </c>
      <c r="D125" s="31" t="s">
        <v>522</v>
      </c>
      <c r="E125" s="32">
        <v>83.34</v>
      </c>
      <c r="F125" s="33">
        <v>554.29999999999995</v>
      </c>
      <c r="G125" s="32">
        <v>637.64</v>
      </c>
      <c r="H125" s="32">
        <v>1.0900000000000001</v>
      </c>
      <c r="I125" s="34">
        <v>3</v>
      </c>
      <c r="J125" s="33">
        <v>3.9</v>
      </c>
      <c r="K125" s="34">
        <v>553</v>
      </c>
      <c r="L125" s="32">
        <v>343.24</v>
      </c>
      <c r="M125" s="32">
        <v>63.53</v>
      </c>
      <c r="N125" s="32">
        <v>69.45</v>
      </c>
      <c r="O125" s="32">
        <v>31.63</v>
      </c>
      <c r="P125" s="32">
        <v>3.71</v>
      </c>
      <c r="Q125" s="34">
        <v>218864</v>
      </c>
      <c r="R125" s="34">
        <v>3285</v>
      </c>
      <c r="S125" s="34">
        <v>222149</v>
      </c>
      <c r="T125" s="34">
        <v>14053</v>
      </c>
      <c r="U125" s="34">
        <v>15362</v>
      </c>
      <c r="V125" s="34">
        <v>374</v>
      </c>
      <c r="W125" s="34">
        <v>20411</v>
      </c>
      <c r="X125" s="34">
        <v>0</v>
      </c>
      <c r="Y125" s="34">
        <v>272349</v>
      </c>
      <c r="Z125" s="34">
        <v>37530</v>
      </c>
      <c r="AA125" s="34">
        <v>234819</v>
      </c>
      <c r="AB125" s="34">
        <v>155338</v>
      </c>
      <c r="AC125" s="34">
        <v>79481</v>
      </c>
    </row>
    <row r="126" spans="1:29" x14ac:dyDescent="0.25">
      <c r="A126" s="31" t="s">
        <v>118</v>
      </c>
      <c r="B126" s="31" t="s">
        <v>725</v>
      </c>
      <c r="C126" s="31" t="s">
        <v>132</v>
      </c>
      <c r="D126" s="31" t="s">
        <v>523</v>
      </c>
      <c r="E126" s="32">
        <v>86.4</v>
      </c>
      <c r="F126" s="33">
        <v>675.5</v>
      </c>
      <c r="G126" s="32">
        <v>761.9</v>
      </c>
      <c r="H126" s="32">
        <v>1.31</v>
      </c>
      <c r="I126" s="34">
        <v>7</v>
      </c>
      <c r="J126" s="33">
        <v>0</v>
      </c>
      <c r="K126" s="34">
        <v>683</v>
      </c>
      <c r="L126" s="32">
        <v>343.24</v>
      </c>
      <c r="M126" s="32">
        <v>63.53</v>
      </c>
      <c r="N126" s="32">
        <v>69.45</v>
      </c>
      <c r="O126" s="32">
        <v>31.63</v>
      </c>
      <c r="P126" s="32">
        <v>3.71</v>
      </c>
      <c r="Q126" s="34">
        <v>261515</v>
      </c>
      <c r="R126" s="34">
        <v>0</v>
      </c>
      <c r="S126" s="34">
        <v>261515</v>
      </c>
      <c r="T126" s="34">
        <v>17356</v>
      </c>
      <c r="U126" s="34">
        <v>18974</v>
      </c>
      <c r="V126" s="34">
        <v>450</v>
      </c>
      <c r="W126" s="34">
        <v>24099</v>
      </c>
      <c r="X126" s="34">
        <v>0</v>
      </c>
      <c r="Y126" s="34">
        <v>322394</v>
      </c>
      <c r="Z126" s="34">
        <v>44843</v>
      </c>
      <c r="AA126" s="34">
        <v>277551</v>
      </c>
      <c r="AB126" s="34">
        <v>185323</v>
      </c>
      <c r="AC126" s="34">
        <v>92228</v>
      </c>
    </row>
    <row r="127" spans="1:29" x14ac:dyDescent="0.25">
      <c r="A127" s="31" t="s">
        <v>118</v>
      </c>
      <c r="B127" s="31" t="s">
        <v>725</v>
      </c>
      <c r="C127" s="31" t="s">
        <v>133</v>
      </c>
      <c r="D127" s="31" t="s">
        <v>524</v>
      </c>
      <c r="E127" s="32">
        <v>267.47000000000003</v>
      </c>
      <c r="F127" s="33">
        <v>1234.9000000000001</v>
      </c>
      <c r="G127" s="32">
        <v>1502.37</v>
      </c>
      <c r="H127" s="32">
        <v>2.58</v>
      </c>
      <c r="I127" s="34">
        <v>138</v>
      </c>
      <c r="J127" s="33">
        <v>0.2</v>
      </c>
      <c r="K127" s="34">
        <v>1373</v>
      </c>
      <c r="L127" s="32">
        <v>343.24</v>
      </c>
      <c r="M127" s="32">
        <v>63.53</v>
      </c>
      <c r="N127" s="32">
        <v>69.45</v>
      </c>
      <c r="O127" s="32">
        <v>31.63</v>
      </c>
      <c r="P127" s="32">
        <v>3.71</v>
      </c>
      <c r="Q127" s="34">
        <v>515673</v>
      </c>
      <c r="R127" s="34">
        <v>0</v>
      </c>
      <c r="S127" s="34">
        <v>515673</v>
      </c>
      <c r="T127" s="34">
        <v>34891</v>
      </c>
      <c r="U127" s="34">
        <v>38142</v>
      </c>
      <c r="V127" s="34">
        <v>886</v>
      </c>
      <c r="W127" s="34">
        <v>47520</v>
      </c>
      <c r="X127" s="34">
        <v>0</v>
      </c>
      <c r="Y127" s="34">
        <v>637112</v>
      </c>
      <c r="Z127" s="34">
        <v>88426</v>
      </c>
      <c r="AA127" s="34">
        <v>548686</v>
      </c>
      <c r="AB127" s="34">
        <v>365431</v>
      </c>
      <c r="AC127" s="34">
        <v>183255</v>
      </c>
    </row>
    <row r="128" spans="1:29" x14ac:dyDescent="0.25">
      <c r="A128" s="31" t="s">
        <v>118</v>
      </c>
      <c r="B128" s="31" t="s">
        <v>725</v>
      </c>
      <c r="C128" s="31" t="s">
        <v>134</v>
      </c>
      <c r="D128" s="31" t="s">
        <v>525</v>
      </c>
      <c r="E128" s="32">
        <v>658.44</v>
      </c>
      <c r="F128" s="33">
        <v>4422.8</v>
      </c>
      <c r="G128" s="32">
        <v>5081.24</v>
      </c>
      <c r="H128" s="32">
        <v>8.7100000000000009</v>
      </c>
      <c r="I128" s="34">
        <v>248</v>
      </c>
      <c r="J128" s="33">
        <v>0</v>
      </c>
      <c r="K128" s="34">
        <v>4671</v>
      </c>
      <c r="L128" s="32">
        <v>343.24</v>
      </c>
      <c r="M128" s="32">
        <v>63.53</v>
      </c>
      <c r="N128" s="32">
        <v>69.45</v>
      </c>
      <c r="O128" s="32">
        <v>31.63</v>
      </c>
      <c r="P128" s="32">
        <v>3.71</v>
      </c>
      <c r="Q128" s="34">
        <v>1744085</v>
      </c>
      <c r="R128" s="34">
        <v>13597</v>
      </c>
      <c r="S128" s="34">
        <v>1757682</v>
      </c>
      <c r="T128" s="34">
        <v>118700</v>
      </c>
      <c r="U128" s="34">
        <v>129760</v>
      </c>
      <c r="V128" s="34">
        <v>2990</v>
      </c>
      <c r="W128" s="34">
        <v>161493</v>
      </c>
      <c r="X128" s="34">
        <v>0</v>
      </c>
      <c r="Y128" s="34">
        <v>2170625</v>
      </c>
      <c r="Z128" s="34">
        <v>299068</v>
      </c>
      <c r="AA128" s="34">
        <v>1871557</v>
      </c>
      <c r="AB128" s="34">
        <v>1236712</v>
      </c>
      <c r="AC128" s="34">
        <v>634845</v>
      </c>
    </row>
    <row r="129" spans="1:29" x14ac:dyDescent="0.25">
      <c r="A129" s="31" t="s">
        <v>118</v>
      </c>
      <c r="B129" s="31" t="s">
        <v>725</v>
      </c>
      <c r="C129" s="31" t="s">
        <v>135</v>
      </c>
      <c r="D129" s="31" t="s">
        <v>526</v>
      </c>
      <c r="E129" s="32">
        <v>284.98</v>
      </c>
      <c r="F129" s="33">
        <v>3018.2</v>
      </c>
      <c r="G129" s="32">
        <v>3303.18</v>
      </c>
      <c r="H129" s="32">
        <v>5.66</v>
      </c>
      <c r="I129" s="34">
        <v>54</v>
      </c>
      <c r="J129" s="33">
        <v>0</v>
      </c>
      <c r="K129" s="34">
        <v>3072</v>
      </c>
      <c r="L129" s="32">
        <v>343.24</v>
      </c>
      <c r="M129" s="32">
        <v>63.53</v>
      </c>
      <c r="N129" s="32">
        <v>69.45</v>
      </c>
      <c r="O129" s="32">
        <v>31.63</v>
      </c>
      <c r="P129" s="32">
        <v>3.71</v>
      </c>
      <c r="Q129" s="34">
        <v>1133784</v>
      </c>
      <c r="R129" s="34">
        <v>5964</v>
      </c>
      <c r="S129" s="34">
        <v>1139748</v>
      </c>
      <c r="T129" s="34">
        <v>78066</v>
      </c>
      <c r="U129" s="34">
        <v>85340</v>
      </c>
      <c r="V129" s="34">
        <v>1943</v>
      </c>
      <c r="W129" s="34">
        <v>104718</v>
      </c>
      <c r="X129" s="34">
        <v>0</v>
      </c>
      <c r="Y129" s="34">
        <v>1409815</v>
      </c>
      <c r="Z129" s="34">
        <v>194416</v>
      </c>
      <c r="AA129" s="34">
        <v>1215399</v>
      </c>
      <c r="AB129" s="34">
        <v>803689</v>
      </c>
      <c r="AC129" s="34">
        <v>411710</v>
      </c>
    </row>
    <row r="130" spans="1:29" x14ac:dyDescent="0.25">
      <c r="A130" s="31" t="s">
        <v>118</v>
      </c>
      <c r="B130" s="31" t="s">
        <v>725</v>
      </c>
      <c r="C130" s="31" t="s">
        <v>136</v>
      </c>
      <c r="D130" s="31" t="s">
        <v>527</v>
      </c>
      <c r="E130" s="32">
        <v>57</v>
      </c>
      <c r="F130" s="33">
        <v>506.6</v>
      </c>
      <c r="G130" s="32">
        <v>563.6</v>
      </c>
      <c r="H130" s="32">
        <v>0.97</v>
      </c>
      <c r="I130" s="34">
        <v>5</v>
      </c>
      <c r="J130" s="33">
        <v>0</v>
      </c>
      <c r="K130" s="34">
        <v>512</v>
      </c>
      <c r="L130" s="32">
        <v>343.24</v>
      </c>
      <c r="M130" s="32">
        <v>63.53</v>
      </c>
      <c r="N130" s="32">
        <v>69.45</v>
      </c>
      <c r="O130" s="32">
        <v>31.63</v>
      </c>
      <c r="P130" s="32">
        <v>3.71</v>
      </c>
      <c r="Q130" s="34">
        <v>193450</v>
      </c>
      <c r="R130" s="34">
        <v>4623</v>
      </c>
      <c r="S130" s="34">
        <v>198073</v>
      </c>
      <c r="T130" s="34">
        <v>13011</v>
      </c>
      <c r="U130" s="34">
        <v>14223</v>
      </c>
      <c r="V130" s="34">
        <v>333</v>
      </c>
      <c r="W130" s="34">
        <v>18199</v>
      </c>
      <c r="X130" s="34">
        <v>0</v>
      </c>
      <c r="Y130" s="34">
        <v>243839</v>
      </c>
      <c r="Z130" s="34">
        <v>33172</v>
      </c>
      <c r="AA130" s="34">
        <v>210667</v>
      </c>
      <c r="AB130" s="34">
        <v>137461</v>
      </c>
      <c r="AC130" s="34">
        <v>73206</v>
      </c>
    </row>
    <row r="131" spans="1:29" x14ac:dyDescent="0.25">
      <c r="A131" s="31" t="s">
        <v>118</v>
      </c>
      <c r="B131" s="31" t="s">
        <v>725</v>
      </c>
      <c r="C131" s="31" t="s">
        <v>137</v>
      </c>
      <c r="D131" s="31" t="s">
        <v>528</v>
      </c>
      <c r="E131" s="32">
        <v>447.22</v>
      </c>
      <c r="F131" s="33">
        <v>5537.9</v>
      </c>
      <c r="G131" s="32">
        <v>5985.12</v>
      </c>
      <c r="H131" s="32">
        <v>10.26</v>
      </c>
      <c r="I131" s="34">
        <v>160</v>
      </c>
      <c r="J131" s="33">
        <v>0</v>
      </c>
      <c r="K131" s="34">
        <v>5698</v>
      </c>
      <c r="L131" s="32">
        <v>343.24</v>
      </c>
      <c r="M131" s="32">
        <v>63.53</v>
      </c>
      <c r="N131" s="32">
        <v>69.45</v>
      </c>
      <c r="O131" s="32">
        <v>31.63</v>
      </c>
      <c r="P131" s="32">
        <v>3.71</v>
      </c>
      <c r="Q131" s="34">
        <v>2054333</v>
      </c>
      <c r="R131" s="34">
        <v>0</v>
      </c>
      <c r="S131" s="34">
        <v>2054333</v>
      </c>
      <c r="T131" s="34">
        <v>144798</v>
      </c>
      <c r="U131" s="34">
        <v>158290</v>
      </c>
      <c r="V131" s="34">
        <v>3522</v>
      </c>
      <c r="W131" s="34">
        <v>189309</v>
      </c>
      <c r="X131" s="34">
        <v>0</v>
      </c>
      <c r="Y131" s="34">
        <v>2550252</v>
      </c>
      <c r="Z131" s="34">
        <v>352268</v>
      </c>
      <c r="AA131" s="34">
        <v>2197984</v>
      </c>
      <c r="AB131" s="34">
        <v>1455794</v>
      </c>
      <c r="AC131" s="34">
        <v>742190</v>
      </c>
    </row>
    <row r="132" spans="1:29" x14ac:dyDescent="0.25">
      <c r="A132" s="31" t="s">
        <v>118</v>
      </c>
      <c r="B132" s="31" t="s">
        <v>725</v>
      </c>
      <c r="C132" s="31" t="s">
        <v>138</v>
      </c>
      <c r="D132" s="31" t="s">
        <v>529</v>
      </c>
      <c r="E132" s="32">
        <v>147.1</v>
      </c>
      <c r="F132" s="33">
        <v>1250.4000000000001</v>
      </c>
      <c r="G132" s="32">
        <v>1397.5</v>
      </c>
      <c r="H132" s="32">
        <v>2.4</v>
      </c>
      <c r="I132" s="34">
        <v>2</v>
      </c>
      <c r="J132" s="33">
        <v>0</v>
      </c>
      <c r="K132" s="34">
        <v>1252</v>
      </c>
      <c r="L132" s="32">
        <v>343.24</v>
      </c>
      <c r="M132" s="32">
        <v>63.53</v>
      </c>
      <c r="N132" s="32">
        <v>69.45</v>
      </c>
      <c r="O132" s="32">
        <v>31.63</v>
      </c>
      <c r="P132" s="32">
        <v>3.71</v>
      </c>
      <c r="Q132" s="34">
        <v>479678</v>
      </c>
      <c r="R132" s="34">
        <v>0</v>
      </c>
      <c r="S132" s="34">
        <v>479678</v>
      </c>
      <c r="T132" s="34">
        <v>31816</v>
      </c>
      <c r="U132" s="34">
        <v>34780</v>
      </c>
      <c r="V132" s="34">
        <v>824</v>
      </c>
      <c r="W132" s="34">
        <v>44203</v>
      </c>
      <c r="X132" s="34">
        <v>0</v>
      </c>
      <c r="Y132" s="34">
        <v>591301</v>
      </c>
      <c r="Z132" s="34">
        <v>82253</v>
      </c>
      <c r="AA132" s="34">
        <v>509048</v>
      </c>
      <c r="AB132" s="34">
        <v>339923</v>
      </c>
      <c r="AC132" s="34">
        <v>169125</v>
      </c>
    </row>
    <row r="133" spans="1:29" x14ac:dyDescent="0.25">
      <c r="A133" s="31" t="s">
        <v>118</v>
      </c>
      <c r="B133" s="31" t="s">
        <v>725</v>
      </c>
      <c r="C133" s="31" t="s">
        <v>139</v>
      </c>
      <c r="D133" s="31" t="s">
        <v>530</v>
      </c>
      <c r="E133" s="32">
        <v>87.44</v>
      </c>
      <c r="F133" s="33">
        <v>851.5</v>
      </c>
      <c r="G133" s="32">
        <v>938.94</v>
      </c>
      <c r="H133" s="32">
        <v>1.61</v>
      </c>
      <c r="I133" s="34">
        <v>0</v>
      </c>
      <c r="J133" s="33">
        <v>0</v>
      </c>
      <c r="K133" s="34">
        <v>852</v>
      </c>
      <c r="L133" s="32">
        <v>343.24</v>
      </c>
      <c r="M133" s="32">
        <v>63.53</v>
      </c>
      <c r="N133" s="32">
        <v>69.45</v>
      </c>
      <c r="O133" s="32">
        <v>31.63</v>
      </c>
      <c r="P133" s="32">
        <v>3.71</v>
      </c>
      <c r="Q133" s="34">
        <v>322282</v>
      </c>
      <c r="R133" s="34">
        <v>0</v>
      </c>
      <c r="S133" s="34">
        <v>322282</v>
      </c>
      <c r="T133" s="34">
        <v>21651</v>
      </c>
      <c r="U133" s="34">
        <v>23668</v>
      </c>
      <c r="V133" s="34">
        <v>553</v>
      </c>
      <c r="W133" s="34">
        <v>29699</v>
      </c>
      <c r="X133" s="34">
        <v>0</v>
      </c>
      <c r="Y133" s="34">
        <v>397853</v>
      </c>
      <c r="Z133" s="34">
        <v>55263</v>
      </c>
      <c r="AA133" s="34">
        <v>342590</v>
      </c>
      <c r="AB133" s="34">
        <v>228385</v>
      </c>
      <c r="AC133" s="34">
        <v>114205</v>
      </c>
    </row>
    <row r="134" spans="1:29" x14ac:dyDescent="0.25">
      <c r="A134" s="31" t="s">
        <v>140</v>
      </c>
      <c r="B134" s="31" t="s">
        <v>726</v>
      </c>
      <c r="C134" s="31" t="s">
        <v>141</v>
      </c>
      <c r="D134" s="31" t="s">
        <v>531</v>
      </c>
      <c r="E134" s="32">
        <v>38.299999999999997</v>
      </c>
      <c r="F134" s="33">
        <v>542.1</v>
      </c>
      <c r="G134" s="32">
        <v>580.4</v>
      </c>
      <c r="H134" s="32">
        <v>0.66</v>
      </c>
      <c r="I134" s="34">
        <v>27</v>
      </c>
      <c r="J134" s="33">
        <v>0</v>
      </c>
      <c r="K134" s="34">
        <v>569</v>
      </c>
      <c r="L134" s="32">
        <v>341.32</v>
      </c>
      <c r="M134" s="32">
        <v>63.71</v>
      </c>
      <c r="N134" s="32">
        <v>70.05</v>
      </c>
      <c r="O134" s="32">
        <v>32.380000000000003</v>
      </c>
      <c r="P134" s="32">
        <v>3.77</v>
      </c>
      <c r="Q134" s="34">
        <v>198102</v>
      </c>
      <c r="R134" s="34">
        <v>0</v>
      </c>
      <c r="S134" s="34">
        <v>198102</v>
      </c>
      <c r="T134" s="34">
        <v>14500</v>
      </c>
      <c r="U134" s="34">
        <v>15943</v>
      </c>
      <c r="V134" s="34">
        <v>225</v>
      </c>
      <c r="W134" s="34">
        <v>18793</v>
      </c>
      <c r="X134" s="34">
        <v>0</v>
      </c>
      <c r="Y134" s="34">
        <v>247563</v>
      </c>
      <c r="Z134" s="34">
        <v>34161</v>
      </c>
      <c r="AA134" s="34">
        <v>213402</v>
      </c>
      <c r="AB134" s="34">
        <v>141518</v>
      </c>
      <c r="AC134" s="34">
        <v>71884</v>
      </c>
    </row>
    <row r="135" spans="1:29" x14ac:dyDescent="0.25">
      <c r="A135" s="31" t="s">
        <v>140</v>
      </c>
      <c r="B135" s="31" t="s">
        <v>726</v>
      </c>
      <c r="C135" s="31" t="s">
        <v>142</v>
      </c>
      <c r="D135" s="31" t="s">
        <v>532</v>
      </c>
      <c r="E135" s="32">
        <v>132.29</v>
      </c>
      <c r="F135" s="33">
        <v>1256.8</v>
      </c>
      <c r="G135" s="32">
        <v>1389.09</v>
      </c>
      <c r="H135" s="32">
        <v>1.57</v>
      </c>
      <c r="I135" s="34">
        <v>61</v>
      </c>
      <c r="J135" s="33">
        <v>0</v>
      </c>
      <c r="K135" s="34">
        <v>1318</v>
      </c>
      <c r="L135" s="32">
        <v>341.32</v>
      </c>
      <c r="M135" s="32">
        <v>63.71</v>
      </c>
      <c r="N135" s="32">
        <v>70.05</v>
      </c>
      <c r="O135" s="32">
        <v>32.380000000000003</v>
      </c>
      <c r="P135" s="32">
        <v>3.77</v>
      </c>
      <c r="Q135" s="34">
        <v>474124</v>
      </c>
      <c r="R135" s="34">
        <v>0</v>
      </c>
      <c r="S135" s="34">
        <v>474124</v>
      </c>
      <c r="T135" s="34">
        <v>33588</v>
      </c>
      <c r="U135" s="34">
        <v>36930</v>
      </c>
      <c r="V135" s="34">
        <v>536</v>
      </c>
      <c r="W135" s="34">
        <v>44979</v>
      </c>
      <c r="X135" s="34">
        <v>0</v>
      </c>
      <c r="Y135" s="34">
        <v>590157</v>
      </c>
      <c r="Z135" s="34">
        <v>81757</v>
      </c>
      <c r="AA135" s="34">
        <v>508400</v>
      </c>
      <c r="AB135" s="34">
        <v>338700</v>
      </c>
      <c r="AC135" s="34">
        <v>169700</v>
      </c>
    </row>
    <row r="136" spans="1:29" x14ac:dyDescent="0.25">
      <c r="A136" s="31" t="s">
        <v>140</v>
      </c>
      <c r="B136" s="31" t="s">
        <v>726</v>
      </c>
      <c r="C136" s="31" t="s">
        <v>143</v>
      </c>
      <c r="D136" s="31" t="s">
        <v>533</v>
      </c>
      <c r="E136" s="32">
        <v>51.01</v>
      </c>
      <c r="F136" s="33">
        <v>474</v>
      </c>
      <c r="G136" s="32">
        <v>525.01</v>
      </c>
      <c r="H136" s="32">
        <v>0.59</v>
      </c>
      <c r="I136" s="34">
        <v>7</v>
      </c>
      <c r="J136" s="33">
        <v>0</v>
      </c>
      <c r="K136" s="34">
        <v>481</v>
      </c>
      <c r="L136" s="32">
        <v>341.32</v>
      </c>
      <c r="M136" s="32">
        <v>63.71</v>
      </c>
      <c r="N136" s="32">
        <v>70.05</v>
      </c>
      <c r="O136" s="32">
        <v>32.380000000000003</v>
      </c>
      <c r="P136" s="32">
        <v>3.77</v>
      </c>
      <c r="Q136" s="34">
        <v>179196</v>
      </c>
      <c r="R136" s="34">
        <v>0</v>
      </c>
      <c r="S136" s="34">
        <v>179196</v>
      </c>
      <c r="T136" s="34">
        <v>12258</v>
      </c>
      <c r="U136" s="34">
        <v>13478</v>
      </c>
      <c r="V136" s="34">
        <v>201</v>
      </c>
      <c r="W136" s="34">
        <v>17000</v>
      </c>
      <c r="X136" s="34">
        <v>0</v>
      </c>
      <c r="Y136" s="34">
        <v>222133</v>
      </c>
      <c r="Z136" s="34">
        <v>30901</v>
      </c>
      <c r="AA136" s="34">
        <v>191232</v>
      </c>
      <c r="AB136" s="34">
        <v>128011</v>
      </c>
      <c r="AC136" s="34">
        <v>63221</v>
      </c>
    </row>
    <row r="137" spans="1:29" x14ac:dyDescent="0.25">
      <c r="A137" s="31" t="s">
        <v>140</v>
      </c>
      <c r="B137" s="31" t="s">
        <v>726</v>
      </c>
      <c r="C137" s="31" t="s">
        <v>144</v>
      </c>
      <c r="D137" s="31" t="s">
        <v>534</v>
      </c>
      <c r="E137" s="32">
        <v>134.33000000000001</v>
      </c>
      <c r="F137" s="33">
        <v>1482</v>
      </c>
      <c r="G137" s="32">
        <v>1616.33</v>
      </c>
      <c r="H137" s="32">
        <v>1.83</v>
      </c>
      <c r="I137" s="34">
        <v>130</v>
      </c>
      <c r="J137" s="33">
        <v>0.5</v>
      </c>
      <c r="K137" s="34">
        <v>1612</v>
      </c>
      <c r="L137" s="32">
        <v>341.32</v>
      </c>
      <c r="M137" s="32">
        <v>63.71</v>
      </c>
      <c r="N137" s="32">
        <v>70.05</v>
      </c>
      <c r="O137" s="32">
        <v>32.380000000000003</v>
      </c>
      <c r="P137" s="32">
        <v>3.77</v>
      </c>
      <c r="Q137" s="34">
        <v>551686</v>
      </c>
      <c r="R137" s="34">
        <v>10607</v>
      </c>
      <c r="S137" s="34">
        <v>562293</v>
      </c>
      <c r="T137" s="34">
        <v>41080</v>
      </c>
      <c r="U137" s="34">
        <v>45168</v>
      </c>
      <c r="V137" s="34">
        <v>625</v>
      </c>
      <c r="W137" s="34">
        <v>53227</v>
      </c>
      <c r="X137" s="34">
        <v>0</v>
      </c>
      <c r="Y137" s="34">
        <v>702393</v>
      </c>
      <c r="Z137" s="34">
        <v>95133</v>
      </c>
      <c r="AA137" s="34">
        <v>607260</v>
      </c>
      <c r="AB137" s="34">
        <v>394997</v>
      </c>
      <c r="AC137" s="34">
        <v>212263</v>
      </c>
    </row>
    <row r="138" spans="1:29" x14ac:dyDescent="0.25">
      <c r="A138" s="31" t="s">
        <v>140</v>
      </c>
      <c r="B138" s="31" t="s">
        <v>726</v>
      </c>
      <c r="C138" s="31" t="s">
        <v>145</v>
      </c>
      <c r="D138" s="31" t="s">
        <v>535</v>
      </c>
      <c r="E138" s="32">
        <v>2463.8000000000002</v>
      </c>
      <c r="F138" s="33">
        <v>16139.5</v>
      </c>
      <c r="G138" s="32">
        <v>18603.3</v>
      </c>
      <c r="H138" s="32">
        <v>21.07</v>
      </c>
      <c r="I138" s="34">
        <v>2006</v>
      </c>
      <c r="J138" s="33">
        <v>13.9</v>
      </c>
      <c r="K138" s="34">
        <v>18132</v>
      </c>
      <c r="L138" s="32">
        <v>341.32</v>
      </c>
      <c r="M138" s="32">
        <v>63.71</v>
      </c>
      <c r="N138" s="32">
        <v>70.05</v>
      </c>
      <c r="O138" s="32">
        <v>32.380000000000003</v>
      </c>
      <c r="P138" s="32">
        <v>3.77</v>
      </c>
      <c r="Q138" s="34">
        <v>6349678</v>
      </c>
      <c r="R138" s="34">
        <v>0</v>
      </c>
      <c r="S138" s="34">
        <v>6349678</v>
      </c>
      <c r="T138" s="34">
        <v>462076</v>
      </c>
      <c r="U138" s="34">
        <v>508059</v>
      </c>
      <c r="V138" s="34">
        <v>7192</v>
      </c>
      <c r="W138" s="34">
        <v>602375</v>
      </c>
      <c r="X138" s="34">
        <v>0</v>
      </c>
      <c r="Y138" s="34">
        <v>7929380</v>
      </c>
      <c r="Z138" s="34">
        <v>1094939</v>
      </c>
      <c r="AA138" s="34">
        <v>6834441</v>
      </c>
      <c r="AB138" s="34">
        <v>4536016</v>
      </c>
      <c r="AC138" s="34">
        <v>2298425</v>
      </c>
    </row>
    <row r="139" spans="1:29" x14ac:dyDescent="0.25">
      <c r="A139" s="31" t="s">
        <v>140</v>
      </c>
      <c r="B139" s="31" t="s">
        <v>726</v>
      </c>
      <c r="C139" s="31" t="s">
        <v>146</v>
      </c>
      <c r="D139" s="31" t="s">
        <v>536</v>
      </c>
      <c r="E139" s="32">
        <v>101.93</v>
      </c>
      <c r="F139" s="33">
        <v>1174.2</v>
      </c>
      <c r="G139" s="32">
        <v>1276.1300000000001</v>
      </c>
      <c r="H139" s="32">
        <v>1.44</v>
      </c>
      <c r="I139" s="34">
        <v>10</v>
      </c>
      <c r="J139" s="33">
        <v>0</v>
      </c>
      <c r="K139" s="34">
        <v>1184</v>
      </c>
      <c r="L139" s="32">
        <v>341.32</v>
      </c>
      <c r="M139" s="32">
        <v>63.71</v>
      </c>
      <c r="N139" s="32">
        <v>70.05</v>
      </c>
      <c r="O139" s="32">
        <v>32.380000000000003</v>
      </c>
      <c r="P139" s="32">
        <v>3.77</v>
      </c>
      <c r="Q139" s="34">
        <v>435569</v>
      </c>
      <c r="R139" s="34">
        <v>26224</v>
      </c>
      <c r="S139" s="34">
        <v>461793</v>
      </c>
      <c r="T139" s="34">
        <v>30173</v>
      </c>
      <c r="U139" s="34">
        <v>33176</v>
      </c>
      <c r="V139" s="34">
        <v>492</v>
      </c>
      <c r="W139" s="34">
        <v>41321</v>
      </c>
      <c r="X139" s="34">
        <v>0</v>
      </c>
      <c r="Y139" s="34">
        <v>566955</v>
      </c>
      <c r="Z139" s="34">
        <v>75110</v>
      </c>
      <c r="AA139" s="34">
        <v>491845</v>
      </c>
      <c r="AB139" s="34">
        <v>311155</v>
      </c>
      <c r="AC139" s="34">
        <v>180690</v>
      </c>
    </row>
    <row r="140" spans="1:29" x14ac:dyDescent="0.25">
      <c r="A140" s="31" t="s">
        <v>140</v>
      </c>
      <c r="B140" s="31" t="s">
        <v>726</v>
      </c>
      <c r="C140" s="31" t="s">
        <v>147</v>
      </c>
      <c r="D140" s="31" t="s">
        <v>537</v>
      </c>
      <c r="E140" s="32">
        <v>38.35</v>
      </c>
      <c r="F140" s="33">
        <v>420.9</v>
      </c>
      <c r="G140" s="32">
        <v>459.25</v>
      </c>
      <c r="H140" s="32">
        <v>0.52</v>
      </c>
      <c r="I140" s="34">
        <v>11</v>
      </c>
      <c r="J140" s="33">
        <v>0</v>
      </c>
      <c r="K140" s="34">
        <v>432</v>
      </c>
      <c r="L140" s="32">
        <v>341.32</v>
      </c>
      <c r="M140" s="32">
        <v>63.71</v>
      </c>
      <c r="N140" s="32">
        <v>70.05</v>
      </c>
      <c r="O140" s="32">
        <v>32.380000000000003</v>
      </c>
      <c r="P140" s="32">
        <v>3.77</v>
      </c>
      <c r="Q140" s="34">
        <v>156751</v>
      </c>
      <c r="R140" s="34">
        <v>8157</v>
      </c>
      <c r="S140" s="34">
        <v>164908</v>
      </c>
      <c r="T140" s="34">
        <v>11009</v>
      </c>
      <c r="U140" s="34">
        <v>12105</v>
      </c>
      <c r="V140" s="34">
        <v>177</v>
      </c>
      <c r="W140" s="34">
        <v>14871</v>
      </c>
      <c r="X140" s="34">
        <v>0</v>
      </c>
      <c r="Y140" s="34">
        <v>203070</v>
      </c>
      <c r="Z140" s="34">
        <v>27030</v>
      </c>
      <c r="AA140" s="34">
        <v>176040</v>
      </c>
      <c r="AB140" s="34">
        <v>111979</v>
      </c>
      <c r="AC140" s="34">
        <v>64061</v>
      </c>
    </row>
    <row r="141" spans="1:29" x14ac:dyDescent="0.25">
      <c r="A141" s="31" t="s">
        <v>140</v>
      </c>
      <c r="B141" s="31" t="s">
        <v>726</v>
      </c>
      <c r="C141" s="31" t="s">
        <v>148</v>
      </c>
      <c r="D141" s="31" t="s">
        <v>538</v>
      </c>
      <c r="E141" s="32">
        <v>408.79</v>
      </c>
      <c r="F141" s="33">
        <v>3035.9</v>
      </c>
      <c r="G141" s="32">
        <v>3444.69</v>
      </c>
      <c r="H141" s="32">
        <v>3.9</v>
      </c>
      <c r="I141" s="34">
        <v>52</v>
      </c>
      <c r="J141" s="33">
        <v>0</v>
      </c>
      <c r="K141" s="34">
        <v>3088</v>
      </c>
      <c r="L141" s="32">
        <v>341.32</v>
      </c>
      <c r="M141" s="32">
        <v>63.71</v>
      </c>
      <c r="N141" s="32">
        <v>70.05</v>
      </c>
      <c r="O141" s="32">
        <v>32.380000000000003</v>
      </c>
      <c r="P141" s="32">
        <v>3.77</v>
      </c>
      <c r="Q141" s="34">
        <v>1175742</v>
      </c>
      <c r="R141" s="34">
        <v>0</v>
      </c>
      <c r="S141" s="34">
        <v>1175742</v>
      </c>
      <c r="T141" s="34">
        <v>78694</v>
      </c>
      <c r="U141" s="34">
        <v>86526</v>
      </c>
      <c r="V141" s="34">
        <v>1331</v>
      </c>
      <c r="W141" s="34">
        <v>111539</v>
      </c>
      <c r="X141" s="34">
        <v>0</v>
      </c>
      <c r="Y141" s="34">
        <v>1453832</v>
      </c>
      <c r="Z141" s="34">
        <v>202745</v>
      </c>
      <c r="AA141" s="34">
        <v>1251087</v>
      </c>
      <c r="AB141" s="34">
        <v>839913</v>
      </c>
      <c r="AC141" s="34">
        <v>411174</v>
      </c>
    </row>
    <row r="142" spans="1:29" x14ac:dyDescent="0.25">
      <c r="A142" s="31" t="s">
        <v>140</v>
      </c>
      <c r="B142" s="31" t="s">
        <v>726</v>
      </c>
      <c r="C142" s="31" t="s">
        <v>149</v>
      </c>
      <c r="D142" s="31" t="s">
        <v>539</v>
      </c>
      <c r="E142" s="32">
        <v>586</v>
      </c>
      <c r="F142" s="33">
        <v>5075.2</v>
      </c>
      <c r="G142" s="32">
        <v>5661.2</v>
      </c>
      <c r="H142" s="32">
        <v>6.41</v>
      </c>
      <c r="I142" s="34">
        <v>147</v>
      </c>
      <c r="J142" s="33">
        <v>0</v>
      </c>
      <c r="K142" s="34">
        <v>5222</v>
      </c>
      <c r="L142" s="32">
        <v>341.32</v>
      </c>
      <c r="M142" s="32">
        <v>63.71</v>
      </c>
      <c r="N142" s="32">
        <v>70.05</v>
      </c>
      <c r="O142" s="32">
        <v>32.380000000000003</v>
      </c>
      <c r="P142" s="32">
        <v>3.77</v>
      </c>
      <c r="Q142" s="34">
        <v>1932281</v>
      </c>
      <c r="R142" s="34">
        <v>0</v>
      </c>
      <c r="S142" s="34">
        <v>1932281</v>
      </c>
      <c r="T142" s="34">
        <v>133078</v>
      </c>
      <c r="U142" s="34">
        <v>146320</v>
      </c>
      <c r="V142" s="34">
        <v>2188</v>
      </c>
      <c r="W142" s="34">
        <v>183310</v>
      </c>
      <c r="X142" s="34">
        <v>0</v>
      </c>
      <c r="Y142" s="34">
        <v>2397177</v>
      </c>
      <c r="Z142" s="34">
        <v>333203</v>
      </c>
      <c r="AA142" s="34">
        <v>2063974</v>
      </c>
      <c r="AB142" s="34">
        <v>1380362</v>
      </c>
      <c r="AC142" s="34">
        <v>683612</v>
      </c>
    </row>
    <row r="143" spans="1:29" x14ac:dyDescent="0.25">
      <c r="A143" s="31" t="s">
        <v>140</v>
      </c>
      <c r="B143" s="31" t="s">
        <v>726</v>
      </c>
      <c r="C143" s="31" t="s">
        <v>150</v>
      </c>
      <c r="D143" s="31" t="s">
        <v>540</v>
      </c>
      <c r="E143" s="32">
        <v>43.74</v>
      </c>
      <c r="F143" s="33">
        <v>449.4</v>
      </c>
      <c r="G143" s="32">
        <v>493.14</v>
      </c>
      <c r="H143" s="32">
        <v>0.56000000000000005</v>
      </c>
      <c r="I143" s="34">
        <v>6</v>
      </c>
      <c r="J143" s="33">
        <v>0</v>
      </c>
      <c r="K143" s="34">
        <v>455</v>
      </c>
      <c r="L143" s="32">
        <v>341.32</v>
      </c>
      <c r="M143" s="32">
        <v>63.71</v>
      </c>
      <c r="N143" s="32">
        <v>70.05</v>
      </c>
      <c r="O143" s="32">
        <v>32.380000000000003</v>
      </c>
      <c r="P143" s="32">
        <v>3.77</v>
      </c>
      <c r="Q143" s="34">
        <v>168319</v>
      </c>
      <c r="R143" s="34">
        <v>6867</v>
      </c>
      <c r="S143" s="34">
        <v>175186</v>
      </c>
      <c r="T143" s="34">
        <v>11595</v>
      </c>
      <c r="U143" s="34">
        <v>12749</v>
      </c>
      <c r="V143" s="34">
        <v>191</v>
      </c>
      <c r="W143" s="34">
        <v>16147</v>
      </c>
      <c r="X143" s="34">
        <v>0</v>
      </c>
      <c r="Y143" s="34">
        <v>215868</v>
      </c>
      <c r="Z143" s="34">
        <v>29025</v>
      </c>
      <c r="AA143" s="34">
        <v>186843</v>
      </c>
      <c r="AB143" s="34">
        <v>120421</v>
      </c>
      <c r="AC143" s="34">
        <v>66422</v>
      </c>
    </row>
    <row r="144" spans="1:29" x14ac:dyDescent="0.25">
      <c r="A144" s="31" t="s">
        <v>140</v>
      </c>
      <c r="B144" s="31" t="s">
        <v>726</v>
      </c>
      <c r="C144" s="31" t="s">
        <v>152</v>
      </c>
      <c r="D144" s="31" t="s">
        <v>153</v>
      </c>
      <c r="E144" s="32">
        <v>34.99</v>
      </c>
      <c r="F144" s="33">
        <v>315.8</v>
      </c>
      <c r="G144" s="32">
        <v>350.79</v>
      </c>
      <c r="H144" s="32">
        <v>0.4</v>
      </c>
      <c r="I144" s="34">
        <v>6</v>
      </c>
      <c r="J144" s="33">
        <v>0</v>
      </c>
      <c r="K144" s="34">
        <v>322</v>
      </c>
      <c r="L144" s="32">
        <v>341.32</v>
      </c>
      <c r="M144" s="32">
        <v>63.71</v>
      </c>
      <c r="N144" s="32">
        <v>70.05</v>
      </c>
      <c r="O144" s="32">
        <v>32.380000000000003</v>
      </c>
      <c r="P144" s="32">
        <v>3.77</v>
      </c>
      <c r="Q144" s="34">
        <v>119732</v>
      </c>
      <c r="R144" s="34">
        <v>964</v>
      </c>
      <c r="S144" s="34">
        <v>120696</v>
      </c>
      <c r="T144" s="34">
        <v>8206</v>
      </c>
      <c r="U144" s="34">
        <v>9022</v>
      </c>
      <c r="V144" s="34">
        <v>137</v>
      </c>
      <c r="W144" s="34">
        <v>11359</v>
      </c>
      <c r="X144" s="34">
        <v>0</v>
      </c>
      <c r="Y144" s="34">
        <v>149420</v>
      </c>
      <c r="Z144" s="34">
        <v>20647</v>
      </c>
      <c r="AA144" s="34">
        <v>128773</v>
      </c>
      <c r="AB144" s="34">
        <v>85533</v>
      </c>
      <c r="AC144" s="34">
        <v>43240</v>
      </c>
    </row>
    <row r="145" spans="1:29" x14ac:dyDescent="0.25">
      <c r="A145" s="31" t="s">
        <v>140</v>
      </c>
      <c r="B145" s="31" t="s">
        <v>726</v>
      </c>
      <c r="C145" s="31" t="s">
        <v>151</v>
      </c>
      <c r="D145" s="31" t="s">
        <v>541</v>
      </c>
      <c r="E145" s="32">
        <v>63.86</v>
      </c>
      <c r="F145" s="33">
        <v>589.20000000000005</v>
      </c>
      <c r="G145" s="32">
        <v>653.05999999999995</v>
      </c>
      <c r="H145" s="32">
        <v>0.74</v>
      </c>
      <c r="I145" s="34">
        <v>13</v>
      </c>
      <c r="J145" s="33">
        <v>0</v>
      </c>
      <c r="K145" s="34">
        <v>602</v>
      </c>
      <c r="L145" s="32">
        <v>341.32</v>
      </c>
      <c r="M145" s="32">
        <v>63.71</v>
      </c>
      <c r="N145" s="32">
        <v>70.05</v>
      </c>
      <c r="O145" s="32">
        <v>32.380000000000003</v>
      </c>
      <c r="P145" s="32">
        <v>3.77</v>
      </c>
      <c r="Q145" s="34">
        <v>222902</v>
      </c>
      <c r="R145" s="34">
        <v>0</v>
      </c>
      <c r="S145" s="34">
        <v>222902</v>
      </c>
      <c r="T145" s="34">
        <v>15341</v>
      </c>
      <c r="U145" s="34">
        <v>16868</v>
      </c>
      <c r="V145" s="34">
        <v>253</v>
      </c>
      <c r="W145" s="34">
        <v>21146</v>
      </c>
      <c r="X145" s="34">
        <v>0</v>
      </c>
      <c r="Y145" s="34">
        <v>276510</v>
      </c>
      <c r="Z145" s="34">
        <v>38437</v>
      </c>
      <c r="AA145" s="34">
        <v>238073</v>
      </c>
      <c r="AB145" s="34">
        <v>159235</v>
      </c>
      <c r="AC145" s="34">
        <v>78838</v>
      </c>
    </row>
    <row r="146" spans="1:29" x14ac:dyDescent="0.25">
      <c r="A146" s="31" t="s">
        <v>140</v>
      </c>
      <c r="B146" s="31" t="s">
        <v>726</v>
      </c>
      <c r="C146" s="31" t="s">
        <v>154</v>
      </c>
      <c r="D146" s="31" t="s">
        <v>542</v>
      </c>
      <c r="E146" s="32">
        <v>1580.42</v>
      </c>
      <c r="F146" s="33">
        <v>14378.7</v>
      </c>
      <c r="G146" s="32">
        <v>15959.12</v>
      </c>
      <c r="H146" s="32">
        <v>18.079999999999998</v>
      </c>
      <c r="I146" s="34">
        <v>1280</v>
      </c>
      <c r="J146" s="33">
        <v>4</v>
      </c>
      <c r="K146" s="34">
        <v>15655</v>
      </c>
      <c r="L146" s="32">
        <v>341.32</v>
      </c>
      <c r="M146" s="32">
        <v>63.71</v>
      </c>
      <c r="N146" s="32">
        <v>70.05</v>
      </c>
      <c r="O146" s="32">
        <v>32.380000000000003</v>
      </c>
      <c r="P146" s="32">
        <v>3.77</v>
      </c>
      <c r="Q146" s="34">
        <v>5447167</v>
      </c>
      <c r="R146" s="34">
        <v>0</v>
      </c>
      <c r="S146" s="34">
        <v>5447167</v>
      </c>
      <c r="T146" s="34">
        <v>398952</v>
      </c>
      <c r="U146" s="34">
        <v>438653</v>
      </c>
      <c r="V146" s="34">
        <v>6171</v>
      </c>
      <c r="W146" s="34">
        <v>516756</v>
      </c>
      <c r="X146" s="34">
        <v>0</v>
      </c>
      <c r="Y146" s="34">
        <v>6807699</v>
      </c>
      <c r="Z146" s="34">
        <v>939311</v>
      </c>
      <c r="AA146" s="34">
        <v>5868388</v>
      </c>
      <c r="AB146" s="34">
        <v>3891289</v>
      </c>
      <c r="AC146" s="34">
        <v>1977099</v>
      </c>
    </row>
    <row r="147" spans="1:29" x14ac:dyDescent="0.25">
      <c r="A147" s="31" t="s">
        <v>140</v>
      </c>
      <c r="B147" s="31" t="s">
        <v>726</v>
      </c>
      <c r="C147" s="31" t="s">
        <v>155</v>
      </c>
      <c r="D147" s="31" t="s">
        <v>543</v>
      </c>
      <c r="E147" s="32">
        <v>57.82</v>
      </c>
      <c r="F147" s="33">
        <v>504.7</v>
      </c>
      <c r="G147" s="32">
        <v>562.52</v>
      </c>
      <c r="H147" s="32">
        <v>0.64</v>
      </c>
      <c r="I147" s="34">
        <v>4</v>
      </c>
      <c r="J147" s="33">
        <v>0</v>
      </c>
      <c r="K147" s="34">
        <v>509</v>
      </c>
      <c r="L147" s="32">
        <v>341.32</v>
      </c>
      <c r="M147" s="32">
        <v>63.71</v>
      </c>
      <c r="N147" s="32">
        <v>70.05</v>
      </c>
      <c r="O147" s="32">
        <v>32.380000000000003</v>
      </c>
      <c r="P147" s="32">
        <v>3.77</v>
      </c>
      <c r="Q147" s="34">
        <v>191999</v>
      </c>
      <c r="R147" s="34">
        <v>0</v>
      </c>
      <c r="S147" s="34">
        <v>191999</v>
      </c>
      <c r="T147" s="34">
        <v>12971</v>
      </c>
      <c r="U147" s="34">
        <v>14262</v>
      </c>
      <c r="V147" s="34">
        <v>218</v>
      </c>
      <c r="W147" s="34">
        <v>18214</v>
      </c>
      <c r="X147" s="34">
        <v>0</v>
      </c>
      <c r="Y147" s="34">
        <v>237664</v>
      </c>
      <c r="Z147" s="34">
        <v>33108</v>
      </c>
      <c r="AA147" s="34">
        <v>204556</v>
      </c>
      <c r="AB147" s="34">
        <v>137159</v>
      </c>
      <c r="AC147" s="34">
        <v>67397</v>
      </c>
    </row>
    <row r="148" spans="1:29" x14ac:dyDescent="0.25">
      <c r="A148" s="31" t="s">
        <v>140</v>
      </c>
      <c r="B148" s="31" t="s">
        <v>726</v>
      </c>
      <c r="C148" s="31" t="s">
        <v>156</v>
      </c>
      <c r="D148" s="31" t="s">
        <v>544</v>
      </c>
      <c r="E148" s="32">
        <v>820.9</v>
      </c>
      <c r="F148" s="33">
        <v>7566.6</v>
      </c>
      <c r="G148" s="32">
        <v>8387.5</v>
      </c>
      <c r="H148" s="32">
        <v>9.5</v>
      </c>
      <c r="I148" s="34">
        <v>579</v>
      </c>
      <c r="J148" s="33">
        <v>0</v>
      </c>
      <c r="K148" s="34">
        <v>8146</v>
      </c>
      <c r="L148" s="32">
        <v>341.32</v>
      </c>
      <c r="M148" s="32">
        <v>63.71</v>
      </c>
      <c r="N148" s="32">
        <v>70.05</v>
      </c>
      <c r="O148" s="32">
        <v>32.380000000000003</v>
      </c>
      <c r="P148" s="32">
        <v>3.77</v>
      </c>
      <c r="Q148" s="34">
        <v>2862822</v>
      </c>
      <c r="R148" s="34">
        <v>0</v>
      </c>
      <c r="S148" s="34">
        <v>2862822</v>
      </c>
      <c r="T148" s="34">
        <v>207593</v>
      </c>
      <c r="U148" s="34">
        <v>228251</v>
      </c>
      <c r="V148" s="34">
        <v>3243</v>
      </c>
      <c r="W148" s="34">
        <v>271587</v>
      </c>
      <c r="X148" s="34">
        <v>0</v>
      </c>
      <c r="Y148" s="34">
        <v>3573496</v>
      </c>
      <c r="Z148" s="34">
        <v>493666</v>
      </c>
      <c r="AA148" s="34">
        <v>3079830</v>
      </c>
      <c r="AB148" s="34">
        <v>2045111</v>
      </c>
      <c r="AC148" s="34">
        <v>1034719</v>
      </c>
    </row>
    <row r="149" spans="1:29" x14ac:dyDescent="0.25">
      <c r="A149" s="31" t="s">
        <v>140</v>
      </c>
      <c r="B149" s="31" t="s">
        <v>726</v>
      </c>
      <c r="C149" s="31" t="s">
        <v>157</v>
      </c>
      <c r="D149" s="31" t="s">
        <v>545</v>
      </c>
      <c r="E149" s="32">
        <v>65.64</v>
      </c>
      <c r="F149" s="33">
        <v>681.4</v>
      </c>
      <c r="G149" s="32">
        <v>747.04</v>
      </c>
      <c r="H149" s="32">
        <v>0.85</v>
      </c>
      <c r="I149" s="34">
        <v>10</v>
      </c>
      <c r="J149" s="33">
        <v>0</v>
      </c>
      <c r="K149" s="34">
        <v>691</v>
      </c>
      <c r="L149" s="32">
        <v>341.32</v>
      </c>
      <c r="M149" s="32">
        <v>63.71</v>
      </c>
      <c r="N149" s="32">
        <v>70.05</v>
      </c>
      <c r="O149" s="32">
        <v>32.380000000000003</v>
      </c>
      <c r="P149" s="32">
        <v>3.77</v>
      </c>
      <c r="Q149" s="34">
        <v>254980</v>
      </c>
      <c r="R149" s="34">
        <v>0</v>
      </c>
      <c r="S149" s="34">
        <v>254980</v>
      </c>
      <c r="T149" s="34">
        <v>17610</v>
      </c>
      <c r="U149" s="34">
        <v>19362</v>
      </c>
      <c r="V149" s="34">
        <v>290</v>
      </c>
      <c r="W149" s="34">
        <v>24189</v>
      </c>
      <c r="X149" s="34">
        <v>0</v>
      </c>
      <c r="Y149" s="34">
        <v>316431</v>
      </c>
      <c r="Z149" s="34">
        <v>43969</v>
      </c>
      <c r="AA149" s="34">
        <v>272462</v>
      </c>
      <c r="AB149" s="34">
        <v>182150</v>
      </c>
      <c r="AC149" s="34">
        <v>90312</v>
      </c>
    </row>
    <row r="150" spans="1:29" x14ac:dyDescent="0.25">
      <c r="A150" s="31" t="s">
        <v>140</v>
      </c>
      <c r="B150" s="31" t="s">
        <v>726</v>
      </c>
      <c r="C150" s="31" t="s">
        <v>158</v>
      </c>
      <c r="D150" s="31" t="s">
        <v>546</v>
      </c>
      <c r="E150" s="32">
        <v>18.78</v>
      </c>
      <c r="F150" s="33">
        <v>308</v>
      </c>
      <c r="G150" s="32">
        <v>326.77999999999997</v>
      </c>
      <c r="H150" s="32">
        <v>0.4</v>
      </c>
      <c r="I150" s="34">
        <v>4</v>
      </c>
      <c r="J150" s="33">
        <v>0</v>
      </c>
      <c r="K150" s="34">
        <v>312</v>
      </c>
      <c r="L150" s="32">
        <v>341.32</v>
      </c>
      <c r="M150" s="32">
        <v>63.71</v>
      </c>
      <c r="N150" s="32">
        <v>70.05</v>
      </c>
      <c r="O150" s="32">
        <v>32.380000000000003</v>
      </c>
      <c r="P150" s="32">
        <v>3.77</v>
      </c>
      <c r="Q150" s="34">
        <v>111537</v>
      </c>
      <c r="R150" s="34">
        <v>17061</v>
      </c>
      <c r="S150" s="34">
        <v>128598</v>
      </c>
      <c r="T150" s="34">
        <v>7951</v>
      </c>
      <c r="U150" s="34">
        <v>8742</v>
      </c>
      <c r="V150" s="34">
        <v>137</v>
      </c>
      <c r="W150" s="34">
        <v>10940</v>
      </c>
      <c r="X150" s="34">
        <v>0</v>
      </c>
      <c r="Y150" s="34">
        <v>156368</v>
      </c>
      <c r="Z150" s="34">
        <v>19233</v>
      </c>
      <c r="AA150" s="34">
        <v>137135</v>
      </c>
      <c r="AB150" s="34">
        <v>80046</v>
      </c>
      <c r="AC150" s="34">
        <v>57089</v>
      </c>
    </row>
    <row r="151" spans="1:29" x14ac:dyDescent="0.25">
      <c r="A151" s="31" t="s">
        <v>140</v>
      </c>
      <c r="B151" s="31" t="s">
        <v>726</v>
      </c>
      <c r="C151" s="31" t="s">
        <v>159</v>
      </c>
      <c r="D151" s="31" t="s">
        <v>547</v>
      </c>
      <c r="E151" s="32">
        <v>280.83</v>
      </c>
      <c r="F151" s="33">
        <v>1750.4</v>
      </c>
      <c r="G151" s="32">
        <v>2031.23</v>
      </c>
      <c r="H151" s="32">
        <v>2.29</v>
      </c>
      <c r="I151" s="34">
        <v>115</v>
      </c>
      <c r="J151" s="33">
        <v>0.7</v>
      </c>
      <c r="K151" s="34">
        <v>1865</v>
      </c>
      <c r="L151" s="32">
        <v>341.32</v>
      </c>
      <c r="M151" s="32">
        <v>63.71</v>
      </c>
      <c r="N151" s="32">
        <v>70.05</v>
      </c>
      <c r="O151" s="32">
        <v>32.380000000000003</v>
      </c>
      <c r="P151" s="32">
        <v>3.77</v>
      </c>
      <c r="Q151" s="34">
        <v>693299</v>
      </c>
      <c r="R151" s="34">
        <v>0</v>
      </c>
      <c r="S151" s="34">
        <v>693299</v>
      </c>
      <c r="T151" s="34">
        <v>47528</v>
      </c>
      <c r="U151" s="34">
        <v>52257</v>
      </c>
      <c r="V151" s="34">
        <v>782</v>
      </c>
      <c r="W151" s="34">
        <v>65771</v>
      </c>
      <c r="X151" s="34">
        <v>0</v>
      </c>
      <c r="Y151" s="34">
        <v>859637</v>
      </c>
      <c r="Z151" s="34">
        <v>119552</v>
      </c>
      <c r="AA151" s="34">
        <v>740085</v>
      </c>
      <c r="AB151" s="34">
        <v>495269</v>
      </c>
      <c r="AC151" s="34">
        <v>244816</v>
      </c>
    </row>
    <row r="152" spans="1:29" x14ac:dyDescent="0.25">
      <c r="A152" s="31" t="s">
        <v>140</v>
      </c>
      <c r="B152" s="31" t="s">
        <v>726</v>
      </c>
      <c r="C152" s="31" t="s">
        <v>160</v>
      </c>
      <c r="D152" s="31" t="s">
        <v>548</v>
      </c>
      <c r="E152" s="32">
        <v>135.93</v>
      </c>
      <c r="F152" s="33">
        <v>1194.0999999999999</v>
      </c>
      <c r="G152" s="32">
        <v>1330.03</v>
      </c>
      <c r="H152" s="32">
        <v>1.51</v>
      </c>
      <c r="I152" s="34">
        <v>61</v>
      </c>
      <c r="J152" s="33">
        <v>0.3</v>
      </c>
      <c r="K152" s="34">
        <v>1255</v>
      </c>
      <c r="L152" s="32">
        <v>341.32</v>
      </c>
      <c r="M152" s="32">
        <v>63.71</v>
      </c>
      <c r="N152" s="32">
        <v>70.05</v>
      </c>
      <c r="O152" s="32">
        <v>32.380000000000003</v>
      </c>
      <c r="P152" s="32">
        <v>3.77</v>
      </c>
      <c r="Q152" s="34">
        <v>453966</v>
      </c>
      <c r="R152" s="34">
        <v>4847</v>
      </c>
      <c r="S152" s="34">
        <v>458813</v>
      </c>
      <c r="T152" s="34">
        <v>31982</v>
      </c>
      <c r="U152" s="34">
        <v>35165</v>
      </c>
      <c r="V152" s="34">
        <v>515</v>
      </c>
      <c r="W152" s="34">
        <v>43431</v>
      </c>
      <c r="X152" s="34">
        <v>0</v>
      </c>
      <c r="Y152" s="34">
        <v>569906</v>
      </c>
      <c r="Z152" s="34">
        <v>78282</v>
      </c>
      <c r="AA152" s="34">
        <v>491624</v>
      </c>
      <c r="AB152" s="34">
        <v>324665</v>
      </c>
      <c r="AC152" s="34">
        <v>166959</v>
      </c>
    </row>
    <row r="153" spans="1:29" x14ac:dyDescent="0.25">
      <c r="A153" s="31" t="s">
        <v>140</v>
      </c>
      <c r="B153" s="31" t="s">
        <v>726</v>
      </c>
      <c r="C153" s="31" t="s">
        <v>161</v>
      </c>
      <c r="D153" s="31" t="s">
        <v>549</v>
      </c>
      <c r="E153" s="32">
        <v>74.180000000000007</v>
      </c>
      <c r="F153" s="33">
        <v>489.6</v>
      </c>
      <c r="G153" s="32">
        <v>563.78</v>
      </c>
      <c r="H153" s="32">
        <v>0.64</v>
      </c>
      <c r="I153" s="34">
        <v>5</v>
      </c>
      <c r="J153" s="33">
        <v>0</v>
      </c>
      <c r="K153" s="34">
        <v>495</v>
      </c>
      <c r="L153" s="32">
        <v>341.32</v>
      </c>
      <c r="M153" s="32">
        <v>63.71</v>
      </c>
      <c r="N153" s="32">
        <v>70.05</v>
      </c>
      <c r="O153" s="32">
        <v>32.380000000000003</v>
      </c>
      <c r="P153" s="32">
        <v>3.77</v>
      </c>
      <c r="Q153" s="34">
        <v>192429</v>
      </c>
      <c r="R153" s="34">
        <v>868</v>
      </c>
      <c r="S153" s="34">
        <v>193297</v>
      </c>
      <c r="T153" s="34">
        <v>12614</v>
      </c>
      <c r="U153" s="34">
        <v>13870</v>
      </c>
      <c r="V153" s="34">
        <v>218</v>
      </c>
      <c r="W153" s="34">
        <v>18255</v>
      </c>
      <c r="X153" s="34">
        <v>0</v>
      </c>
      <c r="Y153" s="34">
        <v>238254</v>
      </c>
      <c r="Z153" s="34">
        <v>33183</v>
      </c>
      <c r="AA153" s="34">
        <v>205071</v>
      </c>
      <c r="AB153" s="34">
        <v>137465</v>
      </c>
      <c r="AC153" s="34">
        <v>67606</v>
      </c>
    </row>
    <row r="154" spans="1:29" x14ac:dyDescent="0.25">
      <c r="A154" s="31" t="s">
        <v>140</v>
      </c>
      <c r="B154" s="31" t="s">
        <v>726</v>
      </c>
      <c r="C154" s="31" t="s">
        <v>162</v>
      </c>
      <c r="D154" s="31" t="s">
        <v>550</v>
      </c>
      <c r="E154" s="32">
        <v>119.35</v>
      </c>
      <c r="F154" s="33">
        <v>968.6</v>
      </c>
      <c r="G154" s="32">
        <v>1087.95</v>
      </c>
      <c r="H154" s="32">
        <v>1.23</v>
      </c>
      <c r="I154" s="34">
        <v>49</v>
      </c>
      <c r="J154" s="33">
        <v>0</v>
      </c>
      <c r="K154" s="34">
        <v>1018</v>
      </c>
      <c r="L154" s="32">
        <v>341.32</v>
      </c>
      <c r="M154" s="32">
        <v>63.71</v>
      </c>
      <c r="N154" s="32">
        <v>70.05</v>
      </c>
      <c r="O154" s="32">
        <v>32.380000000000003</v>
      </c>
      <c r="P154" s="32">
        <v>3.77</v>
      </c>
      <c r="Q154" s="34">
        <v>371339</v>
      </c>
      <c r="R154" s="34">
        <v>0</v>
      </c>
      <c r="S154" s="34">
        <v>371339</v>
      </c>
      <c r="T154" s="34">
        <v>25943</v>
      </c>
      <c r="U154" s="34">
        <v>28524</v>
      </c>
      <c r="V154" s="34">
        <v>420</v>
      </c>
      <c r="W154" s="34">
        <v>35228</v>
      </c>
      <c r="X154" s="34">
        <v>0</v>
      </c>
      <c r="Y154" s="34">
        <v>461454</v>
      </c>
      <c r="Z154" s="34">
        <v>64034</v>
      </c>
      <c r="AA154" s="34">
        <v>397420</v>
      </c>
      <c r="AB154" s="34">
        <v>265273</v>
      </c>
      <c r="AC154" s="34">
        <v>132147</v>
      </c>
    </row>
    <row r="155" spans="1:29" x14ac:dyDescent="0.25">
      <c r="A155" s="31" t="s">
        <v>140</v>
      </c>
      <c r="B155" s="31" t="s">
        <v>726</v>
      </c>
      <c r="C155" s="31" t="s">
        <v>163</v>
      </c>
      <c r="D155" s="31" t="s">
        <v>551</v>
      </c>
      <c r="E155" s="32">
        <v>89.13</v>
      </c>
      <c r="F155" s="33">
        <v>1097.5999999999999</v>
      </c>
      <c r="G155" s="32">
        <v>1186.73</v>
      </c>
      <c r="H155" s="32">
        <v>1.34</v>
      </c>
      <c r="I155" s="34">
        <v>32</v>
      </c>
      <c r="J155" s="33">
        <v>0</v>
      </c>
      <c r="K155" s="34">
        <v>1130</v>
      </c>
      <c r="L155" s="32">
        <v>341.32</v>
      </c>
      <c r="M155" s="32">
        <v>63.71</v>
      </c>
      <c r="N155" s="32">
        <v>70.05</v>
      </c>
      <c r="O155" s="32">
        <v>32.380000000000003</v>
      </c>
      <c r="P155" s="32">
        <v>3.77</v>
      </c>
      <c r="Q155" s="34">
        <v>405055</v>
      </c>
      <c r="R155" s="34">
        <v>0</v>
      </c>
      <c r="S155" s="34">
        <v>405055</v>
      </c>
      <c r="T155" s="34">
        <v>28797</v>
      </c>
      <c r="U155" s="34">
        <v>31663</v>
      </c>
      <c r="V155" s="34">
        <v>457</v>
      </c>
      <c r="W155" s="34">
        <v>38426</v>
      </c>
      <c r="X155" s="34">
        <v>0</v>
      </c>
      <c r="Y155" s="34">
        <v>504398</v>
      </c>
      <c r="Z155" s="34">
        <v>69848</v>
      </c>
      <c r="AA155" s="34">
        <v>434550</v>
      </c>
      <c r="AB155" s="34">
        <v>289357</v>
      </c>
      <c r="AC155" s="34">
        <v>145193</v>
      </c>
    </row>
    <row r="156" spans="1:29" x14ac:dyDescent="0.25">
      <c r="A156" s="31" t="s">
        <v>140</v>
      </c>
      <c r="B156" s="31" t="s">
        <v>726</v>
      </c>
      <c r="C156" s="31" t="s">
        <v>164</v>
      </c>
      <c r="D156" s="31" t="s">
        <v>552</v>
      </c>
      <c r="E156" s="32">
        <v>107.3</v>
      </c>
      <c r="F156" s="33">
        <v>701.8</v>
      </c>
      <c r="G156" s="32">
        <v>809.1</v>
      </c>
      <c r="H156" s="32">
        <v>0.92</v>
      </c>
      <c r="I156" s="34">
        <v>2</v>
      </c>
      <c r="J156" s="33">
        <v>0</v>
      </c>
      <c r="K156" s="34">
        <v>704</v>
      </c>
      <c r="L156" s="32">
        <v>341.32</v>
      </c>
      <c r="M156" s="32">
        <v>63.71</v>
      </c>
      <c r="N156" s="32">
        <v>70.05</v>
      </c>
      <c r="O156" s="32">
        <v>32.380000000000003</v>
      </c>
      <c r="P156" s="32">
        <v>3.77</v>
      </c>
      <c r="Q156" s="34">
        <v>276162</v>
      </c>
      <c r="R156" s="34">
        <v>4862</v>
      </c>
      <c r="S156" s="34">
        <v>281024</v>
      </c>
      <c r="T156" s="34">
        <v>17941</v>
      </c>
      <c r="U156" s="34">
        <v>19726</v>
      </c>
      <c r="V156" s="34">
        <v>314</v>
      </c>
      <c r="W156" s="34">
        <v>26538</v>
      </c>
      <c r="X156" s="34">
        <v>0</v>
      </c>
      <c r="Y156" s="34">
        <v>345543</v>
      </c>
      <c r="Z156" s="34">
        <v>47622</v>
      </c>
      <c r="AA156" s="34">
        <v>297921</v>
      </c>
      <c r="AB156" s="34">
        <v>197621</v>
      </c>
      <c r="AC156" s="34">
        <v>100300</v>
      </c>
    </row>
    <row r="157" spans="1:29" x14ac:dyDescent="0.25">
      <c r="A157" s="31" t="s">
        <v>140</v>
      </c>
      <c r="B157" s="31" t="s">
        <v>726</v>
      </c>
      <c r="C157" s="31" t="s">
        <v>165</v>
      </c>
      <c r="D157" s="31" t="s">
        <v>553</v>
      </c>
      <c r="E157" s="32">
        <v>42.4</v>
      </c>
      <c r="F157" s="33">
        <v>545.20000000000005</v>
      </c>
      <c r="G157" s="32">
        <v>587.6</v>
      </c>
      <c r="H157" s="32">
        <v>0.67</v>
      </c>
      <c r="I157" s="34">
        <v>4</v>
      </c>
      <c r="J157" s="33">
        <v>0</v>
      </c>
      <c r="K157" s="34">
        <v>549</v>
      </c>
      <c r="L157" s="32">
        <v>341.32</v>
      </c>
      <c r="M157" s="32">
        <v>63.71</v>
      </c>
      <c r="N157" s="32">
        <v>70.05</v>
      </c>
      <c r="O157" s="32">
        <v>32.380000000000003</v>
      </c>
      <c r="P157" s="32">
        <v>3.77</v>
      </c>
      <c r="Q157" s="34">
        <v>200560</v>
      </c>
      <c r="R157" s="34">
        <v>15209</v>
      </c>
      <c r="S157" s="34">
        <v>215769</v>
      </c>
      <c r="T157" s="34">
        <v>13991</v>
      </c>
      <c r="U157" s="34">
        <v>15383</v>
      </c>
      <c r="V157" s="34">
        <v>229</v>
      </c>
      <c r="W157" s="34">
        <v>19026</v>
      </c>
      <c r="X157" s="34">
        <v>0</v>
      </c>
      <c r="Y157" s="34">
        <v>264398</v>
      </c>
      <c r="Z157" s="34">
        <v>34584</v>
      </c>
      <c r="AA157" s="34">
        <v>229814</v>
      </c>
      <c r="AB157" s="34">
        <v>143275</v>
      </c>
      <c r="AC157" s="34">
        <v>86539</v>
      </c>
    </row>
    <row r="158" spans="1:29" x14ac:dyDescent="0.25">
      <c r="A158" s="31" t="s">
        <v>140</v>
      </c>
      <c r="B158" s="31" t="s">
        <v>726</v>
      </c>
      <c r="C158" s="31" t="s">
        <v>166</v>
      </c>
      <c r="D158" s="31" t="s">
        <v>554</v>
      </c>
      <c r="E158" s="32">
        <v>23.69</v>
      </c>
      <c r="F158" s="33">
        <v>193.6</v>
      </c>
      <c r="G158" s="32">
        <v>217.29</v>
      </c>
      <c r="H158" s="32">
        <v>0.25</v>
      </c>
      <c r="I158" s="34">
        <v>5</v>
      </c>
      <c r="J158" s="33">
        <v>0</v>
      </c>
      <c r="K158" s="34">
        <v>199</v>
      </c>
      <c r="L158" s="32">
        <v>341.32</v>
      </c>
      <c r="M158" s="32">
        <v>63.71</v>
      </c>
      <c r="N158" s="32">
        <v>70.05</v>
      </c>
      <c r="O158" s="32">
        <v>32.380000000000003</v>
      </c>
      <c r="P158" s="32">
        <v>3.77</v>
      </c>
      <c r="Q158" s="34">
        <v>74165</v>
      </c>
      <c r="R158" s="34">
        <v>5114</v>
      </c>
      <c r="S158" s="34">
        <v>79279</v>
      </c>
      <c r="T158" s="34">
        <v>5071</v>
      </c>
      <c r="U158" s="34">
        <v>5576</v>
      </c>
      <c r="V158" s="34">
        <v>85</v>
      </c>
      <c r="W158" s="34">
        <v>7505</v>
      </c>
      <c r="X158" s="34">
        <v>0</v>
      </c>
      <c r="Y158" s="34">
        <v>97516</v>
      </c>
      <c r="Z158" s="34">
        <v>12789</v>
      </c>
      <c r="AA158" s="34">
        <v>84727</v>
      </c>
      <c r="AB158" s="34">
        <v>53452</v>
      </c>
      <c r="AC158" s="34">
        <v>31275</v>
      </c>
    </row>
    <row r="159" spans="1:29" x14ac:dyDescent="0.25">
      <c r="A159" s="31" t="s">
        <v>140</v>
      </c>
      <c r="B159" s="31" t="s">
        <v>726</v>
      </c>
      <c r="C159" s="31" t="s">
        <v>167</v>
      </c>
      <c r="D159" s="31" t="s">
        <v>555</v>
      </c>
      <c r="E159" s="32">
        <v>107.9</v>
      </c>
      <c r="F159" s="33">
        <v>1442.4</v>
      </c>
      <c r="G159" s="32">
        <v>1550.3</v>
      </c>
      <c r="H159" s="32">
        <v>1.75</v>
      </c>
      <c r="I159" s="34">
        <v>12</v>
      </c>
      <c r="J159" s="33">
        <v>0</v>
      </c>
      <c r="K159" s="34">
        <v>1454</v>
      </c>
      <c r="L159" s="32">
        <v>341.32</v>
      </c>
      <c r="M159" s="32">
        <v>63.71</v>
      </c>
      <c r="N159" s="32">
        <v>70.05</v>
      </c>
      <c r="O159" s="32">
        <v>32.380000000000003</v>
      </c>
      <c r="P159" s="32">
        <v>3.77</v>
      </c>
      <c r="Q159" s="34">
        <v>529148</v>
      </c>
      <c r="R159" s="34">
        <v>0</v>
      </c>
      <c r="S159" s="34">
        <v>529148</v>
      </c>
      <c r="T159" s="34">
        <v>37054</v>
      </c>
      <c r="U159" s="34">
        <v>40741</v>
      </c>
      <c r="V159" s="34">
        <v>597</v>
      </c>
      <c r="W159" s="34">
        <v>50199</v>
      </c>
      <c r="X159" s="34">
        <v>0</v>
      </c>
      <c r="Y159" s="34">
        <v>657739</v>
      </c>
      <c r="Z159" s="34">
        <v>91247</v>
      </c>
      <c r="AA159" s="34">
        <v>566492</v>
      </c>
      <c r="AB159" s="34">
        <v>378006</v>
      </c>
      <c r="AC159" s="34">
        <v>188486</v>
      </c>
    </row>
    <row r="160" spans="1:29" x14ac:dyDescent="0.25">
      <c r="A160" s="31" t="s">
        <v>140</v>
      </c>
      <c r="B160" s="31" t="s">
        <v>726</v>
      </c>
      <c r="C160" s="31" t="s">
        <v>168</v>
      </c>
      <c r="D160" s="31" t="s">
        <v>556</v>
      </c>
      <c r="E160" s="32">
        <v>32.270000000000003</v>
      </c>
      <c r="F160" s="33">
        <v>411.1</v>
      </c>
      <c r="G160" s="32">
        <v>443.37</v>
      </c>
      <c r="H160" s="32">
        <v>0.5</v>
      </c>
      <c r="I160" s="34">
        <v>10</v>
      </c>
      <c r="J160" s="33">
        <v>0</v>
      </c>
      <c r="K160" s="34">
        <v>421</v>
      </c>
      <c r="L160" s="32">
        <v>341.32</v>
      </c>
      <c r="M160" s="32">
        <v>63.71</v>
      </c>
      <c r="N160" s="32">
        <v>70.05</v>
      </c>
      <c r="O160" s="32">
        <v>32.380000000000003</v>
      </c>
      <c r="P160" s="32">
        <v>3.77</v>
      </c>
      <c r="Q160" s="34">
        <v>151331</v>
      </c>
      <c r="R160" s="34">
        <v>0</v>
      </c>
      <c r="S160" s="34">
        <v>151331</v>
      </c>
      <c r="T160" s="34">
        <v>10729</v>
      </c>
      <c r="U160" s="34">
        <v>11796</v>
      </c>
      <c r="V160" s="34">
        <v>171</v>
      </c>
      <c r="W160" s="34">
        <v>14356</v>
      </c>
      <c r="X160" s="34">
        <v>0</v>
      </c>
      <c r="Y160" s="34">
        <v>188383</v>
      </c>
      <c r="Z160" s="34">
        <v>26095</v>
      </c>
      <c r="AA160" s="34">
        <v>162288</v>
      </c>
      <c r="AB160" s="34">
        <v>108106</v>
      </c>
      <c r="AC160" s="34">
        <v>54182</v>
      </c>
    </row>
    <row r="161" spans="1:29" x14ac:dyDescent="0.25">
      <c r="A161" s="31" t="s">
        <v>140</v>
      </c>
      <c r="B161" s="31" t="s">
        <v>726</v>
      </c>
      <c r="C161" s="31" t="s">
        <v>169</v>
      </c>
      <c r="D161" s="31" t="s">
        <v>557</v>
      </c>
      <c r="E161" s="32">
        <v>110.96</v>
      </c>
      <c r="F161" s="33">
        <v>809.8</v>
      </c>
      <c r="G161" s="32">
        <v>920.76</v>
      </c>
      <c r="H161" s="32">
        <v>1.04</v>
      </c>
      <c r="I161" s="34">
        <v>0</v>
      </c>
      <c r="J161" s="33">
        <v>0</v>
      </c>
      <c r="K161" s="34">
        <v>810</v>
      </c>
      <c r="L161" s="32">
        <v>341.32</v>
      </c>
      <c r="M161" s="32">
        <v>63.71</v>
      </c>
      <c r="N161" s="32">
        <v>70.05</v>
      </c>
      <c r="O161" s="32">
        <v>32.380000000000003</v>
      </c>
      <c r="P161" s="32">
        <v>3.77</v>
      </c>
      <c r="Q161" s="34">
        <v>314274</v>
      </c>
      <c r="R161" s="34">
        <v>5760</v>
      </c>
      <c r="S161" s="34">
        <v>320034</v>
      </c>
      <c r="T161" s="34">
        <v>20642</v>
      </c>
      <c r="U161" s="34">
        <v>22696</v>
      </c>
      <c r="V161" s="34">
        <v>355</v>
      </c>
      <c r="W161" s="34">
        <v>30295</v>
      </c>
      <c r="X161" s="34">
        <v>0</v>
      </c>
      <c r="Y161" s="34">
        <v>394022</v>
      </c>
      <c r="Z161" s="34">
        <v>54193</v>
      </c>
      <c r="AA161" s="34">
        <v>339829</v>
      </c>
      <c r="AB161" s="34">
        <v>224988</v>
      </c>
      <c r="AC161" s="34">
        <v>114841</v>
      </c>
    </row>
    <row r="162" spans="1:29" x14ac:dyDescent="0.25">
      <c r="A162" s="31" t="s">
        <v>140</v>
      </c>
      <c r="B162" s="31" t="s">
        <v>726</v>
      </c>
      <c r="C162" s="31" t="s">
        <v>170</v>
      </c>
      <c r="D162" s="31" t="s">
        <v>558</v>
      </c>
      <c r="E162" s="32">
        <v>201.51</v>
      </c>
      <c r="F162" s="33">
        <v>1612.4</v>
      </c>
      <c r="G162" s="32">
        <v>1813.91</v>
      </c>
      <c r="H162" s="32">
        <v>2.0499999999999998</v>
      </c>
      <c r="I162" s="34">
        <v>13</v>
      </c>
      <c r="J162" s="33">
        <v>0</v>
      </c>
      <c r="K162" s="34">
        <v>1625</v>
      </c>
      <c r="L162" s="32">
        <v>341.32</v>
      </c>
      <c r="M162" s="32">
        <v>63.71</v>
      </c>
      <c r="N162" s="32">
        <v>70.05</v>
      </c>
      <c r="O162" s="32">
        <v>32.380000000000003</v>
      </c>
      <c r="P162" s="32">
        <v>3.77</v>
      </c>
      <c r="Q162" s="34">
        <v>619124</v>
      </c>
      <c r="R162" s="34">
        <v>0</v>
      </c>
      <c r="S162" s="34">
        <v>619124</v>
      </c>
      <c r="T162" s="34">
        <v>41412</v>
      </c>
      <c r="U162" s="34">
        <v>45532</v>
      </c>
      <c r="V162" s="34">
        <v>700</v>
      </c>
      <c r="W162" s="34">
        <v>58734</v>
      </c>
      <c r="X162" s="34">
        <v>0</v>
      </c>
      <c r="Y162" s="34">
        <v>765502</v>
      </c>
      <c r="Z162" s="34">
        <v>106762</v>
      </c>
      <c r="AA162" s="34">
        <v>658740</v>
      </c>
      <c r="AB162" s="34">
        <v>442281</v>
      </c>
      <c r="AC162" s="34">
        <v>216459</v>
      </c>
    </row>
    <row r="163" spans="1:29" x14ac:dyDescent="0.25">
      <c r="A163" s="31" t="s">
        <v>140</v>
      </c>
      <c r="B163" s="31" t="s">
        <v>726</v>
      </c>
      <c r="C163" s="31" t="s">
        <v>171</v>
      </c>
      <c r="D163" s="31" t="s">
        <v>559</v>
      </c>
      <c r="E163" s="32">
        <v>229.91</v>
      </c>
      <c r="F163" s="33">
        <v>1648</v>
      </c>
      <c r="G163" s="32">
        <v>1877.91</v>
      </c>
      <c r="H163" s="32">
        <v>2.13</v>
      </c>
      <c r="I163" s="34">
        <v>83</v>
      </c>
      <c r="J163" s="33">
        <v>0.9</v>
      </c>
      <c r="K163" s="34">
        <v>1730</v>
      </c>
      <c r="L163" s="32">
        <v>341.32</v>
      </c>
      <c r="M163" s="32">
        <v>63.71</v>
      </c>
      <c r="N163" s="32">
        <v>70.05</v>
      </c>
      <c r="O163" s="32">
        <v>32.380000000000003</v>
      </c>
      <c r="P163" s="32">
        <v>3.77</v>
      </c>
      <c r="Q163" s="34">
        <v>640968</v>
      </c>
      <c r="R163" s="34">
        <v>0</v>
      </c>
      <c r="S163" s="34">
        <v>640968</v>
      </c>
      <c r="T163" s="34">
        <v>44087</v>
      </c>
      <c r="U163" s="34">
        <v>48475</v>
      </c>
      <c r="V163" s="34">
        <v>727</v>
      </c>
      <c r="W163" s="34">
        <v>60807</v>
      </c>
      <c r="X163" s="34">
        <v>0</v>
      </c>
      <c r="Y163" s="34">
        <v>795064</v>
      </c>
      <c r="Z163" s="34">
        <v>110529</v>
      </c>
      <c r="AA163" s="34">
        <v>684535</v>
      </c>
      <c r="AB163" s="34">
        <v>457889</v>
      </c>
      <c r="AC163" s="34">
        <v>226646</v>
      </c>
    </row>
    <row r="164" spans="1:29" x14ac:dyDescent="0.25">
      <c r="A164" s="31" t="s">
        <v>140</v>
      </c>
      <c r="B164" s="31" t="s">
        <v>726</v>
      </c>
      <c r="C164" s="31" t="s">
        <v>172</v>
      </c>
      <c r="D164" s="31" t="s">
        <v>560</v>
      </c>
      <c r="E164" s="32">
        <v>97.88</v>
      </c>
      <c r="F164" s="33">
        <v>779.5</v>
      </c>
      <c r="G164" s="32">
        <v>877.38</v>
      </c>
      <c r="H164" s="32">
        <v>0.99</v>
      </c>
      <c r="I164" s="34">
        <v>16</v>
      </c>
      <c r="J164" s="33">
        <v>0</v>
      </c>
      <c r="K164" s="34">
        <v>796</v>
      </c>
      <c r="L164" s="32">
        <v>341.32</v>
      </c>
      <c r="M164" s="32">
        <v>63.71</v>
      </c>
      <c r="N164" s="32">
        <v>70.05</v>
      </c>
      <c r="O164" s="32">
        <v>32.380000000000003</v>
      </c>
      <c r="P164" s="32">
        <v>3.77</v>
      </c>
      <c r="Q164" s="34">
        <v>299467</v>
      </c>
      <c r="R164" s="34">
        <v>0</v>
      </c>
      <c r="S164" s="34">
        <v>299467</v>
      </c>
      <c r="T164" s="34">
        <v>20285</v>
      </c>
      <c r="U164" s="34">
        <v>22304</v>
      </c>
      <c r="V164" s="34">
        <v>338</v>
      </c>
      <c r="W164" s="34">
        <v>28410</v>
      </c>
      <c r="X164" s="34">
        <v>0</v>
      </c>
      <c r="Y164" s="34">
        <v>370804</v>
      </c>
      <c r="Z164" s="34">
        <v>51640</v>
      </c>
      <c r="AA164" s="34">
        <v>319164</v>
      </c>
      <c r="AB164" s="34">
        <v>213930</v>
      </c>
      <c r="AC164" s="34">
        <v>105234</v>
      </c>
    </row>
    <row r="165" spans="1:29" x14ac:dyDescent="0.25">
      <c r="A165" s="31" t="s">
        <v>140</v>
      </c>
      <c r="B165" s="31" t="s">
        <v>726</v>
      </c>
      <c r="C165" s="31" t="s">
        <v>173</v>
      </c>
      <c r="D165" s="31" t="s">
        <v>561</v>
      </c>
      <c r="E165" s="32">
        <v>106.91</v>
      </c>
      <c r="F165" s="33">
        <v>1151</v>
      </c>
      <c r="G165" s="32">
        <v>1257.9100000000001</v>
      </c>
      <c r="H165" s="32">
        <v>1.42</v>
      </c>
      <c r="I165" s="34">
        <v>70</v>
      </c>
      <c r="J165" s="33">
        <v>0.6</v>
      </c>
      <c r="K165" s="34">
        <v>1220</v>
      </c>
      <c r="L165" s="32">
        <v>341.32</v>
      </c>
      <c r="M165" s="32">
        <v>63.71</v>
      </c>
      <c r="N165" s="32">
        <v>70.05</v>
      </c>
      <c r="O165" s="32">
        <v>32.380000000000003</v>
      </c>
      <c r="P165" s="32">
        <v>3.77</v>
      </c>
      <c r="Q165" s="34">
        <v>429350</v>
      </c>
      <c r="R165" s="34">
        <v>0</v>
      </c>
      <c r="S165" s="34">
        <v>429350</v>
      </c>
      <c r="T165" s="34">
        <v>31090</v>
      </c>
      <c r="U165" s="34">
        <v>34184</v>
      </c>
      <c r="V165" s="34">
        <v>485</v>
      </c>
      <c r="W165" s="34">
        <v>40731</v>
      </c>
      <c r="X165" s="34">
        <v>0</v>
      </c>
      <c r="Y165" s="34">
        <v>535840</v>
      </c>
      <c r="Z165" s="34">
        <v>74037</v>
      </c>
      <c r="AA165" s="34">
        <v>461803</v>
      </c>
      <c r="AB165" s="34">
        <v>306713</v>
      </c>
      <c r="AC165" s="34">
        <v>155090</v>
      </c>
    </row>
    <row r="166" spans="1:29" x14ac:dyDescent="0.25">
      <c r="A166" s="31" t="s">
        <v>174</v>
      </c>
      <c r="B166" s="31" t="s">
        <v>727</v>
      </c>
      <c r="C166" s="31" t="s">
        <v>175</v>
      </c>
      <c r="D166" s="31" t="s">
        <v>562</v>
      </c>
      <c r="E166" s="32">
        <v>45.62</v>
      </c>
      <c r="F166" s="33">
        <v>284.39999999999998</v>
      </c>
      <c r="G166" s="32">
        <v>330.02</v>
      </c>
      <c r="H166" s="32">
        <v>0</v>
      </c>
      <c r="I166" s="34">
        <v>0</v>
      </c>
      <c r="J166" s="33">
        <v>0</v>
      </c>
      <c r="K166" s="34">
        <v>284</v>
      </c>
      <c r="L166" s="32">
        <v>334.22</v>
      </c>
      <c r="M166" s="32">
        <v>63.59</v>
      </c>
      <c r="N166" s="32">
        <v>69.87</v>
      </c>
      <c r="O166" s="32">
        <v>28.61</v>
      </c>
      <c r="P166" s="32">
        <v>3.58</v>
      </c>
      <c r="Q166" s="34">
        <v>110299</v>
      </c>
      <c r="R166" s="34">
        <v>5369</v>
      </c>
      <c r="S166" s="34">
        <v>115668</v>
      </c>
      <c r="T166" s="34">
        <v>7224</v>
      </c>
      <c r="U166" s="34">
        <v>7937</v>
      </c>
      <c r="V166" s="34">
        <v>0</v>
      </c>
      <c r="W166" s="34">
        <v>9850</v>
      </c>
      <c r="X166" s="34">
        <v>0</v>
      </c>
      <c r="Y166" s="34">
        <v>140679</v>
      </c>
      <c r="Z166" s="34">
        <v>19424</v>
      </c>
      <c r="AA166" s="34">
        <v>121255</v>
      </c>
      <c r="AB166" s="34">
        <v>79531</v>
      </c>
      <c r="AC166" s="34">
        <v>41724</v>
      </c>
    </row>
    <row r="167" spans="1:29" x14ac:dyDescent="0.25">
      <c r="A167" s="31" t="s">
        <v>174</v>
      </c>
      <c r="B167" s="31" t="s">
        <v>727</v>
      </c>
      <c r="C167" s="31" t="s">
        <v>176</v>
      </c>
      <c r="D167" s="31" t="s">
        <v>563</v>
      </c>
      <c r="E167" s="32">
        <v>251.02</v>
      </c>
      <c r="F167" s="33">
        <v>2165.5</v>
      </c>
      <c r="G167" s="32">
        <v>2416.52</v>
      </c>
      <c r="H167" s="32">
        <v>0</v>
      </c>
      <c r="I167" s="34">
        <v>38</v>
      </c>
      <c r="J167" s="33">
        <v>0</v>
      </c>
      <c r="K167" s="34">
        <v>2204</v>
      </c>
      <c r="L167" s="32">
        <v>334.22</v>
      </c>
      <c r="M167" s="32">
        <v>63.59</v>
      </c>
      <c r="N167" s="32">
        <v>69.87</v>
      </c>
      <c r="O167" s="32">
        <v>28.61</v>
      </c>
      <c r="P167" s="32">
        <v>3.58</v>
      </c>
      <c r="Q167" s="34">
        <v>807649</v>
      </c>
      <c r="R167" s="34">
        <v>0</v>
      </c>
      <c r="S167" s="34">
        <v>807649</v>
      </c>
      <c r="T167" s="34">
        <v>56061</v>
      </c>
      <c r="U167" s="34">
        <v>61597</v>
      </c>
      <c r="V167" s="34">
        <v>0</v>
      </c>
      <c r="W167" s="34">
        <v>69137</v>
      </c>
      <c r="X167" s="34">
        <v>0</v>
      </c>
      <c r="Y167" s="34">
        <v>994444</v>
      </c>
      <c r="Z167" s="34">
        <v>142230</v>
      </c>
      <c r="AA167" s="34">
        <v>852214</v>
      </c>
      <c r="AB167" s="34">
        <v>579367</v>
      </c>
      <c r="AC167" s="34">
        <v>272847</v>
      </c>
    </row>
    <row r="168" spans="1:29" x14ac:dyDescent="0.25">
      <c r="A168" s="31" t="s">
        <v>174</v>
      </c>
      <c r="B168" s="31" t="s">
        <v>727</v>
      </c>
      <c r="C168" s="31" t="s">
        <v>177</v>
      </c>
      <c r="D168" s="31" t="s">
        <v>564</v>
      </c>
      <c r="E168" s="32">
        <v>664.08</v>
      </c>
      <c r="F168" s="33">
        <v>4546.5</v>
      </c>
      <c r="G168" s="32">
        <v>5210.58</v>
      </c>
      <c r="H168" s="32">
        <v>0</v>
      </c>
      <c r="I168" s="34">
        <v>143</v>
      </c>
      <c r="J168" s="33">
        <v>0.9</v>
      </c>
      <c r="K168" s="34">
        <v>4689</v>
      </c>
      <c r="L168" s="32">
        <v>334.22</v>
      </c>
      <c r="M168" s="32">
        <v>63.59</v>
      </c>
      <c r="N168" s="32">
        <v>69.87</v>
      </c>
      <c r="O168" s="32">
        <v>28.61</v>
      </c>
      <c r="P168" s="32">
        <v>3.58</v>
      </c>
      <c r="Q168" s="34">
        <v>1741480</v>
      </c>
      <c r="R168" s="34">
        <v>0</v>
      </c>
      <c r="S168" s="34">
        <v>1741480</v>
      </c>
      <c r="T168" s="34">
        <v>119270</v>
      </c>
      <c r="U168" s="34">
        <v>131048</v>
      </c>
      <c r="V168" s="34">
        <v>0</v>
      </c>
      <c r="W168" s="34">
        <v>149075</v>
      </c>
      <c r="X168" s="34">
        <v>0</v>
      </c>
      <c r="Y168" s="34">
        <v>2140873</v>
      </c>
      <c r="Z168" s="34">
        <v>306680</v>
      </c>
      <c r="AA168" s="34">
        <v>1834193</v>
      </c>
      <c r="AB168" s="34">
        <v>1249252</v>
      </c>
      <c r="AC168" s="34">
        <v>584941</v>
      </c>
    </row>
    <row r="169" spans="1:29" x14ac:dyDescent="0.25">
      <c r="A169" s="31" t="s">
        <v>174</v>
      </c>
      <c r="B169" s="31" t="s">
        <v>727</v>
      </c>
      <c r="C169" s="31" t="s">
        <v>178</v>
      </c>
      <c r="D169" s="31" t="s">
        <v>565</v>
      </c>
      <c r="E169" s="32">
        <v>1409.4</v>
      </c>
      <c r="F169" s="33">
        <v>12637.2</v>
      </c>
      <c r="G169" s="32">
        <v>14046.6</v>
      </c>
      <c r="H169" s="32">
        <v>0</v>
      </c>
      <c r="I169" s="34">
        <v>1081</v>
      </c>
      <c r="J169" s="33">
        <v>2.5</v>
      </c>
      <c r="K169" s="34">
        <v>13716</v>
      </c>
      <c r="L169" s="32">
        <v>334.22</v>
      </c>
      <c r="M169" s="32">
        <v>63.59</v>
      </c>
      <c r="N169" s="32">
        <v>69.87</v>
      </c>
      <c r="O169" s="32">
        <v>28.61</v>
      </c>
      <c r="P169" s="32">
        <v>3.58</v>
      </c>
      <c r="Q169" s="34">
        <v>4694655</v>
      </c>
      <c r="R169" s="34">
        <v>0</v>
      </c>
      <c r="S169" s="34">
        <v>4694655</v>
      </c>
      <c r="T169" s="34">
        <v>348880</v>
      </c>
      <c r="U169" s="34">
        <v>383335</v>
      </c>
      <c r="V169" s="34">
        <v>0</v>
      </c>
      <c r="W169" s="34">
        <v>401873</v>
      </c>
      <c r="X169" s="34">
        <v>0</v>
      </c>
      <c r="Y169" s="34">
        <v>5828743</v>
      </c>
      <c r="Z169" s="34">
        <v>826744</v>
      </c>
      <c r="AA169" s="34">
        <v>5001999</v>
      </c>
      <c r="AB169" s="34">
        <v>3367711</v>
      </c>
      <c r="AC169" s="34">
        <v>1634288</v>
      </c>
    </row>
    <row r="170" spans="1:29" x14ac:dyDescent="0.25">
      <c r="A170" s="31" t="s">
        <v>174</v>
      </c>
      <c r="B170" s="31" t="s">
        <v>727</v>
      </c>
      <c r="C170" s="31" t="s">
        <v>179</v>
      </c>
      <c r="D170" s="31" t="s">
        <v>566</v>
      </c>
      <c r="E170" s="32">
        <v>67.22</v>
      </c>
      <c r="F170" s="33">
        <v>510.5</v>
      </c>
      <c r="G170" s="32">
        <v>577.72</v>
      </c>
      <c r="H170" s="32">
        <v>0</v>
      </c>
      <c r="I170" s="34">
        <v>10</v>
      </c>
      <c r="J170" s="33">
        <v>0</v>
      </c>
      <c r="K170" s="34">
        <v>521</v>
      </c>
      <c r="L170" s="32">
        <v>334.22</v>
      </c>
      <c r="M170" s="32">
        <v>63.59</v>
      </c>
      <c r="N170" s="32">
        <v>69.87</v>
      </c>
      <c r="O170" s="32">
        <v>28.61</v>
      </c>
      <c r="P170" s="32">
        <v>3.58</v>
      </c>
      <c r="Q170" s="34">
        <v>193086</v>
      </c>
      <c r="R170" s="34">
        <v>0</v>
      </c>
      <c r="S170" s="34">
        <v>193086</v>
      </c>
      <c r="T170" s="34">
        <v>13252</v>
      </c>
      <c r="U170" s="34">
        <v>14561</v>
      </c>
      <c r="V170" s="34">
        <v>0</v>
      </c>
      <c r="W170" s="34">
        <v>16529</v>
      </c>
      <c r="X170" s="34">
        <v>0</v>
      </c>
      <c r="Y170" s="34">
        <v>237428</v>
      </c>
      <c r="Z170" s="34">
        <v>34003</v>
      </c>
      <c r="AA170" s="34">
        <v>203425</v>
      </c>
      <c r="AB170" s="34">
        <v>138510</v>
      </c>
      <c r="AC170" s="34">
        <v>64915</v>
      </c>
    </row>
    <row r="171" spans="1:29" x14ac:dyDescent="0.25">
      <c r="A171" s="31" t="s">
        <v>174</v>
      </c>
      <c r="B171" s="31" t="s">
        <v>727</v>
      </c>
      <c r="C171" s="31" t="s">
        <v>180</v>
      </c>
      <c r="D171" s="31" t="s">
        <v>567</v>
      </c>
      <c r="E171" s="32">
        <v>176.6</v>
      </c>
      <c r="F171" s="33">
        <v>1733.2</v>
      </c>
      <c r="G171" s="32">
        <v>1909.8</v>
      </c>
      <c r="H171" s="32">
        <v>0</v>
      </c>
      <c r="I171" s="34">
        <v>32</v>
      </c>
      <c r="J171" s="33">
        <v>0</v>
      </c>
      <c r="K171" s="34">
        <v>1765</v>
      </c>
      <c r="L171" s="32">
        <v>334.22</v>
      </c>
      <c r="M171" s="32">
        <v>63.59</v>
      </c>
      <c r="N171" s="32">
        <v>69.87</v>
      </c>
      <c r="O171" s="32">
        <v>28.61</v>
      </c>
      <c r="P171" s="32">
        <v>3.58</v>
      </c>
      <c r="Q171" s="34">
        <v>638293</v>
      </c>
      <c r="R171" s="34">
        <v>0</v>
      </c>
      <c r="S171" s="34">
        <v>638293</v>
      </c>
      <c r="T171" s="34">
        <v>44894</v>
      </c>
      <c r="U171" s="34">
        <v>49328</v>
      </c>
      <c r="V171" s="34">
        <v>0</v>
      </c>
      <c r="W171" s="34">
        <v>54639</v>
      </c>
      <c r="X171" s="34">
        <v>0</v>
      </c>
      <c r="Y171" s="34">
        <v>787154</v>
      </c>
      <c r="Z171" s="34">
        <v>112406</v>
      </c>
      <c r="AA171" s="34">
        <v>674748</v>
      </c>
      <c r="AB171" s="34">
        <v>457879</v>
      </c>
      <c r="AC171" s="34">
        <v>216869</v>
      </c>
    </row>
    <row r="172" spans="1:29" x14ac:dyDescent="0.25">
      <c r="A172" s="31" t="s">
        <v>174</v>
      </c>
      <c r="B172" s="31" t="s">
        <v>727</v>
      </c>
      <c r="C172" s="31" t="s">
        <v>181</v>
      </c>
      <c r="D172" s="31" t="s">
        <v>568</v>
      </c>
      <c r="E172" s="32">
        <v>31.58</v>
      </c>
      <c r="F172" s="33">
        <v>338.6</v>
      </c>
      <c r="G172" s="32">
        <v>370.18</v>
      </c>
      <c r="H172" s="32">
        <v>0</v>
      </c>
      <c r="I172" s="34">
        <v>4</v>
      </c>
      <c r="J172" s="33">
        <v>0</v>
      </c>
      <c r="K172" s="34">
        <v>343</v>
      </c>
      <c r="L172" s="32">
        <v>334.22</v>
      </c>
      <c r="M172" s="32">
        <v>63.59</v>
      </c>
      <c r="N172" s="32">
        <v>69.87</v>
      </c>
      <c r="O172" s="32">
        <v>28.61</v>
      </c>
      <c r="P172" s="32">
        <v>3.58</v>
      </c>
      <c r="Q172" s="34">
        <v>123722</v>
      </c>
      <c r="R172" s="34">
        <v>5750</v>
      </c>
      <c r="S172" s="34">
        <v>129472</v>
      </c>
      <c r="T172" s="34">
        <v>8724</v>
      </c>
      <c r="U172" s="34">
        <v>9586</v>
      </c>
      <c r="V172" s="34">
        <v>0</v>
      </c>
      <c r="W172" s="34">
        <v>11025</v>
      </c>
      <c r="X172" s="34">
        <v>0</v>
      </c>
      <c r="Y172" s="34">
        <v>158807</v>
      </c>
      <c r="Z172" s="34">
        <v>21788</v>
      </c>
      <c r="AA172" s="34">
        <v>137019</v>
      </c>
      <c r="AB172" s="34">
        <v>89186</v>
      </c>
      <c r="AC172" s="34">
        <v>47833</v>
      </c>
    </row>
    <row r="173" spans="1:29" x14ac:dyDescent="0.25">
      <c r="A173" s="31" t="s">
        <v>174</v>
      </c>
      <c r="B173" s="31" t="s">
        <v>727</v>
      </c>
      <c r="C173" s="31" t="s">
        <v>182</v>
      </c>
      <c r="D173" s="31" t="s">
        <v>569</v>
      </c>
      <c r="E173" s="32">
        <v>271.81</v>
      </c>
      <c r="F173" s="33">
        <v>2559.9</v>
      </c>
      <c r="G173" s="32">
        <v>2831.71</v>
      </c>
      <c r="H173" s="32">
        <v>0</v>
      </c>
      <c r="I173" s="34">
        <v>63</v>
      </c>
      <c r="J173" s="33">
        <v>0</v>
      </c>
      <c r="K173" s="34">
        <v>2623</v>
      </c>
      <c r="L173" s="32">
        <v>334.22</v>
      </c>
      <c r="M173" s="32">
        <v>63.59</v>
      </c>
      <c r="N173" s="32">
        <v>69.87</v>
      </c>
      <c r="O173" s="32">
        <v>28.61</v>
      </c>
      <c r="P173" s="32">
        <v>3.58</v>
      </c>
      <c r="Q173" s="34">
        <v>946414</v>
      </c>
      <c r="R173" s="34">
        <v>0</v>
      </c>
      <c r="S173" s="34">
        <v>946414</v>
      </c>
      <c r="T173" s="34">
        <v>66719</v>
      </c>
      <c r="U173" s="34">
        <v>73308</v>
      </c>
      <c r="V173" s="34">
        <v>0</v>
      </c>
      <c r="W173" s="34">
        <v>81015</v>
      </c>
      <c r="X173" s="34">
        <v>0</v>
      </c>
      <c r="Y173" s="34">
        <v>1167456</v>
      </c>
      <c r="Z173" s="34">
        <v>166667</v>
      </c>
      <c r="AA173" s="34">
        <v>1000789</v>
      </c>
      <c r="AB173" s="34">
        <v>678910</v>
      </c>
      <c r="AC173" s="34">
        <v>321879</v>
      </c>
    </row>
    <row r="174" spans="1:29" x14ac:dyDescent="0.25">
      <c r="A174" s="31" t="s">
        <v>174</v>
      </c>
      <c r="B174" s="31" t="s">
        <v>727</v>
      </c>
      <c r="C174" s="31" t="s">
        <v>183</v>
      </c>
      <c r="D174" s="31" t="s">
        <v>570</v>
      </c>
      <c r="E174" s="32">
        <v>353.33</v>
      </c>
      <c r="F174" s="33">
        <v>1996.2</v>
      </c>
      <c r="G174" s="32">
        <v>2349.5300000000002</v>
      </c>
      <c r="H174" s="32">
        <v>0</v>
      </c>
      <c r="I174" s="34">
        <v>168</v>
      </c>
      <c r="J174" s="33">
        <v>4</v>
      </c>
      <c r="K174" s="34">
        <v>2160</v>
      </c>
      <c r="L174" s="32">
        <v>334.22</v>
      </c>
      <c r="M174" s="32">
        <v>63.59</v>
      </c>
      <c r="N174" s="32">
        <v>69.87</v>
      </c>
      <c r="O174" s="32">
        <v>28.61</v>
      </c>
      <c r="P174" s="32">
        <v>3.58</v>
      </c>
      <c r="Q174" s="34">
        <v>785260</v>
      </c>
      <c r="R174" s="34">
        <v>0</v>
      </c>
      <c r="S174" s="34">
        <v>785260</v>
      </c>
      <c r="T174" s="34">
        <v>54942</v>
      </c>
      <c r="U174" s="34">
        <v>60368</v>
      </c>
      <c r="V174" s="34">
        <v>0</v>
      </c>
      <c r="W174" s="34">
        <v>67220</v>
      </c>
      <c r="X174" s="34">
        <v>0</v>
      </c>
      <c r="Y174" s="34">
        <v>967790</v>
      </c>
      <c r="Z174" s="34">
        <v>138287</v>
      </c>
      <c r="AA174" s="34">
        <v>829503</v>
      </c>
      <c r="AB174" s="34">
        <v>563306</v>
      </c>
      <c r="AC174" s="34">
        <v>266197</v>
      </c>
    </row>
    <row r="175" spans="1:29" x14ac:dyDescent="0.25">
      <c r="A175" s="31" t="s">
        <v>174</v>
      </c>
      <c r="B175" s="31" t="s">
        <v>727</v>
      </c>
      <c r="C175" s="31" t="s">
        <v>184</v>
      </c>
      <c r="D175" s="31" t="s">
        <v>571</v>
      </c>
      <c r="E175" s="32">
        <v>226.01</v>
      </c>
      <c r="F175" s="33">
        <v>1984.8</v>
      </c>
      <c r="G175" s="32">
        <v>2210.81</v>
      </c>
      <c r="H175" s="32">
        <v>0</v>
      </c>
      <c r="I175" s="34">
        <v>54</v>
      </c>
      <c r="J175" s="33">
        <v>0</v>
      </c>
      <c r="K175" s="34">
        <v>2039</v>
      </c>
      <c r="L175" s="32">
        <v>334.22</v>
      </c>
      <c r="M175" s="32">
        <v>63.59</v>
      </c>
      <c r="N175" s="32">
        <v>69.87</v>
      </c>
      <c r="O175" s="32">
        <v>28.61</v>
      </c>
      <c r="P175" s="32">
        <v>3.58</v>
      </c>
      <c r="Q175" s="34">
        <v>738897</v>
      </c>
      <c r="R175" s="34">
        <v>0</v>
      </c>
      <c r="S175" s="34">
        <v>738897</v>
      </c>
      <c r="T175" s="34">
        <v>51864</v>
      </c>
      <c r="U175" s="34">
        <v>56986</v>
      </c>
      <c r="V175" s="34">
        <v>0</v>
      </c>
      <c r="W175" s="34">
        <v>63251</v>
      </c>
      <c r="X175" s="34">
        <v>0</v>
      </c>
      <c r="Y175" s="34">
        <v>910998</v>
      </c>
      <c r="Z175" s="34">
        <v>130122</v>
      </c>
      <c r="AA175" s="34">
        <v>780876</v>
      </c>
      <c r="AB175" s="34">
        <v>530048</v>
      </c>
      <c r="AC175" s="34">
        <v>250828</v>
      </c>
    </row>
    <row r="176" spans="1:29" x14ac:dyDescent="0.25">
      <c r="A176" s="31" t="s">
        <v>174</v>
      </c>
      <c r="B176" s="31" t="s">
        <v>727</v>
      </c>
      <c r="C176" s="31" t="s">
        <v>185</v>
      </c>
      <c r="D176" s="31" t="s">
        <v>572</v>
      </c>
      <c r="E176" s="32">
        <v>278.76</v>
      </c>
      <c r="F176" s="33">
        <v>1613.7</v>
      </c>
      <c r="G176" s="32">
        <v>1892.46</v>
      </c>
      <c r="H176" s="32">
        <v>0</v>
      </c>
      <c r="I176" s="34">
        <v>935</v>
      </c>
      <c r="J176" s="33">
        <v>15.1</v>
      </c>
      <c r="K176" s="34">
        <v>2534</v>
      </c>
      <c r="L176" s="32">
        <v>334.22</v>
      </c>
      <c r="M176" s="32">
        <v>63.59</v>
      </c>
      <c r="N176" s="32">
        <v>69.87</v>
      </c>
      <c r="O176" s="32">
        <v>28.61</v>
      </c>
      <c r="P176" s="32">
        <v>3.58</v>
      </c>
      <c r="Q176" s="34">
        <v>632498</v>
      </c>
      <c r="R176" s="34">
        <v>0</v>
      </c>
      <c r="S176" s="34">
        <v>632498</v>
      </c>
      <c r="T176" s="34">
        <v>64455</v>
      </c>
      <c r="U176" s="34">
        <v>70820</v>
      </c>
      <c r="V176" s="34">
        <v>0</v>
      </c>
      <c r="W176" s="34">
        <v>54143</v>
      </c>
      <c r="X176" s="34">
        <v>0</v>
      </c>
      <c r="Y176" s="34">
        <v>821916</v>
      </c>
      <c r="Z176" s="34">
        <v>111384</v>
      </c>
      <c r="AA176" s="34">
        <v>710532</v>
      </c>
      <c r="AB176" s="34">
        <v>453723</v>
      </c>
      <c r="AC176" s="34">
        <v>256809</v>
      </c>
    </row>
    <row r="177" spans="1:29" x14ac:dyDescent="0.25">
      <c r="A177" s="31" t="s">
        <v>174</v>
      </c>
      <c r="B177" s="31" t="s">
        <v>727</v>
      </c>
      <c r="C177" s="31" t="s">
        <v>186</v>
      </c>
      <c r="D177" s="31" t="s">
        <v>573</v>
      </c>
      <c r="E177" s="32">
        <v>102.99</v>
      </c>
      <c r="F177" s="33">
        <v>710.6</v>
      </c>
      <c r="G177" s="32">
        <v>813.59</v>
      </c>
      <c r="H177" s="32">
        <v>0</v>
      </c>
      <c r="I177" s="34">
        <v>9</v>
      </c>
      <c r="J177" s="33">
        <v>0</v>
      </c>
      <c r="K177" s="34">
        <v>720</v>
      </c>
      <c r="L177" s="32">
        <v>334.22</v>
      </c>
      <c r="M177" s="32">
        <v>63.59</v>
      </c>
      <c r="N177" s="32">
        <v>69.87</v>
      </c>
      <c r="O177" s="32">
        <v>28.61</v>
      </c>
      <c r="P177" s="32">
        <v>3.58</v>
      </c>
      <c r="Q177" s="34">
        <v>271918</v>
      </c>
      <c r="R177" s="34">
        <v>0</v>
      </c>
      <c r="S177" s="34">
        <v>271918</v>
      </c>
      <c r="T177" s="34">
        <v>18314</v>
      </c>
      <c r="U177" s="34">
        <v>20122</v>
      </c>
      <c r="V177" s="34">
        <v>0</v>
      </c>
      <c r="W177" s="34">
        <v>23277</v>
      </c>
      <c r="X177" s="34">
        <v>0</v>
      </c>
      <c r="Y177" s="34">
        <v>333631</v>
      </c>
      <c r="Z177" s="34">
        <v>47886</v>
      </c>
      <c r="AA177" s="34">
        <v>285745</v>
      </c>
      <c r="AB177" s="34">
        <v>195060</v>
      </c>
      <c r="AC177" s="34">
        <v>90685</v>
      </c>
    </row>
    <row r="178" spans="1:29" x14ac:dyDescent="0.25">
      <c r="A178" s="31" t="s">
        <v>174</v>
      </c>
      <c r="B178" s="31" t="s">
        <v>727</v>
      </c>
      <c r="C178" s="31" t="s">
        <v>187</v>
      </c>
      <c r="D178" s="31" t="s">
        <v>574</v>
      </c>
      <c r="E178" s="32">
        <v>69.680000000000007</v>
      </c>
      <c r="F178" s="33">
        <v>441.7</v>
      </c>
      <c r="G178" s="32">
        <v>511.38</v>
      </c>
      <c r="H178" s="32">
        <v>0</v>
      </c>
      <c r="I178" s="34">
        <v>5</v>
      </c>
      <c r="J178" s="33">
        <v>0</v>
      </c>
      <c r="K178" s="34">
        <v>447</v>
      </c>
      <c r="L178" s="32">
        <v>334.22</v>
      </c>
      <c r="M178" s="32">
        <v>63.59</v>
      </c>
      <c r="N178" s="32">
        <v>69.87</v>
      </c>
      <c r="O178" s="32">
        <v>28.61</v>
      </c>
      <c r="P178" s="32">
        <v>3.58</v>
      </c>
      <c r="Q178" s="34">
        <v>170913</v>
      </c>
      <c r="R178" s="34">
        <v>950</v>
      </c>
      <c r="S178" s="34">
        <v>171863</v>
      </c>
      <c r="T178" s="34">
        <v>11370</v>
      </c>
      <c r="U178" s="34">
        <v>12493</v>
      </c>
      <c r="V178" s="34">
        <v>0</v>
      </c>
      <c r="W178" s="34">
        <v>14635</v>
      </c>
      <c r="X178" s="34">
        <v>0</v>
      </c>
      <c r="Y178" s="34">
        <v>210361</v>
      </c>
      <c r="Z178" s="34">
        <v>30099</v>
      </c>
      <c r="AA178" s="34">
        <v>180262</v>
      </c>
      <c r="AB178" s="34">
        <v>122609</v>
      </c>
      <c r="AC178" s="34">
        <v>57653</v>
      </c>
    </row>
    <row r="179" spans="1:29" x14ac:dyDescent="0.25">
      <c r="A179" s="31" t="s">
        <v>174</v>
      </c>
      <c r="B179" s="31" t="s">
        <v>727</v>
      </c>
      <c r="C179" s="31" t="s">
        <v>188</v>
      </c>
      <c r="D179" s="31" t="s">
        <v>575</v>
      </c>
      <c r="E179" s="32">
        <v>55.49</v>
      </c>
      <c r="F179" s="33">
        <v>454.9</v>
      </c>
      <c r="G179" s="32">
        <v>510.39</v>
      </c>
      <c r="H179" s="32">
        <v>0</v>
      </c>
      <c r="I179" s="34">
        <v>0</v>
      </c>
      <c r="J179" s="33">
        <v>0</v>
      </c>
      <c r="K179" s="34">
        <v>455</v>
      </c>
      <c r="L179" s="32">
        <v>334.22</v>
      </c>
      <c r="M179" s="32">
        <v>63.59</v>
      </c>
      <c r="N179" s="32">
        <v>69.87</v>
      </c>
      <c r="O179" s="32">
        <v>28.61</v>
      </c>
      <c r="P179" s="32">
        <v>3.58</v>
      </c>
      <c r="Q179" s="34">
        <v>170583</v>
      </c>
      <c r="R179" s="34">
        <v>0</v>
      </c>
      <c r="S179" s="34">
        <v>170583</v>
      </c>
      <c r="T179" s="34">
        <v>11573</v>
      </c>
      <c r="U179" s="34">
        <v>12716</v>
      </c>
      <c r="V179" s="34">
        <v>0</v>
      </c>
      <c r="W179" s="34">
        <v>14602</v>
      </c>
      <c r="X179" s="34">
        <v>0</v>
      </c>
      <c r="Y179" s="34">
        <v>209474</v>
      </c>
      <c r="Z179" s="34">
        <v>30040</v>
      </c>
      <c r="AA179" s="34">
        <v>179434</v>
      </c>
      <c r="AB179" s="34">
        <v>122367</v>
      </c>
      <c r="AC179" s="34">
        <v>57067</v>
      </c>
    </row>
    <row r="180" spans="1:29" x14ac:dyDescent="0.25">
      <c r="A180" s="31" t="s">
        <v>174</v>
      </c>
      <c r="B180" s="31" t="s">
        <v>727</v>
      </c>
      <c r="C180" s="31" t="s">
        <v>189</v>
      </c>
      <c r="D180" s="31" t="s">
        <v>576</v>
      </c>
      <c r="E180" s="32">
        <v>70.27</v>
      </c>
      <c r="F180" s="33">
        <v>435</v>
      </c>
      <c r="G180" s="32">
        <v>505.27</v>
      </c>
      <c r="H180" s="32">
        <v>0</v>
      </c>
      <c r="I180" s="34">
        <v>1</v>
      </c>
      <c r="J180" s="33">
        <v>0</v>
      </c>
      <c r="K180" s="34">
        <v>436</v>
      </c>
      <c r="L180" s="32">
        <v>334.22</v>
      </c>
      <c r="M180" s="32">
        <v>63.59</v>
      </c>
      <c r="N180" s="32">
        <v>69.87</v>
      </c>
      <c r="O180" s="32">
        <v>28.61</v>
      </c>
      <c r="P180" s="32">
        <v>3.58</v>
      </c>
      <c r="Q180" s="34">
        <v>168871</v>
      </c>
      <c r="R180" s="34">
        <v>0</v>
      </c>
      <c r="S180" s="34">
        <v>168871</v>
      </c>
      <c r="T180" s="34">
        <v>11090</v>
      </c>
      <c r="U180" s="34">
        <v>12185</v>
      </c>
      <c r="V180" s="34">
        <v>0</v>
      </c>
      <c r="W180" s="34">
        <v>14456</v>
      </c>
      <c r="X180" s="34">
        <v>0</v>
      </c>
      <c r="Y180" s="34">
        <v>206602</v>
      </c>
      <c r="Z180" s="34">
        <v>29739</v>
      </c>
      <c r="AA180" s="34">
        <v>176863</v>
      </c>
      <c r="AB180" s="34">
        <v>121140</v>
      </c>
      <c r="AC180" s="34">
        <v>55723</v>
      </c>
    </row>
    <row r="181" spans="1:29" x14ac:dyDescent="0.25">
      <c r="A181" s="31" t="s">
        <v>174</v>
      </c>
      <c r="B181" s="31" t="s">
        <v>727</v>
      </c>
      <c r="C181" s="31" t="s">
        <v>190</v>
      </c>
      <c r="D181" s="31" t="s">
        <v>577</v>
      </c>
      <c r="E181" s="32">
        <v>387.06</v>
      </c>
      <c r="F181" s="33">
        <v>3501.5</v>
      </c>
      <c r="G181" s="32">
        <v>3888.56</v>
      </c>
      <c r="H181" s="32">
        <v>0</v>
      </c>
      <c r="I181" s="34">
        <v>93</v>
      </c>
      <c r="J181" s="33">
        <v>0</v>
      </c>
      <c r="K181" s="34">
        <v>3595</v>
      </c>
      <c r="L181" s="32">
        <v>334.22</v>
      </c>
      <c r="M181" s="32">
        <v>63.59</v>
      </c>
      <c r="N181" s="32">
        <v>69.87</v>
      </c>
      <c r="O181" s="32">
        <v>28.61</v>
      </c>
      <c r="P181" s="32">
        <v>3.58</v>
      </c>
      <c r="Q181" s="34">
        <v>1299635</v>
      </c>
      <c r="R181" s="34">
        <v>0</v>
      </c>
      <c r="S181" s="34">
        <v>1299635</v>
      </c>
      <c r="T181" s="34">
        <v>91442</v>
      </c>
      <c r="U181" s="34">
        <v>100473</v>
      </c>
      <c r="V181" s="34">
        <v>0</v>
      </c>
      <c r="W181" s="34">
        <v>111252</v>
      </c>
      <c r="X181" s="34">
        <v>0</v>
      </c>
      <c r="Y181" s="34">
        <v>1602802</v>
      </c>
      <c r="Z181" s="34">
        <v>228870</v>
      </c>
      <c r="AA181" s="34">
        <v>1373932</v>
      </c>
      <c r="AB181" s="34">
        <v>932293</v>
      </c>
      <c r="AC181" s="34">
        <v>441639</v>
      </c>
    </row>
    <row r="182" spans="1:29" x14ac:dyDescent="0.25">
      <c r="A182" s="31" t="s">
        <v>174</v>
      </c>
      <c r="B182" s="31" t="s">
        <v>727</v>
      </c>
      <c r="C182" s="31" t="s">
        <v>191</v>
      </c>
      <c r="D182" s="31" t="s">
        <v>578</v>
      </c>
      <c r="E182" s="32">
        <v>5444.12</v>
      </c>
      <c r="F182" s="33">
        <v>30801.7</v>
      </c>
      <c r="G182" s="32">
        <v>36245.82</v>
      </c>
      <c r="H182" s="32">
        <v>0</v>
      </c>
      <c r="I182" s="34">
        <v>2481</v>
      </c>
      <c r="J182" s="33">
        <v>51.1</v>
      </c>
      <c r="K182" s="34">
        <v>33232</v>
      </c>
      <c r="L182" s="32">
        <v>334.22</v>
      </c>
      <c r="M182" s="32">
        <v>63.59</v>
      </c>
      <c r="N182" s="32">
        <v>69.87</v>
      </c>
      <c r="O182" s="32">
        <v>28.61</v>
      </c>
      <c r="P182" s="32">
        <v>3.58</v>
      </c>
      <c r="Q182" s="34">
        <v>12114078</v>
      </c>
      <c r="R182" s="34">
        <v>0</v>
      </c>
      <c r="S182" s="34">
        <v>12114078</v>
      </c>
      <c r="T182" s="34">
        <v>845289</v>
      </c>
      <c r="U182" s="34">
        <v>928768</v>
      </c>
      <c r="V182" s="34">
        <v>0</v>
      </c>
      <c r="W182" s="34">
        <v>1036993</v>
      </c>
      <c r="X182" s="34">
        <v>0</v>
      </c>
      <c r="Y182" s="34">
        <v>14925128</v>
      </c>
      <c r="Z182" s="34">
        <v>2133328</v>
      </c>
      <c r="AA182" s="34">
        <v>12791800</v>
      </c>
      <c r="AB182" s="34">
        <v>8690036</v>
      </c>
      <c r="AC182" s="34">
        <v>4101764</v>
      </c>
    </row>
    <row r="183" spans="1:29" x14ac:dyDescent="0.25">
      <c r="A183" s="31" t="s">
        <v>174</v>
      </c>
      <c r="B183" s="31" t="s">
        <v>727</v>
      </c>
      <c r="C183" s="31" t="s">
        <v>192</v>
      </c>
      <c r="D183" s="31" t="s">
        <v>579</v>
      </c>
      <c r="E183" s="32">
        <v>47.86</v>
      </c>
      <c r="F183" s="33">
        <v>576.6</v>
      </c>
      <c r="G183" s="32">
        <v>624.46</v>
      </c>
      <c r="H183" s="32">
        <v>0</v>
      </c>
      <c r="I183" s="34">
        <v>5</v>
      </c>
      <c r="J183" s="33">
        <v>0</v>
      </c>
      <c r="K183" s="34">
        <v>582</v>
      </c>
      <c r="L183" s="32">
        <v>334.22</v>
      </c>
      <c r="M183" s="32">
        <v>63.59</v>
      </c>
      <c r="N183" s="32">
        <v>69.87</v>
      </c>
      <c r="O183" s="32">
        <v>28.61</v>
      </c>
      <c r="P183" s="32">
        <v>3.58</v>
      </c>
      <c r="Q183" s="34">
        <v>208707</v>
      </c>
      <c r="R183" s="34">
        <v>0</v>
      </c>
      <c r="S183" s="34">
        <v>208707</v>
      </c>
      <c r="T183" s="34">
        <v>14804</v>
      </c>
      <c r="U183" s="34">
        <v>16266</v>
      </c>
      <c r="V183" s="34">
        <v>0</v>
      </c>
      <c r="W183" s="34">
        <v>17866</v>
      </c>
      <c r="X183" s="34">
        <v>0</v>
      </c>
      <c r="Y183" s="34">
        <v>257643</v>
      </c>
      <c r="Z183" s="34">
        <v>36754</v>
      </c>
      <c r="AA183" s="34">
        <v>220889</v>
      </c>
      <c r="AB183" s="34">
        <v>149716</v>
      </c>
      <c r="AC183" s="34">
        <v>71173</v>
      </c>
    </row>
    <row r="184" spans="1:29" x14ac:dyDescent="0.25">
      <c r="A184" s="31" t="s">
        <v>174</v>
      </c>
      <c r="B184" s="31" t="s">
        <v>727</v>
      </c>
      <c r="C184" s="31" t="s">
        <v>193</v>
      </c>
      <c r="D184" s="31" t="s">
        <v>580</v>
      </c>
      <c r="E184" s="32">
        <v>58.88</v>
      </c>
      <c r="F184" s="33">
        <v>417</v>
      </c>
      <c r="G184" s="32">
        <v>475.88</v>
      </c>
      <c r="H184" s="32">
        <v>0</v>
      </c>
      <c r="I184" s="34">
        <v>0</v>
      </c>
      <c r="J184" s="33">
        <v>0</v>
      </c>
      <c r="K184" s="34">
        <v>417</v>
      </c>
      <c r="L184" s="32">
        <v>334.22</v>
      </c>
      <c r="M184" s="32">
        <v>63.59</v>
      </c>
      <c r="N184" s="32">
        <v>69.87</v>
      </c>
      <c r="O184" s="32">
        <v>28.61</v>
      </c>
      <c r="P184" s="32">
        <v>3.58</v>
      </c>
      <c r="Q184" s="34">
        <v>159049</v>
      </c>
      <c r="R184" s="34">
        <v>0</v>
      </c>
      <c r="S184" s="34">
        <v>159049</v>
      </c>
      <c r="T184" s="34">
        <v>10607</v>
      </c>
      <c r="U184" s="34">
        <v>11654</v>
      </c>
      <c r="V184" s="34">
        <v>0</v>
      </c>
      <c r="W184" s="34">
        <v>13615</v>
      </c>
      <c r="X184" s="34">
        <v>0</v>
      </c>
      <c r="Y184" s="34">
        <v>194925</v>
      </c>
      <c r="Z184" s="34">
        <v>28009</v>
      </c>
      <c r="AA184" s="34">
        <v>166916</v>
      </c>
      <c r="AB184" s="34">
        <v>114094</v>
      </c>
      <c r="AC184" s="34">
        <v>52822</v>
      </c>
    </row>
    <row r="185" spans="1:29" x14ac:dyDescent="0.25">
      <c r="A185" s="31" t="s">
        <v>174</v>
      </c>
      <c r="B185" s="31" t="s">
        <v>727</v>
      </c>
      <c r="C185" s="31" t="s">
        <v>194</v>
      </c>
      <c r="D185" s="31" t="s">
        <v>581</v>
      </c>
      <c r="E185" s="32">
        <v>115.16</v>
      </c>
      <c r="F185" s="33">
        <v>1607.6</v>
      </c>
      <c r="G185" s="32">
        <v>1722.76</v>
      </c>
      <c r="H185" s="32">
        <v>0</v>
      </c>
      <c r="I185" s="34">
        <v>39</v>
      </c>
      <c r="J185" s="33">
        <v>0</v>
      </c>
      <c r="K185" s="34">
        <v>1647</v>
      </c>
      <c r="L185" s="32">
        <v>334.22</v>
      </c>
      <c r="M185" s="32">
        <v>63.59</v>
      </c>
      <c r="N185" s="32">
        <v>69.87</v>
      </c>
      <c r="O185" s="32">
        <v>28.61</v>
      </c>
      <c r="P185" s="32">
        <v>3.58</v>
      </c>
      <c r="Q185" s="34">
        <v>575781</v>
      </c>
      <c r="R185" s="34">
        <v>0</v>
      </c>
      <c r="S185" s="34">
        <v>575781</v>
      </c>
      <c r="T185" s="34">
        <v>41893</v>
      </c>
      <c r="U185" s="34">
        <v>46030</v>
      </c>
      <c r="V185" s="34">
        <v>0</v>
      </c>
      <c r="W185" s="34">
        <v>49288</v>
      </c>
      <c r="X185" s="34">
        <v>0</v>
      </c>
      <c r="Y185" s="34">
        <v>712992</v>
      </c>
      <c r="Z185" s="34">
        <v>101397</v>
      </c>
      <c r="AA185" s="34">
        <v>611595</v>
      </c>
      <c r="AB185" s="34">
        <v>413036</v>
      </c>
      <c r="AC185" s="34">
        <v>198559</v>
      </c>
    </row>
    <row r="186" spans="1:29" x14ac:dyDescent="0.25">
      <c r="A186" s="31" t="s">
        <v>174</v>
      </c>
      <c r="B186" s="31" t="s">
        <v>727</v>
      </c>
      <c r="C186" s="31" t="s">
        <v>195</v>
      </c>
      <c r="D186" s="31" t="s">
        <v>582</v>
      </c>
      <c r="E186" s="32">
        <v>36.619999999999997</v>
      </c>
      <c r="F186" s="33">
        <v>307.3</v>
      </c>
      <c r="G186" s="32">
        <v>343.92</v>
      </c>
      <c r="H186" s="32">
        <v>0</v>
      </c>
      <c r="I186" s="34">
        <v>17</v>
      </c>
      <c r="J186" s="33">
        <v>0</v>
      </c>
      <c r="K186" s="34">
        <v>324</v>
      </c>
      <c r="L186" s="32">
        <v>334.22</v>
      </c>
      <c r="M186" s="32">
        <v>63.59</v>
      </c>
      <c r="N186" s="32">
        <v>69.87</v>
      </c>
      <c r="O186" s="32">
        <v>28.61</v>
      </c>
      <c r="P186" s="32">
        <v>3.58</v>
      </c>
      <c r="Q186" s="34">
        <v>114945</v>
      </c>
      <c r="R186" s="34">
        <v>0</v>
      </c>
      <c r="S186" s="34">
        <v>114945</v>
      </c>
      <c r="T186" s="34">
        <v>8241</v>
      </c>
      <c r="U186" s="34">
        <v>9055</v>
      </c>
      <c r="V186" s="34">
        <v>0</v>
      </c>
      <c r="W186" s="34">
        <v>9840</v>
      </c>
      <c r="X186" s="34">
        <v>0</v>
      </c>
      <c r="Y186" s="34">
        <v>142081</v>
      </c>
      <c r="Z186" s="34">
        <v>20242</v>
      </c>
      <c r="AA186" s="34">
        <v>121839</v>
      </c>
      <c r="AB186" s="34">
        <v>82456</v>
      </c>
      <c r="AC186" s="34">
        <v>39383</v>
      </c>
    </row>
    <row r="187" spans="1:29" x14ac:dyDescent="0.25">
      <c r="A187" s="31" t="s">
        <v>174</v>
      </c>
      <c r="B187" s="31" t="s">
        <v>727</v>
      </c>
      <c r="C187" s="31" t="s">
        <v>196</v>
      </c>
      <c r="D187" s="31" t="s">
        <v>583</v>
      </c>
      <c r="E187" s="32">
        <v>44.1</v>
      </c>
      <c r="F187" s="33">
        <v>395.4</v>
      </c>
      <c r="G187" s="32">
        <v>439.5</v>
      </c>
      <c r="H187" s="32">
        <v>0</v>
      </c>
      <c r="I187" s="34">
        <v>0</v>
      </c>
      <c r="J187" s="33">
        <v>0</v>
      </c>
      <c r="K187" s="34">
        <v>395</v>
      </c>
      <c r="L187" s="32">
        <v>334.22</v>
      </c>
      <c r="M187" s="32">
        <v>63.59</v>
      </c>
      <c r="N187" s="32">
        <v>69.87</v>
      </c>
      <c r="O187" s="32">
        <v>28.61</v>
      </c>
      <c r="P187" s="32">
        <v>3.58</v>
      </c>
      <c r="Q187" s="34">
        <v>146890</v>
      </c>
      <c r="R187" s="34">
        <v>2990</v>
      </c>
      <c r="S187" s="34">
        <v>149880</v>
      </c>
      <c r="T187" s="34">
        <v>10047</v>
      </c>
      <c r="U187" s="34">
        <v>11040</v>
      </c>
      <c r="V187" s="34">
        <v>0</v>
      </c>
      <c r="W187" s="34">
        <v>12574</v>
      </c>
      <c r="X187" s="34">
        <v>0</v>
      </c>
      <c r="Y187" s="34">
        <v>183541</v>
      </c>
      <c r="Z187" s="34">
        <v>25867</v>
      </c>
      <c r="AA187" s="34">
        <v>157674</v>
      </c>
      <c r="AB187" s="34">
        <v>105372</v>
      </c>
      <c r="AC187" s="34">
        <v>52302</v>
      </c>
    </row>
    <row r="188" spans="1:29" x14ac:dyDescent="0.25">
      <c r="A188" s="31" t="s">
        <v>174</v>
      </c>
      <c r="B188" s="31" t="s">
        <v>727</v>
      </c>
      <c r="C188" s="31" t="s">
        <v>197</v>
      </c>
      <c r="D188" s="31" t="s">
        <v>584</v>
      </c>
      <c r="E188" s="32">
        <v>467.84</v>
      </c>
      <c r="F188" s="33">
        <v>3422.7</v>
      </c>
      <c r="G188" s="32">
        <v>3890.54</v>
      </c>
      <c r="H188" s="32">
        <v>0</v>
      </c>
      <c r="I188" s="34">
        <v>106</v>
      </c>
      <c r="J188" s="33">
        <v>0</v>
      </c>
      <c r="K188" s="34">
        <v>3529</v>
      </c>
      <c r="L188" s="32">
        <v>334.22</v>
      </c>
      <c r="M188" s="32">
        <v>63.59</v>
      </c>
      <c r="N188" s="32">
        <v>69.87</v>
      </c>
      <c r="O188" s="32">
        <v>28.61</v>
      </c>
      <c r="P188" s="32">
        <v>3.58</v>
      </c>
      <c r="Q188" s="34">
        <v>1300296</v>
      </c>
      <c r="R188" s="34">
        <v>0</v>
      </c>
      <c r="S188" s="34">
        <v>1300296</v>
      </c>
      <c r="T188" s="34">
        <v>89764</v>
      </c>
      <c r="U188" s="34">
        <v>98628</v>
      </c>
      <c r="V188" s="34">
        <v>0</v>
      </c>
      <c r="W188" s="34">
        <v>111308</v>
      </c>
      <c r="X188" s="34">
        <v>0</v>
      </c>
      <c r="Y188" s="34">
        <v>1599996</v>
      </c>
      <c r="Z188" s="34">
        <v>228986</v>
      </c>
      <c r="AA188" s="34">
        <v>1371010</v>
      </c>
      <c r="AB188" s="34">
        <v>932768</v>
      </c>
      <c r="AC188" s="34">
        <v>438242</v>
      </c>
    </row>
    <row r="189" spans="1:29" x14ac:dyDescent="0.25">
      <c r="A189" s="31" t="s">
        <v>174</v>
      </c>
      <c r="B189" s="31" t="s">
        <v>727</v>
      </c>
      <c r="C189" s="31" t="s">
        <v>198</v>
      </c>
      <c r="D189" s="31" t="s">
        <v>585</v>
      </c>
      <c r="E189" s="32">
        <v>92.31</v>
      </c>
      <c r="F189" s="33">
        <v>825</v>
      </c>
      <c r="G189" s="32">
        <v>917.31</v>
      </c>
      <c r="H189" s="32">
        <v>0</v>
      </c>
      <c r="I189" s="34">
        <v>14</v>
      </c>
      <c r="J189" s="33">
        <v>0</v>
      </c>
      <c r="K189" s="34">
        <v>839</v>
      </c>
      <c r="L189" s="32">
        <v>334.22</v>
      </c>
      <c r="M189" s="32">
        <v>63.59</v>
      </c>
      <c r="N189" s="32">
        <v>69.87</v>
      </c>
      <c r="O189" s="32">
        <v>28.61</v>
      </c>
      <c r="P189" s="32">
        <v>3.58</v>
      </c>
      <c r="Q189" s="34">
        <v>306583</v>
      </c>
      <c r="R189" s="34">
        <v>0</v>
      </c>
      <c r="S189" s="34">
        <v>306583</v>
      </c>
      <c r="T189" s="34">
        <v>21341</v>
      </c>
      <c r="U189" s="34">
        <v>23448</v>
      </c>
      <c r="V189" s="34">
        <v>0</v>
      </c>
      <c r="W189" s="34">
        <v>26244</v>
      </c>
      <c r="X189" s="34">
        <v>0</v>
      </c>
      <c r="Y189" s="34">
        <v>377616</v>
      </c>
      <c r="Z189" s="34">
        <v>53990</v>
      </c>
      <c r="AA189" s="34">
        <v>323626</v>
      </c>
      <c r="AB189" s="34">
        <v>219928</v>
      </c>
      <c r="AC189" s="34">
        <v>103698</v>
      </c>
    </row>
    <row r="190" spans="1:29" x14ac:dyDescent="0.25">
      <c r="A190" s="31" t="s">
        <v>174</v>
      </c>
      <c r="B190" s="31" t="s">
        <v>727</v>
      </c>
      <c r="C190" s="31" t="s">
        <v>199</v>
      </c>
      <c r="D190" s="31" t="s">
        <v>586</v>
      </c>
      <c r="E190" s="32">
        <v>803.06</v>
      </c>
      <c r="F190" s="33">
        <v>6838.4</v>
      </c>
      <c r="G190" s="32">
        <v>7641.46</v>
      </c>
      <c r="H190" s="32">
        <v>0</v>
      </c>
      <c r="I190" s="34">
        <v>455</v>
      </c>
      <c r="J190" s="33">
        <v>0</v>
      </c>
      <c r="K190" s="34">
        <v>7293</v>
      </c>
      <c r="L190" s="32">
        <v>334.22</v>
      </c>
      <c r="M190" s="32">
        <v>63.59</v>
      </c>
      <c r="N190" s="32">
        <v>69.87</v>
      </c>
      <c r="O190" s="32">
        <v>28.61</v>
      </c>
      <c r="P190" s="32">
        <v>3.58</v>
      </c>
      <c r="Q190" s="34">
        <v>2553929</v>
      </c>
      <c r="R190" s="34">
        <v>0</v>
      </c>
      <c r="S190" s="34">
        <v>2553929</v>
      </c>
      <c r="T190" s="34">
        <v>185505</v>
      </c>
      <c r="U190" s="34">
        <v>203825</v>
      </c>
      <c r="V190" s="34">
        <v>0</v>
      </c>
      <c r="W190" s="34">
        <v>218622</v>
      </c>
      <c r="X190" s="34">
        <v>0</v>
      </c>
      <c r="Y190" s="34">
        <v>3161881</v>
      </c>
      <c r="Z190" s="34">
        <v>449755</v>
      </c>
      <c r="AA190" s="34">
        <v>2712126</v>
      </c>
      <c r="AB190" s="34">
        <v>1832061</v>
      </c>
      <c r="AC190" s="34">
        <v>880065</v>
      </c>
    </row>
    <row r="191" spans="1:29" x14ac:dyDescent="0.25">
      <c r="A191" s="31" t="s">
        <v>174</v>
      </c>
      <c r="B191" s="31" t="s">
        <v>727</v>
      </c>
      <c r="C191" s="31" t="s">
        <v>200</v>
      </c>
      <c r="D191" s="31" t="s">
        <v>587</v>
      </c>
      <c r="E191" s="32">
        <v>241.12</v>
      </c>
      <c r="F191" s="33">
        <v>1717.4</v>
      </c>
      <c r="G191" s="32">
        <v>1958.52</v>
      </c>
      <c r="H191" s="32">
        <v>0</v>
      </c>
      <c r="I191" s="34">
        <v>11</v>
      </c>
      <c r="J191" s="33">
        <v>0</v>
      </c>
      <c r="K191" s="34">
        <v>1728</v>
      </c>
      <c r="L191" s="32">
        <v>334.22</v>
      </c>
      <c r="M191" s="32">
        <v>63.59</v>
      </c>
      <c r="N191" s="32">
        <v>69.87</v>
      </c>
      <c r="O191" s="32">
        <v>28.61</v>
      </c>
      <c r="P191" s="32">
        <v>3.58</v>
      </c>
      <c r="Q191" s="34">
        <v>654577</v>
      </c>
      <c r="R191" s="34">
        <v>0</v>
      </c>
      <c r="S191" s="34">
        <v>654577</v>
      </c>
      <c r="T191" s="34">
        <v>43954</v>
      </c>
      <c r="U191" s="34">
        <v>48294</v>
      </c>
      <c r="V191" s="34">
        <v>0</v>
      </c>
      <c r="W191" s="34">
        <v>56033</v>
      </c>
      <c r="X191" s="34">
        <v>0</v>
      </c>
      <c r="Y191" s="34">
        <v>802858</v>
      </c>
      <c r="Z191" s="34">
        <v>115273</v>
      </c>
      <c r="AA191" s="34">
        <v>687585</v>
      </c>
      <c r="AB191" s="34">
        <v>469560</v>
      </c>
      <c r="AC191" s="34">
        <v>218025</v>
      </c>
    </row>
    <row r="192" spans="1:29" x14ac:dyDescent="0.25">
      <c r="A192" s="31" t="s">
        <v>174</v>
      </c>
      <c r="B192" s="31" t="s">
        <v>727</v>
      </c>
      <c r="C192" s="31" t="s">
        <v>201</v>
      </c>
      <c r="D192" s="31" t="s">
        <v>588</v>
      </c>
      <c r="E192" s="32">
        <v>58.29</v>
      </c>
      <c r="F192" s="33">
        <v>437.5</v>
      </c>
      <c r="G192" s="32">
        <v>495.79</v>
      </c>
      <c r="H192" s="32">
        <v>0</v>
      </c>
      <c r="I192" s="34">
        <v>61</v>
      </c>
      <c r="J192" s="33">
        <v>0</v>
      </c>
      <c r="K192" s="34">
        <v>499</v>
      </c>
      <c r="L192" s="32">
        <v>334.22</v>
      </c>
      <c r="M192" s="32">
        <v>63.59</v>
      </c>
      <c r="N192" s="32">
        <v>69.87</v>
      </c>
      <c r="O192" s="32">
        <v>28.61</v>
      </c>
      <c r="P192" s="32">
        <v>3.58</v>
      </c>
      <c r="Q192" s="34">
        <v>165703</v>
      </c>
      <c r="R192" s="34">
        <v>0</v>
      </c>
      <c r="S192" s="34">
        <v>165703</v>
      </c>
      <c r="T192" s="34">
        <v>12692</v>
      </c>
      <c r="U192" s="34">
        <v>13946</v>
      </c>
      <c r="V192" s="34">
        <v>0</v>
      </c>
      <c r="W192" s="34">
        <v>14185</v>
      </c>
      <c r="X192" s="34">
        <v>0</v>
      </c>
      <c r="Y192" s="34">
        <v>206526</v>
      </c>
      <c r="Z192" s="34">
        <v>29181</v>
      </c>
      <c r="AA192" s="34">
        <v>177345</v>
      </c>
      <c r="AB192" s="34">
        <v>118867</v>
      </c>
      <c r="AC192" s="34">
        <v>58478</v>
      </c>
    </row>
    <row r="193" spans="1:29" x14ac:dyDescent="0.25">
      <c r="A193" s="31" t="s">
        <v>174</v>
      </c>
      <c r="B193" s="31" t="s">
        <v>727</v>
      </c>
      <c r="C193" s="31" t="s">
        <v>202</v>
      </c>
      <c r="D193" s="31" t="s">
        <v>589</v>
      </c>
      <c r="E193" s="32">
        <v>82.85</v>
      </c>
      <c r="F193" s="33">
        <v>643.70000000000005</v>
      </c>
      <c r="G193" s="32">
        <v>726.55</v>
      </c>
      <c r="H193" s="32">
        <v>0</v>
      </c>
      <c r="I193" s="34">
        <v>1</v>
      </c>
      <c r="J193" s="33">
        <v>0</v>
      </c>
      <c r="K193" s="34">
        <v>645</v>
      </c>
      <c r="L193" s="32">
        <v>334.22</v>
      </c>
      <c r="M193" s="32">
        <v>63.59</v>
      </c>
      <c r="N193" s="32">
        <v>69.87</v>
      </c>
      <c r="O193" s="32">
        <v>28.61</v>
      </c>
      <c r="P193" s="32">
        <v>3.58</v>
      </c>
      <c r="Q193" s="34">
        <v>242828</v>
      </c>
      <c r="R193" s="34">
        <v>2980</v>
      </c>
      <c r="S193" s="34">
        <v>245808</v>
      </c>
      <c r="T193" s="34">
        <v>16406</v>
      </c>
      <c r="U193" s="34">
        <v>18026</v>
      </c>
      <c r="V193" s="34">
        <v>0</v>
      </c>
      <c r="W193" s="34">
        <v>20932</v>
      </c>
      <c r="X193" s="34">
        <v>0</v>
      </c>
      <c r="Y193" s="34">
        <v>301172</v>
      </c>
      <c r="Z193" s="34">
        <v>42763</v>
      </c>
      <c r="AA193" s="34">
        <v>258409</v>
      </c>
      <c r="AB193" s="34">
        <v>174338</v>
      </c>
      <c r="AC193" s="34">
        <v>84071</v>
      </c>
    </row>
    <row r="194" spans="1:29" x14ac:dyDescent="0.25">
      <c r="A194" s="31" t="s">
        <v>174</v>
      </c>
      <c r="B194" s="31" t="s">
        <v>727</v>
      </c>
      <c r="C194" s="31" t="s">
        <v>203</v>
      </c>
      <c r="D194" s="31" t="s">
        <v>590</v>
      </c>
      <c r="E194" s="32">
        <v>52.66</v>
      </c>
      <c r="F194" s="33">
        <v>487.5</v>
      </c>
      <c r="G194" s="32">
        <v>540.16</v>
      </c>
      <c r="H194" s="32">
        <v>0</v>
      </c>
      <c r="I194" s="34">
        <v>22</v>
      </c>
      <c r="J194" s="33">
        <v>0</v>
      </c>
      <c r="K194" s="34">
        <v>510</v>
      </c>
      <c r="L194" s="32">
        <v>334.22</v>
      </c>
      <c r="M194" s="32">
        <v>63.59</v>
      </c>
      <c r="N194" s="32">
        <v>69.87</v>
      </c>
      <c r="O194" s="32">
        <v>28.61</v>
      </c>
      <c r="P194" s="32">
        <v>3.58</v>
      </c>
      <c r="Q194" s="34">
        <v>180532</v>
      </c>
      <c r="R194" s="34">
        <v>0</v>
      </c>
      <c r="S194" s="34">
        <v>180532</v>
      </c>
      <c r="T194" s="34">
        <v>12972</v>
      </c>
      <c r="U194" s="34">
        <v>14254</v>
      </c>
      <c r="V194" s="34">
        <v>0</v>
      </c>
      <c r="W194" s="34">
        <v>15454</v>
      </c>
      <c r="X194" s="34">
        <v>0</v>
      </c>
      <c r="Y194" s="34">
        <v>223212</v>
      </c>
      <c r="Z194" s="34">
        <v>31792</v>
      </c>
      <c r="AA194" s="34">
        <v>191420</v>
      </c>
      <c r="AB194" s="34">
        <v>129505</v>
      </c>
      <c r="AC194" s="34">
        <v>61915</v>
      </c>
    </row>
    <row r="195" spans="1:29" x14ac:dyDescent="0.25">
      <c r="A195" s="31" t="s">
        <v>174</v>
      </c>
      <c r="B195" s="31" t="s">
        <v>727</v>
      </c>
      <c r="C195" s="31" t="s">
        <v>204</v>
      </c>
      <c r="D195" s="31" t="s">
        <v>591</v>
      </c>
      <c r="E195" s="32">
        <v>31.72</v>
      </c>
      <c r="F195" s="33">
        <v>283.39999999999998</v>
      </c>
      <c r="G195" s="32">
        <v>315.12</v>
      </c>
      <c r="H195" s="32">
        <v>0</v>
      </c>
      <c r="I195" s="34">
        <v>0</v>
      </c>
      <c r="J195" s="33">
        <v>0</v>
      </c>
      <c r="K195" s="34">
        <v>283</v>
      </c>
      <c r="L195" s="32">
        <v>334.22</v>
      </c>
      <c r="M195" s="32">
        <v>63.59</v>
      </c>
      <c r="N195" s="32">
        <v>69.87</v>
      </c>
      <c r="O195" s="32">
        <v>28.61</v>
      </c>
      <c r="P195" s="32">
        <v>3.58</v>
      </c>
      <c r="Q195" s="34">
        <v>105319</v>
      </c>
      <c r="R195" s="34">
        <v>11586</v>
      </c>
      <c r="S195" s="34">
        <v>116905</v>
      </c>
      <c r="T195" s="34">
        <v>7198</v>
      </c>
      <c r="U195" s="34">
        <v>7909</v>
      </c>
      <c r="V195" s="34">
        <v>0</v>
      </c>
      <c r="W195" s="34">
        <v>9476</v>
      </c>
      <c r="X195" s="34">
        <v>0</v>
      </c>
      <c r="Y195" s="34">
        <v>141488</v>
      </c>
      <c r="Z195" s="34">
        <v>18547</v>
      </c>
      <c r="AA195" s="34">
        <v>122941</v>
      </c>
      <c r="AB195" s="34">
        <v>76011</v>
      </c>
      <c r="AC195" s="34">
        <v>46930</v>
      </c>
    </row>
    <row r="196" spans="1:29" x14ac:dyDescent="0.25">
      <c r="A196" s="31" t="s">
        <v>174</v>
      </c>
      <c r="B196" s="31" t="s">
        <v>727</v>
      </c>
      <c r="C196" s="31" t="s">
        <v>205</v>
      </c>
      <c r="D196" s="31" t="s">
        <v>592</v>
      </c>
      <c r="E196" s="32">
        <v>164.39</v>
      </c>
      <c r="F196" s="33">
        <v>1385.9</v>
      </c>
      <c r="G196" s="32">
        <v>1550.29</v>
      </c>
      <c r="H196" s="32">
        <v>0</v>
      </c>
      <c r="I196" s="34">
        <v>9</v>
      </c>
      <c r="J196" s="33">
        <v>0</v>
      </c>
      <c r="K196" s="34">
        <v>1395</v>
      </c>
      <c r="L196" s="32">
        <v>334.22</v>
      </c>
      <c r="M196" s="32">
        <v>63.59</v>
      </c>
      <c r="N196" s="32">
        <v>69.87</v>
      </c>
      <c r="O196" s="32">
        <v>28.61</v>
      </c>
      <c r="P196" s="32">
        <v>3.58</v>
      </c>
      <c r="Q196" s="34">
        <v>518138</v>
      </c>
      <c r="R196" s="34">
        <v>0</v>
      </c>
      <c r="S196" s="34">
        <v>518138</v>
      </c>
      <c r="T196" s="34">
        <v>35483</v>
      </c>
      <c r="U196" s="34">
        <v>38988</v>
      </c>
      <c r="V196" s="34">
        <v>0</v>
      </c>
      <c r="W196" s="34">
        <v>44354</v>
      </c>
      <c r="X196" s="34">
        <v>0</v>
      </c>
      <c r="Y196" s="34">
        <v>636963</v>
      </c>
      <c r="Z196" s="34">
        <v>91246</v>
      </c>
      <c r="AA196" s="34">
        <v>545717</v>
      </c>
      <c r="AB196" s="34">
        <v>371686</v>
      </c>
      <c r="AC196" s="34">
        <v>174031</v>
      </c>
    </row>
    <row r="197" spans="1:29" x14ac:dyDescent="0.25">
      <c r="A197" s="31" t="s">
        <v>174</v>
      </c>
      <c r="B197" s="31" t="s">
        <v>727</v>
      </c>
      <c r="C197" s="31" t="s">
        <v>206</v>
      </c>
      <c r="D197" s="31" t="s">
        <v>593</v>
      </c>
      <c r="E197" s="32">
        <v>538.69000000000005</v>
      </c>
      <c r="F197" s="33">
        <v>2911.7</v>
      </c>
      <c r="G197" s="32">
        <v>3450.39</v>
      </c>
      <c r="H197" s="32">
        <v>0</v>
      </c>
      <c r="I197" s="34">
        <v>101</v>
      </c>
      <c r="J197" s="33">
        <v>0.3</v>
      </c>
      <c r="K197" s="34">
        <v>3012</v>
      </c>
      <c r="L197" s="32">
        <v>334.22</v>
      </c>
      <c r="M197" s="32">
        <v>63.59</v>
      </c>
      <c r="N197" s="32">
        <v>69.87</v>
      </c>
      <c r="O197" s="32">
        <v>28.61</v>
      </c>
      <c r="P197" s="32">
        <v>3.58</v>
      </c>
      <c r="Q197" s="34">
        <v>1153189</v>
      </c>
      <c r="R197" s="34">
        <v>0</v>
      </c>
      <c r="S197" s="34">
        <v>1153189</v>
      </c>
      <c r="T197" s="34">
        <v>76613</v>
      </c>
      <c r="U197" s="34">
        <v>84179</v>
      </c>
      <c r="V197" s="34">
        <v>0</v>
      </c>
      <c r="W197" s="34">
        <v>98716</v>
      </c>
      <c r="X197" s="34">
        <v>0</v>
      </c>
      <c r="Y197" s="34">
        <v>1412697</v>
      </c>
      <c r="Z197" s="34">
        <v>203080</v>
      </c>
      <c r="AA197" s="34">
        <v>1209617</v>
      </c>
      <c r="AB197" s="34">
        <v>827241</v>
      </c>
      <c r="AC197" s="34">
        <v>382376</v>
      </c>
    </row>
    <row r="198" spans="1:29" x14ac:dyDescent="0.25">
      <c r="A198" s="31" t="s">
        <v>174</v>
      </c>
      <c r="B198" s="31" t="s">
        <v>727</v>
      </c>
      <c r="C198" s="31" t="s">
        <v>207</v>
      </c>
      <c r="D198" s="31" t="s">
        <v>594</v>
      </c>
      <c r="E198" s="32">
        <v>163.51</v>
      </c>
      <c r="F198" s="33">
        <v>2145.5</v>
      </c>
      <c r="G198" s="32">
        <v>2309.0100000000002</v>
      </c>
      <c r="H198" s="32">
        <v>0</v>
      </c>
      <c r="I198" s="34">
        <v>49</v>
      </c>
      <c r="J198" s="33">
        <v>0</v>
      </c>
      <c r="K198" s="34">
        <v>2195</v>
      </c>
      <c r="L198" s="32">
        <v>334.22</v>
      </c>
      <c r="M198" s="32">
        <v>63.59</v>
      </c>
      <c r="N198" s="32">
        <v>69.87</v>
      </c>
      <c r="O198" s="32">
        <v>28.61</v>
      </c>
      <c r="P198" s="32">
        <v>3.58</v>
      </c>
      <c r="Q198" s="34">
        <v>771717</v>
      </c>
      <c r="R198" s="34">
        <v>0</v>
      </c>
      <c r="S198" s="34">
        <v>771717</v>
      </c>
      <c r="T198" s="34">
        <v>55832</v>
      </c>
      <c r="U198" s="34">
        <v>61346</v>
      </c>
      <c r="V198" s="34">
        <v>0</v>
      </c>
      <c r="W198" s="34">
        <v>66061</v>
      </c>
      <c r="X198" s="34">
        <v>0</v>
      </c>
      <c r="Y198" s="34">
        <v>954956</v>
      </c>
      <c r="Z198" s="34">
        <v>135902</v>
      </c>
      <c r="AA198" s="34">
        <v>819054</v>
      </c>
      <c r="AB198" s="34">
        <v>553592</v>
      </c>
      <c r="AC198" s="34">
        <v>265462</v>
      </c>
    </row>
    <row r="199" spans="1:29" x14ac:dyDescent="0.25">
      <c r="A199" s="31" t="s">
        <v>174</v>
      </c>
      <c r="B199" s="31" t="s">
        <v>727</v>
      </c>
      <c r="C199" s="31" t="s">
        <v>208</v>
      </c>
      <c r="D199" s="31" t="s">
        <v>595</v>
      </c>
      <c r="E199" s="32">
        <v>384.76</v>
      </c>
      <c r="F199" s="33">
        <v>3430.8</v>
      </c>
      <c r="G199" s="32">
        <v>3815.56</v>
      </c>
      <c r="H199" s="32">
        <v>0</v>
      </c>
      <c r="I199" s="34">
        <v>132</v>
      </c>
      <c r="J199" s="33">
        <v>0</v>
      </c>
      <c r="K199" s="34">
        <v>3563</v>
      </c>
      <c r="L199" s="32">
        <v>334.22</v>
      </c>
      <c r="M199" s="32">
        <v>63.59</v>
      </c>
      <c r="N199" s="32">
        <v>69.87</v>
      </c>
      <c r="O199" s="32">
        <v>28.61</v>
      </c>
      <c r="P199" s="32">
        <v>3.58</v>
      </c>
      <c r="Q199" s="34">
        <v>1275236</v>
      </c>
      <c r="R199" s="34">
        <v>0</v>
      </c>
      <c r="S199" s="34">
        <v>1275236</v>
      </c>
      <c r="T199" s="34">
        <v>90628</v>
      </c>
      <c r="U199" s="34">
        <v>99579</v>
      </c>
      <c r="V199" s="34">
        <v>0</v>
      </c>
      <c r="W199" s="34">
        <v>109163</v>
      </c>
      <c r="X199" s="34">
        <v>0</v>
      </c>
      <c r="Y199" s="34">
        <v>1574606</v>
      </c>
      <c r="Z199" s="34">
        <v>224574</v>
      </c>
      <c r="AA199" s="34">
        <v>1350032</v>
      </c>
      <c r="AB199" s="34">
        <v>914790</v>
      </c>
      <c r="AC199" s="34">
        <v>435242</v>
      </c>
    </row>
    <row r="200" spans="1:29" x14ac:dyDescent="0.25">
      <c r="A200" s="31" t="s">
        <v>174</v>
      </c>
      <c r="B200" s="31" t="s">
        <v>727</v>
      </c>
      <c r="C200" s="31" t="s">
        <v>209</v>
      </c>
      <c r="D200" s="31" t="s">
        <v>596</v>
      </c>
      <c r="E200" s="32">
        <v>39.549999999999997</v>
      </c>
      <c r="F200" s="33">
        <v>590.29999999999995</v>
      </c>
      <c r="G200" s="32">
        <v>629.85</v>
      </c>
      <c r="H200" s="32">
        <v>0</v>
      </c>
      <c r="I200" s="34">
        <v>17</v>
      </c>
      <c r="J200" s="33">
        <v>0</v>
      </c>
      <c r="K200" s="34">
        <v>607</v>
      </c>
      <c r="L200" s="32">
        <v>334.22</v>
      </c>
      <c r="M200" s="32">
        <v>63.59</v>
      </c>
      <c r="N200" s="32">
        <v>69.87</v>
      </c>
      <c r="O200" s="32">
        <v>28.61</v>
      </c>
      <c r="P200" s="32">
        <v>3.58</v>
      </c>
      <c r="Q200" s="34">
        <v>210508</v>
      </c>
      <c r="R200" s="34">
        <v>0</v>
      </c>
      <c r="S200" s="34">
        <v>210508</v>
      </c>
      <c r="T200" s="34">
        <v>15440</v>
      </c>
      <c r="U200" s="34">
        <v>16964</v>
      </c>
      <c r="V200" s="34">
        <v>0</v>
      </c>
      <c r="W200" s="34">
        <v>18020</v>
      </c>
      <c r="X200" s="34">
        <v>0</v>
      </c>
      <c r="Y200" s="34">
        <v>260932</v>
      </c>
      <c r="Z200" s="34">
        <v>37072</v>
      </c>
      <c r="AA200" s="34">
        <v>223860</v>
      </c>
      <c r="AB200" s="34">
        <v>151008</v>
      </c>
      <c r="AC200" s="34">
        <v>72852</v>
      </c>
    </row>
    <row r="201" spans="1:29" x14ac:dyDescent="0.25">
      <c r="A201" s="31" t="s">
        <v>174</v>
      </c>
      <c r="B201" s="31" t="s">
        <v>727</v>
      </c>
      <c r="C201" s="31" t="s">
        <v>211</v>
      </c>
      <c r="D201" s="31" t="s">
        <v>212</v>
      </c>
      <c r="E201" s="32">
        <v>100.76</v>
      </c>
      <c r="F201" s="33">
        <v>999.3</v>
      </c>
      <c r="G201" s="32">
        <v>1100.06</v>
      </c>
      <c r="H201" s="32">
        <v>0</v>
      </c>
      <c r="I201" s="34">
        <v>21</v>
      </c>
      <c r="J201" s="33">
        <v>0</v>
      </c>
      <c r="K201" s="34">
        <v>1020</v>
      </c>
      <c r="L201" s="32">
        <v>334.22</v>
      </c>
      <c r="M201" s="32">
        <v>63.59</v>
      </c>
      <c r="N201" s="32">
        <v>69.87</v>
      </c>
      <c r="O201" s="32">
        <v>28.61</v>
      </c>
      <c r="P201" s="32">
        <v>3.58</v>
      </c>
      <c r="Q201" s="34">
        <v>367662</v>
      </c>
      <c r="R201" s="34">
        <v>4421</v>
      </c>
      <c r="S201" s="34">
        <v>372083</v>
      </c>
      <c r="T201" s="34">
        <v>25945</v>
      </c>
      <c r="U201" s="34">
        <v>28507</v>
      </c>
      <c r="V201" s="34">
        <v>0</v>
      </c>
      <c r="W201" s="34">
        <v>31684</v>
      </c>
      <c r="X201" s="34">
        <v>0</v>
      </c>
      <c r="Y201" s="34">
        <v>458219</v>
      </c>
      <c r="Z201" s="34">
        <v>64747</v>
      </c>
      <c r="AA201" s="34">
        <v>393472</v>
      </c>
      <c r="AB201" s="34">
        <v>263953</v>
      </c>
      <c r="AC201" s="34">
        <v>129519</v>
      </c>
    </row>
    <row r="202" spans="1:29" x14ac:dyDescent="0.25">
      <c r="A202" s="31" t="s">
        <v>174</v>
      </c>
      <c r="B202" s="31" t="s">
        <v>727</v>
      </c>
      <c r="C202" s="31" t="s">
        <v>210</v>
      </c>
      <c r="D202" s="31" t="s">
        <v>597</v>
      </c>
      <c r="E202" s="32">
        <v>96.19</v>
      </c>
      <c r="F202" s="33">
        <v>642.5</v>
      </c>
      <c r="G202" s="32">
        <v>738.69</v>
      </c>
      <c r="H202" s="32">
        <v>0</v>
      </c>
      <c r="I202" s="34">
        <v>4</v>
      </c>
      <c r="J202" s="33">
        <v>0</v>
      </c>
      <c r="K202" s="34">
        <v>647</v>
      </c>
      <c r="L202" s="32">
        <v>334.22</v>
      </c>
      <c r="M202" s="32">
        <v>63.59</v>
      </c>
      <c r="N202" s="32">
        <v>69.87</v>
      </c>
      <c r="O202" s="32">
        <v>28.61</v>
      </c>
      <c r="P202" s="32">
        <v>3.58</v>
      </c>
      <c r="Q202" s="34">
        <v>246885</v>
      </c>
      <c r="R202" s="34">
        <v>0</v>
      </c>
      <c r="S202" s="34">
        <v>246885</v>
      </c>
      <c r="T202" s="34">
        <v>16457</v>
      </c>
      <c r="U202" s="34">
        <v>18082</v>
      </c>
      <c r="V202" s="34">
        <v>0</v>
      </c>
      <c r="W202" s="34">
        <v>21134</v>
      </c>
      <c r="X202" s="34">
        <v>0</v>
      </c>
      <c r="Y202" s="34">
        <v>302558</v>
      </c>
      <c r="Z202" s="34">
        <v>43477</v>
      </c>
      <c r="AA202" s="34">
        <v>259081</v>
      </c>
      <c r="AB202" s="34">
        <v>177103</v>
      </c>
      <c r="AC202" s="34">
        <v>81978</v>
      </c>
    </row>
    <row r="203" spans="1:29" x14ac:dyDescent="0.25">
      <c r="A203" s="31" t="s">
        <v>174</v>
      </c>
      <c r="B203" s="31" t="s">
        <v>727</v>
      </c>
      <c r="C203" s="31" t="s">
        <v>213</v>
      </c>
      <c r="D203" s="31" t="s">
        <v>598</v>
      </c>
      <c r="E203" s="32">
        <v>256.24</v>
      </c>
      <c r="F203" s="33">
        <v>2135.9</v>
      </c>
      <c r="G203" s="32">
        <v>2392.14</v>
      </c>
      <c r="H203" s="32">
        <v>0</v>
      </c>
      <c r="I203" s="34">
        <v>625</v>
      </c>
      <c r="J203" s="33">
        <v>0.7</v>
      </c>
      <c r="K203" s="34">
        <v>2760</v>
      </c>
      <c r="L203" s="32">
        <v>334.22</v>
      </c>
      <c r="M203" s="32">
        <v>63.59</v>
      </c>
      <c r="N203" s="32">
        <v>69.87</v>
      </c>
      <c r="O203" s="32">
        <v>28.61</v>
      </c>
      <c r="P203" s="32">
        <v>3.58</v>
      </c>
      <c r="Q203" s="34">
        <v>799501</v>
      </c>
      <c r="R203" s="34">
        <v>0</v>
      </c>
      <c r="S203" s="34">
        <v>799501</v>
      </c>
      <c r="T203" s="34">
        <v>70203</v>
      </c>
      <c r="U203" s="34">
        <v>77136</v>
      </c>
      <c r="V203" s="34">
        <v>0</v>
      </c>
      <c r="W203" s="34">
        <v>68439</v>
      </c>
      <c r="X203" s="34">
        <v>0</v>
      </c>
      <c r="Y203" s="34">
        <v>1015279</v>
      </c>
      <c r="Z203" s="34">
        <v>140794</v>
      </c>
      <c r="AA203" s="34">
        <v>874485</v>
      </c>
      <c r="AB203" s="34">
        <v>573523</v>
      </c>
      <c r="AC203" s="34">
        <v>300962</v>
      </c>
    </row>
    <row r="204" spans="1:29" x14ac:dyDescent="0.25">
      <c r="A204" s="31" t="s">
        <v>174</v>
      </c>
      <c r="B204" s="31" t="s">
        <v>727</v>
      </c>
      <c r="C204" s="31" t="s">
        <v>214</v>
      </c>
      <c r="D204" s="31" t="s">
        <v>599</v>
      </c>
      <c r="E204" s="32">
        <v>276.39999999999998</v>
      </c>
      <c r="F204" s="33">
        <v>1918.7</v>
      </c>
      <c r="G204" s="32">
        <v>2195.1</v>
      </c>
      <c r="H204" s="32">
        <v>0</v>
      </c>
      <c r="I204" s="34">
        <v>82</v>
      </c>
      <c r="J204" s="33">
        <v>8.1</v>
      </c>
      <c r="K204" s="34">
        <v>1993</v>
      </c>
      <c r="L204" s="32">
        <v>334.22</v>
      </c>
      <c r="M204" s="32">
        <v>63.59</v>
      </c>
      <c r="N204" s="32">
        <v>69.87</v>
      </c>
      <c r="O204" s="32">
        <v>28.61</v>
      </c>
      <c r="P204" s="32">
        <v>3.58</v>
      </c>
      <c r="Q204" s="34">
        <v>733646</v>
      </c>
      <c r="R204" s="34">
        <v>0</v>
      </c>
      <c r="S204" s="34">
        <v>733646</v>
      </c>
      <c r="T204" s="34">
        <v>50694</v>
      </c>
      <c r="U204" s="34">
        <v>55700</v>
      </c>
      <c r="V204" s="34">
        <v>0</v>
      </c>
      <c r="W204" s="34">
        <v>62802</v>
      </c>
      <c r="X204" s="34">
        <v>0</v>
      </c>
      <c r="Y204" s="34">
        <v>902842</v>
      </c>
      <c r="Z204" s="34">
        <v>129198</v>
      </c>
      <c r="AA204" s="34">
        <v>773644</v>
      </c>
      <c r="AB204" s="34">
        <v>526281</v>
      </c>
      <c r="AC204" s="34">
        <v>247363</v>
      </c>
    </row>
    <row r="205" spans="1:29" x14ac:dyDescent="0.25">
      <c r="A205" s="31" t="s">
        <v>174</v>
      </c>
      <c r="B205" s="31" t="s">
        <v>727</v>
      </c>
      <c r="C205" s="31" t="s">
        <v>215</v>
      </c>
      <c r="D205" s="31" t="s">
        <v>600</v>
      </c>
      <c r="E205" s="32">
        <v>99.14</v>
      </c>
      <c r="F205" s="33">
        <v>693</v>
      </c>
      <c r="G205" s="32">
        <v>792.14</v>
      </c>
      <c r="H205" s="32">
        <v>0</v>
      </c>
      <c r="I205" s="34">
        <v>0</v>
      </c>
      <c r="J205" s="33">
        <v>0</v>
      </c>
      <c r="K205" s="34">
        <v>693</v>
      </c>
      <c r="L205" s="32">
        <v>334.22</v>
      </c>
      <c r="M205" s="32">
        <v>63.59</v>
      </c>
      <c r="N205" s="32">
        <v>69.87</v>
      </c>
      <c r="O205" s="32">
        <v>28.61</v>
      </c>
      <c r="P205" s="32">
        <v>3.58</v>
      </c>
      <c r="Q205" s="34">
        <v>264749</v>
      </c>
      <c r="R205" s="34">
        <v>0</v>
      </c>
      <c r="S205" s="34">
        <v>264749</v>
      </c>
      <c r="T205" s="34">
        <v>17627</v>
      </c>
      <c r="U205" s="34">
        <v>19368</v>
      </c>
      <c r="V205" s="34">
        <v>0</v>
      </c>
      <c r="W205" s="34">
        <v>22663</v>
      </c>
      <c r="X205" s="34">
        <v>0</v>
      </c>
      <c r="Y205" s="34">
        <v>324407</v>
      </c>
      <c r="Z205" s="34">
        <v>46623</v>
      </c>
      <c r="AA205" s="34">
        <v>277784</v>
      </c>
      <c r="AB205" s="34">
        <v>189918</v>
      </c>
      <c r="AC205" s="34">
        <v>87866</v>
      </c>
    </row>
    <row r="206" spans="1:29" x14ac:dyDescent="0.25">
      <c r="A206" s="31" t="s">
        <v>174</v>
      </c>
      <c r="B206" s="31" t="s">
        <v>727</v>
      </c>
      <c r="C206" s="31" t="s">
        <v>216</v>
      </c>
      <c r="D206" s="31" t="s">
        <v>601</v>
      </c>
      <c r="E206" s="32">
        <v>96.1</v>
      </c>
      <c r="F206" s="33">
        <v>983.2</v>
      </c>
      <c r="G206" s="32">
        <v>1079.3</v>
      </c>
      <c r="H206" s="32">
        <v>0</v>
      </c>
      <c r="I206" s="34">
        <v>5</v>
      </c>
      <c r="J206" s="33">
        <v>0</v>
      </c>
      <c r="K206" s="34">
        <v>988</v>
      </c>
      <c r="L206" s="32">
        <v>334.22</v>
      </c>
      <c r="M206" s="32">
        <v>63.59</v>
      </c>
      <c r="N206" s="32">
        <v>69.87</v>
      </c>
      <c r="O206" s="32">
        <v>28.61</v>
      </c>
      <c r="P206" s="32">
        <v>3.58</v>
      </c>
      <c r="Q206" s="34">
        <v>360724</v>
      </c>
      <c r="R206" s="34">
        <v>0</v>
      </c>
      <c r="S206" s="34">
        <v>360724</v>
      </c>
      <c r="T206" s="34">
        <v>25131</v>
      </c>
      <c r="U206" s="34">
        <v>27613</v>
      </c>
      <c r="V206" s="34">
        <v>0</v>
      </c>
      <c r="W206" s="34">
        <v>30879</v>
      </c>
      <c r="X206" s="34">
        <v>0</v>
      </c>
      <c r="Y206" s="34">
        <v>444347</v>
      </c>
      <c r="Z206" s="34">
        <v>63525</v>
      </c>
      <c r="AA206" s="34">
        <v>380822</v>
      </c>
      <c r="AB206" s="34">
        <v>258765</v>
      </c>
      <c r="AC206" s="34">
        <v>122057</v>
      </c>
    </row>
    <row r="207" spans="1:29" x14ac:dyDescent="0.25">
      <c r="A207" s="31" t="s">
        <v>174</v>
      </c>
      <c r="B207" s="31" t="s">
        <v>727</v>
      </c>
      <c r="C207" s="31" t="s">
        <v>217</v>
      </c>
      <c r="D207" s="31" t="s">
        <v>602</v>
      </c>
      <c r="E207" s="32">
        <v>156.36000000000001</v>
      </c>
      <c r="F207" s="33">
        <v>1023</v>
      </c>
      <c r="G207" s="32">
        <v>1179.3599999999999</v>
      </c>
      <c r="H207" s="32">
        <v>0</v>
      </c>
      <c r="I207" s="34">
        <v>68</v>
      </c>
      <c r="J207" s="33">
        <v>0</v>
      </c>
      <c r="K207" s="34">
        <v>1091</v>
      </c>
      <c r="L207" s="32">
        <v>334.22</v>
      </c>
      <c r="M207" s="32">
        <v>63.59</v>
      </c>
      <c r="N207" s="32">
        <v>69.87</v>
      </c>
      <c r="O207" s="32">
        <v>28.61</v>
      </c>
      <c r="P207" s="32">
        <v>3.58</v>
      </c>
      <c r="Q207" s="34">
        <v>394166</v>
      </c>
      <c r="R207" s="34">
        <v>0</v>
      </c>
      <c r="S207" s="34">
        <v>394166</v>
      </c>
      <c r="T207" s="34">
        <v>27751</v>
      </c>
      <c r="U207" s="34">
        <v>30491</v>
      </c>
      <c r="V207" s="34">
        <v>0</v>
      </c>
      <c r="W207" s="34">
        <v>33741</v>
      </c>
      <c r="X207" s="34">
        <v>0</v>
      </c>
      <c r="Y207" s="34">
        <v>486149</v>
      </c>
      <c r="Z207" s="34">
        <v>69414</v>
      </c>
      <c r="AA207" s="34">
        <v>416735</v>
      </c>
      <c r="AB207" s="34">
        <v>282754</v>
      </c>
      <c r="AC207" s="34">
        <v>133981</v>
      </c>
    </row>
    <row r="208" spans="1:29" x14ac:dyDescent="0.25">
      <c r="A208" s="31" t="s">
        <v>174</v>
      </c>
      <c r="B208" s="31" t="s">
        <v>727</v>
      </c>
      <c r="C208" s="31" t="s">
        <v>218</v>
      </c>
      <c r="D208" s="31" t="s">
        <v>603</v>
      </c>
      <c r="E208" s="32">
        <v>1074.8499999999999</v>
      </c>
      <c r="F208" s="33">
        <v>7199.6</v>
      </c>
      <c r="G208" s="32">
        <v>8274.4500000000007</v>
      </c>
      <c r="H208" s="32">
        <v>0</v>
      </c>
      <c r="I208" s="34">
        <v>398</v>
      </c>
      <c r="J208" s="33">
        <v>0</v>
      </c>
      <c r="K208" s="34">
        <v>7598</v>
      </c>
      <c r="L208" s="32">
        <v>334.22</v>
      </c>
      <c r="M208" s="32">
        <v>63.59</v>
      </c>
      <c r="N208" s="32">
        <v>69.87</v>
      </c>
      <c r="O208" s="32">
        <v>28.61</v>
      </c>
      <c r="P208" s="32">
        <v>3.58</v>
      </c>
      <c r="Q208" s="34">
        <v>2765487</v>
      </c>
      <c r="R208" s="34">
        <v>0</v>
      </c>
      <c r="S208" s="34">
        <v>2765487</v>
      </c>
      <c r="T208" s="34">
        <v>193263</v>
      </c>
      <c r="U208" s="34">
        <v>212349</v>
      </c>
      <c r="V208" s="34">
        <v>0</v>
      </c>
      <c r="W208" s="34">
        <v>236732</v>
      </c>
      <c r="X208" s="34">
        <v>0</v>
      </c>
      <c r="Y208" s="34">
        <v>3407831</v>
      </c>
      <c r="Z208" s="34">
        <v>487012</v>
      </c>
      <c r="AA208" s="34">
        <v>2920819</v>
      </c>
      <c r="AB208" s="34">
        <v>1983822</v>
      </c>
      <c r="AC208" s="34">
        <v>936997</v>
      </c>
    </row>
    <row r="209" spans="1:29" x14ac:dyDescent="0.25">
      <c r="A209" s="31" t="s">
        <v>174</v>
      </c>
      <c r="B209" s="31" t="s">
        <v>727</v>
      </c>
      <c r="C209" s="31" t="s">
        <v>219</v>
      </c>
      <c r="D209" s="31" t="s">
        <v>604</v>
      </c>
      <c r="E209" s="32">
        <v>62.26</v>
      </c>
      <c r="F209" s="33">
        <v>487.8</v>
      </c>
      <c r="G209" s="32">
        <v>550.05999999999995</v>
      </c>
      <c r="H209" s="32">
        <v>0</v>
      </c>
      <c r="I209" s="34">
        <v>7</v>
      </c>
      <c r="J209" s="33">
        <v>0</v>
      </c>
      <c r="K209" s="34">
        <v>495</v>
      </c>
      <c r="L209" s="32">
        <v>334.22</v>
      </c>
      <c r="M209" s="32">
        <v>63.59</v>
      </c>
      <c r="N209" s="32">
        <v>69.87</v>
      </c>
      <c r="O209" s="32">
        <v>28.61</v>
      </c>
      <c r="P209" s="32">
        <v>3.58</v>
      </c>
      <c r="Q209" s="34">
        <v>183841</v>
      </c>
      <c r="R209" s="34">
        <v>6715</v>
      </c>
      <c r="S209" s="34">
        <v>190556</v>
      </c>
      <c r="T209" s="34">
        <v>12591</v>
      </c>
      <c r="U209" s="34">
        <v>13834</v>
      </c>
      <c r="V209" s="34">
        <v>0</v>
      </c>
      <c r="W209" s="34">
        <v>15737</v>
      </c>
      <c r="X209" s="34">
        <v>0</v>
      </c>
      <c r="Y209" s="34">
        <v>232718</v>
      </c>
      <c r="Z209" s="34">
        <v>32375</v>
      </c>
      <c r="AA209" s="34">
        <v>200343</v>
      </c>
      <c r="AB209" s="34">
        <v>131878</v>
      </c>
      <c r="AC209" s="34">
        <v>68465</v>
      </c>
    </row>
    <row r="210" spans="1:29" x14ac:dyDescent="0.25">
      <c r="A210" s="31" t="s">
        <v>174</v>
      </c>
      <c r="B210" s="31" t="s">
        <v>727</v>
      </c>
      <c r="C210" s="31" t="s">
        <v>220</v>
      </c>
      <c r="D210" s="31" t="s">
        <v>605</v>
      </c>
      <c r="E210" s="32">
        <v>66.36</v>
      </c>
      <c r="F210" s="33">
        <v>314.2</v>
      </c>
      <c r="G210" s="32">
        <v>380.56</v>
      </c>
      <c r="H210" s="32">
        <v>0</v>
      </c>
      <c r="I210" s="34">
        <v>12</v>
      </c>
      <c r="J210" s="33">
        <v>0</v>
      </c>
      <c r="K210" s="34">
        <v>326</v>
      </c>
      <c r="L210" s="32">
        <v>334.22</v>
      </c>
      <c r="M210" s="32">
        <v>63.59</v>
      </c>
      <c r="N210" s="32">
        <v>69.87</v>
      </c>
      <c r="O210" s="32">
        <v>28.61</v>
      </c>
      <c r="P210" s="32">
        <v>3.58</v>
      </c>
      <c r="Q210" s="34">
        <v>127191</v>
      </c>
      <c r="R210" s="34">
        <v>1043</v>
      </c>
      <c r="S210" s="34">
        <v>128234</v>
      </c>
      <c r="T210" s="34">
        <v>8292</v>
      </c>
      <c r="U210" s="34">
        <v>9111</v>
      </c>
      <c r="V210" s="34">
        <v>0</v>
      </c>
      <c r="W210" s="34">
        <v>10920</v>
      </c>
      <c r="X210" s="34">
        <v>0</v>
      </c>
      <c r="Y210" s="34">
        <v>156557</v>
      </c>
      <c r="Z210" s="34">
        <v>22399</v>
      </c>
      <c r="AA210" s="34">
        <v>134158</v>
      </c>
      <c r="AB210" s="34">
        <v>91272</v>
      </c>
      <c r="AC210" s="34">
        <v>42886</v>
      </c>
    </row>
    <row r="211" spans="1:29" x14ac:dyDescent="0.25">
      <c r="A211" s="31" t="s">
        <v>174</v>
      </c>
      <c r="B211" s="31" t="s">
        <v>727</v>
      </c>
      <c r="C211" s="31" t="s">
        <v>221</v>
      </c>
      <c r="D211" s="31" t="s">
        <v>606</v>
      </c>
      <c r="E211" s="32">
        <v>34.869999999999997</v>
      </c>
      <c r="F211" s="33">
        <v>363.5</v>
      </c>
      <c r="G211" s="32">
        <v>398.37</v>
      </c>
      <c r="H211" s="32">
        <v>0</v>
      </c>
      <c r="I211" s="34">
        <v>7</v>
      </c>
      <c r="J211" s="33">
        <v>0</v>
      </c>
      <c r="K211" s="34">
        <v>371</v>
      </c>
      <c r="L211" s="32">
        <v>334.22</v>
      </c>
      <c r="M211" s="32">
        <v>63.59</v>
      </c>
      <c r="N211" s="32">
        <v>69.87</v>
      </c>
      <c r="O211" s="32">
        <v>28.61</v>
      </c>
      <c r="P211" s="32">
        <v>3.58</v>
      </c>
      <c r="Q211" s="34">
        <v>133143</v>
      </c>
      <c r="R211" s="34">
        <v>5105</v>
      </c>
      <c r="S211" s="34">
        <v>138248</v>
      </c>
      <c r="T211" s="34">
        <v>9437</v>
      </c>
      <c r="U211" s="34">
        <v>10369</v>
      </c>
      <c r="V211" s="34">
        <v>0</v>
      </c>
      <c r="W211" s="34">
        <v>11772</v>
      </c>
      <c r="X211" s="34">
        <v>0</v>
      </c>
      <c r="Y211" s="34">
        <v>169826</v>
      </c>
      <c r="Z211" s="34">
        <v>23447</v>
      </c>
      <c r="AA211" s="34">
        <v>146379</v>
      </c>
      <c r="AB211" s="34">
        <v>95885</v>
      </c>
      <c r="AC211" s="34">
        <v>50494</v>
      </c>
    </row>
    <row r="212" spans="1:29" x14ac:dyDescent="0.25">
      <c r="A212" s="31" t="s">
        <v>174</v>
      </c>
      <c r="B212" s="31" t="s">
        <v>727</v>
      </c>
      <c r="C212" s="31" t="s">
        <v>222</v>
      </c>
      <c r="D212" s="31" t="s">
        <v>607</v>
      </c>
      <c r="E212" s="32">
        <v>466.15</v>
      </c>
      <c r="F212" s="33">
        <v>3441.5</v>
      </c>
      <c r="G212" s="32">
        <v>3907.65</v>
      </c>
      <c r="H212" s="32">
        <v>0</v>
      </c>
      <c r="I212" s="34">
        <v>529</v>
      </c>
      <c r="J212" s="33">
        <v>8.8000000000000007</v>
      </c>
      <c r="K212" s="34">
        <v>3962</v>
      </c>
      <c r="L212" s="32">
        <v>334.22</v>
      </c>
      <c r="M212" s="32">
        <v>63.59</v>
      </c>
      <c r="N212" s="32">
        <v>69.87</v>
      </c>
      <c r="O212" s="32">
        <v>28.61</v>
      </c>
      <c r="P212" s="32">
        <v>3.58</v>
      </c>
      <c r="Q212" s="34">
        <v>1306015</v>
      </c>
      <c r="R212" s="34">
        <v>0</v>
      </c>
      <c r="S212" s="34">
        <v>1306015</v>
      </c>
      <c r="T212" s="34">
        <v>100778</v>
      </c>
      <c r="U212" s="34">
        <v>110730</v>
      </c>
      <c r="V212" s="34">
        <v>0</v>
      </c>
      <c r="W212" s="34">
        <v>111798</v>
      </c>
      <c r="X212" s="34">
        <v>0</v>
      </c>
      <c r="Y212" s="34">
        <v>1629321</v>
      </c>
      <c r="Z212" s="34">
        <v>229993</v>
      </c>
      <c r="AA212" s="34">
        <v>1399328</v>
      </c>
      <c r="AB212" s="34">
        <v>936871</v>
      </c>
      <c r="AC212" s="34">
        <v>462457</v>
      </c>
    </row>
    <row r="213" spans="1:29" x14ac:dyDescent="0.25">
      <c r="A213" s="31" t="s">
        <v>174</v>
      </c>
      <c r="B213" s="31" t="s">
        <v>727</v>
      </c>
      <c r="C213" s="31" t="s">
        <v>223</v>
      </c>
      <c r="D213" s="31" t="s">
        <v>608</v>
      </c>
      <c r="E213" s="32">
        <v>55.4</v>
      </c>
      <c r="F213" s="33">
        <v>935.9</v>
      </c>
      <c r="G213" s="32">
        <v>991.3</v>
      </c>
      <c r="H213" s="32">
        <v>0</v>
      </c>
      <c r="I213" s="34">
        <v>36</v>
      </c>
      <c r="J213" s="33">
        <v>0</v>
      </c>
      <c r="K213" s="34">
        <v>972</v>
      </c>
      <c r="L213" s="32">
        <v>334.22</v>
      </c>
      <c r="M213" s="32">
        <v>63.59</v>
      </c>
      <c r="N213" s="32">
        <v>69.87</v>
      </c>
      <c r="O213" s="32">
        <v>28.61</v>
      </c>
      <c r="P213" s="32">
        <v>3.58</v>
      </c>
      <c r="Q213" s="34">
        <v>331312</v>
      </c>
      <c r="R213" s="34">
        <v>0</v>
      </c>
      <c r="S213" s="34">
        <v>331312</v>
      </c>
      <c r="T213" s="34">
        <v>24724</v>
      </c>
      <c r="U213" s="34">
        <v>27166</v>
      </c>
      <c r="V213" s="34">
        <v>0</v>
      </c>
      <c r="W213" s="34">
        <v>28361</v>
      </c>
      <c r="X213" s="34">
        <v>0</v>
      </c>
      <c r="Y213" s="34">
        <v>411563</v>
      </c>
      <c r="Z213" s="34">
        <v>58345</v>
      </c>
      <c r="AA213" s="34">
        <v>353218</v>
      </c>
      <c r="AB213" s="34">
        <v>237667</v>
      </c>
      <c r="AC213" s="34">
        <v>115551</v>
      </c>
    </row>
    <row r="214" spans="1:29" x14ac:dyDescent="0.25">
      <c r="A214" s="31" t="s">
        <v>174</v>
      </c>
      <c r="B214" s="31" t="s">
        <v>727</v>
      </c>
      <c r="C214" s="31" t="s">
        <v>224</v>
      </c>
      <c r="D214" s="31" t="s">
        <v>609</v>
      </c>
      <c r="E214" s="32">
        <v>1530.77</v>
      </c>
      <c r="F214" s="33">
        <v>13674</v>
      </c>
      <c r="G214" s="32">
        <v>15204.77</v>
      </c>
      <c r="H214" s="32">
        <v>0</v>
      </c>
      <c r="I214" s="34">
        <v>1308</v>
      </c>
      <c r="J214" s="33">
        <v>0.3</v>
      </c>
      <c r="K214" s="34">
        <v>14982</v>
      </c>
      <c r="L214" s="32">
        <v>334.22</v>
      </c>
      <c r="M214" s="32">
        <v>63.59</v>
      </c>
      <c r="N214" s="32">
        <v>69.87</v>
      </c>
      <c r="O214" s="32">
        <v>28.61</v>
      </c>
      <c r="P214" s="32">
        <v>3.58</v>
      </c>
      <c r="Q214" s="34">
        <v>5081738</v>
      </c>
      <c r="R214" s="34">
        <v>0</v>
      </c>
      <c r="S214" s="34">
        <v>5081738</v>
      </c>
      <c r="T214" s="34">
        <v>381082</v>
      </c>
      <c r="U214" s="34">
        <v>418717</v>
      </c>
      <c r="V214" s="34">
        <v>0</v>
      </c>
      <c r="W214" s="34">
        <v>435008</v>
      </c>
      <c r="X214" s="34">
        <v>0</v>
      </c>
      <c r="Y214" s="34">
        <v>6316545</v>
      </c>
      <c r="Z214" s="34">
        <v>894911</v>
      </c>
      <c r="AA214" s="34">
        <v>5421634</v>
      </c>
      <c r="AB214" s="34">
        <v>3645385</v>
      </c>
      <c r="AC214" s="34">
        <v>1776249</v>
      </c>
    </row>
    <row r="215" spans="1:29" x14ac:dyDescent="0.25">
      <c r="A215" s="31" t="s">
        <v>174</v>
      </c>
      <c r="B215" s="31" t="s">
        <v>727</v>
      </c>
      <c r="C215" s="31" t="s">
        <v>225</v>
      </c>
      <c r="D215" s="31" t="s">
        <v>610</v>
      </c>
      <c r="E215" s="32">
        <v>132.71</v>
      </c>
      <c r="F215" s="33">
        <v>940.8</v>
      </c>
      <c r="G215" s="32">
        <v>1073.51</v>
      </c>
      <c r="H215" s="32">
        <v>0</v>
      </c>
      <c r="I215" s="34">
        <v>2</v>
      </c>
      <c r="J215" s="33">
        <v>0</v>
      </c>
      <c r="K215" s="34">
        <v>943</v>
      </c>
      <c r="L215" s="32">
        <v>334.22</v>
      </c>
      <c r="M215" s="32">
        <v>63.59</v>
      </c>
      <c r="N215" s="32">
        <v>69.87</v>
      </c>
      <c r="O215" s="32">
        <v>28.61</v>
      </c>
      <c r="P215" s="32">
        <v>3.58</v>
      </c>
      <c r="Q215" s="34">
        <v>358789</v>
      </c>
      <c r="R215" s="34">
        <v>0</v>
      </c>
      <c r="S215" s="34">
        <v>358789</v>
      </c>
      <c r="T215" s="34">
        <v>23986</v>
      </c>
      <c r="U215" s="34">
        <v>26355</v>
      </c>
      <c r="V215" s="34">
        <v>0</v>
      </c>
      <c r="W215" s="34">
        <v>30713</v>
      </c>
      <c r="X215" s="34">
        <v>0</v>
      </c>
      <c r="Y215" s="34">
        <v>439843</v>
      </c>
      <c r="Z215" s="34">
        <v>63184</v>
      </c>
      <c r="AA215" s="34">
        <v>376659</v>
      </c>
      <c r="AB215" s="34">
        <v>257377</v>
      </c>
      <c r="AC215" s="34">
        <v>119282</v>
      </c>
    </row>
    <row r="216" spans="1:29" x14ac:dyDescent="0.25">
      <c r="A216" s="31" t="s">
        <v>174</v>
      </c>
      <c r="B216" s="31" t="s">
        <v>727</v>
      </c>
      <c r="C216" s="31" t="s">
        <v>226</v>
      </c>
      <c r="D216" s="31" t="s">
        <v>611</v>
      </c>
      <c r="E216" s="32">
        <v>1132.79</v>
      </c>
      <c r="F216" s="33">
        <v>8614.2000000000007</v>
      </c>
      <c r="G216" s="32">
        <v>9746.99</v>
      </c>
      <c r="H216" s="32">
        <v>0</v>
      </c>
      <c r="I216" s="34">
        <v>1234</v>
      </c>
      <c r="J216" s="33">
        <v>1.8</v>
      </c>
      <c r="K216" s="34">
        <v>9846</v>
      </c>
      <c r="L216" s="32">
        <v>334.22</v>
      </c>
      <c r="M216" s="32">
        <v>63.59</v>
      </c>
      <c r="N216" s="32">
        <v>69.87</v>
      </c>
      <c r="O216" s="32">
        <v>28.61</v>
      </c>
      <c r="P216" s="32">
        <v>3.58</v>
      </c>
      <c r="Q216" s="34">
        <v>3257639</v>
      </c>
      <c r="R216" s="34">
        <v>0</v>
      </c>
      <c r="S216" s="34">
        <v>3257639</v>
      </c>
      <c r="T216" s="34">
        <v>250443</v>
      </c>
      <c r="U216" s="34">
        <v>275176</v>
      </c>
      <c r="V216" s="34">
        <v>0</v>
      </c>
      <c r="W216" s="34">
        <v>278861</v>
      </c>
      <c r="X216" s="34">
        <v>0</v>
      </c>
      <c r="Y216" s="34">
        <v>4062119</v>
      </c>
      <c r="Z216" s="34">
        <v>573681</v>
      </c>
      <c r="AA216" s="34">
        <v>3488438</v>
      </c>
      <c r="AB216" s="34">
        <v>2336867</v>
      </c>
      <c r="AC216" s="34">
        <v>1151571</v>
      </c>
    </row>
    <row r="217" spans="1:29" x14ac:dyDescent="0.25">
      <c r="A217" s="31" t="s">
        <v>174</v>
      </c>
      <c r="B217" s="31" t="s">
        <v>727</v>
      </c>
      <c r="C217" s="31" t="s">
        <v>227</v>
      </c>
      <c r="D217" s="31" t="s">
        <v>612</v>
      </c>
      <c r="E217" s="32">
        <v>217.79</v>
      </c>
      <c r="F217" s="33">
        <v>1667.8</v>
      </c>
      <c r="G217" s="32">
        <v>1885.59</v>
      </c>
      <c r="H217" s="32">
        <v>0</v>
      </c>
      <c r="I217" s="34">
        <v>12</v>
      </c>
      <c r="J217" s="33">
        <v>0</v>
      </c>
      <c r="K217" s="34">
        <v>1680</v>
      </c>
      <c r="L217" s="32">
        <v>334.22</v>
      </c>
      <c r="M217" s="32">
        <v>63.59</v>
      </c>
      <c r="N217" s="32">
        <v>69.87</v>
      </c>
      <c r="O217" s="32">
        <v>28.61</v>
      </c>
      <c r="P217" s="32">
        <v>3.58</v>
      </c>
      <c r="Q217" s="34">
        <v>630202</v>
      </c>
      <c r="R217" s="34">
        <v>0</v>
      </c>
      <c r="S217" s="34">
        <v>630202</v>
      </c>
      <c r="T217" s="34">
        <v>42732</v>
      </c>
      <c r="U217" s="34">
        <v>46953</v>
      </c>
      <c r="V217" s="34">
        <v>0</v>
      </c>
      <c r="W217" s="34">
        <v>53947</v>
      </c>
      <c r="X217" s="34">
        <v>0</v>
      </c>
      <c r="Y217" s="34">
        <v>773834</v>
      </c>
      <c r="Z217" s="34">
        <v>110981</v>
      </c>
      <c r="AA217" s="34">
        <v>662853</v>
      </c>
      <c r="AB217" s="34">
        <v>452075</v>
      </c>
      <c r="AC217" s="34">
        <v>210778</v>
      </c>
    </row>
    <row r="218" spans="1:29" x14ac:dyDescent="0.25">
      <c r="A218" s="31" t="s">
        <v>174</v>
      </c>
      <c r="B218" s="31" t="s">
        <v>727</v>
      </c>
      <c r="C218" s="31" t="s">
        <v>228</v>
      </c>
      <c r="D218" s="31" t="s">
        <v>613</v>
      </c>
      <c r="E218" s="32">
        <v>102.44</v>
      </c>
      <c r="F218" s="33">
        <v>1078.5999999999999</v>
      </c>
      <c r="G218" s="32">
        <v>1181.04</v>
      </c>
      <c r="H218" s="32">
        <v>0</v>
      </c>
      <c r="I218" s="34">
        <v>28</v>
      </c>
      <c r="J218" s="33">
        <v>0</v>
      </c>
      <c r="K218" s="34">
        <v>1107</v>
      </c>
      <c r="L218" s="32">
        <v>334.22</v>
      </c>
      <c r="M218" s="32">
        <v>63.59</v>
      </c>
      <c r="N218" s="32">
        <v>69.87</v>
      </c>
      <c r="O218" s="32">
        <v>28.61</v>
      </c>
      <c r="P218" s="32">
        <v>3.58</v>
      </c>
      <c r="Q218" s="34">
        <v>394727</v>
      </c>
      <c r="R218" s="34">
        <v>0</v>
      </c>
      <c r="S218" s="34">
        <v>394727</v>
      </c>
      <c r="T218" s="34">
        <v>28158</v>
      </c>
      <c r="U218" s="34">
        <v>30938</v>
      </c>
      <c r="V218" s="34">
        <v>0</v>
      </c>
      <c r="W218" s="34">
        <v>33790</v>
      </c>
      <c r="X218" s="34">
        <v>0</v>
      </c>
      <c r="Y218" s="34">
        <v>487613</v>
      </c>
      <c r="Z218" s="34">
        <v>69513</v>
      </c>
      <c r="AA218" s="34">
        <v>418100</v>
      </c>
      <c r="AB218" s="34">
        <v>283158</v>
      </c>
      <c r="AC218" s="34">
        <v>134942</v>
      </c>
    </row>
    <row r="219" spans="1:29" x14ac:dyDescent="0.25">
      <c r="A219" s="31" t="s">
        <v>229</v>
      </c>
      <c r="B219" s="31" t="s">
        <v>728</v>
      </c>
      <c r="C219" s="31" t="s">
        <v>230</v>
      </c>
      <c r="D219" s="31" t="s">
        <v>614</v>
      </c>
      <c r="E219" s="32">
        <v>73.63</v>
      </c>
      <c r="F219" s="33">
        <v>537.5</v>
      </c>
      <c r="G219" s="32">
        <v>611.13</v>
      </c>
      <c r="H219" s="32">
        <v>1.1599999999999999</v>
      </c>
      <c r="I219" s="34">
        <v>13</v>
      </c>
      <c r="J219" s="33">
        <v>0</v>
      </c>
      <c r="K219" s="34">
        <v>551</v>
      </c>
      <c r="L219" s="32">
        <v>348.86</v>
      </c>
      <c r="M219" s="32">
        <v>64</v>
      </c>
      <c r="N219" s="32">
        <v>71.650000000000006</v>
      </c>
      <c r="O219" s="32">
        <v>35.17</v>
      </c>
      <c r="P219" s="32">
        <v>4.1900000000000004</v>
      </c>
      <c r="Q219" s="34">
        <v>213199</v>
      </c>
      <c r="R219" s="34">
        <v>2108</v>
      </c>
      <c r="S219" s="34">
        <v>215307</v>
      </c>
      <c r="T219" s="34">
        <v>14106</v>
      </c>
      <c r="U219" s="34">
        <v>15792</v>
      </c>
      <c r="V219" s="34">
        <v>405</v>
      </c>
      <c r="W219" s="34">
        <v>21694</v>
      </c>
      <c r="X219" s="34">
        <v>0</v>
      </c>
      <c r="Y219" s="34">
        <v>267304</v>
      </c>
      <c r="Z219" s="34">
        <v>35970</v>
      </c>
      <c r="AA219" s="34">
        <v>231334</v>
      </c>
      <c r="AB219" s="34">
        <v>151042</v>
      </c>
      <c r="AC219" s="34">
        <v>80292</v>
      </c>
    </row>
    <row r="220" spans="1:29" x14ac:dyDescent="0.25">
      <c r="A220" s="31" t="s">
        <v>229</v>
      </c>
      <c r="B220" s="31" t="s">
        <v>728</v>
      </c>
      <c r="C220" s="31" t="s">
        <v>231</v>
      </c>
      <c r="D220" s="31" t="s">
        <v>615</v>
      </c>
      <c r="E220" s="32">
        <v>41.86</v>
      </c>
      <c r="F220" s="33">
        <v>292.7</v>
      </c>
      <c r="G220" s="32">
        <v>334.56</v>
      </c>
      <c r="H220" s="32">
        <v>0.64</v>
      </c>
      <c r="I220" s="34">
        <v>63</v>
      </c>
      <c r="J220" s="33">
        <v>0</v>
      </c>
      <c r="K220" s="34">
        <v>356</v>
      </c>
      <c r="L220" s="32">
        <v>348.86</v>
      </c>
      <c r="M220" s="32">
        <v>64</v>
      </c>
      <c r="N220" s="32">
        <v>71.650000000000006</v>
      </c>
      <c r="O220" s="32">
        <v>35.17</v>
      </c>
      <c r="P220" s="32">
        <v>4.1900000000000004</v>
      </c>
      <c r="Q220" s="34">
        <v>116715</v>
      </c>
      <c r="R220" s="34">
        <v>0</v>
      </c>
      <c r="S220" s="34">
        <v>116715</v>
      </c>
      <c r="T220" s="34">
        <v>9114</v>
      </c>
      <c r="U220" s="34">
        <v>10203</v>
      </c>
      <c r="V220" s="34">
        <v>223</v>
      </c>
      <c r="W220" s="34">
        <v>11766</v>
      </c>
      <c r="X220" s="34">
        <v>0</v>
      </c>
      <c r="Y220" s="34">
        <v>148021</v>
      </c>
      <c r="Z220" s="34">
        <v>19691</v>
      </c>
      <c r="AA220" s="34">
        <v>128330</v>
      </c>
      <c r="AB220" s="34">
        <v>82579</v>
      </c>
      <c r="AC220" s="34">
        <v>45751</v>
      </c>
    </row>
    <row r="221" spans="1:29" x14ac:dyDescent="0.25">
      <c r="A221" s="31" t="s">
        <v>229</v>
      </c>
      <c r="B221" s="31" t="s">
        <v>728</v>
      </c>
      <c r="C221" s="31" t="s">
        <v>232</v>
      </c>
      <c r="D221" s="31" t="s">
        <v>616</v>
      </c>
      <c r="E221" s="32">
        <v>74.22</v>
      </c>
      <c r="F221" s="33">
        <v>563.6</v>
      </c>
      <c r="G221" s="32">
        <v>637.82000000000005</v>
      </c>
      <c r="H221" s="32">
        <v>1.21</v>
      </c>
      <c r="I221" s="34">
        <v>398</v>
      </c>
      <c r="J221" s="33">
        <v>4.2</v>
      </c>
      <c r="K221" s="34">
        <v>957</v>
      </c>
      <c r="L221" s="32">
        <v>348.86</v>
      </c>
      <c r="M221" s="32">
        <v>64</v>
      </c>
      <c r="N221" s="32">
        <v>71.650000000000006</v>
      </c>
      <c r="O221" s="32">
        <v>35.17</v>
      </c>
      <c r="P221" s="32">
        <v>4.1900000000000004</v>
      </c>
      <c r="Q221" s="34">
        <v>222510</v>
      </c>
      <c r="R221" s="34">
        <v>37</v>
      </c>
      <c r="S221" s="34">
        <v>222547</v>
      </c>
      <c r="T221" s="34">
        <v>24499</v>
      </c>
      <c r="U221" s="34">
        <v>27428</v>
      </c>
      <c r="V221" s="34">
        <v>422</v>
      </c>
      <c r="W221" s="34">
        <v>22432</v>
      </c>
      <c r="X221" s="34">
        <v>0</v>
      </c>
      <c r="Y221" s="34">
        <v>297328</v>
      </c>
      <c r="Z221" s="34">
        <v>37540</v>
      </c>
      <c r="AA221" s="34">
        <v>259788</v>
      </c>
      <c r="AB221" s="34">
        <v>157430</v>
      </c>
      <c r="AC221" s="34">
        <v>102358</v>
      </c>
    </row>
    <row r="222" spans="1:29" x14ac:dyDescent="0.25">
      <c r="A222" s="31" t="s">
        <v>229</v>
      </c>
      <c r="B222" s="31" t="s">
        <v>728</v>
      </c>
      <c r="C222" s="31" t="s">
        <v>233</v>
      </c>
      <c r="D222" s="31" t="s">
        <v>617</v>
      </c>
      <c r="E222" s="32">
        <v>89.28</v>
      </c>
      <c r="F222" s="33">
        <v>759.4</v>
      </c>
      <c r="G222" s="32">
        <v>848.68</v>
      </c>
      <c r="H222" s="32">
        <v>1.61</v>
      </c>
      <c r="I222" s="34">
        <v>141</v>
      </c>
      <c r="J222" s="33">
        <v>0</v>
      </c>
      <c r="K222" s="34">
        <v>900</v>
      </c>
      <c r="L222" s="32">
        <v>348.86</v>
      </c>
      <c r="M222" s="32">
        <v>64</v>
      </c>
      <c r="N222" s="32">
        <v>71.650000000000006</v>
      </c>
      <c r="O222" s="32">
        <v>35.17</v>
      </c>
      <c r="P222" s="32">
        <v>4.1900000000000004</v>
      </c>
      <c r="Q222" s="34">
        <v>296071</v>
      </c>
      <c r="R222" s="34">
        <v>0</v>
      </c>
      <c r="S222" s="34">
        <v>296071</v>
      </c>
      <c r="T222" s="34">
        <v>23040</v>
      </c>
      <c r="U222" s="34">
        <v>25794</v>
      </c>
      <c r="V222" s="34">
        <v>562</v>
      </c>
      <c r="W222" s="34">
        <v>29848</v>
      </c>
      <c r="X222" s="34">
        <v>0</v>
      </c>
      <c r="Y222" s="34">
        <v>375315</v>
      </c>
      <c r="Z222" s="34">
        <v>49951</v>
      </c>
      <c r="AA222" s="34">
        <v>325364</v>
      </c>
      <c r="AB222" s="34">
        <v>209475</v>
      </c>
      <c r="AC222" s="34">
        <v>115889</v>
      </c>
    </row>
    <row r="223" spans="1:29" x14ac:dyDescent="0.25">
      <c r="A223" s="31" t="s">
        <v>229</v>
      </c>
      <c r="B223" s="31" t="s">
        <v>728</v>
      </c>
      <c r="C223" s="31" t="s">
        <v>234</v>
      </c>
      <c r="D223" s="31" t="s">
        <v>618</v>
      </c>
      <c r="E223" s="32">
        <v>46.74</v>
      </c>
      <c r="F223" s="33">
        <v>278.2</v>
      </c>
      <c r="G223" s="32">
        <v>324.94</v>
      </c>
      <c r="H223" s="32">
        <v>0.62</v>
      </c>
      <c r="I223" s="34">
        <v>1</v>
      </c>
      <c r="J223" s="33">
        <v>0</v>
      </c>
      <c r="K223" s="34">
        <v>279</v>
      </c>
      <c r="L223" s="32">
        <v>348.86</v>
      </c>
      <c r="M223" s="32">
        <v>64</v>
      </c>
      <c r="N223" s="32">
        <v>71.650000000000006</v>
      </c>
      <c r="O223" s="32">
        <v>35.17</v>
      </c>
      <c r="P223" s="32">
        <v>4.1900000000000004</v>
      </c>
      <c r="Q223" s="34">
        <v>113359</v>
      </c>
      <c r="R223" s="34">
        <v>1427</v>
      </c>
      <c r="S223" s="34">
        <v>114786</v>
      </c>
      <c r="T223" s="34">
        <v>7142</v>
      </c>
      <c r="U223" s="34">
        <v>7996</v>
      </c>
      <c r="V223" s="34">
        <v>216</v>
      </c>
      <c r="W223" s="34">
        <v>11566</v>
      </c>
      <c r="X223" s="34">
        <v>0</v>
      </c>
      <c r="Y223" s="34">
        <v>141706</v>
      </c>
      <c r="Z223" s="34">
        <v>19125</v>
      </c>
      <c r="AA223" s="34">
        <v>122581</v>
      </c>
      <c r="AB223" s="34">
        <v>80342</v>
      </c>
      <c r="AC223" s="34">
        <v>42239</v>
      </c>
    </row>
    <row r="224" spans="1:29" x14ac:dyDescent="0.25">
      <c r="A224" s="31" t="s">
        <v>229</v>
      </c>
      <c r="B224" s="31" t="s">
        <v>728</v>
      </c>
      <c r="C224" s="31" t="s">
        <v>235</v>
      </c>
      <c r="D224" s="31" t="s">
        <v>619</v>
      </c>
      <c r="E224" s="32">
        <v>153.74</v>
      </c>
      <c r="F224" s="33">
        <v>1039.3</v>
      </c>
      <c r="G224" s="32">
        <v>1193.04</v>
      </c>
      <c r="H224" s="32">
        <v>2.27</v>
      </c>
      <c r="I224" s="34">
        <v>2</v>
      </c>
      <c r="J224" s="33">
        <v>0</v>
      </c>
      <c r="K224" s="34">
        <v>1041</v>
      </c>
      <c r="L224" s="32">
        <v>348.86</v>
      </c>
      <c r="M224" s="32">
        <v>64</v>
      </c>
      <c r="N224" s="32">
        <v>71.650000000000006</v>
      </c>
      <c r="O224" s="32">
        <v>35.17</v>
      </c>
      <c r="P224" s="32">
        <v>4.1900000000000004</v>
      </c>
      <c r="Q224" s="34">
        <v>416204</v>
      </c>
      <c r="R224" s="34">
        <v>0</v>
      </c>
      <c r="S224" s="34">
        <v>416204</v>
      </c>
      <c r="T224" s="34">
        <v>26650</v>
      </c>
      <c r="U224" s="34">
        <v>29835</v>
      </c>
      <c r="V224" s="34">
        <v>792</v>
      </c>
      <c r="W224" s="34">
        <v>41959</v>
      </c>
      <c r="X224" s="34">
        <v>0</v>
      </c>
      <c r="Y224" s="34">
        <v>515440</v>
      </c>
      <c r="Z224" s="34">
        <v>70219</v>
      </c>
      <c r="AA224" s="34">
        <v>445221</v>
      </c>
      <c r="AB224" s="34">
        <v>294474</v>
      </c>
      <c r="AC224" s="34">
        <v>150747</v>
      </c>
    </row>
    <row r="225" spans="1:29" x14ac:dyDescent="0.25">
      <c r="A225" s="31" t="s">
        <v>229</v>
      </c>
      <c r="B225" s="31" t="s">
        <v>728</v>
      </c>
      <c r="C225" s="31" t="s">
        <v>236</v>
      </c>
      <c r="D225" s="31" t="s">
        <v>620</v>
      </c>
      <c r="E225" s="32">
        <v>255.9</v>
      </c>
      <c r="F225" s="33">
        <v>1958.5</v>
      </c>
      <c r="G225" s="32">
        <v>2214.4</v>
      </c>
      <c r="H225" s="32">
        <v>4.21</v>
      </c>
      <c r="I225" s="34">
        <v>144</v>
      </c>
      <c r="J225" s="33">
        <v>0</v>
      </c>
      <c r="K225" s="34">
        <v>2103</v>
      </c>
      <c r="L225" s="32">
        <v>348.86</v>
      </c>
      <c r="M225" s="32">
        <v>64</v>
      </c>
      <c r="N225" s="32">
        <v>71.650000000000006</v>
      </c>
      <c r="O225" s="32">
        <v>35.17</v>
      </c>
      <c r="P225" s="32">
        <v>4.1900000000000004</v>
      </c>
      <c r="Q225" s="34">
        <v>772516</v>
      </c>
      <c r="R225" s="34">
        <v>15110</v>
      </c>
      <c r="S225" s="34">
        <v>787626</v>
      </c>
      <c r="T225" s="34">
        <v>53837</v>
      </c>
      <c r="U225" s="34">
        <v>60272</v>
      </c>
      <c r="V225" s="34">
        <v>1469</v>
      </c>
      <c r="W225" s="34">
        <v>79359</v>
      </c>
      <c r="X225" s="34">
        <v>0</v>
      </c>
      <c r="Y225" s="34">
        <v>982563</v>
      </c>
      <c r="Z225" s="34">
        <v>130334</v>
      </c>
      <c r="AA225" s="34">
        <v>852229</v>
      </c>
      <c r="AB225" s="34">
        <v>548050</v>
      </c>
      <c r="AC225" s="34">
        <v>304179</v>
      </c>
    </row>
    <row r="226" spans="1:29" x14ac:dyDescent="0.25">
      <c r="A226" s="31" t="s">
        <v>229</v>
      </c>
      <c r="B226" s="31" t="s">
        <v>728</v>
      </c>
      <c r="C226" s="31" t="s">
        <v>237</v>
      </c>
      <c r="D226" s="31" t="s">
        <v>621</v>
      </c>
      <c r="E226" s="32">
        <v>42.51</v>
      </c>
      <c r="F226" s="33">
        <v>458</v>
      </c>
      <c r="G226" s="32">
        <v>500.51</v>
      </c>
      <c r="H226" s="32">
        <v>0.95</v>
      </c>
      <c r="I226" s="34">
        <v>7</v>
      </c>
      <c r="J226" s="33">
        <v>0</v>
      </c>
      <c r="K226" s="34">
        <v>465</v>
      </c>
      <c r="L226" s="32">
        <v>348.86</v>
      </c>
      <c r="M226" s="32">
        <v>64</v>
      </c>
      <c r="N226" s="32">
        <v>71.650000000000006</v>
      </c>
      <c r="O226" s="32">
        <v>35.17</v>
      </c>
      <c r="P226" s="32">
        <v>4.1900000000000004</v>
      </c>
      <c r="Q226" s="34">
        <v>174608</v>
      </c>
      <c r="R226" s="34">
        <v>0</v>
      </c>
      <c r="S226" s="34">
        <v>174608</v>
      </c>
      <c r="T226" s="34">
        <v>11904</v>
      </c>
      <c r="U226" s="34">
        <v>13327</v>
      </c>
      <c r="V226" s="34">
        <v>331</v>
      </c>
      <c r="W226" s="34">
        <v>17603</v>
      </c>
      <c r="X226" s="34">
        <v>0</v>
      </c>
      <c r="Y226" s="34">
        <v>217773</v>
      </c>
      <c r="Z226" s="34">
        <v>29458</v>
      </c>
      <c r="AA226" s="34">
        <v>188315</v>
      </c>
      <c r="AB226" s="34">
        <v>123539</v>
      </c>
      <c r="AC226" s="34">
        <v>64776</v>
      </c>
    </row>
    <row r="227" spans="1:29" x14ac:dyDescent="0.25">
      <c r="A227" s="31" t="s">
        <v>229</v>
      </c>
      <c r="B227" s="31" t="s">
        <v>728</v>
      </c>
      <c r="C227" s="31" t="s">
        <v>238</v>
      </c>
      <c r="D227" s="31" t="s">
        <v>622</v>
      </c>
      <c r="E227" s="32">
        <v>54.62</v>
      </c>
      <c r="F227" s="33">
        <v>454</v>
      </c>
      <c r="G227" s="32">
        <v>508.62</v>
      </c>
      <c r="H227" s="32">
        <v>0.97</v>
      </c>
      <c r="I227" s="34">
        <v>14</v>
      </c>
      <c r="J227" s="33">
        <v>0</v>
      </c>
      <c r="K227" s="34">
        <v>468</v>
      </c>
      <c r="L227" s="32">
        <v>348.86</v>
      </c>
      <c r="M227" s="32">
        <v>64</v>
      </c>
      <c r="N227" s="32">
        <v>71.650000000000006</v>
      </c>
      <c r="O227" s="32">
        <v>35.17</v>
      </c>
      <c r="P227" s="32">
        <v>4.1900000000000004</v>
      </c>
      <c r="Q227" s="34">
        <v>177437</v>
      </c>
      <c r="R227" s="34">
        <v>0</v>
      </c>
      <c r="S227" s="34">
        <v>177437</v>
      </c>
      <c r="T227" s="34">
        <v>11981</v>
      </c>
      <c r="U227" s="34">
        <v>13413</v>
      </c>
      <c r="V227" s="34">
        <v>338</v>
      </c>
      <c r="W227" s="34">
        <v>17888</v>
      </c>
      <c r="X227" s="34">
        <v>0</v>
      </c>
      <c r="Y227" s="34">
        <v>221057</v>
      </c>
      <c r="Z227" s="34">
        <v>29936</v>
      </c>
      <c r="AA227" s="34">
        <v>191121</v>
      </c>
      <c r="AB227" s="34">
        <v>125541</v>
      </c>
      <c r="AC227" s="34">
        <v>65580</v>
      </c>
    </row>
    <row r="228" spans="1:29" x14ac:dyDescent="0.25">
      <c r="A228" s="31" t="s">
        <v>229</v>
      </c>
      <c r="B228" s="31" t="s">
        <v>728</v>
      </c>
      <c r="C228" s="31" t="s">
        <v>239</v>
      </c>
      <c r="D228" s="31" t="s">
        <v>623</v>
      </c>
      <c r="E228" s="32">
        <v>115.01</v>
      </c>
      <c r="F228" s="33">
        <v>636.6</v>
      </c>
      <c r="G228" s="32">
        <v>751.61</v>
      </c>
      <c r="H228" s="32">
        <v>1.43</v>
      </c>
      <c r="I228" s="34">
        <v>133</v>
      </c>
      <c r="J228" s="33">
        <v>0</v>
      </c>
      <c r="K228" s="34">
        <v>770</v>
      </c>
      <c r="L228" s="32">
        <v>348.86</v>
      </c>
      <c r="M228" s="32">
        <v>64</v>
      </c>
      <c r="N228" s="32">
        <v>71.650000000000006</v>
      </c>
      <c r="O228" s="32">
        <v>35.17</v>
      </c>
      <c r="P228" s="32">
        <v>4.1900000000000004</v>
      </c>
      <c r="Q228" s="34">
        <v>262207</v>
      </c>
      <c r="R228" s="34">
        <v>0</v>
      </c>
      <c r="S228" s="34">
        <v>262207</v>
      </c>
      <c r="T228" s="34">
        <v>19712</v>
      </c>
      <c r="U228" s="34">
        <v>22068</v>
      </c>
      <c r="V228" s="34">
        <v>499</v>
      </c>
      <c r="W228" s="34">
        <v>26434</v>
      </c>
      <c r="X228" s="34">
        <v>0</v>
      </c>
      <c r="Y228" s="34">
        <v>330920</v>
      </c>
      <c r="Z228" s="34">
        <v>44238</v>
      </c>
      <c r="AA228" s="34">
        <v>286682</v>
      </c>
      <c r="AB228" s="34">
        <v>185517</v>
      </c>
      <c r="AC228" s="34">
        <v>101165</v>
      </c>
    </row>
    <row r="229" spans="1:29" x14ac:dyDescent="0.25">
      <c r="A229" s="31" t="s">
        <v>229</v>
      </c>
      <c r="B229" s="31" t="s">
        <v>728</v>
      </c>
      <c r="C229" s="31" t="s">
        <v>240</v>
      </c>
      <c r="D229" s="31" t="s">
        <v>624</v>
      </c>
      <c r="E229" s="32">
        <v>54.56</v>
      </c>
      <c r="F229" s="33">
        <v>562.1</v>
      </c>
      <c r="G229" s="32">
        <v>616.66</v>
      </c>
      <c r="H229" s="32">
        <v>1.17</v>
      </c>
      <c r="I229" s="34">
        <v>8</v>
      </c>
      <c r="J229" s="33">
        <v>0</v>
      </c>
      <c r="K229" s="34">
        <v>570</v>
      </c>
      <c r="L229" s="32">
        <v>348.86</v>
      </c>
      <c r="M229" s="32">
        <v>64</v>
      </c>
      <c r="N229" s="32">
        <v>71.650000000000006</v>
      </c>
      <c r="O229" s="32">
        <v>35.17</v>
      </c>
      <c r="P229" s="32">
        <v>4.1900000000000004</v>
      </c>
      <c r="Q229" s="34">
        <v>215128</v>
      </c>
      <c r="R229" s="34">
        <v>0</v>
      </c>
      <c r="S229" s="34">
        <v>215128</v>
      </c>
      <c r="T229" s="34">
        <v>14592</v>
      </c>
      <c r="U229" s="34">
        <v>16336</v>
      </c>
      <c r="V229" s="34">
        <v>408</v>
      </c>
      <c r="W229" s="34">
        <v>21688</v>
      </c>
      <c r="X229" s="34">
        <v>0</v>
      </c>
      <c r="Y229" s="34">
        <v>268152</v>
      </c>
      <c r="Z229" s="34">
        <v>36296</v>
      </c>
      <c r="AA229" s="34">
        <v>231856</v>
      </c>
      <c r="AB229" s="34">
        <v>152206</v>
      </c>
      <c r="AC229" s="34">
        <v>79650</v>
      </c>
    </row>
    <row r="230" spans="1:29" x14ac:dyDescent="0.25">
      <c r="A230" s="31" t="s">
        <v>229</v>
      </c>
      <c r="B230" s="31" t="s">
        <v>728</v>
      </c>
      <c r="C230" s="31" t="s">
        <v>241</v>
      </c>
      <c r="D230" s="31" t="s">
        <v>625</v>
      </c>
      <c r="E230" s="32">
        <v>68.03</v>
      </c>
      <c r="F230" s="33">
        <v>465</v>
      </c>
      <c r="G230" s="32">
        <v>533.03</v>
      </c>
      <c r="H230" s="32">
        <v>1.01</v>
      </c>
      <c r="I230" s="34">
        <v>14</v>
      </c>
      <c r="J230" s="33">
        <v>0</v>
      </c>
      <c r="K230" s="34">
        <v>479</v>
      </c>
      <c r="L230" s="32">
        <v>348.86</v>
      </c>
      <c r="M230" s="32">
        <v>64</v>
      </c>
      <c r="N230" s="32">
        <v>71.650000000000006</v>
      </c>
      <c r="O230" s="32">
        <v>35.17</v>
      </c>
      <c r="P230" s="32">
        <v>4.1900000000000004</v>
      </c>
      <c r="Q230" s="34">
        <v>185953</v>
      </c>
      <c r="R230" s="34">
        <v>0</v>
      </c>
      <c r="S230" s="34">
        <v>185953</v>
      </c>
      <c r="T230" s="34">
        <v>12262</v>
      </c>
      <c r="U230" s="34">
        <v>13728</v>
      </c>
      <c r="V230" s="34">
        <v>352</v>
      </c>
      <c r="W230" s="34">
        <v>18747</v>
      </c>
      <c r="X230" s="34">
        <v>0</v>
      </c>
      <c r="Y230" s="34">
        <v>231042</v>
      </c>
      <c r="Z230" s="34">
        <v>31373</v>
      </c>
      <c r="AA230" s="34">
        <v>199669</v>
      </c>
      <c r="AB230" s="34">
        <v>131565</v>
      </c>
      <c r="AC230" s="34">
        <v>68104</v>
      </c>
    </row>
    <row r="231" spans="1:29" x14ac:dyDescent="0.25">
      <c r="A231" s="31" t="s">
        <v>229</v>
      </c>
      <c r="B231" s="31" t="s">
        <v>728</v>
      </c>
      <c r="C231" s="31" t="s">
        <v>242</v>
      </c>
      <c r="D231" s="31" t="s">
        <v>626</v>
      </c>
      <c r="E231" s="32">
        <v>66.92</v>
      </c>
      <c r="F231" s="33">
        <v>612.4</v>
      </c>
      <c r="G231" s="32">
        <v>679.32</v>
      </c>
      <c r="H231" s="32">
        <v>1.29</v>
      </c>
      <c r="I231" s="34">
        <v>10</v>
      </c>
      <c r="J231" s="33">
        <v>0</v>
      </c>
      <c r="K231" s="34">
        <v>622</v>
      </c>
      <c r="L231" s="32">
        <v>348.86</v>
      </c>
      <c r="M231" s="32">
        <v>64</v>
      </c>
      <c r="N231" s="32">
        <v>71.650000000000006</v>
      </c>
      <c r="O231" s="32">
        <v>35.17</v>
      </c>
      <c r="P231" s="32">
        <v>4.1900000000000004</v>
      </c>
      <c r="Q231" s="34">
        <v>236988</v>
      </c>
      <c r="R231" s="34">
        <v>0</v>
      </c>
      <c r="S231" s="34">
        <v>236988</v>
      </c>
      <c r="T231" s="34">
        <v>15923</v>
      </c>
      <c r="U231" s="34">
        <v>17826</v>
      </c>
      <c r="V231" s="34">
        <v>450</v>
      </c>
      <c r="W231" s="34">
        <v>23892</v>
      </c>
      <c r="X231" s="34">
        <v>0</v>
      </c>
      <c r="Y231" s="34">
        <v>295079</v>
      </c>
      <c r="Z231" s="34">
        <v>39983</v>
      </c>
      <c r="AA231" s="34">
        <v>255096</v>
      </c>
      <c r="AB231" s="34">
        <v>167674</v>
      </c>
      <c r="AC231" s="34">
        <v>87422</v>
      </c>
    </row>
    <row r="232" spans="1:29" x14ac:dyDescent="0.25">
      <c r="A232" s="31" t="s">
        <v>229</v>
      </c>
      <c r="B232" s="31" t="s">
        <v>728</v>
      </c>
      <c r="C232" s="31" t="s">
        <v>243</v>
      </c>
      <c r="D232" s="31" t="s">
        <v>627</v>
      </c>
      <c r="E232" s="32">
        <v>328.23</v>
      </c>
      <c r="F232" s="33">
        <v>2199</v>
      </c>
      <c r="G232" s="32">
        <v>2527.23</v>
      </c>
      <c r="H232" s="32">
        <v>4.8099999999999996</v>
      </c>
      <c r="I232" s="34">
        <v>472</v>
      </c>
      <c r="J232" s="33">
        <v>1.6</v>
      </c>
      <c r="K232" s="34">
        <v>2669</v>
      </c>
      <c r="L232" s="32">
        <v>348.86</v>
      </c>
      <c r="M232" s="32">
        <v>64</v>
      </c>
      <c r="N232" s="32">
        <v>71.650000000000006</v>
      </c>
      <c r="O232" s="32">
        <v>35.17</v>
      </c>
      <c r="P232" s="32">
        <v>4.1900000000000004</v>
      </c>
      <c r="Q232" s="34">
        <v>881649</v>
      </c>
      <c r="R232" s="34">
        <v>0</v>
      </c>
      <c r="S232" s="34">
        <v>881649</v>
      </c>
      <c r="T232" s="34">
        <v>68326</v>
      </c>
      <c r="U232" s="34">
        <v>76494</v>
      </c>
      <c r="V232" s="34">
        <v>1678</v>
      </c>
      <c r="W232" s="34">
        <v>88883</v>
      </c>
      <c r="X232" s="34">
        <v>0</v>
      </c>
      <c r="Y232" s="34">
        <v>1117030</v>
      </c>
      <c r="Z232" s="34">
        <v>148746</v>
      </c>
      <c r="AA232" s="34">
        <v>968284</v>
      </c>
      <c r="AB232" s="34">
        <v>623788</v>
      </c>
      <c r="AC232" s="34">
        <v>344496</v>
      </c>
    </row>
    <row r="233" spans="1:29" x14ac:dyDescent="0.25">
      <c r="A233" s="31" t="s">
        <v>229</v>
      </c>
      <c r="B233" s="31" t="s">
        <v>728</v>
      </c>
      <c r="C233" s="31" t="s">
        <v>244</v>
      </c>
      <c r="D233" s="31" t="s">
        <v>628</v>
      </c>
      <c r="E233" s="32">
        <v>67.62</v>
      </c>
      <c r="F233" s="33">
        <v>574.5</v>
      </c>
      <c r="G233" s="32">
        <v>642.12</v>
      </c>
      <c r="H233" s="32">
        <v>1.22</v>
      </c>
      <c r="I233" s="34">
        <v>31</v>
      </c>
      <c r="J233" s="33">
        <v>0.1</v>
      </c>
      <c r="K233" s="34">
        <v>605</v>
      </c>
      <c r="L233" s="32">
        <v>348.86</v>
      </c>
      <c r="M233" s="32">
        <v>64</v>
      </c>
      <c r="N233" s="32">
        <v>71.650000000000006</v>
      </c>
      <c r="O233" s="32">
        <v>35.17</v>
      </c>
      <c r="P233" s="32">
        <v>4.1900000000000004</v>
      </c>
      <c r="Q233" s="34">
        <v>224010</v>
      </c>
      <c r="R233" s="34">
        <v>11367</v>
      </c>
      <c r="S233" s="34">
        <v>235377</v>
      </c>
      <c r="T233" s="34">
        <v>15488</v>
      </c>
      <c r="U233" s="34">
        <v>17339</v>
      </c>
      <c r="V233" s="34">
        <v>426</v>
      </c>
      <c r="W233" s="34">
        <v>23098</v>
      </c>
      <c r="X233" s="34">
        <v>0</v>
      </c>
      <c r="Y233" s="34">
        <v>291728</v>
      </c>
      <c r="Z233" s="34">
        <v>37794</v>
      </c>
      <c r="AA233" s="34">
        <v>253934</v>
      </c>
      <c r="AB233" s="34">
        <v>159006</v>
      </c>
      <c r="AC233" s="34">
        <v>94928</v>
      </c>
    </row>
    <row r="234" spans="1:29" x14ac:dyDescent="0.25">
      <c r="A234" s="31" t="s">
        <v>229</v>
      </c>
      <c r="B234" s="31" t="s">
        <v>728</v>
      </c>
      <c r="C234" s="31" t="s">
        <v>245</v>
      </c>
      <c r="D234" s="31" t="s">
        <v>629</v>
      </c>
      <c r="E234" s="32">
        <v>60.62</v>
      </c>
      <c r="F234" s="33">
        <v>465.3</v>
      </c>
      <c r="G234" s="32">
        <v>525.91999999999996</v>
      </c>
      <c r="H234" s="32">
        <v>1</v>
      </c>
      <c r="I234" s="34">
        <v>13</v>
      </c>
      <c r="J234" s="33">
        <v>0</v>
      </c>
      <c r="K234" s="34">
        <v>478</v>
      </c>
      <c r="L234" s="32">
        <v>348.86</v>
      </c>
      <c r="M234" s="32">
        <v>64</v>
      </c>
      <c r="N234" s="32">
        <v>71.650000000000006</v>
      </c>
      <c r="O234" s="32">
        <v>35.17</v>
      </c>
      <c r="P234" s="32">
        <v>4.1900000000000004</v>
      </c>
      <c r="Q234" s="34">
        <v>183472</v>
      </c>
      <c r="R234" s="34">
        <v>0</v>
      </c>
      <c r="S234" s="34">
        <v>183472</v>
      </c>
      <c r="T234" s="34">
        <v>12237</v>
      </c>
      <c r="U234" s="34">
        <v>13700</v>
      </c>
      <c r="V234" s="34">
        <v>349</v>
      </c>
      <c r="W234" s="34">
        <v>18497</v>
      </c>
      <c r="X234" s="34">
        <v>0</v>
      </c>
      <c r="Y234" s="34">
        <v>228255</v>
      </c>
      <c r="Z234" s="34">
        <v>30954</v>
      </c>
      <c r="AA234" s="34">
        <v>197301</v>
      </c>
      <c r="AB234" s="34">
        <v>129811</v>
      </c>
      <c r="AC234" s="34">
        <v>67490</v>
      </c>
    </row>
    <row r="235" spans="1:29" x14ac:dyDescent="0.25">
      <c r="A235" s="31" t="s">
        <v>229</v>
      </c>
      <c r="B235" s="31" t="s">
        <v>728</v>
      </c>
      <c r="C235" s="31" t="s">
        <v>246</v>
      </c>
      <c r="D235" s="31" t="s">
        <v>630</v>
      </c>
      <c r="E235" s="32">
        <v>200.95</v>
      </c>
      <c r="F235" s="33">
        <v>1506.3</v>
      </c>
      <c r="G235" s="32">
        <v>1707.25</v>
      </c>
      <c r="H235" s="32">
        <v>3.25</v>
      </c>
      <c r="I235" s="34">
        <v>573</v>
      </c>
      <c r="J235" s="33">
        <v>6.3</v>
      </c>
      <c r="K235" s="34">
        <v>2073</v>
      </c>
      <c r="L235" s="32">
        <v>348.86</v>
      </c>
      <c r="M235" s="32">
        <v>64</v>
      </c>
      <c r="N235" s="32">
        <v>71.650000000000006</v>
      </c>
      <c r="O235" s="32">
        <v>35.17</v>
      </c>
      <c r="P235" s="32">
        <v>4.1900000000000004</v>
      </c>
      <c r="Q235" s="34">
        <v>595591</v>
      </c>
      <c r="R235" s="34">
        <v>0</v>
      </c>
      <c r="S235" s="34">
        <v>595591</v>
      </c>
      <c r="T235" s="34">
        <v>53069</v>
      </c>
      <c r="U235" s="34">
        <v>59412</v>
      </c>
      <c r="V235" s="34">
        <v>1134</v>
      </c>
      <c r="W235" s="34">
        <v>60044</v>
      </c>
      <c r="X235" s="34">
        <v>0</v>
      </c>
      <c r="Y235" s="34">
        <v>769250</v>
      </c>
      <c r="Z235" s="34">
        <v>100484</v>
      </c>
      <c r="AA235" s="34">
        <v>668766</v>
      </c>
      <c r="AB235" s="34">
        <v>421395</v>
      </c>
      <c r="AC235" s="34">
        <v>247371</v>
      </c>
    </row>
    <row r="236" spans="1:29" x14ac:dyDescent="0.25">
      <c r="A236" s="31" t="s">
        <v>229</v>
      </c>
      <c r="B236" s="31" t="s">
        <v>728</v>
      </c>
      <c r="C236" s="31" t="s">
        <v>43</v>
      </c>
      <c r="D236" s="31" t="s">
        <v>631</v>
      </c>
      <c r="E236" s="32">
        <v>131.13</v>
      </c>
      <c r="F236" s="33">
        <v>903.5</v>
      </c>
      <c r="G236" s="32">
        <v>1034.6300000000001</v>
      </c>
      <c r="H236" s="32">
        <v>1.97</v>
      </c>
      <c r="I236" s="34">
        <v>17</v>
      </c>
      <c r="J236" s="33">
        <v>0</v>
      </c>
      <c r="K236" s="34">
        <v>921</v>
      </c>
      <c r="L236" s="32">
        <v>348.86</v>
      </c>
      <c r="M236" s="32">
        <v>64</v>
      </c>
      <c r="N236" s="32">
        <v>71.650000000000006</v>
      </c>
      <c r="O236" s="32">
        <v>35.17</v>
      </c>
      <c r="P236" s="32">
        <v>4.1900000000000004</v>
      </c>
      <c r="Q236" s="34">
        <v>360941</v>
      </c>
      <c r="R236" s="34">
        <v>0</v>
      </c>
      <c r="S236" s="34">
        <v>360941</v>
      </c>
      <c r="T236" s="34">
        <v>23578</v>
      </c>
      <c r="U236" s="34">
        <v>26396</v>
      </c>
      <c r="V236" s="34">
        <v>687</v>
      </c>
      <c r="W236" s="34">
        <v>36388</v>
      </c>
      <c r="X236" s="34">
        <v>0</v>
      </c>
      <c r="Y236" s="34">
        <v>447990</v>
      </c>
      <c r="Z236" s="34">
        <v>60896</v>
      </c>
      <c r="AA236" s="34">
        <v>387094</v>
      </c>
      <c r="AB236" s="34">
        <v>255374</v>
      </c>
      <c r="AC236" s="34">
        <v>131720</v>
      </c>
    </row>
    <row r="237" spans="1:29" x14ac:dyDescent="0.25">
      <c r="A237" s="31" t="s">
        <v>229</v>
      </c>
      <c r="B237" s="31" t="s">
        <v>728</v>
      </c>
      <c r="C237" s="31" t="s">
        <v>247</v>
      </c>
      <c r="D237" s="31" t="s">
        <v>632</v>
      </c>
      <c r="E237" s="32">
        <v>60.53</v>
      </c>
      <c r="F237" s="33">
        <v>317</v>
      </c>
      <c r="G237" s="32">
        <v>377.53</v>
      </c>
      <c r="H237" s="32">
        <v>0.72</v>
      </c>
      <c r="I237" s="34">
        <v>204</v>
      </c>
      <c r="J237" s="33">
        <v>4.8</v>
      </c>
      <c r="K237" s="34">
        <v>516</v>
      </c>
      <c r="L237" s="32">
        <v>348.86</v>
      </c>
      <c r="M237" s="32">
        <v>64</v>
      </c>
      <c r="N237" s="32">
        <v>71.650000000000006</v>
      </c>
      <c r="O237" s="32">
        <v>35.17</v>
      </c>
      <c r="P237" s="32">
        <v>4.1900000000000004</v>
      </c>
      <c r="Q237" s="34">
        <v>131705</v>
      </c>
      <c r="R237" s="34">
        <v>2705</v>
      </c>
      <c r="S237" s="34">
        <v>134410</v>
      </c>
      <c r="T237" s="34">
        <v>13210</v>
      </c>
      <c r="U237" s="34">
        <v>14788</v>
      </c>
      <c r="V237" s="34">
        <v>251</v>
      </c>
      <c r="W237" s="34">
        <v>13543</v>
      </c>
      <c r="X237" s="34">
        <v>0</v>
      </c>
      <c r="Y237" s="34">
        <v>176202</v>
      </c>
      <c r="Z237" s="34">
        <v>22221</v>
      </c>
      <c r="AA237" s="34">
        <v>153981</v>
      </c>
      <c r="AB237" s="34">
        <v>93450</v>
      </c>
      <c r="AC237" s="34">
        <v>60531</v>
      </c>
    </row>
    <row r="238" spans="1:29" x14ac:dyDescent="0.25">
      <c r="A238" s="31" t="s">
        <v>229</v>
      </c>
      <c r="B238" s="31" t="s">
        <v>728</v>
      </c>
      <c r="C238" s="31" t="s">
        <v>248</v>
      </c>
      <c r="D238" s="31" t="s">
        <v>633</v>
      </c>
      <c r="E238" s="32">
        <v>75.510000000000005</v>
      </c>
      <c r="F238" s="33">
        <v>371.1</v>
      </c>
      <c r="G238" s="32">
        <v>446.61</v>
      </c>
      <c r="H238" s="32">
        <v>0.85</v>
      </c>
      <c r="I238" s="34">
        <v>5</v>
      </c>
      <c r="J238" s="33">
        <v>0</v>
      </c>
      <c r="K238" s="34">
        <v>376</v>
      </c>
      <c r="L238" s="32">
        <v>348.86</v>
      </c>
      <c r="M238" s="32">
        <v>64</v>
      </c>
      <c r="N238" s="32">
        <v>71.650000000000006</v>
      </c>
      <c r="O238" s="32">
        <v>35.17</v>
      </c>
      <c r="P238" s="32">
        <v>4.1900000000000004</v>
      </c>
      <c r="Q238" s="34">
        <v>155804</v>
      </c>
      <c r="R238" s="34">
        <v>0</v>
      </c>
      <c r="S238" s="34">
        <v>155804</v>
      </c>
      <c r="T238" s="34">
        <v>9626</v>
      </c>
      <c r="U238" s="34">
        <v>10776</v>
      </c>
      <c r="V238" s="34">
        <v>297</v>
      </c>
      <c r="W238" s="34">
        <v>15707</v>
      </c>
      <c r="X238" s="34">
        <v>0</v>
      </c>
      <c r="Y238" s="34">
        <v>192210</v>
      </c>
      <c r="Z238" s="34">
        <v>26286</v>
      </c>
      <c r="AA238" s="34">
        <v>165924</v>
      </c>
      <c r="AB238" s="34">
        <v>110235</v>
      </c>
      <c r="AC238" s="34">
        <v>55689</v>
      </c>
    </row>
    <row r="239" spans="1:29" x14ac:dyDescent="0.25">
      <c r="A239" s="31" t="s">
        <v>229</v>
      </c>
      <c r="B239" s="31" t="s">
        <v>728</v>
      </c>
      <c r="C239" s="31" t="s">
        <v>249</v>
      </c>
      <c r="D239" s="31" t="s">
        <v>634</v>
      </c>
      <c r="E239" s="32">
        <v>74.540000000000006</v>
      </c>
      <c r="F239" s="33">
        <v>820.8</v>
      </c>
      <c r="G239" s="32">
        <v>895.34</v>
      </c>
      <c r="H239" s="32">
        <v>1.7</v>
      </c>
      <c r="I239" s="34">
        <v>430</v>
      </c>
      <c r="J239" s="33">
        <v>1.4</v>
      </c>
      <c r="K239" s="34">
        <v>1249</v>
      </c>
      <c r="L239" s="32">
        <v>348.86</v>
      </c>
      <c r="M239" s="32">
        <v>64</v>
      </c>
      <c r="N239" s="32">
        <v>71.650000000000006</v>
      </c>
      <c r="O239" s="32">
        <v>35.17</v>
      </c>
      <c r="P239" s="32">
        <v>4.1900000000000004</v>
      </c>
      <c r="Q239" s="34">
        <v>312348</v>
      </c>
      <c r="R239" s="34">
        <v>4223</v>
      </c>
      <c r="S239" s="34">
        <v>316571</v>
      </c>
      <c r="T239" s="34">
        <v>31974</v>
      </c>
      <c r="U239" s="34">
        <v>35796</v>
      </c>
      <c r="V239" s="34">
        <v>593</v>
      </c>
      <c r="W239" s="34">
        <v>31897</v>
      </c>
      <c r="X239" s="34">
        <v>0</v>
      </c>
      <c r="Y239" s="34">
        <v>416831</v>
      </c>
      <c r="Z239" s="34">
        <v>52698</v>
      </c>
      <c r="AA239" s="34">
        <v>364133</v>
      </c>
      <c r="AB239" s="34">
        <v>221400</v>
      </c>
      <c r="AC239" s="34">
        <v>142733</v>
      </c>
    </row>
    <row r="240" spans="1:29" x14ac:dyDescent="0.25">
      <c r="A240" s="31" t="s">
        <v>229</v>
      </c>
      <c r="B240" s="31" t="s">
        <v>728</v>
      </c>
      <c r="C240" s="31" t="s">
        <v>250</v>
      </c>
      <c r="D240" s="31" t="s">
        <v>635</v>
      </c>
      <c r="E240" s="32">
        <v>33.81</v>
      </c>
      <c r="F240" s="33">
        <v>238</v>
      </c>
      <c r="G240" s="32">
        <v>271.81</v>
      </c>
      <c r="H240" s="32">
        <v>0.52</v>
      </c>
      <c r="I240" s="34">
        <v>3</v>
      </c>
      <c r="J240" s="33">
        <v>0</v>
      </c>
      <c r="K240" s="34">
        <v>241</v>
      </c>
      <c r="L240" s="32">
        <v>348.86</v>
      </c>
      <c r="M240" s="32">
        <v>64</v>
      </c>
      <c r="N240" s="32">
        <v>71.650000000000006</v>
      </c>
      <c r="O240" s="32">
        <v>35.17</v>
      </c>
      <c r="P240" s="32">
        <v>4.1900000000000004</v>
      </c>
      <c r="Q240" s="34">
        <v>94824</v>
      </c>
      <c r="R240" s="34">
        <v>10135</v>
      </c>
      <c r="S240" s="34">
        <v>104959</v>
      </c>
      <c r="T240" s="34">
        <v>6170</v>
      </c>
      <c r="U240" s="34">
        <v>6907</v>
      </c>
      <c r="V240" s="34">
        <v>181</v>
      </c>
      <c r="W240" s="34">
        <v>9560</v>
      </c>
      <c r="X240" s="34">
        <v>0</v>
      </c>
      <c r="Y240" s="34">
        <v>127777</v>
      </c>
      <c r="Z240" s="34">
        <v>15998</v>
      </c>
      <c r="AA240" s="34">
        <v>111779</v>
      </c>
      <c r="AB240" s="34">
        <v>67091</v>
      </c>
      <c r="AC240" s="34">
        <v>44688</v>
      </c>
    </row>
    <row r="241" spans="1:29" x14ac:dyDescent="0.25">
      <c r="A241" s="31" t="s">
        <v>229</v>
      </c>
      <c r="B241" s="31" t="s">
        <v>728</v>
      </c>
      <c r="C241" s="31" t="s">
        <v>251</v>
      </c>
      <c r="D241" s="31" t="s">
        <v>636</v>
      </c>
      <c r="E241" s="32">
        <v>180.53</v>
      </c>
      <c r="F241" s="33">
        <v>1437.7</v>
      </c>
      <c r="G241" s="32">
        <v>1618.23</v>
      </c>
      <c r="H241" s="32">
        <v>3.08</v>
      </c>
      <c r="I241" s="34">
        <v>43</v>
      </c>
      <c r="J241" s="33">
        <v>0</v>
      </c>
      <c r="K241" s="34">
        <v>1481</v>
      </c>
      <c r="L241" s="32">
        <v>348.86</v>
      </c>
      <c r="M241" s="32">
        <v>64</v>
      </c>
      <c r="N241" s="32">
        <v>71.650000000000006</v>
      </c>
      <c r="O241" s="32">
        <v>35.17</v>
      </c>
      <c r="P241" s="32">
        <v>4.1900000000000004</v>
      </c>
      <c r="Q241" s="34">
        <v>564536</v>
      </c>
      <c r="R241" s="34">
        <v>0</v>
      </c>
      <c r="S241" s="34">
        <v>564536</v>
      </c>
      <c r="T241" s="34">
        <v>37914</v>
      </c>
      <c r="U241" s="34">
        <v>42446</v>
      </c>
      <c r="V241" s="34">
        <v>1074</v>
      </c>
      <c r="W241" s="34">
        <v>56913</v>
      </c>
      <c r="X241" s="34">
        <v>0</v>
      </c>
      <c r="Y241" s="34">
        <v>702883</v>
      </c>
      <c r="Z241" s="34">
        <v>95245</v>
      </c>
      <c r="AA241" s="34">
        <v>607638</v>
      </c>
      <c r="AB241" s="34">
        <v>399422</v>
      </c>
      <c r="AC241" s="34">
        <v>208216</v>
      </c>
    </row>
    <row r="242" spans="1:29" x14ac:dyDescent="0.25">
      <c r="A242" s="31" t="s">
        <v>229</v>
      </c>
      <c r="B242" s="31" t="s">
        <v>728</v>
      </c>
      <c r="C242" s="31" t="s">
        <v>252</v>
      </c>
      <c r="D242" s="31" t="s">
        <v>637</v>
      </c>
      <c r="E242" s="32">
        <v>159.44</v>
      </c>
      <c r="F242" s="33">
        <v>1122.7</v>
      </c>
      <c r="G242" s="32">
        <v>1282.1400000000001</v>
      </c>
      <c r="H242" s="32">
        <v>2.44</v>
      </c>
      <c r="I242" s="34">
        <v>164</v>
      </c>
      <c r="J242" s="33">
        <v>2</v>
      </c>
      <c r="K242" s="34">
        <v>1285</v>
      </c>
      <c r="L242" s="32">
        <v>348.86</v>
      </c>
      <c r="M242" s="32">
        <v>64</v>
      </c>
      <c r="N242" s="32">
        <v>71.650000000000006</v>
      </c>
      <c r="O242" s="32">
        <v>35.17</v>
      </c>
      <c r="P242" s="32">
        <v>4.1900000000000004</v>
      </c>
      <c r="Q242" s="34">
        <v>447287</v>
      </c>
      <c r="R242" s="34">
        <v>0</v>
      </c>
      <c r="S242" s="34">
        <v>447287</v>
      </c>
      <c r="T242" s="34">
        <v>32896</v>
      </c>
      <c r="U242" s="34">
        <v>36828</v>
      </c>
      <c r="V242" s="34">
        <v>851</v>
      </c>
      <c r="W242" s="34">
        <v>45093</v>
      </c>
      <c r="X242" s="34">
        <v>0</v>
      </c>
      <c r="Y242" s="34">
        <v>562955</v>
      </c>
      <c r="Z242" s="34">
        <v>75463</v>
      </c>
      <c r="AA242" s="34">
        <v>487492</v>
      </c>
      <c r="AB242" s="34">
        <v>316467</v>
      </c>
      <c r="AC242" s="34">
        <v>171025</v>
      </c>
    </row>
    <row r="243" spans="1:29" x14ac:dyDescent="0.25">
      <c r="A243" s="31" t="s">
        <v>229</v>
      </c>
      <c r="B243" s="31" t="s">
        <v>728</v>
      </c>
      <c r="C243" s="31" t="s">
        <v>253</v>
      </c>
      <c r="D243" s="31" t="s">
        <v>638</v>
      </c>
      <c r="E243" s="32">
        <v>72.38</v>
      </c>
      <c r="F243" s="33">
        <v>648.79999999999995</v>
      </c>
      <c r="G243" s="32">
        <v>721.18</v>
      </c>
      <c r="H243" s="32">
        <v>1.37</v>
      </c>
      <c r="I243" s="34">
        <v>25</v>
      </c>
      <c r="J243" s="33">
        <v>0</v>
      </c>
      <c r="K243" s="34">
        <v>674</v>
      </c>
      <c r="L243" s="32">
        <v>348.86</v>
      </c>
      <c r="M243" s="32">
        <v>64</v>
      </c>
      <c r="N243" s="32">
        <v>71.650000000000006</v>
      </c>
      <c r="O243" s="32">
        <v>35.17</v>
      </c>
      <c r="P243" s="32">
        <v>4.1900000000000004</v>
      </c>
      <c r="Q243" s="34">
        <v>251591</v>
      </c>
      <c r="R243" s="34">
        <v>9118</v>
      </c>
      <c r="S243" s="34">
        <v>260709</v>
      </c>
      <c r="T243" s="34">
        <v>17254</v>
      </c>
      <c r="U243" s="34">
        <v>19317</v>
      </c>
      <c r="V243" s="34">
        <v>478</v>
      </c>
      <c r="W243" s="34">
        <v>26268</v>
      </c>
      <c r="X243" s="34">
        <v>0</v>
      </c>
      <c r="Y243" s="34">
        <v>324026</v>
      </c>
      <c r="Z243" s="34">
        <v>42447</v>
      </c>
      <c r="AA243" s="34">
        <v>281579</v>
      </c>
      <c r="AB243" s="34">
        <v>178910</v>
      </c>
      <c r="AC243" s="34">
        <v>102669</v>
      </c>
    </row>
    <row r="244" spans="1:29" x14ac:dyDescent="0.25">
      <c r="A244" s="31" t="s">
        <v>229</v>
      </c>
      <c r="B244" s="31" t="s">
        <v>728</v>
      </c>
      <c r="C244" s="31" t="s">
        <v>254</v>
      </c>
      <c r="D244" s="31" t="s">
        <v>639</v>
      </c>
      <c r="E244" s="32">
        <v>212.14</v>
      </c>
      <c r="F244" s="33">
        <v>1493.5</v>
      </c>
      <c r="G244" s="32">
        <v>1705.64</v>
      </c>
      <c r="H244" s="32">
        <v>3.24</v>
      </c>
      <c r="I244" s="34">
        <v>712</v>
      </c>
      <c r="J244" s="33">
        <v>0.2</v>
      </c>
      <c r="K244" s="34">
        <v>2205</v>
      </c>
      <c r="L244" s="32">
        <v>348.86</v>
      </c>
      <c r="M244" s="32">
        <v>64</v>
      </c>
      <c r="N244" s="32">
        <v>71.650000000000006</v>
      </c>
      <c r="O244" s="32">
        <v>35.17</v>
      </c>
      <c r="P244" s="32">
        <v>4.1900000000000004</v>
      </c>
      <c r="Q244" s="34">
        <v>595030</v>
      </c>
      <c r="R244" s="34">
        <v>0</v>
      </c>
      <c r="S244" s="34">
        <v>595030</v>
      </c>
      <c r="T244" s="34">
        <v>56448</v>
      </c>
      <c r="U244" s="34">
        <v>63195</v>
      </c>
      <c r="V244" s="34">
        <v>1130</v>
      </c>
      <c r="W244" s="34">
        <v>59987</v>
      </c>
      <c r="X244" s="34">
        <v>0</v>
      </c>
      <c r="Y244" s="34">
        <v>775790</v>
      </c>
      <c r="Z244" s="34">
        <v>100390</v>
      </c>
      <c r="AA244" s="34">
        <v>675400</v>
      </c>
      <c r="AB244" s="34">
        <v>420995</v>
      </c>
      <c r="AC244" s="34">
        <v>254405</v>
      </c>
    </row>
    <row r="245" spans="1:29" x14ac:dyDescent="0.25">
      <c r="A245" s="31" t="s">
        <v>229</v>
      </c>
      <c r="B245" s="31" t="s">
        <v>728</v>
      </c>
      <c r="C245" s="31" t="s">
        <v>255</v>
      </c>
      <c r="D245" s="31" t="s">
        <v>640</v>
      </c>
      <c r="E245" s="32">
        <v>2409.4299999999998</v>
      </c>
      <c r="F245" s="33">
        <v>14588.6</v>
      </c>
      <c r="G245" s="32">
        <v>16998.03</v>
      </c>
      <c r="H245" s="32">
        <v>32.340000000000003</v>
      </c>
      <c r="I245" s="34">
        <v>1589</v>
      </c>
      <c r="J245" s="33">
        <v>13.4</v>
      </c>
      <c r="K245" s="34">
        <v>16164</v>
      </c>
      <c r="L245" s="32">
        <v>348.86</v>
      </c>
      <c r="M245" s="32">
        <v>64</v>
      </c>
      <c r="N245" s="32">
        <v>71.650000000000006</v>
      </c>
      <c r="O245" s="32">
        <v>35.17</v>
      </c>
      <c r="P245" s="32">
        <v>4.1900000000000004</v>
      </c>
      <c r="Q245" s="34">
        <v>5929933</v>
      </c>
      <c r="R245" s="34">
        <v>0</v>
      </c>
      <c r="S245" s="34">
        <v>5929933</v>
      </c>
      <c r="T245" s="34">
        <v>413798</v>
      </c>
      <c r="U245" s="34">
        <v>463260</v>
      </c>
      <c r="V245" s="34">
        <v>11282</v>
      </c>
      <c r="W245" s="34">
        <v>597821</v>
      </c>
      <c r="X245" s="34">
        <v>0</v>
      </c>
      <c r="Y245" s="34">
        <v>7416094</v>
      </c>
      <c r="Z245" s="34">
        <v>1000458</v>
      </c>
      <c r="AA245" s="34">
        <v>6415636</v>
      </c>
      <c r="AB245" s="34">
        <v>4195563</v>
      </c>
      <c r="AC245" s="34">
        <v>2220073</v>
      </c>
    </row>
    <row r="246" spans="1:29" x14ac:dyDescent="0.25">
      <c r="A246" s="31" t="s">
        <v>229</v>
      </c>
      <c r="B246" s="31" t="s">
        <v>728</v>
      </c>
      <c r="C246" s="31" t="s">
        <v>256</v>
      </c>
      <c r="D246" s="31" t="s">
        <v>641</v>
      </c>
      <c r="E246" s="32">
        <v>117.82</v>
      </c>
      <c r="F246" s="33">
        <v>579</v>
      </c>
      <c r="G246" s="32">
        <v>696.82</v>
      </c>
      <c r="H246" s="32">
        <v>1.36</v>
      </c>
      <c r="I246" s="34">
        <v>77</v>
      </c>
      <c r="J246" s="33">
        <v>2.7</v>
      </c>
      <c r="K246" s="34">
        <v>653</v>
      </c>
      <c r="L246" s="32">
        <v>348.86</v>
      </c>
      <c r="M246" s="32">
        <v>64</v>
      </c>
      <c r="N246" s="32">
        <v>71.650000000000006</v>
      </c>
      <c r="O246" s="32">
        <v>35.17</v>
      </c>
      <c r="P246" s="32">
        <v>4.1900000000000004</v>
      </c>
      <c r="Q246" s="34">
        <v>243093</v>
      </c>
      <c r="R246" s="34">
        <v>0</v>
      </c>
      <c r="S246" s="34">
        <v>243093</v>
      </c>
      <c r="T246" s="34">
        <v>16717</v>
      </c>
      <c r="U246" s="34">
        <v>18715</v>
      </c>
      <c r="V246" s="34">
        <v>474</v>
      </c>
      <c r="W246" s="34">
        <v>24507</v>
      </c>
      <c r="X246" s="34">
        <v>0</v>
      </c>
      <c r="Y246" s="34">
        <v>303506</v>
      </c>
      <c r="Z246" s="34">
        <v>41013</v>
      </c>
      <c r="AA246" s="34">
        <v>262493</v>
      </c>
      <c r="AB246" s="34">
        <v>172003</v>
      </c>
      <c r="AC246" s="34">
        <v>90490</v>
      </c>
    </row>
    <row r="247" spans="1:29" x14ac:dyDescent="0.25">
      <c r="A247" s="31" t="s">
        <v>229</v>
      </c>
      <c r="B247" s="31" t="s">
        <v>728</v>
      </c>
      <c r="C247" s="31" t="s">
        <v>257</v>
      </c>
      <c r="D247" s="31" t="s">
        <v>642</v>
      </c>
      <c r="E247" s="32">
        <v>82.39</v>
      </c>
      <c r="F247" s="33">
        <v>949.5</v>
      </c>
      <c r="G247" s="32">
        <v>1031.8900000000001</v>
      </c>
      <c r="H247" s="32">
        <v>1.96</v>
      </c>
      <c r="I247" s="34">
        <v>157</v>
      </c>
      <c r="J247" s="33">
        <v>0</v>
      </c>
      <c r="K247" s="34">
        <v>1107</v>
      </c>
      <c r="L247" s="32">
        <v>348.86</v>
      </c>
      <c r="M247" s="32">
        <v>64</v>
      </c>
      <c r="N247" s="32">
        <v>71.650000000000006</v>
      </c>
      <c r="O247" s="32">
        <v>35.17</v>
      </c>
      <c r="P247" s="32">
        <v>4.1900000000000004</v>
      </c>
      <c r="Q247" s="34">
        <v>359985</v>
      </c>
      <c r="R247" s="34">
        <v>0</v>
      </c>
      <c r="S247" s="34">
        <v>359985</v>
      </c>
      <c r="T247" s="34">
        <v>28339</v>
      </c>
      <c r="U247" s="34">
        <v>31727</v>
      </c>
      <c r="V247" s="34">
        <v>684</v>
      </c>
      <c r="W247" s="34">
        <v>36292</v>
      </c>
      <c r="X247" s="34">
        <v>0</v>
      </c>
      <c r="Y247" s="34">
        <v>457027</v>
      </c>
      <c r="Z247" s="34">
        <v>60734</v>
      </c>
      <c r="AA247" s="34">
        <v>396293</v>
      </c>
      <c r="AB247" s="34">
        <v>254698</v>
      </c>
      <c r="AC247" s="34">
        <v>141595</v>
      </c>
    </row>
    <row r="248" spans="1:29" x14ac:dyDescent="0.25">
      <c r="A248" s="31" t="s">
        <v>229</v>
      </c>
      <c r="B248" s="31" t="s">
        <v>728</v>
      </c>
      <c r="C248" s="31" t="s">
        <v>258</v>
      </c>
      <c r="D248" s="31" t="s">
        <v>643</v>
      </c>
      <c r="E248" s="32">
        <v>99.08</v>
      </c>
      <c r="F248" s="33">
        <v>578.79999999999995</v>
      </c>
      <c r="G248" s="32">
        <v>677.88</v>
      </c>
      <c r="H248" s="32">
        <v>1.29</v>
      </c>
      <c r="I248" s="34">
        <v>4</v>
      </c>
      <c r="J248" s="33">
        <v>0</v>
      </c>
      <c r="K248" s="34">
        <v>583</v>
      </c>
      <c r="L248" s="32">
        <v>348.86</v>
      </c>
      <c r="M248" s="32">
        <v>64</v>
      </c>
      <c r="N248" s="32">
        <v>71.650000000000006</v>
      </c>
      <c r="O248" s="32">
        <v>35.17</v>
      </c>
      <c r="P248" s="32">
        <v>4.1900000000000004</v>
      </c>
      <c r="Q248" s="34">
        <v>236485</v>
      </c>
      <c r="R248" s="34">
        <v>5737</v>
      </c>
      <c r="S248" s="34">
        <v>242222</v>
      </c>
      <c r="T248" s="34">
        <v>14925</v>
      </c>
      <c r="U248" s="34">
        <v>16709</v>
      </c>
      <c r="V248" s="34">
        <v>450</v>
      </c>
      <c r="W248" s="34">
        <v>24406</v>
      </c>
      <c r="X248" s="34">
        <v>0</v>
      </c>
      <c r="Y248" s="34">
        <v>298712</v>
      </c>
      <c r="Z248" s="34">
        <v>39898</v>
      </c>
      <c r="AA248" s="34">
        <v>258814</v>
      </c>
      <c r="AB248" s="34">
        <v>167884</v>
      </c>
      <c r="AC248" s="34">
        <v>90930</v>
      </c>
    </row>
    <row r="249" spans="1:29" x14ac:dyDescent="0.25">
      <c r="A249" s="31" t="s">
        <v>229</v>
      </c>
      <c r="B249" s="31" t="s">
        <v>728</v>
      </c>
      <c r="C249" s="31" t="s">
        <v>259</v>
      </c>
      <c r="D249" s="31" t="s">
        <v>644</v>
      </c>
      <c r="E249" s="32">
        <v>96.13</v>
      </c>
      <c r="F249" s="33">
        <v>757.3</v>
      </c>
      <c r="G249" s="32">
        <v>853.43</v>
      </c>
      <c r="H249" s="32">
        <v>1.62</v>
      </c>
      <c r="I249" s="34">
        <v>84</v>
      </c>
      <c r="J249" s="33">
        <v>0</v>
      </c>
      <c r="K249" s="34">
        <v>841</v>
      </c>
      <c r="L249" s="32">
        <v>348.86</v>
      </c>
      <c r="M249" s="32">
        <v>64</v>
      </c>
      <c r="N249" s="32">
        <v>71.650000000000006</v>
      </c>
      <c r="O249" s="32">
        <v>35.17</v>
      </c>
      <c r="P249" s="32">
        <v>4.1900000000000004</v>
      </c>
      <c r="Q249" s="34">
        <v>297728</v>
      </c>
      <c r="R249" s="34">
        <v>17705</v>
      </c>
      <c r="S249" s="34">
        <v>315433</v>
      </c>
      <c r="T249" s="34">
        <v>21530</v>
      </c>
      <c r="U249" s="34">
        <v>24103</v>
      </c>
      <c r="V249" s="34">
        <v>565</v>
      </c>
      <c r="W249" s="34">
        <v>31492</v>
      </c>
      <c r="X249" s="34">
        <v>0</v>
      </c>
      <c r="Y249" s="34">
        <v>393123</v>
      </c>
      <c r="Z249" s="34">
        <v>50231</v>
      </c>
      <c r="AA249" s="34">
        <v>342892</v>
      </c>
      <c r="AB249" s="34">
        <v>212125</v>
      </c>
      <c r="AC249" s="34">
        <v>130767</v>
      </c>
    </row>
    <row r="250" spans="1:29" x14ac:dyDescent="0.25">
      <c r="A250" s="31" t="s">
        <v>229</v>
      </c>
      <c r="B250" s="31" t="s">
        <v>728</v>
      </c>
      <c r="C250" s="31" t="s">
        <v>260</v>
      </c>
      <c r="D250" s="31" t="s">
        <v>645</v>
      </c>
      <c r="E250" s="32">
        <v>87.1</v>
      </c>
      <c r="F250" s="33">
        <v>532.9</v>
      </c>
      <c r="G250" s="32">
        <v>620</v>
      </c>
      <c r="H250" s="32">
        <v>1.18</v>
      </c>
      <c r="I250" s="34">
        <v>10</v>
      </c>
      <c r="J250" s="33">
        <v>0</v>
      </c>
      <c r="K250" s="34">
        <v>543</v>
      </c>
      <c r="L250" s="32">
        <v>348.86</v>
      </c>
      <c r="M250" s="32">
        <v>64</v>
      </c>
      <c r="N250" s="32">
        <v>71.650000000000006</v>
      </c>
      <c r="O250" s="32">
        <v>35.17</v>
      </c>
      <c r="P250" s="32">
        <v>4.1900000000000004</v>
      </c>
      <c r="Q250" s="34">
        <v>216293</v>
      </c>
      <c r="R250" s="34">
        <v>0</v>
      </c>
      <c r="S250" s="34">
        <v>216293</v>
      </c>
      <c r="T250" s="34">
        <v>13901</v>
      </c>
      <c r="U250" s="34">
        <v>15562</v>
      </c>
      <c r="V250" s="34">
        <v>412</v>
      </c>
      <c r="W250" s="34">
        <v>21805</v>
      </c>
      <c r="X250" s="34">
        <v>0</v>
      </c>
      <c r="Y250" s="34">
        <v>267973</v>
      </c>
      <c r="Z250" s="34">
        <v>36491</v>
      </c>
      <c r="AA250" s="34">
        <v>231482</v>
      </c>
      <c r="AB250" s="34">
        <v>153033</v>
      </c>
      <c r="AC250" s="34">
        <v>78449</v>
      </c>
    </row>
    <row r="251" spans="1:29" x14ac:dyDescent="0.25">
      <c r="A251" s="31" t="s">
        <v>229</v>
      </c>
      <c r="B251" s="31" t="s">
        <v>728</v>
      </c>
      <c r="C251" s="31" t="s">
        <v>261</v>
      </c>
      <c r="D251" s="31" t="s">
        <v>646</v>
      </c>
      <c r="E251" s="32">
        <v>23.39</v>
      </c>
      <c r="F251" s="33">
        <v>192.7</v>
      </c>
      <c r="G251" s="32">
        <v>216.09</v>
      </c>
      <c r="H251" s="32">
        <v>0.41</v>
      </c>
      <c r="I251" s="34">
        <v>0</v>
      </c>
      <c r="J251" s="33">
        <v>0</v>
      </c>
      <c r="K251" s="34">
        <v>193</v>
      </c>
      <c r="L251" s="32">
        <v>348.86</v>
      </c>
      <c r="M251" s="32">
        <v>64</v>
      </c>
      <c r="N251" s="32">
        <v>71.650000000000006</v>
      </c>
      <c r="O251" s="32">
        <v>35.17</v>
      </c>
      <c r="P251" s="32">
        <v>4.1900000000000004</v>
      </c>
      <c r="Q251" s="34">
        <v>75385</v>
      </c>
      <c r="R251" s="34">
        <v>0</v>
      </c>
      <c r="S251" s="34">
        <v>75385</v>
      </c>
      <c r="T251" s="34">
        <v>4941</v>
      </c>
      <c r="U251" s="34">
        <v>5531</v>
      </c>
      <c r="V251" s="34">
        <v>143</v>
      </c>
      <c r="W251" s="34">
        <v>7600</v>
      </c>
      <c r="X251" s="34">
        <v>0</v>
      </c>
      <c r="Y251" s="34">
        <v>93600</v>
      </c>
      <c r="Z251" s="34">
        <v>12718</v>
      </c>
      <c r="AA251" s="34">
        <v>80882</v>
      </c>
      <c r="AB251" s="34">
        <v>53337</v>
      </c>
      <c r="AC251" s="34">
        <v>27545</v>
      </c>
    </row>
    <row r="252" spans="1:29" x14ac:dyDescent="0.25">
      <c r="A252" s="31" t="s">
        <v>229</v>
      </c>
      <c r="B252" s="31" t="s">
        <v>728</v>
      </c>
      <c r="C252" s="31" t="s">
        <v>262</v>
      </c>
      <c r="D252" s="31" t="s">
        <v>647</v>
      </c>
      <c r="E252" s="32">
        <v>85.87</v>
      </c>
      <c r="F252" s="33">
        <v>509.2</v>
      </c>
      <c r="G252" s="32">
        <v>595.07000000000005</v>
      </c>
      <c r="H252" s="32">
        <v>1.1299999999999999</v>
      </c>
      <c r="I252" s="34">
        <v>5</v>
      </c>
      <c r="J252" s="33">
        <v>0</v>
      </c>
      <c r="K252" s="34">
        <v>514</v>
      </c>
      <c r="L252" s="32">
        <v>348.86</v>
      </c>
      <c r="M252" s="32">
        <v>64</v>
      </c>
      <c r="N252" s="32">
        <v>71.650000000000006</v>
      </c>
      <c r="O252" s="32">
        <v>35.17</v>
      </c>
      <c r="P252" s="32">
        <v>4.1900000000000004</v>
      </c>
      <c r="Q252" s="34">
        <v>207596</v>
      </c>
      <c r="R252" s="34">
        <v>0</v>
      </c>
      <c r="S252" s="34">
        <v>207596</v>
      </c>
      <c r="T252" s="34">
        <v>13158</v>
      </c>
      <c r="U252" s="34">
        <v>14731</v>
      </c>
      <c r="V252" s="34">
        <v>394</v>
      </c>
      <c r="W252" s="34">
        <v>20929</v>
      </c>
      <c r="X252" s="34">
        <v>0</v>
      </c>
      <c r="Y252" s="34">
        <v>256808</v>
      </c>
      <c r="Z252" s="34">
        <v>35025</v>
      </c>
      <c r="AA252" s="34">
        <v>221783</v>
      </c>
      <c r="AB252" s="34">
        <v>146878</v>
      </c>
      <c r="AC252" s="34">
        <v>74905</v>
      </c>
    </row>
    <row r="253" spans="1:29" x14ac:dyDescent="0.25">
      <c r="A253" s="31" t="s">
        <v>263</v>
      </c>
      <c r="B253" s="31" t="s">
        <v>729</v>
      </c>
      <c r="C253" s="31" t="s">
        <v>264</v>
      </c>
      <c r="D253" s="31" t="s">
        <v>648</v>
      </c>
      <c r="E253" s="32">
        <v>94.62</v>
      </c>
      <c r="F253" s="33">
        <v>780.7</v>
      </c>
      <c r="G253" s="32">
        <v>875.32</v>
      </c>
      <c r="H253" s="32">
        <v>1.8</v>
      </c>
      <c r="I253" s="34">
        <v>3</v>
      </c>
      <c r="J253" s="33">
        <v>0</v>
      </c>
      <c r="K253" s="34">
        <v>784</v>
      </c>
      <c r="L253" s="32">
        <v>342.28</v>
      </c>
      <c r="M253" s="32">
        <v>63.72</v>
      </c>
      <c r="N253" s="32">
        <v>70.45</v>
      </c>
      <c r="O253" s="32">
        <v>35.15</v>
      </c>
      <c r="P253" s="32">
        <v>3.8</v>
      </c>
      <c r="Q253" s="34">
        <v>299605</v>
      </c>
      <c r="R253" s="34">
        <v>0</v>
      </c>
      <c r="S253" s="34">
        <v>299605</v>
      </c>
      <c r="T253" s="34">
        <v>19982</v>
      </c>
      <c r="U253" s="34">
        <v>22093</v>
      </c>
      <c r="V253" s="34">
        <v>616</v>
      </c>
      <c r="W253" s="34">
        <v>30767</v>
      </c>
      <c r="X253" s="34">
        <v>0</v>
      </c>
      <c r="Y253" s="34">
        <v>373063</v>
      </c>
      <c r="Z253" s="34">
        <v>51519</v>
      </c>
      <c r="AA253" s="34">
        <v>321544</v>
      </c>
      <c r="AB253" s="34">
        <v>216070</v>
      </c>
      <c r="AC253" s="34">
        <v>105474</v>
      </c>
    </row>
    <row r="254" spans="1:29" x14ac:dyDescent="0.25">
      <c r="A254" s="31" t="s">
        <v>263</v>
      </c>
      <c r="B254" s="31" t="s">
        <v>729</v>
      </c>
      <c r="C254" s="31" t="s">
        <v>265</v>
      </c>
      <c r="D254" s="31" t="s">
        <v>649</v>
      </c>
      <c r="E254" s="32">
        <v>246.65</v>
      </c>
      <c r="F254" s="33">
        <v>1414.2</v>
      </c>
      <c r="G254" s="32">
        <v>1660.85</v>
      </c>
      <c r="H254" s="32">
        <v>3.42</v>
      </c>
      <c r="I254" s="34">
        <v>1</v>
      </c>
      <c r="J254" s="33">
        <v>0</v>
      </c>
      <c r="K254" s="34">
        <v>1415</v>
      </c>
      <c r="L254" s="32">
        <v>342.28</v>
      </c>
      <c r="M254" s="32">
        <v>63.72</v>
      </c>
      <c r="N254" s="32">
        <v>70.45</v>
      </c>
      <c r="O254" s="32">
        <v>35.15</v>
      </c>
      <c r="P254" s="32">
        <v>3.8</v>
      </c>
      <c r="Q254" s="34">
        <v>568476</v>
      </c>
      <c r="R254" s="34">
        <v>0</v>
      </c>
      <c r="S254" s="34">
        <v>568476</v>
      </c>
      <c r="T254" s="34">
        <v>36066</v>
      </c>
      <c r="U254" s="34">
        <v>39875</v>
      </c>
      <c r="V254" s="34">
        <v>1171</v>
      </c>
      <c r="W254" s="34">
        <v>58379</v>
      </c>
      <c r="X254" s="34">
        <v>0</v>
      </c>
      <c r="Y254" s="34">
        <v>703967</v>
      </c>
      <c r="Z254" s="34">
        <v>97753</v>
      </c>
      <c r="AA254" s="34">
        <v>606214</v>
      </c>
      <c r="AB254" s="34">
        <v>409979</v>
      </c>
      <c r="AC254" s="34">
        <v>196235</v>
      </c>
    </row>
    <row r="255" spans="1:29" x14ac:dyDescent="0.25">
      <c r="A255" s="31" t="s">
        <v>263</v>
      </c>
      <c r="B255" s="31" t="s">
        <v>729</v>
      </c>
      <c r="C255" s="31" t="s">
        <v>266</v>
      </c>
      <c r="D255" s="31" t="s">
        <v>650</v>
      </c>
      <c r="E255" s="32">
        <v>64.069999999999993</v>
      </c>
      <c r="F255" s="33">
        <v>511</v>
      </c>
      <c r="G255" s="32">
        <v>575.07000000000005</v>
      </c>
      <c r="H255" s="32">
        <v>1.18</v>
      </c>
      <c r="I255" s="34">
        <v>6</v>
      </c>
      <c r="J255" s="33">
        <v>0</v>
      </c>
      <c r="K255" s="34">
        <v>517</v>
      </c>
      <c r="L255" s="32">
        <v>342.28</v>
      </c>
      <c r="M255" s="32">
        <v>63.72</v>
      </c>
      <c r="N255" s="32">
        <v>70.45</v>
      </c>
      <c r="O255" s="32">
        <v>35.15</v>
      </c>
      <c r="P255" s="32">
        <v>3.8</v>
      </c>
      <c r="Q255" s="34">
        <v>196835</v>
      </c>
      <c r="R255" s="34">
        <v>0</v>
      </c>
      <c r="S255" s="34">
        <v>196835</v>
      </c>
      <c r="T255" s="34">
        <v>13177</v>
      </c>
      <c r="U255" s="34">
        <v>14569</v>
      </c>
      <c r="V255" s="34">
        <v>404</v>
      </c>
      <c r="W255" s="34">
        <v>20214</v>
      </c>
      <c r="X255" s="34">
        <v>0</v>
      </c>
      <c r="Y255" s="34">
        <v>245199</v>
      </c>
      <c r="Z255" s="34">
        <v>33847</v>
      </c>
      <c r="AA255" s="34">
        <v>211352</v>
      </c>
      <c r="AB255" s="34">
        <v>141955</v>
      </c>
      <c r="AC255" s="34">
        <v>69397</v>
      </c>
    </row>
    <row r="256" spans="1:29" x14ac:dyDescent="0.25">
      <c r="A256" s="31" t="s">
        <v>263</v>
      </c>
      <c r="B256" s="31" t="s">
        <v>729</v>
      </c>
      <c r="C256" s="31" t="s">
        <v>267</v>
      </c>
      <c r="D256" s="31" t="s">
        <v>651</v>
      </c>
      <c r="E256" s="32">
        <v>38.479999999999997</v>
      </c>
      <c r="F256" s="33">
        <v>385.6</v>
      </c>
      <c r="G256" s="32">
        <v>424.08</v>
      </c>
      <c r="H256" s="32">
        <v>0.87</v>
      </c>
      <c r="I256" s="34">
        <v>3</v>
      </c>
      <c r="J256" s="33">
        <v>0</v>
      </c>
      <c r="K256" s="34">
        <v>389</v>
      </c>
      <c r="L256" s="32">
        <v>342.28</v>
      </c>
      <c r="M256" s="32">
        <v>63.72</v>
      </c>
      <c r="N256" s="32">
        <v>70.45</v>
      </c>
      <c r="O256" s="32">
        <v>35.15</v>
      </c>
      <c r="P256" s="32">
        <v>3.8</v>
      </c>
      <c r="Q256" s="34">
        <v>145154</v>
      </c>
      <c r="R256" s="34">
        <v>0</v>
      </c>
      <c r="S256" s="34">
        <v>145154</v>
      </c>
      <c r="T256" s="34">
        <v>9915</v>
      </c>
      <c r="U256" s="34">
        <v>10962</v>
      </c>
      <c r="V256" s="34">
        <v>298</v>
      </c>
      <c r="W256" s="34">
        <v>14906</v>
      </c>
      <c r="X256" s="34">
        <v>0</v>
      </c>
      <c r="Y256" s="34">
        <v>181235</v>
      </c>
      <c r="Z256" s="34">
        <v>24960</v>
      </c>
      <c r="AA256" s="34">
        <v>156275</v>
      </c>
      <c r="AB256" s="34">
        <v>104683</v>
      </c>
      <c r="AC256" s="34">
        <v>51592</v>
      </c>
    </row>
    <row r="257" spans="1:29" x14ac:dyDescent="0.25">
      <c r="A257" s="31" t="s">
        <v>263</v>
      </c>
      <c r="B257" s="31" t="s">
        <v>729</v>
      </c>
      <c r="C257" s="31" t="s">
        <v>268</v>
      </c>
      <c r="D257" s="31" t="s">
        <v>269</v>
      </c>
      <c r="E257" s="32">
        <v>57.93</v>
      </c>
      <c r="F257" s="33">
        <v>447.6</v>
      </c>
      <c r="G257" s="32">
        <v>505.53</v>
      </c>
      <c r="H257" s="32">
        <v>1.04</v>
      </c>
      <c r="I257" s="34">
        <v>2</v>
      </c>
      <c r="J257" s="33">
        <v>0</v>
      </c>
      <c r="K257" s="34">
        <v>450</v>
      </c>
      <c r="L257" s="32">
        <v>342.28</v>
      </c>
      <c r="M257" s="32">
        <v>63.72</v>
      </c>
      <c r="N257" s="32">
        <v>70.45</v>
      </c>
      <c r="O257" s="32">
        <v>35.15</v>
      </c>
      <c r="P257" s="32">
        <v>3.8</v>
      </c>
      <c r="Q257" s="34">
        <v>173033</v>
      </c>
      <c r="R257" s="34">
        <v>38</v>
      </c>
      <c r="S257" s="34">
        <v>173071</v>
      </c>
      <c r="T257" s="34">
        <v>11470</v>
      </c>
      <c r="U257" s="34">
        <v>12681</v>
      </c>
      <c r="V257" s="34">
        <v>356</v>
      </c>
      <c r="W257" s="34">
        <v>17771</v>
      </c>
      <c r="X257" s="34">
        <v>0</v>
      </c>
      <c r="Y257" s="34">
        <v>215349</v>
      </c>
      <c r="Z257" s="34">
        <v>29754</v>
      </c>
      <c r="AA257" s="34">
        <v>185595</v>
      </c>
      <c r="AB257" s="34">
        <v>124791</v>
      </c>
      <c r="AC257" s="34">
        <v>60804</v>
      </c>
    </row>
    <row r="258" spans="1:29" x14ac:dyDescent="0.25">
      <c r="A258" s="31" t="s">
        <v>263</v>
      </c>
      <c r="B258" s="31" t="s">
        <v>729</v>
      </c>
      <c r="C258" s="31" t="s">
        <v>270</v>
      </c>
      <c r="D258" s="31" t="s">
        <v>652</v>
      </c>
      <c r="E258" s="32">
        <v>120.12</v>
      </c>
      <c r="F258" s="33">
        <v>632.4</v>
      </c>
      <c r="G258" s="32">
        <v>752.52</v>
      </c>
      <c r="H258" s="32">
        <v>1.55</v>
      </c>
      <c r="I258" s="34">
        <v>0</v>
      </c>
      <c r="J258" s="33">
        <v>0</v>
      </c>
      <c r="K258" s="34">
        <v>632</v>
      </c>
      <c r="L258" s="32">
        <v>342.28</v>
      </c>
      <c r="M258" s="32">
        <v>63.72</v>
      </c>
      <c r="N258" s="32">
        <v>70.45</v>
      </c>
      <c r="O258" s="32">
        <v>35.15</v>
      </c>
      <c r="P258" s="32">
        <v>3.8</v>
      </c>
      <c r="Q258" s="34">
        <v>257573</v>
      </c>
      <c r="R258" s="34">
        <v>0</v>
      </c>
      <c r="S258" s="34">
        <v>257573</v>
      </c>
      <c r="T258" s="34">
        <v>16108</v>
      </c>
      <c r="U258" s="34">
        <v>17810</v>
      </c>
      <c r="V258" s="34">
        <v>531</v>
      </c>
      <c r="W258" s="34">
        <v>26451</v>
      </c>
      <c r="X258" s="34">
        <v>0</v>
      </c>
      <c r="Y258" s="34">
        <v>318473</v>
      </c>
      <c r="Z258" s="34">
        <v>44291</v>
      </c>
      <c r="AA258" s="34">
        <v>274182</v>
      </c>
      <c r="AB258" s="34">
        <v>185759</v>
      </c>
      <c r="AC258" s="34">
        <v>88423</v>
      </c>
    </row>
    <row r="259" spans="1:29" x14ac:dyDescent="0.25">
      <c r="A259" s="31" t="s">
        <v>263</v>
      </c>
      <c r="B259" s="31" t="s">
        <v>729</v>
      </c>
      <c r="C259" s="31" t="s">
        <v>271</v>
      </c>
      <c r="D259" s="31" t="s">
        <v>653</v>
      </c>
      <c r="E259" s="32">
        <v>113.58</v>
      </c>
      <c r="F259" s="33">
        <v>958.7</v>
      </c>
      <c r="G259" s="32">
        <v>1072.28</v>
      </c>
      <c r="H259" s="32">
        <v>2.21</v>
      </c>
      <c r="I259" s="34">
        <v>64</v>
      </c>
      <c r="J259" s="33">
        <v>1.2</v>
      </c>
      <c r="K259" s="34">
        <v>1022</v>
      </c>
      <c r="L259" s="32">
        <v>342.28</v>
      </c>
      <c r="M259" s="32">
        <v>63.72</v>
      </c>
      <c r="N259" s="32">
        <v>70.45</v>
      </c>
      <c r="O259" s="32">
        <v>35.15</v>
      </c>
      <c r="P259" s="32">
        <v>3.8</v>
      </c>
      <c r="Q259" s="34">
        <v>367020</v>
      </c>
      <c r="R259" s="34">
        <v>5273</v>
      </c>
      <c r="S259" s="34">
        <v>372293</v>
      </c>
      <c r="T259" s="34">
        <v>26049</v>
      </c>
      <c r="U259" s="34">
        <v>28800</v>
      </c>
      <c r="V259" s="34">
        <v>756</v>
      </c>
      <c r="W259" s="34">
        <v>38228</v>
      </c>
      <c r="X259" s="34">
        <v>0</v>
      </c>
      <c r="Y259" s="34">
        <v>466126</v>
      </c>
      <c r="Z259" s="34">
        <v>63111</v>
      </c>
      <c r="AA259" s="34">
        <v>403015</v>
      </c>
      <c r="AB259" s="34">
        <v>265229</v>
      </c>
      <c r="AC259" s="34">
        <v>137786</v>
      </c>
    </row>
    <row r="260" spans="1:29" x14ac:dyDescent="0.25">
      <c r="A260" s="31" t="s">
        <v>263</v>
      </c>
      <c r="B260" s="31" t="s">
        <v>729</v>
      </c>
      <c r="C260" s="31" t="s">
        <v>272</v>
      </c>
      <c r="D260" s="31" t="s">
        <v>654</v>
      </c>
      <c r="E260" s="32">
        <v>185.18</v>
      </c>
      <c r="F260" s="33">
        <v>1429.1</v>
      </c>
      <c r="G260" s="32">
        <v>1614.28</v>
      </c>
      <c r="H260" s="32">
        <v>3.32</v>
      </c>
      <c r="I260" s="34">
        <v>6</v>
      </c>
      <c r="J260" s="33">
        <v>0</v>
      </c>
      <c r="K260" s="34">
        <v>1435</v>
      </c>
      <c r="L260" s="32">
        <v>342.28</v>
      </c>
      <c r="M260" s="32">
        <v>63.72</v>
      </c>
      <c r="N260" s="32">
        <v>70.45</v>
      </c>
      <c r="O260" s="32">
        <v>35.15</v>
      </c>
      <c r="P260" s="32">
        <v>3.8</v>
      </c>
      <c r="Q260" s="34">
        <v>552536</v>
      </c>
      <c r="R260" s="34">
        <v>0</v>
      </c>
      <c r="S260" s="34">
        <v>552536</v>
      </c>
      <c r="T260" s="34">
        <v>36575</v>
      </c>
      <c r="U260" s="34">
        <v>40438</v>
      </c>
      <c r="V260" s="34">
        <v>1136</v>
      </c>
      <c r="W260" s="34">
        <v>56742</v>
      </c>
      <c r="X260" s="34">
        <v>0</v>
      </c>
      <c r="Y260" s="34">
        <v>687427</v>
      </c>
      <c r="Z260" s="34">
        <v>95012</v>
      </c>
      <c r="AA260" s="34">
        <v>592415</v>
      </c>
      <c r="AB260" s="34">
        <v>398482</v>
      </c>
      <c r="AC260" s="34">
        <v>193933</v>
      </c>
    </row>
    <row r="261" spans="1:29" x14ac:dyDescent="0.25">
      <c r="A261" s="31" t="s">
        <v>263</v>
      </c>
      <c r="B261" s="31" t="s">
        <v>729</v>
      </c>
      <c r="C261" s="31" t="s">
        <v>273</v>
      </c>
      <c r="D261" s="31" t="s">
        <v>655</v>
      </c>
      <c r="E261" s="32">
        <v>48</v>
      </c>
      <c r="F261" s="33">
        <v>376.2</v>
      </c>
      <c r="G261" s="32">
        <v>424.2</v>
      </c>
      <c r="H261" s="32">
        <v>0.87</v>
      </c>
      <c r="I261" s="34">
        <v>4</v>
      </c>
      <c r="J261" s="33">
        <v>0</v>
      </c>
      <c r="K261" s="34">
        <v>380</v>
      </c>
      <c r="L261" s="32">
        <v>342.28</v>
      </c>
      <c r="M261" s="32">
        <v>63.72</v>
      </c>
      <c r="N261" s="32">
        <v>70.45</v>
      </c>
      <c r="O261" s="32">
        <v>35.15</v>
      </c>
      <c r="P261" s="32">
        <v>3.8</v>
      </c>
      <c r="Q261" s="34">
        <v>145195</v>
      </c>
      <c r="R261" s="34">
        <v>6355</v>
      </c>
      <c r="S261" s="34">
        <v>151550</v>
      </c>
      <c r="T261" s="34">
        <v>9686</v>
      </c>
      <c r="U261" s="34">
        <v>10708</v>
      </c>
      <c r="V261" s="34">
        <v>298</v>
      </c>
      <c r="W261" s="34">
        <v>14911</v>
      </c>
      <c r="X261" s="34">
        <v>0</v>
      </c>
      <c r="Y261" s="34">
        <v>187153</v>
      </c>
      <c r="Z261" s="34">
        <v>24967</v>
      </c>
      <c r="AA261" s="34">
        <v>162186</v>
      </c>
      <c r="AB261" s="34">
        <v>104713</v>
      </c>
      <c r="AC261" s="34">
        <v>57473</v>
      </c>
    </row>
    <row r="262" spans="1:29" x14ac:dyDescent="0.25">
      <c r="A262" s="31" t="s">
        <v>263</v>
      </c>
      <c r="B262" s="31" t="s">
        <v>729</v>
      </c>
      <c r="C262" s="31" t="s">
        <v>274</v>
      </c>
      <c r="D262" s="31" t="s">
        <v>656</v>
      </c>
      <c r="E262" s="32">
        <v>2225.1</v>
      </c>
      <c r="F262" s="33">
        <v>8632.4</v>
      </c>
      <c r="G262" s="32">
        <v>10857.5</v>
      </c>
      <c r="H262" s="32">
        <v>22.33</v>
      </c>
      <c r="I262" s="34">
        <v>465</v>
      </c>
      <c r="J262" s="33">
        <v>0</v>
      </c>
      <c r="K262" s="34">
        <v>9097</v>
      </c>
      <c r="L262" s="32">
        <v>342.28</v>
      </c>
      <c r="M262" s="32">
        <v>63.72</v>
      </c>
      <c r="N262" s="32">
        <v>70.45</v>
      </c>
      <c r="O262" s="32">
        <v>35.15</v>
      </c>
      <c r="P262" s="32">
        <v>3.8</v>
      </c>
      <c r="Q262" s="34">
        <v>3716305</v>
      </c>
      <c r="R262" s="34">
        <v>0</v>
      </c>
      <c r="S262" s="34">
        <v>3716305</v>
      </c>
      <c r="T262" s="34">
        <v>231864</v>
      </c>
      <c r="U262" s="34">
        <v>256354</v>
      </c>
      <c r="V262" s="34">
        <v>7643</v>
      </c>
      <c r="W262" s="34">
        <v>381641</v>
      </c>
      <c r="X262" s="34">
        <v>0</v>
      </c>
      <c r="Y262" s="34">
        <v>4593807</v>
      </c>
      <c r="Z262" s="34">
        <v>639043</v>
      </c>
      <c r="AA262" s="34">
        <v>3954764</v>
      </c>
      <c r="AB262" s="34">
        <v>2680152</v>
      </c>
      <c r="AC262" s="34">
        <v>1274612</v>
      </c>
    </row>
    <row r="263" spans="1:29" x14ac:dyDescent="0.25">
      <c r="A263" s="31" t="s">
        <v>263</v>
      </c>
      <c r="B263" s="31" t="s">
        <v>729</v>
      </c>
      <c r="C263" s="31" t="s">
        <v>275</v>
      </c>
      <c r="D263" s="31" t="s">
        <v>657</v>
      </c>
      <c r="E263" s="32">
        <v>190.55</v>
      </c>
      <c r="F263" s="33">
        <v>1369.4</v>
      </c>
      <c r="G263" s="32">
        <v>1559.95</v>
      </c>
      <c r="H263" s="32">
        <v>3.21</v>
      </c>
      <c r="I263" s="34">
        <v>115</v>
      </c>
      <c r="J263" s="33">
        <v>1</v>
      </c>
      <c r="K263" s="34">
        <v>1483</v>
      </c>
      <c r="L263" s="32">
        <v>342.28</v>
      </c>
      <c r="M263" s="32">
        <v>63.72</v>
      </c>
      <c r="N263" s="32">
        <v>70.45</v>
      </c>
      <c r="O263" s="32">
        <v>35.15</v>
      </c>
      <c r="P263" s="32">
        <v>3.8</v>
      </c>
      <c r="Q263" s="34">
        <v>533940</v>
      </c>
      <c r="R263" s="34">
        <v>0</v>
      </c>
      <c r="S263" s="34">
        <v>533940</v>
      </c>
      <c r="T263" s="34">
        <v>37799</v>
      </c>
      <c r="U263" s="34">
        <v>41791</v>
      </c>
      <c r="V263" s="34">
        <v>1099</v>
      </c>
      <c r="W263" s="34">
        <v>54832</v>
      </c>
      <c r="X263" s="34">
        <v>0</v>
      </c>
      <c r="Y263" s="34">
        <v>669461</v>
      </c>
      <c r="Z263" s="34">
        <v>91815</v>
      </c>
      <c r="AA263" s="34">
        <v>577646</v>
      </c>
      <c r="AB263" s="34">
        <v>385070</v>
      </c>
      <c r="AC263" s="34">
        <v>192576</v>
      </c>
    </row>
    <row r="264" spans="1:29" x14ac:dyDescent="0.25">
      <c r="A264" s="31" t="s">
        <v>263</v>
      </c>
      <c r="B264" s="31" t="s">
        <v>729</v>
      </c>
      <c r="C264" s="31" t="s">
        <v>276</v>
      </c>
      <c r="D264" s="31" t="s">
        <v>658</v>
      </c>
      <c r="E264" s="32">
        <v>8.5299999999999994</v>
      </c>
      <c r="F264" s="33">
        <v>87</v>
      </c>
      <c r="G264" s="32">
        <v>95.53</v>
      </c>
      <c r="H264" s="32">
        <v>0.2</v>
      </c>
      <c r="I264" s="34">
        <v>0</v>
      </c>
      <c r="J264" s="33">
        <v>0</v>
      </c>
      <c r="K264" s="34">
        <v>87</v>
      </c>
      <c r="L264" s="32">
        <v>342.28</v>
      </c>
      <c r="M264" s="32">
        <v>63.72</v>
      </c>
      <c r="N264" s="32">
        <v>70.45</v>
      </c>
      <c r="O264" s="32">
        <v>35.15</v>
      </c>
      <c r="P264" s="32">
        <v>3.8</v>
      </c>
      <c r="Q264" s="34">
        <v>32698</v>
      </c>
      <c r="R264" s="34">
        <v>9322</v>
      </c>
      <c r="S264" s="34">
        <v>42020</v>
      </c>
      <c r="T264" s="34">
        <v>2218</v>
      </c>
      <c r="U264" s="34">
        <v>2452</v>
      </c>
      <c r="V264" s="34">
        <v>68</v>
      </c>
      <c r="W264" s="34">
        <v>4315</v>
      </c>
      <c r="X264" s="34">
        <v>0</v>
      </c>
      <c r="Y264" s="34">
        <v>51073</v>
      </c>
      <c r="Z264" s="34">
        <v>5623</v>
      </c>
      <c r="AA264" s="34">
        <v>45450</v>
      </c>
      <c r="AB264" s="34">
        <v>24539</v>
      </c>
      <c r="AC264" s="34">
        <v>20911</v>
      </c>
    </row>
    <row r="265" spans="1:29" x14ac:dyDescent="0.25">
      <c r="A265" s="31" t="s">
        <v>263</v>
      </c>
      <c r="B265" s="31" t="s">
        <v>729</v>
      </c>
      <c r="C265" s="31" t="s">
        <v>277</v>
      </c>
      <c r="D265" s="31" t="s">
        <v>659</v>
      </c>
      <c r="E265" s="32">
        <v>90.95</v>
      </c>
      <c r="F265" s="33">
        <v>542.1</v>
      </c>
      <c r="G265" s="32">
        <v>633.04999999999995</v>
      </c>
      <c r="H265" s="32">
        <v>1.3</v>
      </c>
      <c r="I265" s="34">
        <v>7</v>
      </c>
      <c r="J265" s="33">
        <v>0</v>
      </c>
      <c r="K265" s="34">
        <v>549</v>
      </c>
      <c r="L265" s="32">
        <v>342.28</v>
      </c>
      <c r="M265" s="32">
        <v>63.72</v>
      </c>
      <c r="N265" s="32">
        <v>70.45</v>
      </c>
      <c r="O265" s="32">
        <v>35.15</v>
      </c>
      <c r="P265" s="32">
        <v>3.8</v>
      </c>
      <c r="Q265" s="34">
        <v>216680</v>
      </c>
      <c r="R265" s="34">
        <v>0</v>
      </c>
      <c r="S265" s="34">
        <v>216680</v>
      </c>
      <c r="T265" s="34">
        <v>13993</v>
      </c>
      <c r="U265" s="34">
        <v>15471</v>
      </c>
      <c r="V265" s="34">
        <v>445</v>
      </c>
      <c r="W265" s="34">
        <v>22252</v>
      </c>
      <c r="X265" s="34">
        <v>0</v>
      </c>
      <c r="Y265" s="34">
        <v>268841</v>
      </c>
      <c r="Z265" s="34">
        <v>37259</v>
      </c>
      <c r="AA265" s="34">
        <v>231582</v>
      </c>
      <c r="AB265" s="34">
        <v>156268</v>
      </c>
      <c r="AC265" s="34">
        <v>75314</v>
      </c>
    </row>
    <row r="266" spans="1:29" x14ac:dyDescent="0.25">
      <c r="A266" s="31" t="s">
        <v>263</v>
      </c>
      <c r="B266" s="31" t="s">
        <v>729</v>
      </c>
      <c r="C266" s="31" t="s">
        <v>278</v>
      </c>
      <c r="D266" s="31" t="s">
        <v>660</v>
      </c>
      <c r="E266" s="32">
        <v>46.04</v>
      </c>
      <c r="F266" s="33">
        <v>435.5</v>
      </c>
      <c r="G266" s="32">
        <v>481.54</v>
      </c>
      <c r="H266" s="32">
        <v>0.99</v>
      </c>
      <c r="I266" s="34">
        <v>5</v>
      </c>
      <c r="J266" s="33">
        <v>0</v>
      </c>
      <c r="K266" s="34">
        <v>441</v>
      </c>
      <c r="L266" s="32">
        <v>342.28</v>
      </c>
      <c r="M266" s="32">
        <v>63.72</v>
      </c>
      <c r="N266" s="32">
        <v>70.45</v>
      </c>
      <c r="O266" s="32">
        <v>35.15</v>
      </c>
      <c r="P266" s="32">
        <v>3.8</v>
      </c>
      <c r="Q266" s="34">
        <v>164822</v>
      </c>
      <c r="R266" s="34">
        <v>16317</v>
      </c>
      <c r="S266" s="34">
        <v>181139</v>
      </c>
      <c r="T266" s="34">
        <v>11240</v>
      </c>
      <c r="U266" s="34">
        <v>12427</v>
      </c>
      <c r="V266" s="34">
        <v>339</v>
      </c>
      <c r="W266" s="34">
        <v>18600</v>
      </c>
      <c r="X266" s="34">
        <v>0</v>
      </c>
      <c r="Y266" s="34">
        <v>223745</v>
      </c>
      <c r="Z266" s="34">
        <v>28342</v>
      </c>
      <c r="AA266" s="34">
        <v>195403</v>
      </c>
      <c r="AB266" s="34">
        <v>120541</v>
      </c>
      <c r="AC266" s="34">
        <v>74862</v>
      </c>
    </row>
    <row r="267" spans="1:29" x14ac:dyDescent="0.25">
      <c r="A267" s="31" t="s">
        <v>263</v>
      </c>
      <c r="B267" s="31" t="s">
        <v>729</v>
      </c>
      <c r="C267" s="31" t="s">
        <v>279</v>
      </c>
      <c r="D267" s="31" t="s">
        <v>661</v>
      </c>
      <c r="E267" s="32">
        <v>16.97</v>
      </c>
      <c r="F267" s="33">
        <v>176.2</v>
      </c>
      <c r="G267" s="32">
        <v>193.17</v>
      </c>
      <c r="H267" s="32">
        <v>0.4</v>
      </c>
      <c r="I267" s="34">
        <v>4</v>
      </c>
      <c r="J267" s="33">
        <v>0</v>
      </c>
      <c r="K267" s="34">
        <v>180</v>
      </c>
      <c r="L267" s="32">
        <v>342.28</v>
      </c>
      <c r="M267" s="32">
        <v>63.72</v>
      </c>
      <c r="N267" s="32">
        <v>70.45</v>
      </c>
      <c r="O267" s="32">
        <v>35.15</v>
      </c>
      <c r="P267" s="32">
        <v>3.8</v>
      </c>
      <c r="Q267" s="34">
        <v>66118</v>
      </c>
      <c r="R267" s="34">
        <v>7027</v>
      </c>
      <c r="S267" s="34">
        <v>73145</v>
      </c>
      <c r="T267" s="34">
        <v>4588</v>
      </c>
      <c r="U267" s="34">
        <v>5072</v>
      </c>
      <c r="V267" s="34">
        <v>137</v>
      </c>
      <c r="W267" s="34">
        <v>7436</v>
      </c>
      <c r="X267" s="34">
        <v>0</v>
      </c>
      <c r="Y267" s="34">
        <v>90378</v>
      </c>
      <c r="Z267" s="34">
        <v>11369</v>
      </c>
      <c r="AA267" s="34">
        <v>79009</v>
      </c>
      <c r="AB267" s="34">
        <v>48331</v>
      </c>
      <c r="AC267" s="34">
        <v>30678</v>
      </c>
    </row>
    <row r="268" spans="1:29" x14ac:dyDescent="0.25">
      <c r="A268" s="31" t="s">
        <v>263</v>
      </c>
      <c r="B268" s="31" t="s">
        <v>729</v>
      </c>
      <c r="C268" s="31" t="s">
        <v>280</v>
      </c>
      <c r="D268" s="31" t="s">
        <v>662</v>
      </c>
      <c r="E268" s="32">
        <v>67.430000000000007</v>
      </c>
      <c r="F268" s="33">
        <v>445.1</v>
      </c>
      <c r="G268" s="32">
        <v>512.53</v>
      </c>
      <c r="H268" s="32">
        <v>1.05</v>
      </c>
      <c r="I268" s="34">
        <v>1</v>
      </c>
      <c r="J268" s="33">
        <v>0</v>
      </c>
      <c r="K268" s="34">
        <v>446</v>
      </c>
      <c r="L268" s="32">
        <v>342.28</v>
      </c>
      <c r="M268" s="32">
        <v>63.72</v>
      </c>
      <c r="N268" s="32">
        <v>70.45</v>
      </c>
      <c r="O268" s="32">
        <v>35.15</v>
      </c>
      <c r="P268" s="32">
        <v>3.8</v>
      </c>
      <c r="Q268" s="34">
        <v>175429</v>
      </c>
      <c r="R268" s="34">
        <v>0</v>
      </c>
      <c r="S268" s="34">
        <v>175429</v>
      </c>
      <c r="T268" s="34">
        <v>11368</v>
      </c>
      <c r="U268" s="34">
        <v>12568</v>
      </c>
      <c r="V268" s="34">
        <v>359</v>
      </c>
      <c r="W268" s="34">
        <v>18015</v>
      </c>
      <c r="X268" s="34">
        <v>0</v>
      </c>
      <c r="Y268" s="34">
        <v>217739</v>
      </c>
      <c r="Z268" s="34">
        <v>30166</v>
      </c>
      <c r="AA268" s="34">
        <v>187573</v>
      </c>
      <c r="AB268" s="34">
        <v>126516</v>
      </c>
      <c r="AC268" s="34">
        <v>61057</v>
      </c>
    </row>
    <row r="269" spans="1:29" x14ac:dyDescent="0.25">
      <c r="A269" s="31" t="s">
        <v>263</v>
      </c>
      <c r="B269" s="31" t="s">
        <v>729</v>
      </c>
      <c r="C269" s="31" t="s">
        <v>281</v>
      </c>
      <c r="D269" s="31" t="s">
        <v>663</v>
      </c>
      <c r="E269" s="32">
        <v>219.53</v>
      </c>
      <c r="F269" s="33">
        <v>1928.5</v>
      </c>
      <c r="G269" s="32">
        <v>2148.0300000000002</v>
      </c>
      <c r="H269" s="32">
        <v>4.42</v>
      </c>
      <c r="I269" s="34">
        <v>23</v>
      </c>
      <c r="J269" s="33">
        <v>0</v>
      </c>
      <c r="K269" s="34">
        <v>1952</v>
      </c>
      <c r="L269" s="32">
        <v>342.28</v>
      </c>
      <c r="M269" s="32">
        <v>63.72</v>
      </c>
      <c r="N269" s="32">
        <v>70.45</v>
      </c>
      <c r="O269" s="32">
        <v>35.15</v>
      </c>
      <c r="P269" s="32">
        <v>3.8</v>
      </c>
      <c r="Q269" s="34">
        <v>735228</v>
      </c>
      <c r="R269" s="34">
        <v>0</v>
      </c>
      <c r="S269" s="34">
        <v>735228</v>
      </c>
      <c r="T269" s="34">
        <v>49752</v>
      </c>
      <c r="U269" s="34">
        <v>55007</v>
      </c>
      <c r="V269" s="34">
        <v>1513</v>
      </c>
      <c r="W269" s="34">
        <v>75503</v>
      </c>
      <c r="X269" s="34">
        <v>0</v>
      </c>
      <c r="Y269" s="34">
        <v>917003</v>
      </c>
      <c r="Z269" s="34">
        <v>126428</v>
      </c>
      <c r="AA269" s="34">
        <v>790575</v>
      </c>
      <c r="AB269" s="34">
        <v>530237</v>
      </c>
      <c r="AC269" s="34">
        <v>260338</v>
      </c>
    </row>
    <row r="270" spans="1:29" x14ac:dyDescent="0.25">
      <c r="A270" s="31" t="s">
        <v>263</v>
      </c>
      <c r="B270" s="31" t="s">
        <v>729</v>
      </c>
      <c r="C270" s="31" t="s">
        <v>282</v>
      </c>
      <c r="D270" s="31" t="s">
        <v>664</v>
      </c>
      <c r="E270" s="32">
        <v>97.25</v>
      </c>
      <c r="F270" s="33">
        <v>459.7</v>
      </c>
      <c r="G270" s="32">
        <v>556.95000000000005</v>
      </c>
      <c r="H270" s="32">
        <v>1.1499999999999999</v>
      </c>
      <c r="I270" s="34">
        <v>0</v>
      </c>
      <c r="J270" s="33">
        <v>0</v>
      </c>
      <c r="K270" s="34">
        <v>460</v>
      </c>
      <c r="L270" s="32">
        <v>342.28</v>
      </c>
      <c r="M270" s="32">
        <v>63.72</v>
      </c>
      <c r="N270" s="32">
        <v>70.45</v>
      </c>
      <c r="O270" s="32">
        <v>35.15</v>
      </c>
      <c r="P270" s="32">
        <v>3.8</v>
      </c>
      <c r="Q270" s="34">
        <v>190633</v>
      </c>
      <c r="R270" s="34">
        <v>0</v>
      </c>
      <c r="S270" s="34">
        <v>190633</v>
      </c>
      <c r="T270" s="34">
        <v>11724</v>
      </c>
      <c r="U270" s="34">
        <v>12963</v>
      </c>
      <c r="V270" s="34">
        <v>394</v>
      </c>
      <c r="W270" s="34">
        <v>19577</v>
      </c>
      <c r="X270" s="34">
        <v>0</v>
      </c>
      <c r="Y270" s="34">
        <v>235291</v>
      </c>
      <c r="Z270" s="34">
        <v>32780</v>
      </c>
      <c r="AA270" s="34">
        <v>202511</v>
      </c>
      <c r="AB270" s="34">
        <v>137484</v>
      </c>
      <c r="AC270" s="34">
        <v>65027</v>
      </c>
    </row>
    <row r="271" spans="1:29" x14ac:dyDescent="0.25">
      <c r="A271" s="31" t="s">
        <v>263</v>
      </c>
      <c r="B271" s="31" t="s">
        <v>729</v>
      </c>
      <c r="C271" s="31" t="s">
        <v>283</v>
      </c>
      <c r="D271" s="31" t="s">
        <v>665</v>
      </c>
      <c r="E271" s="32">
        <v>32.1</v>
      </c>
      <c r="F271" s="33">
        <v>208</v>
      </c>
      <c r="G271" s="32">
        <v>240.1</v>
      </c>
      <c r="H271" s="32">
        <v>0.49</v>
      </c>
      <c r="I271" s="34">
        <v>0</v>
      </c>
      <c r="J271" s="33">
        <v>0</v>
      </c>
      <c r="K271" s="34">
        <v>208</v>
      </c>
      <c r="L271" s="32">
        <v>342.28</v>
      </c>
      <c r="M271" s="32">
        <v>63.72</v>
      </c>
      <c r="N271" s="32">
        <v>70.45</v>
      </c>
      <c r="O271" s="32">
        <v>35.15</v>
      </c>
      <c r="P271" s="32">
        <v>3.8</v>
      </c>
      <c r="Q271" s="34">
        <v>82181</v>
      </c>
      <c r="R271" s="34">
        <v>3565</v>
      </c>
      <c r="S271" s="34">
        <v>85746</v>
      </c>
      <c r="T271" s="34">
        <v>5302</v>
      </c>
      <c r="U271" s="34">
        <v>5862</v>
      </c>
      <c r="V271" s="34">
        <v>168</v>
      </c>
      <c r="W271" s="34">
        <v>8805</v>
      </c>
      <c r="X271" s="34">
        <v>0</v>
      </c>
      <c r="Y271" s="34">
        <v>105883</v>
      </c>
      <c r="Z271" s="34">
        <v>14131</v>
      </c>
      <c r="AA271" s="34">
        <v>91752</v>
      </c>
      <c r="AB271" s="34">
        <v>59633</v>
      </c>
      <c r="AC271" s="34">
        <v>32119</v>
      </c>
    </row>
    <row r="272" spans="1:29" x14ac:dyDescent="0.25">
      <c r="A272" s="31" t="s">
        <v>263</v>
      </c>
      <c r="B272" s="31" t="s">
        <v>729</v>
      </c>
      <c r="C272" s="31" t="s">
        <v>284</v>
      </c>
      <c r="D272" s="31" t="s">
        <v>666</v>
      </c>
      <c r="E272" s="32">
        <v>174.92</v>
      </c>
      <c r="F272" s="33">
        <v>1364.2</v>
      </c>
      <c r="G272" s="32">
        <v>1539.12</v>
      </c>
      <c r="H272" s="32">
        <v>3.17</v>
      </c>
      <c r="I272" s="34">
        <v>72</v>
      </c>
      <c r="J272" s="33">
        <v>1.4</v>
      </c>
      <c r="K272" s="34">
        <v>1435</v>
      </c>
      <c r="L272" s="32">
        <v>342.28</v>
      </c>
      <c r="M272" s="32">
        <v>63.72</v>
      </c>
      <c r="N272" s="32">
        <v>70.45</v>
      </c>
      <c r="O272" s="32">
        <v>35.15</v>
      </c>
      <c r="P272" s="32">
        <v>3.8</v>
      </c>
      <c r="Q272" s="34">
        <v>526810</v>
      </c>
      <c r="R272" s="34">
        <v>0</v>
      </c>
      <c r="S272" s="34">
        <v>526810</v>
      </c>
      <c r="T272" s="34">
        <v>36575</v>
      </c>
      <c r="U272" s="34">
        <v>40438</v>
      </c>
      <c r="V272" s="34">
        <v>1085</v>
      </c>
      <c r="W272" s="34">
        <v>54100</v>
      </c>
      <c r="X272" s="34">
        <v>0</v>
      </c>
      <c r="Y272" s="34">
        <v>659008</v>
      </c>
      <c r="Z272" s="34">
        <v>90588</v>
      </c>
      <c r="AA272" s="34">
        <v>568420</v>
      </c>
      <c r="AB272" s="34">
        <v>379930</v>
      </c>
      <c r="AC272" s="34">
        <v>188490</v>
      </c>
    </row>
    <row r="273" spans="1:29" x14ac:dyDescent="0.25">
      <c r="A273" s="31" t="s">
        <v>263</v>
      </c>
      <c r="B273" s="31" t="s">
        <v>729</v>
      </c>
      <c r="C273" s="31" t="s">
        <v>285</v>
      </c>
      <c r="D273" s="31" t="s">
        <v>667</v>
      </c>
      <c r="E273" s="32">
        <v>102.88</v>
      </c>
      <c r="F273" s="33">
        <v>672.4</v>
      </c>
      <c r="G273" s="32">
        <v>775.28</v>
      </c>
      <c r="H273" s="32">
        <v>1.6</v>
      </c>
      <c r="I273" s="34">
        <v>12</v>
      </c>
      <c r="J273" s="33">
        <v>0</v>
      </c>
      <c r="K273" s="34">
        <v>684</v>
      </c>
      <c r="L273" s="32">
        <v>342.28</v>
      </c>
      <c r="M273" s="32">
        <v>63.72</v>
      </c>
      <c r="N273" s="32">
        <v>70.45</v>
      </c>
      <c r="O273" s="32">
        <v>35.15</v>
      </c>
      <c r="P273" s="32">
        <v>3.8</v>
      </c>
      <c r="Q273" s="34">
        <v>265363</v>
      </c>
      <c r="R273" s="34">
        <v>0</v>
      </c>
      <c r="S273" s="34">
        <v>265363</v>
      </c>
      <c r="T273" s="34">
        <v>17434</v>
      </c>
      <c r="U273" s="34">
        <v>19275</v>
      </c>
      <c r="V273" s="34">
        <v>548</v>
      </c>
      <c r="W273" s="34">
        <v>27251</v>
      </c>
      <c r="X273" s="34">
        <v>0</v>
      </c>
      <c r="Y273" s="34">
        <v>329871</v>
      </c>
      <c r="Z273" s="34">
        <v>45630</v>
      </c>
      <c r="AA273" s="34">
        <v>284241</v>
      </c>
      <c r="AB273" s="34">
        <v>191379</v>
      </c>
      <c r="AC273" s="34">
        <v>92862</v>
      </c>
    </row>
    <row r="274" spans="1:29" x14ac:dyDescent="0.25">
      <c r="A274" s="31" t="s">
        <v>263</v>
      </c>
      <c r="B274" s="31" t="s">
        <v>729</v>
      </c>
      <c r="C274" s="31" t="s">
        <v>286</v>
      </c>
      <c r="D274" s="31" t="s">
        <v>668</v>
      </c>
      <c r="E274" s="32">
        <v>37.54</v>
      </c>
      <c r="F274" s="33">
        <v>305.39999999999998</v>
      </c>
      <c r="G274" s="32">
        <v>342.94</v>
      </c>
      <c r="H274" s="32">
        <v>0.7</v>
      </c>
      <c r="I274" s="34">
        <v>0</v>
      </c>
      <c r="J274" s="33">
        <v>0</v>
      </c>
      <c r="K274" s="34">
        <v>305</v>
      </c>
      <c r="L274" s="32">
        <v>342.28</v>
      </c>
      <c r="M274" s="32">
        <v>63.72</v>
      </c>
      <c r="N274" s="32">
        <v>70.45</v>
      </c>
      <c r="O274" s="32">
        <v>35.15</v>
      </c>
      <c r="P274" s="32">
        <v>3.8</v>
      </c>
      <c r="Q274" s="34">
        <v>117382</v>
      </c>
      <c r="R274" s="34">
        <v>13836</v>
      </c>
      <c r="S274" s="34">
        <v>131218</v>
      </c>
      <c r="T274" s="34">
        <v>7774</v>
      </c>
      <c r="U274" s="34">
        <v>8595</v>
      </c>
      <c r="V274" s="34">
        <v>240</v>
      </c>
      <c r="W274" s="34">
        <v>13474</v>
      </c>
      <c r="X274" s="34">
        <v>0</v>
      </c>
      <c r="Y274" s="34">
        <v>161301</v>
      </c>
      <c r="Z274" s="34">
        <v>20185</v>
      </c>
      <c r="AA274" s="34">
        <v>141116</v>
      </c>
      <c r="AB274" s="34">
        <v>86072</v>
      </c>
      <c r="AC274" s="34">
        <v>55044</v>
      </c>
    </row>
    <row r="275" spans="1:29" x14ac:dyDescent="0.25">
      <c r="A275" s="31" t="s">
        <v>263</v>
      </c>
      <c r="B275" s="31" t="s">
        <v>729</v>
      </c>
      <c r="C275" s="31" t="s">
        <v>287</v>
      </c>
      <c r="D275" s="31" t="s">
        <v>669</v>
      </c>
      <c r="E275" s="32">
        <v>48.62</v>
      </c>
      <c r="F275" s="33">
        <v>461.5</v>
      </c>
      <c r="G275" s="32">
        <v>510.12</v>
      </c>
      <c r="H275" s="32">
        <v>1.05</v>
      </c>
      <c r="I275" s="34">
        <v>0</v>
      </c>
      <c r="J275" s="33">
        <v>0</v>
      </c>
      <c r="K275" s="34">
        <v>462</v>
      </c>
      <c r="L275" s="32">
        <v>342.28</v>
      </c>
      <c r="M275" s="32">
        <v>63.72</v>
      </c>
      <c r="N275" s="32">
        <v>70.45</v>
      </c>
      <c r="O275" s="32">
        <v>35.15</v>
      </c>
      <c r="P275" s="32">
        <v>3.8</v>
      </c>
      <c r="Q275" s="34">
        <v>174604</v>
      </c>
      <c r="R275" s="34">
        <v>0</v>
      </c>
      <c r="S275" s="34">
        <v>174604</v>
      </c>
      <c r="T275" s="34">
        <v>11776</v>
      </c>
      <c r="U275" s="34">
        <v>13019</v>
      </c>
      <c r="V275" s="34">
        <v>359</v>
      </c>
      <c r="W275" s="34">
        <v>17931</v>
      </c>
      <c r="X275" s="34">
        <v>0</v>
      </c>
      <c r="Y275" s="34">
        <v>217689</v>
      </c>
      <c r="Z275" s="34">
        <v>30024</v>
      </c>
      <c r="AA275" s="34">
        <v>187665</v>
      </c>
      <c r="AB275" s="34">
        <v>125923</v>
      </c>
      <c r="AC275" s="34">
        <v>61742</v>
      </c>
    </row>
    <row r="276" spans="1:29" x14ac:dyDescent="0.25">
      <c r="A276" s="31" t="s">
        <v>263</v>
      </c>
      <c r="B276" s="31" t="s">
        <v>729</v>
      </c>
      <c r="C276" s="31" t="s">
        <v>288</v>
      </c>
      <c r="D276" s="31" t="s">
        <v>670</v>
      </c>
      <c r="E276" s="32">
        <v>418</v>
      </c>
      <c r="F276" s="33">
        <v>2672.4</v>
      </c>
      <c r="G276" s="32">
        <v>3090.4</v>
      </c>
      <c r="H276" s="32">
        <v>6.36</v>
      </c>
      <c r="I276" s="34">
        <v>225</v>
      </c>
      <c r="J276" s="33">
        <v>0.5</v>
      </c>
      <c r="K276" s="34">
        <v>2897</v>
      </c>
      <c r="L276" s="32">
        <v>342.28</v>
      </c>
      <c r="M276" s="32">
        <v>63.72</v>
      </c>
      <c r="N276" s="32">
        <v>70.45</v>
      </c>
      <c r="O276" s="32">
        <v>35.15</v>
      </c>
      <c r="P276" s="32">
        <v>3.8</v>
      </c>
      <c r="Q276" s="34">
        <v>1057782</v>
      </c>
      <c r="R276" s="34">
        <v>0</v>
      </c>
      <c r="S276" s="34">
        <v>1057782</v>
      </c>
      <c r="T276" s="34">
        <v>73839</v>
      </c>
      <c r="U276" s="34">
        <v>81638</v>
      </c>
      <c r="V276" s="34">
        <v>2177</v>
      </c>
      <c r="W276" s="34">
        <v>108628</v>
      </c>
      <c r="X276" s="34">
        <v>0</v>
      </c>
      <c r="Y276" s="34">
        <v>1324064</v>
      </c>
      <c r="Z276" s="34">
        <v>181892</v>
      </c>
      <c r="AA276" s="34">
        <v>1142172</v>
      </c>
      <c r="AB276" s="34">
        <v>762861</v>
      </c>
      <c r="AC276" s="34">
        <v>379311</v>
      </c>
    </row>
    <row r="277" spans="1:29" x14ac:dyDescent="0.25">
      <c r="A277" s="31" t="s">
        <v>263</v>
      </c>
      <c r="B277" s="31" t="s">
        <v>729</v>
      </c>
      <c r="C277" s="31" t="s">
        <v>289</v>
      </c>
      <c r="D277" s="31" t="s">
        <v>671</v>
      </c>
      <c r="E277" s="32">
        <v>57.12</v>
      </c>
      <c r="F277" s="33">
        <v>588.5</v>
      </c>
      <c r="G277" s="32">
        <v>645.62</v>
      </c>
      <c r="H277" s="32">
        <v>1.33</v>
      </c>
      <c r="I277" s="34">
        <v>0</v>
      </c>
      <c r="J277" s="33">
        <v>0</v>
      </c>
      <c r="K277" s="34">
        <v>589</v>
      </c>
      <c r="L277" s="32">
        <v>342.28</v>
      </c>
      <c r="M277" s="32">
        <v>63.72</v>
      </c>
      <c r="N277" s="32">
        <v>70.45</v>
      </c>
      <c r="O277" s="32">
        <v>35.15</v>
      </c>
      <c r="P277" s="32">
        <v>3.8</v>
      </c>
      <c r="Q277" s="34">
        <v>220983</v>
      </c>
      <c r="R277" s="34">
        <v>0</v>
      </c>
      <c r="S277" s="34">
        <v>220983</v>
      </c>
      <c r="T277" s="34">
        <v>15012</v>
      </c>
      <c r="U277" s="34">
        <v>16598</v>
      </c>
      <c r="V277" s="34">
        <v>455</v>
      </c>
      <c r="W277" s="34">
        <v>22694</v>
      </c>
      <c r="X277" s="34">
        <v>0</v>
      </c>
      <c r="Y277" s="34">
        <v>275742</v>
      </c>
      <c r="Z277" s="34">
        <v>37999</v>
      </c>
      <c r="AA277" s="34">
        <v>237743</v>
      </c>
      <c r="AB277" s="34">
        <v>159372</v>
      </c>
      <c r="AC277" s="34">
        <v>78371</v>
      </c>
    </row>
    <row r="278" spans="1:29" x14ac:dyDescent="0.25">
      <c r="A278" s="31" t="s">
        <v>263</v>
      </c>
      <c r="B278" s="31" t="s">
        <v>729</v>
      </c>
      <c r="C278" s="31" t="s">
        <v>290</v>
      </c>
      <c r="D278" s="31" t="s">
        <v>672</v>
      </c>
      <c r="E278" s="32">
        <v>115.09</v>
      </c>
      <c r="F278" s="33">
        <v>725.8</v>
      </c>
      <c r="G278" s="32">
        <v>840.89</v>
      </c>
      <c r="H278" s="32">
        <v>1.73</v>
      </c>
      <c r="I278" s="34">
        <v>8</v>
      </c>
      <c r="J278" s="33">
        <v>0</v>
      </c>
      <c r="K278" s="34">
        <v>734</v>
      </c>
      <c r="L278" s="32">
        <v>342.28</v>
      </c>
      <c r="M278" s="32">
        <v>63.72</v>
      </c>
      <c r="N278" s="32">
        <v>70.45</v>
      </c>
      <c r="O278" s="32">
        <v>35.15</v>
      </c>
      <c r="P278" s="32">
        <v>3.8</v>
      </c>
      <c r="Q278" s="34">
        <v>287820</v>
      </c>
      <c r="R278" s="34">
        <v>5249</v>
      </c>
      <c r="S278" s="34">
        <v>293069</v>
      </c>
      <c r="T278" s="34">
        <v>18708</v>
      </c>
      <c r="U278" s="34">
        <v>20684</v>
      </c>
      <c r="V278" s="34">
        <v>592</v>
      </c>
      <c r="W278" s="34">
        <v>30093</v>
      </c>
      <c r="X278" s="34">
        <v>0</v>
      </c>
      <c r="Y278" s="34">
        <v>363146</v>
      </c>
      <c r="Z278" s="34">
        <v>49492</v>
      </c>
      <c r="AA278" s="34">
        <v>313654</v>
      </c>
      <c r="AB278" s="34">
        <v>208108</v>
      </c>
      <c r="AC278" s="34">
        <v>105546</v>
      </c>
    </row>
    <row r="279" spans="1:29" x14ac:dyDescent="0.25">
      <c r="A279" s="31" t="s">
        <v>263</v>
      </c>
      <c r="B279" s="31" t="s">
        <v>729</v>
      </c>
      <c r="C279" s="31" t="s">
        <v>291</v>
      </c>
      <c r="D279" s="31" t="s">
        <v>673</v>
      </c>
      <c r="E279" s="32">
        <v>42.57</v>
      </c>
      <c r="F279" s="33">
        <v>221.3</v>
      </c>
      <c r="G279" s="32">
        <v>263.87</v>
      </c>
      <c r="H279" s="32">
        <v>0.54</v>
      </c>
      <c r="I279" s="34">
        <v>0</v>
      </c>
      <c r="J279" s="33">
        <v>0</v>
      </c>
      <c r="K279" s="34">
        <v>221</v>
      </c>
      <c r="L279" s="32">
        <v>342.28</v>
      </c>
      <c r="M279" s="32">
        <v>63.72</v>
      </c>
      <c r="N279" s="32">
        <v>70.45</v>
      </c>
      <c r="O279" s="32">
        <v>35.15</v>
      </c>
      <c r="P279" s="32">
        <v>3.8</v>
      </c>
      <c r="Q279" s="34">
        <v>90317</v>
      </c>
      <c r="R279" s="34">
        <v>2551</v>
      </c>
      <c r="S279" s="34">
        <v>92868</v>
      </c>
      <c r="T279" s="34">
        <v>5633</v>
      </c>
      <c r="U279" s="34">
        <v>6228</v>
      </c>
      <c r="V279" s="34">
        <v>185</v>
      </c>
      <c r="W279" s="34">
        <v>9275</v>
      </c>
      <c r="X279" s="34">
        <v>0</v>
      </c>
      <c r="Y279" s="34">
        <v>114189</v>
      </c>
      <c r="Z279" s="34">
        <v>15531</v>
      </c>
      <c r="AA279" s="34">
        <v>98658</v>
      </c>
      <c r="AB279" s="34">
        <v>65135</v>
      </c>
      <c r="AC279" s="34">
        <v>33523</v>
      </c>
    </row>
    <row r="280" spans="1:29" x14ac:dyDescent="0.25">
      <c r="A280" s="31" t="s">
        <v>263</v>
      </c>
      <c r="B280" s="31" t="s">
        <v>729</v>
      </c>
      <c r="C280" s="31" t="s">
        <v>292</v>
      </c>
      <c r="D280" s="31" t="s">
        <v>674</v>
      </c>
      <c r="E280" s="32">
        <v>98.79</v>
      </c>
      <c r="F280" s="33">
        <v>598.4</v>
      </c>
      <c r="G280" s="32">
        <v>697.19</v>
      </c>
      <c r="H280" s="32">
        <v>1.43</v>
      </c>
      <c r="I280" s="34">
        <v>0</v>
      </c>
      <c r="J280" s="33">
        <v>0</v>
      </c>
      <c r="K280" s="34">
        <v>598</v>
      </c>
      <c r="L280" s="32">
        <v>342.28</v>
      </c>
      <c r="M280" s="32">
        <v>63.72</v>
      </c>
      <c r="N280" s="32">
        <v>70.45</v>
      </c>
      <c r="O280" s="32">
        <v>35.15</v>
      </c>
      <c r="P280" s="32">
        <v>3.8</v>
      </c>
      <c r="Q280" s="34">
        <v>238634</v>
      </c>
      <c r="R280" s="34">
        <v>0</v>
      </c>
      <c r="S280" s="34">
        <v>238634</v>
      </c>
      <c r="T280" s="34">
        <v>15242</v>
      </c>
      <c r="U280" s="34">
        <v>16852</v>
      </c>
      <c r="V280" s="34">
        <v>489</v>
      </c>
      <c r="W280" s="34">
        <v>24506</v>
      </c>
      <c r="X280" s="34">
        <v>0</v>
      </c>
      <c r="Y280" s="34">
        <v>295723</v>
      </c>
      <c r="Z280" s="34">
        <v>41035</v>
      </c>
      <c r="AA280" s="34">
        <v>254688</v>
      </c>
      <c r="AB280" s="34">
        <v>172098</v>
      </c>
      <c r="AC280" s="34">
        <v>82590</v>
      </c>
    </row>
    <row r="281" spans="1:29" x14ac:dyDescent="0.25">
      <c r="A281" s="31" t="s">
        <v>263</v>
      </c>
      <c r="B281" s="31" t="s">
        <v>729</v>
      </c>
      <c r="C281" s="31" t="s">
        <v>293</v>
      </c>
      <c r="D281" s="31" t="s">
        <v>675</v>
      </c>
      <c r="E281" s="32">
        <v>33.159999999999997</v>
      </c>
      <c r="F281" s="33">
        <v>220.4</v>
      </c>
      <c r="G281" s="32">
        <v>253.56</v>
      </c>
      <c r="H281" s="32">
        <v>0.52</v>
      </c>
      <c r="I281" s="34">
        <v>2</v>
      </c>
      <c r="J281" s="33">
        <v>0</v>
      </c>
      <c r="K281" s="34">
        <v>222</v>
      </c>
      <c r="L281" s="32">
        <v>342.28</v>
      </c>
      <c r="M281" s="32">
        <v>63.72</v>
      </c>
      <c r="N281" s="32">
        <v>70.45</v>
      </c>
      <c r="O281" s="32">
        <v>35.15</v>
      </c>
      <c r="P281" s="32">
        <v>3.8</v>
      </c>
      <c r="Q281" s="34">
        <v>86789</v>
      </c>
      <c r="R281" s="34">
        <v>1304</v>
      </c>
      <c r="S281" s="34">
        <v>88093</v>
      </c>
      <c r="T281" s="34">
        <v>5658</v>
      </c>
      <c r="U281" s="34">
        <v>6256</v>
      </c>
      <c r="V281" s="34">
        <v>178</v>
      </c>
      <c r="W281" s="34">
        <v>8913</v>
      </c>
      <c r="X281" s="34">
        <v>0</v>
      </c>
      <c r="Y281" s="34">
        <v>109098</v>
      </c>
      <c r="Z281" s="34">
        <v>14924</v>
      </c>
      <c r="AA281" s="34">
        <v>94174</v>
      </c>
      <c r="AB281" s="34">
        <v>62591</v>
      </c>
      <c r="AC281" s="34">
        <v>31583</v>
      </c>
    </row>
    <row r="282" spans="1:29" x14ac:dyDescent="0.25">
      <c r="A282" s="31" t="s">
        <v>263</v>
      </c>
      <c r="B282" s="31" t="s">
        <v>729</v>
      </c>
      <c r="C282" s="31" t="s">
        <v>294</v>
      </c>
      <c r="D282" s="31" t="s">
        <v>676</v>
      </c>
      <c r="E282" s="32">
        <v>92.15</v>
      </c>
      <c r="F282" s="33">
        <v>664.3</v>
      </c>
      <c r="G282" s="32">
        <v>756.45</v>
      </c>
      <c r="H282" s="32">
        <v>1.56</v>
      </c>
      <c r="I282" s="34">
        <v>13</v>
      </c>
      <c r="J282" s="33">
        <v>0</v>
      </c>
      <c r="K282" s="34">
        <v>677</v>
      </c>
      <c r="L282" s="32">
        <v>342.28</v>
      </c>
      <c r="M282" s="32">
        <v>63.72</v>
      </c>
      <c r="N282" s="32">
        <v>70.45</v>
      </c>
      <c r="O282" s="32">
        <v>35.15</v>
      </c>
      <c r="P282" s="32">
        <v>3.8</v>
      </c>
      <c r="Q282" s="34">
        <v>258918</v>
      </c>
      <c r="R282" s="34">
        <v>0</v>
      </c>
      <c r="S282" s="34">
        <v>258918</v>
      </c>
      <c r="T282" s="34">
        <v>17255</v>
      </c>
      <c r="U282" s="34">
        <v>19078</v>
      </c>
      <c r="V282" s="34">
        <v>534</v>
      </c>
      <c r="W282" s="34">
        <v>26589</v>
      </c>
      <c r="X282" s="34">
        <v>0</v>
      </c>
      <c r="Y282" s="34">
        <v>322374</v>
      </c>
      <c r="Z282" s="34">
        <v>44522</v>
      </c>
      <c r="AA282" s="34">
        <v>277852</v>
      </c>
      <c r="AB282" s="34">
        <v>186730</v>
      </c>
      <c r="AC282" s="34">
        <v>91122</v>
      </c>
    </row>
    <row r="283" spans="1:29" x14ac:dyDescent="0.25">
      <c r="A283" s="31" t="s">
        <v>263</v>
      </c>
      <c r="B283" s="31" t="s">
        <v>729</v>
      </c>
      <c r="C283" s="31" t="s">
        <v>295</v>
      </c>
      <c r="D283" s="31" t="s">
        <v>677</v>
      </c>
      <c r="E283" s="32">
        <v>27.12</v>
      </c>
      <c r="F283" s="33">
        <v>163.9</v>
      </c>
      <c r="G283" s="32">
        <v>191.02</v>
      </c>
      <c r="H283" s="32">
        <v>0.39</v>
      </c>
      <c r="I283" s="34">
        <v>7</v>
      </c>
      <c r="J283" s="33">
        <v>0</v>
      </c>
      <c r="K283" s="34">
        <v>171</v>
      </c>
      <c r="L283" s="32">
        <v>342.28</v>
      </c>
      <c r="M283" s="32">
        <v>63.72</v>
      </c>
      <c r="N283" s="32">
        <v>70.45</v>
      </c>
      <c r="O283" s="32">
        <v>35.15</v>
      </c>
      <c r="P283" s="32">
        <v>3.8</v>
      </c>
      <c r="Q283" s="34">
        <v>65382</v>
      </c>
      <c r="R283" s="34">
        <v>7384</v>
      </c>
      <c r="S283" s="34">
        <v>72766</v>
      </c>
      <c r="T283" s="34">
        <v>4358</v>
      </c>
      <c r="U283" s="34">
        <v>4819</v>
      </c>
      <c r="V283" s="34">
        <v>133</v>
      </c>
      <c r="W283" s="34">
        <v>7452</v>
      </c>
      <c r="X283" s="34">
        <v>0</v>
      </c>
      <c r="Y283" s="34">
        <v>89528</v>
      </c>
      <c r="Z283" s="34">
        <v>11243</v>
      </c>
      <c r="AA283" s="34">
        <v>78285</v>
      </c>
      <c r="AB283" s="34">
        <v>47890</v>
      </c>
      <c r="AC283" s="34">
        <v>30395</v>
      </c>
    </row>
    <row r="284" spans="1:29" x14ac:dyDescent="0.25">
      <c r="A284" s="31" t="s">
        <v>263</v>
      </c>
      <c r="B284" s="31" t="s">
        <v>729</v>
      </c>
      <c r="C284" s="31" t="s">
        <v>296</v>
      </c>
      <c r="D284" s="31" t="s">
        <v>678</v>
      </c>
      <c r="E284" s="32">
        <v>128.09</v>
      </c>
      <c r="F284" s="33">
        <v>1059.5999999999999</v>
      </c>
      <c r="G284" s="32">
        <v>1187.69</v>
      </c>
      <c r="H284" s="32">
        <v>2.44</v>
      </c>
      <c r="I284" s="34">
        <v>0</v>
      </c>
      <c r="J284" s="33">
        <v>0</v>
      </c>
      <c r="K284" s="34">
        <v>1060</v>
      </c>
      <c r="L284" s="32">
        <v>342.28</v>
      </c>
      <c r="M284" s="32">
        <v>63.72</v>
      </c>
      <c r="N284" s="32">
        <v>70.45</v>
      </c>
      <c r="O284" s="32">
        <v>35.15</v>
      </c>
      <c r="P284" s="32">
        <v>3.8</v>
      </c>
      <c r="Q284" s="34">
        <v>406523</v>
      </c>
      <c r="R284" s="34">
        <v>0</v>
      </c>
      <c r="S284" s="34">
        <v>406523</v>
      </c>
      <c r="T284" s="34">
        <v>27017</v>
      </c>
      <c r="U284" s="34">
        <v>29871</v>
      </c>
      <c r="V284" s="34">
        <v>835</v>
      </c>
      <c r="W284" s="34">
        <v>41747</v>
      </c>
      <c r="X284" s="34">
        <v>0</v>
      </c>
      <c r="Y284" s="34">
        <v>505993</v>
      </c>
      <c r="Z284" s="34">
        <v>69904</v>
      </c>
      <c r="AA284" s="34">
        <v>436089</v>
      </c>
      <c r="AB284" s="34">
        <v>293178</v>
      </c>
      <c r="AC284" s="34">
        <v>142911</v>
      </c>
    </row>
    <row r="285" spans="1:29" x14ac:dyDescent="0.25">
      <c r="A285" s="31" t="s">
        <v>263</v>
      </c>
      <c r="B285" s="31" t="s">
        <v>729</v>
      </c>
      <c r="C285" s="31" t="s">
        <v>297</v>
      </c>
      <c r="D285" s="31" t="s">
        <v>679</v>
      </c>
      <c r="E285" s="32">
        <v>107.19</v>
      </c>
      <c r="F285" s="33">
        <v>710.4</v>
      </c>
      <c r="G285" s="32">
        <v>817.59</v>
      </c>
      <c r="H285" s="32">
        <v>1.68</v>
      </c>
      <c r="I285" s="34">
        <v>0</v>
      </c>
      <c r="J285" s="33">
        <v>0</v>
      </c>
      <c r="K285" s="34">
        <v>710</v>
      </c>
      <c r="L285" s="32">
        <v>342.28</v>
      </c>
      <c r="M285" s="32">
        <v>63.72</v>
      </c>
      <c r="N285" s="32">
        <v>70.45</v>
      </c>
      <c r="O285" s="32">
        <v>35.15</v>
      </c>
      <c r="P285" s="32">
        <v>3.8</v>
      </c>
      <c r="Q285" s="34">
        <v>279845</v>
      </c>
      <c r="R285" s="34">
        <v>0</v>
      </c>
      <c r="S285" s="34">
        <v>279845</v>
      </c>
      <c r="T285" s="34">
        <v>18096</v>
      </c>
      <c r="U285" s="34">
        <v>20008</v>
      </c>
      <c r="V285" s="34">
        <v>575</v>
      </c>
      <c r="W285" s="34">
        <v>28738</v>
      </c>
      <c r="X285" s="34">
        <v>0</v>
      </c>
      <c r="Y285" s="34">
        <v>347262</v>
      </c>
      <c r="Z285" s="34">
        <v>48121</v>
      </c>
      <c r="AA285" s="34">
        <v>299141</v>
      </c>
      <c r="AB285" s="34">
        <v>201820</v>
      </c>
      <c r="AC285" s="34">
        <v>97321</v>
      </c>
    </row>
    <row r="286" spans="1:29" x14ac:dyDescent="0.25">
      <c r="A286" s="31" t="s">
        <v>263</v>
      </c>
      <c r="B286" s="31" t="s">
        <v>729</v>
      </c>
      <c r="C286" s="31" t="s">
        <v>298</v>
      </c>
      <c r="D286" s="31" t="s">
        <v>680</v>
      </c>
      <c r="E286" s="32">
        <v>148.26</v>
      </c>
      <c r="F286" s="33">
        <v>1057</v>
      </c>
      <c r="G286" s="32">
        <v>1205.26</v>
      </c>
      <c r="H286" s="32">
        <v>2.48</v>
      </c>
      <c r="I286" s="34">
        <v>7</v>
      </c>
      <c r="J286" s="33">
        <v>0</v>
      </c>
      <c r="K286" s="34">
        <v>1064</v>
      </c>
      <c r="L286" s="32">
        <v>342.28</v>
      </c>
      <c r="M286" s="32">
        <v>63.72</v>
      </c>
      <c r="N286" s="32">
        <v>70.45</v>
      </c>
      <c r="O286" s="32">
        <v>35.15</v>
      </c>
      <c r="P286" s="32">
        <v>3.8</v>
      </c>
      <c r="Q286" s="34">
        <v>412536</v>
      </c>
      <c r="R286" s="34">
        <v>0</v>
      </c>
      <c r="S286" s="34">
        <v>412536</v>
      </c>
      <c r="T286" s="34">
        <v>27119</v>
      </c>
      <c r="U286" s="34">
        <v>29984</v>
      </c>
      <c r="V286" s="34">
        <v>849</v>
      </c>
      <c r="W286" s="34">
        <v>42365</v>
      </c>
      <c r="X286" s="34">
        <v>0</v>
      </c>
      <c r="Y286" s="34">
        <v>512853</v>
      </c>
      <c r="Z286" s="34">
        <v>70938</v>
      </c>
      <c r="AA286" s="34">
        <v>441915</v>
      </c>
      <c r="AB286" s="34">
        <v>297517</v>
      </c>
      <c r="AC286" s="34">
        <v>144398</v>
      </c>
    </row>
    <row r="287" spans="1:29" x14ac:dyDescent="0.25">
      <c r="A287" s="31" t="s">
        <v>263</v>
      </c>
      <c r="B287" s="31" t="s">
        <v>729</v>
      </c>
      <c r="C287" s="31" t="s">
        <v>299</v>
      </c>
      <c r="D287" s="31" t="s">
        <v>681</v>
      </c>
      <c r="E287" s="32">
        <v>49.55</v>
      </c>
      <c r="F287" s="33">
        <v>389</v>
      </c>
      <c r="G287" s="32">
        <v>438.55</v>
      </c>
      <c r="H287" s="32">
        <v>0.9</v>
      </c>
      <c r="I287" s="34">
        <v>0</v>
      </c>
      <c r="J287" s="33">
        <v>0</v>
      </c>
      <c r="K287" s="34">
        <v>389</v>
      </c>
      <c r="L287" s="32">
        <v>342.28</v>
      </c>
      <c r="M287" s="32">
        <v>63.72</v>
      </c>
      <c r="N287" s="32">
        <v>70.45</v>
      </c>
      <c r="O287" s="32">
        <v>35.15</v>
      </c>
      <c r="P287" s="32">
        <v>3.8</v>
      </c>
      <c r="Q287" s="34">
        <v>150107</v>
      </c>
      <c r="R287" s="34">
        <v>0</v>
      </c>
      <c r="S287" s="34">
        <v>150107</v>
      </c>
      <c r="T287" s="34">
        <v>9915</v>
      </c>
      <c r="U287" s="34">
        <v>10962</v>
      </c>
      <c r="V287" s="34">
        <v>308</v>
      </c>
      <c r="W287" s="34">
        <v>15415</v>
      </c>
      <c r="X287" s="34">
        <v>0</v>
      </c>
      <c r="Y287" s="34">
        <v>186707</v>
      </c>
      <c r="Z287" s="34">
        <v>25812</v>
      </c>
      <c r="AA287" s="34">
        <v>160895</v>
      </c>
      <c r="AB287" s="34">
        <v>108255</v>
      </c>
      <c r="AC287" s="34">
        <v>52640</v>
      </c>
    </row>
    <row r="288" spans="1:29" x14ac:dyDescent="0.25">
      <c r="A288" s="31" t="s">
        <v>263</v>
      </c>
      <c r="B288" s="31" t="s">
        <v>729</v>
      </c>
      <c r="C288" s="31" t="s">
        <v>300</v>
      </c>
      <c r="D288" s="31" t="s">
        <v>682</v>
      </c>
      <c r="E288" s="32">
        <v>31.76</v>
      </c>
      <c r="F288" s="33">
        <v>197.3</v>
      </c>
      <c r="G288" s="32">
        <v>229.06</v>
      </c>
      <c r="H288" s="32">
        <v>0.47</v>
      </c>
      <c r="I288" s="34">
        <v>0</v>
      </c>
      <c r="J288" s="33">
        <v>0</v>
      </c>
      <c r="K288" s="34">
        <v>197</v>
      </c>
      <c r="L288" s="32">
        <v>342.28</v>
      </c>
      <c r="M288" s="32">
        <v>63.72</v>
      </c>
      <c r="N288" s="32">
        <v>70.45</v>
      </c>
      <c r="O288" s="32">
        <v>35.15</v>
      </c>
      <c r="P288" s="32">
        <v>3.8</v>
      </c>
      <c r="Q288" s="34">
        <v>78403</v>
      </c>
      <c r="R288" s="34">
        <v>1373</v>
      </c>
      <c r="S288" s="34">
        <v>79776</v>
      </c>
      <c r="T288" s="34">
        <v>5021</v>
      </c>
      <c r="U288" s="34">
        <v>5552</v>
      </c>
      <c r="V288" s="34">
        <v>161</v>
      </c>
      <c r="W288" s="34">
        <v>8051</v>
      </c>
      <c r="X288" s="34">
        <v>0</v>
      </c>
      <c r="Y288" s="34">
        <v>98561</v>
      </c>
      <c r="Z288" s="34">
        <v>13481</v>
      </c>
      <c r="AA288" s="34">
        <v>85080</v>
      </c>
      <c r="AB288" s="34">
        <v>56543</v>
      </c>
      <c r="AC288" s="34">
        <v>28537</v>
      </c>
    </row>
    <row r="289" spans="1:29" x14ac:dyDescent="0.25">
      <c r="A289" s="31" t="s">
        <v>263</v>
      </c>
      <c r="B289" s="31" t="s">
        <v>729</v>
      </c>
      <c r="C289" s="31" t="s">
        <v>301</v>
      </c>
      <c r="D289" s="31" t="s">
        <v>683</v>
      </c>
      <c r="E289" s="32">
        <v>18.41</v>
      </c>
      <c r="F289" s="33">
        <v>187.1</v>
      </c>
      <c r="G289" s="32">
        <v>205.51</v>
      </c>
      <c r="H289" s="32">
        <v>0.42</v>
      </c>
      <c r="I289" s="34">
        <v>0</v>
      </c>
      <c r="J289" s="33">
        <v>0</v>
      </c>
      <c r="K289" s="34">
        <v>187</v>
      </c>
      <c r="L289" s="32">
        <v>342.28</v>
      </c>
      <c r="M289" s="32">
        <v>63.72</v>
      </c>
      <c r="N289" s="32">
        <v>70.45</v>
      </c>
      <c r="O289" s="32">
        <v>35.15</v>
      </c>
      <c r="P289" s="32">
        <v>3.8</v>
      </c>
      <c r="Q289" s="34">
        <v>70342</v>
      </c>
      <c r="R289" s="34">
        <v>1515</v>
      </c>
      <c r="S289" s="34">
        <v>71857</v>
      </c>
      <c r="T289" s="34">
        <v>4766</v>
      </c>
      <c r="U289" s="34">
        <v>5270</v>
      </c>
      <c r="V289" s="34">
        <v>144</v>
      </c>
      <c r="W289" s="34">
        <v>7379</v>
      </c>
      <c r="X289" s="34">
        <v>0</v>
      </c>
      <c r="Y289" s="34">
        <v>89416</v>
      </c>
      <c r="Z289" s="34">
        <v>12096</v>
      </c>
      <c r="AA289" s="34">
        <v>77320</v>
      </c>
      <c r="AB289" s="34">
        <v>50884</v>
      </c>
      <c r="AC289" s="34">
        <v>26436</v>
      </c>
    </row>
    <row r="290" spans="1:29" x14ac:dyDescent="0.25">
      <c r="A290" s="31" t="s">
        <v>263</v>
      </c>
      <c r="B290" s="31" t="s">
        <v>729</v>
      </c>
      <c r="C290" s="31" t="s">
        <v>302</v>
      </c>
      <c r="D290" s="31" t="s">
        <v>684</v>
      </c>
      <c r="E290" s="32">
        <v>34.229999999999997</v>
      </c>
      <c r="F290" s="33">
        <v>573.29999999999995</v>
      </c>
      <c r="G290" s="32">
        <v>607.53</v>
      </c>
      <c r="H290" s="32">
        <v>1.25</v>
      </c>
      <c r="I290" s="34">
        <v>36</v>
      </c>
      <c r="J290" s="33">
        <v>0</v>
      </c>
      <c r="K290" s="34">
        <v>609</v>
      </c>
      <c r="L290" s="32">
        <v>342.28</v>
      </c>
      <c r="M290" s="32">
        <v>63.72</v>
      </c>
      <c r="N290" s="32">
        <v>70.45</v>
      </c>
      <c r="O290" s="32">
        <v>35.15</v>
      </c>
      <c r="P290" s="32">
        <v>3.8</v>
      </c>
      <c r="Q290" s="34">
        <v>207945</v>
      </c>
      <c r="R290" s="34">
        <v>0</v>
      </c>
      <c r="S290" s="34">
        <v>207945</v>
      </c>
      <c r="T290" s="34">
        <v>15522</v>
      </c>
      <c r="U290" s="34">
        <v>17162</v>
      </c>
      <c r="V290" s="34">
        <v>428</v>
      </c>
      <c r="W290" s="34">
        <v>21355</v>
      </c>
      <c r="X290" s="34">
        <v>0</v>
      </c>
      <c r="Y290" s="34">
        <v>262412</v>
      </c>
      <c r="Z290" s="34">
        <v>35757</v>
      </c>
      <c r="AA290" s="34">
        <v>226655</v>
      </c>
      <c r="AB290" s="34">
        <v>149969</v>
      </c>
      <c r="AC290" s="34">
        <v>76686</v>
      </c>
    </row>
    <row r="291" spans="1:29" x14ac:dyDescent="0.25">
      <c r="A291" s="31" t="s">
        <v>263</v>
      </c>
      <c r="B291" s="31" t="s">
        <v>729</v>
      </c>
      <c r="C291" s="31" t="s">
        <v>303</v>
      </c>
      <c r="D291" s="31" t="s">
        <v>685</v>
      </c>
      <c r="E291" s="32">
        <v>72.47</v>
      </c>
      <c r="F291" s="33">
        <v>655.5</v>
      </c>
      <c r="G291" s="32">
        <v>727.97</v>
      </c>
      <c r="H291" s="32">
        <v>1.5</v>
      </c>
      <c r="I291" s="34">
        <v>5</v>
      </c>
      <c r="J291" s="33">
        <v>0</v>
      </c>
      <c r="K291" s="34">
        <v>661</v>
      </c>
      <c r="L291" s="32">
        <v>342.28</v>
      </c>
      <c r="M291" s="32">
        <v>63.72</v>
      </c>
      <c r="N291" s="32">
        <v>70.45</v>
      </c>
      <c r="O291" s="32">
        <v>35.15</v>
      </c>
      <c r="P291" s="32">
        <v>3.8</v>
      </c>
      <c r="Q291" s="34">
        <v>249170</v>
      </c>
      <c r="R291" s="34">
        <v>0</v>
      </c>
      <c r="S291" s="34">
        <v>249170</v>
      </c>
      <c r="T291" s="34">
        <v>16848</v>
      </c>
      <c r="U291" s="34">
        <v>18627</v>
      </c>
      <c r="V291" s="34">
        <v>513</v>
      </c>
      <c r="W291" s="34">
        <v>25588</v>
      </c>
      <c r="X291" s="34">
        <v>0</v>
      </c>
      <c r="Y291" s="34">
        <v>310746</v>
      </c>
      <c r="Z291" s="34">
        <v>42846</v>
      </c>
      <c r="AA291" s="34">
        <v>267900</v>
      </c>
      <c r="AB291" s="34">
        <v>179699</v>
      </c>
      <c r="AC291" s="34">
        <v>88201</v>
      </c>
    </row>
    <row r="292" spans="1:29" x14ac:dyDescent="0.25">
      <c r="A292" s="31" t="s">
        <v>263</v>
      </c>
      <c r="B292" s="31" t="s">
        <v>729</v>
      </c>
      <c r="C292" s="31" t="s">
        <v>304</v>
      </c>
      <c r="D292" s="31" t="s">
        <v>686</v>
      </c>
      <c r="E292" s="32">
        <v>78.45</v>
      </c>
      <c r="F292" s="33">
        <v>734.3</v>
      </c>
      <c r="G292" s="32">
        <v>812.75</v>
      </c>
      <c r="H292" s="32">
        <v>1.67</v>
      </c>
      <c r="I292" s="34">
        <v>25</v>
      </c>
      <c r="J292" s="33">
        <v>0</v>
      </c>
      <c r="K292" s="34">
        <v>759</v>
      </c>
      <c r="L292" s="32">
        <v>342.28</v>
      </c>
      <c r="M292" s="32">
        <v>63.72</v>
      </c>
      <c r="N292" s="32">
        <v>70.45</v>
      </c>
      <c r="O292" s="32">
        <v>35.15</v>
      </c>
      <c r="P292" s="32">
        <v>3.8</v>
      </c>
      <c r="Q292" s="34">
        <v>278188</v>
      </c>
      <c r="R292" s="34">
        <v>3050</v>
      </c>
      <c r="S292" s="34">
        <v>281238</v>
      </c>
      <c r="T292" s="34">
        <v>19345</v>
      </c>
      <c r="U292" s="34">
        <v>21389</v>
      </c>
      <c r="V292" s="34">
        <v>572</v>
      </c>
      <c r="W292" s="34">
        <v>28878</v>
      </c>
      <c r="X292" s="34">
        <v>0</v>
      </c>
      <c r="Y292" s="34">
        <v>351422</v>
      </c>
      <c r="Z292" s="34">
        <v>47836</v>
      </c>
      <c r="AA292" s="34">
        <v>303586</v>
      </c>
      <c r="AB292" s="34">
        <v>200935</v>
      </c>
      <c r="AC292" s="34">
        <v>102651</v>
      </c>
    </row>
    <row r="293" spans="1:29" x14ac:dyDescent="0.25">
      <c r="A293" s="31" t="s">
        <v>263</v>
      </c>
      <c r="B293" s="31" t="s">
        <v>729</v>
      </c>
      <c r="C293" s="31" t="s">
        <v>305</v>
      </c>
      <c r="D293" s="31" t="s">
        <v>687</v>
      </c>
      <c r="E293" s="32">
        <v>42.08</v>
      </c>
      <c r="F293" s="33">
        <v>282</v>
      </c>
      <c r="G293" s="32">
        <v>324.08</v>
      </c>
      <c r="H293" s="32">
        <v>0.67</v>
      </c>
      <c r="I293" s="34">
        <v>0</v>
      </c>
      <c r="J293" s="33">
        <v>0</v>
      </c>
      <c r="K293" s="34">
        <v>282</v>
      </c>
      <c r="L293" s="32">
        <v>342.28</v>
      </c>
      <c r="M293" s="32">
        <v>63.72</v>
      </c>
      <c r="N293" s="32">
        <v>70.45</v>
      </c>
      <c r="O293" s="32">
        <v>35.15</v>
      </c>
      <c r="P293" s="32">
        <v>3.8</v>
      </c>
      <c r="Q293" s="34">
        <v>110926</v>
      </c>
      <c r="R293" s="34">
        <v>6177</v>
      </c>
      <c r="S293" s="34">
        <v>117103</v>
      </c>
      <c r="T293" s="34">
        <v>7188</v>
      </c>
      <c r="U293" s="34">
        <v>7947</v>
      </c>
      <c r="V293" s="34">
        <v>229</v>
      </c>
      <c r="W293" s="34">
        <v>12024</v>
      </c>
      <c r="X293" s="34">
        <v>0</v>
      </c>
      <c r="Y293" s="34">
        <v>144491</v>
      </c>
      <c r="Z293" s="34">
        <v>19075</v>
      </c>
      <c r="AA293" s="34">
        <v>125416</v>
      </c>
      <c r="AB293" s="34">
        <v>80632</v>
      </c>
      <c r="AC293" s="34">
        <v>44784</v>
      </c>
    </row>
    <row r="294" spans="1:29" x14ac:dyDescent="0.25">
      <c r="A294" s="31" t="s">
        <v>263</v>
      </c>
      <c r="B294" s="31" t="s">
        <v>729</v>
      </c>
      <c r="C294" s="31" t="s">
        <v>306</v>
      </c>
      <c r="D294" s="31" t="s">
        <v>688</v>
      </c>
      <c r="E294" s="32">
        <v>47.73</v>
      </c>
      <c r="F294" s="33">
        <v>350.7</v>
      </c>
      <c r="G294" s="32">
        <v>398.43</v>
      </c>
      <c r="H294" s="32">
        <v>0.82</v>
      </c>
      <c r="I294" s="34">
        <v>0</v>
      </c>
      <c r="J294" s="33">
        <v>0</v>
      </c>
      <c r="K294" s="34">
        <v>351</v>
      </c>
      <c r="L294" s="32">
        <v>342.28</v>
      </c>
      <c r="M294" s="32">
        <v>63.72</v>
      </c>
      <c r="N294" s="32">
        <v>70.45</v>
      </c>
      <c r="O294" s="32">
        <v>35.15</v>
      </c>
      <c r="P294" s="32">
        <v>3.8</v>
      </c>
      <c r="Q294" s="34">
        <v>136375</v>
      </c>
      <c r="R294" s="34">
        <v>11585</v>
      </c>
      <c r="S294" s="34">
        <v>147960</v>
      </c>
      <c r="T294" s="34">
        <v>8946</v>
      </c>
      <c r="U294" s="34">
        <v>9891</v>
      </c>
      <c r="V294" s="34">
        <v>281</v>
      </c>
      <c r="W294" s="34">
        <v>14153</v>
      </c>
      <c r="X294" s="34">
        <v>0</v>
      </c>
      <c r="Y294" s="34">
        <v>181231</v>
      </c>
      <c r="Z294" s="34">
        <v>23451</v>
      </c>
      <c r="AA294" s="34">
        <v>157780</v>
      </c>
      <c r="AB294" s="34">
        <v>98500</v>
      </c>
      <c r="AC294" s="34">
        <v>59280</v>
      </c>
    </row>
    <row r="295" spans="1:29" x14ac:dyDescent="0.25">
      <c r="A295" s="31" t="s">
        <v>263</v>
      </c>
      <c r="B295" s="31" t="s">
        <v>729</v>
      </c>
      <c r="C295" s="31" t="s">
        <v>307</v>
      </c>
      <c r="D295" s="31" t="s">
        <v>689</v>
      </c>
      <c r="E295" s="32">
        <v>63.6</v>
      </c>
      <c r="F295" s="33">
        <v>507</v>
      </c>
      <c r="G295" s="32">
        <v>570.6</v>
      </c>
      <c r="H295" s="32">
        <v>1.17</v>
      </c>
      <c r="I295" s="34">
        <v>3</v>
      </c>
      <c r="J295" s="33">
        <v>0</v>
      </c>
      <c r="K295" s="34">
        <v>510</v>
      </c>
      <c r="L295" s="32">
        <v>342.28</v>
      </c>
      <c r="M295" s="32">
        <v>63.72</v>
      </c>
      <c r="N295" s="32">
        <v>70.45</v>
      </c>
      <c r="O295" s="32">
        <v>35.15</v>
      </c>
      <c r="P295" s="32">
        <v>3.8</v>
      </c>
      <c r="Q295" s="34">
        <v>195305</v>
      </c>
      <c r="R295" s="34">
        <v>0</v>
      </c>
      <c r="S295" s="34">
        <v>195305</v>
      </c>
      <c r="T295" s="34">
        <v>12999</v>
      </c>
      <c r="U295" s="34">
        <v>14372</v>
      </c>
      <c r="V295" s="34">
        <v>400</v>
      </c>
      <c r="W295" s="34">
        <v>20057</v>
      </c>
      <c r="X295" s="34">
        <v>0</v>
      </c>
      <c r="Y295" s="34">
        <v>243133</v>
      </c>
      <c r="Z295" s="34">
        <v>33584</v>
      </c>
      <c r="AA295" s="34">
        <v>209549</v>
      </c>
      <c r="AB295" s="34">
        <v>140851</v>
      </c>
      <c r="AC295" s="34">
        <v>68698</v>
      </c>
    </row>
    <row r="296" spans="1:29" x14ac:dyDescent="0.25">
      <c r="A296" s="31" t="s">
        <v>308</v>
      </c>
      <c r="B296" s="31" t="s">
        <v>730</v>
      </c>
      <c r="C296" s="31" t="s">
        <v>309</v>
      </c>
      <c r="D296" s="31" t="s">
        <v>690</v>
      </c>
      <c r="E296" s="32">
        <v>131.33000000000001</v>
      </c>
      <c r="F296" s="33">
        <v>1081.0999999999999</v>
      </c>
      <c r="G296" s="32">
        <v>1212.43</v>
      </c>
      <c r="H296" s="32">
        <v>2.81</v>
      </c>
      <c r="I296" s="34">
        <v>5</v>
      </c>
      <c r="J296" s="33">
        <v>0</v>
      </c>
      <c r="K296" s="34">
        <v>1086</v>
      </c>
      <c r="L296" s="32">
        <v>339.64</v>
      </c>
      <c r="M296" s="32">
        <v>63.69</v>
      </c>
      <c r="N296" s="32">
        <v>70.02</v>
      </c>
      <c r="O296" s="32">
        <v>34.159999999999997</v>
      </c>
      <c r="P296" s="32">
        <v>3.75</v>
      </c>
      <c r="Q296" s="34">
        <v>411790</v>
      </c>
      <c r="R296" s="34">
        <v>0</v>
      </c>
      <c r="S296" s="34">
        <v>411790</v>
      </c>
      <c r="T296" s="34">
        <v>27667</v>
      </c>
      <c r="U296" s="34">
        <v>30417</v>
      </c>
      <c r="V296" s="34">
        <v>954</v>
      </c>
      <c r="W296" s="34">
        <v>41417</v>
      </c>
      <c r="X296" s="34">
        <v>0</v>
      </c>
      <c r="Y296" s="34">
        <v>512245</v>
      </c>
      <c r="Z296" s="34">
        <v>71361</v>
      </c>
      <c r="AA296" s="34">
        <v>440884</v>
      </c>
      <c r="AB296" s="34">
        <v>298171</v>
      </c>
      <c r="AC296" s="34">
        <v>142713</v>
      </c>
    </row>
    <row r="297" spans="1:29" x14ac:dyDescent="0.25">
      <c r="A297" s="31" t="s">
        <v>308</v>
      </c>
      <c r="B297" s="31" t="s">
        <v>730</v>
      </c>
      <c r="C297" s="31" t="s">
        <v>310</v>
      </c>
      <c r="D297" s="31" t="s">
        <v>691</v>
      </c>
      <c r="E297" s="32">
        <v>732.8</v>
      </c>
      <c r="F297" s="33">
        <v>3796.6</v>
      </c>
      <c r="G297" s="32">
        <v>4529.3999999999996</v>
      </c>
      <c r="H297" s="32">
        <v>10.48</v>
      </c>
      <c r="I297" s="34">
        <v>307</v>
      </c>
      <c r="J297" s="33">
        <v>3.6</v>
      </c>
      <c r="K297" s="34">
        <v>4100</v>
      </c>
      <c r="L297" s="32">
        <v>339.64</v>
      </c>
      <c r="M297" s="32">
        <v>63.69</v>
      </c>
      <c r="N297" s="32">
        <v>70.02</v>
      </c>
      <c r="O297" s="32">
        <v>34.159999999999997</v>
      </c>
      <c r="P297" s="32">
        <v>3.75</v>
      </c>
      <c r="Q297" s="34">
        <v>1538365</v>
      </c>
      <c r="R297" s="34">
        <v>0</v>
      </c>
      <c r="S297" s="34">
        <v>1538365</v>
      </c>
      <c r="T297" s="34">
        <v>104452</v>
      </c>
      <c r="U297" s="34">
        <v>114833</v>
      </c>
      <c r="V297" s="34">
        <v>3559</v>
      </c>
      <c r="W297" s="34">
        <v>154724</v>
      </c>
      <c r="X297" s="34">
        <v>0</v>
      </c>
      <c r="Y297" s="34">
        <v>1915933</v>
      </c>
      <c r="Z297" s="34">
        <v>266588</v>
      </c>
      <c r="AA297" s="34">
        <v>1649345</v>
      </c>
      <c r="AB297" s="34">
        <v>1113904</v>
      </c>
      <c r="AC297" s="34">
        <v>535441</v>
      </c>
    </row>
    <row r="298" spans="1:29" x14ac:dyDescent="0.25">
      <c r="A298" s="31" t="s">
        <v>308</v>
      </c>
      <c r="B298" s="31" t="s">
        <v>730</v>
      </c>
      <c r="C298" s="31" t="s">
        <v>311</v>
      </c>
      <c r="D298" s="31" t="s">
        <v>692</v>
      </c>
      <c r="E298" s="32">
        <v>80.599999999999994</v>
      </c>
      <c r="F298" s="33">
        <v>540.29999999999995</v>
      </c>
      <c r="G298" s="32">
        <v>620.9</v>
      </c>
      <c r="H298" s="32">
        <v>1.44</v>
      </c>
      <c r="I298" s="34">
        <v>0</v>
      </c>
      <c r="J298" s="33">
        <v>0</v>
      </c>
      <c r="K298" s="34">
        <v>540</v>
      </c>
      <c r="L298" s="32">
        <v>339.64</v>
      </c>
      <c r="M298" s="32">
        <v>63.69</v>
      </c>
      <c r="N298" s="32">
        <v>70.02</v>
      </c>
      <c r="O298" s="32">
        <v>34.159999999999997</v>
      </c>
      <c r="P298" s="32">
        <v>3.75</v>
      </c>
      <c r="Q298" s="34">
        <v>210882</v>
      </c>
      <c r="R298" s="34">
        <v>9088</v>
      </c>
      <c r="S298" s="34">
        <v>219970</v>
      </c>
      <c r="T298" s="34">
        <v>13757</v>
      </c>
      <c r="U298" s="34">
        <v>15124</v>
      </c>
      <c r="V298" s="34">
        <v>489</v>
      </c>
      <c r="W298" s="34">
        <v>22110</v>
      </c>
      <c r="X298" s="34">
        <v>0</v>
      </c>
      <c r="Y298" s="34">
        <v>271450</v>
      </c>
      <c r="Z298" s="34">
        <v>36544</v>
      </c>
      <c r="AA298" s="34">
        <v>234906</v>
      </c>
      <c r="AB298" s="34">
        <v>153598</v>
      </c>
      <c r="AC298" s="34">
        <v>81308</v>
      </c>
    </row>
    <row r="299" spans="1:29" x14ac:dyDescent="0.25">
      <c r="A299" s="31" t="s">
        <v>308</v>
      </c>
      <c r="B299" s="31" t="s">
        <v>730</v>
      </c>
      <c r="C299" s="31" t="s">
        <v>312</v>
      </c>
      <c r="D299" s="31" t="s">
        <v>693</v>
      </c>
      <c r="E299" s="32">
        <v>182.64</v>
      </c>
      <c r="F299" s="33">
        <v>1330.5</v>
      </c>
      <c r="G299" s="32">
        <v>1513.14</v>
      </c>
      <c r="H299" s="32">
        <v>3.5</v>
      </c>
      <c r="I299" s="34">
        <v>0</v>
      </c>
      <c r="J299" s="33">
        <v>0</v>
      </c>
      <c r="K299" s="34">
        <v>1331</v>
      </c>
      <c r="L299" s="32">
        <v>339.64</v>
      </c>
      <c r="M299" s="32">
        <v>63.69</v>
      </c>
      <c r="N299" s="32">
        <v>70.02</v>
      </c>
      <c r="O299" s="32">
        <v>34.159999999999997</v>
      </c>
      <c r="P299" s="32">
        <v>3.75</v>
      </c>
      <c r="Q299" s="34">
        <v>513923</v>
      </c>
      <c r="R299" s="34">
        <v>0</v>
      </c>
      <c r="S299" s="34">
        <v>513923</v>
      </c>
      <c r="T299" s="34">
        <v>33908</v>
      </c>
      <c r="U299" s="34">
        <v>37279</v>
      </c>
      <c r="V299" s="34">
        <v>1189</v>
      </c>
      <c r="W299" s="34">
        <v>51689</v>
      </c>
      <c r="X299" s="34">
        <v>0</v>
      </c>
      <c r="Y299" s="34">
        <v>637988</v>
      </c>
      <c r="Z299" s="34">
        <v>89059</v>
      </c>
      <c r="AA299" s="34">
        <v>548929</v>
      </c>
      <c r="AB299" s="34">
        <v>372123</v>
      </c>
      <c r="AC299" s="34">
        <v>176806</v>
      </c>
    </row>
    <row r="300" spans="1:29" x14ac:dyDescent="0.25">
      <c r="A300" s="31" t="s">
        <v>308</v>
      </c>
      <c r="B300" s="31" t="s">
        <v>730</v>
      </c>
      <c r="C300" s="31" t="s">
        <v>313</v>
      </c>
      <c r="D300" s="31" t="s">
        <v>694</v>
      </c>
      <c r="E300" s="32">
        <v>90.95</v>
      </c>
      <c r="F300" s="33">
        <v>811.5</v>
      </c>
      <c r="G300" s="32">
        <v>902.45</v>
      </c>
      <c r="H300" s="32">
        <v>2.09</v>
      </c>
      <c r="I300" s="34">
        <v>14</v>
      </c>
      <c r="J300" s="33">
        <v>0</v>
      </c>
      <c r="K300" s="34">
        <v>826</v>
      </c>
      <c r="L300" s="32">
        <v>339.64</v>
      </c>
      <c r="M300" s="32">
        <v>63.69</v>
      </c>
      <c r="N300" s="32">
        <v>70.02</v>
      </c>
      <c r="O300" s="32">
        <v>34.159999999999997</v>
      </c>
      <c r="P300" s="32">
        <v>3.75</v>
      </c>
      <c r="Q300" s="34">
        <v>306508</v>
      </c>
      <c r="R300" s="34">
        <v>0</v>
      </c>
      <c r="S300" s="34">
        <v>306508</v>
      </c>
      <c r="T300" s="34">
        <v>21043</v>
      </c>
      <c r="U300" s="34">
        <v>23135</v>
      </c>
      <c r="V300" s="34">
        <v>710</v>
      </c>
      <c r="W300" s="34">
        <v>30828</v>
      </c>
      <c r="X300" s="34">
        <v>0</v>
      </c>
      <c r="Y300" s="34">
        <v>382224</v>
      </c>
      <c r="Z300" s="34">
        <v>53115</v>
      </c>
      <c r="AA300" s="34">
        <v>329109</v>
      </c>
      <c r="AB300" s="34">
        <v>221939</v>
      </c>
      <c r="AC300" s="34">
        <v>107170</v>
      </c>
    </row>
    <row r="301" spans="1:29" x14ac:dyDescent="0.25">
      <c r="A301" s="31" t="s">
        <v>308</v>
      </c>
      <c r="B301" s="31" t="s">
        <v>730</v>
      </c>
      <c r="C301" s="31" t="s">
        <v>314</v>
      </c>
      <c r="D301" s="31" t="s">
        <v>695</v>
      </c>
      <c r="E301" s="32">
        <v>161.83000000000001</v>
      </c>
      <c r="F301" s="33">
        <v>1310.3</v>
      </c>
      <c r="G301" s="32">
        <v>1472.13</v>
      </c>
      <c r="H301" s="32">
        <v>3.41</v>
      </c>
      <c r="I301" s="34">
        <v>4</v>
      </c>
      <c r="J301" s="33">
        <v>0</v>
      </c>
      <c r="K301" s="34">
        <v>1314</v>
      </c>
      <c r="L301" s="32">
        <v>339.64</v>
      </c>
      <c r="M301" s="32">
        <v>63.69</v>
      </c>
      <c r="N301" s="32">
        <v>70.02</v>
      </c>
      <c r="O301" s="32">
        <v>34.159999999999997</v>
      </c>
      <c r="P301" s="32">
        <v>3.75</v>
      </c>
      <c r="Q301" s="34">
        <v>499994</v>
      </c>
      <c r="R301" s="34">
        <v>0</v>
      </c>
      <c r="S301" s="34">
        <v>499994</v>
      </c>
      <c r="T301" s="34">
        <v>33476</v>
      </c>
      <c r="U301" s="34">
        <v>36802</v>
      </c>
      <c r="V301" s="34">
        <v>1158</v>
      </c>
      <c r="W301" s="34">
        <v>50288</v>
      </c>
      <c r="X301" s="34">
        <v>0</v>
      </c>
      <c r="Y301" s="34">
        <v>621718</v>
      </c>
      <c r="Z301" s="34">
        <v>86645</v>
      </c>
      <c r="AA301" s="34">
        <v>535073</v>
      </c>
      <c r="AB301" s="34">
        <v>362039</v>
      </c>
      <c r="AC301" s="34">
        <v>173034</v>
      </c>
    </row>
    <row r="302" spans="1:29" x14ac:dyDescent="0.25">
      <c r="A302" s="31" t="s">
        <v>308</v>
      </c>
      <c r="B302" s="31" t="s">
        <v>730</v>
      </c>
      <c r="C302" s="31" t="s">
        <v>315</v>
      </c>
      <c r="D302" s="31" t="s">
        <v>696</v>
      </c>
      <c r="E302" s="32">
        <v>41.94</v>
      </c>
      <c r="F302" s="33">
        <v>442.1</v>
      </c>
      <c r="G302" s="32">
        <v>484.04</v>
      </c>
      <c r="H302" s="32">
        <v>1.1200000000000001</v>
      </c>
      <c r="I302" s="34">
        <v>11</v>
      </c>
      <c r="J302" s="33">
        <v>0</v>
      </c>
      <c r="K302" s="34">
        <v>453</v>
      </c>
      <c r="L302" s="32">
        <v>339.64</v>
      </c>
      <c r="M302" s="32">
        <v>63.69</v>
      </c>
      <c r="N302" s="32">
        <v>70.02</v>
      </c>
      <c r="O302" s="32">
        <v>34.159999999999997</v>
      </c>
      <c r="P302" s="32">
        <v>3.75</v>
      </c>
      <c r="Q302" s="34">
        <v>164399</v>
      </c>
      <c r="R302" s="34">
        <v>8711</v>
      </c>
      <c r="S302" s="34">
        <v>173110</v>
      </c>
      <c r="T302" s="34">
        <v>11541</v>
      </c>
      <c r="U302" s="34">
        <v>12688</v>
      </c>
      <c r="V302" s="34">
        <v>380</v>
      </c>
      <c r="W302" s="34">
        <v>16535</v>
      </c>
      <c r="X302" s="34">
        <v>0</v>
      </c>
      <c r="Y302" s="34">
        <v>214254</v>
      </c>
      <c r="Z302" s="34">
        <v>28489</v>
      </c>
      <c r="AA302" s="34">
        <v>185765</v>
      </c>
      <c r="AB302" s="34">
        <v>119039</v>
      </c>
      <c r="AC302" s="34">
        <v>66726</v>
      </c>
    </row>
    <row r="303" spans="1:29" x14ac:dyDescent="0.25">
      <c r="A303" s="31" t="s">
        <v>308</v>
      </c>
      <c r="B303" s="31" t="s">
        <v>730</v>
      </c>
      <c r="C303" s="31" t="s">
        <v>316</v>
      </c>
      <c r="D303" s="31" t="s">
        <v>697</v>
      </c>
      <c r="E303" s="32">
        <v>128.78</v>
      </c>
      <c r="F303" s="33">
        <v>1117.9000000000001</v>
      </c>
      <c r="G303" s="32">
        <v>1246.68</v>
      </c>
      <c r="H303" s="32">
        <v>2.89</v>
      </c>
      <c r="I303" s="34">
        <v>6</v>
      </c>
      <c r="J303" s="33">
        <v>0</v>
      </c>
      <c r="K303" s="34">
        <v>1124</v>
      </c>
      <c r="L303" s="32">
        <v>339.64</v>
      </c>
      <c r="M303" s="32">
        <v>63.69</v>
      </c>
      <c r="N303" s="32">
        <v>70.02</v>
      </c>
      <c r="O303" s="32">
        <v>34.159999999999997</v>
      </c>
      <c r="P303" s="32">
        <v>3.75</v>
      </c>
      <c r="Q303" s="34">
        <v>423422</v>
      </c>
      <c r="R303" s="34">
        <v>0</v>
      </c>
      <c r="S303" s="34">
        <v>423422</v>
      </c>
      <c r="T303" s="34">
        <v>28635</v>
      </c>
      <c r="U303" s="34">
        <v>31481</v>
      </c>
      <c r="V303" s="34">
        <v>982</v>
      </c>
      <c r="W303" s="34">
        <v>42587</v>
      </c>
      <c r="X303" s="34">
        <v>0</v>
      </c>
      <c r="Y303" s="34">
        <v>527107</v>
      </c>
      <c r="Z303" s="34">
        <v>73376</v>
      </c>
      <c r="AA303" s="34">
        <v>453731</v>
      </c>
      <c r="AB303" s="34">
        <v>306595</v>
      </c>
      <c r="AC303" s="34">
        <v>147136</v>
      </c>
    </row>
    <row r="304" spans="1:29" x14ac:dyDescent="0.25">
      <c r="A304" s="31" t="s">
        <v>308</v>
      </c>
      <c r="B304" s="31" t="s">
        <v>730</v>
      </c>
      <c r="C304" s="31" t="s">
        <v>317</v>
      </c>
      <c r="D304" s="31" t="s">
        <v>698</v>
      </c>
      <c r="E304" s="32">
        <v>80.34</v>
      </c>
      <c r="F304" s="33">
        <v>794.9</v>
      </c>
      <c r="G304" s="32">
        <v>875.24</v>
      </c>
      <c r="H304" s="32">
        <v>2.0299999999999998</v>
      </c>
      <c r="I304" s="34">
        <v>16</v>
      </c>
      <c r="J304" s="33">
        <v>0</v>
      </c>
      <c r="K304" s="34">
        <v>811</v>
      </c>
      <c r="L304" s="32">
        <v>339.64</v>
      </c>
      <c r="M304" s="32">
        <v>63.69</v>
      </c>
      <c r="N304" s="32">
        <v>70.02</v>
      </c>
      <c r="O304" s="32">
        <v>34.159999999999997</v>
      </c>
      <c r="P304" s="32">
        <v>3.75</v>
      </c>
      <c r="Q304" s="34">
        <v>297267</v>
      </c>
      <c r="R304" s="34">
        <v>10315</v>
      </c>
      <c r="S304" s="34">
        <v>307582</v>
      </c>
      <c r="T304" s="34">
        <v>20661</v>
      </c>
      <c r="U304" s="34">
        <v>22714</v>
      </c>
      <c r="V304" s="34">
        <v>689</v>
      </c>
      <c r="W304" s="34">
        <v>30514</v>
      </c>
      <c r="X304" s="34">
        <v>0</v>
      </c>
      <c r="Y304" s="34">
        <v>382160</v>
      </c>
      <c r="Z304" s="34">
        <v>51515</v>
      </c>
      <c r="AA304" s="34">
        <v>330645</v>
      </c>
      <c r="AB304" s="34">
        <v>215862</v>
      </c>
      <c r="AC304" s="34">
        <v>114783</v>
      </c>
    </row>
    <row r="305" spans="1:29" x14ac:dyDescent="0.25">
      <c r="A305" s="31" t="s">
        <v>308</v>
      </c>
      <c r="B305" s="31" t="s">
        <v>730</v>
      </c>
      <c r="C305" s="31" t="s">
        <v>318</v>
      </c>
      <c r="D305" s="31" t="s">
        <v>699</v>
      </c>
      <c r="E305" s="32">
        <v>242.26</v>
      </c>
      <c r="F305" s="33">
        <v>1525.8</v>
      </c>
      <c r="G305" s="32">
        <v>1768.06</v>
      </c>
      <c r="H305" s="32">
        <v>4.09</v>
      </c>
      <c r="I305" s="34">
        <v>152</v>
      </c>
      <c r="J305" s="33">
        <v>0</v>
      </c>
      <c r="K305" s="34">
        <v>1678</v>
      </c>
      <c r="L305" s="32">
        <v>339.64</v>
      </c>
      <c r="M305" s="32">
        <v>63.69</v>
      </c>
      <c r="N305" s="32">
        <v>70.02</v>
      </c>
      <c r="O305" s="32">
        <v>34.159999999999997</v>
      </c>
      <c r="P305" s="32">
        <v>3.75</v>
      </c>
      <c r="Q305" s="34">
        <v>600504</v>
      </c>
      <c r="R305" s="34">
        <v>5851</v>
      </c>
      <c r="S305" s="34">
        <v>606355</v>
      </c>
      <c r="T305" s="34">
        <v>42749</v>
      </c>
      <c r="U305" s="34">
        <v>46998</v>
      </c>
      <c r="V305" s="34">
        <v>1389</v>
      </c>
      <c r="W305" s="34">
        <v>60863</v>
      </c>
      <c r="X305" s="34">
        <v>0</v>
      </c>
      <c r="Y305" s="34">
        <v>758354</v>
      </c>
      <c r="Z305" s="34">
        <v>104063</v>
      </c>
      <c r="AA305" s="34">
        <v>654291</v>
      </c>
      <c r="AB305" s="34">
        <v>435281</v>
      </c>
      <c r="AC305" s="34">
        <v>219010</v>
      </c>
    </row>
    <row r="306" spans="1:29" x14ac:dyDescent="0.25">
      <c r="A306" s="31" t="s">
        <v>308</v>
      </c>
      <c r="B306" s="31" t="s">
        <v>730</v>
      </c>
      <c r="C306" s="31" t="s">
        <v>319</v>
      </c>
      <c r="D306" s="31" t="s">
        <v>700</v>
      </c>
      <c r="E306" s="32">
        <v>348.09</v>
      </c>
      <c r="F306" s="33">
        <v>2064.6</v>
      </c>
      <c r="G306" s="32">
        <v>2412.69</v>
      </c>
      <c r="H306" s="32">
        <v>5.59</v>
      </c>
      <c r="I306" s="34">
        <v>302</v>
      </c>
      <c r="J306" s="33">
        <v>4</v>
      </c>
      <c r="K306" s="34">
        <v>2363</v>
      </c>
      <c r="L306" s="32">
        <v>339.64</v>
      </c>
      <c r="M306" s="32">
        <v>63.69</v>
      </c>
      <c r="N306" s="32">
        <v>70.02</v>
      </c>
      <c r="O306" s="32">
        <v>34.159999999999997</v>
      </c>
      <c r="P306" s="32">
        <v>3.75</v>
      </c>
      <c r="Q306" s="34">
        <v>819446</v>
      </c>
      <c r="R306" s="34">
        <v>0</v>
      </c>
      <c r="S306" s="34">
        <v>819446</v>
      </c>
      <c r="T306" s="34">
        <v>60200</v>
      </c>
      <c r="U306" s="34">
        <v>66183</v>
      </c>
      <c r="V306" s="34">
        <v>1899</v>
      </c>
      <c r="W306" s="34">
        <v>82417</v>
      </c>
      <c r="X306" s="34">
        <v>0</v>
      </c>
      <c r="Y306" s="34">
        <v>1030145</v>
      </c>
      <c r="Z306" s="34">
        <v>142004</v>
      </c>
      <c r="AA306" s="34">
        <v>888141</v>
      </c>
      <c r="AB306" s="34">
        <v>593349</v>
      </c>
      <c r="AC306" s="34">
        <v>294792</v>
      </c>
    </row>
    <row r="307" spans="1:29" x14ac:dyDescent="0.25">
      <c r="A307" s="31" t="s">
        <v>308</v>
      </c>
      <c r="B307" s="31" t="s">
        <v>730</v>
      </c>
      <c r="C307" s="31" t="s">
        <v>320</v>
      </c>
      <c r="D307" s="31" t="s">
        <v>701</v>
      </c>
      <c r="E307" s="32">
        <v>352.4</v>
      </c>
      <c r="F307" s="33">
        <v>1824.3</v>
      </c>
      <c r="G307" s="32">
        <v>2176.6999999999998</v>
      </c>
      <c r="H307" s="32">
        <v>5.04</v>
      </c>
      <c r="I307" s="34">
        <v>97</v>
      </c>
      <c r="J307" s="33">
        <v>0</v>
      </c>
      <c r="K307" s="34">
        <v>1921</v>
      </c>
      <c r="L307" s="32">
        <v>339.64</v>
      </c>
      <c r="M307" s="32">
        <v>63.69</v>
      </c>
      <c r="N307" s="32">
        <v>70.02</v>
      </c>
      <c r="O307" s="32">
        <v>34.159999999999997</v>
      </c>
      <c r="P307" s="32">
        <v>3.75</v>
      </c>
      <c r="Q307" s="34">
        <v>739294</v>
      </c>
      <c r="R307" s="34">
        <v>0</v>
      </c>
      <c r="S307" s="34">
        <v>739294</v>
      </c>
      <c r="T307" s="34">
        <v>48939</v>
      </c>
      <c r="U307" s="34">
        <v>53803</v>
      </c>
      <c r="V307" s="34">
        <v>1712</v>
      </c>
      <c r="W307" s="34">
        <v>74356</v>
      </c>
      <c r="X307" s="34">
        <v>0</v>
      </c>
      <c r="Y307" s="34">
        <v>918104</v>
      </c>
      <c r="Z307" s="34">
        <v>128115</v>
      </c>
      <c r="AA307" s="34">
        <v>789989</v>
      </c>
      <c r="AB307" s="34">
        <v>535311</v>
      </c>
      <c r="AC307" s="34">
        <v>254678</v>
      </c>
    </row>
    <row r="308" spans="1:29" x14ac:dyDescent="0.25">
      <c r="A308" s="31" t="s">
        <v>308</v>
      </c>
      <c r="B308" s="31" t="s">
        <v>730</v>
      </c>
      <c r="C308" s="31" t="s">
        <v>321</v>
      </c>
      <c r="D308" s="31" t="s">
        <v>702</v>
      </c>
      <c r="E308" s="32">
        <v>46.91</v>
      </c>
      <c r="F308" s="33">
        <v>346.4</v>
      </c>
      <c r="G308" s="32">
        <v>393.31</v>
      </c>
      <c r="H308" s="32">
        <v>0.91</v>
      </c>
      <c r="I308" s="34">
        <v>2</v>
      </c>
      <c r="J308" s="33">
        <v>0</v>
      </c>
      <c r="K308" s="34">
        <v>348</v>
      </c>
      <c r="L308" s="32">
        <v>339.64</v>
      </c>
      <c r="M308" s="32">
        <v>63.69</v>
      </c>
      <c r="N308" s="32">
        <v>70.02</v>
      </c>
      <c r="O308" s="32">
        <v>34.159999999999997</v>
      </c>
      <c r="P308" s="32">
        <v>3.75</v>
      </c>
      <c r="Q308" s="34">
        <v>133584</v>
      </c>
      <c r="R308" s="34">
        <v>0</v>
      </c>
      <c r="S308" s="34">
        <v>133584</v>
      </c>
      <c r="T308" s="34">
        <v>8866</v>
      </c>
      <c r="U308" s="34">
        <v>9747</v>
      </c>
      <c r="V308" s="34">
        <v>309</v>
      </c>
      <c r="W308" s="34">
        <v>13435</v>
      </c>
      <c r="X308" s="34">
        <v>0</v>
      </c>
      <c r="Y308" s="34">
        <v>165941</v>
      </c>
      <c r="Z308" s="34">
        <v>23149</v>
      </c>
      <c r="AA308" s="34">
        <v>142792</v>
      </c>
      <c r="AB308" s="34">
        <v>96725</v>
      </c>
      <c r="AC308" s="34">
        <v>46067</v>
      </c>
    </row>
    <row r="309" spans="1:29" x14ac:dyDescent="0.25">
      <c r="A309" s="31" t="s">
        <v>308</v>
      </c>
      <c r="B309" s="31" t="s">
        <v>730</v>
      </c>
      <c r="C309" s="31" t="s">
        <v>322</v>
      </c>
      <c r="D309" s="31" t="s">
        <v>703</v>
      </c>
      <c r="E309" s="32">
        <v>89.69</v>
      </c>
      <c r="F309" s="33">
        <v>885.9</v>
      </c>
      <c r="G309" s="32">
        <v>975.59</v>
      </c>
      <c r="H309" s="32">
        <v>2.2599999999999998</v>
      </c>
      <c r="I309" s="34">
        <v>1</v>
      </c>
      <c r="J309" s="33">
        <v>0</v>
      </c>
      <c r="K309" s="34">
        <v>887</v>
      </c>
      <c r="L309" s="32">
        <v>339.64</v>
      </c>
      <c r="M309" s="32">
        <v>63.69</v>
      </c>
      <c r="N309" s="32">
        <v>70.02</v>
      </c>
      <c r="O309" s="32">
        <v>34.159999999999997</v>
      </c>
      <c r="P309" s="32">
        <v>3.75</v>
      </c>
      <c r="Q309" s="34">
        <v>331349</v>
      </c>
      <c r="R309" s="34">
        <v>0</v>
      </c>
      <c r="S309" s="34">
        <v>331349</v>
      </c>
      <c r="T309" s="34">
        <v>22597</v>
      </c>
      <c r="U309" s="34">
        <v>24843</v>
      </c>
      <c r="V309" s="34">
        <v>768</v>
      </c>
      <c r="W309" s="34">
        <v>33326</v>
      </c>
      <c r="X309" s="34">
        <v>0</v>
      </c>
      <c r="Y309" s="34">
        <v>412883</v>
      </c>
      <c r="Z309" s="34">
        <v>57421</v>
      </c>
      <c r="AA309" s="34">
        <v>355462</v>
      </c>
      <c r="AB309" s="34">
        <v>239925</v>
      </c>
      <c r="AC309" s="34">
        <v>115537</v>
      </c>
    </row>
    <row r="310" spans="1:29" x14ac:dyDescent="0.25">
      <c r="A310" s="31" t="s">
        <v>308</v>
      </c>
      <c r="B310" s="31" t="s">
        <v>730</v>
      </c>
      <c r="C310" s="31" t="s">
        <v>323</v>
      </c>
      <c r="D310" s="31" t="s">
        <v>704</v>
      </c>
      <c r="E310" s="32">
        <v>41.98</v>
      </c>
      <c r="F310" s="33">
        <v>319.89999999999998</v>
      </c>
      <c r="G310" s="32">
        <v>361.88</v>
      </c>
      <c r="H310" s="32">
        <v>0.84</v>
      </c>
      <c r="I310" s="34">
        <v>0</v>
      </c>
      <c r="J310" s="33">
        <v>0</v>
      </c>
      <c r="K310" s="34">
        <v>320</v>
      </c>
      <c r="L310" s="32">
        <v>339.64</v>
      </c>
      <c r="M310" s="32">
        <v>63.69</v>
      </c>
      <c r="N310" s="32">
        <v>70.02</v>
      </c>
      <c r="O310" s="32">
        <v>34.159999999999997</v>
      </c>
      <c r="P310" s="32">
        <v>3.75</v>
      </c>
      <c r="Q310" s="34">
        <v>122909</v>
      </c>
      <c r="R310" s="34">
        <v>5655</v>
      </c>
      <c r="S310" s="34">
        <v>128564</v>
      </c>
      <c r="T310" s="34">
        <v>8152</v>
      </c>
      <c r="U310" s="34">
        <v>8962</v>
      </c>
      <c r="V310" s="34">
        <v>285</v>
      </c>
      <c r="W310" s="34">
        <v>12922</v>
      </c>
      <c r="X310" s="34">
        <v>0</v>
      </c>
      <c r="Y310" s="34">
        <v>158885</v>
      </c>
      <c r="Z310" s="34">
        <v>21299</v>
      </c>
      <c r="AA310" s="34">
        <v>137586</v>
      </c>
      <c r="AB310" s="34">
        <v>89557</v>
      </c>
      <c r="AC310" s="34">
        <v>48029</v>
      </c>
    </row>
    <row r="311" spans="1:29" x14ac:dyDescent="0.25">
      <c r="A311" s="31" t="s">
        <v>308</v>
      </c>
      <c r="B311" s="31" t="s">
        <v>730</v>
      </c>
      <c r="C311" s="31" t="s">
        <v>324</v>
      </c>
      <c r="D311" s="31" t="s">
        <v>705</v>
      </c>
      <c r="E311" s="32">
        <v>25.36</v>
      </c>
      <c r="F311" s="33">
        <v>199</v>
      </c>
      <c r="G311" s="32">
        <v>224.36</v>
      </c>
      <c r="H311" s="32">
        <v>0.52</v>
      </c>
      <c r="I311" s="34">
        <v>0</v>
      </c>
      <c r="J311" s="33">
        <v>0</v>
      </c>
      <c r="K311" s="34">
        <v>199</v>
      </c>
      <c r="L311" s="32">
        <v>339.64</v>
      </c>
      <c r="M311" s="32">
        <v>63.69</v>
      </c>
      <c r="N311" s="32">
        <v>70.02</v>
      </c>
      <c r="O311" s="32">
        <v>34.159999999999997</v>
      </c>
      <c r="P311" s="32">
        <v>3.75</v>
      </c>
      <c r="Q311" s="34">
        <v>76202</v>
      </c>
      <c r="R311" s="34">
        <v>0</v>
      </c>
      <c r="S311" s="34">
        <v>76202</v>
      </c>
      <c r="T311" s="34">
        <v>5070</v>
      </c>
      <c r="U311" s="34">
        <v>5574</v>
      </c>
      <c r="V311" s="34">
        <v>177</v>
      </c>
      <c r="W311" s="34">
        <v>7664</v>
      </c>
      <c r="X311" s="34">
        <v>0</v>
      </c>
      <c r="Y311" s="34">
        <v>94687</v>
      </c>
      <c r="Z311" s="34">
        <v>13205</v>
      </c>
      <c r="AA311" s="34">
        <v>81482</v>
      </c>
      <c r="AB311" s="34">
        <v>55177</v>
      </c>
      <c r="AC311" s="34">
        <v>26305</v>
      </c>
    </row>
    <row r="312" spans="1:29" x14ac:dyDescent="0.25">
      <c r="A312" s="31" t="s">
        <v>308</v>
      </c>
      <c r="B312" s="31" t="s">
        <v>730</v>
      </c>
      <c r="C312" s="31" t="s">
        <v>325</v>
      </c>
      <c r="D312" s="31" t="s">
        <v>706</v>
      </c>
      <c r="E312" s="32">
        <v>20.170000000000002</v>
      </c>
      <c r="F312" s="33">
        <v>194.6</v>
      </c>
      <c r="G312" s="32">
        <v>214.77</v>
      </c>
      <c r="H312" s="32">
        <v>0.5</v>
      </c>
      <c r="I312" s="34">
        <v>0</v>
      </c>
      <c r="J312" s="33">
        <v>0</v>
      </c>
      <c r="K312" s="34">
        <v>195</v>
      </c>
      <c r="L312" s="32">
        <v>339.64</v>
      </c>
      <c r="M312" s="32">
        <v>63.69</v>
      </c>
      <c r="N312" s="32">
        <v>70.02</v>
      </c>
      <c r="O312" s="32">
        <v>34.159999999999997</v>
      </c>
      <c r="P312" s="32">
        <v>3.75</v>
      </c>
      <c r="Q312" s="34">
        <v>72944</v>
      </c>
      <c r="R312" s="34">
        <v>1203</v>
      </c>
      <c r="S312" s="34">
        <v>74147</v>
      </c>
      <c r="T312" s="34">
        <v>4968</v>
      </c>
      <c r="U312" s="34">
        <v>5462</v>
      </c>
      <c r="V312" s="34">
        <v>170</v>
      </c>
      <c r="W312" s="34">
        <v>7337</v>
      </c>
      <c r="X312" s="34">
        <v>0</v>
      </c>
      <c r="Y312" s="34">
        <v>92084</v>
      </c>
      <c r="Z312" s="34">
        <v>12640</v>
      </c>
      <c r="AA312" s="34">
        <v>79444</v>
      </c>
      <c r="AB312" s="34">
        <v>52820</v>
      </c>
      <c r="AC312" s="34">
        <v>26624</v>
      </c>
    </row>
    <row r="313" spans="1:29" x14ac:dyDescent="0.25">
      <c r="A313" s="31" t="s">
        <v>308</v>
      </c>
      <c r="B313" s="31" t="s">
        <v>730</v>
      </c>
      <c r="C313" s="31" t="s">
        <v>326</v>
      </c>
      <c r="D313" s="31" t="s">
        <v>707</v>
      </c>
      <c r="E313" s="32">
        <v>236.16</v>
      </c>
      <c r="F313" s="33">
        <v>1733.3</v>
      </c>
      <c r="G313" s="32">
        <v>1969.46</v>
      </c>
      <c r="H313" s="32">
        <v>4.5599999999999996</v>
      </c>
      <c r="I313" s="34">
        <v>8</v>
      </c>
      <c r="J313" s="33">
        <v>0</v>
      </c>
      <c r="K313" s="34">
        <v>1741</v>
      </c>
      <c r="L313" s="32">
        <v>339.64</v>
      </c>
      <c r="M313" s="32">
        <v>63.69</v>
      </c>
      <c r="N313" s="32">
        <v>70.02</v>
      </c>
      <c r="O313" s="32">
        <v>34.159999999999997</v>
      </c>
      <c r="P313" s="32">
        <v>3.75</v>
      </c>
      <c r="Q313" s="34">
        <v>668907</v>
      </c>
      <c r="R313" s="34">
        <v>8217</v>
      </c>
      <c r="S313" s="34">
        <v>677124</v>
      </c>
      <c r="T313" s="34">
        <v>44354</v>
      </c>
      <c r="U313" s="34">
        <v>48762</v>
      </c>
      <c r="V313" s="34">
        <v>1549</v>
      </c>
      <c r="W313" s="34">
        <v>68060</v>
      </c>
      <c r="X313" s="34">
        <v>0</v>
      </c>
      <c r="Y313" s="34">
        <v>839849</v>
      </c>
      <c r="Z313" s="34">
        <v>115917</v>
      </c>
      <c r="AA313" s="34">
        <v>723932</v>
      </c>
      <c r="AB313" s="34">
        <v>485128</v>
      </c>
      <c r="AC313" s="34">
        <v>238804</v>
      </c>
    </row>
    <row r="314" spans="1:29" x14ac:dyDescent="0.25">
      <c r="A314" s="31" t="s">
        <v>308</v>
      </c>
      <c r="B314" s="31" t="s">
        <v>730</v>
      </c>
      <c r="C314" s="31" t="s">
        <v>327</v>
      </c>
      <c r="D314" s="31" t="s">
        <v>708</v>
      </c>
      <c r="E314" s="32">
        <v>62.2</v>
      </c>
      <c r="F314" s="33">
        <v>533.1</v>
      </c>
      <c r="G314" s="32">
        <v>595.29999999999995</v>
      </c>
      <c r="H314" s="32">
        <v>1.38</v>
      </c>
      <c r="I314" s="34">
        <v>3</v>
      </c>
      <c r="J314" s="33">
        <v>0</v>
      </c>
      <c r="K314" s="34">
        <v>536</v>
      </c>
      <c r="L314" s="32">
        <v>339.64</v>
      </c>
      <c r="M314" s="32">
        <v>63.69</v>
      </c>
      <c r="N314" s="32">
        <v>70.02</v>
      </c>
      <c r="O314" s="32">
        <v>34.159999999999997</v>
      </c>
      <c r="P314" s="32">
        <v>3.75</v>
      </c>
      <c r="Q314" s="34">
        <v>202188</v>
      </c>
      <c r="R314" s="34">
        <v>0</v>
      </c>
      <c r="S314" s="34">
        <v>202188</v>
      </c>
      <c r="T314" s="34">
        <v>13655</v>
      </c>
      <c r="U314" s="34">
        <v>15012</v>
      </c>
      <c r="V314" s="34">
        <v>469</v>
      </c>
      <c r="W314" s="34">
        <v>20335</v>
      </c>
      <c r="X314" s="34">
        <v>0</v>
      </c>
      <c r="Y314" s="34">
        <v>251659</v>
      </c>
      <c r="Z314" s="34">
        <v>35038</v>
      </c>
      <c r="AA314" s="34">
        <v>216621</v>
      </c>
      <c r="AB314" s="34">
        <v>146401</v>
      </c>
      <c r="AC314" s="34">
        <v>70220</v>
      </c>
    </row>
    <row r="315" spans="1:29" x14ac:dyDescent="0.25">
      <c r="A315" s="31" t="s">
        <v>308</v>
      </c>
      <c r="B315" s="31" t="s">
        <v>730</v>
      </c>
      <c r="C315" s="31" t="s">
        <v>328</v>
      </c>
      <c r="D315" s="31" t="s">
        <v>709</v>
      </c>
      <c r="E315" s="32">
        <v>63.61</v>
      </c>
      <c r="F315" s="33">
        <v>471.5</v>
      </c>
      <c r="G315" s="32">
        <v>535.11</v>
      </c>
      <c r="H315" s="32">
        <v>1.24</v>
      </c>
      <c r="I315" s="34">
        <v>30</v>
      </c>
      <c r="J315" s="33">
        <v>0</v>
      </c>
      <c r="K315" s="34">
        <v>502</v>
      </c>
      <c r="L315" s="32">
        <v>339.64</v>
      </c>
      <c r="M315" s="32">
        <v>63.69</v>
      </c>
      <c r="N315" s="32">
        <v>70.02</v>
      </c>
      <c r="O315" s="32">
        <v>34.159999999999997</v>
      </c>
      <c r="P315" s="32">
        <v>3.75</v>
      </c>
      <c r="Q315" s="34">
        <v>181745</v>
      </c>
      <c r="R315" s="34">
        <v>4909</v>
      </c>
      <c r="S315" s="34">
        <v>186654</v>
      </c>
      <c r="T315" s="34">
        <v>12789</v>
      </c>
      <c r="U315" s="34">
        <v>14060</v>
      </c>
      <c r="V315" s="34">
        <v>421</v>
      </c>
      <c r="W315" s="34">
        <v>18761</v>
      </c>
      <c r="X315" s="34">
        <v>0</v>
      </c>
      <c r="Y315" s="34">
        <v>232685</v>
      </c>
      <c r="Z315" s="34">
        <v>31495</v>
      </c>
      <c r="AA315" s="34">
        <v>201190</v>
      </c>
      <c r="AB315" s="34">
        <v>132081</v>
      </c>
      <c r="AC315" s="34">
        <v>69109</v>
      </c>
    </row>
    <row r="316" spans="1:29" x14ac:dyDescent="0.25">
      <c r="A316" s="31" t="s">
        <v>308</v>
      </c>
      <c r="B316" s="31" t="s">
        <v>730</v>
      </c>
      <c r="C316" s="31" t="s">
        <v>329</v>
      </c>
      <c r="D316" s="31" t="s">
        <v>710</v>
      </c>
      <c r="E316" s="32">
        <v>257.36</v>
      </c>
      <c r="F316" s="33">
        <v>2221.8000000000002</v>
      </c>
      <c r="G316" s="32">
        <v>2479.16</v>
      </c>
      <c r="H316" s="32">
        <v>5.74</v>
      </c>
      <c r="I316" s="34">
        <v>187</v>
      </c>
      <c r="J316" s="33">
        <v>0.2</v>
      </c>
      <c r="K316" s="34">
        <v>2409</v>
      </c>
      <c r="L316" s="32">
        <v>339.64</v>
      </c>
      <c r="M316" s="32">
        <v>63.69</v>
      </c>
      <c r="N316" s="32">
        <v>70.02</v>
      </c>
      <c r="O316" s="32">
        <v>34.159999999999997</v>
      </c>
      <c r="P316" s="32">
        <v>3.75</v>
      </c>
      <c r="Q316" s="34">
        <v>842022</v>
      </c>
      <c r="R316" s="34">
        <v>0</v>
      </c>
      <c r="S316" s="34">
        <v>842022</v>
      </c>
      <c r="T316" s="34">
        <v>61372</v>
      </c>
      <c r="U316" s="34">
        <v>67471</v>
      </c>
      <c r="V316" s="34">
        <v>1950</v>
      </c>
      <c r="W316" s="34">
        <v>84688</v>
      </c>
      <c r="X316" s="34">
        <v>0</v>
      </c>
      <c r="Y316" s="34">
        <v>1057503</v>
      </c>
      <c r="Z316" s="34">
        <v>145916</v>
      </c>
      <c r="AA316" s="34">
        <v>911587</v>
      </c>
      <c r="AB316" s="34">
        <v>609695</v>
      </c>
      <c r="AC316" s="34">
        <v>301892</v>
      </c>
    </row>
    <row r="317" spans="1:29" x14ac:dyDescent="0.25">
      <c r="A317" s="31" t="s">
        <v>308</v>
      </c>
      <c r="B317" s="31" t="s">
        <v>730</v>
      </c>
      <c r="C317" s="31" t="s">
        <v>330</v>
      </c>
      <c r="D317" s="31" t="s">
        <v>711</v>
      </c>
      <c r="E317" s="32">
        <v>669.56</v>
      </c>
      <c r="F317" s="33">
        <v>5113.3999999999996</v>
      </c>
      <c r="G317" s="32">
        <v>5782.96</v>
      </c>
      <c r="H317" s="32">
        <v>13.36</v>
      </c>
      <c r="I317" s="34">
        <v>138</v>
      </c>
      <c r="J317" s="33">
        <v>1.8</v>
      </c>
      <c r="K317" s="34">
        <v>5250</v>
      </c>
      <c r="L317" s="32">
        <v>339.64</v>
      </c>
      <c r="M317" s="32">
        <v>63.69</v>
      </c>
      <c r="N317" s="32">
        <v>70.02</v>
      </c>
      <c r="O317" s="32">
        <v>34.159999999999997</v>
      </c>
      <c r="P317" s="32">
        <v>3.75</v>
      </c>
      <c r="Q317" s="34">
        <v>1964125</v>
      </c>
      <c r="R317" s="34">
        <v>0</v>
      </c>
      <c r="S317" s="34">
        <v>1964125</v>
      </c>
      <c r="T317" s="34">
        <v>133749</v>
      </c>
      <c r="U317" s="34">
        <v>147042</v>
      </c>
      <c r="V317" s="34">
        <v>4538</v>
      </c>
      <c r="W317" s="34">
        <v>197546</v>
      </c>
      <c r="X317" s="34">
        <v>0</v>
      </c>
      <c r="Y317" s="34">
        <v>2447000</v>
      </c>
      <c r="Z317" s="34">
        <v>340369</v>
      </c>
      <c r="AA317" s="34">
        <v>2106631</v>
      </c>
      <c r="AB317" s="34">
        <v>1422183</v>
      </c>
      <c r="AC317" s="34">
        <v>684448</v>
      </c>
    </row>
    <row r="318" spans="1:29" x14ac:dyDescent="0.25">
      <c r="A318" s="31" t="s">
        <v>308</v>
      </c>
      <c r="B318" s="31" t="s">
        <v>730</v>
      </c>
      <c r="C318" s="31" t="s">
        <v>331</v>
      </c>
      <c r="D318" s="31" t="s">
        <v>712</v>
      </c>
      <c r="E318" s="32">
        <v>57.37</v>
      </c>
      <c r="F318" s="33">
        <v>530.70000000000005</v>
      </c>
      <c r="G318" s="32">
        <v>588.07000000000005</v>
      </c>
      <c r="H318" s="32">
        <v>1.36</v>
      </c>
      <c r="I318" s="34">
        <v>0</v>
      </c>
      <c r="J318" s="33">
        <v>0</v>
      </c>
      <c r="K318" s="34">
        <v>531</v>
      </c>
      <c r="L318" s="32">
        <v>339.64</v>
      </c>
      <c r="M318" s="32">
        <v>63.69</v>
      </c>
      <c r="N318" s="32">
        <v>70.02</v>
      </c>
      <c r="O318" s="32">
        <v>34.159999999999997</v>
      </c>
      <c r="P318" s="32">
        <v>3.75</v>
      </c>
      <c r="Q318" s="34">
        <v>199732</v>
      </c>
      <c r="R318" s="34">
        <v>9998</v>
      </c>
      <c r="S318" s="34">
        <v>209730</v>
      </c>
      <c r="T318" s="34">
        <v>13528</v>
      </c>
      <c r="U318" s="34">
        <v>14872</v>
      </c>
      <c r="V318" s="34">
        <v>462</v>
      </c>
      <c r="W318" s="34">
        <v>20462</v>
      </c>
      <c r="X318" s="34">
        <v>0</v>
      </c>
      <c r="Y318" s="34">
        <v>259054</v>
      </c>
      <c r="Z318" s="34">
        <v>34612</v>
      </c>
      <c r="AA318" s="34">
        <v>224442</v>
      </c>
      <c r="AB318" s="34">
        <v>144996</v>
      </c>
      <c r="AC318" s="34">
        <v>79446</v>
      </c>
    </row>
    <row r="319" spans="1:29" x14ac:dyDescent="0.25">
      <c r="A319" s="31" t="s">
        <v>308</v>
      </c>
      <c r="B319" s="31" t="s">
        <v>730</v>
      </c>
      <c r="C319" s="31" t="s">
        <v>332</v>
      </c>
      <c r="D319" s="31" t="s">
        <v>713</v>
      </c>
      <c r="E319" s="32">
        <v>20.57</v>
      </c>
      <c r="F319" s="33">
        <v>233.2</v>
      </c>
      <c r="G319" s="32">
        <v>253.77</v>
      </c>
      <c r="H319" s="32">
        <v>0.59</v>
      </c>
      <c r="I319" s="34">
        <v>0</v>
      </c>
      <c r="J319" s="33">
        <v>0</v>
      </c>
      <c r="K319" s="34">
        <v>233</v>
      </c>
      <c r="L319" s="32">
        <v>339.64</v>
      </c>
      <c r="M319" s="32">
        <v>63.69</v>
      </c>
      <c r="N319" s="32">
        <v>70.02</v>
      </c>
      <c r="O319" s="32">
        <v>34.159999999999997</v>
      </c>
      <c r="P319" s="32">
        <v>3.75</v>
      </c>
      <c r="Q319" s="34">
        <v>86190</v>
      </c>
      <c r="R319" s="34">
        <v>6709</v>
      </c>
      <c r="S319" s="34">
        <v>92899</v>
      </c>
      <c r="T319" s="34">
        <v>5936</v>
      </c>
      <c r="U319" s="34">
        <v>6526</v>
      </c>
      <c r="V319" s="34">
        <v>200</v>
      </c>
      <c r="W319" s="34">
        <v>8669</v>
      </c>
      <c r="X319" s="34">
        <v>0</v>
      </c>
      <c r="Y319" s="34">
        <v>114230</v>
      </c>
      <c r="Z319" s="34">
        <v>14937</v>
      </c>
      <c r="AA319" s="34">
        <v>99293</v>
      </c>
      <c r="AB319" s="34">
        <v>62409</v>
      </c>
      <c r="AC319" s="34">
        <v>36884</v>
      </c>
    </row>
    <row r="320" spans="1:29" x14ac:dyDescent="0.25">
      <c r="A320" s="31" t="s">
        <v>308</v>
      </c>
      <c r="B320" s="31" t="s">
        <v>730</v>
      </c>
      <c r="C320" s="31" t="s">
        <v>333</v>
      </c>
      <c r="D320" s="31" t="s">
        <v>714</v>
      </c>
      <c r="E320" s="32">
        <v>62.52</v>
      </c>
      <c r="F320" s="33">
        <v>564.29999999999995</v>
      </c>
      <c r="G320" s="32">
        <v>626.82000000000005</v>
      </c>
      <c r="H320" s="32">
        <v>1.45</v>
      </c>
      <c r="I320" s="34">
        <v>1</v>
      </c>
      <c r="J320" s="33">
        <v>0</v>
      </c>
      <c r="K320" s="34">
        <v>565</v>
      </c>
      <c r="L320" s="32">
        <v>339.64</v>
      </c>
      <c r="M320" s="32">
        <v>63.69</v>
      </c>
      <c r="N320" s="32">
        <v>70.02</v>
      </c>
      <c r="O320" s="32">
        <v>34.159999999999997</v>
      </c>
      <c r="P320" s="32">
        <v>3.75</v>
      </c>
      <c r="Q320" s="34">
        <v>212893</v>
      </c>
      <c r="R320" s="34">
        <v>0</v>
      </c>
      <c r="S320" s="34">
        <v>212893</v>
      </c>
      <c r="T320" s="34">
        <v>14394</v>
      </c>
      <c r="U320" s="34">
        <v>15824</v>
      </c>
      <c r="V320" s="34">
        <v>492</v>
      </c>
      <c r="W320" s="34">
        <v>21412</v>
      </c>
      <c r="X320" s="34">
        <v>0</v>
      </c>
      <c r="Y320" s="34">
        <v>265015</v>
      </c>
      <c r="Z320" s="34">
        <v>36893</v>
      </c>
      <c r="AA320" s="34">
        <v>228122</v>
      </c>
      <c r="AB320" s="34">
        <v>154152</v>
      </c>
      <c r="AC320" s="34">
        <v>73970</v>
      </c>
    </row>
    <row r="321" spans="1:29" x14ac:dyDescent="0.25">
      <c r="A321" s="31" t="s">
        <v>308</v>
      </c>
      <c r="B321" s="31" t="s">
        <v>730</v>
      </c>
      <c r="C321" s="31" t="s">
        <v>334</v>
      </c>
      <c r="D321" s="31" t="s">
        <v>715</v>
      </c>
      <c r="E321" s="32">
        <v>32.5</v>
      </c>
      <c r="F321" s="33">
        <v>256.8</v>
      </c>
      <c r="G321" s="32">
        <v>289.3</v>
      </c>
      <c r="H321" s="32">
        <v>0.67</v>
      </c>
      <c r="I321" s="34">
        <v>6</v>
      </c>
      <c r="J321" s="33">
        <v>0</v>
      </c>
      <c r="K321" s="34">
        <v>263</v>
      </c>
      <c r="L321" s="32">
        <v>339.64</v>
      </c>
      <c r="M321" s="32">
        <v>63.69</v>
      </c>
      <c r="N321" s="32">
        <v>70.02</v>
      </c>
      <c r="O321" s="32">
        <v>34.159999999999997</v>
      </c>
      <c r="P321" s="32">
        <v>3.75</v>
      </c>
      <c r="Q321" s="34">
        <v>98258</v>
      </c>
      <c r="R321" s="34">
        <v>269</v>
      </c>
      <c r="S321" s="34">
        <v>98527</v>
      </c>
      <c r="T321" s="34">
        <v>6700</v>
      </c>
      <c r="U321" s="34">
        <v>7366</v>
      </c>
      <c r="V321" s="34">
        <v>228</v>
      </c>
      <c r="W321" s="34">
        <v>9882</v>
      </c>
      <c r="X321" s="34">
        <v>0</v>
      </c>
      <c r="Y321" s="34">
        <v>122703</v>
      </c>
      <c r="Z321" s="34">
        <v>17027</v>
      </c>
      <c r="AA321" s="34">
        <v>105676</v>
      </c>
      <c r="AB321" s="34">
        <v>71147</v>
      </c>
      <c r="AC321" s="34">
        <v>34529</v>
      </c>
    </row>
    <row r="322" spans="1:29" x14ac:dyDescent="0.25">
      <c r="A322" s="31" t="s">
        <v>308</v>
      </c>
      <c r="B322" s="31" t="s">
        <v>730</v>
      </c>
      <c r="C322" s="31" t="s">
        <v>335</v>
      </c>
      <c r="D322" s="31" t="s">
        <v>731</v>
      </c>
      <c r="E322" s="32">
        <v>131.69999999999999</v>
      </c>
      <c r="F322" s="33">
        <v>959.7</v>
      </c>
      <c r="G322" s="32">
        <v>1091.4000000000001</v>
      </c>
      <c r="H322" s="32">
        <v>2.5299999999999998</v>
      </c>
      <c r="I322" s="34">
        <v>4</v>
      </c>
      <c r="J322" s="33">
        <v>0</v>
      </c>
      <c r="K322" s="34">
        <v>964</v>
      </c>
      <c r="L322" s="32">
        <v>339.64</v>
      </c>
      <c r="M322" s="32">
        <v>63.69</v>
      </c>
      <c r="N322" s="32">
        <v>70.02</v>
      </c>
      <c r="O322" s="32">
        <v>34.159999999999997</v>
      </c>
      <c r="P322" s="32">
        <v>3.75</v>
      </c>
      <c r="Q322" s="34">
        <v>370683</v>
      </c>
      <c r="R322" s="34">
        <v>0</v>
      </c>
      <c r="S322" s="34">
        <v>370683</v>
      </c>
      <c r="T322" s="34">
        <v>24559</v>
      </c>
      <c r="U322" s="34">
        <v>27000</v>
      </c>
      <c r="V322" s="34">
        <v>859</v>
      </c>
      <c r="W322" s="34">
        <v>37282</v>
      </c>
      <c r="X322" s="34">
        <v>0</v>
      </c>
      <c r="Y322" s="34">
        <v>460383</v>
      </c>
      <c r="Z322" s="34">
        <v>64237</v>
      </c>
      <c r="AA322" s="34">
        <v>396146</v>
      </c>
      <c r="AB322" s="34">
        <v>268406</v>
      </c>
      <c r="AC322" s="34">
        <v>127740</v>
      </c>
    </row>
    <row r="323" spans="1:29" x14ac:dyDescent="0.25">
      <c r="A323" s="31" t="s">
        <v>308</v>
      </c>
      <c r="B323" s="31" t="s">
        <v>730</v>
      </c>
      <c r="C323" s="31" t="s">
        <v>336</v>
      </c>
      <c r="D323" s="31" t="s">
        <v>716</v>
      </c>
      <c r="E323" s="32">
        <v>68.459999999999994</v>
      </c>
      <c r="F323" s="33">
        <v>459.6</v>
      </c>
      <c r="G323" s="32">
        <v>528.05999999999995</v>
      </c>
      <c r="H323" s="32">
        <v>1.22</v>
      </c>
      <c r="I323" s="34">
        <v>2</v>
      </c>
      <c r="J323" s="33">
        <v>0</v>
      </c>
      <c r="K323" s="34">
        <v>462</v>
      </c>
      <c r="L323" s="32">
        <v>339.64</v>
      </c>
      <c r="M323" s="32">
        <v>63.69</v>
      </c>
      <c r="N323" s="32">
        <v>70.02</v>
      </c>
      <c r="O323" s="32">
        <v>34.159999999999997</v>
      </c>
      <c r="P323" s="32">
        <v>3.75</v>
      </c>
      <c r="Q323" s="34">
        <v>179350</v>
      </c>
      <c r="R323" s="34">
        <v>6715</v>
      </c>
      <c r="S323" s="34">
        <v>186065</v>
      </c>
      <c r="T323" s="34">
        <v>11770</v>
      </c>
      <c r="U323" s="34">
        <v>12940</v>
      </c>
      <c r="V323" s="34">
        <v>414</v>
      </c>
      <c r="W323" s="34">
        <v>18702</v>
      </c>
      <c r="X323" s="34">
        <v>0</v>
      </c>
      <c r="Y323" s="34">
        <v>229891</v>
      </c>
      <c r="Z323" s="34">
        <v>31080</v>
      </c>
      <c r="AA323" s="34">
        <v>198811</v>
      </c>
      <c r="AB323" s="34">
        <v>130528</v>
      </c>
      <c r="AC323" s="34">
        <v>68283</v>
      </c>
    </row>
    <row r="324" spans="1:29" x14ac:dyDescent="0.25">
      <c r="A324" s="31" t="s">
        <v>308</v>
      </c>
      <c r="B324" s="31" t="s">
        <v>730</v>
      </c>
      <c r="C324" s="31" t="s">
        <v>337</v>
      </c>
      <c r="D324" s="31" t="s">
        <v>717</v>
      </c>
      <c r="E324" s="32">
        <v>72.319999999999993</v>
      </c>
      <c r="F324" s="33">
        <v>506.8</v>
      </c>
      <c r="G324" s="32">
        <v>579.12</v>
      </c>
      <c r="H324" s="32">
        <v>1.34</v>
      </c>
      <c r="I324" s="34">
        <v>1</v>
      </c>
      <c r="J324" s="33">
        <v>0</v>
      </c>
      <c r="K324" s="34">
        <v>508</v>
      </c>
      <c r="L324" s="32">
        <v>339.64</v>
      </c>
      <c r="M324" s="32">
        <v>63.69</v>
      </c>
      <c r="N324" s="32">
        <v>70.02</v>
      </c>
      <c r="O324" s="32">
        <v>34.159999999999997</v>
      </c>
      <c r="P324" s="32">
        <v>3.75</v>
      </c>
      <c r="Q324" s="34">
        <v>196692</v>
      </c>
      <c r="R324" s="34">
        <v>32314</v>
      </c>
      <c r="S324" s="34">
        <v>229006</v>
      </c>
      <c r="T324" s="34">
        <v>12942</v>
      </c>
      <c r="U324" s="34">
        <v>14228</v>
      </c>
      <c r="V324" s="34">
        <v>455</v>
      </c>
      <c r="W324" s="34">
        <v>20264</v>
      </c>
      <c r="X324" s="34">
        <v>0</v>
      </c>
      <c r="Y324" s="34">
        <v>276895</v>
      </c>
      <c r="Z324" s="34">
        <v>34086</v>
      </c>
      <c r="AA324" s="34">
        <v>242809</v>
      </c>
      <c r="AB324" s="34">
        <v>142902</v>
      </c>
      <c r="AC324" s="34">
        <v>99907</v>
      </c>
    </row>
    <row r="325" spans="1:29" x14ac:dyDescent="0.25">
      <c r="A325" s="31" t="s">
        <v>308</v>
      </c>
      <c r="B325" s="31" t="s">
        <v>730</v>
      </c>
      <c r="C325" s="31" t="s">
        <v>338</v>
      </c>
      <c r="D325" s="31" t="s">
        <v>718</v>
      </c>
      <c r="E325" s="32">
        <v>93.95</v>
      </c>
      <c r="F325" s="33">
        <v>570.79999999999995</v>
      </c>
      <c r="G325" s="32">
        <v>664.75</v>
      </c>
      <c r="H325" s="32">
        <v>1.54</v>
      </c>
      <c r="I325" s="34">
        <v>0</v>
      </c>
      <c r="J325" s="33">
        <v>0</v>
      </c>
      <c r="K325" s="34">
        <v>571</v>
      </c>
      <c r="L325" s="32">
        <v>339.64</v>
      </c>
      <c r="M325" s="32">
        <v>63.69</v>
      </c>
      <c r="N325" s="32">
        <v>70.02</v>
      </c>
      <c r="O325" s="32">
        <v>34.159999999999997</v>
      </c>
      <c r="P325" s="32">
        <v>3.75</v>
      </c>
      <c r="Q325" s="34">
        <v>225776</v>
      </c>
      <c r="R325" s="34">
        <v>0</v>
      </c>
      <c r="S325" s="34">
        <v>225776</v>
      </c>
      <c r="T325" s="34">
        <v>14547</v>
      </c>
      <c r="U325" s="34">
        <v>15992</v>
      </c>
      <c r="V325" s="34">
        <v>523</v>
      </c>
      <c r="W325" s="34">
        <v>22708</v>
      </c>
      <c r="X325" s="34">
        <v>0</v>
      </c>
      <c r="Y325" s="34">
        <v>279546</v>
      </c>
      <c r="Z325" s="34">
        <v>39126</v>
      </c>
      <c r="AA325" s="34">
        <v>240420</v>
      </c>
      <c r="AB325" s="34">
        <v>163480</v>
      </c>
      <c r="AC325" s="34">
        <v>76940</v>
      </c>
    </row>
    <row r="326" spans="1:29" x14ac:dyDescent="0.25">
      <c r="A326" s="31" t="s">
        <v>308</v>
      </c>
      <c r="B326" s="31" t="s">
        <v>730</v>
      </c>
      <c r="C326" s="31" t="s">
        <v>339</v>
      </c>
      <c r="D326" s="31" t="s">
        <v>719</v>
      </c>
      <c r="E326" s="32">
        <v>50.27</v>
      </c>
      <c r="F326" s="33">
        <v>384</v>
      </c>
      <c r="G326" s="32">
        <v>434.27</v>
      </c>
      <c r="H326" s="32">
        <v>1</v>
      </c>
      <c r="I326" s="34">
        <v>31</v>
      </c>
      <c r="J326" s="33">
        <v>0</v>
      </c>
      <c r="K326" s="34">
        <v>415</v>
      </c>
      <c r="L326" s="32">
        <v>339.64</v>
      </c>
      <c r="M326" s="32">
        <v>63.69</v>
      </c>
      <c r="N326" s="32">
        <v>70.02</v>
      </c>
      <c r="O326" s="32">
        <v>34.159999999999997</v>
      </c>
      <c r="P326" s="32">
        <v>3.75</v>
      </c>
      <c r="Q326" s="34">
        <v>147495</v>
      </c>
      <c r="R326" s="34">
        <v>11381</v>
      </c>
      <c r="S326" s="34">
        <v>158876</v>
      </c>
      <c r="T326" s="34">
        <v>10572</v>
      </c>
      <c r="U326" s="34">
        <v>11623</v>
      </c>
      <c r="V326" s="34">
        <v>340</v>
      </c>
      <c r="W326" s="34">
        <v>14954</v>
      </c>
      <c r="X326" s="34">
        <v>0</v>
      </c>
      <c r="Y326" s="34">
        <v>196365</v>
      </c>
      <c r="Z326" s="34">
        <v>25560</v>
      </c>
      <c r="AA326" s="34">
        <v>170805</v>
      </c>
      <c r="AB326" s="34">
        <v>106917</v>
      </c>
      <c r="AC326" s="34">
        <v>63888</v>
      </c>
    </row>
    <row r="327" spans="1:29" x14ac:dyDescent="0.25">
      <c r="A327" s="31" t="s">
        <v>308</v>
      </c>
      <c r="B327" s="31" t="s">
        <v>730</v>
      </c>
      <c r="C327" s="31" t="s">
        <v>340</v>
      </c>
      <c r="D327" s="31" t="s">
        <v>720</v>
      </c>
      <c r="E327" s="32">
        <v>40.31</v>
      </c>
      <c r="F327" s="33">
        <v>316.60000000000002</v>
      </c>
      <c r="G327" s="32">
        <v>356.91</v>
      </c>
      <c r="H327" s="32">
        <v>0.83</v>
      </c>
      <c r="I327" s="34">
        <v>0</v>
      </c>
      <c r="J327" s="33">
        <v>0</v>
      </c>
      <c r="K327" s="34">
        <v>317</v>
      </c>
      <c r="L327" s="32">
        <v>339.64</v>
      </c>
      <c r="M327" s="32">
        <v>63.69</v>
      </c>
      <c r="N327" s="32">
        <v>70.02</v>
      </c>
      <c r="O327" s="32">
        <v>34.159999999999997</v>
      </c>
      <c r="P327" s="32">
        <v>3.75</v>
      </c>
      <c r="Q327" s="34">
        <v>121221</v>
      </c>
      <c r="R327" s="34">
        <v>0</v>
      </c>
      <c r="S327" s="34">
        <v>121221</v>
      </c>
      <c r="T327" s="34">
        <v>8076</v>
      </c>
      <c r="U327" s="34">
        <v>8878</v>
      </c>
      <c r="V327" s="34">
        <v>282</v>
      </c>
      <c r="W327" s="34">
        <v>12192</v>
      </c>
      <c r="X327" s="34">
        <v>0</v>
      </c>
      <c r="Y327" s="34">
        <v>150649</v>
      </c>
      <c r="Z327" s="34">
        <v>21007</v>
      </c>
      <c r="AA327" s="34">
        <v>129642</v>
      </c>
      <c r="AB327" s="34">
        <v>87775</v>
      </c>
      <c r="AC327" s="34">
        <v>41867</v>
      </c>
    </row>
  </sheetData>
  <sheetProtection sheet="1" objects="1" scenarios="1"/>
  <pageMargins left="0.7" right="0.7" top="0.75" bottom="0.75" header="0.3" footer="0.3"/>
  <pageSetup paperSize="5" scale="38"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338"/>
  <sheetViews>
    <sheetView workbookViewId="0">
      <selection activeCell="C4" sqref="C4"/>
    </sheetView>
  </sheetViews>
  <sheetFormatPr defaultRowHeight="12.75" x14ac:dyDescent="0.2"/>
  <cols>
    <col min="1" max="1" width="8.42578125" style="20" bestFit="1" customWidth="1"/>
    <col min="2" max="2" width="15.42578125" style="20" bestFit="1" customWidth="1"/>
    <col min="3" max="3" width="11.28515625" style="20" customWidth="1"/>
    <col min="4" max="5" width="9.7109375" style="20" bestFit="1" customWidth="1"/>
    <col min="6" max="6" width="13.140625" style="20" bestFit="1" customWidth="1"/>
    <col min="7" max="7" width="9.42578125" style="20" bestFit="1" customWidth="1"/>
    <col min="8" max="8" width="10.85546875" style="20" customWidth="1"/>
    <col min="9" max="9" width="11.42578125" style="20" bestFit="1" customWidth="1"/>
    <col min="10" max="10" width="10.42578125" style="20" bestFit="1" customWidth="1"/>
    <col min="11" max="11" width="10.28515625" style="20" bestFit="1" customWidth="1"/>
    <col min="12" max="12" width="9.85546875" style="20" bestFit="1" customWidth="1"/>
    <col min="13" max="13" width="6.7109375" style="20" bestFit="1" customWidth="1"/>
    <col min="14" max="14" width="9.85546875" style="20" bestFit="1" customWidth="1"/>
    <col min="15" max="15" width="7.42578125" style="20" hidden="1" customWidth="1"/>
    <col min="16" max="16" width="9.85546875" style="20" bestFit="1" customWidth="1"/>
    <col min="17" max="17" width="11.7109375" style="20" bestFit="1" customWidth="1"/>
    <col min="18" max="18" width="10.85546875" style="20" bestFit="1" customWidth="1"/>
    <col min="19" max="20" width="9.85546875" style="20" bestFit="1" customWidth="1"/>
    <col min="21" max="21" width="10.85546875" style="20" bestFit="1" customWidth="1"/>
    <col min="22" max="22" width="11" style="20" bestFit="1" customWidth="1"/>
    <col min="23" max="333" width="16.28515625" style="20" bestFit="1" customWidth="1"/>
    <col min="334" max="334" width="11.28515625" style="20" bestFit="1" customWidth="1"/>
    <col min="335" max="16384" width="9.140625" style="20"/>
  </cols>
  <sheetData>
    <row r="1" spans="1:22" ht="15.75" customHeight="1" x14ac:dyDescent="0.2">
      <c r="B1" s="64" t="str">
        <f>CONCATENATE(INDEX(Detail[],MATCH(A5,Detail[Dist],0),2)," Detail by School District")</f>
        <v>Green Hills AEA 13 Detail by School District</v>
      </c>
    </row>
    <row r="2" spans="1:22" ht="15.75" customHeight="1" x14ac:dyDescent="0.2">
      <c r="B2" s="64"/>
    </row>
    <row r="3" spans="1:22" ht="16.5" customHeight="1" x14ac:dyDescent="0.2">
      <c r="B3" s="64"/>
    </row>
    <row r="4" spans="1:22" s="21" customFormat="1" ht="115.5" x14ac:dyDescent="0.25">
      <c r="A4" s="22" t="s">
        <v>721</v>
      </c>
      <c r="B4" s="22" t="s">
        <v>363</v>
      </c>
      <c r="C4" s="23" t="s">
        <v>386</v>
      </c>
      <c r="D4" s="23" t="s">
        <v>387</v>
      </c>
      <c r="E4" s="23" t="s">
        <v>388</v>
      </c>
      <c r="F4" s="23" t="s">
        <v>389</v>
      </c>
      <c r="G4" s="23" t="s">
        <v>390</v>
      </c>
      <c r="H4" s="23" t="s">
        <v>391</v>
      </c>
      <c r="I4" s="23" t="s">
        <v>393</v>
      </c>
      <c r="J4" s="23" t="s">
        <v>394</v>
      </c>
      <c r="K4" s="23" t="s">
        <v>395</v>
      </c>
      <c r="L4" s="23" t="s">
        <v>396</v>
      </c>
      <c r="M4" s="23" t="s">
        <v>397</v>
      </c>
      <c r="N4" s="23" t="s">
        <v>398</v>
      </c>
      <c r="O4" s="23" t="s">
        <v>399</v>
      </c>
      <c r="P4" s="23" t="s">
        <v>400</v>
      </c>
      <c r="Q4" s="23" t="s">
        <v>401</v>
      </c>
      <c r="R4" s="23" t="s">
        <v>402</v>
      </c>
      <c r="S4" s="23" t="s">
        <v>403</v>
      </c>
      <c r="T4" s="23" t="s">
        <v>404</v>
      </c>
      <c r="U4"/>
      <c r="V4"/>
    </row>
    <row r="5" spans="1:22" ht="15" x14ac:dyDescent="0.25">
      <c r="A5" s="20" t="s">
        <v>265</v>
      </c>
      <c r="B5" s="20" t="s">
        <v>649</v>
      </c>
      <c r="C5" s="25">
        <v>246.65</v>
      </c>
      <c r="D5" s="27">
        <v>1414.2</v>
      </c>
      <c r="E5" s="25">
        <v>1660.85</v>
      </c>
      <c r="F5" s="25">
        <v>3.42</v>
      </c>
      <c r="G5" s="29">
        <v>1</v>
      </c>
      <c r="H5" s="27">
        <v>0</v>
      </c>
      <c r="I5" s="29">
        <v>1415</v>
      </c>
      <c r="J5" s="29">
        <v>568476</v>
      </c>
      <c r="K5" s="29">
        <v>0</v>
      </c>
      <c r="L5" s="29">
        <v>568476</v>
      </c>
      <c r="M5" s="29">
        <v>1171</v>
      </c>
      <c r="N5" s="29">
        <v>58379</v>
      </c>
      <c r="O5" s="29">
        <v>0</v>
      </c>
      <c r="P5" s="29">
        <v>703967</v>
      </c>
      <c r="Q5" s="29">
        <v>97753</v>
      </c>
      <c r="R5" s="29">
        <v>606214</v>
      </c>
      <c r="S5" s="29">
        <v>409979</v>
      </c>
      <c r="T5" s="29">
        <v>196235</v>
      </c>
      <c r="U5"/>
      <c r="V5"/>
    </row>
    <row r="6" spans="1:22" ht="15" x14ac:dyDescent="0.25">
      <c r="A6" s="20" t="s">
        <v>264</v>
      </c>
      <c r="B6" s="20" t="s">
        <v>648</v>
      </c>
      <c r="C6" s="25">
        <v>94.62</v>
      </c>
      <c r="D6" s="27">
        <v>780.7</v>
      </c>
      <c r="E6" s="25">
        <v>875.32</v>
      </c>
      <c r="F6" s="25">
        <v>1.8</v>
      </c>
      <c r="G6" s="29">
        <v>3</v>
      </c>
      <c r="H6" s="27">
        <v>0</v>
      </c>
      <c r="I6" s="29">
        <v>784</v>
      </c>
      <c r="J6" s="29">
        <v>299605</v>
      </c>
      <c r="K6" s="29">
        <v>0</v>
      </c>
      <c r="L6" s="29">
        <v>299605</v>
      </c>
      <c r="M6" s="29">
        <v>616</v>
      </c>
      <c r="N6" s="29">
        <v>30767</v>
      </c>
      <c r="O6" s="29">
        <v>0</v>
      </c>
      <c r="P6" s="29">
        <v>373063</v>
      </c>
      <c r="Q6" s="29">
        <v>51519</v>
      </c>
      <c r="R6" s="29">
        <v>321544</v>
      </c>
      <c r="S6" s="29">
        <v>216070</v>
      </c>
      <c r="T6" s="29">
        <v>105474</v>
      </c>
      <c r="U6"/>
      <c r="V6"/>
    </row>
    <row r="7" spans="1:22" ht="15" x14ac:dyDescent="0.25">
      <c r="A7" s="20" t="s">
        <v>266</v>
      </c>
      <c r="B7" s="20" t="s">
        <v>650</v>
      </c>
      <c r="C7" s="25">
        <v>64.069999999999993</v>
      </c>
      <c r="D7" s="27">
        <v>511</v>
      </c>
      <c r="E7" s="25">
        <v>575.07000000000005</v>
      </c>
      <c r="F7" s="25">
        <v>1.18</v>
      </c>
      <c r="G7" s="29">
        <v>6</v>
      </c>
      <c r="H7" s="27">
        <v>0</v>
      </c>
      <c r="I7" s="29">
        <v>517</v>
      </c>
      <c r="J7" s="29">
        <v>196835</v>
      </c>
      <c r="K7" s="29">
        <v>0</v>
      </c>
      <c r="L7" s="29">
        <v>196835</v>
      </c>
      <c r="M7" s="29">
        <v>404</v>
      </c>
      <c r="N7" s="29">
        <v>20214</v>
      </c>
      <c r="O7" s="29">
        <v>0</v>
      </c>
      <c r="P7" s="29">
        <v>245199</v>
      </c>
      <c r="Q7" s="29">
        <v>33847</v>
      </c>
      <c r="R7" s="29">
        <v>211352</v>
      </c>
      <c r="S7" s="29">
        <v>141955</v>
      </c>
      <c r="T7" s="29">
        <v>69397</v>
      </c>
      <c r="U7"/>
      <c r="V7"/>
    </row>
    <row r="8" spans="1:22" ht="15" x14ac:dyDescent="0.25">
      <c r="A8" s="20" t="s">
        <v>268</v>
      </c>
      <c r="B8" s="20" t="s">
        <v>269</v>
      </c>
      <c r="C8" s="25">
        <v>57.93</v>
      </c>
      <c r="D8" s="27">
        <v>447.6</v>
      </c>
      <c r="E8" s="25">
        <v>505.53</v>
      </c>
      <c r="F8" s="25">
        <v>1.04</v>
      </c>
      <c r="G8" s="29">
        <v>2</v>
      </c>
      <c r="H8" s="27">
        <v>0</v>
      </c>
      <c r="I8" s="29">
        <v>450</v>
      </c>
      <c r="J8" s="29">
        <v>173033</v>
      </c>
      <c r="K8" s="29">
        <v>38</v>
      </c>
      <c r="L8" s="29">
        <v>173071</v>
      </c>
      <c r="M8" s="29">
        <v>356</v>
      </c>
      <c r="N8" s="29">
        <v>17771</v>
      </c>
      <c r="O8" s="29">
        <v>0</v>
      </c>
      <c r="P8" s="29">
        <v>215349</v>
      </c>
      <c r="Q8" s="29">
        <v>29754</v>
      </c>
      <c r="R8" s="29">
        <v>185595</v>
      </c>
      <c r="S8" s="29">
        <v>124791</v>
      </c>
      <c r="T8" s="29">
        <v>60804</v>
      </c>
      <c r="U8"/>
      <c r="V8"/>
    </row>
    <row r="9" spans="1:22" ht="15" x14ac:dyDescent="0.25">
      <c r="A9" s="20" t="s">
        <v>270</v>
      </c>
      <c r="B9" s="20" t="s">
        <v>652</v>
      </c>
      <c r="C9" s="25">
        <v>120.12</v>
      </c>
      <c r="D9" s="27">
        <v>632.4</v>
      </c>
      <c r="E9" s="25">
        <v>752.52</v>
      </c>
      <c r="F9" s="25">
        <v>1.55</v>
      </c>
      <c r="G9" s="29">
        <v>0</v>
      </c>
      <c r="H9" s="27">
        <v>0</v>
      </c>
      <c r="I9" s="29">
        <v>632</v>
      </c>
      <c r="J9" s="29">
        <v>257573</v>
      </c>
      <c r="K9" s="29">
        <v>0</v>
      </c>
      <c r="L9" s="29">
        <v>257573</v>
      </c>
      <c r="M9" s="29">
        <v>531</v>
      </c>
      <c r="N9" s="29">
        <v>26451</v>
      </c>
      <c r="O9" s="29">
        <v>0</v>
      </c>
      <c r="P9" s="29">
        <v>318473</v>
      </c>
      <c r="Q9" s="29">
        <v>44291</v>
      </c>
      <c r="R9" s="29">
        <v>274182</v>
      </c>
      <c r="S9" s="29">
        <v>185759</v>
      </c>
      <c r="T9" s="29">
        <v>88423</v>
      </c>
      <c r="U9"/>
      <c r="V9"/>
    </row>
    <row r="10" spans="1:22" ht="15" x14ac:dyDescent="0.25">
      <c r="A10" s="20" t="s">
        <v>271</v>
      </c>
      <c r="B10" s="20" t="s">
        <v>653</v>
      </c>
      <c r="C10" s="25">
        <v>113.58</v>
      </c>
      <c r="D10" s="27">
        <v>958.7</v>
      </c>
      <c r="E10" s="25">
        <v>1072.28</v>
      </c>
      <c r="F10" s="25">
        <v>2.21</v>
      </c>
      <c r="G10" s="29">
        <v>64</v>
      </c>
      <c r="H10" s="27">
        <v>1.2</v>
      </c>
      <c r="I10" s="29">
        <v>1022</v>
      </c>
      <c r="J10" s="29">
        <v>367020</v>
      </c>
      <c r="K10" s="29">
        <v>5273</v>
      </c>
      <c r="L10" s="29">
        <v>372293</v>
      </c>
      <c r="M10" s="29">
        <v>756</v>
      </c>
      <c r="N10" s="29">
        <v>38228</v>
      </c>
      <c r="O10" s="29">
        <v>0</v>
      </c>
      <c r="P10" s="29">
        <v>466126</v>
      </c>
      <c r="Q10" s="29">
        <v>63111</v>
      </c>
      <c r="R10" s="29">
        <v>403015</v>
      </c>
      <c r="S10" s="29">
        <v>265229</v>
      </c>
      <c r="T10" s="29">
        <v>137786</v>
      </c>
      <c r="U10"/>
      <c r="V10"/>
    </row>
    <row r="11" spans="1:22" ht="15" x14ac:dyDescent="0.25">
      <c r="A11" s="20" t="s">
        <v>272</v>
      </c>
      <c r="B11" s="20" t="s">
        <v>654</v>
      </c>
      <c r="C11" s="25">
        <v>185.18</v>
      </c>
      <c r="D11" s="27">
        <v>1429.1</v>
      </c>
      <c r="E11" s="25">
        <v>1614.28</v>
      </c>
      <c r="F11" s="25">
        <v>3.32</v>
      </c>
      <c r="G11" s="29">
        <v>6</v>
      </c>
      <c r="H11" s="27">
        <v>0</v>
      </c>
      <c r="I11" s="29">
        <v>1435</v>
      </c>
      <c r="J11" s="29">
        <v>552536</v>
      </c>
      <c r="K11" s="29">
        <v>0</v>
      </c>
      <c r="L11" s="29">
        <v>552536</v>
      </c>
      <c r="M11" s="29">
        <v>1136</v>
      </c>
      <c r="N11" s="29">
        <v>56742</v>
      </c>
      <c r="O11" s="29">
        <v>0</v>
      </c>
      <c r="P11" s="29">
        <v>687427</v>
      </c>
      <c r="Q11" s="29">
        <v>95012</v>
      </c>
      <c r="R11" s="29">
        <v>592415</v>
      </c>
      <c r="S11" s="29">
        <v>398482</v>
      </c>
      <c r="T11" s="29">
        <v>193933</v>
      </c>
      <c r="U11"/>
      <c r="V11"/>
    </row>
    <row r="12" spans="1:22" ht="15" x14ac:dyDescent="0.25">
      <c r="A12" s="20" t="s">
        <v>273</v>
      </c>
      <c r="B12" s="20" t="s">
        <v>655</v>
      </c>
      <c r="C12" s="25">
        <v>48</v>
      </c>
      <c r="D12" s="27">
        <v>376.2</v>
      </c>
      <c r="E12" s="25">
        <v>424.2</v>
      </c>
      <c r="F12" s="25">
        <v>0.87</v>
      </c>
      <c r="G12" s="29">
        <v>4</v>
      </c>
      <c r="H12" s="27">
        <v>0</v>
      </c>
      <c r="I12" s="29">
        <v>380</v>
      </c>
      <c r="J12" s="29">
        <v>145195</v>
      </c>
      <c r="K12" s="29">
        <v>6355</v>
      </c>
      <c r="L12" s="29">
        <v>151550</v>
      </c>
      <c r="M12" s="29">
        <v>298</v>
      </c>
      <c r="N12" s="29">
        <v>14911</v>
      </c>
      <c r="O12" s="29">
        <v>0</v>
      </c>
      <c r="P12" s="29">
        <v>187153</v>
      </c>
      <c r="Q12" s="29">
        <v>24967</v>
      </c>
      <c r="R12" s="29">
        <v>162186</v>
      </c>
      <c r="S12" s="29">
        <v>104713</v>
      </c>
      <c r="T12" s="29">
        <v>57473</v>
      </c>
      <c r="U12"/>
      <c r="V12"/>
    </row>
    <row r="13" spans="1:22" ht="15" x14ac:dyDescent="0.25">
      <c r="A13" s="20" t="s">
        <v>274</v>
      </c>
      <c r="B13" s="20" t="s">
        <v>656</v>
      </c>
      <c r="C13" s="25">
        <v>2225.1</v>
      </c>
      <c r="D13" s="27">
        <v>8632.4</v>
      </c>
      <c r="E13" s="25">
        <v>10857.5</v>
      </c>
      <c r="F13" s="25">
        <v>22.33</v>
      </c>
      <c r="G13" s="29">
        <v>465</v>
      </c>
      <c r="H13" s="27">
        <v>0</v>
      </c>
      <c r="I13" s="29">
        <v>9097</v>
      </c>
      <c r="J13" s="29">
        <v>3716305</v>
      </c>
      <c r="K13" s="29">
        <v>0</v>
      </c>
      <c r="L13" s="29">
        <v>3716305</v>
      </c>
      <c r="M13" s="29">
        <v>7643</v>
      </c>
      <c r="N13" s="29">
        <v>381641</v>
      </c>
      <c r="O13" s="29">
        <v>0</v>
      </c>
      <c r="P13" s="29">
        <v>4593807</v>
      </c>
      <c r="Q13" s="29">
        <v>639043</v>
      </c>
      <c r="R13" s="29">
        <v>3954764</v>
      </c>
      <c r="S13" s="29">
        <v>2680152</v>
      </c>
      <c r="T13" s="29">
        <v>1274612</v>
      </c>
      <c r="U13"/>
      <c r="V13"/>
    </row>
    <row r="14" spans="1:22" ht="15" x14ac:dyDescent="0.25">
      <c r="A14" s="20" t="s">
        <v>275</v>
      </c>
      <c r="B14" s="20" t="s">
        <v>657</v>
      </c>
      <c r="C14" s="25">
        <v>190.55</v>
      </c>
      <c r="D14" s="27">
        <v>1369.4</v>
      </c>
      <c r="E14" s="25">
        <v>1559.95</v>
      </c>
      <c r="F14" s="25">
        <v>3.21</v>
      </c>
      <c r="G14" s="29">
        <v>115</v>
      </c>
      <c r="H14" s="27">
        <v>1</v>
      </c>
      <c r="I14" s="29">
        <v>1483</v>
      </c>
      <c r="J14" s="29">
        <v>533940</v>
      </c>
      <c r="K14" s="29">
        <v>0</v>
      </c>
      <c r="L14" s="29">
        <v>533940</v>
      </c>
      <c r="M14" s="29">
        <v>1099</v>
      </c>
      <c r="N14" s="29">
        <v>54832</v>
      </c>
      <c r="O14" s="29">
        <v>0</v>
      </c>
      <c r="P14" s="29">
        <v>669461</v>
      </c>
      <c r="Q14" s="29">
        <v>91815</v>
      </c>
      <c r="R14" s="29">
        <v>577646</v>
      </c>
      <c r="S14" s="29">
        <v>385070</v>
      </c>
      <c r="T14" s="29">
        <v>192576</v>
      </c>
      <c r="U14"/>
      <c r="V14"/>
    </row>
    <row r="15" spans="1:22" ht="15" x14ac:dyDescent="0.25">
      <c r="A15" s="20" t="s">
        <v>276</v>
      </c>
      <c r="B15" s="20" t="s">
        <v>658</v>
      </c>
      <c r="C15" s="25">
        <v>8.5299999999999994</v>
      </c>
      <c r="D15" s="27">
        <v>87</v>
      </c>
      <c r="E15" s="25">
        <v>95.53</v>
      </c>
      <c r="F15" s="25">
        <v>0.2</v>
      </c>
      <c r="G15" s="29">
        <v>0</v>
      </c>
      <c r="H15" s="27">
        <v>0</v>
      </c>
      <c r="I15" s="29">
        <v>87</v>
      </c>
      <c r="J15" s="29">
        <v>32698</v>
      </c>
      <c r="K15" s="29">
        <v>9322</v>
      </c>
      <c r="L15" s="29">
        <v>42020</v>
      </c>
      <c r="M15" s="29">
        <v>68</v>
      </c>
      <c r="N15" s="29">
        <v>4315</v>
      </c>
      <c r="O15" s="29">
        <v>0</v>
      </c>
      <c r="P15" s="29">
        <v>51073</v>
      </c>
      <c r="Q15" s="29">
        <v>5623</v>
      </c>
      <c r="R15" s="29">
        <v>45450</v>
      </c>
      <c r="S15" s="29">
        <v>24539</v>
      </c>
      <c r="T15" s="29">
        <v>20911</v>
      </c>
      <c r="U15"/>
      <c r="V15"/>
    </row>
    <row r="16" spans="1:22" ht="15" x14ac:dyDescent="0.25">
      <c r="A16" s="20" t="s">
        <v>267</v>
      </c>
      <c r="B16" s="20" t="s">
        <v>651</v>
      </c>
      <c r="C16" s="25">
        <v>38.479999999999997</v>
      </c>
      <c r="D16" s="27">
        <v>385.6</v>
      </c>
      <c r="E16" s="25">
        <v>424.08</v>
      </c>
      <c r="F16" s="25">
        <v>0.87</v>
      </c>
      <c r="G16" s="29">
        <v>3</v>
      </c>
      <c r="H16" s="27">
        <v>0</v>
      </c>
      <c r="I16" s="29">
        <v>389</v>
      </c>
      <c r="J16" s="29">
        <v>145154</v>
      </c>
      <c r="K16" s="29">
        <v>0</v>
      </c>
      <c r="L16" s="29">
        <v>145154</v>
      </c>
      <c r="M16" s="29">
        <v>298</v>
      </c>
      <c r="N16" s="29">
        <v>14906</v>
      </c>
      <c r="O16" s="29">
        <v>0</v>
      </c>
      <c r="P16" s="29">
        <v>181235</v>
      </c>
      <c r="Q16" s="29">
        <v>24960</v>
      </c>
      <c r="R16" s="29">
        <v>156275</v>
      </c>
      <c r="S16" s="29">
        <v>104683</v>
      </c>
      <c r="T16" s="29">
        <v>51592</v>
      </c>
      <c r="U16"/>
      <c r="V16"/>
    </row>
    <row r="17" spans="1:22" ht="15" x14ac:dyDescent="0.25">
      <c r="A17" s="20" t="s">
        <v>278</v>
      </c>
      <c r="B17" s="20" t="s">
        <v>660</v>
      </c>
      <c r="C17" s="25">
        <v>46.04</v>
      </c>
      <c r="D17" s="27">
        <v>435.5</v>
      </c>
      <c r="E17" s="25">
        <v>481.54</v>
      </c>
      <c r="F17" s="25">
        <v>0.99</v>
      </c>
      <c r="G17" s="29">
        <v>5</v>
      </c>
      <c r="H17" s="27">
        <v>0</v>
      </c>
      <c r="I17" s="29">
        <v>441</v>
      </c>
      <c r="J17" s="29">
        <v>164822</v>
      </c>
      <c r="K17" s="29">
        <v>16317</v>
      </c>
      <c r="L17" s="29">
        <v>181139</v>
      </c>
      <c r="M17" s="29">
        <v>339</v>
      </c>
      <c r="N17" s="29">
        <v>18600</v>
      </c>
      <c r="O17" s="29">
        <v>0</v>
      </c>
      <c r="P17" s="29">
        <v>223745</v>
      </c>
      <c r="Q17" s="29">
        <v>28342</v>
      </c>
      <c r="R17" s="29">
        <v>195403</v>
      </c>
      <c r="S17" s="29">
        <v>120541</v>
      </c>
      <c r="T17" s="29">
        <v>74862</v>
      </c>
      <c r="U17"/>
      <c r="V17"/>
    </row>
    <row r="18" spans="1:22" ht="15" x14ac:dyDescent="0.25">
      <c r="A18" s="20" t="s">
        <v>279</v>
      </c>
      <c r="B18" s="20" t="s">
        <v>661</v>
      </c>
      <c r="C18" s="25">
        <v>16.97</v>
      </c>
      <c r="D18" s="27">
        <v>176.2</v>
      </c>
      <c r="E18" s="25">
        <v>193.17</v>
      </c>
      <c r="F18" s="25">
        <v>0.4</v>
      </c>
      <c r="G18" s="29">
        <v>4</v>
      </c>
      <c r="H18" s="27">
        <v>0</v>
      </c>
      <c r="I18" s="29">
        <v>180</v>
      </c>
      <c r="J18" s="29">
        <v>66118</v>
      </c>
      <c r="K18" s="29">
        <v>7027</v>
      </c>
      <c r="L18" s="29">
        <v>73145</v>
      </c>
      <c r="M18" s="29">
        <v>137</v>
      </c>
      <c r="N18" s="29">
        <v>7436</v>
      </c>
      <c r="O18" s="29">
        <v>0</v>
      </c>
      <c r="P18" s="29">
        <v>90378</v>
      </c>
      <c r="Q18" s="29">
        <v>11369</v>
      </c>
      <c r="R18" s="29">
        <v>79009</v>
      </c>
      <c r="S18" s="29">
        <v>48331</v>
      </c>
      <c r="T18" s="29">
        <v>30678</v>
      </c>
      <c r="U18"/>
      <c r="V18"/>
    </row>
    <row r="19" spans="1:22" ht="15" x14ac:dyDescent="0.25">
      <c r="A19" s="20" t="s">
        <v>280</v>
      </c>
      <c r="B19" s="20" t="s">
        <v>662</v>
      </c>
      <c r="C19" s="25">
        <v>67.430000000000007</v>
      </c>
      <c r="D19" s="27">
        <v>445.1</v>
      </c>
      <c r="E19" s="25">
        <v>512.53</v>
      </c>
      <c r="F19" s="25">
        <v>1.05</v>
      </c>
      <c r="G19" s="29">
        <v>1</v>
      </c>
      <c r="H19" s="27">
        <v>0</v>
      </c>
      <c r="I19" s="29">
        <v>446</v>
      </c>
      <c r="J19" s="29">
        <v>175429</v>
      </c>
      <c r="K19" s="29">
        <v>0</v>
      </c>
      <c r="L19" s="29">
        <v>175429</v>
      </c>
      <c r="M19" s="29">
        <v>359</v>
      </c>
      <c r="N19" s="29">
        <v>18015</v>
      </c>
      <c r="O19" s="29">
        <v>0</v>
      </c>
      <c r="P19" s="29">
        <v>217739</v>
      </c>
      <c r="Q19" s="29">
        <v>30166</v>
      </c>
      <c r="R19" s="29">
        <v>187573</v>
      </c>
      <c r="S19" s="29">
        <v>126516</v>
      </c>
      <c r="T19" s="29">
        <v>61057</v>
      </c>
      <c r="U19"/>
      <c r="V19"/>
    </row>
    <row r="20" spans="1:22" ht="15" x14ac:dyDescent="0.25">
      <c r="A20" s="20" t="s">
        <v>281</v>
      </c>
      <c r="B20" s="20" t="s">
        <v>663</v>
      </c>
      <c r="C20" s="25">
        <v>219.53</v>
      </c>
      <c r="D20" s="27">
        <v>1928.5</v>
      </c>
      <c r="E20" s="25">
        <v>2148.0300000000002</v>
      </c>
      <c r="F20" s="25">
        <v>4.42</v>
      </c>
      <c r="G20" s="29">
        <v>23</v>
      </c>
      <c r="H20" s="27">
        <v>0</v>
      </c>
      <c r="I20" s="29">
        <v>1952</v>
      </c>
      <c r="J20" s="29">
        <v>735228</v>
      </c>
      <c r="K20" s="29">
        <v>0</v>
      </c>
      <c r="L20" s="29">
        <v>735228</v>
      </c>
      <c r="M20" s="29">
        <v>1513</v>
      </c>
      <c r="N20" s="29">
        <v>75503</v>
      </c>
      <c r="O20" s="29">
        <v>0</v>
      </c>
      <c r="P20" s="29">
        <v>917003</v>
      </c>
      <c r="Q20" s="29">
        <v>126428</v>
      </c>
      <c r="R20" s="29">
        <v>790575</v>
      </c>
      <c r="S20" s="29">
        <v>530237</v>
      </c>
      <c r="T20" s="29">
        <v>260338</v>
      </c>
      <c r="U20"/>
      <c r="V20"/>
    </row>
    <row r="21" spans="1:22" ht="15" x14ac:dyDescent="0.25">
      <c r="A21" s="20" t="s">
        <v>294</v>
      </c>
      <c r="B21" s="20" t="s">
        <v>676</v>
      </c>
      <c r="C21" s="25">
        <v>92.15</v>
      </c>
      <c r="D21" s="27">
        <v>664.3</v>
      </c>
      <c r="E21" s="25">
        <v>756.45</v>
      </c>
      <c r="F21" s="25">
        <v>1.56</v>
      </c>
      <c r="G21" s="29">
        <v>13</v>
      </c>
      <c r="H21" s="27">
        <v>0</v>
      </c>
      <c r="I21" s="29">
        <v>677</v>
      </c>
      <c r="J21" s="29">
        <v>258918</v>
      </c>
      <c r="K21" s="29">
        <v>0</v>
      </c>
      <c r="L21" s="29">
        <v>258918</v>
      </c>
      <c r="M21" s="29">
        <v>534</v>
      </c>
      <c r="N21" s="29">
        <v>26589</v>
      </c>
      <c r="O21" s="29">
        <v>0</v>
      </c>
      <c r="P21" s="29">
        <v>322374</v>
      </c>
      <c r="Q21" s="29">
        <v>44522</v>
      </c>
      <c r="R21" s="29">
        <v>277852</v>
      </c>
      <c r="S21" s="29">
        <v>186730</v>
      </c>
      <c r="T21" s="29">
        <v>91122</v>
      </c>
      <c r="U21"/>
      <c r="V21"/>
    </row>
    <row r="22" spans="1:22" ht="15" x14ac:dyDescent="0.25">
      <c r="A22" s="20" t="s">
        <v>282</v>
      </c>
      <c r="B22" s="20" t="s">
        <v>664</v>
      </c>
      <c r="C22" s="25">
        <v>97.25</v>
      </c>
      <c r="D22" s="27">
        <v>459.7</v>
      </c>
      <c r="E22" s="25">
        <v>556.95000000000005</v>
      </c>
      <c r="F22" s="25">
        <v>1.1499999999999999</v>
      </c>
      <c r="G22" s="29">
        <v>0</v>
      </c>
      <c r="H22" s="27">
        <v>0</v>
      </c>
      <c r="I22" s="29">
        <v>460</v>
      </c>
      <c r="J22" s="29">
        <v>190633</v>
      </c>
      <c r="K22" s="29">
        <v>0</v>
      </c>
      <c r="L22" s="29">
        <v>190633</v>
      </c>
      <c r="M22" s="29">
        <v>394</v>
      </c>
      <c r="N22" s="29">
        <v>19577</v>
      </c>
      <c r="O22" s="29">
        <v>0</v>
      </c>
      <c r="P22" s="29">
        <v>235291</v>
      </c>
      <c r="Q22" s="29">
        <v>32780</v>
      </c>
      <c r="R22" s="29">
        <v>202511</v>
      </c>
      <c r="S22" s="29">
        <v>137484</v>
      </c>
      <c r="T22" s="29">
        <v>65027</v>
      </c>
      <c r="U22"/>
      <c r="V22"/>
    </row>
    <row r="23" spans="1:22" ht="15" x14ac:dyDescent="0.25">
      <c r="A23" s="20" t="s">
        <v>283</v>
      </c>
      <c r="B23" s="20" t="s">
        <v>665</v>
      </c>
      <c r="C23" s="25">
        <v>32.1</v>
      </c>
      <c r="D23" s="27">
        <v>208</v>
      </c>
      <c r="E23" s="25">
        <v>240.1</v>
      </c>
      <c r="F23" s="25">
        <v>0.49</v>
      </c>
      <c r="G23" s="29">
        <v>0</v>
      </c>
      <c r="H23" s="27">
        <v>0</v>
      </c>
      <c r="I23" s="29">
        <v>208</v>
      </c>
      <c r="J23" s="29">
        <v>82181</v>
      </c>
      <c r="K23" s="29">
        <v>3565</v>
      </c>
      <c r="L23" s="29">
        <v>85746</v>
      </c>
      <c r="M23" s="29">
        <v>168</v>
      </c>
      <c r="N23" s="29">
        <v>8805</v>
      </c>
      <c r="O23" s="29">
        <v>0</v>
      </c>
      <c r="P23" s="29">
        <v>105883</v>
      </c>
      <c r="Q23" s="29">
        <v>14131</v>
      </c>
      <c r="R23" s="29">
        <v>91752</v>
      </c>
      <c r="S23" s="29">
        <v>59633</v>
      </c>
      <c r="T23" s="29">
        <v>32119</v>
      </c>
      <c r="U23"/>
      <c r="V23"/>
    </row>
    <row r="24" spans="1:22" ht="15" x14ac:dyDescent="0.25">
      <c r="A24" s="20" t="s">
        <v>284</v>
      </c>
      <c r="B24" s="20" t="s">
        <v>666</v>
      </c>
      <c r="C24" s="25">
        <v>174.92</v>
      </c>
      <c r="D24" s="27">
        <v>1364.2</v>
      </c>
      <c r="E24" s="25">
        <v>1539.12</v>
      </c>
      <c r="F24" s="25">
        <v>3.17</v>
      </c>
      <c r="G24" s="29">
        <v>72</v>
      </c>
      <c r="H24" s="27">
        <v>1.4</v>
      </c>
      <c r="I24" s="29">
        <v>1435</v>
      </c>
      <c r="J24" s="29">
        <v>526810</v>
      </c>
      <c r="K24" s="29">
        <v>0</v>
      </c>
      <c r="L24" s="29">
        <v>526810</v>
      </c>
      <c r="M24" s="29">
        <v>1085</v>
      </c>
      <c r="N24" s="29">
        <v>54100</v>
      </c>
      <c r="O24" s="29">
        <v>0</v>
      </c>
      <c r="P24" s="29">
        <v>659008</v>
      </c>
      <c r="Q24" s="29">
        <v>90588</v>
      </c>
      <c r="R24" s="29">
        <v>568420</v>
      </c>
      <c r="S24" s="29">
        <v>379930</v>
      </c>
      <c r="T24" s="29">
        <v>188490</v>
      </c>
      <c r="U24"/>
      <c r="V24"/>
    </row>
    <row r="25" spans="1:22" ht="15" x14ac:dyDescent="0.25">
      <c r="A25" s="20" t="s">
        <v>285</v>
      </c>
      <c r="B25" s="20" t="s">
        <v>667</v>
      </c>
      <c r="C25" s="25">
        <v>102.88</v>
      </c>
      <c r="D25" s="27">
        <v>672.4</v>
      </c>
      <c r="E25" s="25">
        <v>775.28</v>
      </c>
      <c r="F25" s="25">
        <v>1.6</v>
      </c>
      <c r="G25" s="29">
        <v>12</v>
      </c>
      <c r="H25" s="27">
        <v>0</v>
      </c>
      <c r="I25" s="29">
        <v>684</v>
      </c>
      <c r="J25" s="29">
        <v>265363</v>
      </c>
      <c r="K25" s="29">
        <v>0</v>
      </c>
      <c r="L25" s="29">
        <v>265363</v>
      </c>
      <c r="M25" s="29">
        <v>548</v>
      </c>
      <c r="N25" s="29">
        <v>27251</v>
      </c>
      <c r="O25" s="29">
        <v>0</v>
      </c>
      <c r="P25" s="29">
        <v>329871</v>
      </c>
      <c r="Q25" s="29">
        <v>45630</v>
      </c>
      <c r="R25" s="29">
        <v>284241</v>
      </c>
      <c r="S25" s="29">
        <v>191379</v>
      </c>
      <c r="T25" s="29">
        <v>92862</v>
      </c>
      <c r="U25"/>
      <c r="V25"/>
    </row>
    <row r="26" spans="1:22" ht="15" x14ac:dyDescent="0.25">
      <c r="A26" s="20" t="s">
        <v>286</v>
      </c>
      <c r="B26" s="20" t="s">
        <v>668</v>
      </c>
      <c r="C26" s="25">
        <v>37.54</v>
      </c>
      <c r="D26" s="27">
        <v>305.39999999999998</v>
      </c>
      <c r="E26" s="25">
        <v>342.94</v>
      </c>
      <c r="F26" s="25">
        <v>0.7</v>
      </c>
      <c r="G26" s="29">
        <v>0</v>
      </c>
      <c r="H26" s="27">
        <v>0</v>
      </c>
      <c r="I26" s="29">
        <v>305</v>
      </c>
      <c r="J26" s="29">
        <v>117382</v>
      </c>
      <c r="K26" s="29">
        <v>13836</v>
      </c>
      <c r="L26" s="29">
        <v>131218</v>
      </c>
      <c r="M26" s="29">
        <v>240</v>
      </c>
      <c r="N26" s="29">
        <v>13474</v>
      </c>
      <c r="O26" s="29">
        <v>0</v>
      </c>
      <c r="P26" s="29">
        <v>161301</v>
      </c>
      <c r="Q26" s="29">
        <v>20185</v>
      </c>
      <c r="R26" s="29">
        <v>141116</v>
      </c>
      <c r="S26" s="29">
        <v>86072</v>
      </c>
      <c r="T26" s="29">
        <v>55044</v>
      </c>
      <c r="U26"/>
      <c r="V26"/>
    </row>
    <row r="27" spans="1:22" ht="15" x14ac:dyDescent="0.25">
      <c r="A27" s="20" t="s">
        <v>287</v>
      </c>
      <c r="B27" s="20" t="s">
        <v>669</v>
      </c>
      <c r="C27" s="25">
        <v>48.62</v>
      </c>
      <c r="D27" s="27">
        <v>461.5</v>
      </c>
      <c r="E27" s="25">
        <v>510.12</v>
      </c>
      <c r="F27" s="25">
        <v>1.05</v>
      </c>
      <c r="G27" s="29">
        <v>0</v>
      </c>
      <c r="H27" s="27">
        <v>0</v>
      </c>
      <c r="I27" s="29">
        <v>462</v>
      </c>
      <c r="J27" s="29">
        <v>174604</v>
      </c>
      <c r="K27" s="29">
        <v>0</v>
      </c>
      <c r="L27" s="29">
        <v>174604</v>
      </c>
      <c r="M27" s="29">
        <v>359</v>
      </c>
      <c r="N27" s="29">
        <v>17931</v>
      </c>
      <c r="O27" s="29">
        <v>0</v>
      </c>
      <c r="P27" s="29">
        <v>217689</v>
      </c>
      <c r="Q27" s="29">
        <v>30024</v>
      </c>
      <c r="R27" s="29">
        <v>187665</v>
      </c>
      <c r="S27" s="29">
        <v>125923</v>
      </c>
      <c r="T27" s="29">
        <v>61742</v>
      </c>
      <c r="U27"/>
      <c r="V27"/>
    </row>
    <row r="28" spans="1:22" ht="15" x14ac:dyDescent="0.25">
      <c r="A28" s="20" t="s">
        <v>288</v>
      </c>
      <c r="B28" s="20" t="s">
        <v>670</v>
      </c>
      <c r="C28" s="25">
        <v>418</v>
      </c>
      <c r="D28" s="27">
        <v>2672.4</v>
      </c>
      <c r="E28" s="25">
        <v>3090.4</v>
      </c>
      <c r="F28" s="25">
        <v>6.36</v>
      </c>
      <c r="G28" s="29">
        <v>225</v>
      </c>
      <c r="H28" s="27">
        <v>0.5</v>
      </c>
      <c r="I28" s="29">
        <v>2897</v>
      </c>
      <c r="J28" s="29">
        <v>1057782</v>
      </c>
      <c r="K28" s="29">
        <v>0</v>
      </c>
      <c r="L28" s="29">
        <v>1057782</v>
      </c>
      <c r="M28" s="29">
        <v>2177</v>
      </c>
      <c r="N28" s="29">
        <v>108628</v>
      </c>
      <c r="O28" s="29">
        <v>0</v>
      </c>
      <c r="P28" s="29">
        <v>1324064</v>
      </c>
      <c r="Q28" s="29">
        <v>181892</v>
      </c>
      <c r="R28" s="29">
        <v>1142172</v>
      </c>
      <c r="S28" s="29">
        <v>762861</v>
      </c>
      <c r="T28" s="29">
        <v>379311</v>
      </c>
      <c r="U28"/>
      <c r="V28"/>
    </row>
    <row r="29" spans="1:22" ht="15" x14ac:dyDescent="0.25">
      <c r="A29" s="20" t="s">
        <v>289</v>
      </c>
      <c r="B29" s="20" t="s">
        <v>671</v>
      </c>
      <c r="C29" s="25">
        <v>57.12</v>
      </c>
      <c r="D29" s="27">
        <v>588.5</v>
      </c>
      <c r="E29" s="25">
        <v>645.62</v>
      </c>
      <c r="F29" s="25">
        <v>1.33</v>
      </c>
      <c r="G29" s="29">
        <v>0</v>
      </c>
      <c r="H29" s="27">
        <v>0</v>
      </c>
      <c r="I29" s="29">
        <v>589</v>
      </c>
      <c r="J29" s="29">
        <v>220983</v>
      </c>
      <c r="K29" s="29">
        <v>0</v>
      </c>
      <c r="L29" s="29">
        <v>220983</v>
      </c>
      <c r="M29" s="29">
        <v>455</v>
      </c>
      <c r="N29" s="29">
        <v>22694</v>
      </c>
      <c r="O29" s="29">
        <v>0</v>
      </c>
      <c r="P29" s="29">
        <v>275742</v>
      </c>
      <c r="Q29" s="29">
        <v>37999</v>
      </c>
      <c r="R29" s="29">
        <v>237743</v>
      </c>
      <c r="S29" s="29">
        <v>159372</v>
      </c>
      <c r="T29" s="29">
        <v>78371</v>
      </c>
      <c r="U29"/>
      <c r="V29"/>
    </row>
    <row r="30" spans="1:22" ht="15" x14ac:dyDescent="0.25">
      <c r="A30" s="20" t="s">
        <v>277</v>
      </c>
      <c r="B30" s="20" t="s">
        <v>659</v>
      </c>
      <c r="C30" s="25">
        <v>90.95</v>
      </c>
      <c r="D30" s="27">
        <v>542.1</v>
      </c>
      <c r="E30" s="25">
        <v>633.04999999999995</v>
      </c>
      <c r="F30" s="25">
        <v>1.3</v>
      </c>
      <c r="G30" s="29">
        <v>7</v>
      </c>
      <c r="H30" s="27">
        <v>0</v>
      </c>
      <c r="I30" s="29">
        <v>549</v>
      </c>
      <c r="J30" s="29">
        <v>216680</v>
      </c>
      <c r="K30" s="29">
        <v>0</v>
      </c>
      <c r="L30" s="29">
        <v>216680</v>
      </c>
      <c r="M30" s="29">
        <v>445</v>
      </c>
      <c r="N30" s="29">
        <v>22252</v>
      </c>
      <c r="O30" s="29">
        <v>0</v>
      </c>
      <c r="P30" s="29">
        <v>268841</v>
      </c>
      <c r="Q30" s="29">
        <v>37259</v>
      </c>
      <c r="R30" s="29">
        <v>231582</v>
      </c>
      <c r="S30" s="29">
        <v>156268</v>
      </c>
      <c r="T30" s="29">
        <v>75314</v>
      </c>
      <c r="U30"/>
      <c r="V30"/>
    </row>
    <row r="31" spans="1:22" ht="15" x14ac:dyDescent="0.25">
      <c r="A31" s="20" t="s">
        <v>290</v>
      </c>
      <c r="B31" s="20" t="s">
        <v>672</v>
      </c>
      <c r="C31" s="25">
        <v>115.09</v>
      </c>
      <c r="D31" s="27">
        <v>725.8</v>
      </c>
      <c r="E31" s="25">
        <v>840.89</v>
      </c>
      <c r="F31" s="25">
        <v>1.73</v>
      </c>
      <c r="G31" s="29">
        <v>8</v>
      </c>
      <c r="H31" s="27">
        <v>0</v>
      </c>
      <c r="I31" s="29">
        <v>734</v>
      </c>
      <c r="J31" s="29">
        <v>287820</v>
      </c>
      <c r="K31" s="29">
        <v>5249</v>
      </c>
      <c r="L31" s="29">
        <v>293069</v>
      </c>
      <c r="M31" s="29">
        <v>592</v>
      </c>
      <c r="N31" s="29">
        <v>30093</v>
      </c>
      <c r="O31" s="29">
        <v>0</v>
      </c>
      <c r="P31" s="29">
        <v>363146</v>
      </c>
      <c r="Q31" s="29">
        <v>49492</v>
      </c>
      <c r="R31" s="29">
        <v>313654</v>
      </c>
      <c r="S31" s="29">
        <v>208108</v>
      </c>
      <c r="T31" s="29">
        <v>105546</v>
      </c>
      <c r="U31"/>
      <c r="V31"/>
    </row>
    <row r="32" spans="1:22" ht="15" x14ac:dyDescent="0.25">
      <c r="A32" s="20" t="s">
        <v>291</v>
      </c>
      <c r="B32" s="20" t="s">
        <v>673</v>
      </c>
      <c r="C32" s="25">
        <v>42.57</v>
      </c>
      <c r="D32" s="27">
        <v>221.3</v>
      </c>
      <c r="E32" s="25">
        <v>263.87</v>
      </c>
      <c r="F32" s="25">
        <v>0.54</v>
      </c>
      <c r="G32" s="29">
        <v>0</v>
      </c>
      <c r="H32" s="27">
        <v>0</v>
      </c>
      <c r="I32" s="29">
        <v>221</v>
      </c>
      <c r="J32" s="29">
        <v>90317</v>
      </c>
      <c r="K32" s="29">
        <v>2551</v>
      </c>
      <c r="L32" s="29">
        <v>92868</v>
      </c>
      <c r="M32" s="29">
        <v>185</v>
      </c>
      <c r="N32" s="29">
        <v>9275</v>
      </c>
      <c r="O32" s="29">
        <v>0</v>
      </c>
      <c r="P32" s="29">
        <v>114189</v>
      </c>
      <c r="Q32" s="29">
        <v>15531</v>
      </c>
      <c r="R32" s="29">
        <v>98658</v>
      </c>
      <c r="S32" s="29">
        <v>65135</v>
      </c>
      <c r="T32" s="29">
        <v>33523</v>
      </c>
      <c r="U32"/>
      <c r="V32"/>
    </row>
    <row r="33" spans="1:22" ht="15" x14ac:dyDescent="0.25">
      <c r="A33" s="20" t="s">
        <v>292</v>
      </c>
      <c r="B33" s="20" t="s">
        <v>674</v>
      </c>
      <c r="C33" s="25">
        <v>98.79</v>
      </c>
      <c r="D33" s="27">
        <v>598.4</v>
      </c>
      <c r="E33" s="25">
        <v>697.19</v>
      </c>
      <c r="F33" s="25">
        <v>1.43</v>
      </c>
      <c r="G33" s="29">
        <v>0</v>
      </c>
      <c r="H33" s="27">
        <v>0</v>
      </c>
      <c r="I33" s="29">
        <v>598</v>
      </c>
      <c r="J33" s="29">
        <v>238634</v>
      </c>
      <c r="K33" s="29">
        <v>0</v>
      </c>
      <c r="L33" s="29">
        <v>238634</v>
      </c>
      <c r="M33" s="29">
        <v>489</v>
      </c>
      <c r="N33" s="29">
        <v>24506</v>
      </c>
      <c r="O33" s="29">
        <v>0</v>
      </c>
      <c r="P33" s="29">
        <v>295723</v>
      </c>
      <c r="Q33" s="29">
        <v>41035</v>
      </c>
      <c r="R33" s="29">
        <v>254688</v>
      </c>
      <c r="S33" s="29">
        <v>172098</v>
      </c>
      <c r="T33" s="29">
        <v>82590</v>
      </c>
      <c r="U33"/>
      <c r="V33"/>
    </row>
    <row r="34" spans="1:22" ht="15" x14ac:dyDescent="0.25">
      <c r="A34" s="20" t="s">
        <v>293</v>
      </c>
      <c r="B34" s="20" t="s">
        <v>675</v>
      </c>
      <c r="C34" s="25">
        <v>33.159999999999997</v>
      </c>
      <c r="D34" s="27">
        <v>220.4</v>
      </c>
      <c r="E34" s="25">
        <v>253.56</v>
      </c>
      <c r="F34" s="25">
        <v>0.52</v>
      </c>
      <c r="G34" s="29">
        <v>2</v>
      </c>
      <c r="H34" s="27">
        <v>0</v>
      </c>
      <c r="I34" s="29">
        <v>222</v>
      </c>
      <c r="J34" s="29">
        <v>86789</v>
      </c>
      <c r="K34" s="29">
        <v>1304</v>
      </c>
      <c r="L34" s="29">
        <v>88093</v>
      </c>
      <c r="M34" s="29">
        <v>178</v>
      </c>
      <c r="N34" s="29">
        <v>8913</v>
      </c>
      <c r="O34" s="29">
        <v>0</v>
      </c>
      <c r="P34" s="29">
        <v>109098</v>
      </c>
      <c r="Q34" s="29">
        <v>14924</v>
      </c>
      <c r="R34" s="29">
        <v>94174</v>
      </c>
      <c r="S34" s="29">
        <v>62591</v>
      </c>
      <c r="T34" s="29">
        <v>31583</v>
      </c>
      <c r="U34"/>
      <c r="V34"/>
    </row>
    <row r="35" spans="1:22" ht="15" x14ac:dyDescent="0.25">
      <c r="A35" s="20" t="s">
        <v>297</v>
      </c>
      <c r="B35" s="20" t="s">
        <v>679</v>
      </c>
      <c r="C35" s="25">
        <v>107.19</v>
      </c>
      <c r="D35" s="27">
        <v>710.4</v>
      </c>
      <c r="E35" s="25">
        <v>817.59</v>
      </c>
      <c r="F35" s="25">
        <v>1.68</v>
      </c>
      <c r="G35" s="29">
        <v>0</v>
      </c>
      <c r="H35" s="27">
        <v>0</v>
      </c>
      <c r="I35" s="29">
        <v>710</v>
      </c>
      <c r="J35" s="29">
        <v>279845</v>
      </c>
      <c r="K35" s="29">
        <v>0</v>
      </c>
      <c r="L35" s="29">
        <v>279845</v>
      </c>
      <c r="M35" s="29">
        <v>575</v>
      </c>
      <c r="N35" s="29">
        <v>28738</v>
      </c>
      <c r="O35" s="29">
        <v>0</v>
      </c>
      <c r="P35" s="29">
        <v>347262</v>
      </c>
      <c r="Q35" s="29">
        <v>48121</v>
      </c>
      <c r="R35" s="29">
        <v>299141</v>
      </c>
      <c r="S35" s="29">
        <v>201820</v>
      </c>
      <c r="T35" s="29">
        <v>97321</v>
      </c>
      <c r="U35"/>
      <c r="V35"/>
    </row>
    <row r="36" spans="1:22" ht="15" x14ac:dyDescent="0.25">
      <c r="A36" s="20" t="s">
        <v>295</v>
      </c>
      <c r="B36" s="20" t="s">
        <v>677</v>
      </c>
      <c r="C36" s="25">
        <v>27.12</v>
      </c>
      <c r="D36" s="27">
        <v>163.9</v>
      </c>
      <c r="E36" s="25">
        <v>191.02</v>
      </c>
      <c r="F36" s="25">
        <v>0.39</v>
      </c>
      <c r="G36" s="29">
        <v>7</v>
      </c>
      <c r="H36" s="27">
        <v>0</v>
      </c>
      <c r="I36" s="29">
        <v>171</v>
      </c>
      <c r="J36" s="29">
        <v>65382</v>
      </c>
      <c r="K36" s="29">
        <v>7384</v>
      </c>
      <c r="L36" s="29">
        <v>72766</v>
      </c>
      <c r="M36" s="29">
        <v>133</v>
      </c>
      <c r="N36" s="29">
        <v>7452</v>
      </c>
      <c r="O36" s="29">
        <v>0</v>
      </c>
      <c r="P36" s="29">
        <v>89528</v>
      </c>
      <c r="Q36" s="29">
        <v>11243</v>
      </c>
      <c r="R36" s="29">
        <v>78285</v>
      </c>
      <c r="S36" s="29">
        <v>47890</v>
      </c>
      <c r="T36" s="29">
        <v>30395</v>
      </c>
      <c r="U36"/>
      <c r="V36"/>
    </row>
    <row r="37" spans="1:22" ht="15" x14ac:dyDescent="0.25">
      <c r="A37" s="20" t="s">
        <v>296</v>
      </c>
      <c r="B37" s="20" t="s">
        <v>678</v>
      </c>
      <c r="C37" s="25">
        <v>128.09</v>
      </c>
      <c r="D37" s="27">
        <v>1059.5999999999999</v>
      </c>
      <c r="E37" s="25">
        <v>1187.69</v>
      </c>
      <c r="F37" s="25">
        <v>2.44</v>
      </c>
      <c r="G37" s="29">
        <v>0</v>
      </c>
      <c r="H37" s="27">
        <v>0</v>
      </c>
      <c r="I37" s="29">
        <v>1060</v>
      </c>
      <c r="J37" s="29">
        <v>406523</v>
      </c>
      <c r="K37" s="29">
        <v>0</v>
      </c>
      <c r="L37" s="29">
        <v>406523</v>
      </c>
      <c r="M37" s="29">
        <v>835</v>
      </c>
      <c r="N37" s="29">
        <v>41747</v>
      </c>
      <c r="O37" s="29">
        <v>0</v>
      </c>
      <c r="P37" s="29">
        <v>505993</v>
      </c>
      <c r="Q37" s="29">
        <v>69904</v>
      </c>
      <c r="R37" s="29">
        <v>436089</v>
      </c>
      <c r="S37" s="29">
        <v>293178</v>
      </c>
      <c r="T37" s="29">
        <v>142911</v>
      </c>
      <c r="U37"/>
      <c r="V37"/>
    </row>
    <row r="38" spans="1:22" ht="15" x14ac:dyDescent="0.25">
      <c r="A38" s="20" t="s">
        <v>298</v>
      </c>
      <c r="B38" s="20" t="s">
        <v>680</v>
      </c>
      <c r="C38" s="25">
        <v>148.26</v>
      </c>
      <c r="D38" s="27">
        <v>1057</v>
      </c>
      <c r="E38" s="25">
        <v>1205.26</v>
      </c>
      <c r="F38" s="25">
        <v>2.48</v>
      </c>
      <c r="G38" s="29">
        <v>7</v>
      </c>
      <c r="H38" s="27">
        <v>0</v>
      </c>
      <c r="I38" s="29">
        <v>1064</v>
      </c>
      <c r="J38" s="29">
        <v>412536</v>
      </c>
      <c r="K38" s="29">
        <v>0</v>
      </c>
      <c r="L38" s="29">
        <v>412536</v>
      </c>
      <c r="M38" s="29">
        <v>849</v>
      </c>
      <c r="N38" s="29">
        <v>42365</v>
      </c>
      <c r="O38" s="29">
        <v>0</v>
      </c>
      <c r="P38" s="29">
        <v>512853</v>
      </c>
      <c r="Q38" s="29">
        <v>70938</v>
      </c>
      <c r="R38" s="29">
        <v>441915</v>
      </c>
      <c r="S38" s="29">
        <v>297517</v>
      </c>
      <c r="T38" s="29">
        <v>144398</v>
      </c>
      <c r="U38"/>
      <c r="V38"/>
    </row>
    <row r="39" spans="1:22" ht="15" x14ac:dyDescent="0.25">
      <c r="A39" s="20" t="s">
        <v>299</v>
      </c>
      <c r="B39" s="20" t="s">
        <v>681</v>
      </c>
      <c r="C39" s="25">
        <v>49.55</v>
      </c>
      <c r="D39" s="27">
        <v>389</v>
      </c>
      <c r="E39" s="25">
        <v>438.55</v>
      </c>
      <c r="F39" s="25">
        <v>0.9</v>
      </c>
      <c r="G39" s="29">
        <v>0</v>
      </c>
      <c r="H39" s="27">
        <v>0</v>
      </c>
      <c r="I39" s="29">
        <v>389</v>
      </c>
      <c r="J39" s="29">
        <v>150107</v>
      </c>
      <c r="K39" s="29">
        <v>0</v>
      </c>
      <c r="L39" s="29">
        <v>150107</v>
      </c>
      <c r="M39" s="29">
        <v>308</v>
      </c>
      <c r="N39" s="29">
        <v>15415</v>
      </c>
      <c r="O39" s="29">
        <v>0</v>
      </c>
      <c r="P39" s="29">
        <v>186707</v>
      </c>
      <c r="Q39" s="29">
        <v>25812</v>
      </c>
      <c r="R39" s="29">
        <v>160895</v>
      </c>
      <c r="S39" s="29">
        <v>108255</v>
      </c>
      <c r="T39" s="29">
        <v>52640</v>
      </c>
      <c r="U39"/>
      <c r="V39"/>
    </row>
    <row r="40" spans="1:22" ht="15" x14ac:dyDescent="0.25">
      <c r="A40" s="20" t="s">
        <v>300</v>
      </c>
      <c r="B40" s="20" t="s">
        <v>682</v>
      </c>
      <c r="C40" s="25">
        <v>31.76</v>
      </c>
      <c r="D40" s="27">
        <v>197.3</v>
      </c>
      <c r="E40" s="25">
        <v>229.06</v>
      </c>
      <c r="F40" s="25">
        <v>0.47</v>
      </c>
      <c r="G40" s="29">
        <v>0</v>
      </c>
      <c r="H40" s="27">
        <v>0</v>
      </c>
      <c r="I40" s="29">
        <v>197</v>
      </c>
      <c r="J40" s="29">
        <v>78403</v>
      </c>
      <c r="K40" s="29">
        <v>1373</v>
      </c>
      <c r="L40" s="29">
        <v>79776</v>
      </c>
      <c r="M40" s="29">
        <v>161</v>
      </c>
      <c r="N40" s="29">
        <v>8051</v>
      </c>
      <c r="O40" s="29">
        <v>0</v>
      </c>
      <c r="P40" s="29">
        <v>98561</v>
      </c>
      <c r="Q40" s="29">
        <v>13481</v>
      </c>
      <c r="R40" s="29">
        <v>85080</v>
      </c>
      <c r="S40" s="29">
        <v>56543</v>
      </c>
      <c r="T40" s="29">
        <v>28537</v>
      </c>
      <c r="U40"/>
      <c r="V40"/>
    </row>
    <row r="41" spans="1:22" ht="15" x14ac:dyDescent="0.25">
      <c r="A41" s="20" t="s">
        <v>301</v>
      </c>
      <c r="B41" s="20" t="s">
        <v>683</v>
      </c>
      <c r="C41" s="25">
        <v>18.41</v>
      </c>
      <c r="D41" s="27">
        <v>187.1</v>
      </c>
      <c r="E41" s="25">
        <v>205.51</v>
      </c>
      <c r="F41" s="25">
        <v>0.42</v>
      </c>
      <c r="G41" s="29">
        <v>0</v>
      </c>
      <c r="H41" s="27">
        <v>0</v>
      </c>
      <c r="I41" s="29">
        <v>187</v>
      </c>
      <c r="J41" s="29">
        <v>70342</v>
      </c>
      <c r="K41" s="29">
        <v>1515</v>
      </c>
      <c r="L41" s="29">
        <v>71857</v>
      </c>
      <c r="M41" s="29">
        <v>144</v>
      </c>
      <c r="N41" s="29">
        <v>7379</v>
      </c>
      <c r="O41" s="29">
        <v>0</v>
      </c>
      <c r="P41" s="29">
        <v>89416</v>
      </c>
      <c r="Q41" s="29">
        <v>12096</v>
      </c>
      <c r="R41" s="29">
        <v>77320</v>
      </c>
      <c r="S41" s="29">
        <v>50884</v>
      </c>
      <c r="T41" s="29">
        <v>26436</v>
      </c>
      <c r="U41"/>
      <c r="V41"/>
    </row>
    <row r="42" spans="1:22" ht="15" x14ac:dyDescent="0.25">
      <c r="A42" s="20" t="s">
        <v>302</v>
      </c>
      <c r="B42" s="20" t="s">
        <v>684</v>
      </c>
      <c r="C42" s="25">
        <v>34.229999999999997</v>
      </c>
      <c r="D42" s="27">
        <v>573.29999999999995</v>
      </c>
      <c r="E42" s="25">
        <v>607.53</v>
      </c>
      <c r="F42" s="25">
        <v>1.25</v>
      </c>
      <c r="G42" s="29">
        <v>36</v>
      </c>
      <c r="H42" s="27">
        <v>0</v>
      </c>
      <c r="I42" s="29">
        <v>609</v>
      </c>
      <c r="J42" s="29">
        <v>207945</v>
      </c>
      <c r="K42" s="29">
        <v>0</v>
      </c>
      <c r="L42" s="29">
        <v>207945</v>
      </c>
      <c r="M42" s="29">
        <v>428</v>
      </c>
      <c r="N42" s="29">
        <v>21355</v>
      </c>
      <c r="O42" s="29">
        <v>0</v>
      </c>
      <c r="P42" s="29">
        <v>262412</v>
      </c>
      <c r="Q42" s="29">
        <v>35757</v>
      </c>
      <c r="R42" s="29">
        <v>226655</v>
      </c>
      <c r="S42" s="29">
        <v>149969</v>
      </c>
      <c r="T42" s="29">
        <v>76686</v>
      </c>
      <c r="U42"/>
      <c r="V42"/>
    </row>
    <row r="43" spans="1:22" ht="15" x14ac:dyDescent="0.25">
      <c r="A43" s="20" t="s">
        <v>303</v>
      </c>
      <c r="B43" s="20" t="s">
        <v>685</v>
      </c>
      <c r="C43" s="25">
        <v>72.47</v>
      </c>
      <c r="D43" s="27">
        <v>655.5</v>
      </c>
      <c r="E43" s="25">
        <v>727.97</v>
      </c>
      <c r="F43" s="25">
        <v>1.5</v>
      </c>
      <c r="G43" s="29">
        <v>5</v>
      </c>
      <c r="H43" s="27">
        <v>0</v>
      </c>
      <c r="I43" s="29">
        <v>661</v>
      </c>
      <c r="J43" s="29">
        <v>249170</v>
      </c>
      <c r="K43" s="29">
        <v>0</v>
      </c>
      <c r="L43" s="29">
        <v>249170</v>
      </c>
      <c r="M43" s="29">
        <v>513</v>
      </c>
      <c r="N43" s="29">
        <v>25588</v>
      </c>
      <c r="O43" s="29">
        <v>0</v>
      </c>
      <c r="P43" s="29">
        <v>310746</v>
      </c>
      <c r="Q43" s="29">
        <v>42846</v>
      </c>
      <c r="R43" s="29">
        <v>267900</v>
      </c>
      <c r="S43" s="29">
        <v>179699</v>
      </c>
      <c r="T43" s="29">
        <v>88201</v>
      </c>
      <c r="U43"/>
      <c r="V43"/>
    </row>
    <row r="44" spans="1:22" ht="15" x14ac:dyDescent="0.25">
      <c r="A44" s="20" t="s">
        <v>304</v>
      </c>
      <c r="B44" s="20" t="s">
        <v>686</v>
      </c>
      <c r="C44" s="25">
        <v>78.45</v>
      </c>
      <c r="D44" s="27">
        <v>734.3</v>
      </c>
      <c r="E44" s="25">
        <v>812.75</v>
      </c>
      <c r="F44" s="25">
        <v>1.67</v>
      </c>
      <c r="G44" s="29">
        <v>25</v>
      </c>
      <c r="H44" s="27">
        <v>0</v>
      </c>
      <c r="I44" s="29">
        <v>759</v>
      </c>
      <c r="J44" s="29">
        <v>278188</v>
      </c>
      <c r="K44" s="29">
        <v>3050</v>
      </c>
      <c r="L44" s="29">
        <v>281238</v>
      </c>
      <c r="M44" s="29">
        <v>572</v>
      </c>
      <c r="N44" s="29">
        <v>28878</v>
      </c>
      <c r="O44" s="29">
        <v>0</v>
      </c>
      <c r="P44" s="29">
        <v>351422</v>
      </c>
      <c r="Q44" s="29">
        <v>47836</v>
      </c>
      <c r="R44" s="29">
        <v>303586</v>
      </c>
      <c r="S44" s="29">
        <v>200935</v>
      </c>
      <c r="T44" s="29">
        <v>102651</v>
      </c>
      <c r="U44"/>
      <c r="V44"/>
    </row>
    <row r="45" spans="1:22" ht="15" x14ac:dyDescent="0.25">
      <c r="A45" s="20" t="s">
        <v>305</v>
      </c>
      <c r="B45" s="20" t="s">
        <v>687</v>
      </c>
      <c r="C45" s="25">
        <v>42.08</v>
      </c>
      <c r="D45" s="27">
        <v>282</v>
      </c>
      <c r="E45" s="25">
        <v>324.08</v>
      </c>
      <c r="F45" s="25">
        <v>0.67</v>
      </c>
      <c r="G45" s="29">
        <v>0</v>
      </c>
      <c r="H45" s="27">
        <v>0</v>
      </c>
      <c r="I45" s="29">
        <v>282</v>
      </c>
      <c r="J45" s="29">
        <v>110926</v>
      </c>
      <c r="K45" s="29">
        <v>6177</v>
      </c>
      <c r="L45" s="29">
        <v>117103</v>
      </c>
      <c r="M45" s="29">
        <v>229</v>
      </c>
      <c r="N45" s="29">
        <v>12024</v>
      </c>
      <c r="O45" s="29">
        <v>0</v>
      </c>
      <c r="P45" s="29">
        <v>144491</v>
      </c>
      <c r="Q45" s="29">
        <v>19075</v>
      </c>
      <c r="R45" s="29">
        <v>125416</v>
      </c>
      <c r="S45" s="29">
        <v>80632</v>
      </c>
      <c r="T45" s="29">
        <v>44784</v>
      </c>
      <c r="U45"/>
      <c r="V45"/>
    </row>
    <row r="46" spans="1:22" ht="15" x14ac:dyDescent="0.25">
      <c r="A46" s="20" t="s">
        <v>306</v>
      </c>
      <c r="B46" s="20" t="s">
        <v>688</v>
      </c>
      <c r="C46" s="25">
        <v>47.73</v>
      </c>
      <c r="D46" s="27">
        <v>350.7</v>
      </c>
      <c r="E46" s="25">
        <v>398.43</v>
      </c>
      <c r="F46" s="25">
        <v>0.82</v>
      </c>
      <c r="G46" s="29">
        <v>0</v>
      </c>
      <c r="H46" s="27">
        <v>0</v>
      </c>
      <c r="I46" s="29">
        <v>351</v>
      </c>
      <c r="J46" s="29">
        <v>136375</v>
      </c>
      <c r="K46" s="29">
        <v>11585</v>
      </c>
      <c r="L46" s="29">
        <v>147960</v>
      </c>
      <c r="M46" s="29">
        <v>281</v>
      </c>
      <c r="N46" s="29">
        <v>14153</v>
      </c>
      <c r="O46" s="29">
        <v>0</v>
      </c>
      <c r="P46" s="29">
        <v>181231</v>
      </c>
      <c r="Q46" s="29">
        <v>23451</v>
      </c>
      <c r="R46" s="29">
        <v>157780</v>
      </c>
      <c r="S46" s="29">
        <v>98500</v>
      </c>
      <c r="T46" s="29">
        <v>59280</v>
      </c>
      <c r="U46"/>
      <c r="V46"/>
    </row>
    <row r="47" spans="1:22" ht="15" x14ac:dyDescent="0.25">
      <c r="A47" s="20" t="s">
        <v>307</v>
      </c>
      <c r="B47" s="20" t="s">
        <v>689</v>
      </c>
      <c r="C47" s="25">
        <v>63.6</v>
      </c>
      <c r="D47" s="27">
        <v>507</v>
      </c>
      <c r="E47" s="25">
        <v>570.6</v>
      </c>
      <c r="F47" s="25">
        <v>1.17</v>
      </c>
      <c r="G47" s="29">
        <v>3</v>
      </c>
      <c r="H47" s="27">
        <v>0</v>
      </c>
      <c r="I47" s="29">
        <v>510</v>
      </c>
      <c r="J47" s="29">
        <v>195305</v>
      </c>
      <c r="K47" s="29">
        <v>0</v>
      </c>
      <c r="L47" s="29">
        <v>195305</v>
      </c>
      <c r="M47" s="29">
        <v>400</v>
      </c>
      <c r="N47" s="29">
        <v>20057</v>
      </c>
      <c r="O47" s="29">
        <v>0</v>
      </c>
      <c r="P47" s="29">
        <v>243133</v>
      </c>
      <c r="Q47" s="29">
        <v>33584</v>
      </c>
      <c r="R47" s="29">
        <v>209549</v>
      </c>
      <c r="S47" s="29">
        <v>140851</v>
      </c>
      <c r="T47" s="29">
        <v>68698</v>
      </c>
      <c r="U47"/>
      <c r="V47"/>
    </row>
    <row r="48" spans="1:22" ht="15" x14ac:dyDescent="0.25">
      <c r="A48" s="24" t="s">
        <v>392</v>
      </c>
      <c r="B48" s="24"/>
      <c r="C48" s="26">
        <v>6032.8599999999988</v>
      </c>
      <c r="D48" s="28">
        <v>36581.100000000013</v>
      </c>
      <c r="E48" s="26">
        <v>42613.96</v>
      </c>
      <c r="F48" s="26">
        <v>87.650000000000034</v>
      </c>
      <c r="G48" s="30">
        <v>1124</v>
      </c>
      <c r="H48" s="28">
        <v>4.0999999999999996</v>
      </c>
      <c r="I48" s="30">
        <v>37701</v>
      </c>
      <c r="J48" s="30">
        <v>14585910</v>
      </c>
      <c r="K48" s="30">
        <v>101921</v>
      </c>
      <c r="L48" s="30">
        <v>14687831</v>
      </c>
      <c r="M48" s="30">
        <v>30001</v>
      </c>
      <c r="N48" s="30">
        <v>1506001</v>
      </c>
      <c r="O48" s="30">
        <v>0</v>
      </c>
      <c r="P48" s="30">
        <v>18247173</v>
      </c>
      <c r="Q48" s="30">
        <v>2508136</v>
      </c>
      <c r="R48" s="30">
        <v>15739037</v>
      </c>
      <c r="S48" s="30">
        <v>10527304</v>
      </c>
      <c r="T48" s="30">
        <v>5211733</v>
      </c>
      <c r="U48"/>
      <c r="V48"/>
    </row>
    <row r="49" spans="1:22" ht="15" x14ac:dyDescent="0.25">
      <c r="A49"/>
      <c r="B49"/>
      <c r="C49"/>
      <c r="D49"/>
      <c r="E49"/>
      <c r="F49"/>
      <c r="G49"/>
      <c r="H49"/>
      <c r="I49"/>
      <c r="J49"/>
      <c r="K49"/>
      <c r="L49"/>
      <c r="M49"/>
      <c r="N49"/>
      <c r="O49"/>
      <c r="P49"/>
      <c r="Q49"/>
      <c r="R49"/>
      <c r="S49"/>
      <c r="T49"/>
      <c r="U49"/>
      <c r="V49"/>
    </row>
    <row r="50" spans="1:22" ht="15" x14ac:dyDescent="0.25">
      <c r="A50"/>
      <c r="B50"/>
      <c r="C50"/>
      <c r="D50"/>
      <c r="E50"/>
      <c r="F50"/>
      <c r="G50"/>
      <c r="H50"/>
      <c r="I50"/>
      <c r="J50"/>
      <c r="K50"/>
      <c r="L50"/>
      <c r="M50"/>
      <c r="N50"/>
      <c r="O50"/>
      <c r="P50"/>
      <c r="Q50"/>
      <c r="R50"/>
      <c r="S50"/>
      <c r="T50"/>
      <c r="U50"/>
      <c r="V50"/>
    </row>
    <row r="51" spans="1:22" ht="15" x14ac:dyDescent="0.25">
      <c r="A51"/>
      <c r="B51"/>
      <c r="C51"/>
      <c r="D51"/>
      <c r="E51"/>
      <c r="F51"/>
      <c r="G51"/>
      <c r="H51"/>
      <c r="I51"/>
      <c r="J51"/>
      <c r="K51"/>
      <c r="L51"/>
      <c r="M51"/>
      <c r="N51"/>
      <c r="O51"/>
      <c r="P51"/>
      <c r="Q51"/>
      <c r="R51"/>
      <c r="S51"/>
      <c r="T51"/>
      <c r="U51"/>
      <c r="V51"/>
    </row>
    <row r="52" spans="1:22" ht="15" x14ac:dyDescent="0.25">
      <c r="A52"/>
      <c r="B52"/>
      <c r="C52"/>
      <c r="D52"/>
      <c r="E52"/>
      <c r="F52"/>
      <c r="G52"/>
      <c r="H52"/>
      <c r="I52"/>
      <c r="J52"/>
      <c r="K52"/>
      <c r="L52"/>
      <c r="M52"/>
      <c r="N52"/>
      <c r="O52"/>
      <c r="P52"/>
      <c r="Q52"/>
      <c r="R52"/>
      <c r="S52"/>
      <c r="T52"/>
      <c r="U52"/>
      <c r="V52"/>
    </row>
    <row r="53" spans="1:22" ht="15" x14ac:dyDescent="0.25">
      <c r="A53"/>
      <c r="B53"/>
      <c r="C53"/>
      <c r="D53"/>
      <c r="E53"/>
      <c r="F53"/>
      <c r="G53"/>
      <c r="H53"/>
      <c r="I53"/>
      <c r="J53"/>
      <c r="K53"/>
      <c r="L53"/>
      <c r="M53"/>
      <c r="N53"/>
      <c r="O53"/>
      <c r="P53"/>
      <c r="Q53"/>
      <c r="R53"/>
      <c r="S53"/>
      <c r="T53"/>
      <c r="U53"/>
      <c r="V53"/>
    </row>
    <row r="54" spans="1:22" ht="15" x14ac:dyDescent="0.25">
      <c r="A54"/>
      <c r="B54"/>
      <c r="C54"/>
      <c r="D54"/>
      <c r="E54"/>
      <c r="F54"/>
      <c r="G54"/>
      <c r="H54"/>
      <c r="I54"/>
      <c r="J54"/>
      <c r="K54"/>
      <c r="L54"/>
      <c r="M54"/>
      <c r="N54"/>
      <c r="O54"/>
      <c r="P54"/>
      <c r="Q54"/>
      <c r="R54"/>
      <c r="S54"/>
      <c r="T54"/>
      <c r="U54"/>
      <c r="V54"/>
    </row>
    <row r="55" spans="1:22" ht="15" x14ac:dyDescent="0.25">
      <c r="A55"/>
      <c r="B55"/>
      <c r="C55"/>
      <c r="D55"/>
      <c r="E55"/>
      <c r="F55"/>
      <c r="G55"/>
      <c r="H55"/>
      <c r="I55"/>
      <c r="J55"/>
      <c r="K55"/>
      <c r="L55"/>
      <c r="M55"/>
      <c r="N55"/>
      <c r="O55"/>
      <c r="P55"/>
      <c r="Q55"/>
      <c r="R55"/>
      <c r="S55"/>
      <c r="T55"/>
      <c r="U55"/>
      <c r="V55"/>
    </row>
    <row r="56" spans="1:22" ht="15" x14ac:dyDescent="0.25">
      <c r="A56"/>
      <c r="B56"/>
      <c r="C56"/>
      <c r="D56"/>
      <c r="E56"/>
      <c r="F56"/>
      <c r="G56"/>
      <c r="H56"/>
      <c r="I56"/>
      <c r="J56"/>
      <c r="K56"/>
      <c r="L56"/>
      <c r="M56"/>
      <c r="N56"/>
      <c r="O56"/>
      <c r="P56"/>
      <c r="Q56"/>
      <c r="R56"/>
      <c r="S56"/>
      <c r="T56"/>
      <c r="U56"/>
      <c r="V56"/>
    </row>
    <row r="57" spans="1:22" ht="15" x14ac:dyDescent="0.25">
      <c r="A57"/>
      <c r="B57"/>
      <c r="C57"/>
      <c r="D57"/>
      <c r="E57"/>
      <c r="F57"/>
      <c r="G57"/>
      <c r="H57"/>
      <c r="I57"/>
      <c r="J57"/>
      <c r="K57"/>
      <c r="L57"/>
      <c r="M57"/>
      <c r="N57"/>
      <c r="O57"/>
      <c r="P57"/>
      <c r="Q57"/>
      <c r="R57"/>
      <c r="S57"/>
      <c r="T57"/>
      <c r="U57"/>
      <c r="V57"/>
    </row>
    <row r="58" spans="1:22" ht="15" x14ac:dyDescent="0.25">
      <c r="A58"/>
      <c r="B58"/>
      <c r="C58"/>
      <c r="D58"/>
      <c r="E58"/>
      <c r="F58"/>
      <c r="G58"/>
      <c r="H58"/>
      <c r="I58"/>
      <c r="J58"/>
      <c r="K58"/>
      <c r="L58"/>
      <c r="M58"/>
      <c r="N58"/>
      <c r="O58"/>
      <c r="P58"/>
      <c r="Q58"/>
      <c r="R58"/>
      <c r="S58"/>
      <c r="T58"/>
      <c r="U58"/>
      <c r="V58"/>
    </row>
    <row r="59" spans="1:22" ht="15" x14ac:dyDescent="0.25">
      <c r="A59"/>
      <c r="B59"/>
      <c r="C59"/>
      <c r="D59"/>
      <c r="E59"/>
      <c r="F59"/>
      <c r="G59"/>
      <c r="H59"/>
      <c r="I59"/>
      <c r="J59"/>
      <c r="K59"/>
      <c r="L59"/>
      <c r="M59"/>
      <c r="N59"/>
      <c r="O59"/>
      <c r="P59"/>
      <c r="Q59"/>
      <c r="R59"/>
      <c r="S59"/>
      <c r="T59"/>
      <c r="U59"/>
      <c r="V59"/>
    </row>
    <row r="60" spans="1:22" ht="15" x14ac:dyDescent="0.25">
      <c r="A60"/>
      <c r="B60"/>
      <c r="C60"/>
      <c r="D60"/>
      <c r="E60"/>
      <c r="F60"/>
      <c r="G60"/>
      <c r="H60"/>
      <c r="I60"/>
      <c r="J60"/>
      <c r="K60"/>
      <c r="L60"/>
      <c r="M60"/>
      <c r="N60"/>
      <c r="O60"/>
      <c r="P60"/>
      <c r="Q60"/>
      <c r="R60"/>
      <c r="S60"/>
      <c r="T60"/>
      <c r="U60"/>
      <c r="V60"/>
    </row>
    <row r="61" spans="1:22" ht="15" x14ac:dyDescent="0.25">
      <c r="A61"/>
      <c r="B61"/>
      <c r="C61"/>
      <c r="D61"/>
      <c r="E61"/>
      <c r="F61"/>
      <c r="G61"/>
      <c r="H61"/>
      <c r="I61"/>
      <c r="J61"/>
      <c r="K61"/>
      <c r="L61"/>
      <c r="M61"/>
      <c r="N61"/>
      <c r="O61"/>
      <c r="P61"/>
      <c r="Q61"/>
      <c r="R61"/>
      <c r="S61"/>
      <c r="T61"/>
      <c r="U61"/>
      <c r="V61"/>
    </row>
    <row r="62" spans="1:22" ht="15" x14ac:dyDescent="0.25">
      <c r="A62"/>
      <c r="B62"/>
      <c r="C62"/>
      <c r="D62"/>
      <c r="E62"/>
      <c r="F62"/>
      <c r="G62"/>
      <c r="H62"/>
      <c r="I62"/>
      <c r="J62"/>
      <c r="K62"/>
      <c r="L62"/>
      <c r="M62"/>
      <c r="N62"/>
      <c r="O62"/>
      <c r="P62"/>
      <c r="Q62"/>
      <c r="R62"/>
      <c r="S62"/>
      <c r="T62"/>
      <c r="U62"/>
      <c r="V62"/>
    </row>
    <row r="63" spans="1:22" ht="15" x14ac:dyDescent="0.25">
      <c r="A63"/>
      <c r="B63"/>
      <c r="C63"/>
      <c r="D63"/>
      <c r="E63"/>
      <c r="F63"/>
      <c r="G63"/>
      <c r="H63"/>
      <c r="I63"/>
      <c r="J63"/>
      <c r="K63"/>
      <c r="L63"/>
      <c r="M63"/>
      <c r="N63"/>
      <c r="O63"/>
      <c r="P63"/>
      <c r="Q63"/>
      <c r="R63"/>
      <c r="S63"/>
      <c r="T63"/>
      <c r="U63"/>
      <c r="V63"/>
    </row>
    <row r="64" spans="1:22" ht="15" x14ac:dyDescent="0.25">
      <c r="A64"/>
      <c r="B64"/>
      <c r="C64"/>
      <c r="D64"/>
      <c r="E64"/>
      <c r="F64"/>
      <c r="G64"/>
      <c r="H64"/>
      <c r="I64"/>
      <c r="J64"/>
      <c r="K64"/>
      <c r="L64"/>
      <c r="M64"/>
      <c r="N64"/>
      <c r="O64"/>
      <c r="P64"/>
      <c r="Q64"/>
      <c r="R64"/>
      <c r="S64"/>
      <c r="T64"/>
      <c r="U64"/>
      <c r="V64"/>
    </row>
    <row r="65" spans="1:22" ht="15" x14ac:dyDescent="0.25">
      <c r="A65"/>
      <c r="B65"/>
      <c r="C65"/>
      <c r="D65"/>
      <c r="E65"/>
      <c r="F65"/>
      <c r="G65"/>
      <c r="H65"/>
      <c r="I65"/>
      <c r="J65"/>
      <c r="K65"/>
      <c r="L65"/>
      <c r="M65"/>
      <c r="N65"/>
      <c r="O65"/>
      <c r="P65"/>
      <c r="Q65"/>
      <c r="R65"/>
      <c r="S65"/>
      <c r="T65"/>
      <c r="U65"/>
      <c r="V65"/>
    </row>
    <row r="66" spans="1:22" ht="15" x14ac:dyDescent="0.25">
      <c r="A66"/>
      <c r="B66"/>
      <c r="C66"/>
      <c r="D66"/>
      <c r="E66"/>
      <c r="F66"/>
      <c r="G66"/>
      <c r="H66"/>
      <c r="I66"/>
      <c r="J66"/>
      <c r="K66"/>
      <c r="L66"/>
      <c r="M66"/>
      <c r="N66"/>
      <c r="O66"/>
      <c r="P66"/>
      <c r="Q66"/>
      <c r="R66"/>
      <c r="S66"/>
      <c r="T66"/>
      <c r="U66"/>
      <c r="V66"/>
    </row>
    <row r="67" spans="1:22" ht="15" x14ac:dyDescent="0.25">
      <c r="A67"/>
      <c r="B67"/>
      <c r="C67"/>
      <c r="D67"/>
      <c r="E67"/>
      <c r="F67"/>
      <c r="G67"/>
      <c r="H67"/>
      <c r="I67"/>
      <c r="J67"/>
      <c r="K67"/>
      <c r="L67"/>
      <c r="M67"/>
      <c r="N67"/>
      <c r="O67"/>
      <c r="P67"/>
      <c r="Q67"/>
      <c r="R67"/>
      <c r="S67"/>
      <c r="T67"/>
      <c r="U67"/>
      <c r="V67"/>
    </row>
    <row r="68" spans="1:22" ht="15" x14ac:dyDescent="0.25">
      <c r="A68"/>
      <c r="B68"/>
      <c r="C68"/>
      <c r="D68"/>
      <c r="E68"/>
      <c r="F68"/>
      <c r="G68"/>
      <c r="H68"/>
      <c r="I68"/>
      <c r="J68"/>
      <c r="K68"/>
      <c r="L68"/>
      <c r="M68"/>
      <c r="N68"/>
      <c r="O68"/>
      <c r="P68"/>
      <c r="Q68"/>
      <c r="R68"/>
      <c r="S68"/>
      <c r="T68"/>
      <c r="U68"/>
      <c r="V68"/>
    </row>
    <row r="69" spans="1:22" ht="15" x14ac:dyDescent="0.25">
      <c r="A69"/>
      <c r="B69"/>
      <c r="C69"/>
      <c r="D69"/>
      <c r="E69"/>
      <c r="F69"/>
      <c r="G69"/>
      <c r="H69"/>
      <c r="I69"/>
      <c r="J69"/>
      <c r="K69"/>
      <c r="L69"/>
      <c r="M69"/>
      <c r="N69"/>
      <c r="O69"/>
      <c r="P69"/>
      <c r="Q69"/>
      <c r="R69"/>
      <c r="S69"/>
      <c r="T69"/>
      <c r="U69"/>
      <c r="V69"/>
    </row>
    <row r="70" spans="1:22" ht="15" x14ac:dyDescent="0.25">
      <c r="A70"/>
      <c r="B70"/>
      <c r="C70"/>
      <c r="D70"/>
      <c r="E70"/>
      <c r="F70"/>
      <c r="G70"/>
      <c r="H70"/>
      <c r="I70"/>
      <c r="J70"/>
      <c r="K70"/>
      <c r="L70"/>
      <c r="M70"/>
      <c r="N70"/>
      <c r="O70"/>
      <c r="P70"/>
      <c r="Q70"/>
      <c r="R70"/>
      <c r="S70"/>
      <c r="T70"/>
      <c r="U70"/>
      <c r="V70"/>
    </row>
    <row r="71" spans="1:22" ht="15" x14ac:dyDescent="0.25">
      <c r="A71"/>
      <c r="B71"/>
      <c r="C71"/>
      <c r="D71"/>
      <c r="E71"/>
      <c r="F71"/>
      <c r="G71"/>
      <c r="H71"/>
      <c r="I71"/>
      <c r="J71"/>
      <c r="K71"/>
      <c r="L71"/>
      <c r="M71"/>
      <c r="N71"/>
      <c r="O71"/>
      <c r="P71"/>
      <c r="Q71"/>
      <c r="R71"/>
      <c r="S71"/>
      <c r="T71"/>
      <c r="U71"/>
      <c r="V71"/>
    </row>
    <row r="72" spans="1:22" ht="15" x14ac:dyDescent="0.25">
      <c r="A72"/>
      <c r="B72"/>
      <c r="C72"/>
      <c r="D72"/>
      <c r="E72"/>
      <c r="F72"/>
      <c r="G72"/>
      <c r="H72"/>
      <c r="I72"/>
      <c r="J72"/>
      <c r="K72"/>
      <c r="L72"/>
      <c r="M72"/>
      <c r="N72"/>
      <c r="O72"/>
      <c r="P72"/>
      <c r="Q72"/>
      <c r="R72"/>
      <c r="S72"/>
      <c r="T72"/>
      <c r="U72"/>
      <c r="V72"/>
    </row>
    <row r="73" spans="1:22" ht="15" x14ac:dyDescent="0.25">
      <c r="A73"/>
      <c r="B73"/>
      <c r="C73"/>
      <c r="D73"/>
      <c r="E73"/>
      <c r="F73"/>
      <c r="G73"/>
      <c r="H73"/>
      <c r="I73"/>
      <c r="J73"/>
      <c r="K73"/>
      <c r="L73"/>
      <c r="M73"/>
      <c r="N73"/>
      <c r="O73"/>
      <c r="P73"/>
      <c r="Q73"/>
      <c r="R73"/>
      <c r="S73"/>
      <c r="T73"/>
      <c r="U73"/>
      <c r="V73"/>
    </row>
    <row r="74" spans="1:22" ht="15" x14ac:dyDescent="0.25">
      <c r="A74"/>
      <c r="B74"/>
      <c r="C74"/>
      <c r="D74"/>
      <c r="E74"/>
      <c r="F74"/>
      <c r="G74"/>
      <c r="H74"/>
      <c r="I74"/>
      <c r="J74"/>
      <c r="K74"/>
      <c r="L74"/>
      <c r="M74"/>
      <c r="N74"/>
      <c r="O74"/>
      <c r="P74"/>
      <c r="Q74"/>
      <c r="R74"/>
      <c r="S74"/>
      <c r="T74"/>
      <c r="U74"/>
      <c r="V74"/>
    </row>
    <row r="75" spans="1:22" ht="15" x14ac:dyDescent="0.25">
      <c r="A75"/>
      <c r="B75"/>
      <c r="C75"/>
      <c r="D75"/>
      <c r="E75"/>
      <c r="F75"/>
      <c r="G75"/>
      <c r="H75"/>
      <c r="I75"/>
      <c r="J75"/>
      <c r="K75"/>
      <c r="L75"/>
      <c r="M75"/>
      <c r="N75"/>
      <c r="O75"/>
      <c r="P75"/>
      <c r="Q75"/>
      <c r="R75"/>
      <c r="S75"/>
      <c r="T75"/>
      <c r="U75"/>
      <c r="V75"/>
    </row>
    <row r="76" spans="1:22" ht="15" x14ac:dyDescent="0.25">
      <c r="A76"/>
      <c r="B76"/>
      <c r="C76"/>
      <c r="D76"/>
      <c r="E76"/>
      <c r="F76"/>
      <c r="G76"/>
      <c r="H76"/>
      <c r="I76"/>
      <c r="J76"/>
      <c r="K76"/>
      <c r="L76"/>
      <c r="M76"/>
      <c r="N76"/>
      <c r="O76"/>
      <c r="P76"/>
      <c r="Q76"/>
      <c r="R76"/>
      <c r="S76"/>
      <c r="T76"/>
      <c r="U76"/>
      <c r="V76"/>
    </row>
    <row r="77" spans="1:22" ht="15" x14ac:dyDescent="0.25">
      <c r="A77"/>
      <c r="B77"/>
      <c r="C77"/>
      <c r="D77"/>
      <c r="E77"/>
      <c r="F77"/>
      <c r="G77"/>
      <c r="H77"/>
      <c r="I77"/>
      <c r="J77"/>
      <c r="K77"/>
      <c r="L77"/>
      <c r="M77"/>
      <c r="N77"/>
      <c r="O77"/>
      <c r="P77"/>
      <c r="Q77"/>
      <c r="R77"/>
      <c r="S77"/>
      <c r="T77"/>
      <c r="U77"/>
      <c r="V77"/>
    </row>
    <row r="78" spans="1:22" ht="15" x14ac:dyDescent="0.25">
      <c r="A78"/>
      <c r="B78"/>
      <c r="C78"/>
      <c r="D78"/>
      <c r="E78"/>
      <c r="F78"/>
      <c r="G78"/>
      <c r="H78"/>
      <c r="I78"/>
      <c r="J78"/>
      <c r="K78"/>
      <c r="L78"/>
      <c r="M78"/>
      <c r="N78"/>
      <c r="O78"/>
      <c r="P78"/>
      <c r="Q78"/>
      <c r="R78"/>
      <c r="S78"/>
      <c r="T78"/>
      <c r="U78"/>
      <c r="V78"/>
    </row>
    <row r="79" spans="1:22" ht="15" x14ac:dyDescent="0.25">
      <c r="A79"/>
      <c r="B79"/>
      <c r="C79"/>
      <c r="D79"/>
      <c r="E79"/>
      <c r="F79"/>
      <c r="G79"/>
      <c r="H79"/>
      <c r="I79"/>
      <c r="J79"/>
      <c r="K79"/>
      <c r="L79"/>
      <c r="M79"/>
      <c r="N79"/>
      <c r="O79"/>
      <c r="P79"/>
      <c r="Q79"/>
      <c r="R79"/>
      <c r="S79"/>
      <c r="T79"/>
      <c r="U79"/>
      <c r="V79"/>
    </row>
    <row r="80" spans="1:22" ht="15" x14ac:dyDescent="0.25">
      <c r="A80"/>
      <c r="B80"/>
      <c r="C80"/>
      <c r="D80"/>
      <c r="E80"/>
      <c r="F80"/>
      <c r="G80"/>
      <c r="H80"/>
      <c r="I80"/>
      <c r="J80"/>
      <c r="K80"/>
      <c r="L80"/>
      <c r="M80"/>
      <c r="N80"/>
      <c r="O80"/>
      <c r="P80"/>
      <c r="Q80"/>
      <c r="R80"/>
      <c r="S80"/>
      <c r="T80"/>
      <c r="U80"/>
      <c r="V80"/>
    </row>
    <row r="81" spans="1:22" ht="15" x14ac:dyDescent="0.25">
      <c r="A81"/>
      <c r="B81"/>
      <c r="C81"/>
      <c r="D81"/>
      <c r="E81"/>
      <c r="F81"/>
      <c r="G81"/>
      <c r="H81"/>
      <c r="I81"/>
      <c r="J81"/>
      <c r="K81"/>
      <c r="L81"/>
      <c r="M81"/>
      <c r="N81"/>
      <c r="O81"/>
      <c r="P81"/>
      <c r="Q81"/>
      <c r="R81"/>
      <c r="S81"/>
      <c r="T81"/>
      <c r="U81"/>
      <c r="V81"/>
    </row>
    <row r="82" spans="1:22" ht="15" x14ac:dyDescent="0.25">
      <c r="A82"/>
      <c r="B82"/>
      <c r="C82"/>
      <c r="D82"/>
      <c r="E82"/>
      <c r="F82"/>
      <c r="G82"/>
      <c r="H82"/>
      <c r="I82"/>
      <c r="J82"/>
      <c r="K82"/>
      <c r="L82"/>
      <c r="M82"/>
      <c r="N82"/>
      <c r="O82"/>
      <c r="P82"/>
      <c r="Q82"/>
      <c r="R82"/>
      <c r="S82"/>
      <c r="T82"/>
      <c r="U82"/>
      <c r="V82"/>
    </row>
    <row r="83" spans="1:22" ht="15" x14ac:dyDescent="0.25">
      <c r="A83"/>
      <c r="B83"/>
      <c r="C83"/>
      <c r="D83"/>
      <c r="E83"/>
      <c r="F83"/>
      <c r="G83"/>
      <c r="H83"/>
      <c r="I83"/>
      <c r="J83"/>
      <c r="K83"/>
      <c r="L83"/>
      <c r="M83"/>
      <c r="N83"/>
      <c r="O83"/>
      <c r="P83"/>
      <c r="Q83"/>
      <c r="R83"/>
      <c r="S83"/>
      <c r="T83"/>
      <c r="U83"/>
      <c r="V83"/>
    </row>
    <row r="84" spans="1:22" ht="15" x14ac:dyDescent="0.25">
      <c r="A84"/>
      <c r="B84"/>
      <c r="C84"/>
      <c r="D84"/>
      <c r="E84"/>
      <c r="F84"/>
      <c r="G84"/>
      <c r="H84"/>
      <c r="I84"/>
      <c r="J84"/>
      <c r="K84"/>
      <c r="L84"/>
      <c r="M84"/>
      <c r="N84"/>
      <c r="O84"/>
      <c r="P84"/>
      <c r="Q84"/>
      <c r="R84"/>
      <c r="S84"/>
      <c r="T84"/>
      <c r="U84"/>
      <c r="V84"/>
    </row>
    <row r="85" spans="1:22" ht="15" x14ac:dyDescent="0.25">
      <c r="A85"/>
      <c r="B85"/>
      <c r="C85"/>
      <c r="D85"/>
      <c r="E85"/>
      <c r="F85"/>
      <c r="G85"/>
      <c r="H85"/>
      <c r="I85"/>
      <c r="J85"/>
      <c r="K85"/>
      <c r="L85"/>
      <c r="M85"/>
      <c r="N85"/>
      <c r="O85"/>
      <c r="P85"/>
      <c r="Q85"/>
      <c r="R85"/>
      <c r="S85"/>
      <c r="T85"/>
      <c r="U85"/>
      <c r="V85"/>
    </row>
    <row r="86" spans="1:22" ht="15" x14ac:dyDescent="0.25">
      <c r="A86"/>
      <c r="B86"/>
      <c r="C86"/>
      <c r="D86"/>
      <c r="E86"/>
      <c r="F86"/>
      <c r="G86"/>
      <c r="H86"/>
      <c r="I86"/>
      <c r="J86"/>
      <c r="K86"/>
      <c r="L86"/>
      <c r="M86"/>
      <c r="N86"/>
      <c r="O86"/>
      <c r="P86"/>
      <c r="Q86"/>
      <c r="R86"/>
      <c r="S86"/>
      <c r="T86"/>
      <c r="U86"/>
      <c r="V86"/>
    </row>
    <row r="87" spans="1:22" ht="15" x14ac:dyDescent="0.25">
      <c r="A87"/>
      <c r="B87"/>
      <c r="C87"/>
      <c r="D87"/>
      <c r="E87"/>
      <c r="F87"/>
      <c r="G87"/>
      <c r="H87"/>
      <c r="I87"/>
      <c r="J87"/>
      <c r="K87"/>
      <c r="L87"/>
      <c r="M87"/>
      <c r="N87"/>
      <c r="O87"/>
      <c r="P87"/>
      <c r="Q87"/>
      <c r="R87"/>
      <c r="S87"/>
      <c r="T87"/>
      <c r="U87"/>
      <c r="V87"/>
    </row>
    <row r="88" spans="1:22" ht="15" x14ac:dyDescent="0.25">
      <c r="A88"/>
      <c r="B88"/>
      <c r="C88"/>
      <c r="D88"/>
      <c r="E88"/>
      <c r="F88"/>
      <c r="G88"/>
      <c r="H88"/>
      <c r="I88"/>
      <c r="J88"/>
      <c r="K88"/>
      <c r="L88"/>
      <c r="M88"/>
      <c r="N88"/>
      <c r="O88"/>
      <c r="P88"/>
      <c r="Q88"/>
      <c r="R88"/>
      <c r="S88"/>
      <c r="T88"/>
      <c r="U88"/>
      <c r="V88"/>
    </row>
    <row r="89" spans="1:22" ht="15" x14ac:dyDescent="0.25">
      <c r="A89"/>
      <c r="B89"/>
      <c r="C89"/>
      <c r="D89"/>
      <c r="E89"/>
      <c r="F89"/>
      <c r="G89"/>
      <c r="H89"/>
      <c r="I89"/>
      <c r="J89"/>
      <c r="K89"/>
      <c r="L89"/>
      <c r="M89"/>
      <c r="N89"/>
      <c r="O89"/>
      <c r="P89"/>
      <c r="Q89"/>
      <c r="R89"/>
      <c r="S89"/>
      <c r="T89"/>
      <c r="U89"/>
      <c r="V89"/>
    </row>
    <row r="90" spans="1:22" ht="15" x14ac:dyDescent="0.25">
      <c r="A90"/>
      <c r="B90"/>
      <c r="C90"/>
      <c r="D90"/>
      <c r="E90"/>
      <c r="F90"/>
      <c r="G90"/>
      <c r="H90"/>
      <c r="I90"/>
      <c r="J90"/>
      <c r="K90"/>
      <c r="L90"/>
      <c r="M90"/>
      <c r="N90"/>
      <c r="O90"/>
      <c r="P90"/>
      <c r="Q90"/>
      <c r="R90"/>
      <c r="S90"/>
      <c r="T90"/>
      <c r="U90"/>
      <c r="V90"/>
    </row>
    <row r="91" spans="1:22" ht="15" x14ac:dyDescent="0.25">
      <c r="A91"/>
      <c r="B91"/>
      <c r="C91"/>
      <c r="D91"/>
      <c r="E91"/>
      <c r="F91"/>
      <c r="G91"/>
      <c r="H91"/>
      <c r="I91"/>
      <c r="J91"/>
      <c r="K91"/>
      <c r="L91"/>
      <c r="M91"/>
      <c r="N91"/>
      <c r="O91"/>
      <c r="P91"/>
      <c r="Q91"/>
      <c r="R91"/>
      <c r="S91"/>
      <c r="T91"/>
      <c r="U91"/>
      <c r="V91"/>
    </row>
    <row r="92" spans="1:22" ht="15" x14ac:dyDescent="0.25">
      <c r="A92"/>
      <c r="B92"/>
      <c r="C92"/>
      <c r="D92"/>
      <c r="E92"/>
      <c r="F92"/>
      <c r="G92"/>
      <c r="H92"/>
      <c r="I92"/>
      <c r="J92"/>
      <c r="K92"/>
      <c r="L92"/>
      <c r="M92"/>
      <c r="N92"/>
      <c r="O92"/>
      <c r="P92"/>
      <c r="Q92"/>
      <c r="R92"/>
      <c r="S92"/>
      <c r="T92"/>
      <c r="U92"/>
      <c r="V92"/>
    </row>
    <row r="93" spans="1:22" ht="15" x14ac:dyDescent="0.25">
      <c r="A93"/>
      <c r="B93"/>
      <c r="C93"/>
      <c r="D93"/>
      <c r="E93"/>
      <c r="F93"/>
      <c r="G93"/>
      <c r="H93"/>
      <c r="I93"/>
      <c r="J93"/>
      <c r="K93"/>
      <c r="L93"/>
      <c r="M93"/>
      <c r="N93"/>
      <c r="O93"/>
      <c r="P93"/>
      <c r="Q93"/>
      <c r="R93"/>
      <c r="S93"/>
      <c r="T93"/>
      <c r="U93"/>
      <c r="V93"/>
    </row>
    <row r="94" spans="1:22" ht="15" x14ac:dyDescent="0.25">
      <c r="A94"/>
      <c r="B94"/>
      <c r="C94"/>
      <c r="D94"/>
      <c r="E94"/>
      <c r="F94"/>
      <c r="G94"/>
      <c r="H94"/>
      <c r="I94"/>
      <c r="J94"/>
      <c r="K94"/>
      <c r="L94"/>
      <c r="M94"/>
      <c r="N94"/>
      <c r="O94"/>
      <c r="P94"/>
      <c r="Q94"/>
      <c r="R94"/>
      <c r="S94"/>
      <c r="T94"/>
      <c r="U94"/>
      <c r="V94"/>
    </row>
    <row r="95" spans="1:22" ht="15" x14ac:dyDescent="0.25">
      <c r="A95"/>
      <c r="B95"/>
      <c r="C95"/>
      <c r="D95"/>
      <c r="E95"/>
      <c r="F95"/>
      <c r="G95"/>
      <c r="H95"/>
      <c r="I95"/>
      <c r="J95"/>
      <c r="K95"/>
      <c r="L95"/>
      <c r="M95"/>
      <c r="N95"/>
      <c r="O95"/>
      <c r="P95"/>
      <c r="Q95"/>
      <c r="R95"/>
      <c r="S95"/>
      <c r="T95"/>
      <c r="U95"/>
      <c r="V95"/>
    </row>
    <row r="96" spans="1:22" ht="15" x14ac:dyDescent="0.25">
      <c r="A96"/>
      <c r="B96"/>
      <c r="C96"/>
      <c r="D96"/>
      <c r="E96"/>
      <c r="F96"/>
      <c r="G96"/>
      <c r="H96"/>
      <c r="I96"/>
      <c r="J96"/>
      <c r="K96"/>
      <c r="L96"/>
      <c r="M96"/>
      <c r="N96"/>
      <c r="O96"/>
      <c r="P96"/>
      <c r="Q96"/>
      <c r="R96"/>
      <c r="S96"/>
      <c r="T96"/>
      <c r="U96"/>
      <c r="V96"/>
    </row>
    <row r="97" spans="1:22" ht="15" x14ac:dyDescent="0.25">
      <c r="A97"/>
      <c r="B97"/>
      <c r="C97"/>
      <c r="D97"/>
      <c r="E97"/>
      <c r="F97"/>
      <c r="G97"/>
      <c r="H97"/>
      <c r="I97"/>
      <c r="J97"/>
      <c r="K97"/>
      <c r="L97"/>
      <c r="M97"/>
      <c r="N97"/>
      <c r="O97"/>
      <c r="P97"/>
      <c r="Q97"/>
      <c r="R97"/>
      <c r="S97"/>
      <c r="T97"/>
      <c r="U97"/>
      <c r="V97"/>
    </row>
    <row r="98" spans="1:22" ht="15" x14ac:dyDescent="0.25">
      <c r="A98"/>
      <c r="B98"/>
      <c r="C98"/>
      <c r="D98"/>
      <c r="E98"/>
      <c r="F98"/>
      <c r="G98"/>
      <c r="H98"/>
      <c r="I98"/>
      <c r="J98"/>
      <c r="K98"/>
      <c r="L98"/>
      <c r="M98"/>
      <c r="N98"/>
      <c r="O98"/>
      <c r="P98"/>
      <c r="Q98"/>
      <c r="R98"/>
      <c r="S98"/>
      <c r="T98"/>
      <c r="U98"/>
      <c r="V98"/>
    </row>
    <row r="99" spans="1:22" ht="15" x14ac:dyDescent="0.25">
      <c r="A99"/>
      <c r="B99"/>
      <c r="C99"/>
      <c r="D99"/>
      <c r="E99"/>
      <c r="F99"/>
      <c r="G99"/>
      <c r="H99"/>
      <c r="I99"/>
      <c r="J99"/>
      <c r="K99"/>
      <c r="L99"/>
      <c r="M99"/>
      <c r="N99"/>
      <c r="O99"/>
      <c r="P99"/>
      <c r="Q99"/>
      <c r="R99"/>
      <c r="S99"/>
      <c r="T99"/>
      <c r="U99"/>
      <c r="V99"/>
    </row>
    <row r="100" spans="1:22" ht="15" x14ac:dyDescent="0.25">
      <c r="A100"/>
      <c r="B100"/>
      <c r="C100"/>
      <c r="D100"/>
      <c r="E100"/>
      <c r="F100"/>
      <c r="G100"/>
      <c r="H100"/>
      <c r="I100"/>
      <c r="J100"/>
      <c r="K100"/>
      <c r="L100"/>
      <c r="M100"/>
      <c r="N100"/>
      <c r="O100"/>
      <c r="P100"/>
      <c r="Q100"/>
      <c r="R100"/>
      <c r="S100"/>
      <c r="T100"/>
      <c r="U100"/>
      <c r="V100"/>
    </row>
    <row r="101" spans="1:22" ht="15" x14ac:dyDescent="0.25">
      <c r="A101"/>
      <c r="B101"/>
      <c r="C101"/>
      <c r="D101"/>
      <c r="E101"/>
      <c r="F101"/>
      <c r="G101"/>
      <c r="H101"/>
      <c r="I101"/>
      <c r="J101"/>
      <c r="K101"/>
      <c r="L101"/>
      <c r="M101"/>
      <c r="N101"/>
      <c r="O101"/>
      <c r="P101"/>
      <c r="Q101"/>
      <c r="R101"/>
      <c r="S101"/>
      <c r="T101"/>
      <c r="U101"/>
      <c r="V101"/>
    </row>
    <row r="102" spans="1:22" ht="15" x14ac:dyDescent="0.25">
      <c r="A102"/>
      <c r="B102"/>
      <c r="C102"/>
      <c r="D102"/>
      <c r="E102"/>
      <c r="F102"/>
      <c r="G102"/>
      <c r="H102"/>
      <c r="I102"/>
      <c r="J102"/>
      <c r="K102"/>
      <c r="L102"/>
      <c r="M102"/>
      <c r="N102"/>
      <c r="O102"/>
      <c r="P102"/>
      <c r="Q102"/>
      <c r="R102"/>
      <c r="S102"/>
      <c r="T102"/>
      <c r="U102"/>
      <c r="V102"/>
    </row>
    <row r="103" spans="1:22" ht="15" x14ac:dyDescent="0.25">
      <c r="A103"/>
      <c r="B103"/>
      <c r="C103"/>
      <c r="D103"/>
      <c r="E103"/>
      <c r="F103"/>
      <c r="G103"/>
      <c r="H103"/>
      <c r="I103"/>
      <c r="J103"/>
      <c r="K103"/>
      <c r="L103"/>
      <c r="M103"/>
      <c r="N103"/>
      <c r="O103"/>
      <c r="P103"/>
      <c r="Q103"/>
      <c r="R103"/>
      <c r="S103"/>
      <c r="T103"/>
      <c r="U103"/>
      <c r="V103"/>
    </row>
    <row r="104" spans="1:22" ht="15" x14ac:dyDescent="0.25">
      <c r="A104"/>
      <c r="B104"/>
      <c r="C104"/>
      <c r="D104"/>
      <c r="E104"/>
      <c r="F104"/>
      <c r="G104"/>
      <c r="H104"/>
      <c r="I104"/>
      <c r="J104"/>
      <c r="K104"/>
      <c r="L104"/>
      <c r="M104"/>
      <c r="N104"/>
      <c r="O104"/>
      <c r="P104"/>
      <c r="Q104"/>
      <c r="R104"/>
      <c r="S104"/>
      <c r="T104"/>
      <c r="U104"/>
      <c r="V104"/>
    </row>
    <row r="105" spans="1:22" ht="15" x14ac:dyDescent="0.25">
      <c r="A105"/>
      <c r="B105"/>
      <c r="C105"/>
      <c r="D105"/>
      <c r="E105"/>
      <c r="F105"/>
      <c r="G105"/>
      <c r="H105"/>
      <c r="I105"/>
      <c r="J105"/>
      <c r="K105"/>
      <c r="L105"/>
      <c r="M105"/>
      <c r="N105"/>
      <c r="O105"/>
      <c r="P105"/>
      <c r="Q105"/>
      <c r="R105"/>
      <c r="S105"/>
      <c r="T105"/>
      <c r="U105"/>
      <c r="V105"/>
    </row>
    <row r="106" spans="1:22" ht="15" x14ac:dyDescent="0.25">
      <c r="A106"/>
      <c r="B106"/>
      <c r="C106"/>
      <c r="D106"/>
      <c r="E106"/>
      <c r="F106"/>
      <c r="G106"/>
      <c r="H106"/>
      <c r="I106"/>
      <c r="J106"/>
      <c r="K106"/>
      <c r="L106"/>
      <c r="M106"/>
      <c r="N106"/>
      <c r="O106"/>
      <c r="P106"/>
      <c r="Q106"/>
      <c r="R106"/>
      <c r="S106"/>
      <c r="T106"/>
      <c r="U106"/>
      <c r="V106"/>
    </row>
    <row r="107" spans="1:22" ht="15" x14ac:dyDescent="0.25">
      <c r="A107"/>
      <c r="B107"/>
      <c r="C107"/>
      <c r="D107"/>
      <c r="E107"/>
      <c r="F107"/>
      <c r="G107"/>
      <c r="H107"/>
      <c r="I107"/>
      <c r="J107"/>
      <c r="K107"/>
      <c r="L107"/>
      <c r="M107"/>
      <c r="N107"/>
      <c r="O107"/>
      <c r="P107"/>
      <c r="Q107"/>
      <c r="R107"/>
      <c r="S107"/>
      <c r="T107"/>
      <c r="U107"/>
      <c r="V107"/>
    </row>
    <row r="108" spans="1:22" ht="15" x14ac:dyDescent="0.25">
      <c r="A108"/>
      <c r="B108"/>
      <c r="C108"/>
      <c r="D108"/>
      <c r="E108"/>
      <c r="F108"/>
      <c r="G108"/>
      <c r="H108"/>
      <c r="I108"/>
      <c r="J108"/>
      <c r="K108"/>
      <c r="L108"/>
      <c r="M108"/>
      <c r="N108"/>
      <c r="O108"/>
      <c r="P108"/>
      <c r="Q108"/>
      <c r="R108"/>
      <c r="S108"/>
      <c r="T108"/>
      <c r="U108"/>
      <c r="V108"/>
    </row>
    <row r="109" spans="1:22" ht="15" x14ac:dyDescent="0.25">
      <c r="A109"/>
      <c r="B109"/>
      <c r="C109"/>
      <c r="D109"/>
      <c r="E109"/>
      <c r="F109"/>
      <c r="G109"/>
      <c r="H109"/>
      <c r="I109"/>
      <c r="J109"/>
      <c r="K109"/>
      <c r="L109"/>
      <c r="M109"/>
      <c r="N109"/>
      <c r="O109"/>
      <c r="P109"/>
      <c r="Q109"/>
      <c r="R109"/>
      <c r="S109"/>
      <c r="T109"/>
      <c r="U109"/>
      <c r="V109"/>
    </row>
    <row r="110" spans="1:22" ht="15" x14ac:dyDescent="0.25">
      <c r="A110"/>
      <c r="B110"/>
      <c r="C110"/>
      <c r="D110"/>
      <c r="E110"/>
      <c r="F110"/>
      <c r="G110"/>
      <c r="H110"/>
      <c r="I110"/>
      <c r="J110"/>
      <c r="K110"/>
      <c r="L110"/>
      <c r="M110"/>
      <c r="N110"/>
      <c r="O110"/>
      <c r="P110"/>
      <c r="Q110"/>
      <c r="R110"/>
      <c r="S110"/>
      <c r="T110"/>
      <c r="U110"/>
      <c r="V110"/>
    </row>
    <row r="111" spans="1:22" ht="15" x14ac:dyDescent="0.25">
      <c r="A111"/>
      <c r="B111"/>
      <c r="C111"/>
      <c r="D111"/>
      <c r="E111"/>
      <c r="F111"/>
      <c r="G111"/>
      <c r="H111"/>
      <c r="I111"/>
      <c r="J111"/>
      <c r="K111"/>
      <c r="L111"/>
      <c r="M111"/>
      <c r="N111"/>
      <c r="O111"/>
      <c r="P111"/>
      <c r="Q111"/>
      <c r="R111"/>
      <c r="S111"/>
      <c r="T111"/>
      <c r="U111"/>
      <c r="V111"/>
    </row>
    <row r="112" spans="1:22" ht="15" x14ac:dyDescent="0.25">
      <c r="A112"/>
      <c r="B112"/>
      <c r="C112"/>
      <c r="D112"/>
      <c r="E112"/>
      <c r="F112"/>
      <c r="G112"/>
      <c r="H112"/>
      <c r="I112"/>
      <c r="J112"/>
      <c r="K112"/>
      <c r="L112"/>
      <c r="M112"/>
      <c r="N112"/>
      <c r="O112"/>
      <c r="P112"/>
      <c r="Q112"/>
      <c r="R112"/>
      <c r="S112"/>
      <c r="T112"/>
      <c r="U112"/>
      <c r="V112"/>
    </row>
    <row r="113" spans="1:22" ht="15" x14ac:dyDescent="0.25">
      <c r="A113"/>
      <c r="B113"/>
      <c r="C113"/>
      <c r="D113"/>
      <c r="E113"/>
      <c r="F113"/>
      <c r="G113"/>
      <c r="H113"/>
      <c r="I113"/>
      <c r="J113"/>
      <c r="K113"/>
      <c r="L113"/>
      <c r="M113"/>
      <c r="N113"/>
      <c r="O113"/>
      <c r="P113"/>
      <c r="Q113"/>
      <c r="R113"/>
      <c r="S113"/>
      <c r="T113"/>
      <c r="U113"/>
      <c r="V113"/>
    </row>
    <row r="114" spans="1:22" ht="15" x14ac:dyDescent="0.25">
      <c r="A114"/>
      <c r="B114"/>
      <c r="C114"/>
      <c r="D114"/>
      <c r="E114"/>
      <c r="F114"/>
      <c r="G114"/>
      <c r="H114"/>
      <c r="I114"/>
      <c r="J114"/>
      <c r="K114"/>
      <c r="L114"/>
      <c r="M114"/>
      <c r="N114"/>
      <c r="O114"/>
      <c r="P114"/>
      <c r="Q114"/>
      <c r="R114"/>
      <c r="S114"/>
      <c r="T114"/>
      <c r="U114"/>
      <c r="V114"/>
    </row>
    <row r="115" spans="1:22" ht="15" x14ac:dyDescent="0.25">
      <c r="A115"/>
      <c r="B115"/>
      <c r="C115"/>
      <c r="D115"/>
      <c r="E115"/>
      <c r="F115"/>
      <c r="G115"/>
      <c r="H115"/>
      <c r="I115"/>
      <c r="J115"/>
      <c r="K115"/>
      <c r="L115"/>
      <c r="M115"/>
      <c r="N115"/>
      <c r="O115"/>
      <c r="P115"/>
      <c r="Q115"/>
      <c r="R115"/>
      <c r="S115"/>
      <c r="T115"/>
      <c r="U115"/>
      <c r="V115"/>
    </row>
    <row r="116" spans="1:22" ht="15" x14ac:dyDescent="0.25">
      <c r="A116"/>
      <c r="B116"/>
      <c r="C116"/>
      <c r="D116"/>
      <c r="E116"/>
      <c r="F116"/>
      <c r="G116"/>
      <c r="H116"/>
      <c r="I116"/>
      <c r="J116"/>
      <c r="K116"/>
      <c r="L116"/>
      <c r="M116"/>
      <c r="N116"/>
      <c r="O116"/>
      <c r="P116"/>
      <c r="Q116"/>
      <c r="R116"/>
      <c r="S116"/>
      <c r="T116"/>
      <c r="U116"/>
      <c r="V116"/>
    </row>
    <row r="117" spans="1:22" ht="15" x14ac:dyDescent="0.25">
      <c r="A117"/>
      <c r="B117"/>
      <c r="C117"/>
      <c r="D117"/>
      <c r="E117"/>
      <c r="F117"/>
      <c r="G117"/>
      <c r="H117"/>
      <c r="I117"/>
      <c r="J117"/>
      <c r="K117"/>
      <c r="L117"/>
      <c r="M117"/>
      <c r="N117"/>
      <c r="O117"/>
      <c r="P117"/>
      <c r="Q117"/>
      <c r="R117"/>
      <c r="S117"/>
      <c r="T117"/>
      <c r="U117"/>
      <c r="V117"/>
    </row>
    <row r="118" spans="1:22" ht="15" x14ac:dyDescent="0.25">
      <c r="A118"/>
      <c r="B118"/>
      <c r="C118"/>
      <c r="D118"/>
      <c r="E118"/>
      <c r="F118"/>
      <c r="G118"/>
      <c r="H118"/>
      <c r="I118"/>
      <c r="J118"/>
      <c r="K118"/>
      <c r="L118"/>
      <c r="M118"/>
      <c r="N118"/>
      <c r="O118"/>
      <c r="P118"/>
      <c r="Q118"/>
      <c r="R118"/>
      <c r="S118"/>
      <c r="T118"/>
      <c r="U118"/>
      <c r="V118"/>
    </row>
    <row r="119" spans="1:22" ht="15" x14ac:dyDescent="0.25">
      <c r="A119"/>
      <c r="B119"/>
      <c r="C119"/>
      <c r="D119"/>
      <c r="E119"/>
      <c r="F119"/>
      <c r="G119"/>
      <c r="H119"/>
      <c r="I119"/>
      <c r="J119"/>
      <c r="K119"/>
      <c r="L119"/>
      <c r="M119"/>
      <c r="N119"/>
      <c r="O119"/>
      <c r="P119"/>
      <c r="Q119"/>
      <c r="R119"/>
      <c r="S119"/>
      <c r="T119"/>
      <c r="U119"/>
      <c r="V119"/>
    </row>
    <row r="120" spans="1:22" ht="15" x14ac:dyDescent="0.25">
      <c r="A120"/>
      <c r="B120"/>
      <c r="C120"/>
      <c r="D120"/>
      <c r="E120"/>
      <c r="F120"/>
      <c r="G120"/>
      <c r="H120"/>
      <c r="I120"/>
      <c r="J120"/>
      <c r="K120"/>
      <c r="L120"/>
      <c r="M120"/>
      <c r="N120"/>
      <c r="O120"/>
      <c r="P120"/>
      <c r="Q120"/>
      <c r="R120"/>
      <c r="S120"/>
      <c r="T120"/>
      <c r="U120"/>
      <c r="V120"/>
    </row>
    <row r="121" spans="1:22" ht="15" x14ac:dyDescent="0.25">
      <c r="A121"/>
      <c r="B121"/>
      <c r="C121"/>
      <c r="D121"/>
      <c r="E121"/>
      <c r="F121"/>
      <c r="G121"/>
      <c r="H121"/>
      <c r="I121"/>
      <c r="J121"/>
      <c r="K121"/>
      <c r="L121"/>
      <c r="M121"/>
      <c r="N121"/>
      <c r="O121"/>
      <c r="P121"/>
      <c r="Q121"/>
      <c r="R121"/>
      <c r="S121"/>
      <c r="T121"/>
      <c r="U121"/>
      <c r="V121"/>
    </row>
    <row r="122" spans="1:22" ht="15" x14ac:dyDescent="0.25">
      <c r="A122"/>
      <c r="B122"/>
      <c r="C122"/>
      <c r="D122"/>
      <c r="E122"/>
      <c r="F122"/>
      <c r="G122"/>
      <c r="H122"/>
      <c r="I122"/>
      <c r="J122"/>
      <c r="K122"/>
      <c r="L122"/>
      <c r="M122"/>
      <c r="N122"/>
      <c r="O122"/>
      <c r="P122"/>
      <c r="Q122"/>
      <c r="R122"/>
      <c r="S122"/>
      <c r="T122"/>
      <c r="U122"/>
      <c r="V122"/>
    </row>
    <row r="123" spans="1:22" ht="15" x14ac:dyDescent="0.25">
      <c r="A123"/>
      <c r="B123"/>
      <c r="C123"/>
      <c r="D123"/>
      <c r="E123"/>
      <c r="F123"/>
      <c r="G123"/>
      <c r="H123"/>
      <c r="I123"/>
      <c r="J123"/>
      <c r="K123"/>
      <c r="L123"/>
      <c r="M123"/>
      <c r="N123"/>
      <c r="O123"/>
      <c r="P123"/>
      <c r="Q123"/>
      <c r="R123"/>
      <c r="S123"/>
      <c r="T123"/>
      <c r="U123"/>
      <c r="V123"/>
    </row>
    <row r="124" spans="1:22" ht="15" x14ac:dyDescent="0.25">
      <c r="A124"/>
      <c r="B124"/>
      <c r="C124"/>
      <c r="D124"/>
      <c r="E124"/>
      <c r="F124"/>
      <c r="G124"/>
      <c r="H124"/>
      <c r="I124"/>
      <c r="J124"/>
      <c r="K124"/>
      <c r="L124"/>
      <c r="M124"/>
      <c r="N124"/>
      <c r="O124"/>
      <c r="P124"/>
      <c r="Q124"/>
      <c r="R124"/>
      <c r="S124"/>
      <c r="T124"/>
      <c r="U124"/>
      <c r="V124"/>
    </row>
    <row r="125" spans="1:22" ht="15" x14ac:dyDescent="0.25">
      <c r="A125"/>
      <c r="B125"/>
      <c r="C125"/>
      <c r="D125"/>
      <c r="E125"/>
      <c r="F125"/>
      <c r="G125"/>
      <c r="H125"/>
      <c r="I125"/>
      <c r="J125"/>
      <c r="K125"/>
      <c r="L125"/>
      <c r="M125"/>
      <c r="N125"/>
      <c r="O125"/>
      <c r="P125"/>
      <c r="Q125"/>
      <c r="R125"/>
      <c r="S125"/>
      <c r="T125"/>
      <c r="U125"/>
      <c r="V125"/>
    </row>
    <row r="126" spans="1:22" ht="15" x14ac:dyDescent="0.25">
      <c r="A126"/>
      <c r="B126"/>
      <c r="C126"/>
      <c r="D126"/>
      <c r="E126"/>
      <c r="F126"/>
      <c r="G126"/>
      <c r="H126"/>
      <c r="I126"/>
      <c r="J126"/>
      <c r="K126"/>
      <c r="L126"/>
      <c r="M126"/>
      <c r="N126"/>
      <c r="O126"/>
      <c r="P126"/>
      <c r="Q126"/>
      <c r="R126"/>
      <c r="S126"/>
      <c r="T126"/>
      <c r="U126"/>
      <c r="V126"/>
    </row>
    <row r="127" spans="1:22" ht="15" x14ac:dyDescent="0.25">
      <c r="A127"/>
      <c r="B127"/>
      <c r="C127"/>
      <c r="D127"/>
      <c r="E127"/>
      <c r="F127"/>
      <c r="G127"/>
      <c r="H127"/>
      <c r="I127"/>
      <c r="J127"/>
      <c r="K127"/>
      <c r="L127"/>
      <c r="M127"/>
      <c r="N127"/>
      <c r="O127"/>
      <c r="P127"/>
      <c r="Q127"/>
      <c r="R127"/>
      <c r="S127"/>
      <c r="T127"/>
      <c r="U127"/>
      <c r="V127"/>
    </row>
    <row r="128" spans="1:22" ht="15" x14ac:dyDescent="0.25">
      <c r="A128"/>
      <c r="B128"/>
      <c r="C128"/>
      <c r="D128"/>
      <c r="E128"/>
      <c r="F128"/>
      <c r="G128"/>
      <c r="H128"/>
      <c r="I128"/>
      <c r="J128"/>
      <c r="K128"/>
      <c r="L128"/>
      <c r="M128"/>
      <c r="N128"/>
      <c r="O128"/>
      <c r="P128"/>
      <c r="Q128"/>
      <c r="R128"/>
      <c r="S128"/>
      <c r="T128"/>
      <c r="U128"/>
      <c r="V128"/>
    </row>
    <row r="129" spans="1:22" ht="15" x14ac:dyDescent="0.25">
      <c r="A129"/>
      <c r="B129"/>
      <c r="C129"/>
      <c r="D129"/>
      <c r="E129"/>
      <c r="F129"/>
      <c r="G129"/>
      <c r="H129"/>
      <c r="I129"/>
      <c r="J129"/>
      <c r="K129"/>
      <c r="L129"/>
      <c r="M129"/>
      <c r="N129"/>
      <c r="O129"/>
      <c r="P129"/>
      <c r="Q129"/>
      <c r="R129"/>
      <c r="S129"/>
      <c r="T129"/>
      <c r="U129"/>
      <c r="V129"/>
    </row>
    <row r="130" spans="1:22" ht="15" x14ac:dyDescent="0.25">
      <c r="A130"/>
      <c r="B130"/>
      <c r="C130"/>
      <c r="D130"/>
      <c r="E130"/>
      <c r="F130"/>
      <c r="G130"/>
      <c r="H130"/>
      <c r="I130"/>
      <c r="J130"/>
      <c r="K130"/>
      <c r="L130"/>
      <c r="M130"/>
      <c r="N130"/>
      <c r="O130"/>
      <c r="P130"/>
      <c r="Q130"/>
      <c r="R130"/>
      <c r="S130"/>
      <c r="T130"/>
      <c r="U130"/>
      <c r="V130"/>
    </row>
    <row r="131" spans="1:22" ht="15" x14ac:dyDescent="0.25">
      <c r="A131"/>
      <c r="B131"/>
      <c r="C131"/>
      <c r="D131"/>
      <c r="E131"/>
      <c r="F131"/>
      <c r="G131"/>
      <c r="H131"/>
      <c r="I131"/>
      <c r="J131"/>
      <c r="K131"/>
      <c r="L131"/>
      <c r="M131"/>
      <c r="N131"/>
      <c r="O131"/>
      <c r="P131"/>
      <c r="Q131"/>
      <c r="R131"/>
      <c r="S131"/>
      <c r="T131"/>
      <c r="U131"/>
      <c r="V131"/>
    </row>
    <row r="132" spans="1:22" ht="15" x14ac:dyDescent="0.25">
      <c r="A132"/>
      <c r="B132"/>
      <c r="C132"/>
      <c r="D132"/>
      <c r="E132"/>
      <c r="F132"/>
      <c r="G132"/>
      <c r="H132"/>
      <c r="I132"/>
      <c r="J132"/>
      <c r="K132"/>
      <c r="L132"/>
      <c r="M132"/>
      <c r="N132"/>
      <c r="O132"/>
      <c r="P132"/>
      <c r="Q132"/>
      <c r="R132"/>
      <c r="S132"/>
      <c r="T132"/>
      <c r="U132"/>
      <c r="V132"/>
    </row>
    <row r="133" spans="1:22" ht="15" x14ac:dyDescent="0.25">
      <c r="A133"/>
      <c r="B133"/>
      <c r="C133"/>
      <c r="D133"/>
      <c r="E133"/>
      <c r="F133"/>
      <c r="G133"/>
      <c r="H133"/>
      <c r="I133"/>
      <c r="J133"/>
      <c r="K133"/>
      <c r="L133"/>
      <c r="M133"/>
      <c r="N133"/>
      <c r="O133"/>
      <c r="P133"/>
      <c r="Q133"/>
      <c r="R133"/>
      <c r="S133"/>
      <c r="T133"/>
      <c r="U133"/>
      <c r="V133"/>
    </row>
    <row r="134" spans="1:22" ht="15" x14ac:dyDescent="0.25">
      <c r="A134"/>
      <c r="B134"/>
      <c r="C134"/>
      <c r="D134"/>
      <c r="E134"/>
      <c r="F134"/>
      <c r="G134"/>
      <c r="H134"/>
      <c r="I134"/>
      <c r="J134"/>
      <c r="K134"/>
      <c r="L134"/>
      <c r="M134"/>
      <c r="N134"/>
      <c r="O134"/>
      <c r="P134"/>
      <c r="Q134"/>
      <c r="R134"/>
      <c r="S134"/>
      <c r="T134"/>
      <c r="U134"/>
      <c r="V134"/>
    </row>
    <row r="135" spans="1:22" ht="15" x14ac:dyDescent="0.25">
      <c r="A135"/>
      <c r="B135"/>
      <c r="C135"/>
      <c r="D135"/>
      <c r="E135"/>
      <c r="F135"/>
      <c r="G135"/>
      <c r="H135"/>
      <c r="I135"/>
      <c r="J135"/>
      <c r="K135"/>
      <c r="L135"/>
      <c r="M135"/>
      <c r="N135"/>
      <c r="O135"/>
      <c r="P135"/>
      <c r="Q135"/>
      <c r="R135"/>
      <c r="S135"/>
      <c r="T135"/>
      <c r="U135"/>
      <c r="V135"/>
    </row>
    <row r="136" spans="1:22" ht="15" x14ac:dyDescent="0.25">
      <c r="A136"/>
      <c r="B136"/>
      <c r="C136"/>
      <c r="D136"/>
      <c r="E136"/>
      <c r="F136"/>
      <c r="G136"/>
      <c r="H136"/>
      <c r="I136"/>
      <c r="J136"/>
      <c r="K136"/>
      <c r="L136"/>
      <c r="M136"/>
      <c r="N136"/>
      <c r="O136"/>
      <c r="P136"/>
      <c r="Q136"/>
      <c r="R136"/>
      <c r="S136"/>
      <c r="T136"/>
      <c r="U136"/>
      <c r="V136"/>
    </row>
    <row r="137" spans="1:22" ht="15" x14ac:dyDescent="0.25">
      <c r="A137"/>
      <c r="B137"/>
      <c r="C137"/>
      <c r="D137"/>
      <c r="E137"/>
      <c r="F137"/>
      <c r="G137"/>
      <c r="H137"/>
      <c r="I137"/>
      <c r="J137"/>
      <c r="K137"/>
      <c r="L137"/>
      <c r="M137"/>
      <c r="N137"/>
      <c r="O137"/>
      <c r="P137"/>
      <c r="Q137"/>
      <c r="R137"/>
      <c r="S137"/>
      <c r="T137"/>
      <c r="U137"/>
      <c r="V137"/>
    </row>
    <row r="138" spans="1:22" ht="15" x14ac:dyDescent="0.25">
      <c r="A138"/>
      <c r="B138"/>
      <c r="C138"/>
      <c r="D138"/>
      <c r="E138"/>
      <c r="F138"/>
      <c r="G138"/>
      <c r="H138"/>
      <c r="I138"/>
      <c r="J138"/>
      <c r="K138"/>
      <c r="L138"/>
      <c r="M138"/>
      <c r="N138"/>
      <c r="O138"/>
      <c r="P138"/>
      <c r="Q138"/>
      <c r="R138"/>
      <c r="S138"/>
      <c r="T138"/>
      <c r="U138"/>
      <c r="V138"/>
    </row>
    <row r="139" spans="1:22" ht="15" x14ac:dyDescent="0.25">
      <c r="A139"/>
      <c r="B139"/>
      <c r="C139"/>
      <c r="D139"/>
      <c r="E139"/>
      <c r="F139"/>
      <c r="G139"/>
      <c r="H139"/>
      <c r="I139"/>
      <c r="J139"/>
      <c r="K139"/>
      <c r="L139"/>
      <c r="M139"/>
      <c r="N139"/>
      <c r="O139"/>
      <c r="P139"/>
      <c r="Q139"/>
      <c r="R139"/>
      <c r="S139"/>
      <c r="T139"/>
      <c r="U139"/>
      <c r="V139"/>
    </row>
    <row r="140" spans="1:22" ht="15" x14ac:dyDescent="0.25">
      <c r="A140"/>
      <c r="B140"/>
      <c r="C140"/>
      <c r="D140"/>
      <c r="E140"/>
      <c r="F140"/>
      <c r="G140"/>
      <c r="H140"/>
      <c r="I140"/>
      <c r="J140"/>
      <c r="K140"/>
      <c r="L140"/>
      <c r="M140"/>
      <c r="N140"/>
      <c r="O140"/>
      <c r="P140"/>
      <c r="Q140"/>
      <c r="R140"/>
      <c r="S140"/>
      <c r="T140"/>
      <c r="U140"/>
      <c r="V140"/>
    </row>
    <row r="141" spans="1:22" ht="15" x14ac:dyDescent="0.25">
      <c r="A141"/>
      <c r="B141"/>
      <c r="C141"/>
      <c r="D141"/>
      <c r="E141"/>
      <c r="F141"/>
      <c r="G141"/>
      <c r="H141"/>
      <c r="I141"/>
      <c r="J141"/>
      <c r="K141"/>
      <c r="L141"/>
      <c r="M141"/>
      <c r="N141"/>
      <c r="O141"/>
      <c r="P141"/>
      <c r="Q141"/>
      <c r="R141"/>
      <c r="S141"/>
      <c r="T141"/>
      <c r="U141"/>
      <c r="V141"/>
    </row>
    <row r="142" spans="1:22" ht="15" x14ac:dyDescent="0.25">
      <c r="A142"/>
      <c r="B142"/>
      <c r="C142"/>
      <c r="D142"/>
      <c r="E142"/>
      <c r="F142"/>
      <c r="G142"/>
      <c r="H142"/>
      <c r="I142"/>
      <c r="J142"/>
      <c r="K142"/>
      <c r="L142"/>
      <c r="M142"/>
      <c r="N142"/>
      <c r="O142"/>
      <c r="P142"/>
      <c r="Q142"/>
      <c r="R142"/>
      <c r="S142"/>
      <c r="T142"/>
      <c r="U142"/>
      <c r="V142"/>
    </row>
    <row r="143" spans="1:22" ht="15" x14ac:dyDescent="0.25">
      <c r="A143"/>
      <c r="B143"/>
      <c r="C143"/>
      <c r="D143"/>
      <c r="E143"/>
      <c r="F143"/>
      <c r="G143"/>
      <c r="H143"/>
      <c r="I143"/>
      <c r="J143"/>
      <c r="K143"/>
      <c r="L143"/>
      <c r="M143"/>
      <c r="N143"/>
      <c r="O143"/>
      <c r="P143"/>
      <c r="Q143"/>
      <c r="R143"/>
      <c r="S143"/>
      <c r="T143"/>
      <c r="U143"/>
      <c r="V143"/>
    </row>
    <row r="144" spans="1:22" ht="15" x14ac:dyDescent="0.25">
      <c r="A144"/>
      <c r="B144"/>
      <c r="C144"/>
      <c r="D144"/>
      <c r="E144"/>
      <c r="F144"/>
      <c r="G144"/>
      <c r="H144"/>
      <c r="I144"/>
      <c r="J144"/>
      <c r="K144"/>
      <c r="L144"/>
      <c r="M144"/>
      <c r="N144"/>
      <c r="O144"/>
      <c r="P144"/>
      <c r="Q144"/>
      <c r="R144"/>
      <c r="S144"/>
      <c r="T144"/>
      <c r="U144"/>
      <c r="V144"/>
    </row>
    <row r="145" spans="1:22" ht="15" x14ac:dyDescent="0.25">
      <c r="A145"/>
      <c r="B145"/>
      <c r="C145"/>
      <c r="D145"/>
      <c r="E145"/>
      <c r="F145"/>
      <c r="G145"/>
      <c r="H145"/>
      <c r="I145"/>
      <c r="J145"/>
      <c r="K145"/>
      <c r="L145"/>
      <c r="M145"/>
      <c r="N145"/>
      <c r="O145"/>
      <c r="P145"/>
      <c r="Q145"/>
      <c r="R145"/>
      <c r="S145"/>
      <c r="T145"/>
      <c r="U145"/>
      <c r="V145"/>
    </row>
    <row r="146" spans="1:22" ht="15" x14ac:dyDescent="0.25">
      <c r="A146"/>
      <c r="B146"/>
      <c r="C146"/>
      <c r="D146"/>
      <c r="E146"/>
      <c r="F146"/>
      <c r="G146"/>
      <c r="H146"/>
      <c r="I146"/>
      <c r="J146"/>
      <c r="K146"/>
      <c r="L146"/>
      <c r="M146"/>
      <c r="N146"/>
      <c r="O146"/>
      <c r="P146"/>
      <c r="Q146"/>
      <c r="R146"/>
      <c r="S146"/>
      <c r="T146"/>
      <c r="U146"/>
      <c r="V146"/>
    </row>
    <row r="147" spans="1:22" ht="15" x14ac:dyDescent="0.25">
      <c r="A147"/>
      <c r="B147"/>
      <c r="C147"/>
      <c r="D147"/>
      <c r="E147"/>
      <c r="F147"/>
      <c r="G147"/>
      <c r="H147"/>
      <c r="I147"/>
      <c r="J147"/>
      <c r="K147"/>
      <c r="L147"/>
      <c r="M147"/>
      <c r="N147"/>
      <c r="O147"/>
      <c r="P147"/>
      <c r="Q147"/>
      <c r="R147"/>
      <c r="S147"/>
      <c r="T147"/>
      <c r="U147"/>
      <c r="V147"/>
    </row>
    <row r="148" spans="1:22" ht="15" x14ac:dyDescent="0.25">
      <c r="A148"/>
      <c r="B148"/>
      <c r="C148"/>
      <c r="D148"/>
      <c r="E148"/>
      <c r="F148"/>
      <c r="G148"/>
      <c r="H148"/>
      <c r="I148"/>
      <c r="J148"/>
      <c r="K148"/>
      <c r="L148"/>
      <c r="M148"/>
      <c r="N148"/>
      <c r="O148"/>
      <c r="P148"/>
      <c r="Q148"/>
      <c r="R148"/>
      <c r="S148"/>
      <c r="T148"/>
      <c r="U148"/>
      <c r="V148"/>
    </row>
    <row r="149" spans="1:22" ht="15" x14ac:dyDescent="0.25">
      <c r="A149"/>
      <c r="B149"/>
      <c r="C149"/>
      <c r="D149"/>
      <c r="E149"/>
      <c r="F149"/>
      <c r="G149"/>
      <c r="H149"/>
      <c r="I149"/>
      <c r="J149"/>
      <c r="K149"/>
      <c r="L149"/>
      <c r="M149"/>
      <c r="N149"/>
      <c r="O149"/>
      <c r="P149"/>
      <c r="Q149"/>
      <c r="R149"/>
      <c r="S149"/>
      <c r="T149"/>
      <c r="U149"/>
      <c r="V149"/>
    </row>
    <row r="150" spans="1:22" ht="15" x14ac:dyDescent="0.25">
      <c r="A150"/>
      <c r="B150"/>
      <c r="C150"/>
      <c r="D150"/>
      <c r="E150"/>
      <c r="F150"/>
      <c r="G150"/>
      <c r="H150"/>
      <c r="I150"/>
      <c r="J150"/>
      <c r="K150"/>
      <c r="L150"/>
      <c r="M150"/>
      <c r="N150"/>
      <c r="O150"/>
      <c r="P150"/>
      <c r="Q150"/>
      <c r="R150"/>
      <c r="S150"/>
      <c r="T150"/>
      <c r="U150"/>
      <c r="V150"/>
    </row>
    <row r="151" spans="1:22" ht="15" x14ac:dyDescent="0.25">
      <c r="A151"/>
      <c r="B151"/>
      <c r="C151"/>
      <c r="D151"/>
      <c r="E151"/>
      <c r="F151"/>
      <c r="G151"/>
      <c r="H151"/>
      <c r="I151"/>
      <c r="J151"/>
      <c r="K151"/>
      <c r="L151"/>
      <c r="M151"/>
      <c r="N151"/>
      <c r="O151"/>
      <c r="P151"/>
      <c r="Q151"/>
      <c r="R151"/>
      <c r="S151"/>
      <c r="T151"/>
      <c r="U151"/>
      <c r="V151"/>
    </row>
    <row r="152" spans="1:22" ht="15" x14ac:dyDescent="0.25">
      <c r="A152"/>
      <c r="B152"/>
      <c r="C152"/>
      <c r="D152"/>
      <c r="E152"/>
      <c r="F152"/>
      <c r="G152"/>
      <c r="H152"/>
      <c r="I152"/>
      <c r="J152"/>
      <c r="K152"/>
      <c r="L152"/>
      <c r="M152"/>
      <c r="N152"/>
      <c r="O152"/>
      <c r="P152"/>
      <c r="Q152"/>
      <c r="R152"/>
      <c r="S152"/>
      <c r="T152"/>
      <c r="U152"/>
      <c r="V152"/>
    </row>
    <row r="153" spans="1:22" ht="15" x14ac:dyDescent="0.25">
      <c r="A153"/>
      <c r="B153"/>
      <c r="C153"/>
      <c r="D153"/>
      <c r="E153"/>
      <c r="F153"/>
      <c r="G153"/>
      <c r="H153"/>
      <c r="I153"/>
      <c r="J153"/>
      <c r="K153"/>
      <c r="L153"/>
      <c r="M153"/>
      <c r="N153"/>
      <c r="O153"/>
      <c r="P153"/>
      <c r="Q153"/>
      <c r="R153"/>
      <c r="S153"/>
      <c r="T153"/>
      <c r="U153"/>
      <c r="V153"/>
    </row>
    <row r="154" spans="1:22" ht="15" x14ac:dyDescent="0.25">
      <c r="A154"/>
      <c r="B154"/>
      <c r="C154"/>
      <c r="D154"/>
      <c r="E154"/>
      <c r="F154"/>
      <c r="G154"/>
      <c r="H154"/>
      <c r="I154"/>
      <c r="J154"/>
      <c r="K154"/>
      <c r="L154"/>
      <c r="M154"/>
      <c r="N154"/>
      <c r="O154"/>
      <c r="P154"/>
      <c r="Q154"/>
      <c r="R154"/>
      <c r="S154"/>
      <c r="T154"/>
      <c r="U154"/>
      <c r="V154"/>
    </row>
    <row r="155" spans="1:22" ht="15" x14ac:dyDescent="0.25">
      <c r="A155"/>
      <c r="B155"/>
      <c r="C155"/>
      <c r="D155"/>
      <c r="E155"/>
      <c r="F155"/>
      <c r="G155"/>
      <c r="H155"/>
      <c r="I155"/>
      <c r="J155"/>
      <c r="K155"/>
      <c r="L155"/>
      <c r="M155"/>
      <c r="N155"/>
      <c r="O155"/>
      <c r="P155"/>
      <c r="Q155"/>
      <c r="R155"/>
      <c r="S155"/>
      <c r="T155"/>
      <c r="U155"/>
      <c r="V155"/>
    </row>
    <row r="156" spans="1:22" ht="15" x14ac:dyDescent="0.25">
      <c r="A156"/>
      <c r="B156"/>
      <c r="C156"/>
      <c r="D156"/>
      <c r="E156"/>
      <c r="F156"/>
      <c r="G156"/>
      <c r="H156"/>
      <c r="I156"/>
      <c r="J156"/>
      <c r="K156"/>
      <c r="L156"/>
      <c r="M156"/>
      <c r="N156"/>
      <c r="O156"/>
      <c r="P156"/>
      <c r="Q156"/>
      <c r="R156"/>
      <c r="S156"/>
      <c r="T156"/>
      <c r="U156"/>
      <c r="V156"/>
    </row>
    <row r="157" spans="1:22" ht="15" x14ac:dyDescent="0.25">
      <c r="A157"/>
      <c r="B157"/>
      <c r="C157"/>
      <c r="D157"/>
      <c r="E157"/>
      <c r="F157"/>
      <c r="G157"/>
      <c r="H157"/>
      <c r="I157"/>
      <c r="J157"/>
      <c r="K157"/>
      <c r="L157"/>
      <c r="M157"/>
      <c r="N157"/>
      <c r="O157"/>
      <c r="P157"/>
      <c r="Q157"/>
      <c r="R157"/>
      <c r="S157"/>
      <c r="T157"/>
      <c r="U157"/>
      <c r="V157"/>
    </row>
    <row r="158" spans="1:22" ht="15" x14ac:dyDescent="0.25">
      <c r="A158"/>
      <c r="B158"/>
      <c r="C158"/>
      <c r="D158"/>
      <c r="E158"/>
      <c r="F158"/>
      <c r="G158"/>
      <c r="H158"/>
      <c r="I158"/>
      <c r="J158"/>
      <c r="K158"/>
      <c r="L158"/>
      <c r="M158"/>
      <c r="N158"/>
      <c r="O158"/>
      <c r="P158"/>
      <c r="Q158"/>
      <c r="R158"/>
      <c r="S158"/>
      <c r="T158"/>
      <c r="U158"/>
      <c r="V158"/>
    </row>
    <row r="159" spans="1:22" ht="15" x14ac:dyDescent="0.25">
      <c r="A159"/>
      <c r="B159"/>
      <c r="C159"/>
      <c r="D159"/>
      <c r="E159"/>
      <c r="F159"/>
      <c r="G159"/>
      <c r="H159"/>
      <c r="I159"/>
      <c r="J159"/>
      <c r="K159"/>
      <c r="L159"/>
      <c r="M159"/>
      <c r="N159"/>
      <c r="O159"/>
      <c r="P159"/>
      <c r="Q159"/>
      <c r="R159"/>
      <c r="S159"/>
      <c r="T159"/>
      <c r="U159"/>
      <c r="V159"/>
    </row>
    <row r="160" spans="1:22" ht="15" x14ac:dyDescent="0.25">
      <c r="A160"/>
      <c r="B160"/>
      <c r="C160"/>
      <c r="D160"/>
      <c r="E160"/>
      <c r="F160"/>
      <c r="G160"/>
      <c r="H160"/>
      <c r="I160"/>
      <c r="J160"/>
      <c r="K160"/>
      <c r="L160"/>
      <c r="M160"/>
      <c r="N160"/>
      <c r="O160"/>
      <c r="P160"/>
      <c r="Q160"/>
      <c r="R160"/>
      <c r="S160"/>
      <c r="T160"/>
      <c r="U160"/>
      <c r="V160"/>
    </row>
    <row r="161" spans="1:22" ht="15" x14ac:dyDescent="0.25">
      <c r="A161"/>
      <c r="B161"/>
      <c r="C161"/>
      <c r="D161"/>
      <c r="E161"/>
      <c r="F161"/>
      <c r="G161"/>
      <c r="H161"/>
      <c r="I161"/>
      <c r="J161"/>
      <c r="K161"/>
      <c r="L161"/>
      <c r="M161"/>
      <c r="N161"/>
      <c r="O161"/>
      <c r="P161"/>
      <c r="Q161"/>
      <c r="R161"/>
      <c r="S161"/>
      <c r="T161"/>
      <c r="U161"/>
      <c r="V161"/>
    </row>
    <row r="162" spans="1:22" ht="15" x14ac:dyDescent="0.25">
      <c r="A162"/>
      <c r="B162"/>
      <c r="C162"/>
      <c r="D162"/>
      <c r="E162"/>
      <c r="F162"/>
      <c r="G162"/>
      <c r="H162"/>
      <c r="I162"/>
      <c r="J162"/>
      <c r="K162"/>
      <c r="L162"/>
      <c r="M162"/>
      <c r="N162"/>
      <c r="O162"/>
      <c r="P162"/>
      <c r="Q162"/>
      <c r="R162"/>
      <c r="S162"/>
      <c r="T162"/>
      <c r="U162"/>
      <c r="V162"/>
    </row>
    <row r="163" spans="1:22" ht="15" x14ac:dyDescent="0.25">
      <c r="A163"/>
      <c r="B163"/>
      <c r="C163"/>
      <c r="D163"/>
      <c r="E163"/>
      <c r="F163"/>
      <c r="G163"/>
      <c r="H163"/>
      <c r="I163"/>
      <c r="J163"/>
      <c r="K163"/>
      <c r="L163"/>
      <c r="M163"/>
      <c r="N163"/>
      <c r="O163"/>
      <c r="P163"/>
      <c r="Q163"/>
      <c r="R163"/>
      <c r="S163"/>
      <c r="T163"/>
      <c r="U163"/>
      <c r="V163"/>
    </row>
    <row r="164" spans="1:22" ht="15" x14ac:dyDescent="0.25">
      <c r="A164"/>
      <c r="B164"/>
      <c r="C164"/>
      <c r="D164"/>
      <c r="E164"/>
      <c r="F164"/>
      <c r="G164"/>
      <c r="H164"/>
      <c r="I164"/>
      <c r="J164"/>
      <c r="K164"/>
      <c r="L164"/>
      <c r="M164"/>
      <c r="N164"/>
      <c r="O164"/>
      <c r="P164"/>
      <c r="Q164"/>
      <c r="R164"/>
      <c r="S164"/>
      <c r="T164"/>
      <c r="U164"/>
      <c r="V164"/>
    </row>
    <row r="165" spans="1:22" ht="15" x14ac:dyDescent="0.25">
      <c r="A165"/>
      <c r="B165"/>
      <c r="C165"/>
      <c r="D165"/>
      <c r="E165"/>
      <c r="F165"/>
      <c r="G165"/>
      <c r="H165"/>
      <c r="I165"/>
      <c r="J165"/>
      <c r="K165"/>
      <c r="L165"/>
      <c r="M165"/>
      <c r="N165"/>
      <c r="O165"/>
      <c r="P165"/>
      <c r="Q165"/>
      <c r="R165"/>
      <c r="S165"/>
      <c r="T165"/>
      <c r="U165"/>
      <c r="V165"/>
    </row>
    <row r="166" spans="1:22" ht="15" x14ac:dyDescent="0.25">
      <c r="A166"/>
      <c r="B166"/>
      <c r="C166"/>
      <c r="D166"/>
      <c r="E166"/>
      <c r="F166"/>
      <c r="G166"/>
      <c r="H166"/>
      <c r="I166"/>
      <c r="J166"/>
      <c r="K166"/>
      <c r="L166"/>
      <c r="M166"/>
      <c r="N166"/>
      <c r="O166"/>
      <c r="P166"/>
      <c r="Q166"/>
      <c r="R166"/>
      <c r="S166"/>
      <c r="T166"/>
      <c r="U166"/>
      <c r="V166"/>
    </row>
    <row r="167" spans="1:22" ht="15" x14ac:dyDescent="0.25">
      <c r="A167"/>
      <c r="B167"/>
      <c r="C167"/>
      <c r="D167"/>
      <c r="E167"/>
      <c r="F167"/>
      <c r="G167"/>
      <c r="H167"/>
      <c r="I167"/>
      <c r="J167"/>
      <c r="K167"/>
      <c r="L167"/>
      <c r="M167"/>
      <c r="N167"/>
      <c r="O167"/>
      <c r="P167"/>
      <c r="Q167"/>
      <c r="R167"/>
      <c r="S167"/>
      <c r="T167"/>
      <c r="U167"/>
      <c r="V167"/>
    </row>
    <row r="168" spans="1:22" ht="15" x14ac:dyDescent="0.25">
      <c r="A168"/>
      <c r="B168"/>
      <c r="C168"/>
      <c r="D168"/>
      <c r="E168"/>
      <c r="F168"/>
      <c r="G168"/>
      <c r="H168"/>
      <c r="I168"/>
      <c r="J168"/>
      <c r="K168"/>
      <c r="L168"/>
      <c r="M168"/>
      <c r="N168"/>
      <c r="O168"/>
      <c r="P168"/>
      <c r="Q168"/>
      <c r="R168"/>
      <c r="S168"/>
      <c r="T168"/>
      <c r="U168"/>
      <c r="V168"/>
    </row>
    <row r="169" spans="1:22" ht="15" x14ac:dyDescent="0.25">
      <c r="A169"/>
      <c r="B169"/>
      <c r="C169"/>
      <c r="D169"/>
      <c r="E169"/>
      <c r="F169"/>
      <c r="G169"/>
      <c r="H169"/>
      <c r="I169"/>
      <c r="J169"/>
      <c r="K169"/>
      <c r="L169"/>
      <c r="M169"/>
      <c r="N169"/>
      <c r="O169"/>
      <c r="P169"/>
      <c r="Q169"/>
      <c r="R169"/>
      <c r="S169"/>
      <c r="T169"/>
      <c r="U169"/>
      <c r="V169"/>
    </row>
    <row r="170" spans="1:22" ht="15" x14ac:dyDescent="0.25">
      <c r="A170"/>
      <c r="B170"/>
      <c r="C170"/>
      <c r="D170"/>
      <c r="E170"/>
      <c r="F170"/>
      <c r="G170"/>
      <c r="H170"/>
      <c r="I170"/>
      <c r="J170"/>
      <c r="K170"/>
      <c r="L170"/>
      <c r="M170"/>
      <c r="N170"/>
      <c r="O170"/>
      <c r="P170"/>
      <c r="Q170"/>
      <c r="R170"/>
      <c r="S170"/>
      <c r="T170"/>
      <c r="U170"/>
      <c r="V170"/>
    </row>
    <row r="171" spans="1:22" ht="15" x14ac:dyDescent="0.25">
      <c r="A171"/>
      <c r="B171"/>
      <c r="C171"/>
      <c r="D171"/>
      <c r="E171"/>
      <c r="F171"/>
      <c r="G171"/>
      <c r="H171"/>
      <c r="I171"/>
      <c r="J171"/>
      <c r="K171"/>
      <c r="L171"/>
      <c r="M171"/>
      <c r="N171"/>
      <c r="O171"/>
      <c r="P171"/>
      <c r="Q171"/>
      <c r="R171"/>
      <c r="S171"/>
      <c r="T171"/>
      <c r="U171"/>
      <c r="V171"/>
    </row>
    <row r="172" spans="1:22" ht="15" x14ac:dyDescent="0.25">
      <c r="A172"/>
      <c r="B172"/>
      <c r="C172"/>
      <c r="D172"/>
      <c r="E172"/>
      <c r="F172"/>
      <c r="G172"/>
      <c r="H172"/>
      <c r="I172"/>
      <c r="J172"/>
      <c r="K172"/>
      <c r="L172"/>
      <c r="M172"/>
      <c r="N172"/>
      <c r="O172"/>
      <c r="P172"/>
      <c r="Q172"/>
      <c r="R172"/>
      <c r="S172"/>
      <c r="T172"/>
      <c r="U172"/>
      <c r="V172"/>
    </row>
    <row r="173" spans="1:22" ht="15" x14ac:dyDescent="0.25">
      <c r="A173"/>
      <c r="B173"/>
      <c r="C173"/>
      <c r="D173"/>
      <c r="E173"/>
      <c r="F173"/>
      <c r="G173"/>
      <c r="H173"/>
      <c r="I173"/>
      <c r="J173"/>
      <c r="K173"/>
      <c r="L173"/>
      <c r="M173"/>
      <c r="N173"/>
      <c r="O173"/>
      <c r="P173"/>
      <c r="Q173"/>
      <c r="R173"/>
      <c r="S173"/>
      <c r="T173"/>
      <c r="U173"/>
      <c r="V173"/>
    </row>
    <row r="174" spans="1:22" ht="15" x14ac:dyDescent="0.25">
      <c r="A174"/>
      <c r="B174"/>
      <c r="C174"/>
      <c r="D174"/>
      <c r="E174"/>
      <c r="F174"/>
      <c r="G174"/>
      <c r="H174"/>
      <c r="I174"/>
      <c r="J174"/>
      <c r="K174"/>
      <c r="L174"/>
      <c r="M174"/>
      <c r="N174"/>
      <c r="O174"/>
      <c r="P174"/>
      <c r="Q174"/>
      <c r="R174"/>
      <c r="S174"/>
      <c r="T174"/>
      <c r="U174"/>
      <c r="V174"/>
    </row>
    <row r="175" spans="1:22" ht="15" x14ac:dyDescent="0.25">
      <c r="A175"/>
      <c r="B175"/>
      <c r="C175"/>
      <c r="D175"/>
      <c r="E175"/>
      <c r="F175"/>
      <c r="G175"/>
      <c r="H175"/>
      <c r="I175"/>
      <c r="J175"/>
      <c r="K175"/>
      <c r="L175"/>
      <c r="M175"/>
      <c r="N175"/>
      <c r="O175"/>
      <c r="P175"/>
      <c r="Q175"/>
      <c r="R175"/>
      <c r="S175"/>
      <c r="T175"/>
      <c r="U175"/>
      <c r="V175"/>
    </row>
    <row r="176" spans="1:22" ht="15" x14ac:dyDescent="0.25">
      <c r="A176"/>
      <c r="B176"/>
      <c r="C176"/>
      <c r="D176"/>
      <c r="E176"/>
      <c r="F176"/>
      <c r="G176"/>
      <c r="H176"/>
      <c r="I176"/>
      <c r="J176"/>
      <c r="K176"/>
      <c r="L176"/>
      <c r="M176"/>
      <c r="N176"/>
      <c r="O176"/>
      <c r="P176"/>
      <c r="Q176"/>
      <c r="R176"/>
      <c r="S176"/>
      <c r="T176"/>
      <c r="U176"/>
      <c r="V176"/>
    </row>
    <row r="177" spans="1:22" ht="15" x14ac:dyDescent="0.25">
      <c r="A177"/>
      <c r="B177"/>
      <c r="C177"/>
      <c r="D177"/>
      <c r="E177"/>
      <c r="F177"/>
      <c r="G177"/>
      <c r="H177"/>
      <c r="I177"/>
      <c r="J177"/>
      <c r="K177"/>
      <c r="L177"/>
      <c r="M177"/>
      <c r="N177"/>
      <c r="O177"/>
      <c r="P177"/>
      <c r="Q177"/>
      <c r="R177"/>
      <c r="S177"/>
      <c r="T177"/>
      <c r="U177"/>
      <c r="V177"/>
    </row>
    <row r="178" spans="1:22" ht="15" x14ac:dyDescent="0.25">
      <c r="A178"/>
      <c r="B178"/>
      <c r="C178"/>
      <c r="D178"/>
      <c r="E178"/>
      <c r="F178"/>
      <c r="G178"/>
      <c r="H178"/>
      <c r="I178"/>
      <c r="J178"/>
      <c r="K178"/>
      <c r="L178"/>
      <c r="M178"/>
      <c r="N178"/>
      <c r="O178"/>
      <c r="P178"/>
      <c r="Q178"/>
      <c r="R178"/>
      <c r="S178"/>
      <c r="T178"/>
      <c r="U178"/>
      <c r="V178"/>
    </row>
    <row r="179" spans="1:22" ht="15" x14ac:dyDescent="0.25">
      <c r="A179"/>
      <c r="B179"/>
      <c r="C179"/>
      <c r="D179"/>
      <c r="E179"/>
      <c r="F179"/>
      <c r="G179"/>
      <c r="H179"/>
      <c r="I179"/>
      <c r="J179"/>
      <c r="K179"/>
      <c r="L179"/>
      <c r="M179"/>
      <c r="N179"/>
      <c r="O179"/>
      <c r="P179"/>
      <c r="Q179"/>
      <c r="R179"/>
      <c r="S179"/>
      <c r="T179"/>
      <c r="U179"/>
      <c r="V179"/>
    </row>
    <row r="180" spans="1:22" ht="15" x14ac:dyDescent="0.25">
      <c r="A180"/>
      <c r="B180"/>
      <c r="C180"/>
      <c r="D180"/>
      <c r="E180"/>
      <c r="F180"/>
      <c r="G180"/>
      <c r="H180"/>
      <c r="I180"/>
      <c r="J180"/>
      <c r="K180"/>
      <c r="L180"/>
      <c r="M180"/>
      <c r="N180"/>
      <c r="O180"/>
      <c r="P180"/>
      <c r="Q180"/>
      <c r="R180"/>
      <c r="S180"/>
      <c r="T180"/>
      <c r="U180"/>
      <c r="V180"/>
    </row>
    <row r="181" spans="1:22" ht="15" x14ac:dyDescent="0.25">
      <c r="A181"/>
      <c r="B181"/>
      <c r="C181"/>
      <c r="D181"/>
      <c r="E181"/>
      <c r="F181"/>
      <c r="G181"/>
      <c r="H181"/>
      <c r="I181"/>
      <c r="J181"/>
      <c r="K181"/>
      <c r="L181"/>
      <c r="M181"/>
      <c r="N181"/>
      <c r="O181"/>
      <c r="P181"/>
      <c r="Q181"/>
      <c r="R181"/>
      <c r="S181"/>
      <c r="T181"/>
      <c r="U181"/>
      <c r="V181"/>
    </row>
    <row r="182" spans="1:22" ht="15" x14ac:dyDescent="0.25">
      <c r="A182"/>
      <c r="B182"/>
      <c r="C182"/>
      <c r="D182"/>
      <c r="E182"/>
      <c r="F182"/>
      <c r="G182"/>
      <c r="H182"/>
      <c r="I182"/>
      <c r="J182"/>
      <c r="K182"/>
      <c r="L182"/>
      <c r="M182"/>
      <c r="N182"/>
      <c r="O182"/>
      <c r="P182"/>
      <c r="Q182"/>
      <c r="R182"/>
      <c r="S182"/>
      <c r="T182"/>
      <c r="U182"/>
      <c r="V182"/>
    </row>
    <row r="183" spans="1:22" ht="15" x14ac:dyDescent="0.25">
      <c r="A183"/>
      <c r="B183"/>
      <c r="C183"/>
      <c r="D183"/>
      <c r="E183"/>
      <c r="F183"/>
      <c r="G183"/>
      <c r="H183"/>
      <c r="I183"/>
      <c r="J183"/>
      <c r="K183"/>
      <c r="L183"/>
      <c r="M183"/>
      <c r="N183"/>
      <c r="O183"/>
      <c r="P183"/>
      <c r="Q183"/>
      <c r="R183"/>
      <c r="S183"/>
      <c r="T183"/>
      <c r="U183"/>
      <c r="V183"/>
    </row>
    <row r="184" spans="1:22" ht="15" x14ac:dyDescent="0.25">
      <c r="A184"/>
      <c r="B184"/>
      <c r="C184"/>
      <c r="D184"/>
      <c r="E184"/>
      <c r="F184"/>
      <c r="G184"/>
      <c r="H184"/>
      <c r="I184"/>
      <c r="J184"/>
      <c r="K184"/>
      <c r="L184"/>
      <c r="M184"/>
      <c r="N184"/>
      <c r="O184"/>
      <c r="P184"/>
      <c r="Q184"/>
      <c r="R184"/>
      <c r="S184"/>
      <c r="T184"/>
      <c r="U184"/>
      <c r="V184"/>
    </row>
    <row r="185" spans="1:22" ht="15" x14ac:dyDescent="0.25">
      <c r="A185"/>
      <c r="B185"/>
      <c r="C185"/>
      <c r="D185"/>
      <c r="E185"/>
      <c r="F185"/>
      <c r="G185"/>
      <c r="H185"/>
      <c r="I185"/>
      <c r="J185"/>
      <c r="K185"/>
      <c r="L185"/>
      <c r="M185"/>
      <c r="N185"/>
      <c r="O185"/>
      <c r="P185"/>
      <c r="Q185"/>
      <c r="R185"/>
      <c r="S185"/>
      <c r="T185"/>
      <c r="U185"/>
      <c r="V185"/>
    </row>
    <row r="186" spans="1:22" ht="15" x14ac:dyDescent="0.25">
      <c r="A186"/>
      <c r="B186"/>
      <c r="C186"/>
      <c r="D186"/>
      <c r="E186"/>
      <c r="F186"/>
      <c r="G186"/>
      <c r="H186"/>
      <c r="I186"/>
      <c r="J186"/>
      <c r="K186"/>
      <c r="L186"/>
      <c r="M186"/>
      <c r="N186"/>
      <c r="O186"/>
      <c r="P186"/>
      <c r="Q186"/>
      <c r="R186"/>
      <c r="S186"/>
      <c r="T186"/>
      <c r="U186"/>
      <c r="V186"/>
    </row>
    <row r="187" spans="1:22" ht="15" x14ac:dyDescent="0.25">
      <c r="A187"/>
      <c r="B187"/>
      <c r="C187"/>
      <c r="D187"/>
      <c r="E187"/>
      <c r="F187"/>
      <c r="G187"/>
      <c r="H187"/>
      <c r="I187"/>
      <c r="J187"/>
      <c r="K187"/>
      <c r="L187"/>
      <c r="M187"/>
      <c r="N187"/>
      <c r="O187"/>
      <c r="P187"/>
      <c r="Q187"/>
      <c r="R187"/>
      <c r="S187"/>
      <c r="T187"/>
      <c r="U187"/>
      <c r="V187"/>
    </row>
    <row r="188" spans="1:22" ht="15" x14ac:dyDescent="0.25">
      <c r="A188"/>
      <c r="B188"/>
      <c r="C188"/>
      <c r="D188"/>
      <c r="E188"/>
      <c r="F188"/>
      <c r="G188"/>
      <c r="H188"/>
      <c r="I188"/>
      <c r="J188"/>
      <c r="K188"/>
      <c r="L188"/>
      <c r="M188"/>
      <c r="N188"/>
      <c r="O188"/>
      <c r="P188"/>
      <c r="Q188"/>
      <c r="R188"/>
      <c r="S188"/>
      <c r="T188"/>
      <c r="U188"/>
      <c r="V188"/>
    </row>
    <row r="189" spans="1:22" ht="15" x14ac:dyDescent="0.25">
      <c r="A189"/>
      <c r="B189"/>
      <c r="C189"/>
      <c r="D189"/>
      <c r="E189"/>
      <c r="F189"/>
      <c r="G189"/>
      <c r="H189"/>
      <c r="I189"/>
      <c r="J189"/>
      <c r="K189"/>
      <c r="L189"/>
      <c r="M189"/>
      <c r="N189"/>
      <c r="O189"/>
      <c r="P189"/>
      <c r="Q189"/>
      <c r="R189"/>
      <c r="S189"/>
      <c r="T189"/>
      <c r="U189"/>
      <c r="V189"/>
    </row>
    <row r="190" spans="1:22" ht="15" x14ac:dyDescent="0.25">
      <c r="A190"/>
      <c r="B190"/>
      <c r="C190"/>
      <c r="D190"/>
      <c r="E190"/>
      <c r="F190"/>
      <c r="G190"/>
      <c r="H190"/>
      <c r="I190"/>
      <c r="J190"/>
      <c r="K190"/>
      <c r="L190"/>
      <c r="M190"/>
      <c r="N190"/>
      <c r="O190"/>
      <c r="P190"/>
      <c r="Q190"/>
      <c r="R190"/>
      <c r="S190"/>
      <c r="T190"/>
      <c r="U190"/>
      <c r="V190"/>
    </row>
    <row r="191" spans="1:22" ht="15" x14ac:dyDescent="0.25">
      <c r="A191"/>
      <c r="B191"/>
      <c r="C191"/>
      <c r="D191"/>
      <c r="E191"/>
      <c r="F191"/>
      <c r="G191"/>
      <c r="H191"/>
      <c r="I191"/>
      <c r="J191"/>
      <c r="K191"/>
      <c r="L191"/>
      <c r="M191"/>
      <c r="N191"/>
      <c r="O191"/>
      <c r="P191"/>
      <c r="Q191"/>
      <c r="R191"/>
      <c r="S191"/>
      <c r="T191"/>
      <c r="U191"/>
      <c r="V191"/>
    </row>
    <row r="192" spans="1:22" ht="15" x14ac:dyDescent="0.25">
      <c r="A192"/>
      <c r="B192"/>
      <c r="C192"/>
      <c r="D192"/>
      <c r="E192"/>
      <c r="F192"/>
      <c r="G192"/>
      <c r="H192"/>
      <c r="I192"/>
      <c r="J192"/>
      <c r="K192"/>
      <c r="L192"/>
      <c r="M192"/>
      <c r="N192"/>
      <c r="O192"/>
      <c r="P192"/>
      <c r="Q192"/>
      <c r="R192"/>
      <c r="S192"/>
      <c r="T192"/>
      <c r="U192"/>
      <c r="V192"/>
    </row>
    <row r="193" spans="1:22" ht="15" x14ac:dyDescent="0.25">
      <c r="A193"/>
      <c r="B193"/>
      <c r="C193"/>
      <c r="D193"/>
      <c r="E193"/>
      <c r="F193"/>
      <c r="G193"/>
      <c r="H193"/>
      <c r="I193"/>
      <c r="J193"/>
      <c r="K193"/>
      <c r="L193"/>
      <c r="M193"/>
      <c r="N193"/>
      <c r="O193"/>
      <c r="P193"/>
      <c r="Q193"/>
      <c r="R193"/>
      <c r="S193"/>
      <c r="T193"/>
      <c r="U193"/>
      <c r="V193"/>
    </row>
    <row r="194" spans="1:22" ht="15" x14ac:dyDescent="0.25">
      <c r="A194"/>
      <c r="B194"/>
      <c r="C194"/>
      <c r="D194"/>
      <c r="E194"/>
      <c r="F194"/>
      <c r="G194"/>
      <c r="H194"/>
      <c r="I194"/>
      <c r="J194"/>
      <c r="K194"/>
      <c r="L194"/>
      <c r="M194"/>
      <c r="N194"/>
      <c r="O194"/>
      <c r="P194"/>
      <c r="Q194"/>
      <c r="R194"/>
      <c r="S194"/>
      <c r="T194"/>
      <c r="U194"/>
      <c r="V194"/>
    </row>
    <row r="195" spans="1:22" ht="15" x14ac:dyDescent="0.25">
      <c r="A195"/>
      <c r="B195"/>
      <c r="C195"/>
      <c r="D195"/>
      <c r="E195"/>
      <c r="F195"/>
      <c r="G195"/>
      <c r="H195"/>
      <c r="I195"/>
      <c r="J195"/>
      <c r="K195"/>
      <c r="L195"/>
      <c r="M195"/>
      <c r="N195"/>
      <c r="O195"/>
      <c r="P195"/>
      <c r="Q195"/>
      <c r="R195"/>
      <c r="S195"/>
      <c r="T195"/>
      <c r="U195"/>
      <c r="V195"/>
    </row>
    <row r="196" spans="1:22" ht="15" x14ac:dyDescent="0.25">
      <c r="A196"/>
      <c r="B196"/>
      <c r="C196"/>
      <c r="D196"/>
      <c r="E196"/>
      <c r="F196"/>
      <c r="G196"/>
      <c r="H196"/>
      <c r="I196"/>
      <c r="J196"/>
      <c r="K196"/>
      <c r="L196"/>
      <c r="M196"/>
      <c r="N196"/>
      <c r="O196"/>
      <c r="P196"/>
      <c r="Q196"/>
      <c r="R196"/>
      <c r="S196"/>
      <c r="T196"/>
      <c r="U196"/>
      <c r="V196"/>
    </row>
    <row r="197" spans="1:22" ht="15" x14ac:dyDescent="0.25">
      <c r="A197"/>
      <c r="B197"/>
      <c r="C197"/>
      <c r="D197"/>
      <c r="E197"/>
      <c r="F197"/>
      <c r="G197"/>
      <c r="H197"/>
      <c r="I197"/>
      <c r="J197"/>
      <c r="K197"/>
      <c r="L197"/>
      <c r="M197"/>
      <c r="N197"/>
      <c r="O197"/>
      <c r="P197"/>
      <c r="Q197"/>
      <c r="R197"/>
      <c r="S197"/>
      <c r="T197"/>
      <c r="U197"/>
      <c r="V197"/>
    </row>
    <row r="198" spans="1:22" ht="15" x14ac:dyDescent="0.25">
      <c r="A198"/>
      <c r="B198"/>
      <c r="C198"/>
      <c r="D198"/>
      <c r="E198"/>
      <c r="F198"/>
      <c r="G198"/>
      <c r="H198"/>
      <c r="I198"/>
      <c r="J198"/>
      <c r="K198"/>
      <c r="L198"/>
      <c r="M198"/>
      <c r="N198"/>
      <c r="O198"/>
      <c r="P198"/>
      <c r="Q198"/>
      <c r="R198"/>
      <c r="S198"/>
      <c r="T198"/>
      <c r="U198"/>
      <c r="V198"/>
    </row>
    <row r="199" spans="1:22" ht="15" x14ac:dyDescent="0.25">
      <c r="A199"/>
      <c r="B199"/>
      <c r="C199"/>
      <c r="D199"/>
      <c r="E199"/>
      <c r="F199"/>
      <c r="G199"/>
      <c r="H199"/>
      <c r="I199"/>
      <c r="J199"/>
      <c r="K199"/>
      <c r="L199"/>
      <c r="M199"/>
      <c r="N199"/>
      <c r="O199"/>
      <c r="P199"/>
      <c r="Q199"/>
      <c r="R199"/>
      <c r="S199"/>
      <c r="T199"/>
      <c r="U199"/>
      <c r="V199"/>
    </row>
    <row r="200" spans="1:22" ht="15" x14ac:dyDescent="0.25">
      <c r="A200"/>
      <c r="B200"/>
      <c r="C200"/>
      <c r="D200"/>
      <c r="E200"/>
      <c r="F200"/>
      <c r="G200"/>
      <c r="H200"/>
      <c r="I200"/>
      <c r="J200"/>
      <c r="K200"/>
      <c r="L200"/>
      <c r="M200"/>
      <c r="N200"/>
      <c r="O200"/>
      <c r="P200"/>
      <c r="Q200"/>
      <c r="R200"/>
      <c r="S200"/>
      <c r="T200"/>
      <c r="U200"/>
      <c r="V200"/>
    </row>
    <row r="201" spans="1:22" ht="15" x14ac:dyDescent="0.25">
      <c r="A201"/>
      <c r="B201"/>
      <c r="C201"/>
      <c r="D201"/>
      <c r="E201"/>
      <c r="F201"/>
      <c r="G201"/>
      <c r="H201"/>
      <c r="I201"/>
      <c r="J201"/>
      <c r="K201"/>
      <c r="L201"/>
      <c r="M201"/>
      <c r="N201"/>
      <c r="O201"/>
      <c r="P201"/>
      <c r="Q201"/>
      <c r="R201"/>
      <c r="S201"/>
      <c r="T201"/>
      <c r="U201"/>
      <c r="V201"/>
    </row>
    <row r="202" spans="1:22" ht="15" x14ac:dyDescent="0.25">
      <c r="A202"/>
      <c r="B202"/>
      <c r="C202"/>
      <c r="D202"/>
      <c r="E202"/>
      <c r="F202"/>
      <c r="G202"/>
      <c r="H202"/>
      <c r="I202"/>
      <c r="J202"/>
      <c r="K202"/>
      <c r="L202"/>
      <c r="M202"/>
      <c r="N202"/>
      <c r="O202"/>
      <c r="P202"/>
      <c r="Q202"/>
      <c r="R202"/>
      <c r="S202"/>
      <c r="T202"/>
      <c r="U202"/>
      <c r="V202"/>
    </row>
    <row r="203" spans="1:22" ht="15" x14ac:dyDescent="0.25">
      <c r="A203"/>
      <c r="B203"/>
      <c r="C203"/>
      <c r="D203"/>
      <c r="E203"/>
      <c r="F203"/>
      <c r="G203"/>
      <c r="H203"/>
      <c r="I203"/>
      <c r="J203"/>
      <c r="K203"/>
      <c r="L203"/>
      <c r="M203"/>
      <c r="N203"/>
      <c r="O203"/>
      <c r="P203"/>
      <c r="Q203"/>
      <c r="R203"/>
      <c r="S203"/>
      <c r="T203"/>
      <c r="U203"/>
      <c r="V203"/>
    </row>
    <row r="204" spans="1:22" ht="15" x14ac:dyDescent="0.25">
      <c r="A204"/>
      <c r="B204"/>
      <c r="C204"/>
      <c r="D204"/>
      <c r="E204"/>
      <c r="F204"/>
      <c r="G204"/>
      <c r="H204"/>
      <c r="I204"/>
      <c r="J204"/>
      <c r="K204"/>
      <c r="L204"/>
      <c r="M204"/>
      <c r="N204"/>
      <c r="O204"/>
      <c r="P204"/>
      <c r="Q204"/>
      <c r="R204"/>
      <c r="S204"/>
      <c r="T204"/>
      <c r="U204"/>
      <c r="V204"/>
    </row>
    <row r="205" spans="1:22" ht="15" x14ac:dyDescent="0.25">
      <c r="A205"/>
      <c r="B205"/>
      <c r="C205"/>
      <c r="D205"/>
      <c r="E205"/>
      <c r="F205"/>
      <c r="G205"/>
      <c r="H205"/>
      <c r="I205"/>
      <c r="J205"/>
      <c r="K205"/>
      <c r="L205"/>
      <c r="M205"/>
      <c r="N205"/>
      <c r="O205"/>
      <c r="P205"/>
      <c r="Q205"/>
      <c r="R205"/>
      <c r="S205"/>
      <c r="T205"/>
      <c r="U205"/>
      <c r="V205"/>
    </row>
    <row r="206" spans="1:22" ht="15" x14ac:dyDescent="0.25">
      <c r="A206"/>
      <c r="B206"/>
      <c r="C206"/>
      <c r="D206"/>
      <c r="E206"/>
      <c r="F206"/>
      <c r="G206"/>
      <c r="H206"/>
      <c r="I206"/>
      <c r="J206"/>
      <c r="K206"/>
      <c r="L206"/>
      <c r="M206"/>
      <c r="N206"/>
      <c r="O206"/>
      <c r="P206"/>
      <c r="Q206"/>
      <c r="R206"/>
      <c r="S206"/>
      <c r="T206"/>
      <c r="U206"/>
      <c r="V206"/>
    </row>
    <row r="207" spans="1:22" ht="15" x14ac:dyDescent="0.25">
      <c r="A207"/>
      <c r="B207"/>
      <c r="C207"/>
      <c r="D207"/>
      <c r="E207"/>
      <c r="F207"/>
      <c r="G207"/>
      <c r="H207"/>
      <c r="I207"/>
      <c r="J207"/>
      <c r="K207"/>
      <c r="L207"/>
      <c r="M207"/>
      <c r="N207"/>
      <c r="O207"/>
      <c r="P207"/>
      <c r="Q207"/>
      <c r="R207"/>
      <c r="S207"/>
      <c r="T207"/>
      <c r="U207"/>
      <c r="V207"/>
    </row>
    <row r="208" spans="1:22" ht="15" x14ac:dyDescent="0.25">
      <c r="A208"/>
      <c r="B208"/>
      <c r="C208"/>
      <c r="D208"/>
      <c r="E208"/>
      <c r="F208"/>
      <c r="G208"/>
      <c r="H208"/>
      <c r="I208"/>
      <c r="J208"/>
      <c r="K208"/>
      <c r="L208"/>
      <c r="M208"/>
      <c r="N208"/>
      <c r="O208"/>
      <c r="P208"/>
      <c r="Q208"/>
      <c r="R208"/>
      <c r="S208"/>
      <c r="T208"/>
      <c r="U208"/>
      <c r="V208"/>
    </row>
    <row r="209" spans="1:22" ht="15" x14ac:dyDescent="0.25">
      <c r="A209"/>
      <c r="B209"/>
      <c r="C209"/>
      <c r="D209"/>
      <c r="E209"/>
      <c r="F209"/>
      <c r="G209"/>
      <c r="H209"/>
      <c r="I209"/>
      <c r="J209"/>
      <c r="K209"/>
      <c r="L209"/>
      <c r="M209"/>
      <c r="N209"/>
      <c r="O209"/>
      <c r="P209"/>
      <c r="Q209"/>
      <c r="R209"/>
      <c r="S209"/>
      <c r="T209"/>
      <c r="U209"/>
      <c r="V209"/>
    </row>
    <row r="210" spans="1:22" ht="15" x14ac:dyDescent="0.25">
      <c r="A210"/>
      <c r="B210"/>
      <c r="C210"/>
      <c r="D210"/>
      <c r="E210"/>
      <c r="F210"/>
      <c r="G210"/>
      <c r="H210"/>
      <c r="I210"/>
      <c r="J210"/>
      <c r="K210"/>
      <c r="L210"/>
      <c r="M210"/>
      <c r="N210"/>
      <c r="O210"/>
      <c r="P210"/>
      <c r="Q210"/>
      <c r="R210"/>
      <c r="S210"/>
      <c r="T210"/>
      <c r="U210"/>
      <c r="V210"/>
    </row>
    <row r="211" spans="1:22" ht="15" x14ac:dyDescent="0.25">
      <c r="A211"/>
      <c r="B211"/>
      <c r="C211"/>
      <c r="D211"/>
      <c r="E211"/>
      <c r="F211"/>
      <c r="G211"/>
      <c r="H211"/>
      <c r="I211"/>
      <c r="J211"/>
      <c r="K211"/>
      <c r="L211"/>
      <c r="M211"/>
      <c r="N211"/>
      <c r="O211"/>
      <c r="P211"/>
      <c r="Q211"/>
      <c r="R211"/>
      <c r="S211"/>
      <c r="T211"/>
      <c r="U211"/>
      <c r="V211"/>
    </row>
    <row r="212" spans="1:22" ht="15" x14ac:dyDescent="0.25">
      <c r="A212"/>
      <c r="B212"/>
      <c r="C212"/>
      <c r="D212"/>
      <c r="E212"/>
      <c r="F212"/>
      <c r="G212"/>
      <c r="H212"/>
      <c r="I212"/>
      <c r="J212"/>
      <c r="K212"/>
      <c r="L212"/>
      <c r="M212"/>
      <c r="N212"/>
      <c r="O212"/>
      <c r="P212"/>
      <c r="Q212"/>
      <c r="R212"/>
      <c r="S212"/>
      <c r="T212"/>
      <c r="U212"/>
      <c r="V212"/>
    </row>
    <row r="213" spans="1:22" ht="15" x14ac:dyDescent="0.25">
      <c r="A213"/>
      <c r="B213"/>
      <c r="C213"/>
      <c r="D213"/>
      <c r="E213"/>
      <c r="F213"/>
      <c r="G213"/>
      <c r="H213"/>
      <c r="I213"/>
      <c r="J213"/>
      <c r="K213"/>
      <c r="L213"/>
      <c r="M213"/>
      <c r="N213"/>
      <c r="O213"/>
      <c r="P213"/>
      <c r="Q213"/>
      <c r="R213"/>
      <c r="S213"/>
      <c r="T213"/>
      <c r="U213"/>
      <c r="V213"/>
    </row>
    <row r="214" spans="1:22" ht="15" x14ac:dyDescent="0.25">
      <c r="A214"/>
      <c r="B214"/>
      <c r="C214"/>
      <c r="D214"/>
      <c r="E214"/>
      <c r="F214"/>
      <c r="G214"/>
      <c r="H214"/>
      <c r="I214"/>
      <c r="J214"/>
      <c r="K214"/>
      <c r="L214"/>
      <c r="M214"/>
      <c r="N214"/>
      <c r="O214"/>
      <c r="P214"/>
      <c r="Q214"/>
      <c r="R214"/>
      <c r="S214"/>
      <c r="T214"/>
      <c r="U214"/>
      <c r="V214"/>
    </row>
    <row r="215" spans="1:22" ht="15" x14ac:dyDescent="0.25">
      <c r="A215"/>
      <c r="B215"/>
      <c r="C215"/>
      <c r="D215"/>
      <c r="E215"/>
      <c r="F215"/>
      <c r="G215"/>
      <c r="H215"/>
      <c r="I215"/>
      <c r="J215"/>
      <c r="K215"/>
      <c r="L215"/>
      <c r="M215"/>
      <c r="N215"/>
      <c r="O215"/>
      <c r="P215"/>
      <c r="Q215"/>
      <c r="R215"/>
      <c r="S215"/>
      <c r="T215"/>
      <c r="U215"/>
      <c r="V215"/>
    </row>
    <row r="216" spans="1:22" ht="15" x14ac:dyDescent="0.25">
      <c r="A216"/>
      <c r="B216"/>
      <c r="C216"/>
      <c r="D216"/>
      <c r="E216"/>
      <c r="F216"/>
      <c r="G216"/>
      <c r="H216"/>
      <c r="I216"/>
      <c r="J216"/>
      <c r="K216"/>
      <c r="L216"/>
      <c r="M216"/>
      <c r="N216"/>
      <c r="O216"/>
      <c r="P216"/>
      <c r="Q216"/>
      <c r="R216"/>
      <c r="S216"/>
      <c r="T216"/>
      <c r="U216"/>
      <c r="V216"/>
    </row>
    <row r="217" spans="1:22" ht="15" x14ac:dyDescent="0.25">
      <c r="A217"/>
      <c r="B217"/>
      <c r="C217"/>
      <c r="D217"/>
      <c r="E217"/>
      <c r="F217"/>
      <c r="G217"/>
      <c r="H217"/>
      <c r="I217"/>
      <c r="J217"/>
      <c r="K217"/>
      <c r="L217"/>
      <c r="M217"/>
      <c r="N217"/>
      <c r="O217"/>
      <c r="P217"/>
      <c r="Q217"/>
      <c r="R217"/>
      <c r="S217"/>
      <c r="T217"/>
      <c r="U217"/>
      <c r="V217"/>
    </row>
    <row r="218" spans="1:22" ht="15" x14ac:dyDescent="0.25">
      <c r="A218"/>
      <c r="B218"/>
      <c r="C218"/>
      <c r="D218"/>
      <c r="E218"/>
      <c r="F218"/>
      <c r="G218"/>
      <c r="H218"/>
      <c r="I218"/>
      <c r="J218"/>
      <c r="K218"/>
      <c r="L218"/>
      <c r="M218"/>
      <c r="N218"/>
      <c r="O218"/>
      <c r="P218"/>
      <c r="Q218"/>
      <c r="R218"/>
      <c r="S218"/>
      <c r="T218"/>
      <c r="U218"/>
      <c r="V218"/>
    </row>
    <row r="219" spans="1:22" ht="15" x14ac:dyDescent="0.25">
      <c r="A219"/>
      <c r="B219"/>
      <c r="C219"/>
      <c r="D219"/>
      <c r="E219"/>
      <c r="F219"/>
      <c r="G219"/>
      <c r="H219"/>
      <c r="I219"/>
      <c r="J219"/>
      <c r="K219"/>
      <c r="L219"/>
      <c r="M219"/>
      <c r="N219"/>
      <c r="O219"/>
      <c r="P219"/>
      <c r="Q219"/>
      <c r="R219"/>
      <c r="S219"/>
      <c r="T219"/>
      <c r="U219"/>
      <c r="V219"/>
    </row>
    <row r="220" spans="1:22" ht="15" x14ac:dyDescent="0.25">
      <c r="A220"/>
      <c r="B220"/>
      <c r="C220"/>
      <c r="D220"/>
      <c r="E220"/>
      <c r="F220"/>
      <c r="G220"/>
      <c r="H220"/>
      <c r="I220"/>
      <c r="J220"/>
      <c r="K220"/>
      <c r="L220"/>
      <c r="M220"/>
      <c r="N220"/>
      <c r="O220"/>
      <c r="P220"/>
      <c r="Q220"/>
      <c r="R220"/>
      <c r="S220"/>
      <c r="T220"/>
      <c r="U220"/>
      <c r="V220"/>
    </row>
    <row r="221" spans="1:22" ht="15" x14ac:dyDescent="0.25">
      <c r="A221"/>
      <c r="B221"/>
      <c r="C221"/>
      <c r="D221"/>
      <c r="E221"/>
      <c r="F221"/>
      <c r="G221"/>
      <c r="H221"/>
      <c r="I221"/>
      <c r="J221"/>
      <c r="K221"/>
      <c r="L221"/>
      <c r="M221"/>
      <c r="N221"/>
      <c r="O221"/>
      <c r="P221"/>
      <c r="Q221"/>
      <c r="R221"/>
      <c r="S221"/>
      <c r="T221"/>
      <c r="U221"/>
      <c r="V221"/>
    </row>
    <row r="222" spans="1:22" ht="15" x14ac:dyDescent="0.25">
      <c r="A222"/>
      <c r="B222"/>
      <c r="C222"/>
      <c r="D222"/>
      <c r="E222"/>
      <c r="F222"/>
      <c r="G222"/>
      <c r="H222"/>
      <c r="I222"/>
      <c r="J222"/>
      <c r="K222"/>
      <c r="L222"/>
      <c r="M222"/>
      <c r="N222"/>
      <c r="O222"/>
      <c r="P222"/>
      <c r="Q222"/>
      <c r="R222"/>
      <c r="S222"/>
      <c r="T222"/>
      <c r="U222"/>
      <c r="V222"/>
    </row>
    <row r="223" spans="1:22" ht="15" x14ac:dyDescent="0.25">
      <c r="A223"/>
      <c r="B223"/>
      <c r="C223"/>
      <c r="D223"/>
      <c r="E223"/>
      <c r="F223"/>
      <c r="G223"/>
      <c r="H223"/>
      <c r="I223"/>
      <c r="J223"/>
      <c r="K223"/>
      <c r="L223"/>
      <c r="M223"/>
      <c r="N223"/>
      <c r="O223"/>
      <c r="P223"/>
      <c r="Q223"/>
      <c r="R223"/>
      <c r="S223"/>
      <c r="T223"/>
      <c r="U223"/>
      <c r="V223"/>
    </row>
    <row r="224" spans="1:22" ht="15" x14ac:dyDescent="0.25">
      <c r="A224"/>
      <c r="B224"/>
      <c r="C224"/>
      <c r="D224"/>
      <c r="E224"/>
      <c r="F224"/>
      <c r="G224"/>
      <c r="H224"/>
      <c r="I224"/>
      <c r="J224"/>
      <c r="K224"/>
      <c r="L224"/>
      <c r="M224"/>
      <c r="N224"/>
      <c r="O224"/>
      <c r="P224"/>
      <c r="Q224"/>
      <c r="R224"/>
      <c r="S224"/>
      <c r="T224"/>
      <c r="U224"/>
      <c r="V224"/>
    </row>
    <row r="225" spans="1:22" ht="15" x14ac:dyDescent="0.25">
      <c r="A225"/>
      <c r="B225"/>
      <c r="C225"/>
      <c r="D225"/>
      <c r="E225"/>
      <c r="F225"/>
      <c r="G225"/>
      <c r="H225"/>
      <c r="I225"/>
      <c r="J225"/>
      <c r="K225"/>
      <c r="L225"/>
      <c r="M225"/>
      <c r="N225"/>
      <c r="O225"/>
      <c r="P225"/>
      <c r="Q225"/>
      <c r="R225"/>
      <c r="S225"/>
      <c r="T225"/>
      <c r="U225"/>
      <c r="V225"/>
    </row>
    <row r="226" spans="1:22" ht="15" x14ac:dyDescent="0.25">
      <c r="A226"/>
      <c r="B226"/>
      <c r="C226"/>
      <c r="D226"/>
      <c r="E226"/>
      <c r="F226"/>
      <c r="G226"/>
      <c r="H226"/>
      <c r="I226"/>
      <c r="J226"/>
      <c r="K226"/>
      <c r="L226"/>
      <c r="M226"/>
      <c r="N226"/>
      <c r="O226"/>
      <c r="P226"/>
      <c r="Q226"/>
      <c r="R226"/>
      <c r="S226"/>
      <c r="T226"/>
      <c r="U226"/>
      <c r="V226"/>
    </row>
    <row r="227" spans="1:22" ht="15" x14ac:dyDescent="0.25">
      <c r="A227"/>
      <c r="B227"/>
      <c r="C227"/>
      <c r="D227"/>
      <c r="E227"/>
      <c r="F227"/>
      <c r="G227"/>
      <c r="H227"/>
      <c r="I227"/>
      <c r="J227"/>
      <c r="K227"/>
      <c r="L227"/>
      <c r="M227"/>
      <c r="N227"/>
      <c r="O227"/>
      <c r="P227"/>
      <c r="Q227"/>
      <c r="R227"/>
      <c r="S227"/>
      <c r="T227"/>
      <c r="U227"/>
      <c r="V227"/>
    </row>
    <row r="228" spans="1:22" ht="15" x14ac:dyDescent="0.25">
      <c r="A228"/>
      <c r="B228"/>
      <c r="C228"/>
      <c r="D228"/>
      <c r="E228"/>
      <c r="F228"/>
      <c r="G228"/>
      <c r="H228"/>
      <c r="I228"/>
      <c r="J228"/>
      <c r="K228"/>
      <c r="L228"/>
      <c r="M228"/>
      <c r="N228"/>
      <c r="O228"/>
      <c r="P228"/>
      <c r="Q228"/>
      <c r="R228"/>
      <c r="S228"/>
      <c r="T228"/>
      <c r="U228"/>
      <c r="V228"/>
    </row>
    <row r="229" spans="1:22" ht="15" x14ac:dyDescent="0.25">
      <c r="A229"/>
      <c r="B229"/>
      <c r="C229"/>
      <c r="D229"/>
      <c r="E229"/>
      <c r="F229"/>
      <c r="G229"/>
      <c r="H229"/>
      <c r="I229"/>
      <c r="J229"/>
      <c r="K229"/>
      <c r="L229"/>
      <c r="M229"/>
      <c r="N229"/>
      <c r="O229"/>
      <c r="P229"/>
      <c r="Q229"/>
      <c r="R229"/>
      <c r="S229"/>
      <c r="T229"/>
      <c r="U229"/>
      <c r="V229"/>
    </row>
    <row r="230" spans="1:22" ht="15" x14ac:dyDescent="0.25">
      <c r="A230"/>
      <c r="B230"/>
      <c r="C230"/>
      <c r="D230"/>
      <c r="E230"/>
      <c r="F230"/>
      <c r="G230"/>
      <c r="H230"/>
      <c r="I230"/>
      <c r="J230"/>
      <c r="K230"/>
      <c r="L230"/>
      <c r="M230"/>
      <c r="N230"/>
      <c r="O230"/>
      <c r="P230"/>
      <c r="Q230"/>
      <c r="R230"/>
      <c r="S230"/>
      <c r="T230"/>
      <c r="U230"/>
      <c r="V230"/>
    </row>
    <row r="231" spans="1:22" ht="15" x14ac:dyDescent="0.25">
      <c r="A231"/>
      <c r="B231"/>
      <c r="C231"/>
      <c r="D231"/>
      <c r="E231"/>
      <c r="F231"/>
      <c r="G231"/>
      <c r="H231"/>
      <c r="I231"/>
      <c r="J231"/>
      <c r="K231"/>
      <c r="L231"/>
      <c r="M231"/>
      <c r="N231"/>
      <c r="O231"/>
      <c r="P231"/>
      <c r="Q231"/>
      <c r="R231"/>
      <c r="S231"/>
      <c r="T231"/>
      <c r="U231"/>
      <c r="V231"/>
    </row>
    <row r="232" spans="1:22" ht="15" x14ac:dyDescent="0.25">
      <c r="A232"/>
      <c r="B232"/>
      <c r="C232"/>
      <c r="D232"/>
      <c r="E232"/>
      <c r="F232"/>
      <c r="G232"/>
      <c r="H232"/>
      <c r="I232"/>
      <c r="J232"/>
      <c r="K232"/>
      <c r="L232"/>
      <c r="M232"/>
      <c r="N232"/>
      <c r="O232"/>
      <c r="P232"/>
      <c r="Q232"/>
      <c r="R232"/>
      <c r="S232"/>
      <c r="T232"/>
      <c r="U232"/>
      <c r="V232"/>
    </row>
    <row r="233" spans="1:22" ht="15" x14ac:dyDescent="0.25">
      <c r="A233"/>
      <c r="B233"/>
      <c r="C233"/>
      <c r="D233"/>
      <c r="E233"/>
      <c r="F233"/>
      <c r="G233"/>
      <c r="H233"/>
      <c r="I233"/>
      <c r="J233"/>
      <c r="K233"/>
      <c r="L233"/>
      <c r="M233"/>
      <c r="N233"/>
      <c r="O233"/>
      <c r="P233"/>
      <c r="Q233"/>
      <c r="R233"/>
      <c r="S233"/>
      <c r="T233"/>
      <c r="U233"/>
      <c r="V233"/>
    </row>
    <row r="234" spans="1:22" ht="15" x14ac:dyDescent="0.25">
      <c r="A234"/>
      <c r="B234"/>
      <c r="C234"/>
      <c r="D234"/>
      <c r="E234"/>
      <c r="F234"/>
      <c r="G234"/>
      <c r="H234"/>
      <c r="I234"/>
      <c r="J234"/>
      <c r="K234"/>
      <c r="L234"/>
      <c r="M234"/>
      <c r="N234"/>
      <c r="O234"/>
      <c r="P234"/>
      <c r="Q234"/>
      <c r="R234"/>
      <c r="S234"/>
      <c r="T234"/>
      <c r="U234"/>
      <c r="V234"/>
    </row>
    <row r="235" spans="1:22" ht="15" x14ac:dyDescent="0.25">
      <c r="A235"/>
      <c r="B235"/>
      <c r="C235"/>
      <c r="D235"/>
      <c r="E235"/>
      <c r="F235"/>
      <c r="G235"/>
      <c r="H235"/>
      <c r="I235"/>
      <c r="J235"/>
      <c r="K235"/>
      <c r="L235"/>
      <c r="M235"/>
      <c r="N235"/>
      <c r="O235"/>
      <c r="P235"/>
      <c r="Q235"/>
      <c r="R235"/>
      <c r="S235"/>
      <c r="T235"/>
      <c r="U235"/>
      <c r="V235"/>
    </row>
    <row r="236" spans="1:22" ht="15" x14ac:dyDescent="0.25">
      <c r="A236"/>
      <c r="B236"/>
      <c r="C236"/>
      <c r="D236"/>
      <c r="E236"/>
      <c r="F236"/>
      <c r="G236"/>
      <c r="H236"/>
      <c r="I236"/>
      <c r="J236"/>
      <c r="K236"/>
      <c r="L236"/>
      <c r="M236"/>
      <c r="N236"/>
      <c r="O236"/>
      <c r="P236"/>
      <c r="Q236"/>
      <c r="R236"/>
      <c r="S236"/>
      <c r="T236"/>
      <c r="U236"/>
      <c r="V236"/>
    </row>
    <row r="237" spans="1:22" ht="15" x14ac:dyDescent="0.25">
      <c r="A237"/>
      <c r="B237"/>
      <c r="C237"/>
      <c r="D237"/>
      <c r="E237"/>
      <c r="F237"/>
      <c r="G237"/>
      <c r="H237"/>
      <c r="I237"/>
      <c r="J237"/>
      <c r="K237"/>
      <c r="L237"/>
      <c r="M237"/>
      <c r="N237"/>
      <c r="O237"/>
      <c r="P237"/>
      <c r="Q237"/>
      <c r="R237"/>
      <c r="S237"/>
      <c r="T237"/>
      <c r="U237"/>
      <c r="V237"/>
    </row>
    <row r="238" spans="1:22" ht="15" x14ac:dyDescent="0.25">
      <c r="A238"/>
      <c r="B238"/>
      <c r="C238"/>
      <c r="D238"/>
      <c r="E238"/>
      <c r="F238"/>
      <c r="G238"/>
      <c r="H238"/>
      <c r="I238"/>
      <c r="J238"/>
      <c r="K238"/>
      <c r="L238"/>
      <c r="M238"/>
      <c r="N238"/>
      <c r="O238"/>
      <c r="P238"/>
      <c r="Q238"/>
      <c r="R238"/>
      <c r="S238"/>
      <c r="T238"/>
      <c r="U238"/>
      <c r="V238"/>
    </row>
    <row r="239" spans="1:22" ht="15" x14ac:dyDescent="0.25">
      <c r="A239"/>
      <c r="B239"/>
      <c r="C239"/>
      <c r="D239"/>
      <c r="E239"/>
      <c r="F239"/>
      <c r="G239"/>
      <c r="H239"/>
      <c r="I239"/>
      <c r="J239"/>
      <c r="K239"/>
      <c r="L239"/>
      <c r="M239"/>
      <c r="N239"/>
      <c r="O239"/>
      <c r="P239"/>
      <c r="Q239"/>
      <c r="R239"/>
      <c r="S239"/>
      <c r="T239"/>
      <c r="U239"/>
      <c r="V239"/>
    </row>
    <row r="240" spans="1:22" ht="15" x14ac:dyDescent="0.25">
      <c r="A240"/>
      <c r="B240"/>
      <c r="C240"/>
      <c r="D240"/>
      <c r="E240"/>
      <c r="F240"/>
      <c r="G240"/>
      <c r="H240"/>
      <c r="I240"/>
      <c r="J240"/>
      <c r="K240"/>
      <c r="L240"/>
      <c r="M240"/>
      <c r="N240"/>
      <c r="O240"/>
      <c r="P240"/>
      <c r="Q240"/>
      <c r="R240"/>
      <c r="S240"/>
      <c r="T240"/>
      <c r="U240"/>
      <c r="V240"/>
    </row>
    <row r="241" spans="1:22" ht="15" x14ac:dyDescent="0.25">
      <c r="A241"/>
      <c r="B241"/>
      <c r="C241"/>
      <c r="D241"/>
      <c r="E241"/>
      <c r="F241"/>
      <c r="G241"/>
      <c r="H241"/>
      <c r="I241"/>
      <c r="J241"/>
      <c r="K241"/>
      <c r="L241"/>
      <c r="M241"/>
      <c r="N241"/>
      <c r="O241"/>
      <c r="P241"/>
      <c r="Q241"/>
      <c r="R241"/>
      <c r="S241"/>
      <c r="T241"/>
      <c r="U241"/>
      <c r="V241"/>
    </row>
    <row r="242" spans="1:22" ht="15" x14ac:dyDescent="0.25">
      <c r="A242"/>
      <c r="B242"/>
      <c r="C242"/>
      <c r="D242"/>
      <c r="E242"/>
      <c r="F242"/>
      <c r="G242"/>
      <c r="H242"/>
      <c r="I242"/>
      <c r="J242"/>
      <c r="K242"/>
      <c r="L242"/>
      <c r="M242"/>
      <c r="N242"/>
      <c r="O242"/>
      <c r="P242"/>
      <c r="Q242"/>
      <c r="R242"/>
      <c r="S242"/>
      <c r="T242"/>
      <c r="U242"/>
      <c r="V242"/>
    </row>
    <row r="243" spans="1:22" ht="15" x14ac:dyDescent="0.25">
      <c r="A243"/>
      <c r="B243"/>
      <c r="C243"/>
      <c r="D243"/>
      <c r="E243"/>
      <c r="F243"/>
      <c r="G243"/>
      <c r="H243"/>
      <c r="I243"/>
      <c r="J243"/>
      <c r="K243"/>
      <c r="L243"/>
      <c r="M243"/>
      <c r="N243"/>
      <c r="O243"/>
      <c r="P243"/>
      <c r="Q243"/>
      <c r="R243"/>
      <c r="S243"/>
      <c r="T243"/>
      <c r="U243"/>
      <c r="V243"/>
    </row>
    <row r="244" spans="1:22" ht="15" x14ac:dyDescent="0.25">
      <c r="A244"/>
      <c r="B244"/>
      <c r="C244"/>
      <c r="D244"/>
      <c r="E244"/>
      <c r="F244"/>
      <c r="G244"/>
      <c r="H244"/>
      <c r="I244"/>
      <c r="J244"/>
      <c r="K244"/>
      <c r="L244"/>
      <c r="M244"/>
      <c r="N244"/>
      <c r="O244"/>
      <c r="P244"/>
      <c r="Q244"/>
      <c r="R244"/>
      <c r="S244"/>
      <c r="T244"/>
      <c r="U244"/>
      <c r="V244"/>
    </row>
    <row r="245" spans="1:22" ht="15" x14ac:dyDescent="0.25">
      <c r="A245"/>
      <c r="B245"/>
      <c r="C245"/>
      <c r="D245"/>
      <c r="E245"/>
      <c r="F245"/>
      <c r="G245"/>
      <c r="H245"/>
      <c r="I245"/>
      <c r="J245"/>
      <c r="K245"/>
      <c r="L245"/>
      <c r="M245"/>
      <c r="N245"/>
      <c r="O245"/>
      <c r="P245"/>
      <c r="Q245"/>
      <c r="R245"/>
      <c r="S245"/>
      <c r="T245"/>
      <c r="U245"/>
      <c r="V245"/>
    </row>
    <row r="246" spans="1:22" ht="15" x14ac:dyDescent="0.25">
      <c r="A246"/>
      <c r="B246"/>
      <c r="C246"/>
      <c r="D246"/>
      <c r="E246"/>
      <c r="F246"/>
      <c r="G246"/>
      <c r="H246"/>
      <c r="I246"/>
      <c r="J246"/>
      <c r="K246"/>
      <c r="L246"/>
      <c r="M246"/>
      <c r="N246"/>
      <c r="O246"/>
      <c r="P246"/>
      <c r="Q246"/>
      <c r="R246"/>
      <c r="S246"/>
      <c r="T246"/>
      <c r="U246"/>
      <c r="V246"/>
    </row>
    <row r="247" spans="1:22" ht="15" x14ac:dyDescent="0.25">
      <c r="A247"/>
      <c r="B247"/>
      <c r="C247"/>
      <c r="D247"/>
      <c r="E247"/>
      <c r="F247"/>
      <c r="G247"/>
      <c r="H247"/>
      <c r="I247"/>
      <c r="J247"/>
      <c r="K247"/>
      <c r="L247"/>
      <c r="M247"/>
      <c r="N247"/>
      <c r="O247"/>
      <c r="P247"/>
      <c r="Q247"/>
      <c r="R247"/>
      <c r="S247"/>
      <c r="T247"/>
      <c r="U247"/>
      <c r="V247"/>
    </row>
    <row r="248" spans="1:22" ht="15" x14ac:dyDescent="0.25">
      <c r="A248"/>
      <c r="B248"/>
      <c r="C248"/>
      <c r="D248"/>
      <c r="E248"/>
      <c r="F248"/>
      <c r="G248"/>
      <c r="H248"/>
      <c r="I248"/>
      <c r="J248"/>
      <c r="K248"/>
      <c r="L248"/>
      <c r="M248"/>
      <c r="N248"/>
      <c r="O248"/>
      <c r="P248"/>
      <c r="Q248"/>
      <c r="R248"/>
      <c r="S248"/>
      <c r="T248"/>
      <c r="U248"/>
      <c r="V248"/>
    </row>
    <row r="249" spans="1:22" ht="15" x14ac:dyDescent="0.25">
      <c r="A249"/>
      <c r="B249"/>
      <c r="C249"/>
      <c r="D249"/>
      <c r="E249"/>
      <c r="F249"/>
      <c r="G249"/>
      <c r="H249"/>
      <c r="I249"/>
      <c r="J249"/>
      <c r="K249"/>
      <c r="L249"/>
      <c r="M249"/>
      <c r="N249"/>
      <c r="O249"/>
      <c r="P249"/>
      <c r="Q249"/>
      <c r="R249"/>
      <c r="S249"/>
      <c r="T249"/>
      <c r="U249"/>
      <c r="V249"/>
    </row>
    <row r="250" spans="1:22" ht="15" x14ac:dyDescent="0.25">
      <c r="A250"/>
      <c r="B250"/>
      <c r="C250"/>
      <c r="D250"/>
      <c r="E250"/>
      <c r="F250"/>
      <c r="G250"/>
      <c r="H250"/>
      <c r="I250"/>
      <c r="J250"/>
      <c r="K250"/>
      <c r="L250"/>
      <c r="M250"/>
      <c r="N250"/>
      <c r="O250"/>
      <c r="P250"/>
      <c r="Q250"/>
      <c r="R250"/>
      <c r="S250"/>
      <c r="T250"/>
      <c r="U250"/>
      <c r="V250"/>
    </row>
    <row r="251" spans="1:22" ht="15" x14ac:dyDescent="0.25">
      <c r="A251"/>
      <c r="B251"/>
      <c r="C251"/>
      <c r="D251"/>
      <c r="E251"/>
      <c r="F251"/>
      <c r="G251"/>
      <c r="H251"/>
      <c r="I251"/>
      <c r="J251"/>
      <c r="K251"/>
      <c r="L251"/>
      <c r="M251"/>
      <c r="N251"/>
      <c r="O251"/>
      <c r="P251"/>
      <c r="Q251"/>
      <c r="R251"/>
      <c r="S251"/>
      <c r="T251"/>
      <c r="U251"/>
      <c r="V251"/>
    </row>
    <row r="252" spans="1:22" ht="15" x14ac:dyDescent="0.25">
      <c r="A252"/>
      <c r="B252"/>
      <c r="C252"/>
      <c r="D252"/>
      <c r="E252"/>
      <c r="F252"/>
      <c r="G252"/>
      <c r="H252"/>
      <c r="I252"/>
      <c r="J252"/>
      <c r="K252"/>
      <c r="L252"/>
      <c r="M252"/>
      <c r="N252"/>
      <c r="O252"/>
      <c r="P252"/>
      <c r="Q252"/>
      <c r="R252"/>
      <c r="S252"/>
      <c r="T252"/>
      <c r="U252"/>
      <c r="V252"/>
    </row>
    <row r="253" spans="1:22" ht="15" x14ac:dyDescent="0.25">
      <c r="A253"/>
      <c r="B253"/>
      <c r="C253"/>
      <c r="D253"/>
      <c r="E253"/>
      <c r="F253"/>
      <c r="G253"/>
      <c r="H253"/>
      <c r="I253"/>
      <c r="J253"/>
      <c r="K253"/>
      <c r="L253"/>
      <c r="M253"/>
      <c r="N253"/>
      <c r="O253"/>
      <c r="P253"/>
      <c r="Q253"/>
      <c r="R253"/>
      <c r="S253"/>
      <c r="T253"/>
      <c r="U253"/>
      <c r="V253"/>
    </row>
    <row r="254" spans="1:22" ht="15" x14ac:dyDescent="0.25">
      <c r="A254"/>
      <c r="B254"/>
      <c r="C254"/>
      <c r="D254"/>
      <c r="E254"/>
      <c r="F254"/>
      <c r="G254"/>
      <c r="H254"/>
      <c r="I254"/>
      <c r="J254"/>
      <c r="K254"/>
      <c r="L254"/>
      <c r="M254"/>
      <c r="N254"/>
      <c r="O254"/>
      <c r="P254"/>
      <c r="Q254"/>
      <c r="R254"/>
      <c r="S254"/>
      <c r="T254"/>
      <c r="U254"/>
      <c r="V254"/>
    </row>
    <row r="255" spans="1:22" ht="15" x14ac:dyDescent="0.25">
      <c r="A255"/>
      <c r="B255"/>
      <c r="C255"/>
      <c r="D255"/>
      <c r="E255"/>
      <c r="F255"/>
      <c r="G255"/>
      <c r="H255"/>
      <c r="I255"/>
      <c r="J255"/>
      <c r="K255"/>
      <c r="L255"/>
      <c r="M255"/>
      <c r="N255"/>
      <c r="O255"/>
      <c r="P255"/>
      <c r="Q255"/>
      <c r="R255"/>
      <c r="S255"/>
      <c r="T255"/>
      <c r="U255"/>
      <c r="V255"/>
    </row>
    <row r="256" spans="1:22" ht="15" x14ac:dyDescent="0.25">
      <c r="A256"/>
      <c r="B256"/>
      <c r="C256"/>
      <c r="D256"/>
      <c r="E256"/>
      <c r="F256"/>
      <c r="G256"/>
      <c r="H256"/>
      <c r="I256"/>
      <c r="J256"/>
      <c r="K256"/>
      <c r="L256"/>
      <c r="M256"/>
      <c r="N256"/>
      <c r="O256"/>
      <c r="P256"/>
      <c r="Q256"/>
      <c r="R256"/>
      <c r="S256"/>
      <c r="T256"/>
      <c r="U256"/>
      <c r="V256"/>
    </row>
    <row r="257" spans="1:22" ht="15" x14ac:dyDescent="0.25">
      <c r="A257"/>
      <c r="B257"/>
      <c r="C257"/>
      <c r="D257"/>
      <c r="E257"/>
      <c r="F257"/>
      <c r="G257"/>
      <c r="H257"/>
      <c r="I257"/>
      <c r="J257"/>
      <c r="K257"/>
      <c r="L257"/>
      <c r="M257"/>
      <c r="N257"/>
      <c r="O257"/>
      <c r="P257"/>
      <c r="Q257"/>
      <c r="R257"/>
      <c r="S257"/>
      <c r="T257"/>
      <c r="U257"/>
      <c r="V257"/>
    </row>
    <row r="258" spans="1:22" ht="15" x14ac:dyDescent="0.25">
      <c r="A258"/>
      <c r="B258"/>
      <c r="C258"/>
      <c r="D258"/>
      <c r="E258"/>
      <c r="F258"/>
      <c r="G258"/>
      <c r="H258"/>
      <c r="I258"/>
      <c r="J258"/>
      <c r="K258"/>
      <c r="L258"/>
      <c r="M258"/>
      <c r="N258"/>
      <c r="O258"/>
      <c r="P258"/>
      <c r="Q258"/>
      <c r="R258"/>
      <c r="S258"/>
      <c r="T258"/>
      <c r="U258"/>
      <c r="V258"/>
    </row>
    <row r="259" spans="1:22" ht="15" x14ac:dyDescent="0.25">
      <c r="A259"/>
      <c r="B259"/>
      <c r="C259"/>
      <c r="D259"/>
      <c r="E259"/>
      <c r="F259"/>
      <c r="G259"/>
      <c r="H259"/>
      <c r="I259"/>
      <c r="J259"/>
      <c r="K259"/>
      <c r="L259"/>
      <c r="M259"/>
      <c r="N259"/>
      <c r="O259"/>
      <c r="P259"/>
      <c r="Q259"/>
      <c r="R259"/>
      <c r="S259"/>
      <c r="T259"/>
      <c r="U259"/>
      <c r="V259"/>
    </row>
    <row r="260" spans="1:22" ht="15" x14ac:dyDescent="0.25">
      <c r="A260"/>
      <c r="B260"/>
      <c r="C260"/>
      <c r="D260"/>
      <c r="E260"/>
      <c r="F260"/>
      <c r="G260"/>
      <c r="H260"/>
      <c r="I260"/>
      <c r="J260"/>
      <c r="K260"/>
      <c r="L260"/>
      <c r="M260"/>
      <c r="N260"/>
      <c r="O260"/>
      <c r="P260"/>
      <c r="Q260"/>
      <c r="R260"/>
      <c r="S260"/>
      <c r="T260"/>
      <c r="U260"/>
      <c r="V260"/>
    </row>
    <row r="261" spans="1:22" ht="15" x14ac:dyDescent="0.25">
      <c r="A261"/>
      <c r="B261"/>
      <c r="C261"/>
      <c r="D261"/>
      <c r="E261"/>
      <c r="F261"/>
      <c r="G261"/>
      <c r="H261"/>
      <c r="I261"/>
      <c r="J261"/>
      <c r="K261"/>
      <c r="L261"/>
      <c r="M261"/>
      <c r="N261"/>
      <c r="O261"/>
      <c r="P261"/>
      <c r="Q261"/>
      <c r="R261"/>
      <c r="S261"/>
      <c r="T261"/>
      <c r="U261"/>
      <c r="V261"/>
    </row>
    <row r="262" spans="1:22" ht="15" x14ac:dyDescent="0.25">
      <c r="A262"/>
      <c r="B262"/>
      <c r="C262"/>
      <c r="D262"/>
      <c r="E262"/>
      <c r="F262"/>
      <c r="G262"/>
      <c r="H262"/>
      <c r="I262"/>
      <c r="J262"/>
      <c r="K262"/>
      <c r="L262"/>
      <c r="M262"/>
      <c r="N262"/>
      <c r="O262"/>
      <c r="P262"/>
      <c r="Q262"/>
      <c r="R262"/>
      <c r="S262"/>
      <c r="T262"/>
      <c r="U262"/>
      <c r="V262"/>
    </row>
    <row r="263" spans="1:22" ht="15" x14ac:dyDescent="0.25">
      <c r="A263"/>
      <c r="B263"/>
      <c r="C263"/>
      <c r="D263"/>
      <c r="E263"/>
      <c r="F263"/>
      <c r="G263"/>
      <c r="H263"/>
      <c r="I263"/>
      <c r="J263"/>
      <c r="K263"/>
      <c r="L263"/>
      <c r="M263"/>
      <c r="N263"/>
      <c r="O263"/>
      <c r="P263"/>
      <c r="Q263"/>
      <c r="R263"/>
      <c r="S263"/>
      <c r="T263"/>
      <c r="U263"/>
      <c r="V263"/>
    </row>
    <row r="264" spans="1:22" ht="15" x14ac:dyDescent="0.25">
      <c r="A264"/>
      <c r="B264"/>
      <c r="C264"/>
      <c r="D264"/>
      <c r="E264"/>
      <c r="F264"/>
      <c r="G264"/>
      <c r="H264"/>
      <c r="I264"/>
      <c r="J264"/>
      <c r="K264"/>
      <c r="L264"/>
      <c r="M264"/>
      <c r="N264"/>
      <c r="O264"/>
      <c r="P264"/>
      <c r="Q264"/>
      <c r="R264"/>
      <c r="S264"/>
      <c r="T264"/>
      <c r="U264"/>
      <c r="V264"/>
    </row>
    <row r="265" spans="1:22" ht="15" x14ac:dyDescent="0.25">
      <c r="A265"/>
      <c r="B265"/>
      <c r="C265"/>
      <c r="D265"/>
      <c r="E265"/>
      <c r="F265"/>
      <c r="G265"/>
      <c r="H265"/>
      <c r="I265"/>
      <c r="J265"/>
      <c r="K265"/>
      <c r="L265"/>
      <c r="M265"/>
      <c r="N265"/>
      <c r="O265"/>
      <c r="P265"/>
      <c r="Q265"/>
      <c r="R265"/>
      <c r="S265"/>
      <c r="T265"/>
      <c r="U265"/>
      <c r="V265"/>
    </row>
    <row r="266" spans="1:22" ht="15" x14ac:dyDescent="0.25">
      <c r="A266"/>
      <c r="B266"/>
      <c r="C266"/>
      <c r="D266"/>
      <c r="E266"/>
      <c r="F266"/>
      <c r="G266"/>
      <c r="H266"/>
      <c r="I266"/>
      <c r="J266"/>
      <c r="K266"/>
      <c r="L266"/>
      <c r="M266"/>
      <c r="N266"/>
      <c r="O266"/>
      <c r="P266"/>
      <c r="Q266"/>
      <c r="R266"/>
      <c r="S266"/>
      <c r="T266"/>
      <c r="U266"/>
      <c r="V266"/>
    </row>
    <row r="267" spans="1:22" ht="15" x14ac:dyDescent="0.25">
      <c r="A267"/>
      <c r="B267"/>
      <c r="C267"/>
      <c r="D267"/>
      <c r="E267"/>
      <c r="F267"/>
      <c r="G267"/>
      <c r="H267"/>
      <c r="I267"/>
      <c r="J267"/>
      <c r="K267"/>
      <c r="L267"/>
      <c r="M267"/>
      <c r="N267"/>
      <c r="O267"/>
      <c r="P267"/>
      <c r="Q267"/>
      <c r="R267"/>
      <c r="S267"/>
      <c r="T267"/>
      <c r="U267"/>
      <c r="V267"/>
    </row>
    <row r="268" spans="1:22" ht="15" x14ac:dyDescent="0.25">
      <c r="A268"/>
      <c r="B268"/>
      <c r="C268"/>
      <c r="D268"/>
      <c r="E268"/>
      <c r="F268"/>
      <c r="G268"/>
      <c r="H268"/>
      <c r="I268"/>
      <c r="J268"/>
      <c r="K268"/>
      <c r="L268"/>
      <c r="M268"/>
      <c r="N268"/>
      <c r="O268"/>
      <c r="P268"/>
      <c r="Q268"/>
      <c r="R268"/>
      <c r="S268"/>
      <c r="T268"/>
      <c r="U268"/>
      <c r="V268"/>
    </row>
    <row r="269" spans="1:22" ht="15" x14ac:dyDescent="0.25">
      <c r="A269"/>
      <c r="B269"/>
      <c r="C269"/>
      <c r="D269"/>
      <c r="E269"/>
      <c r="F269"/>
      <c r="G269"/>
      <c r="H269"/>
      <c r="I269"/>
      <c r="J269"/>
      <c r="K269"/>
      <c r="L269"/>
      <c r="M269"/>
      <c r="N269"/>
      <c r="O269"/>
      <c r="P269"/>
      <c r="Q269"/>
      <c r="R269"/>
      <c r="S269"/>
      <c r="T269"/>
      <c r="U269"/>
      <c r="V269"/>
    </row>
    <row r="270" spans="1:22" ht="15" x14ac:dyDescent="0.25">
      <c r="A270"/>
      <c r="B270"/>
      <c r="C270"/>
      <c r="D270"/>
      <c r="E270"/>
      <c r="F270"/>
      <c r="G270"/>
      <c r="H270"/>
      <c r="I270"/>
      <c r="J270"/>
      <c r="K270"/>
      <c r="L270"/>
      <c r="M270"/>
      <c r="N270"/>
      <c r="O270"/>
      <c r="P270"/>
      <c r="Q270"/>
      <c r="R270"/>
      <c r="S270"/>
      <c r="T270"/>
      <c r="U270"/>
      <c r="V270"/>
    </row>
    <row r="271" spans="1:22" ht="15" x14ac:dyDescent="0.25">
      <c r="A271"/>
      <c r="B271"/>
      <c r="C271"/>
      <c r="D271"/>
      <c r="E271"/>
      <c r="F271"/>
      <c r="G271"/>
      <c r="H271"/>
      <c r="I271"/>
      <c r="J271"/>
      <c r="K271"/>
      <c r="L271"/>
      <c r="M271"/>
      <c r="N271"/>
      <c r="O271"/>
      <c r="P271"/>
      <c r="Q271"/>
      <c r="R271"/>
      <c r="S271"/>
      <c r="T271"/>
      <c r="U271"/>
      <c r="V271"/>
    </row>
    <row r="272" spans="1:22" ht="15" x14ac:dyDescent="0.25">
      <c r="A272"/>
      <c r="B272"/>
      <c r="C272"/>
      <c r="D272"/>
      <c r="E272"/>
      <c r="F272"/>
      <c r="G272"/>
      <c r="H272"/>
      <c r="I272"/>
      <c r="J272"/>
      <c r="K272"/>
      <c r="L272"/>
      <c r="M272"/>
      <c r="N272"/>
      <c r="O272"/>
      <c r="P272"/>
      <c r="Q272"/>
      <c r="R272"/>
      <c r="S272"/>
      <c r="T272"/>
      <c r="U272"/>
      <c r="V272"/>
    </row>
    <row r="273" spans="1:22" ht="15" x14ac:dyDescent="0.25">
      <c r="A273"/>
      <c r="B273"/>
      <c r="C273"/>
      <c r="D273"/>
      <c r="E273"/>
      <c r="F273"/>
      <c r="G273"/>
      <c r="H273"/>
      <c r="I273"/>
      <c r="J273"/>
      <c r="K273"/>
      <c r="L273"/>
      <c r="M273"/>
      <c r="N273"/>
      <c r="O273"/>
      <c r="P273"/>
      <c r="Q273"/>
      <c r="R273"/>
      <c r="S273"/>
      <c r="T273"/>
      <c r="U273"/>
      <c r="V273"/>
    </row>
    <row r="274" spans="1:22" ht="15" x14ac:dyDescent="0.25">
      <c r="A274"/>
      <c r="B274"/>
      <c r="C274"/>
      <c r="D274"/>
      <c r="E274"/>
      <c r="F274"/>
      <c r="G274"/>
      <c r="H274"/>
      <c r="I274"/>
      <c r="J274"/>
      <c r="K274"/>
      <c r="L274"/>
      <c r="M274"/>
      <c r="N274"/>
      <c r="O274"/>
      <c r="P274"/>
      <c r="Q274"/>
      <c r="R274"/>
      <c r="S274"/>
      <c r="T274"/>
      <c r="U274"/>
      <c r="V274"/>
    </row>
    <row r="275" spans="1:22" ht="15" x14ac:dyDescent="0.25">
      <c r="A275"/>
      <c r="B275"/>
      <c r="C275"/>
      <c r="D275"/>
      <c r="E275"/>
      <c r="F275"/>
      <c r="G275"/>
      <c r="H275"/>
      <c r="I275"/>
      <c r="J275"/>
      <c r="K275"/>
      <c r="L275"/>
      <c r="M275"/>
      <c r="N275"/>
      <c r="O275"/>
      <c r="P275"/>
      <c r="Q275"/>
      <c r="R275"/>
      <c r="S275"/>
      <c r="T275"/>
      <c r="U275"/>
      <c r="V275"/>
    </row>
    <row r="276" spans="1:22" ht="15" x14ac:dyDescent="0.25">
      <c r="A276"/>
      <c r="B276"/>
      <c r="C276"/>
      <c r="D276"/>
      <c r="E276"/>
      <c r="F276"/>
      <c r="G276"/>
      <c r="H276"/>
      <c r="I276"/>
      <c r="J276"/>
      <c r="K276"/>
      <c r="L276"/>
      <c r="M276"/>
      <c r="N276"/>
      <c r="O276"/>
      <c r="P276"/>
      <c r="Q276"/>
      <c r="R276"/>
      <c r="S276"/>
      <c r="T276"/>
      <c r="U276"/>
      <c r="V276"/>
    </row>
    <row r="277" spans="1:22" ht="15" x14ac:dyDescent="0.25">
      <c r="A277"/>
      <c r="B277"/>
      <c r="C277"/>
      <c r="D277"/>
      <c r="E277"/>
      <c r="F277"/>
      <c r="G277"/>
      <c r="H277"/>
      <c r="I277"/>
      <c r="J277"/>
      <c r="K277"/>
      <c r="L277"/>
      <c r="M277"/>
      <c r="N277"/>
      <c r="O277"/>
      <c r="P277"/>
      <c r="Q277"/>
      <c r="R277"/>
      <c r="S277"/>
      <c r="T277"/>
      <c r="U277"/>
      <c r="V277"/>
    </row>
    <row r="278" spans="1:22" ht="15" x14ac:dyDescent="0.25">
      <c r="A278"/>
      <c r="B278"/>
      <c r="C278"/>
      <c r="D278"/>
      <c r="E278"/>
      <c r="F278"/>
      <c r="G278"/>
      <c r="H278"/>
      <c r="I278"/>
      <c r="J278"/>
      <c r="K278"/>
      <c r="L278"/>
      <c r="M278"/>
      <c r="N278"/>
      <c r="O278"/>
      <c r="P278"/>
      <c r="Q278"/>
      <c r="R278"/>
      <c r="S278"/>
      <c r="T278"/>
      <c r="U278"/>
      <c r="V278"/>
    </row>
    <row r="279" spans="1:22" ht="15" x14ac:dyDescent="0.25">
      <c r="A279"/>
      <c r="B279"/>
      <c r="C279"/>
      <c r="D279"/>
      <c r="E279"/>
      <c r="F279"/>
      <c r="G279"/>
      <c r="H279"/>
      <c r="I279"/>
      <c r="J279"/>
      <c r="K279"/>
      <c r="L279"/>
      <c r="M279"/>
      <c r="N279"/>
      <c r="O279"/>
      <c r="P279"/>
      <c r="Q279"/>
      <c r="R279"/>
      <c r="S279"/>
      <c r="T279"/>
      <c r="U279"/>
      <c r="V279"/>
    </row>
    <row r="280" spans="1:22" ht="15" x14ac:dyDescent="0.25">
      <c r="A280"/>
      <c r="B280"/>
      <c r="C280"/>
      <c r="D280"/>
      <c r="E280"/>
      <c r="F280"/>
      <c r="G280"/>
      <c r="H280"/>
      <c r="I280"/>
      <c r="J280"/>
      <c r="K280"/>
      <c r="L280"/>
      <c r="M280"/>
      <c r="N280"/>
      <c r="O280"/>
      <c r="P280"/>
      <c r="Q280"/>
      <c r="R280"/>
      <c r="S280"/>
      <c r="T280"/>
      <c r="U280"/>
      <c r="V280"/>
    </row>
    <row r="281" spans="1:22" ht="15" x14ac:dyDescent="0.25">
      <c r="A281"/>
      <c r="B281"/>
      <c r="C281"/>
      <c r="D281"/>
      <c r="E281"/>
      <c r="F281"/>
      <c r="G281"/>
      <c r="H281"/>
      <c r="I281"/>
      <c r="J281"/>
      <c r="K281"/>
      <c r="L281"/>
      <c r="M281"/>
      <c r="N281"/>
      <c r="O281"/>
      <c r="P281"/>
      <c r="Q281"/>
      <c r="R281"/>
      <c r="S281"/>
      <c r="T281"/>
      <c r="U281"/>
      <c r="V281"/>
    </row>
    <row r="282" spans="1:22" ht="15" x14ac:dyDescent="0.25">
      <c r="A282"/>
      <c r="B282"/>
      <c r="C282"/>
      <c r="D282"/>
      <c r="E282"/>
      <c r="F282"/>
      <c r="G282"/>
      <c r="H282"/>
      <c r="I282"/>
      <c r="J282"/>
      <c r="K282"/>
      <c r="L282"/>
      <c r="M282"/>
      <c r="N282"/>
      <c r="O282"/>
      <c r="P282"/>
      <c r="Q282"/>
      <c r="R282"/>
      <c r="S282"/>
      <c r="T282"/>
      <c r="U282"/>
      <c r="V282"/>
    </row>
    <row r="283" spans="1:22" ht="15" x14ac:dyDescent="0.25">
      <c r="A283"/>
      <c r="B283"/>
      <c r="C283"/>
      <c r="D283"/>
      <c r="E283"/>
      <c r="F283"/>
      <c r="G283"/>
      <c r="H283"/>
      <c r="I283"/>
      <c r="J283"/>
      <c r="K283"/>
      <c r="L283"/>
      <c r="M283"/>
      <c r="N283"/>
      <c r="O283"/>
      <c r="P283"/>
      <c r="Q283"/>
      <c r="R283"/>
      <c r="S283"/>
      <c r="T283"/>
      <c r="U283"/>
      <c r="V283"/>
    </row>
    <row r="284" spans="1:22" ht="15" x14ac:dyDescent="0.25">
      <c r="A284"/>
      <c r="B284"/>
      <c r="C284"/>
      <c r="D284"/>
      <c r="E284"/>
      <c r="F284"/>
      <c r="G284"/>
      <c r="H284"/>
      <c r="I284"/>
      <c r="J284"/>
      <c r="K284"/>
      <c r="L284"/>
      <c r="M284"/>
      <c r="N284"/>
      <c r="O284"/>
      <c r="P284"/>
      <c r="Q284"/>
      <c r="R284"/>
      <c r="S284"/>
      <c r="T284"/>
      <c r="U284"/>
      <c r="V284"/>
    </row>
    <row r="285" spans="1:22" ht="15" x14ac:dyDescent="0.25">
      <c r="A285"/>
      <c r="B285"/>
      <c r="C285"/>
      <c r="D285"/>
      <c r="E285"/>
      <c r="F285"/>
      <c r="G285"/>
      <c r="H285"/>
      <c r="I285"/>
      <c r="J285"/>
      <c r="K285"/>
      <c r="L285"/>
      <c r="M285"/>
      <c r="N285"/>
      <c r="O285"/>
      <c r="P285"/>
      <c r="Q285"/>
      <c r="R285"/>
      <c r="S285"/>
      <c r="T285"/>
      <c r="U285"/>
      <c r="V285"/>
    </row>
    <row r="286" spans="1:22" ht="15" x14ac:dyDescent="0.25">
      <c r="A286"/>
      <c r="B286"/>
      <c r="C286"/>
      <c r="D286"/>
      <c r="E286"/>
      <c r="F286"/>
      <c r="G286"/>
      <c r="H286"/>
      <c r="I286"/>
      <c r="J286"/>
      <c r="K286"/>
      <c r="L286"/>
      <c r="M286"/>
      <c r="N286"/>
      <c r="O286"/>
      <c r="P286"/>
      <c r="Q286"/>
      <c r="R286"/>
      <c r="S286"/>
      <c r="T286"/>
      <c r="U286"/>
      <c r="V286"/>
    </row>
    <row r="287" spans="1:22" ht="15" x14ac:dyDescent="0.25">
      <c r="A287"/>
      <c r="B287"/>
      <c r="C287"/>
      <c r="D287"/>
      <c r="E287"/>
      <c r="F287"/>
      <c r="G287"/>
      <c r="H287"/>
      <c r="I287"/>
      <c r="J287"/>
      <c r="K287"/>
      <c r="L287"/>
      <c r="M287"/>
      <c r="N287"/>
      <c r="O287"/>
      <c r="P287"/>
      <c r="Q287"/>
      <c r="R287"/>
      <c r="S287"/>
      <c r="T287"/>
      <c r="U287"/>
      <c r="V287"/>
    </row>
    <row r="288" spans="1:22" ht="15" x14ac:dyDescent="0.25">
      <c r="A288"/>
      <c r="B288"/>
      <c r="C288"/>
      <c r="D288"/>
      <c r="E288"/>
      <c r="F288"/>
      <c r="G288"/>
      <c r="H288"/>
      <c r="I288"/>
      <c r="J288"/>
      <c r="K288"/>
      <c r="L288"/>
      <c r="M288"/>
      <c r="N288"/>
      <c r="O288"/>
      <c r="P288"/>
      <c r="Q288"/>
      <c r="R288"/>
      <c r="S288"/>
      <c r="T288"/>
      <c r="U288"/>
      <c r="V288"/>
    </row>
    <row r="289" spans="1:22" ht="15" x14ac:dyDescent="0.25">
      <c r="A289"/>
      <c r="B289"/>
      <c r="C289"/>
      <c r="D289"/>
      <c r="E289"/>
      <c r="F289"/>
      <c r="G289"/>
      <c r="H289"/>
      <c r="I289"/>
      <c r="J289"/>
      <c r="K289"/>
      <c r="L289"/>
      <c r="M289"/>
      <c r="N289"/>
      <c r="O289"/>
      <c r="P289"/>
      <c r="Q289"/>
      <c r="R289"/>
      <c r="S289"/>
      <c r="T289"/>
      <c r="U289"/>
      <c r="V289"/>
    </row>
    <row r="290" spans="1:22" ht="15" x14ac:dyDescent="0.25">
      <c r="A290"/>
      <c r="B290"/>
      <c r="C290"/>
      <c r="D290"/>
      <c r="E290"/>
      <c r="F290"/>
      <c r="G290"/>
      <c r="H290"/>
      <c r="I290"/>
      <c r="J290"/>
      <c r="K290"/>
      <c r="L290"/>
      <c r="M290"/>
      <c r="N290"/>
      <c r="O290"/>
      <c r="P290"/>
      <c r="Q290"/>
      <c r="R290"/>
      <c r="S290"/>
      <c r="T290"/>
      <c r="U290"/>
      <c r="V290"/>
    </row>
    <row r="291" spans="1:22" ht="15" x14ac:dyDescent="0.25">
      <c r="A291"/>
      <c r="B291"/>
      <c r="C291"/>
      <c r="D291"/>
      <c r="E291"/>
      <c r="F291"/>
      <c r="G291"/>
      <c r="H291"/>
      <c r="I291"/>
      <c r="J291"/>
      <c r="K291"/>
      <c r="L291"/>
      <c r="M291"/>
      <c r="N291"/>
      <c r="O291"/>
      <c r="P291"/>
      <c r="Q291"/>
      <c r="R291"/>
      <c r="S291"/>
      <c r="T291"/>
      <c r="U291"/>
      <c r="V291"/>
    </row>
    <row r="292" spans="1:22" ht="15" x14ac:dyDescent="0.25">
      <c r="A292"/>
      <c r="B292"/>
      <c r="C292"/>
      <c r="D292"/>
      <c r="E292"/>
      <c r="F292"/>
      <c r="G292"/>
      <c r="H292"/>
      <c r="I292"/>
      <c r="J292"/>
      <c r="K292"/>
      <c r="L292"/>
      <c r="M292"/>
      <c r="N292"/>
      <c r="O292"/>
      <c r="P292"/>
      <c r="Q292"/>
      <c r="R292"/>
      <c r="S292"/>
      <c r="T292"/>
      <c r="U292"/>
      <c r="V292"/>
    </row>
    <row r="293" spans="1:22" ht="15" x14ac:dyDescent="0.25">
      <c r="A293"/>
      <c r="B293"/>
      <c r="C293"/>
      <c r="D293"/>
      <c r="E293"/>
      <c r="F293"/>
      <c r="G293"/>
      <c r="H293"/>
      <c r="I293"/>
      <c r="J293"/>
      <c r="K293"/>
      <c r="L293"/>
      <c r="M293"/>
      <c r="N293"/>
      <c r="O293"/>
      <c r="P293"/>
      <c r="Q293"/>
      <c r="R293"/>
      <c r="S293"/>
      <c r="T293"/>
      <c r="U293"/>
      <c r="V293"/>
    </row>
    <row r="294" spans="1:22" ht="15" x14ac:dyDescent="0.25">
      <c r="A294"/>
      <c r="B294"/>
      <c r="C294"/>
      <c r="D294"/>
      <c r="E294"/>
      <c r="F294"/>
      <c r="G294"/>
      <c r="H294"/>
      <c r="I294"/>
      <c r="J294"/>
      <c r="K294"/>
      <c r="L294"/>
      <c r="M294"/>
      <c r="N294"/>
      <c r="O294"/>
      <c r="P294"/>
      <c r="Q294"/>
      <c r="R294"/>
      <c r="S294"/>
      <c r="T294"/>
      <c r="U294"/>
      <c r="V294"/>
    </row>
    <row r="295" spans="1:22" ht="15" x14ac:dyDescent="0.25">
      <c r="A295"/>
      <c r="B295"/>
      <c r="C295"/>
      <c r="D295"/>
      <c r="E295"/>
      <c r="F295"/>
      <c r="G295"/>
      <c r="H295"/>
      <c r="I295"/>
      <c r="J295"/>
      <c r="K295"/>
      <c r="L295"/>
      <c r="M295"/>
      <c r="N295"/>
      <c r="O295"/>
      <c r="P295"/>
      <c r="Q295"/>
      <c r="R295"/>
      <c r="S295"/>
      <c r="T295"/>
      <c r="U295"/>
      <c r="V295"/>
    </row>
    <row r="296" spans="1:22" ht="15" x14ac:dyDescent="0.25">
      <c r="A296"/>
      <c r="B296"/>
      <c r="C296"/>
      <c r="D296"/>
      <c r="E296"/>
      <c r="F296"/>
      <c r="G296"/>
      <c r="H296"/>
      <c r="I296"/>
      <c r="J296"/>
      <c r="K296"/>
      <c r="L296"/>
      <c r="M296"/>
      <c r="N296"/>
      <c r="O296"/>
      <c r="P296"/>
      <c r="Q296"/>
      <c r="R296"/>
      <c r="S296"/>
      <c r="T296"/>
      <c r="U296"/>
      <c r="V296"/>
    </row>
    <row r="297" spans="1:22" ht="15" x14ac:dyDescent="0.25">
      <c r="A297"/>
      <c r="B297"/>
      <c r="C297"/>
      <c r="D297"/>
      <c r="E297"/>
      <c r="F297"/>
      <c r="G297"/>
      <c r="H297"/>
      <c r="I297"/>
      <c r="J297"/>
      <c r="K297"/>
      <c r="L297"/>
      <c r="M297"/>
      <c r="N297"/>
      <c r="O297"/>
      <c r="P297"/>
      <c r="Q297"/>
      <c r="R297"/>
      <c r="S297"/>
      <c r="T297"/>
      <c r="U297"/>
      <c r="V297"/>
    </row>
    <row r="298" spans="1:22" ht="15" x14ac:dyDescent="0.25">
      <c r="A298"/>
      <c r="B298"/>
      <c r="C298"/>
      <c r="D298"/>
      <c r="E298"/>
      <c r="F298"/>
      <c r="G298"/>
      <c r="H298"/>
      <c r="I298"/>
      <c r="J298"/>
      <c r="K298"/>
      <c r="L298"/>
      <c r="M298"/>
      <c r="N298"/>
      <c r="O298"/>
      <c r="P298"/>
      <c r="Q298"/>
      <c r="R298"/>
      <c r="S298"/>
      <c r="T298"/>
      <c r="U298"/>
      <c r="V298"/>
    </row>
    <row r="299" spans="1:22" ht="15" x14ac:dyDescent="0.25">
      <c r="A299"/>
      <c r="B299"/>
      <c r="C299"/>
      <c r="D299"/>
      <c r="E299"/>
      <c r="F299"/>
      <c r="G299"/>
      <c r="H299"/>
      <c r="I299"/>
      <c r="J299"/>
      <c r="K299"/>
      <c r="L299"/>
      <c r="M299"/>
      <c r="N299"/>
      <c r="O299"/>
      <c r="P299"/>
      <c r="Q299"/>
      <c r="R299"/>
      <c r="S299"/>
      <c r="T299"/>
      <c r="U299"/>
      <c r="V299"/>
    </row>
    <row r="300" spans="1:22" ht="15" x14ac:dyDescent="0.25">
      <c r="A300"/>
      <c r="B300"/>
      <c r="C300"/>
      <c r="D300"/>
      <c r="E300"/>
      <c r="F300"/>
      <c r="G300"/>
      <c r="H300"/>
      <c r="I300"/>
      <c r="J300"/>
      <c r="K300"/>
      <c r="L300"/>
      <c r="M300"/>
      <c r="N300"/>
      <c r="O300"/>
      <c r="P300"/>
      <c r="Q300"/>
      <c r="R300"/>
      <c r="S300"/>
      <c r="T300"/>
      <c r="U300"/>
      <c r="V300"/>
    </row>
    <row r="301" spans="1:22" ht="15" x14ac:dyDescent="0.25">
      <c r="A301"/>
      <c r="B301"/>
      <c r="C301"/>
      <c r="D301"/>
      <c r="E301"/>
      <c r="F301"/>
      <c r="G301"/>
      <c r="H301"/>
      <c r="I301"/>
      <c r="J301"/>
      <c r="K301"/>
      <c r="L301"/>
      <c r="M301"/>
      <c r="N301"/>
      <c r="O301"/>
      <c r="P301"/>
      <c r="Q301"/>
      <c r="R301"/>
      <c r="S301"/>
      <c r="T301"/>
      <c r="U301"/>
      <c r="V301"/>
    </row>
    <row r="302" spans="1:22" ht="15" x14ac:dyDescent="0.25">
      <c r="A302"/>
      <c r="B302"/>
      <c r="C302"/>
      <c r="D302"/>
      <c r="E302"/>
      <c r="F302"/>
      <c r="G302"/>
      <c r="H302"/>
      <c r="I302"/>
      <c r="J302"/>
      <c r="K302"/>
      <c r="L302"/>
      <c r="M302"/>
      <c r="N302"/>
      <c r="O302"/>
      <c r="P302"/>
      <c r="Q302"/>
      <c r="R302"/>
      <c r="S302"/>
      <c r="T302"/>
      <c r="U302"/>
      <c r="V302"/>
    </row>
    <row r="303" spans="1:22" ht="15" x14ac:dyDescent="0.25">
      <c r="A303"/>
      <c r="B303"/>
      <c r="C303"/>
      <c r="D303"/>
      <c r="E303"/>
      <c r="F303"/>
      <c r="G303"/>
      <c r="H303"/>
      <c r="I303"/>
      <c r="J303"/>
      <c r="K303"/>
      <c r="L303"/>
      <c r="M303"/>
      <c r="N303"/>
      <c r="O303"/>
      <c r="P303"/>
      <c r="Q303"/>
      <c r="R303"/>
      <c r="S303"/>
      <c r="T303"/>
      <c r="U303"/>
      <c r="V303"/>
    </row>
    <row r="304" spans="1:22" ht="15" x14ac:dyDescent="0.25">
      <c r="A304"/>
      <c r="B304"/>
      <c r="C304"/>
      <c r="D304"/>
      <c r="E304"/>
      <c r="F304"/>
      <c r="G304"/>
      <c r="H304"/>
      <c r="I304"/>
      <c r="J304"/>
      <c r="K304"/>
      <c r="L304"/>
      <c r="M304"/>
      <c r="N304"/>
      <c r="O304"/>
      <c r="P304"/>
      <c r="Q304"/>
      <c r="R304"/>
      <c r="S304"/>
      <c r="T304"/>
      <c r="U304"/>
      <c r="V304"/>
    </row>
    <row r="305" spans="1:22" ht="15" x14ac:dyDescent="0.25">
      <c r="A305"/>
      <c r="B305"/>
      <c r="C305"/>
      <c r="D305"/>
      <c r="E305"/>
      <c r="F305"/>
      <c r="G305"/>
      <c r="H305"/>
      <c r="I305"/>
      <c r="J305"/>
      <c r="K305"/>
      <c r="L305"/>
      <c r="M305"/>
      <c r="N305"/>
      <c r="O305"/>
      <c r="P305"/>
      <c r="Q305"/>
      <c r="R305"/>
      <c r="S305"/>
      <c r="T305"/>
      <c r="U305"/>
      <c r="V305"/>
    </row>
    <row r="306" spans="1:22" ht="15" x14ac:dyDescent="0.25">
      <c r="A306"/>
      <c r="B306"/>
      <c r="C306"/>
      <c r="D306"/>
      <c r="E306"/>
      <c r="F306"/>
      <c r="G306"/>
      <c r="H306"/>
      <c r="I306"/>
      <c r="J306"/>
      <c r="K306"/>
      <c r="L306"/>
      <c r="M306"/>
      <c r="N306"/>
      <c r="O306"/>
      <c r="P306"/>
      <c r="Q306"/>
      <c r="R306"/>
      <c r="S306"/>
      <c r="T306"/>
      <c r="U306"/>
      <c r="V306"/>
    </row>
    <row r="307" spans="1:22" ht="15" x14ac:dyDescent="0.25">
      <c r="A307"/>
      <c r="B307"/>
      <c r="C307"/>
      <c r="D307"/>
      <c r="E307"/>
      <c r="F307"/>
      <c r="G307"/>
      <c r="H307"/>
      <c r="I307"/>
      <c r="J307"/>
      <c r="K307"/>
      <c r="L307"/>
      <c r="M307"/>
      <c r="N307"/>
      <c r="O307"/>
      <c r="P307"/>
      <c r="Q307"/>
      <c r="R307"/>
      <c r="S307"/>
      <c r="T307"/>
      <c r="U307"/>
      <c r="V307"/>
    </row>
    <row r="308" spans="1:22" ht="15" x14ac:dyDescent="0.25">
      <c r="A308"/>
      <c r="B308"/>
      <c r="C308"/>
      <c r="D308"/>
      <c r="E308"/>
      <c r="F308"/>
      <c r="G308"/>
      <c r="H308"/>
      <c r="I308"/>
      <c r="J308"/>
      <c r="K308"/>
      <c r="L308"/>
      <c r="M308"/>
      <c r="N308"/>
      <c r="O308"/>
      <c r="P308"/>
      <c r="Q308"/>
      <c r="R308"/>
      <c r="S308"/>
      <c r="T308"/>
      <c r="U308"/>
      <c r="V308"/>
    </row>
    <row r="309" spans="1:22" ht="15" x14ac:dyDescent="0.25">
      <c r="A309"/>
      <c r="B309"/>
      <c r="C309"/>
      <c r="D309"/>
      <c r="E309"/>
      <c r="F309"/>
      <c r="G309"/>
      <c r="H309"/>
      <c r="I309"/>
      <c r="J309"/>
      <c r="K309"/>
      <c r="L309"/>
      <c r="M309"/>
      <c r="N309"/>
      <c r="O309"/>
      <c r="P309"/>
      <c r="Q309"/>
      <c r="R309"/>
      <c r="S309"/>
      <c r="T309"/>
      <c r="U309"/>
      <c r="V309"/>
    </row>
    <row r="310" spans="1:22" ht="15" x14ac:dyDescent="0.25">
      <c r="A310"/>
      <c r="B310"/>
      <c r="C310"/>
      <c r="D310"/>
      <c r="E310"/>
      <c r="F310"/>
      <c r="G310"/>
      <c r="H310"/>
      <c r="I310"/>
      <c r="J310"/>
      <c r="K310"/>
      <c r="L310"/>
      <c r="M310"/>
      <c r="N310"/>
      <c r="O310"/>
      <c r="P310"/>
      <c r="Q310"/>
      <c r="R310"/>
      <c r="S310"/>
      <c r="T310"/>
      <c r="U310"/>
      <c r="V310"/>
    </row>
    <row r="311" spans="1:22" ht="15" x14ac:dyDescent="0.25">
      <c r="A311"/>
      <c r="B311"/>
      <c r="C311"/>
      <c r="D311"/>
      <c r="E311"/>
      <c r="F311"/>
      <c r="G311"/>
      <c r="H311"/>
      <c r="I311"/>
      <c r="J311"/>
      <c r="K311"/>
      <c r="L311"/>
      <c r="M311"/>
      <c r="N311"/>
      <c r="O311"/>
      <c r="P311"/>
      <c r="Q311"/>
      <c r="R311"/>
      <c r="S311"/>
      <c r="T311"/>
      <c r="U311"/>
      <c r="V311"/>
    </row>
    <row r="312" spans="1:22" ht="15" x14ac:dyDescent="0.25">
      <c r="A312"/>
      <c r="B312"/>
      <c r="C312"/>
      <c r="D312"/>
      <c r="E312"/>
      <c r="F312"/>
      <c r="G312"/>
      <c r="H312"/>
      <c r="I312"/>
      <c r="J312"/>
      <c r="K312"/>
      <c r="L312"/>
      <c r="M312"/>
      <c r="N312"/>
      <c r="O312"/>
      <c r="P312"/>
      <c r="Q312"/>
      <c r="R312"/>
      <c r="S312"/>
      <c r="T312"/>
      <c r="U312"/>
      <c r="V312"/>
    </row>
    <row r="313" spans="1:22" ht="15" x14ac:dyDescent="0.25">
      <c r="A313"/>
      <c r="B313"/>
      <c r="C313"/>
      <c r="D313"/>
      <c r="E313"/>
      <c r="F313"/>
      <c r="G313"/>
      <c r="H313"/>
      <c r="I313"/>
      <c r="J313"/>
      <c r="K313"/>
      <c r="L313"/>
      <c r="M313"/>
      <c r="N313"/>
      <c r="O313"/>
      <c r="P313"/>
      <c r="Q313"/>
      <c r="R313"/>
      <c r="S313"/>
      <c r="T313"/>
      <c r="U313"/>
      <c r="V313"/>
    </row>
    <row r="314" spans="1:22" ht="15" x14ac:dyDescent="0.25">
      <c r="A314"/>
      <c r="B314"/>
      <c r="C314"/>
      <c r="D314"/>
      <c r="E314"/>
      <c r="F314"/>
      <c r="G314"/>
      <c r="H314"/>
      <c r="I314"/>
      <c r="J314"/>
      <c r="K314"/>
      <c r="L314"/>
      <c r="M314"/>
      <c r="N314"/>
      <c r="O314"/>
      <c r="P314"/>
      <c r="Q314"/>
      <c r="R314"/>
      <c r="S314"/>
      <c r="T314"/>
      <c r="U314"/>
      <c r="V314"/>
    </row>
    <row r="315" spans="1:22" ht="15" x14ac:dyDescent="0.25">
      <c r="A315"/>
      <c r="B315"/>
      <c r="C315"/>
      <c r="D315"/>
      <c r="E315"/>
      <c r="F315"/>
      <c r="G315"/>
      <c r="H315"/>
      <c r="I315"/>
      <c r="J315"/>
      <c r="K315"/>
      <c r="L315"/>
      <c r="M315"/>
      <c r="N315"/>
      <c r="O315"/>
      <c r="P315"/>
      <c r="Q315"/>
      <c r="R315"/>
      <c r="S315"/>
      <c r="T315"/>
      <c r="U315"/>
      <c r="V315"/>
    </row>
    <row r="316" spans="1:22" ht="15" x14ac:dyDescent="0.25">
      <c r="A316"/>
      <c r="B316"/>
      <c r="C316"/>
      <c r="D316"/>
      <c r="E316"/>
      <c r="F316"/>
      <c r="G316"/>
      <c r="H316"/>
      <c r="I316"/>
      <c r="J316"/>
      <c r="K316"/>
      <c r="L316"/>
      <c r="M316"/>
      <c r="N316"/>
      <c r="O316"/>
      <c r="P316"/>
      <c r="Q316"/>
      <c r="R316"/>
      <c r="S316"/>
      <c r="T316"/>
      <c r="U316"/>
      <c r="V316"/>
    </row>
    <row r="317" spans="1:22" ht="15" x14ac:dyDescent="0.25">
      <c r="A317"/>
      <c r="B317"/>
      <c r="C317"/>
      <c r="D317"/>
      <c r="E317"/>
      <c r="F317"/>
      <c r="G317"/>
      <c r="H317"/>
      <c r="I317"/>
      <c r="J317"/>
      <c r="K317"/>
      <c r="L317"/>
      <c r="M317"/>
      <c r="N317"/>
      <c r="O317"/>
      <c r="P317"/>
      <c r="Q317"/>
      <c r="R317"/>
      <c r="S317"/>
      <c r="T317"/>
      <c r="U317"/>
      <c r="V317"/>
    </row>
    <row r="318" spans="1:22" ht="15" x14ac:dyDescent="0.25">
      <c r="A318"/>
      <c r="B318"/>
      <c r="C318"/>
      <c r="D318"/>
      <c r="E318"/>
      <c r="F318"/>
      <c r="G318"/>
      <c r="H318"/>
      <c r="I318"/>
      <c r="J318"/>
      <c r="K318"/>
      <c r="L318"/>
      <c r="M318"/>
      <c r="N318"/>
      <c r="O318"/>
      <c r="P318"/>
      <c r="Q318"/>
      <c r="R318"/>
      <c r="S318"/>
      <c r="T318"/>
      <c r="U318"/>
      <c r="V318"/>
    </row>
    <row r="319" spans="1:22" ht="15" x14ac:dyDescent="0.25">
      <c r="A319"/>
      <c r="B319"/>
      <c r="C319"/>
      <c r="D319"/>
      <c r="E319"/>
      <c r="F319"/>
      <c r="G319"/>
      <c r="H319"/>
      <c r="I319"/>
      <c r="J319"/>
      <c r="K319"/>
      <c r="L319"/>
      <c r="M319"/>
      <c r="N319"/>
      <c r="O319"/>
      <c r="P319"/>
      <c r="Q319"/>
      <c r="R319"/>
      <c r="S319"/>
      <c r="T319"/>
      <c r="U319"/>
      <c r="V319"/>
    </row>
    <row r="320" spans="1:22" ht="15" x14ac:dyDescent="0.25">
      <c r="A320"/>
      <c r="B320"/>
      <c r="C320"/>
      <c r="D320"/>
      <c r="E320"/>
      <c r="F320"/>
      <c r="G320"/>
      <c r="H320"/>
      <c r="I320"/>
      <c r="J320"/>
      <c r="K320"/>
      <c r="L320"/>
      <c r="M320"/>
      <c r="N320"/>
      <c r="O320"/>
      <c r="P320"/>
      <c r="Q320"/>
      <c r="R320"/>
      <c r="S320"/>
      <c r="T320"/>
      <c r="U320"/>
      <c r="V320"/>
    </row>
    <row r="321" spans="1:22" ht="15" x14ac:dyDescent="0.25">
      <c r="A321"/>
      <c r="B321"/>
      <c r="C321"/>
      <c r="D321"/>
      <c r="E321"/>
      <c r="F321"/>
      <c r="G321"/>
      <c r="H321"/>
      <c r="I321"/>
      <c r="J321"/>
      <c r="K321"/>
      <c r="L321"/>
      <c r="M321"/>
      <c r="N321"/>
      <c r="O321"/>
      <c r="P321"/>
      <c r="Q321"/>
      <c r="R321"/>
      <c r="S321"/>
      <c r="T321"/>
      <c r="U321"/>
      <c r="V321"/>
    </row>
    <row r="322" spans="1:22" ht="15" x14ac:dyDescent="0.25">
      <c r="A322"/>
      <c r="B322"/>
      <c r="C322"/>
      <c r="D322"/>
      <c r="E322"/>
      <c r="F322"/>
      <c r="G322"/>
      <c r="H322"/>
      <c r="I322"/>
      <c r="J322"/>
      <c r="K322"/>
      <c r="L322"/>
      <c r="M322"/>
      <c r="N322"/>
      <c r="O322"/>
      <c r="P322"/>
      <c r="Q322"/>
      <c r="R322"/>
      <c r="S322"/>
      <c r="T322"/>
      <c r="U322"/>
      <c r="V322"/>
    </row>
    <row r="323" spans="1:22" ht="15" x14ac:dyDescent="0.25">
      <c r="A323"/>
      <c r="B323"/>
      <c r="C323"/>
      <c r="D323"/>
      <c r="E323"/>
      <c r="F323"/>
      <c r="G323"/>
      <c r="H323"/>
      <c r="I323"/>
      <c r="J323"/>
      <c r="K323"/>
      <c r="L323"/>
      <c r="M323"/>
      <c r="N323"/>
      <c r="O323"/>
      <c r="P323"/>
      <c r="Q323"/>
      <c r="R323"/>
      <c r="S323"/>
      <c r="T323"/>
      <c r="U323"/>
      <c r="V323"/>
    </row>
    <row r="324" spans="1:22" ht="15" x14ac:dyDescent="0.25">
      <c r="A324"/>
      <c r="B324"/>
      <c r="C324"/>
      <c r="D324"/>
      <c r="E324"/>
      <c r="F324"/>
      <c r="G324"/>
      <c r="H324"/>
      <c r="I324"/>
      <c r="J324"/>
      <c r="K324"/>
      <c r="L324"/>
      <c r="M324"/>
      <c r="N324"/>
      <c r="O324"/>
      <c r="P324"/>
      <c r="Q324"/>
      <c r="R324"/>
      <c r="S324"/>
      <c r="T324"/>
      <c r="U324"/>
      <c r="V324"/>
    </row>
    <row r="325" spans="1:22" ht="15" x14ac:dyDescent="0.25">
      <c r="A325"/>
      <c r="B325"/>
      <c r="C325"/>
      <c r="D325"/>
      <c r="E325"/>
      <c r="F325"/>
      <c r="G325"/>
      <c r="H325"/>
      <c r="I325"/>
      <c r="J325"/>
      <c r="K325"/>
      <c r="L325"/>
      <c r="M325"/>
      <c r="N325"/>
      <c r="O325"/>
      <c r="P325"/>
      <c r="Q325"/>
      <c r="R325"/>
      <c r="S325"/>
      <c r="T325"/>
      <c r="U325"/>
      <c r="V325"/>
    </row>
    <row r="326" spans="1:22" ht="15" x14ac:dyDescent="0.25">
      <c r="A326"/>
      <c r="B326"/>
      <c r="C326"/>
      <c r="D326"/>
      <c r="E326"/>
      <c r="F326"/>
      <c r="G326"/>
      <c r="H326"/>
      <c r="I326"/>
      <c r="J326"/>
      <c r="K326"/>
      <c r="L326"/>
      <c r="M326"/>
      <c r="N326"/>
      <c r="O326"/>
      <c r="P326"/>
      <c r="Q326"/>
      <c r="R326"/>
      <c r="S326"/>
      <c r="T326"/>
      <c r="U326"/>
      <c r="V326"/>
    </row>
    <row r="327" spans="1:22" ht="15" x14ac:dyDescent="0.25">
      <c r="A327"/>
      <c r="B327"/>
      <c r="C327"/>
      <c r="D327"/>
      <c r="E327"/>
      <c r="F327"/>
      <c r="G327"/>
      <c r="H327"/>
      <c r="I327"/>
      <c r="J327"/>
      <c r="K327"/>
      <c r="L327"/>
      <c r="M327"/>
      <c r="N327"/>
      <c r="O327"/>
      <c r="P327"/>
      <c r="Q327"/>
      <c r="R327"/>
      <c r="S327"/>
      <c r="T327"/>
      <c r="U327"/>
      <c r="V327"/>
    </row>
    <row r="328" spans="1:22" ht="15" x14ac:dyDescent="0.25">
      <c r="A328"/>
      <c r="B328"/>
      <c r="C328"/>
      <c r="D328"/>
      <c r="E328"/>
      <c r="F328"/>
      <c r="G328"/>
      <c r="H328"/>
      <c r="I328"/>
      <c r="J328"/>
      <c r="K328"/>
      <c r="L328"/>
      <c r="M328"/>
      <c r="N328"/>
      <c r="O328"/>
      <c r="P328"/>
      <c r="Q328"/>
      <c r="R328"/>
      <c r="S328"/>
      <c r="T328"/>
      <c r="U328"/>
      <c r="V328"/>
    </row>
    <row r="329" spans="1:22" ht="15" x14ac:dyDescent="0.25">
      <c r="A329"/>
      <c r="B329"/>
      <c r="C329"/>
      <c r="D329"/>
      <c r="E329"/>
      <c r="F329"/>
      <c r="G329"/>
      <c r="H329"/>
      <c r="I329"/>
      <c r="J329"/>
      <c r="K329"/>
      <c r="L329"/>
      <c r="M329"/>
      <c r="N329"/>
      <c r="O329"/>
      <c r="P329"/>
      <c r="Q329"/>
      <c r="R329"/>
      <c r="S329"/>
      <c r="T329"/>
      <c r="U329"/>
      <c r="V329"/>
    </row>
    <row r="330" spans="1:22" ht="15" x14ac:dyDescent="0.25">
      <c r="A330"/>
      <c r="B330"/>
      <c r="C330"/>
      <c r="D330"/>
      <c r="E330"/>
      <c r="F330"/>
      <c r="G330"/>
      <c r="H330"/>
      <c r="I330"/>
      <c r="J330"/>
      <c r="K330"/>
      <c r="L330"/>
      <c r="M330"/>
      <c r="N330"/>
      <c r="O330"/>
      <c r="P330"/>
      <c r="Q330"/>
      <c r="R330"/>
      <c r="S330"/>
      <c r="T330"/>
      <c r="U330"/>
      <c r="V330"/>
    </row>
    <row r="331" spans="1:22" ht="15" x14ac:dyDescent="0.25">
      <c r="A331"/>
      <c r="B331"/>
      <c r="C331"/>
      <c r="D331"/>
      <c r="E331"/>
      <c r="F331"/>
      <c r="G331"/>
      <c r="H331"/>
      <c r="I331"/>
      <c r="J331"/>
      <c r="K331"/>
      <c r="L331"/>
      <c r="M331"/>
      <c r="N331"/>
      <c r="O331"/>
      <c r="P331"/>
      <c r="Q331"/>
      <c r="R331"/>
      <c r="S331"/>
      <c r="T331"/>
      <c r="U331"/>
      <c r="V331"/>
    </row>
    <row r="332" spans="1:22" ht="15" x14ac:dyDescent="0.25">
      <c r="A332"/>
      <c r="B332"/>
      <c r="C332"/>
      <c r="D332"/>
      <c r="E332"/>
      <c r="F332"/>
      <c r="G332"/>
      <c r="H332"/>
      <c r="I332"/>
      <c r="J332"/>
      <c r="K332"/>
      <c r="L332"/>
      <c r="M332"/>
      <c r="N332"/>
      <c r="O332"/>
      <c r="P332"/>
      <c r="Q332"/>
      <c r="R332"/>
      <c r="S332"/>
      <c r="T332"/>
      <c r="U332"/>
      <c r="V332"/>
    </row>
    <row r="333" spans="1:22" ht="15" x14ac:dyDescent="0.25">
      <c r="A333"/>
      <c r="B333"/>
      <c r="C333"/>
      <c r="D333"/>
      <c r="E333"/>
      <c r="F333"/>
      <c r="G333"/>
      <c r="H333"/>
      <c r="I333"/>
      <c r="J333"/>
      <c r="K333"/>
      <c r="L333"/>
      <c r="M333"/>
      <c r="N333"/>
      <c r="O333"/>
      <c r="P333"/>
      <c r="Q333"/>
      <c r="R333"/>
      <c r="S333"/>
      <c r="T333"/>
      <c r="U333"/>
      <c r="V333"/>
    </row>
    <row r="334" spans="1:22" ht="15" x14ac:dyDescent="0.25">
      <c r="A334"/>
      <c r="B334"/>
      <c r="C334"/>
      <c r="D334"/>
      <c r="E334"/>
      <c r="F334"/>
      <c r="G334"/>
      <c r="H334"/>
      <c r="I334"/>
      <c r="J334"/>
      <c r="K334"/>
      <c r="L334"/>
      <c r="M334"/>
      <c r="N334"/>
      <c r="O334"/>
      <c r="P334"/>
      <c r="Q334"/>
      <c r="R334"/>
      <c r="S334"/>
      <c r="T334"/>
      <c r="U334"/>
      <c r="V334"/>
    </row>
    <row r="335" spans="1:22" ht="15" x14ac:dyDescent="0.25">
      <c r="A335"/>
      <c r="B335"/>
      <c r="C335"/>
      <c r="D335"/>
      <c r="E335"/>
      <c r="F335"/>
      <c r="G335"/>
      <c r="H335"/>
      <c r="I335"/>
      <c r="J335"/>
      <c r="K335"/>
      <c r="L335"/>
      <c r="M335"/>
      <c r="N335"/>
      <c r="O335"/>
      <c r="P335"/>
      <c r="Q335"/>
      <c r="R335"/>
      <c r="S335"/>
      <c r="T335"/>
      <c r="U335"/>
      <c r="V335"/>
    </row>
    <row r="336" spans="1:22" ht="15" x14ac:dyDescent="0.25">
      <c r="A336"/>
      <c r="B336"/>
      <c r="C336"/>
      <c r="D336"/>
      <c r="E336"/>
      <c r="F336"/>
      <c r="G336"/>
      <c r="H336"/>
      <c r="I336"/>
      <c r="J336"/>
      <c r="K336"/>
      <c r="L336"/>
      <c r="M336"/>
      <c r="N336"/>
      <c r="O336"/>
      <c r="P336"/>
      <c r="Q336"/>
      <c r="R336"/>
      <c r="S336"/>
      <c r="T336"/>
      <c r="U336"/>
      <c r="V336"/>
    </row>
    <row r="337" spans="1:22" ht="15" x14ac:dyDescent="0.25">
      <c r="A337"/>
      <c r="B337"/>
      <c r="C337"/>
      <c r="D337"/>
      <c r="E337"/>
      <c r="F337"/>
      <c r="G337"/>
      <c r="H337"/>
      <c r="I337"/>
      <c r="J337"/>
      <c r="K337"/>
      <c r="L337"/>
      <c r="M337"/>
      <c r="N337"/>
      <c r="O337"/>
      <c r="P337"/>
      <c r="Q337"/>
      <c r="R337"/>
      <c r="S337"/>
      <c r="T337"/>
      <c r="U337"/>
      <c r="V337"/>
    </row>
    <row r="338" spans="1:22" ht="15" x14ac:dyDescent="0.25">
      <c r="A338"/>
      <c r="B338"/>
      <c r="C338"/>
      <c r="D338"/>
      <c r="E338"/>
      <c r="F338"/>
      <c r="G338"/>
      <c r="H338"/>
      <c r="I338"/>
      <c r="J338"/>
      <c r="K338"/>
      <c r="L338"/>
      <c r="M338"/>
      <c r="N338"/>
      <c r="O338"/>
      <c r="P338"/>
      <c r="Q338"/>
      <c r="R338"/>
      <c r="S338"/>
      <c r="T338"/>
      <c r="U338"/>
      <c r="V338"/>
    </row>
  </sheetData>
  <mergeCells count="1">
    <mergeCell ref="B1:B3"/>
  </mergeCells>
  <pageMargins left="0.25" right="0.25" top="0.75" bottom="0.75" header="0.3" footer="0.3"/>
  <pageSetup scale="46" fitToHeight="0"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Summary</vt:lpstr>
      <vt:lpstr>Comparison to FY 2024</vt:lpstr>
      <vt:lpstr>StateAidVsPropertyTax</vt:lpstr>
      <vt:lpstr>Breakdown</vt:lpstr>
      <vt:lpstr>Detail</vt:lpstr>
      <vt:lpstr>Detail By AEA</vt:lpstr>
      <vt:lpstr>Detail!Print_Area</vt:lpstr>
      <vt:lpstr>StateAidVsPropertyTax!Print_Area</vt:lpstr>
      <vt:lpstr>Summary!Print_Area</vt:lpstr>
      <vt:lpstr>Detail!Print_Titles</vt:lpstr>
      <vt:lpstr>'Detail By AEA'!Print_Titles</vt:lpstr>
    </vt:vector>
  </TitlesOfParts>
  <Company>State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Management</dc:creator>
  <cp:lastModifiedBy>Parker, John</cp:lastModifiedBy>
  <cp:lastPrinted>2024-07-11T14:36:23Z</cp:lastPrinted>
  <dcterms:created xsi:type="dcterms:W3CDTF">2017-04-24T18:31:54Z</dcterms:created>
  <dcterms:modified xsi:type="dcterms:W3CDTF">2024-07-11T14:36:32Z</dcterms:modified>
</cp:coreProperties>
</file>